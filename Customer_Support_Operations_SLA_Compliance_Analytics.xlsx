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nanComputers\Downloads\"/>
    </mc:Choice>
  </mc:AlternateContent>
  <bookViews>
    <workbookView xWindow="0" yWindow="0" windowWidth="20460" windowHeight="6120" firstSheet="7" activeTab="9"/>
  </bookViews>
  <sheets>
    <sheet name="Raw_Tickets_Data" sheetId="1" state="hidden" r:id="rId1"/>
    <sheet name="PT_ByTeam" sheetId="5" r:id="rId2"/>
    <sheet name="PT_ByAgent" sheetId="7" r:id="rId3"/>
    <sheet name="PT_ByCity" sheetId="8" r:id="rId4"/>
    <sheet name="PT_ByChannel" sheetId="9" r:id="rId5"/>
    <sheet name="PT_ByCategory" sheetId="10" r:id="rId6"/>
    <sheet name="PT_ByPriority" sheetId="11" r:id="rId7"/>
    <sheet name="PT_CategoryPriority" sheetId="13" r:id="rId8"/>
    <sheet name="Working_Data" sheetId="2" r:id="rId9"/>
    <sheet name="Analysis_Notes" sheetId="12" r:id="rId10"/>
    <sheet name="Operational_Tracker" sheetId="14" r:id="rId11"/>
    <sheet name="Metrics" sheetId="3" r:id="rId12"/>
    <sheet name="KPI_Summary" sheetId="4" r:id="rId13"/>
  </sheets>
  <definedNames>
    <definedName name="_xlnm._FilterDatabase" localSheetId="0" hidden="1">Raw_Tickets_Data!$A$1:$N$1</definedName>
    <definedName name="_xlnm._FilterDatabase" localSheetId="8" hidden="1">Working_Data!$A$1:$P$3201</definedName>
  </definedNames>
  <calcPr calcId="152511"/>
  <pivotCaches>
    <pivotCache cacheId="30" r:id="rId14"/>
    <pivotCache cacheId="25" r:id="rId15"/>
  </pivotCaches>
</workbook>
</file>

<file path=xl/calcChain.xml><?xml version="1.0" encoding="utf-8"?>
<calcChain xmlns="http://schemas.openxmlformats.org/spreadsheetml/2006/main">
  <c r="E3" i="14" l="1"/>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 i="14"/>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2" i="2"/>
  <c r="D4" i="4"/>
  <c r="C4" i="4"/>
  <c r="B4" i="4"/>
  <c r="D3" i="4"/>
  <c r="C3" i="4"/>
  <c r="B3" i="4"/>
  <c r="D2" i="4"/>
  <c r="C2" i="4"/>
  <c r="B2" i="4"/>
  <c r="B8" i="3"/>
  <c r="B7" i="3"/>
  <c r="B6" i="3"/>
  <c r="B5" i="3"/>
  <c r="B4" i="3"/>
  <c r="B3" i="3"/>
  <c r="B2" i="3"/>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2" i="2"/>
</calcChain>
</file>

<file path=xl/sharedStrings.xml><?xml version="1.0" encoding="utf-8"?>
<sst xmlns="http://schemas.openxmlformats.org/spreadsheetml/2006/main" count="70786" uniqueCount="8644">
  <si>
    <t>Ticket_ID</t>
  </si>
  <si>
    <t>Date_Opened</t>
  </si>
  <si>
    <t>Team</t>
  </si>
  <si>
    <t>Agent_Assigned</t>
  </si>
  <si>
    <t>City</t>
  </si>
  <si>
    <t>Channel</t>
  </si>
  <si>
    <t>Category</t>
  </si>
  <si>
    <t>Priority</t>
  </si>
  <si>
    <t>SLA_Target_Hours</t>
  </si>
  <si>
    <t>Status</t>
  </si>
  <si>
    <t>Date_Resolved</t>
  </si>
  <si>
    <t>Escalated</t>
  </si>
  <si>
    <t>CSAT_Score</t>
  </si>
  <si>
    <t>Notes</t>
  </si>
  <si>
    <t>TCK-21324</t>
  </si>
  <si>
    <t>11/07/2026 20:33</t>
  </si>
  <si>
    <t>Billing Support</t>
  </si>
  <si>
    <t>Rehan Qureshi</t>
  </si>
  <si>
    <t>Lahore</t>
  </si>
  <si>
    <t>EMAIL</t>
  </si>
  <si>
    <t>general inquiry</t>
  </si>
  <si>
    <t>Medium</t>
  </si>
  <si>
    <t>resolved</t>
  </si>
  <si>
    <t>11/07/2026 21:20</t>
  </si>
  <si>
    <t>No</t>
  </si>
  <si>
    <t>Required follow-up call</t>
  </si>
  <si>
    <t>TCK-20385</t>
  </si>
  <si>
    <t>16/04/2026 15:15</t>
  </si>
  <si>
    <t>Tier 1 Support</t>
  </si>
  <si>
    <t xml:space="preserve">  Zara Hussain  </t>
  </si>
  <si>
    <t>Email</t>
  </si>
  <si>
    <t>Technical Issue</t>
  </si>
  <si>
    <t>Low</t>
  </si>
  <si>
    <t>open</t>
  </si>
  <si>
    <t>Escalated to senior agent</t>
  </si>
  <si>
    <t>TCK-21872</t>
  </si>
  <si>
    <t>20/04/2026 10:52</t>
  </si>
  <si>
    <t>Zara Hussain</t>
  </si>
  <si>
    <t>Karachi</t>
  </si>
  <si>
    <t>chat</t>
  </si>
  <si>
    <t>billing issue</t>
  </si>
  <si>
    <t>Resolvd</t>
  </si>
  <si>
    <t>20/04/2026 18:31</t>
  </si>
  <si>
    <t>Resolved on first contact</t>
  </si>
  <si>
    <t>TCK-20146</t>
  </si>
  <si>
    <t>11/06/2026 19:08</t>
  </si>
  <si>
    <t>Peshawar</t>
  </si>
  <si>
    <t>portal</t>
  </si>
  <si>
    <t>closed</t>
  </si>
  <si>
    <t>12/06/2026 22:25</t>
  </si>
  <si>
    <t>Technical issue resolved remotely</t>
  </si>
  <si>
    <t>TCK-21894</t>
  </si>
  <si>
    <t>18/06/2026 23:02</t>
  </si>
  <si>
    <t>Tier 2 Support</t>
  </si>
  <si>
    <t>Mahnoor Aslam</t>
  </si>
  <si>
    <t>Portal</t>
  </si>
  <si>
    <t>Re-opened</t>
  </si>
  <si>
    <t>24/06/2026 21:51</t>
  </si>
  <si>
    <t>Customer satisfied with resolution</t>
  </si>
  <si>
    <t>TCK-21895</t>
  </si>
  <si>
    <t>13/05/2026 12:41</t>
  </si>
  <si>
    <t>Bilal Chaudhry</t>
  </si>
  <si>
    <t>Live Chat</t>
  </si>
  <si>
    <t>15/05/2026 05:27</t>
  </si>
  <si>
    <t>Repeat issue from same customer</t>
  </si>
  <si>
    <t>TCK-20861</t>
  </si>
  <si>
    <t>24/05/2026 03:57</t>
  </si>
  <si>
    <t>Technical Support</t>
  </si>
  <si>
    <t>Iqra Basit</t>
  </si>
  <si>
    <t>phone</t>
  </si>
  <si>
    <t>technical issue</t>
  </si>
  <si>
    <t>25/05/2026 09:12</t>
  </si>
  <si>
    <t>TCK-22644</t>
  </si>
  <si>
    <t>18/03/2026 23:31</t>
  </si>
  <si>
    <t>High</t>
  </si>
  <si>
    <t>Closed</t>
  </si>
  <si>
    <t>19/03/2026 03:11</t>
  </si>
  <si>
    <t>TCK-23174</t>
  </si>
  <si>
    <t>08/02/2026 09:40</t>
  </si>
  <si>
    <t>Islamabad</t>
  </si>
  <si>
    <t>Critical</t>
  </si>
  <si>
    <t>08/02/2026 12:58</t>
  </si>
  <si>
    <t>TCK-22892</t>
  </si>
  <si>
    <t>17/05/2026 10:11</t>
  </si>
  <si>
    <t>Sadia Anwar</t>
  </si>
  <si>
    <t>Faisalabad</t>
  </si>
  <si>
    <t>17/05/2026 16:51</t>
  </si>
  <si>
    <t>TCK-22430</t>
  </si>
  <si>
    <t>03/06/2026 17:25</t>
  </si>
  <si>
    <t xml:space="preserve">  Talha Nadeem  </t>
  </si>
  <si>
    <t>Multan</t>
  </si>
  <si>
    <t>ACCOUNT ACCESS</t>
  </si>
  <si>
    <t>Yes</t>
  </si>
  <si>
    <t>TCK-22748</t>
  </si>
  <si>
    <t>27/02/2026 19:17</t>
  </si>
  <si>
    <t>Talha Nadeem</t>
  </si>
  <si>
    <t>Chat</t>
  </si>
  <si>
    <t>delivery delay</t>
  </si>
  <si>
    <t>TCK-21997</t>
  </si>
  <si>
    <t>07/01/2026 17:20</t>
  </si>
  <si>
    <t>Ayaan Khalid</t>
  </si>
  <si>
    <t>Delivery Delay</t>
  </si>
  <si>
    <t>07/01/2026 18:59</t>
  </si>
  <si>
    <t>TCK-21076</t>
  </si>
  <si>
    <t>10/02/2026 22:38</t>
  </si>
  <si>
    <t>GENERAL INQUIRY</t>
  </si>
  <si>
    <t>Resolved</t>
  </si>
  <si>
    <t>11/02/2026 02:05</t>
  </si>
  <si>
    <t>TCK-21836</t>
  </si>
  <si>
    <t>28/06/2026 15:46</t>
  </si>
  <si>
    <t>Refund Request</t>
  </si>
  <si>
    <t>TCK-20694</t>
  </si>
  <si>
    <t>11/04/2026 16:39</t>
  </si>
  <si>
    <t>Phone</t>
  </si>
  <si>
    <t>11/04/2026 17:13</t>
  </si>
  <si>
    <t>TCK-21727</t>
  </si>
  <si>
    <t>20/06/2026 02:24</t>
  </si>
  <si>
    <t>InProgress</t>
  </si>
  <si>
    <t>Awaiting customer response</t>
  </si>
  <si>
    <t>TCK-22363</t>
  </si>
  <si>
    <t>09/07/2026 12:04</t>
  </si>
  <si>
    <t>refund request</t>
  </si>
  <si>
    <t>09/07/2026 13:07</t>
  </si>
  <si>
    <t>TCK-21516</t>
  </si>
  <si>
    <t>26/03/2026 14:31</t>
  </si>
  <si>
    <t>PHONE</t>
  </si>
  <si>
    <t>Delivery  Delay</t>
  </si>
  <si>
    <t>27/03/2026 08:42</t>
  </si>
  <si>
    <t>Customer requested refund</t>
  </si>
  <si>
    <t>TCK-21810</t>
  </si>
  <si>
    <t>11/06/2026 07:46</t>
  </si>
  <si>
    <t>Web Portal</t>
  </si>
  <si>
    <t>13/06/2026 09:04</t>
  </si>
  <si>
    <t>TCK-20701</t>
  </si>
  <si>
    <t>19/01/2026 10:18</t>
  </si>
  <si>
    <t>BILLING ISSUE</t>
  </si>
  <si>
    <t>22/01/2026 09:44</t>
  </si>
  <si>
    <t>TCK-21274</t>
  </si>
  <si>
    <t>03/07/2026 16:18</t>
  </si>
  <si>
    <t>account access</t>
  </si>
  <si>
    <t>03/07/2026 23:20</t>
  </si>
  <si>
    <t>TCK-21771</t>
  </si>
  <si>
    <t>19/06/2026 06:46</t>
  </si>
  <si>
    <t>email</t>
  </si>
  <si>
    <t>Tech Issue</t>
  </si>
  <si>
    <t>OPEN</t>
  </si>
  <si>
    <t>TCK-20578</t>
  </si>
  <si>
    <t>10/04/2026 21:02</t>
  </si>
  <si>
    <t>Rawalpindi</t>
  </si>
  <si>
    <t>In Progress</t>
  </si>
  <si>
    <t>TCK-21957</t>
  </si>
  <si>
    <t>13/06/2026 10:28</t>
  </si>
  <si>
    <t>13/06/2026 13:24</t>
  </si>
  <si>
    <t>TCK-23150</t>
  </si>
  <si>
    <t>29/08/2026 16:39</t>
  </si>
  <si>
    <t>in progress</t>
  </si>
  <si>
    <t>TCK-21907</t>
  </si>
  <si>
    <t>14/08/2026 20:10</t>
  </si>
  <si>
    <t>Refund  Request</t>
  </si>
  <si>
    <t>15/08/2026 17:20</t>
  </si>
  <si>
    <t>TCK-20794</t>
  </si>
  <si>
    <t>12/05/2026 20:17</t>
  </si>
  <si>
    <t xml:space="preserve">  Mahnoor Aslam  </t>
  </si>
  <si>
    <t>TCK-20075</t>
  </si>
  <si>
    <t>30/08/2026 15:37</t>
  </si>
  <si>
    <t>31/08/2026 09:53</t>
  </si>
  <si>
    <t>TCK-23081</t>
  </si>
  <si>
    <t>03/08/2026 04:49</t>
  </si>
  <si>
    <t>03/08/2026 07:37</t>
  </si>
  <si>
    <t>TCK-21231</t>
  </si>
  <si>
    <t>24/08/2026 22:45</t>
  </si>
  <si>
    <t>27/08/2026 06:00</t>
  </si>
  <si>
    <t>TCK-22702</t>
  </si>
  <si>
    <t>09/07/2026 07:18</t>
  </si>
  <si>
    <t>09/07/2026 19:03</t>
  </si>
  <si>
    <t>TCK-22931</t>
  </si>
  <si>
    <t>19/04/2026 12:38</t>
  </si>
  <si>
    <t>TCK-21721</t>
  </si>
  <si>
    <t>07/08/2026 16:42</t>
  </si>
  <si>
    <t>Billing Issue</t>
  </si>
  <si>
    <t>09/08/2026 09:55</t>
  </si>
  <si>
    <t>TCK-20492</t>
  </si>
  <si>
    <t>04/02/2026 03:25</t>
  </si>
  <si>
    <t>Account Access</t>
  </si>
  <si>
    <t>04/02/2026 05:35</t>
  </si>
  <si>
    <t>TCK-21757</t>
  </si>
  <si>
    <t>21/01/2026 18:20</t>
  </si>
  <si>
    <t>CLOSED</t>
  </si>
  <si>
    <t>21/01/2026 21:03</t>
  </si>
  <si>
    <t>TCK-20017</t>
  </si>
  <si>
    <t>06/02/2026 09:53</t>
  </si>
  <si>
    <t>reopened</t>
  </si>
  <si>
    <t>TCK-22401</t>
  </si>
  <si>
    <t>06/06/2026 01:56</t>
  </si>
  <si>
    <t>06/06/2026 07:22</t>
  </si>
  <si>
    <t>TCK-21540</t>
  </si>
  <si>
    <t>22/08/2026 15:21</t>
  </si>
  <si>
    <t>23/08/2026 11:34</t>
  </si>
  <si>
    <t>TCK-22329</t>
  </si>
  <si>
    <t>23/08/2026 19:12</t>
  </si>
  <si>
    <t>ESCALATED</t>
  </si>
  <si>
    <t>TCK-21158</t>
  </si>
  <si>
    <t>22/06/2026 16:32</t>
  </si>
  <si>
    <t>25/06/2026 01:19</t>
  </si>
  <si>
    <t>TCK-21155</t>
  </si>
  <si>
    <t>05/03/2026 10:02</t>
  </si>
  <si>
    <t>TCK-22992</t>
  </si>
  <si>
    <t>22/05/2026 15:45</t>
  </si>
  <si>
    <t>23/05/2026 10:55</t>
  </si>
  <si>
    <t>TCK-22650</t>
  </si>
  <si>
    <t>07/05/2026 05:25</t>
  </si>
  <si>
    <t>General Inquiry</t>
  </si>
  <si>
    <t>07/05/2026 11:59</t>
  </si>
  <si>
    <t>TCK-20156</t>
  </si>
  <si>
    <t>23/01/2026 11:58</t>
  </si>
  <si>
    <t>TCK-20299</t>
  </si>
  <si>
    <t>18/03/2026 14:47</t>
  </si>
  <si>
    <t>19/03/2026 10:51</t>
  </si>
  <si>
    <t>TCK-22183</t>
  </si>
  <si>
    <t>05/03/2026 06:37</t>
  </si>
  <si>
    <t xml:space="preserve">  Ayaan Khalid  </t>
  </si>
  <si>
    <t>06/03/2026 18:45</t>
  </si>
  <si>
    <t>TCK-20220</t>
  </si>
  <si>
    <t>17/08/2026 04:35</t>
  </si>
  <si>
    <t>17/08/2026 06:37</t>
  </si>
  <si>
    <t>TCK-21063</t>
  </si>
  <si>
    <t>15/06/2026 16:20</t>
  </si>
  <si>
    <t>16/06/2026 02:28</t>
  </si>
  <si>
    <t>TCK-20730</t>
  </si>
  <si>
    <t>11/05/2026 18:16</t>
  </si>
  <si>
    <t>TCK-20666</t>
  </si>
  <si>
    <t>26/06/2026 02:48</t>
  </si>
  <si>
    <t>escalated</t>
  </si>
  <si>
    <t>TCK-22108</t>
  </si>
  <si>
    <t>14/08/2026 17:14</t>
  </si>
  <si>
    <t>20/08/2026 11:48</t>
  </si>
  <si>
    <t>TCK-21363</t>
  </si>
  <si>
    <t>21/08/2026 19:55</t>
  </si>
  <si>
    <t>TCK-20259</t>
  </si>
  <si>
    <t>20/04/2026 18:07</t>
  </si>
  <si>
    <t xml:space="preserve">  Sadia Anwar  </t>
  </si>
  <si>
    <t>21/04/2026 06:04</t>
  </si>
  <si>
    <t>TCK-22524</t>
  </si>
  <si>
    <t>17/04/2026 05:18</t>
  </si>
  <si>
    <t>22/04/2026 20:45</t>
  </si>
  <si>
    <t>TCK-21355</t>
  </si>
  <si>
    <t>17/05/2026 04:14</t>
  </si>
  <si>
    <t>17/05/2026 20:18</t>
  </si>
  <si>
    <t>TCK-20032</t>
  </si>
  <si>
    <t>28/06/2026 23:33</t>
  </si>
  <si>
    <t>29/06/2026 06:54</t>
  </si>
  <si>
    <t>TCK-20258</t>
  </si>
  <si>
    <t>17/07/2026 13:28</t>
  </si>
  <si>
    <t>19/07/2026 08:11</t>
  </si>
  <si>
    <t>TCK-21589</t>
  </si>
  <si>
    <t>18/03/2026 13:33</t>
  </si>
  <si>
    <t>19/03/2026 09:40</t>
  </si>
  <si>
    <t>TCK-22688</t>
  </si>
  <si>
    <t>25/01/2026 08:01</t>
  </si>
  <si>
    <t>27/01/2026 02:58</t>
  </si>
  <si>
    <t>TCK-21585</t>
  </si>
  <si>
    <t>12/05/2026 13:37</t>
  </si>
  <si>
    <t>12/05/2026 20:47</t>
  </si>
  <si>
    <t>TCK-21915</t>
  </si>
  <si>
    <t>25/07/2026 00:16</t>
  </si>
  <si>
    <t>TCK-22801</t>
  </si>
  <si>
    <t>18/01/2026 17:29</t>
  </si>
  <si>
    <t>19/01/2026 22:57</t>
  </si>
  <si>
    <t>TCK-20702</t>
  </si>
  <si>
    <t>06/02/2026 02:42</t>
  </si>
  <si>
    <t>06/02/2026 19:25</t>
  </si>
  <si>
    <t>TCK-21904</t>
  </si>
  <si>
    <t>22/01/2026 20:55</t>
  </si>
  <si>
    <t>23/01/2026 06:25</t>
  </si>
  <si>
    <t>TCK-21243</t>
  </si>
  <si>
    <t>29/01/2026 09:26</t>
  </si>
  <si>
    <t>31/01/2026 03:36</t>
  </si>
  <si>
    <t>TCK-21663</t>
  </si>
  <si>
    <t>01/03/2026 11:10</t>
  </si>
  <si>
    <t>01/03/2026 21:43</t>
  </si>
  <si>
    <t>TCK-21581</t>
  </si>
  <si>
    <t>04/08/2026 05:33</t>
  </si>
  <si>
    <t>TCK-20188</t>
  </si>
  <si>
    <t>06/06/2026 14:44</t>
  </si>
  <si>
    <t>06/06/2026 18:27</t>
  </si>
  <si>
    <t>TCK-20601</t>
  </si>
  <si>
    <t>22/01/2026 02:30</t>
  </si>
  <si>
    <t>Open</t>
  </si>
  <si>
    <t>TCK-21846</t>
  </si>
  <si>
    <t>17/01/2026 03:45</t>
  </si>
  <si>
    <t>TCK-21269</t>
  </si>
  <si>
    <t>02/05/2026 15:51</t>
  </si>
  <si>
    <t>05/05/2026 13:57</t>
  </si>
  <si>
    <t>TCK-21942</t>
  </si>
  <si>
    <t>21/05/2026 14:47</t>
  </si>
  <si>
    <t>TCK-20297</t>
  </si>
  <si>
    <t>18/07/2026 05:10</t>
  </si>
  <si>
    <t>19/07/2026 19:03</t>
  </si>
  <si>
    <t>TCK-21917</t>
  </si>
  <si>
    <t>02/03/2026 22:17</t>
  </si>
  <si>
    <t>05/03/2026 02:15</t>
  </si>
  <si>
    <t>TCK-20028</t>
  </si>
  <si>
    <t>24/05/2026 09:14</t>
  </si>
  <si>
    <t>25/05/2026 06:45</t>
  </si>
  <si>
    <t>TCK-22736</t>
  </si>
  <si>
    <t>10/02/2026 11:17</t>
  </si>
  <si>
    <t>11/02/2026 00:39</t>
  </si>
  <si>
    <t>TCK-21972</t>
  </si>
  <si>
    <t>12/07/2026 10:46</t>
  </si>
  <si>
    <t>12/07/2026 12:20</t>
  </si>
  <si>
    <t>TCK-20494</t>
  </si>
  <si>
    <t>12/06/2026 01:11</t>
  </si>
  <si>
    <t>TCK-22468</t>
  </si>
  <si>
    <t>27/03/2026 19:26</t>
  </si>
  <si>
    <t>27/03/2026 20:58</t>
  </si>
  <si>
    <t>TCK-20324</t>
  </si>
  <si>
    <t>01/04/2026 22:54</t>
  </si>
  <si>
    <t>02/04/2026 09:38</t>
  </si>
  <si>
    <t>TCK-20960</t>
  </si>
  <si>
    <t>28/08/2026 13:01</t>
  </si>
  <si>
    <t>30/08/2026 01:11</t>
  </si>
  <si>
    <t>TCK-23051</t>
  </si>
  <si>
    <t>26/08/2026 23:29</t>
  </si>
  <si>
    <t>TCK-21759</t>
  </si>
  <si>
    <t>21/05/2026 17:42</t>
  </si>
  <si>
    <t>22/05/2026 11:09</t>
  </si>
  <si>
    <t>TCK-20412</t>
  </si>
  <si>
    <t>11/05/2026 04:37</t>
  </si>
  <si>
    <t>12/05/2026 12:27</t>
  </si>
  <si>
    <t>TCK-21290</t>
  </si>
  <si>
    <t>31/01/2026 22:36</t>
  </si>
  <si>
    <t>01/02/2026 05:53</t>
  </si>
  <si>
    <t>TCK-22608</t>
  </si>
  <si>
    <t>06/06/2026 04:59</t>
  </si>
  <si>
    <t>TCK-22941</t>
  </si>
  <si>
    <t>28/06/2026 13:46</t>
  </si>
  <si>
    <t>TCK-21910</t>
  </si>
  <si>
    <t>21/02/2026 12:03</t>
  </si>
  <si>
    <t>21/02/2026 16:19</t>
  </si>
  <si>
    <t>TCK-21175</t>
  </si>
  <si>
    <t>02/02/2026 21:56</t>
  </si>
  <si>
    <t>TCK-22414</t>
  </si>
  <si>
    <t>20/03/2026 10:16</t>
  </si>
  <si>
    <t>21/03/2026 06:31</t>
  </si>
  <si>
    <t>TCK-20128</t>
  </si>
  <si>
    <t>06/03/2026 16:51</t>
  </si>
  <si>
    <t>12/03/2026 09:24</t>
  </si>
  <si>
    <t>TCK-20760</t>
  </si>
  <si>
    <t>27/05/2026 02:38</t>
  </si>
  <si>
    <t>27/05/2026 05:29</t>
  </si>
  <si>
    <t>TCK-21030</t>
  </si>
  <si>
    <t>09/06/2026 16:14</t>
  </si>
  <si>
    <t>09/06/2026 23:09</t>
  </si>
  <si>
    <t>TCK-21746</t>
  </si>
  <si>
    <t>13/02/2026 10:07</t>
  </si>
  <si>
    <t>13/02/2026 13:50</t>
  </si>
  <si>
    <t>TCK-21513</t>
  </si>
  <si>
    <t>15/02/2026 17:50</t>
  </si>
  <si>
    <t>17/02/2026 06:58</t>
  </si>
  <si>
    <t>TCK-20261</t>
  </si>
  <si>
    <t>22/01/2026 15:49</t>
  </si>
  <si>
    <t>TCK-21176</t>
  </si>
  <si>
    <t>13/08/2026 01:03</t>
  </si>
  <si>
    <t>TCK-21999</t>
  </si>
  <si>
    <t>12/06/2026 22:21</t>
  </si>
  <si>
    <t>13/06/2026 17:34</t>
  </si>
  <si>
    <t>TCK-20389</t>
  </si>
  <si>
    <t>25/01/2026 14:13</t>
  </si>
  <si>
    <t>25/01/2026 17:36</t>
  </si>
  <si>
    <t>TCK-22553</t>
  </si>
  <si>
    <t>16/04/2026 16:06</t>
  </si>
  <si>
    <t>TCK-20728</t>
  </si>
  <si>
    <t>23/03/2026 05:36</t>
  </si>
  <si>
    <t>23/03/2026 06:37</t>
  </si>
  <si>
    <t>TCK-21321</t>
  </si>
  <si>
    <t>27/04/2026 13:02</t>
  </si>
  <si>
    <t>TCK-22271</t>
  </si>
  <si>
    <t>28/02/2026 19:13</t>
  </si>
  <si>
    <t>TCK-21127</t>
  </si>
  <si>
    <t>23/05/2026 12:04</t>
  </si>
  <si>
    <t>TCK-21173</t>
  </si>
  <si>
    <t>19/04/2026 12:49</t>
  </si>
  <si>
    <t>TCK-20149</t>
  </si>
  <si>
    <t>30/08/2026 01:08</t>
  </si>
  <si>
    <t>30/08/2026 03:51</t>
  </si>
  <si>
    <t>TCK-20084</t>
  </si>
  <si>
    <t>24/08/2026 07:13</t>
  </si>
  <si>
    <t>TCK-23093</t>
  </si>
  <si>
    <t>02/04/2026 06:08</t>
  </si>
  <si>
    <t>TCK-20736</t>
  </si>
  <si>
    <t>14/04/2026 17:00</t>
  </si>
  <si>
    <t>15/04/2026 12:10</t>
  </si>
  <si>
    <t>TCK-21001</t>
  </si>
  <si>
    <t>29/05/2026 12:59</t>
  </si>
  <si>
    <t>29/05/2026 18:28</t>
  </si>
  <si>
    <t>TCK-21726</t>
  </si>
  <si>
    <t>05/06/2026 16:37</t>
  </si>
  <si>
    <t>TCK-22683</t>
  </si>
  <si>
    <t>24/03/2026 07:49</t>
  </si>
  <si>
    <t>TCK-21028</t>
  </si>
  <si>
    <t>23/07/2026 01:26</t>
  </si>
  <si>
    <t>23/07/2026 15:11</t>
  </si>
  <si>
    <t>TCK-22114</t>
  </si>
  <si>
    <t>10/05/2026 07:29</t>
  </si>
  <si>
    <t>TCK-20576</t>
  </si>
  <si>
    <t>01/06/2026 11:39</t>
  </si>
  <si>
    <t>02/06/2026 04:43</t>
  </si>
  <si>
    <t>TCK-20114</t>
  </si>
  <si>
    <t>12/08/2026 21:48</t>
  </si>
  <si>
    <t>13/08/2026 11:47</t>
  </si>
  <si>
    <t>TCK-21138</t>
  </si>
  <si>
    <t>16/04/2026 17:24</t>
  </si>
  <si>
    <t>TCK-21838</t>
  </si>
  <si>
    <t>18/05/2026 01:50</t>
  </si>
  <si>
    <t>19/05/2026 06:05</t>
  </si>
  <si>
    <t>TCK-22549</t>
  </si>
  <si>
    <t>10/03/2026 16:41</t>
  </si>
  <si>
    <t>10/03/2026 19:38</t>
  </si>
  <si>
    <t>TCK-21418</t>
  </si>
  <si>
    <t>04/08/2026 05:45</t>
  </si>
  <si>
    <t>04/08/2026 07:56</t>
  </si>
  <si>
    <t>TCK-20243</t>
  </si>
  <si>
    <t>18/07/2026 09:46</t>
  </si>
  <si>
    <t>20/07/2026 02:45</t>
  </si>
  <si>
    <t>TCK-20298</t>
  </si>
  <si>
    <t>19/08/2026 03:38</t>
  </si>
  <si>
    <t>TCK-22348</t>
  </si>
  <si>
    <t>13/08/2026 07:38</t>
  </si>
  <si>
    <t>TCK-20986</t>
  </si>
  <si>
    <t>17/04/2026 12:45</t>
  </si>
  <si>
    <t>19/04/2026 22:11</t>
  </si>
  <si>
    <t>TCK-20688</t>
  </si>
  <si>
    <t>06/05/2026 07:40</t>
  </si>
  <si>
    <t>06/05/2026 13:23</t>
  </si>
  <si>
    <t>TCK-20968</t>
  </si>
  <si>
    <t>08/07/2026 02:16</t>
  </si>
  <si>
    <t>TCK-21925</t>
  </si>
  <si>
    <t>24/08/2026 11:27</t>
  </si>
  <si>
    <t>24/08/2026 22:28</t>
  </si>
  <si>
    <t>TCK-22023</t>
  </si>
  <si>
    <t>17/06/2026 15:50</t>
  </si>
  <si>
    <t>TCK-23019</t>
  </si>
  <si>
    <t>20/08/2026 01:27</t>
  </si>
  <si>
    <t>21/08/2026 18:13</t>
  </si>
  <si>
    <t>TCK-20204</t>
  </si>
  <si>
    <t>30/03/2026 11:34</t>
  </si>
  <si>
    <t>31/03/2026 06:00</t>
  </si>
  <si>
    <t>TCK-21022</t>
  </si>
  <si>
    <t>02/03/2026 16:17</t>
  </si>
  <si>
    <t>02/03/2026 21:53</t>
  </si>
  <si>
    <t>TCK-20809</t>
  </si>
  <si>
    <t>22/06/2026 01:06</t>
  </si>
  <si>
    <t>22/06/2026 01:53</t>
  </si>
  <si>
    <t>TCK-22013</t>
  </si>
  <si>
    <t>20/06/2026 16:26</t>
  </si>
  <si>
    <t>20/06/2026 22:19</t>
  </si>
  <si>
    <t>TCK-20550</t>
  </si>
  <si>
    <t>15/02/2026 12:02</t>
  </si>
  <si>
    <t>16/02/2026 22:45</t>
  </si>
  <si>
    <t>TCK-20307</t>
  </si>
  <si>
    <t>26/08/2026 16:31</t>
  </si>
  <si>
    <t>TCK-21556</t>
  </si>
  <si>
    <t>26/05/2026 23:16</t>
  </si>
  <si>
    <t>TCK-20334</t>
  </si>
  <si>
    <t>25/03/2026 17:17</t>
  </si>
  <si>
    <t>25/03/2026 18:16</t>
  </si>
  <si>
    <t>TCK-20202</t>
  </si>
  <si>
    <t>13/08/2026 06:39</t>
  </si>
  <si>
    <t>TCK-20481</t>
  </si>
  <si>
    <t>05/07/2026 22:41</t>
  </si>
  <si>
    <t>06/07/2026 03:56</t>
  </si>
  <si>
    <t>TCK-20443</t>
  </si>
  <si>
    <t>19/01/2026 06:01</t>
  </si>
  <si>
    <t>TCK-23036</t>
  </si>
  <si>
    <t>20/02/2026 05:30</t>
  </si>
  <si>
    <t>20/02/2026 23:00</t>
  </si>
  <si>
    <t>TCK-22899</t>
  </si>
  <si>
    <t>22/02/2026 09:54</t>
  </si>
  <si>
    <t>22/02/2026 15:51</t>
  </si>
  <si>
    <t>TCK-20437</t>
  </si>
  <si>
    <t>18/05/2026 22:01</t>
  </si>
  <si>
    <t>19/05/2026 13:01</t>
  </si>
  <si>
    <t>TCK-21778</t>
  </si>
  <si>
    <t>20/01/2026 15:03</t>
  </si>
  <si>
    <t>TCK-23164</t>
  </si>
  <si>
    <t>29/01/2026 08:04</t>
  </si>
  <si>
    <t>Reopened</t>
  </si>
  <si>
    <t>29/01/2026 17:46</t>
  </si>
  <si>
    <t>TCK-20614</t>
  </si>
  <si>
    <t>27/03/2026 21:36</t>
  </si>
  <si>
    <t>28/03/2026 02:53</t>
  </si>
  <si>
    <t>TCK-21154</t>
  </si>
  <si>
    <t>24/03/2026 04:12</t>
  </si>
  <si>
    <t>24/03/2026 15:27</t>
  </si>
  <si>
    <t>TCK-21223</t>
  </si>
  <si>
    <t>02/06/2026 09:46</t>
  </si>
  <si>
    <t>03/06/2026 06:07</t>
  </si>
  <si>
    <t>TCK-22484</t>
  </si>
  <si>
    <t>09/02/2026 16:24</t>
  </si>
  <si>
    <t>TCK-22032</t>
  </si>
  <si>
    <t>20/04/2026 21:57</t>
  </si>
  <si>
    <t>TCK-20912</t>
  </si>
  <si>
    <t>10/02/2026 15:16</t>
  </si>
  <si>
    <t>11/02/2026 00:26</t>
  </si>
  <si>
    <t>TCK-21304</t>
  </si>
  <si>
    <t>07/07/2026 13:12</t>
  </si>
  <si>
    <t>TCK-23026</t>
  </si>
  <si>
    <t>10/07/2026 01:14</t>
  </si>
  <si>
    <t>10/07/2026 16:23</t>
  </si>
  <si>
    <t>TCK-21012</t>
  </si>
  <si>
    <t>23/06/2026 06:22</t>
  </si>
  <si>
    <t>TCK-21162</t>
  </si>
  <si>
    <t>18/04/2026 08:49</t>
  </si>
  <si>
    <t>18/04/2026 13:43</t>
  </si>
  <si>
    <t>TCK-20157</t>
  </si>
  <si>
    <t>26/04/2026 12:10</t>
  </si>
  <si>
    <t>28/04/2026 01:33</t>
  </si>
  <si>
    <t>TCK-21983</t>
  </si>
  <si>
    <t>16/06/2026 06:39</t>
  </si>
  <si>
    <t>16/06/2026 11:09</t>
  </si>
  <si>
    <t>TCK-22578</t>
  </si>
  <si>
    <t>25/03/2026 22:42</t>
  </si>
  <si>
    <t>26/03/2026 01:25</t>
  </si>
  <si>
    <t>TCK-21470</t>
  </si>
  <si>
    <t>06/05/2026 11:48</t>
  </si>
  <si>
    <t>06/05/2026 19:14</t>
  </si>
  <si>
    <t>TCK-20348</t>
  </si>
  <si>
    <t>17/03/2026 19:26</t>
  </si>
  <si>
    <t>18/03/2026 07:01</t>
  </si>
  <si>
    <t>TCK-22180</t>
  </si>
  <si>
    <t>01/05/2026 11:33</t>
  </si>
  <si>
    <t>02/05/2026 04:25</t>
  </si>
  <si>
    <t>TCK-22160</t>
  </si>
  <si>
    <t>05/02/2026 16:23</t>
  </si>
  <si>
    <t>05/02/2026 22:02</t>
  </si>
  <si>
    <t>TCK-21494</t>
  </si>
  <si>
    <t>28/08/2026 21:23</t>
  </si>
  <si>
    <t>29/08/2026 06:34</t>
  </si>
  <si>
    <t>TCK-20268</t>
  </si>
  <si>
    <t>03/06/2026 04:39</t>
  </si>
  <si>
    <t>03/06/2026 21:18</t>
  </si>
  <si>
    <t>TCK-21862</t>
  </si>
  <si>
    <t>20/06/2026 04:00</t>
  </si>
  <si>
    <t>21/06/2026 00:36</t>
  </si>
  <si>
    <t>TCK-21432</t>
  </si>
  <si>
    <t>05/03/2026 22:04</t>
  </si>
  <si>
    <t>TCK-21058</t>
  </si>
  <si>
    <t>18/01/2026 22:18</t>
  </si>
  <si>
    <t>19/01/2026 00:20</t>
  </si>
  <si>
    <t>TCK-20219</t>
  </si>
  <si>
    <t>31/03/2026 03:33</t>
  </si>
  <si>
    <t>31/03/2026 05:57</t>
  </si>
  <si>
    <t>TCK-23180</t>
  </si>
  <si>
    <t>08/04/2026 23:43</t>
  </si>
  <si>
    <t>10/04/2026 12:05</t>
  </si>
  <si>
    <t>TCK-22778</t>
  </si>
  <si>
    <t>05/02/2026 13:17</t>
  </si>
  <si>
    <t>05/02/2026 20:13</t>
  </si>
  <si>
    <t>TCK-21007</t>
  </si>
  <si>
    <t>30/08/2026 06:15</t>
  </si>
  <si>
    <t>30/08/2026 09:44</t>
  </si>
  <si>
    <t>TCK-22695</t>
  </si>
  <si>
    <t>29/06/2026 07:28</t>
  </si>
  <si>
    <t>TCK-23183</t>
  </si>
  <si>
    <t>11/02/2026 05:30</t>
  </si>
  <si>
    <t>13/02/2026 20:03</t>
  </si>
  <si>
    <t>TCK-22775</t>
  </si>
  <si>
    <t>08/08/2026 10:21</t>
  </si>
  <si>
    <t>TCK-20955</t>
  </si>
  <si>
    <t>07/01/2026 01:51</t>
  </si>
  <si>
    <t>08/01/2026 11:50</t>
  </si>
  <si>
    <t>TCK-20850</t>
  </si>
  <si>
    <t>29/01/2026 19:03</t>
  </si>
  <si>
    <t>30/01/2026 02:06</t>
  </si>
  <si>
    <t>TCK-22314</t>
  </si>
  <si>
    <t>08/07/2026 14:55</t>
  </si>
  <si>
    <t>09/07/2026 02:06</t>
  </si>
  <si>
    <t>TCK-22185</t>
  </si>
  <si>
    <t>01/04/2026 22:47</t>
  </si>
  <si>
    <t>02/04/2026 23:43</t>
  </si>
  <si>
    <t>TCK-20345</t>
  </si>
  <si>
    <t>18/01/2026 06:01</t>
  </si>
  <si>
    <t>18/01/2026 15:21</t>
  </si>
  <si>
    <t>TCK-21703</t>
  </si>
  <si>
    <t>22/01/2026 23:33</t>
  </si>
  <si>
    <t>23/01/2026 19:43</t>
  </si>
  <si>
    <t>TCK-20936</t>
  </si>
  <si>
    <t>24/02/2026 09:43</t>
  </si>
  <si>
    <t>28/02/2026 19:47</t>
  </si>
  <si>
    <t>TCK-21147</t>
  </si>
  <si>
    <t>02/06/2026 05:44</t>
  </si>
  <si>
    <t>TCK-20603</t>
  </si>
  <si>
    <t>06/01/2026 16:03</t>
  </si>
  <si>
    <t>TCK-22811</t>
  </si>
  <si>
    <t>14/06/2026 23:36</t>
  </si>
  <si>
    <t>15/06/2026 00:27</t>
  </si>
  <si>
    <t>TCK-22256</t>
  </si>
  <si>
    <t>31/05/2026 04:00</t>
  </si>
  <si>
    <t>31/05/2026 22:14</t>
  </si>
  <si>
    <t>TCK-21202</t>
  </si>
  <si>
    <t>30/05/2026 23:06</t>
  </si>
  <si>
    <t xml:space="preserve">  Iqra Basit  </t>
  </si>
  <si>
    <t>01/06/2026 04:24</t>
  </si>
  <si>
    <t>TCK-21954</t>
  </si>
  <si>
    <t>03/01/2026 08:14</t>
  </si>
  <si>
    <t>04/01/2026 05:40</t>
  </si>
  <si>
    <t>TCK-21543</t>
  </si>
  <si>
    <t>06/02/2026 18:06</t>
  </si>
  <si>
    <t>07/02/2026 00:16</t>
  </si>
  <si>
    <t>TCK-20592</t>
  </si>
  <si>
    <t>02/06/2026 13:19</t>
  </si>
  <si>
    <t>03/06/2026 09:04</t>
  </si>
  <si>
    <t>TCK-22814</t>
  </si>
  <si>
    <t>30/03/2026 19:34</t>
  </si>
  <si>
    <t>02/04/2026 00:00</t>
  </si>
  <si>
    <t>TCK-20459</t>
  </si>
  <si>
    <t>16/01/2026 21:54</t>
  </si>
  <si>
    <t>17/01/2026 02:07</t>
  </si>
  <si>
    <t>TCK-22679</t>
  </si>
  <si>
    <t>01/05/2026 16:19</t>
  </si>
  <si>
    <t>06/05/2026 09:34</t>
  </si>
  <si>
    <t>TCK-21481</t>
  </si>
  <si>
    <t>26/08/2026 21:02</t>
  </si>
  <si>
    <t>27/08/2026 08:16</t>
  </si>
  <si>
    <t>TCK-23077</t>
  </si>
  <si>
    <t>29/03/2026 23:33</t>
  </si>
  <si>
    <t>30/03/2026 03:47</t>
  </si>
  <si>
    <t>TCK-20763</t>
  </si>
  <si>
    <t>06/08/2026 20:59</t>
  </si>
  <si>
    <t>07/08/2026 02:13</t>
  </si>
  <si>
    <t>TCK-23096</t>
  </si>
  <si>
    <t>18/06/2026 19:38</t>
  </si>
  <si>
    <t>19/06/2026 14:43</t>
  </si>
  <si>
    <t>TCK-20724</t>
  </si>
  <si>
    <t>11/03/2026 18:35</t>
  </si>
  <si>
    <t>TCK-21293</t>
  </si>
  <si>
    <t>21/03/2026 18:43</t>
  </si>
  <si>
    <t>22/03/2026 03:41</t>
  </si>
  <si>
    <t>TCK-21825</t>
  </si>
  <si>
    <t>07/07/2026 05:19</t>
  </si>
  <si>
    <t>07/07/2026 09:20</t>
  </si>
  <si>
    <t>TCK-21008</t>
  </si>
  <si>
    <t>30/03/2026 18:40</t>
  </si>
  <si>
    <t>04/04/2026 04:31</t>
  </si>
  <si>
    <t>TCK-20427</t>
  </si>
  <si>
    <t>25/01/2026 17:01</t>
  </si>
  <si>
    <t>26/01/2026 04:07</t>
  </si>
  <si>
    <t>TCK-22591</t>
  </si>
  <si>
    <t>06/03/2026 14:27</t>
  </si>
  <si>
    <t>06/03/2026 18:01</t>
  </si>
  <si>
    <t>TCK-22436</t>
  </si>
  <si>
    <t>27/03/2026 11:13</t>
  </si>
  <si>
    <t>TCK-21980</t>
  </si>
  <si>
    <t>05/01/2026 18:50</t>
  </si>
  <si>
    <t>08/01/2026 18:21</t>
  </si>
  <si>
    <t>TCK-20772</t>
  </si>
  <si>
    <t>05/05/2026 05:30</t>
  </si>
  <si>
    <t>05/05/2026 10:07</t>
  </si>
  <si>
    <t>TCK-22731</t>
  </si>
  <si>
    <t>20/02/2026 23:14</t>
  </si>
  <si>
    <t>20/02/2026 23:44</t>
  </si>
  <si>
    <t>TCK-21083</t>
  </si>
  <si>
    <t>09/01/2026 20:54</t>
  </si>
  <si>
    <t>TCK-20529</t>
  </si>
  <si>
    <t>26/08/2026 04:58</t>
  </si>
  <si>
    <t>26/08/2026 11:58</t>
  </si>
  <si>
    <t>TCK-22817</t>
  </si>
  <si>
    <t>25/03/2026 10:14</t>
  </si>
  <si>
    <t>TCK-20423</t>
  </si>
  <si>
    <t>10/04/2026 00:06</t>
  </si>
  <si>
    <t>TCK-20830</t>
  </si>
  <si>
    <t>05/04/2026 21:31</t>
  </si>
  <si>
    <t>TCK-20168</t>
  </si>
  <si>
    <t>19/01/2026 15:27</t>
  </si>
  <si>
    <t>TCK-21677</t>
  </si>
  <si>
    <t>05/05/2026 13:22</t>
  </si>
  <si>
    <t>06/05/2026 06:55</t>
  </si>
  <si>
    <t>TCK-20682</t>
  </si>
  <si>
    <t>15/02/2026 07:07</t>
  </si>
  <si>
    <t>TCK-23079</t>
  </si>
  <si>
    <t>19/08/2026 08:50</t>
  </si>
  <si>
    <t>19/08/2026 12:58</t>
  </si>
  <si>
    <t>TCK-21711</t>
  </si>
  <si>
    <t>16/02/2026 10:07</t>
  </si>
  <si>
    <t>16/02/2026 13:15</t>
  </si>
  <si>
    <t>TCK-20464</t>
  </si>
  <si>
    <t>23/08/2026 21:53</t>
  </si>
  <si>
    <t>TCK-20619</t>
  </si>
  <si>
    <t>16/08/2026 13:03</t>
  </si>
  <si>
    <t>17/08/2026 04:04</t>
  </si>
  <si>
    <t>TCK-22838</t>
  </si>
  <si>
    <t>05/04/2026 15:58</t>
  </si>
  <si>
    <t>TCK-21128</t>
  </si>
  <si>
    <t>28/05/2026 08:03</t>
  </si>
  <si>
    <t>TCK-22063</t>
  </si>
  <si>
    <t>29/03/2026 03:31</t>
  </si>
  <si>
    <t>TCK-22064</t>
  </si>
  <si>
    <t>23/08/2026 04:50</t>
  </si>
  <si>
    <t>TCK-23153</t>
  </si>
  <si>
    <t>29/05/2026 06:08</t>
  </si>
  <si>
    <t>02/06/2026 21:24</t>
  </si>
  <si>
    <t>TCK-22955</t>
  </si>
  <si>
    <t>15/05/2026 22:48</t>
  </si>
  <si>
    <t>TCK-20078</t>
  </si>
  <si>
    <t>03/06/2026 02:01</t>
  </si>
  <si>
    <t>03/06/2026 19:34</t>
  </si>
  <si>
    <t>TCK-23045</t>
  </si>
  <si>
    <t>11/07/2026 22:39</t>
  </si>
  <si>
    <t>12/07/2026 14:00</t>
  </si>
  <si>
    <t>TCK-20509</t>
  </si>
  <si>
    <t>13/04/2026 16:36</t>
  </si>
  <si>
    <t>13/04/2026 21:04</t>
  </si>
  <si>
    <t>TCK-22046</t>
  </si>
  <si>
    <t>21/03/2026 19:34</t>
  </si>
  <si>
    <t>TCK-20631</t>
  </si>
  <si>
    <t>10/05/2026 10:21</t>
  </si>
  <si>
    <t>TCK-21475</t>
  </si>
  <si>
    <t>26/07/2026 15:10</t>
  </si>
  <si>
    <t>28/07/2026 03:23</t>
  </si>
  <si>
    <t>TCK-22462</t>
  </si>
  <si>
    <t>29/05/2026 10:12</t>
  </si>
  <si>
    <t>30/05/2026 03:46</t>
  </si>
  <si>
    <t>TCK-22398</t>
  </si>
  <si>
    <t>09/04/2026 22:46</t>
  </si>
  <si>
    <t>TCK-20552</t>
  </si>
  <si>
    <t>14/05/2026 18:14</t>
  </si>
  <si>
    <t>TCK-20013</t>
  </si>
  <si>
    <t>08/01/2026 04:16</t>
  </si>
  <si>
    <t>08/01/2026 06:59</t>
  </si>
  <si>
    <t>TCK-21415</t>
  </si>
  <si>
    <t>26/06/2026 21:22</t>
  </si>
  <si>
    <t>27/06/2026 05:45</t>
  </si>
  <si>
    <t>TCK-21157</t>
  </si>
  <si>
    <t>19/02/2026 01:57</t>
  </si>
  <si>
    <t>19/02/2026 07:25</t>
  </si>
  <si>
    <t>TCK-20586</t>
  </si>
  <si>
    <t>13/07/2026 10:47</t>
  </si>
  <si>
    <t>14/07/2026 17:09</t>
  </si>
  <si>
    <t>TCK-21913</t>
  </si>
  <si>
    <t>12/08/2026 03:26</t>
  </si>
  <si>
    <t>13/08/2026 16:16</t>
  </si>
  <si>
    <t>TCK-23040</t>
  </si>
  <si>
    <t>05/06/2026 11:28</t>
  </si>
  <si>
    <t>05/06/2026 15:50</t>
  </si>
  <si>
    <t>TCK-23084</t>
  </si>
  <si>
    <t>27/01/2026 21:41</t>
  </si>
  <si>
    <t>28/01/2026 12:52</t>
  </si>
  <si>
    <t>TCK-21268</t>
  </si>
  <si>
    <t>15/05/2026 03:49</t>
  </si>
  <si>
    <t>15/05/2026 05:40</t>
  </si>
  <si>
    <t>TCK-21934</t>
  </si>
  <si>
    <t>13/07/2026 10:23</t>
  </si>
  <si>
    <t>TCK-21620</t>
  </si>
  <si>
    <t>03/07/2026 22:27</t>
  </si>
  <si>
    <t>TCK-22278</t>
  </si>
  <si>
    <t>10/04/2026 06:45</t>
  </si>
  <si>
    <t>10/04/2026 09:15</t>
  </si>
  <si>
    <t>TCK-21288</t>
  </si>
  <si>
    <t>19/03/2026 08:49</t>
  </si>
  <si>
    <t>20/03/2026 06:13</t>
  </si>
  <si>
    <t>TCK-22761</t>
  </si>
  <si>
    <t>30/04/2026 07:08</t>
  </si>
  <si>
    <t>30/04/2026 08:54</t>
  </si>
  <si>
    <t>TCK-22083</t>
  </si>
  <si>
    <t>27/06/2026 17:42</t>
  </si>
  <si>
    <t xml:space="preserve">  Rehan Qureshi  </t>
  </si>
  <si>
    <t>TCK-20700</t>
  </si>
  <si>
    <t>30/05/2026 00:14</t>
  </si>
  <si>
    <t>31/05/2026 08:39</t>
  </si>
  <si>
    <t>TCK-20933</t>
  </si>
  <si>
    <t>21/05/2026 08:32</t>
  </si>
  <si>
    <t xml:space="preserve">  Bilal Chaudhry  </t>
  </si>
  <si>
    <t>21/05/2026 14:50</t>
  </si>
  <si>
    <t>TCK-22152</t>
  </si>
  <si>
    <t>17/05/2026 11:55</t>
  </si>
  <si>
    <t>TCK-22901</t>
  </si>
  <si>
    <t>07/03/2026 04:25</t>
  </si>
  <si>
    <t>08/03/2026 16:54</t>
  </si>
  <si>
    <t>TCK-21514</t>
  </si>
  <si>
    <t>14/07/2026 10:48</t>
  </si>
  <si>
    <t>14/07/2026 18:24</t>
  </si>
  <si>
    <t>TCK-21552</t>
  </si>
  <si>
    <t>16/01/2026 20:38</t>
  </si>
  <si>
    <t>17/01/2026 09:42</t>
  </si>
  <si>
    <t>TCK-20548</t>
  </si>
  <si>
    <t>31/05/2026 11:28</t>
  </si>
  <si>
    <t>31/05/2026 23:55</t>
  </si>
  <si>
    <t>TCK-21439</t>
  </si>
  <si>
    <t>04/07/2026 19:40</t>
  </si>
  <si>
    <t>TCK-20359</t>
  </si>
  <si>
    <t>24/04/2026 10:53</t>
  </si>
  <si>
    <t>TCK-22760</t>
  </si>
  <si>
    <t>18/04/2026 16:07</t>
  </si>
  <si>
    <t>19/04/2026 09:56</t>
  </si>
  <si>
    <t>TCK-22891</t>
  </si>
  <si>
    <t>25/06/2026 10:51</t>
  </si>
  <si>
    <t>25/06/2026 20:33</t>
  </si>
  <si>
    <t>TCK-21156</t>
  </si>
  <si>
    <t>30/07/2026 12:43</t>
  </si>
  <si>
    <t>30/07/2026 21:36</t>
  </si>
  <si>
    <t>TCK-21167</t>
  </si>
  <si>
    <t>04/06/2026 23:33</t>
  </si>
  <si>
    <t>05/06/2026 02:48</t>
  </si>
  <si>
    <t>TCK-22026</t>
  </si>
  <si>
    <t>07/07/2026 20:02</t>
  </si>
  <si>
    <t>TCK-20618</t>
  </si>
  <si>
    <t>09/08/2026 08:06</t>
  </si>
  <si>
    <t>10/08/2026 05:55</t>
  </si>
  <si>
    <t>TCK-20059</t>
  </si>
  <si>
    <t>29/07/2026 02:41</t>
  </si>
  <si>
    <t>29/07/2026 07:18</t>
  </si>
  <si>
    <t>TCK-21039</t>
  </si>
  <si>
    <t>04/06/2026 09:50</t>
  </si>
  <si>
    <t>TCK-22777</t>
  </si>
  <si>
    <t>09/04/2026 01:35</t>
  </si>
  <si>
    <t>09/04/2026 10:33</t>
  </si>
  <si>
    <t>TCK-22771</t>
  </si>
  <si>
    <t>06/03/2026 06:12</t>
  </si>
  <si>
    <t>07/03/2026 20:58</t>
  </si>
  <si>
    <t>TCK-21793</t>
  </si>
  <si>
    <t>20/03/2026 05:51</t>
  </si>
  <si>
    <t>25/03/2026 13:22</t>
  </si>
  <si>
    <t>TCK-20887</t>
  </si>
  <si>
    <t>08/08/2026 20:58</t>
  </si>
  <si>
    <t>09/08/2026 14:19</t>
  </si>
  <si>
    <t>TCK-21099</t>
  </si>
  <si>
    <t>26/03/2026 01:13</t>
  </si>
  <si>
    <t>TCK-20761</t>
  </si>
  <si>
    <t>31/03/2026 08:10</t>
  </si>
  <si>
    <t>TCK-20203</t>
  </si>
  <si>
    <t>11/03/2026 07:56</t>
  </si>
  <si>
    <t>15/03/2026 15:01</t>
  </si>
  <si>
    <t>TCK-22611</t>
  </si>
  <si>
    <t>05/02/2026 12:32</t>
  </si>
  <si>
    <t>TCK-22041</t>
  </si>
  <si>
    <t>13/07/2026 04:48</t>
  </si>
  <si>
    <t>13/07/2026 19:23</t>
  </si>
  <si>
    <t>TCK-20970</t>
  </si>
  <si>
    <t>24/03/2026 14:12</t>
  </si>
  <si>
    <t>25/03/2026 13:46</t>
  </si>
  <si>
    <t>TCK-20515</t>
  </si>
  <si>
    <t>19/08/2026 17:27</t>
  </si>
  <si>
    <t>TCK-21486</t>
  </si>
  <si>
    <t>11/02/2026 23:55</t>
  </si>
  <si>
    <t>12/02/2026 08:20</t>
  </si>
  <si>
    <t>TCK-20012</t>
  </si>
  <si>
    <t>09/01/2026 10:51</t>
  </si>
  <si>
    <t>09/01/2026 11:47</t>
  </si>
  <si>
    <t>TCK-22296</t>
  </si>
  <si>
    <t>25/03/2026 16:27</t>
  </si>
  <si>
    <t>26/03/2026 02:49</t>
  </si>
  <si>
    <t>TCK-22658</t>
  </si>
  <si>
    <t>05/05/2026 22:53</t>
  </si>
  <si>
    <t>TCK-21262</t>
  </si>
  <si>
    <t>12/06/2026 00:53</t>
  </si>
  <si>
    <t>TCK-20911</t>
  </si>
  <si>
    <t>07/02/2026 08:53</t>
  </si>
  <si>
    <t>TCK-22257</t>
  </si>
  <si>
    <t>11/04/2026 22:45</t>
  </si>
  <si>
    <t>12/04/2026 14:50</t>
  </si>
  <si>
    <t>TCK-21640</t>
  </si>
  <si>
    <t>15/01/2026 02:37</t>
  </si>
  <si>
    <t>15/01/2026 20:34</t>
  </si>
  <si>
    <t>TCK-22345</t>
  </si>
  <si>
    <t>15/05/2026 02:54</t>
  </si>
  <si>
    <t>16/05/2026 07:50</t>
  </si>
  <si>
    <t>TCK-20987</t>
  </si>
  <si>
    <t>06/04/2026 07:20</t>
  </si>
  <si>
    <t>06/04/2026 17:30</t>
  </si>
  <si>
    <t>TCK-20713</t>
  </si>
  <si>
    <t>06/01/2026 13:02</t>
  </si>
  <si>
    <t>06/01/2026 14:34</t>
  </si>
  <si>
    <t>TCK-22970</t>
  </si>
  <si>
    <t>10/01/2026 12:17</t>
  </si>
  <si>
    <t>10/01/2026 17:19</t>
  </si>
  <si>
    <t>TCK-22268</t>
  </si>
  <si>
    <t>05/01/2026 20:13</t>
  </si>
  <si>
    <t>06/01/2026 13:35</t>
  </si>
  <si>
    <t>TCK-22989</t>
  </si>
  <si>
    <t>13/08/2026 06:44</t>
  </si>
  <si>
    <t>13/08/2026 11:56</t>
  </si>
  <si>
    <t>TCK-21314</t>
  </si>
  <si>
    <t>11/02/2026 06:26</t>
  </si>
  <si>
    <t>11/02/2026 08:33</t>
  </si>
  <si>
    <t>TCK-20927</t>
  </si>
  <si>
    <t>07/08/2026 15:09</t>
  </si>
  <si>
    <t>07/08/2026 16:07</t>
  </si>
  <si>
    <t>TCK-20289</t>
  </si>
  <si>
    <t>01/07/2026 11:32</t>
  </si>
  <si>
    <t>02/07/2026 07:23</t>
  </si>
  <si>
    <t>TCK-21348</t>
  </si>
  <si>
    <t>03/03/2026 11:18</t>
  </si>
  <si>
    <t>05/03/2026 20:50</t>
  </si>
  <si>
    <t>TCK-20217</t>
  </si>
  <si>
    <t>16/04/2026 09:41</t>
  </si>
  <si>
    <t>16/04/2026 16:42</t>
  </si>
  <si>
    <t>TCK-21929</t>
  </si>
  <si>
    <t>26/05/2026 20:32</t>
  </si>
  <si>
    <t>TCK-22247</t>
  </si>
  <si>
    <t>28/04/2026 09:55</t>
  </si>
  <si>
    <t>28/04/2026 14:45</t>
  </si>
  <si>
    <t>TCK-20475</t>
  </si>
  <si>
    <t>19/08/2026 00:14</t>
  </si>
  <si>
    <t>TCK-22766</t>
  </si>
  <si>
    <t>22/03/2026 06:29</t>
  </si>
  <si>
    <t>TCK-20617</t>
  </si>
  <si>
    <t>04/03/2026 00:03</t>
  </si>
  <si>
    <t>04/03/2026 01:00</t>
  </si>
  <si>
    <t>TCK-21244</t>
  </si>
  <si>
    <t>06/08/2026 13:53</t>
  </si>
  <si>
    <t>TCK-22053</t>
  </si>
  <si>
    <t>16/07/2026 14:54</t>
  </si>
  <si>
    <t>17/07/2026 11:06</t>
  </si>
  <si>
    <t>TCK-22139</t>
  </si>
  <si>
    <t>27/05/2026 13:22</t>
  </si>
  <si>
    <t>27/05/2026 18:08</t>
  </si>
  <si>
    <t>TCK-20352</t>
  </si>
  <si>
    <t>15/02/2026 01:27</t>
  </si>
  <si>
    <t>15/02/2026 03:24</t>
  </si>
  <si>
    <t>TCK-22831</t>
  </si>
  <si>
    <t>02/08/2026 03:14</t>
  </si>
  <si>
    <t>02/08/2026 15:48</t>
  </si>
  <si>
    <t>TCK-21587</t>
  </si>
  <si>
    <t>25/04/2026 00:37</t>
  </si>
  <si>
    <t>TCK-22735</t>
  </si>
  <si>
    <t>20/08/2026 07:46</t>
  </si>
  <si>
    <t>21/08/2026 03:29</t>
  </si>
  <si>
    <t>TCK-20978</t>
  </si>
  <si>
    <t>15/03/2026 13:52</t>
  </si>
  <si>
    <t>15/03/2026 16:08</t>
  </si>
  <si>
    <t>TCK-21833</t>
  </si>
  <si>
    <t>01/03/2026 12:11</t>
  </si>
  <si>
    <t>01/03/2026 22:43</t>
  </si>
  <si>
    <t>TCK-20484</t>
  </si>
  <si>
    <t>27/06/2026 00:27</t>
  </si>
  <si>
    <t>TCK-20006</t>
  </si>
  <si>
    <t>25/03/2026 15:33</t>
  </si>
  <si>
    <t>TCK-20070</t>
  </si>
  <si>
    <t>05/07/2026 12:09</t>
  </si>
  <si>
    <t>TCK-21679</t>
  </si>
  <si>
    <t>22/04/2026 00:01</t>
  </si>
  <si>
    <t>22/04/2026 01:41</t>
  </si>
  <si>
    <t>TCK-20131</t>
  </si>
  <si>
    <t>10/04/2026 04:45</t>
  </si>
  <si>
    <t>10/04/2026 19:57</t>
  </si>
  <si>
    <t>TCK-23156</t>
  </si>
  <si>
    <t>19/06/2026 23:06</t>
  </si>
  <si>
    <t>19/06/2026 23:55</t>
  </si>
  <si>
    <t>TCK-22939</t>
  </si>
  <si>
    <t>16/01/2026 11:45</t>
  </si>
  <si>
    <t>19/01/2026 04:32</t>
  </si>
  <si>
    <t>TCK-22802</t>
  </si>
  <si>
    <t>16/05/2026 11:08</t>
  </si>
  <si>
    <t>16/05/2026 12:50</t>
  </si>
  <si>
    <t>TCK-20490</t>
  </si>
  <si>
    <t>16/05/2026 06:54</t>
  </si>
  <si>
    <t>TCK-20505</t>
  </si>
  <si>
    <t>15/08/2026 17:28</t>
  </si>
  <si>
    <t>16/08/2026 15:32</t>
  </si>
  <si>
    <t>TCK-20643</t>
  </si>
  <si>
    <t>08/03/2026 18:45</t>
  </si>
  <si>
    <t>08/03/2026 21:06</t>
  </si>
  <si>
    <t>TCK-22014</t>
  </si>
  <si>
    <t>24/05/2026 15:28</t>
  </si>
  <si>
    <t>TCK-22609</t>
  </si>
  <si>
    <t>24/02/2026 08:31</t>
  </si>
  <si>
    <t>24/02/2026 21:14</t>
  </si>
  <si>
    <t>TCK-20820</t>
  </si>
  <si>
    <t>07/02/2026 11:48</t>
  </si>
  <si>
    <t>TCK-21212</t>
  </si>
  <si>
    <t>17/08/2026 07:48</t>
  </si>
  <si>
    <t>17/08/2026 11:19</t>
  </si>
  <si>
    <t>TCK-22434</t>
  </si>
  <si>
    <t>31/07/2026 00:42</t>
  </si>
  <si>
    <t>TCK-23007</t>
  </si>
  <si>
    <t>09/02/2026 01:32</t>
  </si>
  <si>
    <t>TCK-22978</t>
  </si>
  <si>
    <t>11/01/2026 12:07</t>
  </si>
  <si>
    <t>TCK-21416</t>
  </si>
  <si>
    <t>05/01/2026 13:01</t>
  </si>
  <si>
    <t>05/01/2026 16:24</t>
  </si>
  <si>
    <t>TCK-20271</t>
  </si>
  <si>
    <t>25/05/2026 04:12</t>
  </si>
  <si>
    <t>25/05/2026 07:32</t>
  </si>
  <si>
    <t>TCK-21979</t>
  </si>
  <si>
    <t>03/04/2026 07:31</t>
  </si>
  <si>
    <t>TCK-21595</t>
  </si>
  <si>
    <t>31/05/2026 21:28</t>
  </si>
  <si>
    <t>01/06/2026 03:09</t>
  </si>
  <si>
    <t>TCK-22163</t>
  </si>
  <si>
    <t>25/07/2026 23:53</t>
  </si>
  <si>
    <t>26/07/2026 19:39</t>
  </si>
  <si>
    <t>TCK-22055</t>
  </si>
  <si>
    <t>20/04/2026 21:48</t>
  </si>
  <si>
    <t>TCK-20508</t>
  </si>
  <si>
    <t>19/01/2026 06:48</t>
  </si>
  <si>
    <t>TCK-22625</t>
  </si>
  <si>
    <t>09/02/2026 18:52</t>
  </si>
  <si>
    <t>10/02/2026 00:51</t>
  </si>
  <si>
    <t>TCK-20394</t>
  </si>
  <si>
    <t>20/04/2026 16:44</t>
  </si>
  <si>
    <t>TCK-21150</t>
  </si>
  <si>
    <t>28/07/2026 21:36</t>
  </si>
  <si>
    <t>TCK-22858</t>
  </si>
  <si>
    <t>07/02/2026 13:10</t>
  </si>
  <si>
    <t>08/02/2026 04:02</t>
  </si>
  <si>
    <t>TCK-21257</t>
  </si>
  <si>
    <t>09/02/2026 05:06</t>
  </si>
  <si>
    <t>TCK-22896</t>
  </si>
  <si>
    <t>23/07/2026 17:45</t>
  </si>
  <si>
    <t>TCK-21165</t>
  </si>
  <si>
    <t>04/02/2026 18:40</t>
  </si>
  <si>
    <t>TCK-22411</t>
  </si>
  <si>
    <t>03/07/2026 13:55</t>
  </si>
  <si>
    <t>03/07/2026 17:10</t>
  </si>
  <si>
    <t>TCK-21266</t>
  </si>
  <si>
    <t>07/07/2026 16:08</t>
  </si>
  <si>
    <t>08/07/2026 04:22</t>
  </si>
  <si>
    <t>TCK-21431</t>
  </si>
  <si>
    <t>23/05/2026 01:34</t>
  </si>
  <si>
    <t>TCK-23121</t>
  </si>
  <si>
    <t>06/04/2026 15:57</t>
  </si>
  <si>
    <t>TCK-21625</t>
  </si>
  <si>
    <t>26/06/2026 20:06</t>
  </si>
  <si>
    <t>27/06/2026 14:47</t>
  </si>
  <si>
    <t>TCK-22633</t>
  </si>
  <si>
    <t>09/06/2026 15:07</t>
  </si>
  <si>
    <t>13/06/2026 22:19</t>
  </si>
  <si>
    <t>TCK-21787</t>
  </si>
  <si>
    <t>18/06/2026 03:48</t>
  </si>
  <si>
    <t>19/06/2026 00:29</t>
  </si>
  <si>
    <t>TCK-23107</t>
  </si>
  <si>
    <t>30/07/2026 04:43</t>
  </si>
  <si>
    <t>30/07/2026 05:27</t>
  </si>
  <si>
    <t>TCK-22639</t>
  </si>
  <si>
    <t>17/05/2026 11:18</t>
  </si>
  <si>
    <t>TCK-22123</t>
  </si>
  <si>
    <t>11/06/2026 21:23</t>
  </si>
  <si>
    <t>TCK-20671</t>
  </si>
  <si>
    <t>17/05/2026 01:51</t>
  </si>
  <si>
    <t>TCK-21233</t>
  </si>
  <si>
    <t>24/04/2026 04:57</t>
  </si>
  <si>
    <t>25/04/2026 06:57</t>
  </si>
  <si>
    <t>TCK-20979</t>
  </si>
  <si>
    <t>06/05/2026 04:05</t>
  </si>
  <si>
    <t>06/05/2026 11:05</t>
  </si>
  <si>
    <t>TCK-21299</t>
  </si>
  <si>
    <t>14/07/2026 18:59</t>
  </si>
  <si>
    <t>TCK-21875</t>
  </si>
  <si>
    <t>20/02/2026 13:43</t>
  </si>
  <si>
    <t>20/02/2026 18:53</t>
  </si>
  <si>
    <t>TCK-21437</t>
  </si>
  <si>
    <t>06/07/2026 04:25</t>
  </si>
  <si>
    <t>07/07/2026 13:21</t>
  </si>
  <si>
    <t>TCK-22647</t>
  </si>
  <si>
    <t>09/06/2026 03:28</t>
  </si>
  <si>
    <t>TCK-22874</t>
  </si>
  <si>
    <t>19/04/2026 00:33</t>
  </si>
  <si>
    <t>19/04/2026 18:17</t>
  </si>
  <si>
    <t>TCK-21216</t>
  </si>
  <si>
    <t>09/07/2026 13:35</t>
  </si>
  <si>
    <t>09/07/2026 14:16</t>
  </si>
  <si>
    <t>TCK-20332</t>
  </si>
  <si>
    <t>22/07/2026 16:13</t>
  </si>
  <si>
    <t>22/07/2026 18:08</t>
  </si>
  <si>
    <t>TCK-22932</t>
  </si>
  <si>
    <t>13/07/2026 19:53</t>
  </si>
  <si>
    <t>14/07/2026 16:41</t>
  </si>
  <si>
    <t>TCK-21255</t>
  </si>
  <si>
    <t>24/05/2026 08:14</t>
  </si>
  <si>
    <t>24/05/2026 17:50</t>
  </si>
  <si>
    <t>TCK-21043</t>
  </si>
  <si>
    <t>12/06/2026 07:57</t>
  </si>
  <si>
    <t>13/06/2026 00:45</t>
  </si>
  <si>
    <t>TCK-22712</t>
  </si>
  <si>
    <t>14/02/2026 13:38</t>
  </si>
  <si>
    <t>15/02/2026 10:11</t>
  </si>
  <si>
    <t>TCK-20762</t>
  </si>
  <si>
    <t>05/08/2026 02:39</t>
  </si>
  <si>
    <t>06/08/2026 06:57</t>
  </si>
  <si>
    <t>TCK-23082</t>
  </si>
  <si>
    <t>24/05/2026 00:13</t>
  </si>
  <si>
    <t>TCK-22169</t>
  </si>
  <si>
    <t>30/08/2026 11:12</t>
  </si>
  <si>
    <t>04/09/2026 16:52</t>
  </si>
  <si>
    <t>TCK-20910</t>
  </si>
  <si>
    <t>26/05/2026 21:56</t>
  </si>
  <si>
    <t>26/05/2026 23:52</t>
  </si>
  <si>
    <t>TCK-20686</t>
  </si>
  <si>
    <t>19/08/2026 13:29</t>
  </si>
  <si>
    <t>19/08/2026 15:34</t>
  </si>
  <si>
    <t>TCK-20056</t>
  </si>
  <si>
    <t>07/02/2026 11:19</t>
  </si>
  <si>
    <t>08/02/2026 22:56</t>
  </si>
  <si>
    <t>TCK-22324</t>
  </si>
  <si>
    <t>07/02/2026 08:14</t>
  </si>
  <si>
    <t>TCK-20672</t>
  </si>
  <si>
    <t>12/03/2026 06:11</t>
  </si>
  <si>
    <t>TCK-21798</t>
  </si>
  <si>
    <t>26/06/2026 16:35</t>
  </si>
  <si>
    <t>27/06/2026 00:05</t>
  </si>
  <si>
    <t>TCK-22662</t>
  </si>
  <si>
    <t>19/07/2026 19:49</t>
  </si>
  <si>
    <t>TCK-22966</t>
  </si>
  <si>
    <t>16/04/2026 21:41</t>
  </si>
  <si>
    <t>TCK-20518</t>
  </si>
  <si>
    <t>18/07/2026 09:22</t>
  </si>
  <si>
    <t>TCK-21352</t>
  </si>
  <si>
    <t>21/02/2026 03:16</t>
  </si>
  <si>
    <t>21/02/2026 06:57</t>
  </si>
  <si>
    <t>TCK-22630</t>
  </si>
  <si>
    <t>22/03/2026 14:34</t>
  </si>
  <si>
    <t>22/03/2026 15:09</t>
  </si>
  <si>
    <t>TCK-22618</t>
  </si>
  <si>
    <t>20/05/2026 14:06</t>
  </si>
  <si>
    <t>20/05/2026 15:38</t>
  </si>
  <si>
    <t>TCK-20415</t>
  </si>
  <si>
    <t>25/01/2026 18:12</t>
  </si>
  <si>
    <t>27/01/2026 01:04</t>
  </si>
  <si>
    <t>TCK-20964</t>
  </si>
  <si>
    <t>08/08/2026 09:26</t>
  </si>
  <si>
    <t>08/08/2026 13:26</t>
  </si>
  <si>
    <t>TCK-22174</t>
  </si>
  <si>
    <t>05/07/2026 16:28</t>
  </si>
  <si>
    <t>05/07/2026 21:09</t>
  </si>
  <si>
    <t>TCK-23111</t>
  </si>
  <si>
    <t>28/06/2026 04:58</t>
  </si>
  <si>
    <t>TCK-20626</t>
  </si>
  <si>
    <t>30/05/2026 20:19</t>
  </si>
  <si>
    <t>31/05/2026 01:36</t>
  </si>
  <si>
    <t>TCK-22975</t>
  </si>
  <si>
    <t>13/03/2026 02:13</t>
  </si>
  <si>
    <t>13/03/2026 03:36</t>
  </si>
  <si>
    <t>TCK-20521</t>
  </si>
  <si>
    <t>24/05/2026 04:29</t>
  </si>
  <si>
    <t>29/05/2026 20:38</t>
  </si>
  <si>
    <t>TCK-22319</t>
  </si>
  <si>
    <t>11/02/2026 16:20</t>
  </si>
  <si>
    <t>11/02/2026 21:27</t>
  </si>
  <si>
    <t>TCK-23024</t>
  </si>
  <si>
    <t>24/03/2026 06:54</t>
  </si>
  <si>
    <t>24/03/2026 18:06</t>
  </si>
  <si>
    <t>TCK-21566</t>
  </si>
  <si>
    <t>03/01/2026 05:28</t>
  </si>
  <si>
    <t>TCK-21374</t>
  </si>
  <si>
    <t>25/08/2026 22:47</t>
  </si>
  <si>
    <t>26/08/2026 11:51</t>
  </si>
  <si>
    <t>TCK-20038</t>
  </si>
  <si>
    <t>27/02/2026 07:11</t>
  </si>
  <si>
    <t>TCK-20327</t>
  </si>
  <si>
    <t>12/07/2026 06:11</t>
  </si>
  <si>
    <t>13/07/2026 16:44</t>
  </si>
  <si>
    <t>TCK-20375</t>
  </si>
  <si>
    <t>25/07/2026 10:30</t>
  </si>
  <si>
    <t>26/07/2026 23:33</t>
  </si>
  <si>
    <t>TCK-21366</t>
  </si>
  <si>
    <t>22/04/2026 02:16</t>
  </si>
  <si>
    <t>TCK-20932</t>
  </si>
  <si>
    <t>23/03/2026 15:05</t>
  </si>
  <si>
    <t>24/03/2026 20:01</t>
  </si>
  <si>
    <t>TCK-20454</t>
  </si>
  <si>
    <t>09/08/2026 07:05</t>
  </si>
  <si>
    <t>09/08/2026 12:18</t>
  </si>
  <si>
    <t>TCK-22037</t>
  </si>
  <si>
    <t>20/06/2026 22:48</t>
  </si>
  <si>
    <t>TCK-20766</t>
  </si>
  <si>
    <t>13/05/2026 10:00</t>
  </si>
  <si>
    <t>14/05/2026 15:15</t>
  </si>
  <si>
    <t>TCK-22584</t>
  </si>
  <si>
    <t>27/03/2026 20:56</t>
  </si>
  <si>
    <t>TCK-22927</t>
  </si>
  <si>
    <t>05/05/2026 04:09</t>
  </si>
  <si>
    <t>05/05/2026 13:46</t>
  </si>
  <si>
    <t>TCK-21914</t>
  </si>
  <si>
    <t>13/03/2026 14:25</t>
  </si>
  <si>
    <t>TCK-21500</t>
  </si>
  <si>
    <t>06/08/2026 06:53</t>
  </si>
  <si>
    <t>10/08/2026 09:15</t>
  </si>
  <si>
    <t>TCK-22910</t>
  </si>
  <si>
    <t>20/07/2026 01:56</t>
  </si>
  <si>
    <t>21/07/2026 10:48</t>
  </si>
  <si>
    <t>TCK-21399</t>
  </si>
  <si>
    <t>08/07/2026 09:36</t>
  </si>
  <si>
    <t>TCK-21508</t>
  </si>
  <si>
    <t>20/04/2026 14:15</t>
  </si>
  <si>
    <t>TCK-20784</t>
  </si>
  <si>
    <t>03/08/2026 04:36</t>
  </si>
  <si>
    <t>TCK-21781</t>
  </si>
  <si>
    <t>02/07/2026 19:29</t>
  </si>
  <si>
    <t>03/07/2026 10:24</t>
  </si>
  <si>
    <t>TCK-22239</t>
  </si>
  <si>
    <t>16/07/2026 03:08</t>
  </si>
  <si>
    <t>TCK-21505</t>
  </si>
  <si>
    <t>13/06/2026 12:13</t>
  </si>
  <si>
    <t>14/06/2026 13:48</t>
  </si>
  <si>
    <t>TCK-21250</t>
  </si>
  <si>
    <t>27/02/2026 15:33</t>
  </si>
  <si>
    <t>02/03/2026 13:38</t>
  </si>
  <si>
    <t>TCK-22875</t>
  </si>
  <si>
    <t>16/07/2026 09:14</t>
  </si>
  <si>
    <t>16/07/2026 23:08</t>
  </si>
  <si>
    <t>TCK-20383</t>
  </si>
  <si>
    <t>09/07/2026 05:38</t>
  </si>
  <si>
    <t>TCK-21089</t>
  </si>
  <si>
    <t>10/04/2026 18:11</t>
  </si>
  <si>
    <t>TCK-21898</t>
  </si>
  <si>
    <t>28/07/2026 05:07</t>
  </si>
  <si>
    <t>28/07/2026 05:53</t>
  </si>
  <si>
    <t>TCK-22637</t>
  </si>
  <si>
    <t>10/01/2026 11:14</t>
  </si>
  <si>
    <t>TCK-23090</t>
  </si>
  <si>
    <t>05/04/2026 23:03</t>
  </si>
  <si>
    <t>06/04/2026 01:10</t>
  </si>
  <si>
    <t>TCK-21383</t>
  </si>
  <si>
    <t>11/08/2026 14:28</t>
  </si>
  <si>
    <t>TCK-23112</t>
  </si>
  <si>
    <t>06/07/2026 07:29</t>
  </si>
  <si>
    <t>06/07/2026 10:11</t>
  </si>
  <si>
    <t>TCK-20265</t>
  </si>
  <si>
    <t>06/04/2026 10:33</t>
  </si>
  <si>
    <t>TCK-22614</t>
  </si>
  <si>
    <t>08/08/2026 14:34</t>
  </si>
  <si>
    <t>08/08/2026 19:01</t>
  </si>
  <si>
    <t>TCK-21630</t>
  </si>
  <si>
    <t>09/01/2026 14:23</t>
  </si>
  <si>
    <t>09/01/2026 15:29</t>
  </si>
  <si>
    <t>TCK-22861</t>
  </si>
  <si>
    <t>05/04/2026 12:57</t>
  </si>
  <si>
    <t>06/04/2026 08:27</t>
  </si>
  <si>
    <t>TCK-21692</t>
  </si>
  <si>
    <t>10/04/2026 09:04</t>
  </si>
  <si>
    <t>12/04/2026 17:10</t>
  </si>
  <si>
    <t>TCK-21222</t>
  </si>
  <si>
    <t>27/06/2026 01:18</t>
  </si>
  <si>
    <t>TCK-20613</t>
  </si>
  <si>
    <t>13/05/2026 15:04</t>
  </si>
  <si>
    <t>13/05/2026 19:53</t>
  </si>
  <si>
    <t>TCK-22703</t>
  </si>
  <si>
    <t>05/07/2026 14:19</t>
  </si>
  <si>
    <t>06/07/2026 03:43</t>
  </si>
  <si>
    <t>TCK-22612</t>
  </si>
  <si>
    <t>17/01/2026 07:16</t>
  </si>
  <si>
    <t>18/01/2026 17:22</t>
  </si>
  <si>
    <t>TCK-20663</t>
  </si>
  <si>
    <t>28/05/2026 00:56</t>
  </si>
  <si>
    <t>28/05/2026 03:14</t>
  </si>
  <si>
    <t>TCK-22667</t>
  </si>
  <si>
    <t>11/01/2026 23:52</t>
  </si>
  <si>
    <t>12/01/2026 20:37</t>
  </si>
  <si>
    <t>TCK-22340</t>
  </si>
  <si>
    <t>15/07/2026 19:12</t>
  </si>
  <si>
    <t>TCK-22819</t>
  </si>
  <si>
    <t>22/05/2026 13:12</t>
  </si>
  <si>
    <t>22/05/2026 16:39</t>
  </si>
  <si>
    <t>TCK-22573</t>
  </si>
  <si>
    <t>17/07/2026 15:25</t>
  </si>
  <si>
    <t>17/07/2026 16:20</t>
  </si>
  <si>
    <t>TCK-22107</t>
  </si>
  <si>
    <t>18/03/2026 22:44</t>
  </si>
  <si>
    <t>19/03/2026 00:42</t>
  </si>
  <si>
    <t>TCK-20485</t>
  </si>
  <si>
    <t>08/01/2026 21:45</t>
  </si>
  <si>
    <t>TCK-22409</t>
  </si>
  <si>
    <t>20/07/2026 15:16</t>
  </si>
  <si>
    <t>TCK-21476</t>
  </si>
  <si>
    <t>22/02/2026 13:13</t>
  </si>
  <si>
    <t>22/02/2026 22:24</t>
  </si>
  <si>
    <t>TCK-22908</t>
  </si>
  <si>
    <t>05/03/2026 11:37</t>
  </si>
  <si>
    <t>TCK-20695</t>
  </si>
  <si>
    <t>20/04/2026 13:06</t>
  </si>
  <si>
    <t>TCK-22839</t>
  </si>
  <si>
    <t>23/08/2026 15:29</t>
  </si>
  <si>
    <t>TCK-22528</t>
  </si>
  <si>
    <t>08/08/2026 16:43</t>
  </si>
  <si>
    <t>11/08/2026 14:30</t>
  </si>
  <si>
    <t>TCK-21763</t>
  </si>
  <si>
    <t>11/03/2026 15:29</t>
  </si>
  <si>
    <t>15/03/2026 22:34</t>
  </si>
  <si>
    <t>TCK-23008</t>
  </si>
  <si>
    <t>09/06/2026 04:34</t>
  </si>
  <si>
    <t>09/06/2026 20:07</t>
  </si>
  <si>
    <t>TCK-20840</t>
  </si>
  <si>
    <t>23/01/2026 13:42</t>
  </si>
  <si>
    <t>23/01/2026 16:05</t>
  </si>
  <si>
    <t>TCK-22755</t>
  </si>
  <si>
    <t>07/05/2026 16:48</t>
  </si>
  <si>
    <t>07/05/2026 17:58</t>
  </si>
  <si>
    <t>TCK-22178</t>
  </si>
  <si>
    <t>20/02/2026 17:08</t>
  </si>
  <si>
    <t>TCK-20715</t>
  </si>
  <si>
    <t>17/05/2026 02:20</t>
  </si>
  <si>
    <t>17/05/2026 06:59</t>
  </si>
  <si>
    <t>TCK-22322</t>
  </si>
  <si>
    <t>13/03/2026 19:44</t>
  </si>
  <si>
    <t>14/03/2026 13:18</t>
  </si>
  <si>
    <t>TCK-20690</t>
  </si>
  <si>
    <t>12/03/2026 02:50</t>
  </si>
  <si>
    <t>TCK-20814</t>
  </si>
  <si>
    <t>29/03/2026 23:18</t>
  </si>
  <si>
    <t>30/03/2026 04:30</t>
  </si>
  <si>
    <t>TCK-20027</t>
  </si>
  <si>
    <t>16/08/2026 05:20</t>
  </si>
  <si>
    <t>16/08/2026 06:08</t>
  </si>
  <si>
    <t>TCK-20279</t>
  </si>
  <si>
    <t>24/08/2026 07:55</t>
  </si>
  <si>
    <t>TCK-21777</t>
  </si>
  <si>
    <t>02/05/2026 11:38</t>
  </si>
  <si>
    <t>TCK-21375</t>
  </si>
  <si>
    <t>26/07/2026 08:13</t>
  </si>
  <si>
    <t>26/07/2026 23:28</t>
  </si>
  <si>
    <t>TCK-21339</t>
  </si>
  <si>
    <t>16/04/2026 05:41</t>
  </si>
  <si>
    <t>17/04/2026 02:17</t>
  </si>
  <si>
    <t>TCK-22613</t>
  </si>
  <si>
    <t>13/07/2026 10:11</t>
  </si>
  <si>
    <t>14/07/2026 03:32</t>
  </si>
  <si>
    <t>TCK-22269</t>
  </si>
  <si>
    <t>16/06/2026 13:50</t>
  </si>
  <si>
    <t>TCK-22720</t>
  </si>
  <si>
    <t>19/06/2026 07:56</t>
  </si>
  <si>
    <t>19/06/2026 09:34</t>
  </si>
  <si>
    <t>TCK-20799</t>
  </si>
  <si>
    <t>08/01/2026 04:08</t>
  </si>
  <si>
    <t>08/01/2026 15:09</t>
  </si>
  <si>
    <t>TCK-21704</t>
  </si>
  <si>
    <t>30/08/2026 03:39</t>
  </si>
  <si>
    <t>TCK-22305</t>
  </si>
  <si>
    <t>14/06/2026 00:44</t>
  </si>
  <si>
    <t>TCK-22068</t>
  </si>
  <si>
    <t>15/06/2026 21:50</t>
  </si>
  <si>
    <t>16/06/2026 08:21</t>
  </si>
  <si>
    <t>TCK-22562</t>
  </si>
  <si>
    <t>16/05/2026 07:38</t>
  </si>
  <si>
    <t>16/05/2026 18:56</t>
  </si>
  <si>
    <t>TCK-21489</t>
  </si>
  <si>
    <t>22/07/2026 18:31</t>
  </si>
  <si>
    <t>22/07/2026 19:32</t>
  </si>
  <si>
    <t>TCK-22100</t>
  </si>
  <si>
    <t>18/08/2026 07:43</t>
  </si>
  <si>
    <t>TCK-20547</t>
  </si>
  <si>
    <t>14/05/2026 06:47</t>
  </si>
  <si>
    <t>TCK-21026</t>
  </si>
  <si>
    <t>31/05/2026 20:11</t>
  </si>
  <si>
    <t>02/06/2026 09:28</t>
  </si>
  <si>
    <t>TCK-22738</t>
  </si>
  <si>
    <t>28/01/2026 17:47</t>
  </si>
  <si>
    <t>29/01/2026 12:04</t>
  </si>
  <si>
    <t>TCK-22570</t>
  </si>
  <si>
    <t>19/02/2026 07:49</t>
  </si>
  <si>
    <t>19/02/2026 09:09</t>
  </si>
  <si>
    <t>TCK-23064</t>
  </si>
  <si>
    <t>28/06/2026 11:27</t>
  </si>
  <si>
    <t>28/06/2026 14:23</t>
  </si>
  <si>
    <t>TCK-21702</t>
  </si>
  <si>
    <t>04/04/2026 23:06</t>
  </si>
  <si>
    <t>06/04/2026 02:53</t>
  </si>
  <si>
    <t>TCK-21434</t>
  </si>
  <si>
    <t>11/06/2026 02:40</t>
  </si>
  <si>
    <t>11/06/2026 21:39</t>
  </si>
  <si>
    <t>TCK-21948</t>
  </si>
  <si>
    <t>18/02/2026 06:14</t>
  </si>
  <si>
    <t>18/02/2026 10:04</t>
  </si>
  <si>
    <t>TCK-21768</t>
  </si>
  <si>
    <t>18/02/2026 13:35</t>
  </si>
  <si>
    <t>21/02/2026 00:29</t>
  </si>
  <si>
    <t>TCK-20347</t>
  </si>
  <si>
    <t>18/06/2026 23:56</t>
  </si>
  <si>
    <t>22/06/2026 10:42</t>
  </si>
  <si>
    <t>TCK-20190</t>
  </si>
  <si>
    <t>20/02/2026 17:13</t>
  </si>
  <si>
    <t>20/02/2026 18:38</t>
  </si>
  <si>
    <t>TCK-23108</t>
  </si>
  <si>
    <t>18/03/2026 17:04</t>
  </si>
  <si>
    <t>21/03/2026 05:10</t>
  </si>
  <si>
    <t>TCK-20662</t>
  </si>
  <si>
    <t>21/05/2026 00:22</t>
  </si>
  <si>
    <t>21/05/2026 14:44</t>
  </si>
  <si>
    <t>TCK-20049</t>
  </si>
  <si>
    <t>22/07/2026 12:14</t>
  </si>
  <si>
    <t>22/07/2026 19:15</t>
  </si>
  <si>
    <t>TCK-22643</t>
  </si>
  <si>
    <t>07/05/2026 02:51</t>
  </si>
  <si>
    <t>07/05/2026 07:52</t>
  </si>
  <si>
    <t>TCK-20062</t>
  </si>
  <si>
    <t>27/04/2026 09:13</t>
  </si>
  <si>
    <t>28/04/2026 06:39</t>
  </si>
  <si>
    <t>TCK-22960</t>
  </si>
  <si>
    <t>27/03/2026 23:03</t>
  </si>
  <si>
    <t>TCK-20402</t>
  </si>
  <si>
    <t>04/07/2026 16:00</t>
  </si>
  <si>
    <t>05/07/2026 04:03</t>
  </si>
  <si>
    <t>TCK-22359</t>
  </si>
  <si>
    <t>20/05/2026 03:44</t>
  </si>
  <si>
    <t>20/05/2026 04:55</t>
  </si>
  <si>
    <t>TCK-20997</t>
  </si>
  <si>
    <t>16/05/2026 22:15</t>
  </si>
  <si>
    <t>TCK-20531</t>
  </si>
  <si>
    <t>13/08/2026 17:03</t>
  </si>
  <si>
    <t>13/08/2026 23:26</t>
  </si>
  <si>
    <t>TCK-21744</t>
  </si>
  <si>
    <t>13/07/2026 00:40</t>
  </si>
  <si>
    <t>13/07/2026 16:36</t>
  </si>
  <si>
    <t>TCK-22788</t>
  </si>
  <si>
    <t>18/07/2026 08:23</t>
  </si>
  <si>
    <t>18/07/2026 21:36</t>
  </si>
  <si>
    <t>TCK-20328</t>
  </si>
  <si>
    <t>18/07/2026 04:52</t>
  </si>
  <si>
    <t>TCK-21662</t>
  </si>
  <si>
    <t>18/07/2026 21:02</t>
  </si>
  <si>
    <t>20/07/2026 03:06</t>
  </si>
  <si>
    <t>TCK-20750</t>
  </si>
  <si>
    <t>09/08/2026 17:20</t>
  </si>
  <si>
    <t>10/08/2026 13:08</t>
  </si>
  <si>
    <t>TCK-22007</t>
  </si>
  <si>
    <t>28/07/2026 18:14</t>
  </si>
  <si>
    <t>TCK-20604</t>
  </si>
  <si>
    <t>27/01/2026 10:38</t>
  </si>
  <si>
    <t>TCK-22972</t>
  </si>
  <si>
    <t>14/05/2026 15:48</t>
  </si>
  <si>
    <t>14/05/2026 23:12</t>
  </si>
  <si>
    <t>TCK-23094</t>
  </si>
  <si>
    <t>12/03/2026 14:21</t>
  </si>
  <si>
    <t>14/03/2026 03:14</t>
  </si>
  <si>
    <t>TCK-22920</t>
  </si>
  <si>
    <t>25/06/2026 16:28</t>
  </si>
  <si>
    <t>27/06/2026 01:06</t>
  </si>
  <si>
    <t>TCK-21921</t>
  </si>
  <si>
    <t>07/07/2026 15:12</t>
  </si>
  <si>
    <t>07/07/2026 21:12</t>
  </si>
  <si>
    <t>TCK-20432</t>
  </si>
  <si>
    <t>21/08/2026 04:42</t>
  </si>
  <si>
    <t>21/08/2026 08:21</t>
  </si>
  <si>
    <t>TCK-20658</t>
  </si>
  <si>
    <t>23/08/2026 10:00</t>
  </si>
  <si>
    <t>24/08/2026 02:13</t>
  </si>
  <si>
    <t>TCK-21943</t>
  </si>
  <si>
    <t>14/05/2026 02:10</t>
  </si>
  <si>
    <t>14/05/2026 08:01</t>
  </si>
  <si>
    <t>TCK-20778</t>
  </si>
  <si>
    <t>29/07/2026 12:57</t>
  </si>
  <si>
    <t>30/07/2026 21:59</t>
  </si>
  <si>
    <t>TCK-23166</t>
  </si>
  <si>
    <t>24/08/2026 20:26</t>
  </si>
  <si>
    <t>25/08/2026 15:16</t>
  </si>
  <si>
    <t>TCK-21218</t>
  </si>
  <si>
    <t>22/05/2026 14:17</t>
  </si>
  <si>
    <t>TCK-23005</t>
  </si>
  <si>
    <t>28/04/2026 17:04</t>
  </si>
  <si>
    <t>29/04/2026 02:24</t>
  </si>
  <si>
    <t>TCK-21227</t>
  </si>
  <si>
    <t>14/07/2026 14:45</t>
  </si>
  <si>
    <t>15/07/2026 11:10</t>
  </si>
  <si>
    <t>TCK-22004</t>
  </si>
  <si>
    <t>22/01/2026 16:29</t>
  </si>
  <si>
    <t>23/01/2026 04:54</t>
  </si>
  <si>
    <t>TCK-22822</t>
  </si>
  <si>
    <t>26/01/2026 07:32</t>
  </si>
  <si>
    <t>27/01/2026 02:02</t>
  </si>
  <si>
    <t>TCK-20045</t>
  </si>
  <si>
    <t>30/04/2026 05:57</t>
  </si>
  <si>
    <t>30/04/2026 20:26</t>
  </si>
  <si>
    <t>TCK-22653</t>
  </si>
  <si>
    <t>01/05/2026 19:46</t>
  </si>
  <si>
    <t>03/05/2026 20:55</t>
  </si>
  <si>
    <t>TCK-20869</t>
  </si>
  <si>
    <t>08/05/2026 21:58</t>
  </si>
  <si>
    <t>09/05/2026 02:36</t>
  </si>
  <si>
    <t>TCK-20124</t>
  </si>
  <si>
    <t>05/08/2026 19:13</t>
  </si>
  <si>
    <t>05/08/2026 20:23</t>
  </si>
  <si>
    <t>TCK-21421</t>
  </si>
  <si>
    <t>09/05/2026 11:28</t>
  </si>
  <si>
    <t>TCK-20414</t>
  </si>
  <si>
    <t>26/07/2026 13:19</t>
  </si>
  <si>
    <t>28/07/2026 00:11</t>
  </si>
  <si>
    <t>TCK-20526</t>
  </si>
  <si>
    <t>30/01/2026 05:01</t>
  </si>
  <si>
    <t>30/01/2026 23:05</t>
  </si>
  <si>
    <t>TCK-21042</t>
  </si>
  <si>
    <t>23/04/2026 06:14</t>
  </si>
  <si>
    <t>27/04/2026 21:08</t>
  </si>
  <si>
    <t>TCK-23060</t>
  </si>
  <si>
    <t>31/01/2026 22:53</t>
  </si>
  <si>
    <t>TCK-21747</t>
  </si>
  <si>
    <t>07/06/2026 19:28</t>
  </si>
  <si>
    <t>08/06/2026 13:43</t>
  </si>
  <si>
    <t>TCK-20211</t>
  </si>
  <si>
    <t>01/06/2026 14:23</t>
  </si>
  <si>
    <t>TCK-22722</t>
  </si>
  <si>
    <t>12/06/2026 07:02</t>
  </si>
  <si>
    <t>12/06/2026 09:41</t>
  </si>
  <si>
    <t>TCK-20497</t>
  </si>
  <si>
    <t>06/02/2026 10:31</t>
  </si>
  <si>
    <t>TCK-21313</t>
  </si>
  <si>
    <t>03/02/2026 11:05</t>
  </si>
  <si>
    <t>03/02/2026 17:11</t>
  </si>
  <si>
    <t>TCK-20771</t>
  </si>
  <si>
    <t>29/05/2026 03:30</t>
  </si>
  <si>
    <t>30/05/2026 00:51</t>
  </si>
  <si>
    <t>TCK-20876</t>
  </si>
  <si>
    <t>19/07/2026 20:33</t>
  </si>
  <si>
    <t>20/07/2026 02:41</t>
  </si>
  <si>
    <t>TCK-21479</t>
  </si>
  <si>
    <t>19/06/2026 03:51</t>
  </si>
  <si>
    <t>TCK-22987</t>
  </si>
  <si>
    <t>28/02/2026 01:35</t>
  </si>
  <si>
    <t>02/03/2026 18:08</t>
  </si>
  <si>
    <t>TCK-22533</t>
  </si>
  <si>
    <t>09/06/2026 07:32</t>
  </si>
  <si>
    <t>TCK-21613</t>
  </si>
  <si>
    <t>15/05/2026 08:42</t>
  </si>
  <si>
    <t>15/05/2026 17:26</t>
  </si>
  <si>
    <t>TCK-21519</t>
  </si>
  <si>
    <t>08/03/2026 12:34</t>
  </si>
  <si>
    <t>08/03/2026 14:00</t>
  </si>
  <si>
    <t>TCK-21641</t>
  </si>
  <si>
    <t>10/08/2026 00:21</t>
  </si>
  <si>
    <t>10/08/2026 03:41</t>
  </si>
  <si>
    <t>TCK-21198</t>
  </si>
  <si>
    <t>16/08/2026 12:45</t>
  </si>
  <si>
    <t>16/08/2026 15:00</t>
  </si>
  <si>
    <t>TCK-23047</t>
  </si>
  <si>
    <t>16/05/2026 23:33</t>
  </si>
  <si>
    <t>18/05/2026 06:58</t>
  </si>
  <si>
    <t>TCK-22881</t>
  </si>
  <si>
    <t>07/05/2026 22:38</t>
  </si>
  <si>
    <t>TCK-20877</t>
  </si>
  <si>
    <t>02/04/2026 09:12</t>
  </si>
  <si>
    <t>03/04/2026 02:08</t>
  </si>
  <si>
    <t>TCK-23002</t>
  </si>
  <si>
    <t>03/08/2026 09:20</t>
  </si>
  <si>
    <t>05/08/2026 12:09</t>
  </si>
  <si>
    <t>TCK-21560</t>
  </si>
  <si>
    <t>29/08/2026 02:22</t>
  </si>
  <si>
    <t>30/08/2026 14:40</t>
  </si>
  <si>
    <t>TCK-20995</t>
  </si>
  <si>
    <t>07/07/2026 12:06</t>
  </si>
  <si>
    <t>09/07/2026 05:29</t>
  </si>
  <si>
    <t>TCK-20596</t>
  </si>
  <si>
    <t>08/08/2026 05:37</t>
  </si>
  <si>
    <t>08/08/2026 14:55</t>
  </si>
  <si>
    <t>TCK-20177</t>
  </si>
  <si>
    <t>26/04/2026 15:01</t>
  </si>
  <si>
    <t>TCK-20360</t>
  </si>
  <si>
    <t>03/04/2026 07:47</t>
  </si>
  <si>
    <t>03/04/2026 09:23</t>
  </si>
  <si>
    <t>TCK-22800</t>
  </si>
  <si>
    <t>31/05/2026 16:16</t>
  </si>
  <si>
    <t>31/05/2026 23:23</t>
  </si>
  <si>
    <t>TCK-22067</t>
  </si>
  <si>
    <t>25/06/2026 06:52</t>
  </si>
  <si>
    <t>26/06/2026 07:45</t>
  </si>
  <si>
    <t>TCK-21094</t>
  </si>
  <si>
    <t>20/04/2026 18:56</t>
  </si>
  <si>
    <t>TCK-21045</t>
  </si>
  <si>
    <t>28/07/2026 00:15</t>
  </si>
  <si>
    <t>TCK-22281</t>
  </si>
  <si>
    <t>10/05/2026 15:33</t>
  </si>
  <si>
    <t>10/05/2026 16:08</t>
  </si>
  <si>
    <t>TCK-21579</t>
  </si>
  <si>
    <t>04/08/2026 08:29</t>
  </si>
  <si>
    <t>05/08/2026 12:02</t>
  </si>
  <si>
    <t>TCK-21196</t>
  </si>
  <si>
    <t>05/02/2026 14:28</t>
  </si>
  <si>
    <t>11/02/2026 06:25</t>
  </si>
  <si>
    <t>TCK-22998</t>
  </si>
  <si>
    <t>23/07/2026 22:20</t>
  </si>
  <si>
    <t>24/07/2026 13:32</t>
  </si>
  <si>
    <t>TCK-21245</t>
  </si>
  <si>
    <t>19/02/2026 18:30</t>
  </si>
  <si>
    <t>TCK-22287</t>
  </si>
  <si>
    <t>29/06/2026 17:51</t>
  </si>
  <si>
    <t>TCK-20697</t>
  </si>
  <si>
    <t>03/06/2026 08:01</t>
  </si>
  <si>
    <t>TCK-21866</t>
  </si>
  <si>
    <t>03/07/2026 14:16</t>
  </si>
  <si>
    <t>TCK-21286</t>
  </si>
  <si>
    <t>25/04/2026 22:07</t>
  </si>
  <si>
    <t>25/04/2026 23:57</t>
  </si>
  <si>
    <t>TCK-21108</t>
  </si>
  <si>
    <t>04/03/2026 02:03</t>
  </si>
  <si>
    <t>04/03/2026 06:39</t>
  </si>
  <si>
    <t>TCK-21450</t>
  </si>
  <si>
    <t>14/07/2026 23:49</t>
  </si>
  <si>
    <t>TCK-21590</t>
  </si>
  <si>
    <t>14/07/2026 10:22</t>
  </si>
  <si>
    <t>14/07/2026 14:49</t>
  </si>
  <si>
    <t>TCK-20095</t>
  </si>
  <si>
    <t>23/05/2026 21:17</t>
  </si>
  <si>
    <t>23/05/2026 23:03</t>
  </si>
  <si>
    <t>TCK-20052</t>
  </si>
  <si>
    <t>11/03/2026 22:53</t>
  </si>
  <si>
    <t>TCK-23054</t>
  </si>
  <si>
    <t>10/05/2026 03:43</t>
  </si>
  <si>
    <t>TCK-20011</t>
  </si>
  <si>
    <t>24/06/2026 19:02</t>
  </si>
  <si>
    <t>24/06/2026 20:15</t>
  </si>
  <si>
    <t>TCK-20928</t>
  </si>
  <si>
    <t>12/07/2026 09:23</t>
  </si>
  <si>
    <t>TCK-22466</t>
  </si>
  <si>
    <t>15/06/2026 22:31</t>
  </si>
  <si>
    <t>17/06/2026 12:22</t>
  </si>
  <si>
    <t>TCK-23182</t>
  </si>
  <si>
    <t>14/01/2026 22:39</t>
  </si>
  <si>
    <t>15/01/2026 13:06</t>
  </si>
  <si>
    <t>TCK-20606</t>
  </si>
  <si>
    <t>15/03/2026 14:22</t>
  </si>
  <si>
    <t>TCK-22890</t>
  </si>
  <si>
    <t>02/02/2026 11:42</t>
  </si>
  <si>
    <t>TCK-22933</t>
  </si>
  <si>
    <t>18/01/2026 09:48</t>
  </si>
  <si>
    <t>19/01/2026 02:14</t>
  </si>
  <si>
    <t>TCK-20109</t>
  </si>
  <si>
    <t>27/07/2026 12:35</t>
  </si>
  <si>
    <t>28/07/2026 02:55</t>
  </si>
  <si>
    <t>TCK-22747</t>
  </si>
  <si>
    <t>26/01/2026 07:05</t>
  </si>
  <si>
    <t>26/01/2026 17:30</t>
  </si>
  <si>
    <t>TCK-22162</t>
  </si>
  <si>
    <t>16/08/2026 06:41</t>
  </si>
  <si>
    <t>TCK-21306</t>
  </si>
  <si>
    <t>21/02/2026 01:40</t>
  </si>
  <si>
    <t>TCK-21068</t>
  </si>
  <si>
    <t>13/06/2026 23:01</t>
  </si>
  <si>
    <t>14/06/2026 18:09</t>
  </si>
  <si>
    <t>TCK-21855</t>
  </si>
  <si>
    <t>31/05/2026 09:22</t>
  </si>
  <si>
    <t>01/06/2026 02:28</t>
  </si>
  <si>
    <t>TCK-21129</t>
  </si>
  <si>
    <t>23/03/2026 20:46</t>
  </si>
  <si>
    <t>TCK-20333</t>
  </si>
  <si>
    <t>12/02/2026 02:41</t>
  </si>
  <si>
    <t>12/02/2026 05:09</t>
  </si>
  <si>
    <t>TCK-21633</t>
  </si>
  <si>
    <t>11/08/2026 12:33</t>
  </si>
  <si>
    <t>12/08/2026 18:57</t>
  </si>
  <si>
    <t>TCK-22843</t>
  </si>
  <si>
    <t>03/01/2026 13:36</t>
  </si>
  <si>
    <t>03/01/2026 15:42</t>
  </si>
  <si>
    <t>TCK-21369</t>
  </si>
  <si>
    <t>08/02/2026 16:30</t>
  </si>
  <si>
    <t>09/02/2026 00:54</t>
  </si>
  <si>
    <t>TCK-22347</t>
  </si>
  <si>
    <t>25/05/2026 07:46</t>
  </si>
  <si>
    <t>25/05/2026 16:19</t>
  </si>
  <si>
    <t>TCK-23034</t>
  </si>
  <si>
    <t>14/04/2026 18:12</t>
  </si>
  <si>
    <t>19/04/2026 23:58</t>
  </si>
  <si>
    <t>TCK-22385</t>
  </si>
  <si>
    <t>06/04/2026 20:42</t>
  </si>
  <si>
    <t>TCK-21296</t>
  </si>
  <si>
    <t>29/03/2026 02:41</t>
  </si>
  <si>
    <t>01/04/2026 19:09</t>
  </si>
  <si>
    <t>TCK-21326</t>
  </si>
  <si>
    <t>11/07/2026 07:03</t>
  </si>
  <si>
    <t>11/07/2026 16:34</t>
  </si>
  <si>
    <t>TCK-22308</t>
  </si>
  <si>
    <t>20/07/2026 07:00</t>
  </si>
  <si>
    <t>21/07/2026 13:06</t>
  </si>
  <si>
    <t>TCK-21267</t>
  </si>
  <si>
    <t>19/02/2026 04:04</t>
  </si>
  <si>
    <t>19/02/2026 19:09</t>
  </si>
  <si>
    <t>TCK-22836</t>
  </si>
  <si>
    <t>11/03/2026 19:11</t>
  </si>
  <si>
    <t>13/03/2026 00:23</t>
  </si>
  <si>
    <t>TCK-21801</t>
  </si>
  <si>
    <t>20/08/2026 11:38</t>
  </si>
  <si>
    <t>20/08/2026 13:15</t>
  </si>
  <si>
    <t>TCK-20536</t>
  </si>
  <si>
    <t>19/08/2026 05:25</t>
  </si>
  <si>
    <t>TCK-22894</t>
  </si>
  <si>
    <t>09/01/2026 12:49</t>
  </si>
  <si>
    <t>09/01/2026 22:27</t>
  </si>
  <si>
    <t>TCK-22119</t>
  </si>
  <si>
    <t>02/03/2026 18:56</t>
  </si>
  <si>
    <t>TCK-21126</t>
  </si>
  <si>
    <t>19/03/2026 22:41</t>
  </si>
  <si>
    <t>20/03/2026 00:56</t>
  </si>
  <si>
    <t>TCK-20669</t>
  </si>
  <si>
    <t>21/04/2026 06:18</t>
  </si>
  <si>
    <t>22/04/2026 08:49</t>
  </si>
  <si>
    <t>TCK-21204</t>
  </si>
  <si>
    <t>22/08/2026 21:58</t>
  </si>
  <si>
    <t>23/08/2026 00:40</t>
  </si>
  <si>
    <t>TCK-23161</t>
  </si>
  <si>
    <t>24/02/2026 06:20</t>
  </si>
  <si>
    <t>24/02/2026 22:35</t>
  </si>
  <si>
    <t>TCK-20857</t>
  </si>
  <si>
    <t>05/02/2026 02:21</t>
  </si>
  <si>
    <t>05/02/2026 03:48</t>
  </si>
  <si>
    <t>TCK-20422</t>
  </si>
  <si>
    <t>28/02/2026 13:47</t>
  </si>
  <si>
    <t>TCK-20787</t>
  </si>
  <si>
    <t>23/05/2026 02:03</t>
  </si>
  <si>
    <t>TCK-23160</t>
  </si>
  <si>
    <t>TCK-20118</t>
  </si>
  <si>
    <t>14/06/2026 06:17</t>
  </si>
  <si>
    <t>14/06/2026 15:07</t>
  </si>
  <si>
    <t>TCK-20791</t>
  </si>
  <si>
    <t>13/06/2026 10:10</t>
  </si>
  <si>
    <t>13/06/2026 17:03</t>
  </si>
  <si>
    <t>TCK-20998</t>
  </si>
  <si>
    <t>12/08/2026 04:51</t>
  </si>
  <si>
    <t>TCK-20691</t>
  </si>
  <si>
    <t>18/02/2026 09:49</t>
  </si>
  <si>
    <t>18/02/2026 16:52</t>
  </si>
  <si>
    <t>TCK-23098</t>
  </si>
  <si>
    <t>07/07/2026 13:25</t>
  </si>
  <si>
    <t>08/07/2026 03:29</t>
  </si>
  <si>
    <t>TCK-20051</t>
  </si>
  <si>
    <t>03/03/2026 01:06</t>
  </si>
  <si>
    <t>TCK-22742</t>
  </si>
  <si>
    <t>26/02/2026 21:58</t>
  </si>
  <si>
    <t>26/02/2026 23:12</t>
  </si>
  <si>
    <t>TCK-22821</t>
  </si>
  <si>
    <t>16/05/2026 23:06</t>
  </si>
  <si>
    <t>17/05/2026 21:22</t>
  </si>
  <si>
    <t>TCK-22207</t>
  </si>
  <si>
    <t>08/02/2026 09:02</t>
  </si>
  <si>
    <t>08/02/2026 12:34</t>
  </si>
  <si>
    <t>TCK-21682</t>
  </si>
  <si>
    <t>06/08/2026 00:04</t>
  </si>
  <si>
    <t>TCK-21867</t>
  </si>
  <si>
    <t>28/07/2026 18:57</t>
  </si>
  <si>
    <t>TCK-21112</t>
  </si>
  <si>
    <t>09/08/2026 19:10</t>
  </si>
  <si>
    <t>14/08/2026 12:32</t>
  </si>
  <si>
    <t>TCK-22033</t>
  </si>
  <si>
    <t>02/05/2026 18:46</t>
  </si>
  <si>
    <t>TCK-21561</t>
  </si>
  <si>
    <t>05/04/2026 06:14</t>
  </si>
  <si>
    <t>08/04/2026 03:42</t>
  </si>
  <si>
    <t>TCK-21463</t>
  </si>
  <si>
    <t>17/06/2026 02:18</t>
  </si>
  <si>
    <t>TCK-22216</t>
  </si>
  <si>
    <t>10/01/2026 01:56</t>
  </si>
  <si>
    <t>TCK-22367</t>
  </si>
  <si>
    <t>17/02/2026 16:44</t>
  </si>
  <si>
    <t>17/02/2026 19:50</t>
  </si>
  <si>
    <t>TCK-20082</t>
  </si>
  <si>
    <t>08/04/2026 20:27</t>
  </si>
  <si>
    <t>10/04/2026 14:11</t>
  </si>
  <si>
    <t>TCK-20340</t>
  </si>
  <si>
    <t>06/03/2026 16:54</t>
  </si>
  <si>
    <t>07/03/2026 07:06</t>
  </si>
  <si>
    <t>TCK-22928</t>
  </si>
  <si>
    <t>10/04/2026 18:59</t>
  </si>
  <si>
    <t>TCK-22353</t>
  </si>
  <si>
    <t>09/03/2026 20:30</t>
  </si>
  <si>
    <t>TCK-22848</t>
  </si>
  <si>
    <t>11/08/2026 23:30</t>
  </si>
  <si>
    <t>12/08/2026 00:59</t>
  </si>
  <si>
    <t>TCK-21116</t>
  </si>
  <si>
    <t>04/02/2026 01:13</t>
  </si>
  <si>
    <t>04/02/2026 11:08</t>
  </si>
  <si>
    <t>TCK-21404</t>
  </si>
  <si>
    <t>11/07/2026 16:26</t>
  </si>
  <si>
    <t>TCK-20780</t>
  </si>
  <si>
    <t>27/07/2026 03:23</t>
  </si>
  <si>
    <t>TCK-23138</t>
  </si>
  <si>
    <t>06/08/2026 03:12</t>
  </si>
  <si>
    <t>06/08/2026 08:02</t>
  </si>
  <si>
    <t>TCK-20134</t>
  </si>
  <si>
    <t>11/06/2026 13:08</t>
  </si>
  <si>
    <t>11/06/2026 19:59</t>
  </si>
  <si>
    <t>TCK-22977</t>
  </si>
  <si>
    <t>06/03/2026 16:36</t>
  </si>
  <si>
    <t>TCK-21187</t>
  </si>
  <si>
    <t>13/01/2026 23:14</t>
  </si>
  <si>
    <t>TCK-22302</t>
  </si>
  <si>
    <t>11/08/2026 12:28</t>
  </si>
  <si>
    <t>11/08/2026 14:17</t>
  </si>
  <si>
    <t>TCK-20899</t>
  </si>
  <si>
    <t>19/08/2026 02:00</t>
  </si>
  <si>
    <t>20/08/2026 00:52</t>
  </si>
  <si>
    <t>TCK-21426</t>
  </si>
  <si>
    <t>13/02/2026 13:32</t>
  </si>
  <si>
    <t>13/02/2026 15:55</t>
  </si>
  <si>
    <t>TCK-21298</t>
  </si>
  <si>
    <t>04/04/2026 17:22</t>
  </si>
  <si>
    <t>07/04/2026 01:19</t>
  </si>
  <si>
    <t>TCK-22170</t>
  </si>
  <si>
    <t>13/08/2026 02:25</t>
  </si>
  <si>
    <t>13/08/2026 05:05</t>
  </si>
  <si>
    <t>TCK-21388</t>
  </si>
  <si>
    <t>16/02/2026 14:42</t>
  </si>
  <si>
    <t>16/02/2026 21:42</t>
  </si>
  <si>
    <t>TCK-22393</t>
  </si>
  <si>
    <t>03/07/2026 05:02</t>
  </si>
  <si>
    <t>03/07/2026 21:24</t>
  </si>
  <si>
    <t>TCK-22151</t>
  </si>
  <si>
    <t>04/03/2026 23:41</t>
  </si>
  <si>
    <t>TCK-20992</t>
  </si>
  <si>
    <t>24/02/2026 04:49</t>
  </si>
  <si>
    <t>25/02/2026 15:56</t>
  </si>
  <si>
    <t>TCK-20366</t>
  </si>
  <si>
    <t>26/04/2026 04:42</t>
  </si>
  <si>
    <t>26/04/2026 22:57</t>
  </si>
  <si>
    <t>TCK-22661</t>
  </si>
  <si>
    <t>09/02/2026 18:00</t>
  </si>
  <si>
    <t>TCK-20779</t>
  </si>
  <si>
    <t>20/01/2026 22:43</t>
  </si>
  <si>
    <t>TCK-23015</t>
  </si>
  <si>
    <t>12/05/2026 05:45</t>
  </si>
  <si>
    <t>TCK-20161</t>
  </si>
  <si>
    <t>19/02/2026 16:19</t>
  </si>
  <si>
    <t>23/02/2026 10:08</t>
  </si>
  <si>
    <t>TCK-20872</t>
  </si>
  <si>
    <t>22/01/2026 00:18</t>
  </si>
  <si>
    <t>22/01/2026 08:49</t>
  </si>
  <si>
    <t>TCK-20947</t>
  </si>
  <si>
    <t>06/04/2026 21:31</t>
  </si>
  <si>
    <t>07/04/2026 03:37</t>
  </si>
  <si>
    <t>TCK-21499</t>
  </si>
  <si>
    <t>03/01/2026 02:49</t>
  </si>
  <si>
    <t>05/01/2026 01:40</t>
  </si>
  <si>
    <t>TCK-22161</t>
  </si>
  <si>
    <t>05/08/2026 15:20</t>
  </si>
  <si>
    <t>10/08/2026 01:40</t>
  </si>
  <si>
    <t>TCK-21725</t>
  </si>
  <si>
    <t>24/04/2026 04:54</t>
  </si>
  <si>
    <t>24/04/2026 05:38</t>
  </si>
  <si>
    <t>TCK-22905</t>
  </si>
  <si>
    <t>23/06/2026 21:48</t>
  </si>
  <si>
    <t>23/06/2026 23:24</t>
  </si>
  <si>
    <t>TCK-20086</t>
  </si>
  <si>
    <t>16/08/2026 14:02</t>
  </si>
  <si>
    <t>16/08/2026 18:29</t>
  </si>
  <si>
    <t>TCK-20628</t>
  </si>
  <si>
    <t>06/03/2026 12:02</t>
  </si>
  <si>
    <t>TCK-21646</t>
  </si>
  <si>
    <t>08/02/2026 21:59</t>
  </si>
  <si>
    <t>09/02/2026 04:42</t>
  </si>
  <si>
    <t>TCK-22537</t>
  </si>
  <si>
    <t>12/06/2026 19:01</t>
  </si>
  <si>
    <t>TCK-21272</t>
  </si>
  <si>
    <t>23/08/2026 03:00</t>
  </si>
  <si>
    <t>23/08/2026 05:28</t>
  </si>
  <si>
    <t>TCK-23181</t>
  </si>
  <si>
    <t>07/07/2026 22:46</t>
  </si>
  <si>
    <t>08/07/2026 19:03</t>
  </si>
  <si>
    <t>TCK-20502</t>
  </si>
  <si>
    <t>27/04/2026 03:30</t>
  </si>
  <si>
    <t>28/04/2026 20:48</t>
  </si>
  <si>
    <t>TCK-22047</t>
  </si>
  <si>
    <t>13/08/2026 20:13</t>
  </si>
  <si>
    <t>13/08/2026 22:21</t>
  </si>
  <si>
    <t>TCK-20250</t>
  </si>
  <si>
    <t>18/01/2026 14:15</t>
  </si>
  <si>
    <t>TCK-21044</t>
  </si>
  <si>
    <t>14/07/2026 21:40</t>
  </si>
  <si>
    <t>18/07/2026 17:10</t>
  </si>
  <si>
    <t>TCK-20002</t>
  </si>
  <si>
    <t>27/02/2026 01:24</t>
  </si>
  <si>
    <t>TCK-22365</t>
  </si>
  <si>
    <t>17/06/2026 19:01</t>
  </si>
  <si>
    <t>18/06/2026 12:51</t>
  </si>
  <si>
    <t>TCK-20063</t>
  </si>
  <si>
    <t>28/02/2026 18:03</t>
  </si>
  <si>
    <t>TCK-22935</t>
  </si>
  <si>
    <t>06/05/2026 08:10</t>
  </si>
  <si>
    <t>TCK-22605</t>
  </si>
  <si>
    <t>09/05/2026 13:31</t>
  </si>
  <si>
    <t>10/05/2026 09:58</t>
  </si>
  <si>
    <t>TCK-21359</t>
  </si>
  <si>
    <t>26/05/2026 13:51</t>
  </si>
  <si>
    <t>TCK-20236</t>
  </si>
  <si>
    <t>02/06/2026 18:21</t>
  </si>
  <si>
    <t>TCK-22774</t>
  </si>
  <si>
    <t>31/05/2026 14:26</t>
  </si>
  <si>
    <t>31/05/2026 16:47</t>
  </si>
  <si>
    <t>TCK-20804</t>
  </si>
  <si>
    <t>04/02/2026 17:32</t>
  </si>
  <si>
    <t>05/02/2026 01:42</t>
  </si>
  <si>
    <t>TCK-21660</t>
  </si>
  <si>
    <t>19/04/2026 23:33</t>
  </si>
  <si>
    <t>21/04/2026 05:16</t>
  </si>
  <si>
    <t>TCK-22739</t>
  </si>
  <si>
    <t>11/06/2026 06:00</t>
  </si>
  <si>
    <t>11/06/2026 06:37</t>
  </si>
  <si>
    <t>TCK-20651</t>
  </si>
  <si>
    <t>02/01/2026 08:34</t>
  </si>
  <si>
    <t>02/01/2026 13:16</t>
  </si>
  <si>
    <t>TCK-22922</t>
  </si>
  <si>
    <t>12/02/2026 02:15</t>
  </si>
  <si>
    <t>12/02/2026 13:34</t>
  </si>
  <si>
    <t>TCK-21238</t>
  </si>
  <si>
    <t>19/03/2026 10:18</t>
  </si>
  <si>
    <t>19/03/2026 21:16</t>
  </si>
  <si>
    <t>TCK-20239</t>
  </si>
  <si>
    <t>11/03/2026 04:41</t>
  </si>
  <si>
    <t>TCK-21881</t>
  </si>
  <si>
    <t>25/02/2026 20:04</t>
  </si>
  <si>
    <t>02/03/2026 21:49</t>
  </si>
  <si>
    <t>TCK-20842</t>
  </si>
  <si>
    <t>15/07/2026 13:57</t>
  </si>
  <si>
    <t>16/07/2026 06:35</t>
  </si>
  <si>
    <t>TCK-22273</t>
  </si>
  <si>
    <t>20/04/2026 12:14</t>
  </si>
  <si>
    <t>TCK-22425</t>
  </si>
  <si>
    <t>30/03/2026 00:19</t>
  </si>
  <si>
    <t>TCK-20990</t>
  </si>
  <si>
    <t>17/06/2026 10:13</t>
  </si>
  <si>
    <t>17/06/2026 21:38</t>
  </si>
  <si>
    <t>TCK-22727</t>
  </si>
  <si>
    <t>29/01/2026 17:26</t>
  </si>
  <si>
    <t>29/01/2026 18:35</t>
  </si>
  <si>
    <t>TCK-22380</t>
  </si>
  <si>
    <t>14/06/2026 11:58</t>
  </si>
  <si>
    <t>TCK-22923</t>
  </si>
  <si>
    <t>25/05/2026 09:59</t>
  </si>
  <si>
    <t>TCK-22264</t>
  </si>
  <si>
    <t>30/03/2026 08:52</t>
  </si>
  <si>
    <t>30/03/2026 14:07</t>
  </si>
  <si>
    <t>TCK-23142</t>
  </si>
  <si>
    <t>08/03/2026 20:28</t>
  </si>
  <si>
    <t>09/03/2026 15:28</t>
  </si>
  <si>
    <t>TCK-21901</t>
  </si>
  <si>
    <t>24/08/2026 06:09</t>
  </si>
  <si>
    <t>25/08/2026 06:15</t>
  </si>
  <si>
    <t>TCK-21609</t>
  </si>
  <si>
    <t>22/02/2026 19:28</t>
  </si>
  <si>
    <t>TCK-22066</t>
  </si>
  <si>
    <t>05/01/2026 18:13</t>
  </si>
  <si>
    <t>05/01/2026 20:23</t>
  </si>
  <si>
    <t>TCK-21713</t>
  </si>
  <si>
    <t>11/03/2026 15:04</t>
  </si>
  <si>
    <t>11/03/2026 17:14</t>
  </si>
  <si>
    <t>TCK-21070</t>
  </si>
  <si>
    <t>22/06/2026 16:53</t>
  </si>
  <si>
    <t>TCK-20384</t>
  </si>
  <si>
    <t>28/07/2026 05:49</t>
  </si>
  <si>
    <t>28/07/2026 23:55</t>
  </si>
  <si>
    <t>TCK-21340</t>
  </si>
  <si>
    <t>08/03/2026 18:23</t>
  </si>
  <si>
    <t>10/03/2026 13:13</t>
  </si>
  <si>
    <t>TCK-21882</t>
  </si>
  <si>
    <t>11/02/2026 01:08</t>
  </si>
  <si>
    <t>TCK-20380</t>
  </si>
  <si>
    <t>20/08/2026 00:45</t>
  </si>
  <si>
    <t>TCK-20325</t>
  </si>
  <si>
    <t>27/04/2026 07:49</t>
  </si>
  <si>
    <t>27/04/2026 14:56</t>
  </si>
  <si>
    <t>TCK-20591</t>
  </si>
  <si>
    <t>06/04/2026 02:28</t>
  </si>
  <si>
    <t>TCK-22554</t>
  </si>
  <si>
    <t>30/08/2026 02:47</t>
  </si>
  <si>
    <t>30/08/2026 08:36</t>
  </si>
  <si>
    <t>TCK-22384</t>
  </si>
  <si>
    <t>24/03/2026 23:41</t>
  </si>
  <si>
    <t>25/03/2026 03:30</t>
  </si>
  <si>
    <t>TCK-21706</t>
  </si>
  <si>
    <t>12/08/2026 04:52</t>
  </si>
  <si>
    <t>13/08/2026 19:00</t>
  </si>
  <si>
    <t>TCK-22335</t>
  </si>
  <si>
    <t>24/05/2026 16:10</t>
  </si>
  <si>
    <t>TCK-23136</t>
  </si>
  <si>
    <t>01/06/2026 08:03</t>
  </si>
  <si>
    <t>01/06/2026 21:41</t>
  </si>
  <si>
    <t>TCK-20189</t>
  </si>
  <si>
    <t>26/06/2026 14:47</t>
  </si>
  <si>
    <t>28/06/2026 01:09</t>
  </si>
  <si>
    <t>TCK-21710</t>
  </si>
  <si>
    <t>05/03/2026 01:55</t>
  </si>
  <si>
    <t>TCK-20403</t>
  </si>
  <si>
    <t>12/04/2026 15:03</t>
  </si>
  <si>
    <t>13/04/2026 22:54</t>
  </si>
  <si>
    <t>TCK-21892</t>
  </si>
  <si>
    <t>20/07/2026 14:30</t>
  </si>
  <si>
    <t>TCK-22751</t>
  </si>
  <si>
    <t>09/04/2026 12:18</t>
  </si>
  <si>
    <t>09/04/2026 16:02</t>
  </si>
  <si>
    <t>TCK-20426</t>
  </si>
  <si>
    <t>23/08/2026 08:52</t>
  </si>
  <si>
    <t>25/08/2026 17:04</t>
  </si>
  <si>
    <t>TCK-23197</t>
  </si>
  <si>
    <t>17/01/2026 17:33</t>
  </si>
  <si>
    <t>17/01/2026 23:16</t>
  </si>
  <si>
    <t>TCK-22497</t>
  </si>
  <si>
    <t>17/07/2026 13:12</t>
  </si>
  <si>
    <t>TCK-20661</t>
  </si>
  <si>
    <t>03/06/2026 18:16</t>
  </si>
  <si>
    <t>06/06/2026 10:59</t>
  </si>
  <si>
    <t>TCK-20337</t>
  </si>
  <si>
    <t>22/07/2026 00:30</t>
  </si>
  <si>
    <t>22/07/2026 01:57</t>
  </si>
  <si>
    <t>TCK-22680</t>
  </si>
  <si>
    <t>04/04/2026 23:09</t>
  </si>
  <si>
    <t>06/04/2026 04:34</t>
  </si>
  <si>
    <t>TCK-23101</t>
  </si>
  <si>
    <t>02/06/2026 18:39</t>
  </si>
  <si>
    <t>TCK-21559</t>
  </si>
  <si>
    <t>02/05/2026 23:13</t>
  </si>
  <si>
    <t>04/05/2026 15:43</t>
  </si>
  <si>
    <t>TCK-20471</t>
  </si>
  <si>
    <t>11/01/2026 22:04</t>
  </si>
  <si>
    <t>12/01/2026 13:54</t>
  </si>
  <si>
    <t>TCK-22531</t>
  </si>
  <si>
    <t>12/06/2026 22:08</t>
  </si>
  <si>
    <t>13/06/2026 03:30</t>
  </si>
  <si>
    <t>TCK-21951</t>
  </si>
  <si>
    <t>05/08/2026 20:38</t>
  </si>
  <si>
    <t>TCK-20153</t>
  </si>
  <si>
    <t>13/01/2026 04:43</t>
  </si>
  <si>
    <t>TCK-21832</t>
  </si>
  <si>
    <t>25/01/2026 21:37</t>
  </si>
  <si>
    <t>26/01/2026 01:03</t>
  </si>
  <si>
    <t>TCK-20819</t>
  </si>
  <si>
    <t>04/04/2026 17:17</t>
  </si>
  <si>
    <t>TCK-21354</t>
  </si>
  <si>
    <t>02/04/2026 00:39</t>
  </si>
  <si>
    <t>02/04/2026 19:46</t>
  </si>
  <si>
    <t>TCK-22693</t>
  </si>
  <si>
    <t>23/08/2026 14:04</t>
  </si>
  <si>
    <t>23/08/2026 15:57</t>
  </si>
  <si>
    <t>TCK-20308</t>
  </si>
  <si>
    <t>14/03/2026 23:22</t>
  </si>
  <si>
    <t>15/03/2026 20:51</t>
  </si>
  <si>
    <t>TCK-21531</t>
  </si>
  <si>
    <t>20/05/2026 21:21</t>
  </si>
  <si>
    <t>21/05/2026 03:50</t>
  </si>
  <si>
    <t>TCK-22127</t>
  </si>
  <si>
    <t>19/02/2026 10:40</t>
  </si>
  <si>
    <t>24/02/2026 15:03</t>
  </si>
  <si>
    <t>TCK-20047</t>
  </si>
  <si>
    <t>01/04/2026 04:20</t>
  </si>
  <si>
    <t>01/04/2026 08:10</t>
  </si>
  <si>
    <t>TCK-20870</t>
  </si>
  <si>
    <t>31/07/2026 02:54</t>
  </si>
  <si>
    <t>TCK-21137</t>
  </si>
  <si>
    <t>13/01/2026 06:14</t>
  </si>
  <si>
    <t>13/01/2026 07:03</t>
  </si>
  <si>
    <t>TCK-22059</t>
  </si>
  <si>
    <t>29/05/2026 10:00</t>
  </si>
  <si>
    <t>30/05/2026 05:24</t>
  </si>
  <si>
    <t>TCK-20949</t>
  </si>
  <si>
    <t>17/08/2026 21:30</t>
  </si>
  <si>
    <t>18/08/2026 03:42</t>
  </si>
  <si>
    <t>TCK-21283</t>
  </si>
  <si>
    <t>26/02/2026 17:55</t>
  </si>
  <si>
    <t>27/02/2026 03:22</t>
  </si>
  <si>
    <t>TCK-21239</t>
  </si>
  <si>
    <t>09/02/2026 11:24</t>
  </si>
  <si>
    <t>09/02/2026 15:46</t>
  </si>
  <si>
    <t>TCK-21435</t>
  </si>
  <si>
    <t>12/06/2026 16:14</t>
  </si>
  <si>
    <t>12/06/2026 18:42</t>
  </si>
  <si>
    <t>TCK-22382</t>
  </si>
  <si>
    <t>13/08/2026 04:26</t>
  </si>
  <si>
    <t>TCK-20430</t>
  </si>
  <si>
    <t>12/08/2026 12:10</t>
  </si>
  <si>
    <t>TCK-20568</t>
  </si>
  <si>
    <t>10/05/2026 15:06</t>
  </si>
  <si>
    <t>TCK-22196</t>
  </si>
  <si>
    <t>28/05/2026 03:16</t>
  </si>
  <si>
    <t>29/05/2026 10:36</t>
  </si>
  <si>
    <t>TCK-22111</t>
  </si>
  <si>
    <t>04/07/2026 16:28</t>
  </si>
  <si>
    <t>05/07/2026 00:45</t>
  </si>
  <si>
    <t>TCK-23173</t>
  </si>
  <si>
    <t>25/02/2026 22:35</t>
  </si>
  <si>
    <t>25/02/2026 23:28</t>
  </si>
  <si>
    <t>TCK-21923</t>
  </si>
  <si>
    <t>19/04/2026 07:51</t>
  </si>
  <si>
    <t>TCK-20215</t>
  </si>
  <si>
    <t>21/04/2026 01:05</t>
  </si>
  <si>
    <t>22/04/2026 14:30</t>
  </si>
  <si>
    <t>TCK-21716</t>
  </si>
  <si>
    <t>14/05/2026 14:16</t>
  </si>
  <si>
    <t>19/05/2026 09:38</t>
  </si>
  <si>
    <t>TCK-20988</t>
  </si>
  <si>
    <t>20/03/2026 06:30</t>
  </si>
  <si>
    <t>TCK-22012</t>
  </si>
  <si>
    <t>18/05/2026 05:51</t>
  </si>
  <si>
    <t>19/05/2026 10:00</t>
  </si>
  <si>
    <t>TCK-21403</t>
  </si>
  <si>
    <t>23/08/2026 16:41</t>
  </si>
  <si>
    <t>TCK-22869</t>
  </si>
  <si>
    <t>11/05/2026 12:49</t>
  </si>
  <si>
    <t>TCK-21614</t>
  </si>
  <si>
    <t>14/01/2026 04:48</t>
  </si>
  <si>
    <t>14/01/2026 07:08</t>
  </si>
  <si>
    <t>TCK-21495</t>
  </si>
  <si>
    <t>04/07/2026 14:32</t>
  </si>
  <si>
    <t>08/07/2026 13:03</t>
  </si>
  <si>
    <t>TCK-20571</t>
  </si>
  <si>
    <t>24/04/2026 08:41</t>
  </si>
  <si>
    <t>24/04/2026 11:07</t>
  </si>
  <si>
    <t>TCK-22118</t>
  </si>
  <si>
    <t>31/05/2026 08:04</t>
  </si>
  <si>
    <t>TCK-22706</t>
  </si>
  <si>
    <t>01/08/2026 02:44</t>
  </si>
  <si>
    <t>01/08/2026 04:14</t>
  </si>
  <si>
    <t>TCK-20172</t>
  </si>
  <si>
    <t>19/03/2026 10:56</t>
  </si>
  <si>
    <t>20/03/2026 03:06</t>
  </si>
  <si>
    <t>TCK-22052</t>
  </si>
  <si>
    <t>17/04/2026 18:07</t>
  </si>
  <si>
    <t>18/04/2026 07:17</t>
  </si>
  <si>
    <t>TCK-23088</t>
  </si>
  <si>
    <t>28/06/2026 17:59</t>
  </si>
  <si>
    <t>TCK-20029</t>
  </si>
  <si>
    <t>06/08/2026 13:06</t>
  </si>
  <si>
    <t>06/08/2026 19:55</t>
  </si>
  <si>
    <t>TCK-20019</t>
  </si>
  <si>
    <t>02/03/2026 06:48</t>
  </si>
  <si>
    <t>03/03/2026 06:42</t>
  </si>
  <si>
    <t>TCK-22852</t>
  </si>
  <si>
    <t>20/08/2026 20:59</t>
  </si>
  <si>
    <t>TCK-22507</t>
  </si>
  <si>
    <t>17/03/2026 14:51</t>
  </si>
  <si>
    <t>18/03/2026 03:19</t>
  </si>
  <si>
    <t>TCK-21109</t>
  </si>
  <si>
    <t>20/08/2026 23:06</t>
  </si>
  <si>
    <t>21/08/2026 20:07</t>
  </si>
  <si>
    <t>TCK-20076</t>
  </si>
  <si>
    <t>18/03/2026 14:14</t>
  </si>
  <si>
    <t>18/03/2026 16:29</t>
  </si>
  <si>
    <t>TCK-23133</t>
  </si>
  <si>
    <t>01/05/2026 02:32</t>
  </si>
  <si>
    <t>01/05/2026 11:28</t>
  </si>
  <si>
    <t>TCK-20919</t>
  </si>
  <si>
    <t>10/08/2026 08:49</t>
  </si>
  <si>
    <t>10/08/2026 15:15</t>
  </si>
  <si>
    <t>TCK-21563</t>
  </si>
  <si>
    <t>09/05/2026 11:20</t>
  </si>
  <si>
    <t>09/05/2026 16:51</t>
  </si>
  <si>
    <t>TCK-21240</t>
  </si>
  <si>
    <t>28/05/2026 11:13</t>
  </si>
  <si>
    <t>28/05/2026 13:31</t>
  </si>
  <si>
    <t>TCK-21905</t>
  </si>
  <si>
    <t>21/04/2026 00:23</t>
  </si>
  <si>
    <t>TCK-22979</t>
  </si>
  <si>
    <t>15/08/2026 02:06</t>
  </si>
  <si>
    <t>15/08/2026 08:23</t>
  </si>
  <si>
    <t>TCK-21720</t>
  </si>
  <si>
    <t>13/06/2026 12:29</t>
  </si>
  <si>
    <t>TCK-22360</t>
  </si>
  <si>
    <t>08/01/2026 00:41</t>
  </si>
  <si>
    <t>08/01/2026 02:56</t>
  </si>
  <si>
    <t>TCK-21024</t>
  </si>
  <si>
    <t>08/03/2026 13:08</t>
  </si>
  <si>
    <t>11/03/2026 11:42</t>
  </si>
  <si>
    <t>TCK-22251</t>
  </si>
  <si>
    <t>16/08/2026 15:11</t>
  </si>
  <si>
    <t>17/08/2026 06:15</t>
  </si>
  <si>
    <t>TCK-21360</t>
  </si>
  <si>
    <t>09/05/2026 11:56</t>
  </si>
  <si>
    <t>09/05/2026 17:04</t>
  </si>
  <si>
    <t>TCK-20315</t>
  </si>
  <si>
    <t>20/06/2026 09:05</t>
  </si>
  <si>
    <t>21/06/2026 02:20</t>
  </si>
  <si>
    <t>TCK-21329</t>
  </si>
  <si>
    <t>07/07/2026 21:20</t>
  </si>
  <si>
    <t>TCK-21496</t>
  </si>
  <si>
    <t>04/03/2026 14:42</t>
  </si>
  <si>
    <t>TCK-20108</t>
  </si>
  <si>
    <t>24/08/2026 05:50</t>
  </si>
  <si>
    <t>25/08/2026 00:34</t>
  </si>
  <si>
    <t>TCK-21446</t>
  </si>
  <si>
    <t>08/06/2026 02:36</t>
  </si>
  <si>
    <t>12/06/2026 14:58</t>
  </si>
  <si>
    <t>TCK-20528</t>
  </si>
  <si>
    <t>31/07/2026 07:28</t>
  </si>
  <si>
    <t>TCK-22218</t>
  </si>
  <si>
    <t>08/08/2026 08:12</t>
  </si>
  <si>
    <t>08/08/2026 14:03</t>
  </si>
  <si>
    <t>TCK-21461</t>
  </si>
  <si>
    <t>04/04/2026 20:05</t>
  </si>
  <si>
    <t>TCK-20331</t>
  </si>
  <si>
    <t>13/08/2026 11:52</t>
  </si>
  <si>
    <t>13/08/2026 17:01</t>
  </si>
  <si>
    <t>TCK-21562</t>
  </si>
  <si>
    <t>16/08/2026 09:50</t>
  </si>
  <si>
    <t>17/08/2026 22:12</t>
  </si>
  <si>
    <t>TCK-20879</t>
  </si>
  <si>
    <t>02/07/2026 19:38</t>
  </si>
  <si>
    <t>03/07/2026 16:01</t>
  </si>
  <si>
    <t>TCK-20545</t>
  </si>
  <si>
    <t>22/04/2026 02:18</t>
  </si>
  <si>
    <t>22/04/2026 16:24</t>
  </si>
  <si>
    <t>TCK-20034</t>
  </si>
  <si>
    <t>22/07/2026 00:17</t>
  </si>
  <si>
    <t>22/07/2026 06:02</t>
  </si>
  <si>
    <t>TCK-22062</t>
  </si>
  <si>
    <t>15/07/2026 20:49</t>
  </si>
  <si>
    <t>TCK-22117</t>
  </si>
  <si>
    <t>03/08/2026 05:47</t>
  </si>
  <si>
    <t>04/08/2026 01:33</t>
  </si>
  <si>
    <t>TCK-20474</t>
  </si>
  <si>
    <t>22/01/2026 18:42</t>
  </si>
  <si>
    <t>22/01/2026 19:48</t>
  </si>
  <si>
    <t>TCK-21743</t>
  </si>
  <si>
    <t>27/07/2026 15:36</t>
  </si>
  <si>
    <t>27/07/2026 20:07</t>
  </si>
  <si>
    <t>TCK-20632</t>
  </si>
  <si>
    <t>07/04/2026 12:44</t>
  </si>
  <si>
    <t>08/04/2026 09:15</t>
  </si>
  <si>
    <t>TCK-21644</t>
  </si>
  <si>
    <t>14/07/2026 23:58</t>
  </si>
  <si>
    <t>15/07/2026 18:41</t>
  </si>
  <si>
    <t>TCK-22884</t>
  </si>
  <si>
    <t>17/01/2026 15:18</t>
  </si>
  <si>
    <t>17/01/2026 20:36</t>
  </si>
  <si>
    <t>TCK-22804</t>
  </si>
  <si>
    <t>28/04/2026 06:41</t>
  </si>
  <si>
    <t>TCK-22654</t>
  </si>
  <si>
    <t>24/04/2026 06:53</t>
  </si>
  <si>
    <t>24/04/2026 12:06</t>
  </si>
  <si>
    <t>TCK-22407</t>
  </si>
  <si>
    <t>11/05/2026 05:49</t>
  </si>
  <si>
    <t>TCK-23071</t>
  </si>
  <si>
    <t>18/06/2026 10:09</t>
  </si>
  <si>
    <t>19/06/2026 06:07</t>
  </si>
  <si>
    <t>TCK-20708</t>
  </si>
  <si>
    <t>19/08/2026 04:16</t>
  </si>
  <si>
    <t>19/08/2026 06:20</t>
  </si>
  <si>
    <t>TCK-20931</t>
  </si>
  <si>
    <t>19/04/2026 11:03</t>
  </si>
  <si>
    <t>20/04/2026 20:41</t>
  </si>
  <si>
    <t>TCK-20252</t>
  </si>
  <si>
    <t>13/03/2026 03:07</t>
  </si>
  <si>
    <t>TCK-23198</t>
  </si>
  <si>
    <t>16/05/2026 10:01</t>
  </si>
  <si>
    <t>TCK-21754</t>
  </si>
  <si>
    <t>23/05/2026 05:10</t>
  </si>
  <si>
    <t>23/05/2026 06:06</t>
  </si>
  <si>
    <t>TCK-22479</t>
  </si>
  <si>
    <t>19/04/2026 13:05</t>
  </si>
  <si>
    <t>20/04/2026 11:44</t>
  </si>
  <si>
    <t>TCK-22940</t>
  </si>
  <si>
    <t>21/05/2026 02:59</t>
  </si>
  <si>
    <t>TCK-20537</t>
  </si>
  <si>
    <t>15/05/2026 20:19</t>
  </si>
  <si>
    <t>TCK-22087</t>
  </si>
  <si>
    <t>25/06/2026 16:07</t>
  </si>
  <si>
    <t>25/06/2026 19:03</t>
  </si>
  <si>
    <t>TCK-21958</t>
  </si>
  <si>
    <t>31/07/2026 12:29</t>
  </si>
  <si>
    <t>31/07/2026 16:11</t>
  </si>
  <si>
    <t>TCK-21597</t>
  </si>
  <si>
    <t>02/02/2026 08:13</t>
  </si>
  <si>
    <t>TCK-20893</t>
  </si>
  <si>
    <t>04/06/2026 09:14</t>
  </si>
  <si>
    <t>04/06/2026 11:46</t>
  </si>
  <si>
    <t>TCK-22396</t>
  </si>
  <si>
    <t>07/06/2026 22:56</t>
  </si>
  <si>
    <t>08/06/2026 06:29</t>
  </si>
  <si>
    <t>TCK-21215</t>
  </si>
  <si>
    <t>05/03/2026 22:07</t>
  </si>
  <si>
    <t>06/03/2026 05:15</t>
  </si>
  <si>
    <t>TCK-22214</t>
  </si>
  <si>
    <t>17/03/2026 02:34</t>
  </si>
  <si>
    <t>17/03/2026 05:08</t>
  </si>
  <si>
    <t>TCK-21537</t>
  </si>
  <si>
    <t>04/02/2026 11:00</t>
  </si>
  <si>
    <t>04/02/2026 11:44</t>
  </si>
  <si>
    <t>TCK-21903</t>
  </si>
  <si>
    <t>30/01/2026 06:47</t>
  </si>
  <si>
    <t>30/01/2026 14:23</t>
  </si>
  <si>
    <t>TCK-20977</t>
  </si>
  <si>
    <t>06/08/2026 11:27</t>
  </si>
  <si>
    <t>08/08/2026 03:03</t>
  </si>
  <si>
    <t>TCK-21357</t>
  </si>
  <si>
    <t>17/06/2026 01:13</t>
  </si>
  <si>
    <t>21/06/2026 06:54</t>
  </si>
  <si>
    <t>TCK-21376</t>
  </si>
  <si>
    <t>31/05/2026 11:29</t>
  </si>
  <si>
    <t>31/05/2026 23:28</t>
  </si>
  <si>
    <t>TCK-20683</t>
  </si>
  <si>
    <t>20/07/2026 06:01</t>
  </si>
  <si>
    <t>TCK-20370</t>
  </si>
  <si>
    <t>23/07/2026 07:14</t>
  </si>
  <si>
    <t>23/07/2026 12:03</t>
  </si>
  <si>
    <t>TCK-23069</t>
  </si>
  <si>
    <t>10/04/2026 12:30</t>
  </si>
  <si>
    <t>10/04/2026 14:59</t>
  </si>
  <si>
    <t>TCK-22018</t>
  </si>
  <si>
    <t>25/03/2026 22:34</t>
  </si>
  <si>
    <t>27/03/2026 08:59</t>
  </si>
  <si>
    <t>TCK-22300</t>
  </si>
  <si>
    <t>13/05/2026 11:40</t>
  </si>
  <si>
    <t>13/05/2026 13:04</t>
  </si>
  <si>
    <t>TCK-22572</t>
  </si>
  <si>
    <t>22/05/2026 17:38</t>
  </si>
  <si>
    <t>TCK-21407</t>
  </si>
  <si>
    <t>30/03/2026 02:34</t>
  </si>
  <si>
    <t>30/03/2026 05:48</t>
  </si>
  <si>
    <t>TCK-21285</t>
  </si>
  <si>
    <t>22/07/2026 16:00</t>
  </si>
  <si>
    <t>23/07/2026 00:42</t>
  </si>
  <si>
    <t>TCK-21234</t>
  </si>
  <si>
    <t>21/03/2026 23:29</t>
  </si>
  <si>
    <t>TCK-22893</t>
  </si>
  <si>
    <t>07/07/2026 09:48</t>
  </si>
  <si>
    <t>TCK-21336</t>
  </si>
  <si>
    <t>14/07/2026 04:03</t>
  </si>
  <si>
    <t>TCK-20775</t>
  </si>
  <si>
    <t>25/04/2026 15:19</t>
  </si>
  <si>
    <t>26/04/2026 08:43</t>
  </si>
  <si>
    <t>TCK-21386</t>
  </si>
  <si>
    <t>12/08/2026 07:23</t>
  </si>
  <si>
    <t>12/08/2026 15:21</t>
  </si>
  <si>
    <t>TCK-22181</t>
  </si>
  <si>
    <t>20/01/2026 23:53</t>
  </si>
  <si>
    <t>TCK-20512</t>
  </si>
  <si>
    <t>12/02/2026 17:06</t>
  </si>
  <si>
    <t>12/02/2026 20:54</t>
  </si>
  <si>
    <t>TCK-20144</t>
  </si>
  <si>
    <t>25/03/2026 03:44</t>
  </si>
  <si>
    <t>25/03/2026 08:59</t>
  </si>
  <si>
    <t>TCK-20253</t>
  </si>
  <si>
    <t>30/01/2026 09:05</t>
  </si>
  <si>
    <t>31/01/2026 07:09</t>
  </si>
  <si>
    <t>TCK-22714</t>
  </si>
  <si>
    <t>08/04/2026 01:42</t>
  </si>
  <si>
    <t>08/04/2026 08:10</t>
  </si>
  <si>
    <t>TCK-21786</t>
  </si>
  <si>
    <t>12/01/2026 19:33</t>
  </si>
  <si>
    <t>12/01/2026 23:51</t>
  </si>
  <si>
    <t>TCK-22440</t>
  </si>
  <si>
    <t>21/01/2026 12:31</t>
  </si>
  <si>
    <t>24/01/2026 07:30</t>
  </si>
  <si>
    <t>TCK-20197</t>
  </si>
  <si>
    <t>21/04/2026 15:16</t>
  </si>
  <si>
    <t>21/04/2026 19:15</t>
  </si>
  <si>
    <t>TCK-21712</t>
  </si>
  <si>
    <t>09/04/2026 13:22</t>
  </si>
  <si>
    <t>10/04/2026 18:39</t>
  </si>
  <si>
    <t>TCK-23189</t>
  </si>
  <si>
    <t>07/03/2026 17:56</t>
  </si>
  <si>
    <t>08/03/2026 11:00</t>
  </si>
  <si>
    <t>TCK-20897</t>
  </si>
  <si>
    <t>02/02/2026 01:07</t>
  </si>
  <si>
    <t>07/02/2026 07:33</t>
  </si>
  <si>
    <t>TCK-22493</t>
  </si>
  <si>
    <t>21/01/2026 03:28</t>
  </si>
  <si>
    <t>TCK-22963</t>
  </si>
  <si>
    <t>01/03/2026 13:11</t>
  </si>
  <si>
    <t>TCK-20579</t>
  </si>
  <si>
    <t>01/05/2026 23:36</t>
  </si>
  <si>
    <t>TCK-21284</t>
  </si>
  <si>
    <t>05/05/2026 15:17</t>
  </si>
  <si>
    <t>06/05/2026 23:43</t>
  </si>
  <si>
    <t>TCK-20860</t>
  </si>
  <si>
    <t>26/06/2026 00:50</t>
  </si>
  <si>
    <t>26/06/2026 09:36</t>
  </si>
  <si>
    <t>TCK-21694</t>
  </si>
  <si>
    <t>29/01/2026 21:15</t>
  </si>
  <si>
    <t>30/01/2026 04:53</t>
  </si>
  <si>
    <t>TCK-21790</t>
  </si>
  <si>
    <t>12/02/2026 21:42</t>
  </si>
  <si>
    <t>TCK-22403</t>
  </si>
  <si>
    <t>15/06/2026 04:03</t>
  </si>
  <si>
    <t>TCK-22543</t>
  </si>
  <si>
    <t>18/02/2026 15:30</t>
  </si>
  <si>
    <t>18/02/2026 19:12</t>
  </si>
  <si>
    <t>TCK-21605</t>
  </si>
  <si>
    <t>29/01/2026 15:09</t>
  </si>
  <si>
    <t>TCK-23106</t>
  </si>
  <si>
    <t>14/03/2026 07:36</t>
  </si>
  <si>
    <t>TCK-21253</t>
  </si>
  <si>
    <t>27/08/2026 14:24</t>
  </si>
  <si>
    <t>TCK-22574</t>
  </si>
  <si>
    <t>20/02/2026 10:18</t>
  </si>
  <si>
    <t>20/02/2026 13:54</t>
  </si>
  <si>
    <t>TCK-20088</t>
  </si>
  <si>
    <t>01/05/2026 12:43</t>
  </si>
  <si>
    <t>06/05/2026 15:55</t>
  </si>
  <si>
    <t>TCK-21114</t>
  </si>
  <si>
    <t>29/01/2026 21:52</t>
  </si>
  <si>
    <t>29/01/2026 23:41</t>
  </si>
  <si>
    <t>TCK-22634</t>
  </si>
  <si>
    <t>05/01/2026 20:35</t>
  </si>
  <si>
    <t>06/01/2026 09:18</t>
  </si>
  <si>
    <t>TCK-21242</t>
  </si>
  <si>
    <t>27/06/2026 03:38</t>
  </si>
  <si>
    <t>27/06/2026 04:21</t>
  </si>
  <si>
    <t>TCK-20954</t>
  </si>
  <si>
    <t>09/06/2026 05:13</t>
  </si>
  <si>
    <t>TCK-22944</t>
  </si>
  <si>
    <t>06/01/2026 16:20</t>
  </si>
  <si>
    <t>TCK-20196</t>
  </si>
  <si>
    <t>17/01/2026 22:17</t>
  </si>
  <si>
    <t>18/01/2026 07:10</t>
  </si>
  <si>
    <t>TCK-22203</t>
  </si>
  <si>
    <t>03/03/2026 03:26</t>
  </si>
  <si>
    <t>04/03/2026 13:26</t>
  </si>
  <si>
    <t>TCK-22659</t>
  </si>
  <si>
    <t>07/04/2026 05:10</t>
  </si>
  <si>
    <t>08/04/2026 00:01</t>
  </si>
  <si>
    <t>TCK-22873</t>
  </si>
  <si>
    <t>03/01/2026 17:10</t>
  </si>
  <si>
    <t>06/01/2026 16:35</t>
  </si>
  <si>
    <t>TCK-20015</t>
  </si>
  <si>
    <t>01/05/2026 01:21</t>
  </si>
  <si>
    <t>TCK-21820</t>
  </si>
  <si>
    <t>08/03/2026 22:13</t>
  </si>
  <si>
    <t>11/03/2026 13:53</t>
  </si>
  <si>
    <t>TCK-21203</t>
  </si>
  <si>
    <t>20/02/2026 12:45</t>
  </si>
  <si>
    <t>TCK-23057</t>
  </si>
  <si>
    <t>06/07/2026 13:55</t>
  </si>
  <si>
    <t>06/07/2026 16:40</t>
  </si>
  <si>
    <t>TCK-21950</t>
  </si>
  <si>
    <t>30/01/2026 00:52</t>
  </si>
  <si>
    <t>30/01/2026 02:29</t>
  </si>
  <si>
    <t>TCK-22309</t>
  </si>
  <si>
    <t>25/03/2026 07:37</t>
  </si>
  <si>
    <t>TCK-21057</t>
  </si>
  <si>
    <t>22/08/2026 06:18</t>
  </si>
  <si>
    <t>23/08/2026 01:56</t>
  </si>
  <si>
    <t>TCK-20848</t>
  </si>
  <si>
    <t>25/02/2026 05:59</t>
  </si>
  <si>
    <t>26/02/2026 00:25</t>
  </si>
  <si>
    <t>TCK-20096</t>
  </si>
  <si>
    <t>25/08/2026 16:17</t>
  </si>
  <si>
    <t>26/08/2026 00:14</t>
  </si>
  <si>
    <t>TCK-22417</t>
  </si>
  <si>
    <t>23/07/2026 22:43</t>
  </si>
  <si>
    <t>24/07/2026 00:46</t>
  </si>
  <si>
    <t>TCK-20176</t>
  </si>
  <si>
    <t>14/08/2026 20:25</t>
  </si>
  <si>
    <t>15/08/2026 23:20</t>
  </si>
  <si>
    <t>TCK-22304</t>
  </si>
  <si>
    <t>16/05/2026 01:35</t>
  </si>
  <si>
    <t>16/05/2026 19:23</t>
  </si>
  <si>
    <t>TCK-22983</t>
  </si>
  <si>
    <t>11/01/2026 03:08</t>
  </si>
  <si>
    <t>TCK-20605</t>
  </si>
  <si>
    <t>10/04/2026 00:40</t>
  </si>
  <si>
    <t>10/04/2026 09:59</t>
  </si>
  <si>
    <t>TCK-20102</t>
  </si>
  <si>
    <t>01/06/2026 12:17</t>
  </si>
  <si>
    <t>01/06/2026 14:55</t>
  </si>
  <si>
    <t>TCK-20237</t>
  </si>
  <si>
    <t>30/01/2026 23:40</t>
  </si>
  <si>
    <t>TCK-22880</t>
  </si>
  <si>
    <t>19/08/2026 07:26</t>
  </si>
  <si>
    <t>TCK-20907</t>
  </si>
  <si>
    <t>11/07/2026 13:42</t>
  </si>
  <si>
    <t>11/07/2026 15:21</t>
  </si>
  <si>
    <t>TCK-21621</t>
  </si>
  <si>
    <t>12/08/2026 11:59</t>
  </si>
  <si>
    <t>13/08/2026 04:09</t>
  </si>
  <si>
    <t>TCK-20401</t>
  </si>
  <si>
    <t>20/08/2026 20:00</t>
  </si>
  <si>
    <t>21/08/2026 08:48</t>
  </si>
  <si>
    <t>TCK-23145</t>
  </si>
  <si>
    <t>09/08/2026 06:22</t>
  </si>
  <si>
    <t>09/08/2026 10:40</t>
  </si>
  <si>
    <t>TCK-22729</t>
  </si>
  <si>
    <t>15/02/2026 00:31</t>
  </si>
  <si>
    <t>TCK-21307</t>
  </si>
  <si>
    <t>15/01/2026 05:05</t>
  </si>
  <si>
    <t>TCK-22391</t>
  </si>
  <si>
    <t>10/06/2026 21:09</t>
  </si>
  <si>
    <t>TCK-22177</t>
  </si>
  <si>
    <t>06/01/2026 05:53</t>
  </si>
  <si>
    <t>06/01/2026 09:39</t>
  </si>
  <si>
    <t>TCK-22877</t>
  </si>
  <si>
    <t>02/05/2026 21:57</t>
  </si>
  <si>
    <t>03/05/2026 07:16</t>
  </si>
  <si>
    <t>TCK-21019</t>
  </si>
  <si>
    <t>27/02/2026 17:56</t>
  </si>
  <si>
    <t>27/02/2026 21:22</t>
  </si>
  <si>
    <t>TCK-22914</t>
  </si>
  <si>
    <t>18/04/2026 18:32</t>
  </si>
  <si>
    <t>18/04/2026 19:46</t>
  </si>
  <si>
    <t>TCK-21629</t>
  </si>
  <si>
    <t>23/08/2026 00:21</t>
  </si>
  <si>
    <t>TCK-22853</t>
  </si>
  <si>
    <t>15/06/2026 23:56</t>
  </si>
  <si>
    <t>16/06/2026 19:01</t>
  </si>
  <si>
    <t>TCK-22315</t>
  </si>
  <si>
    <t>14/07/2026 18:21</t>
  </si>
  <si>
    <t>14/07/2026 19:33</t>
  </si>
  <si>
    <t>TCK-20687</t>
  </si>
  <si>
    <t>03/06/2026 17:40</t>
  </si>
  <si>
    <t>06/06/2026 21:14</t>
  </si>
  <si>
    <t>TCK-22429</t>
  </si>
  <si>
    <t>29/01/2026 06:02</t>
  </si>
  <si>
    <t>29/01/2026 12:58</t>
  </si>
  <si>
    <t>TCK-20711</t>
  </si>
  <si>
    <t>21/08/2026 20:26</t>
  </si>
  <si>
    <t>TCK-20068</t>
  </si>
  <si>
    <t>10/07/2026 21:50</t>
  </si>
  <si>
    <t>TCK-22235</t>
  </si>
  <si>
    <t>21/03/2026 16:04</t>
  </si>
  <si>
    <t>22/03/2026 03:38</t>
  </si>
  <si>
    <t>TCK-22862</t>
  </si>
  <si>
    <t>02/04/2026 06:58</t>
  </si>
  <si>
    <t>TCK-20709</t>
  </si>
  <si>
    <t>05/06/2026 15:20</t>
  </si>
  <si>
    <t>05/06/2026 19:56</t>
  </si>
  <si>
    <t>TCK-21927</t>
  </si>
  <si>
    <t>16/06/2026 08:59</t>
  </si>
  <si>
    <t>TCK-20975</t>
  </si>
  <si>
    <t>06/06/2026 12:02</t>
  </si>
  <si>
    <t>07/06/2026 16:50</t>
  </si>
  <si>
    <t>TCK-22764</t>
  </si>
  <si>
    <t>30/04/2026 12:58</t>
  </si>
  <si>
    <t>TCK-20206</t>
  </si>
  <si>
    <t>06/04/2026 16:31</t>
  </si>
  <si>
    <t>TCK-21178</t>
  </si>
  <si>
    <t>11/02/2026 10:35</t>
  </si>
  <si>
    <t>TCK-22219</t>
  </si>
  <si>
    <t>13/06/2026 15:47</t>
  </si>
  <si>
    <t>13/06/2026 18:08</t>
  </si>
  <si>
    <t>TCK-21504</t>
  </si>
  <si>
    <t>22/08/2026 16:54</t>
  </si>
  <si>
    <t>TCK-20065</t>
  </si>
  <si>
    <t>20/05/2026 13:13</t>
  </si>
  <si>
    <t>TCK-21270</t>
  </si>
  <si>
    <t>30/05/2026 00:10</t>
  </si>
  <si>
    <t>31/05/2026 00:59</t>
  </si>
  <si>
    <t>TCK-22954</t>
  </si>
  <si>
    <t>23/02/2026 08:28</t>
  </si>
  <si>
    <t>TCK-22793</t>
  </si>
  <si>
    <t>24/01/2026 13:29</t>
  </si>
  <si>
    <t>TCK-21491</t>
  </si>
  <si>
    <t>27/04/2026 04:16</t>
  </si>
  <si>
    <t>03/05/2026 03:33</t>
  </si>
  <si>
    <t>TCK-22421</t>
  </si>
  <si>
    <t>27/08/2026 03:27</t>
  </si>
  <si>
    <t>27/08/2026 05:24</t>
  </si>
  <si>
    <t>TCK-22476</t>
  </si>
  <si>
    <t>24/04/2026 20:31</t>
  </si>
  <si>
    <t>TCK-22681</t>
  </si>
  <si>
    <t>03/07/2026 16:17</t>
  </si>
  <si>
    <t>03/07/2026 21:18</t>
  </si>
  <si>
    <t>TCK-20185</t>
  </si>
  <si>
    <t>18/07/2026 20:50</t>
  </si>
  <si>
    <t>18/07/2026 22:30</t>
  </si>
  <si>
    <t>TCK-20477</t>
  </si>
  <si>
    <t>16/02/2026 18:24</t>
  </si>
  <si>
    <t>17/02/2026 03:00</t>
  </si>
  <si>
    <t>TCK-22571</t>
  </si>
  <si>
    <t>19/01/2026 18:33</t>
  </si>
  <si>
    <t>19/01/2026 23:30</t>
  </si>
  <si>
    <t>TCK-20884</t>
  </si>
  <si>
    <t>22/06/2026 23:35</t>
  </si>
  <si>
    <t>23/06/2026 04:59</t>
  </si>
  <si>
    <t>TCK-22981</t>
  </si>
  <si>
    <t>21/01/2026 00:06</t>
  </si>
  <si>
    <t>TCK-21036</t>
  </si>
  <si>
    <t>18/05/2026 05:49</t>
  </si>
  <si>
    <t>TCK-21482</t>
  </si>
  <si>
    <t>20/02/2026 01:05</t>
  </si>
  <si>
    <t>20/02/2026 04:56</t>
  </si>
  <si>
    <t>TCK-20865</t>
  </si>
  <si>
    <t>29/06/2026 04:32</t>
  </si>
  <si>
    <t>29/06/2026 19:16</t>
  </si>
  <si>
    <t>TCK-22299</t>
  </si>
  <si>
    <t>23/07/2026 16:38</t>
  </si>
  <si>
    <t>24/07/2026 22:50</t>
  </si>
  <si>
    <t>TCK-22721</t>
  </si>
  <si>
    <t>04/06/2026 15:09</t>
  </si>
  <si>
    <t>09/06/2026 17:14</t>
  </si>
  <si>
    <t>TCK-20489</t>
  </si>
  <si>
    <t>20/08/2026 07:48</t>
  </si>
  <si>
    <t>22/08/2026 06:44</t>
  </si>
  <si>
    <t>TCK-21291</t>
  </si>
  <si>
    <t>19/06/2026 23:48</t>
  </si>
  <si>
    <t>20/06/2026 12:12</t>
  </si>
  <si>
    <t>TCK-22342</t>
  </si>
  <si>
    <t>07/08/2026 12:23</t>
  </si>
  <si>
    <t>TCK-21648</t>
  </si>
  <si>
    <t>03/05/2026 01:23</t>
  </si>
  <si>
    <t>TCK-22473</t>
  </si>
  <si>
    <t>04/02/2026 03:06</t>
  </si>
  <si>
    <t>TCK-22336</t>
  </si>
  <si>
    <t>19/06/2026 00:58</t>
  </si>
  <si>
    <t>19/06/2026 12:24</t>
  </si>
  <si>
    <t>TCK-22668</t>
  </si>
  <si>
    <t>13/02/2026 08:01</t>
  </si>
  <si>
    <t>13/02/2026 10:22</t>
  </si>
  <si>
    <t>TCK-22272</t>
  </si>
  <si>
    <t>16/03/2026 18:40</t>
  </si>
  <si>
    <t>TCK-20272</t>
  </si>
  <si>
    <t>08/02/2026 00:12</t>
  </si>
  <si>
    <t>TCK-21564</t>
  </si>
  <si>
    <t>25/01/2026 23:18</t>
  </si>
  <si>
    <t>26/01/2026 04:55</t>
  </si>
  <si>
    <t>TCK-22451</t>
  </si>
  <si>
    <t>30/01/2026 12:11</t>
  </si>
  <si>
    <t>TCK-22726</t>
  </si>
  <si>
    <t>16/04/2026 08:35</t>
  </si>
  <si>
    <t>16/04/2026 09:14</t>
  </si>
  <si>
    <t>TCK-21075</t>
  </si>
  <si>
    <t>19/07/2026 03:25</t>
  </si>
  <si>
    <t>TCK-22311</t>
  </si>
  <si>
    <t>29/08/2026 18:47</t>
  </si>
  <si>
    <t>30/08/2026 17:07</t>
  </si>
  <si>
    <t>TCK-22303</t>
  </si>
  <si>
    <t>06/05/2026 01:20</t>
  </si>
  <si>
    <t>07/05/2026 15:52</t>
  </si>
  <si>
    <t>TCK-23028</t>
  </si>
  <si>
    <t>21/03/2026 00:37</t>
  </si>
  <si>
    <t>22/03/2026 15:23</t>
  </si>
  <si>
    <t>TCK-20564</t>
  </si>
  <si>
    <t>25/02/2026 16:10</t>
  </si>
  <si>
    <t>25/02/2026 17:19</t>
  </si>
  <si>
    <t>TCK-23186</t>
  </si>
  <si>
    <t>28/02/2026 22:54</t>
  </si>
  <si>
    <t>01/03/2026 04:25</t>
  </si>
  <si>
    <t>TCK-20620</t>
  </si>
  <si>
    <t>23/06/2026 09:05</t>
  </si>
  <si>
    <t>24/06/2026 23:24</t>
  </si>
  <si>
    <t>TCK-21887</t>
  </si>
  <si>
    <t>11/05/2026 21:32</t>
  </si>
  <si>
    <t>13/05/2026 15:47</t>
  </si>
  <si>
    <t>TCK-23083</t>
  </si>
  <si>
    <t>24/06/2026 01:00</t>
  </si>
  <si>
    <t>24/06/2026 10:50</t>
  </si>
  <si>
    <t>TCK-21835</t>
  </si>
  <si>
    <t>18/01/2026 08:41</t>
  </si>
  <si>
    <t>20/01/2026 02:56</t>
  </si>
  <si>
    <t>TCK-20406</t>
  </si>
  <si>
    <t>14/04/2026 21:40</t>
  </si>
  <si>
    <t>15/04/2026 06:39</t>
  </si>
  <si>
    <t>TCK-21871</t>
  </si>
  <si>
    <t>05/02/2026 11:06</t>
  </si>
  <si>
    <t>05/02/2026 19:54</t>
  </si>
  <si>
    <t>TCK-20303</t>
  </si>
  <si>
    <t>28/01/2026 16:39</t>
  </si>
  <si>
    <t>01/02/2026 19:22</t>
  </si>
  <si>
    <t>TCK-21054</t>
  </si>
  <si>
    <t>02/04/2026 21:04</t>
  </si>
  <si>
    <t>03/04/2026 00:33</t>
  </si>
  <si>
    <t>TCK-21816</t>
  </si>
  <si>
    <t>04/03/2026 21:15</t>
  </si>
  <si>
    <t>08/03/2026 01:22</t>
  </si>
  <si>
    <t>TCK-21728</t>
  </si>
  <si>
    <t>31/03/2026 11:23</t>
  </si>
  <si>
    <t>TCK-21228</t>
  </si>
  <si>
    <t>14/05/2026 07:37</t>
  </si>
  <si>
    <t>TCK-21860</t>
  </si>
  <si>
    <t>07/05/2026 12:58</t>
  </si>
  <si>
    <t>07/05/2026 14:05</t>
  </si>
  <si>
    <t>TCK-22593</t>
  </si>
  <si>
    <t>08/08/2026 15:08</t>
  </si>
  <si>
    <t>TCK-22841</t>
  </si>
  <si>
    <t>14/07/2026 00:00</t>
  </si>
  <si>
    <t>14/07/2026 08:05</t>
  </si>
  <si>
    <t>TCK-21807</t>
  </si>
  <si>
    <t>12/01/2026 12:53</t>
  </si>
  <si>
    <t>TCK-20901</t>
  </si>
  <si>
    <t>25/08/2026 09:47</t>
  </si>
  <si>
    <t>TCK-21246</t>
  </si>
  <si>
    <t>07/06/2026 11:40</t>
  </si>
  <si>
    <t>08/06/2026 06:00</t>
  </si>
  <si>
    <t>TCK-23176</t>
  </si>
  <si>
    <t>15/07/2026 13:47</t>
  </si>
  <si>
    <t>TCK-21492</t>
  </si>
  <si>
    <t>25/01/2026 21:49</t>
  </si>
  <si>
    <t>26/01/2026 01:15</t>
  </si>
  <si>
    <t>TCK-22091</t>
  </si>
  <si>
    <t>11/05/2026 06:11</t>
  </si>
  <si>
    <t>11/05/2026 22:43</t>
  </si>
  <si>
    <t>TCK-21544</t>
  </si>
  <si>
    <t>14/08/2026 10:57</t>
  </si>
  <si>
    <t>17/08/2026 02:49</t>
  </si>
  <si>
    <t>TCK-22003</t>
  </si>
  <si>
    <t>22/08/2026 18:55</t>
  </si>
  <si>
    <t>TCK-22435</t>
  </si>
  <si>
    <t>24/05/2026 06:45</t>
  </si>
  <si>
    <t>24/05/2026 17:58</t>
  </si>
  <si>
    <t>TCK-20813</t>
  </si>
  <si>
    <t>14/05/2026 11:03</t>
  </si>
  <si>
    <t>TCK-20563</t>
  </si>
  <si>
    <t>17/08/2026 03:51</t>
  </si>
  <si>
    <t>TCK-22195</t>
  </si>
  <si>
    <t>20/08/2026 11:19</t>
  </si>
  <si>
    <t>22/08/2026 18:06</t>
  </si>
  <si>
    <t>TCK-21205</t>
  </si>
  <si>
    <t>TCK-23124</t>
  </si>
  <si>
    <t>11/07/2026 00:56</t>
  </si>
  <si>
    <t>11/07/2026 20:28</t>
  </si>
  <si>
    <t>TCK-20744</t>
  </si>
  <si>
    <t>18/07/2026 08:08</t>
  </si>
  <si>
    <t>TCK-21869</t>
  </si>
  <si>
    <t>13/04/2026 17:06</t>
  </si>
  <si>
    <t>13/04/2026 18:33</t>
  </si>
  <si>
    <t>TCK-21661</t>
  </si>
  <si>
    <t>31/01/2026 15:14</t>
  </si>
  <si>
    <t>TCK-20276</t>
  </si>
  <si>
    <t>17/07/2026 02:44</t>
  </si>
  <si>
    <t>17/07/2026 05:39</t>
  </si>
  <si>
    <t>TCK-21806</t>
  </si>
  <si>
    <t>03/03/2026 05:50</t>
  </si>
  <si>
    <t>03/03/2026 08:42</t>
  </si>
  <si>
    <t>TCK-20684</t>
  </si>
  <si>
    <t>05/03/2026 16:54</t>
  </si>
  <si>
    <t>TCK-20278</t>
  </si>
  <si>
    <t>11/07/2026 16:07</t>
  </si>
  <si>
    <t>TCK-21829</t>
  </si>
  <si>
    <t>29/06/2026 08:19</t>
  </si>
  <si>
    <t>29/06/2026 09:53</t>
  </si>
  <si>
    <t>TCK-20923</t>
  </si>
  <si>
    <t>29/07/2026 10:00</t>
  </si>
  <si>
    <t>29/07/2026 23:45</t>
  </si>
  <si>
    <t>TCK-23162</t>
  </si>
  <si>
    <t>08/03/2026 20:15</t>
  </si>
  <si>
    <t>TCK-22641</t>
  </si>
  <si>
    <t>22/06/2026 09:09</t>
  </si>
  <si>
    <t>TCK-21525</t>
  </si>
  <si>
    <t>17/04/2026 00:08</t>
  </si>
  <si>
    <t>TCK-20048</t>
  </si>
  <si>
    <t>04/08/2026 05:00</t>
  </si>
  <si>
    <t>05/08/2026 18:48</t>
  </si>
  <si>
    <t>TCK-22700</t>
  </si>
  <si>
    <t>08/08/2026 01:44</t>
  </si>
  <si>
    <t>09/08/2026 14:51</t>
  </si>
  <si>
    <t>TCK-23043</t>
  </si>
  <si>
    <t>11/05/2026 10:59</t>
  </si>
  <si>
    <t>12/05/2026 08:31</t>
  </si>
  <si>
    <t>TCK-20648</t>
  </si>
  <si>
    <t>22/03/2026 14:32</t>
  </si>
  <si>
    <t>22/03/2026 15:18</t>
  </si>
  <si>
    <t>TCK-22078</t>
  </si>
  <si>
    <t>02/02/2026 00:43</t>
  </si>
  <si>
    <t>02/02/2026 06:26</t>
  </si>
  <si>
    <t>TCK-22900</t>
  </si>
  <si>
    <t>19/02/2026 14:35</t>
  </si>
  <si>
    <t>20/02/2026 10:22</t>
  </si>
  <si>
    <t>TCK-21888</t>
  </si>
  <si>
    <t>12/05/2026 01:43</t>
  </si>
  <si>
    <t>12/05/2026 06:15</t>
  </si>
  <si>
    <t>TCK-21854</t>
  </si>
  <si>
    <t>16/03/2026 02:42</t>
  </si>
  <si>
    <t>TCK-20996</t>
  </si>
  <si>
    <t>19/04/2026 10:18</t>
  </si>
  <si>
    <t>TCK-20466</t>
  </si>
  <si>
    <t>13/01/2026 00:39</t>
  </si>
  <si>
    <t>13/01/2026 04:28</t>
  </si>
  <si>
    <t>TCK-20506</t>
  </si>
  <si>
    <t>13/04/2026 18:31</t>
  </si>
  <si>
    <t>TCK-22337</t>
  </si>
  <si>
    <t>11/04/2026 07:00</t>
  </si>
  <si>
    <t>11/04/2026 08:01</t>
  </si>
  <si>
    <t>TCK-22465</t>
  </si>
  <si>
    <t>12/03/2026 04:03</t>
  </si>
  <si>
    <t>TCK-20429</t>
  </si>
  <si>
    <t>12/05/2026 01:28</t>
  </si>
  <si>
    <t>13/05/2026 00:45</t>
  </si>
  <si>
    <t>TCK-22206</t>
  </si>
  <si>
    <t>17/01/2026 02:40</t>
  </si>
  <si>
    <t>TCK-22240</t>
  </si>
  <si>
    <t>17/08/2026 04:27</t>
  </si>
  <si>
    <t>17/08/2026 14:49</t>
  </si>
  <si>
    <t>TCK-21890</t>
  </si>
  <si>
    <t>24/05/2026 17:08</t>
  </si>
  <si>
    <t>25/05/2026 12:17</t>
  </si>
  <si>
    <t>TCK-21522</t>
  </si>
  <si>
    <t>12/06/2026 17:59</t>
  </si>
  <si>
    <t>13/06/2026 10:54</t>
  </si>
  <si>
    <t>TCK-20208</t>
  </si>
  <si>
    <t>25/02/2026 13:37</t>
  </si>
  <si>
    <t>25/02/2026 15:19</t>
  </si>
  <si>
    <t>TCK-22645</t>
  </si>
  <si>
    <t>09/03/2026 03:45</t>
  </si>
  <si>
    <t>09/03/2026 17:54</t>
  </si>
  <si>
    <t>TCK-22071</t>
  </si>
  <si>
    <t>24/01/2026 11:18</t>
  </si>
  <si>
    <t>24/01/2026 13:09</t>
  </si>
  <si>
    <t>TCK-22676</t>
  </si>
  <si>
    <t>03/03/2026 21:57</t>
  </si>
  <si>
    <t>04/03/2026 00:40</t>
  </si>
  <si>
    <t>TCK-23110</t>
  </si>
  <si>
    <t>08/04/2026 20:52</t>
  </si>
  <si>
    <t>TCK-21738</t>
  </si>
  <si>
    <t>21/04/2026 22:26</t>
  </si>
  <si>
    <t>TCK-21884</t>
  </si>
  <si>
    <t>08/03/2026 13:10</t>
  </si>
  <si>
    <t>11/03/2026 03:42</t>
  </si>
  <si>
    <t>TCK-20386</t>
  </si>
  <si>
    <t>01/04/2026 17:50</t>
  </si>
  <si>
    <t>TCK-20999</t>
  </si>
  <si>
    <t>31/03/2026 15:06</t>
  </si>
  <si>
    <t>31/03/2026 21:40</t>
  </si>
  <si>
    <t>TCK-22580</t>
  </si>
  <si>
    <t>24/07/2026 12:48</t>
  </si>
  <si>
    <t>24/07/2026 18:03</t>
  </si>
  <si>
    <t>TCK-22535</t>
  </si>
  <si>
    <t>01/08/2026 19:04</t>
  </si>
  <si>
    <t>02/08/2026 01:38</t>
  </si>
  <si>
    <t>TCK-22984</t>
  </si>
  <si>
    <t>06/02/2026 05:40</t>
  </si>
  <si>
    <t>07/02/2026 16:23</t>
  </si>
  <si>
    <t>TCK-22148</t>
  </si>
  <si>
    <t>19/06/2026 23:20</t>
  </si>
  <si>
    <t>20/06/2026 04:40</t>
  </si>
  <si>
    <t>TCK-22323</t>
  </si>
  <si>
    <t>04/01/2026 17:57</t>
  </si>
  <si>
    <t>06/01/2026 06:11</t>
  </si>
  <si>
    <t>TCK-22550</t>
  </si>
  <si>
    <t>06/04/2026 16:43</t>
  </si>
  <si>
    <t>06/04/2026 19:57</t>
  </si>
  <si>
    <t>TCK-20582</t>
  </si>
  <si>
    <t>09/06/2026 18:01</t>
  </si>
  <si>
    <t>TCK-21144</t>
  </si>
  <si>
    <t>07/05/2026 00:08</t>
  </si>
  <si>
    <t>TCK-20119</t>
  </si>
  <si>
    <t>15/01/2026 12:10</t>
  </si>
  <si>
    <t>16/01/2026 01:13</t>
  </si>
  <si>
    <t>TCK-20245</t>
  </si>
  <si>
    <t>16/08/2026 23:21</t>
  </si>
  <si>
    <t>16/08/2026 23:54</t>
  </si>
  <si>
    <t>TCK-22837</t>
  </si>
  <si>
    <t>02/03/2026 23:54</t>
  </si>
  <si>
    <t>03/03/2026 05:31</t>
  </si>
  <si>
    <t>TCK-21736</t>
  </si>
  <si>
    <t>28/04/2026 10:34</t>
  </si>
  <si>
    <t>29/04/2026 21:50</t>
  </si>
  <si>
    <t>TCK-21140</t>
  </si>
  <si>
    <t>09/02/2026 12:23</t>
  </si>
  <si>
    <t>09/02/2026 18:05</t>
  </si>
  <si>
    <t>TCK-22368</t>
  </si>
  <si>
    <t>20/01/2026 08:36</t>
  </si>
  <si>
    <t>23/01/2026 12:33</t>
  </si>
  <si>
    <t>TCK-21226</t>
  </si>
  <si>
    <t>04/04/2026 23:17</t>
  </si>
  <si>
    <t>06/04/2026 16:36</t>
  </si>
  <si>
    <t>TCK-23023</t>
  </si>
  <si>
    <t>14/06/2026 22:00</t>
  </si>
  <si>
    <t>TCK-23059</t>
  </si>
  <si>
    <t>26/03/2026 16:53</t>
  </si>
  <si>
    <t>TCK-21932</t>
  </si>
  <si>
    <t>02/08/2026 09:53</t>
  </si>
  <si>
    <t>02/08/2026 10:51</t>
  </si>
  <si>
    <t>TCK-22446</t>
  </si>
  <si>
    <t>03/03/2026 21:34</t>
  </si>
  <si>
    <t>04/03/2026 00:54</t>
  </si>
  <si>
    <t>TCK-22606</t>
  </si>
  <si>
    <t>05/03/2026 00:30</t>
  </si>
  <si>
    <t>05/03/2026 14:23</t>
  </si>
  <si>
    <t>TCK-20866</t>
  </si>
  <si>
    <t>04/07/2026 04:24</t>
  </si>
  <si>
    <t>04/07/2026 08:29</t>
  </si>
  <si>
    <t>TCK-21460</t>
  </si>
  <si>
    <t>29/03/2026 12:28</t>
  </si>
  <si>
    <t>30/03/2026 06:04</t>
  </si>
  <si>
    <t>TCK-22617</t>
  </si>
  <si>
    <t>07/04/2026 16:36</t>
  </si>
  <si>
    <t>TCK-21634</t>
  </si>
  <si>
    <t>23/05/2026 11:53</t>
  </si>
  <si>
    <t>23/05/2026 18:15</t>
  </si>
  <si>
    <t>TCK-21935</t>
  </si>
  <si>
    <t>20/03/2026 15:36</t>
  </si>
  <si>
    <t>26/03/2026 05:23</t>
  </si>
  <si>
    <t>TCK-20770</t>
  </si>
  <si>
    <t>18/08/2026 21:11</t>
  </si>
  <si>
    <t>TCK-20225</t>
  </si>
  <si>
    <t>19/06/2026 20:11</t>
  </si>
  <si>
    <t>TCK-22334</t>
  </si>
  <si>
    <t>26/03/2026 03:07</t>
  </si>
  <si>
    <t>TCK-22559</t>
  </si>
  <si>
    <t>02/01/2026 12:40</t>
  </si>
  <si>
    <t>03/01/2026 00:03</t>
  </si>
  <si>
    <t>TCK-22144</t>
  </si>
  <si>
    <t>24/01/2026 05:59</t>
  </si>
  <si>
    <t>TCK-23163</t>
  </si>
  <si>
    <t>18/07/2026 19:22</t>
  </si>
  <si>
    <t>18/07/2026 23:32</t>
  </si>
  <si>
    <t>TCK-22626</t>
  </si>
  <si>
    <t>17/02/2026 07:11</t>
  </si>
  <si>
    <t>17/02/2026 12:07</t>
  </si>
  <si>
    <t>TCK-20827</t>
  </si>
  <si>
    <t>19/02/2026 11:52</t>
  </si>
  <si>
    <t>TCK-21235</t>
  </si>
  <si>
    <t>18/04/2026 21:15</t>
  </si>
  <si>
    <t>19/04/2026 04:02</t>
  </si>
  <si>
    <t>TCK-23192</t>
  </si>
  <si>
    <t>29/06/2026 12:06</t>
  </si>
  <si>
    <t>29/06/2026 18:16</t>
  </si>
  <si>
    <t>TCK-20221</t>
  </si>
  <si>
    <t>11/03/2026 00:53</t>
  </si>
  <si>
    <t>16/03/2026 12:14</t>
  </si>
  <si>
    <t>TCK-20726</t>
  </si>
  <si>
    <t>22/07/2026 10:00</t>
  </si>
  <si>
    <t>TCK-21328</t>
  </si>
  <si>
    <t>06/06/2026 12:56</t>
  </si>
  <si>
    <t>07/06/2026 00:02</t>
  </si>
  <si>
    <t>TCK-21705</t>
  </si>
  <si>
    <t>28/08/2026 03:52</t>
  </si>
  <si>
    <t>TCK-21852</t>
  </si>
  <si>
    <t>05/03/2026 06:39</t>
  </si>
  <si>
    <t>05/03/2026 09:16</t>
  </si>
  <si>
    <t>TCK-22909</t>
  </si>
  <si>
    <t>23/08/2026 06:25</t>
  </si>
  <si>
    <t>24/08/2026 02:55</t>
  </si>
  <si>
    <t>TCK-20640</t>
  </si>
  <si>
    <t>12/02/2026 16:41</t>
  </si>
  <si>
    <t>TCK-23140</t>
  </si>
  <si>
    <t>21/06/2026 06:15</t>
  </si>
  <si>
    <t>26/06/2026 15:19</t>
  </si>
  <si>
    <t>TCK-20248</t>
  </si>
  <si>
    <t>29/05/2026 21:27</t>
  </si>
  <si>
    <t>01/06/2026 11:33</t>
  </si>
  <si>
    <t>TCK-20043</t>
  </si>
  <si>
    <t>05/04/2026 05:45</t>
  </si>
  <si>
    <t>05/04/2026 14:47</t>
  </si>
  <si>
    <t>TCK-22241</t>
  </si>
  <si>
    <t>30/03/2026 14:29</t>
  </si>
  <si>
    <t>31/03/2026 20:01</t>
  </si>
  <si>
    <t>TCK-22224</t>
  </si>
  <si>
    <t>01/03/2026 20:41</t>
  </si>
  <si>
    <t>TCK-20751</t>
  </si>
  <si>
    <t>12/01/2026 15:28</t>
  </si>
  <si>
    <t>TCK-20824</t>
  </si>
  <si>
    <t>10/03/2026 00:59</t>
  </si>
  <si>
    <t>TCK-20238</t>
  </si>
  <si>
    <t>10/07/2026 23:42</t>
  </si>
  <si>
    <t>11/07/2026 05:02</t>
  </si>
  <si>
    <t>TCK-21719</t>
  </si>
  <si>
    <t>13/08/2026 10:48</t>
  </si>
  <si>
    <t>14/08/2026 02:29</t>
  </si>
  <si>
    <t>TCK-20106</t>
  </si>
  <si>
    <t>28/07/2026 08:34</t>
  </si>
  <si>
    <t>28/07/2026 11:21</t>
  </si>
  <si>
    <t>TCK-20112</t>
  </si>
  <si>
    <t>17/04/2026 20:19</t>
  </si>
  <si>
    <t>18/04/2026 14:17</t>
  </si>
  <si>
    <t>TCK-21984</t>
  </si>
  <si>
    <t>31/03/2026 02:35</t>
  </si>
  <si>
    <t>31/03/2026 05:33</t>
  </si>
  <si>
    <t>TCK-22481</t>
  </si>
  <si>
    <t>14/08/2026 12:05</t>
  </si>
  <si>
    <t>16/08/2026 15:35</t>
  </si>
  <si>
    <t>TCK-21812</t>
  </si>
  <si>
    <t>18/04/2026 22:02</t>
  </si>
  <si>
    <t>20/04/2026 04:05</t>
  </si>
  <si>
    <t>TCK-22452</t>
  </si>
  <si>
    <t>10/07/2026 18:56</t>
  </si>
  <si>
    <t>11/07/2026 06:41</t>
  </si>
  <si>
    <t>TCK-21688</t>
  </si>
  <si>
    <t>12/01/2026 07:46</t>
  </si>
  <si>
    <t>12/01/2026 10:35</t>
  </si>
  <si>
    <t>TCK-20890</t>
  </si>
  <si>
    <t>13/04/2026 09:05</t>
  </si>
  <si>
    <t>TCK-21612</t>
  </si>
  <si>
    <t>20/05/2026 11:51</t>
  </si>
  <si>
    <t>20/05/2026 12:35</t>
  </si>
  <si>
    <t>TCK-21667</t>
  </si>
  <si>
    <t>27/06/2026 22:00</t>
  </si>
  <si>
    <t>28/06/2026 00:48</t>
  </si>
  <si>
    <t>TCK-20442</t>
  </si>
  <si>
    <t>03/07/2026 12:07</t>
  </si>
  <si>
    <t>06/07/2026 22:02</t>
  </si>
  <si>
    <t>TCK-21279</t>
  </si>
  <si>
    <t>16/02/2026 14:49</t>
  </si>
  <si>
    <t>17/02/2026 23:15</t>
  </si>
  <si>
    <t>TCK-21804</t>
  </si>
  <si>
    <t>17/07/2026 09:32</t>
  </si>
  <si>
    <t>17/07/2026 12:25</t>
  </si>
  <si>
    <t>TCK-21277</t>
  </si>
  <si>
    <t>15/06/2026 15:52</t>
  </si>
  <si>
    <t>TCK-20855</t>
  </si>
  <si>
    <t>28/08/2026 01:23</t>
  </si>
  <si>
    <t>28/08/2026 04:00</t>
  </si>
  <si>
    <t>TCK-20431</t>
  </si>
  <si>
    <t>31/07/2026 16:48</t>
  </si>
  <si>
    <t>31/07/2026 17:36</t>
  </si>
  <si>
    <t>TCK-21849</t>
  </si>
  <si>
    <t>28/04/2026 07:43</t>
  </si>
  <si>
    <t>TCK-20342</t>
  </si>
  <si>
    <t>12/06/2026 13:42</t>
  </si>
  <si>
    <t>12/06/2026 14:57</t>
  </si>
  <si>
    <t>TCK-22518</t>
  </si>
  <si>
    <t>29/04/2026 05:13</t>
  </si>
  <si>
    <t>02/05/2026 05:06</t>
  </si>
  <si>
    <t>TCK-21031</t>
  </si>
  <si>
    <t>07/04/2026 15:42</t>
  </si>
  <si>
    <t>08/04/2026 01:40</t>
  </si>
  <si>
    <t>TCK-22961</t>
  </si>
  <si>
    <t>12/03/2026 10:31</t>
  </si>
  <si>
    <t>TCK-20171</t>
  </si>
  <si>
    <t>01/03/2026 18:21</t>
  </si>
  <si>
    <t>03/03/2026 13:59</t>
  </si>
  <si>
    <t>TCK-20405</t>
  </si>
  <si>
    <t>15/03/2026 03:40</t>
  </si>
  <si>
    <t>TCK-21433</t>
  </si>
  <si>
    <t>23/08/2026 23:44</t>
  </si>
  <si>
    <t>TCK-22768</t>
  </si>
  <si>
    <t>29/06/2026 00:49</t>
  </si>
  <si>
    <t>29/06/2026 09:40</t>
  </si>
  <si>
    <t>TCK-22175</t>
  </si>
  <si>
    <t>20/01/2026 16:18</t>
  </si>
  <si>
    <t>TCK-21038</t>
  </si>
  <si>
    <t>11/01/2026 03:25</t>
  </si>
  <si>
    <t>TCK-20173</t>
  </si>
  <si>
    <t>04/06/2026 19:15</t>
  </si>
  <si>
    <t>06/06/2026 10:09</t>
  </si>
  <si>
    <t>TCK-20164</t>
  </si>
  <si>
    <t>09/06/2026 11:46</t>
  </si>
  <si>
    <t>12/06/2026 22:49</t>
  </si>
  <si>
    <t>TCK-20222</t>
  </si>
  <si>
    <t>01/05/2026 15:28</t>
  </si>
  <si>
    <t>02/05/2026 07:44</t>
  </si>
  <si>
    <t>TCK-21989</t>
  </si>
  <si>
    <t>25/08/2026 23:55</t>
  </si>
  <si>
    <t>TCK-21464</t>
  </si>
  <si>
    <t>20/05/2026 10:31</t>
  </si>
  <si>
    <t>TCK-20983</t>
  </si>
  <si>
    <t>03/01/2026 18:27</t>
  </si>
  <si>
    <t>04/01/2026 11:24</t>
  </si>
  <si>
    <t>TCK-23151</t>
  </si>
  <si>
    <t>30/03/2026 06:02</t>
  </si>
  <si>
    <t>TCK-22660</t>
  </si>
  <si>
    <t>16/05/2026 13:06</t>
  </si>
  <si>
    <t>16/05/2026 14:52</t>
  </si>
  <si>
    <t>TCK-21009</t>
  </si>
  <si>
    <t>02/01/2026 20:42</t>
  </si>
  <si>
    <t>03/01/2026 01:14</t>
  </si>
  <si>
    <t>TCK-22855</t>
  </si>
  <si>
    <t>09/04/2026 22:44</t>
  </si>
  <si>
    <t>10/04/2026 13:57</t>
  </si>
  <si>
    <t>TCK-23006</t>
  </si>
  <si>
    <t>28/04/2026 16:41</t>
  </si>
  <si>
    <t>28/04/2026 18:59</t>
  </si>
  <si>
    <t>TCK-22143</t>
  </si>
  <si>
    <t>27/07/2026 12:17</t>
  </si>
  <si>
    <t>TCK-22503</t>
  </si>
  <si>
    <t>19/08/2026 21:00</t>
  </si>
  <si>
    <t>21/08/2026 01:57</t>
  </si>
  <si>
    <t>TCK-22320</t>
  </si>
  <si>
    <t>22/04/2026 15:29</t>
  </si>
  <si>
    <t>TCK-20138</t>
  </si>
  <si>
    <t>20/07/2026 12:46</t>
  </si>
  <si>
    <t>20/07/2026 13:52</t>
  </si>
  <si>
    <t>TCK-22950</t>
  </si>
  <si>
    <t>29/07/2026 04:36</t>
  </si>
  <si>
    <t>TCK-22750</t>
  </si>
  <si>
    <t>08/05/2026 00:45</t>
  </si>
  <si>
    <t>08/05/2026 13:51</t>
  </si>
  <si>
    <t>TCK-20395</t>
  </si>
  <si>
    <t>09/01/2026 10:19</t>
  </si>
  <si>
    <t>10/01/2026 11:13</t>
  </si>
  <si>
    <t>TCK-22199</t>
  </si>
  <si>
    <t>21/04/2026 17:44</t>
  </si>
  <si>
    <t>TCK-22959</t>
  </si>
  <si>
    <t>04/01/2026 19:49</t>
  </si>
  <si>
    <t>05/01/2026 06:48</t>
  </si>
  <si>
    <t>TCK-22234</t>
  </si>
  <si>
    <t>11/06/2026 01:20</t>
  </si>
  <si>
    <t>TCK-22288</t>
  </si>
  <si>
    <t>20/01/2026 03:44</t>
  </si>
  <si>
    <t>21/01/2026 00:10</t>
  </si>
  <si>
    <t>TCK-21753</t>
  </si>
  <si>
    <t>11/01/2026 06:38</t>
  </si>
  <si>
    <t>TCK-21281</t>
  </si>
  <si>
    <t>17/04/2026 16:42</t>
  </si>
  <si>
    <t>17/04/2026 17:49</t>
  </si>
  <si>
    <t>TCK-20487</t>
  </si>
  <si>
    <t>15/07/2026 13:13</t>
  </si>
  <si>
    <t>15/07/2026 22:59</t>
  </si>
  <si>
    <t>TCK-20450</t>
  </si>
  <si>
    <t>12/04/2026 00:51</t>
  </si>
  <si>
    <t>TCK-20734</t>
  </si>
  <si>
    <t>03/06/2026 16:33</t>
  </si>
  <si>
    <t>03/06/2026 18:56</t>
  </si>
  <si>
    <t>TCK-20785</t>
  </si>
  <si>
    <t>26/06/2026 05:56</t>
  </si>
  <si>
    <t>26/06/2026 22:54</t>
  </si>
  <si>
    <t>TCK-21021</t>
  </si>
  <si>
    <t>26/03/2026 21:55</t>
  </si>
  <si>
    <t>TCK-22536</t>
  </si>
  <si>
    <t>02/01/2026 12:14</t>
  </si>
  <si>
    <t>02/01/2026 17:30</t>
  </si>
  <si>
    <t>TCK-20129</t>
  </si>
  <si>
    <t>23/03/2026 16:43</t>
  </si>
  <si>
    <t>TCK-21168</t>
  </si>
  <si>
    <t>13/03/2026 12:47</t>
  </si>
  <si>
    <t>13/03/2026 15:58</t>
  </si>
  <si>
    <t>TCK-20123</t>
  </si>
  <si>
    <t>25/08/2026 22:50</t>
  </si>
  <si>
    <t>TCK-21264</t>
  </si>
  <si>
    <t>24/08/2026 11:50</t>
  </si>
  <si>
    <t>25/08/2026 22:57</t>
  </si>
  <si>
    <t>TCK-20961</t>
  </si>
  <si>
    <t>14/02/2026 08:12</t>
  </si>
  <si>
    <t>14/02/2026 13:16</t>
  </si>
  <si>
    <t>TCK-21945</t>
  </si>
  <si>
    <t>04/07/2026 08:00</t>
  </si>
  <si>
    <t>05/07/2026 02:33</t>
  </si>
  <si>
    <t>TCK-22282</t>
  </si>
  <si>
    <t>09/01/2026 12:34</t>
  </si>
  <si>
    <t>10/01/2026 02:48</t>
  </si>
  <si>
    <t>TCK-20178</t>
  </si>
  <si>
    <t>30/05/2026 18:22</t>
  </si>
  <si>
    <t>TCK-20650</t>
  </si>
  <si>
    <t>01/07/2026 15:40</t>
  </si>
  <si>
    <t>01/07/2026 21:58</t>
  </si>
  <si>
    <t>TCK-20798</t>
  </si>
  <si>
    <t>23/01/2026 21:26</t>
  </si>
  <si>
    <t>24/01/2026 13:40</t>
  </si>
  <si>
    <t>TCK-21032</t>
  </si>
  <si>
    <t>03/02/2026 09:12</t>
  </si>
  <si>
    <t>03/02/2026 10:48</t>
  </si>
  <si>
    <t>TCK-20461</t>
  </si>
  <si>
    <t>02/07/2026 07:22</t>
  </si>
  <si>
    <t>02/07/2026 14:44</t>
  </si>
  <si>
    <t>TCK-20269</t>
  </si>
  <si>
    <t>22/06/2026 22:00</t>
  </si>
  <si>
    <t>23/06/2026 06:54</t>
  </si>
  <si>
    <t>TCK-22539</t>
  </si>
  <si>
    <t>19/08/2026 04:44</t>
  </si>
  <si>
    <t>TCK-21275</t>
  </si>
  <si>
    <t>22/03/2026 11:15</t>
  </si>
  <si>
    <t>24/03/2026 02:43</t>
  </si>
  <si>
    <t>TCK-20411</t>
  </si>
  <si>
    <t>26/01/2026 12:00</t>
  </si>
  <si>
    <t>TCK-23035</t>
  </si>
  <si>
    <t>08/05/2026 01:34</t>
  </si>
  <si>
    <t>TCK-20841</t>
  </si>
  <si>
    <t>18/08/2026 00:06</t>
  </si>
  <si>
    <t>TCK-20558</t>
  </si>
  <si>
    <t>18/08/2026 15:55</t>
  </si>
  <si>
    <t>18/08/2026 19:27</t>
  </si>
  <si>
    <t>TCK-20009</t>
  </si>
  <si>
    <t>05/07/2026 01:41</t>
  </si>
  <si>
    <t>06/07/2026 14:04</t>
  </si>
  <si>
    <t>TCK-23070</t>
  </si>
  <si>
    <t>14/04/2026 15:12</t>
  </si>
  <si>
    <t>14/04/2026 23:11</t>
  </si>
  <si>
    <t>TCK-22254</t>
  </si>
  <si>
    <t>28/02/2026 15:24</t>
  </si>
  <si>
    <t>TCK-22820</t>
  </si>
  <si>
    <t>20/05/2026 05:04</t>
  </si>
  <si>
    <t>20/05/2026 05:40</t>
  </si>
  <si>
    <t>TCK-21417</t>
  </si>
  <si>
    <t>14/03/2026 19:15</t>
  </si>
  <si>
    <t>TCK-21093</t>
  </si>
  <si>
    <t>22/02/2026 20:39</t>
  </si>
  <si>
    <t>25/02/2026 20:09</t>
  </si>
  <si>
    <t>TCK-22358</t>
  </si>
  <si>
    <t>13/02/2026 16:24</t>
  </si>
  <si>
    <t>13/02/2026 19:03</t>
  </si>
  <si>
    <t>TCK-21035</t>
  </si>
  <si>
    <t>19/02/2026 06:51</t>
  </si>
  <si>
    <t>19/02/2026 08:47</t>
  </si>
  <si>
    <t>TCK-21615</t>
  </si>
  <si>
    <t>19/05/2026 05:53</t>
  </si>
  <si>
    <t>19/05/2026 21:09</t>
  </si>
  <si>
    <t>TCK-21480</t>
  </si>
  <si>
    <t>09/08/2026 10:22</t>
  </si>
  <si>
    <t>TCK-22872</t>
  </si>
  <si>
    <t>05/08/2026 20:16</t>
  </si>
  <si>
    <t>10/08/2026 00:22</t>
  </si>
  <si>
    <t>TCK-20729</t>
  </si>
  <si>
    <t>21/07/2026 08:16</t>
  </si>
  <si>
    <t>22/07/2026 00:32</t>
  </si>
  <si>
    <t>TCK-22684</t>
  </si>
  <si>
    <t>26/01/2026 05:39</t>
  </si>
  <si>
    <t>27/01/2026 16:34</t>
  </si>
  <si>
    <t>TCK-22230</t>
  </si>
  <si>
    <t>03/08/2026 22:12</t>
  </si>
  <si>
    <t>04/08/2026 15:38</t>
  </si>
  <si>
    <t>TCK-22134</t>
  </si>
  <si>
    <t>19/06/2026 14:21</t>
  </si>
  <si>
    <t>TCK-22390</t>
  </si>
  <si>
    <t>21/01/2026 09:02</t>
  </si>
  <si>
    <t>21/01/2026 12:48</t>
  </si>
  <si>
    <t>TCK-21576</t>
  </si>
  <si>
    <t>14/03/2026 03:48</t>
  </si>
  <si>
    <t>14/03/2026 09:37</t>
  </si>
  <si>
    <t>TCK-20935</t>
  </si>
  <si>
    <t>07/07/2026 15:26</t>
  </si>
  <si>
    <t>10/07/2026 06:02</t>
  </si>
  <si>
    <t>TCK-20693</t>
  </si>
  <si>
    <t>17/07/2026 16:01</t>
  </si>
  <si>
    <t>18/07/2026 03:28</t>
  </si>
  <si>
    <t>TCK-20894</t>
  </si>
  <si>
    <t>29/03/2026 04:20</t>
  </si>
  <si>
    <t>29/03/2026 15:54</t>
  </si>
  <si>
    <t>TCK-22231</t>
  </si>
  <si>
    <t>16/07/2026 17:04</t>
  </si>
  <si>
    <t>TCK-22168</t>
  </si>
  <si>
    <t>08/04/2026 06:57</t>
  </si>
  <si>
    <t>TCK-23058</t>
  </si>
  <si>
    <t>04/03/2026 05:33</t>
  </si>
  <si>
    <t>05/03/2026 00:38</t>
  </si>
  <si>
    <t>TCK-23132</t>
  </si>
  <si>
    <t>13/05/2026 08:43</t>
  </si>
  <si>
    <t>14/05/2026 01:14</t>
  </si>
  <si>
    <t>TCK-21990</t>
  </si>
  <si>
    <t>30/01/2026 02:34</t>
  </si>
  <si>
    <t>TCK-21671</t>
  </si>
  <si>
    <t>27/06/2026 02:17</t>
  </si>
  <si>
    <t>TCK-20580</t>
  </si>
  <si>
    <t>14/07/2026 16:07</t>
  </si>
  <si>
    <t>14/07/2026 18:02</t>
  </si>
  <si>
    <t>TCK-20418</t>
  </si>
  <si>
    <t>20/01/2026 11:21</t>
  </si>
  <si>
    <t>20/01/2026 12:27</t>
  </si>
  <si>
    <t>TCK-22487</t>
  </si>
  <si>
    <t>03/04/2026 16:16</t>
  </si>
  <si>
    <t>03/04/2026 18:17</t>
  </si>
  <si>
    <t>TCK-22586</t>
  </si>
  <si>
    <t>30/05/2026 06:57</t>
  </si>
  <si>
    <t>30/05/2026 14:44</t>
  </si>
  <si>
    <t>TCK-21528</t>
  </si>
  <si>
    <t>25/06/2026 02:19</t>
  </si>
  <si>
    <t>TCK-20355</t>
  </si>
  <si>
    <t>01/02/2026 05:33</t>
  </si>
  <si>
    <t>03/02/2026 16:43</t>
  </si>
  <si>
    <t>TCK-22027</t>
  </si>
  <si>
    <t>27/03/2026 03:34</t>
  </si>
  <si>
    <t>28/03/2026 19:33</t>
  </si>
  <si>
    <t>TCK-21311</t>
  </si>
  <si>
    <t>25/01/2026 17:50</t>
  </si>
  <si>
    <t>26/01/2026 01:34</t>
  </si>
  <si>
    <t>TCK-21251</t>
  </si>
  <si>
    <t>21/05/2026 12:34</t>
  </si>
  <si>
    <t>21/05/2026 18:42</t>
  </si>
  <si>
    <t>TCK-22478</t>
  </si>
  <si>
    <t>28/03/2026 21:36</t>
  </si>
  <si>
    <t>29/03/2026 13:34</t>
  </si>
  <si>
    <t>TCK-20583</t>
  </si>
  <si>
    <t>08/04/2026 20:31</t>
  </si>
  <si>
    <t>TCK-22784</t>
  </si>
  <si>
    <t>27/08/2026 04:16</t>
  </si>
  <si>
    <t>TCK-21598</t>
  </si>
  <si>
    <t>12/04/2026 14:39</t>
  </si>
  <si>
    <t>12/04/2026 17:35</t>
  </si>
  <si>
    <t>TCK-20301</t>
  </si>
  <si>
    <t>25/04/2026 02:25</t>
  </si>
  <si>
    <t>29/04/2026 03:56</t>
  </si>
  <si>
    <t>TCK-20376</t>
  </si>
  <si>
    <t>03/07/2026 13:59</t>
  </si>
  <si>
    <t>03/07/2026 18:37</t>
  </si>
  <si>
    <t>TCK-22362</t>
  </si>
  <si>
    <t>25/06/2026 16:21</t>
  </si>
  <si>
    <t>TCK-21955</t>
  </si>
  <si>
    <t>07/03/2026 19:43</t>
  </si>
  <si>
    <t>08/03/2026 05:06</t>
  </si>
  <si>
    <t>TCK-20077</t>
  </si>
  <si>
    <t>17/05/2026 18:32</t>
  </si>
  <si>
    <t>TCK-22190</t>
  </si>
  <si>
    <t>26/02/2026 23:46</t>
  </si>
  <si>
    <t>TCK-20115</t>
  </si>
  <si>
    <t>27/04/2026 09:03</t>
  </si>
  <si>
    <t>27/04/2026 19:15</t>
  </si>
  <si>
    <t>TCK-23003</t>
  </si>
  <si>
    <t>12/04/2026 06:40</t>
  </si>
  <si>
    <t>12/04/2026 16:47</t>
  </si>
  <si>
    <t>TCK-21327</t>
  </si>
  <si>
    <t>28/04/2026 06:28</t>
  </si>
  <si>
    <t>TCK-20723</t>
  </si>
  <si>
    <t>02/01/2026 16:55</t>
  </si>
  <si>
    <t>TCK-23104</t>
  </si>
  <si>
    <t>24/02/2026 21:19</t>
  </si>
  <si>
    <t>TCK-22227</t>
  </si>
  <si>
    <t>12/07/2026 03:33</t>
  </si>
  <si>
    <t>TCK-22886</t>
  </si>
  <si>
    <t>19/01/2026 01:06</t>
  </si>
  <si>
    <t>TCK-20057</t>
  </si>
  <si>
    <t>16/06/2026 19:05</t>
  </si>
  <si>
    <t>TCK-22773</t>
  </si>
  <si>
    <t>06/05/2026 12:38</t>
  </si>
  <si>
    <t>TCK-22122</t>
  </si>
  <si>
    <t>15/08/2026 13:41</t>
  </si>
  <si>
    <t>16/08/2026 07:00</t>
  </si>
  <si>
    <t>TCK-20323</t>
  </si>
  <si>
    <t>15/04/2026 12:33</t>
  </si>
  <si>
    <t>16/04/2026 12:28</t>
  </si>
  <si>
    <t>TCK-22581</t>
  </si>
  <si>
    <t>21/08/2026 04:52</t>
  </si>
  <si>
    <t>21/08/2026 13:39</t>
  </si>
  <si>
    <t>TCK-21785</t>
  </si>
  <si>
    <t>12/06/2026 11:18</t>
  </si>
  <si>
    <t>TCK-20091</t>
  </si>
  <si>
    <t>04/08/2026 17:24</t>
  </si>
  <si>
    <t>04/08/2026 19:18</t>
  </si>
  <si>
    <t>TCK-20773</t>
  </si>
  <si>
    <t>04/08/2026 04:56</t>
  </si>
  <si>
    <t>07/08/2026 04:42</t>
  </si>
  <si>
    <t>TCK-22453</t>
  </si>
  <si>
    <t>18/03/2026 05:04</t>
  </si>
  <si>
    <t>TCK-20530</t>
  </si>
  <si>
    <t>12/01/2026 00:23</t>
  </si>
  <si>
    <t>12/01/2026 02:43</t>
  </si>
  <si>
    <t>TCK-20659</t>
  </si>
  <si>
    <t>20/01/2026 17:35</t>
  </si>
  <si>
    <t>25/01/2026 10:14</t>
  </si>
  <si>
    <t>TCK-21586</t>
  </si>
  <si>
    <t>17/04/2026 15:42</t>
  </si>
  <si>
    <t>17/04/2026 20:04</t>
  </si>
  <si>
    <t>TCK-22856</t>
  </si>
  <si>
    <t>03/05/2026 18:27</t>
  </si>
  <si>
    <t>TCK-23075</t>
  </si>
  <si>
    <t>04/08/2026 13:16</t>
  </si>
  <si>
    <t>05/08/2026 06:31</t>
  </si>
  <si>
    <t>TCK-21697</t>
  </si>
  <si>
    <t>28/01/2026 06:25</t>
  </si>
  <si>
    <t>28/01/2026 13:01</t>
  </si>
  <si>
    <t>TCK-21802</t>
  </si>
  <si>
    <t>09/02/2026 17:31</t>
  </si>
  <si>
    <t>09/02/2026 19:28</t>
  </si>
  <si>
    <t>TCK-20747</t>
  </si>
  <si>
    <t>01/02/2026 00:21</t>
  </si>
  <si>
    <t>01/02/2026 17:01</t>
  </si>
  <si>
    <t>TCK-21456</t>
  </si>
  <si>
    <t>11/04/2026 05:36</t>
  </si>
  <si>
    <t>12/04/2026 01:52</t>
  </si>
  <si>
    <t>TCK-22371</t>
  </si>
  <si>
    <t>20/05/2026 18:50</t>
  </si>
  <si>
    <t>21/05/2026 01:01</t>
  </si>
  <si>
    <t>TCK-21177</t>
  </si>
  <si>
    <t>20/01/2026 23:19</t>
  </si>
  <si>
    <t>TCK-20621</t>
  </si>
  <si>
    <t>30/08/2026 02:11</t>
  </si>
  <si>
    <t>30/08/2026 14:08</t>
  </si>
  <si>
    <t>TCK-20069</t>
  </si>
  <si>
    <t>27/05/2026 07:06</t>
  </si>
  <si>
    <t>TCK-22061</t>
  </si>
  <si>
    <t>03/06/2026 13:09</t>
  </si>
  <si>
    <t>03/06/2026 15:35</t>
  </si>
  <si>
    <t>TCK-20105</t>
  </si>
  <si>
    <t>24/02/2026 03:41</t>
  </si>
  <si>
    <t>24/02/2026 04:34</t>
  </si>
  <si>
    <t>TCK-20100</t>
  </si>
  <si>
    <t>16/06/2026 20:34</t>
  </si>
  <si>
    <t>TCK-20825</t>
  </si>
  <si>
    <t>25/04/2026 08:12</t>
  </si>
  <si>
    <t>25/04/2026 09:02</t>
  </si>
  <si>
    <t>TCK-22370</t>
  </si>
  <si>
    <t>20/01/2026 22:47</t>
  </si>
  <si>
    <t>TCK-23010</t>
  </si>
  <si>
    <t>29/07/2026 12:22</t>
  </si>
  <si>
    <t>29/07/2026 13:06</t>
  </si>
  <si>
    <t>TCK-22752</t>
  </si>
  <si>
    <t>11/08/2026 21:26</t>
  </si>
  <si>
    <t>TCK-21877</t>
  </si>
  <si>
    <t>18/05/2026 22:29</t>
  </si>
  <si>
    <t>21/05/2026 12:33</t>
  </si>
  <si>
    <t>TCK-21649</t>
  </si>
  <si>
    <t>23/01/2026 14:00</t>
  </si>
  <si>
    <t>24/01/2026 23:54</t>
  </si>
  <si>
    <t>TCK-22718</t>
  </si>
  <si>
    <t>26/03/2026 15:53</t>
  </si>
  <si>
    <t>27/03/2026 12:11</t>
  </si>
  <si>
    <t>TCK-20742</t>
  </si>
  <si>
    <t>04/08/2026 22:16</t>
  </si>
  <si>
    <t>05/08/2026 08:37</t>
  </si>
  <si>
    <t>TCK-22375</t>
  </si>
  <si>
    <t>02/02/2026 08:35</t>
  </si>
  <si>
    <t>02/02/2026 10:35</t>
  </si>
  <si>
    <t>TCK-22655</t>
  </si>
  <si>
    <t>23/07/2026 16:39</t>
  </si>
  <si>
    <t>23/07/2026 19:23</t>
  </si>
  <si>
    <t>TCK-22674</t>
  </si>
  <si>
    <t>16/01/2026 03:42</t>
  </si>
  <si>
    <t>17/01/2026 12:06</t>
  </si>
  <si>
    <t>TCK-21164</t>
  </si>
  <si>
    <t>30/03/2026 07:25</t>
  </si>
  <si>
    <t>30/03/2026 11:48</t>
  </si>
  <si>
    <t>TCK-21047</t>
  </si>
  <si>
    <t>28/01/2026 13:04</t>
  </si>
  <si>
    <t>TCK-21084</t>
  </si>
  <si>
    <t>04/06/2026 21:43</t>
  </si>
  <si>
    <t>04/06/2026 22:17</t>
  </si>
  <si>
    <t>TCK-23155</t>
  </si>
  <si>
    <t>12/08/2026 06:40</t>
  </si>
  <si>
    <t>14/08/2026 00:52</t>
  </si>
  <si>
    <t>TCK-21808</t>
  </si>
  <si>
    <t>01/07/2026 20:53</t>
  </si>
  <si>
    <t>04/07/2026 08:54</t>
  </si>
  <si>
    <t>TCK-22678</t>
  </si>
  <si>
    <t>11/08/2026 17:41</t>
  </si>
  <si>
    <t>11/08/2026 18:57</t>
  </si>
  <si>
    <t>TCK-20888</t>
  </si>
  <si>
    <t>07/01/2026 21:27</t>
  </si>
  <si>
    <t>TCK-22516</t>
  </si>
  <si>
    <t>01/07/2026 06:01</t>
  </si>
  <si>
    <t>TCK-21356</t>
  </si>
  <si>
    <t>16/04/2026 03:25</t>
  </si>
  <si>
    <t>16/04/2026 06:39</t>
  </si>
  <si>
    <t>TCK-22595</t>
  </si>
  <si>
    <t>03/05/2026 20:48</t>
  </si>
  <si>
    <t>04/05/2026 00:17</t>
  </si>
  <si>
    <t>TCK-21518</t>
  </si>
  <si>
    <t>10/06/2026 16:40</t>
  </si>
  <si>
    <t>11/06/2026 01:51</t>
  </si>
  <si>
    <t>TCK-22982</t>
  </si>
  <si>
    <t>11/07/2026 19:00</t>
  </si>
  <si>
    <t>14/07/2026 10:52</t>
  </si>
  <si>
    <t>TCK-22976</t>
  </si>
  <si>
    <t>02/02/2026 13:40</t>
  </si>
  <si>
    <t>05/02/2026 05:49</t>
  </si>
  <si>
    <t>TCK-20111</t>
  </si>
  <si>
    <t>08/01/2026 23:15</t>
  </si>
  <si>
    <t>TCK-22737</t>
  </si>
  <si>
    <t>08/01/2026 04:10</t>
  </si>
  <si>
    <t>08/01/2026 20:45</t>
  </si>
  <si>
    <t>TCK-20636</t>
  </si>
  <si>
    <t>02/05/2026 20:57</t>
  </si>
  <si>
    <t>03/05/2026 03:15</t>
  </si>
  <si>
    <t>TCK-21748</t>
  </si>
  <si>
    <t>03/01/2026 20:12</t>
  </si>
  <si>
    <t>04/01/2026 01:18</t>
  </si>
  <si>
    <t>TCK-20915</t>
  </si>
  <si>
    <t>16/06/2026 01:52</t>
  </si>
  <si>
    <t>TCK-20956</t>
  </si>
  <si>
    <t>13/04/2026 00:08</t>
  </si>
  <si>
    <t>TCK-21337</t>
  </si>
  <si>
    <t>05/03/2026 05:13</t>
  </si>
  <si>
    <t>TCK-23113</t>
  </si>
  <si>
    <t>10/01/2026 15:50</t>
  </si>
  <si>
    <t>11/01/2026 23:25</t>
  </si>
  <si>
    <t>TCK-21981</t>
  </si>
  <si>
    <t>24/01/2026 04:12</t>
  </si>
  <si>
    <t>24/01/2026 16:26</t>
  </si>
  <si>
    <t>TCK-20541</t>
  </si>
  <si>
    <t>27/02/2026 16:00</t>
  </si>
  <si>
    <t>03/03/2026 16:54</t>
  </si>
  <si>
    <t>TCK-20419</t>
  </si>
  <si>
    <t>26/08/2026 03:26</t>
  </si>
  <si>
    <t>TCK-20553</t>
  </si>
  <si>
    <t>24/05/2026 20:42</t>
  </si>
  <si>
    <t>25/05/2026 17:57</t>
  </si>
  <si>
    <t>TCK-21546</t>
  </si>
  <si>
    <t>12/01/2026 20:15</t>
  </si>
  <si>
    <t>TCK-22274</t>
  </si>
  <si>
    <t>07/01/2026 00:57</t>
  </si>
  <si>
    <t>07/01/2026 22:29</t>
  </si>
  <si>
    <t>TCK-23131</t>
  </si>
  <si>
    <t>10/05/2026 21:17</t>
  </si>
  <si>
    <t>16/05/2026 06:42</t>
  </si>
  <si>
    <t>TCK-21361</t>
  </si>
  <si>
    <t>30/06/2026 11:08</t>
  </si>
  <si>
    <t>30/06/2026 12:09</t>
  </si>
  <si>
    <t>TCK-21066</t>
  </si>
  <si>
    <t>03/02/2026 21:34</t>
  </si>
  <si>
    <t>TCK-21029</t>
  </si>
  <si>
    <t>09/03/2026 04:02</t>
  </si>
  <si>
    <t>09/03/2026 23:00</t>
  </si>
  <si>
    <t>TCK-22710</t>
  </si>
  <si>
    <t>23/03/2026 08:38</t>
  </si>
  <si>
    <t>TCK-22628</t>
  </si>
  <si>
    <t>04/06/2026 13:10</t>
  </si>
  <si>
    <t>TCK-23139</t>
  </si>
  <si>
    <t>16/06/2026 19:32</t>
  </si>
  <si>
    <t>17/06/2026 07:52</t>
  </si>
  <si>
    <t>TCK-21124</t>
  </si>
  <si>
    <t>18/02/2026 16:20</t>
  </si>
  <si>
    <t>TCK-21740</t>
  </si>
  <si>
    <t>23/01/2026 23:53</t>
  </si>
  <si>
    <t>TCK-21826</t>
  </si>
  <si>
    <t>12/05/2026 19:03</t>
  </si>
  <si>
    <t>TCK-20885</t>
  </si>
  <si>
    <t>16/04/2026 07:29</t>
  </si>
  <si>
    <t>TCK-22485</t>
  </si>
  <si>
    <t>21/02/2026 17:59</t>
  </si>
  <si>
    <t>TCK-21651</t>
  </si>
  <si>
    <t>11/04/2026 01:07</t>
  </si>
  <si>
    <t>11/04/2026 04:38</t>
  </si>
  <si>
    <t>TCK-21280</t>
  </si>
  <si>
    <t>01/08/2026 13:24</t>
  </si>
  <si>
    <t>03/08/2026 14:35</t>
  </si>
  <si>
    <t>TCK-21086</t>
  </si>
  <si>
    <t>14/02/2026 03:16</t>
  </si>
  <si>
    <t>TCK-23068</t>
  </si>
  <si>
    <t>30/03/2026 01:44</t>
  </si>
  <si>
    <t>30/03/2026 02:26</t>
  </si>
  <si>
    <t>TCK-20895</t>
  </si>
  <si>
    <t>05/04/2026 01:35</t>
  </si>
  <si>
    <t>06/04/2026 13:31</t>
  </si>
  <si>
    <t>TCK-22705</t>
  </si>
  <si>
    <t>14/04/2026 00:47</t>
  </si>
  <si>
    <t>TCK-20705</t>
  </si>
  <si>
    <t>06/07/2026 01:46</t>
  </si>
  <si>
    <t>07/07/2026 08:45</t>
  </si>
  <si>
    <t>TCK-23032</t>
  </si>
  <si>
    <t>17/06/2026 03:25</t>
  </si>
  <si>
    <t>TCK-20539</t>
  </si>
  <si>
    <t>22/08/2026 19:22</t>
  </si>
  <si>
    <t>TCK-20989</t>
  </si>
  <si>
    <t>30/05/2026 00:43</t>
  </si>
  <si>
    <t>30/05/2026 13:49</t>
  </si>
  <si>
    <t>TCK-22292</t>
  </si>
  <si>
    <t>31/05/2026 03:04</t>
  </si>
  <si>
    <t>TCK-21260</t>
  </si>
  <si>
    <t>01/01/2026 09:10</t>
  </si>
  <si>
    <t>01/01/2026 22:03</t>
  </si>
  <si>
    <t>TCK-22957</t>
  </si>
  <si>
    <t>30/05/2026 18:55</t>
  </si>
  <si>
    <t>30/05/2026 20:47</t>
  </si>
  <si>
    <t>TCK-22615</t>
  </si>
  <si>
    <t>01/05/2026 23:10</t>
  </si>
  <si>
    <t>TCK-20965</t>
  </si>
  <si>
    <t>21/04/2026 17:38</t>
  </si>
  <si>
    <t>22/04/2026 02:30</t>
  </si>
  <si>
    <t>TCK-21087</t>
  </si>
  <si>
    <t>28/03/2026 19:36</t>
  </si>
  <si>
    <t>29/03/2026 08:00</t>
  </si>
  <si>
    <t>TCK-21548</t>
  </si>
  <si>
    <t>15/02/2026 03:27</t>
  </si>
  <si>
    <t>TCK-22924</t>
  </si>
  <si>
    <t>10/01/2026 16:12</t>
  </si>
  <si>
    <t>11/01/2026 00:21</t>
  </si>
  <si>
    <t>TCK-20556</t>
  </si>
  <si>
    <t>13/08/2026 06:05</t>
  </si>
  <si>
    <t>13/08/2026 12:15</t>
  </si>
  <si>
    <t>TCK-20575</t>
  </si>
  <si>
    <t>30/08/2026 14:53</t>
  </si>
  <si>
    <t>31/08/2026 13:33</t>
  </si>
  <si>
    <t>TCK-21580</t>
  </si>
  <si>
    <t>17/03/2026 23:10</t>
  </si>
  <si>
    <t>19/03/2026 09:14</t>
  </si>
  <si>
    <t>TCK-22354</t>
  </si>
  <si>
    <t>08/08/2026 07:18</t>
  </si>
  <si>
    <t>08/08/2026 10:44</t>
  </si>
  <si>
    <t>TCK-22864</t>
  </si>
  <si>
    <t>28/01/2026 23:34</t>
  </si>
  <si>
    <t>TCK-20584</t>
  </si>
  <si>
    <t>01/08/2026 14:40</t>
  </si>
  <si>
    <t>05/08/2026 17:22</t>
  </si>
  <si>
    <t>TCK-22782</t>
  </si>
  <si>
    <t>09/04/2026 00:47</t>
  </si>
  <si>
    <t>14/04/2026 01:36</t>
  </si>
  <si>
    <t>TCK-20116</t>
  </si>
  <si>
    <t>22/05/2026 06:58</t>
  </si>
  <si>
    <t>22/05/2026 21:55</t>
  </si>
  <si>
    <t>TCK-20121</t>
  </si>
  <si>
    <t>15/05/2026 04:53</t>
  </si>
  <si>
    <t>16/05/2026 00:32</t>
  </si>
  <si>
    <t>TCK-21707</t>
  </si>
  <si>
    <t>14/01/2026 11:57</t>
  </si>
  <si>
    <t>15/01/2026 00:24</t>
  </si>
  <si>
    <t>TCK-23030</t>
  </si>
  <si>
    <t>23/04/2026 08:08</t>
  </si>
  <si>
    <t>27/04/2026 13:50</t>
  </si>
  <si>
    <t>TCK-22664</t>
  </si>
  <si>
    <t>22/06/2026 06:21</t>
  </si>
  <si>
    <t>24/06/2026 05:54</t>
  </si>
  <si>
    <t>TCK-20769</t>
  </si>
  <si>
    <t>02/06/2026 16:35</t>
  </si>
  <si>
    <t>02/06/2026 17:06</t>
  </si>
  <si>
    <t>TCK-21151</t>
  </si>
  <si>
    <t>06/02/2026 14:31</t>
  </si>
  <si>
    <t>07/02/2026 11:07</t>
  </si>
  <si>
    <t>TCK-21077</t>
  </si>
  <si>
    <t>06/05/2026 15:22</t>
  </si>
  <si>
    <t>07/05/2026 11:03</t>
  </si>
  <si>
    <t>TCK-22926</t>
  </si>
  <si>
    <t>15/08/2026 03:37</t>
  </si>
  <si>
    <t>15/08/2026 09:50</t>
  </si>
  <si>
    <t>TCK-22542</t>
  </si>
  <si>
    <t>23/05/2026 07:22</t>
  </si>
  <si>
    <t>24/05/2026 02:15</t>
  </si>
  <si>
    <t>TCK-22850</t>
  </si>
  <si>
    <t>16/07/2026 11:35</t>
  </si>
  <si>
    <t>17/07/2026 10:11</t>
  </si>
  <si>
    <t>TCK-22279</t>
  </si>
  <si>
    <t>09/06/2026 10:38</t>
  </si>
  <si>
    <t>TCK-22295</t>
  </si>
  <si>
    <t>10/05/2026 12:37</t>
  </si>
  <si>
    <t>10/05/2026 18:48</t>
  </si>
  <si>
    <t>TCK-22696</t>
  </si>
  <si>
    <t>14/06/2026 06:22</t>
  </si>
  <si>
    <t>TCK-21186</t>
  </si>
  <si>
    <t>22/03/2026 20:48</t>
  </si>
  <si>
    <t>22/03/2026 22:35</t>
  </si>
  <si>
    <t>TCK-22372</t>
  </si>
  <si>
    <t>02/05/2026 23:49</t>
  </si>
  <si>
    <t>TCK-22439</t>
  </si>
  <si>
    <t>09/05/2026 07:24</t>
  </si>
  <si>
    <t>09/05/2026 13:42</t>
  </si>
  <si>
    <t>TCK-23165</t>
  </si>
  <si>
    <t>21/07/2026 19:15</t>
  </si>
  <si>
    <t>22/07/2026 02:54</t>
  </si>
  <si>
    <t>TCK-20952</t>
  </si>
  <si>
    <t>11/07/2026 14:49</t>
  </si>
  <si>
    <t>14/07/2026 02:37</t>
  </si>
  <si>
    <t>TCK-20191</t>
  </si>
  <si>
    <t>11/07/2026 06:24</t>
  </si>
  <si>
    <t>13/07/2026 23:26</t>
  </si>
  <si>
    <t>TCK-21049</t>
  </si>
  <si>
    <t>03/08/2026 22:29</t>
  </si>
  <si>
    <t>TCK-20625</t>
  </si>
  <si>
    <t>30/08/2026 23:31</t>
  </si>
  <si>
    <t>01/09/2026 04:36</t>
  </si>
  <si>
    <t>TCK-22791</t>
  </si>
  <si>
    <t>10/06/2026 07:14</t>
  </si>
  <si>
    <t>11/06/2026 05:02</t>
  </si>
  <si>
    <t>TCK-21856</t>
  </si>
  <si>
    <t>20/02/2026 07:44</t>
  </si>
  <si>
    <t>20/02/2026 23:51</t>
  </si>
  <si>
    <t>TCK-22373</t>
  </si>
  <si>
    <t>13/03/2026 05:33</t>
  </si>
  <si>
    <t>13/03/2026 13:11</t>
  </si>
  <si>
    <t>TCK-20832</t>
  </si>
  <si>
    <t>14/01/2026 05:29</t>
  </si>
  <si>
    <t>14/01/2026 09:21</t>
  </si>
  <si>
    <t>TCK-22951</t>
  </si>
  <si>
    <t>21/07/2026 21:56</t>
  </si>
  <si>
    <t>TCK-20081</t>
  </si>
  <si>
    <t>25/08/2026 23:15</t>
  </si>
  <si>
    <t>TCK-20499</t>
  </si>
  <si>
    <t>18/03/2026 12:15</t>
  </si>
  <si>
    <t>20/03/2026 01:10</t>
  </si>
  <si>
    <t>TCK-21607</t>
  </si>
  <si>
    <t>08/03/2026 05:19</t>
  </si>
  <si>
    <t>08/03/2026 06:41</t>
  </si>
  <si>
    <t>TCK-20148</t>
  </si>
  <si>
    <t>27/08/2026 09:01</t>
  </si>
  <si>
    <t>27/08/2026 13:03</t>
  </si>
  <si>
    <t>TCK-20538</t>
  </si>
  <si>
    <t>13/07/2026 05:13</t>
  </si>
  <si>
    <t>TCK-20677</t>
  </si>
  <si>
    <t>01/04/2026 04:25</t>
  </si>
  <si>
    <t>01/04/2026 15:50</t>
  </si>
  <si>
    <t>TCK-21051</t>
  </si>
  <si>
    <t>21/04/2026 21:48</t>
  </si>
  <si>
    <t>22/04/2026 17:16</t>
  </si>
  <si>
    <t>TCK-22867</t>
  </si>
  <si>
    <t>04/01/2026 23:16</t>
  </si>
  <si>
    <t>06/01/2026 23:58</t>
  </si>
  <si>
    <t>TCK-22561</t>
  </si>
  <si>
    <t>11/03/2026 08:26</t>
  </si>
  <si>
    <t>TCK-21414</t>
  </si>
  <si>
    <t>15/06/2026 10:32</t>
  </si>
  <si>
    <t>18/06/2026 09:13</t>
  </si>
  <si>
    <t>TCK-21611</t>
  </si>
  <si>
    <t>01/07/2026 22:32</t>
  </si>
  <si>
    <t>02/07/2026 08:35</t>
  </si>
  <si>
    <t>TCK-21575</t>
  </si>
  <si>
    <t>05/08/2026 20:52</t>
  </si>
  <si>
    <t>TCK-22125</t>
  </si>
  <si>
    <t>21/07/2026 08:17</t>
  </si>
  <si>
    <t>21/07/2026 12:51</t>
  </si>
  <si>
    <t>TCK-20083</t>
  </si>
  <si>
    <t>15/04/2026 22:03</t>
  </si>
  <si>
    <t>17/04/2026 14:09</t>
  </si>
  <si>
    <t>TCK-22878</t>
  </si>
  <si>
    <t>17/02/2026 00:43</t>
  </si>
  <si>
    <t>TCK-20364</t>
  </si>
  <si>
    <t>30/07/2026 12:06</t>
  </si>
  <si>
    <t>31/07/2026 04:30</t>
  </si>
  <si>
    <t>TCK-21190</t>
  </si>
  <si>
    <t>02/04/2026 09:11</t>
  </si>
  <si>
    <t>TCK-22246</t>
  </si>
  <si>
    <t>24/01/2026 01:21</t>
  </si>
  <si>
    <t>24/01/2026 06:29</t>
  </si>
  <si>
    <t>TCK-20071</t>
  </si>
  <si>
    <t>26/02/2026 06:17</t>
  </si>
  <si>
    <t>27/02/2026 09:37</t>
  </si>
  <si>
    <t>TCK-22034</t>
  </si>
  <si>
    <t>21/07/2026 01:16</t>
  </si>
  <si>
    <t>21/07/2026 15:18</t>
  </si>
  <si>
    <t>TCK-21956</t>
  </si>
  <si>
    <t>16/07/2026 20:04</t>
  </si>
  <si>
    <t>TCK-20816</t>
  </si>
  <si>
    <t>28/02/2026 08:56</t>
  </si>
  <si>
    <t>TCK-20608</t>
  </si>
  <si>
    <t>06/07/2026 01:37</t>
  </si>
  <si>
    <t>06/07/2026 04:57</t>
  </si>
  <si>
    <t>TCK-20170</t>
  </si>
  <si>
    <t>02/03/2026 01:05</t>
  </si>
  <si>
    <t>TCK-20959</t>
  </si>
  <si>
    <t>22/07/2026 03:08</t>
  </si>
  <si>
    <t>22/07/2026 15:50</t>
  </si>
  <si>
    <t>TCK-20679</t>
  </si>
  <si>
    <t>26/07/2026 23:10</t>
  </si>
  <si>
    <t>27/07/2026 02:03</t>
  </si>
  <si>
    <t>TCK-22733</t>
  </si>
  <si>
    <t>17/06/2026 10:39</t>
  </si>
  <si>
    <t>TCK-22916</t>
  </si>
  <si>
    <t>25/06/2026 23:33</t>
  </si>
  <si>
    <t>26/06/2026 15:03</t>
  </si>
  <si>
    <t>TCK-21259</t>
  </si>
  <si>
    <t>22/03/2026 16:32</t>
  </si>
  <si>
    <t>TCK-22104</t>
  </si>
  <si>
    <t>24/07/2026 03:41</t>
  </si>
  <si>
    <t>25/07/2026 11:53</t>
  </si>
  <si>
    <t>TCK-21946</t>
  </si>
  <si>
    <t>17/08/2026 09:02</t>
  </si>
  <si>
    <t>TCK-22221</t>
  </si>
  <si>
    <t>14/08/2026 08:40</t>
  </si>
  <si>
    <t>14/08/2026 21:00</t>
  </si>
  <si>
    <t>TCK-22502</t>
  </si>
  <si>
    <t>17/02/2026 02:38</t>
  </si>
  <si>
    <t>17/02/2026 08:22</t>
  </si>
  <si>
    <t>TCK-20392</t>
  </si>
  <si>
    <t>05/06/2026 08:51</t>
  </si>
  <si>
    <t>05/06/2026 11:33</t>
  </si>
  <si>
    <t>TCK-22220</t>
  </si>
  <si>
    <t>28/08/2026 16:52</t>
  </si>
  <si>
    <t>28/08/2026 23:32</t>
  </si>
  <si>
    <t>TCK-22197</t>
  </si>
  <si>
    <t>04/07/2026 14:10</t>
  </si>
  <si>
    <t>TCK-22058</t>
  </si>
  <si>
    <t>24/01/2026 00:12</t>
  </si>
  <si>
    <t>TCK-22225</t>
  </si>
  <si>
    <t>01/02/2026 07:17</t>
  </si>
  <si>
    <t>03/02/2026 02:14</t>
  </si>
  <si>
    <t>TCK-22186</t>
  </si>
  <si>
    <t>11/03/2026 21:55</t>
  </si>
  <si>
    <t>TCK-20540</t>
  </si>
  <si>
    <t>17/05/2026 04:33</t>
  </si>
  <si>
    <t>18/05/2026 01:15</t>
  </si>
  <si>
    <t>TCK-20675</t>
  </si>
  <si>
    <t>15/05/2026 16:21</t>
  </si>
  <si>
    <t>TCK-20321</t>
  </si>
  <si>
    <t>12/07/2026 09:21</t>
  </si>
  <si>
    <t>12/07/2026 16:47</t>
  </si>
  <si>
    <t>TCK-23072</t>
  </si>
  <si>
    <t>25/04/2026 18:38</t>
  </si>
  <si>
    <t>TCK-20758</t>
  </si>
  <si>
    <t>28/01/2026 17:18</t>
  </si>
  <si>
    <t>TCK-21686</t>
  </si>
  <si>
    <t>10/04/2026 00:18</t>
  </si>
  <si>
    <t>10/04/2026 01:25</t>
  </si>
  <si>
    <t>TCK-21821</t>
  </si>
  <si>
    <t>29/03/2026 18:20</t>
  </si>
  <si>
    <t>TCK-21902</t>
  </si>
  <si>
    <t>17/08/2026 00:57</t>
  </si>
  <si>
    <t>TCK-22501</t>
  </si>
  <si>
    <t>12/03/2026 04:27</t>
  </si>
  <si>
    <t>TCK-21459</t>
  </si>
  <si>
    <t>02/08/2026 20:59</t>
  </si>
  <si>
    <t>05/08/2026 20:28</t>
  </si>
  <si>
    <t>TCK-20610</t>
  </si>
  <si>
    <t>01/08/2026 01:28</t>
  </si>
  <si>
    <t>01/08/2026 13:50</t>
  </si>
  <si>
    <t>TCK-22996</t>
  </si>
  <si>
    <t>31/05/2026 13:50</t>
  </si>
  <si>
    <t>TCK-22607</t>
  </si>
  <si>
    <t>23/04/2026 11:28</t>
  </si>
  <si>
    <t>23/04/2026 17:29</t>
  </si>
  <si>
    <t>TCK-20158</t>
  </si>
  <si>
    <t>03/05/2026 17:12</t>
  </si>
  <si>
    <t>TCK-20113</t>
  </si>
  <si>
    <t>20/05/2026 00:53</t>
  </si>
  <si>
    <t>TCK-23199</t>
  </si>
  <si>
    <t>30/03/2026 11:47</t>
  </si>
  <si>
    <t>30/03/2026 17:47</t>
  </si>
  <si>
    <t>TCK-22120</t>
  </si>
  <si>
    <t>13/07/2026 11:54</t>
  </si>
  <si>
    <t>14/07/2026 03:55</t>
  </si>
  <si>
    <t>TCK-22690</t>
  </si>
  <si>
    <t>25/04/2026 16:42</t>
  </si>
  <si>
    <t>26/04/2026 23:33</t>
  </si>
  <si>
    <t>TCK-22649</t>
  </si>
  <si>
    <t>13/04/2026 12:33</t>
  </si>
  <si>
    <t>15/04/2026 03:50</t>
  </si>
  <si>
    <t>TCK-20322</t>
  </si>
  <si>
    <t>06/03/2026 03:49</t>
  </si>
  <si>
    <t>TCK-23089</t>
  </si>
  <si>
    <t>22/03/2026 18:51</t>
  </si>
  <si>
    <t>TCK-21133</t>
  </si>
  <si>
    <t>26/02/2026 19:07</t>
  </si>
  <si>
    <t>TCK-20101</t>
  </si>
  <si>
    <t>21/06/2026 05:35</t>
  </si>
  <si>
    <t>21/06/2026 21:50</t>
  </si>
  <si>
    <t>TCK-22980</t>
  </si>
  <si>
    <t>01/08/2026 14:37</t>
  </si>
  <si>
    <t>01/08/2026 18:11</t>
  </si>
  <si>
    <t>TCK-20199</t>
  </si>
  <si>
    <t>30/04/2026 21:02</t>
  </si>
  <si>
    <t>04/05/2026 17:42</t>
  </si>
  <si>
    <t>TCK-21079</t>
  </si>
  <si>
    <t>21/02/2026 23:44</t>
  </si>
  <si>
    <t>22/02/2026 03:12</t>
  </si>
  <si>
    <t>TCK-21709</t>
  </si>
  <si>
    <t>05/02/2026 08:54</t>
  </si>
  <si>
    <t>07/02/2026 02:04</t>
  </si>
  <si>
    <t>TCK-20498</t>
  </si>
  <si>
    <t>19/01/2026 00:21</t>
  </si>
  <si>
    <t>19/01/2026 00:56</t>
  </si>
  <si>
    <t>TCK-22713</t>
  </si>
  <si>
    <t>21/06/2026 20:04</t>
  </si>
  <si>
    <t>23/06/2026 04:52</t>
  </si>
  <si>
    <t>TCK-20807</t>
  </si>
  <si>
    <t>27/08/2026 22:53</t>
  </si>
  <si>
    <t>28/08/2026 15:52</t>
  </si>
  <si>
    <t>TCK-21844</t>
  </si>
  <si>
    <t>09/03/2026 20:41</t>
  </si>
  <si>
    <t>11/03/2026 06:35</t>
  </si>
  <si>
    <t>TCK-22598</t>
  </si>
  <si>
    <t>11/07/2026 23:33</t>
  </si>
  <si>
    <t>12/07/2026 22:57</t>
  </si>
  <si>
    <t>TCK-20349</t>
  </si>
  <si>
    <t>18/01/2026 07:00</t>
  </si>
  <si>
    <t>18/01/2026 14:28</t>
  </si>
  <si>
    <t>TCK-21372</t>
  </si>
  <si>
    <t>07/01/2026 21:26</t>
  </si>
  <si>
    <t>TCK-20169</t>
  </si>
  <si>
    <t>20/06/2026 20:45</t>
  </si>
  <si>
    <t>22/06/2026 13:59</t>
  </si>
  <si>
    <t>TCK-22245</t>
  </si>
  <si>
    <t>09/06/2026 00:57</t>
  </si>
  <si>
    <t>TCK-22582</t>
  </si>
  <si>
    <t>21/08/2026 05:21</t>
  </si>
  <si>
    <t>22/08/2026 21:33</t>
  </si>
  <si>
    <t>TCK-20201</t>
  </si>
  <si>
    <t>08/02/2026 16:42</t>
  </si>
  <si>
    <t>08/02/2026 22:46</t>
  </si>
  <si>
    <t>TCK-21899</t>
  </si>
  <si>
    <t>15/01/2026 19:02</t>
  </si>
  <si>
    <t>19/01/2026 15:39</t>
  </si>
  <si>
    <t>TCK-21733</t>
  </si>
  <si>
    <t>04/07/2026 20:08</t>
  </si>
  <si>
    <t>04/07/2026 23:26</t>
  </si>
  <si>
    <t>TCK-21347</t>
  </si>
  <si>
    <t>09/07/2026 00:01</t>
  </si>
  <si>
    <t>TCK-22663</t>
  </si>
  <si>
    <t>03/07/2026 09:06</t>
  </si>
  <si>
    <t>03/07/2026 21:03</t>
  </si>
  <si>
    <t>TCK-22035</t>
  </si>
  <si>
    <t>28/03/2026 01:30</t>
  </si>
  <si>
    <t>28/03/2026 08:05</t>
  </si>
  <si>
    <t>TCK-20849</t>
  </si>
  <si>
    <t>31/05/2026 15:16</t>
  </si>
  <si>
    <t>TCK-21225</t>
  </si>
  <si>
    <t>22/07/2026 03:28</t>
  </si>
  <si>
    <t>22/07/2026 22:54</t>
  </si>
  <si>
    <t>TCK-21938</t>
  </si>
  <si>
    <t>20/05/2026 15:09</t>
  </si>
  <si>
    <t>20/05/2026 20:27</t>
  </si>
  <si>
    <t>TCK-20399</t>
  </si>
  <si>
    <t>02/01/2026 15:04</t>
  </si>
  <si>
    <t>TCK-21772</t>
  </si>
  <si>
    <t>13/07/2026 15:05</t>
  </si>
  <si>
    <t>14/07/2026 04:00</t>
  </si>
  <si>
    <t>TCK-22619</t>
  </si>
  <si>
    <t>14/01/2026 17:46</t>
  </si>
  <si>
    <t>15/01/2026 13:28</t>
  </si>
  <si>
    <t>TCK-21584</t>
  </si>
  <si>
    <t>25/04/2026 10:32</t>
  </si>
  <si>
    <t>25/04/2026 18:01</t>
  </si>
  <si>
    <t>TCK-21462</t>
  </si>
  <si>
    <t>01/05/2026 17:46</t>
  </si>
  <si>
    <t>02/05/2026 07:01</t>
  </si>
  <si>
    <t>TCK-20293</t>
  </si>
  <si>
    <t>03/04/2026 02:56</t>
  </si>
  <si>
    <t>05/04/2026 13:08</t>
  </si>
  <si>
    <t>TCK-21334</t>
  </si>
  <si>
    <t>31/05/2026 14:03</t>
  </si>
  <si>
    <t>TCK-22730</t>
  </si>
  <si>
    <t>02/03/2026 10:16</t>
  </si>
  <si>
    <t>TCK-22249</t>
  </si>
  <si>
    <t>17/06/2026 06:19</t>
  </si>
  <si>
    <t>18/06/2026 01:55</t>
  </si>
  <si>
    <t>TCK-20593</t>
  </si>
  <si>
    <t>21/04/2026 10:22</t>
  </si>
  <si>
    <t>21/04/2026 16:12</t>
  </si>
  <si>
    <t>TCK-21241</t>
  </si>
  <si>
    <t>17/03/2026 05:37</t>
  </si>
  <si>
    <t>TCK-22687</t>
  </si>
  <si>
    <t>01/08/2026 09:54</t>
  </si>
  <si>
    <t>02/08/2026 07:54</t>
  </si>
  <si>
    <t>TCK-20692</t>
  </si>
  <si>
    <t>28/01/2026 00:31</t>
  </si>
  <si>
    <t>28/01/2026 06:13</t>
  </si>
  <si>
    <t>TCK-20891</t>
  </si>
  <si>
    <t>28/08/2026 17:10</t>
  </si>
  <si>
    <t>29/08/2026 05:15</t>
  </si>
  <si>
    <t>TCK-21353</t>
  </si>
  <si>
    <t>15/02/2026 08:03</t>
  </si>
  <si>
    <t>16/02/2026 18:54</t>
  </si>
  <si>
    <t>TCK-22823</t>
  </si>
  <si>
    <t>03/04/2026 15:08</t>
  </si>
  <si>
    <t>04/04/2026 05:35</t>
  </si>
  <si>
    <t>TCK-20410</t>
  </si>
  <si>
    <t>20/05/2026 10:32</t>
  </si>
  <si>
    <t>23/05/2026 02:09</t>
  </si>
  <si>
    <t>TCK-20373</t>
  </si>
  <si>
    <t>09/04/2026 01:05</t>
  </si>
  <si>
    <t>09/04/2026 04:21</t>
  </si>
  <si>
    <t>TCK-22994</t>
  </si>
  <si>
    <t>06/06/2026 07:26</t>
  </si>
  <si>
    <t>07/06/2026 12:50</t>
  </si>
  <si>
    <t>TCK-22640</t>
  </si>
  <si>
    <t>23/05/2026 22:20</t>
  </si>
  <si>
    <t>24/05/2026 04:28</t>
  </si>
  <si>
    <t>TCK-20397</t>
  </si>
  <si>
    <t>25/03/2026 23:51</t>
  </si>
  <si>
    <t>27/03/2026 09:21</t>
  </si>
  <si>
    <t>TCK-22913</t>
  </si>
  <si>
    <t>08/01/2026 01:59</t>
  </si>
  <si>
    <t>08/01/2026 17:36</t>
  </si>
  <si>
    <t>TCK-22116</t>
  </si>
  <si>
    <t>17/07/2026 05:34</t>
  </si>
  <si>
    <t>TCK-21080</t>
  </si>
  <si>
    <t>11/06/2026 22:12</t>
  </si>
  <si>
    <t>12/06/2026 05:07</t>
  </si>
  <si>
    <t>TCK-21916</t>
  </si>
  <si>
    <t>27/01/2026 07:24</t>
  </si>
  <si>
    <t>TCK-21628</t>
  </si>
  <si>
    <t>31/07/2026 18:09</t>
  </si>
  <si>
    <t>01/08/2026 14:00</t>
  </si>
  <si>
    <t>TCK-21037</t>
  </si>
  <si>
    <t>22/02/2026 16:34</t>
  </si>
  <si>
    <t>22/02/2026 23:32</t>
  </si>
  <si>
    <t>TCK-20182</t>
  </si>
  <si>
    <t>19/06/2026 03:09</t>
  </si>
  <si>
    <t>19/06/2026 07:52</t>
  </si>
  <si>
    <t>TCK-20577</t>
  </si>
  <si>
    <t>12/08/2026 20:01</t>
  </si>
  <si>
    <t>TCK-22849</t>
  </si>
  <si>
    <t>22/08/2026 05:52</t>
  </si>
  <si>
    <t>TCK-22746</t>
  </si>
  <si>
    <t>24/02/2026 00:43</t>
  </si>
  <si>
    <t>TCK-23073</t>
  </si>
  <si>
    <t>27/05/2026 15:32</t>
  </si>
  <si>
    <t>27/05/2026 16:24</t>
  </si>
  <si>
    <t>TCK-20033</t>
  </si>
  <si>
    <t>22/06/2026 13:57</t>
  </si>
  <si>
    <t>TCK-20130</t>
  </si>
  <si>
    <t>25/08/2026 16:38</t>
  </si>
  <si>
    <t>26/08/2026 22:50</t>
  </si>
  <si>
    <t>TCK-21145</t>
  </si>
  <si>
    <t>15/03/2026 12:39</t>
  </si>
  <si>
    <t>TCK-22930</t>
  </si>
  <si>
    <t>05/01/2026 00:01</t>
  </si>
  <si>
    <t>07/01/2026 12:50</t>
  </si>
  <si>
    <t>TCK-20569</t>
  </si>
  <si>
    <t>18/01/2026 13:20</t>
  </si>
  <si>
    <t>TCK-21303</t>
  </si>
  <si>
    <t>26/01/2026 23:10</t>
  </si>
  <si>
    <t>TCK-22277</t>
  </si>
  <si>
    <t>29/08/2026 02:18</t>
  </si>
  <si>
    <t>29/08/2026 03:46</t>
  </si>
  <si>
    <t>TCK-21101</t>
  </si>
  <si>
    <t>23/08/2026 17:18</t>
  </si>
  <si>
    <t>TCK-22949</t>
  </si>
  <si>
    <t>28/07/2026 14:57</t>
  </si>
  <si>
    <t>TCK-21745</t>
  </si>
  <si>
    <t>15/01/2026 18:03</t>
  </si>
  <si>
    <t>16/01/2026 10:31</t>
  </si>
  <si>
    <t>TCK-22522</t>
  </si>
  <si>
    <t>21/05/2026 03:19</t>
  </si>
  <si>
    <t>21/05/2026 03:54</t>
  </si>
  <si>
    <t>TCK-21699</t>
  </si>
  <si>
    <t>20/08/2026 16:21</t>
  </si>
  <si>
    <t>21/08/2026 21:34</t>
  </si>
  <si>
    <t>TCK-21533</t>
  </si>
  <si>
    <t>08/07/2026 17:21</t>
  </si>
  <si>
    <t>TCK-21104</t>
  </si>
  <si>
    <t>22/08/2026 11:35</t>
  </si>
  <si>
    <t>25/08/2026 08:50</t>
  </si>
  <si>
    <t>TCK-20722</t>
  </si>
  <si>
    <t>03/02/2026 15:18</t>
  </si>
  <si>
    <t>04/02/2026 22:22</t>
  </si>
  <si>
    <t>TCK-21635</t>
  </si>
  <si>
    <t>16/07/2026 07:13</t>
  </si>
  <si>
    <t>TCK-21000</t>
  </si>
  <si>
    <t>01/08/2026 02:00</t>
  </si>
  <si>
    <t>01/08/2026 18:48</t>
  </si>
  <si>
    <t>TCK-22973</t>
  </si>
  <si>
    <t>24/08/2026 12:27</t>
  </si>
  <si>
    <t>25/08/2026 05:51</t>
  </si>
  <si>
    <t>TCK-20097</t>
  </si>
  <si>
    <t>22/04/2026 02:42</t>
  </si>
  <si>
    <t>22/04/2026 14:32</t>
  </si>
  <si>
    <t>TCK-22991</t>
  </si>
  <si>
    <t>06/03/2026 13:06</t>
  </si>
  <si>
    <t>TCK-21088</t>
  </si>
  <si>
    <t>09/04/2026 07:40</t>
  </si>
  <si>
    <t>TCK-20175</t>
  </si>
  <si>
    <t>26/05/2026 06:21</t>
  </si>
  <si>
    <t>TCK-21700</t>
  </si>
  <si>
    <t>19/06/2026 19:11</t>
  </si>
  <si>
    <t>21/06/2026 13:37</t>
  </si>
  <si>
    <t>TCK-22121</t>
  </si>
  <si>
    <t>04/06/2026 00:18</t>
  </si>
  <si>
    <t>04/06/2026 04:52</t>
  </si>
  <si>
    <t>TCK-23159</t>
  </si>
  <si>
    <t>12/03/2026 17:48</t>
  </si>
  <si>
    <t>13/03/2026 16:47</t>
  </si>
  <si>
    <t>TCK-22243</t>
  </si>
  <si>
    <t>01/04/2026 02:42</t>
  </si>
  <si>
    <t>TCK-20358</t>
  </si>
  <si>
    <t>05/02/2026 02:51</t>
  </si>
  <si>
    <t>TCK-20543</t>
  </si>
  <si>
    <t>18/08/2026 02:30</t>
  </si>
  <si>
    <t>TCK-20674</t>
  </si>
  <si>
    <t>11/04/2026 00:32</t>
  </si>
  <si>
    <t>11/04/2026 14:28</t>
  </si>
  <si>
    <t>TCK-23048</t>
  </si>
  <si>
    <t>11/05/2026 03:00</t>
  </si>
  <si>
    <t>TCK-23063</t>
  </si>
  <si>
    <t>31/05/2026 04:24</t>
  </si>
  <si>
    <t>31/05/2026 21:43</t>
  </si>
  <si>
    <t>TCK-21730</t>
  </si>
  <si>
    <t>04/05/2026 13:15</t>
  </si>
  <si>
    <t>TCK-21465</t>
  </si>
  <si>
    <t>14/02/2026 09:29</t>
  </si>
  <si>
    <t>14/02/2026 12:21</t>
  </si>
  <si>
    <t>TCK-21392</t>
  </si>
  <si>
    <t>05/01/2026 05:39</t>
  </si>
  <si>
    <t>TCK-22564</t>
  </si>
  <si>
    <t>10/06/2026 12:46</t>
  </si>
  <si>
    <t>10/06/2026 17:46</t>
  </si>
  <si>
    <t>TCK-22147</t>
  </si>
  <si>
    <t>17/02/2026 07:50</t>
  </si>
  <si>
    <t>17/02/2026 13:05</t>
  </si>
  <si>
    <t>TCK-22472</t>
  </si>
  <si>
    <t>27/01/2026 20:50</t>
  </si>
  <si>
    <t>TCK-21065</t>
  </si>
  <si>
    <t>24/08/2026 21:41</t>
  </si>
  <si>
    <t>25/08/2026 00:15</t>
  </si>
  <si>
    <t>TCK-22847</t>
  </si>
  <si>
    <t>06/04/2026 09:49</t>
  </si>
  <si>
    <t>TCK-20645</t>
  </si>
  <si>
    <t>30/08/2026 16:58</t>
  </si>
  <si>
    <t>04/09/2026 19:19</t>
  </si>
  <si>
    <t>TCK-20230</t>
  </si>
  <si>
    <t>29/06/2026 17:31</t>
  </si>
  <si>
    <t>TCK-20420</t>
  </si>
  <si>
    <t>18/06/2026 03:01</t>
  </si>
  <si>
    <t>18/06/2026 05:36</t>
  </si>
  <si>
    <t>TCK-22038</t>
  </si>
  <si>
    <t>13/07/2026 05:12</t>
  </si>
  <si>
    <t>13/07/2026 21:45</t>
  </si>
  <si>
    <t>TCK-21780</t>
  </si>
  <si>
    <t>30/04/2026 22:09</t>
  </si>
  <si>
    <t>TCK-22902</t>
  </si>
  <si>
    <t>29/07/2026 11:44</t>
  </si>
  <si>
    <t>01/08/2026 04:17</t>
  </si>
  <si>
    <t>TCK-21425</t>
  </si>
  <si>
    <t>29/05/2026 05:15</t>
  </si>
  <si>
    <t>29/05/2026 12:15</t>
  </si>
  <si>
    <t>TCK-21013</t>
  </si>
  <si>
    <t>28/01/2026 15:37</t>
  </si>
  <si>
    <t>31/01/2026 10:56</t>
  </si>
  <si>
    <t>TCK-21201</t>
  </si>
  <si>
    <t>26/07/2026 05:23</t>
  </si>
  <si>
    <t>26/07/2026 16:34</t>
  </si>
  <si>
    <t>TCK-22293</t>
  </si>
  <si>
    <t>09/03/2026 16:50</t>
  </si>
  <si>
    <t>TCK-21604</t>
  </si>
  <si>
    <t>28/04/2026 06:58</t>
  </si>
  <si>
    <t>TCK-22137</t>
  </si>
  <si>
    <t>16/04/2026 18:52</t>
  </si>
  <si>
    <t>18/04/2026 08:37</t>
  </si>
  <si>
    <t>TCK-20433</t>
  </si>
  <si>
    <t>14/03/2026 23:11</t>
  </si>
  <si>
    <t>15/03/2026 05:30</t>
  </si>
  <si>
    <t>TCK-21067</t>
  </si>
  <si>
    <t>08/01/2026 15:02</t>
  </si>
  <si>
    <t>TCK-21278</t>
  </si>
  <si>
    <t>09/08/2026 02:57</t>
  </si>
  <si>
    <t>TCK-21149</t>
  </si>
  <si>
    <t>11/01/2026 16:37</t>
  </si>
  <si>
    <t>TCK-22868</t>
  </si>
  <si>
    <t>24/07/2026 12:43</t>
  </si>
  <si>
    <t>TCK-20155</t>
  </si>
  <si>
    <t>24/07/2026 00:16</t>
  </si>
  <si>
    <t>24/07/2026 03:18</t>
  </si>
  <si>
    <t>TCK-20759</t>
  </si>
  <si>
    <t>18/02/2026 20:39</t>
  </si>
  <si>
    <t>19/02/2026 10:17</t>
  </si>
  <si>
    <t>TCK-23109</t>
  </si>
  <si>
    <t>03/05/2026 10:22</t>
  </si>
  <si>
    <t>TCK-20792</t>
  </si>
  <si>
    <t>06/08/2026 22:59</t>
  </si>
  <si>
    <t>07/08/2026 03:02</t>
  </si>
  <si>
    <t>TCK-21368</t>
  </si>
  <si>
    <t>29/05/2026 06:00</t>
  </si>
  <si>
    <t>TCK-21988</t>
  </si>
  <si>
    <t>24/05/2026 20:47</t>
  </si>
  <si>
    <t>25/05/2026 14:13</t>
  </si>
  <si>
    <t>TCK-21490</t>
  </si>
  <si>
    <t>06/04/2026 23:06</t>
  </si>
  <si>
    <t>07/04/2026 02:48</t>
  </si>
  <si>
    <t>TCK-20207</t>
  </si>
  <si>
    <t>14/03/2026 15:16</t>
  </si>
  <si>
    <t>TCK-22999</t>
  </si>
  <si>
    <t>30/07/2026 22:29</t>
  </si>
  <si>
    <t>TCK-22419</t>
  </si>
  <si>
    <t>03/05/2026 17:21</t>
  </si>
  <si>
    <t>03/05/2026 17:55</t>
  </si>
  <si>
    <t>TCK-22699</t>
  </si>
  <si>
    <t>24/08/2026 01:17</t>
  </si>
  <si>
    <t>24/08/2026 11:37</t>
  </si>
  <si>
    <t>TCK-20756</t>
  </si>
  <si>
    <t>05/04/2026 15:17</t>
  </si>
  <si>
    <t>TCK-21675</t>
  </si>
  <si>
    <t>20/07/2026 16:46</t>
  </si>
  <si>
    <t>TCK-21893</t>
  </si>
  <si>
    <t>25/07/2026 00:24</t>
  </si>
  <si>
    <t>25/07/2026 01:29</t>
  </si>
  <si>
    <t>TCK-21182</t>
  </si>
  <si>
    <t>02/05/2026 00:30</t>
  </si>
  <si>
    <t>02/05/2026 03:35</t>
  </si>
  <si>
    <t>TCK-22623</t>
  </si>
  <si>
    <t>09/06/2026 07:25</t>
  </si>
  <si>
    <t>09/06/2026 12:19</t>
  </si>
  <si>
    <t>TCK-20790</t>
  </si>
  <si>
    <t>08/02/2026 10:11</t>
  </si>
  <si>
    <t>08/02/2026 12:56</t>
  </si>
  <si>
    <t>TCK-22530</t>
  </si>
  <si>
    <t>24/08/2026 14:06</t>
  </si>
  <si>
    <t>24/08/2026 22:33</t>
  </si>
  <si>
    <t>TCK-22140</t>
  </si>
  <si>
    <t>20/06/2026 00:31</t>
  </si>
  <si>
    <t>20/06/2026 08:34</t>
  </si>
  <si>
    <t>TCK-20240</t>
  </si>
  <si>
    <t>12/01/2026 22:24</t>
  </si>
  <si>
    <t>13/01/2026 01:25</t>
  </si>
  <si>
    <t>TCK-22387</t>
  </si>
  <si>
    <t>25/05/2026 15:04</t>
  </si>
  <si>
    <t>TCK-20566</t>
  </si>
  <si>
    <t>16/06/2026 08:37</t>
  </si>
  <si>
    <t>TCK-21221</t>
  </si>
  <si>
    <t>14/08/2026 19:21</t>
  </si>
  <si>
    <t>TCK-23158</t>
  </si>
  <si>
    <t>16/08/2026 04:37</t>
  </si>
  <si>
    <t>TCK-22469</t>
  </si>
  <si>
    <t>12/02/2026 18:37</t>
  </si>
  <si>
    <t>TCK-22551</t>
  </si>
  <si>
    <t>18/06/2026 01:26</t>
  </si>
  <si>
    <t>TCK-22275</t>
  </si>
  <si>
    <t>12/05/2026 21:30</t>
  </si>
  <si>
    <t>13/05/2026 17:39</t>
  </si>
  <si>
    <t>TCK-22937</t>
  </si>
  <si>
    <t>31/03/2026 00:07</t>
  </si>
  <si>
    <t>31/03/2026 21:33</t>
  </si>
  <si>
    <t>TCK-20549</t>
  </si>
  <si>
    <t>11/02/2026 05:29</t>
  </si>
  <si>
    <t>11/02/2026 07:24</t>
  </si>
  <si>
    <t>TCK-20532</t>
  </si>
  <si>
    <t>23/07/2026 02:25</t>
  </si>
  <si>
    <t>23/07/2026 07:58</t>
  </si>
  <si>
    <t>TCK-20944</t>
  </si>
  <si>
    <t>26/07/2026 22:20</t>
  </si>
  <si>
    <t>30/07/2026 22:13</t>
  </si>
  <si>
    <t>TCK-21367</t>
  </si>
  <si>
    <t>14/07/2026 14:44</t>
  </si>
  <si>
    <t>15/07/2026 19:00</t>
  </si>
  <si>
    <t>TCK-21300</t>
  </si>
  <si>
    <t>04/01/2026 05:18</t>
  </si>
  <si>
    <t>TCK-21876</t>
  </si>
  <si>
    <t>18/05/2026 19:37</t>
  </si>
  <si>
    <t>19/05/2026 13:05</t>
  </si>
  <si>
    <t>TCK-20714</t>
  </si>
  <si>
    <t>28/07/2026 18:12</t>
  </si>
  <si>
    <t>29/07/2026 09:20</t>
  </si>
  <si>
    <t>TCK-21448</t>
  </si>
  <si>
    <t>01/03/2026 16:34</t>
  </si>
  <si>
    <t>04/03/2026 19:11</t>
  </si>
  <si>
    <t>TCK-20533</t>
  </si>
  <si>
    <t>07/05/2026 04:30</t>
  </si>
  <si>
    <t>07/05/2026 08:49</t>
  </si>
  <si>
    <t>TCK-21554</t>
  </si>
  <si>
    <t>02/08/2026 08:45</t>
  </si>
  <si>
    <t>03/08/2026 02:07</t>
  </si>
  <si>
    <t>TCK-22876</t>
  </si>
  <si>
    <t>18/05/2026 11:38</t>
  </si>
  <si>
    <t>18/05/2026 16:55</t>
  </si>
  <si>
    <t>TCK-21122</t>
  </si>
  <si>
    <t>24/02/2026 03:54</t>
  </si>
  <si>
    <t>TCK-21735</t>
  </si>
  <si>
    <t>24/05/2026 16:44</t>
  </si>
  <si>
    <t>TCK-20720</t>
  </si>
  <si>
    <t>18/01/2026 18:47</t>
  </si>
  <si>
    <t>18/01/2026 22:51</t>
  </si>
  <si>
    <t>TCK-21623</t>
  </si>
  <si>
    <t>14/04/2026 21:37</t>
  </si>
  <si>
    <t>15/04/2026 05:46</t>
  </si>
  <si>
    <t>TCK-21755</t>
  </si>
  <si>
    <t>09/03/2026 23:32</t>
  </si>
  <si>
    <t>10/03/2026 20:40</t>
  </si>
  <si>
    <t>TCK-20179</t>
  </si>
  <si>
    <t>16/02/2026 19:15</t>
  </si>
  <si>
    <t>17/02/2026 00:50</t>
  </si>
  <si>
    <t>TCK-20871</t>
  </si>
  <si>
    <t>08/06/2026 02:18</t>
  </si>
  <si>
    <t>12/06/2026 13:53</t>
  </si>
  <si>
    <t>TCK-20727</t>
  </si>
  <si>
    <t>08/01/2026 13:43</t>
  </si>
  <si>
    <t>09/01/2026 20:44</t>
  </si>
  <si>
    <t>TCK-22326</t>
  </si>
  <si>
    <t>07/01/2026 00:41</t>
  </si>
  <si>
    <t>07/01/2026 04:41</t>
  </si>
  <si>
    <t>TCK-20439</t>
  </si>
  <si>
    <t>20/01/2026 15:13</t>
  </si>
  <si>
    <t>TCK-20361</t>
  </si>
  <si>
    <t>14/07/2026 07:37</t>
  </si>
  <si>
    <t>15/07/2026 03:32</t>
  </si>
  <si>
    <t>TCK-20147</t>
  </si>
  <si>
    <t>28/04/2026 08:31</t>
  </si>
  <si>
    <t>TCK-20280</t>
  </si>
  <si>
    <t>14/05/2026 18:05</t>
  </si>
  <si>
    <t>TCK-23184</t>
  </si>
  <si>
    <t>23/01/2026 11:25</t>
  </si>
  <si>
    <t>24/01/2026 08:52</t>
  </si>
  <si>
    <t>TCK-21302</t>
  </si>
  <si>
    <t>13/01/2026 03:17</t>
  </si>
  <si>
    <t>14/01/2026 04:24</t>
  </si>
  <si>
    <t>TCK-21440</t>
  </si>
  <si>
    <t>27/03/2026 21:59</t>
  </si>
  <si>
    <t>TCK-23085</t>
  </si>
  <si>
    <t>04/04/2026 11:39</t>
  </si>
  <si>
    <t>TCK-21377</t>
  </si>
  <si>
    <t>24/08/2026 02:53</t>
  </si>
  <si>
    <t>25/08/2026 03:05</t>
  </si>
  <si>
    <t>TCK-22483</t>
  </si>
  <si>
    <t>10/03/2026 15:29</t>
  </si>
  <si>
    <t>TCK-22757</t>
  </si>
  <si>
    <t>09/04/2026 00:33</t>
  </si>
  <si>
    <t>09/04/2026 02:02</t>
  </si>
  <si>
    <t>TCK-21073</t>
  </si>
  <si>
    <t>13/01/2026 11:19</t>
  </si>
  <si>
    <t>13/01/2026 12:26</t>
  </si>
  <si>
    <t>TCK-22636</t>
  </si>
  <si>
    <t>26/06/2026 17:24</t>
  </si>
  <si>
    <t>27/06/2026 13:03</t>
  </si>
  <si>
    <t>TCK-20371</t>
  </si>
  <si>
    <t>17/06/2026 20:50</t>
  </si>
  <si>
    <t>17/06/2026 21:54</t>
  </si>
  <si>
    <t>TCK-22461</t>
  </si>
  <si>
    <t>27/01/2026 14:10</t>
  </si>
  <si>
    <t>TCK-21330</t>
  </si>
  <si>
    <t>17/05/2026 19:16</t>
  </si>
  <si>
    <t>TCK-20689</t>
  </si>
  <si>
    <t>10/06/2026 17:26</t>
  </si>
  <si>
    <t>TCK-21295</t>
  </si>
  <si>
    <t>11/04/2026 14:29</t>
  </si>
  <si>
    <t>12/04/2026 22:29</t>
  </si>
  <si>
    <t>TCK-21317</t>
  </si>
  <si>
    <t>07/07/2026 06:13</t>
  </si>
  <si>
    <t>08/07/2026 06:08</t>
  </si>
  <si>
    <t>TCK-20733</t>
  </si>
  <si>
    <t>23/03/2026 15:04</t>
  </si>
  <si>
    <t>TCK-21762</t>
  </si>
  <si>
    <t>22/02/2026 23:51</t>
  </si>
  <si>
    <t>23/02/2026 05:34</t>
  </si>
  <si>
    <t>TCK-21986</t>
  </si>
  <si>
    <t>24/06/2026 14:24</t>
  </si>
  <si>
    <t>25/06/2026 00:59</t>
  </si>
  <si>
    <t>TCK-20445</t>
  </si>
  <si>
    <t>03/07/2026 15:02</t>
  </si>
  <si>
    <t>TCK-22587</t>
  </si>
  <si>
    <t>26/07/2026 06:10</t>
  </si>
  <si>
    <t>26/07/2026 08:32</t>
  </si>
  <si>
    <t>TCK-21493</t>
  </si>
  <si>
    <t>06/08/2026 02:18</t>
  </si>
  <si>
    <t>06/08/2026 11:01</t>
  </si>
  <si>
    <t>TCK-22698</t>
  </si>
  <si>
    <t>10/06/2026 10:39</t>
  </si>
  <si>
    <t>10/06/2026 18:44</t>
  </si>
  <si>
    <t>TCK-22456</t>
  </si>
  <si>
    <t>21/01/2026 22:17</t>
  </si>
  <si>
    <t>TCK-20212</t>
  </si>
  <si>
    <t>19/04/2026 23:40</t>
  </si>
  <si>
    <t>21/04/2026 03:27</t>
  </si>
  <si>
    <t>TCK-22449</t>
  </si>
  <si>
    <t>14/05/2026 02:08</t>
  </si>
  <si>
    <t>14/05/2026 14:40</t>
  </si>
  <si>
    <t>TCK-21668</t>
  </si>
  <si>
    <t>25/06/2026 05:13</t>
  </si>
  <si>
    <t>TCK-22805</t>
  </si>
  <si>
    <t>22/02/2026 17:49</t>
  </si>
  <si>
    <t>TCK-21650</t>
  </si>
  <si>
    <t>19/07/2026 12:23</t>
  </si>
  <si>
    <t>19/07/2026 15:18</t>
  </si>
  <si>
    <t>TCK-21803</t>
  </si>
  <si>
    <t>11/07/2026 00:32</t>
  </si>
  <si>
    <t>11/07/2026 21:53</t>
  </si>
  <si>
    <t>TCK-22770</t>
  </si>
  <si>
    <t>22/01/2026 14:55</t>
  </si>
  <si>
    <t>23/01/2026 03:53</t>
  </si>
  <si>
    <t>TCK-22827</t>
  </si>
  <si>
    <t>18/04/2026 17:23</t>
  </si>
  <si>
    <t>TCK-22413</t>
  </si>
  <si>
    <t>15/08/2026 19:38</t>
  </si>
  <si>
    <t>TCK-22492</t>
  </si>
  <si>
    <t>02/07/2026 11:47</t>
  </si>
  <si>
    <t>03/07/2026 04:19</t>
  </si>
  <si>
    <t>TCK-20273</t>
  </si>
  <si>
    <t>17/04/2026 02:13</t>
  </si>
  <si>
    <t>17/04/2026 13:52</t>
  </si>
  <si>
    <t>TCK-20020</t>
  </si>
  <si>
    <t>07/04/2026 19:46</t>
  </si>
  <si>
    <t>08/04/2026 00:50</t>
  </si>
  <si>
    <t>TCK-23076</t>
  </si>
  <si>
    <t>19/01/2026 01:07</t>
  </si>
  <si>
    <t>19/01/2026 09:38</t>
  </si>
  <si>
    <t>TCK-21696</t>
  </si>
  <si>
    <t>24/03/2026 06:10</t>
  </si>
  <si>
    <t>24/03/2026 12:41</t>
  </si>
  <si>
    <t>TCK-20570</t>
  </si>
  <si>
    <t>05/01/2026 14:12</t>
  </si>
  <si>
    <t>07/01/2026 11:56</t>
  </si>
  <si>
    <t>TCK-21953</t>
  </si>
  <si>
    <t>09/06/2026 00:43</t>
  </si>
  <si>
    <t>TCK-22069</t>
  </si>
  <si>
    <t>06/07/2026 02:27</t>
  </si>
  <si>
    <t>06/07/2026 13:38</t>
  </si>
  <si>
    <t>TCK-21828</t>
  </si>
  <si>
    <t>27/08/2026 23:33</t>
  </si>
  <si>
    <t>28/08/2026 03:30</t>
  </si>
  <si>
    <t>TCK-21517</t>
  </si>
  <si>
    <t>01/07/2026 18:51</t>
  </si>
  <si>
    <t>04/07/2026 13:50</t>
  </si>
  <si>
    <t>TCK-22590</t>
  </si>
  <si>
    <t>22/01/2026 00:55</t>
  </si>
  <si>
    <t>22/01/2026 11:18</t>
  </si>
  <si>
    <t>TCK-22029</t>
  </si>
  <si>
    <t>17/08/2026 13:45</t>
  </si>
  <si>
    <t>TCK-21681</t>
  </si>
  <si>
    <t>01/03/2026 03:53</t>
  </si>
  <si>
    <t>01/03/2026 12:17</t>
  </si>
  <si>
    <t>TCK-22642</t>
  </si>
  <si>
    <t>14/07/2026 05:21</t>
  </si>
  <si>
    <t>TCK-20187</t>
  </si>
  <si>
    <t>23/02/2026 10:41</t>
  </si>
  <si>
    <t>24/02/2026 18:09</t>
  </si>
  <si>
    <t>TCK-21870</t>
  </si>
  <si>
    <t>23/01/2026 16:39</t>
  </si>
  <si>
    <t>23/01/2026 20:48</t>
  </si>
  <si>
    <t>TCK-20463</t>
  </si>
  <si>
    <t>07/05/2026 15:14</t>
  </si>
  <si>
    <t>07/05/2026 20:41</t>
  </si>
  <si>
    <t>TCK-23062</t>
  </si>
  <si>
    <t>06/07/2026 02:20</t>
  </si>
  <si>
    <t>06/07/2026 03:46</t>
  </si>
  <si>
    <t>TCK-21796</t>
  </si>
  <si>
    <t>02/07/2026 04:28</t>
  </si>
  <si>
    <t>TCK-23052</t>
  </si>
  <si>
    <t>02/08/2026 02:18</t>
  </si>
  <si>
    <t>06/08/2026 21:45</t>
  </si>
  <si>
    <t>TCK-21971</t>
  </si>
  <si>
    <t>11/02/2026 07:29</t>
  </si>
  <si>
    <t>12/02/2026 01:30</t>
  </si>
  <si>
    <t>TCK-21252</t>
  </si>
  <si>
    <t>03/05/2026 19:33</t>
  </si>
  <si>
    <t>05/05/2026 07:18</t>
  </si>
  <si>
    <t>TCK-22629</t>
  </si>
  <si>
    <t>10/07/2026 08:09</t>
  </si>
  <si>
    <t>TCK-22154</t>
  </si>
  <si>
    <t>05/07/2026 15:54</t>
  </si>
  <si>
    <t>TCK-20594</t>
  </si>
  <si>
    <t>20/01/2026 09:47</t>
  </si>
  <si>
    <t>21/01/2026 02:29</t>
  </si>
  <si>
    <t>TCK-20026</t>
  </si>
  <si>
    <t>31/03/2026 05:15</t>
  </si>
  <si>
    <t>31/03/2026 14:25</t>
  </si>
  <si>
    <t>TCK-23049</t>
  </si>
  <si>
    <t>04/06/2026 01:23</t>
  </si>
  <si>
    <t>04/06/2026 19:40</t>
  </si>
  <si>
    <t>TCK-20903</t>
  </si>
  <si>
    <t>30/01/2026 19:02</t>
  </si>
  <si>
    <t>30/01/2026 19:33</t>
  </si>
  <si>
    <t>TCK-23152</t>
  </si>
  <si>
    <t>12/01/2026 22:36</t>
  </si>
  <si>
    <t>13/01/2026 22:53</t>
  </si>
  <si>
    <t>TCK-21469</t>
  </si>
  <si>
    <t>08/04/2026 15:56</t>
  </si>
  <si>
    <t>TCK-22567</t>
  </si>
  <si>
    <t>22/05/2026 04:27</t>
  </si>
  <si>
    <t>22/05/2026 09:43</t>
  </si>
  <si>
    <t>TCK-21309</t>
  </si>
  <si>
    <t>01/03/2026 16:01</t>
  </si>
  <si>
    <t>TCK-22754</t>
  </si>
  <si>
    <t>06/08/2026 06:30</t>
  </si>
  <si>
    <t>08/08/2026 16:32</t>
  </si>
  <si>
    <t>TCK-22099</t>
  </si>
  <si>
    <t>20/05/2026 08:11</t>
  </si>
  <si>
    <t>TCK-21558</t>
  </si>
  <si>
    <t>15/03/2026 00:47</t>
  </si>
  <si>
    <t>20/03/2026 23:06</t>
  </si>
  <si>
    <t>TCK-22947</t>
  </si>
  <si>
    <t>30/08/2026 01:56</t>
  </si>
  <si>
    <t>30/08/2026 08:26</t>
  </si>
  <si>
    <t>TCK-21797</t>
  </si>
  <si>
    <t>12/02/2026 23:02</t>
  </si>
  <si>
    <t>13/02/2026 01:51</t>
  </si>
  <si>
    <t>TCK-22829</t>
  </si>
  <si>
    <t>17/04/2026 04:04</t>
  </si>
  <si>
    <t>19/04/2026 00:01</t>
  </si>
  <si>
    <t>TCK-20797</t>
  </si>
  <si>
    <t>02/04/2026 01:25</t>
  </si>
  <si>
    <t>04/04/2026 10:30</t>
  </si>
  <si>
    <t>TCK-21100</t>
  </si>
  <si>
    <t>29/01/2026 23:15</t>
  </si>
  <si>
    <t>30/01/2026 16:21</t>
  </si>
  <si>
    <t>TCK-21819</t>
  </si>
  <si>
    <t>27/01/2026 09:27</t>
  </si>
  <si>
    <t>29/01/2026 23:20</t>
  </si>
  <si>
    <t>TCK-21209</t>
  </si>
  <si>
    <t>13/02/2026 11:28</t>
  </si>
  <si>
    <t>13/02/2026 13:02</t>
  </si>
  <si>
    <t>TCK-22906</t>
  </si>
  <si>
    <t>03/03/2026 02:15</t>
  </si>
  <si>
    <t>05/03/2026 14:56</t>
  </si>
  <si>
    <t>TCK-20369</t>
  </si>
  <si>
    <t>04/01/2026 22:38</t>
  </si>
  <si>
    <t>05/01/2026 03:44</t>
  </si>
  <si>
    <t>TCK-20856</t>
  </si>
  <si>
    <t>25/06/2026 03:34</t>
  </si>
  <si>
    <t>TCK-20994</t>
  </si>
  <si>
    <t>10/02/2026 16:31</t>
  </si>
  <si>
    <t>10/02/2026 22:59</t>
  </si>
  <si>
    <t>TCK-23143</t>
  </si>
  <si>
    <t>10/03/2026 17:19</t>
  </si>
  <si>
    <t>10/03/2026 20:16</t>
  </si>
  <si>
    <t>TCK-22488</t>
  </si>
  <si>
    <t>22/06/2026 22:20</t>
  </si>
  <si>
    <t>TCK-20473</t>
  </si>
  <si>
    <t>19/06/2026 10:30</t>
  </si>
  <si>
    <t>TCK-21861</t>
  </si>
  <si>
    <t>12/06/2026 03:43</t>
  </si>
  <si>
    <t>12/06/2026 23:08</t>
  </si>
  <si>
    <t>TCK-21467</t>
  </si>
  <si>
    <t>05/08/2026 06:20</t>
  </si>
  <si>
    <t>TCK-22085</t>
  </si>
  <si>
    <t>06/06/2026 12:05</t>
  </si>
  <si>
    <t>06/06/2026 14:29</t>
  </si>
  <si>
    <t>TCK-21438</t>
  </si>
  <si>
    <t>06/04/2026 22:06</t>
  </si>
  <si>
    <t>06/04/2026 23:59</t>
  </si>
  <si>
    <t>TCK-20270</t>
  </si>
  <si>
    <t>08/02/2026 13:06</t>
  </si>
  <si>
    <t>08/02/2026 17:17</t>
  </si>
  <si>
    <t>TCK-20637</t>
  </si>
  <si>
    <t>27/04/2026 13:39</t>
  </si>
  <si>
    <t>28/04/2026 07:33</t>
  </si>
  <si>
    <t>TCK-20808</t>
  </si>
  <si>
    <t>21/04/2026 14:26</t>
  </si>
  <si>
    <t>TCK-22602</t>
  </si>
  <si>
    <t>30/06/2026 03:15</t>
  </si>
  <si>
    <t>TCK-21325</t>
  </si>
  <si>
    <t>12/01/2026 15:35</t>
  </si>
  <si>
    <t>TCK-22333</t>
  </si>
  <si>
    <t>01/06/2026 20:25</t>
  </si>
  <si>
    <t>02/06/2026 04:26</t>
  </si>
  <si>
    <t>TCK-21232</t>
  </si>
  <si>
    <t>19/08/2026 23:42</t>
  </si>
  <si>
    <t>21/08/2026 00:44</t>
  </si>
  <si>
    <t>TCK-22115</t>
  </si>
  <si>
    <t>15/04/2026 18:27</t>
  </si>
  <si>
    <t>17/04/2026 06:10</t>
  </si>
  <si>
    <t>TCK-21332</t>
  </si>
  <si>
    <t>06/05/2026 07:58</t>
  </si>
  <si>
    <t>09/05/2026 00:10</t>
  </si>
  <si>
    <t>TCK-20776</t>
  </si>
  <si>
    <t>10/07/2026 17:19</t>
  </si>
  <si>
    <t>TCK-20921</t>
  </si>
  <si>
    <t>07/08/2026 11:51</t>
  </si>
  <si>
    <t>TCK-20356</t>
  </si>
  <si>
    <t>18/04/2026 08:48</t>
  </si>
  <si>
    <t>TCK-22002</t>
  </si>
  <si>
    <t>24/05/2026 07:56</t>
  </si>
  <si>
    <t>26/05/2026 03:53</t>
  </si>
  <si>
    <t>TCK-22798</t>
  </si>
  <si>
    <t>30/03/2026 08:50</t>
  </si>
  <si>
    <t>TCK-20378</t>
  </si>
  <si>
    <t>01/03/2026 08:43</t>
  </si>
  <si>
    <t>01/03/2026 15:36</t>
  </si>
  <si>
    <t>TCK-21342</t>
  </si>
  <si>
    <t>27/04/2026 17:06</t>
  </si>
  <si>
    <t>TCK-21016</t>
  </si>
  <si>
    <t>27/01/2026 17:49</t>
  </si>
  <si>
    <t>29/01/2026 10:00</t>
  </si>
  <si>
    <t>TCK-20941</t>
  </si>
  <si>
    <t>21/01/2026 09:12</t>
  </si>
  <si>
    <t>TCK-21341</t>
  </si>
  <si>
    <t>27/02/2026 07:40</t>
  </si>
  <si>
    <t>28/02/2026 01:00</t>
  </si>
  <si>
    <t>TCK-21859</t>
  </si>
  <si>
    <t>05/03/2026 02:00</t>
  </si>
  <si>
    <t>05/03/2026 09:24</t>
  </si>
  <si>
    <t>TCK-22280</t>
  </si>
  <si>
    <t>27/01/2026 12:50</t>
  </si>
  <si>
    <t>28/01/2026 22:12</t>
  </si>
  <si>
    <t>TCK-22558</t>
  </si>
  <si>
    <t>16/02/2026 12:27</t>
  </si>
  <si>
    <t>16/02/2026 14:27</t>
  </si>
  <si>
    <t>TCK-22840</t>
  </si>
  <si>
    <t>07/08/2026 09:57</t>
  </si>
  <si>
    <t>08/08/2026 03:33</t>
  </si>
  <si>
    <t>TCK-21115</t>
  </si>
  <si>
    <t>17/04/2026 02:06</t>
  </si>
  <si>
    <t>17/04/2026 04:09</t>
  </si>
  <si>
    <t>TCK-20971</t>
  </si>
  <si>
    <t>15/05/2026 01:32</t>
  </si>
  <si>
    <t>TCK-22622</t>
  </si>
  <si>
    <t>30/04/2026 23:22</t>
  </si>
  <si>
    <t>01/05/2026 16:35</t>
  </si>
  <si>
    <t>TCK-22159</t>
  </si>
  <si>
    <t>26/06/2026 17:44</t>
  </si>
  <si>
    <t>26/06/2026 19:21</t>
  </si>
  <si>
    <t>TCK-22200</t>
  </si>
  <si>
    <t>06/01/2026 21:33</t>
  </si>
  <si>
    <t>TCK-21673</t>
  </si>
  <si>
    <t>03/04/2026 08:15</t>
  </si>
  <si>
    <t>03/04/2026 10:49</t>
  </si>
  <si>
    <t>TCK-20765</t>
  </si>
  <si>
    <t>28/08/2026 18:41</t>
  </si>
  <si>
    <t>29/08/2026 23:11</t>
  </si>
  <si>
    <t>TCK-22709</t>
  </si>
  <si>
    <t>21/04/2026 21:31</t>
  </si>
  <si>
    <t>22/04/2026 01:24</t>
  </si>
  <si>
    <t>TCK-21652</t>
  </si>
  <si>
    <t>30/08/2026 11:19</t>
  </si>
  <si>
    <t>TCK-21756</t>
  </si>
  <si>
    <t>05/07/2026 11:52</t>
  </si>
  <si>
    <t>06/07/2026 10:20</t>
  </si>
  <si>
    <t>TCK-20090</t>
  </si>
  <si>
    <t>07/03/2026 12:47</t>
  </si>
  <si>
    <t>TCK-21695</t>
  </si>
  <si>
    <t>11/04/2026 17:20</t>
  </si>
  <si>
    <t>11/04/2026 21:43</t>
  </si>
  <si>
    <t>TCK-21381</t>
  </si>
  <si>
    <t>07/01/2026 19:28</t>
  </si>
  <si>
    <t>08/01/2026 00:18</t>
  </si>
  <si>
    <t>TCK-21082</t>
  </si>
  <si>
    <t>20/06/2026 03:26</t>
  </si>
  <si>
    <t>21/06/2026 11:21</t>
  </si>
  <si>
    <t>TCK-20523</t>
  </si>
  <si>
    <t>20/02/2026 06:56</t>
  </si>
  <si>
    <t>TCK-21406</t>
  </si>
  <si>
    <t>24/07/2026 16:19</t>
  </si>
  <si>
    <t>TCK-22995</t>
  </si>
  <si>
    <t>21/02/2026 16:45</t>
  </si>
  <si>
    <t>21/02/2026 19:37</t>
  </si>
  <si>
    <t>TCK-22882</t>
  </si>
  <si>
    <t>07/03/2026 14:15</t>
  </si>
  <si>
    <t>TCK-22545</t>
  </si>
  <si>
    <t>12/05/2026 11:06</t>
  </si>
  <si>
    <t>13/05/2026 05:59</t>
  </si>
  <si>
    <t>TCK-21041</t>
  </si>
  <si>
    <t>06/05/2026 15:07</t>
  </si>
  <si>
    <t>06/05/2026 19:16</t>
  </si>
  <si>
    <t>TCK-22165</t>
  </si>
  <si>
    <t>04/02/2026 12:34</t>
  </si>
  <si>
    <t>TCK-21582</t>
  </si>
  <si>
    <t>06/04/2026 06:49</t>
  </si>
  <si>
    <t>TCK-22097</t>
  </si>
  <si>
    <t>11/07/2026 11:12</t>
  </si>
  <si>
    <t>TCK-21474</t>
  </si>
  <si>
    <t>05/02/2026 06:44</t>
  </si>
  <si>
    <t>TCK-22321</t>
  </si>
  <si>
    <t>07/05/2026 04:00</t>
  </si>
  <si>
    <t>07/05/2026 14:30</t>
  </si>
  <si>
    <t>TCK-21276</t>
  </si>
  <si>
    <t>11/02/2026 11:19</t>
  </si>
  <si>
    <t>12/02/2026 08:19</t>
  </si>
  <si>
    <t>TCK-21050</t>
  </si>
  <si>
    <t>18/04/2026 01:00</t>
  </si>
  <si>
    <t>18/04/2026 19:57</t>
  </si>
  <si>
    <t>TCK-22672</t>
  </si>
  <si>
    <t>11/05/2026 20:31</t>
  </si>
  <si>
    <t>13/05/2026 10:44</t>
  </si>
  <si>
    <t>TCK-20609</t>
  </si>
  <si>
    <t>28/01/2026 02:12</t>
  </si>
  <si>
    <t>TCK-20525</t>
  </si>
  <si>
    <t>24/04/2026 18:04</t>
  </si>
  <si>
    <t>24/04/2026 20:53</t>
  </si>
  <si>
    <t>TCK-20460</t>
  </si>
  <si>
    <t>09/05/2026 10:51</t>
  </si>
  <si>
    <t>TCK-21163</t>
  </si>
  <si>
    <t>13/07/2026 17:29</t>
  </si>
  <si>
    <t>14/07/2026 00:40</t>
  </si>
  <si>
    <t>TCK-22707</t>
  </si>
  <si>
    <t>13/03/2026 20:22</t>
  </si>
  <si>
    <t>TCK-21961</t>
  </si>
  <si>
    <t>19/05/2026 23:05</t>
  </si>
  <si>
    <t>20/05/2026 14:54</t>
  </si>
  <si>
    <t>TCK-21213</t>
  </si>
  <si>
    <t>18/02/2026 23:44</t>
  </si>
  <si>
    <t>TCK-21674</t>
  </si>
  <si>
    <t>16/05/2026 13:27</t>
  </si>
  <si>
    <t>16/05/2026 15:55</t>
  </si>
  <si>
    <t>TCK-21843</t>
  </si>
  <si>
    <t>15/06/2026 18:43</t>
  </si>
  <si>
    <t>TCK-20710</t>
  </si>
  <si>
    <t>10/07/2026 10:54</t>
  </si>
  <si>
    <t>10/07/2026 11:31</t>
  </si>
  <si>
    <t>TCK-21794</t>
  </si>
  <si>
    <t>21/03/2026 00:03</t>
  </si>
  <si>
    <t>21/03/2026 09:50</t>
  </si>
  <si>
    <t>TCK-22297</t>
  </si>
  <si>
    <t>26/01/2026 02:21</t>
  </si>
  <si>
    <t>TCK-22173</t>
  </si>
  <si>
    <t>07/05/2026 01:49</t>
  </si>
  <si>
    <t>07/05/2026 06:20</t>
  </si>
  <si>
    <t>TCK-21795</t>
  </si>
  <si>
    <t>22/08/2026 23:57</t>
  </si>
  <si>
    <t>23/08/2026 08:36</t>
  </si>
  <si>
    <t>TCK-21174</t>
  </si>
  <si>
    <t>02/07/2026 21:46</t>
  </si>
  <si>
    <t>03/07/2026 17:52</t>
  </si>
  <si>
    <t>TCK-21947</t>
  </si>
  <si>
    <t>01/05/2026 18:21</t>
  </si>
  <si>
    <t>01/05/2026 18:57</t>
  </si>
  <si>
    <t>TCK-20962</t>
  </si>
  <si>
    <t>14/06/2026 08:39</t>
  </si>
  <si>
    <t>16/06/2026 00:02</t>
  </si>
  <si>
    <t>TCK-22513</t>
  </si>
  <si>
    <t>18/02/2026 02:01</t>
  </si>
  <si>
    <t>19/02/2026 11:35</t>
  </si>
  <si>
    <t>TCK-22389</t>
  </si>
  <si>
    <t>21/06/2026 05:25</t>
  </si>
  <si>
    <t>TCK-22130</t>
  </si>
  <si>
    <t>20/07/2026 04:02</t>
  </si>
  <si>
    <t>TCK-20228</t>
  </si>
  <si>
    <t>07/01/2026 15:06</t>
  </si>
  <si>
    <t>TCK-23092</t>
  </si>
  <si>
    <t>04/07/2026 15:51</t>
  </si>
  <si>
    <t>05/07/2026 09:12</t>
  </si>
  <si>
    <t>TCK-21639</t>
  </si>
  <si>
    <t>15/08/2026 23:18</t>
  </si>
  <si>
    <t>16/08/2026 03:35</t>
  </si>
  <si>
    <t>TCK-23027</t>
  </si>
  <si>
    <t>18/08/2026 10:19</t>
  </si>
  <si>
    <t>22/08/2026 07:54</t>
  </si>
  <si>
    <t>TCK-20441</t>
  </si>
  <si>
    <t>06/03/2026 01:48</t>
  </si>
  <si>
    <t>11/03/2026 03:05</t>
  </si>
  <si>
    <t>TCK-20036</t>
  </si>
  <si>
    <t>07/07/2026 17:31</t>
  </si>
  <si>
    <t>09/07/2026 21:56</t>
  </si>
  <si>
    <t>TCK-21619</t>
  </si>
  <si>
    <t>11/07/2026 19:14</t>
  </si>
  <si>
    <t>12/07/2026 07:43</t>
  </si>
  <si>
    <t>TCK-22527</t>
  </si>
  <si>
    <t>17/05/2026 07:20</t>
  </si>
  <si>
    <t>18/05/2026 09:26</t>
  </si>
  <si>
    <t>TCK-21690</t>
  </si>
  <si>
    <t>04/04/2026 05:05</t>
  </si>
  <si>
    <t>TCK-21799</t>
  </si>
  <si>
    <t>12/08/2026 00:38</t>
  </si>
  <si>
    <t>TCK-22934</t>
  </si>
  <si>
    <t>24/05/2026 11:14</t>
  </si>
  <si>
    <t>24/05/2026 22:19</t>
  </si>
  <si>
    <t>TCK-20040</t>
  </si>
  <si>
    <t>07/03/2026 13:03</t>
  </si>
  <si>
    <t>07/03/2026 18:34</t>
  </si>
  <si>
    <t>TCK-20665</t>
  </si>
  <si>
    <t>08/07/2026 19:55</t>
  </si>
  <si>
    <t>09/07/2026 17:23</t>
  </si>
  <si>
    <t>TCK-20054</t>
  </si>
  <si>
    <t>27/04/2026 19:39</t>
  </si>
  <si>
    <t>28/04/2026 13:46</t>
  </si>
  <si>
    <t>TCK-21020</t>
  </si>
  <si>
    <t>08/06/2026 04:35</t>
  </si>
  <si>
    <t>TCK-20854</t>
  </si>
  <si>
    <t>01/02/2026 01:38</t>
  </si>
  <si>
    <t>01/02/2026 18:46</t>
  </si>
  <si>
    <t>TCK-21095</t>
  </si>
  <si>
    <t>06/07/2026 07:07</t>
  </si>
  <si>
    <t>06/07/2026 09:18</t>
  </si>
  <si>
    <t>TCK-21458</t>
  </si>
  <si>
    <t>30/03/2026 13:48</t>
  </si>
  <si>
    <t>31/03/2026 02:37</t>
  </si>
  <si>
    <t>TCK-22825</t>
  </si>
  <si>
    <t>24/08/2026 21:17</t>
  </si>
  <si>
    <t>25/08/2026 01:18</t>
  </si>
  <si>
    <t>TCK-22808</t>
  </si>
  <si>
    <t>08/05/2026 12:24</t>
  </si>
  <si>
    <t>08/05/2026 17:47</t>
  </si>
  <si>
    <t>TCK-21885</t>
  </si>
  <si>
    <t>13/08/2026 08:05</t>
  </si>
  <si>
    <t>14/08/2026 03:56</t>
  </si>
  <si>
    <t>TCK-22509</t>
  </si>
  <si>
    <t>30/04/2026 09:21</t>
  </si>
  <si>
    <t>TCK-20982</t>
  </si>
  <si>
    <t>01/03/2026 02:34</t>
  </si>
  <si>
    <t>TCK-21214</t>
  </si>
  <si>
    <t>24/01/2026 14:34</t>
  </si>
  <si>
    <t>24/01/2026 16:40</t>
  </si>
  <si>
    <t>TCK-21430</t>
  </si>
  <si>
    <t>05/01/2026 08:53</t>
  </si>
  <si>
    <t>05/01/2026 13:15</t>
  </si>
  <si>
    <t>TCK-22045</t>
  </si>
  <si>
    <t>04/01/2026 04:56</t>
  </si>
  <si>
    <t>04/01/2026 11:46</t>
  </si>
  <si>
    <t>TCK-20391</t>
  </si>
  <si>
    <t>05/07/2026 05:49</t>
  </si>
  <si>
    <t>05/07/2026 19:22</t>
  </si>
  <si>
    <t>TCK-21287</t>
  </si>
  <si>
    <t>01/08/2026 23:31</t>
  </si>
  <si>
    <t>02/08/2026 07:34</t>
  </si>
  <si>
    <t>TCK-22599</t>
  </si>
  <si>
    <t>12/05/2026 11:15</t>
  </si>
  <si>
    <t>13/05/2026 08:49</t>
  </si>
  <si>
    <t>TCK-20093</t>
  </si>
  <si>
    <t>21/03/2026 20:35</t>
  </si>
  <si>
    <t>21/03/2026 23:08</t>
  </si>
  <si>
    <t>TCK-20565</t>
  </si>
  <si>
    <t>17/06/2026 05:57</t>
  </si>
  <si>
    <t>TCK-22412</t>
  </si>
  <si>
    <t>06/03/2026 10:36</t>
  </si>
  <si>
    <t>TCK-21853</t>
  </si>
  <si>
    <t>12/05/2026 10:36</t>
  </si>
  <si>
    <t>TCK-21739</t>
  </si>
  <si>
    <t>06/03/2026 13:03</t>
  </si>
  <si>
    <t>09/03/2026 06:33</t>
  </si>
  <si>
    <t>TCK-20275</t>
  </si>
  <si>
    <t>09/01/2026 23:26</t>
  </si>
  <si>
    <t>10/01/2026 00:01</t>
  </si>
  <si>
    <t>TCK-20251</t>
  </si>
  <si>
    <t>24/01/2026 08:21</t>
  </si>
  <si>
    <t>24/01/2026 09:51</t>
  </si>
  <si>
    <t>TCK-21637</t>
  </si>
  <si>
    <t>31/01/2026 07:50</t>
  </si>
  <si>
    <t>TCK-21110</t>
  </si>
  <si>
    <t>07/06/2026 01:28</t>
  </si>
  <si>
    <t>07/06/2026 08:13</t>
  </si>
  <si>
    <t>TCK-21765</t>
  </si>
  <si>
    <t>10/08/2026 15:18</t>
  </si>
  <si>
    <t>TCK-21693</t>
  </si>
  <si>
    <t>01/04/2026 20:14</t>
  </si>
  <si>
    <t>02/04/2026 07:07</t>
  </si>
  <si>
    <t>TCK-23100</t>
  </si>
  <si>
    <t>29/04/2026 04:26</t>
  </si>
  <si>
    <t>29/04/2026 11:23</t>
  </si>
  <si>
    <t>TCK-21689</t>
  </si>
  <si>
    <t>28/03/2026 15:15</t>
  </si>
  <si>
    <t>TCK-22110</t>
  </si>
  <si>
    <t>08/04/2026 10:43</t>
  </si>
  <si>
    <t>TCK-22510</t>
  </si>
  <si>
    <t>26/05/2026 10:08</t>
  </si>
  <si>
    <t>TCK-21788</t>
  </si>
  <si>
    <t>30/08/2026 23:18</t>
  </si>
  <si>
    <t>30/08/2026 23:59</t>
  </si>
  <si>
    <t>TCK-21161</t>
  </si>
  <si>
    <t>19/08/2026 00:55</t>
  </si>
  <si>
    <t>TCK-21014</t>
  </si>
  <si>
    <t>18/05/2026 18:30</t>
  </si>
  <si>
    <t>19/05/2026 07:03</t>
  </si>
  <si>
    <t>TCK-20839</t>
  </si>
  <si>
    <t>26/04/2026 07:53</t>
  </si>
  <si>
    <t>26/04/2026 16:18</t>
  </si>
  <si>
    <t>TCK-23099</t>
  </si>
  <si>
    <t>13/01/2026 20:23</t>
  </si>
  <si>
    <t>TCK-22283</t>
  </si>
  <si>
    <t>17/08/2026 07:42</t>
  </si>
  <si>
    <t>TCK-20667</t>
  </si>
  <si>
    <t>05/04/2026 15:50</t>
  </si>
  <si>
    <t>05/04/2026 20:04</t>
  </si>
  <si>
    <t>TCK-21627</t>
  </si>
  <si>
    <t>06/08/2026 01:26</t>
  </si>
  <si>
    <t>TCK-22691</t>
  </si>
  <si>
    <t>29/07/2026 08:41</t>
  </si>
  <si>
    <t>TCK-21638</t>
  </si>
  <si>
    <t>25/02/2026 08:04</t>
  </si>
  <si>
    <t>25/02/2026 12:14</t>
  </si>
  <si>
    <t>TCK-20703</t>
  </si>
  <si>
    <t>18/01/2026 05:27</t>
  </si>
  <si>
    <t>TCK-21714</t>
  </si>
  <si>
    <t>13/06/2026 10:56</t>
  </si>
  <si>
    <t>13/06/2026 14:44</t>
  </si>
  <si>
    <t>TCK-22265</t>
  </si>
  <si>
    <t>14/04/2026 21:50</t>
  </si>
  <si>
    <t>TCK-20929</t>
  </si>
  <si>
    <t>05/03/2026 19:38</t>
  </si>
  <si>
    <t>TCK-20284</t>
  </si>
  <si>
    <t>27/02/2026 08:55</t>
  </si>
  <si>
    <t>28/02/2026 16:14</t>
  </si>
  <si>
    <t>TCK-22505</t>
  </si>
  <si>
    <t>30/01/2026 01:07</t>
  </si>
  <si>
    <t>TCK-21878</t>
  </si>
  <si>
    <t>29/06/2026 18:17</t>
  </si>
  <si>
    <t>30/06/2026 01:35</t>
  </si>
  <si>
    <t>TCK-22198</t>
  </si>
  <si>
    <t>06/08/2026 11:58</t>
  </si>
  <si>
    <t>TCK-23097</t>
  </si>
  <si>
    <t>22/07/2026 01:24</t>
  </si>
  <si>
    <t>TCK-21478</t>
  </si>
  <si>
    <t>14/08/2026 01:32</t>
  </si>
  <si>
    <t>14/08/2026 13:05</t>
  </si>
  <si>
    <t>TCK-21606</t>
  </si>
  <si>
    <t>29/05/2026 22:33</t>
  </si>
  <si>
    <t>TCK-23200</t>
  </si>
  <si>
    <t>27/03/2026 09:18</t>
  </si>
  <si>
    <t>27/03/2026 17:55</t>
  </si>
  <si>
    <t>TCK-20811</t>
  </si>
  <si>
    <t>24/06/2026 09:37</t>
  </si>
  <si>
    <t>25/06/2026 12:38</t>
  </si>
  <si>
    <t>TCK-21994</t>
  </si>
  <si>
    <t>30/04/2026 19:26</t>
  </si>
  <si>
    <t>03/05/2026 07:39</t>
  </si>
  <si>
    <t>TCK-22964</t>
  </si>
  <si>
    <t>20/02/2026 19:52</t>
  </si>
  <si>
    <t>TCK-21572</t>
  </si>
  <si>
    <t>10/03/2026 23:23</t>
  </si>
  <si>
    <t>11/03/2026 03:56</t>
  </si>
  <si>
    <t>TCK-20103</t>
  </si>
  <si>
    <t>26/04/2026 06:50</t>
  </si>
  <si>
    <t>TCK-23188</t>
  </si>
  <si>
    <t>15/07/2026 09:55</t>
  </si>
  <si>
    <t>16/07/2026 03:40</t>
  </si>
  <si>
    <t>TCK-23056</t>
  </si>
  <si>
    <t>10/02/2026 00:26</t>
  </si>
  <si>
    <t>15/02/2026 08:59</t>
  </si>
  <si>
    <t>TCK-21471</t>
  </si>
  <si>
    <t>10/01/2026 09:48</t>
  </si>
  <si>
    <t>11/01/2026 09:54</t>
  </si>
  <si>
    <t>TCK-20969</t>
  </si>
  <si>
    <t>30/05/2026 06:35</t>
  </si>
  <si>
    <t>30/05/2026 12:33</t>
  </si>
  <si>
    <t>TCK-22015</t>
  </si>
  <si>
    <t>21/03/2026 08:25</t>
  </si>
  <si>
    <t>21/03/2026 15:20</t>
  </si>
  <si>
    <t>TCK-22592</t>
  </si>
  <si>
    <t>19/03/2026 18:34</t>
  </si>
  <si>
    <t>22/03/2026 09:30</t>
  </si>
  <si>
    <t>TCK-21192</t>
  </si>
  <si>
    <t>16/06/2026 06:29</t>
  </si>
  <si>
    <t>20/06/2026 17:11</t>
  </si>
  <si>
    <t>TCK-20914</t>
  </si>
  <si>
    <t>12/02/2026 21:26</t>
  </si>
  <si>
    <t>13/02/2026 08:11</t>
  </si>
  <si>
    <t>TCK-20132</t>
  </si>
  <si>
    <t>04/06/2026 12:51</t>
  </si>
  <si>
    <t>10/06/2026 08:58</t>
  </si>
  <si>
    <t>TCK-20292</t>
  </si>
  <si>
    <t>10/01/2026 00:26</t>
  </si>
  <si>
    <t>10/01/2026 12:22</t>
  </si>
  <si>
    <t>TCK-21911</t>
  </si>
  <si>
    <t>19/07/2026 12:47</t>
  </si>
  <si>
    <t>19/07/2026 18:31</t>
  </si>
  <si>
    <t>TCK-20005</t>
  </si>
  <si>
    <t>27/02/2026 12:35</t>
  </si>
  <si>
    <t>27/02/2026 18:55</t>
  </si>
  <si>
    <t>TCK-21395</t>
  </si>
  <si>
    <t>09/07/2026 00:45</t>
  </si>
  <si>
    <t>10/07/2026 02:36</t>
  </si>
  <si>
    <t>TCK-22095</t>
  </si>
  <si>
    <t>09/05/2026 02:23</t>
  </si>
  <si>
    <t>09/05/2026 05:05</t>
  </si>
  <si>
    <t>TCK-21419</t>
  </si>
  <si>
    <t>09/03/2026 11:51</t>
  </si>
  <si>
    <t>10/03/2026 04:39</t>
  </si>
  <si>
    <t>TCK-22021</t>
  </si>
  <si>
    <t>02/03/2026 18:52</t>
  </si>
  <si>
    <t>03/03/2026 04:19</t>
  </si>
  <si>
    <t>TCK-22812</t>
  </si>
  <si>
    <t>10/02/2026 23:09</t>
  </si>
  <si>
    <t>TCK-20387</t>
  </si>
  <si>
    <t>13/02/2026 05:42</t>
  </si>
  <si>
    <t>13/02/2026 18:03</t>
  </si>
  <si>
    <t>TCK-22781</t>
  </si>
  <si>
    <t>15/02/2026 17:55</t>
  </si>
  <si>
    <t>TCK-22589</t>
  </si>
  <si>
    <t>08/01/2026 00:10</t>
  </si>
  <si>
    <t>08/01/2026 02:12</t>
  </si>
  <si>
    <t>TCK-21567</t>
  </si>
  <si>
    <t>29/06/2026 21:53</t>
  </si>
  <si>
    <t>30/06/2026 02:25</t>
  </si>
  <si>
    <t>TCK-20229</t>
  </si>
  <si>
    <t>06/07/2026 00:38</t>
  </si>
  <si>
    <t>09/07/2026 03:15</t>
  </si>
  <si>
    <t>TCK-22084</t>
  </si>
  <si>
    <t>13/04/2026 02:03</t>
  </si>
  <si>
    <t>14/04/2026 09:16</t>
  </si>
  <si>
    <t>TCK-22150</t>
  </si>
  <si>
    <t>27/05/2026 14:54</t>
  </si>
  <si>
    <t>27/05/2026 21:12</t>
  </si>
  <si>
    <t>TCK-21967</t>
  </si>
  <si>
    <t>05/02/2026 17:33</t>
  </si>
  <si>
    <t>TCK-20883</t>
  </si>
  <si>
    <t>07/03/2026 11:45</t>
  </si>
  <si>
    <t>07/03/2026 22:51</t>
  </si>
  <si>
    <t>TCK-20718</t>
  </si>
  <si>
    <t>12/06/2026 05:41</t>
  </si>
  <si>
    <t>12/06/2026 07:32</t>
  </si>
  <si>
    <t>TCK-23175</t>
  </si>
  <si>
    <t>25/08/2026 01:17</t>
  </si>
  <si>
    <t>26/08/2026 19:03</t>
  </si>
  <si>
    <t>TCK-21526</t>
  </si>
  <si>
    <t>19/06/2026 03:04</t>
  </si>
  <si>
    <t>19/06/2026 20:32</t>
  </si>
  <si>
    <t>TCK-21350</t>
  </si>
  <si>
    <t>10/02/2026 15:15</t>
  </si>
  <si>
    <t>TCK-20973</t>
  </si>
  <si>
    <t>05/07/2026 05:13</t>
  </si>
  <si>
    <t>05/07/2026 22:11</t>
  </si>
  <si>
    <t>TCK-23187</t>
  </si>
  <si>
    <t>11/06/2026 19:55</t>
  </si>
  <si>
    <t>12/06/2026 01:53</t>
  </si>
  <si>
    <t>TCK-21382</t>
  </si>
  <si>
    <t>01/08/2026 09:27</t>
  </si>
  <si>
    <t>01/08/2026 15:50</t>
  </si>
  <si>
    <t>TCK-22597</t>
  </si>
  <si>
    <t>26/06/2026 00:31</t>
  </si>
  <si>
    <t>27/06/2026 01:40</t>
  </si>
  <si>
    <t>TCK-23021</t>
  </si>
  <si>
    <t>06/07/2026 14:27</t>
  </si>
  <si>
    <t>07/07/2026 09:26</t>
  </si>
  <si>
    <t>TCK-21312</t>
  </si>
  <si>
    <t>10/05/2026 00:29</t>
  </si>
  <si>
    <t>10/05/2026 03:58</t>
  </si>
  <si>
    <t>TCK-20438</t>
  </si>
  <si>
    <t>21/07/2026 07:05</t>
  </si>
  <si>
    <t>23/07/2026 21:23</t>
  </si>
  <si>
    <t>TCK-20737</t>
  </si>
  <si>
    <t>06/02/2026 10:22</t>
  </si>
  <si>
    <t>06/02/2026 15:25</t>
  </si>
  <si>
    <t>TCK-23018</t>
  </si>
  <si>
    <t>20/05/2026 09:54</t>
  </si>
  <si>
    <t>21/05/2026 02:52</t>
  </si>
  <si>
    <t>TCK-20288</t>
  </si>
  <si>
    <t>12/02/2026 20:26</t>
  </si>
  <si>
    <t>15/02/2026 13:36</t>
  </si>
  <si>
    <t>TCK-22226</t>
  </si>
  <si>
    <t>22/01/2026 19:17</t>
  </si>
  <si>
    <t>22/01/2026 23:39</t>
  </si>
  <si>
    <t>TCK-22725</t>
  </si>
  <si>
    <t>29/01/2026 00:04</t>
  </si>
  <si>
    <t>31/01/2026 06:27</t>
  </si>
  <si>
    <t>TCK-22575</t>
  </si>
  <si>
    <t>18/07/2026 05:48</t>
  </si>
  <si>
    <t>18/07/2026 21:45</t>
  </si>
  <si>
    <t>TCK-21062</t>
  </si>
  <si>
    <t>05/04/2026 16:57</t>
  </si>
  <si>
    <t>05/04/2026 20:56</t>
  </si>
  <si>
    <t>TCK-20319</t>
  </si>
  <si>
    <t>07/04/2026 09:20</t>
  </si>
  <si>
    <t>08/04/2026 16:51</t>
  </si>
  <si>
    <t>TCK-21487</t>
  </si>
  <si>
    <t>20/04/2026 09:05</t>
  </si>
  <si>
    <t>TCK-21944</t>
  </si>
  <si>
    <t>31/03/2026 03:21</t>
  </si>
  <si>
    <t>04/04/2026 23:53</t>
  </si>
  <si>
    <t>TCK-21841</t>
  </si>
  <si>
    <t>28/06/2026 15:19</t>
  </si>
  <si>
    <t>28/06/2026 23:30</t>
  </si>
  <si>
    <t>TCK-20482</t>
  </si>
  <si>
    <t>18/07/2026 03:06</t>
  </si>
  <si>
    <t>TCK-20478</t>
  </si>
  <si>
    <t>20/08/2026 14:59</t>
  </si>
  <si>
    <t>TCK-22474</t>
  </si>
  <si>
    <t>10/04/2026 06:13</t>
  </si>
  <si>
    <t>10/04/2026 06:50</t>
  </si>
  <si>
    <t>TCK-21992</t>
  </si>
  <si>
    <t>21/03/2026 23:47</t>
  </si>
  <si>
    <t>22/03/2026 06:12</t>
  </si>
  <si>
    <t>TCK-20951</t>
  </si>
  <si>
    <t>26/04/2026 05:17</t>
  </si>
  <si>
    <t>26/04/2026 17:04</t>
  </si>
  <si>
    <t>TCK-22006</t>
  </si>
  <si>
    <t>29/06/2026 17:35</t>
  </si>
  <si>
    <t>30/06/2026 00:23</t>
  </si>
  <si>
    <t>TCK-20339</t>
  </si>
  <si>
    <t>22/06/2026 17:46</t>
  </si>
  <si>
    <t>TCK-20120</t>
  </si>
  <si>
    <t>03/04/2026 02:17</t>
  </si>
  <si>
    <t>TCK-21408</t>
  </si>
  <si>
    <t>25/07/2026 02:03</t>
  </si>
  <si>
    <t>25/07/2026 16:15</t>
  </si>
  <si>
    <t>TCK-20135</t>
  </si>
  <si>
    <t>25/08/2026 11:22</t>
  </si>
  <si>
    <t>26/08/2026 13:08</t>
  </si>
  <si>
    <t>TCK-20831</t>
  </si>
  <si>
    <t>27/07/2026 02:20</t>
  </si>
  <si>
    <t>TCK-20416</t>
  </si>
  <si>
    <t>12/08/2026 01:38</t>
  </si>
  <si>
    <t>12/08/2026 06:32</t>
  </si>
  <si>
    <t>TCK-22276</t>
  </si>
  <si>
    <t>12/02/2026 03:44</t>
  </si>
  <si>
    <t>TCK-20233</t>
  </si>
  <si>
    <t>02/04/2026 16:50</t>
  </si>
  <si>
    <t>03/04/2026 06:46</t>
  </si>
  <si>
    <t>TCK-22904</t>
  </si>
  <si>
    <t>19/08/2026 20:12</t>
  </si>
  <si>
    <t>TCK-22496</t>
  </si>
  <si>
    <t>02/04/2026 14:08</t>
  </si>
  <si>
    <t>03/04/2026 10:54</t>
  </si>
  <si>
    <t>TCK-23120</t>
  </si>
  <si>
    <t>24/05/2026 19:22</t>
  </si>
  <si>
    <t>TCK-20612</t>
  </si>
  <si>
    <t>16/04/2026 08:55</t>
  </si>
  <si>
    <t>TCK-20087</t>
  </si>
  <si>
    <t>08/05/2026 12:25</t>
  </si>
  <si>
    <t>TCK-20311</t>
  </si>
  <si>
    <t>18/08/2026 05:17</t>
  </si>
  <si>
    <t>18/08/2026 14:21</t>
  </si>
  <si>
    <t>TCK-21847</t>
  </si>
  <si>
    <t>15/07/2026 14:45</t>
  </si>
  <si>
    <t>15/07/2026 21:46</t>
  </si>
  <si>
    <t>TCK-21868</t>
  </si>
  <si>
    <t>04/06/2026 20:22</t>
  </si>
  <si>
    <t>05/06/2026 06:34</t>
  </si>
  <si>
    <t>TCK-20344</t>
  </si>
  <si>
    <t>01/03/2026 19:16</t>
  </si>
  <si>
    <t>TCK-21111</t>
  </si>
  <si>
    <t>27/06/2026 20:58</t>
  </si>
  <si>
    <t>02/07/2026 09:06</t>
  </si>
  <si>
    <t>TCK-22050</t>
  </si>
  <si>
    <t>07/06/2026 10:56</t>
  </si>
  <si>
    <t>08/06/2026 12:10</t>
  </si>
  <si>
    <t>TCK-23038</t>
  </si>
  <si>
    <t>28/01/2026 07:42</t>
  </si>
  <si>
    <t>TCK-20562</t>
  </si>
  <si>
    <t>10/06/2026 18:50</t>
  </si>
  <si>
    <t>TCK-21197</t>
  </si>
  <si>
    <t>01/07/2026 03:11</t>
  </si>
  <si>
    <t>02/07/2026 05:14</t>
  </si>
  <si>
    <t>TCK-21132</t>
  </si>
  <si>
    <t>05/07/2026 01:50</t>
  </si>
  <si>
    <t>07/07/2026 16:21</t>
  </si>
  <si>
    <t>TCK-20917</t>
  </si>
  <si>
    <t>25/08/2026 15:36</t>
  </si>
  <si>
    <t>25/08/2026 20:41</t>
  </si>
  <si>
    <t>TCK-20815</t>
  </si>
  <si>
    <t>18/07/2026 01:52</t>
  </si>
  <si>
    <t>22/07/2026 15:29</t>
  </si>
  <si>
    <t>TCK-20957</t>
  </si>
  <si>
    <t>15/01/2026 00:03</t>
  </si>
  <si>
    <t>15/01/2026 08:39</t>
  </si>
  <si>
    <t>TCK-21248</t>
  </si>
  <si>
    <t>28/04/2026 11:06</t>
  </si>
  <si>
    <t>28/04/2026 19:49</t>
  </si>
  <si>
    <t>TCK-20786</t>
  </si>
  <si>
    <t>10/06/2026 12:19</t>
  </si>
  <si>
    <t>TCK-21574</t>
  </si>
  <si>
    <t>10/03/2026 18:46</t>
  </si>
  <si>
    <t>10/03/2026 20:49</t>
  </si>
  <si>
    <t>TCK-22351</t>
  </si>
  <si>
    <t>22/05/2026 06:14</t>
  </si>
  <si>
    <t>26/05/2026 18:07</t>
  </si>
  <si>
    <t>TCK-22102</t>
  </si>
  <si>
    <t>30/07/2026 08:00</t>
  </si>
  <si>
    <t>TCK-22263</t>
  </si>
  <si>
    <t>07/02/2026 07:22</t>
  </si>
  <si>
    <t>07/02/2026 16:56</t>
  </si>
  <si>
    <t>TCK-20089</t>
  </si>
  <si>
    <t>22/02/2026 03:48</t>
  </si>
  <si>
    <t>24/02/2026 21:54</t>
  </si>
  <si>
    <t>TCK-22521</t>
  </si>
  <si>
    <t>08/03/2026 02:23</t>
  </si>
  <si>
    <t>10/03/2026 20:01</t>
  </si>
  <si>
    <t>TCK-21477</t>
  </si>
  <si>
    <t>18/01/2026 02:31</t>
  </si>
  <si>
    <t>18/01/2026 04:00</t>
  </si>
  <si>
    <t>TCK-22610</t>
  </si>
  <si>
    <t>20/05/2026 21:58</t>
  </si>
  <si>
    <t>TCK-22596</t>
  </si>
  <si>
    <t>07/06/2026 21:25</t>
  </si>
  <si>
    <t>TCK-22807</t>
  </si>
  <si>
    <t>18/07/2026 12:24</t>
  </si>
  <si>
    <t>18/07/2026 14:00</t>
  </si>
  <si>
    <t>TCK-20555</t>
  </si>
  <si>
    <t>22/03/2026 21:18</t>
  </si>
  <si>
    <t>23/03/2026 02:47</t>
  </si>
  <si>
    <t>TCK-20757</t>
  </si>
  <si>
    <t>29/08/2026 14:53</t>
  </si>
  <si>
    <t>30/08/2026 16:00</t>
  </si>
  <si>
    <t>TCK-21207</t>
  </si>
  <si>
    <t>15/02/2026 23:40</t>
  </si>
  <si>
    <t>16/02/2026 03:33</t>
  </si>
  <si>
    <t>TCK-20624</t>
  </si>
  <si>
    <t>05/04/2026 19:14</t>
  </si>
  <si>
    <t>TCK-20300</t>
  </si>
  <si>
    <t>01/03/2026 07:11</t>
  </si>
  <si>
    <t>TCK-20740</t>
  </si>
  <si>
    <t>29/04/2026 13:50</t>
  </si>
  <si>
    <t>TCK-21749</t>
  </si>
  <si>
    <t>10/02/2026 19:48</t>
  </si>
  <si>
    <t>10/02/2026 21:14</t>
  </si>
  <si>
    <t>TCK-21908</t>
  </si>
  <si>
    <t>10/03/2026 05:26</t>
  </si>
  <si>
    <t>12/03/2026 13:48</t>
  </si>
  <si>
    <t>TCK-21998</t>
  </si>
  <si>
    <t>27/01/2026 05:27</t>
  </si>
  <si>
    <t>27/01/2026 08:05</t>
  </si>
  <si>
    <t>TCK-21896</t>
  </si>
  <si>
    <t>22/05/2026 20:13</t>
  </si>
  <si>
    <t>23/05/2026 02:46</t>
  </si>
  <si>
    <t>TCK-23033</t>
  </si>
  <si>
    <t>08/02/2026 20:49</t>
  </si>
  <si>
    <t>09/02/2026 01:26</t>
  </si>
  <si>
    <t>TCK-20764</t>
  </si>
  <si>
    <t>25/04/2026 06:20</t>
  </si>
  <si>
    <t>25/04/2026 08:46</t>
  </si>
  <si>
    <t>TCK-21452</t>
  </si>
  <si>
    <t>22/01/2026 23:19</t>
  </si>
  <si>
    <t>23/01/2026 14:48</t>
  </si>
  <si>
    <t>TCK-23148</t>
  </si>
  <si>
    <t>25/01/2026 08:43</t>
  </si>
  <si>
    <t>25/01/2026 15:18</t>
  </si>
  <si>
    <t>TCK-20343</t>
  </si>
  <si>
    <t>01/04/2026 23:04</t>
  </si>
  <si>
    <t>04/04/2026 03:49</t>
  </si>
  <si>
    <t>TCK-21602</t>
  </si>
  <si>
    <t>23/05/2026 10:18</t>
  </si>
  <si>
    <t>25/05/2026 00:00</t>
  </si>
  <si>
    <t>TCK-21664</t>
  </si>
  <si>
    <t>29/01/2026 16:48</t>
  </si>
  <si>
    <t>TCK-22056</t>
  </si>
  <si>
    <t>11/07/2026 20:11</t>
  </si>
  <si>
    <t>TCK-22898</t>
  </si>
  <si>
    <t>23/03/2026 14:35</t>
  </si>
  <si>
    <t>24/03/2026 11:47</t>
  </si>
  <si>
    <t>TCK-23168</t>
  </si>
  <si>
    <t>16/02/2026 01:59</t>
  </si>
  <si>
    <t>TCK-22208</t>
  </si>
  <si>
    <t>29/06/2026 19:49</t>
  </si>
  <si>
    <t>01/07/2026 14:19</t>
  </si>
  <si>
    <t>TCK-22833</t>
  </si>
  <si>
    <t>23/06/2026 04:10</t>
  </si>
  <si>
    <t>23/06/2026 05:16</t>
  </si>
  <si>
    <t>TCK-20731</t>
  </si>
  <si>
    <t>24/03/2026 15:33</t>
  </si>
  <si>
    <t>25/03/2026 01:52</t>
  </si>
  <si>
    <t>TCK-22563</t>
  </si>
  <si>
    <t>31/01/2026 15:15</t>
  </si>
  <si>
    <t>TCK-22191</t>
  </si>
  <si>
    <t>20/08/2026 15:56</t>
  </si>
  <si>
    <t>20/08/2026 17:49</t>
  </si>
  <si>
    <t>TCK-20104</t>
  </si>
  <si>
    <t>05/03/2026 11:58</t>
  </si>
  <si>
    <t>05/03/2026 19:14</t>
  </si>
  <si>
    <t>TCK-21085</t>
  </si>
  <si>
    <t>06/04/2026 23:04</t>
  </si>
  <si>
    <t>07/04/2026 10:24</t>
  </si>
  <si>
    <t>TCK-21081</t>
  </si>
  <si>
    <t>12/07/2026 11:31</t>
  </si>
  <si>
    <t>TCK-23017</t>
  </si>
  <si>
    <t>12/01/2026 11:17</t>
  </si>
  <si>
    <t>16/01/2026 21:08</t>
  </si>
  <si>
    <t>TCK-22420</t>
  </si>
  <si>
    <t>27/08/2026 08:40</t>
  </si>
  <si>
    <t>28/08/2026 15:33</t>
  </si>
  <si>
    <t>TCK-22049</t>
  </si>
  <si>
    <t>21/04/2026 19:49</t>
  </si>
  <si>
    <t>22/04/2026 09:35</t>
  </si>
  <si>
    <t>TCK-22030</t>
  </si>
  <si>
    <t>14/06/2026 13:23</t>
  </si>
  <si>
    <t>16/06/2026 10:17</t>
  </si>
  <si>
    <t>TCK-22164</t>
  </si>
  <si>
    <t>03/04/2026 18:13</t>
  </si>
  <si>
    <t>TCK-21729</t>
  </si>
  <si>
    <t>28/01/2026 01:23</t>
  </si>
  <si>
    <t>TCK-21413</t>
  </si>
  <si>
    <t>17/03/2026 09:18</t>
  </si>
  <si>
    <t>17/03/2026 18:48</t>
  </si>
  <si>
    <t>TCK-22404</t>
  </si>
  <si>
    <t>17/06/2026 04:49</t>
  </si>
  <si>
    <t>18/06/2026 00:57</t>
  </si>
  <si>
    <t>TCK-22917</t>
  </si>
  <si>
    <t>28/08/2026 06:01</t>
  </si>
  <si>
    <t>28/08/2026 16:28</t>
  </si>
  <si>
    <t>TCK-22753</t>
  </si>
  <si>
    <t>22/08/2026 23:18</t>
  </si>
  <si>
    <t>23/08/2026 10:07</t>
  </si>
  <si>
    <t>TCK-21636</t>
  </si>
  <si>
    <t>17/04/2026 10:40</t>
  </si>
  <si>
    <t>18/04/2026 03:56</t>
  </si>
  <si>
    <t>TCK-22538</t>
  </si>
  <si>
    <t>21/04/2026 23:11</t>
  </si>
  <si>
    <t>22/04/2026 17:55</t>
  </si>
  <si>
    <t>TCK-21751</t>
  </si>
  <si>
    <t>05/06/2026 10:42</t>
  </si>
  <si>
    <t>05/06/2026 11:41</t>
  </si>
  <si>
    <t>TCK-22187</t>
  </si>
  <si>
    <t>17/03/2026 12:40</t>
  </si>
  <si>
    <t>18/03/2026 03:56</t>
  </si>
  <si>
    <t>TCK-22651</t>
  </si>
  <si>
    <t>10/06/2026 13:31</t>
  </si>
  <si>
    <t>11/06/2026 00:20</t>
  </si>
  <si>
    <t>TCK-20255</t>
  </si>
  <si>
    <t>18/01/2026 18:35</t>
  </si>
  <si>
    <t>TCK-23129</t>
  </si>
  <si>
    <t>27/01/2026 22:24</t>
  </si>
  <si>
    <t>TCK-20042</t>
  </si>
  <si>
    <t>03/05/2026 09:31</t>
  </si>
  <si>
    <t>TCK-21224</t>
  </si>
  <si>
    <t>30/04/2026 13:33</t>
  </si>
  <si>
    <t>01/05/2026 11:01</t>
  </si>
  <si>
    <t>TCK-20390</t>
  </si>
  <si>
    <t>20/01/2026 15:19</t>
  </si>
  <si>
    <t>20/01/2026 16:54</t>
  </si>
  <si>
    <t>TCK-21616</t>
  </si>
  <si>
    <t>24/08/2026 21:12</t>
  </si>
  <si>
    <t>25/08/2026 02:02</t>
  </si>
  <si>
    <t>TCK-21551</t>
  </si>
  <si>
    <t>09/05/2026 17:46</t>
  </si>
  <si>
    <t>09/05/2026 20:04</t>
  </si>
  <si>
    <t>TCK-20652</t>
  </si>
  <si>
    <t>15/05/2026 17:50</t>
  </si>
  <si>
    <t>16/05/2026 05:06</t>
  </si>
  <si>
    <t>TCK-20282</t>
  </si>
  <si>
    <t>27/07/2026 01:45</t>
  </si>
  <si>
    <t>27/07/2026 15:22</t>
  </si>
  <si>
    <t>TCK-20039</t>
  </si>
  <si>
    <t>21/05/2026 07:12</t>
  </si>
  <si>
    <t>21/05/2026 08:31</t>
  </si>
  <si>
    <t>TCK-20953</t>
  </si>
  <si>
    <t>18/06/2026 10:44</t>
  </si>
  <si>
    <t>18/06/2026 13:15</t>
  </si>
  <si>
    <t>TCK-23020</t>
  </si>
  <si>
    <t>20/01/2026 10:13</t>
  </si>
  <si>
    <t>21/01/2026 18:36</t>
  </si>
  <si>
    <t>TCK-21937</t>
  </si>
  <si>
    <t>20/07/2026 16:31</t>
  </si>
  <si>
    <t>TCK-21181</t>
  </si>
  <si>
    <t>24/04/2026 20:41</t>
  </si>
  <si>
    <t>26/04/2026 12:02</t>
  </si>
  <si>
    <t>TCK-20513</t>
  </si>
  <si>
    <t>20/07/2026 01:08</t>
  </si>
  <si>
    <t>20/07/2026 17:28</t>
  </si>
  <si>
    <t>TCK-20425</t>
  </si>
  <si>
    <t>28/07/2026 11:05</t>
  </si>
  <si>
    <t>28/07/2026 15:15</t>
  </si>
  <si>
    <t>TCK-22540</t>
  </si>
  <si>
    <t>30/06/2026 14:12</t>
  </si>
  <si>
    <t>TCK-22854</t>
  </si>
  <si>
    <t>05/06/2026 14:17</t>
  </si>
  <si>
    <t>07/06/2026 17:17</t>
  </si>
  <si>
    <t>TCK-20706</t>
  </si>
  <si>
    <t>24/07/2026 01:39</t>
  </si>
  <si>
    <t>TCK-21061</t>
  </si>
  <si>
    <t>14/01/2026 20:11</t>
  </si>
  <si>
    <t>15/01/2026 08:19</t>
  </si>
  <si>
    <t>TCK-22262</t>
  </si>
  <si>
    <t>10/05/2026 08:51</t>
  </si>
  <si>
    <t>TCK-23122</t>
  </si>
  <si>
    <t>17/02/2026 16:26</t>
  </si>
  <si>
    <t>18/02/2026 09:07</t>
  </si>
  <si>
    <t>TCK-20560</t>
  </si>
  <si>
    <t>18/04/2026 13:03</t>
  </si>
  <si>
    <t>20/04/2026 20:22</t>
  </si>
  <si>
    <t>TCK-21734</t>
  </si>
  <si>
    <t>08/07/2026 02:03</t>
  </si>
  <si>
    <t>TCK-20440</t>
  </si>
  <si>
    <t>08/01/2026 18:52</t>
  </si>
  <si>
    <t>09/01/2026 00:25</t>
  </si>
  <si>
    <t>TCK-20803</t>
  </si>
  <si>
    <t>25/01/2026 18:33</t>
  </si>
  <si>
    <t>TCK-21691</t>
  </si>
  <si>
    <t>03/08/2026 03:09</t>
  </si>
  <si>
    <t>04/08/2026 21:42</t>
  </si>
  <si>
    <t>TCK-22313</t>
  </si>
  <si>
    <t>15/05/2026 15:24</t>
  </si>
  <si>
    <t>16/05/2026 07:40</t>
  </si>
  <si>
    <t>TCK-22464</t>
  </si>
  <si>
    <t>22/02/2026 21:04</t>
  </si>
  <si>
    <t>23/02/2026 13:17</t>
  </si>
  <si>
    <t>TCK-20224</t>
  </si>
  <si>
    <t>07/01/2026 03:26</t>
  </si>
  <si>
    <t>07/01/2026 06:10</t>
  </si>
  <si>
    <t>TCK-20704</t>
  </si>
  <si>
    <t>02/04/2026 15:37</t>
  </si>
  <si>
    <t>03/04/2026 19:53</t>
  </si>
  <si>
    <t>TCK-20725</t>
  </si>
  <si>
    <t>05/04/2026 08:23</t>
  </si>
  <si>
    <t>TCK-22133</t>
  </si>
  <si>
    <t>16/05/2026 12:16</t>
  </si>
  <si>
    <t>16/05/2026 20:45</t>
  </si>
  <si>
    <t>TCK-20945</t>
  </si>
  <si>
    <t>30/06/2026 01:34</t>
  </si>
  <si>
    <t>30/06/2026 22:06</t>
  </si>
  <si>
    <t>TCK-20008</t>
  </si>
  <si>
    <t>26/07/2026 18:30</t>
  </si>
  <si>
    <t>27/07/2026 22:05</t>
  </si>
  <si>
    <t>TCK-22925</t>
  </si>
  <si>
    <t>15/07/2026 22:10</t>
  </si>
  <si>
    <t>16/07/2026 03:01</t>
  </si>
  <si>
    <t>TCK-22828</t>
  </si>
  <si>
    <t>26/02/2026 04:22</t>
  </si>
  <si>
    <t>26/02/2026 05:06</t>
  </si>
  <si>
    <t>TCK-22020</t>
  </si>
  <si>
    <t>14/06/2026 11:35</t>
  </si>
  <si>
    <t>TCK-22921</t>
  </si>
  <si>
    <t>04/07/2026 13:32</t>
  </si>
  <si>
    <t>07/07/2026 15:46</t>
  </si>
  <si>
    <t>TCK-21048</t>
  </si>
  <si>
    <t>20/03/2026 12:32</t>
  </si>
  <si>
    <t>20/03/2026 19:13</t>
  </si>
  <si>
    <t>TCK-20074</t>
  </si>
  <si>
    <t>13/06/2026 13:12</t>
  </si>
  <si>
    <t>15/06/2026 07:41</t>
  </si>
  <si>
    <t>TCK-22565</t>
  </si>
  <si>
    <t>16/05/2026 10:29</t>
  </si>
  <si>
    <t>16/05/2026 21:08</t>
  </si>
  <si>
    <t>TCK-22865</t>
  </si>
  <si>
    <t>03/03/2026 11:08</t>
  </si>
  <si>
    <t>04/03/2026 13:28</t>
  </si>
  <si>
    <t>TCK-22306</t>
  </si>
  <si>
    <t>28/04/2026 04:18</t>
  </si>
  <si>
    <t>28/04/2026 16:15</t>
  </si>
  <si>
    <t>TCK-21091</t>
  </si>
  <si>
    <t>13/02/2026 16:28</t>
  </si>
  <si>
    <t>14/02/2026 10:50</t>
  </si>
  <si>
    <t>TCK-20638</t>
  </si>
  <si>
    <t>27/08/2026 01:41</t>
  </si>
  <si>
    <t>27/08/2026 03:56</t>
  </si>
  <si>
    <t>TCK-20031</t>
  </si>
  <si>
    <t>28/04/2026 03:58</t>
  </si>
  <si>
    <t>28/04/2026 23:11</t>
  </si>
  <si>
    <t>TCK-22454</t>
  </si>
  <si>
    <t>01/08/2026 06:36</t>
  </si>
  <si>
    <t>TCK-20754</t>
  </si>
  <si>
    <t>07/05/2026 06:03</t>
  </si>
  <si>
    <t>07/05/2026 22:39</t>
  </si>
  <si>
    <t>TCK-21351</t>
  </si>
  <si>
    <t>26/06/2026 13:44</t>
  </si>
  <si>
    <t>TCK-22952</t>
  </si>
  <si>
    <t>21/08/2026 20:41</t>
  </si>
  <si>
    <t>22/08/2026 12:08</t>
  </si>
  <si>
    <t>TCK-21665</t>
  </si>
  <si>
    <t>10/06/2026 21:41</t>
  </si>
  <si>
    <t>TCK-20967</t>
  </si>
  <si>
    <t>08/05/2026 19:28</t>
  </si>
  <si>
    <t>09/05/2026 10:38</t>
  </si>
  <si>
    <t>TCK-21097</t>
  </si>
  <si>
    <t>28/03/2026 01:00</t>
  </si>
  <si>
    <t>28/03/2026 03:28</t>
  </si>
  <si>
    <t>TCK-21200</t>
  </si>
  <si>
    <t>22/01/2026 02:49</t>
  </si>
  <si>
    <t>24/01/2026 17:37</t>
  </si>
  <si>
    <t>TCK-22971</t>
  </si>
  <si>
    <t>08/07/2026 01:51</t>
  </si>
  <si>
    <t>12/07/2026 02:17</t>
  </si>
  <si>
    <t>TCK-22008</t>
  </si>
  <si>
    <t>29/06/2026 19:00</t>
  </si>
  <si>
    <t>30/06/2026 17:53</t>
  </si>
  <si>
    <t>TCK-21445</t>
  </si>
  <si>
    <t>11/07/2026 14:14</t>
  </si>
  <si>
    <t>TCK-21656</t>
  </si>
  <si>
    <t>23/05/2026 11:20</t>
  </si>
  <si>
    <t>TCK-20336</t>
  </si>
  <si>
    <t>12/04/2026 01:22</t>
  </si>
  <si>
    <t>TCK-21323</t>
  </si>
  <si>
    <t>04/06/2026 07:51</t>
  </si>
  <si>
    <t>TCK-22523</t>
  </si>
  <si>
    <t>07/08/2026 01:23</t>
  </si>
  <si>
    <t>TCK-20214</t>
  </si>
  <si>
    <t>18/07/2026 18:25</t>
  </si>
  <si>
    <t>18/07/2026 23:29</t>
  </si>
  <si>
    <t>TCK-20836</t>
  </si>
  <si>
    <t>07/01/2026 18:04</t>
  </si>
  <si>
    <t>TCK-20748</t>
  </si>
  <si>
    <t>02/06/2026 09:43</t>
  </si>
  <si>
    <t>TCK-20641</t>
  </si>
  <si>
    <t>09/06/2026 03:47</t>
  </si>
  <si>
    <t>09/06/2026 09:56</t>
  </si>
  <si>
    <t>TCK-22386</t>
  </si>
  <si>
    <t>26/05/2026 14:25</t>
  </si>
  <si>
    <t>TCK-20194</t>
  </si>
  <si>
    <t>13/08/2026 10:56</t>
  </si>
  <si>
    <t>TCK-22236</t>
  </si>
  <si>
    <t>25/07/2026 22:52</t>
  </si>
  <si>
    <t>26/07/2026 00:51</t>
  </si>
  <si>
    <t>TCK-21530</t>
  </si>
  <si>
    <t>15/04/2026 13:32</t>
  </si>
  <si>
    <t>15/04/2026 19:48</t>
  </si>
  <si>
    <t>TCK-21506</t>
  </si>
  <si>
    <t>12/05/2026 22:28</t>
  </si>
  <si>
    <t>TCK-22506</t>
  </si>
  <si>
    <t>08/07/2026 17:50</t>
  </si>
  <si>
    <t>TCK-21322</t>
  </si>
  <si>
    <t>05/04/2026 01:00</t>
  </si>
  <si>
    <t>05/04/2026 06:12</t>
  </si>
  <si>
    <t>TCK-22128</t>
  </si>
  <si>
    <t>15/04/2026 04:38</t>
  </si>
  <si>
    <t>15/04/2026 13:39</t>
  </si>
  <si>
    <t>TCK-21027</t>
  </si>
  <si>
    <t>11/08/2026 01:46</t>
  </si>
  <si>
    <t>12/08/2026 17:50</t>
  </si>
  <si>
    <t>TCK-22514</t>
  </si>
  <si>
    <t>01/02/2026 13:12</t>
  </si>
  <si>
    <t>TCK-20735</t>
  </si>
  <si>
    <t>19/04/2026 10:01</t>
  </si>
  <si>
    <t>TCK-20743</t>
  </si>
  <si>
    <t>06/02/2026 17:59</t>
  </si>
  <si>
    <t>08/02/2026 22:53</t>
  </si>
  <si>
    <t>TCK-20193</t>
  </si>
  <si>
    <t>15/03/2026 06:48</t>
  </si>
  <si>
    <t>19/03/2026 10:10</t>
  </si>
  <si>
    <t>TCK-20801</t>
  </si>
  <si>
    <t>27/05/2026 07:39</t>
  </si>
  <si>
    <t>27/05/2026 22:47</t>
  </si>
  <si>
    <t>TCK-20184</t>
  </si>
  <si>
    <t>15/02/2026 12:48</t>
  </si>
  <si>
    <t>21/02/2026 09:32</t>
  </si>
  <si>
    <t>TCK-22408</t>
  </si>
  <si>
    <t>07/01/2026 14:43</t>
  </si>
  <si>
    <t>07/01/2026 15:58</t>
  </si>
  <si>
    <t>TCK-20094</t>
  </si>
  <si>
    <t>11/01/2026 22:31</t>
  </si>
  <si>
    <t>12/01/2026 03:14</t>
  </si>
  <si>
    <t>TCK-22153</t>
  </si>
  <si>
    <t>13/01/2026 21:17</t>
  </si>
  <si>
    <t>TCK-20981</t>
  </si>
  <si>
    <t>02/02/2026 13:35</t>
  </si>
  <si>
    <t>04/02/2026 01:37</t>
  </si>
  <si>
    <t>TCK-20940</t>
  </si>
  <si>
    <t>26/02/2026 17:13</t>
  </si>
  <si>
    <t>27/02/2026 04:00</t>
  </si>
  <si>
    <t>TCK-22911</t>
  </si>
  <si>
    <t>21/05/2026 10:13</t>
  </si>
  <si>
    <t>21/05/2026 13:36</t>
  </si>
  <si>
    <t>TCK-22749</t>
  </si>
  <si>
    <t>09/01/2026 02:11</t>
  </si>
  <si>
    <t>TCK-22344</t>
  </si>
  <si>
    <t>15/01/2026 13:01</t>
  </si>
  <si>
    <t>15/01/2026 17:28</t>
  </si>
  <si>
    <t>TCK-22364</t>
  </si>
  <si>
    <t>25/04/2026 06:30</t>
  </si>
  <si>
    <t>26/04/2026 05:30</t>
  </si>
  <si>
    <t>TCK-20846</t>
  </si>
  <si>
    <t>12/07/2026 11:48</t>
  </si>
  <si>
    <t>TCK-22919</t>
  </si>
  <si>
    <t>25/04/2026 01:11</t>
  </si>
  <si>
    <t>TCK-22624</t>
  </si>
  <si>
    <t>27/04/2026 11:58</t>
  </si>
  <si>
    <t>TCK-23009</t>
  </si>
  <si>
    <t>24/07/2026 06:36</t>
  </si>
  <si>
    <t>24/07/2026 22:58</t>
  </si>
  <si>
    <t>TCK-21987</t>
  </si>
  <si>
    <t>28/02/2026 08:47</t>
  </si>
  <si>
    <t>TCK-21338</t>
  </si>
  <si>
    <t>04/04/2026 20:09</t>
  </si>
  <si>
    <t>TCK-22887</t>
  </si>
  <si>
    <t>08/06/2026 19:20</t>
  </si>
  <si>
    <t>11/06/2026 08:42</t>
  </si>
  <si>
    <t>TCK-20256</t>
  </si>
  <si>
    <t>28/03/2026 22:02</t>
  </si>
  <si>
    <t>TCK-22089</t>
  </si>
  <si>
    <t>19/05/2026 04:33</t>
  </si>
  <si>
    <t>TCK-20046</t>
  </si>
  <si>
    <t>27/02/2026 15:55</t>
  </si>
  <si>
    <t>28/02/2026 08:22</t>
  </si>
  <si>
    <t>TCK-22997</t>
  </si>
  <si>
    <t>01/06/2026 16:13</t>
  </si>
  <si>
    <t>02/06/2026 21:48</t>
  </si>
  <si>
    <t>TCK-22585</t>
  </si>
  <si>
    <t>08/02/2026 07:37</t>
  </si>
  <si>
    <t>TCK-21102</t>
  </si>
  <si>
    <t>27/05/2026 09:21</t>
  </si>
  <si>
    <t>TCK-21282</t>
  </si>
  <si>
    <t>13/05/2026 17:27</t>
  </si>
  <si>
    <t>TCK-21815</t>
  </si>
  <si>
    <t>14/07/2026 04:24</t>
  </si>
  <si>
    <t>15/07/2026 02:06</t>
  </si>
  <si>
    <t>TCK-21676</t>
  </si>
  <si>
    <t>01/04/2026 03:14</t>
  </si>
  <si>
    <t>01/04/2026 09:51</t>
  </si>
  <si>
    <t>TCK-20664</t>
  </si>
  <si>
    <t>20/02/2026 06:45</t>
  </si>
  <si>
    <t>20/02/2026 08:34</t>
  </si>
  <si>
    <t>TCK-21568</t>
  </si>
  <si>
    <t>04/04/2026 15:09</t>
  </si>
  <si>
    <t>06/04/2026 02:52</t>
  </si>
  <si>
    <t>TCK-23117</t>
  </si>
  <si>
    <t>04/05/2026 03:51</t>
  </si>
  <si>
    <t>TCK-22958</t>
  </si>
  <si>
    <t>12/06/2026 02:18</t>
  </si>
  <si>
    <t>12/06/2026 12:23</t>
  </si>
  <si>
    <t>TCK-22656</t>
  </si>
  <si>
    <t>29/01/2026 01:41</t>
  </si>
  <si>
    <t>TCK-22192</t>
  </si>
  <si>
    <t>05/01/2026 09:57</t>
  </si>
  <si>
    <t>TCK-20966</t>
  </si>
  <si>
    <t>28/05/2026 11:59</t>
  </si>
  <si>
    <t>28/05/2026 14:10</t>
  </si>
  <si>
    <t>TCK-21507</t>
  </si>
  <si>
    <t>22/04/2026 18:45</t>
  </si>
  <si>
    <t>TCK-22943</t>
  </si>
  <si>
    <t>02/01/2026 04:35</t>
  </si>
  <si>
    <t>02/01/2026 19:11</t>
  </si>
  <si>
    <t>TCK-22318</t>
  </si>
  <si>
    <t>20/05/2026 23:17</t>
  </si>
  <si>
    <t>TCK-22475</t>
  </si>
  <si>
    <t>06/03/2026 04:08</t>
  </si>
  <si>
    <t>TCK-21840</t>
  </si>
  <si>
    <t>07/04/2026 04:51</t>
  </si>
  <si>
    <t>07/04/2026 16:51</t>
  </si>
  <si>
    <t>TCK-22406</t>
  </si>
  <si>
    <t>27/01/2026 22:31</t>
  </si>
  <si>
    <t>29/01/2026 06:42</t>
  </si>
  <si>
    <t>TCK-23170</t>
  </si>
  <si>
    <t>05/01/2026 23:22</t>
  </si>
  <si>
    <t>TCK-21409</t>
  </si>
  <si>
    <t>06/06/2026 15:53</t>
  </si>
  <si>
    <t>TCK-21897</t>
  </si>
  <si>
    <t>01/01/2026 22:17</t>
  </si>
  <si>
    <t>TCK-20166</t>
  </si>
  <si>
    <t>17/07/2026 04:53</t>
  </si>
  <si>
    <t>19/07/2026 08:39</t>
  </si>
  <si>
    <t>TCK-20041</t>
  </si>
  <si>
    <t>28/03/2026 19:53</t>
  </si>
  <si>
    <t>29/03/2026 02:06</t>
  </si>
  <si>
    <t>TCK-21071</t>
  </si>
  <si>
    <t>14/06/2026 01:31</t>
  </si>
  <si>
    <t>14/06/2026 06:46</t>
  </si>
  <si>
    <t>TCK-22222</t>
  </si>
  <si>
    <t>09/04/2026 03:29</t>
  </si>
  <si>
    <t>09/04/2026 14:24</t>
  </si>
  <si>
    <t>TCK-22142</t>
  </si>
  <si>
    <t>26/02/2026 06:40</t>
  </si>
  <si>
    <t>27/02/2026 13:19</t>
  </si>
  <si>
    <t>TCK-21924</t>
  </si>
  <si>
    <t>23/04/2026 02:16</t>
  </si>
  <si>
    <t>TCK-20985</t>
  </si>
  <si>
    <t>26/07/2026 11:58</t>
  </si>
  <si>
    <t>TCK-21889</t>
  </si>
  <si>
    <t>25/03/2026 09:58</t>
  </si>
  <si>
    <t>TCK-22157</t>
  </si>
  <si>
    <t>18/05/2026 20:55</t>
  </si>
  <si>
    <t>19/05/2026 03:06</t>
  </si>
  <si>
    <t>TCK-21394</t>
  </si>
  <si>
    <t>06/05/2026 21:43</t>
  </si>
  <si>
    <t>07/05/2026 18:54</t>
  </si>
  <si>
    <t>TCK-20152</t>
  </si>
  <si>
    <t>05/05/2026 19:56</t>
  </si>
  <si>
    <t>06/05/2026 06:05</t>
  </si>
  <si>
    <t>TCK-23130</t>
  </si>
  <si>
    <t>05/06/2026 20:45</t>
  </si>
  <si>
    <t>TCK-22369</t>
  </si>
  <si>
    <t>29/06/2026 03:59</t>
  </si>
  <si>
    <t>29/06/2026 05:43</t>
  </si>
  <si>
    <t>TCK-21120</t>
  </si>
  <si>
    <t>01/03/2026 18:22</t>
  </si>
  <si>
    <t>TCK-20716</t>
  </si>
  <si>
    <t>09/01/2026 11:10</t>
  </si>
  <si>
    <t>TCK-20698</t>
  </si>
  <si>
    <t>06/06/2026 10:15</t>
  </si>
  <si>
    <t>11/06/2026 13:03</t>
  </si>
  <si>
    <t>TCK-20721</t>
  </si>
  <si>
    <t>26/03/2026 01:44</t>
  </si>
  <si>
    <t>TCK-20495</t>
  </si>
  <si>
    <t>20/02/2026 23:03</t>
  </si>
  <si>
    <t>25/02/2026 01:34</t>
  </si>
  <si>
    <t>TCK-22024</t>
  </si>
  <si>
    <t>08/08/2026 06:25</t>
  </si>
  <si>
    <t>08/08/2026 11:32</t>
  </si>
  <si>
    <t>TCK-21521</t>
  </si>
  <si>
    <t>12/06/2026 01:41</t>
  </si>
  <si>
    <t>13/06/2026 07:29</t>
  </si>
  <si>
    <t>TCK-22094</t>
  </si>
  <si>
    <t>02/06/2026 23:03</t>
  </si>
  <si>
    <t>04/06/2026 09:19</t>
  </si>
  <si>
    <t>TCK-20835</t>
  </si>
  <si>
    <t>28/02/2026 01:21</t>
  </si>
  <si>
    <t>TCK-23141</t>
  </si>
  <si>
    <t>04/05/2026 18:02</t>
  </si>
  <si>
    <t>TCK-22244</t>
  </si>
  <si>
    <t>06/02/2026 19:53</t>
  </si>
  <si>
    <t>TCK-22500</t>
  </si>
  <si>
    <t>15/03/2026 11:50</t>
  </si>
  <si>
    <t>17/03/2026 12:03</t>
  </si>
  <si>
    <t>TCK-21503</t>
  </si>
  <si>
    <t>29/06/2026 14:35</t>
  </si>
  <si>
    <t>30/06/2026 21:44</t>
  </si>
  <si>
    <t>TCK-23065</t>
  </si>
  <si>
    <t>29/01/2026 04:42</t>
  </si>
  <si>
    <t>TCK-21427</t>
  </si>
  <si>
    <t>30/03/2026 18:42</t>
  </si>
  <si>
    <t>31/03/2026 18:07</t>
  </si>
  <si>
    <t>TCK-20821</t>
  </si>
  <si>
    <t>04/05/2026 00:10</t>
  </si>
  <si>
    <t>04/05/2026 01:34</t>
  </si>
  <si>
    <t>TCK-22310</t>
  </si>
  <si>
    <t>01/02/2026 17:26</t>
  </si>
  <si>
    <t>TCK-21141</t>
  </si>
  <si>
    <t>13/06/2026 15:37</t>
  </si>
  <si>
    <t>TCK-22780</t>
  </si>
  <si>
    <t>14/01/2026 15:10</t>
  </si>
  <si>
    <t>TCK-22942</t>
  </si>
  <si>
    <t>21/05/2026 03:10</t>
  </si>
  <si>
    <t>22/05/2026 18:34</t>
  </si>
  <si>
    <t>TCK-21170</t>
  </si>
  <si>
    <t>03/01/2026 07:07</t>
  </si>
  <si>
    <t>03/01/2026 09:11</t>
  </si>
  <si>
    <t>TCK-21918</t>
  </si>
  <si>
    <t>10/06/2026 11:45</t>
  </si>
  <si>
    <t>TCK-20290</t>
  </si>
  <si>
    <t>08/03/2026 13:11</t>
  </si>
  <si>
    <t>TCK-22792</t>
  </si>
  <si>
    <t>30/03/2026 14:44</t>
  </si>
  <si>
    <t>31/03/2026 04:58</t>
  </si>
  <si>
    <t>TCK-21603</t>
  </si>
  <si>
    <t>12/05/2026 12:38</t>
  </si>
  <si>
    <t>TCK-23095</t>
  </si>
  <si>
    <t>05/03/2026 22:14</t>
  </si>
  <si>
    <t>06/03/2026 03:54</t>
  </si>
  <si>
    <t>TCK-22172</t>
  </si>
  <si>
    <t>28/04/2026 16:37</t>
  </si>
  <si>
    <t>TCK-21294</t>
  </si>
  <si>
    <t>24/04/2026 11:41</t>
  </si>
  <si>
    <t>25/04/2026 01:06</t>
  </si>
  <si>
    <t>TCK-22201</t>
  </si>
  <si>
    <t>26/02/2026 01:41</t>
  </si>
  <si>
    <t>28/02/2026 12:56</t>
  </si>
  <si>
    <t>TCK-23103</t>
  </si>
  <si>
    <t>31/05/2026 16:09</t>
  </si>
  <si>
    <t>TCK-22388</t>
  </si>
  <si>
    <t>21/05/2026 20:22</t>
  </si>
  <si>
    <t>22/05/2026 00:38</t>
  </si>
  <si>
    <t>TCK-22671</t>
  </si>
  <si>
    <t>07/06/2026 19:14</t>
  </si>
  <si>
    <t>TCK-20980</t>
  </si>
  <si>
    <t>09/01/2026 13:29</t>
  </si>
  <si>
    <t>10/01/2026 15:16</t>
  </si>
  <si>
    <t>TCK-20598</t>
  </si>
  <si>
    <t>08/04/2026 08:18</t>
  </si>
  <si>
    <t>08/04/2026 12:00</t>
  </si>
  <si>
    <t>TCK-22669</t>
  </si>
  <si>
    <t>21/05/2026 12:30</t>
  </si>
  <si>
    <t>22/05/2026 06:49</t>
  </si>
  <si>
    <t>TCK-21139</t>
  </si>
  <si>
    <t>28/07/2026 10:48</t>
  </si>
  <si>
    <t>29/07/2026 06:58</t>
  </si>
  <si>
    <t>TCK-22092</t>
  </si>
  <si>
    <t>23/01/2026 00:41</t>
  </si>
  <si>
    <t>TCK-20263</t>
  </si>
  <si>
    <t>14/03/2026 01:18</t>
  </si>
  <si>
    <t>14/03/2026 02:04</t>
  </si>
  <si>
    <t>TCK-21666</t>
  </si>
  <si>
    <t>10/06/2026 14:12</t>
  </si>
  <si>
    <t>11/06/2026 03:59</t>
  </si>
  <si>
    <t>TCK-21131</t>
  </si>
  <si>
    <t>10/05/2026 16:40</t>
  </si>
  <si>
    <t>TCK-22258</t>
  </si>
  <si>
    <t>16/04/2026 11:16</t>
  </si>
  <si>
    <t>16/04/2026 20:11</t>
  </si>
  <si>
    <t>TCK-22450</t>
  </si>
  <si>
    <t>10/04/2026 15:39</t>
  </si>
  <si>
    <t>TCK-22988</t>
  </si>
  <si>
    <t>19/05/2026 07:33</t>
  </si>
  <si>
    <t>19/05/2026 10:37</t>
  </si>
  <si>
    <t>TCK-21569</t>
  </si>
  <si>
    <t>20/07/2026 06:34</t>
  </si>
  <si>
    <t>21/07/2026 01:27</t>
  </si>
  <si>
    <t>TCK-21906</t>
  </si>
  <si>
    <t>15/02/2026 20:34</t>
  </si>
  <si>
    <t>20/02/2026 00:59</t>
  </si>
  <si>
    <t>TCK-21271</t>
  </si>
  <si>
    <t>29/07/2026 18:24</t>
  </si>
  <si>
    <t>02/08/2026 06:29</t>
  </si>
  <si>
    <t>TCK-23042</t>
  </si>
  <si>
    <t>30/06/2026 03:26</t>
  </si>
  <si>
    <t>30/06/2026 15:36</t>
  </si>
  <si>
    <t>TCK-20685</t>
  </si>
  <si>
    <t>21/05/2026 16:08</t>
  </si>
  <si>
    <t>TCK-22444</t>
  </si>
  <si>
    <t>12/02/2026 05:57</t>
  </si>
  <si>
    <t>12/02/2026 17:14</t>
  </si>
  <si>
    <t>TCK-20329</t>
  </si>
  <si>
    <t>05/03/2026 14:55</t>
  </si>
  <si>
    <t>11/03/2026 03:25</t>
  </si>
  <si>
    <t>TCK-22242</t>
  </si>
  <si>
    <t>22/07/2026 16:20</t>
  </si>
  <si>
    <t>TCK-20918</t>
  </si>
  <si>
    <t>28/02/2026 05:13</t>
  </si>
  <si>
    <t>28/02/2026 21:59</t>
  </si>
  <si>
    <t>TCK-20476</t>
  </si>
  <si>
    <t>05/03/2026 23:55</t>
  </si>
  <si>
    <t>06/03/2026 00:25</t>
  </si>
  <si>
    <t>TCK-21993</t>
  </si>
  <si>
    <t>15/03/2026 11:04</t>
  </si>
  <si>
    <t>TCK-22330</t>
  </si>
  <si>
    <t>03/07/2026 14:54</t>
  </si>
  <si>
    <t>03/07/2026 16:10</t>
  </si>
  <si>
    <t>TCK-21364</t>
  </si>
  <si>
    <t>25/01/2026 06:32</t>
  </si>
  <si>
    <t>25/01/2026 18:45</t>
  </si>
  <si>
    <t>TCK-20782</t>
  </si>
  <si>
    <t>06/05/2026 18:28</t>
  </si>
  <si>
    <t>06/05/2026 21:36</t>
  </si>
  <si>
    <t>TCK-22762</t>
  </si>
  <si>
    <t>03/02/2026 21:02</t>
  </si>
  <si>
    <t>04/02/2026 02:21</t>
  </si>
  <si>
    <t>TCK-21658</t>
  </si>
  <si>
    <t>15/04/2026 15:57</t>
  </si>
  <si>
    <t>15/04/2026 19:56</t>
  </si>
  <si>
    <t>TCK-22603</t>
  </si>
  <si>
    <t>20/08/2026 01:54</t>
  </si>
  <si>
    <t>TCK-23127</t>
  </si>
  <si>
    <t>13/06/2026 01:34</t>
  </si>
  <si>
    <t>15/06/2026 06:54</t>
  </si>
  <si>
    <t>TCK-22005</t>
  </si>
  <si>
    <t>14/08/2026 19:35</t>
  </si>
  <si>
    <t>14/08/2026 20:08</t>
  </si>
  <si>
    <t>TCK-20646</t>
  </si>
  <si>
    <t>30/07/2026 00:42</t>
  </si>
  <si>
    <t>30/07/2026 17:42</t>
  </si>
  <si>
    <t>TCK-20368</t>
  </si>
  <si>
    <t>31/01/2026 18:42</t>
  </si>
  <si>
    <t>01/02/2026 04:12</t>
  </si>
  <si>
    <t>TCK-21596</t>
  </si>
  <si>
    <t>22/08/2026 06:59</t>
  </si>
  <si>
    <t>22/08/2026 11:34</t>
  </si>
  <si>
    <t>TCK-21600</t>
  </si>
  <si>
    <t>04/05/2026 00:24</t>
  </si>
  <si>
    <t>05/05/2026 18:35</t>
  </si>
  <si>
    <t>TCK-21631</t>
  </si>
  <si>
    <t>20/08/2026 08:22</t>
  </si>
  <si>
    <t>20/08/2026 13:09</t>
  </si>
  <si>
    <t>TCK-23154</t>
  </si>
  <si>
    <t>24/01/2026 18:20</t>
  </si>
  <si>
    <t>25/01/2026 07:07</t>
  </si>
  <si>
    <t>TCK-22546</t>
  </si>
  <si>
    <t>22/04/2026 07:28</t>
  </si>
  <si>
    <t>23/04/2026 03:41</t>
  </si>
  <si>
    <t>TCK-21003</t>
  </si>
  <si>
    <t>22/06/2026 06:05</t>
  </si>
  <si>
    <t>22/06/2026 12:32</t>
  </si>
  <si>
    <t>TCK-20655</t>
  </si>
  <si>
    <t>17/07/2026 23:47</t>
  </si>
  <si>
    <t>TCK-21389</t>
  </si>
  <si>
    <t>18/01/2026 00:16</t>
  </si>
  <si>
    <t>19/01/2026 12:20</t>
  </si>
  <si>
    <t>TCK-22250</t>
  </si>
  <si>
    <t>18/02/2026 20:33</t>
  </si>
  <si>
    <t>19/02/2026 03:49</t>
  </si>
  <si>
    <t>TCK-21358</t>
  </si>
  <si>
    <t>10/07/2026 20:09</t>
  </si>
  <si>
    <t>TCK-20719</t>
  </si>
  <si>
    <t>30/06/2026 20:51</t>
  </si>
  <si>
    <t>TCK-20585</t>
  </si>
  <si>
    <t>15/08/2026 12:18</t>
  </si>
  <si>
    <t>17/08/2026 23:52</t>
  </si>
  <si>
    <t>TCK-21387</t>
  </si>
  <si>
    <t>01/01/2026 19:10</t>
  </si>
  <si>
    <t>TCK-21524</t>
  </si>
  <si>
    <t>07/01/2026 19:27</t>
  </si>
  <si>
    <t>08/01/2026 04:01</t>
  </si>
  <si>
    <t>TCK-21970</t>
  </si>
  <si>
    <t>26/01/2026 18:22</t>
  </si>
  <si>
    <t>TCK-22813</t>
  </si>
  <si>
    <t>03/07/2026 18:23</t>
  </si>
  <si>
    <t>TCK-20072</t>
  </si>
  <si>
    <t>19/07/2026 02:59</t>
  </si>
  <si>
    <t>19/07/2026 16:31</t>
  </si>
  <si>
    <t>TCK-20163</t>
  </si>
  <si>
    <t>20/04/2026 20:58</t>
  </si>
  <si>
    <t>TCK-22467</t>
  </si>
  <si>
    <t>02/07/2026 04:51</t>
  </si>
  <si>
    <t>02/07/2026 10:29</t>
  </si>
  <si>
    <t>TCK-22426</t>
  </si>
  <si>
    <t>12/07/2026 10:05</t>
  </si>
  <si>
    <t>13/07/2026 01:28</t>
  </si>
  <si>
    <t>TCK-21909</t>
  </si>
  <si>
    <t>24/05/2026 12:47</t>
  </si>
  <si>
    <t>25/05/2026 22:25</t>
  </si>
  <si>
    <t>TCK-21952</t>
  </si>
  <si>
    <t>23/08/2026 07:55</t>
  </si>
  <si>
    <t>TCK-20889</t>
  </si>
  <si>
    <t>19/05/2026 02:42</t>
  </si>
  <si>
    <t>19/05/2026 23:26</t>
  </si>
  <si>
    <t>TCK-21811</t>
  </si>
  <si>
    <t>15/04/2026 13:07</t>
  </si>
  <si>
    <t>15/04/2026 20:41</t>
  </si>
  <si>
    <t>TCK-22016</t>
  </si>
  <si>
    <t>04/03/2026 20:46</t>
  </si>
  <si>
    <t>04/03/2026 22:59</t>
  </si>
  <si>
    <t>TCK-21701</t>
  </si>
  <si>
    <t>17/03/2026 07:41</t>
  </si>
  <si>
    <t>TCK-22694</t>
  </si>
  <si>
    <t>05/07/2026 08:26</t>
  </si>
  <si>
    <t>TCK-22993</t>
  </si>
  <si>
    <t>18/07/2026 00:27</t>
  </si>
  <si>
    <t>18/07/2026 01:51</t>
  </si>
  <si>
    <t>TCK-22577</t>
  </si>
  <si>
    <t>07/02/2026 01:46</t>
  </si>
  <si>
    <t>07/02/2026 21:34</t>
  </si>
  <si>
    <t>TCK-20934</t>
  </si>
  <si>
    <t>11/01/2026 18:08</t>
  </si>
  <si>
    <t>TCK-22704</t>
  </si>
  <si>
    <t>19/03/2026 20:43</t>
  </si>
  <si>
    <t>23/03/2026 06:12</t>
  </si>
  <si>
    <t>TCK-22000</t>
  </si>
  <si>
    <t>14/05/2026 15:54</t>
  </si>
  <si>
    <t>15/05/2026 01:22</t>
  </si>
  <si>
    <t>TCK-21571</t>
  </si>
  <si>
    <t>27/02/2026 18:41</t>
  </si>
  <si>
    <t>27/02/2026 21:03</t>
  </si>
  <si>
    <t>TCK-21931</t>
  </si>
  <si>
    <t>08/05/2026 14:42</t>
  </si>
  <si>
    <t>08/05/2026 19:12</t>
  </si>
  <si>
    <t>TCK-22723</t>
  </si>
  <si>
    <t>24/04/2026 16:39</t>
  </si>
  <si>
    <t>TCK-22048</t>
  </si>
  <si>
    <t>21/01/2026 15:28</t>
  </si>
  <si>
    <t>TCK-20696</t>
  </si>
  <si>
    <t>23/04/2026 13:52</t>
  </si>
  <si>
    <t>23/04/2026 17:23</t>
  </si>
  <si>
    <t>TCK-20374</t>
  </si>
  <si>
    <t>08/02/2026 10:51</t>
  </si>
  <si>
    <t>08/02/2026 14:35</t>
  </si>
  <si>
    <t>TCK-22349</t>
  </si>
  <si>
    <t>25/01/2026 03:15</t>
  </si>
  <si>
    <t>TCK-22532</t>
  </si>
  <si>
    <t>08/04/2026 18:10</t>
  </si>
  <si>
    <t>TCK-21113</t>
  </si>
  <si>
    <t>22/05/2026 00:55</t>
  </si>
  <si>
    <t>22/05/2026 04:23</t>
  </si>
  <si>
    <t>TCK-21064</t>
  </si>
  <si>
    <t>06/06/2026 11:37</t>
  </si>
  <si>
    <t>TCK-20396</t>
  </si>
  <si>
    <t>11/02/2026 04:20</t>
  </si>
  <si>
    <t>11/02/2026 23:47</t>
  </si>
  <si>
    <t>TCK-20600</t>
  </si>
  <si>
    <t>01/07/2026 18:36</t>
  </si>
  <si>
    <t>TCK-21670</t>
  </si>
  <si>
    <t>25/03/2026 13:54</t>
  </si>
  <si>
    <t>TCK-20802</t>
  </si>
  <si>
    <t>12/07/2026 04:03</t>
  </si>
  <si>
    <t>12/07/2026 11:23</t>
  </si>
  <si>
    <t>TCK-22953</t>
  </si>
  <si>
    <t>22/07/2026 05:32</t>
  </si>
  <si>
    <t>22/07/2026 07:24</t>
  </si>
  <si>
    <t>TCK-21236</t>
  </si>
  <si>
    <t>25/07/2026 01:45</t>
  </si>
  <si>
    <t>TCK-22529</t>
  </si>
  <si>
    <t>25/04/2026 23:00</t>
  </si>
  <si>
    <t>26/04/2026 03:05</t>
  </si>
  <si>
    <t>TCK-21731</t>
  </si>
  <si>
    <t>27/06/2026 11:12</t>
  </si>
  <si>
    <t>28/06/2026 05:03</t>
  </si>
  <si>
    <t>TCK-23169</t>
  </si>
  <si>
    <t>17/01/2026 19:41</t>
  </si>
  <si>
    <t>TCK-21800</t>
  </si>
  <si>
    <t>03/03/2026 00:59</t>
  </si>
  <si>
    <t>08/03/2026 04:12</t>
  </si>
  <si>
    <t>TCK-20400</t>
  </si>
  <si>
    <t>07/08/2026 02:49</t>
  </si>
  <si>
    <t>TCK-20235</t>
  </si>
  <si>
    <t>07/04/2026 04:08</t>
  </si>
  <si>
    <t>07/04/2026 14:40</t>
  </si>
  <si>
    <t>TCK-20216</t>
  </si>
  <si>
    <t>01/01/2026 15:41</t>
  </si>
  <si>
    <t>03/01/2026 10:47</t>
  </si>
  <si>
    <t>TCK-23012</t>
  </si>
  <si>
    <t>16/07/2026 05:10</t>
  </si>
  <si>
    <t>TCK-21834</t>
  </si>
  <si>
    <t>14/06/2026 08:40</t>
  </si>
  <si>
    <t>15/06/2026 05:51</t>
  </si>
  <si>
    <t>TCK-21046</t>
  </si>
  <si>
    <t>06/05/2026 09:40</t>
  </si>
  <si>
    <t>07/05/2026 06:11</t>
  </si>
  <si>
    <t>TCK-22929</t>
  </si>
  <si>
    <t>05/05/2026 05:31</t>
  </si>
  <si>
    <t>05/05/2026 08:29</t>
  </si>
  <si>
    <t>TCK-21449</t>
  </si>
  <si>
    <t>03/06/2026 15:09</t>
  </si>
  <si>
    <t>03/06/2026 16:35</t>
  </si>
  <si>
    <t>TCK-23157</t>
  </si>
  <si>
    <t>27/01/2026 03:57</t>
  </si>
  <si>
    <t>27/01/2026 06:02</t>
  </si>
  <si>
    <t>TCK-22001</t>
  </si>
  <si>
    <t>18/08/2026 11:48</t>
  </si>
  <si>
    <t>19/08/2026 00:27</t>
  </si>
  <si>
    <t>TCK-22458</t>
  </si>
  <si>
    <t>02/01/2026 20:37</t>
  </si>
  <si>
    <t>TCK-20451</t>
  </si>
  <si>
    <t>30/05/2026 20:28</t>
  </si>
  <si>
    <t>31/05/2026 00:38</t>
  </si>
  <si>
    <t>TCK-21410</t>
  </si>
  <si>
    <t>17/08/2026 00:32</t>
  </si>
  <si>
    <t>18/08/2026 01:37</t>
  </si>
  <si>
    <t>TCK-22783</t>
  </si>
  <si>
    <t>28/08/2026 13:48</t>
  </si>
  <si>
    <t>29/08/2026 03:05</t>
  </si>
  <si>
    <t>TCK-20793</t>
  </si>
  <si>
    <t>20/05/2026 23:38</t>
  </si>
  <si>
    <t>TCK-21135</t>
  </si>
  <si>
    <t>06/06/2026 08:23</t>
  </si>
  <si>
    <t>06/06/2026 16:44</t>
  </si>
  <si>
    <t>TCK-22846</t>
  </si>
  <si>
    <t>TCK-22621</t>
  </si>
  <si>
    <t>24/02/2026 04:44</t>
  </si>
  <si>
    <t>25/02/2026 01:03</t>
  </si>
  <si>
    <t>TCK-22499</t>
  </si>
  <si>
    <t>10/03/2026 16:33</t>
  </si>
  <si>
    <t>12/03/2026 02:04</t>
  </si>
  <si>
    <t>TCK-20925</t>
  </si>
  <si>
    <t>21/03/2026 08:04</t>
  </si>
  <si>
    <t>TCK-22229</t>
  </si>
  <si>
    <t>29/05/2026 10:42</t>
  </si>
  <si>
    <t>TCK-20160</t>
  </si>
  <si>
    <t>14/01/2026 17:53</t>
  </si>
  <si>
    <t>14/01/2026 21:39</t>
  </si>
  <si>
    <t>TCK-22719</t>
  </si>
  <si>
    <t>19/06/2026 15:28</t>
  </si>
  <si>
    <t>19/06/2026 16:37</t>
  </si>
  <si>
    <t>TCK-22504</t>
  </si>
  <si>
    <t>20/07/2026 20:54</t>
  </si>
  <si>
    <t>TCK-21813</t>
  </si>
  <si>
    <t>03/03/2026 10:04</t>
  </si>
  <si>
    <t>03/03/2026 12:55</t>
  </si>
  <si>
    <t>TCK-22455</t>
  </si>
  <si>
    <t>29/06/2026 10:43</t>
  </si>
  <si>
    <t>TCK-23066</t>
  </si>
  <si>
    <t>25/08/2026 20:36</t>
  </si>
  <si>
    <t>TCK-22011</t>
  </si>
  <si>
    <t>11/01/2026 05:13</t>
  </si>
  <si>
    <t>TCK-22355</t>
  </si>
  <si>
    <t>10/05/2026 20:42</t>
  </si>
  <si>
    <t>14/05/2026 06:02</t>
  </si>
  <si>
    <t>TCK-20504</t>
  </si>
  <si>
    <t>13/01/2026 04:48</t>
  </si>
  <si>
    <t>16/01/2026 02:59</t>
  </si>
  <si>
    <t>TCK-22717</t>
  </si>
  <si>
    <t>10/02/2026 14:30</t>
  </si>
  <si>
    <t>TCK-21653</t>
  </si>
  <si>
    <t>01/04/2026 22:09</t>
  </si>
  <si>
    <t>TCK-21718</t>
  </si>
  <si>
    <t>22/05/2026 21:12</t>
  </si>
  <si>
    <t>23/05/2026 00:08</t>
  </si>
  <si>
    <t>TCK-22076</t>
  </si>
  <si>
    <t>12/07/2026 09:14</t>
  </si>
  <si>
    <t>TCK-20452</t>
  </si>
  <si>
    <t>25/04/2026 07:19</t>
  </si>
  <si>
    <t>25/04/2026 11:07</t>
  </si>
  <si>
    <t>TCK-21520</t>
  </si>
  <si>
    <t>29/01/2026 20:36</t>
  </si>
  <si>
    <t>29/01/2026 23:29</t>
  </si>
  <si>
    <t>TCK-21261</t>
  </si>
  <si>
    <t>11/03/2026 01:33</t>
  </si>
  <si>
    <t>12/03/2026 13:25</t>
  </si>
  <si>
    <t>TCK-20318</t>
  </si>
  <si>
    <t>31/03/2026 14:17</t>
  </si>
  <si>
    <t>TCK-22790</t>
  </si>
  <si>
    <t>11/06/2026 12:46</t>
  </si>
  <si>
    <t>TCK-22860</t>
  </si>
  <si>
    <t>25/04/2026 04:44</t>
  </si>
  <si>
    <t>26/04/2026 00:10</t>
  </si>
  <si>
    <t>TCK-20717</t>
  </si>
  <si>
    <t>24/01/2026 06:31</t>
  </si>
  <si>
    <t>TCK-22689</t>
  </si>
  <si>
    <t>30/03/2026 03:10</t>
  </si>
  <si>
    <t>TCK-21539</t>
  </si>
  <si>
    <t>21/07/2026 06:51</t>
  </si>
  <si>
    <t>TCK-22394</t>
  </si>
  <si>
    <t>21/02/2026 16:29</t>
  </si>
  <si>
    <t>22/02/2026 22:46</t>
  </si>
  <si>
    <t>TCK-22779</t>
  </si>
  <si>
    <t>25/07/2026 09:13</t>
  </si>
  <si>
    <t>TCK-20117</t>
  </si>
  <si>
    <t>12/07/2026 06:44</t>
  </si>
  <si>
    <t>12/07/2026 07:29</t>
  </si>
  <si>
    <t>TCK-20398</t>
  </si>
  <si>
    <t>20/03/2026 17:38</t>
  </si>
  <si>
    <t>22/03/2026 06:08</t>
  </si>
  <si>
    <t>TCK-20882</t>
  </si>
  <si>
    <t>04/06/2026 11:45</t>
  </si>
  <si>
    <t>TCK-21758</t>
  </si>
  <si>
    <t>29/08/2026 11:58</t>
  </si>
  <si>
    <t>29/08/2026 14:01</t>
  </si>
  <si>
    <t>TCK-20266</t>
  </si>
  <si>
    <t>13/02/2026 14:09</t>
  </si>
  <si>
    <t>TCK-22042</t>
  </si>
  <si>
    <t>26/04/2026 13:17</t>
  </si>
  <si>
    <t>26/04/2026 18:42</t>
  </si>
  <si>
    <t>TCK-21764</t>
  </si>
  <si>
    <t>04/06/2026 10:14</t>
  </si>
  <si>
    <t>05/06/2026 08:37</t>
  </si>
  <si>
    <t>TCK-20943</t>
  </si>
  <si>
    <t>19/05/2026 22:01</t>
  </si>
  <si>
    <t>24/05/2026 04:52</t>
  </si>
  <si>
    <t>TCK-20843</t>
  </si>
  <si>
    <t>28/07/2026 03:25</t>
  </si>
  <si>
    <t>TCK-23116</t>
  </si>
  <si>
    <t>21/07/2026 05:59</t>
  </si>
  <si>
    <t>TCK-21588</t>
  </si>
  <si>
    <t>19/04/2026 12:46</t>
  </si>
  <si>
    <t>TCK-20023</t>
  </si>
  <si>
    <t>20/07/2026 13:17</t>
  </si>
  <si>
    <t>20/07/2026 19:43</t>
  </si>
  <si>
    <t>TCK-21142</t>
  </si>
  <si>
    <t>17/01/2026 09:06</t>
  </si>
  <si>
    <t>TCK-20379</t>
  </si>
  <si>
    <t>02/08/2026 20:02</t>
  </si>
  <si>
    <t>TCK-20099</t>
  </si>
  <si>
    <t>20/08/2026 14:54</t>
  </si>
  <si>
    <t>20/08/2026 23:42</t>
  </si>
  <si>
    <t>TCK-20546</t>
  </si>
  <si>
    <t>23/06/2026 07:39</t>
  </si>
  <si>
    <t>TCK-20285</t>
  </si>
  <si>
    <t>12/02/2026 21:11</t>
  </si>
  <si>
    <t>TCK-20309</t>
  </si>
  <si>
    <t>18/03/2026 08:44</t>
  </si>
  <si>
    <t>20/03/2026 21:27</t>
  </si>
  <si>
    <t>TCK-20421</t>
  </si>
  <si>
    <t>30/06/2026 09:14</t>
  </si>
  <si>
    <t>TCK-21401</t>
  </si>
  <si>
    <t>02/04/2026 23:54</t>
  </si>
  <si>
    <t>04/04/2026 16:00</t>
  </si>
  <si>
    <t>TCK-21211</t>
  </si>
  <si>
    <t>21/01/2026 17:37</t>
  </si>
  <si>
    <t>TCK-21557</t>
  </si>
  <si>
    <t>29/07/2026 13:18</t>
  </si>
  <si>
    <t>31/07/2026 17:33</t>
  </si>
  <si>
    <t>TCK-22460</t>
  </si>
  <si>
    <t>17/08/2026 16:22</t>
  </si>
  <si>
    <t>18/08/2026 13:59</t>
  </si>
  <si>
    <t>TCK-22057</t>
  </si>
  <si>
    <t>19/07/2026 15:41</t>
  </si>
  <si>
    <t>19/07/2026 16:45</t>
  </si>
  <si>
    <t>TCK-22044</t>
  </si>
  <si>
    <t>16/03/2026 06:58</t>
  </si>
  <si>
    <t>16/03/2026 07:31</t>
  </si>
  <si>
    <t>TCK-21891</t>
  </si>
  <si>
    <t>01/02/2026 02:35</t>
  </si>
  <si>
    <t>TCK-21468</t>
  </si>
  <si>
    <t>25/06/2026 06:33</t>
  </si>
  <si>
    <t>26/06/2026 00:52</t>
  </si>
  <si>
    <t>TCK-22480</t>
  </si>
  <si>
    <t>07/06/2026 23:55</t>
  </si>
  <si>
    <t>TCK-20312</t>
  </si>
  <si>
    <t>12/07/2026 01:09</t>
  </si>
  <si>
    <t>12/07/2026 07:09</t>
  </si>
  <si>
    <t>TCK-21779</t>
  </si>
  <si>
    <t>29/08/2026 19:32</t>
  </si>
  <si>
    <t>TCK-22040</t>
  </si>
  <si>
    <t>04/01/2026 02:06</t>
  </si>
  <si>
    <t>04/01/2026 10:59</t>
  </si>
  <si>
    <t>TCK-20873</t>
  </si>
  <si>
    <t>13/03/2026 09:37</t>
  </si>
  <si>
    <t>TCK-22415</t>
  </si>
  <si>
    <t>26/01/2026 14:05</t>
  </si>
  <si>
    <t>TCK-21447</t>
  </si>
  <si>
    <t>07/05/2026 06:12</t>
  </si>
  <si>
    <t>07/05/2026 11:29</t>
  </si>
  <si>
    <t>TCK-23061</t>
  </si>
  <si>
    <t>30/03/2026 22:32</t>
  </si>
  <si>
    <t>31/03/2026 01:03</t>
  </si>
  <si>
    <t>TCK-21390</t>
  </si>
  <si>
    <t>05/03/2026 07:09</t>
  </si>
  <si>
    <t>TCK-23171</t>
  </si>
  <si>
    <t>07/04/2026 05:03</t>
  </si>
  <si>
    <t>07/04/2026 14:56</t>
  </si>
  <si>
    <t>TCK-20913</t>
  </si>
  <si>
    <t>30/08/2026 10:17</t>
  </si>
  <si>
    <t>30/08/2026 15:19</t>
  </si>
  <si>
    <t>TCK-20878</t>
  </si>
  <si>
    <t>17/04/2026 03:18</t>
  </si>
  <si>
    <t>TCK-21444</t>
  </si>
  <si>
    <t>16/02/2026 05:53</t>
  </si>
  <si>
    <t>17/02/2026 06:16</t>
  </si>
  <si>
    <t>TCK-21370</t>
  </si>
  <si>
    <t>19/06/2026 04:24</t>
  </si>
  <si>
    <t>19/06/2026 05:18</t>
  </si>
  <si>
    <t>TCK-23102</t>
  </si>
  <si>
    <t>06/08/2026 01:21</t>
  </si>
  <si>
    <t>TCK-22489</t>
  </si>
  <si>
    <t>18/01/2026 13:58</t>
  </si>
  <si>
    <t>TCK-22259</t>
  </si>
  <si>
    <t>30/07/2026 18:57</t>
  </si>
  <si>
    <t>TCK-20294</t>
  </si>
  <si>
    <t>24/08/2026 06:58</t>
  </si>
  <si>
    <t>TCK-22756</t>
  </si>
  <si>
    <t>09/05/2026 09:16</t>
  </si>
  <si>
    <t>09/05/2026 11:15</t>
  </si>
  <si>
    <t>TCK-20486</t>
  </si>
  <si>
    <t>08/04/2026 10:17</t>
  </si>
  <si>
    <t>TCK-22520</t>
  </si>
  <si>
    <t>17/07/2026 23:05</t>
  </si>
  <si>
    <t>19/07/2026 09:52</t>
  </si>
  <si>
    <t>TCK-21949</t>
  </si>
  <si>
    <t>11/06/2026 13:17</t>
  </si>
  <si>
    <t>TCK-22209</t>
  </si>
  <si>
    <t>24/07/2026 00:20</t>
  </si>
  <si>
    <t>24/07/2026 14:51</t>
  </si>
  <si>
    <t>TCK-22844</t>
  </si>
  <si>
    <t>22/01/2026 17:51</t>
  </si>
  <si>
    <t>TCK-21922</t>
  </si>
  <si>
    <t>14/04/2026 00:52</t>
  </si>
  <si>
    <t>TCK-21577</t>
  </si>
  <si>
    <t>14/05/2026 06:41</t>
  </si>
  <si>
    <t>15/05/2026 01:00</t>
  </si>
  <si>
    <t>TCK-20316</t>
  </si>
  <si>
    <t>14/06/2026 12:39</t>
  </si>
  <si>
    <t>14/06/2026 14:14</t>
  </si>
  <si>
    <t>TCK-22786</t>
  </si>
  <si>
    <t>13/07/2026 07:02</t>
  </si>
  <si>
    <t>14/07/2026 17:18</t>
  </si>
  <si>
    <t>TCK-21687</t>
  </si>
  <si>
    <t>14/05/2026 10:10</t>
  </si>
  <si>
    <t>16/05/2026 17:03</t>
  </si>
  <si>
    <t>TCK-21078</t>
  </si>
  <si>
    <t>19/06/2026 13:00</t>
  </si>
  <si>
    <t>TCK-22082</t>
  </si>
  <si>
    <t>15/03/2026 10:40</t>
  </si>
  <si>
    <t>15/03/2026 21:39</t>
  </si>
  <si>
    <t>TCK-22341</t>
  </si>
  <si>
    <t>24/04/2026 22:29</t>
  </si>
  <si>
    <t>TCK-22834</t>
  </si>
  <si>
    <t>29/06/2026 10:12</t>
  </si>
  <si>
    <t>30/06/2026 11:09</t>
  </si>
  <si>
    <t>TCK-21542</t>
  </si>
  <si>
    <t>07/02/2026 14:07</t>
  </si>
  <si>
    <t>TCK-21424</t>
  </si>
  <si>
    <t>12/06/2026 23:52</t>
  </si>
  <si>
    <t>14/06/2026 18:44</t>
  </si>
  <si>
    <t>TCK-20457</t>
  </si>
  <si>
    <t>26/06/2026 20:38</t>
  </si>
  <si>
    <t>27/06/2026 08:29</t>
  </si>
  <si>
    <t>TCK-20974</t>
  </si>
  <si>
    <t>07/05/2026 07:23</t>
  </si>
  <si>
    <t>TCK-22167</t>
  </si>
  <si>
    <t>25/02/2026 05:19</t>
  </si>
  <si>
    <t>25/02/2026 22:00</t>
  </si>
  <si>
    <t>TCK-20567</t>
  </si>
  <si>
    <t>07/06/2026 00:21</t>
  </si>
  <si>
    <t>07/06/2026 10:40</t>
  </si>
  <si>
    <t>TCK-22433</t>
  </si>
  <si>
    <t>18/07/2026 02:27</t>
  </si>
  <si>
    <t>19/07/2026 21:00</t>
  </si>
  <si>
    <t>TCK-21837</t>
  </si>
  <si>
    <t>02/04/2026 05:54</t>
  </si>
  <si>
    <t>TCK-22129</t>
  </si>
  <si>
    <t>23/06/2026 02:11</t>
  </si>
  <si>
    <t>TCK-22708</t>
  </si>
  <si>
    <t>08/04/2026 06:03</t>
  </si>
  <si>
    <t>TCK-21055</t>
  </si>
  <si>
    <t>06/08/2026 23:26</t>
  </si>
  <si>
    <t>TCK-21292</t>
  </si>
  <si>
    <t>29/01/2026 14:03</t>
  </si>
  <si>
    <t>TCK-20573</t>
  </si>
  <si>
    <t>17/08/2026 10:43</t>
  </si>
  <si>
    <t>17/08/2026 13:04</t>
  </si>
  <si>
    <t>TCK-21457</t>
  </si>
  <si>
    <t>07/02/2026 11:45</t>
  </si>
  <si>
    <t>09/02/2026 22:45</t>
  </si>
  <si>
    <t>TCK-21320</t>
  </si>
  <si>
    <t>11/04/2026 10:39</t>
  </si>
  <si>
    <t>12/04/2026 00:22</t>
  </si>
  <si>
    <t>TCK-20984</t>
  </si>
  <si>
    <t>17/03/2026 14:13</t>
  </si>
  <si>
    <t>TCK-20589</t>
  </si>
  <si>
    <t>05/06/2026 19:59</t>
  </si>
  <si>
    <t>05/06/2026 20:29</t>
  </si>
  <si>
    <t>TCK-22816</t>
  </si>
  <si>
    <t>25/04/2026 10:07</t>
  </si>
  <si>
    <t>27/04/2026 03:35</t>
  </si>
  <si>
    <t>TCK-22009</t>
  </si>
  <si>
    <t>28/04/2026 07:57</t>
  </si>
  <si>
    <t>28/04/2026 17:34</t>
  </si>
  <si>
    <t>TCK-22438</t>
  </si>
  <si>
    <t>07/06/2026 13:05</t>
  </si>
  <si>
    <t>10/06/2026 00:14</t>
  </si>
  <si>
    <t>TCK-22769</t>
  </si>
  <si>
    <t>03/01/2026 03:12</t>
  </si>
  <si>
    <t>TCK-20247</t>
  </si>
  <si>
    <t>11/04/2026 19:06</t>
  </si>
  <si>
    <t>TCK-21249</t>
  </si>
  <si>
    <t>10/08/2026 15:17</t>
  </si>
  <si>
    <t>TCK-20053</t>
  </si>
  <si>
    <t>09/04/2026 15:05</t>
  </si>
  <si>
    <t>10/04/2026 22:28</t>
  </si>
  <si>
    <t>TCK-22583</t>
  </si>
  <si>
    <t>06/05/2026 19:17</t>
  </si>
  <si>
    <t>07/05/2026 10:47</t>
  </si>
  <si>
    <t>TCK-21219</t>
  </si>
  <si>
    <t>17/02/2026 17:01</t>
  </si>
  <si>
    <t>TCK-20362</t>
  </si>
  <si>
    <t>16/05/2026 21:11</t>
  </si>
  <si>
    <t>18/05/2026 23:34</t>
  </si>
  <si>
    <t>TCK-23190</t>
  </si>
  <si>
    <t>29/05/2026 05:28</t>
  </si>
  <si>
    <t>TCK-21632</t>
  </si>
  <si>
    <t>19/01/2026 10:23</t>
  </si>
  <si>
    <t>21/01/2026 06:53</t>
  </si>
  <si>
    <t>TCK-21936</t>
  </si>
  <si>
    <t>28/04/2026 09:18</t>
  </si>
  <si>
    <t>28/04/2026 10:28</t>
  </si>
  <si>
    <t>TCK-20847</t>
  </si>
  <si>
    <t>20/06/2026 13:34</t>
  </si>
  <si>
    <t>TCK-20449</t>
  </si>
  <si>
    <t>05/01/2026 13:32</t>
  </si>
  <si>
    <t>TCK-21549</t>
  </si>
  <si>
    <t>04/04/2026 19:46</t>
  </si>
  <si>
    <t>TCK-21594</t>
  </si>
  <si>
    <t>29/01/2026 19:04</t>
  </si>
  <si>
    <t>TCK-20863</t>
  </si>
  <si>
    <t>27/07/2026 17:03</t>
  </si>
  <si>
    <t>27/07/2026 23:22</t>
  </si>
  <si>
    <t>TCK-21256</t>
  </si>
  <si>
    <t>03/08/2026 04:40</t>
  </si>
  <si>
    <t>03/08/2026 07:20</t>
  </si>
  <si>
    <t>TCK-21873</t>
  </si>
  <si>
    <t>13/04/2026 06:33</t>
  </si>
  <si>
    <t>TCK-20480</t>
  </si>
  <si>
    <t>21/02/2026 10:21</t>
  </si>
  <si>
    <t>TCK-20209</t>
  </si>
  <si>
    <t>12/06/2026 10:46</t>
  </si>
  <si>
    <t>12/06/2026 12:39</t>
  </si>
  <si>
    <t>TCK-20014</t>
  </si>
  <si>
    <t>17/07/2026 07:07</t>
  </si>
  <si>
    <t>17/07/2026 07:40</t>
  </si>
  <si>
    <t>TCK-21308</t>
  </si>
  <si>
    <t>09/01/2026 16:36</t>
  </si>
  <si>
    <t>TCK-21550</t>
  </si>
  <si>
    <t>14/07/2026 18:30</t>
  </si>
  <si>
    <t>TCK-22103</t>
  </si>
  <si>
    <t>27/04/2026 21:26</t>
  </si>
  <si>
    <t>28/04/2026 03:24</t>
  </si>
  <si>
    <t>TCK-22482</t>
  </si>
  <si>
    <t>27/03/2026 10:53</t>
  </si>
  <si>
    <t>TCK-20781</t>
  </si>
  <si>
    <t>11/02/2026 12:23</t>
  </si>
  <si>
    <t>12/02/2026 02:21</t>
  </si>
  <si>
    <t>TCK-20377</t>
  </si>
  <si>
    <t>04/08/2026 18:06</t>
  </si>
  <si>
    <t>TCK-20963</t>
  </si>
  <si>
    <t>02/02/2026 09:28</t>
  </si>
  <si>
    <t>03/02/2026 05:00</t>
  </si>
  <si>
    <t>TCK-20886</t>
  </si>
  <si>
    <t>04/04/2026 10:39</t>
  </si>
  <si>
    <t>05/04/2026 07:06</t>
  </si>
  <si>
    <t>TCK-22290</t>
  </si>
  <si>
    <t>29/05/2026 10:28</t>
  </si>
  <si>
    <t>TCK-21118</t>
  </si>
  <si>
    <t>12/04/2026 19:17</t>
  </si>
  <si>
    <t>14/04/2026 17:47</t>
  </si>
  <si>
    <t>TCK-22158</t>
  </si>
  <si>
    <t>16/08/2026 15:12</t>
  </si>
  <si>
    <t>16/08/2026 16:52</t>
  </si>
  <si>
    <t>TCK-22317</t>
  </si>
  <si>
    <t>28/08/2026 04:42</t>
  </si>
  <si>
    <t>28/08/2026 23:08</t>
  </si>
  <si>
    <t>TCK-22631</t>
  </si>
  <si>
    <t>07/07/2026 11:03</t>
  </si>
  <si>
    <t>07/07/2026 16:31</t>
  </si>
  <si>
    <t>TCK-20599</t>
  </si>
  <si>
    <t>28/06/2026 09:49</t>
  </si>
  <si>
    <t>29/06/2026 22:41</t>
  </si>
  <si>
    <t>TCK-22215</t>
  </si>
  <si>
    <t>19/07/2026 18:11</t>
  </si>
  <si>
    <t>19/07/2026 19:20</t>
  </si>
  <si>
    <t>TCK-21199</t>
  </si>
  <si>
    <t>31/07/2026 16:05</t>
  </si>
  <si>
    <t>01/08/2026 09:11</t>
  </si>
  <si>
    <t>TCK-22217</t>
  </si>
  <si>
    <t>30/08/2026 23:54</t>
  </si>
  <si>
    <t>31/08/2026 14:39</t>
  </si>
  <si>
    <t>TCK-23022</t>
  </si>
  <si>
    <t>12/02/2026 21:29</t>
  </si>
  <si>
    <t>13/02/2026 00:21</t>
  </si>
  <si>
    <t>TCK-20875</t>
  </si>
  <si>
    <t>28/02/2026 10:58</t>
  </si>
  <si>
    <t>28/02/2026 14:43</t>
  </si>
  <si>
    <t>TCK-23055</t>
  </si>
  <si>
    <t>26/04/2026 14:09</t>
  </si>
  <si>
    <t>28/04/2026 00:59</t>
  </si>
  <si>
    <t>TCK-22379</t>
  </si>
  <si>
    <t>04/01/2026 17:20</t>
  </si>
  <si>
    <t>04/01/2026 18:17</t>
  </si>
  <si>
    <t>TCK-20467</t>
  </si>
  <si>
    <t>03/04/2026 22:21</t>
  </si>
  <si>
    <t>08/04/2026 17:31</t>
  </si>
  <si>
    <t>TCK-22494</t>
  </si>
  <si>
    <t>02/05/2026 15:41</t>
  </si>
  <si>
    <t>TCK-23119</t>
  </si>
  <si>
    <t>10/08/2026 10:04</t>
  </si>
  <si>
    <t>10/08/2026 15:40</t>
  </si>
  <si>
    <t>TCK-22903</t>
  </si>
  <si>
    <t>14/02/2026 01:16</t>
  </si>
  <si>
    <t>14/02/2026 08:45</t>
  </si>
  <si>
    <t>TCK-21188</t>
  </si>
  <si>
    <t>11/02/2026 13:53</t>
  </si>
  <si>
    <t>TCK-21451</t>
  </si>
  <si>
    <t>25/01/2026 14:20</t>
  </si>
  <si>
    <t>TCK-21333</t>
  </si>
  <si>
    <t>14/02/2026 08:43</t>
  </si>
  <si>
    <t>14/02/2026 16:58</t>
  </si>
  <si>
    <t>TCK-22948</t>
  </si>
  <si>
    <t>02/02/2026 20:17</t>
  </si>
  <si>
    <t>03/02/2026 03:38</t>
  </si>
  <si>
    <t>TCK-20200</t>
  </si>
  <si>
    <t>20/04/2026 06:15</t>
  </si>
  <si>
    <t>21/04/2026 04:06</t>
  </si>
  <si>
    <t>TCK-20198</t>
  </si>
  <si>
    <t>28/08/2026 05:27</t>
  </si>
  <si>
    <t>28/08/2026 11:14</t>
  </si>
  <si>
    <t>TCK-20122</t>
  </si>
  <si>
    <t>27/03/2026 23:59</t>
  </si>
  <si>
    <t>TCK-22968</t>
  </si>
  <si>
    <t>22/03/2026 13:44</t>
  </si>
  <si>
    <t>23/03/2026 07:55</t>
  </si>
  <si>
    <t>TCK-21230</t>
  </si>
  <si>
    <t>30/03/2026 00:15</t>
  </si>
  <si>
    <t>30/03/2026 08:31</t>
  </si>
  <si>
    <t>TCK-22763</t>
  </si>
  <si>
    <t>20/08/2026 08:15</t>
  </si>
  <si>
    <t>TCK-20302</t>
  </si>
  <si>
    <t>26/03/2026 00:24</t>
  </si>
  <si>
    <t>TCK-21770</t>
  </si>
  <si>
    <t>26/01/2026 23:07</t>
  </si>
  <si>
    <t>27/01/2026 00:24</t>
  </si>
  <si>
    <t>TCK-20500</t>
  </si>
  <si>
    <t>06/06/2026 20:34</t>
  </si>
  <si>
    <t>07/06/2026 05:29</t>
  </si>
  <si>
    <t>TCK-22188</t>
  </si>
  <si>
    <t>18/08/2026 10:52</t>
  </si>
  <si>
    <t>18/08/2026 19:05</t>
  </si>
  <si>
    <t>TCK-22745</t>
  </si>
  <si>
    <t>05/05/2026 21:35</t>
  </si>
  <si>
    <t>TCK-20823</t>
  </si>
  <si>
    <t>18/04/2026 09:41</t>
  </si>
  <si>
    <t>19/04/2026 01:57</t>
  </si>
  <si>
    <t>TCK-21512</t>
  </si>
  <si>
    <t>22/08/2026 07:06</t>
  </si>
  <si>
    <t>22/08/2026 17:57</t>
  </si>
  <si>
    <t>TCK-23080</t>
  </si>
  <si>
    <t>26/07/2026 04:23</t>
  </si>
  <si>
    <t>26/07/2026 11:11</t>
  </si>
  <si>
    <t>TCK-21959</t>
  </si>
  <si>
    <t>05/04/2026 11:54</t>
  </si>
  <si>
    <t>05/04/2026 16:03</t>
  </si>
  <si>
    <t>TCK-22443</t>
  </si>
  <si>
    <t>15/06/2026 00:08</t>
  </si>
  <si>
    <t>15/06/2026 18:48</t>
  </si>
  <si>
    <t>TCK-20143</t>
  </si>
  <si>
    <t>23/01/2026 10:04</t>
  </si>
  <si>
    <t>24/01/2026 11:33</t>
  </si>
  <si>
    <t>TCK-21940</t>
  </si>
  <si>
    <t>18/03/2026 05:43</t>
  </si>
  <si>
    <t>18/03/2026 12:36</t>
  </si>
  <si>
    <t>TCK-20595</t>
  </si>
  <si>
    <t>12/06/2026 19:23</t>
  </si>
  <si>
    <t>13/06/2026 15:14</t>
  </si>
  <si>
    <t>TCK-20435</t>
  </si>
  <si>
    <t>23/07/2026 11:45</t>
  </si>
  <si>
    <t>TCK-22490</t>
  </si>
  <si>
    <t>27/07/2026 13:49</t>
  </si>
  <si>
    <t>28/07/2026 02:33</t>
  </si>
  <si>
    <t>TCK-21385</t>
  </si>
  <si>
    <t>22/07/2026 13:29</t>
  </si>
  <si>
    <t>TCK-21527</t>
  </si>
  <si>
    <t>25/06/2026 08:50</t>
  </si>
  <si>
    <t>TCK-20133</t>
  </si>
  <si>
    <t>26/05/2026 17:04</t>
  </si>
  <si>
    <t>29/05/2026 01:28</t>
  </si>
  <si>
    <t>TCK-20616</t>
  </si>
  <si>
    <t>29/03/2026 06:48</t>
  </si>
  <si>
    <t>TCK-20055</t>
  </si>
  <si>
    <t>23/08/2026 06:21</t>
  </si>
  <si>
    <t>24/08/2026 09:10</t>
  </si>
  <si>
    <t>TCK-20483</t>
  </si>
  <si>
    <t>04/08/2026 03:41</t>
  </si>
  <si>
    <t>TCK-20900</t>
  </si>
  <si>
    <t>24/08/2026 07:24</t>
  </si>
  <si>
    <t>TCK-22237</t>
  </si>
  <si>
    <t>27/06/2026 22:13</t>
  </si>
  <si>
    <t>29/06/2026 14:24</t>
  </si>
  <si>
    <t>TCK-22776</t>
  </si>
  <si>
    <t>24/05/2026 06:08</t>
  </si>
  <si>
    <t>25/05/2026 10:32</t>
  </si>
  <si>
    <t>TCK-20926</t>
  </si>
  <si>
    <t>24/01/2026 19:39</t>
  </si>
  <si>
    <t>25/01/2026 15:04</t>
  </si>
  <si>
    <t>TCK-20777</t>
  </si>
  <si>
    <t>15/01/2026 12:13</t>
  </si>
  <si>
    <t>16/01/2026 08:33</t>
  </si>
  <si>
    <t>TCK-20950</t>
  </si>
  <si>
    <t>12/02/2026 01:06</t>
  </si>
  <si>
    <t>12/02/2026 11:01</t>
  </si>
  <si>
    <t>TCK-22682</t>
  </si>
  <si>
    <t>18/08/2026 17:22</t>
  </si>
  <si>
    <t>TCK-21344</t>
  </si>
  <si>
    <t>03/07/2026 21:58</t>
  </si>
  <si>
    <t>06/07/2026 05:59</t>
  </si>
  <si>
    <t>TCK-21498</t>
  </si>
  <si>
    <t>05/02/2026 09:58</t>
  </si>
  <si>
    <t>05/02/2026 13:40</t>
  </si>
  <si>
    <t>TCK-22093</t>
  </si>
  <si>
    <t>07/02/2026 14:52</t>
  </si>
  <si>
    <t>TCK-21405</t>
  </si>
  <si>
    <t>08/01/2026 17:45</t>
  </si>
  <si>
    <t>08/01/2026 20:14</t>
  </si>
  <si>
    <t>TCK-22132</t>
  </si>
  <si>
    <t>28/05/2026 11:15</t>
  </si>
  <si>
    <t>TCK-22025</t>
  </si>
  <si>
    <t>03/07/2026 03:01</t>
  </si>
  <si>
    <t>04/07/2026 14:45</t>
  </si>
  <si>
    <t>TCK-21784</t>
  </si>
  <si>
    <t>25/07/2026 08:26</t>
  </si>
  <si>
    <t>27/07/2026 14:40</t>
  </si>
  <si>
    <t>TCK-21969</t>
  </si>
  <si>
    <t>04/06/2026 02:21</t>
  </si>
  <si>
    <t>04/06/2026 05:09</t>
  </si>
  <si>
    <t>TCK-22166</t>
  </si>
  <si>
    <t>13/02/2026 07:05</t>
  </si>
  <si>
    <t>13/02/2026 19:08</t>
  </si>
  <si>
    <t>TCK-20393</t>
  </si>
  <si>
    <t>16/03/2026 07:34</t>
  </si>
  <si>
    <t>TCK-22428</t>
  </si>
  <si>
    <t>12/04/2026 20:13</t>
  </si>
  <si>
    <t>TCK-22424</t>
  </si>
  <si>
    <t>31/03/2026 17:37</t>
  </si>
  <si>
    <t>TCK-22445</t>
  </si>
  <si>
    <t>07/06/2026 06:31</t>
  </si>
  <si>
    <t>TCK-23014</t>
  </si>
  <si>
    <t>24/02/2026 05:10</t>
  </si>
  <si>
    <t>TCK-22332</t>
  </si>
  <si>
    <t>01/04/2026 02:53</t>
  </si>
  <si>
    <t>TCK-20274</t>
  </si>
  <si>
    <t>27/04/2026 22:02</t>
  </si>
  <si>
    <t>03/05/2026 16:33</t>
  </si>
  <si>
    <t>TCK-20180</t>
  </si>
  <si>
    <t>09/06/2026 16:42</t>
  </si>
  <si>
    <t>10/06/2026 10:17</t>
  </si>
  <si>
    <t>TCK-22711</t>
  </si>
  <si>
    <t>15/01/2026 22:47</t>
  </si>
  <si>
    <t>16/01/2026 18:47</t>
  </si>
  <si>
    <t>TCK-21004</t>
  </si>
  <si>
    <t>21/06/2026 17:14</t>
  </si>
  <si>
    <t>21/06/2026 21:35</t>
  </si>
  <si>
    <t>TCK-21973</t>
  </si>
  <si>
    <t>13/03/2026 09:48</t>
  </si>
  <si>
    <t>TCK-20424</t>
  </si>
  <si>
    <t>22/08/2026 04:27</t>
  </si>
  <si>
    <t>22/08/2026 23:35</t>
  </si>
  <si>
    <t>TCK-21033</t>
  </si>
  <si>
    <t>22/08/2026 11:46</t>
  </si>
  <si>
    <t>TCK-20085</t>
  </si>
  <si>
    <t>15/04/2026 14:23</t>
  </si>
  <si>
    <t>15/04/2026 15:30</t>
  </si>
  <si>
    <t>TCK-21002</t>
  </si>
  <si>
    <t>08/06/2026 05:05</t>
  </si>
  <si>
    <t>10/06/2026 11:58</t>
  </si>
  <si>
    <t>TCK-20783</t>
  </si>
  <si>
    <t>26/06/2026 14:51</t>
  </si>
  <si>
    <t>TCK-22818</t>
  </si>
  <si>
    <t>21/04/2026 17:34</t>
  </si>
  <si>
    <t>TCK-21169</t>
  </si>
  <si>
    <t>05/03/2026 16:39</t>
  </si>
  <si>
    <t>TCK-20030</t>
  </si>
  <si>
    <t>26/05/2026 04:47</t>
  </si>
  <si>
    <t>26/05/2026 14:17</t>
  </si>
  <si>
    <t>TCK-21106</t>
  </si>
  <si>
    <t>14/07/2026 13:44</t>
  </si>
  <si>
    <t>14/07/2026 15:19</t>
  </si>
  <si>
    <t>TCK-20479</t>
  </si>
  <si>
    <t>16/06/2026 02:22</t>
  </si>
  <si>
    <t>TCK-20264</t>
  </si>
  <si>
    <t>19/01/2026 05:20</t>
  </si>
  <si>
    <t>19/01/2026 06:02</t>
  </si>
  <si>
    <t>TCK-22155</t>
  </si>
  <si>
    <t>05/08/2026 12:19</t>
  </si>
  <si>
    <t>05/08/2026 15:27</t>
  </si>
  <si>
    <t>TCK-21301</t>
  </si>
  <si>
    <t>14/01/2026 16:06</t>
  </si>
  <si>
    <t>TCK-20656</t>
  </si>
  <si>
    <t>03/04/2026 08:23</t>
  </si>
  <si>
    <t>TCK-22985</t>
  </si>
  <si>
    <t>03/02/2026 00:57</t>
  </si>
  <si>
    <t>TCK-21052</t>
  </si>
  <si>
    <t>11/05/2026 22:13</t>
  </si>
  <si>
    <t>TCK-20139</t>
  </si>
  <si>
    <t>25/03/2026 15:16</t>
  </si>
  <si>
    <t>25/03/2026 20:58</t>
  </si>
  <si>
    <t>TCK-21809</t>
  </si>
  <si>
    <t>17/05/2026 17:55</t>
  </si>
  <si>
    <t>17/05/2026 21:06</t>
  </si>
  <si>
    <t>TCK-21624</t>
  </si>
  <si>
    <t>21/01/2026 09:11</t>
  </si>
  <si>
    <t>21/01/2026 11:50</t>
  </si>
  <si>
    <t>TCK-20607</t>
  </si>
  <si>
    <t>19/04/2026 01:11</t>
  </si>
  <si>
    <t>20/04/2026 00:31</t>
  </si>
  <si>
    <t>TCK-20314</t>
  </si>
  <si>
    <t>18/08/2026 20:34</t>
  </si>
  <si>
    <t>TCK-21171</t>
  </si>
  <si>
    <t>17/01/2026 21:45</t>
  </si>
  <si>
    <t>23/01/2026 01:26</t>
  </si>
  <si>
    <t>TCK-21184</t>
  </si>
  <si>
    <t>05/05/2026 00:19</t>
  </si>
  <si>
    <t>07/05/2026 17:07</t>
  </si>
  <si>
    <t>TCK-21783</t>
  </si>
  <si>
    <t>14/08/2026 16:03</t>
  </si>
  <si>
    <t>15/08/2026 23:54</t>
  </si>
  <si>
    <t>TCK-22794</t>
  </si>
  <si>
    <t>29/07/2026 05:03</t>
  </si>
  <si>
    <t>30/07/2026 00:06</t>
  </si>
  <si>
    <t>TCK-22331</t>
  </si>
  <si>
    <t>05/04/2026 21:53</t>
  </si>
  <si>
    <t>TCK-22432</t>
  </si>
  <si>
    <t>02/01/2026 08:06</t>
  </si>
  <si>
    <t>03/01/2026 13:22</t>
  </si>
  <si>
    <t>TCK-21536</t>
  </si>
  <si>
    <t>17/05/2026 23:49</t>
  </si>
  <si>
    <t>TCK-21845</t>
  </si>
  <si>
    <t>08/03/2026 14:43</t>
  </si>
  <si>
    <t>TCK-20660</t>
  </si>
  <si>
    <t>29/05/2026 16:52</t>
  </si>
  <si>
    <t>TCK-22410</t>
  </si>
  <si>
    <t>29/03/2026 15:25</t>
  </si>
  <si>
    <t>29/03/2026 19:55</t>
  </si>
  <si>
    <t>TCK-20244</t>
  </si>
  <si>
    <t>01/03/2026 22:31</t>
  </si>
  <si>
    <t>TCK-22307</t>
  </si>
  <si>
    <t>06/02/2026 05:13</t>
  </si>
  <si>
    <t>06/02/2026 08:01</t>
  </si>
  <si>
    <t>TCK-21824</t>
  </si>
  <si>
    <t>07/04/2026 05:36</t>
  </si>
  <si>
    <t>07/04/2026 10:51</t>
  </si>
  <si>
    <t>TCK-22883</t>
  </si>
  <si>
    <t>19/03/2026 22:18</t>
  </si>
  <si>
    <t>20/03/2026 03:50</t>
  </si>
  <si>
    <t>TCK-20507</t>
  </si>
  <si>
    <t>18/04/2026 14:40</t>
  </si>
  <si>
    <t>19/04/2026 03:07</t>
  </si>
  <si>
    <t>TCK-22677</t>
  </si>
  <si>
    <t>06/03/2026 20:06</t>
  </si>
  <si>
    <t>06/03/2026 22:44</t>
  </si>
  <si>
    <t>TCK-20035</t>
  </si>
  <si>
    <t>06/04/2026 05:04</t>
  </si>
  <si>
    <t>TCK-21318</t>
  </si>
  <si>
    <t>09/02/2026 01:07</t>
  </si>
  <si>
    <t>TCK-21818</t>
  </si>
  <si>
    <t>04/02/2026 10:12</t>
  </si>
  <si>
    <t>04/02/2026 17:01</t>
  </si>
  <si>
    <t>TCK-21976</t>
  </si>
  <si>
    <t>15/02/2026 03:53</t>
  </si>
  <si>
    <t>TCK-20372</t>
  </si>
  <si>
    <t>22/07/2026 15:44</t>
  </si>
  <si>
    <t>22/07/2026 22:34</t>
  </si>
  <si>
    <t>TCK-20896</t>
  </si>
  <si>
    <t>03/02/2026 07:29</t>
  </si>
  <si>
    <t>03/02/2026 12:38</t>
  </si>
  <si>
    <t>TCK-22863</t>
  </si>
  <si>
    <t>31/07/2026 14:25</t>
  </si>
  <si>
    <t>TCK-20574</t>
  </si>
  <si>
    <t>17/01/2026 13:37</t>
  </si>
  <si>
    <t>TCK-21159</t>
  </si>
  <si>
    <t>03/03/2026 20:46</t>
  </si>
  <si>
    <t>03/03/2026 23:29</t>
  </si>
  <si>
    <t>TCK-22075</t>
  </si>
  <si>
    <t>11/01/2026 19:23</t>
  </si>
  <si>
    <t>TCK-20712</t>
  </si>
  <si>
    <t>21/02/2026 16:32</t>
  </si>
  <si>
    <t>TCK-21657</t>
  </si>
  <si>
    <t>01/05/2026 08:21</t>
  </si>
  <si>
    <t>01/05/2026 19:53</t>
  </si>
  <si>
    <t>TCK-21618</t>
  </si>
  <si>
    <t>24/08/2026 01:16</t>
  </si>
  <si>
    <t>24/08/2026 13:02</t>
  </si>
  <si>
    <t>TCK-20064</t>
  </si>
  <si>
    <t>22/04/2026 11:23</t>
  </si>
  <si>
    <t>23/04/2026 08:54</t>
  </si>
  <si>
    <t>TCK-20581</t>
  </si>
  <si>
    <t>15/03/2026 03:14</t>
  </si>
  <si>
    <t>TCK-22918</t>
  </si>
  <si>
    <t>04/04/2026 19:04</t>
  </si>
  <si>
    <t>TCK-20559</t>
  </si>
  <si>
    <t>08/03/2026 02:57</t>
  </si>
  <si>
    <t>08/03/2026 10:40</t>
  </si>
  <si>
    <t>TCK-20668</t>
  </si>
  <si>
    <t>04/01/2026 23:51</t>
  </si>
  <si>
    <t>05/01/2026 04:05</t>
  </si>
  <si>
    <t>TCK-23053</t>
  </si>
  <si>
    <t>22/05/2026 08:40</t>
  </si>
  <si>
    <t>TCK-20755</t>
  </si>
  <si>
    <t>10/07/2026 11:19</t>
  </si>
  <si>
    <t>10/07/2026 12:07</t>
  </si>
  <si>
    <t>TCK-20853</t>
  </si>
  <si>
    <t>16/01/2026 17:59</t>
  </si>
  <si>
    <t>TCK-22193</t>
  </si>
  <si>
    <t>24/05/2026 19:42</t>
  </si>
  <si>
    <t>TCK-22646</t>
  </si>
  <si>
    <t>14/04/2026 07:26</t>
  </si>
  <si>
    <t>14/04/2026 13:16</t>
  </si>
  <si>
    <t>TCK-22600</t>
  </si>
  <si>
    <t>12/06/2026 18:47</t>
  </si>
  <si>
    <t>13/06/2026 16:15</t>
  </si>
  <si>
    <t>TCK-22131</t>
  </si>
  <si>
    <t>02/04/2026 16:15</t>
  </si>
  <si>
    <t>03/04/2026 17:09</t>
  </si>
  <si>
    <t>TCK-20745</t>
  </si>
  <si>
    <t>26/02/2026 11:03</t>
  </si>
  <si>
    <t>TCK-21669</t>
  </si>
  <si>
    <t>12/06/2026 12:04</t>
  </si>
  <si>
    <t>TCK-22686</t>
  </si>
  <si>
    <t>17/03/2026 14:40</t>
  </si>
  <si>
    <t>TCK-22109</t>
  </si>
  <si>
    <t>23/03/2026 05:53</t>
  </si>
  <si>
    <t>24/03/2026 03:42</t>
  </si>
  <si>
    <t>TCK-20446</t>
  </si>
  <si>
    <t>11/08/2026 23:03</t>
  </si>
  <si>
    <t>12/08/2026 05:04</t>
  </si>
  <si>
    <t>TCK-20067</t>
  </si>
  <si>
    <t>07/08/2026 08:06</t>
  </si>
  <si>
    <t>07/08/2026 14:58</t>
  </si>
  <si>
    <t>TCK-21436</t>
  </si>
  <si>
    <t>13/01/2026 14:23</t>
  </si>
  <si>
    <t>13/01/2026 20:25</t>
  </si>
  <si>
    <t>TCK-22588</t>
  </si>
  <si>
    <t>13/05/2026 00:40</t>
  </si>
  <si>
    <t>14/05/2026 17:45</t>
  </si>
  <si>
    <t>TCK-21789</t>
  </si>
  <si>
    <t>11/01/2026 12:55</t>
  </si>
  <si>
    <t>12/01/2026 10:09</t>
  </si>
  <si>
    <t>TCK-22352</t>
  </si>
  <si>
    <t>02/01/2026 13:57</t>
  </si>
  <si>
    <t>07/01/2026 08:39</t>
  </si>
  <si>
    <t>TCK-20174</t>
  </si>
  <si>
    <t>13/04/2026 09:40</t>
  </si>
  <si>
    <t>TCK-23185</t>
  </si>
  <si>
    <t>03/06/2026 02:58</t>
  </si>
  <si>
    <t>04/06/2026 07:01</t>
  </si>
  <si>
    <t>TCK-21247</t>
  </si>
  <si>
    <t>27/07/2026 18:59</t>
  </si>
  <si>
    <t>28/07/2026 04:35</t>
  </si>
  <si>
    <t>TCK-20488</t>
  </si>
  <si>
    <t>29/07/2026 00:44</t>
  </si>
  <si>
    <t>TCK-21346</t>
  </si>
  <si>
    <t>22/05/2026 00:08</t>
  </si>
  <si>
    <t>TCK-20587</t>
  </si>
  <si>
    <t>12/06/2026 17:45</t>
  </si>
  <si>
    <t>13/06/2026 04:48</t>
  </si>
  <si>
    <t>TCK-21684</t>
  </si>
  <si>
    <t>04/04/2026 06:01</t>
  </si>
  <si>
    <t>04/04/2026 19:17</t>
  </si>
  <si>
    <t>TCK-21578</t>
  </si>
  <si>
    <t>02/01/2026 14:14</t>
  </si>
  <si>
    <t>TCK-22824</t>
  </si>
  <si>
    <t>03/08/2026 01:37</t>
  </si>
  <si>
    <t>05/08/2026 05:19</t>
  </si>
  <si>
    <t>TCK-22081</t>
  </si>
  <si>
    <t>14/02/2026 18:20</t>
  </si>
  <si>
    <t>14/02/2026 23:26</t>
  </si>
  <si>
    <t>TCK-20788</t>
  </si>
  <si>
    <t>19/01/2026 10:10</t>
  </si>
  <si>
    <t>TCK-20195</t>
  </si>
  <si>
    <t>02/03/2026 18:55</t>
  </si>
  <si>
    <t>TCK-21523</t>
  </si>
  <si>
    <t>22/03/2026 10:02</t>
  </si>
  <si>
    <t>24/03/2026 00:45</t>
  </si>
  <si>
    <t>TCK-22366</t>
  </si>
  <si>
    <t>13/03/2026 19:31</t>
  </si>
  <si>
    <t>14/03/2026 11:39</t>
  </si>
  <si>
    <t>TCK-22253</t>
  </si>
  <si>
    <t>30/04/2026 23:03</t>
  </si>
  <si>
    <t>03/05/2026 21:09</t>
  </si>
  <si>
    <t>TCK-22541</t>
  </si>
  <si>
    <t>08/05/2026 21:23</t>
  </si>
  <si>
    <t>10/05/2026 08:50</t>
  </si>
  <si>
    <t>TCK-22471</t>
  </si>
  <si>
    <t>28/02/2026 21:01</t>
  </si>
  <si>
    <t>01/03/2026 02:29</t>
  </si>
  <si>
    <t>TCK-21919</t>
  </si>
  <si>
    <t>07/06/2026 10:14</t>
  </si>
  <si>
    <t>07/06/2026 12:58</t>
  </si>
  <si>
    <t>TCK-20018</t>
  </si>
  <si>
    <t>16/05/2026 08:17</t>
  </si>
  <si>
    <t>16/05/2026 14:08</t>
  </si>
  <si>
    <t>TCK-20670</t>
  </si>
  <si>
    <t>01/03/2026 08:27</t>
  </si>
  <si>
    <t>02/03/2026 00:58</t>
  </si>
  <si>
    <t>TCK-20572</t>
  </si>
  <si>
    <t>08/04/2026 06:10</t>
  </si>
  <si>
    <t>11/04/2026 04:40</t>
  </si>
  <si>
    <t>TCK-23004</t>
  </si>
  <si>
    <t>15/07/2026 14:32</t>
  </si>
  <si>
    <t>16/07/2026 06:34</t>
  </si>
  <si>
    <t>TCK-22350</t>
  </si>
  <si>
    <t>12/08/2026 09:09</t>
  </si>
  <si>
    <t>TCK-22060</t>
  </si>
  <si>
    <t>20/07/2026 17:17</t>
  </si>
  <si>
    <t>23/07/2026 04:29</t>
  </si>
  <si>
    <t>TCK-22627</t>
  </si>
  <si>
    <t>31/05/2026 11:35</t>
  </si>
  <si>
    <t>01/06/2026 01:36</t>
  </si>
  <si>
    <t>TCK-22556</t>
  </si>
  <si>
    <t>30/06/2026 13:08</t>
  </si>
  <si>
    <t>TCK-21384</t>
  </si>
  <si>
    <t>22/01/2026 00:36</t>
  </si>
  <si>
    <t>TCK-22339</t>
  </si>
  <si>
    <t>21/08/2026 04:12</t>
  </si>
  <si>
    <t>TCK-22845</t>
  </si>
  <si>
    <t>10/05/2026 18:47</t>
  </si>
  <si>
    <t>11/05/2026 12:09</t>
  </si>
  <si>
    <t>TCK-21103</t>
  </si>
  <si>
    <t>02/03/2026 08:08</t>
  </si>
  <si>
    <t>TCK-21172</t>
  </si>
  <si>
    <t>06/03/2026 20:41</t>
  </si>
  <si>
    <t>10/03/2026 08:08</t>
  </si>
  <si>
    <t>TCK-21121</t>
  </si>
  <si>
    <t>23/05/2026 12:44</t>
  </si>
  <si>
    <t>24/05/2026 00:45</t>
  </si>
  <si>
    <t>TCK-20283</t>
  </si>
  <si>
    <t>10/06/2026 11:20</t>
  </si>
  <si>
    <t>11/06/2026 00:00</t>
  </si>
  <si>
    <t>TCK-20150</t>
  </si>
  <si>
    <t>18/03/2026 12:16</t>
  </si>
  <si>
    <t>18/03/2026 17:10</t>
  </si>
  <si>
    <t>TCK-21534</t>
  </si>
  <si>
    <t>06/04/2026 05:47</t>
  </si>
  <si>
    <t>TCK-22260</t>
  </si>
  <si>
    <t>05/08/2026 16:41</t>
  </si>
  <si>
    <t>TCK-22284</t>
  </si>
  <si>
    <t>05/04/2026 07:50</t>
  </si>
  <si>
    <t>05/04/2026 11:33</t>
  </si>
  <si>
    <t>TCK-20286</t>
  </si>
  <si>
    <t>29/08/2026 00:50</t>
  </si>
  <si>
    <t>29/08/2026 18:50</t>
  </si>
  <si>
    <t>TCK-21678</t>
  </si>
  <si>
    <t>17/01/2026 09:28</t>
  </si>
  <si>
    <t>18/01/2026 20:18</t>
  </si>
  <si>
    <t>TCK-22210</t>
  </si>
  <si>
    <t>03/07/2026 16:12</t>
  </si>
  <si>
    <t>TCK-21626</t>
  </si>
  <si>
    <t>21/06/2026 08:24</t>
  </si>
  <si>
    <t>21/06/2026 12:51</t>
  </si>
  <si>
    <t>TCK-20024</t>
  </si>
  <si>
    <t>05/03/2026 02:35</t>
  </si>
  <si>
    <t>05/03/2026 21:57</t>
  </si>
  <si>
    <t>TCK-21858</t>
  </si>
  <si>
    <t>30/05/2026 14:40</t>
  </si>
  <si>
    <t>30/05/2026 23:33</t>
  </si>
  <si>
    <t>TCK-21964</t>
  </si>
  <si>
    <t>06/06/2026 16:39</t>
  </si>
  <si>
    <t>06/06/2026 23:38</t>
  </si>
  <si>
    <t>TCK-21189</t>
  </si>
  <si>
    <t>25/05/2026 16:28</t>
  </si>
  <si>
    <t>25/05/2026 19:39</t>
  </si>
  <si>
    <t>TCK-22938</t>
  </si>
  <si>
    <t>29/07/2026 06:34</t>
  </si>
  <si>
    <t>TCK-21428</t>
  </si>
  <si>
    <t>07/07/2026 05:23</t>
  </si>
  <si>
    <t>07/07/2026 12:25</t>
  </si>
  <si>
    <t>TCK-22635</t>
  </si>
  <si>
    <t>23/02/2026 06:35</t>
  </si>
  <si>
    <t>23/02/2026 10:58</t>
  </si>
  <si>
    <t>TCK-21053</t>
  </si>
  <si>
    <t>04/06/2026 02:34</t>
  </si>
  <si>
    <t>TCK-20249</t>
  </si>
  <si>
    <t>19/05/2026 17:18</t>
  </si>
  <si>
    <t>20/05/2026 09:49</t>
  </si>
  <si>
    <t>TCK-21130</t>
  </si>
  <si>
    <t>29/04/2026 01:06</t>
  </si>
  <si>
    <t>29/04/2026 04:17</t>
  </si>
  <si>
    <t>TCK-22830</t>
  </si>
  <si>
    <t>21/05/2026 12:57</t>
  </si>
  <si>
    <t>22/05/2026 06:11</t>
  </si>
  <si>
    <t>TCK-22124</t>
  </si>
  <si>
    <t>14/06/2026 16:22</t>
  </si>
  <si>
    <t>14/06/2026 19:21</t>
  </si>
  <si>
    <t>TCK-22105</t>
  </si>
  <si>
    <t>02/07/2026 16:18</t>
  </si>
  <si>
    <t>04/07/2026 04:18</t>
  </si>
  <si>
    <t>TCK-23177</t>
  </si>
  <si>
    <t>08/08/2026 03:40</t>
  </si>
  <si>
    <t>09/08/2026 00:46</t>
  </si>
  <si>
    <t>TCK-23078</t>
  </si>
  <si>
    <t>20/08/2026 17:55</t>
  </si>
  <si>
    <t>20/08/2026 19:15</t>
  </si>
  <si>
    <t>TCK-22112</t>
  </si>
  <si>
    <t>19/08/2026 09:33</t>
  </si>
  <si>
    <t>20/08/2026 21:24</t>
  </si>
  <si>
    <t>TCK-22213</t>
  </si>
  <si>
    <t>18/08/2026 18:44</t>
  </si>
  <si>
    <t>20/08/2026 03:08</t>
  </si>
  <si>
    <t>TCK-21501</t>
  </si>
  <si>
    <t>07/07/2026 19:12</t>
  </si>
  <si>
    <t>08/07/2026 02:11</t>
  </si>
  <si>
    <t>TCK-22566</t>
  </si>
  <si>
    <t>25/01/2026 06:30</t>
  </si>
  <si>
    <t>25/01/2026 13:25</t>
  </si>
  <si>
    <t>TCK-23193</t>
  </si>
  <si>
    <t>10/03/2026 09:17</t>
  </si>
  <si>
    <t>11/03/2026 15:37</t>
  </si>
  <si>
    <t>TCK-22255</t>
  </si>
  <si>
    <t>06/08/2026 11:37</t>
  </si>
  <si>
    <t>06/08/2026 16:44</t>
  </si>
  <si>
    <t>TCK-22648</t>
  </si>
  <si>
    <t>01/06/2026 18:34</t>
  </si>
  <si>
    <t>01/06/2026 20:44</t>
  </si>
  <si>
    <t>TCK-21136</t>
  </si>
  <si>
    <t>30/04/2026 09:33</t>
  </si>
  <si>
    <t>01/05/2026 00:25</t>
  </si>
  <si>
    <t>TCK-23128</t>
  </si>
  <si>
    <t>17/08/2026 10:24</t>
  </si>
  <si>
    <t>17/08/2026 15:17</t>
  </si>
  <si>
    <t>TCK-20534</t>
  </si>
  <si>
    <t>02/07/2026 06:18</t>
  </si>
  <si>
    <t>TCK-21442</t>
  </si>
  <si>
    <t>05/08/2026 05:18</t>
  </si>
  <si>
    <t>TCK-21497</t>
  </si>
  <si>
    <t>03/03/2026 07:25</t>
  </si>
  <si>
    <t>03/03/2026 13:13</t>
  </si>
  <si>
    <t>TCK-21851</t>
  </si>
  <si>
    <t>25/02/2026 12:55</t>
  </si>
  <si>
    <t>25/02/2026 18:01</t>
  </si>
  <si>
    <t>TCK-23039</t>
  </si>
  <si>
    <t>19/08/2026 23:43</t>
  </si>
  <si>
    <t>20/08/2026 18:11</t>
  </si>
  <si>
    <t>TCK-22266</t>
  </si>
  <si>
    <t>23/05/2026 17:12</t>
  </si>
  <si>
    <t>25/05/2026 02:56</t>
  </si>
  <si>
    <t>TCK-20796</t>
  </si>
  <si>
    <t>31/01/2026 02:39</t>
  </si>
  <si>
    <t>31/01/2026 08:26</t>
  </si>
  <si>
    <t>TCK-22361</t>
  </si>
  <si>
    <t>28/03/2026 08:04</t>
  </si>
  <si>
    <t>28/03/2026 11:08</t>
  </si>
  <si>
    <t>TCK-20852</t>
  </si>
  <si>
    <t>04/07/2026 15:50</t>
  </si>
  <si>
    <t>04/07/2026 18:22</t>
  </si>
  <si>
    <t>TCK-20227</t>
  </si>
  <si>
    <t>05/03/2026 22:43</t>
  </si>
  <si>
    <t>TCK-21883</t>
  </si>
  <si>
    <t>21/06/2026 16:05</t>
  </si>
  <si>
    <t>TCK-22576</t>
  </si>
  <si>
    <t>28/02/2026 07:47</t>
  </si>
  <si>
    <t>01/03/2026 14:06</t>
  </si>
  <si>
    <t>TCK-21316</t>
  </si>
  <si>
    <t>18/06/2026 04:31</t>
  </si>
  <si>
    <t>18/06/2026 13:23</t>
  </si>
  <si>
    <t>TCK-21723</t>
  </si>
  <si>
    <t>05/02/2026 06:49</t>
  </si>
  <si>
    <t>08/02/2026 04:44</t>
  </si>
  <si>
    <t>TCK-20527</t>
  </si>
  <si>
    <t>28/04/2026 16:06</t>
  </si>
  <si>
    <t>TCK-20557</t>
  </si>
  <si>
    <t>14/08/2026 04:56</t>
  </si>
  <si>
    <t>15/08/2026 13:26</t>
  </si>
  <si>
    <t>TCK-22732</t>
  </si>
  <si>
    <t>04/06/2026 09:25</t>
  </si>
  <si>
    <t>04/06/2026 12:02</t>
  </si>
  <si>
    <t>TCK-20137</t>
  </si>
  <si>
    <t>20/04/2026 06:36</t>
  </si>
  <si>
    <t>TCK-22670</t>
  </si>
  <si>
    <t>06/03/2026 19:09</t>
  </si>
  <si>
    <t>09/03/2026 06:12</t>
  </si>
  <si>
    <t>TCK-21839</t>
  </si>
  <si>
    <t>04/04/2026 23:13</t>
  </si>
  <si>
    <t>06/04/2026 19:41</t>
  </si>
  <si>
    <t>TCK-20542</t>
  </si>
  <si>
    <t>09/02/2026 08:56</t>
  </si>
  <si>
    <t>10/02/2026 16:53</t>
  </si>
  <si>
    <t>TCK-21617</t>
  </si>
  <si>
    <t>13/07/2026 16:33</t>
  </si>
  <si>
    <t>TCK-20653</t>
  </si>
  <si>
    <t>25/02/2026 01:54</t>
  </si>
  <si>
    <t>27/02/2026 06:25</t>
  </si>
  <si>
    <t>TCK-21420</t>
  </si>
  <si>
    <t>28/02/2026 06:28</t>
  </si>
  <si>
    <t>28/02/2026 13:19</t>
  </si>
  <si>
    <t>TCK-22796</t>
  </si>
  <si>
    <t>08/05/2026 08:19</t>
  </si>
  <si>
    <t>12/05/2026 23:40</t>
  </si>
  <si>
    <t>TCK-21023</t>
  </si>
  <si>
    <t>11/07/2026 14:07</t>
  </si>
  <si>
    <t>TCK-22019</t>
  </si>
  <si>
    <t>28/08/2026 09:31</t>
  </si>
  <si>
    <t>TCK-20768</t>
  </si>
  <si>
    <t>26/04/2026 08:06</t>
  </si>
  <si>
    <t>27/04/2026 03:37</t>
  </si>
  <si>
    <t>TCK-20829</t>
  </si>
  <si>
    <t>13/04/2026 06:02</t>
  </si>
  <si>
    <t>13/04/2026 11:38</t>
  </si>
  <si>
    <t>TCK-20834</t>
  </si>
  <si>
    <t>30/04/2026 20:54</t>
  </si>
  <si>
    <t>02/05/2026 08:37</t>
  </si>
  <si>
    <t>TCK-23125</t>
  </si>
  <si>
    <t>01/05/2026 00:50</t>
  </si>
  <si>
    <t>01/05/2026 07:01</t>
  </si>
  <si>
    <t>TCK-20634</t>
  </si>
  <si>
    <t>21/03/2026 09:41</t>
  </si>
  <si>
    <t>TCK-22376</t>
  </si>
  <si>
    <t>09/02/2026 10:20</t>
  </si>
  <si>
    <t>TCK-22638</t>
  </si>
  <si>
    <t>04/05/2026 06:52</t>
  </si>
  <si>
    <t>04/05/2026 21:55</t>
  </si>
  <si>
    <t>TCK-21535</t>
  </si>
  <si>
    <t>22/05/2026 20:58</t>
  </si>
  <si>
    <t>23/05/2026 15:32</t>
  </si>
  <si>
    <t>TCK-20142</t>
  </si>
  <si>
    <t>04/02/2026 00:53</t>
  </si>
  <si>
    <t>04/02/2026 21:15</t>
  </si>
  <si>
    <t>TCK-21349</t>
  </si>
  <si>
    <t>06/07/2026 12:49</t>
  </si>
  <si>
    <t>06/07/2026 15:37</t>
  </si>
  <si>
    <t>TCK-23091</t>
  </si>
  <si>
    <t>06/06/2026 04:17</t>
  </si>
  <si>
    <t>TCK-20699</t>
  </si>
  <si>
    <t>18/01/2026 23:06</t>
  </si>
  <si>
    <t>TCK-21642</t>
  </si>
  <si>
    <t>21/07/2026 10:21</t>
  </si>
  <si>
    <t>TCK-22785</t>
  </si>
  <si>
    <t>23/06/2026 00:09</t>
  </si>
  <si>
    <t>TCK-22298</t>
  </si>
  <si>
    <t>12/03/2026 15:55</t>
  </si>
  <si>
    <t>TCK-22517</t>
  </si>
  <si>
    <t>13/07/2026 04:20</t>
  </si>
  <si>
    <t>13/07/2026 13:49</t>
  </si>
  <si>
    <t>TCK-20767</t>
  </si>
  <si>
    <t>22/08/2026 14:55</t>
  </si>
  <si>
    <t>TCK-21622</t>
  </si>
  <si>
    <t>21/01/2026 14:04</t>
  </si>
  <si>
    <t>21/01/2026 20:07</t>
  </si>
  <si>
    <t>TCK-22945</t>
  </si>
  <si>
    <t>30/04/2026 13:46</t>
  </si>
  <si>
    <t>01/05/2026 03:47</t>
  </si>
  <si>
    <t>TCK-21685</t>
  </si>
  <si>
    <t>20/05/2026 04:08</t>
  </si>
  <si>
    <t>TCK-22182</t>
  </si>
  <si>
    <t>30/08/2026 06:18</t>
  </si>
  <si>
    <t>30/08/2026 20:40</t>
  </si>
  <si>
    <t>TCK-21822</t>
  </si>
  <si>
    <t>14/06/2026 14:46</t>
  </si>
  <si>
    <t>14/06/2026 15:43</t>
  </si>
  <si>
    <t>TCK-20752</t>
  </si>
  <si>
    <t>18/07/2026 08:47</t>
  </si>
  <si>
    <t>TCK-22744</t>
  </si>
  <si>
    <t>28/01/2026 12:07</t>
  </si>
  <si>
    <t>29/01/2026 01:34</t>
  </si>
  <si>
    <t>TCK-21310</t>
  </si>
  <si>
    <t>29/03/2026 15:37</t>
  </si>
  <si>
    <t>31/03/2026 09:25</t>
  </si>
  <si>
    <t>TCK-22806</t>
  </si>
  <si>
    <t>13/01/2026 13:47</t>
  </si>
  <si>
    <t>13/01/2026 19:03</t>
  </si>
  <si>
    <t>TCK-20073</t>
  </si>
  <si>
    <t>13/02/2026 16:47</t>
  </si>
  <si>
    <t>TCK-22601</t>
  </si>
  <si>
    <t>19/06/2026 22:17</t>
  </si>
  <si>
    <t>20/06/2026 19:13</t>
  </si>
  <si>
    <t>TCK-22065</t>
  </si>
  <si>
    <t>06/05/2026 20:43</t>
  </si>
  <si>
    <t>07/05/2026 16:14</t>
  </si>
  <si>
    <t>TCK-21193</t>
  </si>
  <si>
    <t>16/02/2026 02:37</t>
  </si>
  <si>
    <t>16/02/2026 05:51</t>
  </si>
  <si>
    <t>TCK-21509</t>
  </si>
  <si>
    <t>23/03/2026 01:29</t>
  </si>
  <si>
    <t>TCK-22544</t>
  </si>
  <si>
    <t>17/06/2026 11:37</t>
  </si>
  <si>
    <t>TCK-21429</t>
  </si>
  <si>
    <t>20/01/2026 02:45</t>
  </si>
  <si>
    <t>TCK-21335</t>
  </si>
  <si>
    <t>15/01/2026 23:01</t>
  </si>
  <si>
    <t>16/01/2026 19:27</t>
  </si>
  <si>
    <t>TCK-20092</t>
  </si>
  <si>
    <t>28/03/2026 17:56</t>
  </si>
  <si>
    <t>29/03/2026 08:48</t>
  </si>
  <si>
    <t>TCK-20611</t>
  </si>
  <si>
    <t>12/08/2026 19:51</t>
  </si>
  <si>
    <t>12/08/2026 22:53</t>
  </si>
  <si>
    <t>TCK-20021</t>
  </si>
  <si>
    <t>27/06/2026 06:47</t>
  </si>
  <si>
    <t>28/06/2026 06:16</t>
  </si>
  <si>
    <t>TCK-20310</t>
  </si>
  <si>
    <t>02/01/2026 20:33</t>
  </si>
  <si>
    <t>02/01/2026 23:07</t>
  </si>
  <si>
    <t>TCK-22343</t>
  </si>
  <si>
    <t>28/06/2026 23:09</t>
  </si>
  <si>
    <t>28/06/2026 23:41</t>
  </si>
  <si>
    <t>TCK-20218</t>
  </si>
  <si>
    <t>11/05/2026 05:30</t>
  </si>
  <si>
    <t>11/05/2026 07:27</t>
  </si>
  <si>
    <t>TCK-20154</t>
  </si>
  <si>
    <t>01/07/2026 09:34</t>
  </si>
  <si>
    <t>01/07/2026 12:32</t>
  </si>
  <si>
    <t>TCK-20837</t>
  </si>
  <si>
    <t>23/06/2026 21:22</t>
  </si>
  <si>
    <t>24/06/2026 03:47</t>
  </si>
  <si>
    <t>TCK-23135</t>
  </si>
  <si>
    <t>04/03/2026 12:37</t>
  </si>
  <si>
    <t>04/03/2026 13:49</t>
  </si>
  <si>
    <t>TCK-21792</t>
  </si>
  <si>
    <t>06/03/2026 04:11</t>
  </si>
  <si>
    <t>TCK-22815</t>
  </si>
  <si>
    <t>29/05/2026 08:11</t>
  </si>
  <si>
    <t>29/05/2026 12:40</t>
  </si>
  <si>
    <t>TCK-22096</t>
  </si>
  <si>
    <t>11/07/2026 20:59</t>
  </si>
  <si>
    <t>12/07/2026 01:17</t>
  </si>
  <si>
    <t>TCK-21939</t>
  </si>
  <si>
    <t>29/06/2026 06:05</t>
  </si>
  <si>
    <t>TCK-21373</t>
  </si>
  <si>
    <t>19/02/2026 13:50</t>
  </si>
  <si>
    <t>19/02/2026 14:21</t>
  </si>
  <si>
    <t>TCK-22211</t>
  </si>
  <si>
    <t>13/04/2026 15:55</t>
  </si>
  <si>
    <t>13/04/2026 17:31</t>
  </si>
  <si>
    <t>TCK-21930</t>
  </si>
  <si>
    <t>12/07/2026 14:43</t>
  </si>
  <si>
    <t>12/07/2026 17:41</t>
  </si>
  <si>
    <t>TCK-20858</t>
  </si>
  <si>
    <t>04/05/2026 09:30</t>
  </si>
  <si>
    <t>04/05/2026 12:45</t>
  </si>
  <si>
    <t>TCK-22357</t>
  </si>
  <si>
    <t>23/01/2026 11:05</t>
  </si>
  <si>
    <t>23/01/2026 14:18</t>
  </si>
  <si>
    <t>TCK-20806</t>
  </si>
  <si>
    <t>20/05/2026 13:59</t>
  </si>
  <si>
    <t>TCK-22758</t>
  </si>
  <si>
    <t>16/06/2026 02:14</t>
  </si>
  <si>
    <t>16/06/2026 18:36</t>
  </si>
  <si>
    <t>TCK-20232</t>
  </si>
  <si>
    <t>06/08/2026 09:29</t>
  </si>
  <si>
    <t>TCK-20304</t>
  </si>
  <si>
    <t>30/08/2026 21:45</t>
  </si>
  <si>
    <t>TCK-22463</t>
  </si>
  <si>
    <t>05/03/2026 10:25</t>
  </si>
  <si>
    <t>06/03/2026 04:05</t>
  </si>
  <si>
    <t>TCK-20590</t>
  </si>
  <si>
    <t>25/04/2026 18:45</t>
  </si>
  <si>
    <t>26/04/2026 22:55</t>
  </si>
  <si>
    <t>TCK-22223</t>
  </si>
  <si>
    <t>26/03/2026 07:07</t>
  </si>
  <si>
    <t>TCK-21933</t>
  </si>
  <si>
    <t>21/03/2026 12:26</t>
  </si>
  <si>
    <t>TCK-21985</t>
  </si>
  <si>
    <t>27/08/2026 05:37</t>
  </si>
  <si>
    <t>27/08/2026 09:47</t>
  </si>
  <si>
    <t>TCK-20003</t>
  </si>
  <si>
    <t>31/07/2026 13:19</t>
  </si>
  <si>
    <t>31/07/2026 16:57</t>
  </si>
  <si>
    <t>TCK-22248</t>
  </si>
  <si>
    <t>02/07/2026 05:06</t>
  </si>
  <si>
    <t>TCK-20357</t>
  </si>
  <si>
    <t>11/04/2026 09:05</t>
  </si>
  <si>
    <t>TCK-21823</t>
  </si>
  <si>
    <t>14/06/2026 09:45</t>
  </si>
  <si>
    <t>TCK-22956</t>
  </si>
  <si>
    <t>02/03/2026 13:30</t>
  </si>
  <si>
    <t>02/03/2026 14:50</t>
  </si>
  <si>
    <t>TCK-20363</t>
  </si>
  <si>
    <t>19/07/2026 17:52</t>
  </si>
  <si>
    <t>20/07/2026 07:36</t>
  </si>
  <si>
    <t>TCK-21773</t>
  </si>
  <si>
    <t>30/07/2026 08:14</t>
  </si>
  <si>
    <t>30/07/2026 13:24</t>
  </si>
  <si>
    <t>TCK-21515</t>
  </si>
  <si>
    <t>26/08/2026 14:48</t>
  </si>
  <si>
    <t>26/08/2026 15:34</t>
  </si>
  <si>
    <t>TCK-21412</t>
  </si>
  <si>
    <t>24/04/2026 02:58</t>
  </si>
  <si>
    <t>24/04/2026 21:30</t>
  </si>
  <si>
    <t>TCK-20246</t>
  </si>
  <si>
    <t>08/03/2026 23:50</t>
  </si>
  <si>
    <t>09/03/2026 07:27</t>
  </si>
  <si>
    <t>TCK-21398</t>
  </si>
  <si>
    <t>17/05/2026 11:19</t>
  </si>
  <si>
    <t>17/05/2026 17:18</t>
  </si>
  <si>
    <t>TCK-20472</t>
  </si>
  <si>
    <t>31/07/2026 21:42</t>
  </si>
  <si>
    <t>TCK-20320</t>
  </si>
  <si>
    <t>09/07/2026 10:45</t>
  </si>
  <si>
    <t>12/07/2026 02:06</t>
  </si>
  <si>
    <t>TCK-20844</t>
  </si>
  <si>
    <t>27/08/2026 23:29</t>
  </si>
  <si>
    <t>30/08/2026 13:15</t>
  </si>
  <si>
    <t>TCK-22835</t>
  </si>
  <si>
    <t>04/06/2026 20:23</t>
  </si>
  <si>
    <t>05/06/2026 08:41</t>
  </si>
  <si>
    <t>TCK-22397</t>
  </si>
  <si>
    <t>11/04/2026 00:45</t>
  </si>
  <si>
    <t>11/04/2026 07:56</t>
  </si>
  <si>
    <t>TCK-20942</t>
  </si>
  <si>
    <t>29/04/2026 08:52</t>
  </si>
  <si>
    <t>30/04/2026 06:12</t>
  </si>
  <si>
    <t>TCK-21105</t>
  </si>
  <si>
    <t>28/08/2026 21:17</t>
  </si>
  <si>
    <t>30/08/2026 16:06</t>
  </si>
  <si>
    <t>TCK-21305</t>
  </si>
  <si>
    <t>03/03/2026 17:25</t>
  </si>
  <si>
    <t>TCK-20448</t>
  </si>
  <si>
    <t>02/01/2026 07:34</t>
  </si>
  <si>
    <t>02/01/2026 22:23</t>
  </si>
  <si>
    <t>TCK-21553</t>
  </si>
  <si>
    <t>23/03/2026 01:26</t>
  </si>
  <si>
    <t>TCK-22803</t>
  </si>
  <si>
    <t>20/02/2026 16:19</t>
  </si>
  <si>
    <t>TCK-20354</t>
  </si>
  <si>
    <t>11/04/2026 12:32</t>
  </si>
  <si>
    <t>TCK-22866</t>
  </si>
  <si>
    <t>15/06/2026 23:37</t>
  </si>
  <si>
    <t>16/06/2026 06:54</t>
  </si>
  <si>
    <t>TCK-20313</t>
  </si>
  <si>
    <t>27/03/2026 19:51</t>
  </si>
  <si>
    <t>28/03/2026 05:03</t>
  </si>
  <si>
    <t>TCK-21722</t>
  </si>
  <si>
    <t>11/01/2026 04:08</t>
  </si>
  <si>
    <t>TCK-20818</t>
  </si>
  <si>
    <t>09/01/2026 11:03</t>
  </si>
  <si>
    <t>TCK-20551</t>
  </si>
  <si>
    <t>04/06/2026 07:53</t>
  </si>
  <si>
    <t>TCK-21742</t>
  </si>
  <si>
    <t>08/07/2026 13:33</t>
  </si>
  <si>
    <t>11/07/2026 00:23</t>
  </si>
  <si>
    <t>TCK-22285</t>
  </si>
  <si>
    <t>11/08/2026 10:36</t>
  </si>
  <si>
    <t>11/08/2026 13:36</t>
  </si>
  <si>
    <t>TCK-21659</t>
  </si>
  <si>
    <t>13/03/2026 04:28</t>
  </si>
  <si>
    <t>13/03/2026 22:22</t>
  </si>
  <si>
    <t>TCK-23178</t>
  </si>
  <si>
    <t>19/04/2026 03:09</t>
  </si>
  <si>
    <t>19/04/2026 07:38</t>
  </si>
  <si>
    <t>TCK-21378</t>
  </si>
  <si>
    <t>17/05/2026 07:23</t>
  </si>
  <si>
    <t>TCK-22289</t>
  </si>
  <si>
    <t>05/01/2026 06:28</t>
  </si>
  <si>
    <t>05/01/2026 08:33</t>
  </si>
  <si>
    <t>TCK-22946</t>
  </si>
  <si>
    <t>01/04/2026 04:14</t>
  </si>
  <si>
    <t>TCK-21005</t>
  </si>
  <si>
    <t>11/05/2026 15:14</t>
  </si>
  <si>
    <t>12/05/2026 10:55</t>
  </si>
  <si>
    <t>TCK-23134</t>
  </si>
  <si>
    <t>23/04/2026 22:39</t>
  </si>
  <si>
    <t>24/04/2026 12:52</t>
  </si>
  <si>
    <t>TCK-21592</t>
  </si>
  <si>
    <t>17/01/2026 08:22</t>
  </si>
  <si>
    <t>17/01/2026 11:01</t>
  </si>
  <si>
    <t>TCK-20812</t>
  </si>
  <si>
    <t>13/01/2026 02:34</t>
  </si>
  <si>
    <t>13/01/2026 05:17</t>
  </si>
  <si>
    <t>TCK-21220</t>
  </si>
  <si>
    <t>12/02/2026 13:00</t>
  </si>
  <si>
    <t>13/02/2026 20:09</t>
  </si>
  <si>
    <t>TCK-20210</t>
  </si>
  <si>
    <t>04/08/2026 12:21</t>
  </si>
  <si>
    <t>04/08/2026 17:55</t>
  </si>
  <si>
    <t>TCK-22548</t>
  </si>
  <si>
    <t>19/04/2026 23:50</t>
  </si>
  <si>
    <t>TCK-23011</t>
  </si>
  <si>
    <t>23/03/2026 10:25</t>
  </si>
  <si>
    <t>23/03/2026 11:48</t>
  </si>
  <si>
    <t>TCK-22936</t>
  </si>
  <si>
    <t>19/01/2026 22:23</t>
  </si>
  <si>
    <t>TCK-22787</t>
  </si>
  <si>
    <t>06/08/2026 13:25</t>
  </si>
  <si>
    <t>07/08/2026 05:19</t>
  </si>
  <si>
    <t>TCK-20822</t>
  </si>
  <si>
    <t>21/02/2026 07:15</t>
  </si>
  <si>
    <t>22/02/2026 02:39</t>
  </si>
  <si>
    <t>TCK-21570</t>
  </si>
  <si>
    <t>12/04/2026 14:48</t>
  </si>
  <si>
    <t>TCK-20306</t>
  </si>
  <si>
    <t>27/06/2026 17:12</t>
  </si>
  <si>
    <t>27/06/2026 18:57</t>
  </si>
  <si>
    <t>TCK-22620</t>
  </si>
  <si>
    <t>01/02/2026 18:14</t>
  </si>
  <si>
    <t>TCK-20183</t>
  </si>
  <si>
    <t>23/08/2026 01:41</t>
  </si>
  <si>
    <t>TCK-20909</t>
  </si>
  <si>
    <t>19/05/2026 22:58</t>
  </si>
  <si>
    <t>20/05/2026 03:40</t>
  </si>
  <si>
    <t>TCK-21059</t>
  </si>
  <si>
    <t>02/06/2026 06:05</t>
  </si>
  <si>
    <t>04/06/2026 12:23</t>
  </si>
  <si>
    <t>TCK-20795</t>
  </si>
  <si>
    <t>30/06/2026 07:23</t>
  </si>
  <si>
    <t>01/07/2026 05:19</t>
  </si>
  <si>
    <t>TCK-20774</t>
  </si>
  <si>
    <t>23/08/2026 13:24</t>
  </si>
  <si>
    <t>23/08/2026 21:11</t>
  </si>
  <si>
    <t>TCK-21752</t>
  </si>
  <si>
    <t>10/04/2026 10:38</t>
  </si>
  <si>
    <t>11/04/2026 04:20</t>
  </si>
  <si>
    <t>TCK-22301</t>
  </si>
  <si>
    <t>22/05/2026 06:22</t>
  </si>
  <si>
    <t>TCK-21708</t>
  </si>
  <si>
    <t>17/04/2026 01:32</t>
  </si>
  <si>
    <t>17/04/2026 22:09</t>
  </si>
  <si>
    <t>TCK-20456</t>
  </si>
  <si>
    <t>15/08/2026 11:15</t>
  </si>
  <si>
    <t>15/08/2026 19:27</t>
  </si>
  <si>
    <t>TCK-21191</t>
  </si>
  <si>
    <t>07/02/2026 21:05</t>
  </si>
  <si>
    <t>08/02/2026 22:45</t>
  </si>
  <si>
    <t>TCK-21941</t>
  </si>
  <si>
    <t>07/01/2026 18:43</t>
  </si>
  <si>
    <t>08/01/2026 10:26</t>
  </si>
  <si>
    <t>TCK-23037</t>
  </si>
  <si>
    <t>05/03/2026 05:40</t>
  </si>
  <si>
    <t>05/03/2026 06:31</t>
  </si>
  <si>
    <t>TCK-21180</t>
  </si>
  <si>
    <t>29/03/2026 02:21</t>
  </si>
  <si>
    <t>30/03/2026 00:31</t>
  </si>
  <si>
    <t>TCK-21229</t>
  </si>
  <si>
    <t>09/05/2026 10:30</t>
  </si>
  <si>
    <t>TCK-22557</t>
  </si>
  <si>
    <t>26/02/2026 09:31</t>
  </si>
  <si>
    <t>26/02/2026 17:45</t>
  </si>
  <si>
    <t>TCK-22579</t>
  </si>
  <si>
    <t>15/05/2026 09:17</t>
  </si>
  <si>
    <t>TCK-22036</t>
  </si>
  <si>
    <t>30/04/2026 08:03</t>
  </si>
  <si>
    <t>TCK-20810</t>
  </si>
  <si>
    <t>20/07/2026 08:57</t>
  </si>
  <si>
    <t>TCK-20746</t>
  </si>
  <si>
    <t>03/03/2026 08:41</t>
  </si>
  <si>
    <t>TCK-20516</t>
  </si>
  <si>
    <t>07/06/2026 18:10</t>
  </si>
  <si>
    <t>TCK-21510</t>
  </si>
  <si>
    <t>13/07/2026 10:55</t>
  </si>
  <si>
    <t>14/07/2026 03:10</t>
  </si>
  <si>
    <t>TCK-20642</t>
  </si>
  <si>
    <t>31/07/2026 09:06</t>
  </si>
  <si>
    <t>31/07/2026 17:29</t>
  </si>
  <si>
    <t>TCK-22017</t>
  </si>
  <si>
    <t>05/04/2026 00:53</t>
  </si>
  <si>
    <t>06/04/2026 19:26</t>
  </si>
  <si>
    <t>TCK-20519</t>
  </si>
  <si>
    <t>08/03/2026 09:08</t>
  </si>
  <si>
    <t>08/03/2026 15:50</t>
  </si>
  <si>
    <t>TCK-21874</t>
  </si>
  <si>
    <t>15/06/2026 05:27</t>
  </si>
  <si>
    <t>15/06/2026 21:36</t>
  </si>
  <si>
    <t>TCK-20126</t>
  </si>
  <si>
    <t>10/02/2026 06:15</t>
  </si>
  <si>
    <t>11/02/2026 14:26</t>
  </si>
  <si>
    <t>TCK-21817</t>
  </si>
  <si>
    <t>11/02/2026 08:39</t>
  </si>
  <si>
    <t>TCK-20514</t>
  </si>
  <si>
    <t>18/04/2026 16:39</t>
  </si>
  <si>
    <t>TCK-21060</t>
  </si>
  <si>
    <t>21/05/2026 11:25</t>
  </si>
  <si>
    <t>23/05/2026 18:48</t>
  </si>
  <si>
    <t>TCK-20859</t>
  </si>
  <si>
    <t>26/03/2026 05:13</t>
  </si>
  <si>
    <t>TCK-21761</t>
  </si>
  <si>
    <t>12/06/2026 03:07</t>
  </si>
  <si>
    <t>12/06/2026 09:50</t>
  </si>
  <si>
    <t>TCK-20162</t>
  </si>
  <si>
    <t>26/03/2026 14:00</t>
  </si>
  <si>
    <t>TCK-20517</t>
  </si>
  <si>
    <t>26/03/2026 06:06</t>
  </si>
  <si>
    <t>TCK-20627</t>
  </si>
  <si>
    <t>26/06/2026 03:22</t>
  </si>
  <si>
    <t>28/06/2026 19:45</t>
  </si>
  <si>
    <t>TCK-22765</t>
  </si>
  <si>
    <t>20/01/2026 15:40</t>
  </si>
  <si>
    <t>TCK-21297</t>
  </si>
  <si>
    <t>11/07/2026 15:50</t>
  </si>
  <si>
    <t>TCK-20738</t>
  </si>
  <si>
    <t>31/03/2026 02:22</t>
  </si>
  <si>
    <t>31/03/2026 11:04</t>
  </si>
  <si>
    <t>TCK-21258</t>
  </si>
  <si>
    <t>25/05/2026 23:56</t>
  </si>
  <si>
    <t>26/05/2026 06:38</t>
  </si>
  <si>
    <t>TCK-20939</t>
  </si>
  <si>
    <t>15/07/2026 02:20</t>
  </si>
  <si>
    <t>TCK-23044</t>
  </si>
  <si>
    <t>11/08/2026 03:05</t>
  </si>
  <si>
    <t>11/08/2026 17:30</t>
  </si>
  <si>
    <t>TCK-20098</t>
  </si>
  <si>
    <t>16/05/2026 05:29</t>
  </si>
  <si>
    <t>16/05/2026 10:45</t>
  </si>
  <si>
    <t>TCK-20938</t>
  </si>
  <si>
    <t>24/03/2026 00:10</t>
  </si>
  <si>
    <t>24/03/2026 13:30</t>
  </si>
  <si>
    <t>TCK-23105</t>
  </si>
  <si>
    <t>14/02/2026 06:13</t>
  </si>
  <si>
    <t>14/02/2026 17:36</t>
  </si>
  <si>
    <t>TCK-20602</t>
  </si>
  <si>
    <t>06/05/2026 14:25</t>
  </si>
  <si>
    <t>TCK-22101</t>
  </si>
  <si>
    <t>10/04/2026 20:43</t>
  </si>
  <si>
    <t>11/04/2026 12:33</t>
  </si>
  <si>
    <t>TCK-23087</t>
  </si>
  <si>
    <t>06/06/2026 04:46</t>
  </si>
  <si>
    <t>06/06/2026 09:58</t>
  </si>
  <si>
    <t>TCK-22423</t>
  </si>
  <si>
    <t>08/03/2026 08:58</t>
  </si>
  <si>
    <t>TCK-21015</t>
  </si>
  <si>
    <t>19/08/2026 06:41</t>
  </si>
  <si>
    <t>TCK-22141</t>
  </si>
  <si>
    <t>26/07/2026 01:14</t>
  </si>
  <si>
    <t>27/07/2026 17:46</t>
  </si>
  <si>
    <t>TCK-20828</t>
  </si>
  <si>
    <t>14/07/2026 00:38</t>
  </si>
  <si>
    <t>TCK-22907</t>
  </si>
  <si>
    <t>01/08/2026 09:16</t>
  </si>
  <si>
    <t>01/08/2026 09:57</t>
  </si>
  <si>
    <t>TCK-22374</t>
  </si>
  <si>
    <t>10/06/2026 18:06</t>
  </si>
  <si>
    <t>10/06/2026 22:49</t>
  </si>
  <si>
    <t>TCK-20469</t>
  </si>
  <si>
    <t>12/04/2026 06:48</t>
  </si>
  <si>
    <t>12/04/2026 07:50</t>
  </si>
  <si>
    <t>TCK-21331</t>
  </si>
  <si>
    <t>17/06/2026 19:20</t>
  </si>
  <si>
    <t>19/06/2026 10:49</t>
  </si>
  <si>
    <t>TCK-22797</t>
  </si>
  <si>
    <t>18/02/2026 09:59</t>
  </si>
  <si>
    <t>TCK-21848</t>
  </si>
  <si>
    <t>24/06/2026 18:21</t>
  </si>
  <si>
    <t>25/06/2026 12:15</t>
  </si>
  <si>
    <t>TCK-21263</t>
  </si>
  <si>
    <t>28/05/2026 18:57</t>
  </si>
  <si>
    <t>29/05/2026 15:02</t>
  </si>
  <si>
    <t>TCK-20524</t>
  </si>
  <si>
    <t>08/01/2026 23:40</t>
  </si>
  <si>
    <t>09/01/2026 01:13</t>
  </si>
  <si>
    <t>TCK-23144</t>
  </si>
  <si>
    <t>21/03/2026 07:45</t>
  </si>
  <si>
    <t>21/03/2026 11:31</t>
  </si>
  <si>
    <t>TCK-23195</t>
  </si>
  <si>
    <t>26/01/2026 23:36</t>
  </si>
  <si>
    <t>27/01/2026 06:42</t>
  </si>
  <si>
    <t>TCK-21056</t>
  </si>
  <si>
    <t>20/08/2026 10:49</t>
  </si>
  <si>
    <t>25/08/2026 06:49</t>
  </si>
  <si>
    <t>TCK-22074</t>
  </si>
  <si>
    <t>28/08/2026 22:35</t>
  </si>
  <si>
    <t>02/09/2026 08:41</t>
  </si>
  <si>
    <t>TCK-21143</t>
  </si>
  <si>
    <t>10/05/2026 20:17</t>
  </si>
  <si>
    <t>12/05/2026 09:34</t>
  </si>
  <si>
    <t>TCK-21831</t>
  </si>
  <si>
    <t>10/03/2026 11:24</t>
  </si>
  <si>
    <t>TCK-20868</t>
  </si>
  <si>
    <t>23/07/2026 08:42</t>
  </si>
  <si>
    <t>24/07/2026 08:34</t>
  </si>
  <si>
    <t>TCK-21289</t>
  </si>
  <si>
    <t>11/02/2026 16:45</t>
  </si>
  <si>
    <t>11/02/2026 23:37</t>
  </si>
  <si>
    <t>TCK-21319</t>
  </si>
  <si>
    <t>12/03/2026 18:07</t>
  </si>
  <si>
    <t>13/03/2026 08:21</t>
  </si>
  <si>
    <t>TCK-21775</t>
  </si>
  <si>
    <t>24/07/2026 05:21</t>
  </si>
  <si>
    <t>25/07/2026 01:07</t>
  </si>
  <si>
    <t>TCK-20107</t>
  </si>
  <si>
    <t>30/03/2026 23:44</t>
  </si>
  <si>
    <t>TCK-20644</t>
  </si>
  <si>
    <t>21/01/2026 11:40</t>
  </si>
  <si>
    <t>21/01/2026 12:21</t>
  </si>
  <si>
    <t>TCK-22441</t>
  </si>
  <si>
    <t>01/04/2026 17:55</t>
  </si>
  <si>
    <t>TCK-21166</t>
  </si>
  <si>
    <t>31/07/2026 09:21</t>
  </si>
  <si>
    <t>31/07/2026 12:01</t>
  </si>
  <si>
    <t>TCK-20920</t>
  </si>
  <si>
    <t>08/08/2026 10:55</t>
  </si>
  <si>
    <t>TCK-20145</t>
  </si>
  <si>
    <t>22/04/2026 21:55</t>
  </si>
  <si>
    <t>24/04/2026 13:23</t>
  </si>
  <si>
    <t>TCK-22547</t>
  </si>
  <si>
    <t>04/02/2026 00:50</t>
  </si>
  <si>
    <t>TCK-20317</t>
  </si>
  <si>
    <t>07/02/2026 06:52</t>
  </si>
  <si>
    <t>TCK-22346</t>
  </si>
  <si>
    <t>27/06/2026 21:59</t>
  </si>
  <si>
    <t>28/06/2026 11:23</t>
  </si>
  <si>
    <t>TCK-21791</t>
  </si>
  <si>
    <t>03/05/2026 08:27</t>
  </si>
  <si>
    <t>03/05/2026 20:12</t>
  </si>
  <si>
    <t>TCK-22261</t>
  </si>
  <si>
    <t>03/02/2026 07:59</t>
  </si>
  <si>
    <t>03/02/2026 18:00</t>
  </si>
  <si>
    <t>TCK-22974</t>
  </si>
  <si>
    <t>15/01/2026 10:01</t>
  </si>
  <si>
    <t>TCK-22555</t>
  </si>
  <si>
    <t>17/07/2026 15:20</t>
  </si>
  <si>
    <t>17/07/2026 17:41</t>
  </si>
  <si>
    <t>TCK-20262</t>
  </si>
  <si>
    <t>05/08/2026 11:38</t>
  </si>
  <si>
    <t>06/08/2026 06:46</t>
  </si>
  <si>
    <t>TCK-22477</t>
  </si>
  <si>
    <t>22/07/2026 08:46</t>
  </si>
  <si>
    <t>TCK-22073</t>
  </si>
  <si>
    <t>26/05/2026 12:56</t>
  </si>
  <si>
    <t>TCK-22088</t>
  </si>
  <si>
    <t>03/08/2026 19:07</t>
  </si>
  <si>
    <t>03/08/2026 23:17</t>
  </si>
  <si>
    <t>TCK-22294</t>
  </si>
  <si>
    <t>10/06/2026 17:23</t>
  </si>
  <si>
    <t>15/06/2026 13:36</t>
  </si>
  <si>
    <t>TCK-20025</t>
  </si>
  <si>
    <t>03/06/2026 07:55</t>
  </si>
  <si>
    <t>03/06/2026 08:42</t>
  </si>
  <si>
    <t>TCK-20993</t>
  </si>
  <si>
    <t>23/01/2026 22:09</t>
  </si>
  <si>
    <t>24/01/2026 19:17</t>
  </si>
  <si>
    <t>TCK-20326</t>
  </si>
  <si>
    <t>06/08/2026 04:22</t>
  </si>
  <si>
    <t>06/08/2026 06:31</t>
  </si>
  <si>
    <t>TCK-20623</t>
  </si>
  <si>
    <t>16/03/2026 15:09</t>
  </si>
  <si>
    <t>TCK-22431</t>
  </si>
  <si>
    <t>09/05/2026 12:58</t>
  </si>
  <si>
    <t>10/05/2026 02:33</t>
  </si>
  <si>
    <t>TCK-22457</t>
  </si>
  <si>
    <t>03/08/2026 09:35</t>
  </si>
  <si>
    <t>03/08/2026 20:54</t>
  </si>
  <si>
    <t>TCK-22448</t>
  </si>
  <si>
    <t>04/03/2026 09:54</t>
  </si>
  <si>
    <t>05/03/2026 17:51</t>
  </si>
  <si>
    <t>TCK-22519</t>
  </si>
  <si>
    <t>13/04/2026 07:30</t>
  </si>
  <si>
    <t>16/04/2026 00:17</t>
  </si>
  <si>
    <t>TCK-23147</t>
  </si>
  <si>
    <t>18/04/2026 09:58</t>
  </si>
  <si>
    <t>19/04/2026 20:09</t>
  </si>
  <si>
    <t>TCK-22135</t>
  </si>
  <si>
    <t>25/04/2026 13:16</t>
  </si>
  <si>
    <t>TCK-21655</t>
  </si>
  <si>
    <t>07/08/2026 15:40</t>
  </si>
  <si>
    <t>TCK-20535</t>
  </si>
  <si>
    <t>10/01/2026 15:37</t>
  </si>
  <si>
    <t>15/01/2026 09:52</t>
  </si>
  <si>
    <t>TCK-23146</t>
  </si>
  <si>
    <t>11/08/2026 16:35</t>
  </si>
  <si>
    <t>11/08/2026 21:40</t>
  </si>
  <si>
    <t>TCK-21402</t>
  </si>
  <si>
    <t>21/02/2026 03:53</t>
  </si>
  <si>
    <t>TCK-20991</t>
  </si>
  <si>
    <t>02/08/2026 10:22</t>
  </si>
  <si>
    <t>02/08/2026 11:35</t>
  </si>
  <si>
    <t>TCK-22657</t>
  </si>
  <si>
    <t>10/03/2026 17:59</t>
  </si>
  <si>
    <t>14/03/2026 11:48</t>
  </si>
  <si>
    <t>TCK-20554</t>
  </si>
  <si>
    <t>25/07/2026 04:08</t>
  </si>
  <si>
    <t>26/07/2026 03:50</t>
  </si>
  <si>
    <t>TCK-20330</t>
  </si>
  <si>
    <t>07/02/2026 12:44</t>
  </si>
  <si>
    <t>TCK-22470</t>
  </si>
  <si>
    <t>12/04/2026 05:48</t>
  </si>
  <si>
    <t>TCK-22051</t>
  </si>
  <si>
    <t>24/02/2026 14:35</t>
  </si>
  <si>
    <t>26/02/2026 21:55</t>
  </si>
  <si>
    <t>TCK-20241</t>
  </si>
  <si>
    <t>10/08/2026 13:37</t>
  </si>
  <si>
    <t>TCK-22202</t>
  </si>
  <si>
    <t>26/02/2026 22:29</t>
  </si>
  <si>
    <t>27/02/2026 00:35</t>
  </si>
  <si>
    <t>TCK-20639</t>
  </si>
  <si>
    <t>18/07/2026 11:38</t>
  </si>
  <si>
    <t>TCK-22232</t>
  </si>
  <si>
    <t>19/06/2026 18:53</t>
  </si>
  <si>
    <t>TCK-21379</t>
  </si>
  <si>
    <t>08/08/2026 11:07</t>
  </si>
  <si>
    <t>08/08/2026 17:07</t>
  </si>
  <si>
    <t>TCK-21857</t>
  </si>
  <si>
    <t>20/01/2026 09:07</t>
  </si>
  <si>
    <t>20/01/2026 17:24</t>
  </si>
  <si>
    <t>TCK-21760</t>
  </si>
  <si>
    <t>28/07/2026 21:26</t>
  </si>
  <si>
    <t>TCK-21092</t>
  </si>
  <si>
    <t>05/03/2026 10:31</t>
  </si>
  <si>
    <t>05/03/2026 17:31</t>
  </si>
  <si>
    <t>TCK-20976</t>
  </si>
  <si>
    <t>01/06/2026 22:23</t>
  </si>
  <si>
    <t>02/06/2026 01:16</t>
  </si>
  <si>
    <t>TCK-23025</t>
  </si>
  <si>
    <t>10/02/2026 04:33</t>
  </si>
  <si>
    <t>TCK-23001</t>
  </si>
  <si>
    <t>12/08/2026 12:09</t>
  </si>
  <si>
    <t>TCK-22515</t>
  </si>
  <si>
    <t>24/07/2026 17:43</t>
  </si>
  <si>
    <t>TCK-21774</t>
  </si>
  <si>
    <t>22/08/2026 03:22</t>
  </si>
  <si>
    <t>23/08/2026 00:00</t>
  </si>
  <si>
    <t>TCK-22070</t>
  </si>
  <si>
    <t>25/01/2026 19:21</t>
  </si>
  <si>
    <t>27/01/2026 05:52</t>
  </si>
  <si>
    <t>TCK-22106</t>
  </si>
  <si>
    <t>07/01/2026 03:31</t>
  </si>
  <si>
    <t>TCK-20341</t>
  </si>
  <si>
    <t>01/08/2026 02:26</t>
  </si>
  <si>
    <t>03/08/2026 16:15</t>
  </si>
  <si>
    <t>TCK-21928</t>
  </si>
  <si>
    <t>13/07/2026 12:30</t>
  </si>
  <si>
    <t>TCK-20338</t>
  </si>
  <si>
    <t>19/04/2026 10:03</t>
  </si>
  <si>
    <t>TCK-22859</t>
  </si>
  <si>
    <t>01/03/2026 23:53</t>
  </si>
  <si>
    <t>02/03/2026 02:08</t>
  </si>
  <si>
    <t>TCK-20904</t>
  </si>
  <si>
    <t>12/01/2026 07:18</t>
  </si>
  <si>
    <t>13/01/2026 03:30</t>
  </si>
  <si>
    <t>TCK-20635</t>
  </si>
  <si>
    <t>14/08/2026 06:25</t>
  </si>
  <si>
    <t>14/08/2026 21:11</t>
  </si>
  <si>
    <t>TCK-23067</t>
  </si>
  <si>
    <t>28/01/2026 06:40</t>
  </si>
  <si>
    <t>28/01/2026 19:09</t>
  </si>
  <si>
    <t>TCK-20902</t>
  </si>
  <si>
    <t>15/08/2026 09:56</t>
  </si>
  <si>
    <t>TCK-20066</t>
  </si>
  <si>
    <t>30/04/2026 21:38</t>
  </si>
  <si>
    <t>01/05/2026 18:22</t>
  </si>
  <si>
    <t>TCK-20079</t>
  </si>
  <si>
    <t>23/05/2026 20:59</t>
  </si>
  <si>
    <t>24/05/2026 18:11</t>
  </si>
  <si>
    <t>TCK-22895</t>
  </si>
  <si>
    <t>31/05/2026 18:31</t>
  </si>
  <si>
    <t>02/06/2026 01:01</t>
  </si>
  <si>
    <t>TCK-21185</t>
  </si>
  <si>
    <t>21/07/2026 11:55</t>
  </si>
  <si>
    <t>TCK-22395</t>
  </si>
  <si>
    <t>15/04/2026 19:38</t>
  </si>
  <si>
    <t>15/04/2026 21:35</t>
  </si>
  <si>
    <t>TCK-21962</t>
  </si>
  <si>
    <t>29/06/2026 18:15</t>
  </si>
  <si>
    <t>01/07/2026 09:53</t>
  </si>
  <si>
    <t>TCK-21978</t>
  </si>
  <si>
    <t>15/06/2026 17:06</t>
  </si>
  <si>
    <t>16/06/2026 17:49</t>
  </si>
  <si>
    <t>TCK-21541</t>
  </si>
  <si>
    <t>19/04/2026 14:58</t>
  </si>
  <si>
    <t>19/04/2026 17:18</t>
  </si>
  <si>
    <t>TCK-20458</t>
  </si>
  <si>
    <t>30/03/2026 14:30</t>
  </si>
  <si>
    <t>30/03/2026 22:51</t>
  </si>
  <si>
    <t>TCK-22176</t>
  </si>
  <si>
    <t>22/01/2026 02:47</t>
  </si>
  <si>
    <t>22/01/2026 09:39</t>
  </si>
  <si>
    <t>TCK-20862</t>
  </si>
  <si>
    <t>01/02/2026 08:56</t>
  </si>
  <si>
    <t>02/02/2026 21:59</t>
  </si>
  <si>
    <t>TCK-22422</t>
  </si>
  <si>
    <t>13/03/2026 15:06</t>
  </si>
  <si>
    <t>13/03/2026 15:49</t>
  </si>
  <si>
    <t>TCK-21473</t>
  </si>
  <si>
    <t>11/02/2026 19:50</t>
  </si>
  <si>
    <t>12/02/2026 06:00</t>
  </si>
  <si>
    <t>TCK-21400</t>
  </si>
  <si>
    <t>04/01/2026 07:43</t>
  </si>
  <si>
    <t>04/01/2026 23:47</t>
  </si>
  <si>
    <t>TCK-21601</t>
  </si>
  <si>
    <t>15/08/2026 21:33</t>
  </si>
  <si>
    <t>TCK-21123</t>
  </si>
  <si>
    <t>23/03/2026 23:59</t>
  </si>
  <si>
    <t>24/03/2026 23:51</t>
  </si>
  <si>
    <t>TCK-20654</t>
  </si>
  <si>
    <t>08/01/2026 21:08</t>
  </si>
  <si>
    <t>TCK-22325</t>
  </si>
  <si>
    <t>01/05/2026 21:26</t>
  </si>
  <si>
    <t>02/05/2026 04:00</t>
  </si>
  <si>
    <t>TCK-22826</t>
  </si>
  <si>
    <t>14/01/2026 22:13</t>
  </si>
  <si>
    <t>TCK-21672</t>
  </si>
  <si>
    <t>24/06/2026 12:16</t>
  </si>
  <si>
    <t>27/06/2026 12:58</t>
  </si>
  <si>
    <t>TCK-23086</t>
  </si>
  <si>
    <t>13/05/2026 23:21</t>
  </si>
  <si>
    <t>TCK-21466</t>
  </si>
  <si>
    <t>26/06/2026 14:34</t>
  </si>
  <si>
    <t>27/06/2026 09:00</t>
  </si>
  <si>
    <t>TCK-22316</t>
  </si>
  <si>
    <t>04/05/2026 08:37</t>
  </si>
  <si>
    <t>TCK-22378</t>
  </si>
  <si>
    <t>20/02/2026 15:04</t>
  </si>
  <si>
    <t>20/02/2026 18:44</t>
  </si>
  <si>
    <t>TCK-22136</t>
  </si>
  <si>
    <t>22/08/2026 07:15</t>
  </si>
  <si>
    <t>23/08/2026 12:39</t>
  </si>
  <si>
    <t>TCK-20010</t>
  </si>
  <si>
    <t>04/01/2026 13:32</t>
  </si>
  <si>
    <t>04/01/2026 17:11</t>
  </si>
  <si>
    <t>TCK-23194</t>
  </si>
  <si>
    <t>19/08/2026 06:57</t>
  </si>
  <si>
    <t>TCK-21179</t>
  </si>
  <si>
    <t>12/03/2026 12:59</t>
  </si>
  <si>
    <t>TCK-20678</t>
  </si>
  <si>
    <t>25/02/2026 10:03</t>
  </si>
  <si>
    <t>TCK-22552</t>
  </si>
  <si>
    <t>26/03/2026 21:18</t>
  </si>
  <si>
    <t>27/03/2026 07:20</t>
  </si>
  <si>
    <t>TCK-22870</t>
  </si>
  <si>
    <t>23/06/2026 22:21</t>
  </si>
  <si>
    <t>TCK-22212</t>
  </si>
  <si>
    <t>15/06/2026 11:11</t>
  </si>
  <si>
    <t>15/06/2026 13:55</t>
  </si>
  <si>
    <t>TCK-20930</t>
  </si>
  <si>
    <t>16/04/2026 06:26</t>
  </si>
  <si>
    <t>TCK-21343</t>
  </si>
  <si>
    <t>08/03/2026 11:12</t>
  </si>
  <si>
    <t>08/03/2026 13:16</t>
  </si>
  <si>
    <t>TCK-22743</t>
  </si>
  <si>
    <t>03/08/2026 13:36</t>
  </si>
  <si>
    <t>TCK-22392</t>
  </si>
  <si>
    <t>10/08/2026 06:41</t>
  </si>
  <si>
    <t>10/08/2026 21:48</t>
  </si>
  <si>
    <t>TCK-22156</t>
  </si>
  <si>
    <t>17/01/2026 10:39</t>
  </si>
  <si>
    <t>18/01/2026 04:38</t>
  </si>
  <si>
    <t>TCK-21194</t>
  </si>
  <si>
    <t>29/08/2026 19:14</t>
  </si>
  <si>
    <t>30/08/2026 05:47</t>
  </si>
  <si>
    <t>TCK-22715</t>
  </si>
  <si>
    <t>03/04/2026 01:45</t>
  </si>
  <si>
    <t>03/04/2026 17:14</t>
  </si>
  <si>
    <t>TCK-22495</t>
  </si>
  <si>
    <t>23/01/2026 16:16</t>
  </si>
  <si>
    <t>24/01/2026 14:11</t>
  </si>
  <si>
    <t>TCK-21965</t>
  </si>
  <si>
    <t>13/06/2026 00:43</t>
  </si>
  <si>
    <t>15/06/2026 00:30</t>
  </si>
  <si>
    <t>TCK-22080</t>
  </si>
  <si>
    <t>20/05/2026 05:58</t>
  </si>
  <si>
    <t>21/05/2026 14:27</t>
  </si>
  <si>
    <t>TCK-22381</t>
  </si>
  <si>
    <t>25/05/2026 09:33</t>
  </si>
  <si>
    <t>TCK-21996</t>
  </si>
  <si>
    <t>26/03/2026 14:35</t>
  </si>
  <si>
    <t>TCK-22028</t>
  </si>
  <si>
    <t>21/03/2026 09:27</t>
  </si>
  <si>
    <t>TCK-21732</t>
  </si>
  <si>
    <t>19/01/2026 22:22</t>
  </si>
  <si>
    <t>20/01/2026 00:19</t>
  </si>
  <si>
    <t>TCK-20050</t>
  </si>
  <si>
    <t>28/07/2026 06:24</t>
  </si>
  <si>
    <t>29/07/2026 00:57</t>
  </si>
  <si>
    <t>TCK-22402</t>
  </si>
  <si>
    <t>26/01/2026 13:32</t>
  </si>
  <si>
    <t>26/01/2026 14:48</t>
  </si>
  <si>
    <t>TCK-20647</t>
  </si>
  <si>
    <t>23/05/2026 20:43</t>
  </si>
  <si>
    <t>28/05/2026 13:53</t>
  </si>
  <si>
    <t>TCK-20291</t>
  </si>
  <si>
    <t>08/04/2026 00:11</t>
  </si>
  <si>
    <t>TCK-20335</t>
  </si>
  <si>
    <t>29/06/2026 19:21</t>
  </si>
  <si>
    <t>TCK-21017</t>
  </si>
  <si>
    <t>06/07/2026 01:09</t>
  </si>
  <si>
    <t>TCK-21502</t>
  </si>
  <si>
    <t>03/02/2026 20:36</t>
  </si>
  <si>
    <t>09/02/2026 15:00</t>
  </si>
  <si>
    <t>TCK-21210</t>
  </si>
  <si>
    <t>11/01/2026 05:47</t>
  </si>
  <si>
    <t>11/01/2026 10:53</t>
  </si>
  <si>
    <t>TCK-22179</t>
  </si>
  <si>
    <t>08/01/2026 03:19</t>
  </si>
  <si>
    <t>09/01/2026 00:46</t>
  </si>
  <si>
    <t>TCK-20205</t>
  </si>
  <si>
    <t>10/04/2026 21:29</t>
  </si>
  <si>
    <t>TCK-20491</t>
  </si>
  <si>
    <t>03/01/2026 04:00</t>
  </si>
  <si>
    <t>TCK-21724</t>
  </si>
  <si>
    <t>05/05/2026 20:23</t>
  </si>
  <si>
    <t>07/05/2026 01:54</t>
  </si>
  <si>
    <t>TCK-23016</t>
  </si>
  <si>
    <t>06/05/2026 05:15</t>
  </si>
  <si>
    <t>TCK-20511</t>
  </si>
  <si>
    <t>18/04/2026 08:38</t>
  </si>
  <si>
    <t>20/04/2026 23:37</t>
  </si>
  <si>
    <t>TCK-23000</t>
  </si>
  <si>
    <t>20/05/2026 13:17</t>
  </si>
  <si>
    <t>TCK-20181</t>
  </si>
  <si>
    <t>20/06/2026 21:29</t>
  </si>
  <si>
    <t>21/06/2026 06:38</t>
  </si>
  <si>
    <t>TCK-21273</t>
  </si>
  <si>
    <t>03/01/2026 00:37</t>
  </si>
  <si>
    <t>03/01/2026 02:00</t>
  </si>
  <si>
    <t>TCK-21830</t>
  </si>
  <si>
    <t>27/05/2026 13:55</t>
  </si>
  <si>
    <t>TCK-22666</t>
  </si>
  <si>
    <t>29/07/2026 10:51</t>
  </si>
  <si>
    <t>29/07/2026 15:03</t>
  </si>
  <si>
    <t>TCK-21599</t>
  </si>
  <si>
    <t>24/02/2026 09:07</t>
  </si>
  <si>
    <t>24/02/2026 11:28</t>
  </si>
  <si>
    <t>TCK-21380</t>
  </si>
  <si>
    <t>26/04/2026 23:45</t>
  </si>
  <si>
    <t>28/04/2026 05:43</t>
  </si>
  <si>
    <t>TCK-21010</t>
  </si>
  <si>
    <t>08/01/2026 15:13</t>
  </si>
  <si>
    <t>08/01/2026 16:45</t>
  </si>
  <si>
    <t>TCK-20080</t>
  </si>
  <si>
    <t>10/03/2026 09:19</t>
  </si>
  <si>
    <t>TCK-20254</t>
  </si>
  <si>
    <t>17/01/2026 01:46</t>
  </si>
  <si>
    <t>17/01/2026 09:35</t>
  </si>
  <si>
    <t>TCK-20615</t>
  </si>
  <si>
    <t>08/05/2026 06:20</t>
  </si>
  <si>
    <t>TCK-20958</t>
  </si>
  <si>
    <t>24/04/2026 20:07</t>
  </si>
  <si>
    <t>26/04/2026 07:23</t>
  </si>
  <si>
    <t>TCK-23123</t>
  </si>
  <si>
    <t>01/06/2026 06:09</t>
  </si>
  <si>
    <t>01/06/2026 09:25</t>
  </si>
  <si>
    <t>TCK-22986</t>
  </si>
  <si>
    <t>20/07/2026 15:56</t>
  </si>
  <si>
    <t>TCK-21926</t>
  </si>
  <si>
    <t>16/07/2026 18:46</t>
  </si>
  <si>
    <t>18/07/2026 00:04</t>
  </si>
  <si>
    <t>TCK-20629</t>
  </si>
  <si>
    <t>03/07/2026 10:01</t>
  </si>
  <si>
    <t>03/07/2026 11:40</t>
  </si>
  <si>
    <t>TCK-22560</t>
  </si>
  <si>
    <t>23/04/2026 19:44</t>
  </si>
  <si>
    <t>24/04/2026 11:39</t>
  </si>
  <si>
    <t>TCK-22146</t>
  </si>
  <si>
    <t>07/07/2026 20:17</t>
  </si>
  <si>
    <t>08/07/2026 21:49</t>
  </si>
  <si>
    <t>TCK-22734</t>
  </si>
  <si>
    <t>09/04/2026 01:02</t>
  </si>
  <si>
    <t>TCK-21583</t>
  </si>
  <si>
    <t>22/08/2026 23:45</t>
  </si>
  <si>
    <t>23/08/2026 04:19</t>
  </si>
  <si>
    <t>TCK-20749</t>
  </si>
  <si>
    <t>05/01/2026 08:31</t>
  </si>
  <si>
    <t>06/01/2026 00:39</t>
  </si>
  <si>
    <t>TCK-21741</t>
  </si>
  <si>
    <t>08/06/2026 08:41</t>
  </si>
  <si>
    <t>08/06/2026 13:30</t>
  </si>
  <si>
    <t>TCK-21767</t>
  </si>
  <si>
    <t>31/03/2026 10:57</t>
  </si>
  <si>
    <t>31/03/2026 14:58</t>
  </si>
  <si>
    <t>TCK-20544</t>
  </si>
  <si>
    <t>09/06/2026 21:32</t>
  </si>
  <si>
    <t>10/06/2026 16:10</t>
  </si>
  <si>
    <t>TCK-20520</t>
  </si>
  <si>
    <t>20/06/2026 22:56</t>
  </si>
  <si>
    <t>21/06/2026 10:55</t>
  </si>
  <si>
    <t>TCK-23046</t>
  </si>
  <si>
    <t>08/06/2026 19:48</t>
  </si>
  <si>
    <t>09/06/2026 00:24</t>
  </si>
  <si>
    <t>TCK-21555</t>
  </si>
  <si>
    <t>07/06/2026 08:31</t>
  </si>
  <si>
    <t>08/06/2026 04:59</t>
  </si>
  <si>
    <t>TCK-21960</t>
  </si>
  <si>
    <t>15/01/2026 17:22</t>
  </si>
  <si>
    <t>16/01/2026 21:14</t>
  </si>
  <si>
    <t>TCK-21769</t>
  </si>
  <si>
    <t>28/01/2026 09:03</t>
  </si>
  <si>
    <t>29/01/2026 15:55</t>
  </si>
  <si>
    <t>TCK-22149</t>
  </si>
  <si>
    <t>03/06/2026 07:42</t>
  </si>
  <si>
    <t>04/06/2026 11:31</t>
  </si>
  <si>
    <t>TCK-20434</t>
  </si>
  <si>
    <t>05/05/2026 21:46</t>
  </si>
  <si>
    <t>06/05/2026 13:18</t>
  </si>
  <si>
    <t>TCK-21074</t>
  </si>
  <si>
    <t>14/05/2026 09:17</t>
  </si>
  <si>
    <t>14/05/2026 12:33</t>
  </si>
  <si>
    <t>TCK-20407</t>
  </si>
  <si>
    <t>05/06/2026 11:56</t>
  </si>
  <si>
    <t>09/06/2026 21:19</t>
  </si>
  <si>
    <t>TCK-22405</t>
  </si>
  <si>
    <t>07/06/2026 09:21</t>
  </si>
  <si>
    <t>07/06/2026 12:17</t>
  </si>
  <si>
    <t>TCK-20159</t>
  </si>
  <si>
    <t>18/03/2026 06:39</t>
  </si>
  <si>
    <t>TCK-22399</t>
  </si>
  <si>
    <t>20/06/2026 00:33</t>
  </si>
  <si>
    <t>TCK-20817</t>
  </si>
  <si>
    <t>18/03/2026 15:46</t>
  </si>
  <si>
    <t>19/03/2026 01:27</t>
  </si>
  <si>
    <t>TCK-21119</t>
  </si>
  <si>
    <t>21/06/2026 00:11</t>
  </si>
  <si>
    <t>22/06/2026 04:14</t>
  </si>
  <si>
    <t>TCK-21018</t>
  </si>
  <si>
    <t>10/07/2026 01:59</t>
  </si>
  <si>
    <t>10/07/2026 03:55</t>
  </si>
  <si>
    <t>TCK-20906</t>
  </si>
  <si>
    <t>20/06/2026 14:58</t>
  </si>
  <si>
    <t>22/06/2026 08:02</t>
  </si>
  <si>
    <t>TCK-22508</t>
  </si>
  <si>
    <t>05/04/2026 02:27</t>
  </si>
  <si>
    <t>06/04/2026 09:07</t>
  </si>
  <si>
    <t>TCK-22990</t>
  </si>
  <si>
    <t>30/01/2026 14:39</t>
  </si>
  <si>
    <t>02/02/2026 04:05</t>
  </si>
  <si>
    <t>TCK-20413</t>
  </si>
  <si>
    <t>06/02/2026 17:19</t>
  </si>
  <si>
    <t>11/02/2026 12:50</t>
  </si>
  <si>
    <t>TCK-22772</t>
  </si>
  <si>
    <t>13/02/2026 06:21</t>
  </si>
  <si>
    <t>TCK-21125</t>
  </si>
  <si>
    <t>25/07/2026 03:38</t>
  </si>
  <si>
    <t>TCK-22809</t>
  </si>
  <si>
    <t>15/08/2026 05:00</t>
  </si>
  <si>
    <t>TCK-22267</t>
  </si>
  <si>
    <t>09/04/2026 14:59</t>
  </si>
  <si>
    <t>09/04/2026 16:47</t>
  </si>
  <si>
    <t>TCK-20510</t>
  </si>
  <si>
    <t>26/05/2026 20:57</t>
  </si>
  <si>
    <t>TCK-20673</t>
  </si>
  <si>
    <t>23/01/2026 04:00</t>
  </si>
  <si>
    <t>23/01/2026 11:50</t>
  </si>
  <si>
    <t>TCK-21069</t>
  </si>
  <si>
    <t>22/03/2026 01:04</t>
  </si>
  <si>
    <t>22/03/2026 18:49</t>
  </si>
  <si>
    <t>TCK-21153</t>
  </si>
  <si>
    <t>06/03/2026 03:07</t>
  </si>
  <si>
    <t>07/03/2026 03:23</t>
  </si>
  <si>
    <t>TCK-22675</t>
  </si>
  <si>
    <t>03/05/2026 09:48</t>
  </si>
  <si>
    <t>08/05/2026 11:12</t>
  </si>
  <si>
    <t>TCK-20468</t>
  </si>
  <si>
    <t>01/02/2026 07:43</t>
  </si>
  <si>
    <t>01/02/2026 18:37</t>
  </si>
  <si>
    <t>TCK-20186</t>
  </si>
  <si>
    <t>21/01/2026 04:17</t>
  </si>
  <si>
    <t>TCK-20382</t>
  </si>
  <si>
    <t>28/05/2026 12:34</t>
  </si>
  <si>
    <t>TCK-21573</t>
  </si>
  <si>
    <t>24/02/2026 08:54</t>
  </si>
  <si>
    <t>TCK-21991</t>
  </si>
  <si>
    <t>29/05/2026 19:02</t>
  </si>
  <si>
    <t>30/05/2026 03:01</t>
  </si>
  <si>
    <t>TCK-20922</t>
  </si>
  <si>
    <t>14/06/2026 19:20</t>
  </si>
  <si>
    <t>TCK-20800</t>
  </si>
  <si>
    <t>10/03/2026 15:34</t>
  </si>
  <si>
    <t>11/03/2026 06:15</t>
  </si>
  <si>
    <t>TCK-22498</t>
  </si>
  <si>
    <t>03/02/2026 18:13</t>
  </si>
  <si>
    <t>TCK-20061</t>
  </si>
  <si>
    <t>09/04/2026 02:43</t>
  </si>
  <si>
    <t>09/04/2026 12:53</t>
  </si>
  <si>
    <t>TCK-23074</t>
  </si>
  <si>
    <t>21/08/2026 11:18</t>
  </si>
  <si>
    <t>21/08/2026 18:29</t>
  </si>
  <si>
    <t>TCK-21511</t>
  </si>
  <si>
    <t>09/03/2026 10:02</t>
  </si>
  <si>
    <t>TCK-21608</t>
  </si>
  <si>
    <t>27/07/2026 08:23</t>
  </si>
  <si>
    <t>27/07/2026 11:19</t>
  </si>
  <si>
    <t>TCK-21315</t>
  </si>
  <si>
    <t>21/08/2026 15:26</t>
  </si>
  <si>
    <t>22/08/2026 14:54</t>
  </si>
  <si>
    <t>TCK-20680</t>
  </si>
  <si>
    <t>01/04/2026 04:23</t>
  </si>
  <si>
    <t>TCK-22697</t>
  </si>
  <si>
    <t>30/06/2026 20:00</t>
  </si>
  <si>
    <t>TCK-22685</t>
  </si>
  <si>
    <t>06/05/2026 11:34</t>
  </si>
  <si>
    <t>06/05/2026 22:31</t>
  </si>
  <si>
    <t>TCK-21610</t>
  </si>
  <si>
    <t>07/02/2026 14:32</t>
  </si>
  <si>
    <t>08/02/2026 11:02</t>
  </si>
  <si>
    <t>TCK-20305</t>
  </si>
  <si>
    <t>24/02/2026 22:06</t>
  </si>
  <si>
    <t>TCK-20739</t>
  </si>
  <si>
    <t>10/03/2026 07:23</t>
  </si>
  <si>
    <t>TCK-21912</t>
  </si>
  <si>
    <t>10/04/2026 23:18</t>
  </si>
  <si>
    <t>12/04/2026 14:09</t>
  </si>
  <si>
    <t>TCK-20428</t>
  </si>
  <si>
    <t>20/03/2026 18:40</t>
  </si>
  <si>
    <t>TCK-21827</t>
  </si>
  <si>
    <t>08/08/2026 09:05</t>
  </si>
  <si>
    <t>TCK-21152</t>
  </si>
  <si>
    <t>28/05/2026 12:03</t>
  </si>
  <si>
    <t>TCK-21532</t>
  </si>
  <si>
    <t>16/08/2026 16:04</t>
  </si>
  <si>
    <t>17/08/2026 05:48</t>
  </si>
  <si>
    <t>TCK-23029</t>
  </si>
  <si>
    <t>11/04/2026 09:24</t>
  </si>
  <si>
    <t>12/04/2026 05:34</t>
  </si>
  <si>
    <t>TCK-20649</t>
  </si>
  <si>
    <t>13/03/2026 19:56</t>
  </si>
  <si>
    <t>TCK-22799</t>
  </si>
  <si>
    <t>25/06/2026 13:41</t>
  </si>
  <si>
    <t>TCK-22189</t>
  </si>
  <si>
    <t>14/01/2026 04:37</t>
  </si>
  <si>
    <t>15/01/2026 05:01</t>
  </si>
  <si>
    <t>TCK-21090</t>
  </si>
  <si>
    <t>20/06/2026 07:07</t>
  </si>
  <si>
    <t>22/06/2026 20:21</t>
  </si>
  <si>
    <t>TCK-22512</t>
  </si>
  <si>
    <t>09/08/2026 18:11</t>
  </si>
  <si>
    <t>10/08/2026 02:30</t>
  </si>
  <si>
    <t>TCK-21974</t>
  </si>
  <si>
    <t>20/04/2026 19:42</t>
  </si>
  <si>
    <t>20/04/2026 22:49</t>
  </si>
  <si>
    <t>TCK-21362</t>
  </si>
  <si>
    <t>14/07/2026 20:12</t>
  </si>
  <si>
    <t>TCK-21423</t>
  </si>
  <si>
    <t>14/01/2026 00:58</t>
  </si>
  <si>
    <t>15/01/2026 02:02</t>
  </si>
  <si>
    <t>TCK-22233</t>
  </si>
  <si>
    <t>04/06/2026 08:37</t>
  </si>
  <si>
    <t>TCK-20681</t>
  </si>
  <si>
    <t>24/02/2026 07:07</t>
  </si>
  <si>
    <t>24/02/2026 11:04</t>
  </si>
  <si>
    <t>TCK-22740</t>
  </si>
  <si>
    <t>18/01/2026 13:50</t>
  </si>
  <si>
    <t>23/01/2026 10:35</t>
  </si>
  <si>
    <t>TCK-22328</t>
  </si>
  <si>
    <t>02/06/2026 06:07</t>
  </si>
  <si>
    <t>TCK-21683</t>
  </si>
  <si>
    <t>05/03/2026 20:47</t>
  </si>
  <si>
    <t>TCK-21206</t>
  </si>
  <si>
    <t>28/02/2026 04:39</t>
  </si>
  <si>
    <t>28/02/2026 23:46</t>
  </si>
  <si>
    <t>TCK-20597</t>
  </si>
  <si>
    <t>17/01/2026 01:26</t>
  </si>
  <si>
    <t>17/01/2026 21:38</t>
  </si>
  <si>
    <t>TCK-21698</t>
  </si>
  <si>
    <t>20/05/2026 11:33</t>
  </si>
  <si>
    <t>21/05/2026 13:54</t>
  </si>
  <si>
    <t>TCK-22665</t>
  </si>
  <si>
    <t>24/03/2026 06:41</t>
  </si>
  <si>
    <t>TCK-21529</t>
  </si>
  <si>
    <t>25/04/2026 14:20</t>
  </si>
  <si>
    <t>TCK-20037</t>
  </si>
  <si>
    <t>26/05/2026 12:50</t>
  </si>
  <si>
    <t>26/05/2026 20:12</t>
  </si>
  <si>
    <t>TCK-20851</t>
  </si>
  <si>
    <t>17/02/2026 23:07</t>
  </si>
  <si>
    <t>TCK-20231</t>
  </si>
  <si>
    <t>15/01/2026 22:31</t>
  </si>
  <si>
    <t>TCK-22072</t>
  </si>
  <si>
    <t>04/01/2026 16:55</t>
  </si>
  <si>
    <t>TCK-20365</t>
  </si>
  <si>
    <t>12/03/2026 20:18</t>
  </si>
  <si>
    <t>13/03/2026 02:07</t>
  </si>
  <si>
    <t>TCK-21107</t>
  </si>
  <si>
    <t>15/01/2026 10:15</t>
  </si>
  <si>
    <t>16/01/2026 05:38</t>
  </si>
  <si>
    <t>TCK-20455</t>
  </si>
  <si>
    <t>05/08/2026 20:58</t>
  </si>
  <si>
    <t>06/08/2026 02:50</t>
  </si>
  <si>
    <t>TCK-21593</t>
  </si>
  <si>
    <t>06/02/2026 12:20</t>
  </si>
  <si>
    <t>TCK-20905</t>
  </si>
  <si>
    <t>15/07/2026 03:42</t>
  </si>
  <si>
    <t>20/07/2026 19:31</t>
  </si>
  <si>
    <t>TCK-21040</t>
  </si>
  <si>
    <t>15/01/2026 08:28</t>
  </si>
  <si>
    <t>18/01/2026 01:43</t>
  </si>
  <si>
    <t>TCK-22442</t>
  </si>
  <si>
    <t>29/07/2026 11:19</t>
  </si>
  <si>
    <t>TCK-20864</t>
  </si>
  <si>
    <t>26/01/2026 22:35</t>
  </si>
  <si>
    <t>26/01/2026 23:09</t>
  </si>
  <si>
    <t>TCK-23167</t>
  </si>
  <si>
    <t>15/01/2026 22:22</t>
  </si>
  <si>
    <t>17/01/2026 12:22</t>
  </si>
  <si>
    <t>TCK-23050</t>
  </si>
  <si>
    <t>13/08/2026 21:00</t>
  </si>
  <si>
    <t>16/08/2026 07:35</t>
  </si>
  <si>
    <t>TCK-22184</t>
  </si>
  <si>
    <t>12/08/2026 22:30</t>
  </si>
  <si>
    <t>TCK-20805</t>
  </si>
  <si>
    <t>21/06/2026 04:58</t>
  </si>
  <si>
    <t>26/06/2026 10:22</t>
  </si>
  <si>
    <t>TCK-21966</t>
  </si>
  <si>
    <t>28/05/2026 07:41</t>
  </si>
  <si>
    <t>28/05/2026 17:41</t>
  </si>
  <si>
    <t>TCK-20223</t>
  </si>
  <si>
    <t>28/03/2026 10:07</t>
  </si>
  <si>
    <t>29/03/2026 18:29</t>
  </si>
  <si>
    <t>TCK-22897</t>
  </si>
  <si>
    <t>19/06/2026 10:28</t>
  </si>
  <si>
    <t>TCK-20503</t>
  </si>
  <si>
    <t>30/06/2026 08:20</t>
  </si>
  <si>
    <t>30/06/2026 10:50</t>
  </si>
  <si>
    <t>TCK-22447</t>
  </si>
  <si>
    <t>25/07/2026 17:58</t>
  </si>
  <si>
    <t>25/07/2026 20:35</t>
  </si>
  <si>
    <t>TCK-22022</t>
  </si>
  <si>
    <t>15/02/2026 11:44</t>
  </si>
  <si>
    <t>TCK-21977</t>
  </si>
  <si>
    <t>24/06/2026 21:25</t>
  </si>
  <si>
    <t>25/06/2026 16:15</t>
  </si>
  <si>
    <t>TCK-22031</t>
  </si>
  <si>
    <t>19/01/2026 20:55</t>
  </si>
  <si>
    <t>20/01/2026 12:03</t>
  </si>
  <si>
    <t>TCK-22741</t>
  </si>
  <si>
    <t>10/01/2026 04:07</t>
  </si>
  <si>
    <t>10/01/2026 19:04</t>
  </si>
  <si>
    <t>TCK-20916</t>
  </si>
  <si>
    <t>05/03/2026 10:58</t>
  </si>
  <si>
    <t>TCK-21472</t>
  </si>
  <si>
    <t>22/07/2026 20:50</t>
  </si>
  <si>
    <t>24/07/2026 15:14</t>
  </si>
  <si>
    <t>TCK-23149</t>
  </si>
  <si>
    <t>28/03/2026 21:39</t>
  </si>
  <si>
    <t>TCK-21814</t>
  </si>
  <si>
    <t>03/07/2026 16:15</t>
  </si>
  <si>
    <t>03/07/2026 17:29</t>
  </si>
  <si>
    <t>TCK-22486</t>
  </si>
  <si>
    <t>30/06/2026 16:36</t>
  </si>
  <si>
    <t>01/07/2026 08:01</t>
  </si>
  <si>
    <t>TCK-21034</t>
  </si>
  <si>
    <t>17/08/2026 11:29</t>
  </si>
  <si>
    <t>20/08/2026 00:16</t>
  </si>
  <si>
    <t>TCK-22969</t>
  </si>
  <si>
    <t>05/05/2026 17:11</t>
  </si>
  <si>
    <t>TCK-22252</t>
  </si>
  <si>
    <t>07/04/2026 20:51</t>
  </si>
  <si>
    <t>08/04/2026 14:59</t>
  </si>
  <si>
    <t>TCK-20351</t>
  </si>
  <si>
    <t>04/03/2026 11:40</t>
  </si>
  <si>
    <t>04/03/2026 16:13</t>
  </si>
  <si>
    <t>TCK-22652</t>
  </si>
  <si>
    <t>22/06/2026 05:08</t>
  </si>
  <si>
    <t>22/06/2026 11:33</t>
  </si>
  <si>
    <t>TCK-21146</t>
  </si>
  <si>
    <t>12/06/2026 18:10</t>
  </si>
  <si>
    <t>13/06/2026 11:50</t>
  </si>
  <si>
    <t>TCK-22526</t>
  </si>
  <si>
    <t>17/05/2026 17:00</t>
  </si>
  <si>
    <t>17/05/2026 17:33</t>
  </si>
  <si>
    <t>TCK-20277</t>
  </si>
  <si>
    <t>25/06/2026 00:23</t>
  </si>
  <si>
    <t>TCK-20522</t>
  </si>
  <si>
    <t>30/01/2026 05:59</t>
  </si>
  <si>
    <t>30/01/2026 06:31</t>
  </si>
  <si>
    <t>TCK-21968</t>
  </si>
  <si>
    <t>07/08/2026 00:38</t>
  </si>
  <si>
    <t>07/08/2026 15:50</t>
  </si>
  <si>
    <t>TCK-20141</t>
  </si>
  <si>
    <t>11/03/2026 21:36</t>
  </si>
  <si>
    <t>TCK-21217</t>
  </si>
  <si>
    <t>17/04/2026 15:40</t>
  </si>
  <si>
    <t>18/04/2026 01:53</t>
  </si>
  <si>
    <t>TCK-20350</t>
  </si>
  <si>
    <t>25/06/2026 22:42</t>
  </si>
  <si>
    <t>26/06/2026 13:52</t>
  </si>
  <si>
    <t>TCK-23031</t>
  </si>
  <si>
    <t>12/03/2026 03:59</t>
  </si>
  <si>
    <t>12/03/2026 19:49</t>
  </si>
  <si>
    <t>TCK-22885</t>
  </si>
  <si>
    <t>24/07/2026 21:00</t>
  </si>
  <si>
    <t>27/07/2026 09:17</t>
  </si>
  <si>
    <t>TCK-22871</t>
  </si>
  <si>
    <t>07/08/2026 21:18</t>
  </si>
  <si>
    <t>TCK-21879</t>
  </si>
  <si>
    <t>27/03/2026 06:01</t>
  </si>
  <si>
    <t>29/03/2026 22:53</t>
  </si>
  <si>
    <t>TCK-20732</t>
  </si>
  <si>
    <t>11/08/2026 18:54</t>
  </si>
  <si>
    <t>TCK-21880</t>
  </si>
  <si>
    <t>05/04/2026 03:19</t>
  </si>
  <si>
    <t>05/04/2026 14:12</t>
  </si>
  <si>
    <t>TCK-20501</t>
  </si>
  <si>
    <t>22/01/2026 23:11</t>
  </si>
  <si>
    <t>23/01/2026 17:58</t>
  </si>
  <si>
    <t>TCK-20140</t>
  </si>
  <si>
    <t>30/03/2026 11:28</t>
  </si>
  <si>
    <t>TCK-20880</t>
  </si>
  <si>
    <t>01/01/2026 16:57</t>
  </si>
  <si>
    <t>01/01/2026 20:22</t>
  </si>
  <si>
    <t>TCK-21422</t>
  </si>
  <si>
    <t>09/05/2026 20:17</t>
  </si>
  <si>
    <t>10/05/2026 03:24</t>
  </si>
  <si>
    <t>TCK-22356</t>
  </si>
  <si>
    <t>15/03/2026 11:39</t>
  </si>
  <si>
    <t>16/03/2026 21:51</t>
  </si>
  <si>
    <t>TCK-22716</t>
  </si>
  <si>
    <t>06/06/2026 04:36</t>
  </si>
  <si>
    <t>06/06/2026 22:59</t>
  </si>
  <si>
    <t>TCK-20110</t>
  </si>
  <si>
    <t>28/03/2026 17:10</t>
  </si>
  <si>
    <t>28/03/2026 23:57</t>
  </si>
  <si>
    <t>TCK-21565</t>
  </si>
  <si>
    <t>07/02/2026 13:44</t>
  </si>
  <si>
    <t>TCK-22238</t>
  </si>
  <si>
    <t>14/05/2026 23:08</t>
  </si>
  <si>
    <t>TCK-21365</t>
  </si>
  <si>
    <t>06/01/2026 02:18</t>
  </si>
  <si>
    <t>TCK-22810</t>
  </si>
  <si>
    <t>13/05/2026 17:02</t>
  </si>
  <si>
    <t>15/05/2026 02:28</t>
  </si>
  <si>
    <t>TCK-22795</t>
  </si>
  <si>
    <t>14/03/2026 07:30</t>
  </si>
  <si>
    <t>TCK-22126</t>
  </si>
  <si>
    <t>30/06/2026 01:25</t>
  </si>
  <si>
    <t>30/06/2026 22:20</t>
  </si>
  <si>
    <t>TCK-22459</t>
  </si>
  <si>
    <t>27/02/2026 21:45</t>
  </si>
  <si>
    <t>28/02/2026 12:55</t>
  </si>
  <si>
    <t>TCK-20267</t>
  </si>
  <si>
    <t>19/01/2026 17:44</t>
  </si>
  <si>
    <t>TCK-20381</t>
  </si>
  <si>
    <t>01/04/2026 22:21</t>
  </si>
  <si>
    <t>04/04/2026 20:19</t>
  </si>
  <si>
    <t>TCK-20213</t>
  </si>
  <si>
    <t>20/08/2026 17:28</t>
  </si>
  <si>
    <t>21/08/2026 15:11</t>
  </si>
  <si>
    <t>TCK-22842</t>
  </si>
  <si>
    <t>22/02/2026 22:59</t>
  </si>
  <si>
    <t>27/02/2026 23:40</t>
  </si>
  <si>
    <t>TCK-22090</t>
  </si>
  <si>
    <t>02/01/2026 22:18</t>
  </si>
  <si>
    <t>TCK-22632</t>
  </si>
  <si>
    <t>14/06/2026 13:56</t>
  </si>
  <si>
    <t>15/06/2026 07:01</t>
  </si>
  <si>
    <t>TCK-23179</t>
  </si>
  <si>
    <t>10/03/2026 19:39</t>
  </si>
  <si>
    <t>TCK-20657</t>
  </si>
  <si>
    <t>20/03/2026 01:35</t>
  </si>
  <si>
    <t>20/03/2026 20:06</t>
  </si>
  <si>
    <t>TCK-21717</t>
  </si>
  <si>
    <t>09/04/2026 19:04</t>
  </si>
  <si>
    <t>10/04/2026 16:02</t>
  </si>
  <si>
    <t>TCK-20151</t>
  </si>
  <si>
    <t>02/06/2026 10:13</t>
  </si>
  <si>
    <t>02/06/2026 14:03</t>
  </si>
  <si>
    <t>TCK-20833</t>
  </si>
  <si>
    <t>16/04/2026 21:28</t>
  </si>
  <si>
    <t>17/04/2026 00:16</t>
  </si>
  <si>
    <t>TCK-21441</t>
  </si>
  <si>
    <t>04/07/2026 13:57</t>
  </si>
  <si>
    <t>TCK-20022</t>
  </si>
  <si>
    <t>13/08/2026 10:50</t>
  </si>
  <si>
    <t>TCK-22291</t>
  </si>
  <si>
    <t>10/08/2026 04:46</t>
  </si>
  <si>
    <t>13/08/2026 02:19</t>
  </si>
  <si>
    <t>TCK-20060</t>
  </si>
  <si>
    <t>04/02/2026 10:16</t>
  </si>
  <si>
    <t>TCK-20044</t>
  </si>
  <si>
    <t>18/04/2026 00:47</t>
  </si>
  <si>
    <t>18/04/2026 22:26</t>
  </si>
  <si>
    <t>TCK-20447</t>
  </si>
  <si>
    <t>19/05/2026 11:11</t>
  </si>
  <si>
    <t>19/05/2026 23:44</t>
  </si>
  <si>
    <t>TCK-22569</t>
  </si>
  <si>
    <t>08/06/2026 14:45</t>
  </si>
  <si>
    <t>08/06/2026 16:33</t>
  </si>
  <si>
    <t>TCK-21484</t>
  </si>
  <si>
    <t>11/05/2026 11:32</t>
  </si>
  <si>
    <t>11/05/2026 12:25</t>
  </si>
  <si>
    <t>TCK-21025</t>
  </si>
  <si>
    <t>17/04/2026 00:34</t>
  </si>
  <si>
    <t>TCK-20346</t>
  </si>
  <si>
    <t>02/03/2026 12:18</t>
  </si>
  <si>
    <t>03/03/2026 04:09</t>
  </si>
  <si>
    <t>TCK-22915</t>
  </si>
  <si>
    <t>27/08/2026 02:22</t>
  </si>
  <si>
    <t>28/08/2026 20:12</t>
  </si>
  <si>
    <t>TCK-20937</t>
  </si>
  <si>
    <t>20/08/2026 05:55</t>
  </si>
  <si>
    <t>23/08/2026 02:55</t>
  </si>
  <si>
    <t>TCK-20588</t>
  </si>
  <si>
    <t>19/01/2026 00:36</t>
  </si>
  <si>
    <t>19/01/2026 03:19</t>
  </si>
  <si>
    <t>TCK-21591</t>
  </si>
  <si>
    <t>06/02/2026 18:41</t>
  </si>
  <si>
    <t>07/02/2026 17:49</t>
  </si>
  <si>
    <t>TCK-21453</t>
  </si>
  <si>
    <t>03/03/2026 16:13</t>
  </si>
  <si>
    <t>03/03/2026 17:02</t>
  </si>
  <si>
    <t>TCK-22889</t>
  </si>
  <si>
    <t>TCK-22594</t>
  </si>
  <si>
    <t>06/08/2026 15:17</t>
  </si>
  <si>
    <t>06/08/2026 20:27</t>
  </si>
  <si>
    <t>TCK-20004</t>
  </si>
  <si>
    <t>29/06/2026 22:16</t>
  </si>
  <si>
    <t>TCK-21975</t>
  </si>
  <si>
    <t>24/01/2026 09:42</t>
  </si>
  <si>
    <t>24/01/2026 16:00</t>
  </si>
  <si>
    <t>TCK-22039</t>
  </si>
  <si>
    <t>06/04/2026 10:40</t>
  </si>
  <si>
    <t>TCK-22204</t>
  </si>
  <si>
    <t>12/07/2026 16:18</t>
  </si>
  <si>
    <t>16/07/2026 09:53</t>
  </si>
  <si>
    <t>TCK-20007</t>
  </si>
  <si>
    <t>30/03/2026 14:37</t>
  </si>
  <si>
    <t>30/03/2026 15:26</t>
  </si>
  <si>
    <t>TCK-22086</t>
  </si>
  <si>
    <t>24/08/2026 00:41</t>
  </si>
  <si>
    <t>24/08/2026 18:27</t>
  </si>
  <si>
    <t>TCK-20167</t>
  </si>
  <si>
    <t>28/08/2026 15:16</t>
  </si>
  <si>
    <t>01/09/2026 07:29</t>
  </si>
  <si>
    <t>TCK-23013</t>
  </si>
  <si>
    <t>22/06/2026 14:19</t>
  </si>
  <si>
    <t>TCK-20924</t>
  </si>
  <si>
    <t>23/08/2026 15:33</t>
  </si>
  <si>
    <t>24/08/2026 03:43</t>
  </si>
  <si>
    <t>TCK-21237</t>
  </si>
  <si>
    <t>30/03/2026 16:12</t>
  </si>
  <si>
    <t>31/03/2026 20:32</t>
  </si>
  <si>
    <t>TCK-21488</t>
  </si>
  <si>
    <t>03/07/2026 12:17</t>
  </si>
  <si>
    <t>03/07/2026 22:58</t>
  </si>
  <si>
    <t>TCK-20453</t>
  </si>
  <si>
    <t>20/08/2026 18:37</t>
  </si>
  <si>
    <t>TCK-21643</t>
  </si>
  <si>
    <t>02/04/2026 19:31</t>
  </si>
  <si>
    <t>TCK-20001</t>
  </si>
  <si>
    <t>23/08/2026 23:59</t>
  </si>
  <si>
    <t>24/08/2026 08:36</t>
  </si>
  <si>
    <t>TCK-21411</t>
  </si>
  <si>
    <t>TCK-21345</t>
  </si>
  <si>
    <t>06/06/2026 10:24</t>
  </si>
  <si>
    <t>08/06/2026 03:35</t>
  </si>
  <si>
    <t>TCK-22673</t>
  </si>
  <si>
    <t>27/05/2026 16:19</t>
  </si>
  <si>
    <t>28/05/2026 21:22</t>
  </si>
  <si>
    <t>TCK-22427</t>
  </si>
  <si>
    <t>09/02/2026 19:19</t>
  </si>
  <si>
    <t>TCK-20838</t>
  </si>
  <si>
    <t>13/05/2026 13:37</t>
  </si>
  <si>
    <t>TCK-23191</t>
  </si>
  <si>
    <t>01/08/2026 11:09</t>
  </si>
  <si>
    <t>TCK-22491</t>
  </si>
  <si>
    <t>25/01/2026 20:40</t>
  </si>
  <si>
    <t>26/01/2026 03:32</t>
  </si>
  <si>
    <t>TCK-21443</t>
  </si>
  <si>
    <t>05/01/2026 11:02</t>
  </si>
  <si>
    <t>06/01/2026 03:20</t>
  </si>
  <si>
    <t>TCK-20972</t>
  </si>
  <si>
    <t>01/08/2026 17:23</t>
  </si>
  <si>
    <t>02/08/2026 15:46</t>
  </si>
  <si>
    <t>TCK-20826</t>
  </si>
  <si>
    <t>20/07/2026 12:04</t>
  </si>
  <si>
    <t>TCK-23114</t>
  </si>
  <si>
    <t>15/04/2026 03:17</t>
  </si>
  <si>
    <t>15/04/2026 08:51</t>
  </si>
  <si>
    <t>TCK-20789</t>
  </si>
  <si>
    <t>23/06/2026 07:09</t>
  </si>
  <si>
    <t>TCK-21863</t>
  </si>
  <si>
    <t>20/03/2026 02:21</t>
  </si>
  <si>
    <t>20/03/2026 11:39</t>
  </si>
  <si>
    <t>TCK-23137</t>
  </si>
  <si>
    <t>02/08/2026 20:28</t>
  </si>
  <si>
    <t>TCK-22098</t>
  </si>
  <si>
    <t>20/08/2026 11:45</t>
  </si>
  <si>
    <t>TCK-22205</t>
  </si>
  <si>
    <t>18/05/2026 07:08</t>
  </si>
  <si>
    <t>23/05/2026 05:55</t>
  </si>
  <si>
    <t>TCK-20493</t>
  </si>
  <si>
    <t>28/08/2026 23:59</t>
  </si>
  <si>
    <t>TCK-22525</t>
  </si>
  <si>
    <t>27/06/2026 12:06</t>
  </si>
  <si>
    <t>28/06/2026 00:06</t>
  </si>
  <si>
    <t>TCK-21782</t>
  </si>
  <si>
    <t>23/04/2026 10:09</t>
  </si>
  <si>
    <t>TCK-21654</t>
  </si>
  <si>
    <t>25/04/2026 02:59</t>
  </si>
  <si>
    <t>25/04/2026 21:54</t>
  </si>
  <si>
    <t>TCK-21545</t>
  </si>
  <si>
    <t>23/01/2026 15:54</t>
  </si>
  <si>
    <t>24/01/2026 12:23</t>
  </si>
  <si>
    <t>TCK-20630</t>
  </si>
  <si>
    <t>18/06/2026 02:42</t>
  </si>
  <si>
    <t>18/06/2026 17:58</t>
  </si>
  <si>
    <t>TCK-22604</t>
  </si>
  <si>
    <t>02/07/2026 20:16</t>
  </si>
  <si>
    <t>TCK-22010</t>
  </si>
  <si>
    <t>07/01/2026 09:02</t>
  </si>
  <si>
    <t>TCK-22511</t>
  </si>
  <si>
    <t>23/06/2026 07:26</t>
  </si>
  <si>
    <t>TCK-22079</t>
  </si>
  <si>
    <t>02/05/2026 20:25</t>
  </si>
  <si>
    <t>03/05/2026 08:54</t>
  </si>
  <si>
    <t>TCK-21982</t>
  </si>
  <si>
    <t>23/07/2026 10:30</t>
  </si>
  <si>
    <t>23/07/2026 13:25</t>
  </si>
  <si>
    <t>TCK-21006</t>
  </si>
  <si>
    <t>05/03/2026 08:05</t>
  </si>
  <si>
    <t>TCK-22616</t>
  </si>
  <si>
    <t>27/01/2026 02:55</t>
  </si>
  <si>
    <t>27/01/2026 14:28</t>
  </si>
  <si>
    <t>TCK-21117</t>
  </si>
  <si>
    <t>17/05/2026 15:14</t>
  </si>
  <si>
    <t>TCK-20470</t>
  </si>
  <si>
    <t>09/04/2026 21:05</t>
  </si>
  <si>
    <t>TCK-20874</t>
  </si>
  <si>
    <t>12/07/2026 13:03</t>
  </si>
  <si>
    <t>12/07/2026 14:50</t>
  </si>
  <si>
    <t>TCK-20633</t>
  </si>
  <si>
    <t>15/04/2026 23:45</t>
  </si>
  <si>
    <t>16/04/2026 06:29</t>
  </si>
  <si>
    <t>TCK-22400</t>
  </si>
  <si>
    <t>TCK-20234</t>
  </si>
  <si>
    <t>12/04/2026 10:30</t>
  </si>
  <si>
    <t>12/04/2026 11:57</t>
  </si>
  <si>
    <t>TCK-21160</t>
  </si>
  <si>
    <t>31/01/2026 09:55</t>
  </si>
  <si>
    <t>31/01/2026 22:02</t>
  </si>
  <si>
    <t>TCK-21920</t>
  </si>
  <si>
    <t>03/07/2026 12:44</t>
  </si>
  <si>
    <t>TCK-22692</t>
  </si>
  <si>
    <t>27/02/2026 05:15</t>
  </si>
  <si>
    <t>TCK-22194</t>
  </si>
  <si>
    <t>20/06/2026 04:33</t>
  </si>
  <si>
    <t>TCK-22138</t>
  </si>
  <si>
    <t>09/08/2026 11:12</t>
  </si>
  <si>
    <t>11/08/2026 23:37</t>
  </si>
  <si>
    <t>TCK-20444</t>
  </si>
  <si>
    <t>23/07/2026 11:28</t>
  </si>
  <si>
    <t>23/07/2026 23:08</t>
  </si>
  <si>
    <t>TCK-21766</t>
  </si>
  <si>
    <t>10/04/2026 11:26</t>
  </si>
  <si>
    <t>10/04/2026 20:21</t>
  </si>
  <si>
    <t>TCK-21485</t>
  </si>
  <si>
    <t>06/06/2026 18:32</t>
  </si>
  <si>
    <t>TCK-21134</t>
  </si>
  <si>
    <t>30/05/2026 14:27</t>
  </si>
  <si>
    <t>TCK-20462</t>
  </si>
  <si>
    <t>10/03/2026 05:21</t>
  </si>
  <si>
    <t>11/03/2026 01:24</t>
  </si>
  <si>
    <t>TCK-21254</t>
  </si>
  <si>
    <t>18/05/2026 15:54</t>
  </si>
  <si>
    <t>19/05/2026 13:44</t>
  </si>
  <si>
    <t>TCK-22851</t>
  </si>
  <si>
    <t>11/08/2026 06:03</t>
  </si>
  <si>
    <t>TCK-21805</t>
  </si>
  <si>
    <t>04/07/2026 07:12</t>
  </si>
  <si>
    <t>TCK-21011</t>
  </si>
  <si>
    <t>13/07/2026 18:20</t>
  </si>
  <si>
    <t>14/07/2026 05:05</t>
  </si>
  <si>
    <t>TCK-21483</t>
  </si>
  <si>
    <t>16/07/2026 05:15</t>
  </si>
  <si>
    <t>TCK-20561</t>
  </si>
  <si>
    <t>15/02/2026 07:54</t>
  </si>
  <si>
    <t>TCK-22759</t>
  </si>
  <si>
    <t>21/06/2026 17:17</t>
  </si>
  <si>
    <t>TCK-22171</t>
  </si>
  <si>
    <t>09/01/2026 14:55</t>
  </si>
  <si>
    <t>10/01/2026 19:25</t>
  </si>
  <si>
    <t>TCK-21680</t>
  </si>
  <si>
    <t>17/01/2026 18:32</t>
  </si>
  <si>
    <t>TCK-23115</t>
  </si>
  <si>
    <t>10/01/2026 05:43</t>
  </si>
  <si>
    <t>10/01/2026 07:13</t>
  </si>
  <si>
    <t>TCK-23172</t>
  </si>
  <si>
    <t>13/07/2026 14:49</t>
  </si>
  <si>
    <t>TCK-20260</t>
  </si>
  <si>
    <t>09/01/2026 03:14</t>
  </si>
  <si>
    <t>TCK-20016</t>
  </si>
  <si>
    <t>TCK-22312</t>
  </si>
  <si>
    <t>29/04/2026 12:20</t>
  </si>
  <si>
    <t>29/04/2026 22:24</t>
  </si>
  <si>
    <t>TCK-22383</t>
  </si>
  <si>
    <t>27/06/2026 20:13</t>
  </si>
  <si>
    <t>28/06/2026 03:25</t>
  </si>
  <si>
    <t>TCK-22270</t>
  </si>
  <si>
    <t>16/03/2026 15:28</t>
  </si>
  <si>
    <t>17/03/2026 07:06</t>
  </si>
  <si>
    <t>TCK-22113</t>
  </si>
  <si>
    <t>13/05/2026 03:04</t>
  </si>
  <si>
    <t>13/05/2026 08:29</t>
  </si>
  <si>
    <t>TCK-21455</t>
  </si>
  <si>
    <t>07/01/2026 12:42</t>
  </si>
  <si>
    <t>TCK-20125</t>
  </si>
  <si>
    <t>11/05/2026 01:08</t>
  </si>
  <si>
    <t>16/05/2026 12:26</t>
  </si>
  <si>
    <t>TCK-20136</t>
  </si>
  <si>
    <t>24/05/2026 15:32</t>
  </si>
  <si>
    <t>24/05/2026 17:59</t>
  </si>
  <si>
    <t>TCK-22789</t>
  </si>
  <si>
    <t>24/01/2026 18:38</t>
  </si>
  <si>
    <t>26/01/2026 05:33</t>
  </si>
  <si>
    <t>TCK-21864</t>
  </si>
  <si>
    <t>22/08/2026 23:24</t>
  </si>
  <si>
    <t>TCK-20908</t>
  </si>
  <si>
    <t>10/03/2026 10:55</t>
  </si>
  <si>
    <t>10/03/2026 13:14</t>
  </si>
  <si>
    <t>TCK-20388</t>
  </si>
  <si>
    <t>02/05/2026 20:45</t>
  </si>
  <si>
    <t>03/05/2026 16:28</t>
  </si>
  <si>
    <t>TCK-20367</t>
  </si>
  <si>
    <t>29/04/2026 09:17</t>
  </si>
  <si>
    <t>TCK-21195</t>
  </si>
  <si>
    <t>31/05/2026 15:35</t>
  </si>
  <si>
    <t>03/06/2026 21:25</t>
  </si>
  <si>
    <t>TCK-20622</t>
  </si>
  <si>
    <t>20/03/2026 15:13</t>
  </si>
  <si>
    <t>TCK-22145</t>
  </si>
  <si>
    <t>22/07/2026 03:45</t>
  </si>
  <si>
    <t>23/07/2026 01:03</t>
  </si>
  <si>
    <t>TCK-21397</t>
  </si>
  <si>
    <t>18/03/2026 01:31</t>
  </si>
  <si>
    <t>18/03/2026 20:07</t>
  </si>
  <si>
    <t>TCK-20676</t>
  </si>
  <si>
    <t>07/03/2026 18:25</t>
  </si>
  <si>
    <t>TCK-20436</t>
  </si>
  <si>
    <t>26/04/2026 04:10</t>
  </si>
  <si>
    <t>26/04/2026 18:37</t>
  </si>
  <si>
    <t>TCK-22043</t>
  </si>
  <si>
    <t>29/04/2026 12:44</t>
  </si>
  <si>
    <t>29/04/2026 20:04</t>
  </si>
  <si>
    <t>TCK-20845</t>
  </si>
  <si>
    <t>25/03/2026 23:45</t>
  </si>
  <si>
    <t>26/03/2026 19:34</t>
  </si>
  <si>
    <t>TCK-22728</t>
  </si>
  <si>
    <t>14/02/2026 02:26</t>
  </si>
  <si>
    <t>14/02/2026 08:20</t>
  </si>
  <si>
    <t>TCK-20898</t>
  </si>
  <si>
    <t>24/06/2026 16:30</t>
  </si>
  <si>
    <t>25/06/2026 12:37</t>
  </si>
  <si>
    <t>TCK-20296</t>
  </si>
  <si>
    <t>28/08/2026 02:55</t>
  </si>
  <si>
    <t>TCK-22327</t>
  </si>
  <si>
    <t>27/04/2026 14:42</t>
  </si>
  <si>
    <t>27/04/2026 17:26</t>
  </si>
  <si>
    <t>TCK-20226</t>
  </si>
  <si>
    <t>09/03/2026 14:31</t>
  </si>
  <si>
    <t>11/03/2026 06:39</t>
  </si>
  <si>
    <t>TCK-22568</t>
  </si>
  <si>
    <t>06/08/2026 13:23</t>
  </si>
  <si>
    <t>06/08/2026 20:34</t>
  </si>
  <si>
    <t>TCK-22888</t>
  </si>
  <si>
    <t>15/02/2026 06:06</t>
  </si>
  <si>
    <t>15/02/2026 23:27</t>
  </si>
  <si>
    <t>TCK-21098</t>
  </si>
  <si>
    <t>20/05/2026 12:13</t>
  </si>
  <si>
    <t>TCK-22286</t>
  </si>
  <si>
    <t>16/05/2026 20:32</t>
  </si>
  <si>
    <t>17/05/2026 21:28</t>
  </si>
  <si>
    <t>TCK-22879</t>
  </si>
  <si>
    <t>03/08/2026 02:31</t>
  </si>
  <si>
    <t>03/08/2026 03:16</t>
  </si>
  <si>
    <t>TCK-21538</t>
  </si>
  <si>
    <t>21/07/2026 05:19</t>
  </si>
  <si>
    <t>TCK-21737</t>
  </si>
  <si>
    <t>18/02/2026 18:01</t>
  </si>
  <si>
    <t>19/02/2026 10:20</t>
  </si>
  <si>
    <t>TCK-20496</t>
  </si>
  <si>
    <t>20/03/2026 23:18</t>
  </si>
  <si>
    <t>TCK-21886</t>
  </si>
  <si>
    <t>27/06/2026 07:09</t>
  </si>
  <si>
    <t>TCK-22832</t>
  </si>
  <si>
    <t>23/08/2026 01:53</t>
  </si>
  <si>
    <t>24/08/2026 13:42</t>
  </si>
  <si>
    <t>TCK-21547</t>
  </si>
  <si>
    <t>26/06/2026 23:46</t>
  </si>
  <si>
    <t>TCK-23196</t>
  </si>
  <si>
    <t>06/05/2026 01:25</t>
  </si>
  <si>
    <t>06/05/2026 12:22</t>
  </si>
  <si>
    <t>TCK-21371</t>
  </si>
  <si>
    <t>25/02/2026 05:56</t>
  </si>
  <si>
    <t>25/02/2026 08:02</t>
  </si>
  <si>
    <t>TCK-23041</t>
  </si>
  <si>
    <t>10/06/2026 21:13</t>
  </si>
  <si>
    <t>TCK-22228</t>
  </si>
  <si>
    <t>11/07/2026 20:07</t>
  </si>
  <si>
    <t>TCK-21393</t>
  </si>
  <si>
    <t>01/04/2026 21:36</t>
  </si>
  <si>
    <t>TCK-22962</t>
  </si>
  <si>
    <t>17/01/2026 12:41</t>
  </si>
  <si>
    <t>22/01/2026 16:09</t>
  </si>
  <si>
    <t>TCK-20741</t>
  </si>
  <si>
    <t>09/02/2026 08:07</t>
  </si>
  <si>
    <t>10/02/2026 15:53</t>
  </si>
  <si>
    <t>TCK-20417</t>
  </si>
  <si>
    <t>10/07/2026 04:24</t>
  </si>
  <si>
    <t>TCK-20281</t>
  </si>
  <si>
    <t>22/01/2026 22:22</t>
  </si>
  <si>
    <t>23/01/2026 08:47</t>
  </si>
  <si>
    <t>TCK-20353</t>
  </si>
  <si>
    <t>27/05/2026 11:33</t>
  </si>
  <si>
    <t>TCK-21183</t>
  </si>
  <si>
    <t>08/01/2026 01:37</t>
  </si>
  <si>
    <t>TCK-20242</t>
  </si>
  <si>
    <t>12/01/2026 12:00</t>
  </si>
  <si>
    <t>TCK-20409</t>
  </si>
  <si>
    <t>22/01/2026 08:28</t>
  </si>
  <si>
    <t>23/01/2026 20:24</t>
  </si>
  <si>
    <t>TCK-21842</t>
  </si>
  <si>
    <t>15/05/2026 05:25</t>
  </si>
  <si>
    <t>TCK-22338</t>
  </si>
  <si>
    <t>25/03/2026 21:54</t>
  </si>
  <si>
    <t>TCK-20257</t>
  </si>
  <si>
    <t>25/07/2026 21:50</t>
  </si>
  <si>
    <t>28/07/2026 03:45</t>
  </si>
  <si>
    <t>TCK-21776</t>
  </si>
  <si>
    <t>08/01/2026 03:56</t>
  </si>
  <si>
    <t>08/01/2026 05:34</t>
  </si>
  <si>
    <t>TCK-20881</t>
  </si>
  <si>
    <t>20/07/2026 10:30</t>
  </si>
  <si>
    <t>21/07/2026 02:10</t>
  </si>
  <si>
    <t>TCK-21148</t>
  </si>
  <si>
    <t>23/06/2026 07:33</t>
  </si>
  <si>
    <t>TCK-21995</t>
  </si>
  <si>
    <t>01/06/2026 17:39</t>
  </si>
  <si>
    <t>01/06/2026 18:47</t>
  </si>
  <si>
    <t>TCK-20127</t>
  </si>
  <si>
    <t>17/08/2026 02:50</t>
  </si>
  <si>
    <t>TCK-22077</t>
  </si>
  <si>
    <t>13/02/2026 20:33</t>
  </si>
  <si>
    <t>14/02/2026 03:33</t>
  </si>
  <si>
    <t>TCK-22965</t>
  </si>
  <si>
    <t>04/07/2026 02:07</t>
  </si>
  <si>
    <t>TCK-20753</t>
  </si>
  <si>
    <t>12/07/2026 20:19</t>
  </si>
  <si>
    <t>TCK-21647</t>
  </si>
  <si>
    <t>08/03/2026 07:51</t>
  </si>
  <si>
    <t>TCK-22724</t>
  </si>
  <si>
    <t>16/07/2026 05:34</t>
  </si>
  <si>
    <t>17/07/2026 02:28</t>
  </si>
  <si>
    <t>TCK-20867</t>
  </si>
  <si>
    <t>05/07/2026 10:02</t>
  </si>
  <si>
    <t>TCK-22701</t>
  </si>
  <si>
    <t>28/04/2026 14:32</t>
  </si>
  <si>
    <t>29/04/2026 07:32</t>
  </si>
  <si>
    <t>TCK-20404</t>
  </si>
  <si>
    <t>02/02/2026 08:37</t>
  </si>
  <si>
    <t>03/02/2026 02:13</t>
  </si>
  <si>
    <t>TCK-20165</t>
  </si>
  <si>
    <t>06/01/2026 03:31</t>
  </si>
  <si>
    <t>06/01/2026 06:04</t>
  </si>
  <si>
    <t>TCK-21265</t>
  </si>
  <si>
    <t>17/02/2026 23:46</t>
  </si>
  <si>
    <t>18/02/2026 17:18</t>
  </si>
  <si>
    <t>TCK-22418</t>
  </si>
  <si>
    <t>09/07/2026 16:31</t>
  </si>
  <si>
    <t>10/07/2026 01:36</t>
  </si>
  <si>
    <t>TCK-21454</t>
  </si>
  <si>
    <t>28/05/2026 21:26</t>
  </si>
  <si>
    <t>29/05/2026 02:00</t>
  </si>
  <si>
    <t>TCK-22377</t>
  </si>
  <si>
    <t>27/04/2026 03:10</t>
  </si>
  <si>
    <t>TCK-22416</t>
  </si>
  <si>
    <t>09/03/2026 02:14</t>
  </si>
  <si>
    <t>12/03/2026 01:27</t>
  </si>
  <si>
    <t>TCK-22912</t>
  </si>
  <si>
    <t>19/03/2026 04:33</t>
  </si>
  <si>
    <t>19/03/2026 06:43</t>
  </si>
  <si>
    <t>TCK-23126</t>
  </si>
  <si>
    <t>25/03/2026 12:16</t>
  </si>
  <si>
    <t>25/03/2026 22:57</t>
  </si>
  <si>
    <t>TCK-20948</t>
  </si>
  <si>
    <t>15/08/2026 00:21</t>
  </si>
  <si>
    <t>15/08/2026 01:09</t>
  </si>
  <si>
    <t>TCK-22767</t>
  </si>
  <si>
    <t>06/07/2026 14:56</t>
  </si>
  <si>
    <t>09/07/2026 10:37</t>
  </si>
  <si>
    <t>TCK-21865</t>
  </si>
  <si>
    <t>10/06/2026 03:55</t>
  </si>
  <si>
    <t>10/06/2026 06:54</t>
  </si>
  <si>
    <t>TCK-20707</t>
  </si>
  <si>
    <t>28/03/2026 19:12</t>
  </si>
  <si>
    <t>TCK-20295</t>
  </si>
  <si>
    <t>09/03/2026 03:06</t>
  </si>
  <si>
    <t>09/03/2026 05:40</t>
  </si>
  <si>
    <t>TCK-20192</t>
  </si>
  <si>
    <t>27/06/2026 12:51</t>
  </si>
  <si>
    <t>27/06/2026 14:13</t>
  </si>
  <si>
    <t>TCK-20892</t>
  </si>
  <si>
    <t>17/08/2026 20:25</t>
  </si>
  <si>
    <t>17/08/2026 21:16</t>
  </si>
  <si>
    <t>TCK-20058</t>
  </si>
  <si>
    <t>07/08/2026 12:45</t>
  </si>
  <si>
    <t>07/08/2026 17:35</t>
  </si>
  <si>
    <t>TCK-21072</t>
  </si>
  <si>
    <t>11/06/2026 11:46</t>
  </si>
  <si>
    <t>12/06/2026 06:47</t>
  </si>
  <si>
    <t>TCK-21850</t>
  </si>
  <si>
    <t>07/03/2026 13:39</t>
  </si>
  <si>
    <t>09/03/2026 10:08</t>
  </si>
  <si>
    <t>TCK-22857</t>
  </si>
  <si>
    <t>12/01/2026 16:05</t>
  </si>
  <si>
    <t>13/01/2026 23:04</t>
  </si>
  <si>
    <t>TCK-20946</t>
  </si>
  <si>
    <t>22/03/2026 05:24</t>
  </si>
  <si>
    <t>22/03/2026 14:08</t>
  </si>
  <si>
    <t>TCK-21750</t>
  </si>
  <si>
    <t>28/04/2026 11:24</t>
  </si>
  <si>
    <t>30/04/2026 00:45</t>
  </si>
  <si>
    <t>TCK-20408</t>
  </si>
  <si>
    <t>15/08/2026 05:39</t>
  </si>
  <si>
    <t>15/08/2026 07:39</t>
  </si>
  <si>
    <t>TCK-22967</t>
  </si>
  <si>
    <t>25/02/2026 08:51</t>
  </si>
  <si>
    <t>TCK-21096</t>
  </si>
  <si>
    <t>02/01/2026 20:16</t>
  </si>
  <si>
    <t>03/01/2026 02:33</t>
  </si>
  <si>
    <t>TCK-23118</t>
  </si>
  <si>
    <t>10/08/2026 22:55</t>
  </si>
  <si>
    <t>TCK-21396</t>
  </si>
  <si>
    <t>21/05/2026 00:49</t>
  </si>
  <si>
    <t>21/05/2026 05:22</t>
  </si>
  <si>
    <t>TCK-21900</t>
  </si>
  <si>
    <t>19/07/2026 11:45</t>
  </si>
  <si>
    <t>TCK-21208</t>
  </si>
  <si>
    <t>26/02/2026 09:57</t>
  </si>
  <si>
    <t>TCK-21715</t>
  </si>
  <si>
    <t>14/04/2026 09:18</t>
  </si>
  <si>
    <t>14/04/2026 10:30</t>
  </si>
  <si>
    <t>TCK-21963</t>
  </si>
  <si>
    <t>24/03/2026 13:49</t>
  </si>
  <si>
    <t>24/03/2026 15:50</t>
  </si>
  <si>
    <t>TCK-20287</t>
  </si>
  <si>
    <t>10/02/2026 22:57</t>
  </si>
  <si>
    <t>TCK-20465</t>
  </si>
  <si>
    <t>16/08/2026 04:48</t>
  </si>
  <si>
    <t>16/08/2026 19:41</t>
  </si>
  <si>
    <t>TCK-22534</t>
  </si>
  <si>
    <t>23/07/2026 13:18</t>
  </si>
  <si>
    <t>23/07/2026 16:15</t>
  </si>
  <si>
    <t>TCK-21391</t>
  </si>
  <si>
    <t>11/03/2026 03:01</t>
  </si>
  <si>
    <t>11/03/2026 17:22</t>
  </si>
  <si>
    <t>TCK-22437</t>
  </si>
  <si>
    <t>01/03/2026 12:49</t>
  </si>
  <si>
    <t>01/03/2026 18:46</t>
  </si>
  <si>
    <t>TCK-22054</t>
  </si>
  <si>
    <t>29/06/2026 14:26</t>
  </si>
  <si>
    <t>29/06/2026 15:35</t>
  </si>
  <si>
    <t>TCK-21645</t>
  </si>
  <si>
    <t>29/08/2026 22:09</t>
  </si>
  <si>
    <t>Re-Opened</t>
  </si>
  <si>
    <t>Required Follow-Up Call</t>
  </si>
  <si>
    <t>Escalated To Senior Agent</t>
  </si>
  <si>
    <t>Resolved On First Contact</t>
  </si>
  <si>
    <t>Technical Issue Resolved Remotely</t>
  </si>
  <si>
    <t>Customer Satisfied With Resolution</t>
  </si>
  <si>
    <t>Repeat Issue From Same Customer</t>
  </si>
  <si>
    <t>Awaiting Customer Response</t>
  </si>
  <si>
    <t>Customer Requested Refund</t>
  </si>
  <si>
    <t>Not Specified</t>
  </si>
  <si>
    <t>Missing Resolve Date</t>
  </si>
  <si>
    <t>Resolution_Hours</t>
  </si>
  <si>
    <t>Total Tickets</t>
  </si>
  <si>
    <t>Metrics</t>
  </si>
  <si>
    <t>SLA Compliance Rate</t>
  </si>
  <si>
    <t>Escalation Rate</t>
  </si>
  <si>
    <t>Average Resolution Time (Hours)</t>
  </si>
  <si>
    <t>Backlog (Open + In Progress)</t>
  </si>
  <si>
    <t>Average CSAT Score</t>
  </si>
  <si>
    <t>Reopen Rate</t>
  </si>
  <si>
    <t>Yesterday (Aug 14)</t>
  </si>
  <si>
    <t>This Week (Aug 10-16)</t>
  </si>
  <si>
    <t>Tickets Opened</t>
  </si>
  <si>
    <t>Avg Resolution Time (Hours)</t>
  </si>
  <si>
    <t>Month-to-Date (Aug 1-15)</t>
  </si>
  <si>
    <t>Row Labels</t>
  </si>
  <si>
    <t>Grand Total</t>
  </si>
  <si>
    <t>Count of Ticket_ID</t>
  </si>
  <si>
    <t>Average of Resolution_Hours</t>
  </si>
  <si>
    <t>Column Labels</t>
  </si>
  <si>
    <t>Met_SLA</t>
  </si>
  <si>
    <t>Closed Total</t>
  </si>
  <si>
    <t>Escalated Total</t>
  </si>
  <si>
    <t>In Progress Total</t>
  </si>
  <si>
    <t>Open Total</t>
  </si>
  <si>
    <t>Re-Opened Total</t>
  </si>
  <si>
    <t>Resolved Total</t>
  </si>
  <si>
    <t>N/A</t>
  </si>
  <si>
    <t>DRILL-DOWN ANALYSIS</t>
  </si>
  <si>
    <t>Zara Hussain has the lowest SLA compliance rate among all agents at 66.5%,
notably below the team average of approximately 74%, despite handling a Resolved ticket volume (164) that is in line with most other agents.</t>
  </si>
  <si>
    <t>Since her ticket volume is not unusually high compared to peers like Bilal Chaudhry (181 resolved, 76.2% compliance)
or Rehan Qureshi (164 resolved, 77.4% compliance - an identical volume to Zara but 11 percentage points higher compliance), volume alone does not explain the gap.</t>
  </si>
  <si>
    <t>Zara Hussain also has the highest Escalated ticket count among all agents (42) and the highest Re-Opened count (29), suggesting a pattern where issues are
either being passed upward more frequently or not being fully resolved on the first attempt - both of which could be consuming time that pushes other tickets past their SLA window.</t>
  </si>
  <si>
    <t>Recommend reviewing Zara Hussain's ticket assignments to check whether she is being routed a higher proportion of Critical or High priority tickets
(which carry tighter SLA windows), and pairing her with a senior agent for a short coaching period focused on first-contact resolution to reduce the Re-Opened rate.</t>
  </si>
  <si>
    <t>Ad Hoc Analysis</t>
  </si>
  <si>
    <t>Question: Which Category and Priority combination has the best SLA compliance rate, with at least 100 total tickets?</t>
  </si>
  <si>
    <t>Date</t>
  </si>
  <si>
    <t>Tickets Resolved</t>
  </si>
  <si>
    <t>SLA Compliance %</t>
  </si>
  <si>
    <t>Backlog</t>
  </si>
  <si>
    <t>KEY FINDINGS</t>
  </si>
  <si>
    <t>1. Overall SLA compliance stands at approximately 74%, with clear variation by priority level - Critical and High priority tickets are resolved well within their SLA windows,
    while Low priority tickets, though slower in absolute hours, still comfortably meet their more lenient 48-hour target.</t>
  </si>
  <si>
    <t>2. Agent Zara Hussain has the lowest SLA compliance rate (66.5%) among all agents, closely followed by Sadia Anwar (70.1%) - both notably below the team average,
   driven partly by elevated Escalation and Re-Opened ticket counts.</t>
  </si>
  <si>
    <t>3. Delivery Delay tickets at High priority achieve the strongest SLA compliance among high-volume category combinations (84.3%), 
    while Technical Issue tickets at Medium priority underperform (66.3%) despite being the largest single combination in the dataset.</t>
  </si>
  <si>
    <t>4. Team-level SLA compliance is fairly consistent across all 4 support teams (73-80% range), indicating the performance gap is concentrated at the individual agent level rather than a systemic team-wide issue.</t>
  </si>
  <si>
    <t>5. A data integrity issue was identified where some tickets marked "Resolved" had no corresponding resolution timestamp logged,
    requiring correction in both the Excel model and the Power BI DAX measure to avoid overstating SLA compliance.</t>
  </si>
  <si>
    <t>RECOMMENDATIONS</t>
  </si>
  <si>
    <t>1. Provide targeted coaching for Zara Hussain and Sadia Anwar, focusing on first-contact resolution to reduce Re-Opened tickets, 
    and review whether either agent is being routed a disproportionate share of Critical or High priority tickets.</t>
  </si>
  <si>
    <t>2. Investigate the Technical Issue + Medium Priority combination specifically - given its high volume (189 tickets) 
    and below-average compliance (66.3%), even a small improvement here would meaningfully lift overall SLA performance.</t>
  </si>
  <si>
    <t>3. Implement a validation check in the ticketing system to flag any ticket marked "Resolved" without a resolution timestamp,
    preventing the data integrity gap identified during this analysis from recurring.</t>
  </si>
  <si>
    <t>END OF DAY DOCUMENTATION</t>
  </si>
  <si>
    <t>This analysis provides management with a complete operational view of 
customer support performance across teams, agents, categories, and 
channels, including SLA compliance tracking and escalation trends, 
supported by a 3-page interactive Power BI dashboard for ongoing 
monitoring.</t>
  </si>
  <si>
    <t>Tomorrow's follow-up:</t>
  </si>
  <si>
    <t>Review Zara Hussain's ticket assignment mix and escalation patterns in 
more detail. Confirm the ticketing system's data entry process is updated 
to prevent future "Resolved without timestamp" errors.</t>
  </si>
  <si>
    <t>Answer: Delivery Delay + High Priority has the best SLA compliance rate among qualifying combinations at 84.3% (118 tickets).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</si>
</sst>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7" formatCode="0.0%"/>
  </numFmts>
  <fonts count="9" x14ac:knownFonts="1">
    <font>
      <sz val="11"/>
      <color theme="1"/>
      <name val="Calibri"/>
      <family val="2"/>
      <scheme val="minor"/>
    </font>
    <font>
      <b/>
      <sz val="11"/>
      <name val="Arial"/>
      <family val="2"/>
    </font>
    <font>
      <sz val="11"/>
      <name val="Arial"/>
      <family val="2"/>
    </font>
    <font>
      <sz val="11"/>
      <color theme="1"/>
      <name val="Calibri"/>
      <family val="2"/>
      <scheme val="minor"/>
    </font>
    <font>
      <b/>
      <sz val="11"/>
      <color theme="1"/>
      <name val="Calibri"/>
      <family val="2"/>
      <scheme val="minor"/>
    </font>
    <font>
      <b/>
      <sz val="11"/>
      <color theme="1"/>
      <name val="Arial"/>
      <family val="2"/>
    </font>
    <font>
      <b/>
      <sz val="18"/>
      <color theme="1"/>
      <name val="Calibri"/>
      <family val="2"/>
      <scheme val="minor"/>
    </font>
    <font>
      <b/>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1" fillId="0" borderId="0" xfId="0" applyFont="1"/>
    <xf numFmtId="0" fontId="2" fillId="0" borderId="0" xfId="0" applyFont="1"/>
    <xf numFmtId="14" fontId="1" fillId="0" borderId="0" xfId="0" applyNumberFormat="1" applyFont="1"/>
    <xf numFmtId="14" fontId="2" fillId="0" borderId="0" xfId="0" applyNumberFormat="1" applyFont="1"/>
    <xf numFmtId="14" fontId="0" fillId="0" borderId="0" xfId="0" applyNumberFormat="1"/>
    <xf numFmtId="0" fontId="4" fillId="0" borderId="0" xfId="0" applyFont="1"/>
    <xf numFmtId="0" fontId="5" fillId="0" borderId="0" xfId="0" applyFont="1"/>
    <xf numFmtId="2" fontId="0" fillId="0" borderId="0" xfId="0" applyNumberFormat="1"/>
    <xf numFmtId="0" fontId="0" fillId="0" borderId="0" xfId="0" applyNumberFormat="1"/>
    <xf numFmtId="0" fontId="0" fillId="0" borderId="1" xfId="0" applyBorder="1"/>
    <xf numFmtId="9" fontId="0" fillId="0" borderId="1" xfId="1" applyFont="1" applyBorder="1"/>
    <xf numFmtId="2" fontId="0" fillId="0" borderId="1" xfId="1" applyNumberFormat="1" applyFont="1" applyBorder="1"/>
    <xf numFmtId="2"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wrapText="1"/>
    </xf>
    <xf numFmtId="0" fontId="0" fillId="0" borderId="0" xfId="0" applyAlignment="1">
      <alignment horizontal="left" indent="1"/>
    </xf>
    <xf numFmtId="0" fontId="7" fillId="2" borderId="0" xfId="0" applyFont="1" applyFill="1"/>
    <xf numFmtId="0" fontId="8" fillId="2" borderId="0" xfId="0" applyFont="1" applyFill="1"/>
    <xf numFmtId="177" fontId="7" fillId="2" borderId="0" xfId="1" applyNumberFormat="1" applyFont="1" applyFill="1"/>
    <xf numFmtId="177" fontId="0" fillId="0" borderId="0" xfId="1" applyNumberFormat="1" applyFont="1"/>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4" fillId="2" borderId="1" xfId="0" applyFont="1" applyFill="1" applyBorder="1"/>
  </cellXfs>
  <cellStyles count="2">
    <cellStyle name="Normal" xfId="0" builtinId="0"/>
    <cellStyle name="Percent" xfId="1" builtinId="5"/>
  </cellStyles>
  <dxfs count="2">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71.488285300926" createdVersion="5" refreshedVersion="5" minRefreshableVersion="3" recordCount="3200">
  <cacheSource type="worksheet">
    <worksheetSource ref="A1:P3201" sheet="Working_Data"/>
  </cacheSource>
  <cacheFields count="16">
    <cacheField name="Ticket_ID" numFmtId="0">
      <sharedItems/>
    </cacheField>
    <cacheField name="Date_Opened" numFmtId="14">
      <sharedItems containsSemiMixedTypes="0" containsNonDate="0" containsDate="1" containsString="0" minDate="2026-01-01T09:10:00" maxDate="2026-08-30T23:54:00"/>
    </cacheField>
    <cacheField name="Team" numFmtId="0">
      <sharedItems/>
    </cacheField>
    <cacheField name="Agent_Assigned" numFmtId="0">
      <sharedItems count="8">
        <s v="Rehan Qureshi"/>
        <s v="Zara Hussain"/>
        <s v="Mahnoor Aslam"/>
        <s v="Bilal Chaudhry"/>
        <s v="Iqra Basit"/>
        <s v="Sadia Anwar"/>
        <s v="Talha Nadeem"/>
        <s v="Ayaan Khalid"/>
      </sharedItems>
    </cacheField>
    <cacheField name="City" numFmtId="0">
      <sharedItems count="8">
        <s v="Lahore"/>
        <s v="Karachi"/>
        <s v="Peshawar"/>
        <s v="Islamabad"/>
        <s v="Faisalabad"/>
        <s v="Multan"/>
        <s v="Rawalpindi"/>
        <s v="Not Specified"/>
      </sharedItems>
    </cacheField>
    <cacheField name="Channel" numFmtId="0">
      <sharedItems count="6">
        <s v="Email"/>
        <s v="Chat"/>
        <s v="Portal"/>
        <s v="Phone"/>
        <s v="Web Portal" u="1"/>
        <s v="Live Chat" u="1"/>
      </sharedItems>
    </cacheField>
    <cacheField name="Category" numFmtId="0">
      <sharedItems count="6">
        <s v="General Inquiry"/>
        <s v="Technical Issue"/>
        <s v="Billing Issue"/>
        <s v="Account Access"/>
        <s v="Delivery Delay"/>
        <s v="Refund Request"/>
      </sharedItems>
    </cacheField>
    <cacheField name="Priority" numFmtId="0">
      <sharedItems count="4">
        <s v="Medium"/>
        <s v="Low"/>
        <s v="High"/>
        <s v="Critical"/>
      </sharedItems>
    </cacheField>
    <cacheField name="SLA_Target_Hours" numFmtId="0">
      <sharedItems containsSemiMixedTypes="0" containsString="0" containsNumber="1" containsInteger="1" minValue="4" maxValue="48"/>
    </cacheField>
    <cacheField name="Status" numFmtId="0">
      <sharedItems count="6">
        <s v="Resolved"/>
        <s v="Open"/>
        <s v="Closed"/>
        <s v="Re-Opened"/>
        <s v="Escalated"/>
        <s v="In Progress"/>
      </sharedItems>
    </cacheField>
    <cacheField name="Date_Resolved" numFmtId="14">
      <sharedItems containsDate="1" containsMixedTypes="1" minDate="2026-01-01T20:22:00" maxDate="2026-09-04T19:19:00"/>
    </cacheField>
    <cacheField name="Escalated" numFmtId="0">
      <sharedItems/>
    </cacheField>
    <cacheField name="CSAT_Score" numFmtId="0">
      <sharedItems containsString="0" containsBlank="1" containsNumber="1" containsInteger="1" minValue="1" maxValue="5"/>
    </cacheField>
    <cacheField name="Notes" numFmtId="0">
      <sharedItems/>
    </cacheField>
    <cacheField name="Resolution_Hours" numFmtId="2">
      <sharedItems containsMixedTypes="1" containsNumber="1" minValue="0.49999999988358468" maxValue="143.28333333344199"/>
    </cacheField>
    <cacheField name="Met_SLA" numFmtId="0">
      <sharedItems count="3">
        <s v="Yes"/>
        <s v="N/A"/>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271.488354398149" createdVersion="5" refreshedVersion="5" minRefreshableVersion="3" recordCount="3200">
  <cacheSource type="worksheet">
    <worksheetSource ref="A1:O3201" sheet="Working_Data"/>
  </cacheSource>
  <cacheFields count="15">
    <cacheField name="Ticket_ID" numFmtId="0">
      <sharedItems/>
    </cacheField>
    <cacheField name="Date_Opened" numFmtId="14">
      <sharedItems containsSemiMixedTypes="0" containsNonDate="0" containsDate="1" containsString="0" minDate="2026-01-01T09:10:00" maxDate="2026-08-30T23:54:00"/>
    </cacheField>
    <cacheField name="Team" numFmtId="0">
      <sharedItems count="4">
        <s v="Billing Support"/>
        <s v="Tier 1 Support"/>
        <s v="Tier 2 Support"/>
        <s v="Technical Support"/>
      </sharedItems>
    </cacheField>
    <cacheField name="Agent_Assigned" numFmtId="0">
      <sharedItems/>
    </cacheField>
    <cacheField name="City" numFmtId="0">
      <sharedItems/>
    </cacheField>
    <cacheField name="Channel" numFmtId="0">
      <sharedItems/>
    </cacheField>
    <cacheField name="Category" numFmtId="0">
      <sharedItems/>
    </cacheField>
    <cacheField name="Priority" numFmtId="0">
      <sharedItems/>
    </cacheField>
    <cacheField name="SLA_Target_Hours" numFmtId="0">
      <sharedItems containsSemiMixedTypes="0" containsString="0" containsNumber="1" containsInteger="1" minValue="4" maxValue="48"/>
    </cacheField>
    <cacheField name="Status" numFmtId="0">
      <sharedItems/>
    </cacheField>
    <cacheField name="Date_Resolved" numFmtId="14">
      <sharedItems containsDate="1" containsMixedTypes="1" minDate="2026-01-01T20:22:00" maxDate="2026-09-04T19:19:00"/>
    </cacheField>
    <cacheField name="Escalated" numFmtId="0">
      <sharedItems/>
    </cacheField>
    <cacheField name="CSAT_Score" numFmtId="0">
      <sharedItems containsString="0" containsBlank="1" containsNumber="1" containsInteger="1" minValue="1" maxValue="5"/>
    </cacheField>
    <cacheField name="Notes" numFmtId="0">
      <sharedItems/>
    </cacheField>
    <cacheField name="Resolution_Hours" numFmtId="2">
      <sharedItems containsMixedTypes="1" containsNumber="1" minValue="0.49999999988358468" maxValue="143.283333333441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00">
  <r>
    <s v="TCK-21324"/>
    <d v="2026-07-11T20:33:00"/>
    <s v="Billing Support"/>
    <x v="0"/>
    <x v="0"/>
    <x v="0"/>
    <x v="0"/>
    <x v="0"/>
    <n v="24"/>
    <x v="0"/>
    <d v="2026-07-11T21:20:00"/>
    <s v="No"/>
    <m/>
    <s v="Required Follow-Up Call"/>
    <n v="0.78333333344198763"/>
    <x v="0"/>
  </r>
  <r>
    <s v="TCK-20385"/>
    <d v="2026-04-16T15:15:00"/>
    <s v="Tier 1 Support"/>
    <x v="1"/>
    <x v="0"/>
    <x v="0"/>
    <x v="1"/>
    <x v="1"/>
    <n v="48"/>
    <x v="1"/>
    <s v="Missing Resolve Date"/>
    <s v="No"/>
    <m/>
    <s v="Escalated To Senior Agent"/>
    <s v=""/>
    <x v="1"/>
  </r>
  <r>
    <s v="TCK-21872"/>
    <d v="2026-04-20T10:52:00"/>
    <s v="Tier 1 Support"/>
    <x v="1"/>
    <x v="1"/>
    <x v="1"/>
    <x v="2"/>
    <x v="0"/>
    <n v="24"/>
    <x v="0"/>
    <d v="2026-04-20T18:31:00"/>
    <s v="No"/>
    <n v="4"/>
    <s v="Resolved On First Contact"/>
    <n v="7.6499999999650754"/>
    <x v="0"/>
  </r>
  <r>
    <s v="TCK-20146"/>
    <d v="2026-06-11T19:08:00"/>
    <s v="Tier 1 Support"/>
    <x v="1"/>
    <x v="2"/>
    <x v="2"/>
    <x v="2"/>
    <x v="1"/>
    <n v="48"/>
    <x v="2"/>
    <d v="2026-06-12T22:25:00"/>
    <s v="No"/>
    <n v="3"/>
    <s v="Technical Issue Resolved Remotely"/>
    <n v="27.28333333338378"/>
    <x v="1"/>
  </r>
  <r>
    <s v="TCK-21894"/>
    <d v="2026-06-18T23:02:00"/>
    <s v="Tier 2 Support"/>
    <x v="2"/>
    <x v="0"/>
    <x v="2"/>
    <x v="2"/>
    <x v="1"/>
    <n v="48"/>
    <x v="3"/>
    <d v="2026-06-24T21:51:00"/>
    <s v="No"/>
    <m/>
    <s v="Customer Satisfied With Resolution"/>
    <n v="142.81666666665114"/>
    <x v="1"/>
  </r>
  <r>
    <s v="TCK-21895"/>
    <d v="2026-05-13T12:41:00"/>
    <s v="Tier 2 Support"/>
    <x v="3"/>
    <x v="1"/>
    <x v="1"/>
    <x v="2"/>
    <x v="0"/>
    <n v="24"/>
    <x v="0"/>
    <d v="2026-05-15T05:27:00"/>
    <s v="No"/>
    <m/>
    <s v="Repeat Issue From Same Customer"/>
    <n v="40.766666666662786"/>
    <x v="2"/>
  </r>
  <r>
    <s v="TCK-20861"/>
    <d v="2026-05-24T03:57:00"/>
    <s v="Technical Support"/>
    <x v="4"/>
    <x v="0"/>
    <x v="3"/>
    <x v="1"/>
    <x v="0"/>
    <n v="24"/>
    <x v="0"/>
    <d v="2026-05-25T09:12:00"/>
    <s v="No"/>
    <m/>
    <s v="Required Follow-Up Call"/>
    <n v="29.25"/>
    <x v="2"/>
  </r>
  <r>
    <s v="TCK-22644"/>
    <d v="2026-03-18T23:31:00"/>
    <s v="Technical Support"/>
    <x v="4"/>
    <x v="1"/>
    <x v="2"/>
    <x v="0"/>
    <x v="2"/>
    <n v="8"/>
    <x v="2"/>
    <d v="2026-03-19T03:11:00"/>
    <s v="No"/>
    <m/>
    <s v="Technical Issue Resolved Remotely"/>
    <n v="3.6666666667442769"/>
    <x v="1"/>
  </r>
  <r>
    <s v="TCK-23174"/>
    <d v="2026-02-08T09:40:00"/>
    <s v="Tier 2 Support"/>
    <x v="3"/>
    <x v="3"/>
    <x v="3"/>
    <x v="1"/>
    <x v="3"/>
    <n v="4"/>
    <x v="2"/>
    <d v="2026-02-08T12:58:00"/>
    <s v="No"/>
    <n v="5"/>
    <s v="Customer Satisfied With Resolution"/>
    <n v="3.2999999999301508"/>
    <x v="1"/>
  </r>
  <r>
    <s v="TCK-22892"/>
    <d v="2026-05-17T10:11:00"/>
    <s v="Billing Support"/>
    <x v="5"/>
    <x v="4"/>
    <x v="3"/>
    <x v="1"/>
    <x v="2"/>
    <n v="8"/>
    <x v="0"/>
    <d v="2026-05-17T16:51:00"/>
    <s v="No"/>
    <m/>
    <s v="Not Specified"/>
    <n v="6.6666666665696539"/>
    <x v="0"/>
  </r>
  <r>
    <s v="TCK-22430"/>
    <d v="2026-06-03T17:25:00"/>
    <s v="Technical Support"/>
    <x v="6"/>
    <x v="5"/>
    <x v="2"/>
    <x v="3"/>
    <x v="1"/>
    <n v="48"/>
    <x v="4"/>
    <s v="Missing Resolve Date"/>
    <s v="Yes"/>
    <m/>
    <s v="Not Specified"/>
    <s v=""/>
    <x v="1"/>
  </r>
  <r>
    <s v="TCK-22748"/>
    <d v="2026-02-27T19:17:00"/>
    <s v="Technical Support"/>
    <x v="6"/>
    <x v="2"/>
    <x v="1"/>
    <x v="4"/>
    <x v="1"/>
    <n v="48"/>
    <x v="4"/>
    <s v="Missing Resolve Date"/>
    <s v="Yes"/>
    <m/>
    <s v="Repeat Issue From Same Customer"/>
    <s v=""/>
    <x v="1"/>
  </r>
  <r>
    <s v="TCK-21997"/>
    <d v="2026-01-07T17:20:00"/>
    <s v="Tier 1 Support"/>
    <x v="7"/>
    <x v="1"/>
    <x v="1"/>
    <x v="4"/>
    <x v="3"/>
    <n v="4"/>
    <x v="0"/>
    <d v="2026-01-07T18:59:00"/>
    <s v="No"/>
    <m/>
    <s v="Not Specified"/>
    <n v="1.6500000001396984"/>
    <x v="0"/>
  </r>
  <r>
    <s v="TCK-21076"/>
    <d v="2026-02-10T22:38:00"/>
    <s v="Billing Support"/>
    <x v="5"/>
    <x v="5"/>
    <x v="2"/>
    <x v="0"/>
    <x v="0"/>
    <n v="24"/>
    <x v="0"/>
    <d v="2026-02-11T02:05:00"/>
    <s v="No"/>
    <n v="4"/>
    <s v="Technical Issue Resolved Remotely"/>
    <n v="3.4499999998952262"/>
    <x v="0"/>
  </r>
  <r>
    <s v="TCK-21836"/>
    <d v="2026-06-28T15:46:00"/>
    <s v="Billing Support"/>
    <x v="5"/>
    <x v="5"/>
    <x v="0"/>
    <x v="5"/>
    <x v="1"/>
    <n v="48"/>
    <x v="1"/>
    <s v="Missing Resolve Date"/>
    <s v="No"/>
    <m/>
    <s v="Repeat Issue From Same Customer"/>
    <s v=""/>
    <x v="1"/>
  </r>
  <r>
    <s v="TCK-20694"/>
    <d v="2026-04-11T16:39:00"/>
    <s v="Tier 2 Support"/>
    <x v="2"/>
    <x v="0"/>
    <x v="3"/>
    <x v="0"/>
    <x v="3"/>
    <n v="4"/>
    <x v="0"/>
    <d v="2026-04-11T17:13:00"/>
    <s v="No"/>
    <n v="5"/>
    <s v="Resolved On First Contact"/>
    <n v="0.56666666676755995"/>
    <x v="0"/>
  </r>
  <r>
    <s v="TCK-21727"/>
    <d v="2026-06-20T02:24:00"/>
    <s v="Tier 1 Support"/>
    <x v="7"/>
    <x v="5"/>
    <x v="1"/>
    <x v="2"/>
    <x v="3"/>
    <n v="4"/>
    <x v="5"/>
    <s v="Missing Resolve Date"/>
    <s v="No"/>
    <m/>
    <s v="Awaiting Customer Response"/>
    <s v=""/>
    <x v="1"/>
  </r>
  <r>
    <s v="TCK-22363"/>
    <d v="2026-07-09T12:04:00"/>
    <s v="Billing Support"/>
    <x v="5"/>
    <x v="1"/>
    <x v="0"/>
    <x v="5"/>
    <x v="0"/>
    <n v="24"/>
    <x v="0"/>
    <d v="2026-07-09T13:07:00"/>
    <s v="No"/>
    <m/>
    <s v="Customer Satisfied With Resolution"/>
    <n v="1.0499999999301508"/>
    <x v="0"/>
  </r>
  <r>
    <s v="TCK-21516"/>
    <d v="2026-03-26T14:31:00"/>
    <s v="Technical Support"/>
    <x v="4"/>
    <x v="4"/>
    <x v="3"/>
    <x v="4"/>
    <x v="1"/>
    <n v="48"/>
    <x v="2"/>
    <d v="2026-03-27T08:42:00"/>
    <s v="No"/>
    <n v="4"/>
    <s v="Customer Requested Refund"/>
    <n v="18.183333333407063"/>
    <x v="1"/>
  </r>
  <r>
    <s v="TCK-21810"/>
    <d v="2026-06-11T07:46:00"/>
    <s v="Tier 1 Support"/>
    <x v="1"/>
    <x v="2"/>
    <x v="2"/>
    <x v="4"/>
    <x v="0"/>
    <n v="24"/>
    <x v="0"/>
    <d v="2026-06-13T09:04:00"/>
    <s v="No"/>
    <n v="3"/>
    <s v="Customer Requested Refund"/>
    <n v="49.300000000046566"/>
    <x v="2"/>
  </r>
  <r>
    <s v="TCK-20701"/>
    <d v="2026-01-19T10:18:00"/>
    <s v="Tier 1 Support"/>
    <x v="1"/>
    <x v="3"/>
    <x v="3"/>
    <x v="2"/>
    <x v="1"/>
    <n v="48"/>
    <x v="2"/>
    <d v="2026-01-22T09:44:00"/>
    <s v="No"/>
    <m/>
    <s v="Repeat Issue From Same Customer"/>
    <n v="71.43333333323244"/>
    <x v="1"/>
  </r>
  <r>
    <s v="TCK-21274"/>
    <d v="2026-07-03T16:18:00"/>
    <s v="Technical Support"/>
    <x v="4"/>
    <x v="3"/>
    <x v="2"/>
    <x v="3"/>
    <x v="0"/>
    <n v="24"/>
    <x v="2"/>
    <d v="2026-07-03T23:20:00"/>
    <s v="No"/>
    <n v="4"/>
    <s v="Required Follow-Up Call"/>
    <n v="7.033333333209157"/>
    <x v="1"/>
  </r>
  <r>
    <s v="TCK-21771"/>
    <d v="2026-06-19T06:46:00"/>
    <s v="Billing Support"/>
    <x v="5"/>
    <x v="1"/>
    <x v="0"/>
    <x v="1"/>
    <x v="1"/>
    <n v="48"/>
    <x v="1"/>
    <s v="Missing Resolve Date"/>
    <s v="No"/>
    <m/>
    <s v="Awaiting Customer Response"/>
    <s v=""/>
    <x v="1"/>
  </r>
  <r>
    <s v="TCK-20578"/>
    <d v="2026-04-10T21:02:00"/>
    <s v="Billing Support"/>
    <x v="0"/>
    <x v="6"/>
    <x v="1"/>
    <x v="3"/>
    <x v="0"/>
    <n v="24"/>
    <x v="5"/>
    <s v="Missing Resolve Date"/>
    <s v="No"/>
    <m/>
    <s v="Awaiting Customer Response"/>
    <s v=""/>
    <x v="1"/>
  </r>
  <r>
    <s v="TCK-21957"/>
    <d v="2026-06-13T10:28:00"/>
    <s v="Tier 1 Support"/>
    <x v="7"/>
    <x v="1"/>
    <x v="2"/>
    <x v="4"/>
    <x v="2"/>
    <n v="8"/>
    <x v="0"/>
    <d v="2026-06-13T13:24:00"/>
    <s v="No"/>
    <m/>
    <s v="Customer Satisfied With Resolution"/>
    <n v="2.9333333332906477"/>
    <x v="0"/>
  </r>
  <r>
    <s v="TCK-23150"/>
    <d v="2026-08-29T16:39:00"/>
    <s v="Tier 1 Support"/>
    <x v="1"/>
    <x v="6"/>
    <x v="0"/>
    <x v="5"/>
    <x v="0"/>
    <n v="24"/>
    <x v="5"/>
    <s v="Missing Resolve Date"/>
    <s v="No"/>
    <m/>
    <s v="Customer Requested Refund"/>
    <s v=""/>
    <x v="1"/>
  </r>
  <r>
    <s v="TCK-21907"/>
    <d v="2026-08-14T20:10:00"/>
    <s v="Technical Support"/>
    <x v="6"/>
    <x v="3"/>
    <x v="0"/>
    <x v="5"/>
    <x v="0"/>
    <n v="24"/>
    <x v="2"/>
    <d v="2026-08-15T17:20:00"/>
    <s v="No"/>
    <n v="2"/>
    <s v="Not Specified"/>
    <n v="21.166666666511446"/>
    <x v="1"/>
  </r>
  <r>
    <s v="TCK-20794"/>
    <d v="2026-05-12T20:17:00"/>
    <s v="Tier 2 Support"/>
    <x v="2"/>
    <x v="4"/>
    <x v="2"/>
    <x v="0"/>
    <x v="0"/>
    <n v="24"/>
    <x v="1"/>
    <s v="Missing Resolve Date"/>
    <s v="No"/>
    <m/>
    <s v="Repeat Issue From Same Customer"/>
    <s v=""/>
    <x v="1"/>
  </r>
  <r>
    <s v="TCK-20075"/>
    <d v="2026-08-30T15:37:00"/>
    <s v="Tier 2 Support"/>
    <x v="3"/>
    <x v="5"/>
    <x v="1"/>
    <x v="4"/>
    <x v="0"/>
    <n v="24"/>
    <x v="0"/>
    <d v="2026-08-31T09:53:00"/>
    <s v="No"/>
    <n v="2"/>
    <s v="Not Specified"/>
    <n v="18.266666666837409"/>
    <x v="0"/>
  </r>
  <r>
    <s v="TCK-23081"/>
    <d v="2026-08-03T04:49:00"/>
    <s v="Tier 1 Support"/>
    <x v="7"/>
    <x v="6"/>
    <x v="2"/>
    <x v="3"/>
    <x v="1"/>
    <n v="48"/>
    <x v="0"/>
    <d v="2026-08-03T07:37:00"/>
    <s v="Yes"/>
    <n v="2"/>
    <s v="Customer Requested Refund"/>
    <n v="2.8000000000465661"/>
    <x v="0"/>
  </r>
  <r>
    <s v="TCK-21231"/>
    <d v="2026-08-24T22:45:00"/>
    <s v="Tier 2 Support"/>
    <x v="2"/>
    <x v="0"/>
    <x v="1"/>
    <x v="1"/>
    <x v="1"/>
    <n v="48"/>
    <x v="0"/>
    <d v="2026-08-27T06:00:00"/>
    <s v="No"/>
    <n v="3"/>
    <s v="Repeat Issue From Same Customer"/>
    <n v="55.250000000058208"/>
    <x v="2"/>
  </r>
  <r>
    <s v="TCK-22702"/>
    <d v="2026-07-09T07:18:00"/>
    <s v="Billing Support"/>
    <x v="5"/>
    <x v="2"/>
    <x v="2"/>
    <x v="0"/>
    <x v="0"/>
    <n v="24"/>
    <x v="2"/>
    <d v="2026-07-09T19:03:00"/>
    <s v="No"/>
    <m/>
    <s v="Repeat Issue From Same Customer"/>
    <n v="11.749999999883585"/>
    <x v="1"/>
  </r>
  <r>
    <s v="TCK-22931"/>
    <d v="2026-04-19T12:38:00"/>
    <s v="Tier 1 Support"/>
    <x v="1"/>
    <x v="4"/>
    <x v="2"/>
    <x v="5"/>
    <x v="3"/>
    <n v="4"/>
    <x v="4"/>
    <s v="Missing Resolve Date"/>
    <s v="Yes"/>
    <m/>
    <s v="Customer Requested Refund"/>
    <s v=""/>
    <x v="1"/>
  </r>
  <r>
    <s v="TCK-21721"/>
    <d v="2026-08-07T16:42:00"/>
    <s v="Billing Support"/>
    <x v="5"/>
    <x v="4"/>
    <x v="1"/>
    <x v="2"/>
    <x v="1"/>
    <n v="48"/>
    <x v="2"/>
    <d v="2026-08-09T09:55:00"/>
    <s v="No"/>
    <n v="2"/>
    <s v="Technical Issue Resolved Remotely"/>
    <n v="41.216666666732635"/>
    <x v="1"/>
  </r>
  <r>
    <s v="TCK-20492"/>
    <d v="2026-02-04T03:25:00"/>
    <s v="Billing Support"/>
    <x v="0"/>
    <x v="0"/>
    <x v="3"/>
    <x v="3"/>
    <x v="0"/>
    <n v="24"/>
    <x v="2"/>
    <d v="2026-02-04T05:35:00"/>
    <s v="No"/>
    <n v="1"/>
    <s v="Customer Satisfied With Resolution"/>
    <n v="2.1666666667442769"/>
    <x v="1"/>
  </r>
  <r>
    <s v="TCK-21757"/>
    <d v="2026-01-21T18:20:00"/>
    <s v="Tier 2 Support"/>
    <x v="3"/>
    <x v="0"/>
    <x v="2"/>
    <x v="5"/>
    <x v="0"/>
    <n v="24"/>
    <x v="2"/>
    <d v="2026-01-21T21:03:00"/>
    <s v="No"/>
    <n v="5"/>
    <s v="Not Specified"/>
    <n v="2.71666666661622"/>
    <x v="1"/>
  </r>
  <r>
    <s v="TCK-20017"/>
    <d v="2026-02-06T09:53:00"/>
    <s v="Billing Support"/>
    <x v="0"/>
    <x v="2"/>
    <x v="0"/>
    <x v="5"/>
    <x v="0"/>
    <n v="24"/>
    <x v="3"/>
    <s v="Missing Resolve Date"/>
    <s v="No"/>
    <m/>
    <s v="Not Specified"/>
    <s v=""/>
    <x v="1"/>
  </r>
  <r>
    <s v="TCK-22401"/>
    <d v="2026-06-06T01:56:00"/>
    <s v="Billing Support"/>
    <x v="5"/>
    <x v="4"/>
    <x v="3"/>
    <x v="0"/>
    <x v="2"/>
    <n v="8"/>
    <x v="2"/>
    <d v="2026-06-06T07:22:00"/>
    <s v="No"/>
    <n v="1"/>
    <s v="Escalated To Senior Agent"/>
    <n v="5.4333333332324401"/>
    <x v="1"/>
  </r>
  <r>
    <s v="TCK-21540"/>
    <d v="2026-08-22T15:21:00"/>
    <s v="Technical Support"/>
    <x v="4"/>
    <x v="5"/>
    <x v="2"/>
    <x v="1"/>
    <x v="0"/>
    <n v="24"/>
    <x v="2"/>
    <d v="2026-08-23T11:34:00"/>
    <s v="No"/>
    <n v="5"/>
    <s v="Required Follow-Up Call"/>
    <n v="20.216666666732635"/>
    <x v="1"/>
  </r>
  <r>
    <s v="TCK-22329"/>
    <d v="2026-08-23T19:12:00"/>
    <s v="Billing Support"/>
    <x v="5"/>
    <x v="6"/>
    <x v="0"/>
    <x v="1"/>
    <x v="2"/>
    <n v="8"/>
    <x v="4"/>
    <s v="Missing Resolve Date"/>
    <s v="Yes"/>
    <m/>
    <s v="Resolved On First Contact"/>
    <s v=""/>
    <x v="1"/>
  </r>
  <r>
    <s v="TCK-21158"/>
    <d v="2026-06-22T16:32:00"/>
    <s v="Tier 1 Support"/>
    <x v="7"/>
    <x v="4"/>
    <x v="3"/>
    <x v="5"/>
    <x v="0"/>
    <n v="24"/>
    <x v="0"/>
    <d v="2026-06-25T01:19:00"/>
    <s v="No"/>
    <m/>
    <s v="Not Specified"/>
    <n v="56.783333333325572"/>
    <x v="2"/>
  </r>
  <r>
    <s v="TCK-21155"/>
    <d v="2026-03-05T10:02:00"/>
    <s v="Tier 1 Support"/>
    <x v="7"/>
    <x v="2"/>
    <x v="3"/>
    <x v="3"/>
    <x v="3"/>
    <n v="4"/>
    <x v="4"/>
    <s v="Missing Resolve Date"/>
    <s v="Yes"/>
    <m/>
    <s v="Awaiting Customer Response"/>
    <s v=""/>
    <x v="1"/>
  </r>
  <r>
    <s v="TCK-22992"/>
    <d v="2026-05-22T15:45:00"/>
    <s v="Tier 1 Support"/>
    <x v="7"/>
    <x v="2"/>
    <x v="1"/>
    <x v="2"/>
    <x v="0"/>
    <n v="24"/>
    <x v="2"/>
    <d v="2026-05-23T10:55:00"/>
    <s v="No"/>
    <n v="3"/>
    <s v="Resolved On First Contact"/>
    <n v="19.166666666627862"/>
    <x v="1"/>
  </r>
  <r>
    <s v="TCK-22650"/>
    <d v="2026-05-07T05:25:00"/>
    <s v="Tier 1 Support"/>
    <x v="1"/>
    <x v="1"/>
    <x v="3"/>
    <x v="0"/>
    <x v="0"/>
    <n v="24"/>
    <x v="2"/>
    <d v="2026-05-07T11:59:00"/>
    <s v="No"/>
    <n v="4"/>
    <s v="Customer Requested Refund"/>
    <n v="6.566666666592937"/>
    <x v="1"/>
  </r>
  <r>
    <s v="TCK-20156"/>
    <d v="2026-01-23T11:58:00"/>
    <s v="Tier 2 Support"/>
    <x v="3"/>
    <x v="5"/>
    <x v="3"/>
    <x v="1"/>
    <x v="1"/>
    <n v="48"/>
    <x v="2"/>
    <s v="Missing Resolve Date"/>
    <s v="No"/>
    <n v="4"/>
    <s v="Repeat Issue From Same Customer"/>
    <s v=""/>
    <x v="1"/>
  </r>
  <r>
    <s v="TCK-20299"/>
    <d v="2026-03-18T14:47:00"/>
    <s v="Billing Support"/>
    <x v="5"/>
    <x v="5"/>
    <x v="3"/>
    <x v="4"/>
    <x v="1"/>
    <n v="48"/>
    <x v="0"/>
    <d v="2026-03-19T10:51:00"/>
    <s v="No"/>
    <m/>
    <s v="Awaiting Customer Response"/>
    <n v="20.066666666592937"/>
    <x v="0"/>
  </r>
  <r>
    <s v="TCK-22183"/>
    <d v="2026-03-05T06:37:00"/>
    <s v="Tier 1 Support"/>
    <x v="7"/>
    <x v="4"/>
    <x v="0"/>
    <x v="1"/>
    <x v="1"/>
    <n v="48"/>
    <x v="0"/>
    <d v="2026-03-06T18:45:00"/>
    <s v="No"/>
    <n v="5"/>
    <s v="Not Specified"/>
    <n v="36.133333333418705"/>
    <x v="0"/>
  </r>
  <r>
    <s v="TCK-20220"/>
    <d v="2026-08-17T04:35:00"/>
    <s v="Tier 1 Support"/>
    <x v="1"/>
    <x v="6"/>
    <x v="2"/>
    <x v="2"/>
    <x v="3"/>
    <n v="4"/>
    <x v="0"/>
    <d v="2026-08-17T06:37:00"/>
    <s v="No"/>
    <m/>
    <s v="Required Follow-Up Call"/>
    <n v="2.0333333333255723"/>
    <x v="0"/>
  </r>
  <r>
    <s v="TCK-21063"/>
    <d v="2026-06-15T16:20:00"/>
    <s v="Tier 2 Support"/>
    <x v="2"/>
    <x v="1"/>
    <x v="0"/>
    <x v="3"/>
    <x v="0"/>
    <n v="24"/>
    <x v="0"/>
    <d v="2026-06-16T02:28:00"/>
    <s v="No"/>
    <n v="3"/>
    <s v="Required Follow-Up Call"/>
    <n v="10.133333333360497"/>
    <x v="0"/>
  </r>
  <r>
    <s v="TCK-20730"/>
    <d v="2026-05-11T18:16:00"/>
    <s v="Billing Support"/>
    <x v="0"/>
    <x v="6"/>
    <x v="0"/>
    <x v="5"/>
    <x v="1"/>
    <n v="48"/>
    <x v="5"/>
    <s v="Missing Resolve Date"/>
    <s v="No"/>
    <m/>
    <s v="Customer Satisfied With Resolution"/>
    <s v=""/>
    <x v="1"/>
  </r>
  <r>
    <s v="TCK-20666"/>
    <d v="2026-06-26T02:48:00"/>
    <s v="Tier 1 Support"/>
    <x v="1"/>
    <x v="2"/>
    <x v="0"/>
    <x v="3"/>
    <x v="0"/>
    <n v="24"/>
    <x v="4"/>
    <s v="Missing Resolve Date"/>
    <s v="Yes"/>
    <m/>
    <s v="Resolved On First Contact"/>
    <s v=""/>
    <x v="1"/>
  </r>
  <r>
    <s v="TCK-22108"/>
    <d v="2026-08-14T17:14:00"/>
    <s v="Technical Support"/>
    <x v="6"/>
    <x v="3"/>
    <x v="1"/>
    <x v="2"/>
    <x v="1"/>
    <n v="48"/>
    <x v="0"/>
    <d v="2026-08-20T11:48:00"/>
    <s v="No"/>
    <n v="3"/>
    <s v="Customer Satisfied With Resolution"/>
    <n v="138.56666666676756"/>
    <x v="2"/>
  </r>
  <r>
    <s v="TCK-21363"/>
    <d v="2026-08-21T19:55:00"/>
    <s v="Technical Support"/>
    <x v="4"/>
    <x v="6"/>
    <x v="2"/>
    <x v="4"/>
    <x v="0"/>
    <n v="24"/>
    <x v="4"/>
    <s v="Missing Resolve Date"/>
    <s v="Yes"/>
    <m/>
    <s v="Awaiting Customer Response"/>
    <s v=""/>
    <x v="1"/>
  </r>
  <r>
    <s v="TCK-20259"/>
    <d v="2026-04-20T18:07:00"/>
    <s v="Billing Support"/>
    <x v="5"/>
    <x v="4"/>
    <x v="2"/>
    <x v="2"/>
    <x v="0"/>
    <n v="24"/>
    <x v="0"/>
    <d v="2026-04-21T06:04:00"/>
    <s v="No"/>
    <n v="5"/>
    <s v="Customer Requested Refund"/>
    <n v="11.950000000011642"/>
    <x v="0"/>
  </r>
  <r>
    <s v="TCK-22524"/>
    <d v="2026-04-17T05:18:00"/>
    <s v="Tier 1 Support"/>
    <x v="1"/>
    <x v="0"/>
    <x v="2"/>
    <x v="0"/>
    <x v="1"/>
    <n v="48"/>
    <x v="0"/>
    <d v="2026-04-22T20:45:00"/>
    <s v="Yes"/>
    <n v="5"/>
    <s v="Required Follow-Up Call"/>
    <n v="135.45000000006985"/>
    <x v="2"/>
  </r>
  <r>
    <s v="TCK-21355"/>
    <d v="2026-05-17T04:14:00"/>
    <s v="Tier 1 Support"/>
    <x v="7"/>
    <x v="0"/>
    <x v="0"/>
    <x v="5"/>
    <x v="0"/>
    <n v="24"/>
    <x v="2"/>
    <d v="2026-05-17T20:18:00"/>
    <s v="No"/>
    <n v="3"/>
    <s v="Required Follow-Up Call"/>
    <n v="16.066666666651145"/>
    <x v="1"/>
  </r>
  <r>
    <s v="TCK-20032"/>
    <d v="2026-06-28T23:33:00"/>
    <s v="Tier 2 Support"/>
    <x v="2"/>
    <x v="4"/>
    <x v="2"/>
    <x v="1"/>
    <x v="0"/>
    <n v="24"/>
    <x v="2"/>
    <d v="2026-06-29T06:54:00"/>
    <s v="Yes"/>
    <m/>
    <s v="Repeat Issue From Same Customer"/>
    <n v="7.3500000000349246"/>
    <x v="1"/>
  </r>
  <r>
    <s v="TCK-20258"/>
    <d v="2026-07-17T13:28:00"/>
    <s v="Billing Support"/>
    <x v="5"/>
    <x v="4"/>
    <x v="1"/>
    <x v="3"/>
    <x v="0"/>
    <n v="24"/>
    <x v="0"/>
    <d v="2026-07-19T08:11:00"/>
    <s v="No"/>
    <n v="4"/>
    <s v="Awaiting Customer Response"/>
    <n v="42.716666666558012"/>
    <x v="2"/>
  </r>
  <r>
    <s v="TCK-21589"/>
    <d v="2026-03-18T13:33:00"/>
    <s v="Tier 1 Support"/>
    <x v="1"/>
    <x v="4"/>
    <x v="1"/>
    <x v="0"/>
    <x v="2"/>
    <n v="8"/>
    <x v="0"/>
    <d v="2026-03-19T09:40:00"/>
    <s v="No"/>
    <n v="3"/>
    <s v="Customer Satisfied With Resolution"/>
    <n v="20.116666666755918"/>
    <x v="2"/>
  </r>
  <r>
    <s v="TCK-22688"/>
    <d v="2026-01-25T08:01:00"/>
    <s v="Tier 2 Support"/>
    <x v="2"/>
    <x v="3"/>
    <x v="1"/>
    <x v="4"/>
    <x v="1"/>
    <n v="48"/>
    <x v="0"/>
    <d v="2026-01-27T02:58:00"/>
    <s v="No"/>
    <n v="3"/>
    <s v="Not Specified"/>
    <n v="42.950000000128057"/>
    <x v="0"/>
  </r>
  <r>
    <s v="TCK-21585"/>
    <d v="2026-05-12T13:37:00"/>
    <s v="Tier 1 Support"/>
    <x v="1"/>
    <x v="2"/>
    <x v="0"/>
    <x v="0"/>
    <x v="0"/>
    <n v="24"/>
    <x v="0"/>
    <d v="2026-05-12T20:47:00"/>
    <s v="No"/>
    <m/>
    <s v="Required Follow-Up Call"/>
    <n v="7.1666666666278616"/>
    <x v="0"/>
  </r>
  <r>
    <s v="TCK-21915"/>
    <d v="2026-07-25T00:16:00"/>
    <s v="Billing Support"/>
    <x v="5"/>
    <x v="4"/>
    <x v="1"/>
    <x v="1"/>
    <x v="0"/>
    <n v="24"/>
    <x v="1"/>
    <s v="Missing Resolve Date"/>
    <s v="No"/>
    <m/>
    <s v="Awaiting Customer Response"/>
    <s v=""/>
    <x v="1"/>
  </r>
  <r>
    <s v="TCK-22801"/>
    <d v="2026-01-18T17:29:00"/>
    <s v="Tier 1 Support"/>
    <x v="1"/>
    <x v="3"/>
    <x v="0"/>
    <x v="0"/>
    <x v="0"/>
    <n v="24"/>
    <x v="0"/>
    <d v="2026-01-19T22:57:00"/>
    <s v="No"/>
    <n v="1"/>
    <s v="Not Specified"/>
    <n v="29.466666666674428"/>
    <x v="2"/>
  </r>
  <r>
    <s v="TCK-20702"/>
    <d v="2026-02-06T02:42:00"/>
    <s v="Technical Support"/>
    <x v="4"/>
    <x v="3"/>
    <x v="3"/>
    <x v="3"/>
    <x v="2"/>
    <n v="8"/>
    <x v="0"/>
    <d v="2026-02-06T19:25:00"/>
    <s v="No"/>
    <m/>
    <s v="Escalated To Senior Agent"/>
    <n v="16.716666666674428"/>
    <x v="2"/>
  </r>
  <r>
    <s v="TCK-21904"/>
    <d v="2026-01-22T20:55:00"/>
    <s v="Billing Support"/>
    <x v="5"/>
    <x v="5"/>
    <x v="3"/>
    <x v="4"/>
    <x v="2"/>
    <n v="8"/>
    <x v="0"/>
    <d v="2026-01-23T06:25:00"/>
    <s v="No"/>
    <n v="4"/>
    <s v="Customer Requested Refund"/>
    <n v="9.4999999998835847"/>
    <x v="2"/>
  </r>
  <r>
    <s v="TCK-21243"/>
    <d v="2026-01-29T09:26:00"/>
    <s v="Billing Support"/>
    <x v="5"/>
    <x v="5"/>
    <x v="0"/>
    <x v="0"/>
    <x v="1"/>
    <n v="48"/>
    <x v="2"/>
    <d v="2026-01-31T03:36:00"/>
    <s v="No"/>
    <m/>
    <s v="Escalated To Senior Agent"/>
    <n v="42.166666666686069"/>
    <x v="1"/>
  </r>
  <r>
    <s v="TCK-21663"/>
    <d v="2026-03-01T11:10:00"/>
    <s v="Tier 2 Support"/>
    <x v="3"/>
    <x v="5"/>
    <x v="0"/>
    <x v="1"/>
    <x v="0"/>
    <n v="24"/>
    <x v="2"/>
    <d v="2026-03-01T21:43:00"/>
    <s v="No"/>
    <n v="2"/>
    <s v="Not Specified"/>
    <n v="10.549999999988358"/>
    <x v="1"/>
  </r>
  <r>
    <s v="TCK-21581"/>
    <d v="2026-08-04T05:33:00"/>
    <s v="Tier 1 Support"/>
    <x v="1"/>
    <x v="5"/>
    <x v="1"/>
    <x v="4"/>
    <x v="2"/>
    <n v="8"/>
    <x v="5"/>
    <s v="Missing Resolve Date"/>
    <s v="No"/>
    <m/>
    <s v="Awaiting Customer Response"/>
    <s v=""/>
    <x v="1"/>
  </r>
  <r>
    <s v="TCK-20188"/>
    <d v="2026-06-06T14:44:00"/>
    <s v="Technical Support"/>
    <x v="4"/>
    <x v="6"/>
    <x v="0"/>
    <x v="1"/>
    <x v="0"/>
    <n v="24"/>
    <x v="0"/>
    <d v="2026-06-06T18:27:00"/>
    <s v="No"/>
    <n v="4"/>
    <s v="Escalated To Senior Agent"/>
    <n v="3.7166666667326353"/>
    <x v="0"/>
  </r>
  <r>
    <s v="TCK-20601"/>
    <d v="2026-01-22T02:30:00"/>
    <s v="Technical Support"/>
    <x v="6"/>
    <x v="5"/>
    <x v="1"/>
    <x v="4"/>
    <x v="3"/>
    <n v="4"/>
    <x v="1"/>
    <s v="Missing Resolve Date"/>
    <s v="No"/>
    <m/>
    <s v="Customer Satisfied With Resolution"/>
    <s v=""/>
    <x v="1"/>
  </r>
  <r>
    <s v="TCK-21846"/>
    <d v="2026-01-17T03:45:00"/>
    <s v="Tier 2 Support"/>
    <x v="2"/>
    <x v="4"/>
    <x v="0"/>
    <x v="1"/>
    <x v="1"/>
    <n v="48"/>
    <x v="4"/>
    <s v="Missing Resolve Date"/>
    <s v="Yes"/>
    <m/>
    <s v="Not Specified"/>
    <s v=""/>
    <x v="1"/>
  </r>
  <r>
    <s v="TCK-21269"/>
    <d v="2026-05-02T15:51:00"/>
    <s v="Tier 2 Support"/>
    <x v="2"/>
    <x v="0"/>
    <x v="1"/>
    <x v="4"/>
    <x v="0"/>
    <n v="24"/>
    <x v="0"/>
    <d v="2026-05-05T13:57:00"/>
    <s v="No"/>
    <n v="2"/>
    <s v="Repeat Issue From Same Customer"/>
    <n v="70.100000000093132"/>
    <x v="2"/>
  </r>
  <r>
    <s v="TCK-21942"/>
    <d v="2026-05-21T14:47:00"/>
    <s v="Technical Support"/>
    <x v="6"/>
    <x v="1"/>
    <x v="0"/>
    <x v="0"/>
    <x v="3"/>
    <n v="4"/>
    <x v="0"/>
    <s v="Missing Resolve Date"/>
    <s v="No"/>
    <n v="1"/>
    <s v="Escalated To Senior Agent"/>
    <s v=""/>
    <x v="2"/>
  </r>
  <r>
    <s v="TCK-20297"/>
    <d v="2026-07-18T05:10:00"/>
    <s v="Tier 1 Support"/>
    <x v="7"/>
    <x v="3"/>
    <x v="1"/>
    <x v="4"/>
    <x v="1"/>
    <n v="48"/>
    <x v="0"/>
    <d v="2026-07-19T19:03:00"/>
    <s v="No"/>
    <m/>
    <s v="Escalated To Senior Agent"/>
    <n v="37.883333333185874"/>
    <x v="0"/>
  </r>
  <r>
    <s v="TCK-21917"/>
    <d v="2026-03-02T22:17:00"/>
    <s v="Billing Support"/>
    <x v="0"/>
    <x v="2"/>
    <x v="2"/>
    <x v="2"/>
    <x v="0"/>
    <n v="24"/>
    <x v="2"/>
    <d v="2026-03-05T02:15:00"/>
    <s v="Yes"/>
    <m/>
    <s v="Awaiting Customer Response"/>
    <n v="51.966666666674428"/>
    <x v="1"/>
  </r>
  <r>
    <s v="TCK-20028"/>
    <d v="2026-05-24T09:14:00"/>
    <s v="Technical Support"/>
    <x v="6"/>
    <x v="5"/>
    <x v="2"/>
    <x v="2"/>
    <x v="2"/>
    <n v="8"/>
    <x v="0"/>
    <d v="2026-05-25T06:45:00"/>
    <s v="No"/>
    <m/>
    <s v="Required Follow-Up Call"/>
    <n v="21.516666666604578"/>
    <x v="2"/>
  </r>
  <r>
    <s v="TCK-22736"/>
    <d v="2026-02-10T11:17:00"/>
    <s v="Tier 2 Support"/>
    <x v="3"/>
    <x v="3"/>
    <x v="3"/>
    <x v="0"/>
    <x v="1"/>
    <n v="48"/>
    <x v="0"/>
    <d v="2026-02-11T00:39:00"/>
    <s v="No"/>
    <n v="5"/>
    <s v="Customer Satisfied With Resolution"/>
    <n v="13.366666666755918"/>
    <x v="0"/>
  </r>
  <r>
    <s v="TCK-21972"/>
    <d v="2026-07-12T10:46:00"/>
    <s v="Technical Support"/>
    <x v="4"/>
    <x v="2"/>
    <x v="0"/>
    <x v="3"/>
    <x v="2"/>
    <n v="8"/>
    <x v="2"/>
    <d v="2026-07-12T12:20:00"/>
    <s v="No"/>
    <n v="4"/>
    <s v="Escalated To Senior Agent"/>
    <n v="1.5666666667093523"/>
    <x v="1"/>
  </r>
  <r>
    <s v="TCK-20494"/>
    <d v="2026-06-12T01:11:00"/>
    <s v="Tier 2 Support"/>
    <x v="2"/>
    <x v="1"/>
    <x v="3"/>
    <x v="4"/>
    <x v="1"/>
    <n v="48"/>
    <x v="4"/>
    <s v="Missing Resolve Date"/>
    <s v="Yes"/>
    <m/>
    <s v="Not Specified"/>
    <s v=""/>
    <x v="1"/>
  </r>
  <r>
    <s v="TCK-22468"/>
    <d v="2026-03-27T19:26:00"/>
    <s v="Billing Support"/>
    <x v="0"/>
    <x v="1"/>
    <x v="1"/>
    <x v="0"/>
    <x v="0"/>
    <n v="24"/>
    <x v="0"/>
    <d v="2026-03-27T20:58:00"/>
    <s v="No"/>
    <m/>
    <s v="Required Follow-Up Call"/>
    <n v="1.5333333334419876"/>
    <x v="0"/>
  </r>
  <r>
    <s v="TCK-20324"/>
    <d v="2026-04-01T22:54:00"/>
    <s v="Tier 1 Support"/>
    <x v="1"/>
    <x v="5"/>
    <x v="3"/>
    <x v="5"/>
    <x v="1"/>
    <n v="48"/>
    <x v="3"/>
    <d v="2026-04-02T09:38:00"/>
    <s v="No"/>
    <m/>
    <s v="Escalated To Senior Agent"/>
    <n v="10.733333333220799"/>
    <x v="1"/>
  </r>
  <r>
    <s v="TCK-20960"/>
    <d v="2026-08-28T13:01:00"/>
    <s v="Billing Support"/>
    <x v="5"/>
    <x v="2"/>
    <x v="3"/>
    <x v="5"/>
    <x v="1"/>
    <n v="48"/>
    <x v="2"/>
    <d v="2026-08-30T01:11:00"/>
    <s v="No"/>
    <m/>
    <s v="Customer Requested Refund"/>
    <n v="36.166666666686069"/>
    <x v="1"/>
  </r>
  <r>
    <s v="TCK-23051"/>
    <d v="2026-08-26T23:29:00"/>
    <s v="Technical Support"/>
    <x v="4"/>
    <x v="0"/>
    <x v="3"/>
    <x v="0"/>
    <x v="1"/>
    <n v="48"/>
    <x v="5"/>
    <s v="Missing Resolve Date"/>
    <s v="No"/>
    <m/>
    <s v="Not Specified"/>
    <s v=""/>
    <x v="1"/>
  </r>
  <r>
    <s v="TCK-21759"/>
    <d v="2026-05-21T17:42:00"/>
    <s v="Tier 2 Support"/>
    <x v="3"/>
    <x v="1"/>
    <x v="1"/>
    <x v="3"/>
    <x v="0"/>
    <n v="24"/>
    <x v="3"/>
    <d v="2026-05-22T11:09:00"/>
    <s v="No"/>
    <m/>
    <s v="Not Specified"/>
    <n v="17.449999999953434"/>
    <x v="1"/>
  </r>
  <r>
    <s v="TCK-20412"/>
    <d v="2026-05-11T04:37:00"/>
    <s v="Tier 2 Support"/>
    <x v="2"/>
    <x v="4"/>
    <x v="1"/>
    <x v="1"/>
    <x v="1"/>
    <n v="48"/>
    <x v="2"/>
    <d v="2026-05-12T12:27:00"/>
    <s v="No"/>
    <n v="4"/>
    <s v="Customer Requested Refund"/>
    <n v="31.833333333372138"/>
    <x v="1"/>
  </r>
  <r>
    <s v="TCK-21290"/>
    <d v="2026-01-31T22:36:00"/>
    <s v="Billing Support"/>
    <x v="5"/>
    <x v="3"/>
    <x v="3"/>
    <x v="1"/>
    <x v="3"/>
    <n v="4"/>
    <x v="0"/>
    <d v="2026-02-01T05:53:00"/>
    <s v="No"/>
    <n v="1"/>
    <s v="Technical Issue Resolved Remotely"/>
    <n v="7.2833333333255723"/>
    <x v="2"/>
  </r>
  <r>
    <s v="TCK-22608"/>
    <d v="2026-06-06T04:59:00"/>
    <s v="Billing Support"/>
    <x v="0"/>
    <x v="3"/>
    <x v="3"/>
    <x v="1"/>
    <x v="3"/>
    <n v="4"/>
    <x v="1"/>
    <s v="Missing Resolve Date"/>
    <s v="No"/>
    <m/>
    <s v="Awaiting Customer Response"/>
    <s v=""/>
    <x v="1"/>
  </r>
  <r>
    <s v="TCK-22941"/>
    <d v="2026-06-28T13:46:00"/>
    <s v="Tier 1 Support"/>
    <x v="7"/>
    <x v="3"/>
    <x v="0"/>
    <x v="5"/>
    <x v="0"/>
    <n v="24"/>
    <x v="1"/>
    <s v="Missing Resolve Date"/>
    <s v="No"/>
    <m/>
    <s v="Not Specified"/>
    <s v=""/>
    <x v="1"/>
  </r>
  <r>
    <s v="TCK-21910"/>
    <d v="2026-02-21T12:03:00"/>
    <s v="Billing Support"/>
    <x v="5"/>
    <x v="5"/>
    <x v="2"/>
    <x v="2"/>
    <x v="2"/>
    <n v="8"/>
    <x v="2"/>
    <d v="2026-02-21T16:19:00"/>
    <s v="No"/>
    <m/>
    <s v="Not Specified"/>
    <n v="4.2666666666045785"/>
    <x v="1"/>
  </r>
  <r>
    <s v="TCK-21175"/>
    <d v="2026-02-02T21:56:00"/>
    <s v="Tier 1 Support"/>
    <x v="7"/>
    <x v="5"/>
    <x v="2"/>
    <x v="3"/>
    <x v="1"/>
    <n v="48"/>
    <x v="5"/>
    <s v="Missing Resolve Date"/>
    <s v="No"/>
    <m/>
    <s v="Repeat Issue From Same Customer"/>
    <s v=""/>
    <x v="1"/>
  </r>
  <r>
    <s v="TCK-22414"/>
    <d v="2026-03-20T10:16:00"/>
    <s v="Tier 2 Support"/>
    <x v="2"/>
    <x v="1"/>
    <x v="3"/>
    <x v="4"/>
    <x v="0"/>
    <n v="24"/>
    <x v="0"/>
    <d v="2026-03-21T06:31:00"/>
    <s v="No"/>
    <n v="5"/>
    <s v="Customer Requested Refund"/>
    <n v="20.25"/>
    <x v="0"/>
  </r>
  <r>
    <s v="TCK-20128"/>
    <d v="2026-03-06T16:51:00"/>
    <s v="Tier 2 Support"/>
    <x v="2"/>
    <x v="0"/>
    <x v="0"/>
    <x v="5"/>
    <x v="1"/>
    <n v="48"/>
    <x v="2"/>
    <d v="2026-03-12T09:24:00"/>
    <s v="No"/>
    <n v="4"/>
    <s v="Required Follow-Up Call"/>
    <n v="136.55000000016298"/>
    <x v="1"/>
  </r>
  <r>
    <s v="TCK-20760"/>
    <d v="2026-05-27T02:38:00"/>
    <s v="Billing Support"/>
    <x v="0"/>
    <x v="5"/>
    <x v="3"/>
    <x v="0"/>
    <x v="2"/>
    <n v="8"/>
    <x v="0"/>
    <d v="2026-05-27T05:29:00"/>
    <s v="No"/>
    <n v="3"/>
    <s v="Required Follow-Up Call"/>
    <n v="2.8500000000349246"/>
    <x v="0"/>
  </r>
  <r>
    <s v="TCK-21030"/>
    <d v="2026-06-09T16:14:00"/>
    <s v="Tier 1 Support"/>
    <x v="7"/>
    <x v="1"/>
    <x v="2"/>
    <x v="0"/>
    <x v="2"/>
    <n v="8"/>
    <x v="0"/>
    <d v="2026-06-09T23:09:00"/>
    <s v="No"/>
    <n v="4"/>
    <s v="Required Follow-Up Call"/>
    <n v="6.9166666666860692"/>
    <x v="0"/>
  </r>
  <r>
    <s v="TCK-21746"/>
    <d v="2026-02-13T10:07:00"/>
    <s v="Billing Support"/>
    <x v="5"/>
    <x v="2"/>
    <x v="3"/>
    <x v="0"/>
    <x v="2"/>
    <n v="8"/>
    <x v="2"/>
    <d v="2026-02-13T13:50:00"/>
    <s v="No"/>
    <n v="2"/>
    <s v="Customer Satisfied With Resolution"/>
    <n v="3.7166666667326353"/>
    <x v="1"/>
  </r>
  <r>
    <s v="TCK-21513"/>
    <d v="2026-02-15T17:50:00"/>
    <s v="Billing Support"/>
    <x v="5"/>
    <x v="6"/>
    <x v="2"/>
    <x v="2"/>
    <x v="0"/>
    <n v="24"/>
    <x v="0"/>
    <d v="2026-02-17T06:58:00"/>
    <s v="No"/>
    <m/>
    <s v="Not Specified"/>
    <n v="37.133333333360497"/>
    <x v="2"/>
  </r>
  <r>
    <s v="TCK-20261"/>
    <d v="2026-01-22T15:49:00"/>
    <s v="Billing Support"/>
    <x v="0"/>
    <x v="1"/>
    <x v="1"/>
    <x v="4"/>
    <x v="0"/>
    <n v="24"/>
    <x v="0"/>
    <s v="Missing Resolve Date"/>
    <s v="No"/>
    <m/>
    <s v="Escalated To Senior Agent"/>
    <s v=""/>
    <x v="2"/>
  </r>
  <r>
    <s v="TCK-21176"/>
    <d v="2026-08-13T01:03:00"/>
    <s v="Tier 1 Support"/>
    <x v="1"/>
    <x v="6"/>
    <x v="0"/>
    <x v="1"/>
    <x v="1"/>
    <n v="48"/>
    <x v="4"/>
    <s v="Missing Resolve Date"/>
    <s v="Yes"/>
    <m/>
    <s v="Not Specified"/>
    <s v=""/>
    <x v="1"/>
  </r>
  <r>
    <s v="TCK-21999"/>
    <d v="2026-06-12T22:21:00"/>
    <s v="Tier 2 Support"/>
    <x v="3"/>
    <x v="5"/>
    <x v="0"/>
    <x v="1"/>
    <x v="2"/>
    <n v="8"/>
    <x v="2"/>
    <d v="2026-06-13T17:34:00"/>
    <s v="No"/>
    <n v="2"/>
    <s v="Not Specified"/>
    <n v="19.21666666661622"/>
    <x v="1"/>
  </r>
  <r>
    <s v="TCK-20389"/>
    <d v="2026-01-25T14:13:00"/>
    <s v="Billing Support"/>
    <x v="5"/>
    <x v="2"/>
    <x v="3"/>
    <x v="4"/>
    <x v="2"/>
    <n v="8"/>
    <x v="3"/>
    <d v="2026-01-25T17:36:00"/>
    <s v="No"/>
    <m/>
    <s v="Technical Issue Resolved Remotely"/>
    <n v="3.3833333331858739"/>
    <x v="1"/>
  </r>
  <r>
    <s v="TCK-22553"/>
    <d v="2026-04-16T16:06:00"/>
    <s v="Tier 1 Support"/>
    <x v="1"/>
    <x v="0"/>
    <x v="0"/>
    <x v="4"/>
    <x v="0"/>
    <n v="24"/>
    <x v="5"/>
    <s v="Missing Resolve Date"/>
    <s v="No"/>
    <m/>
    <s v="Not Specified"/>
    <s v=""/>
    <x v="1"/>
  </r>
  <r>
    <s v="TCK-20728"/>
    <d v="2026-03-23T05:36:00"/>
    <s v="Technical Support"/>
    <x v="4"/>
    <x v="1"/>
    <x v="0"/>
    <x v="0"/>
    <x v="3"/>
    <n v="4"/>
    <x v="0"/>
    <d v="2026-03-23T06:37:00"/>
    <s v="No"/>
    <m/>
    <s v="Escalated To Senior Agent"/>
    <n v="1.0166666666627862"/>
    <x v="0"/>
  </r>
  <r>
    <s v="TCK-21321"/>
    <d v="2026-04-27T13:02:00"/>
    <s v="Tier 1 Support"/>
    <x v="7"/>
    <x v="1"/>
    <x v="2"/>
    <x v="1"/>
    <x v="1"/>
    <n v="48"/>
    <x v="4"/>
    <s v="Missing Resolve Date"/>
    <s v="Yes"/>
    <m/>
    <s v="Not Specified"/>
    <s v=""/>
    <x v="1"/>
  </r>
  <r>
    <s v="TCK-22271"/>
    <d v="2026-02-28T19:13:00"/>
    <s v="Technical Support"/>
    <x v="6"/>
    <x v="0"/>
    <x v="0"/>
    <x v="0"/>
    <x v="1"/>
    <n v="48"/>
    <x v="1"/>
    <s v="Missing Resolve Date"/>
    <s v="No"/>
    <m/>
    <s v="Required Follow-Up Call"/>
    <s v=""/>
    <x v="1"/>
  </r>
  <r>
    <s v="TCK-21127"/>
    <d v="2026-05-23T12:04:00"/>
    <s v="Tier 2 Support"/>
    <x v="3"/>
    <x v="0"/>
    <x v="0"/>
    <x v="5"/>
    <x v="2"/>
    <n v="8"/>
    <x v="1"/>
    <s v="Missing Resolve Date"/>
    <s v="No"/>
    <m/>
    <s v="Customer Satisfied With Resolution"/>
    <s v=""/>
    <x v="1"/>
  </r>
  <r>
    <s v="TCK-21173"/>
    <d v="2026-04-19T12:49:00"/>
    <s v="Technical Support"/>
    <x v="6"/>
    <x v="6"/>
    <x v="0"/>
    <x v="4"/>
    <x v="0"/>
    <n v="24"/>
    <x v="4"/>
    <s v="Missing Resolve Date"/>
    <s v="Yes"/>
    <m/>
    <s v="Technical Issue Resolved Remotely"/>
    <s v=""/>
    <x v="1"/>
  </r>
  <r>
    <s v="TCK-20149"/>
    <d v="2026-08-30T01:08:00"/>
    <s v="Tier 2 Support"/>
    <x v="2"/>
    <x v="4"/>
    <x v="2"/>
    <x v="0"/>
    <x v="0"/>
    <n v="24"/>
    <x v="2"/>
    <d v="2026-08-30T03:51:00"/>
    <s v="No"/>
    <n v="2"/>
    <s v="Not Specified"/>
    <n v="2.71666666661622"/>
    <x v="1"/>
  </r>
  <r>
    <s v="TCK-20084"/>
    <d v="2026-08-24T07:13:00"/>
    <s v="Tier 2 Support"/>
    <x v="2"/>
    <x v="6"/>
    <x v="0"/>
    <x v="1"/>
    <x v="2"/>
    <n v="8"/>
    <x v="4"/>
    <s v="Missing Resolve Date"/>
    <s v="Yes"/>
    <m/>
    <s v="Customer Satisfied With Resolution"/>
    <s v=""/>
    <x v="1"/>
  </r>
  <r>
    <s v="TCK-23093"/>
    <d v="2026-04-02T06:08:00"/>
    <s v="Tier 1 Support"/>
    <x v="1"/>
    <x v="1"/>
    <x v="1"/>
    <x v="5"/>
    <x v="1"/>
    <n v="48"/>
    <x v="4"/>
    <s v="Missing Resolve Date"/>
    <s v="Yes"/>
    <m/>
    <s v="Awaiting Customer Response"/>
    <s v=""/>
    <x v="1"/>
  </r>
  <r>
    <s v="TCK-20736"/>
    <d v="2026-04-14T17:00:00"/>
    <s v="Technical Support"/>
    <x v="4"/>
    <x v="6"/>
    <x v="0"/>
    <x v="2"/>
    <x v="0"/>
    <n v="24"/>
    <x v="3"/>
    <d v="2026-04-15T12:10:00"/>
    <s v="Yes"/>
    <m/>
    <s v="Customer Requested Refund"/>
    <n v="19.166666666627862"/>
    <x v="1"/>
  </r>
  <r>
    <s v="TCK-21001"/>
    <d v="2026-05-29T12:59:00"/>
    <s v="Billing Support"/>
    <x v="5"/>
    <x v="0"/>
    <x v="3"/>
    <x v="4"/>
    <x v="2"/>
    <n v="8"/>
    <x v="0"/>
    <d v="2026-05-29T18:28:00"/>
    <s v="No"/>
    <m/>
    <s v="Customer Satisfied With Resolution"/>
    <n v="5.4833333332207985"/>
    <x v="0"/>
  </r>
  <r>
    <s v="TCK-21726"/>
    <d v="2026-06-05T16:37:00"/>
    <s v="Tier 1 Support"/>
    <x v="7"/>
    <x v="6"/>
    <x v="0"/>
    <x v="1"/>
    <x v="1"/>
    <n v="48"/>
    <x v="5"/>
    <s v="Missing Resolve Date"/>
    <s v="No"/>
    <m/>
    <s v="Not Specified"/>
    <s v=""/>
    <x v="1"/>
  </r>
  <r>
    <s v="TCK-22683"/>
    <d v="2026-03-24T07:49:00"/>
    <s v="Tier 2 Support"/>
    <x v="3"/>
    <x v="0"/>
    <x v="3"/>
    <x v="2"/>
    <x v="1"/>
    <n v="48"/>
    <x v="5"/>
    <s v="Missing Resolve Date"/>
    <s v="No"/>
    <m/>
    <s v="Awaiting Customer Response"/>
    <s v=""/>
    <x v="1"/>
  </r>
  <r>
    <s v="TCK-21028"/>
    <d v="2026-07-23T01:26:00"/>
    <s v="Technical Support"/>
    <x v="4"/>
    <x v="1"/>
    <x v="2"/>
    <x v="4"/>
    <x v="0"/>
    <n v="24"/>
    <x v="0"/>
    <d v="2026-07-23T15:11:00"/>
    <s v="No"/>
    <n v="3"/>
    <s v="Resolved On First Contact"/>
    <n v="13.750000000116415"/>
    <x v="0"/>
  </r>
  <r>
    <s v="TCK-22114"/>
    <d v="2026-05-10T07:29:00"/>
    <s v="Billing Support"/>
    <x v="5"/>
    <x v="2"/>
    <x v="1"/>
    <x v="0"/>
    <x v="2"/>
    <n v="8"/>
    <x v="4"/>
    <s v="Missing Resolve Date"/>
    <s v="Yes"/>
    <m/>
    <s v="Escalated To Senior Agent"/>
    <s v=""/>
    <x v="1"/>
  </r>
  <r>
    <s v="TCK-20576"/>
    <d v="2026-06-01T11:39:00"/>
    <s v="Technical Support"/>
    <x v="4"/>
    <x v="5"/>
    <x v="2"/>
    <x v="4"/>
    <x v="1"/>
    <n v="48"/>
    <x v="2"/>
    <d v="2026-06-02T04:43:00"/>
    <s v="No"/>
    <n v="5"/>
    <s v="Required Follow-Up Call"/>
    <n v="17.066666666592937"/>
    <x v="1"/>
  </r>
  <r>
    <s v="TCK-20114"/>
    <d v="2026-08-12T21:48:00"/>
    <s v="Technical Support"/>
    <x v="6"/>
    <x v="5"/>
    <x v="3"/>
    <x v="2"/>
    <x v="2"/>
    <n v="8"/>
    <x v="2"/>
    <d v="2026-08-13T11:47:00"/>
    <s v="No"/>
    <n v="5"/>
    <s v="Technical Issue Resolved Remotely"/>
    <n v="13.983333333337214"/>
    <x v="1"/>
  </r>
  <r>
    <s v="TCK-21138"/>
    <d v="2026-04-16T17:24:00"/>
    <s v="Tier 1 Support"/>
    <x v="7"/>
    <x v="0"/>
    <x v="0"/>
    <x v="1"/>
    <x v="0"/>
    <n v="24"/>
    <x v="4"/>
    <s v="Missing Resolve Date"/>
    <s v="Yes"/>
    <m/>
    <s v="Required Follow-Up Call"/>
    <s v=""/>
    <x v="1"/>
  </r>
  <r>
    <s v="TCK-21838"/>
    <d v="2026-05-18T01:50:00"/>
    <s v="Billing Support"/>
    <x v="5"/>
    <x v="6"/>
    <x v="1"/>
    <x v="4"/>
    <x v="1"/>
    <n v="48"/>
    <x v="2"/>
    <d v="2026-05-19T06:05:00"/>
    <s v="No"/>
    <n v="4"/>
    <s v="Escalated To Senior Agent"/>
    <n v="28.249999999883585"/>
    <x v="1"/>
  </r>
  <r>
    <s v="TCK-22549"/>
    <d v="2026-03-10T16:41:00"/>
    <s v="Technical Support"/>
    <x v="6"/>
    <x v="3"/>
    <x v="2"/>
    <x v="1"/>
    <x v="2"/>
    <n v="8"/>
    <x v="3"/>
    <d v="2026-03-10T19:38:00"/>
    <s v="No"/>
    <m/>
    <s v="Customer Satisfied With Resolution"/>
    <n v="2.9500000000116415"/>
    <x v="1"/>
  </r>
  <r>
    <s v="TCK-21418"/>
    <d v="2026-08-04T05:45:00"/>
    <s v="Technical Support"/>
    <x v="4"/>
    <x v="2"/>
    <x v="0"/>
    <x v="1"/>
    <x v="3"/>
    <n v="4"/>
    <x v="0"/>
    <d v="2026-08-04T07:56:00"/>
    <s v="No"/>
    <m/>
    <s v="Resolved On First Contact"/>
    <n v="2.1833333332906477"/>
    <x v="0"/>
  </r>
  <r>
    <s v="TCK-20243"/>
    <d v="2026-07-18T09:46:00"/>
    <s v="Billing Support"/>
    <x v="5"/>
    <x v="1"/>
    <x v="0"/>
    <x v="3"/>
    <x v="1"/>
    <n v="48"/>
    <x v="0"/>
    <d v="2026-07-20T02:45:00"/>
    <s v="No"/>
    <n v="5"/>
    <s v="Required Follow-Up Call"/>
    <n v="40.983333333337214"/>
    <x v="0"/>
  </r>
  <r>
    <s v="TCK-20298"/>
    <d v="2026-08-19T03:38:00"/>
    <s v="Technical Support"/>
    <x v="6"/>
    <x v="2"/>
    <x v="1"/>
    <x v="1"/>
    <x v="2"/>
    <n v="8"/>
    <x v="1"/>
    <s v="Missing Resolve Date"/>
    <s v="No"/>
    <m/>
    <s v="Technical Issue Resolved Remotely"/>
    <s v=""/>
    <x v="1"/>
  </r>
  <r>
    <s v="TCK-22348"/>
    <d v="2026-08-13T07:38:00"/>
    <s v="Tier 2 Support"/>
    <x v="3"/>
    <x v="1"/>
    <x v="2"/>
    <x v="3"/>
    <x v="1"/>
    <n v="48"/>
    <x v="1"/>
    <s v="Missing Resolve Date"/>
    <s v="No"/>
    <m/>
    <s v="Escalated To Senior Agent"/>
    <s v=""/>
    <x v="1"/>
  </r>
  <r>
    <s v="TCK-20986"/>
    <d v="2026-04-17T12:45:00"/>
    <s v="Tier 1 Support"/>
    <x v="7"/>
    <x v="2"/>
    <x v="2"/>
    <x v="3"/>
    <x v="0"/>
    <n v="24"/>
    <x v="0"/>
    <d v="2026-04-19T22:11:00"/>
    <s v="No"/>
    <n v="4"/>
    <s v="Technical Issue Resolved Remotely"/>
    <n v="57.433333333348855"/>
    <x v="2"/>
  </r>
  <r>
    <s v="TCK-20688"/>
    <d v="2026-05-06T07:40:00"/>
    <s v="Tier 2 Support"/>
    <x v="3"/>
    <x v="3"/>
    <x v="0"/>
    <x v="2"/>
    <x v="2"/>
    <n v="8"/>
    <x v="0"/>
    <d v="2026-05-06T13:23:00"/>
    <s v="No"/>
    <n v="4"/>
    <s v="Not Specified"/>
    <n v="5.71666666661622"/>
    <x v="0"/>
  </r>
  <r>
    <s v="TCK-20968"/>
    <d v="2026-07-08T02:16:00"/>
    <s v="Billing Support"/>
    <x v="0"/>
    <x v="0"/>
    <x v="1"/>
    <x v="5"/>
    <x v="1"/>
    <n v="48"/>
    <x v="4"/>
    <s v="Missing Resolve Date"/>
    <s v="Yes"/>
    <m/>
    <s v="Required Follow-Up Call"/>
    <s v=""/>
    <x v="1"/>
  </r>
  <r>
    <s v="TCK-21925"/>
    <d v="2026-08-24T11:27:00"/>
    <s v="Billing Support"/>
    <x v="5"/>
    <x v="3"/>
    <x v="3"/>
    <x v="2"/>
    <x v="1"/>
    <n v="48"/>
    <x v="2"/>
    <d v="2026-08-24T22:28:00"/>
    <s v="No"/>
    <n v="5"/>
    <s v="Required Follow-Up Call"/>
    <n v="11.016666666779201"/>
    <x v="1"/>
  </r>
  <r>
    <s v="TCK-22023"/>
    <d v="2026-06-17T15:50:00"/>
    <s v="Tier 1 Support"/>
    <x v="1"/>
    <x v="2"/>
    <x v="3"/>
    <x v="1"/>
    <x v="3"/>
    <n v="4"/>
    <x v="2"/>
    <s v="Missing Resolve Date"/>
    <s v="No"/>
    <m/>
    <s v="Escalated To Senior Agent"/>
    <s v=""/>
    <x v="1"/>
  </r>
  <r>
    <s v="TCK-23019"/>
    <d v="2026-08-20T01:27:00"/>
    <s v="Tier 1 Support"/>
    <x v="1"/>
    <x v="2"/>
    <x v="3"/>
    <x v="5"/>
    <x v="1"/>
    <n v="48"/>
    <x v="0"/>
    <d v="2026-08-21T18:13:00"/>
    <s v="Yes"/>
    <m/>
    <s v="Technical Issue Resolved Remotely"/>
    <n v="40.766666666662786"/>
    <x v="0"/>
  </r>
  <r>
    <s v="TCK-20204"/>
    <d v="2026-03-30T11:34:00"/>
    <s v="Tier 1 Support"/>
    <x v="7"/>
    <x v="1"/>
    <x v="0"/>
    <x v="5"/>
    <x v="0"/>
    <n v="24"/>
    <x v="0"/>
    <d v="2026-03-31T06:00:00"/>
    <s v="No"/>
    <n v="2"/>
    <s v="Customer Requested Refund"/>
    <n v="18.433333333348855"/>
    <x v="0"/>
  </r>
  <r>
    <s v="TCK-21022"/>
    <d v="2026-03-02T16:17:00"/>
    <s v="Billing Support"/>
    <x v="5"/>
    <x v="4"/>
    <x v="2"/>
    <x v="0"/>
    <x v="0"/>
    <n v="24"/>
    <x v="2"/>
    <d v="2026-03-02T21:53:00"/>
    <s v="No"/>
    <n v="4"/>
    <s v="Required Follow-Up Call"/>
    <n v="5.6000000000931323"/>
    <x v="1"/>
  </r>
  <r>
    <s v="TCK-20809"/>
    <d v="2026-06-22T01:06:00"/>
    <s v="Billing Support"/>
    <x v="0"/>
    <x v="4"/>
    <x v="1"/>
    <x v="5"/>
    <x v="3"/>
    <n v="4"/>
    <x v="2"/>
    <d v="2026-06-22T01:53:00"/>
    <s v="Yes"/>
    <n v="1"/>
    <s v="Awaiting Customer Response"/>
    <n v="0.78333333344198763"/>
    <x v="1"/>
  </r>
  <r>
    <s v="TCK-22013"/>
    <d v="2026-06-20T16:26:00"/>
    <s v="Tier 1 Support"/>
    <x v="1"/>
    <x v="5"/>
    <x v="0"/>
    <x v="5"/>
    <x v="2"/>
    <n v="8"/>
    <x v="3"/>
    <d v="2026-06-20T22:19:00"/>
    <s v="No"/>
    <m/>
    <s v="Escalated To Senior Agent"/>
    <n v="5.8833333333022892"/>
    <x v="1"/>
  </r>
  <r>
    <s v="TCK-20550"/>
    <d v="2026-02-15T12:02:00"/>
    <s v="Technical Support"/>
    <x v="6"/>
    <x v="4"/>
    <x v="1"/>
    <x v="3"/>
    <x v="0"/>
    <n v="24"/>
    <x v="0"/>
    <d v="2026-02-16T22:45:00"/>
    <s v="No"/>
    <n v="5"/>
    <s v="Resolved On First Contact"/>
    <n v="34.716666666674428"/>
    <x v="2"/>
  </r>
  <r>
    <s v="TCK-20307"/>
    <d v="2026-08-26T16:31:00"/>
    <s v="Technical Support"/>
    <x v="4"/>
    <x v="3"/>
    <x v="3"/>
    <x v="0"/>
    <x v="0"/>
    <n v="24"/>
    <x v="5"/>
    <s v="Missing Resolve Date"/>
    <s v="No"/>
    <m/>
    <s v="Required Follow-Up Call"/>
    <s v=""/>
    <x v="1"/>
  </r>
  <r>
    <s v="TCK-21556"/>
    <d v="2026-05-26T23:16:00"/>
    <s v="Billing Support"/>
    <x v="0"/>
    <x v="1"/>
    <x v="0"/>
    <x v="4"/>
    <x v="0"/>
    <n v="24"/>
    <x v="5"/>
    <s v="Missing Resolve Date"/>
    <s v="No"/>
    <m/>
    <s v="Required Follow-Up Call"/>
    <s v=""/>
    <x v="1"/>
  </r>
  <r>
    <s v="TCK-20334"/>
    <d v="2026-03-25T17:17:00"/>
    <s v="Billing Support"/>
    <x v="5"/>
    <x v="2"/>
    <x v="3"/>
    <x v="1"/>
    <x v="1"/>
    <n v="48"/>
    <x v="0"/>
    <d v="2026-03-25T18:16:00"/>
    <s v="No"/>
    <n v="1"/>
    <s v="Not Specified"/>
    <n v="0.9833333333954215"/>
    <x v="0"/>
  </r>
  <r>
    <s v="TCK-20202"/>
    <d v="2026-08-13T06:39:00"/>
    <s v="Technical Support"/>
    <x v="6"/>
    <x v="6"/>
    <x v="2"/>
    <x v="1"/>
    <x v="2"/>
    <n v="8"/>
    <x v="5"/>
    <s v="Missing Resolve Date"/>
    <s v="No"/>
    <m/>
    <s v="Required Follow-Up Call"/>
    <s v=""/>
    <x v="1"/>
  </r>
  <r>
    <s v="TCK-20481"/>
    <d v="2026-07-05T22:41:00"/>
    <s v="Billing Support"/>
    <x v="0"/>
    <x v="1"/>
    <x v="0"/>
    <x v="0"/>
    <x v="2"/>
    <n v="8"/>
    <x v="0"/>
    <d v="2026-07-06T03:56:00"/>
    <s v="No"/>
    <m/>
    <s v="Customer Satisfied With Resolution"/>
    <n v="5.25"/>
    <x v="0"/>
  </r>
  <r>
    <s v="TCK-20443"/>
    <d v="2026-01-19T06:01:00"/>
    <s v="Tier 2 Support"/>
    <x v="3"/>
    <x v="3"/>
    <x v="1"/>
    <x v="5"/>
    <x v="0"/>
    <n v="24"/>
    <x v="4"/>
    <s v="Missing Resolve Date"/>
    <s v="Yes"/>
    <m/>
    <s v="Repeat Issue From Same Customer"/>
    <s v=""/>
    <x v="1"/>
  </r>
  <r>
    <s v="TCK-23036"/>
    <d v="2026-02-20T05:30:00"/>
    <s v="Billing Support"/>
    <x v="5"/>
    <x v="2"/>
    <x v="2"/>
    <x v="5"/>
    <x v="2"/>
    <n v="8"/>
    <x v="0"/>
    <d v="2026-02-20T23:00:00"/>
    <s v="No"/>
    <m/>
    <s v="Customer Satisfied With Resolution"/>
    <n v="17.500000000116415"/>
    <x v="2"/>
  </r>
  <r>
    <s v="TCK-22899"/>
    <d v="2026-02-22T09:54:00"/>
    <s v="Technical Support"/>
    <x v="4"/>
    <x v="2"/>
    <x v="3"/>
    <x v="3"/>
    <x v="0"/>
    <n v="24"/>
    <x v="0"/>
    <d v="2026-02-22T15:51:00"/>
    <s v="No"/>
    <m/>
    <s v="Customer Satisfied With Resolution"/>
    <n v="5.9500000000116415"/>
    <x v="0"/>
  </r>
  <r>
    <s v="TCK-20437"/>
    <d v="2026-05-18T22:01:00"/>
    <s v="Billing Support"/>
    <x v="0"/>
    <x v="2"/>
    <x v="3"/>
    <x v="0"/>
    <x v="1"/>
    <n v="48"/>
    <x v="0"/>
    <d v="2026-05-19T13:01:00"/>
    <s v="No"/>
    <m/>
    <s v="Not Specified"/>
    <n v="15"/>
    <x v="0"/>
  </r>
  <r>
    <s v="TCK-21778"/>
    <d v="2026-01-20T15:03:00"/>
    <s v="Tier 2 Support"/>
    <x v="3"/>
    <x v="2"/>
    <x v="2"/>
    <x v="3"/>
    <x v="3"/>
    <n v="4"/>
    <x v="5"/>
    <s v="Missing Resolve Date"/>
    <s v="No"/>
    <m/>
    <s v="Repeat Issue From Same Customer"/>
    <s v=""/>
    <x v="1"/>
  </r>
  <r>
    <s v="TCK-23164"/>
    <d v="2026-01-29T08:04:00"/>
    <s v="Tier 2 Support"/>
    <x v="2"/>
    <x v="5"/>
    <x v="3"/>
    <x v="3"/>
    <x v="0"/>
    <n v="24"/>
    <x v="3"/>
    <d v="2026-01-29T17:46:00"/>
    <s v="No"/>
    <m/>
    <s v="Technical Issue Resolved Remotely"/>
    <n v="9.7000000000116415"/>
    <x v="1"/>
  </r>
  <r>
    <s v="TCK-20614"/>
    <d v="2026-03-27T21:36:00"/>
    <s v="Tier 2 Support"/>
    <x v="3"/>
    <x v="1"/>
    <x v="2"/>
    <x v="2"/>
    <x v="0"/>
    <n v="24"/>
    <x v="0"/>
    <d v="2026-03-28T02:53:00"/>
    <s v="No"/>
    <n v="5"/>
    <s v="Awaiting Customer Response"/>
    <n v="5.2833333332673647"/>
    <x v="0"/>
  </r>
  <r>
    <s v="TCK-21154"/>
    <d v="2026-03-24T04:12:00"/>
    <s v="Technical Support"/>
    <x v="4"/>
    <x v="5"/>
    <x v="1"/>
    <x v="3"/>
    <x v="1"/>
    <n v="48"/>
    <x v="0"/>
    <d v="2026-03-24T15:27:00"/>
    <s v="No"/>
    <n v="4"/>
    <s v="Not Specified"/>
    <n v="11.25"/>
    <x v="0"/>
  </r>
  <r>
    <s v="TCK-21223"/>
    <d v="2026-06-02T09:46:00"/>
    <s v="Technical Support"/>
    <x v="6"/>
    <x v="1"/>
    <x v="0"/>
    <x v="0"/>
    <x v="0"/>
    <n v="24"/>
    <x v="2"/>
    <d v="2026-06-03T06:07:00"/>
    <s v="No"/>
    <n v="5"/>
    <s v="Not Specified"/>
    <n v="20.349999999976717"/>
    <x v="1"/>
  </r>
  <r>
    <s v="TCK-22484"/>
    <d v="2026-02-09T16:24:00"/>
    <s v="Tier 1 Support"/>
    <x v="7"/>
    <x v="1"/>
    <x v="2"/>
    <x v="2"/>
    <x v="2"/>
    <n v="8"/>
    <x v="5"/>
    <s v="Missing Resolve Date"/>
    <s v="No"/>
    <m/>
    <s v="Customer Satisfied With Resolution"/>
    <s v=""/>
    <x v="1"/>
  </r>
  <r>
    <s v="TCK-22032"/>
    <d v="2026-04-20T21:57:00"/>
    <s v="Tier 2 Support"/>
    <x v="2"/>
    <x v="3"/>
    <x v="1"/>
    <x v="5"/>
    <x v="1"/>
    <n v="48"/>
    <x v="4"/>
    <s v="Missing Resolve Date"/>
    <s v="Yes"/>
    <m/>
    <s v="Not Specified"/>
    <s v=""/>
    <x v="1"/>
  </r>
  <r>
    <s v="TCK-20912"/>
    <d v="2026-02-10T15:16:00"/>
    <s v="Tier 1 Support"/>
    <x v="7"/>
    <x v="4"/>
    <x v="3"/>
    <x v="0"/>
    <x v="1"/>
    <n v="48"/>
    <x v="2"/>
    <d v="2026-02-11T00:26:00"/>
    <s v="No"/>
    <m/>
    <s v="Escalated To Senior Agent"/>
    <n v="9.1666666666860692"/>
    <x v="1"/>
  </r>
  <r>
    <s v="TCK-21304"/>
    <d v="2026-07-07T13:12:00"/>
    <s v="Tier 2 Support"/>
    <x v="2"/>
    <x v="3"/>
    <x v="3"/>
    <x v="1"/>
    <x v="0"/>
    <n v="24"/>
    <x v="5"/>
    <s v="Missing Resolve Date"/>
    <s v="Yes"/>
    <m/>
    <s v="Not Specified"/>
    <s v=""/>
    <x v="1"/>
  </r>
  <r>
    <s v="TCK-23026"/>
    <d v="2026-07-10T01:14:00"/>
    <s v="Tier 1 Support"/>
    <x v="1"/>
    <x v="0"/>
    <x v="3"/>
    <x v="1"/>
    <x v="0"/>
    <n v="24"/>
    <x v="3"/>
    <d v="2026-07-10T16:23:00"/>
    <s v="No"/>
    <m/>
    <s v="Not Specified"/>
    <n v="15.149999999965075"/>
    <x v="1"/>
  </r>
  <r>
    <s v="TCK-21012"/>
    <d v="2026-06-23T06:22:00"/>
    <s v="Tier 1 Support"/>
    <x v="7"/>
    <x v="3"/>
    <x v="2"/>
    <x v="1"/>
    <x v="3"/>
    <n v="4"/>
    <x v="2"/>
    <s v="Missing Resolve Date"/>
    <s v="No"/>
    <n v="4"/>
    <s v="Not Specified"/>
    <s v=""/>
    <x v="1"/>
  </r>
  <r>
    <s v="TCK-21162"/>
    <d v="2026-04-18T08:49:00"/>
    <s v="Billing Support"/>
    <x v="5"/>
    <x v="0"/>
    <x v="0"/>
    <x v="1"/>
    <x v="2"/>
    <n v="8"/>
    <x v="0"/>
    <d v="2026-04-18T13:43:00"/>
    <s v="No"/>
    <m/>
    <s v="Technical Issue Resolved Remotely"/>
    <n v="4.9000000000814907"/>
    <x v="0"/>
  </r>
  <r>
    <s v="TCK-20157"/>
    <d v="2026-04-26T12:10:00"/>
    <s v="Billing Support"/>
    <x v="0"/>
    <x v="3"/>
    <x v="0"/>
    <x v="3"/>
    <x v="0"/>
    <n v="24"/>
    <x v="0"/>
    <d v="2026-04-28T01:33:00"/>
    <s v="No"/>
    <n v="2"/>
    <s v="Resolved On First Contact"/>
    <n v="37.383333333302289"/>
    <x v="2"/>
  </r>
  <r>
    <s v="TCK-21983"/>
    <d v="2026-06-16T06:39:00"/>
    <s v="Tier 1 Support"/>
    <x v="7"/>
    <x v="5"/>
    <x v="3"/>
    <x v="4"/>
    <x v="0"/>
    <n v="24"/>
    <x v="2"/>
    <d v="2026-06-16T11:09:00"/>
    <s v="No"/>
    <n v="2"/>
    <s v="Repeat Issue From Same Customer"/>
    <n v="4.5"/>
    <x v="1"/>
  </r>
  <r>
    <s v="TCK-22578"/>
    <d v="2026-03-25T22:42:00"/>
    <s v="Tier 2 Support"/>
    <x v="2"/>
    <x v="6"/>
    <x v="3"/>
    <x v="4"/>
    <x v="2"/>
    <n v="8"/>
    <x v="2"/>
    <d v="2026-03-26T01:25:00"/>
    <s v="No"/>
    <m/>
    <s v="Customer Satisfied With Resolution"/>
    <n v="2.716666666790843"/>
    <x v="1"/>
  </r>
  <r>
    <s v="TCK-21470"/>
    <d v="2026-05-06T11:48:00"/>
    <s v="Technical Support"/>
    <x v="6"/>
    <x v="1"/>
    <x v="0"/>
    <x v="1"/>
    <x v="0"/>
    <n v="24"/>
    <x v="2"/>
    <d v="2026-05-06T19:14:00"/>
    <s v="No"/>
    <n v="2"/>
    <s v="Customer Satisfied With Resolution"/>
    <n v="7.4333333332906477"/>
    <x v="1"/>
  </r>
  <r>
    <s v="TCK-20348"/>
    <d v="2026-03-17T19:26:00"/>
    <s v="Tier 2 Support"/>
    <x v="3"/>
    <x v="4"/>
    <x v="1"/>
    <x v="0"/>
    <x v="2"/>
    <n v="8"/>
    <x v="0"/>
    <d v="2026-03-18T07:01:00"/>
    <s v="No"/>
    <n v="4"/>
    <s v="Required Follow-Up Call"/>
    <n v="11.583333333372138"/>
    <x v="2"/>
  </r>
  <r>
    <s v="TCK-22180"/>
    <d v="2026-05-01T11:33:00"/>
    <s v="Tier 2 Support"/>
    <x v="2"/>
    <x v="3"/>
    <x v="1"/>
    <x v="3"/>
    <x v="1"/>
    <n v="48"/>
    <x v="2"/>
    <d v="2026-05-02T04:25:00"/>
    <s v="No"/>
    <m/>
    <s v="Resolved On First Contact"/>
    <n v="16.866666666814126"/>
    <x v="1"/>
  </r>
  <r>
    <s v="TCK-22160"/>
    <d v="2026-02-05T16:23:00"/>
    <s v="Tier 2 Support"/>
    <x v="2"/>
    <x v="2"/>
    <x v="2"/>
    <x v="5"/>
    <x v="0"/>
    <n v="24"/>
    <x v="0"/>
    <d v="2026-02-05T22:02:00"/>
    <s v="No"/>
    <n v="3"/>
    <s v="Escalated To Senior Agent"/>
    <n v="5.6500000000814907"/>
    <x v="0"/>
  </r>
  <r>
    <s v="TCK-21494"/>
    <d v="2026-08-28T21:23:00"/>
    <s v="Technical Support"/>
    <x v="4"/>
    <x v="2"/>
    <x v="0"/>
    <x v="0"/>
    <x v="0"/>
    <n v="24"/>
    <x v="0"/>
    <d v="2026-08-29T06:34:00"/>
    <s v="No"/>
    <m/>
    <s v="Technical Issue Resolved Remotely"/>
    <n v="9.1833333332324401"/>
    <x v="0"/>
  </r>
  <r>
    <s v="TCK-20268"/>
    <d v="2026-06-03T04:39:00"/>
    <s v="Tier 2 Support"/>
    <x v="2"/>
    <x v="3"/>
    <x v="1"/>
    <x v="4"/>
    <x v="0"/>
    <n v="24"/>
    <x v="0"/>
    <d v="2026-06-03T21:18:00"/>
    <s v="No"/>
    <n v="3"/>
    <s v="Technical Issue Resolved Remotely"/>
    <n v="16.649999999965075"/>
    <x v="0"/>
  </r>
  <r>
    <s v="TCK-21862"/>
    <d v="2026-06-20T04:00:00"/>
    <s v="Billing Support"/>
    <x v="5"/>
    <x v="3"/>
    <x v="3"/>
    <x v="1"/>
    <x v="2"/>
    <n v="8"/>
    <x v="0"/>
    <d v="2026-06-21T00:36:00"/>
    <s v="No"/>
    <m/>
    <s v="Technical Issue Resolved Remotely"/>
    <n v="20.600000000093132"/>
    <x v="2"/>
  </r>
  <r>
    <s v="TCK-21432"/>
    <d v="2026-03-05T22:04:00"/>
    <s v="Tier 1 Support"/>
    <x v="7"/>
    <x v="0"/>
    <x v="3"/>
    <x v="1"/>
    <x v="2"/>
    <n v="8"/>
    <x v="5"/>
    <s v="Missing Resolve Date"/>
    <s v="No"/>
    <m/>
    <s v="Awaiting Customer Response"/>
    <s v=""/>
    <x v="1"/>
  </r>
  <r>
    <s v="TCK-21058"/>
    <d v="2026-01-18T22:18:00"/>
    <s v="Tier 1 Support"/>
    <x v="7"/>
    <x v="0"/>
    <x v="0"/>
    <x v="2"/>
    <x v="3"/>
    <n v="4"/>
    <x v="0"/>
    <d v="2026-01-19T00:20:00"/>
    <s v="No"/>
    <n v="1"/>
    <s v="Resolved On First Contact"/>
    <n v="2.0333333333255723"/>
    <x v="0"/>
  </r>
  <r>
    <s v="TCK-20219"/>
    <d v="2026-03-31T03:33:00"/>
    <s v="Technical Support"/>
    <x v="6"/>
    <x v="0"/>
    <x v="3"/>
    <x v="5"/>
    <x v="2"/>
    <n v="8"/>
    <x v="0"/>
    <d v="2026-03-31T05:57:00"/>
    <s v="No"/>
    <n v="2"/>
    <s v="Not Specified"/>
    <n v="2.3999999999650754"/>
    <x v="0"/>
  </r>
  <r>
    <s v="TCK-23180"/>
    <d v="2026-04-08T23:43:00"/>
    <s v="Tier 1 Support"/>
    <x v="1"/>
    <x v="3"/>
    <x v="0"/>
    <x v="4"/>
    <x v="1"/>
    <n v="48"/>
    <x v="0"/>
    <d v="2026-04-10T12:05:00"/>
    <s v="No"/>
    <n v="4"/>
    <s v="Escalated To Senior Agent"/>
    <n v="36.366666666639503"/>
    <x v="0"/>
  </r>
  <r>
    <s v="TCK-22778"/>
    <d v="2026-02-05T13:17:00"/>
    <s v="Tier 2 Support"/>
    <x v="3"/>
    <x v="1"/>
    <x v="1"/>
    <x v="1"/>
    <x v="2"/>
    <n v="8"/>
    <x v="2"/>
    <d v="2026-02-05T20:13:00"/>
    <s v="No"/>
    <n v="4"/>
    <s v="Not Specified"/>
    <n v="6.933333333407063"/>
    <x v="1"/>
  </r>
  <r>
    <s v="TCK-21007"/>
    <d v="2026-08-30T06:15:00"/>
    <s v="Technical Support"/>
    <x v="6"/>
    <x v="4"/>
    <x v="0"/>
    <x v="3"/>
    <x v="2"/>
    <n v="8"/>
    <x v="0"/>
    <d v="2026-08-30T09:44:00"/>
    <s v="No"/>
    <m/>
    <s v="Customer Requested Refund"/>
    <n v="3.4833333333372138"/>
    <x v="0"/>
  </r>
  <r>
    <s v="TCK-22695"/>
    <d v="2026-06-29T07:28:00"/>
    <s v="Tier 2 Support"/>
    <x v="3"/>
    <x v="3"/>
    <x v="3"/>
    <x v="3"/>
    <x v="1"/>
    <n v="48"/>
    <x v="5"/>
    <s v="Missing Resolve Date"/>
    <s v="Yes"/>
    <m/>
    <s v="Resolved On First Contact"/>
    <s v=""/>
    <x v="1"/>
  </r>
  <r>
    <s v="TCK-23183"/>
    <d v="2026-02-11T05:30:00"/>
    <s v="Technical Support"/>
    <x v="6"/>
    <x v="2"/>
    <x v="1"/>
    <x v="2"/>
    <x v="1"/>
    <n v="48"/>
    <x v="3"/>
    <d v="2026-02-13T20:03:00"/>
    <s v="No"/>
    <m/>
    <s v="Not Specified"/>
    <n v="62.550000000104774"/>
    <x v="1"/>
  </r>
  <r>
    <s v="TCK-22775"/>
    <d v="2026-08-08T10:21:00"/>
    <s v="Tier 1 Support"/>
    <x v="7"/>
    <x v="6"/>
    <x v="1"/>
    <x v="5"/>
    <x v="1"/>
    <n v="48"/>
    <x v="4"/>
    <s v="Missing Resolve Date"/>
    <s v="Yes"/>
    <m/>
    <s v="Technical Issue Resolved Remotely"/>
    <s v=""/>
    <x v="1"/>
  </r>
  <r>
    <s v="TCK-20955"/>
    <d v="2026-01-07T01:51:00"/>
    <s v="Tier 1 Support"/>
    <x v="7"/>
    <x v="5"/>
    <x v="3"/>
    <x v="5"/>
    <x v="0"/>
    <n v="24"/>
    <x v="2"/>
    <d v="2026-01-08T11:50:00"/>
    <s v="No"/>
    <n v="5"/>
    <s v="Required Follow-Up Call"/>
    <n v="33.983333333395422"/>
    <x v="1"/>
  </r>
  <r>
    <s v="TCK-20850"/>
    <d v="2026-01-29T19:03:00"/>
    <s v="Tier 2 Support"/>
    <x v="2"/>
    <x v="1"/>
    <x v="1"/>
    <x v="4"/>
    <x v="2"/>
    <n v="8"/>
    <x v="0"/>
    <d v="2026-01-30T02:06:00"/>
    <s v="No"/>
    <n v="5"/>
    <s v="Customer Requested Refund"/>
    <n v="7.0500000001047738"/>
    <x v="0"/>
  </r>
  <r>
    <s v="TCK-22314"/>
    <d v="2026-07-08T14:55:00"/>
    <s v="Tier 1 Support"/>
    <x v="1"/>
    <x v="1"/>
    <x v="2"/>
    <x v="0"/>
    <x v="2"/>
    <n v="8"/>
    <x v="0"/>
    <d v="2026-07-09T02:06:00"/>
    <s v="No"/>
    <n v="3"/>
    <s v="Not Specified"/>
    <n v="11.183333333290648"/>
    <x v="2"/>
  </r>
  <r>
    <s v="TCK-22185"/>
    <d v="2026-04-01T22:47:00"/>
    <s v="Technical Support"/>
    <x v="6"/>
    <x v="5"/>
    <x v="2"/>
    <x v="5"/>
    <x v="1"/>
    <n v="48"/>
    <x v="0"/>
    <d v="2026-04-02T23:43:00"/>
    <s v="No"/>
    <m/>
    <s v="Required Follow-Up Call"/>
    <n v="24.93333333323244"/>
    <x v="0"/>
  </r>
  <r>
    <s v="TCK-20345"/>
    <d v="2026-01-18T06:01:00"/>
    <s v="Tier 2 Support"/>
    <x v="3"/>
    <x v="1"/>
    <x v="2"/>
    <x v="5"/>
    <x v="3"/>
    <n v="4"/>
    <x v="0"/>
    <d v="2026-01-18T15:21:00"/>
    <s v="No"/>
    <m/>
    <s v="Not Specified"/>
    <n v="9.3333333331975155"/>
    <x v="2"/>
  </r>
  <r>
    <s v="TCK-21703"/>
    <d v="2026-01-22T23:33:00"/>
    <s v="Tier 2 Support"/>
    <x v="2"/>
    <x v="3"/>
    <x v="2"/>
    <x v="1"/>
    <x v="0"/>
    <n v="24"/>
    <x v="0"/>
    <d v="2026-01-23T19:43:00"/>
    <s v="No"/>
    <n v="5"/>
    <s v="Escalated To Senior Agent"/>
    <n v="20.166666666744277"/>
    <x v="0"/>
  </r>
  <r>
    <s v="TCK-20936"/>
    <d v="2026-02-24T09:43:00"/>
    <s v="Billing Support"/>
    <x v="5"/>
    <x v="3"/>
    <x v="2"/>
    <x v="5"/>
    <x v="1"/>
    <n v="48"/>
    <x v="2"/>
    <d v="2026-02-28T19:47:00"/>
    <s v="No"/>
    <n v="5"/>
    <s v="Required Follow-Up Call"/>
    <n v="106.06666666665114"/>
    <x v="1"/>
  </r>
  <r>
    <s v="TCK-21147"/>
    <d v="2026-06-02T05:44:00"/>
    <s v="Billing Support"/>
    <x v="0"/>
    <x v="6"/>
    <x v="0"/>
    <x v="4"/>
    <x v="0"/>
    <n v="24"/>
    <x v="5"/>
    <s v="Missing Resolve Date"/>
    <s v="No"/>
    <m/>
    <s v="Escalated To Senior Agent"/>
    <s v=""/>
    <x v="1"/>
  </r>
  <r>
    <s v="TCK-20603"/>
    <d v="2026-01-06T16:03:00"/>
    <s v="Technical Support"/>
    <x v="6"/>
    <x v="4"/>
    <x v="2"/>
    <x v="5"/>
    <x v="1"/>
    <n v="48"/>
    <x v="1"/>
    <s v="Missing Resolve Date"/>
    <s v="No"/>
    <m/>
    <s v="Technical Issue Resolved Remotely"/>
    <s v=""/>
    <x v="1"/>
  </r>
  <r>
    <s v="TCK-22811"/>
    <d v="2026-06-14T23:36:00"/>
    <s v="Tier 2 Support"/>
    <x v="3"/>
    <x v="5"/>
    <x v="1"/>
    <x v="4"/>
    <x v="3"/>
    <n v="4"/>
    <x v="0"/>
    <d v="2026-06-15T00:27:00"/>
    <s v="No"/>
    <m/>
    <s v="Not Specified"/>
    <n v="0.85000000015133992"/>
    <x v="0"/>
  </r>
  <r>
    <s v="TCK-22256"/>
    <d v="2026-05-31T04:00:00"/>
    <s v="Tier 1 Support"/>
    <x v="7"/>
    <x v="0"/>
    <x v="3"/>
    <x v="5"/>
    <x v="2"/>
    <n v="8"/>
    <x v="0"/>
    <d v="2026-05-31T22:14:00"/>
    <s v="No"/>
    <n v="4"/>
    <s v="Not Specified"/>
    <n v="18.233333333395422"/>
    <x v="2"/>
  </r>
  <r>
    <s v="TCK-21202"/>
    <d v="2026-05-30T23:06:00"/>
    <s v="Technical Support"/>
    <x v="4"/>
    <x v="6"/>
    <x v="1"/>
    <x v="5"/>
    <x v="1"/>
    <n v="48"/>
    <x v="2"/>
    <d v="2026-06-01T04:24:00"/>
    <s v="No"/>
    <n v="1"/>
    <s v="Not Specified"/>
    <n v="29.299999999988358"/>
    <x v="1"/>
  </r>
  <r>
    <s v="TCK-21954"/>
    <d v="2026-01-03T08:14:00"/>
    <s v="Technical Support"/>
    <x v="6"/>
    <x v="0"/>
    <x v="0"/>
    <x v="2"/>
    <x v="0"/>
    <n v="24"/>
    <x v="0"/>
    <d v="2026-01-04T05:40:00"/>
    <s v="No"/>
    <n v="5"/>
    <s v="Technical Issue Resolved Remotely"/>
    <n v="21.433333333348855"/>
    <x v="0"/>
  </r>
  <r>
    <s v="TCK-21543"/>
    <d v="2026-02-06T18:06:00"/>
    <s v="Tier 1 Support"/>
    <x v="7"/>
    <x v="3"/>
    <x v="3"/>
    <x v="0"/>
    <x v="2"/>
    <n v="8"/>
    <x v="0"/>
    <d v="2026-02-07T00:16:00"/>
    <s v="No"/>
    <n v="2"/>
    <s v="Resolved On First Contact"/>
    <n v="6.1666666666860692"/>
    <x v="0"/>
  </r>
  <r>
    <s v="TCK-20592"/>
    <d v="2026-06-02T13:19:00"/>
    <s v="Technical Support"/>
    <x v="4"/>
    <x v="5"/>
    <x v="1"/>
    <x v="2"/>
    <x v="0"/>
    <n v="24"/>
    <x v="0"/>
    <d v="2026-06-03T09:04:00"/>
    <s v="No"/>
    <n v="4"/>
    <s v="Not Specified"/>
    <n v="19.750000000116415"/>
    <x v="0"/>
  </r>
  <r>
    <s v="TCK-22814"/>
    <d v="2026-03-30T19:34:00"/>
    <s v="Tier 1 Support"/>
    <x v="1"/>
    <x v="3"/>
    <x v="3"/>
    <x v="5"/>
    <x v="0"/>
    <n v="24"/>
    <x v="2"/>
    <d v="2026-04-02T00:00:00"/>
    <s v="No"/>
    <n v="5"/>
    <s v="Escalated To Senior Agent"/>
    <n v="52.433333333290648"/>
    <x v="1"/>
  </r>
  <r>
    <s v="TCK-20459"/>
    <d v="2026-01-16T21:54:00"/>
    <s v="Tier 1 Support"/>
    <x v="1"/>
    <x v="5"/>
    <x v="0"/>
    <x v="0"/>
    <x v="0"/>
    <n v="24"/>
    <x v="2"/>
    <d v="2026-01-17T02:07:00"/>
    <s v="No"/>
    <m/>
    <s v="Not Specified"/>
    <n v="4.21666666661622"/>
    <x v="1"/>
  </r>
  <r>
    <s v="TCK-22679"/>
    <d v="2026-05-01T16:19:00"/>
    <s v="Tier 1 Support"/>
    <x v="7"/>
    <x v="0"/>
    <x v="0"/>
    <x v="0"/>
    <x v="1"/>
    <n v="48"/>
    <x v="0"/>
    <d v="2026-05-06T09:34:00"/>
    <s v="No"/>
    <m/>
    <s v="Not Specified"/>
    <n v="113.25"/>
    <x v="2"/>
  </r>
  <r>
    <s v="TCK-21481"/>
    <d v="2026-08-26T21:02:00"/>
    <s v="Tier 1 Support"/>
    <x v="1"/>
    <x v="2"/>
    <x v="1"/>
    <x v="3"/>
    <x v="1"/>
    <n v="48"/>
    <x v="3"/>
    <d v="2026-08-27T08:16:00"/>
    <s v="No"/>
    <m/>
    <s v="Not Specified"/>
    <n v="11.233333333453629"/>
    <x v="1"/>
  </r>
  <r>
    <s v="TCK-23077"/>
    <d v="2026-03-29T23:33:00"/>
    <s v="Tier 2 Support"/>
    <x v="3"/>
    <x v="0"/>
    <x v="1"/>
    <x v="3"/>
    <x v="2"/>
    <n v="8"/>
    <x v="2"/>
    <d v="2026-03-30T03:47:00"/>
    <s v="No"/>
    <m/>
    <s v="Customer Satisfied With Resolution"/>
    <n v="4.2333333333372138"/>
    <x v="1"/>
  </r>
  <r>
    <s v="TCK-20763"/>
    <d v="2026-08-06T20:59:00"/>
    <s v="Tier 1 Support"/>
    <x v="7"/>
    <x v="5"/>
    <x v="1"/>
    <x v="4"/>
    <x v="0"/>
    <n v="24"/>
    <x v="0"/>
    <d v="2026-08-07T02:13:00"/>
    <s v="Yes"/>
    <n v="5"/>
    <s v="Resolved On First Contact"/>
    <n v="5.2333333334536292"/>
    <x v="0"/>
  </r>
  <r>
    <s v="TCK-23096"/>
    <d v="2026-06-18T19:38:00"/>
    <s v="Billing Support"/>
    <x v="0"/>
    <x v="5"/>
    <x v="2"/>
    <x v="4"/>
    <x v="0"/>
    <n v="24"/>
    <x v="0"/>
    <d v="2026-06-19T14:43:00"/>
    <s v="No"/>
    <n v="2"/>
    <s v="Repeat Issue From Same Customer"/>
    <n v="19.083333333197515"/>
    <x v="0"/>
  </r>
  <r>
    <s v="TCK-20724"/>
    <d v="2026-03-11T18:35:00"/>
    <s v="Technical Support"/>
    <x v="6"/>
    <x v="6"/>
    <x v="2"/>
    <x v="1"/>
    <x v="1"/>
    <n v="48"/>
    <x v="4"/>
    <s v="Missing Resolve Date"/>
    <s v="Yes"/>
    <m/>
    <s v="Customer Requested Refund"/>
    <s v=""/>
    <x v="1"/>
  </r>
  <r>
    <s v="TCK-21293"/>
    <d v="2026-03-21T18:43:00"/>
    <s v="Billing Support"/>
    <x v="5"/>
    <x v="5"/>
    <x v="0"/>
    <x v="0"/>
    <x v="3"/>
    <n v="4"/>
    <x v="0"/>
    <d v="2026-03-22T03:41:00"/>
    <s v="Yes"/>
    <m/>
    <s v="Technical Issue Resolved Remotely"/>
    <n v="8.9666666665580124"/>
    <x v="2"/>
  </r>
  <r>
    <s v="TCK-21825"/>
    <d v="2026-07-07T05:19:00"/>
    <s v="Tier 2 Support"/>
    <x v="3"/>
    <x v="0"/>
    <x v="2"/>
    <x v="5"/>
    <x v="2"/>
    <n v="8"/>
    <x v="2"/>
    <d v="2026-07-07T09:20:00"/>
    <s v="No"/>
    <m/>
    <s v="Required Follow-Up Call"/>
    <n v="4.0166666666627862"/>
    <x v="1"/>
  </r>
  <r>
    <s v="TCK-21008"/>
    <d v="2026-03-30T18:40:00"/>
    <s v="Technical Support"/>
    <x v="6"/>
    <x v="1"/>
    <x v="3"/>
    <x v="2"/>
    <x v="1"/>
    <n v="48"/>
    <x v="2"/>
    <d v="2026-04-04T04:31:00"/>
    <s v="No"/>
    <n v="5"/>
    <s v="Required Follow-Up Call"/>
    <n v="105.84999999997672"/>
    <x v="1"/>
  </r>
  <r>
    <s v="TCK-20427"/>
    <d v="2026-01-25T17:01:00"/>
    <s v="Billing Support"/>
    <x v="5"/>
    <x v="0"/>
    <x v="3"/>
    <x v="1"/>
    <x v="0"/>
    <n v="24"/>
    <x v="0"/>
    <d v="2026-01-26T04:07:00"/>
    <s v="No"/>
    <n v="5"/>
    <s v="Required Follow-Up Call"/>
    <n v="11.100000000034925"/>
    <x v="0"/>
  </r>
  <r>
    <s v="TCK-22591"/>
    <d v="2026-03-06T14:27:00"/>
    <s v="Technical Support"/>
    <x v="6"/>
    <x v="6"/>
    <x v="0"/>
    <x v="5"/>
    <x v="2"/>
    <n v="8"/>
    <x v="0"/>
    <d v="2026-03-06T18:01:00"/>
    <s v="No"/>
    <n v="5"/>
    <s v="Awaiting Customer Response"/>
    <n v="3.5666666667675599"/>
    <x v="0"/>
  </r>
  <r>
    <s v="TCK-22436"/>
    <d v="2026-03-27T11:13:00"/>
    <s v="Tier 1 Support"/>
    <x v="7"/>
    <x v="4"/>
    <x v="0"/>
    <x v="3"/>
    <x v="2"/>
    <n v="8"/>
    <x v="4"/>
    <s v="Missing Resolve Date"/>
    <s v="Yes"/>
    <m/>
    <s v="Not Specified"/>
    <s v=""/>
    <x v="1"/>
  </r>
  <r>
    <s v="TCK-21980"/>
    <d v="2026-01-05T18:50:00"/>
    <s v="Tier 1 Support"/>
    <x v="1"/>
    <x v="1"/>
    <x v="2"/>
    <x v="3"/>
    <x v="0"/>
    <n v="24"/>
    <x v="0"/>
    <d v="2026-01-08T18:21:00"/>
    <s v="No"/>
    <m/>
    <s v="Repeat Issue From Same Customer"/>
    <n v="71.516666666662786"/>
    <x v="2"/>
  </r>
  <r>
    <s v="TCK-20772"/>
    <d v="2026-05-05T05:30:00"/>
    <s v="Tier 1 Support"/>
    <x v="7"/>
    <x v="0"/>
    <x v="3"/>
    <x v="1"/>
    <x v="3"/>
    <n v="4"/>
    <x v="0"/>
    <d v="2026-05-05T10:07:00"/>
    <s v="No"/>
    <n v="2"/>
    <s v="Escalated To Senior Agent"/>
    <n v="4.6166666666977108"/>
    <x v="2"/>
  </r>
  <r>
    <s v="TCK-22731"/>
    <d v="2026-02-20T23:14:00"/>
    <s v="Tier 2 Support"/>
    <x v="3"/>
    <x v="0"/>
    <x v="0"/>
    <x v="3"/>
    <x v="3"/>
    <n v="4"/>
    <x v="0"/>
    <d v="2026-02-20T23:44:00"/>
    <s v="No"/>
    <n v="5"/>
    <s v="Not Specified"/>
    <n v="0.50000000005820766"/>
    <x v="0"/>
  </r>
  <r>
    <s v="TCK-21083"/>
    <d v="2026-01-09T20:54:00"/>
    <s v="Technical Support"/>
    <x v="6"/>
    <x v="3"/>
    <x v="2"/>
    <x v="5"/>
    <x v="3"/>
    <n v="4"/>
    <x v="5"/>
    <s v="Missing Resolve Date"/>
    <s v="No"/>
    <m/>
    <s v="Customer Requested Refund"/>
    <s v=""/>
    <x v="1"/>
  </r>
  <r>
    <s v="TCK-20529"/>
    <d v="2026-08-26T04:58:00"/>
    <s v="Billing Support"/>
    <x v="0"/>
    <x v="0"/>
    <x v="1"/>
    <x v="0"/>
    <x v="2"/>
    <n v="8"/>
    <x v="0"/>
    <d v="2026-08-26T11:58:00"/>
    <s v="No"/>
    <m/>
    <s v="Not Specified"/>
    <n v="7.0000000001164153"/>
    <x v="0"/>
  </r>
  <r>
    <s v="TCK-22817"/>
    <d v="2026-03-25T10:14:00"/>
    <s v="Tier 1 Support"/>
    <x v="1"/>
    <x v="6"/>
    <x v="2"/>
    <x v="1"/>
    <x v="1"/>
    <n v="48"/>
    <x v="5"/>
    <s v="Missing Resolve Date"/>
    <s v="No"/>
    <m/>
    <s v="Customer Requested Refund"/>
    <s v=""/>
    <x v="1"/>
  </r>
  <r>
    <s v="TCK-20423"/>
    <d v="2026-04-10T00:06:00"/>
    <s v="Billing Support"/>
    <x v="5"/>
    <x v="1"/>
    <x v="0"/>
    <x v="4"/>
    <x v="1"/>
    <n v="48"/>
    <x v="4"/>
    <s v="Missing Resolve Date"/>
    <s v="Yes"/>
    <m/>
    <s v="Customer Requested Refund"/>
    <s v=""/>
    <x v="1"/>
  </r>
  <r>
    <s v="TCK-20830"/>
    <d v="2026-04-05T21:31:00"/>
    <s v="Tier 1 Support"/>
    <x v="1"/>
    <x v="4"/>
    <x v="1"/>
    <x v="4"/>
    <x v="1"/>
    <n v="48"/>
    <x v="1"/>
    <s v="Missing Resolve Date"/>
    <s v="No"/>
    <m/>
    <s v="Not Specified"/>
    <s v=""/>
    <x v="1"/>
  </r>
  <r>
    <s v="TCK-20168"/>
    <d v="2026-01-19T15:27:00"/>
    <s v="Tier 1 Support"/>
    <x v="7"/>
    <x v="0"/>
    <x v="0"/>
    <x v="2"/>
    <x v="0"/>
    <n v="24"/>
    <x v="1"/>
    <s v="Missing Resolve Date"/>
    <s v="No"/>
    <m/>
    <s v="Required Follow-Up Call"/>
    <s v=""/>
    <x v="1"/>
  </r>
  <r>
    <s v="TCK-21677"/>
    <d v="2026-05-05T13:22:00"/>
    <s v="Tier 1 Support"/>
    <x v="1"/>
    <x v="0"/>
    <x v="2"/>
    <x v="3"/>
    <x v="2"/>
    <n v="8"/>
    <x v="0"/>
    <d v="2026-05-06T06:55:00"/>
    <s v="No"/>
    <m/>
    <s v="Awaiting Customer Response"/>
    <n v="17.550000000104774"/>
    <x v="2"/>
  </r>
  <r>
    <s v="TCK-20682"/>
    <d v="2026-02-15T07:07:00"/>
    <s v="Tier 2 Support"/>
    <x v="3"/>
    <x v="1"/>
    <x v="1"/>
    <x v="0"/>
    <x v="2"/>
    <n v="8"/>
    <x v="1"/>
    <s v="Missing Resolve Date"/>
    <s v="No"/>
    <m/>
    <s v="Not Specified"/>
    <s v=""/>
    <x v="1"/>
  </r>
  <r>
    <s v="TCK-23079"/>
    <d v="2026-08-19T08:50:00"/>
    <s v="Tier 1 Support"/>
    <x v="1"/>
    <x v="6"/>
    <x v="2"/>
    <x v="0"/>
    <x v="2"/>
    <n v="8"/>
    <x v="2"/>
    <d v="2026-08-19T12:58:00"/>
    <s v="Yes"/>
    <m/>
    <s v="Escalated To Senior Agent"/>
    <n v="4.1333333333604969"/>
    <x v="1"/>
  </r>
  <r>
    <s v="TCK-21711"/>
    <d v="2026-02-16T10:07:00"/>
    <s v="Technical Support"/>
    <x v="6"/>
    <x v="1"/>
    <x v="1"/>
    <x v="3"/>
    <x v="1"/>
    <n v="48"/>
    <x v="0"/>
    <d v="2026-02-16T13:15:00"/>
    <s v="No"/>
    <n v="5"/>
    <s v="Repeat Issue From Same Customer"/>
    <n v="3.1333333334187046"/>
    <x v="0"/>
  </r>
  <r>
    <s v="TCK-20464"/>
    <d v="2026-08-23T21:53:00"/>
    <s v="Billing Support"/>
    <x v="5"/>
    <x v="2"/>
    <x v="0"/>
    <x v="3"/>
    <x v="1"/>
    <n v="48"/>
    <x v="1"/>
    <s v="Missing Resolve Date"/>
    <s v="No"/>
    <m/>
    <s v="Awaiting Customer Response"/>
    <s v=""/>
    <x v="1"/>
  </r>
  <r>
    <s v="TCK-20619"/>
    <d v="2026-08-16T13:03:00"/>
    <s v="Technical Support"/>
    <x v="4"/>
    <x v="2"/>
    <x v="2"/>
    <x v="3"/>
    <x v="0"/>
    <n v="24"/>
    <x v="0"/>
    <d v="2026-08-17T04:04:00"/>
    <s v="No"/>
    <m/>
    <s v="Not Specified"/>
    <n v="15.016666666720994"/>
    <x v="0"/>
  </r>
  <r>
    <s v="TCK-22838"/>
    <d v="2026-04-05T15:58:00"/>
    <s v="Technical Support"/>
    <x v="6"/>
    <x v="5"/>
    <x v="0"/>
    <x v="5"/>
    <x v="0"/>
    <n v="24"/>
    <x v="5"/>
    <s v="Missing Resolve Date"/>
    <s v="No"/>
    <m/>
    <s v="Resolved On First Contact"/>
    <s v=""/>
    <x v="1"/>
  </r>
  <r>
    <s v="TCK-21128"/>
    <d v="2026-05-28T08:03:00"/>
    <s v="Technical Support"/>
    <x v="4"/>
    <x v="2"/>
    <x v="2"/>
    <x v="4"/>
    <x v="2"/>
    <n v="8"/>
    <x v="4"/>
    <s v="Missing Resolve Date"/>
    <s v="Yes"/>
    <m/>
    <s v="Not Specified"/>
    <s v=""/>
    <x v="1"/>
  </r>
  <r>
    <s v="TCK-22063"/>
    <d v="2026-03-29T03:31:00"/>
    <s v="Tier 1 Support"/>
    <x v="7"/>
    <x v="3"/>
    <x v="2"/>
    <x v="1"/>
    <x v="2"/>
    <n v="8"/>
    <x v="1"/>
    <s v="Missing Resolve Date"/>
    <s v="No"/>
    <m/>
    <s v="Not Specified"/>
    <s v=""/>
    <x v="1"/>
  </r>
  <r>
    <s v="TCK-22064"/>
    <d v="2026-08-23T04:50:00"/>
    <s v="Technical Support"/>
    <x v="4"/>
    <x v="3"/>
    <x v="2"/>
    <x v="2"/>
    <x v="2"/>
    <n v="8"/>
    <x v="5"/>
    <s v="Missing Resolve Date"/>
    <s v="No"/>
    <m/>
    <s v="Awaiting Customer Response"/>
    <s v=""/>
    <x v="1"/>
  </r>
  <r>
    <s v="TCK-23153"/>
    <d v="2026-05-29T06:08:00"/>
    <s v="Technical Support"/>
    <x v="6"/>
    <x v="1"/>
    <x v="0"/>
    <x v="2"/>
    <x v="1"/>
    <n v="48"/>
    <x v="0"/>
    <d v="2026-06-02T21:24:00"/>
    <s v="Yes"/>
    <n v="1"/>
    <s v="Not Specified"/>
    <n v="111.26666666666279"/>
    <x v="2"/>
  </r>
  <r>
    <s v="TCK-22955"/>
    <d v="2026-05-15T22:48:00"/>
    <s v="Tier 1 Support"/>
    <x v="7"/>
    <x v="2"/>
    <x v="2"/>
    <x v="4"/>
    <x v="1"/>
    <n v="48"/>
    <x v="5"/>
    <s v="Missing Resolve Date"/>
    <s v="No"/>
    <m/>
    <s v="Resolved On First Contact"/>
    <s v=""/>
    <x v="1"/>
  </r>
  <r>
    <s v="TCK-20078"/>
    <d v="2026-06-03T02:01:00"/>
    <s v="Tier 2 Support"/>
    <x v="3"/>
    <x v="2"/>
    <x v="3"/>
    <x v="4"/>
    <x v="0"/>
    <n v="24"/>
    <x v="3"/>
    <d v="2026-06-03T19:34:00"/>
    <s v="No"/>
    <m/>
    <s v="Awaiting Customer Response"/>
    <n v="17.550000000104774"/>
    <x v="1"/>
  </r>
  <r>
    <s v="TCK-23045"/>
    <d v="2026-07-11T22:39:00"/>
    <s v="Tier 1 Support"/>
    <x v="1"/>
    <x v="4"/>
    <x v="1"/>
    <x v="0"/>
    <x v="2"/>
    <n v="8"/>
    <x v="0"/>
    <d v="2026-07-12T14:00:00"/>
    <s v="No"/>
    <n v="3"/>
    <s v="Resolved On First Contact"/>
    <n v="15.350000000093132"/>
    <x v="2"/>
  </r>
  <r>
    <s v="TCK-20509"/>
    <d v="2026-04-13T16:36:00"/>
    <s v="Billing Support"/>
    <x v="0"/>
    <x v="2"/>
    <x v="2"/>
    <x v="4"/>
    <x v="2"/>
    <n v="8"/>
    <x v="0"/>
    <d v="2026-04-13T21:04:00"/>
    <s v="No"/>
    <n v="1"/>
    <s v="Not Specified"/>
    <n v="4.4666666667326353"/>
    <x v="0"/>
  </r>
  <r>
    <s v="TCK-22046"/>
    <d v="2026-03-21T19:34:00"/>
    <s v="Tier 2 Support"/>
    <x v="2"/>
    <x v="6"/>
    <x v="0"/>
    <x v="3"/>
    <x v="1"/>
    <n v="48"/>
    <x v="5"/>
    <s v="Missing Resolve Date"/>
    <s v="No"/>
    <m/>
    <s v="Not Specified"/>
    <s v=""/>
    <x v="1"/>
  </r>
  <r>
    <s v="TCK-20631"/>
    <d v="2026-05-10T10:21:00"/>
    <s v="Technical Support"/>
    <x v="6"/>
    <x v="3"/>
    <x v="0"/>
    <x v="5"/>
    <x v="3"/>
    <n v="4"/>
    <x v="1"/>
    <s v="Missing Resolve Date"/>
    <s v="No"/>
    <m/>
    <s v="Escalated To Senior Agent"/>
    <s v=""/>
    <x v="1"/>
  </r>
  <r>
    <s v="TCK-21475"/>
    <d v="2026-07-26T15:10:00"/>
    <s v="Tier 1 Support"/>
    <x v="7"/>
    <x v="5"/>
    <x v="0"/>
    <x v="5"/>
    <x v="1"/>
    <n v="48"/>
    <x v="0"/>
    <d v="2026-07-28T03:23:00"/>
    <s v="No"/>
    <n v="4"/>
    <s v="Technical Issue Resolved Remotely"/>
    <n v="36.216666666674428"/>
    <x v="0"/>
  </r>
  <r>
    <s v="TCK-22462"/>
    <d v="2026-05-29T10:12:00"/>
    <s v="Billing Support"/>
    <x v="0"/>
    <x v="2"/>
    <x v="1"/>
    <x v="3"/>
    <x v="1"/>
    <n v="48"/>
    <x v="2"/>
    <d v="2026-05-30T03:46:00"/>
    <s v="No"/>
    <n v="5"/>
    <s v="Resolved On First Contact"/>
    <n v="17.566666666651145"/>
    <x v="1"/>
  </r>
  <r>
    <s v="TCK-22398"/>
    <d v="2026-04-09T22:46:00"/>
    <s v="Technical Support"/>
    <x v="6"/>
    <x v="4"/>
    <x v="1"/>
    <x v="1"/>
    <x v="0"/>
    <n v="24"/>
    <x v="4"/>
    <s v="Missing Resolve Date"/>
    <s v="Yes"/>
    <m/>
    <s v="Technical Issue Resolved Remotely"/>
    <s v=""/>
    <x v="1"/>
  </r>
  <r>
    <s v="TCK-20552"/>
    <d v="2026-05-14T18:14:00"/>
    <s v="Tier 1 Support"/>
    <x v="1"/>
    <x v="6"/>
    <x v="0"/>
    <x v="2"/>
    <x v="1"/>
    <n v="48"/>
    <x v="5"/>
    <s v="Missing Resolve Date"/>
    <s v="No"/>
    <m/>
    <s v="Not Specified"/>
    <s v=""/>
    <x v="1"/>
  </r>
  <r>
    <s v="TCK-20013"/>
    <d v="2026-01-08T04:16:00"/>
    <s v="Tier 2 Support"/>
    <x v="2"/>
    <x v="4"/>
    <x v="3"/>
    <x v="3"/>
    <x v="2"/>
    <n v="8"/>
    <x v="2"/>
    <d v="2026-01-08T06:59:00"/>
    <s v="No"/>
    <n v="5"/>
    <s v="Awaiting Customer Response"/>
    <n v="2.716666666790843"/>
    <x v="1"/>
  </r>
  <r>
    <s v="TCK-21415"/>
    <d v="2026-06-26T21:22:00"/>
    <s v="Technical Support"/>
    <x v="4"/>
    <x v="3"/>
    <x v="3"/>
    <x v="5"/>
    <x v="0"/>
    <n v="24"/>
    <x v="0"/>
    <d v="2026-06-27T05:45:00"/>
    <s v="No"/>
    <n v="1"/>
    <s v="Not Specified"/>
    <n v="8.3833333334187046"/>
    <x v="0"/>
  </r>
  <r>
    <s v="TCK-21157"/>
    <d v="2026-02-19T01:57:00"/>
    <s v="Tier 1 Support"/>
    <x v="1"/>
    <x v="0"/>
    <x v="0"/>
    <x v="5"/>
    <x v="0"/>
    <n v="24"/>
    <x v="2"/>
    <d v="2026-02-19T07:25:00"/>
    <s v="No"/>
    <m/>
    <s v="Customer Satisfied With Resolution"/>
    <n v="5.4666666666744277"/>
    <x v="1"/>
  </r>
  <r>
    <s v="TCK-20586"/>
    <d v="2026-07-13T10:47:00"/>
    <s v="Tier 2 Support"/>
    <x v="3"/>
    <x v="0"/>
    <x v="3"/>
    <x v="0"/>
    <x v="0"/>
    <n v="24"/>
    <x v="0"/>
    <d v="2026-07-14T17:09:00"/>
    <s v="No"/>
    <n v="3"/>
    <s v="Not Specified"/>
    <n v="30.366666666639503"/>
    <x v="2"/>
  </r>
  <r>
    <s v="TCK-21913"/>
    <d v="2026-08-12T03:26:00"/>
    <s v="Billing Support"/>
    <x v="0"/>
    <x v="5"/>
    <x v="0"/>
    <x v="2"/>
    <x v="0"/>
    <n v="24"/>
    <x v="2"/>
    <d v="2026-08-13T16:16:00"/>
    <s v="No"/>
    <n v="4"/>
    <s v="Customer Requested Refund"/>
    <n v="36.833333333255723"/>
    <x v="1"/>
  </r>
  <r>
    <s v="TCK-23040"/>
    <d v="2026-06-05T11:28:00"/>
    <s v="Tier 1 Support"/>
    <x v="1"/>
    <x v="4"/>
    <x v="1"/>
    <x v="4"/>
    <x v="0"/>
    <n v="24"/>
    <x v="2"/>
    <d v="2026-06-05T15:50:00"/>
    <s v="No"/>
    <n v="2"/>
    <s v="Customer Requested Refund"/>
    <n v="4.3666666665812954"/>
    <x v="1"/>
  </r>
  <r>
    <s v="TCK-23084"/>
    <d v="2026-01-27T21:41:00"/>
    <s v="Tier 1 Support"/>
    <x v="7"/>
    <x v="2"/>
    <x v="1"/>
    <x v="5"/>
    <x v="0"/>
    <n v="24"/>
    <x v="2"/>
    <d v="2026-01-28T12:52:00"/>
    <s v="No"/>
    <n v="2"/>
    <s v="Customer Requested Refund"/>
    <n v="15.183333333407063"/>
    <x v="1"/>
  </r>
  <r>
    <s v="TCK-21268"/>
    <d v="2026-05-15T03:49:00"/>
    <s v="Technical Support"/>
    <x v="4"/>
    <x v="2"/>
    <x v="0"/>
    <x v="4"/>
    <x v="2"/>
    <n v="8"/>
    <x v="0"/>
    <d v="2026-05-15T05:40:00"/>
    <s v="No"/>
    <n v="1"/>
    <s v="Resolved On First Contact"/>
    <n v="1.8499999999185093"/>
    <x v="0"/>
  </r>
  <r>
    <s v="TCK-21934"/>
    <d v="2026-07-13T10:23:00"/>
    <s v="Billing Support"/>
    <x v="0"/>
    <x v="0"/>
    <x v="2"/>
    <x v="1"/>
    <x v="3"/>
    <n v="4"/>
    <x v="5"/>
    <s v="Missing Resolve Date"/>
    <s v="No"/>
    <m/>
    <s v="Customer Satisfied With Resolution"/>
    <s v=""/>
    <x v="1"/>
  </r>
  <r>
    <s v="TCK-21620"/>
    <d v="2026-07-03T22:27:00"/>
    <s v="Tier 1 Support"/>
    <x v="1"/>
    <x v="5"/>
    <x v="0"/>
    <x v="1"/>
    <x v="3"/>
    <n v="4"/>
    <x v="2"/>
    <s v="Missing Resolve Date"/>
    <s v="No"/>
    <n v="2"/>
    <s v="Resolved On First Contact"/>
    <s v=""/>
    <x v="1"/>
  </r>
  <r>
    <s v="TCK-22278"/>
    <d v="2026-04-10T06:45:00"/>
    <s v="Tier 2 Support"/>
    <x v="3"/>
    <x v="3"/>
    <x v="0"/>
    <x v="5"/>
    <x v="2"/>
    <n v="8"/>
    <x v="2"/>
    <d v="2026-04-10T09:15:00"/>
    <s v="No"/>
    <n v="4"/>
    <s v="Resolved On First Contact"/>
    <n v="2.4999999999417923"/>
    <x v="1"/>
  </r>
  <r>
    <s v="TCK-21288"/>
    <d v="2026-03-19T08:49:00"/>
    <s v="Billing Support"/>
    <x v="5"/>
    <x v="3"/>
    <x v="0"/>
    <x v="5"/>
    <x v="1"/>
    <n v="48"/>
    <x v="2"/>
    <d v="2026-03-20T06:13:00"/>
    <s v="No"/>
    <n v="3"/>
    <s v="Required Follow-Up Call"/>
    <n v="21.400000000081491"/>
    <x v="1"/>
  </r>
  <r>
    <s v="TCK-22761"/>
    <d v="2026-04-30T07:08:00"/>
    <s v="Technical Support"/>
    <x v="4"/>
    <x v="1"/>
    <x v="0"/>
    <x v="0"/>
    <x v="2"/>
    <n v="8"/>
    <x v="0"/>
    <d v="2026-04-30T08:54:00"/>
    <s v="Yes"/>
    <n v="2"/>
    <s v="Resolved On First Contact"/>
    <n v="1.7666666666627862"/>
    <x v="0"/>
  </r>
  <r>
    <s v="TCK-22083"/>
    <d v="2026-06-27T17:42:00"/>
    <s v="Billing Support"/>
    <x v="0"/>
    <x v="6"/>
    <x v="3"/>
    <x v="1"/>
    <x v="1"/>
    <n v="48"/>
    <x v="5"/>
    <s v="Missing Resolve Date"/>
    <s v="No"/>
    <m/>
    <s v="Not Specified"/>
    <s v=""/>
    <x v="1"/>
  </r>
  <r>
    <s v="TCK-20700"/>
    <d v="2026-05-30T00:14:00"/>
    <s v="Technical Support"/>
    <x v="4"/>
    <x v="2"/>
    <x v="0"/>
    <x v="5"/>
    <x v="1"/>
    <n v="48"/>
    <x v="0"/>
    <d v="2026-05-31T08:39:00"/>
    <s v="No"/>
    <m/>
    <s v="Repeat Issue From Same Customer"/>
    <n v="32.416666666686069"/>
    <x v="0"/>
  </r>
  <r>
    <s v="TCK-20933"/>
    <d v="2026-05-21T08:32:00"/>
    <s v="Tier 2 Support"/>
    <x v="3"/>
    <x v="6"/>
    <x v="3"/>
    <x v="1"/>
    <x v="2"/>
    <n v="8"/>
    <x v="2"/>
    <d v="2026-05-21T14:50:00"/>
    <s v="No"/>
    <n v="3"/>
    <s v="Repeat Issue From Same Customer"/>
    <n v="6.2999999999301508"/>
    <x v="1"/>
  </r>
  <r>
    <s v="TCK-22152"/>
    <d v="2026-05-17T11:55:00"/>
    <s v="Tier 1 Support"/>
    <x v="7"/>
    <x v="3"/>
    <x v="2"/>
    <x v="1"/>
    <x v="1"/>
    <n v="48"/>
    <x v="0"/>
    <s v="Missing Resolve Date"/>
    <s v="No"/>
    <n v="3"/>
    <s v="Customer Requested Refund"/>
    <s v=""/>
    <x v="2"/>
  </r>
  <r>
    <s v="TCK-22901"/>
    <d v="2026-03-07T04:25:00"/>
    <s v="Tier 2 Support"/>
    <x v="2"/>
    <x v="0"/>
    <x v="2"/>
    <x v="1"/>
    <x v="1"/>
    <n v="48"/>
    <x v="0"/>
    <d v="2026-03-08T16:54:00"/>
    <s v="No"/>
    <m/>
    <s v="Not Specified"/>
    <n v="36.483333333337214"/>
    <x v="0"/>
  </r>
  <r>
    <s v="TCK-21514"/>
    <d v="2026-07-14T10:48:00"/>
    <s v="Tier 2 Support"/>
    <x v="2"/>
    <x v="3"/>
    <x v="0"/>
    <x v="5"/>
    <x v="0"/>
    <n v="24"/>
    <x v="2"/>
    <d v="2026-07-14T18:24:00"/>
    <s v="No"/>
    <n v="5"/>
    <s v="Escalated To Senior Agent"/>
    <n v="7.6000000001513399"/>
    <x v="1"/>
  </r>
  <r>
    <s v="TCK-21552"/>
    <d v="2026-01-16T20:38:00"/>
    <s v="Tier 1 Support"/>
    <x v="1"/>
    <x v="2"/>
    <x v="1"/>
    <x v="3"/>
    <x v="2"/>
    <n v="8"/>
    <x v="0"/>
    <d v="2026-01-17T09:42:00"/>
    <s v="No"/>
    <m/>
    <s v="Not Specified"/>
    <n v="13.066666666651145"/>
    <x v="2"/>
  </r>
  <r>
    <s v="TCK-20548"/>
    <d v="2026-05-31T11:28:00"/>
    <s v="Billing Support"/>
    <x v="0"/>
    <x v="4"/>
    <x v="3"/>
    <x v="0"/>
    <x v="2"/>
    <n v="8"/>
    <x v="0"/>
    <d v="2026-05-31T23:55:00"/>
    <s v="No"/>
    <n v="5"/>
    <s v="Resolved On First Contact"/>
    <n v="12.450000000069849"/>
    <x v="2"/>
  </r>
  <r>
    <s v="TCK-21439"/>
    <d v="2026-07-04T19:40:00"/>
    <s v="Billing Support"/>
    <x v="5"/>
    <x v="2"/>
    <x v="2"/>
    <x v="0"/>
    <x v="0"/>
    <n v="24"/>
    <x v="4"/>
    <s v="Missing Resolve Date"/>
    <s v="Yes"/>
    <m/>
    <s v="Escalated To Senior Agent"/>
    <s v=""/>
    <x v="1"/>
  </r>
  <r>
    <s v="TCK-20359"/>
    <d v="2026-04-24T10:53:00"/>
    <s v="Tier 2 Support"/>
    <x v="3"/>
    <x v="5"/>
    <x v="3"/>
    <x v="2"/>
    <x v="3"/>
    <n v="4"/>
    <x v="4"/>
    <s v="Missing Resolve Date"/>
    <s v="Yes"/>
    <m/>
    <s v="Repeat Issue From Same Customer"/>
    <s v=""/>
    <x v="1"/>
  </r>
  <r>
    <s v="TCK-22760"/>
    <d v="2026-04-18T16:07:00"/>
    <s v="Technical Support"/>
    <x v="6"/>
    <x v="3"/>
    <x v="3"/>
    <x v="0"/>
    <x v="1"/>
    <n v="48"/>
    <x v="0"/>
    <d v="2026-04-19T09:56:00"/>
    <s v="No"/>
    <m/>
    <s v="Customer Requested Refund"/>
    <n v="17.81666666676756"/>
    <x v="0"/>
  </r>
  <r>
    <s v="TCK-22891"/>
    <d v="2026-06-25T10:51:00"/>
    <s v="Tier 1 Support"/>
    <x v="1"/>
    <x v="0"/>
    <x v="2"/>
    <x v="2"/>
    <x v="0"/>
    <n v="24"/>
    <x v="3"/>
    <d v="2026-06-25T20:33:00"/>
    <s v="No"/>
    <m/>
    <s v="Not Specified"/>
    <n v="9.7000000000116415"/>
    <x v="1"/>
  </r>
  <r>
    <s v="TCK-21156"/>
    <d v="2026-07-30T12:43:00"/>
    <s v="Tier 2 Support"/>
    <x v="3"/>
    <x v="6"/>
    <x v="3"/>
    <x v="5"/>
    <x v="3"/>
    <n v="4"/>
    <x v="2"/>
    <d v="2026-07-30T21:36:00"/>
    <s v="No"/>
    <m/>
    <s v="Customer Requested Refund"/>
    <n v="8.8833333333022892"/>
    <x v="1"/>
  </r>
  <r>
    <s v="TCK-21167"/>
    <d v="2026-06-04T23:33:00"/>
    <s v="Tier 2 Support"/>
    <x v="2"/>
    <x v="3"/>
    <x v="1"/>
    <x v="1"/>
    <x v="0"/>
    <n v="24"/>
    <x v="0"/>
    <d v="2026-06-05T02:48:00"/>
    <s v="No"/>
    <n v="5"/>
    <s v="Escalated To Senior Agent"/>
    <n v="3.2500000001164153"/>
    <x v="0"/>
  </r>
  <r>
    <s v="TCK-22026"/>
    <d v="2026-07-07T20:02:00"/>
    <s v="Technical Support"/>
    <x v="6"/>
    <x v="4"/>
    <x v="1"/>
    <x v="4"/>
    <x v="3"/>
    <n v="4"/>
    <x v="1"/>
    <s v="Missing Resolve Date"/>
    <s v="No"/>
    <m/>
    <s v="Customer Requested Refund"/>
    <s v=""/>
    <x v="1"/>
  </r>
  <r>
    <s v="TCK-20618"/>
    <d v="2026-08-09T08:06:00"/>
    <s v="Billing Support"/>
    <x v="0"/>
    <x v="2"/>
    <x v="0"/>
    <x v="1"/>
    <x v="1"/>
    <n v="48"/>
    <x v="0"/>
    <d v="2026-08-10T05:55:00"/>
    <s v="No"/>
    <m/>
    <s v="Technical Issue Resolved Remotely"/>
    <n v="21.816666666709352"/>
    <x v="0"/>
  </r>
  <r>
    <s v="TCK-20059"/>
    <d v="2026-07-29T02:41:00"/>
    <s v="Billing Support"/>
    <x v="0"/>
    <x v="2"/>
    <x v="3"/>
    <x v="3"/>
    <x v="2"/>
    <n v="8"/>
    <x v="2"/>
    <d v="2026-07-29T07:18:00"/>
    <s v="No"/>
    <n v="5"/>
    <s v="Escalated To Senior Agent"/>
    <n v="4.6166666666977108"/>
    <x v="1"/>
  </r>
  <r>
    <s v="TCK-21039"/>
    <d v="2026-06-04T09:50:00"/>
    <s v="Tier 1 Support"/>
    <x v="1"/>
    <x v="1"/>
    <x v="0"/>
    <x v="4"/>
    <x v="1"/>
    <n v="48"/>
    <x v="1"/>
    <s v="Missing Resolve Date"/>
    <s v="No"/>
    <m/>
    <s v="Required Follow-Up Call"/>
    <s v=""/>
    <x v="1"/>
  </r>
  <r>
    <s v="TCK-22777"/>
    <d v="2026-04-09T01:35:00"/>
    <s v="Billing Support"/>
    <x v="0"/>
    <x v="0"/>
    <x v="2"/>
    <x v="5"/>
    <x v="0"/>
    <n v="24"/>
    <x v="0"/>
    <d v="2026-04-09T10:33:00"/>
    <s v="No"/>
    <n v="5"/>
    <s v="Customer Requested Refund"/>
    <n v="8.9666666667326353"/>
    <x v="0"/>
  </r>
  <r>
    <s v="TCK-22771"/>
    <d v="2026-03-06T06:12:00"/>
    <s v="Tier 1 Support"/>
    <x v="7"/>
    <x v="0"/>
    <x v="0"/>
    <x v="3"/>
    <x v="1"/>
    <n v="48"/>
    <x v="0"/>
    <d v="2026-03-07T20:58:00"/>
    <s v="No"/>
    <n v="5"/>
    <s v="Not Specified"/>
    <n v="38.766666666779201"/>
    <x v="0"/>
  </r>
  <r>
    <s v="TCK-21793"/>
    <d v="2026-03-20T05:51:00"/>
    <s v="Tier 1 Support"/>
    <x v="1"/>
    <x v="1"/>
    <x v="2"/>
    <x v="2"/>
    <x v="1"/>
    <n v="48"/>
    <x v="2"/>
    <d v="2026-03-25T13:22:00"/>
    <s v="Yes"/>
    <n v="5"/>
    <s v="Not Specified"/>
    <n v="127.51666666654637"/>
    <x v="1"/>
  </r>
  <r>
    <s v="TCK-20887"/>
    <d v="2026-08-08T20:58:00"/>
    <s v="Billing Support"/>
    <x v="5"/>
    <x v="6"/>
    <x v="2"/>
    <x v="4"/>
    <x v="1"/>
    <n v="48"/>
    <x v="2"/>
    <d v="2026-08-09T14:19:00"/>
    <s v="No"/>
    <n v="2"/>
    <s v="Customer Requested Refund"/>
    <n v="17.349999999976717"/>
    <x v="1"/>
  </r>
  <r>
    <s v="TCK-21099"/>
    <d v="2026-03-26T01:13:00"/>
    <s v="Tier 2 Support"/>
    <x v="2"/>
    <x v="4"/>
    <x v="2"/>
    <x v="5"/>
    <x v="1"/>
    <n v="48"/>
    <x v="1"/>
    <s v="Missing Resolve Date"/>
    <s v="No"/>
    <m/>
    <s v="Resolved On First Contact"/>
    <s v=""/>
    <x v="1"/>
  </r>
  <r>
    <s v="TCK-20761"/>
    <d v="2026-03-31T08:10:00"/>
    <s v="Technical Support"/>
    <x v="4"/>
    <x v="6"/>
    <x v="1"/>
    <x v="3"/>
    <x v="2"/>
    <n v="8"/>
    <x v="4"/>
    <s v="Missing Resolve Date"/>
    <s v="Yes"/>
    <m/>
    <s v="Not Specified"/>
    <s v=""/>
    <x v="1"/>
  </r>
  <r>
    <s v="TCK-20203"/>
    <d v="2026-03-11T07:56:00"/>
    <s v="Tier 1 Support"/>
    <x v="7"/>
    <x v="4"/>
    <x v="2"/>
    <x v="4"/>
    <x v="1"/>
    <n v="48"/>
    <x v="2"/>
    <d v="2026-03-15T15:01:00"/>
    <s v="No"/>
    <n v="4"/>
    <s v="Not Specified"/>
    <n v="103.08333333337214"/>
    <x v="1"/>
  </r>
  <r>
    <s v="TCK-22611"/>
    <d v="2026-02-05T12:32:00"/>
    <s v="Technical Support"/>
    <x v="6"/>
    <x v="4"/>
    <x v="3"/>
    <x v="4"/>
    <x v="1"/>
    <n v="48"/>
    <x v="5"/>
    <s v="Missing Resolve Date"/>
    <s v="No"/>
    <m/>
    <s v="Escalated To Senior Agent"/>
    <s v=""/>
    <x v="1"/>
  </r>
  <r>
    <s v="TCK-22041"/>
    <d v="2026-07-13T04:48:00"/>
    <s v="Tier 2 Support"/>
    <x v="3"/>
    <x v="5"/>
    <x v="3"/>
    <x v="0"/>
    <x v="1"/>
    <n v="48"/>
    <x v="2"/>
    <d v="2026-07-13T19:23:00"/>
    <s v="No"/>
    <n v="5"/>
    <s v="Customer Requested Refund"/>
    <n v="14.583333333372138"/>
    <x v="1"/>
  </r>
  <r>
    <s v="TCK-20970"/>
    <d v="2026-03-24T14:12:00"/>
    <s v="Billing Support"/>
    <x v="5"/>
    <x v="5"/>
    <x v="3"/>
    <x v="2"/>
    <x v="1"/>
    <n v="48"/>
    <x v="0"/>
    <d v="2026-03-25T13:46:00"/>
    <s v="No"/>
    <n v="3"/>
    <s v="Customer Satisfied With Resolution"/>
    <n v="23.566666666651145"/>
    <x v="0"/>
  </r>
  <r>
    <s v="TCK-20515"/>
    <d v="2026-08-19T17:27:00"/>
    <s v="Tier 1 Support"/>
    <x v="1"/>
    <x v="3"/>
    <x v="0"/>
    <x v="4"/>
    <x v="2"/>
    <n v="8"/>
    <x v="5"/>
    <s v="Missing Resolve Date"/>
    <s v="No"/>
    <m/>
    <s v="Technical Issue Resolved Remotely"/>
    <s v=""/>
    <x v="1"/>
  </r>
  <r>
    <s v="TCK-21486"/>
    <d v="2026-02-11T23:55:00"/>
    <s v="Tier 1 Support"/>
    <x v="1"/>
    <x v="0"/>
    <x v="0"/>
    <x v="5"/>
    <x v="0"/>
    <n v="24"/>
    <x v="2"/>
    <d v="2026-02-12T08:20:00"/>
    <s v="No"/>
    <n v="5"/>
    <s v="Escalated To Senior Agent"/>
    <n v="8.4166666665114462"/>
    <x v="1"/>
  </r>
  <r>
    <s v="TCK-20012"/>
    <d v="2026-01-09T10:51:00"/>
    <s v="Billing Support"/>
    <x v="0"/>
    <x v="4"/>
    <x v="2"/>
    <x v="0"/>
    <x v="2"/>
    <n v="8"/>
    <x v="0"/>
    <d v="2026-01-09T11:47:00"/>
    <s v="No"/>
    <n v="5"/>
    <s v="Technical Issue Resolved Remotely"/>
    <n v="0.93333333340706304"/>
    <x v="0"/>
  </r>
  <r>
    <s v="TCK-22296"/>
    <d v="2026-03-25T16:27:00"/>
    <s v="Tier 1 Support"/>
    <x v="7"/>
    <x v="1"/>
    <x v="3"/>
    <x v="4"/>
    <x v="0"/>
    <n v="24"/>
    <x v="2"/>
    <d v="2026-03-26T02:49:00"/>
    <s v="No"/>
    <n v="3"/>
    <s v="Required Follow-Up Call"/>
    <n v="10.366666666581295"/>
    <x v="1"/>
  </r>
  <r>
    <s v="TCK-22658"/>
    <d v="2026-05-05T22:53:00"/>
    <s v="Tier 1 Support"/>
    <x v="7"/>
    <x v="5"/>
    <x v="1"/>
    <x v="4"/>
    <x v="1"/>
    <n v="48"/>
    <x v="4"/>
    <s v="Missing Resolve Date"/>
    <s v="Yes"/>
    <m/>
    <s v="Not Specified"/>
    <s v=""/>
    <x v="1"/>
  </r>
  <r>
    <s v="TCK-21262"/>
    <d v="2026-06-12T00:53:00"/>
    <s v="Tier 1 Support"/>
    <x v="7"/>
    <x v="5"/>
    <x v="1"/>
    <x v="1"/>
    <x v="1"/>
    <n v="48"/>
    <x v="5"/>
    <s v="Missing Resolve Date"/>
    <s v="No"/>
    <m/>
    <s v="Technical Issue Resolved Remotely"/>
    <s v=""/>
    <x v="1"/>
  </r>
  <r>
    <s v="TCK-20911"/>
    <d v="2026-02-07T08:53:00"/>
    <s v="Tier 1 Support"/>
    <x v="7"/>
    <x v="2"/>
    <x v="0"/>
    <x v="1"/>
    <x v="1"/>
    <n v="48"/>
    <x v="4"/>
    <s v="Missing Resolve Date"/>
    <s v="Yes"/>
    <m/>
    <s v="Resolved On First Contact"/>
    <s v=""/>
    <x v="1"/>
  </r>
  <r>
    <s v="TCK-22257"/>
    <d v="2026-04-11T22:45:00"/>
    <s v="Technical Support"/>
    <x v="6"/>
    <x v="0"/>
    <x v="0"/>
    <x v="5"/>
    <x v="0"/>
    <n v="24"/>
    <x v="2"/>
    <d v="2026-04-12T14:50:00"/>
    <s v="No"/>
    <n v="4"/>
    <s v="Resolved On First Contact"/>
    <n v="16.083333333372138"/>
    <x v="1"/>
  </r>
  <r>
    <s v="TCK-21640"/>
    <d v="2026-01-15T02:37:00"/>
    <s v="Technical Support"/>
    <x v="6"/>
    <x v="2"/>
    <x v="0"/>
    <x v="1"/>
    <x v="0"/>
    <n v="24"/>
    <x v="2"/>
    <d v="2026-01-15T20:34:00"/>
    <s v="No"/>
    <n v="1"/>
    <s v="Resolved On First Contact"/>
    <n v="17.950000000011642"/>
    <x v="1"/>
  </r>
  <r>
    <s v="TCK-22345"/>
    <d v="2026-05-15T02:54:00"/>
    <s v="Tier 2 Support"/>
    <x v="2"/>
    <x v="2"/>
    <x v="0"/>
    <x v="4"/>
    <x v="1"/>
    <n v="48"/>
    <x v="0"/>
    <d v="2026-05-16T07:50:00"/>
    <s v="No"/>
    <n v="3"/>
    <s v="Resolved On First Contact"/>
    <n v="28.933333333348855"/>
    <x v="0"/>
  </r>
  <r>
    <s v="TCK-20987"/>
    <d v="2026-04-06T07:20:00"/>
    <s v="Tier 1 Support"/>
    <x v="1"/>
    <x v="0"/>
    <x v="2"/>
    <x v="2"/>
    <x v="3"/>
    <n v="4"/>
    <x v="0"/>
    <d v="2026-04-06T17:30:00"/>
    <s v="No"/>
    <n v="4"/>
    <s v="Awaiting Customer Response"/>
    <n v="10.166666666627862"/>
    <x v="2"/>
  </r>
  <r>
    <s v="TCK-20713"/>
    <d v="2026-01-06T13:02:00"/>
    <s v="Technical Support"/>
    <x v="4"/>
    <x v="0"/>
    <x v="1"/>
    <x v="4"/>
    <x v="3"/>
    <n v="4"/>
    <x v="0"/>
    <d v="2026-01-06T14:34:00"/>
    <s v="No"/>
    <m/>
    <s v="Awaiting Customer Response"/>
    <n v="1.5333333332673647"/>
    <x v="0"/>
  </r>
  <r>
    <s v="TCK-22970"/>
    <d v="2026-01-10T12:17:00"/>
    <s v="Technical Support"/>
    <x v="6"/>
    <x v="1"/>
    <x v="1"/>
    <x v="0"/>
    <x v="2"/>
    <n v="8"/>
    <x v="2"/>
    <d v="2026-01-10T17:19:00"/>
    <s v="No"/>
    <m/>
    <s v="Awaiting Customer Response"/>
    <n v="5.0333333333255723"/>
    <x v="1"/>
  </r>
  <r>
    <s v="TCK-22268"/>
    <d v="2026-01-05T20:13:00"/>
    <s v="Tier 1 Support"/>
    <x v="1"/>
    <x v="2"/>
    <x v="2"/>
    <x v="5"/>
    <x v="0"/>
    <n v="24"/>
    <x v="0"/>
    <d v="2026-01-06T13:35:00"/>
    <s v="No"/>
    <n v="2"/>
    <s v="Customer Satisfied With Resolution"/>
    <n v="17.366666666523088"/>
    <x v="0"/>
  </r>
  <r>
    <s v="TCK-22989"/>
    <d v="2026-08-13T06:44:00"/>
    <s v="Billing Support"/>
    <x v="5"/>
    <x v="0"/>
    <x v="2"/>
    <x v="0"/>
    <x v="0"/>
    <n v="24"/>
    <x v="0"/>
    <d v="2026-08-13T11:56:00"/>
    <s v="No"/>
    <m/>
    <s v="Awaiting Customer Response"/>
    <n v="5.2000000000116415"/>
    <x v="0"/>
  </r>
  <r>
    <s v="TCK-21314"/>
    <d v="2026-02-11T06:26:00"/>
    <s v="Tier 1 Support"/>
    <x v="7"/>
    <x v="5"/>
    <x v="1"/>
    <x v="2"/>
    <x v="0"/>
    <n v="24"/>
    <x v="0"/>
    <d v="2026-02-11T08:33:00"/>
    <s v="No"/>
    <m/>
    <s v="Required Follow-Up Call"/>
    <n v="2.1166666665812954"/>
    <x v="0"/>
  </r>
  <r>
    <s v="TCK-20927"/>
    <d v="2026-08-07T15:09:00"/>
    <s v="Technical Support"/>
    <x v="6"/>
    <x v="3"/>
    <x v="1"/>
    <x v="0"/>
    <x v="2"/>
    <n v="8"/>
    <x v="0"/>
    <d v="2026-08-07T16:07:00"/>
    <s v="No"/>
    <m/>
    <s v="Escalated To Senior Agent"/>
    <n v="0.96666666667442769"/>
    <x v="0"/>
  </r>
  <r>
    <s v="TCK-20289"/>
    <d v="2026-07-01T11:32:00"/>
    <s v="Tier 1 Support"/>
    <x v="7"/>
    <x v="2"/>
    <x v="1"/>
    <x v="2"/>
    <x v="1"/>
    <n v="48"/>
    <x v="0"/>
    <d v="2026-07-02T07:23:00"/>
    <s v="No"/>
    <n v="1"/>
    <s v="Escalated To Senior Agent"/>
    <n v="19.849999999918509"/>
    <x v="0"/>
  </r>
  <r>
    <s v="TCK-21348"/>
    <d v="2026-03-03T11:18:00"/>
    <s v="Tier 2 Support"/>
    <x v="3"/>
    <x v="2"/>
    <x v="0"/>
    <x v="0"/>
    <x v="1"/>
    <n v="48"/>
    <x v="0"/>
    <d v="2026-03-05T20:50:00"/>
    <s v="No"/>
    <n v="5"/>
    <s v="Escalated To Senior Agent"/>
    <n v="57.533333333325572"/>
    <x v="2"/>
  </r>
  <r>
    <s v="TCK-20217"/>
    <d v="2026-04-16T09:41:00"/>
    <s v="Tier 2 Support"/>
    <x v="3"/>
    <x v="2"/>
    <x v="3"/>
    <x v="1"/>
    <x v="2"/>
    <n v="8"/>
    <x v="0"/>
    <d v="2026-04-16T16:42:00"/>
    <s v="No"/>
    <n v="5"/>
    <s v="Not Specified"/>
    <n v="7.0166666666627862"/>
    <x v="0"/>
  </r>
  <r>
    <s v="TCK-21929"/>
    <d v="2026-05-26T20:32:00"/>
    <s v="Tier 1 Support"/>
    <x v="1"/>
    <x v="4"/>
    <x v="2"/>
    <x v="1"/>
    <x v="0"/>
    <n v="24"/>
    <x v="4"/>
    <s v="Missing Resolve Date"/>
    <s v="Yes"/>
    <m/>
    <s v="Repeat Issue From Same Customer"/>
    <s v=""/>
    <x v="1"/>
  </r>
  <r>
    <s v="TCK-22247"/>
    <d v="2026-04-28T09:55:00"/>
    <s v="Technical Support"/>
    <x v="4"/>
    <x v="4"/>
    <x v="0"/>
    <x v="3"/>
    <x v="1"/>
    <n v="48"/>
    <x v="2"/>
    <d v="2026-04-28T14:45:00"/>
    <s v="No"/>
    <m/>
    <s v="Customer Satisfied With Resolution"/>
    <n v="4.8333333333721384"/>
    <x v="1"/>
  </r>
  <r>
    <s v="TCK-20475"/>
    <d v="2026-08-19T00:14:00"/>
    <s v="Billing Support"/>
    <x v="0"/>
    <x v="3"/>
    <x v="3"/>
    <x v="3"/>
    <x v="1"/>
    <n v="48"/>
    <x v="1"/>
    <s v="Missing Resolve Date"/>
    <s v="No"/>
    <m/>
    <s v="Customer Satisfied With Resolution"/>
    <s v=""/>
    <x v="1"/>
  </r>
  <r>
    <s v="TCK-22766"/>
    <d v="2026-03-22T06:29:00"/>
    <s v="Tier 1 Support"/>
    <x v="7"/>
    <x v="0"/>
    <x v="3"/>
    <x v="0"/>
    <x v="2"/>
    <n v="8"/>
    <x v="1"/>
    <s v="Missing Resolve Date"/>
    <s v="Yes"/>
    <m/>
    <s v="Technical Issue Resolved Remotely"/>
    <s v=""/>
    <x v="1"/>
  </r>
  <r>
    <s v="TCK-20617"/>
    <d v="2026-03-04T00:03:00"/>
    <s v="Tier 2 Support"/>
    <x v="2"/>
    <x v="0"/>
    <x v="2"/>
    <x v="4"/>
    <x v="3"/>
    <n v="4"/>
    <x v="0"/>
    <d v="2026-03-04T01:00:00"/>
    <s v="No"/>
    <m/>
    <s v="Resolved On First Contact"/>
    <n v="0.94999999995343387"/>
    <x v="0"/>
  </r>
  <r>
    <s v="TCK-21244"/>
    <d v="2026-08-06T13:53:00"/>
    <s v="Technical Support"/>
    <x v="4"/>
    <x v="0"/>
    <x v="3"/>
    <x v="2"/>
    <x v="3"/>
    <n v="4"/>
    <x v="4"/>
    <s v="Missing Resolve Date"/>
    <s v="Yes"/>
    <m/>
    <s v="Escalated To Senior Agent"/>
    <s v=""/>
    <x v="1"/>
  </r>
  <r>
    <s v="TCK-22053"/>
    <d v="2026-07-16T14:54:00"/>
    <s v="Billing Support"/>
    <x v="5"/>
    <x v="2"/>
    <x v="0"/>
    <x v="1"/>
    <x v="1"/>
    <n v="48"/>
    <x v="2"/>
    <d v="2026-07-17T11:06:00"/>
    <s v="No"/>
    <n v="5"/>
    <s v="Repeat Issue From Same Customer"/>
    <n v="20.200000000011642"/>
    <x v="1"/>
  </r>
  <r>
    <s v="TCK-22139"/>
    <d v="2026-05-27T13:22:00"/>
    <s v="Technical Support"/>
    <x v="6"/>
    <x v="2"/>
    <x v="3"/>
    <x v="4"/>
    <x v="3"/>
    <n v="4"/>
    <x v="0"/>
    <d v="2026-05-27T18:08:00"/>
    <s v="No"/>
    <n v="3"/>
    <s v="Escalated To Senior Agent"/>
    <n v="4.7666666668374091"/>
    <x v="2"/>
  </r>
  <r>
    <s v="TCK-20352"/>
    <d v="2026-02-15T01:27:00"/>
    <s v="Billing Support"/>
    <x v="5"/>
    <x v="4"/>
    <x v="2"/>
    <x v="3"/>
    <x v="2"/>
    <n v="8"/>
    <x v="0"/>
    <d v="2026-02-15T03:24:00"/>
    <s v="No"/>
    <m/>
    <s v="Resolved On First Contact"/>
    <n v="1.9500000000698492"/>
    <x v="0"/>
  </r>
  <r>
    <s v="TCK-22831"/>
    <d v="2026-08-02T03:14:00"/>
    <s v="Technical Support"/>
    <x v="6"/>
    <x v="2"/>
    <x v="2"/>
    <x v="1"/>
    <x v="0"/>
    <n v="24"/>
    <x v="0"/>
    <d v="2026-08-02T15:48:00"/>
    <s v="No"/>
    <n v="5"/>
    <s v="Not Specified"/>
    <n v="12.566666666592937"/>
    <x v="0"/>
  </r>
  <r>
    <s v="TCK-21587"/>
    <d v="2026-04-25T00:37:00"/>
    <s v="Tier 2 Support"/>
    <x v="2"/>
    <x v="4"/>
    <x v="2"/>
    <x v="2"/>
    <x v="0"/>
    <n v="24"/>
    <x v="0"/>
    <s v="Missing Resolve Date"/>
    <s v="No"/>
    <m/>
    <s v="Required Follow-Up Call"/>
    <s v=""/>
    <x v="2"/>
  </r>
  <r>
    <s v="TCK-22735"/>
    <d v="2026-08-20T07:46:00"/>
    <s v="Tier 2 Support"/>
    <x v="3"/>
    <x v="4"/>
    <x v="1"/>
    <x v="4"/>
    <x v="1"/>
    <n v="48"/>
    <x v="3"/>
    <d v="2026-08-21T03:29:00"/>
    <s v="No"/>
    <m/>
    <s v="Resolved On First Contact"/>
    <n v="19.716666666674428"/>
    <x v="1"/>
  </r>
  <r>
    <s v="TCK-20978"/>
    <d v="2026-03-15T13:52:00"/>
    <s v="Tier 2 Support"/>
    <x v="3"/>
    <x v="5"/>
    <x v="3"/>
    <x v="0"/>
    <x v="2"/>
    <n v="8"/>
    <x v="0"/>
    <d v="2026-03-15T16:08:00"/>
    <s v="No"/>
    <n v="1"/>
    <s v="Not Specified"/>
    <n v="2.2666666667209938"/>
    <x v="0"/>
  </r>
  <r>
    <s v="TCK-21833"/>
    <d v="2026-03-01T12:11:00"/>
    <s v="Technical Support"/>
    <x v="6"/>
    <x v="1"/>
    <x v="0"/>
    <x v="3"/>
    <x v="0"/>
    <n v="24"/>
    <x v="0"/>
    <d v="2026-03-01T22:43:00"/>
    <s v="No"/>
    <m/>
    <s v="Customer Satisfied With Resolution"/>
    <n v="10.533333333267365"/>
    <x v="0"/>
  </r>
  <r>
    <s v="TCK-20484"/>
    <d v="2026-06-27T00:27:00"/>
    <s v="Billing Support"/>
    <x v="5"/>
    <x v="0"/>
    <x v="3"/>
    <x v="4"/>
    <x v="1"/>
    <n v="48"/>
    <x v="5"/>
    <s v="Missing Resolve Date"/>
    <s v="No"/>
    <m/>
    <s v="Not Specified"/>
    <s v=""/>
    <x v="1"/>
  </r>
  <r>
    <s v="TCK-20006"/>
    <d v="2026-03-25T15:33:00"/>
    <s v="Billing Support"/>
    <x v="5"/>
    <x v="4"/>
    <x v="0"/>
    <x v="3"/>
    <x v="2"/>
    <n v="8"/>
    <x v="4"/>
    <s v="Missing Resolve Date"/>
    <s v="Yes"/>
    <m/>
    <s v="Technical Issue Resolved Remotely"/>
    <s v=""/>
    <x v="1"/>
  </r>
  <r>
    <s v="TCK-20070"/>
    <d v="2026-07-05T12:09:00"/>
    <s v="Tier 2 Support"/>
    <x v="2"/>
    <x v="4"/>
    <x v="1"/>
    <x v="3"/>
    <x v="2"/>
    <n v="8"/>
    <x v="1"/>
    <s v="Missing Resolve Date"/>
    <s v="No"/>
    <m/>
    <s v="Required Follow-Up Call"/>
    <s v=""/>
    <x v="1"/>
  </r>
  <r>
    <s v="TCK-21679"/>
    <d v="2026-04-22T00:01:00"/>
    <s v="Tier 2 Support"/>
    <x v="2"/>
    <x v="0"/>
    <x v="0"/>
    <x v="0"/>
    <x v="3"/>
    <n v="4"/>
    <x v="3"/>
    <d v="2026-04-22T01:41:00"/>
    <s v="No"/>
    <m/>
    <s v="Not Specified"/>
    <n v="1.6666666666860692"/>
    <x v="1"/>
  </r>
  <r>
    <s v="TCK-20131"/>
    <d v="2026-04-10T04:45:00"/>
    <s v="Tier 1 Support"/>
    <x v="7"/>
    <x v="5"/>
    <x v="1"/>
    <x v="5"/>
    <x v="0"/>
    <n v="24"/>
    <x v="0"/>
    <d v="2026-04-10T19:57:00"/>
    <s v="No"/>
    <n v="3"/>
    <s v="Technical Issue Resolved Remotely"/>
    <n v="15.200000000128057"/>
    <x v="0"/>
  </r>
  <r>
    <s v="TCK-23156"/>
    <d v="2026-06-19T23:06:00"/>
    <s v="Billing Support"/>
    <x v="5"/>
    <x v="0"/>
    <x v="1"/>
    <x v="1"/>
    <x v="2"/>
    <n v="8"/>
    <x v="0"/>
    <d v="2026-06-19T23:55:00"/>
    <s v="No"/>
    <n v="5"/>
    <s v="Technical Issue Resolved Remotely"/>
    <n v="0.81666666670935228"/>
    <x v="0"/>
  </r>
  <r>
    <s v="TCK-22939"/>
    <d v="2026-01-16T11:45:00"/>
    <s v="Tier 1 Support"/>
    <x v="7"/>
    <x v="0"/>
    <x v="3"/>
    <x v="1"/>
    <x v="1"/>
    <n v="48"/>
    <x v="0"/>
    <d v="2026-01-19T04:32:00"/>
    <s v="No"/>
    <n v="5"/>
    <s v="Customer Requested Refund"/>
    <n v="64.783333333209157"/>
    <x v="2"/>
  </r>
  <r>
    <s v="TCK-22802"/>
    <d v="2026-05-16T11:08:00"/>
    <s v="Tier 1 Support"/>
    <x v="1"/>
    <x v="5"/>
    <x v="1"/>
    <x v="4"/>
    <x v="1"/>
    <n v="48"/>
    <x v="2"/>
    <d v="2026-05-16T12:50:00"/>
    <s v="No"/>
    <m/>
    <s v="Repeat Issue From Same Customer"/>
    <n v="1.6999999999534339"/>
    <x v="1"/>
  </r>
  <r>
    <s v="TCK-20490"/>
    <d v="2026-05-16T06:54:00"/>
    <s v="Tier 1 Support"/>
    <x v="7"/>
    <x v="3"/>
    <x v="0"/>
    <x v="2"/>
    <x v="1"/>
    <n v="48"/>
    <x v="1"/>
    <s v="Missing Resolve Date"/>
    <s v="No"/>
    <m/>
    <s v="Repeat Issue From Same Customer"/>
    <s v=""/>
    <x v="1"/>
  </r>
  <r>
    <s v="TCK-20505"/>
    <d v="2026-08-15T17:28:00"/>
    <s v="Tier 2 Support"/>
    <x v="2"/>
    <x v="4"/>
    <x v="2"/>
    <x v="1"/>
    <x v="1"/>
    <n v="48"/>
    <x v="2"/>
    <d v="2026-08-16T15:32:00"/>
    <s v="No"/>
    <n v="4"/>
    <s v="Resolved On First Contact"/>
    <n v="22.066666666651145"/>
    <x v="1"/>
  </r>
  <r>
    <s v="TCK-20643"/>
    <d v="2026-03-08T18:45:00"/>
    <s v="Billing Support"/>
    <x v="5"/>
    <x v="6"/>
    <x v="1"/>
    <x v="5"/>
    <x v="2"/>
    <n v="8"/>
    <x v="2"/>
    <d v="2026-03-08T21:06:00"/>
    <s v="No"/>
    <n v="5"/>
    <s v="Awaiting Customer Response"/>
    <n v="2.3499999999767169"/>
    <x v="1"/>
  </r>
  <r>
    <s v="TCK-22014"/>
    <d v="2026-05-24T15:28:00"/>
    <s v="Billing Support"/>
    <x v="0"/>
    <x v="3"/>
    <x v="3"/>
    <x v="3"/>
    <x v="2"/>
    <n v="8"/>
    <x v="4"/>
    <s v="Missing Resolve Date"/>
    <s v="Yes"/>
    <m/>
    <s v="Not Specified"/>
    <s v=""/>
    <x v="1"/>
  </r>
  <r>
    <s v="TCK-22609"/>
    <d v="2026-02-24T08:31:00"/>
    <s v="Tier 2 Support"/>
    <x v="2"/>
    <x v="5"/>
    <x v="3"/>
    <x v="2"/>
    <x v="0"/>
    <n v="24"/>
    <x v="0"/>
    <d v="2026-02-24T21:14:00"/>
    <s v="No"/>
    <n v="4"/>
    <s v="Required Follow-Up Call"/>
    <n v="12.716666666732635"/>
    <x v="0"/>
  </r>
  <r>
    <s v="TCK-20820"/>
    <d v="2026-02-07T11:48:00"/>
    <s v="Tier 2 Support"/>
    <x v="2"/>
    <x v="6"/>
    <x v="0"/>
    <x v="1"/>
    <x v="0"/>
    <n v="24"/>
    <x v="1"/>
    <s v="Missing Resolve Date"/>
    <s v="No"/>
    <m/>
    <s v="Customer Requested Refund"/>
    <s v=""/>
    <x v="1"/>
  </r>
  <r>
    <s v="TCK-21212"/>
    <d v="2026-08-17T07:48:00"/>
    <s v="Tier 1 Support"/>
    <x v="1"/>
    <x v="3"/>
    <x v="2"/>
    <x v="0"/>
    <x v="2"/>
    <n v="8"/>
    <x v="0"/>
    <d v="2026-08-17T11:19:00"/>
    <s v="No"/>
    <n v="5"/>
    <s v="Repeat Issue From Same Customer"/>
    <n v="3.5166666667792015"/>
    <x v="0"/>
  </r>
  <r>
    <s v="TCK-22434"/>
    <d v="2026-07-31T00:42:00"/>
    <s v="Billing Support"/>
    <x v="0"/>
    <x v="0"/>
    <x v="0"/>
    <x v="5"/>
    <x v="0"/>
    <n v="24"/>
    <x v="4"/>
    <s v="Missing Resolve Date"/>
    <s v="Yes"/>
    <m/>
    <s v="Awaiting Customer Response"/>
    <s v=""/>
    <x v="1"/>
  </r>
  <r>
    <s v="TCK-23007"/>
    <d v="2026-02-09T01:32:00"/>
    <s v="Billing Support"/>
    <x v="0"/>
    <x v="5"/>
    <x v="1"/>
    <x v="4"/>
    <x v="0"/>
    <n v="24"/>
    <x v="4"/>
    <s v="Missing Resolve Date"/>
    <s v="Yes"/>
    <m/>
    <s v="Not Specified"/>
    <s v=""/>
    <x v="1"/>
  </r>
  <r>
    <s v="TCK-22978"/>
    <d v="2026-01-11T12:07:00"/>
    <s v="Tier 2 Support"/>
    <x v="3"/>
    <x v="1"/>
    <x v="2"/>
    <x v="4"/>
    <x v="0"/>
    <n v="24"/>
    <x v="4"/>
    <s v="Missing Resolve Date"/>
    <s v="Yes"/>
    <m/>
    <s v="Awaiting Customer Response"/>
    <s v=""/>
    <x v="1"/>
  </r>
  <r>
    <s v="TCK-21416"/>
    <d v="2026-01-05T13:01:00"/>
    <s v="Billing Support"/>
    <x v="5"/>
    <x v="0"/>
    <x v="3"/>
    <x v="2"/>
    <x v="3"/>
    <n v="4"/>
    <x v="3"/>
    <d v="2026-01-05T16:24:00"/>
    <s v="No"/>
    <m/>
    <s v="Customer Requested Refund"/>
    <n v="3.3833333333604969"/>
    <x v="1"/>
  </r>
  <r>
    <s v="TCK-20271"/>
    <d v="2026-05-25T04:12:00"/>
    <s v="Technical Support"/>
    <x v="6"/>
    <x v="5"/>
    <x v="0"/>
    <x v="1"/>
    <x v="0"/>
    <n v="24"/>
    <x v="2"/>
    <d v="2026-05-25T07:32:00"/>
    <s v="No"/>
    <n v="5"/>
    <s v="Customer Requested Refund"/>
    <n v="3.3333333331975155"/>
    <x v="1"/>
  </r>
  <r>
    <s v="TCK-21979"/>
    <d v="2026-04-03T07:31:00"/>
    <s v="Tier 1 Support"/>
    <x v="7"/>
    <x v="6"/>
    <x v="1"/>
    <x v="3"/>
    <x v="1"/>
    <n v="48"/>
    <x v="4"/>
    <s v="Missing Resolve Date"/>
    <s v="Yes"/>
    <m/>
    <s v="Repeat Issue From Same Customer"/>
    <s v=""/>
    <x v="1"/>
  </r>
  <r>
    <s v="TCK-21595"/>
    <d v="2026-05-31T21:28:00"/>
    <s v="Technical Support"/>
    <x v="4"/>
    <x v="5"/>
    <x v="2"/>
    <x v="5"/>
    <x v="2"/>
    <n v="8"/>
    <x v="0"/>
    <d v="2026-06-01T03:09:00"/>
    <s v="No"/>
    <m/>
    <s v="Not Specified"/>
    <n v="5.6833333333488554"/>
    <x v="0"/>
  </r>
  <r>
    <s v="TCK-22163"/>
    <d v="2026-07-25T23:53:00"/>
    <s v="Technical Support"/>
    <x v="6"/>
    <x v="3"/>
    <x v="2"/>
    <x v="0"/>
    <x v="0"/>
    <n v="24"/>
    <x v="0"/>
    <d v="2026-07-26T19:39:00"/>
    <s v="No"/>
    <n v="5"/>
    <s v="Not Specified"/>
    <n v="19.766666666662786"/>
    <x v="0"/>
  </r>
  <r>
    <s v="TCK-22055"/>
    <d v="2026-04-20T21:48:00"/>
    <s v="Billing Support"/>
    <x v="0"/>
    <x v="4"/>
    <x v="2"/>
    <x v="4"/>
    <x v="2"/>
    <n v="8"/>
    <x v="1"/>
    <s v="Missing Resolve Date"/>
    <s v="No"/>
    <m/>
    <s v="Customer Requested Refund"/>
    <s v=""/>
    <x v="1"/>
  </r>
  <r>
    <s v="TCK-20508"/>
    <d v="2026-01-19T06:48:00"/>
    <s v="Billing Support"/>
    <x v="5"/>
    <x v="4"/>
    <x v="0"/>
    <x v="0"/>
    <x v="3"/>
    <n v="4"/>
    <x v="1"/>
    <s v="Missing Resolve Date"/>
    <s v="No"/>
    <m/>
    <s v="Customer Satisfied With Resolution"/>
    <s v=""/>
    <x v="1"/>
  </r>
  <r>
    <s v="TCK-22625"/>
    <d v="2026-02-09T18:52:00"/>
    <s v="Technical Support"/>
    <x v="4"/>
    <x v="2"/>
    <x v="2"/>
    <x v="4"/>
    <x v="2"/>
    <n v="8"/>
    <x v="2"/>
    <d v="2026-02-10T00:51:00"/>
    <s v="No"/>
    <n v="5"/>
    <s v="Customer Requested Refund"/>
    <n v="5.9833333332790062"/>
    <x v="1"/>
  </r>
  <r>
    <s v="TCK-20394"/>
    <d v="2026-04-20T16:44:00"/>
    <s v="Tier 2 Support"/>
    <x v="3"/>
    <x v="2"/>
    <x v="1"/>
    <x v="2"/>
    <x v="1"/>
    <n v="48"/>
    <x v="4"/>
    <s v="Missing Resolve Date"/>
    <s v="Yes"/>
    <m/>
    <s v="Not Specified"/>
    <s v=""/>
    <x v="1"/>
  </r>
  <r>
    <s v="TCK-21150"/>
    <d v="2026-07-28T21:36:00"/>
    <s v="Tier 1 Support"/>
    <x v="7"/>
    <x v="2"/>
    <x v="2"/>
    <x v="4"/>
    <x v="1"/>
    <n v="48"/>
    <x v="4"/>
    <s v="Missing Resolve Date"/>
    <s v="Yes"/>
    <m/>
    <s v="Technical Issue Resolved Remotely"/>
    <s v=""/>
    <x v="1"/>
  </r>
  <r>
    <s v="TCK-22858"/>
    <d v="2026-02-07T13:10:00"/>
    <s v="Billing Support"/>
    <x v="0"/>
    <x v="1"/>
    <x v="2"/>
    <x v="0"/>
    <x v="0"/>
    <n v="24"/>
    <x v="2"/>
    <d v="2026-02-08T04:02:00"/>
    <s v="No"/>
    <n v="5"/>
    <s v="Awaiting Customer Response"/>
    <n v="14.866666666755918"/>
    <x v="1"/>
  </r>
  <r>
    <s v="TCK-21257"/>
    <d v="2026-02-09T05:06:00"/>
    <s v="Tier 2 Support"/>
    <x v="2"/>
    <x v="6"/>
    <x v="2"/>
    <x v="4"/>
    <x v="1"/>
    <n v="48"/>
    <x v="4"/>
    <s v="Missing Resolve Date"/>
    <s v="Yes"/>
    <m/>
    <s v="Customer Requested Refund"/>
    <s v=""/>
    <x v="1"/>
  </r>
  <r>
    <s v="TCK-22896"/>
    <d v="2026-07-23T17:45:00"/>
    <s v="Technical Support"/>
    <x v="4"/>
    <x v="2"/>
    <x v="1"/>
    <x v="0"/>
    <x v="3"/>
    <n v="4"/>
    <x v="1"/>
    <s v="Missing Resolve Date"/>
    <s v="No"/>
    <m/>
    <s v="Not Specified"/>
    <s v=""/>
    <x v="1"/>
  </r>
  <r>
    <s v="TCK-21165"/>
    <d v="2026-02-04T18:40:00"/>
    <s v="Tier 2 Support"/>
    <x v="3"/>
    <x v="1"/>
    <x v="3"/>
    <x v="4"/>
    <x v="0"/>
    <n v="24"/>
    <x v="5"/>
    <s v="Missing Resolve Date"/>
    <s v="No"/>
    <m/>
    <s v="Customer Satisfied With Resolution"/>
    <s v=""/>
    <x v="1"/>
  </r>
  <r>
    <s v="TCK-22411"/>
    <d v="2026-07-03T13:55:00"/>
    <s v="Billing Support"/>
    <x v="5"/>
    <x v="3"/>
    <x v="2"/>
    <x v="2"/>
    <x v="2"/>
    <n v="8"/>
    <x v="0"/>
    <d v="2026-07-03T17:10:00"/>
    <s v="No"/>
    <n v="1"/>
    <s v="Customer Satisfied With Resolution"/>
    <n v="3.2500000001164153"/>
    <x v="0"/>
  </r>
  <r>
    <s v="TCK-21266"/>
    <d v="2026-07-07T16:08:00"/>
    <s v="Billing Support"/>
    <x v="5"/>
    <x v="1"/>
    <x v="2"/>
    <x v="3"/>
    <x v="0"/>
    <n v="24"/>
    <x v="0"/>
    <d v="2026-07-08T04:22:00"/>
    <s v="No"/>
    <n v="1"/>
    <s v="Repeat Issue From Same Customer"/>
    <n v="12.233333333220799"/>
    <x v="0"/>
  </r>
  <r>
    <s v="TCK-21431"/>
    <d v="2026-05-23T01:34:00"/>
    <s v="Billing Support"/>
    <x v="5"/>
    <x v="4"/>
    <x v="1"/>
    <x v="1"/>
    <x v="1"/>
    <n v="48"/>
    <x v="5"/>
    <s v="Missing Resolve Date"/>
    <s v="Yes"/>
    <m/>
    <s v="Not Specified"/>
    <s v=""/>
    <x v="1"/>
  </r>
  <r>
    <s v="TCK-23121"/>
    <d v="2026-04-06T15:57:00"/>
    <s v="Billing Support"/>
    <x v="0"/>
    <x v="4"/>
    <x v="0"/>
    <x v="1"/>
    <x v="1"/>
    <n v="48"/>
    <x v="5"/>
    <s v="Missing Resolve Date"/>
    <s v="No"/>
    <m/>
    <s v="Technical Issue Resolved Remotely"/>
    <s v=""/>
    <x v="1"/>
  </r>
  <r>
    <s v="TCK-21625"/>
    <d v="2026-06-26T20:06:00"/>
    <s v="Technical Support"/>
    <x v="6"/>
    <x v="2"/>
    <x v="0"/>
    <x v="5"/>
    <x v="1"/>
    <n v="48"/>
    <x v="2"/>
    <d v="2026-06-27T14:47:00"/>
    <s v="No"/>
    <n v="4"/>
    <s v="Customer Satisfied With Resolution"/>
    <n v="18.683333333290648"/>
    <x v="1"/>
  </r>
  <r>
    <s v="TCK-22633"/>
    <d v="2026-06-09T15:07:00"/>
    <s v="Tier 1 Support"/>
    <x v="7"/>
    <x v="3"/>
    <x v="0"/>
    <x v="1"/>
    <x v="1"/>
    <n v="48"/>
    <x v="0"/>
    <d v="2026-06-13T22:19:00"/>
    <s v="No"/>
    <n v="4"/>
    <s v="Escalated To Senior Agent"/>
    <n v="103.19999999989523"/>
    <x v="2"/>
  </r>
  <r>
    <s v="TCK-21787"/>
    <d v="2026-06-18T03:48:00"/>
    <s v="Tier 2 Support"/>
    <x v="2"/>
    <x v="6"/>
    <x v="0"/>
    <x v="0"/>
    <x v="2"/>
    <n v="8"/>
    <x v="2"/>
    <d v="2026-06-19T00:29:00"/>
    <s v="No"/>
    <n v="5"/>
    <s v="Customer Satisfied With Resolution"/>
    <n v="20.683333333348855"/>
    <x v="1"/>
  </r>
  <r>
    <s v="TCK-23107"/>
    <d v="2026-07-30T04:43:00"/>
    <s v="Billing Support"/>
    <x v="0"/>
    <x v="5"/>
    <x v="2"/>
    <x v="3"/>
    <x v="0"/>
    <n v="24"/>
    <x v="2"/>
    <d v="2026-07-30T05:27:00"/>
    <s v="No"/>
    <n v="4"/>
    <s v="Customer Requested Refund"/>
    <n v="0.73333333327900618"/>
    <x v="1"/>
  </r>
  <r>
    <s v="TCK-22639"/>
    <d v="2026-05-17T11:18:00"/>
    <s v="Billing Support"/>
    <x v="0"/>
    <x v="5"/>
    <x v="0"/>
    <x v="2"/>
    <x v="1"/>
    <n v="48"/>
    <x v="1"/>
    <s v="Missing Resolve Date"/>
    <s v="No"/>
    <m/>
    <s v="Repeat Issue From Same Customer"/>
    <s v=""/>
    <x v="1"/>
  </r>
  <r>
    <s v="TCK-22123"/>
    <d v="2026-06-11T21:23:00"/>
    <s v="Technical Support"/>
    <x v="4"/>
    <x v="3"/>
    <x v="2"/>
    <x v="5"/>
    <x v="0"/>
    <n v="24"/>
    <x v="4"/>
    <s v="Missing Resolve Date"/>
    <s v="Yes"/>
    <m/>
    <s v="Customer Requested Refund"/>
    <s v=""/>
    <x v="1"/>
  </r>
  <r>
    <s v="TCK-20671"/>
    <d v="2026-05-17T01:51:00"/>
    <s v="Tier 1 Support"/>
    <x v="1"/>
    <x v="1"/>
    <x v="0"/>
    <x v="2"/>
    <x v="1"/>
    <n v="48"/>
    <x v="5"/>
    <s v="Missing Resolve Date"/>
    <s v="No"/>
    <m/>
    <s v="Not Specified"/>
    <s v=""/>
    <x v="1"/>
  </r>
  <r>
    <s v="TCK-21233"/>
    <d v="2026-04-24T04:57:00"/>
    <s v="Billing Support"/>
    <x v="0"/>
    <x v="6"/>
    <x v="0"/>
    <x v="3"/>
    <x v="1"/>
    <n v="48"/>
    <x v="0"/>
    <d v="2026-04-25T06:57:00"/>
    <s v="No"/>
    <n v="2"/>
    <s v="Resolved On First Contact"/>
    <n v="25.999999999883585"/>
    <x v="0"/>
  </r>
  <r>
    <s v="TCK-20979"/>
    <d v="2026-05-06T04:05:00"/>
    <s v="Tier 2 Support"/>
    <x v="2"/>
    <x v="6"/>
    <x v="2"/>
    <x v="0"/>
    <x v="1"/>
    <n v="48"/>
    <x v="3"/>
    <d v="2026-05-06T11:05:00"/>
    <s v="No"/>
    <m/>
    <s v="Customer Requested Refund"/>
    <n v="6.9999999999417923"/>
    <x v="1"/>
  </r>
  <r>
    <s v="TCK-21299"/>
    <d v="2026-07-14T18:59:00"/>
    <s v="Tier 1 Support"/>
    <x v="7"/>
    <x v="3"/>
    <x v="0"/>
    <x v="2"/>
    <x v="2"/>
    <n v="8"/>
    <x v="5"/>
    <s v="Missing Resolve Date"/>
    <s v="Yes"/>
    <m/>
    <s v="Not Specified"/>
    <s v=""/>
    <x v="1"/>
  </r>
  <r>
    <s v="TCK-21875"/>
    <d v="2026-02-20T13:43:00"/>
    <s v="Tier 2 Support"/>
    <x v="3"/>
    <x v="2"/>
    <x v="2"/>
    <x v="5"/>
    <x v="2"/>
    <n v="8"/>
    <x v="0"/>
    <d v="2026-02-20T18:53:00"/>
    <s v="No"/>
    <n v="4"/>
    <s v="Customer Satisfied With Resolution"/>
    <n v="5.1666666667442769"/>
    <x v="0"/>
  </r>
  <r>
    <s v="TCK-21437"/>
    <d v="2026-07-06T04:25:00"/>
    <s v="Billing Support"/>
    <x v="5"/>
    <x v="0"/>
    <x v="2"/>
    <x v="2"/>
    <x v="1"/>
    <n v="48"/>
    <x v="0"/>
    <d v="2026-07-07T13:21:00"/>
    <s v="No"/>
    <n v="5"/>
    <s v="Escalated To Senior Agent"/>
    <n v="32.933333333290648"/>
    <x v="0"/>
  </r>
  <r>
    <s v="TCK-22647"/>
    <d v="2026-06-09T03:28:00"/>
    <s v="Tier 2 Support"/>
    <x v="3"/>
    <x v="0"/>
    <x v="1"/>
    <x v="3"/>
    <x v="1"/>
    <n v="48"/>
    <x v="1"/>
    <s v="Missing Resolve Date"/>
    <s v="No"/>
    <m/>
    <s v="Resolved On First Contact"/>
    <s v=""/>
    <x v="1"/>
  </r>
  <r>
    <s v="TCK-22874"/>
    <d v="2026-04-19T00:33:00"/>
    <s v="Tier 2 Support"/>
    <x v="3"/>
    <x v="1"/>
    <x v="0"/>
    <x v="4"/>
    <x v="0"/>
    <n v="24"/>
    <x v="0"/>
    <d v="2026-04-19T18:17:00"/>
    <s v="No"/>
    <m/>
    <s v="Repeat Issue From Same Customer"/>
    <n v="17.733333333337214"/>
    <x v="0"/>
  </r>
  <r>
    <s v="TCK-21216"/>
    <d v="2026-07-09T13:35:00"/>
    <s v="Billing Support"/>
    <x v="0"/>
    <x v="4"/>
    <x v="1"/>
    <x v="3"/>
    <x v="2"/>
    <n v="8"/>
    <x v="2"/>
    <d v="2026-07-09T14:16:00"/>
    <s v="No"/>
    <m/>
    <s v="Required Follow-Up Call"/>
    <n v="0.6833333334652707"/>
    <x v="1"/>
  </r>
  <r>
    <s v="TCK-20332"/>
    <d v="2026-07-22T16:13:00"/>
    <s v="Tier 1 Support"/>
    <x v="7"/>
    <x v="2"/>
    <x v="0"/>
    <x v="3"/>
    <x v="2"/>
    <n v="8"/>
    <x v="2"/>
    <d v="2026-07-22T18:08:00"/>
    <s v="No"/>
    <n v="2"/>
    <s v="Not Specified"/>
    <n v="1.9166666668024845"/>
    <x v="1"/>
  </r>
  <r>
    <s v="TCK-22932"/>
    <d v="2026-07-13T19:53:00"/>
    <s v="Tier 1 Support"/>
    <x v="1"/>
    <x v="2"/>
    <x v="0"/>
    <x v="1"/>
    <x v="1"/>
    <n v="48"/>
    <x v="3"/>
    <d v="2026-07-14T16:41:00"/>
    <s v="No"/>
    <m/>
    <s v="Not Specified"/>
    <n v="20.800000000046566"/>
    <x v="1"/>
  </r>
  <r>
    <s v="TCK-21255"/>
    <d v="2026-05-24T08:14:00"/>
    <s v="Tier 2 Support"/>
    <x v="2"/>
    <x v="5"/>
    <x v="2"/>
    <x v="0"/>
    <x v="2"/>
    <n v="8"/>
    <x v="2"/>
    <d v="2026-05-24T17:50:00"/>
    <s v="No"/>
    <n v="5"/>
    <s v="Technical Issue Resolved Remotely"/>
    <n v="9.6000000000349246"/>
    <x v="1"/>
  </r>
  <r>
    <s v="TCK-21043"/>
    <d v="2026-06-12T07:57:00"/>
    <s v="Technical Support"/>
    <x v="4"/>
    <x v="6"/>
    <x v="3"/>
    <x v="3"/>
    <x v="2"/>
    <n v="8"/>
    <x v="2"/>
    <d v="2026-06-13T00:45:00"/>
    <s v="No"/>
    <m/>
    <s v="Required Follow-Up Call"/>
    <n v="16.799999999930151"/>
    <x v="1"/>
  </r>
  <r>
    <s v="TCK-22712"/>
    <d v="2026-02-14T13:38:00"/>
    <s v="Technical Support"/>
    <x v="6"/>
    <x v="0"/>
    <x v="2"/>
    <x v="5"/>
    <x v="0"/>
    <n v="24"/>
    <x v="0"/>
    <d v="2026-02-15T10:11:00"/>
    <s v="No"/>
    <m/>
    <s v="Awaiting Customer Response"/>
    <n v="20.549999999930151"/>
    <x v="0"/>
  </r>
  <r>
    <s v="TCK-20762"/>
    <d v="2026-08-05T02:39:00"/>
    <s v="Tier 2 Support"/>
    <x v="3"/>
    <x v="1"/>
    <x v="3"/>
    <x v="3"/>
    <x v="1"/>
    <n v="48"/>
    <x v="2"/>
    <d v="2026-08-06T06:57:00"/>
    <s v="No"/>
    <m/>
    <s v="Technical Issue Resolved Remotely"/>
    <n v="28.299999999871943"/>
    <x v="1"/>
  </r>
  <r>
    <s v="TCK-23082"/>
    <d v="2026-05-24T00:13:00"/>
    <s v="Tier 1 Support"/>
    <x v="7"/>
    <x v="6"/>
    <x v="0"/>
    <x v="0"/>
    <x v="0"/>
    <n v="24"/>
    <x v="1"/>
    <s v="Missing Resolve Date"/>
    <s v="No"/>
    <m/>
    <s v="Technical Issue Resolved Remotely"/>
    <s v=""/>
    <x v="1"/>
  </r>
  <r>
    <s v="TCK-22169"/>
    <d v="2026-08-30T11:12:00"/>
    <s v="Tier 1 Support"/>
    <x v="7"/>
    <x v="6"/>
    <x v="3"/>
    <x v="4"/>
    <x v="1"/>
    <n v="48"/>
    <x v="2"/>
    <d v="2026-09-04T16:52:00"/>
    <s v="No"/>
    <n v="1"/>
    <s v="Technical Issue Resolved Remotely"/>
    <n v="125.66666666662786"/>
    <x v="1"/>
  </r>
  <r>
    <s v="TCK-20910"/>
    <d v="2026-05-26T21:56:00"/>
    <s v="Billing Support"/>
    <x v="5"/>
    <x v="4"/>
    <x v="1"/>
    <x v="1"/>
    <x v="2"/>
    <n v="8"/>
    <x v="3"/>
    <d v="2026-05-26T23:52:00"/>
    <s v="No"/>
    <m/>
    <s v="Customer Satisfied With Resolution"/>
    <n v="1.9333333331742324"/>
    <x v="1"/>
  </r>
  <r>
    <s v="TCK-20686"/>
    <d v="2026-08-19T13:29:00"/>
    <s v="Technical Support"/>
    <x v="4"/>
    <x v="5"/>
    <x v="3"/>
    <x v="4"/>
    <x v="2"/>
    <n v="8"/>
    <x v="2"/>
    <d v="2026-08-19T15:34:00"/>
    <s v="No"/>
    <n v="3"/>
    <s v="Required Follow-Up Call"/>
    <n v="2.0833333333139308"/>
    <x v="1"/>
  </r>
  <r>
    <s v="TCK-20056"/>
    <d v="2026-02-07T11:19:00"/>
    <s v="Technical Support"/>
    <x v="6"/>
    <x v="1"/>
    <x v="1"/>
    <x v="0"/>
    <x v="1"/>
    <n v="48"/>
    <x v="0"/>
    <d v="2026-02-08T22:56:00"/>
    <s v="No"/>
    <n v="5"/>
    <s v="Technical Issue Resolved Remotely"/>
    <n v="35.616666666639503"/>
    <x v="0"/>
  </r>
  <r>
    <s v="TCK-22324"/>
    <d v="2026-02-07T08:14:00"/>
    <s v="Tier 2 Support"/>
    <x v="3"/>
    <x v="3"/>
    <x v="0"/>
    <x v="1"/>
    <x v="1"/>
    <n v="48"/>
    <x v="4"/>
    <s v="Missing Resolve Date"/>
    <s v="Yes"/>
    <m/>
    <s v="Technical Issue Resolved Remotely"/>
    <s v=""/>
    <x v="1"/>
  </r>
  <r>
    <s v="TCK-20672"/>
    <d v="2026-03-12T06:11:00"/>
    <s v="Technical Support"/>
    <x v="4"/>
    <x v="4"/>
    <x v="3"/>
    <x v="5"/>
    <x v="1"/>
    <n v="48"/>
    <x v="4"/>
    <s v="Missing Resolve Date"/>
    <s v="Yes"/>
    <m/>
    <s v="Resolved On First Contact"/>
    <s v=""/>
    <x v="1"/>
  </r>
  <r>
    <s v="TCK-21798"/>
    <d v="2026-06-26T16:35:00"/>
    <s v="Billing Support"/>
    <x v="0"/>
    <x v="4"/>
    <x v="1"/>
    <x v="5"/>
    <x v="0"/>
    <n v="24"/>
    <x v="0"/>
    <d v="2026-06-27T00:05:00"/>
    <s v="No"/>
    <n v="4"/>
    <s v="Not Specified"/>
    <n v="7.5"/>
    <x v="0"/>
  </r>
  <r>
    <s v="TCK-22662"/>
    <d v="2026-07-19T08:11:00"/>
    <s v="Billing Support"/>
    <x v="0"/>
    <x v="5"/>
    <x v="1"/>
    <x v="0"/>
    <x v="0"/>
    <n v="24"/>
    <x v="0"/>
    <d v="2026-07-19T19:49:00"/>
    <s v="No"/>
    <n v="3"/>
    <s v="Required Follow-Up Call"/>
    <n v="11.633333333360497"/>
    <x v="0"/>
  </r>
  <r>
    <s v="TCK-22966"/>
    <d v="2026-04-16T21:41:00"/>
    <s v="Tier 2 Support"/>
    <x v="3"/>
    <x v="6"/>
    <x v="2"/>
    <x v="5"/>
    <x v="0"/>
    <n v="24"/>
    <x v="5"/>
    <s v="Missing Resolve Date"/>
    <s v="Yes"/>
    <m/>
    <s v="Customer Requested Refund"/>
    <s v=""/>
    <x v="1"/>
  </r>
  <r>
    <s v="TCK-20518"/>
    <d v="2026-07-18T09:22:00"/>
    <s v="Tier 1 Support"/>
    <x v="7"/>
    <x v="2"/>
    <x v="0"/>
    <x v="2"/>
    <x v="1"/>
    <n v="48"/>
    <x v="5"/>
    <s v="Missing Resolve Date"/>
    <s v="Yes"/>
    <m/>
    <s v="Repeat Issue From Same Customer"/>
    <s v=""/>
    <x v="1"/>
  </r>
  <r>
    <s v="TCK-21352"/>
    <d v="2026-02-21T03:16:00"/>
    <s v="Tier 2 Support"/>
    <x v="3"/>
    <x v="3"/>
    <x v="3"/>
    <x v="5"/>
    <x v="2"/>
    <n v="8"/>
    <x v="0"/>
    <d v="2026-02-21T06:57:00"/>
    <s v="No"/>
    <n v="4"/>
    <s v="Awaiting Customer Response"/>
    <n v="3.6833333332906477"/>
    <x v="0"/>
  </r>
  <r>
    <s v="TCK-22630"/>
    <d v="2026-03-22T14:34:00"/>
    <s v="Technical Support"/>
    <x v="6"/>
    <x v="5"/>
    <x v="3"/>
    <x v="2"/>
    <x v="2"/>
    <n v="8"/>
    <x v="2"/>
    <d v="2026-03-22T15:09:00"/>
    <s v="No"/>
    <m/>
    <s v="Awaiting Customer Response"/>
    <n v="0.58333333331393078"/>
    <x v="1"/>
  </r>
  <r>
    <s v="TCK-22618"/>
    <d v="2026-05-20T14:06:00"/>
    <s v="Tier 2 Support"/>
    <x v="3"/>
    <x v="4"/>
    <x v="1"/>
    <x v="4"/>
    <x v="2"/>
    <n v="8"/>
    <x v="0"/>
    <d v="2026-05-20T15:38:00"/>
    <s v="Yes"/>
    <n v="5"/>
    <s v="Not Specified"/>
    <n v="1.5333333332673647"/>
    <x v="0"/>
  </r>
  <r>
    <s v="TCK-20415"/>
    <d v="2026-01-25T18:12:00"/>
    <s v="Billing Support"/>
    <x v="5"/>
    <x v="4"/>
    <x v="2"/>
    <x v="5"/>
    <x v="1"/>
    <n v="48"/>
    <x v="0"/>
    <d v="2026-01-27T01:04:00"/>
    <s v="No"/>
    <n v="2"/>
    <s v="Resolved On First Contact"/>
    <n v="30.866666666697711"/>
    <x v="0"/>
  </r>
  <r>
    <s v="TCK-20964"/>
    <d v="2026-08-08T09:26:00"/>
    <s v="Technical Support"/>
    <x v="4"/>
    <x v="5"/>
    <x v="2"/>
    <x v="2"/>
    <x v="2"/>
    <n v="8"/>
    <x v="0"/>
    <d v="2026-08-08T13:26:00"/>
    <s v="No"/>
    <n v="4"/>
    <s v="Escalated To Senior Agent"/>
    <n v="3.9999999999417923"/>
    <x v="0"/>
  </r>
  <r>
    <s v="TCK-22174"/>
    <d v="2026-07-05T16:28:00"/>
    <s v="Billing Support"/>
    <x v="5"/>
    <x v="0"/>
    <x v="3"/>
    <x v="1"/>
    <x v="2"/>
    <n v="8"/>
    <x v="0"/>
    <d v="2026-07-05T21:09:00"/>
    <s v="No"/>
    <m/>
    <s v="Not Specified"/>
    <n v="4.6833333332324401"/>
    <x v="0"/>
  </r>
  <r>
    <s v="TCK-23111"/>
    <d v="2026-06-28T04:58:00"/>
    <s v="Technical Support"/>
    <x v="4"/>
    <x v="4"/>
    <x v="2"/>
    <x v="2"/>
    <x v="0"/>
    <n v="24"/>
    <x v="5"/>
    <s v="Missing Resolve Date"/>
    <s v="No"/>
    <m/>
    <s v="Required Follow-Up Call"/>
    <s v=""/>
    <x v="1"/>
  </r>
  <r>
    <s v="TCK-20626"/>
    <d v="2026-05-30T20:19:00"/>
    <s v="Billing Support"/>
    <x v="5"/>
    <x v="3"/>
    <x v="2"/>
    <x v="5"/>
    <x v="1"/>
    <n v="48"/>
    <x v="2"/>
    <d v="2026-05-31T01:36:00"/>
    <s v="No"/>
    <n v="3"/>
    <s v="Customer Requested Refund"/>
    <n v="5.2833333332673647"/>
    <x v="1"/>
  </r>
  <r>
    <s v="TCK-22975"/>
    <d v="2026-03-13T02:13:00"/>
    <s v="Technical Support"/>
    <x v="4"/>
    <x v="4"/>
    <x v="1"/>
    <x v="2"/>
    <x v="3"/>
    <n v="4"/>
    <x v="2"/>
    <d v="2026-03-13T03:36:00"/>
    <s v="No"/>
    <n v="1"/>
    <s v="Awaiting Customer Response"/>
    <n v="1.3833333333022892"/>
    <x v="1"/>
  </r>
  <r>
    <s v="TCK-20521"/>
    <d v="2026-05-24T04:29:00"/>
    <s v="Technical Support"/>
    <x v="6"/>
    <x v="3"/>
    <x v="1"/>
    <x v="2"/>
    <x v="1"/>
    <n v="48"/>
    <x v="2"/>
    <d v="2026-05-29T20:38:00"/>
    <s v="Yes"/>
    <n v="5"/>
    <s v="Awaiting Customer Response"/>
    <n v="136.15000000008149"/>
    <x v="1"/>
  </r>
  <r>
    <s v="TCK-22319"/>
    <d v="2026-02-11T16:20:00"/>
    <s v="Tier 1 Support"/>
    <x v="7"/>
    <x v="0"/>
    <x v="1"/>
    <x v="4"/>
    <x v="1"/>
    <n v="48"/>
    <x v="0"/>
    <d v="2026-02-11T21:27:00"/>
    <s v="No"/>
    <m/>
    <s v="Customer Satisfied With Resolution"/>
    <n v="5.1166666667559184"/>
    <x v="0"/>
  </r>
  <r>
    <s v="TCK-23024"/>
    <d v="2026-03-24T06:54:00"/>
    <s v="Billing Support"/>
    <x v="0"/>
    <x v="4"/>
    <x v="0"/>
    <x v="1"/>
    <x v="3"/>
    <n v="4"/>
    <x v="0"/>
    <d v="2026-03-24T18:06:00"/>
    <s v="No"/>
    <n v="2"/>
    <s v="Not Specified"/>
    <n v="11.200000000011642"/>
    <x v="2"/>
  </r>
  <r>
    <s v="TCK-21566"/>
    <d v="2026-01-03T05:28:00"/>
    <s v="Billing Support"/>
    <x v="5"/>
    <x v="0"/>
    <x v="2"/>
    <x v="3"/>
    <x v="0"/>
    <n v="24"/>
    <x v="5"/>
    <s v="Missing Resolve Date"/>
    <s v="No"/>
    <m/>
    <s v="Technical Issue Resolved Remotely"/>
    <s v=""/>
    <x v="1"/>
  </r>
  <r>
    <s v="TCK-21374"/>
    <d v="2026-08-25T22:47:00"/>
    <s v="Tier 2 Support"/>
    <x v="2"/>
    <x v="6"/>
    <x v="0"/>
    <x v="5"/>
    <x v="1"/>
    <n v="48"/>
    <x v="0"/>
    <d v="2026-08-26T11:51:00"/>
    <s v="No"/>
    <n v="5"/>
    <s v="Escalated To Senior Agent"/>
    <n v="13.066666666651145"/>
    <x v="0"/>
  </r>
  <r>
    <s v="TCK-20038"/>
    <d v="2026-02-27T07:11:00"/>
    <s v="Technical Support"/>
    <x v="6"/>
    <x v="2"/>
    <x v="3"/>
    <x v="4"/>
    <x v="1"/>
    <n v="48"/>
    <x v="4"/>
    <s v="Missing Resolve Date"/>
    <s v="Yes"/>
    <m/>
    <s v="Escalated To Senior Agent"/>
    <s v=""/>
    <x v="1"/>
  </r>
  <r>
    <s v="TCK-20327"/>
    <d v="2026-07-12T06:11:00"/>
    <s v="Tier 1 Support"/>
    <x v="7"/>
    <x v="3"/>
    <x v="1"/>
    <x v="4"/>
    <x v="1"/>
    <n v="48"/>
    <x v="0"/>
    <d v="2026-07-13T16:44:00"/>
    <s v="No"/>
    <n v="4"/>
    <s v="Customer Requested Refund"/>
    <n v="34.549999999988358"/>
    <x v="0"/>
  </r>
  <r>
    <s v="TCK-20375"/>
    <d v="2026-07-25T10:30:00"/>
    <s v="Tier 1 Support"/>
    <x v="1"/>
    <x v="3"/>
    <x v="2"/>
    <x v="4"/>
    <x v="1"/>
    <n v="48"/>
    <x v="0"/>
    <d v="2026-07-26T23:33:00"/>
    <s v="No"/>
    <n v="4"/>
    <s v="Not Specified"/>
    <n v="37.049999999930151"/>
    <x v="0"/>
  </r>
  <r>
    <s v="TCK-21366"/>
    <d v="2026-04-22T02:16:00"/>
    <s v="Tier 1 Support"/>
    <x v="7"/>
    <x v="6"/>
    <x v="1"/>
    <x v="4"/>
    <x v="0"/>
    <n v="24"/>
    <x v="5"/>
    <s v="Missing Resolve Date"/>
    <s v="No"/>
    <m/>
    <s v="Resolved On First Contact"/>
    <s v=""/>
    <x v="1"/>
  </r>
  <r>
    <s v="TCK-20932"/>
    <d v="2026-03-23T15:05:00"/>
    <s v="Billing Support"/>
    <x v="0"/>
    <x v="1"/>
    <x v="3"/>
    <x v="0"/>
    <x v="1"/>
    <n v="48"/>
    <x v="2"/>
    <d v="2026-03-24T20:01:00"/>
    <s v="No"/>
    <n v="2"/>
    <s v="Not Specified"/>
    <n v="28.933333333348855"/>
    <x v="1"/>
  </r>
  <r>
    <s v="TCK-20454"/>
    <d v="2026-08-09T07:05:00"/>
    <s v="Billing Support"/>
    <x v="0"/>
    <x v="4"/>
    <x v="2"/>
    <x v="3"/>
    <x v="1"/>
    <n v="48"/>
    <x v="2"/>
    <d v="2026-08-09T12:18:00"/>
    <s v="No"/>
    <n v="5"/>
    <s v="Not Specified"/>
    <n v="5.2166666665580124"/>
    <x v="1"/>
  </r>
  <r>
    <s v="TCK-22037"/>
    <d v="2026-06-20T22:48:00"/>
    <s v="Technical Support"/>
    <x v="6"/>
    <x v="2"/>
    <x v="3"/>
    <x v="4"/>
    <x v="3"/>
    <n v="4"/>
    <x v="4"/>
    <s v="Missing Resolve Date"/>
    <s v="Yes"/>
    <m/>
    <s v="Not Specified"/>
    <s v=""/>
    <x v="1"/>
  </r>
  <r>
    <s v="TCK-20766"/>
    <d v="2026-05-13T10:00:00"/>
    <s v="Technical Support"/>
    <x v="6"/>
    <x v="5"/>
    <x v="3"/>
    <x v="3"/>
    <x v="1"/>
    <n v="48"/>
    <x v="2"/>
    <d v="2026-05-14T15:15:00"/>
    <s v="No"/>
    <n v="4"/>
    <s v="Repeat Issue From Same Customer"/>
    <n v="29.25"/>
    <x v="1"/>
  </r>
  <r>
    <s v="TCK-22584"/>
    <d v="2026-03-27T20:56:00"/>
    <s v="Tier 1 Support"/>
    <x v="1"/>
    <x v="0"/>
    <x v="2"/>
    <x v="0"/>
    <x v="1"/>
    <n v="48"/>
    <x v="4"/>
    <s v="Missing Resolve Date"/>
    <s v="Yes"/>
    <m/>
    <s v="Escalated To Senior Agent"/>
    <s v=""/>
    <x v="1"/>
  </r>
  <r>
    <s v="TCK-22927"/>
    <d v="2026-05-05T04:09:00"/>
    <s v="Tier 1 Support"/>
    <x v="1"/>
    <x v="1"/>
    <x v="2"/>
    <x v="0"/>
    <x v="0"/>
    <n v="24"/>
    <x v="2"/>
    <d v="2026-05-05T13:46:00"/>
    <s v="No"/>
    <n v="4"/>
    <s v="Customer Requested Refund"/>
    <n v="9.6166666665812954"/>
    <x v="1"/>
  </r>
  <r>
    <s v="TCK-21914"/>
    <d v="2026-03-13T14:25:00"/>
    <s v="Tier 1 Support"/>
    <x v="1"/>
    <x v="5"/>
    <x v="0"/>
    <x v="4"/>
    <x v="1"/>
    <n v="48"/>
    <x v="5"/>
    <s v="Missing Resolve Date"/>
    <s v="Yes"/>
    <m/>
    <s v="Awaiting Customer Response"/>
    <s v=""/>
    <x v="1"/>
  </r>
  <r>
    <s v="TCK-21500"/>
    <d v="2026-08-06T06:53:00"/>
    <s v="Technical Support"/>
    <x v="4"/>
    <x v="0"/>
    <x v="1"/>
    <x v="5"/>
    <x v="1"/>
    <n v="48"/>
    <x v="2"/>
    <d v="2026-08-10T09:15:00"/>
    <s v="Yes"/>
    <m/>
    <s v="Not Specified"/>
    <n v="98.366666666523088"/>
    <x v="1"/>
  </r>
  <r>
    <s v="TCK-22910"/>
    <d v="2026-07-20T01:56:00"/>
    <s v="Tier 2 Support"/>
    <x v="3"/>
    <x v="1"/>
    <x v="1"/>
    <x v="1"/>
    <x v="1"/>
    <n v="48"/>
    <x v="0"/>
    <d v="2026-07-21T10:48:00"/>
    <s v="No"/>
    <n v="5"/>
    <s v="Resolved On First Contact"/>
    <n v="32.866666666581295"/>
    <x v="0"/>
  </r>
  <r>
    <s v="TCK-21399"/>
    <d v="2026-07-08T09:36:00"/>
    <s v="Technical Support"/>
    <x v="4"/>
    <x v="5"/>
    <x v="2"/>
    <x v="5"/>
    <x v="2"/>
    <n v="8"/>
    <x v="5"/>
    <s v="Missing Resolve Date"/>
    <s v="Yes"/>
    <m/>
    <s v="Awaiting Customer Response"/>
    <s v=""/>
    <x v="1"/>
  </r>
  <r>
    <s v="TCK-21508"/>
    <d v="2026-04-20T14:15:00"/>
    <s v="Tier 1 Support"/>
    <x v="7"/>
    <x v="0"/>
    <x v="2"/>
    <x v="3"/>
    <x v="0"/>
    <n v="24"/>
    <x v="1"/>
    <s v="Missing Resolve Date"/>
    <s v="No"/>
    <m/>
    <s v="Customer Requested Refund"/>
    <s v=""/>
    <x v="1"/>
  </r>
  <r>
    <s v="TCK-20784"/>
    <d v="2026-08-03T04:36:00"/>
    <s v="Tier 2 Support"/>
    <x v="2"/>
    <x v="4"/>
    <x v="2"/>
    <x v="1"/>
    <x v="1"/>
    <n v="48"/>
    <x v="2"/>
    <s v="Missing Resolve Date"/>
    <s v="No"/>
    <m/>
    <s v="Not Specified"/>
    <s v=""/>
    <x v="1"/>
  </r>
  <r>
    <s v="TCK-21781"/>
    <d v="2026-07-02T19:29:00"/>
    <s v="Tier 1 Support"/>
    <x v="7"/>
    <x v="0"/>
    <x v="1"/>
    <x v="0"/>
    <x v="0"/>
    <n v="24"/>
    <x v="2"/>
    <d v="2026-07-03T10:24:00"/>
    <s v="No"/>
    <m/>
    <s v="Required Follow-Up Call"/>
    <n v="14.916666666744277"/>
    <x v="1"/>
  </r>
  <r>
    <s v="TCK-22239"/>
    <d v="2026-07-16T03:08:00"/>
    <s v="Billing Support"/>
    <x v="5"/>
    <x v="0"/>
    <x v="0"/>
    <x v="2"/>
    <x v="0"/>
    <n v="24"/>
    <x v="5"/>
    <s v="Missing Resolve Date"/>
    <s v="No"/>
    <m/>
    <s v="Required Follow-Up Call"/>
    <s v=""/>
    <x v="1"/>
  </r>
  <r>
    <s v="TCK-21505"/>
    <d v="2026-06-13T12:13:00"/>
    <s v="Tier 2 Support"/>
    <x v="2"/>
    <x v="2"/>
    <x v="0"/>
    <x v="4"/>
    <x v="1"/>
    <n v="48"/>
    <x v="0"/>
    <d v="2026-06-14T13:48:00"/>
    <s v="No"/>
    <n v="5"/>
    <s v="Resolved On First Contact"/>
    <n v="25.583333333255723"/>
    <x v="0"/>
  </r>
  <r>
    <s v="TCK-21250"/>
    <d v="2026-02-27T15:33:00"/>
    <s v="Tier 1 Support"/>
    <x v="1"/>
    <x v="0"/>
    <x v="1"/>
    <x v="1"/>
    <x v="0"/>
    <n v="24"/>
    <x v="0"/>
    <d v="2026-03-02T13:38:00"/>
    <s v="No"/>
    <m/>
    <s v="Resolved On First Contact"/>
    <n v="70.083333333372138"/>
    <x v="2"/>
  </r>
  <r>
    <s v="TCK-22875"/>
    <d v="2026-07-16T09:14:00"/>
    <s v="Tier 1 Support"/>
    <x v="1"/>
    <x v="5"/>
    <x v="0"/>
    <x v="2"/>
    <x v="0"/>
    <n v="24"/>
    <x v="0"/>
    <d v="2026-07-16T23:08:00"/>
    <s v="No"/>
    <n v="2"/>
    <s v="Resolved On First Contact"/>
    <n v="13.899999999906868"/>
    <x v="0"/>
  </r>
  <r>
    <s v="TCK-20383"/>
    <d v="2026-07-09T05:38:00"/>
    <s v="Technical Support"/>
    <x v="6"/>
    <x v="2"/>
    <x v="2"/>
    <x v="3"/>
    <x v="0"/>
    <n v="24"/>
    <x v="4"/>
    <s v="Missing Resolve Date"/>
    <s v="Yes"/>
    <m/>
    <s v="Customer Requested Refund"/>
    <s v=""/>
    <x v="1"/>
  </r>
  <r>
    <s v="TCK-21089"/>
    <d v="2026-04-10T18:11:00"/>
    <s v="Billing Support"/>
    <x v="5"/>
    <x v="6"/>
    <x v="0"/>
    <x v="3"/>
    <x v="1"/>
    <n v="48"/>
    <x v="4"/>
    <s v="Missing Resolve Date"/>
    <s v="Yes"/>
    <m/>
    <s v="Technical Issue Resolved Remotely"/>
    <s v=""/>
    <x v="1"/>
  </r>
  <r>
    <s v="TCK-21898"/>
    <d v="2026-07-28T05:07:00"/>
    <s v="Billing Support"/>
    <x v="0"/>
    <x v="5"/>
    <x v="0"/>
    <x v="2"/>
    <x v="3"/>
    <n v="4"/>
    <x v="0"/>
    <d v="2026-07-28T05:53:00"/>
    <s v="No"/>
    <n v="5"/>
    <s v="Customer Requested Refund"/>
    <n v="0.76666666672099382"/>
    <x v="0"/>
  </r>
  <r>
    <s v="TCK-22637"/>
    <d v="2026-01-10T11:14:00"/>
    <s v="Tier 1 Support"/>
    <x v="7"/>
    <x v="5"/>
    <x v="1"/>
    <x v="5"/>
    <x v="3"/>
    <n v="4"/>
    <x v="4"/>
    <s v="Missing Resolve Date"/>
    <s v="Yes"/>
    <m/>
    <s v="Awaiting Customer Response"/>
    <s v=""/>
    <x v="1"/>
  </r>
  <r>
    <s v="TCK-23090"/>
    <d v="2026-04-05T23:03:00"/>
    <s v="Tier 1 Support"/>
    <x v="1"/>
    <x v="6"/>
    <x v="3"/>
    <x v="2"/>
    <x v="2"/>
    <n v="8"/>
    <x v="2"/>
    <d v="2026-04-06T01:10:00"/>
    <s v="Yes"/>
    <n v="4"/>
    <s v="Customer Requested Refund"/>
    <n v="2.1166666665812954"/>
    <x v="1"/>
  </r>
  <r>
    <s v="TCK-21383"/>
    <d v="2026-08-11T14:28:00"/>
    <s v="Tier 1 Support"/>
    <x v="1"/>
    <x v="1"/>
    <x v="1"/>
    <x v="2"/>
    <x v="1"/>
    <n v="48"/>
    <x v="0"/>
    <s v="Missing Resolve Date"/>
    <s v="No"/>
    <n v="3"/>
    <s v="Resolved On First Contact"/>
    <s v=""/>
    <x v="2"/>
  </r>
  <r>
    <s v="TCK-23112"/>
    <d v="2026-07-06T07:29:00"/>
    <s v="Technical Support"/>
    <x v="6"/>
    <x v="5"/>
    <x v="0"/>
    <x v="0"/>
    <x v="3"/>
    <n v="4"/>
    <x v="2"/>
    <d v="2026-07-06T10:11:00"/>
    <s v="No"/>
    <n v="4"/>
    <s v="Not Specified"/>
    <n v="2.7000000000698492"/>
    <x v="1"/>
  </r>
  <r>
    <s v="TCK-20265"/>
    <d v="2026-04-06T10:33:00"/>
    <s v="Technical Support"/>
    <x v="6"/>
    <x v="4"/>
    <x v="0"/>
    <x v="3"/>
    <x v="2"/>
    <n v="8"/>
    <x v="1"/>
    <s v="Missing Resolve Date"/>
    <s v="No"/>
    <m/>
    <s v="Customer Requested Refund"/>
    <s v=""/>
    <x v="1"/>
  </r>
  <r>
    <s v="TCK-22614"/>
    <d v="2026-08-08T14:34:00"/>
    <s v="Tier 1 Support"/>
    <x v="1"/>
    <x v="5"/>
    <x v="1"/>
    <x v="0"/>
    <x v="0"/>
    <n v="24"/>
    <x v="0"/>
    <d v="2026-08-08T19:01:00"/>
    <s v="No"/>
    <m/>
    <s v="Required Follow-Up Call"/>
    <n v="4.4500000000116415"/>
    <x v="0"/>
  </r>
  <r>
    <s v="TCK-21630"/>
    <d v="2026-01-09T14:23:00"/>
    <s v="Tier 2 Support"/>
    <x v="3"/>
    <x v="3"/>
    <x v="3"/>
    <x v="5"/>
    <x v="0"/>
    <n v="24"/>
    <x v="0"/>
    <d v="2026-01-09T15:29:00"/>
    <s v="No"/>
    <n v="3"/>
    <s v="Repeat Issue From Same Customer"/>
    <n v="1.0999999999185093"/>
    <x v="0"/>
  </r>
  <r>
    <s v="TCK-22861"/>
    <d v="2026-04-05T12:57:00"/>
    <s v="Tier 1 Support"/>
    <x v="1"/>
    <x v="5"/>
    <x v="0"/>
    <x v="0"/>
    <x v="1"/>
    <n v="48"/>
    <x v="0"/>
    <d v="2026-04-06T08:27:00"/>
    <s v="No"/>
    <m/>
    <s v="Customer Requested Refund"/>
    <n v="19.5"/>
    <x v="0"/>
  </r>
  <r>
    <s v="TCK-21692"/>
    <d v="2026-04-10T09:04:00"/>
    <s v="Billing Support"/>
    <x v="5"/>
    <x v="0"/>
    <x v="1"/>
    <x v="3"/>
    <x v="0"/>
    <n v="24"/>
    <x v="3"/>
    <d v="2026-04-12T17:10:00"/>
    <s v="No"/>
    <m/>
    <s v="Not Specified"/>
    <n v="56.100000000034925"/>
    <x v="1"/>
  </r>
  <r>
    <s v="TCK-21222"/>
    <d v="2026-06-27T01:18:00"/>
    <s v="Technical Support"/>
    <x v="4"/>
    <x v="0"/>
    <x v="0"/>
    <x v="4"/>
    <x v="1"/>
    <n v="48"/>
    <x v="5"/>
    <s v="Missing Resolve Date"/>
    <s v="No"/>
    <m/>
    <s v="Awaiting Customer Response"/>
    <s v=""/>
    <x v="1"/>
  </r>
  <r>
    <s v="TCK-20613"/>
    <d v="2026-05-13T15:04:00"/>
    <s v="Billing Support"/>
    <x v="5"/>
    <x v="6"/>
    <x v="3"/>
    <x v="1"/>
    <x v="1"/>
    <n v="48"/>
    <x v="0"/>
    <d v="2026-05-13T19:53:00"/>
    <s v="No"/>
    <n v="4"/>
    <s v="Customer Satisfied With Resolution"/>
    <n v="4.8166666666511446"/>
    <x v="0"/>
  </r>
  <r>
    <s v="TCK-22703"/>
    <d v="2026-07-05T14:19:00"/>
    <s v="Technical Support"/>
    <x v="4"/>
    <x v="2"/>
    <x v="3"/>
    <x v="0"/>
    <x v="0"/>
    <n v="24"/>
    <x v="2"/>
    <d v="2026-07-06T03:43:00"/>
    <s v="No"/>
    <n v="1"/>
    <s v="Required Follow-Up Call"/>
    <n v="13.400000000023283"/>
    <x v="1"/>
  </r>
  <r>
    <s v="TCK-22612"/>
    <d v="2026-01-17T07:16:00"/>
    <s v="Tier 2 Support"/>
    <x v="3"/>
    <x v="2"/>
    <x v="2"/>
    <x v="3"/>
    <x v="1"/>
    <n v="48"/>
    <x v="0"/>
    <d v="2026-01-18T17:22:00"/>
    <s v="No"/>
    <m/>
    <s v="Customer Satisfied With Resolution"/>
    <n v="34.100000000093132"/>
    <x v="0"/>
  </r>
  <r>
    <s v="TCK-20663"/>
    <d v="2026-05-28T00:56:00"/>
    <s v="Billing Support"/>
    <x v="5"/>
    <x v="2"/>
    <x v="0"/>
    <x v="2"/>
    <x v="2"/>
    <n v="8"/>
    <x v="0"/>
    <d v="2026-05-28T03:14:00"/>
    <s v="No"/>
    <m/>
    <s v="Technical Issue Resolved Remotely"/>
    <n v="2.2999999999883585"/>
    <x v="0"/>
  </r>
  <r>
    <s v="TCK-22667"/>
    <d v="2026-01-11T23:52:00"/>
    <s v="Tier 1 Support"/>
    <x v="7"/>
    <x v="5"/>
    <x v="1"/>
    <x v="0"/>
    <x v="0"/>
    <n v="24"/>
    <x v="0"/>
    <d v="2026-01-12T20:37:00"/>
    <s v="No"/>
    <n v="4"/>
    <s v="Technical Issue Resolved Remotely"/>
    <n v="20.750000000058208"/>
    <x v="0"/>
  </r>
  <r>
    <s v="TCK-22340"/>
    <d v="2026-07-15T19:12:00"/>
    <s v="Billing Support"/>
    <x v="5"/>
    <x v="1"/>
    <x v="0"/>
    <x v="1"/>
    <x v="2"/>
    <n v="8"/>
    <x v="5"/>
    <s v="Missing Resolve Date"/>
    <s v="No"/>
    <m/>
    <s v="Customer Requested Refund"/>
    <s v=""/>
    <x v="1"/>
  </r>
  <r>
    <s v="TCK-22819"/>
    <d v="2026-05-22T13:12:00"/>
    <s v="Technical Support"/>
    <x v="6"/>
    <x v="2"/>
    <x v="2"/>
    <x v="4"/>
    <x v="3"/>
    <n v="4"/>
    <x v="0"/>
    <d v="2026-05-22T16:39:00"/>
    <s v="No"/>
    <m/>
    <s v="Resolved On First Contact"/>
    <n v="3.4499999998952262"/>
    <x v="0"/>
  </r>
  <r>
    <s v="TCK-22573"/>
    <d v="2026-07-17T15:25:00"/>
    <s v="Tier 2 Support"/>
    <x v="2"/>
    <x v="3"/>
    <x v="2"/>
    <x v="2"/>
    <x v="2"/>
    <n v="8"/>
    <x v="2"/>
    <d v="2026-07-17T16:20:00"/>
    <s v="No"/>
    <n v="2"/>
    <s v="Not Specified"/>
    <n v="0.91666666668606922"/>
    <x v="1"/>
  </r>
  <r>
    <s v="TCK-22107"/>
    <d v="2026-03-18T22:44:00"/>
    <s v="Billing Support"/>
    <x v="0"/>
    <x v="2"/>
    <x v="3"/>
    <x v="1"/>
    <x v="3"/>
    <n v="4"/>
    <x v="0"/>
    <d v="2026-03-19T00:42:00"/>
    <s v="No"/>
    <n v="5"/>
    <s v="Repeat Issue From Same Customer"/>
    <n v="1.96666666661622"/>
    <x v="0"/>
  </r>
  <r>
    <s v="TCK-20485"/>
    <d v="2026-01-08T21:45:00"/>
    <s v="Tier 2 Support"/>
    <x v="2"/>
    <x v="2"/>
    <x v="0"/>
    <x v="2"/>
    <x v="1"/>
    <n v="48"/>
    <x v="0"/>
    <s v="Missing Resolve Date"/>
    <s v="No"/>
    <n v="4"/>
    <s v="Technical Issue Resolved Remotely"/>
    <s v=""/>
    <x v="2"/>
  </r>
  <r>
    <s v="TCK-22409"/>
    <d v="2026-07-20T15:16:00"/>
    <s v="Billing Support"/>
    <x v="0"/>
    <x v="6"/>
    <x v="0"/>
    <x v="4"/>
    <x v="0"/>
    <n v="24"/>
    <x v="4"/>
    <s v="Missing Resolve Date"/>
    <s v="Yes"/>
    <m/>
    <s v="Escalated To Senior Agent"/>
    <s v=""/>
    <x v="1"/>
  </r>
  <r>
    <s v="TCK-21476"/>
    <d v="2026-02-22T13:13:00"/>
    <s v="Billing Support"/>
    <x v="0"/>
    <x v="0"/>
    <x v="2"/>
    <x v="1"/>
    <x v="0"/>
    <n v="24"/>
    <x v="0"/>
    <d v="2026-02-22T22:24:00"/>
    <s v="No"/>
    <n v="5"/>
    <s v="Technical Issue Resolved Remotely"/>
    <n v="9.183333333407063"/>
    <x v="0"/>
  </r>
  <r>
    <s v="TCK-22908"/>
    <d v="2026-03-05T11:37:00"/>
    <s v="Billing Support"/>
    <x v="5"/>
    <x v="6"/>
    <x v="2"/>
    <x v="5"/>
    <x v="1"/>
    <n v="48"/>
    <x v="5"/>
    <s v="Missing Resolve Date"/>
    <s v="Yes"/>
    <m/>
    <s v="Repeat Issue From Same Customer"/>
    <s v=""/>
    <x v="1"/>
  </r>
  <r>
    <s v="TCK-20695"/>
    <d v="2026-04-20T13:06:00"/>
    <s v="Billing Support"/>
    <x v="0"/>
    <x v="6"/>
    <x v="3"/>
    <x v="0"/>
    <x v="0"/>
    <n v="24"/>
    <x v="4"/>
    <s v="Missing Resolve Date"/>
    <s v="Yes"/>
    <m/>
    <s v="Resolved On First Contact"/>
    <s v=""/>
    <x v="1"/>
  </r>
  <r>
    <s v="TCK-22839"/>
    <d v="2026-08-23T15:29:00"/>
    <s v="Technical Support"/>
    <x v="6"/>
    <x v="5"/>
    <x v="3"/>
    <x v="5"/>
    <x v="2"/>
    <n v="8"/>
    <x v="1"/>
    <s v="Missing Resolve Date"/>
    <s v="No"/>
    <m/>
    <s v="Customer Requested Refund"/>
    <s v=""/>
    <x v="1"/>
  </r>
  <r>
    <s v="TCK-22528"/>
    <d v="2026-08-08T16:43:00"/>
    <s v="Technical Support"/>
    <x v="4"/>
    <x v="1"/>
    <x v="1"/>
    <x v="4"/>
    <x v="0"/>
    <n v="24"/>
    <x v="2"/>
    <d v="2026-08-11T14:30:00"/>
    <s v="No"/>
    <n v="5"/>
    <s v="Awaiting Customer Response"/>
    <n v="69.783333333267365"/>
    <x v="1"/>
  </r>
  <r>
    <s v="TCK-21763"/>
    <d v="2026-03-11T15:29:00"/>
    <s v="Tier 2 Support"/>
    <x v="2"/>
    <x v="2"/>
    <x v="1"/>
    <x v="2"/>
    <x v="1"/>
    <n v="48"/>
    <x v="2"/>
    <d v="2026-03-15T22:34:00"/>
    <s v="No"/>
    <n v="1"/>
    <s v="Awaiting Customer Response"/>
    <n v="103.08333333337214"/>
    <x v="1"/>
  </r>
  <r>
    <s v="TCK-23008"/>
    <d v="2026-06-09T04:34:00"/>
    <s v="Tier 2 Support"/>
    <x v="3"/>
    <x v="5"/>
    <x v="1"/>
    <x v="1"/>
    <x v="0"/>
    <n v="24"/>
    <x v="0"/>
    <d v="2026-06-09T20:07:00"/>
    <s v="No"/>
    <n v="2"/>
    <s v="Not Specified"/>
    <n v="15.549999999871943"/>
    <x v="0"/>
  </r>
  <r>
    <s v="TCK-20840"/>
    <d v="2026-01-23T13:42:00"/>
    <s v="Tier 1 Support"/>
    <x v="1"/>
    <x v="2"/>
    <x v="3"/>
    <x v="4"/>
    <x v="0"/>
    <n v="24"/>
    <x v="2"/>
    <d v="2026-01-23T16:05:00"/>
    <s v="No"/>
    <n v="4"/>
    <s v="Awaiting Customer Response"/>
    <n v="2.3833333334187046"/>
    <x v="1"/>
  </r>
  <r>
    <s v="TCK-22755"/>
    <d v="2026-05-07T16:48:00"/>
    <s v="Billing Support"/>
    <x v="5"/>
    <x v="6"/>
    <x v="2"/>
    <x v="4"/>
    <x v="2"/>
    <n v="8"/>
    <x v="0"/>
    <d v="2026-05-07T17:58:00"/>
    <s v="No"/>
    <m/>
    <s v="Resolved On First Contact"/>
    <n v="1.1666666668024845"/>
    <x v="0"/>
  </r>
  <r>
    <s v="TCK-22178"/>
    <d v="2026-02-20T17:08:00"/>
    <s v="Technical Support"/>
    <x v="6"/>
    <x v="1"/>
    <x v="3"/>
    <x v="0"/>
    <x v="2"/>
    <n v="8"/>
    <x v="5"/>
    <s v="Missing Resolve Date"/>
    <s v="No"/>
    <m/>
    <s v="Escalated To Senior Agent"/>
    <s v=""/>
    <x v="1"/>
  </r>
  <r>
    <s v="TCK-20715"/>
    <d v="2026-05-17T02:20:00"/>
    <s v="Tier 1 Support"/>
    <x v="1"/>
    <x v="4"/>
    <x v="1"/>
    <x v="4"/>
    <x v="2"/>
    <n v="8"/>
    <x v="0"/>
    <d v="2026-05-17T06:59:00"/>
    <s v="No"/>
    <n v="4"/>
    <s v="Not Specified"/>
    <n v="4.6500000001396984"/>
    <x v="0"/>
  </r>
  <r>
    <s v="TCK-22322"/>
    <d v="2026-03-13T19:44:00"/>
    <s v="Tier 2 Support"/>
    <x v="3"/>
    <x v="1"/>
    <x v="1"/>
    <x v="2"/>
    <x v="0"/>
    <n v="24"/>
    <x v="2"/>
    <d v="2026-03-14T13:18:00"/>
    <s v="No"/>
    <m/>
    <s v="Escalated To Senior Agent"/>
    <n v="17.566666666651145"/>
    <x v="1"/>
  </r>
  <r>
    <s v="TCK-20690"/>
    <d v="2026-03-12T02:50:00"/>
    <s v="Tier 1 Support"/>
    <x v="1"/>
    <x v="2"/>
    <x v="0"/>
    <x v="3"/>
    <x v="0"/>
    <n v="24"/>
    <x v="1"/>
    <s v="Missing Resolve Date"/>
    <s v="Yes"/>
    <m/>
    <s v="Not Specified"/>
    <s v=""/>
    <x v="1"/>
  </r>
  <r>
    <s v="TCK-20814"/>
    <d v="2026-03-29T23:18:00"/>
    <s v="Technical Support"/>
    <x v="4"/>
    <x v="1"/>
    <x v="0"/>
    <x v="2"/>
    <x v="3"/>
    <n v="4"/>
    <x v="0"/>
    <d v="2026-03-30T04:30:00"/>
    <s v="No"/>
    <n v="4"/>
    <s v="Repeat Issue From Same Customer"/>
    <n v="5.2000000000116415"/>
    <x v="2"/>
  </r>
  <r>
    <s v="TCK-20027"/>
    <d v="2026-08-16T05:20:00"/>
    <s v="Tier 1 Support"/>
    <x v="1"/>
    <x v="5"/>
    <x v="3"/>
    <x v="3"/>
    <x v="0"/>
    <n v="24"/>
    <x v="3"/>
    <d v="2026-08-16T06:08:00"/>
    <s v="No"/>
    <m/>
    <s v="Escalated To Senior Agent"/>
    <n v="0.80000000016298145"/>
    <x v="1"/>
  </r>
  <r>
    <s v="TCK-20279"/>
    <d v="2026-08-24T07:55:00"/>
    <s v="Technical Support"/>
    <x v="4"/>
    <x v="5"/>
    <x v="3"/>
    <x v="0"/>
    <x v="1"/>
    <n v="48"/>
    <x v="1"/>
    <s v="Missing Resolve Date"/>
    <s v="No"/>
    <m/>
    <s v="Repeat Issue From Same Customer"/>
    <s v=""/>
    <x v="1"/>
  </r>
  <r>
    <s v="TCK-21777"/>
    <d v="2026-05-02T11:38:00"/>
    <s v="Tier 1 Support"/>
    <x v="1"/>
    <x v="5"/>
    <x v="2"/>
    <x v="0"/>
    <x v="1"/>
    <n v="48"/>
    <x v="5"/>
    <s v="Missing Resolve Date"/>
    <s v="No"/>
    <m/>
    <s v="Awaiting Customer Response"/>
    <s v=""/>
    <x v="1"/>
  </r>
  <r>
    <s v="TCK-21375"/>
    <d v="2026-07-26T08:13:00"/>
    <s v="Billing Support"/>
    <x v="0"/>
    <x v="1"/>
    <x v="3"/>
    <x v="1"/>
    <x v="1"/>
    <n v="48"/>
    <x v="0"/>
    <d v="2026-07-26T23:28:00"/>
    <s v="No"/>
    <n v="5"/>
    <s v="Required Follow-Up Call"/>
    <n v="15.249999999941792"/>
    <x v="0"/>
  </r>
  <r>
    <s v="TCK-21339"/>
    <d v="2026-04-16T05:41:00"/>
    <s v="Tier 2 Support"/>
    <x v="2"/>
    <x v="3"/>
    <x v="0"/>
    <x v="3"/>
    <x v="0"/>
    <n v="24"/>
    <x v="2"/>
    <d v="2026-04-17T02:17:00"/>
    <s v="No"/>
    <n v="2"/>
    <s v="Escalated To Senior Agent"/>
    <n v="20.599999999918509"/>
    <x v="1"/>
  </r>
  <r>
    <s v="TCK-22613"/>
    <d v="2026-07-13T10:11:00"/>
    <s v="Billing Support"/>
    <x v="5"/>
    <x v="4"/>
    <x v="3"/>
    <x v="5"/>
    <x v="2"/>
    <n v="8"/>
    <x v="0"/>
    <d v="2026-07-14T03:32:00"/>
    <s v="No"/>
    <n v="5"/>
    <s v="Escalated To Senior Agent"/>
    <n v="17.349999999976717"/>
    <x v="2"/>
  </r>
  <r>
    <s v="TCK-22269"/>
    <d v="2026-06-16T13:50:00"/>
    <s v="Technical Support"/>
    <x v="6"/>
    <x v="0"/>
    <x v="2"/>
    <x v="3"/>
    <x v="0"/>
    <n v="24"/>
    <x v="4"/>
    <s v="Missing Resolve Date"/>
    <s v="Yes"/>
    <m/>
    <s v="Resolved On First Contact"/>
    <s v=""/>
    <x v="1"/>
  </r>
  <r>
    <s v="TCK-22720"/>
    <d v="2026-06-19T07:56:00"/>
    <s v="Tier 2 Support"/>
    <x v="3"/>
    <x v="6"/>
    <x v="1"/>
    <x v="3"/>
    <x v="3"/>
    <n v="4"/>
    <x v="2"/>
    <d v="2026-06-19T09:34:00"/>
    <s v="No"/>
    <n v="1"/>
    <s v="Not Specified"/>
    <n v="1.6333333332440816"/>
    <x v="1"/>
  </r>
  <r>
    <s v="TCK-20799"/>
    <d v="2026-01-08T04:08:00"/>
    <s v="Tier 2 Support"/>
    <x v="2"/>
    <x v="2"/>
    <x v="3"/>
    <x v="4"/>
    <x v="0"/>
    <n v="24"/>
    <x v="2"/>
    <d v="2026-01-08T15:09:00"/>
    <s v="No"/>
    <m/>
    <s v="Customer Requested Refund"/>
    <n v="11.016666666604578"/>
    <x v="1"/>
  </r>
  <r>
    <s v="TCK-21704"/>
    <d v="2026-08-30T03:39:00"/>
    <s v="Tier 1 Support"/>
    <x v="7"/>
    <x v="4"/>
    <x v="3"/>
    <x v="1"/>
    <x v="0"/>
    <n v="24"/>
    <x v="5"/>
    <s v="Missing Resolve Date"/>
    <s v="No"/>
    <m/>
    <s v="Not Specified"/>
    <s v=""/>
    <x v="1"/>
  </r>
  <r>
    <s v="TCK-22305"/>
    <d v="2026-06-14T00:44:00"/>
    <s v="Technical Support"/>
    <x v="4"/>
    <x v="3"/>
    <x v="0"/>
    <x v="0"/>
    <x v="2"/>
    <n v="8"/>
    <x v="4"/>
    <s v="Missing Resolve Date"/>
    <s v="Yes"/>
    <m/>
    <s v="Escalated To Senior Agent"/>
    <s v=""/>
    <x v="1"/>
  </r>
  <r>
    <s v="TCK-22068"/>
    <d v="2026-06-15T21:50:00"/>
    <s v="Technical Support"/>
    <x v="6"/>
    <x v="6"/>
    <x v="3"/>
    <x v="2"/>
    <x v="1"/>
    <n v="48"/>
    <x v="2"/>
    <d v="2026-06-16T08:21:00"/>
    <s v="No"/>
    <n v="5"/>
    <s v="Not Specified"/>
    <n v="10.516666666720994"/>
    <x v="1"/>
  </r>
  <r>
    <s v="TCK-22562"/>
    <d v="2026-05-16T07:38:00"/>
    <s v="Billing Support"/>
    <x v="5"/>
    <x v="1"/>
    <x v="1"/>
    <x v="2"/>
    <x v="1"/>
    <n v="48"/>
    <x v="0"/>
    <d v="2026-05-16T18:56:00"/>
    <s v="No"/>
    <m/>
    <s v="Escalated To Senior Agent"/>
    <n v="11.299999999988358"/>
    <x v="0"/>
  </r>
  <r>
    <s v="TCK-21489"/>
    <d v="2026-07-22T18:31:00"/>
    <s v="Tier 1 Support"/>
    <x v="7"/>
    <x v="0"/>
    <x v="2"/>
    <x v="4"/>
    <x v="3"/>
    <n v="4"/>
    <x v="2"/>
    <d v="2026-07-22T19:32:00"/>
    <s v="No"/>
    <n v="1"/>
    <s v="Repeat Issue From Same Customer"/>
    <n v="1.0166666666627862"/>
    <x v="1"/>
  </r>
  <r>
    <s v="TCK-22100"/>
    <d v="2026-08-18T07:43:00"/>
    <s v="Billing Support"/>
    <x v="0"/>
    <x v="2"/>
    <x v="0"/>
    <x v="2"/>
    <x v="1"/>
    <n v="48"/>
    <x v="4"/>
    <s v="Missing Resolve Date"/>
    <s v="Yes"/>
    <m/>
    <s v="Awaiting Customer Response"/>
    <s v=""/>
    <x v="1"/>
  </r>
  <r>
    <s v="TCK-20547"/>
    <d v="2026-05-14T06:47:00"/>
    <s v="Technical Support"/>
    <x v="6"/>
    <x v="3"/>
    <x v="0"/>
    <x v="4"/>
    <x v="1"/>
    <n v="48"/>
    <x v="1"/>
    <s v="Missing Resolve Date"/>
    <s v="No"/>
    <m/>
    <s v="Not Specified"/>
    <s v=""/>
    <x v="1"/>
  </r>
  <r>
    <s v="TCK-21026"/>
    <d v="2026-05-31T20:11:00"/>
    <s v="Technical Support"/>
    <x v="4"/>
    <x v="4"/>
    <x v="0"/>
    <x v="1"/>
    <x v="1"/>
    <n v="48"/>
    <x v="0"/>
    <d v="2026-06-02T09:28:00"/>
    <s v="No"/>
    <n v="4"/>
    <s v="Not Specified"/>
    <n v="37.283333333325572"/>
    <x v="0"/>
  </r>
  <r>
    <s v="TCK-22738"/>
    <d v="2026-01-28T17:47:00"/>
    <s v="Billing Support"/>
    <x v="0"/>
    <x v="0"/>
    <x v="2"/>
    <x v="0"/>
    <x v="0"/>
    <n v="24"/>
    <x v="0"/>
    <d v="2026-01-29T12:04:00"/>
    <s v="No"/>
    <n v="5"/>
    <s v="Technical Issue Resolved Remotely"/>
    <n v="18.28333333338378"/>
    <x v="0"/>
  </r>
  <r>
    <s v="TCK-22570"/>
    <d v="2026-02-19T07:49:00"/>
    <s v="Tier 2 Support"/>
    <x v="2"/>
    <x v="6"/>
    <x v="0"/>
    <x v="0"/>
    <x v="2"/>
    <n v="8"/>
    <x v="0"/>
    <d v="2026-02-19T09:09:00"/>
    <s v="No"/>
    <n v="5"/>
    <s v="Technical Issue Resolved Remotely"/>
    <n v="1.3333333333139308"/>
    <x v="0"/>
  </r>
  <r>
    <s v="TCK-23064"/>
    <d v="2026-06-28T11:27:00"/>
    <s v="Tier 2 Support"/>
    <x v="2"/>
    <x v="4"/>
    <x v="2"/>
    <x v="3"/>
    <x v="3"/>
    <n v="4"/>
    <x v="0"/>
    <d v="2026-06-28T14:23:00"/>
    <s v="No"/>
    <n v="4"/>
    <s v="Not Specified"/>
    <n v="2.9333333334652707"/>
    <x v="0"/>
  </r>
  <r>
    <s v="TCK-21702"/>
    <d v="2026-04-04T23:06:00"/>
    <s v="Technical Support"/>
    <x v="6"/>
    <x v="5"/>
    <x v="1"/>
    <x v="5"/>
    <x v="0"/>
    <n v="24"/>
    <x v="0"/>
    <d v="2026-04-06T02:53:00"/>
    <s v="No"/>
    <n v="5"/>
    <s v="Not Specified"/>
    <n v="27.783333333267365"/>
    <x v="2"/>
  </r>
  <r>
    <s v="TCK-21434"/>
    <d v="2026-06-11T02:40:00"/>
    <s v="Billing Support"/>
    <x v="0"/>
    <x v="1"/>
    <x v="2"/>
    <x v="3"/>
    <x v="0"/>
    <n v="24"/>
    <x v="0"/>
    <d v="2026-06-11T21:39:00"/>
    <s v="No"/>
    <n v="5"/>
    <s v="Escalated To Senior Agent"/>
    <n v="18.983333333395422"/>
    <x v="0"/>
  </r>
  <r>
    <s v="TCK-21948"/>
    <d v="2026-02-18T06:14:00"/>
    <s v="Tier 1 Support"/>
    <x v="7"/>
    <x v="5"/>
    <x v="2"/>
    <x v="5"/>
    <x v="2"/>
    <n v="8"/>
    <x v="2"/>
    <d v="2026-02-18T10:04:00"/>
    <s v="No"/>
    <n v="1"/>
    <s v="Escalated To Senior Agent"/>
    <n v="3.8333333332557231"/>
    <x v="1"/>
  </r>
  <r>
    <s v="TCK-21768"/>
    <d v="2026-02-18T13:35:00"/>
    <s v="Technical Support"/>
    <x v="4"/>
    <x v="1"/>
    <x v="0"/>
    <x v="5"/>
    <x v="1"/>
    <n v="48"/>
    <x v="2"/>
    <d v="2026-02-21T00:29:00"/>
    <s v="No"/>
    <n v="4"/>
    <s v="Escalated To Senior Agent"/>
    <n v="58.900000000081491"/>
    <x v="1"/>
  </r>
  <r>
    <s v="TCK-20347"/>
    <d v="2026-06-18T23:56:00"/>
    <s v="Tier 2 Support"/>
    <x v="2"/>
    <x v="5"/>
    <x v="3"/>
    <x v="2"/>
    <x v="1"/>
    <n v="48"/>
    <x v="2"/>
    <d v="2026-06-22T10:42:00"/>
    <s v="No"/>
    <n v="5"/>
    <s v="Repeat Issue From Same Customer"/>
    <n v="82.766666666662786"/>
    <x v="1"/>
  </r>
  <r>
    <s v="TCK-20190"/>
    <d v="2026-02-20T17:13:00"/>
    <s v="Billing Support"/>
    <x v="0"/>
    <x v="3"/>
    <x v="0"/>
    <x v="0"/>
    <x v="2"/>
    <n v="8"/>
    <x v="0"/>
    <d v="2026-02-20T18:38:00"/>
    <s v="No"/>
    <n v="5"/>
    <s v="Required Follow-Up Call"/>
    <n v="1.4166666665696539"/>
    <x v="0"/>
  </r>
  <r>
    <s v="TCK-23108"/>
    <d v="2026-03-18T17:04:00"/>
    <s v="Tier 1 Support"/>
    <x v="1"/>
    <x v="3"/>
    <x v="2"/>
    <x v="1"/>
    <x v="0"/>
    <n v="24"/>
    <x v="0"/>
    <d v="2026-03-21T05:10:00"/>
    <s v="No"/>
    <n v="5"/>
    <s v="Technical Issue Resolved Remotely"/>
    <n v="60.10000000015134"/>
    <x v="2"/>
  </r>
  <r>
    <s v="TCK-20662"/>
    <d v="2026-05-21T00:22:00"/>
    <s v="Tier 1 Support"/>
    <x v="7"/>
    <x v="1"/>
    <x v="0"/>
    <x v="2"/>
    <x v="1"/>
    <n v="48"/>
    <x v="2"/>
    <d v="2026-05-21T14:44:00"/>
    <s v="No"/>
    <n v="5"/>
    <s v="Escalated To Senior Agent"/>
    <n v="14.366666666697711"/>
    <x v="1"/>
  </r>
  <r>
    <s v="TCK-20049"/>
    <d v="2026-07-22T12:14:00"/>
    <s v="Tier 1 Support"/>
    <x v="7"/>
    <x v="1"/>
    <x v="0"/>
    <x v="1"/>
    <x v="3"/>
    <n v="4"/>
    <x v="2"/>
    <d v="2026-07-22T19:15:00"/>
    <s v="No"/>
    <n v="5"/>
    <s v="Not Specified"/>
    <n v="7.0166666666627862"/>
    <x v="1"/>
  </r>
  <r>
    <s v="TCK-22643"/>
    <d v="2026-05-07T02:51:00"/>
    <s v="Technical Support"/>
    <x v="6"/>
    <x v="4"/>
    <x v="0"/>
    <x v="1"/>
    <x v="0"/>
    <n v="24"/>
    <x v="2"/>
    <d v="2026-05-07T07:52:00"/>
    <s v="No"/>
    <n v="1"/>
    <s v="Not Specified"/>
    <n v="5.0166666666045785"/>
    <x v="1"/>
  </r>
  <r>
    <s v="TCK-20062"/>
    <d v="2026-04-27T09:13:00"/>
    <s v="Billing Support"/>
    <x v="5"/>
    <x v="2"/>
    <x v="1"/>
    <x v="1"/>
    <x v="2"/>
    <n v="8"/>
    <x v="0"/>
    <d v="2026-04-28T06:39:00"/>
    <s v="No"/>
    <n v="5"/>
    <s v="Escalated To Senior Agent"/>
    <n v="21.433333333348855"/>
    <x v="2"/>
  </r>
  <r>
    <s v="TCK-22960"/>
    <d v="2026-03-27T23:03:00"/>
    <s v="Tier 1 Support"/>
    <x v="1"/>
    <x v="2"/>
    <x v="3"/>
    <x v="5"/>
    <x v="0"/>
    <n v="24"/>
    <x v="5"/>
    <s v="Missing Resolve Date"/>
    <s v="Yes"/>
    <m/>
    <s v="Not Specified"/>
    <s v=""/>
    <x v="1"/>
  </r>
  <r>
    <s v="TCK-20402"/>
    <d v="2026-07-04T16:00:00"/>
    <s v="Tier 1 Support"/>
    <x v="1"/>
    <x v="5"/>
    <x v="1"/>
    <x v="1"/>
    <x v="0"/>
    <n v="24"/>
    <x v="2"/>
    <d v="2026-07-05T04:03:00"/>
    <s v="No"/>
    <n v="5"/>
    <s v="Not Specified"/>
    <n v="12.049999999988358"/>
    <x v="1"/>
  </r>
  <r>
    <s v="TCK-22359"/>
    <d v="2026-05-20T03:44:00"/>
    <s v="Billing Support"/>
    <x v="5"/>
    <x v="1"/>
    <x v="1"/>
    <x v="0"/>
    <x v="3"/>
    <n v="4"/>
    <x v="0"/>
    <d v="2026-05-20T04:55:00"/>
    <s v="No"/>
    <n v="2"/>
    <s v="Escalated To Senior Agent"/>
    <n v="1.1833333333488554"/>
    <x v="0"/>
  </r>
  <r>
    <s v="TCK-20997"/>
    <d v="2026-05-16T22:15:00"/>
    <s v="Tier 1 Support"/>
    <x v="1"/>
    <x v="6"/>
    <x v="3"/>
    <x v="5"/>
    <x v="1"/>
    <n v="48"/>
    <x v="4"/>
    <s v="Missing Resolve Date"/>
    <s v="Yes"/>
    <m/>
    <s v="Technical Issue Resolved Remotely"/>
    <s v=""/>
    <x v="1"/>
  </r>
  <r>
    <s v="TCK-20531"/>
    <d v="2026-08-13T17:03:00"/>
    <s v="Billing Support"/>
    <x v="0"/>
    <x v="4"/>
    <x v="1"/>
    <x v="5"/>
    <x v="2"/>
    <n v="8"/>
    <x v="0"/>
    <d v="2026-08-13T23:26:00"/>
    <s v="No"/>
    <m/>
    <s v="Resolved On First Contact"/>
    <n v="6.3833333333604969"/>
    <x v="0"/>
  </r>
  <r>
    <s v="TCK-21744"/>
    <d v="2026-07-13T00:40:00"/>
    <s v="Tier 1 Support"/>
    <x v="1"/>
    <x v="0"/>
    <x v="1"/>
    <x v="0"/>
    <x v="0"/>
    <n v="24"/>
    <x v="0"/>
    <d v="2026-07-13T16:36:00"/>
    <s v="No"/>
    <n v="4"/>
    <s v="Customer Satisfied With Resolution"/>
    <n v="15.93333333323244"/>
    <x v="0"/>
  </r>
  <r>
    <s v="TCK-22788"/>
    <d v="2026-07-18T08:23:00"/>
    <s v="Tier 2 Support"/>
    <x v="3"/>
    <x v="3"/>
    <x v="1"/>
    <x v="5"/>
    <x v="0"/>
    <n v="24"/>
    <x v="2"/>
    <d v="2026-07-18T21:36:00"/>
    <s v="No"/>
    <n v="5"/>
    <s v="Customer Satisfied With Resolution"/>
    <n v="13.21666666661622"/>
    <x v="1"/>
  </r>
  <r>
    <s v="TCK-20328"/>
    <d v="2026-07-18T04:52:00"/>
    <s v="Billing Support"/>
    <x v="0"/>
    <x v="5"/>
    <x v="2"/>
    <x v="2"/>
    <x v="1"/>
    <n v="48"/>
    <x v="4"/>
    <s v="Missing Resolve Date"/>
    <s v="Yes"/>
    <m/>
    <s v="Customer Requested Refund"/>
    <s v=""/>
    <x v="1"/>
  </r>
  <r>
    <s v="TCK-21662"/>
    <d v="2026-07-18T21:02:00"/>
    <s v="Billing Support"/>
    <x v="0"/>
    <x v="1"/>
    <x v="2"/>
    <x v="1"/>
    <x v="1"/>
    <n v="48"/>
    <x v="2"/>
    <d v="2026-07-20T03:06:00"/>
    <s v="No"/>
    <n v="1"/>
    <s v="Technical Issue Resolved Remotely"/>
    <n v="30.066666666709352"/>
    <x v="1"/>
  </r>
  <r>
    <s v="TCK-20750"/>
    <d v="2026-08-09T17:20:00"/>
    <s v="Billing Support"/>
    <x v="0"/>
    <x v="5"/>
    <x v="3"/>
    <x v="1"/>
    <x v="1"/>
    <n v="48"/>
    <x v="0"/>
    <d v="2026-08-10T13:08:00"/>
    <s v="No"/>
    <n v="5"/>
    <s v="Repeat Issue From Same Customer"/>
    <n v="19.800000000104774"/>
    <x v="0"/>
  </r>
  <r>
    <s v="TCK-22007"/>
    <d v="2026-07-28T18:14:00"/>
    <s v="Billing Support"/>
    <x v="5"/>
    <x v="2"/>
    <x v="3"/>
    <x v="2"/>
    <x v="2"/>
    <n v="8"/>
    <x v="5"/>
    <s v="Missing Resolve Date"/>
    <s v="No"/>
    <m/>
    <s v="Customer Requested Refund"/>
    <s v=""/>
    <x v="1"/>
  </r>
  <r>
    <s v="TCK-20604"/>
    <d v="2026-01-27T10:38:00"/>
    <s v="Billing Support"/>
    <x v="5"/>
    <x v="1"/>
    <x v="0"/>
    <x v="5"/>
    <x v="2"/>
    <n v="8"/>
    <x v="4"/>
    <s v="Missing Resolve Date"/>
    <s v="Yes"/>
    <m/>
    <s v="Escalated To Senior Agent"/>
    <s v=""/>
    <x v="1"/>
  </r>
  <r>
    <s v="TCK-22972"/>
    <d v="2026-05-14T15:48:00"/>
    <s v="Billing Support"/>
    <x v="0"/>
    <x v="6"/>
    <x v="1"/>
    <x v="3"/>
    <x v="0"/>
    <n v="24"/>
    <x v="0"/>
    <d v="2026-05-14T23:12:00"/>
    <s v="No"/>
    <m/>
    <s v="Required Follow-Up Call"/>
    <n v="7.4000000000232831"/>
    <x v="0"/>
  </r>
  <r>
    <s v="TCK-23094"/>
    <d v="2026-03-12T14:21:00"/>
    <s v="Billing Support"/>
    <x v="0"/>
    <x v="3"/>
    <x v="3"/>
    <x v="2"/>
    <x v="1"/>
    <n v="48"/>
    <x v="0"/>
    <d v="2026-03-14T03:14:00"/>
    <s v="No"/>
    <n v="4"/>
    <s v="Not Specified"/>
    <n v="36.883333333418705"/>
    <x v="0"/>
  </r>
  <r>
    <s v="TCK-22920"/>
    <d v="2026-06-25T16:28:00"/>
    <s v="Tier 2 Support"/>
    <x v="3"/>
    <x v="6"/>
    <x v="2"/>
    <x v="1"/>
    <x v="0"/>
    <n v="24"/>
    <x v="0"/>
    <d v="2026-06-27T01:06:00"/>
    <s v="No"/>
    <n v="3"/>
    <s v="Technical Issue Resolved Remotely"/>
    <n v="32.633333333185874"/>
    <x v="2"/>
  </r>
  <r>
    <s v="TCK-21921"/>
    <d v="2026-07-07T15:12:00"/>
    <s v="Technical Support"/>
    <x v="4"/>
    <x v="1"/>
    <x v="2"/>
    <x v="4"/>
    <x v="2"/>
    <n v="8"/>
    <x v="0"/>
    <d v="2026-07-07T21:12:00"/>
    <s v="No"/>
    <n v="5"/>
    <s v="Escalated To Senior Agent"/>
    <n v="6"/>
    <x v="0"/>
  </r>
  <r>
    <s v="TCK-20432"/>
    <d v="2026-08-21T04:42:00"/>
    <s v="Billing Support"/>
    <x v="5"/>
    <x v="5"/>
    <x v="0"/>
    <x v="0"/>
    <x v="2"/>
    <n v="8"/>
    <x v="0"/>
    <d v="2026-08-21T08:21:00"/>
    <s v="No"/>
    <n v="5"/>
    <s v="Customer Satisfied With Resolution"/>
    <n v="3.6500000000232831"/>
    <x v="0"/>
  </r>
  <r>
    <s v="TCK-20658"/>
    <d v="2026-08-23T10:00:00"/>
    <s v="Tier 1 Support"/>
    <x v="7"/>
    <x v="1"/>
    <x v="3"/>
    <x v="3"/>
    <x v="0"/>
    <n v="24"/>
    <x v="0"/>
    <d v="2026-08-24T02:13:00"/>
    <s v="No"/>
    <n v="4"/>
    <s v="Customer Requested Refund"/>
    <n v="16.216666666790843"/>
    <x v="0"/>
  </r>
  <r>
    <s v="TCK-21943"/>
    <d v="2026-05-14T02:10:00"/>
    <s v="Billing Support"/>
    <x v="5"/>
    <x v="5"/>
    <x v="1"/>
    <x v="2"/>
    <x v="2"/>
    <n v="8"/>
    <x v="2"/>
    <d v="2026-05-14T08:01:00"/>
    <s v="No"/>
    <m/>
    <s v="Not Specified"/>
    <n v="5.8499999998603016"/>
    <x v="1"/>
  </r>
  <r>
    <s v="TCK-20778"/>
    <d v="2026-07-29T12:57:00"/>
    <s v="Technical Support"/>
    <x v="4"/>
    <x v="2"/>
    <x v="2"/>
    <x v="1"/>
    <x v="1"/>
    <n v="48"/>
    <x v="0"/>
    <d v="2026-07-30T21:59:00"/>
    <s v="No"/>
    <m/>
    <s v="Escalated To Senior Agent"/>
    <n v="33.033333333441988"/>
    <x v="0"/>
  </r>
  <r>
    <s v="TCK-23166"/>
    <d v="2026-08-24T20:26:00"/>
    <s v="Technical Support"/>
    <x v="4"/>
    <x v="3"/>
    <x v="3"/>
    <x v="2"/>
    <x v="0"/>
    <n v="24"/>
    <x v="2"/>
    <d v="2026-08-25T15:16:00"/>
    <s v="No"/>
    <n v="1"/>
    <s v="Resolved On First Contact"/>
    <n v="18.833333333255723"/>
    <x v="1"/>
  </r>
  <r>
    <s v="TCK-21218"/>
    <d v="2026-05-22T14:17:00"/>
    <s v="Billing Support"/>
    <x v="0"/>
    <x v="3"/>
    <x v="1"/>
    <x v="1"/>
    <x v="1"/>
    <n v="48"/>
    <x v="5"/>
    <s v="Missing Resolve Date"/>
    <s v="Yes"/>
    <m/>
    <s v="Awaiting Customer Response"/>
    <s v=""/>
    <x v="1"/>
  </r>
  <r>
    <s v="TCK-23005"/>
    <d v="2026-04-28T17:04:00"/>
    <s v="Tier 2 Support"/>
    <x v="3"/>
    <x v="3"/>
    <x v="2"/>
    <x v="3"/>
    <x v="0"/>
    <n v="24"/>
    <x v="0"/>
    <d v="2026-04-29T02:24:00"/>
    <s v="No"/>
    <n v="1"/>
    <s v="Not Specified"/>
    <n v="9.3333333333721384"/>
    <x v="0"/>
  </r>
  <r>
    <s v="TCK-21227"/>
    <d v="2026-07-14T14:45:00"/>
    <s v="Technical Support"/>
    <x v="6"/>
    <x v="3"/>
    <x v="2"/>
    <x v="3"/>
    <x v="0"/>
    <n v="24"/>
    <x v="2"/>
    <d v="2026-07-15T11:10:00"/>
    <s v="No"/>
    <m/>
    <s v="Awaiting Customer Response"/>
    <n v="20.416666666686069"/>
    <x v="1"/>
  </r>
  <r>
    <s v="TCK-22004"/>
    <d v="2026-01-22T16:29:00"/>
    <s v="Tier 1 Support"/>
    <x v="7"/>
    <x v="2"/>
    <x v="1"/>
    <x v="5"/>
    <x v="0"/>
    <n v="24"/>
    <x v="2"/>
    <d v="2026-01-23T04:54:00"/>
    <s v="Yes"/>
    <n v="4"/>
    <s v="Not Specified"/>
    <n v="12.416666666802485"/>
    <x v="1"/>
  </r>
  <r>
    <s v="TCK-22822"/>
    <d v="2026-01-26T07:32:00"/>
    <s v="Billing Support"/>
    <x v="0"/>
    <x v="1"/>
    <x v="0"/>
    <x v="5"/>
    <x v="0"/>
    <n v="24"/>
    <x v="2"/>
    <d v="2026-01-27T02:02:00"/>
    <s v="No"/>
    <n v="4"/>
    <s v="Customer Satisfied With Resolution"/>
    <n v="18.500000000058208"/>
    <x v="1"/>
  </r>
  <r>
    <s v="TCK-20045"/>
    <d v="2026-04-30T05:57:00"/>
    <s v="Technical Support"/>
    <x v="4"/>
    <x v="2"/>
    <x v="0"/>
    <x v="3"/>
    <x v="0"/>
    <n v="24"/>
    <x v="0"/>
    <d v="2026-04-30T20:26:00"/>
    <s v="Yes"/>
    <m/>
    <s v="Required Follow-Up Call"/>
    <n v="14.483333333395422"/>
    <x v="0"/>
  </r>
  <r>
    <s v="TCK-22653"/>
    <d v="2026-05-01T19:46:00"/>
    <s v="Billing Support"/>
    <x v="0"/>
    <x v="5"/>
    <x v="2"/>
    <x v="5"/>
    <x v="0"/>
    <n v="24"/>
    <x v="0"/>
    <d v="2026-05-03T20:55:00"/>
    <s v="No"/>
    <m/>
    <s v="Not Specified"/>
    <n v="49.150000000081491"/>
    <x v="2"/>
  </r>
  <r>
    <s v="TCK-20869"/>
    <d v="2026-05-08T21:58:00"/>
    <s v="Tier 1 Support"/>
    <x v="7"/>
    <x v="0"/>
    <x v="2"/>
    <x v="5"/>
    <x v="2"/>
    <n v="8"/>
    <x v="0"/>
    <d v="2026-05-09T02:36:00"/>
    <s v="No"/>
    <n v="5"/>
    <s v="Not Specified"/>
    <n v="4.6333333332440816"/>
    <x v="0"/>
  </r>
  <r>
    <s v="TCK-20124"/>
    <d v="2026-08-05T19:13:00"/>
    <s v="Tier 1 Support"/>
    <x v="1"/>
    <x v="4"/>
    <x v="2"/>
    <x v="3"/>
    <x v="3"/>
    <n v="4"/>
    <x v="2"/>
    <d v="2026-08-05T20:23:00"/>
    <s v="No"/>
    <m/>
    <s v="Escalated To Senior Agent"/>
    <n v="1.1666666668024845"/>
    <x v="1"/>
  </r>
  <r>
    <s v="TCK-21421"/>
    <d v="2026-05-09T11:28:00"/>
    <s v="Tier 1 Support"/>
    <x v="1"/>
    <x v="1"/>
    <x v="1"/>
    <x v="1"/>
    <x v="1"/>
    <n v="48"/>
    <x v="4"/>
    <s v="Missing Resolve Date"/>
    <s v="Yes"/>
    <m/>
    <s v="Resolved On First Contact"/>
    <s v=""/>
    <x v="1"/>
  </r>
  <r>
    <s v="TCK-20414"/>
    <d v="2026-07-26T13:19:00"/>
    <s v="Billing Support"/>
    <x v="0"/>
    <x v="5"/>
    <x v="3"/>
    <x v="3"/>
    <x v="1"/>
    <n v="48"/>
    <x v="2"/>
    <d v="2026-07-28T00:11:00"/>
    <s v="No"/>
    <m/>
    <s v="Not Specified"/>
    <n v="34.866666666814126"/>
    <x v="1"/>
  </r>
  <r>
    <s v="TCK-20526"/>
    <d v="2026-01-30T05:01:00"/>
    <s v="Tier 2 Support"/>
    <x v="2"/>
    <x v="1"/>
    <x v="0"/>
    <x v="4"/>
    <x v="0"/>
    <n v="24"/>
    <x v="0"/>
    <d v="2026-01-30T23:05:00"/>
    <s v="No"/>
    <n v="1"/>
    <s v="Escalated To Senior Agent"/>
    <n v="18.066666666709352"/>
    <x v="0"/>
  </r>
  <r>
    <s v="TCK-21042"/>
    <d v="2026-04-23T06:14:00"/>
    <s v="Tier 1 Support"/>
    <x v="1"/>
    <x v="4"/>
    <x v="0"/>
    <x v="2"/>
    <x v="1"/>
    <n v="48"/>
    <x v="2"/>
    <d v="2026-04-27T21:08:00"/>
    <s v="No"/>
    <m/>
    <s v="Awaiting Customer Response"/>
    <n v="110.90000000002328"/>
    <x v="1"/>
  </r>
  <r>
    <s v="TCK-23060"/>
    <d v="2026-01-31T22:53:00"/>
    <s v="Billing Support"/>
    <x v="0"/>
    <x v="1"/>
    <x v="0"/>
    <x v="4"/>
    <x v="1"/>
    <n v="48"/>
    <x v="5"/>
    <s v="Missing Resolve Date"/>
    <s v="Yes"/>
    <m/>
    <s v="Not Specified"/>
    <s v=""/>
    <x v="1"/>
  </r>
  <r>
    <s v="TCK-21747"/>
    <d v="2026-06-07T19:28:00"/>
    <s v="Technical Support"/>
    <x v="4"/>
    <x v="3"/>
    <x v="0"/>
    <x v="2"/>
    <x v="0"/>
    <n v="24"/>
    <x v="0"/>
    <d v="2026-06-08T13:43:00"/>
    <s v="No"/>
    <n v="3"/>
    <s v="Not Specified"/>
    <n v="18.249999999941792"/>
    <x v="0"/>
  </r>
  <r>
    <s v="TCK-20211"/>
    <d v="2026-06-01T14:23:00"/>
    <s v="Billing Support"/>
    <x v="0"/>
    <x v="3"/>
    <x v="0"/>
    <x v="3"/>
    <x v="0"/>
    <n v="24"/>
    <x v="4"/>
    <s v="Missing Resolve Date"/>
    <s v="Yes"/>
    <m/>
    <s v="Not Specified"/>
    <s v=""/>
    <x v="1"/>
  </r>
  <r>
    <s v="TCK-22722"/>
    <d v="2026-06-12T07:02:00"/>
    <s v="Tier 2 Support"/>
    <x v="2"/>
    <x v="2"/>
    <x v="3"/>
    <x v="5"/>
    <x v="2"/>
    <n v="8"/>
    <x v="0"/>
    <d v="2026-06-12T09:41:00"/>
    <s v="No"/>
    <n v="2"/>
    <s v="Customer Requested Refund"/>
    <n v="2.6499999999068677"/>
    <x v="0"/>
  </r>
  <r>
    <s v="TCK-20497"/>
    <d v="2026-02-06T10:31:00"/>
    <s v="Technical Support"/>
    <x v="4"/>
    <x v="1"/>
    <x v="3"/>
    <x v="5"/>
    <x v="1"/>
    <n v="48"/>
    <x v="4"/>
    <s v="Missing Resolve Date"/>
    <s v="Yes"/>
    <m/>
    <s v="Technical Issue Resolved Remotely"/>
    <s v=""/>
    <x v="1"/>
  </r>
  <r>
    <s v="TCK-21313"/>
    <d v="2026-02-03T11:05:00"/>
    <s v="Tier 2 Support"/>
    <x v="2"/>
    <x v="3"/>
    <x v="2"/>
    <x v="3"/>
    <x v="1"/>
    <n v="48"/>
    <x v="2"/>
    <d v="2026-02-03T17:11:00"/>
    <s v="No"/>
    <m/>
    <s v="Customer Satisfied With Resolution"/>
    <n v="6.0999999999767169"/>
    <x v="1"/>
  </r>
  <r>
    <s v="TCK-20771"/>
    <d v="2026-05-29T03:30:00"/>
    <s v="Tier 2 Support"/>
    <x v="3"/>
    <x v="0"/>
    <x v="0"/>
    <x v="2"/>
    <x v="0"/>
    <n v="24"/>
    <x v="0"/>
    <d v="2026-05-30T00:51:00"/>
    <s v="No"/>
    <m/>
    <s v="Customer Satisfied With Resolution"/>
    <n v="21.349999999918509"/>
    <x v="0"/>
  </r>
  <r>
    <s v="TCK-20876"/>
    <d v="2026-07-19T20:33:00"/>
    <s v="Billing Support"/>
    <x v="5"/>
    <x v="6"/>
    <x v="1"/>
    <x v="2"/>
    <x v="2"/>
    <n v="8"/>
    <x v="3"/>
    <d v="2026-07-20T02:41:00"/>
    <s v="No"/>
    <m/>
    <s v="Technical Issue Resolved Remotely"/>
    <n v="6.1333333334187046"/>
    <x v="1"/>
  </r>
  <r>
    <s v="TCK-21479"/>
    <d v="2026-06-19T03:51:00"/>
    <s v="Technical Support"/>
    <x v="4"/>
    <x v="0"/>
    <x v="1"/>
    <x v="3"/>
    <x v="1"/>
    <n v="48"/>
    <x v="5"/>
    <s v="Missing Resolve Date"/>
    <s v="No"/>
    <m/>
    <s v="Not Specified"/>
    <s v=""/>
    <x v="1"/>
  </r>
  <r>
    <s v="TCK-22987"/>
    <d v="2026-02-28T01:35:00"/>
    <s v="Tier 2 Support"/>
    <x v="2"/>
    <x v="6"/>
    <x v="1"/>
    <x v="0"/>
    <x v="0"/>
    <n v="24"/>
    <x v="0"/>
    <d v="2026-03-02T18:08:00"/>
    <s v="No"/>
    <m/>
    <s v="Not Specified"/>
    <n v="64.550000000162981"/>
    <x v="2"/>
  </r>
  <r>
    <s v="TCK-22533"/>
    <d v="2026-06-09T07:32:00"/>
    <s v="Technical Support"/>
    <x v="6"/>
    <x v="5"/>
    <x v="3"/>
    <x v="1"/>
    <x v="0"/>
    <n v="24"/>
    <x v="5"/>
    <s v="Missing Resolve Date"/>
    <s v="No"/>
    <m/>
    <s v="Not Specified"/>
    <s v=""/>
    <x v="1"/>
  </r>
  <r>
    <s v="TCK-21613"/>
    <d v="2026-05-15T08:42:00"/>
    <s v="Billing Support"/>
    <x v="5"/>
    <x v="0"/>
    <x v="0"/>
    <x v="1"/>
    <x v="3"/>
    <n v="4"/>
    <x v="0"/>
    <d v="2026-05-15T17:26:00"/>
    <s v="No"/>
    <n v="5"/>
    <s v="Resolved On First Contact"/>
    <n v="8.7333333333372138"/>
    <x v="2"/>
  </r>
  <r>
    <s v="TCK-21519"/>
    <d v="2026-03-08T12:34:00"/>
    <s v="Tier 2 Support"/>
    <x v="3"/>
    <x v="3"/>
    <x v="2"/>
    <x v="5"/>
    <x v="2"/>
    <n v="8"/>
    <x v="0"/>
    <d v="2026-03-08T14:00:00"/>
    <s v="No"/>
    <n v="5"/>
    <s v="Awaiting Customer Response"/>
    <n v="1.4333333334652707"/>
    <x v="0"/>
  </r>
  <r>
    <s v="TCK-21641"/>
    <d v="2026-08-10T00:21:00"/>
    <s v="Billing Support"/>
    <x v="0"/>
    <x v="5"/>
    <x v="0"/>
    <x v="3"/>
    <x v="1"/>
    <n v="48"/>
    <x v="2"/>
    <d v="2026-08-10T03:41:00"/>
    <s v="No"/>
    <n v="5"/>
    <s v="Required Follow-Up Call"/>
    <n v="3.3333333333721384"/>
    <x v="1"/>
  </r>
  <r>
    <s v="TCK-21198"/>
    <d v="2026-08-16T12:45:00"/>
    <s v="Tier 2 Support"/>
    <x v="3"/>
    <x v="6"/>
    <x v="1"/>
    <x v="5"/>
    <x v="3"/>
    <n v="4"/>
    <x v="3"/>
    <d v="2026-08-16T15:00:00"/>
    <s v="No"/>
    <m/>
    <s v="Technical Issue Resolved Remotely"/>
    <n v="2.25"/>
    <x v="1"/>
  </r>
  <r>
    <s v="TCK-23047"/>
    <d v="2026-05-16T23:33:00"/>
    <s v="Tier 1 Support"/>
    <x v="7"/>
    <x v="1"/>
    <x v="0"/>
    <x v="3"/>
    <x v="1"/>
    <n v="48"/>
    <x v="2"/>
    <d v="2026-05-18T06:58:00"/>
    <s v="No"/>
    <n v="4"/>
    <s v="Required Follow-Up Call"/>
    <n v="31.416666666744277"/>
    <x v="1"/>
  </r>
  <r>
    <s v="TCK-22881"/>
    <d v="2026-05-07T22:38:00"/>
    <s v="Tier 1 Support"/>
    <x v="7"/>
    <x v="5"/>
    <x v="0"/>
    <x v="1"/>
    <x v="0"/>
    <n v="24"/>
    <x v="1"/>
    <s v="Missing Resolve Date"/>
    <s v="No"/>
    <m/>
    <s v="Not Specified"/>
    <s v=""/>
    <x v="1"/>
  </r>
  <r>
    <s v="TCK-20877"/>
    <d v="2026-04-02T09:12:00"/>
    <s v="Technical Support"/>
    <x v="4"/>
    <x v="4"/>
    <x v="0"/>
    <x v="2"/>
    <x v="0"/>
    <n v="24"/>
    <x v="2"/>
    <d v="2026-04-03T02:08:00"/>
    <s v="No"/>
    <n v="5"/>
    <s v="Technical Issue Resolved Remotely"/>
    <n v="16.933333333348855"/>
    <x v="1"/>
  </r>
  <r>
    <s v="TCK-23002"/>
    <d v="2026-08-03T09:20:00"/>
    <s v="Tier 2 Support"/>
    <x v="3"/>
    <x v="0"/>
    <x v="1"/>
    <x v="4"/>
    <x v="0"/>
    <n v="24"/>
    <x v="0"/>
    <d v="2026-08-05T12:09:00"/>
    <s v="No"/>
    <n v="2"/>
    <s v="Resolved On First Contact"/>
    <n v="50.816666666592937"/>
    <x v="2"/>
  </r>
  <r>
    <s v="TCK-21560"/>
    <d v="2026-08-29T02:22:00"/>
    <s v="Technical Support"/>
    <x v="6"/>
    <x v="6"/>
    <x v="1"/>
    <x v="1"/>
    <x v="1"/>
    <n v="48"/>
    <x v="0"/>
    <d v="2026-08-30T14:40:00"/>
    <s v="No"/>
    <n v="3"/>
    <s v="Resolved On First Contact"/>
    <n v="36.299999999930151"/>
    <x v="0"/>
  </r>
  <r>
    <s v="TCK-20995"/>
    <d v="2026-07-07T12:06:00"/>
    <s v="Technical Support"/>
    <x v="6"/>
    <x v="4"/>
    <x v="1"/>
    <x v="2"/>
    <x v="1"/>
    <n v="48"/>
    <x v="2"/>
    <d v="2026-07-09T05:29:00"/>
    <s v="No"/>
    <m/>
    <s v="Required Follow-Up Call"/>
    <n v="41.383333333418705"/>
    <x v="1"/>
  </r>
  <r>
    <s v="TCK-20596"/>
    <d v="2026-08-08T05:37:00"/>
    <s v="Tier 1 Support"/>
    <x v="7"/>
    <x v="6"/>
    <x v="1"/>
    <x v="1"/>
    <x v="0"/>
    <n v="24"/>
    <x v="0"/>
    <d v="2026-08-08T14:55:00"/>
    <s v="No"/>
    <n v="5"/>
    <s v="Awaiting Customer Response"/>
    <n v="9.3000000001047738"/>
    <x v="0"/>
  </r>
  <r>
    <s v="TCK-20177"/>
    <d v="2026-04-26T15:01:00"/>
    <s v="Tier 2 Support"/>
    <x v="3"/>
    <x v="6"/>
    <x v="1"/>
    <x v="5"/>
    <x v="2"/>
    <n v="8"/>
    <x v="5"/>
    <s v="Missing Resolve Date"/>
    <s v="No"/>
    <m/>
    <s v="Technical Issue Resolved Remotely"/>
    <s v=""/>
    <x v="1"/>
  </r>
  <r>
    <s v="TCK-20360"/>
    <d v="2026-04-03T07:47:00"/>
    <s v="Technical Support"/>
    <x v="6"/>
    <x v="1"/>
    <x v="3"/>
    <x v="1"/>
    <x v="2"/>
    <n v="8"/>
    <x v="0"/>
    <d v="2026-04-03T09:23:00"/>
    <s v="Yes"/>
    <n v="2"/>
    <s v="Technical Issue Resolved Remotely"/>
    <n v="1.5999999999767169"/>
    <x v="0"/>
  </r>
  <r>
    <s v="TCK-22800"/>
    <d v="2026-05-31T16:16:00"/>
    <s v="Billing Support"/>
    <x v="0"/>
    <x v="0"/>
    <x v="3"/>
    <x v="4"/>
    <x v="0"/>
    <n v="24"/>
    <x v="0"/>
    <d v="2026-05-31T23:23:00"/>
    <s v="No"/>
    <m/>
    <s v="Awaiting Customer Response"/>
    <n v="7.1166666668141261"/>
    <x v="0"/>
  </r>
  <r>
    <s v="TCK-22067"/>
    <d v="2026-06-25T06:52:00"/>
    <s v="Tier 1 Support"/>
    <x v="7"/>
    <x v="4"/>
    <x v="3"/>
    <x v="1"/>
    <x v="1"/>
    <n v="48"/>
    <x v="0"/>
    <d v="2026-06-26T07:45:00"/>
    <s v="No"/>
    <n v="4"/>
    <s v="Repeat Issue From Same Customer"/>
    <n v="24.883333333244082"/>
    <x v="0"/>
  </r>
  <r>
    <s v="TCK-21094"/>
    <d v="2026-04-20T18:56:00"/>
    <s v="Billing Support"/>
    <x v="5"/>
    <x v="5"/>
    <x v="0"/>
    <x v="4"/>
    <x v="1"/>
    <n v="48"/>
    <x v="1"/>
    <s v="Missing Resolve Date"/>
    <s v="No"/>
    <m/>
    <s v="Awaiting Customer Response"/>
    <s v=""/>
    <x v="1"/>
  </r>
  <r>
    <s v="TCK-21045"/>
    <d v="2026-07-28T00:15:00"/>
    <s v="Billing Support"/>
    <x v="0"/>
    <x v="2"/>
    <x v="2"/>
    <x v="3"/>
    <x v="3"/>
    <n v="4"/>
    <x v="4"/>
    <s v="Missing Resolve Date"/>
    <s v="Yes"/>
    <m/>
    <s v="Resolved On First Contact"/>
    <s v=""/>
    <x v="1"/>
  </r>
  <r>
    <s v="TCK-22281"/>
    <d v="2026-05-10T15:33:00"/>
    <s v="Tier 2 Support"/>
    <x v="2"/>
    <x v="4"/>
    <x v="0"/>
    <x v="1"/>
    <x v="3"/>
    <n v="4"/>
    <x v="0"/>
    <d v="2026-05-10T16:08:00"/>
    <s v="No"/>
    <n v="1"/>
    <s v="Awaiting Customer Response"/>
    <n v="0.58333333331393078"/>
    <x v="0"/>
  </r>
  <r>
    <s v="TCK-21579"/>
    <d v="2026-08-04T08:29:00"/>
    <s v="Billing Support"/>
    <x v="5"/>
    <x v="5"/>
    <x v="3"/>
    <x v="0"/>
    <x v="1"/>
    <n v="48"/>
    <x v="2"/>
    <d v="2026-08-05T12:02:00"/>
    <s v="No"/>
    <n v="2"/>
    <s v="Not Specified"/>
    <n v="27.549999999871943"/>
    <x v="1"/>
  </r>
  <r>
    <s v="TCK-21196"/>
    <d v="2026-02-05T14:28:00"/>
    <s v="Technical Support"/>
    <x v="6"/>
    <x v="2"/>
    <x v="2"/>
    <x v="4"/>
    <x v="1"/>
    <n v="48"/>
    <x v="0"/>
    <d v="2026-02-11T06:25:00"/>
    <s v="No"/>
    <m/>
    <s v="Required Follow-Up Call"/>
    <n v="135.94999999995343"/>
    <x v="2"/>
  </r>
  <r>
    <s v="TCK-22998"/>
    <d v="2026-07-23T22:20:00"/>
    <s v="Tier 1 Support"/>
    <x v="7"/>
    <x v="6"/>
    <x v="0"/>
    <x v="2"/>
    <x v="0"/>
    <n v="24"/>
    <x v="0"/>
    <d v="2026-07-24T13:32:00"/>
    <s v="No"/>
    <n v="4"/>
    <s v="Awaiting Customer Response"/>
    <n v="15.199999999953434"/>
    <x v="0"/>
  </r>
  <r>
    <s v="TCK-21245"/>
    <d v="2026-02-19T18:30:00"/>
    <s v="Tier 2 Support"/>
    <x v="2"/>
    <x v="1"/>
    <x v="2"/>
    <x v="5"/>
    <x v="1"/>
    <n v="48"/>
    <x v="4"/>
    <s v="Missing Resolve Date"/>
    <s v="Yes"/>
    <m/>
    <s v="Not Specified"/>
    <s v=""/>
    <x v="1"/>
  </r>
  <r>
    <s v="TCK-22287"/>
    <d v="2026-06-29T17:51:00"/>
    <s v="Tier 1 Support"/>
    <x v="7"/>
    <x v="0"/>
    <x v="0"/>
    <x v="1"/>
    <x v="1"/>
    <n v="48"/>
    <x v="5"/>
    <s v="Missing Resolve Date"/>
    <s v="No"/>
    <m/>
    <s v="Required Follow-Up Call"/>
    <s v=""/>
    <x v="1"/>
  </r>
  <r>
    <s v="TCK-20697"/>
    <d v="2026-06-03T08:01:00"/>
    <s v="Tier 2 Support"/>
    <x v="2"/>
    <x v="1"/>
    <x v="0"/>
    <x v="5"/>
    <x v="0"/>
    <n v="24"/>
    <x v="4"/>
    <s v="Missing Resolve Date"/>
    <s v="Yes"/>
    <m/>
    <s v="Customer Requested Refund"/>
    <s v=""/>
    <x v="1"/>
  </r>
  <r>
    <s v="TCK-21866"/>
    <d v="2026-07-03T14:16:00"/>
    <s v="Technical Support"/>
    <x v="4"/>
    <x v="0"/>
    <x v="0"/>
    <x v="2"/>
    <x v="2"/>
    <n v="8"/>
    <x v="5"/>
    <s v="Missing Resolve Date"/>
    <s v="No"/>
    <m/>
    <s v="Required Follow-Up Call"/>
    <s v=""/>
    <x v="1"/>
  </r>
  <r>
    <s v="TCK-21286"/>
    <d v="2026-04-25T22:07:00"/>
    <s v="Technical Support"/>
    <x v="4"/>
    <x v="2"/>
    <x v="3"/>
    <x v="5"/>
    <x v="2"/>
    <n v="8"/>
    <x v="0"/>
    <d v="2026-04-25T23:57:00"/>
    <s v="No"/>
    <n v="2"/>
    <s v="Required Follow-Up Call"/>
    <n v="1.8333333333721384"/>
    <x v="0"/>
  </r>
  <r>
    <s v="TCK-21108"/>
    <d v="2026-03-04T02:03:00"/>
    <s v="Tier 2 Support"/>
    <x v="3"/>
    <x v="1"/>
    <x v="2"/>
    <x v="2"/>
    <x v="0"/>
    <n v="24"/>
    <x v="2"/>
    <d v="2026-03-04T06:39:00"/>
    <s v="No"/>
    <n v="4"/>
    <s v="Customer Satisfied With Resolution"/>
    <n v="4.5999999999767169"/>
    <x v="1"/>
  </r>
  <r>
    <s v="TCK-21450"/>
    <d v="2026-07-14T23:49:00"/>
    <s v="Tier 2 Support"/>
    <x v="2"/>
    <x v="2"/>
    <x v="3"/>
    <x v="4"/>
    <x v="2"/>
    <n v="8"/>
    <x v="5"/>
    <s v="Missing Resolve Date"/>
    <s v="No"/>
    <m/>
    <s v="Customer Requested Refund"/>
    <s v=""/>
    <x v="1"/>
  </r>
  <r>
    <s v="TCK-21590"/>
    <d v="2026-07-14T10:22:00"/>
    <s v="Tier 1 Support"/>
    <x v="7"/>
    <x v="5"/>
    <x v="3"/>
    <x v="2"/>
    <x v="2"/>
    <n v="8"/>
    <x v="2"/>
    <d v="2026-07-14T14:49:00"/>
    <s v="No"/>
    <n v="2"/>
    <s v="Not Specified"/>
    <n v="4.4500000000116415"/>
    <x v="1"/>
  </r>
  <r>
    <s v="TCK-20095"/>
    <d v="2026-05-23T21:17:00"/>
    <s v="Tier 2 Support"/>
    <x v="3"/>
    <x v="0"/>
    <x v="3"/>
    <x v="1"/>
    <x v="2"/>
    <n v="8"/>
    <x v="2"/>
    <d v="2026-05-23T23:03:00"/>
    <s v="No"/>
    <n v="3"/>
    <s v="Not Specified"/>
    <n v="1.7666666666627862"/>
    <x v="1"/>
  </r>
  <r>
    <s v="TCK-20052"/>
    <d v="2026-03-11T22:53:00"/>
    <s v="Technical Support"/>
    <x v="6"/>
    <x v="1"/>
    <x v="0"/>
    <x v="1"/>
    <x v="1"/>
    <n v="48"/>
    <x v="4"/>
    <s v="Missing Resolve Date"/>
    <s v="Yes"/>
    <m/>
    <s v="Customer Requested Refund"/>
    <s v=""/>
    <x v="1"/>
  </r>
  <r>
    <s v="TCK-23054"/>
    <d v="2026-05-10T03:43:00"/>
    <s v="Billing Support"/>
    <x v="5"/>
    <x v="4"/>
    <x v="0"/>
    <x v="0"/>
    <x v="0"/>
    <n v="24"/>
    <x v="1"/>
    <s v="Missing Resolve Date"/>
    <s v="No"/>
    <m/>
    <s v="Not Specified"/>
    <s v=""/>
    <x v="1"/>
  </r>
  <r>
    <s v="TCK-20011"/>
    <d v="2026-06-24T19:02:00"/>
    <s v="Billing Support"/>
    <x v="0"/>
    <x v="0"/>
    <x v="0"/>
    <x v="2"/>
    <x v="3"/>
    <n v="4"/>
    <x v="0"/>
    <d v="2026-06-24T20:15:00"/>
    <s v="No"/>
    <m/>
    <s v="Awaiting Customer Response"/>
    <n v="1.21666666661622"/>
    <x v="0"/>
  </r>
  <r>
    <s v="TCK-20928"/>
    <d v="2026-07-12T09:23:00"/>
    <s v="Tier 1 Support"/>
    <x v="1"/>
    <x v="1"/>
    <x v="3"/>
    <x v="4"/>
    <x v="1"/>
    <n v="48"/>
    <x v="4"/>
    <s v="Missing Resolve Date"/>
    <s v="Yes"/>
    <m/>
    <s v="Customer Requested Refund"/>
    <s v=""/>
    <x v="1"/>
  </r>
  <r>
    <s v="TCK-22466"/>
    <d v="2026-06-15T22:31:00"/>
    <s v="Tier 1 Support"/>
    <x v="7"/>
    <x v="0"/>
    <x v="0"/>
    <x v="1"/>
    <x v="0"/>
    <n v="24"/>
    <x v="0"/>
    <d v="2026-06-17T12:22:00"/>
    <s v="No"/>
    <m/>
    <s v="Customer Requested Refund"/>
    <n v="37.849999999918509"/>
    <x v="2"/>
  </r>
  <r>
    <s v="TCK-23182"/>
    <d v="2026-01-14T22:39:00"/>
    <s v="Billing Support"/>
    <x v="0"/>
    <x v="4"/>
    <x v="1"/>
    <x v="1"/>
    <x v="1"/>
    <n v="48"/>
    <x v="0"/>
    <d v="2026-01-15T13:06:00"/>
    <s v="No"/>
    <n v="5"/>
    <s v="Customer Satisfied With Resolution"/>
    <n v="14.449999999953434"/>
    <x v="0"/>
  </r>
  <r>
    <s v="TCK-20606"/>
    <d v="2026-03-15T14:22:00"/>
    <s v="Tier 2 Support"/>
    <x v="2"/>
    <x v="2"/>
    <x v="1"/>
    <x v="4"/>
    <x v="1"/>
    <n v="48"/>
    <x v="4"/>
    <s v="Missing Resolve Date"/>
    <s v="Yes"/>
    <m/>
    <s v="Repeat Issue From Same Customer"/>
    <s v=""/>
    <x v="1"/>
  </r>
  <r>
    <s v="TCK-22890"/>
    <d v="2026-02-02T11:42:00"/>
    <s v="Tier 1 Support"/>
    <x v="1"/>
    <x v="5"/>
    <x v="0"/>
    <x v="0"/>
    <x v="0"/>
    <n v="24"/>
    <x v="5"/>
    <s v="Missing Resolve Date"/>
    <s v="No"/>
    <m/>
    <s v="Repeat Issue From Same Customer"/>
    <s v=""/>
    <x v="1"/>
  </r>
  <r>
    <s v="TCK-22933"/>
    <d v="2026-01-18T09:48:00"/>
    <s v="Technical Support"/>
    <x v="6"/>
    <x v="1"/>
    <x v="2"/>
    <x v="5"/>
    <x v="2"/>
    <n v="8"/>
    <x v="2"/>
    <d v="2026-01-19T02:14:00"/>
    <s v="No"/>
    <n v="4"/>
    <s v="Required Follow-Up Call"/>
    <n v="16.433333333290648"/>
    <x v="1"/>
  </r>
  <r>
    <s v="TCK-20109"/>
    <d v="2026-07-27T12:35:00"/>
    <s v="Tier 1 Support"/>
    <x v="7"/>
    <x v="2"/>
    <x v="1"/>
    <x v="2"/>
    <x v="1"/>
    <n v="48"/>
    <x v="0"/>
    <d v="2026-07-28T02:55:00"/>
    <s v="No"/>
    <m/>
    <s v="Awaiting Customer Response"/>
    <n v="14.333333333430346"/>
    <x v="0"/>
  </r>
  <r>
    <s v="TCK-22747"/>
    <d v="2026-01-26T07:05:00"/>
    <s v="Tier 1 Support"/>
    <x v="1"/>
    <x v="4"/>
    <x v="1"/>
    <x v="5"/>
    <x v="0"/>
    <n v="24"/>
    <x v="3"/>
    <d v="2026-01-26T17:30:00"/>
    <s v="No"/>
    <m/>
    <s v="Customer Requested Refund"/>
    <n v="10.416666666569654"/>
    <x v="1"/>
  </r>
  <r>
    <s v="TCK-22162"/>
    <d v="2026-08-16T06:41:00"/>
    <s v="Billing Support"/>
    <x v="5"/>
    <x v="0"/>
    <x v="0"/>
    <x v="0"/>
    <x v="0"/>
    <n v="24"/>
    <x v="1"/>
    <s v="Missing Resolve Date"/>
    <s v="No"/>
    <m/>
    <s v="Not Specified"/>
    <s v=""/>
    <x v="1"/>
  </r>
  <r>
    <s v="TCK-21306"/>
    <d v="2026-02-21T01:40:00"/>
    <s v="Tier 1 Support"/>
    <x v="1"/>
    <x v="1"/>
    <x v="0"/>
    <x v="4"/>
    <x v="0"/>
    <n v="24"/>
    <x v="4"/>
    <s v="Missing Resolve Date"/>
    <s v="Yes"/>
    <m/>
    <s v="Technical Issue Resolved Remotely"/>
    <s v=""/>
    <x v="1"/>
  </r>
  <r>
    <s v="TCK-21068"/>
    <d v="2026-06-13T23:01:00"/>
    <s v="Tier 2 Support"/>
    <x v="2"/>
    <x v="3"/>
    <x v="1"/>
    <x v="2"/>
    <x v="0"/>
    <n v="24"/>
    <x v="0"/>
    <d v="2026-06-14T18:09:00"/>
    <s v="No"/>
    <n v="4"/>
    <s v="Required Follow-Up Call"/>
    <n v="19.133333333360497"/>
    <x v="0"/>
  </r>
  <r>
    <s v="TCK-21855"/>
    <d v="2026-05-31T09:22:00"/>
    <s v="Technical Support"/>
    <x v="6"/>
    <x v="1"/>
    <x v="1"/>
    <x v="4"/>
    <x v="0"/>
    <n v="24"/>
    <x v="0"/>
    <d v="2026-06-01T02:28:00"/>
    <s v="No"/>
    <n v="2"/>
    <s v="Technical Issue Resolved Remotely"/>
    <n v="17.100000000034925"/>
    <x v="0"/>
  </r>
  <r>
    <s v="TCK-21129"/>
    <d v="2026-03-23T20:46:00"/>
    <s v="Billing Support"/>
    <x v="0"/>
    <x v="0"/>
    <x v="0"/>
    <x v="0"/>
    <x v="0"/>
    <n v="24"/>
    <x v="1"/>
    <s v="Missing Resolve Date"/>
    <s v="No"/>
    <m/>
    <s v="Customer Requested Refund"/>
    <s v=""/>
    <x v="1"/>
  </r>
  <r>
    <s v="TCK-20333"/>
    <d v="2026-02-12T02:41:00"/>
    <s v="Tier 1 Support"/>
    <x v="7"/>
    <x v="3"/>
    <x v="2"/>
    <x v="0"/>
    <x v="3"/>
    <n v="4"/>
    <x v="0"/>
    <d v="2026-02-12T05:09:00"/>
    <s v="No"/>
    <n v="4"/>
    <s v="Technical Issue Resolved Remotely"/>
    <n v="2.4666666666744277"/>
    <x v="0"/>
  </r>
  <r>
    <s v="TCK-21633"/>
    <d v="2026-08-11T12:33:00"/>
    <s v="Tier 1 Support"/>
    <x v="7"/>
    <x v="5"/>
    <x v="0"/>
    <x v="2"/>
    <x v="1"/>
    <n v="48"/>
    <x v="2"/>
    <d v="2026-08-12T18:57:00"/>
    <s v="No"/>
    <n v="3"/>
    <s v="Repeat Issue From Same Customer"/>
    <n v="30.399999999906868"/>
    <x v="1"/>
  </r>
  <r>
    <s v="TCK-22843"/>
    <d v="2026-01-03T13:36:00"/>
    <s v="Billing Support"/>
    <x v="5"/>
    <x v="4"/>
    <x v="2"/>
    <x v="0"/>
    <x v="3"/>
    <n v="4"/>
    <x v="0"/>
    <d v="2026-01-03T15:42:00"/>
    <s v="No"/>
    <m/>
    <s v="Customer Satisfied With Resolution"/>
    <n v="2.1000000000349246"/>
    <x v="0"/>
  </r>
  <r>
    <s v="TCK-21369"/>
    <d v="2026-02-08T16:30:00"/>
    <s v="Tier 1 Support"/>
    <x v="1"/>
    <x v="6"/>
    <x v="0"/>
    <x v="3"/>
    <x v="3"/>
    <n v="4"/>
    <x v="0"/>
    <d v="2026-02-09T00:54:00"/>
    <s v="No"/>
    <m/>
    <s v="Required Follow-Up Call"/>
    <n v="8.3999999999650754"/>
    <x v="2"/>
  </r>
  <r>
    <s v="TCK-22347"/>
    <d v="2026-05-25T07:46:00"/>
    <s v="Technical Support"/>
    <x v="6"/>
    <x v="3"/>
    <x v="1"/>
    <x v="5"/>
    <x v="3"/>
    <n v="4"/>
    <x v="0"/>
    <d v="2026-05-25T16:19:00"/>
    <s v="No"/>
    <m/>
    <s v="Resolved On First Contact"/>
    <n v="8.5499999999301508"/>
    <x v="2"/>
  </r>
  <r>
    <s v="TCK-23034"/>
    <d v="2026-04-14T18:12:00"/>
    <s v="Technical Support"/>
    <x v="4"/>
    <x v="1"/>
    <x v="0"/>
    <x v="4"/>
    <x v="1"/>
    <n v="48"/>
    <x v="0"/>
    <d v="2026-04-19T23:58:00"/>
    <s v="No"/>
    <n v="4"/>
    <s v="Repeat Issue From Same Customer"/>
    <n v="125.7666666667792"/>
    <x v="2"/>
  </r>
  <r>
    <s v="TCK-22385"/>
    <d v="2026-04-06T20:42:00"/>
    <s v="Technical Support"/>
    <x v="4"/>
    <x v="6"/>
    <x v="3"/>
    <x v="0"/>
    <x v="2"/>
    <n v="8"/>
    <x v="5"/>
    <s v="Missing Resolve Date"/>
    <s v="No"/>
    <m/>
    <s v="Technical Issue Resolved Remotely"/>
    <s v=""/>
    <x v="1"/>
  </r>
  <r>
    <s v="TCK-21296"/>
    <d v="2026-03-29T02:41:00"/>
    <s v="Technical Support"/>
    <x v="6"/>
    <x v="5"/>
    <x v="1"/>
    <x v="0"/>
    <x v="1"/>
    <n v="48"/>
    <x v="0"/>
    <d v="2026-04-01T19:09:00"/>
    <s v="No"/>
    <n v="4"/>
    <s v="Customer Satisfied With Resolution"/>
    <n v="88.466666666732635"/>
    <x v="2"/>
  </r>
  <r>
    <s v="TCK-21326"/>
    <d v="2026-07-11T07:03:00"/>
    <s v="Technical Support"/>
    <x v="6"/>
    <x v="2"/>
    <x v="3"/>
    <x v="3"/>
    <x v="0"/>
    <n v="24"/>
    <x v="3"/>
    <d v="2026-07-11T16:34:00"/>
    <s v="No"/>
    <m/>
    <s v="Awaiting Customer Response"/>
    <n v="9.5166666667792015"/>
    <x v="1"/>
  </r>
  <r>
    <s v="TCK-22308"/>
    <d v="2026-07-20T07:00:00"/>
    <s v="Technical Support"/>
    <x v="4"/>
    <x v="0"/>
    <x v="1"/>
    <x v="5"/>
    <x v="0"/>
    <n v="24"/>
    <x v="3"/>
    <d v="2026-07-21T13:06:00"/>
    <s v="No"/>
    <m/>
    <s v="Not Specified"/>
    <n v="30.099999999976717"/>
    <x v="1"/>
  </r>
  <r>
    <s v="TCK-21267"/>
    <d v="2026-02-19T04:04:00"/>
    <s v="Technical Support"/>
    <x v="6"/>
    <x v="1"/>
    <x v="0"/>
    <x v="0"/>
    <x v="0"/>
    <n v="24"/>
    <x v="0"/>
    <d v="2026-02-19T19:09:00"/>
    <s v="No"/>
    <m/>
    <s v="Not Specified"/>
    <n v="15.083333333430346"/>
    <x v="0"/>
  </r>
  <r>
    <s v="TCK-22836"/>
    <d v="2026-03-11T19:11:00"/>
    <s v="Tier 1 Support"/>
    <x v="1"/>
    <x v="3"/>
    <x v="2"/>
    <x v="5"/>
    <x v="1"/>
    <n v="48"/>
    <x v="0"/>
    <d v="2026-03-13T00:23:00"/>
    <s v="No"/>
    <m/>
    <s v="Repeat Issue From Same Customer"/>
    <n v="29.200000000011642"/>
    <x v="0"/>
  </r>
  <r>
    <s v="TCK-21801"/>
    <d v="2026-08-20T11:38:00"/>
    <s v="Technical Support"/>
    <x v="6"/>
    <x v="2"/>
    <x v="3"/>
    <x v="3"/>
    <x v="0"/>
    <n v="24"/>
    <x v="0"/>
    <d v="2026-08-20T13:15:00"/>
    <s v="No"/>
    <n v="5"/>
    <s v="Resolved On First Contact"/>
    <n v="1.6166666666977108"/>
    <x v="0"/>
  </r>
  <r>
    <s v="TCK-20536"/>
    <d v="2026-08-19T05:25:00"/>
    <s v="Tier 1 Support"/>
    <x v="1"/>
    <x v="3"/>
    <x v="1"/>
    <x v="3"/>
    <x v="0"/>
    <n v="24"/>
    <x v="1"/>
    <s v="Missing Resolve Date"/>
    <s v="No"/>
    <m/>
    <s v="Customer Satisfied With Resolution"/>
    <s v=""/>
    <x v="1"/>
  </r>
  <r>
    <s v="TCK-22894"/>
    <d v="2026-01-09T12:49:00"/>
    <s v="Billing Support"/>
    <x v="5"/>
    <x v="5"/>
    <x v="2"/>
    <x v="4"/>
    <x v="0"/>
    <n v="24"/>
    <x v="2"/>
    <d v="2026-01-09T22:27:00"/>
    <s v="No"/>
    <n v="2"/>
    <s v="Not Specified"/>
    <n v="9.6333333333022892"/>
    <x v="1"/>
  </r>
  <r>
    <s v="TCK-22119"/>
    <d v="2026-03-02T18:56:00"/>
    <s v="Technical Support"/>
    <x v="4"/>
    <x v="5"/>
    <x v="2"/>
    <x v="4"/>
    <x v="3"/>
    <n v="4"/>
    <x v="4"/>
    <s v="Missing Resolve Date"/>
    <s v="Yes"/>
    <m/>
    <s v="Required Follow-Up Call"/>
    <s v=""/>
    <x v="1"/>
  </r>
  <r>
    <s v="TCK-21126"/>
    <d v="2026-03-19T22:41:00"/>
    <s v="Technical Support"/>
    <x v="6"/>
    <x v="0"/>
    <x v="0"/>
    <x v="1"/>
    <x v="2"/>
    <n v="8"/>
    <x v="2"/>
    <d v="2026-03-20T00:56:00"/>
    <s v="No"/>
    <m/>
    <s v="Technical Issue Resolved Remotely"/>
    <n v="2.25"/>
    <x v="1"/>
  </r>
  <r>
    <s v="TCK-20669"/>
    <d v="2026-04-21T06:18:00"/>
    <s v="Technical Support"/>
    <x v="6"/>
    <x v="3"/>
    <x v="3"/>
    <x v="1"/>
    <x v="0"/>
    <n v="24"/>
    <x v="0"/>
    <d v="2026-04-22T08:49:00"/>
    <s v="No"/>
    <n v="3"/>
    <s v="Escalated To Senior Agent"/>
    <n v="26.516666666662786"/>
    <x v="2"/>
  </r>
  <r>
    <s v="TCK-21204"/>
    <d v="2026-08-22T21:58:00"/>
    <s v="Billing Support"/>
    <x v="5"/>
    <x v="2"/>
    <x v="1"/>
    <x v="0"/>
    <x v="2"/>
    <n v="8"/>
    <x v="2"/>
    <d v="2026-08-23T00:40:00"/>
    <s v="No"/>
    <n v="5"/>
    <s v="Awaiting Customer Response"/>
    <n v="2.7000000000698492"/>
    <x v="1"/>
  </r>
  <r>
    <s v="TCK-23161"/>
    <d v="2026-02-24T06:20:00"/>
    <s v="Technical Support"/>
    <x v="4"/>
    <x v="5"/>
    <x v="0"/>
    <x v="0"/>
    <x v="0"/>
    <n v="24"/>
    <x v="0"/>
    <d v="2026-02-24T22:35:00"/>
    <s v="No"/>
    <m/>
    <s v="Customer Satisfied With Resolution"/>
    <n v="16.249999999883585"/>
    <x v="0"/>
  </r>
  <r>
    <s v="TCK-20857"/>
    <d v="2026-02-05T02:21:00"/>
    <s v="Technical Support"/>
    <x v="4"/>
    <x v="2"/>
    <x v="0"/>
    <x v="1"/>
    <x v="3"/>
    <n v="4"/>
    <x v="0"/>
    <d v="2026-02-05T03:48:00"/>
    <s v="Yes"/>
    <n v="3"/>
    <s v="Awaiting Customer Response"/>
    <n v="1.4500000000116415"/>
    <x v="0"/>
  </r>
  <r>
    <s v="TCK-20422"/>
    <d v="2026-02-28T13:47:00"/>
    <s v="Technical Support"/>
    <x v="4"/>
    <x v="6"/>
    <x v="0"/>
    <x v="3"/>
    <x v="1"/>
    <n v="48"/>
    <x v="5"/>
    <s v="Missing Resolve Date"/>
    <s v="No"/>
    <m/>
    <s v="Customer Requested Refund"/>
    <s v=""/>
    <x v="1"/>
  </r>
  <r>
    <s v="TCK-20787"/>
    <d v="2026-05-23T02:03:00"/>
    <s v="Tier 2 Support"/>
    <x v="2"/>
    <x v="4"/>
    <x v="1"/>
    <x v="0"/>
    <x v="0"/>
    <n v="24"/>
    <x v="1"/>
    <s v="Missing Resolve Date"/>
    <s v="No"/>
    <m/>
    <s v="Awaiting Customer Response"/>
    <s v=""/>
    <x v="1"/>
  </r>
  <r>
    <s v="TCK-23160"/>
    <d v="2026-08-20T11:48:00"/>
    <s v="Billing Support"/>
    <x v="5"/>
    <x v="3"/>
    <x v="0"/>
    <x v="4"/>
    <x v="3"/>
    <n v="4"/>
    <x v="1"/>
    <s v="Missing Resolve Date"/>
    <s v="No"/>
    <m/>
    <s v="Escalated To Senior Agent"/>
    <s v=""/>
    <x v="1"/>
  </r>
  <r>
    <s v="TCK-20118"/>
    <d v="2026-06-14T06:17:00"/>
    <s v="Tier 2 Support"/>
    <x v="2"/>
    <x v="5"/>
    <x v="1"/>
    <x v="1"/>
    <x v="0"/>
    <n v="24"/>
    <x v="2"/>
    <d v="2026-06-14T15:07:00"/>
    <s v="No"/>
    <n v="4"/>
    <s v="Required Follow-Up Call"/>
    <n v="8.8333333333139308"/>
    <x v="1"/>
  </r>
  <r>
    <s v="TCK-20791"/>
    <d v="2026-06-13T10:10:00"/>
    <s v="Tier 2 Support"/>
    <x v="3"/>
    <x v="5"/>
    <x v="1"/>
    <x v="2"/>
    <x v="1"/>
    <n v="48"/>
    <x v="0"/>
    <d v="2026-06-13T17:03:00"/>
    <s v="No"/>
    <n v="4"/>
    <s v="Customer Satisfied With Resolution"/>
    <n v="6.8833333334187046"/>
    <x v="0"/>
  </r>
  <r>
    <s v="TCK-20998"/>
    <d v="2026-08-12T04:51:00"/>
    <s v="Tier 2 Support"/>
    <x v="3"/>
    <x v="2"/>
    <x v="0"/>
    <x v="5"/>
    <x v="1"/>
    <n v="48"/>
    <x v="4"/>
    <s v="Missing Resolve Date"/>
    <s v="Yes"/>
    <m/>
    <s v="Awaiting Customer Response"/>
    <s v=""/>
    <x v="1"/>
  </r>
  <r>
    <s v="TCK-20691"/>
    <d v="2026-02-18T09:49:00"/>
    <s v="Technical Support"/>
    <x v="6"/>
    <x v="3"/>
    <x v="1"/>
    <x v="2"/>
    <x v="0"/>
    <n v="24"/>
    <x v="0"/>
    <d v="2026-02-18T16:52:00"/>
    <s v="No"/>
    <n v="5"/>
    <s v="Technical Issue Resolved Remotely"/>
    <n v="7.0499999999301508"/>
    <x v="0"/>
  </r>
  <r>
    <s v="TCK-23098"/>
    <d v="2026-07-07T13:25:00"/>
    <s v="Technical Support"/>
    <x v="6"/>
    <x v="3"/>
    <x v="3"/>
    <x v="1"/>
    <x v="0"/>
    <n v="24"/>
    <x v="0"/>
    <d v="2026-07-08T03:29:00"/>
    <s v="No"/>
    <n v="3"/>
    <s v="Not Specified"/>
    <n v="14.066666666592937"/>
    <x v="0"/>
  </r>
  <r>
    <s v="TCK-20051"/>
    <d v="2026-03-03T01:06:00"/>
    <s v="Tier 1 Support"/>
    <x v="1"/>
    <x v="0"/>
    <x v="2"/>
    <x v="0"/>
    <x v="0"/>
    <n v="24"/>
    <x v="4"/>
    <s v="Missing Resolve Date"/>
    <s v="Yes"/>
    <m/>
    <s v="Customer Requested Refund"/>
    <s v=""/>
    <x v="1"/>
  </r>
  <r>
    <s v="TCK-22742"/>
    <d v="2026-02-26T21:58:00"/>
    <s v="Tier 2 Support"/>
    <x v="2"/>
    <x v="5"/>
    <x v="1"/>
    <x v="5"/>
    <x v="2"/>
    <n v="8"/>
    <x v="0"/>
    <d v="2026-02-26T23:12:00"/>
    <s v="No"/>
    <n v="5"/>
    <s v="Escalated To Senior Agent"/>
    <n v="1.2333333333372138"/>
    <x v="0"/>
  </r>
  <r>
    <s v="TCK-22821"/>
    <d v="2026-05-16T23:06:00"/>
    <s v="Tier 1 Support"/>
    <x v="1"/>
    <x v="2"/>
    <x v="0"/>
    <x v="3"/>
    <x v="1"/>
    <n v="48"/>
    <x v="2"/>
    <d v="2026-05-17T21:22:00"/>
    <s v="No"/>
    <m/>
    <s v="Customer Satisfied With Resolution"/>
    <n v="22.266666666604578"/>
    <x v="1"/>
  </r>
  <r>
    <s v="TCK-22207"/>
    <d v="2026-02-08T09:02:00"/>
    <s v="Technical Support"/>
    <x v="4"/>
    <x v="0"/>
    <x v="2"/>
    <x v="5"/>
    <x v="3"/>
    <n v="4"/>
    <x v="2"/>
    <d v="2026-02-08T12:34:00"/>
    <s v="No"/>
    <n v="5"/>
    <s v="Not Specified"/>
    <n v="3.5333333333255723"/>
    <x v="1"/>
  </r>
  <r>
    <s v="TCK-21682"/>
    <d v="2026-08-06T00:04:00"/>
    <s v="Technical Support"/>
    <x v="4"/>
    <x v="4"/>
    <x v="3"/>
    <x v="0"/>
    <x v="2"/>
    <n v="8"/>
    <x v="5"/>
    <s v="Missing Resolve Date"/>
    <s v="No"/>
    <m/>
    <s v="Technical Issue Resolved Remotely"/>
    <s v=""/>
    <x v="1"/>
  </r>
  <r>
    <s v="TCK-21867"/>
    <d v="2026-07-28T18:57:00"/>
    <s v="Tier 1 Support"/>
    <x v="7"/>
    <x v="3"/>
    <x v="2"/>
    <x v="5"/>
    <x v="1"/>
    <n v="48"/>
    <x v="4"/>
    <s v="Missing Resolve Date"/>
    <s v="Yes"/>
    <m/>
    <s v="Not Specified"/>
    <s v=""/>
    <x v="1"/>
  </r>
  <r>
    <s v="TCK-21112"/>
    <d v="2026-08-09T19:10:00"/>
    <s v="Tier 1 Support"/>
    <x v="7"/>
    <x v="0"/>
    <x v="2"/>
    <x v="1"/>
    <x v="1"/>
    <n v="48"/>
    <x v="0"/>
    <d v="2026-08-14T12:32:00"/>
    <s v="No"/>
    <m/>
    <s v="Escalated To Senior Agent"/>
    <n v="113.36666666669771"/>
    <x v="2"/>
  </r>
  <r>
    <s v="TCK-22033"/>
    <d v="2026-05-02T18:46:00"/>
    <s v="Tier 2 Support"/>
    <x v="2"/>
    <x v="1"/>
    <x v="1"/>
    <x v="4"/>
    <x v="1"/>
    <n v="48"/>
    <x v="1"/>
    <s v="Missing Resolve Date"/>
    <s v="No"/>
    <m/>
    <s v="Not Specified"/>
    <s v=""/>
    <x v="1"/>
  </r>
  <r>
    <s v="TCK-21561"/>
    <d v="2026-04-05T06:14:00"/>
    <s v="Billing Support"/>
    <x v="0"/>
    <x v="4"/>
    <x v="1"/>
    <x v="0"/>
    <x v="0"/>
    <n v="24"/>
    <x v="0"/>
    <d v="2026-04-08T03:42:00"/>
    <s v="Yes"/>
    <n v="5"/>
    <s v="Resolved On First Contact"/>
    <n v="69.46666666661622"/>
    <x v="2"/>
  </r>
  <r>
    <s v="TCK-21463"/>
    <d v="2026-06-17T02:18:00"/>
    <s v="Tier 1 Support"/>
    <x v="1"/>
    <x v="5"/>
    <x v="3"/>
    <x v="0"/>
    <x v="2"/>
    <n v="8"/>
    <x v="2"/>
    <s v="Missing Resolve Date"/>
    <s v="No"/>
    <n v="3"/>
    <s v="Resolved On First Contact"/>
    <s v=""/>
    <x v="1"/>
  </r>
  <r>
    <s v="TCK-22216"/>
    <d v="2026-01-10T01:56:00"/>
    <s v="Billing Support"/>
    <x v="5"/>
    <x v="4"/>
    <x v="2"/>
    <x v="1"/>
    <x v="2"/>
    <n v="8"/>
    <x v="4"/>
    <s v="Missing Resolve Date"/>
    <s v="Yes"/>
    <m/>
    <s v="Awaiting Customer Response"/>
    <s v=""/>
    <x v="1"/>
  </r>
  <r>
    <s v="TCK-22367"/>
    <d v="2026-02-17T16:44:00"/>
    <s v="Tier 2 Support"/>
    <x v="3"/>
    <x v="2"/>
    <x v="3"/>
    <x v="0"/>
    <x v="0"/>
    <n v="24"/>
    <x v="2"/>
    <d v="2026-02-17T19:50:00"/>
    <s v="No"/>
    <m/>
    <s v="Escalated To Senior Agent"/>
    <n v="3.0999999999767169"/>
    <x v="1"/>
  </r>
  <r>
    <s v="TCK-20082"/>
    <d v="2026-04-08T20:27:00"/>
    <s v="Tier 1 Support"/>
    <x v="7"/>
    <x v="1"/>
    <x v="3"/>
    <x v="0"/>
    <x v="1"/>
    <n v="48"/>
    <x v="2"/>
    <d v="2026-04-10T14:11:00"/>
    <s v="No"/>
    <n v="1"/>
    <s v="Customer Requested Refund"/>
    <n v="41.733333333337214"/>
    <x v="1"/>
  </r>
  <r>
    <s v="TCK-20340"/>
    <d v="2026-03-06T16:54:00"/>
    <s v="Technical Support"/>
    <x v="6"/>
    <x v="3"/>
    <x v="0"/>
    <x v="4"/>
    <x v="0"/>
    <n v="24"/>
    <x v="0"/>
    <d v="2026-03-07T07:06:00"/>
    <s v="No"/>
    <m/>
    <s v="Required Follow-Up Call"/>
    <n v="14.199999999837019"/>
    <x v="0"/>
  </r>
  <r>
    <s v="TCK-22928"/>
    <d v="2026-04-10T18:59:00"/>
    <s v="Technical Support"/>
    <x v="4"/>
    <x v="1"/>
    <x v="1"/>
    <x v="3"/>
    <x v="1"/>
    <n v="48"/>
    <x v="5"/>
    <s v="Missing Resolve Date"/>
    <s v="Yes"/>
    <m/>
    <s v="Not Specified"/>
    <s v=""/>
    <x v="1"/>
  </r>
  <r>
    <s v="TCK-22353"/>
    <d v="2026-03-09T20:30:00"/>
    <s v="Tier 1 Support"/>
    <x v="7"/>
    <x v="4"/>
    <x v="0"/>
    <x v="5"/>
    <x v="2"/>
    <n v="8"/>
    <x v="0"/>
    <s v="Missing Resolve Date"/>
    <s v="No"/>
    <n v="2"/>
    <s v="Customer Requested Refund"/>
    <s v=""/>
    <x v="2"/>
  </r>
  <r>
    <s v="TCK-22848"/>
    <d v="2026-08-11T23:30:00"/>
    <s v="Technical Support"/>
    <x v="6"/>
    <x v="5"/>
    <x v="1"/>
    <x v="3"/>
    <x v="3"/>
    <n v="4"/>
    <x v="3"/>
    <d v="2026-08-12T00:59:00"/>
    <s v="No"/>
    <m/>
    <s v="Awaiting Customer Response"/>
    <n v="1.4833333334536292"/>
    <x v="1"/>
  </r>
  <r>
    <s v="TCK-21116"/>
    <d v="2026-02-04T01:13:00"/>
    <s v="Billing Support"/>
    <x v="5"/>
    <x v="2"/>
    <x v="0"/>
    <x v="2"/>
    <x v="3"/>
    <n v="4"/>
    <x v="0"/>
    <d v="2026-02-04T11:08:00"/>
    <s v="Yes"/>
    <n v="1"/>
    <s v="Technical Issue Resolved Remotely"/>
    <n v="9.9166666666860692"/>
    <x v="2"/>
  </r>
  <r>
    <s v="TCK-21404"/>
    <d v="2026-07-11T16:26:00"/>
    <s v="Billing Support"/>
    <x v="5"/>
    <x v="1"/>
    <x v="3"/>
    <x v="1"/>
    <x v="1"/>
    <n v="48"/>
    <x v="5"/>
    <s v="Missing Resolve Date"/>
    <s v="No"/>
    <m/>
    <s v="Not Specified"/>
    <s v=""/>
    <x v="1"/>
  </r>
  <r>
    <s v="TCK-20780"/>
    <d v="2026-07-27T03:23:00"/>
    <s v="Technical Support"/>
    <x v="6"/>
    <x v="6"/>
    <x v="0"/>
    <x v="3"/>
    <x v="1"/>
    <n v="48"/>
    <x v="4"/>
    <s v="Missing Resolve Date"/>
    <s v="Yes"/>
    <m/>
    <s v="Not Specified"/>
    <s v=""/>
    <x v="1"/>
  </r>
  <r>
    <s v="TCK-23138"/>
    <d v="2026-08-06T03:12:00"/>
    <s v="Technical Support"/>
    <x v="6"/>
    <x v="3"/>
    <x v="0"/>
    <x v="5"/>
    <x v="2"/>
    <n v="8"/>
    <x v="2"/>
    <d v="2026-08-06T08:02:00"/>
    <s v="No"/>
    <m/>
    <s v="Customer Requested Refund"/>
    <n v="4.8333333333721384"/>
    <x v="1"/>
  </r>
  <r>
    <s v="TCK-20134"/>
    <d v="2026-06-11T13:08:00"/>
    <s v="Billing Support"/>
    <x v="0"/>
    <x v="2"/>
    <x v="2"/>
    <x v="3"/>
    <x v="1"/>
    <n v="48"/>
    <x v="2"/>
    <d v="2026-06-11T19:59:00"/>
    <s v="Yes"/>
    <n v="5"/>
    <s v="Required Follow-Up Call"/>
    <n v="6.8499999999767169"/>
    <x v="1"/>
  </r>
  <r>
    <s v="TCK-22977"/>
    <d v="2026-03-06T16:36:00"/>
    <s v="Technical Support"/>
    <x v="6"/>
    <x v="6"/>
    <x v="2"/>
    <x v="0"/>
    <x v="0"/>
    <n v="24"/>
    <x v="5"/>
    <s v="Missing Resolve Date"/>
    <s v="Yes"/>
    <m/>
    <s v="Customer Requested Refund"/>
    <s v=""/>
    <x v="1"/>
  </r>
  <r>
    <s v="TCK-21187"/>
    <d v="2026-01-13T23:14:00"/>
    <s v="Tier 2 Support"/>
    <x v="2"/>
    <x v="5"/>
    <x v="0"/>
    <x v="2"/>
    <x v="1"/>
    <n v="48"/>
    <x v="1"/>
    <s v="Missing Resolve Date"/>
    <s v="No"/>
    <m/>
    <s v="Not Specified"/>
    <s v=""/>
    <x v="1"/>
  </r>
  <r>
    <s v="TCK-22302"/>
    <d v="2026-08-11T12:28:00"/>
    <s v="Tier 2 Support"/>
    <x v="3"/>
    <x v="2"/>
    <x v="1"/>
    <x v="2"/>
    <x v="1"/>
    <n v="48"/>
    <x v="2"/>
    <d v="2026-08-11T14:17:00"/>
    <s v="No"/>
    <n v="5"/>
    <s v="Customer Requested Refund"/>
    <n v="1.8166666666511446"/>
    <x v="1"/>
  </r>
  <r>
    <s v="TCK-20899"/>
    <d v="2026-08-19T02:00:00"/>
    <s v="Technical Support"/>
    <x v="4"/>
    <x v="2"/>
    <x v="2"/>
    <x v="4"/>
    <x v="1"/>
    <n v="48"/>
    <x v="0"/>
    <d v="2026-08-20T00:52:00"/>
    <s v="No"/>
    <m/>
    <s v="Awaiting Customer Response"/>
    <n v="22.866666666639503"/>
    <x v="0"/>
  </r>
  <r>
    <s v="TCK-21426"/>
    <d v="2026-02-13T13:32:00"/>
    <s v="Tier 1 Support"/>
    <x v="1"/>
    <x v="3"/>
    <x v="3"/>
    <x v="5"/>
    <x v="0"/>
    <n v="24"/>
    <x v="0"/>
    <d v="2026-02-13T15:55:00"/>
    <s v="No"/>
    <m/>
    <s v="Customer Satisfied With Resolution"/>
    <n v="2.3833333334187046"/>
    <x v="0"/>
  </r>
  <r>
    <s v="TCK-21298"/>
    <d v="2026-04-04T17:22:00"/>
    <s v="Technical Support"/>
    <x v="6"/>
    <x v="5"/>
    <x v="3"/>
    <x v="4"/>
    <x v="0"/>
    <n v="24"/>
    <x v="3"/>
    <d v="2026-04-07T01:19:00"/>
    <s v="No"/>
    <m/>
    <s v="Not Specified"/>
    <n v="55.949999999895226"/>
    <x v="1"/>
  </r>
  <r>
    <s v="TCK-22170"/>
    <d v="2026-08-13T02:25:00"/>
    <s v="Technical Support"/>
    <x v="4"/>
    <x v="6"/>
    <x v="3"/>
    <x v="0"/>
    <x v="3"/>
    <n v="4"/>
    <x v="2"/>
    <d v="2026-08-13T05:05:00"/>
    <s v="No"/>
    <n v="1"/>
    <s v="Customer Requested Refund"/>
    <n v="2.6666666666278616"/>
    <x v="1"/>
  </r>
  <r>
    <s v="TCK-21388"/>
    <d v="2026-02-16T14:42:00"/>
    <s v="Billing Support"/>
    <x v="5"/>
    <x v="3"/>
    <x v="2"/>
    <x v="1"/>
    <x v="2"/>
    <n v="8"/>
    <x v="2"/>
    <d v="2026-02-16T21:42:00"/>
    <s v="No"/>
    <n v="1"/>
    <s v="Awaiting Customer Response"/>
    <n v="6.9999999999417923"/>
    <x v="1"/>
  </r>
  <r>
    <s v="TCK-22393"/>
    <d v="2026-07-03T05:02:00"/>
    <s v="Tier 2 Support"/>
    <x v="2"/>
    <x v="0"/>
    <x v="0"/>
    <x v="4"/>
    <x v="0"/>
    <n v="24"/>
    <x v="2"/>
    <d v="2026-07-03T21:24:00"/>
    <s v="No"/>
    <n v="5"/>
    <s v="Technical Issue Resolved Remotely"/>
    <n v="16.366666666755918"/>
    <x v="1"/>
  </r>
  <r>
    <s v="TCK-22151"/>
    <d v="2026-03-04T23:41:00"/>
    <s v="Tier 1 Support"/>
    <x v="7"/>
    <x v="0"/>
    <x v="1"/>
    <x v="2"/>
    <x v="2"/>
    <n v="8"/>
    <x v="0"/>
    <s v="Missing Resolve Date"/>
    <s v="No"/>
    <n v="4"/>
    <s v="Customer Requested Refund"/>
    <s v=""/>
    <x v="2"/>
  </r>
  <r>
    <s v="TCK-20992"/>
    <d v="2026-02-24T04:49:00"/>
    <s v="Technical Support"/>
    <x v="6"/>
    <x v="0"/>
    <x v="2"/>
    <x v="5"/>
    <x v="1"/>
    <n v="48"/>
    <x v="2"/>
    <d v="2026-02-25T15:56:00"/>
    <s v="No"/>
    <n v="4"/>
    <s v="Escalated To Senior Agent"/>
    <n v="35.116666666755918"/>
    <x v="1"/>
  </r>
  <r>
    <s v="TCK-20366"/>
    <d v="2026-04-26T04:42:00"/>
    <s v="Billing Support"/>
    <x v="5"/>
    <x v="2"/>
    <x v="0"/>
    <x v="5"/>
    <x v="1"/>
    <n v="48"/>
    <x v="3"/>
    <d v="2026-04-26T22:57:00"/>
    <s v="No"/>
    <m/>
    <s v="Technical Issue Resolved Remotely"/>
    <n v="18.250000000116415"/>
    <x v="1"/>
  </r>
  <r>
    <s v="TCK-22661"/>
    <d v="2026-02-09T18:00:00"/>
    <s v="Technical Support"/>
    <x v="6"/>
    <x v="1"/>
    <x v="3"/>
    <x v="5"/>
    <x v="0"/>
    <n v="24"/>
    <x v="1"/>
    <s v="Missing Resolve Date"/>
    <s v="No"/>
    <m/>
    <s v="Awaiting Customer Response"/>
    <s v=""/>
    <x v="1"/>
  </r>
  <r>
    <s v="TCK-20779"/>
    <d v="2026-01-20T22:43:00"/>
    <s v="Technical Support"/>
    <x v="4"/>
    <x v="2"/>
    <x v="3"/>
    <x v="0"/>
    <x v="2"/>
    <n v="8"/>
    <x v="5"/>
    <s v="Missing Resolve Date"/>
    <s v="No"/>
    <m/>
    <s v="Escalated To Senior Agent"/>
    <s v=""/>
    <x v="1"/>
  </r>
  <r>
    <s v="TCK-23015"/>
    <d v="2026-05-12T05:45:00"/>
    <s v="Technical Support"/>
    <x v="6"/>
    <x v="5"/>
    <x v="2"/>
    <x v="4"/>
    <x v="0"/>
    <n v="24"/>
    <x v="0"/>
    <s v="Missing Resolve Date"/>
    <s v="No"/>
    <m/>
    <s v="Escalated To Senior Agent"/>
    <s v=""/>
    <x v="2"/>
  </r>
  <r>
    <s v="TCK-20161"/>
    <d v="2026-02-19T16:19:00"/>
    <s v="Billing Support"/>
    <x v="5"/>
    <x v="3"/>
    <x v="0"/>
    <x v="3"/>
    <x v="1"/>
    <n v="48"/>
    <x v="0"/>
    <d v="2026-02-23T10:08:00"/>
    <s v="No"/>
    <m/>
    <s v="Resolved On First Contact"/>
    <n v="89.81666666676756"/>
    <x v="2"/>
  </r>
  <r>
    <s v="TCK-20872"/>
    <d v="2026-01-22T00:18:00"/>
    <s v="Tier 1 Support"/>
    <x v="1"/>
    <x v="5"/>
    <x v="0"/>
    <x v="0"/>
    <x v="0"/>
    <n v="24"/>
    <x v="0"/>
    <d v="2026-01-22T08:49:00"/>
    <s v="No"/>
    <m/>
    <s v="Not Specified"/>
    <n v="8.5166666666627862"/>
    <x v="0"/>
  </r>
  <r>
    <s v="TCK-20947"/>
    <d v="2026-04-06T21:31:00"/>
    <s v="Tier 2 Support"/>
    <x v="3"/>
    <x v="0"/>
    <x v="0"/>
    <x v="0"/>
    <x v="2"/>
    <n v="8"/>
    <x v="0"/>
    <d v="2026-04-07T03:37:00"/>
    <s v="No"/>
    <n v="1"/>
    <s v="Repeat Issue From Same Customer"/>
    <n v="6.0999999999767169"/>
    <x v="0"/>
  </r>
  <r>
    <s v="TCK-21499"/>
    <d v="2026-01-03T02:49:00"/>
    <s v="Tier 1 Support"/>
    <x v="1"/>
    <x v="0"/>
    <x v="2"/>
    <x v="3"/>
    <x v="0"/>
    <n v="24"/>
    <x v="0"/>
    <d v="2026-01-05T01:40:00"/>
    <s v="Yes"/>
    <n v="2"/>
    <s v="Resolved On First Contact"/>
    <n v="46.850000000093132"/>
    <x v="2"/>
  </r>
  <r>
    <s v="TCK-22161"/>
    <d v="2026-08-05T15:20:00"/>
    <s v="Billing Support"/>
    <x v="0"/>
    <x v="2"/>
    <x v="1"/>
    <x v="0"/>
    <x v="1"/>
    <n v="48"/>
    <x v="0"/>
    <d v="2026-08-10T01:40:00"/>
    <s v="No"/>
    <m/>
    <s v="Awaiting Customer Response"/>
    <n v="106.33333333331393"/>
    <x v="2"/>
  </r>
  <r>
    <s v="TCK-21725"/>
    <d v="2026-04-24T04:54:00"/>
    <s v="Tier 1 Support"/>
    <x v="7"/>
    <x v="5"/>
    <x v="2"/>
    <x v="5"/>
    <x v="3"/>
    <n v="4"/>
    <x v="2"/>
    <d v="2026-04-24T05:38:00"/>
    <s v="No"/>
    <m/>
    <s v="Technical Issue Resolved Remotely"/>
    <n v="0.73333333327900618"/>
    <x v="1"/>
  </r>
  <r>
    <s v="TCK-22905"/>
    <d v="2026-06-23T21:48:00"/>
    <s v="Tier 2 Support"/>
    <x v="2"/>
    <x v="5"/>
    <x v="2"/>
    <x v="1"/>
    <x v="3"/>
    <n v="4"/>
    <x v="0"/>
    <d v="2026-06-23T23:24:00"/>
    <s v="No"/>
    <m/>
    <s v="Customer Satisfied With Resolution"/>
    <n v="1.5999999999767169"/>
    <x v="0"/>
  </r>
  <r>
    <s v="TCK-20086"/>
    <d v="2026-08-16T14:02:00"/>
    <s v="Tier 1 Support"/>
    <x v="1"/>
    <x v="5"/>
    <x v="2"/>
    <x v="3"/>
    <x v="2"/>
    <n v="8"/>
    <x v="2"/>
    <d v="2026-08-16T18:29:00"/>
    <s v="No"/>
    <m/>
    <s v="Customer Satisfied With Resolution"/>
    <n v="4.4500000000116415"/>
    <x v="1"/>
  </r>
  <r>
    <s v="TCK-20628"/>
    <d v="2026-03-06T12:02:00"/>
    <s v="Tier 1 Support"/>
    <x v="7"/>
    <x v="1"/>
    <x v="0"/>
    <x v="5"/>
    <x v="2"/>
    <n v="8"/>
    <x v="4"/>
    <s v="Missing Resolve Date"/>
    <s v="Yes"/>
    <m/>
    <s v="Required Follow-Up Call"/>
    <s v=""/>
    <x v="1"/>
  </r>
  <r>
    <s v="TCK-21646"/>
    <d v="2026-02-08T21:59:00"/>
    <s v="Billing Support"/>
    <x v="0"/>
    <x v="2"/>
    <x v="3"/>
    <x v="0"/>
    <x v="2"/>
    <n v="8"/>
    <x v="2"/>
    <d v="2026-02-09T04:42:00"/>
    <s v="No"/>
    <m/>
    <s v="Repeat Issue From Same Customer"/>
    <n v="6.7166666665580124"/>
    <x v="1"/>
  </r>
  <r>
    <s v="TCK-22537"/>
    <d v="2026-06-12T19:01:00"/>
    <s v="Tier 2 Support"/>
    <x v="3"/>
    <x v="4"/>
    <x v="1"/>
    <x v="2"/>
    <x v="2"/>
    <n v="8"/>
    <x v="4"/>
    <s v="Missing Resolve Date"/>
    <s v="Yes"/>
    <m/>
    <s v="Escalated To Senior Agent"/>
    <s v=""/>
    <x v="1"/>
  </r>
  <r>
    <s v="TCK-21272"/>
    <d v="2026-08-23T03:00:00"/>
    <s v="Tier 2 Support"/>
    <x v="3"/>
    <x v="5"/>
    <x v="2"/>
    <x v="4"/>
    <x v="0"/>
    <n v="24"/>
    <x v="3"/>
    <d v="2026-08-23T05:28:00"/>
    <s v="No"/>
    <m/>
    <s v="Technical Issue Resolved Remotely"/>
    <n v="2.4666666666744277"/>
    <x v="1"/>
  </r>
  <r>
    <s v="TCK-23181"/>
    <d v="2026-07-07T22:46:00"/>
    <s v="Billing Support"/>
    <x v="5"/>
    <x v="2"/>
    <x v="3"/>
    <x v="2"/>
    <x v="0"/>
    <n v="24"/>
    <x v="2"/>
    <d v="2026-07-08T19:03:00"/>
    <s v="No"/>
    <n v="5"/>
    <s v="Escalated To Senior Agent"/>
    <n v="20.283333333267365"/>
    <x v="1"/>
  </r>
  <r>
    <s v="TCK-20502"/>
    <d v="2026-04-27T03:30:00"/>
    <s v="Tier 1 Support"/>
    <x v="7"/>
    <x v="4"/>
    <x v="1"/>
    <x v="0"/>
    <x v="1"/>
    <n v="48"/>
    <x v="0"/>
    <d v="2026-04-28T20:48:00"/>
    <s v="No"/>
    <m/>
    <s v="Awaiting Customer Response"/>
    <n v="41.299999999988358"/>
    <x v="0"/>
  </r>
  <r>
    <s v="TCK-22047"/>
    <d v="2026-08-13T20:13:00"/>
    <s v="Billing Support"/>
    <x v="5"/>
    <x v="4"/>
    <x v="1"/>
    <x v="4"/>
    <x v="3"/>
    <n v="4"/>
    <x v="2"/>
    <d v="2026-08-13T22:21:00"/>
    <s v="No"/>
    <m/>
    <s v="Resolved On First Contact"/>
    <n v="2.1333333333022892"/>
    <x v="1"/>
  </r>
  <r>
    <s v="TCK-20250"/>
    <d v="2026-01-18T14:15:00"/>
    <s v="Tier 2 Support"/>
    <x v="2"/>
    <x v="5"/>
    <x v="1"/>
    <x v="2"/>
    <x v="2"/>
    <n v="8"/>
    <x v="1"/>
    <s v="Missing Resolve Date"/>
    <s v="No"/>
    <m/>
    <s v="Awaiting Customer Response"/>
    <s v=""/>
    <x v="1"/>
  </r>
  <r>
    <s v="TCK-21044"/>
    <d v="2026-07-14T21:40:00"/>
    <s v="Technical Support"/>
    <x v="6"/>
    <x v="0"/>
    <x v="2"/>
    <x v="3"/>
    <x v="1"/>
    <n v="48"/>
    <x v="2"/>
    <d v="2026-07-18T17:10:00"/>
    <s v="No"/>
    <n v="2"/>
    <s v="Resolved On First Contact"/>
    <n v="91.5"/>
    <x v="1"/>
  </r>
  <r>
    <s v="TCK-20002"/>
    <d v="2026-02-27T01:24:00"/>
    <s v="Tier 1 Support"/>
    <x v="1"/>
    <x v="2"/>
    <x v="3"/>
    <x v="5"/>
    <x v="0"/>
    <n v="24"/>
    <x v="4"/>
    <s v="Missing Resolve Date"/>
    <s v="Yes"/>
    <m/>
    <s v="Not Specified"/>
    <s v=""/>
    <x v="1"/>
  </r>
  <r>
    <s v="TCK-22365"/>
    <d v="2026-06-17T19:01:00"/>
    <s v="Tier 2 Support"/>
    <x v="2"/>
    <x v="3"/>
    <x v="3"/>
    <x v="3"/>
    <x v="0"/>
    <n v="24"/>
    <x v="0"/>
    <d v="2026-06-18T12:51:00"/>
    <s v="No"/>
    <n v="3"/>
    <s v="Resolved On First Contact"/>
    <n v="17.833333333313931"/>
    <x v="0"/>
  </r>
  <r>
    <s v="TCK-20063"/>
    <d v="2026-02-28T18:03:00"/>
    <s v="Technical Support"/>
    <x v="4"/>
    <x v="0"/>
    <x v="2"/>
    <x v="2"/>
    <x v="1"/>
    <n v="48"/>
    <x v="1"/>
    <s v="Missing Resolve Date"/>
    <s v="No"/>
    <m/>
    <s v="Not Specified"/>
    <s v=""/>
    <x v="1"/>
  </r>
  <r>
    <s v="TCK-22935"/>
    <d v="2026-05-06T08:10:00"/>
    <s v="Technical Support"/>
    <x v="4"/>
    <x v="0"/>
    <x v="3"/>
    <x v="4"/>
    <x v="1"/>
    <n v="48"/>
    <x v="5"/>
    <s v="Missing Resolve Date"/>
    <s v="No"/>
    <m/>
    <s v="Required Follow-Up Call"/>
    <s v=""/>
    <x v="1"/>
  </r>
  <r>
    <s v="TCK-22605"/>
    <d v="2026-05-09T13:31:00"/>
    <s v="Technical Support"/>
    <x v="6"/>
    <x v="2"/>
    <x v="3"/>
    <x v="0"/>
    <x v="0"/>
    <n v="24"/>
    <x v="0"/>
    <d v="2026-05-10T09:58:00"/>
    <s v="No"/>
    <m/>
    <s v="Not Specified"/>
    <n v="20.449999999953434"/>
    <x v="0"/>
  </r>
  <r>
    <s v="TCK-21359"/>
    <d v="2026-05-26T13:51:00"/>
    <s v="Billing Support"/>
    <x v="0"/>
    <x v="2"/>
    <x v="3"/>
    <x v="0"/>
    <x v="1"/>
    <n v="48"/>
    <x v="5"/>
    <s v="Missing Resolve Date"/>
    <s v="Yes"/>
    <m/>
    <s v="Not Specified"/>
    <s v=""/>
    <x v="1"/>
  </r>
  <r>
    <s v="TCK-20236"/>
    <d v="2026-06-02T18:21:00"/>
    <s v="Tier 1 Support"/>
    <x v="1"/>
    <x v="2"/>
    <x v="3"/>
    <x v="3"/>
    <x v="1"/>
    <n v="48"/>
    <x v="5"/>
    <s v="Missing Resolve Date"/>
    <s v="No"/>
    <m/>
    <s v="Escalated To Senior Agent"/>
    <s v=""/>
    <x v="1"/>
  </r>
  <r>
    <s v="TCK-22774"/>
    <d v="2026-05-31T14:26:00"/>
    <s v="Tier 1 Support"/>
    <x v="7"/>
    <x v="0"/>
    <x v="0"/>
    <x v="0"/>
    <x v="2"/>
    <n v="8"/>
    <x v="2"/>
    <d v="2026-05-31T16:47:00"/>
    <s v="No"/>
    <m/>
    <s v="Required Follow-Up Call"/>
    <n v="2.3499999999767169"/>
    <x v="1"/>
  </r>
  <r>
    <s v="TCK-20804"/>
    <d v="2026-02-04T17:32:00"/>
    <s v="Tier 2 Support"/>
    <x v="3"/>
    <x v="5"/>
    <x v="2"/>
    <x v="4"/>
    <x v="0"/>
    <n v="24"/>
    <x v="0"/>
    <d v="2026-02-05T01:42:00"/>
    <s v="No"/>
    <n v="5"/>
    <s v="Resolved On First Contact"/>
    <n v="8.1666666665696539"/>
    <x v="0"/>
  </r>
  <r>
    <s v="TCK-21660"/>
    <d v="2026-04-19T23:33:00"/>
    <s v="Billing Support"/>
    <x v="0"/>
    <x v="5"/>
    <x v="1"/>
    <x v="0"/>
    <x v="1"/>
    <n v="48"/>
    <x v="0"/>
    <d v="2026-04-21T05:16:00"/>
    <s v="No"/>
    <n v="4"/>
    <s v="Not Specified"/>
    <n v="29.716666666790843"/>
    <x v="0"/>
  </r>
  <r>
    <s v="TCK-22739"/>
    <d v="2026-06-11T06:00:00"/>
    <s v="Billing Support"/>
    <x v="0"/>
    <x v="1"/>
    <x v="1"/>
    <x v="5"/>
    <x v="0"/>
    <n v="24"/>
    <x v="2"/>
    <d v="2026-06-11T06:37:00"/>
    <s v="No"/>
    <m/>
    <s v="Required Follow-Up Call"/>
    <n v="0.61666666658129543"/>
    <x v="1"/>
  </r>
  <r>
    <s v="TCK-20651"/>
    <d v="2026-01-02T08:34:00"/>
    <s v="Tier 2 Support"/>
    <x v="2"/>
    <x v="0"/>
    <x v="3"/>
    <x v="0"/>
    <x v="2"/>
    <n v="8"/>
    <x v="0"/>
    <d v="2026-01-02T13:16:00"/>
    <s v="No"/>
    <n v="5"/>
    <s v="Technical Issue Resolved Remotely"/>
    <n v="4.6999999999534339"/>
    <x v="0"/>
  </r>
  <r>
    <s v="TCK-22922"/>
    <d v="2026-02-12T02:15:00"/>
    <s v="Technical Support"/>
    <x v="6"/>
    <x v="6"/>
    <x v="1"/>
    <x v="0"/>
    <x v="0"/>
    <n v="24"/>
    <x v="0"/>
    <d v="2026-02-12T13:34:00"/>
    <s v="Yes"/>
    <n v="5"/>
    <s v="Escalated To Senior Agent"/>
    <n v="11.316666666709352"/>
    <x v="0"/>
  </r>
  <r>
    <s v="TCK-21238"/>
    <d v="2026-03-19T10:18:00"/>
    <s v="Tier 1 Support"/>
    <x v="7"/>
    <x v="4"/>
    <x v="3"/>
    <x v="3"/>
    <x v="1"/>
    <n v="48"/>
    <x v="3"/>
    <d v="2026-03-19T21:16:00"/>
    <s v="No"/>
    <m/>
    <s v="Awaiting Customer Response"/>
    <n v="10.96666666661622"/>
    <x v="1"/>
  </r>
  <r>
    <s v="TCK-20239"/>
    <d v="2026-03-11T04:41:00"/>
    <s v="Tier 1 Support"/>
    <x v="7"/>
    <x v="2"/>
    <x v="0"/>
    <x v="4"/>
    <x v="1"/>
    <n v="48"/>
    <x v="4"/>
    <s v="Missing Resolve Date"/>
    <s v="Yes"/>
    <m/>
    <s v="Repeat Issue From Same Customer"/>
    <s v=""/>
    <x v="1"/>
  </r>
  <r>
    <s v="TCK-21881"/>
    <d v="2026-02-25T20:04:00"/>
    <s v="Tier 2 Support"/>
    <x v="3"/>
    <x v="0"/>
    <x v="3"/>
    <x v="2"/>
    <x v="1"/>
    <n v="48"/>
    <x v="2"/>
    <d v="2026-03-02T21:49:00"/>
    <s v="No"/>
    <n v="4"/>
    <s v="Escalated To Senior Agent"/>
    <n v="121.75000000011642"/>
    <x v="1"/>
  </r>
  <r>
    <s v="TCK-20842"/>
    <d v="2026-07-15T13:57:00"/>
    <s v="Tier 2 Support"/>
    <x v="3"/>
    <x v="6"/>
    <x v="3"/>
    <x v="5"/>
    <x v="0"/>
    <n v="24"/>
    <x v="0"/>
    <d v="2026-07-16T06:35:00"/>
    <s v="No"/>
    <n v="5"/>
    <s v="Required Follow-Up Call"/>
    <n v="16.633333333244082"/>
    <x v="0"/>
  </r>
  <r>
    <s v="TCK-22273"/>
    <d v="2026-04-20T12:14:00"/>
    <s v="Billing Support"/>
    <x v="0"/>
    <x v="4"/>
    <x v="2"/>
    <x v="5"/>
    <x v="3"/>
    <n v="4"/>
    <x v="0"/>
    <d v="2026-04-20T14:15:00"/>
    <s v="No"/>
    <n v="5"/>
    <s v="Customer Requested Refund"/>
    <n v="2.0166666666045785"/>
    <x v="0"/>
  </r>
  <r>
    <s v="TCK-22425"/>
    <d v="2026-03-30T00:19:00"/>
    <s v="Tier 1 Support"/>
    <x v="7"/>
    <x v="1"/>
    <x v="3"/>
    <x v="2"/>
    <x v="1"/>
    <n v="48"/>
    <x v="4"/>
    <s v="Missing Resolve Date"/>
    <s v="Yes"/>
    <m/>
    <s v="Escalated To Senior Agent"/>
    <s v=""/>
    <x v="1"/>
  </r>
  <r>
    <s v="TCK-20990"/>
    <d v="2026-06-17T10:13:00"/>
    <s v="Technical Support"/>
    <x v="6"/>
    <x v="6"/>
    <x v="2"/>
    <x v="2"/>
    <x v="2"/>
    <n v="8"/>
    <x v="2"/>
    <d v="2026-06-17T21:38:00"/>
    <s v="No"/>
    <n v="5"/>
    <s v="Escalated To Senior Agent"/>
    <n v="11.416666666686069"/>
    <x v="1"/>
  </r>
  <r>
    <s v="TCK-22727"/>
    <d v="2026-01-29T17:26:00"/>
    <s v="Tier 1 Support"/>
    <x v="1"/>
    <x v="1"/>
    <x v="0"/>
    <x v="2"/>
    <x v="2"/>
    <n v="8"/>
    <x v="0"/>
    <d v="2026-01-29T18:35:00"/>
    <s v="No"/>
    <n v="5"/>
    <s v="Customer Requested Refund"/>
    <n v="1.1499999999068677"/>
    <x v="0"/>
  </r>
  <r>
    <s v="TCK-22380"/>
    <d v="2026-06-14T11:58:00"/>
    <s v="Billing Support"/>
    <x v="0"/>
    <x v="0"/>
    <x v="1"/>
    <x v="1"/>
    <x v="2"/>
    <n v="8"/>
    <x v="0"/>
    <s v="Missing Resolve Date"/>
    <s v="No"/>
    <m/>
    <s v="Not Specified"/>
    <s v=""/>
    <x v="2"/>
  </r>
  <r>
    <s v="TCK-22923"/>
    <d v="2026-05-25T09:59:00"/>
    <s v="Tier 1 Support"/>
    <x v="7"/>
    <x v="0"/>
    <x v="0"/>
    <x v="3"/>
    <x v="1"/>
    <n v="48"/>
    <x v="4"/>
    <s v="Missing Resolve Date"/>
    <s v="Yes"/>
    <m/>
    <s v="Not Specified"/>
    <s v=""/>
    <x v="1"/>
  </r>
  <r>
    <s v="TCK-22264"/>
    <d v="2026-03-30T08:52:00"/>
    <s v="Tier 1 Support"/>
    <x v="7"/>
    <x v="4"/>
    <x v="3"/>
    <x v="0"/>
    <x v="2"/>
    <n v="8"/>
    <x v="0"/>
    <d v="2026-03-30T14:07:00"/>
    <s v="No"/>
    <n v="5"/>
    <s v="Awaiting Customer Response"/>
    <n v="5.25"/>
    <x v="0"/>
  </r>
  <r>
    <s v="TCK-23142"/>
    <d v="2026-03-08T20:28:00"/>
    <s v="Billing Support"/>
    <x v="5"/>
    <x v="5"/>
    <x v="3"/>
    <x v="0"/>
    <x v="0"/>
    <n v="24"/>
    <x v="2"/>
    <d v="2026-03-09T15:28:00"/>
    <s v="No"/>
    <m/>
    <s v="Customer Satisfied With Resolution"/>
    <n v="18.999999999941792"/>
    <x v="1"/>
  </r>
  <r>
    <s v="TCK-21901"/>
    <d v="2026-08-24T06:09:00"/>
    <s v="Tier 2 Support"/>
    <x v="2"/>
    <x v="3"/>
    <x v="2"/>
    <x v="3"/>
    <x v="1"/>
    <n v="48"/>
    <x v="2"/>
    <d v="2026-08-25T06:15:00"/>
    <s v="No"/>
    <m/>
    <s v="Not Specified"/>
    <n v="24.099999999976717"/>
    <x v="1"/>
  </r>
  <r>
    <s v="TCK-21609"/>
    <d v="2026-02-22T19:28:00"/>
    <s v="Tier 1 Support"/>
    <x v="7"/>
    <x v="4"/>
    <x v="2"/>
    <x v="1"/>
    <x v="0"/>
    <n v="24"/>
    <x v="4"/>
    <s v="Missing Resolve Date"/>
    <s v="Yes"/>
    <m/>
    <s v="Technical Issue Resolved Remotely"/>
    <s v=""/>
    <x v="1"/>
  </r>
  <r>
    <s v="TCK-22066"/>
    <d v="2026-01-05T18:13:00"/>
    <s v="Tier 2 Support"/>
    <x v="2"/>
    <x v="1"/>
    <x v="3"/>
    <x v="1"/>
    <x v="0"/>
    <n v="24"/>
    <x v="2"/>
    <d v="2026-01-05T20:23:00"/>
    <s v="No"/>
    <n v="5"/>
    <s v="Required Follow-Up Call"/>
    <n v="2.1666666667442769"/>
    <x v="1"/>
  </r>
  <r>
    <s v="TCK-21713"/>
    <d v="2026-03-11T15:04:00"/>
    <s v="Billing Support"/>
    <x v="0"/>
    <x v="1"/>
    <x v="2"/>
    <x v="1"/>
    <x v="0"/>
    <n v="24"/>
    <x v="0"/>
    <d v="2026-03-11T17:14:00"/>
    <s v="No"/>
    <n v="5"/>
    <s v="Technical Issue Resolved Remotely"/>
    <n v="2.1666666665696539"/>
    <x v="0"/>
  </r>
  <r>
    <s v="TCK-21070"/>
    <d v="2026-06-22T16:53:00"/>
    <s v="Tier 1 Support"/>
    <x v="7"/>
    <x v="2"/>
    <x v="2"/>
    <x v="0"/>
    <x v="0"/>
    <n v="24"/>
    <x v="4"/>
    <s v="Missing Resolve Date"/>
    <s v="Yes"/>
    <m/>
    <s v="Resolved On First Contact"/>
    <s v=""/>
    <x v="1"/>
  </r>
  <r>
    <s v="TCK-20384"/>
    <d v="2026-07-28T05:49:00"/>
    <s v="Billing Support"/>
    <x v="0"/>
    <x v="1"/>
    <x v="2"/>
    <x v="3"/>
    <x v="0"/>
    <n v="24"/>
    <x v="2"/>
    <d v="2026-07-28T23:55:00"/>
    <s v="No"/>
    <n v="4"/>
    <s v="Not Specified"/>
    <n v="18.10000000015134"/>
    <x v="1"/>
  </r>
  <r>
    <s v="TCK-21340"/>
    <d v="2026-03-08T18:23:00"/>
    <s v="Technical Support"/>
    <x v="4"/>
    <x v="3"/>
    <x v="2"/>
    <x v="2"/>
    <x v="0"/>
    <n v="24"/>
    <x v="0"/>
    <d v="2026-03-10T13:13:00"/>
    <s v="No"/>
    <n v="2"/>
    <s v="Not Specified"/>
    <n v="42.833333333255723"/>
    <x v="2"/>
  </r>
  <r>
    <s v="TCK-21882"/>
    <d v="2026-02-11T01:08:00"/>
    <s v="Tier 2 Support"/>
    <x v="2"/>
    <x v="3"/>
    <x v="0"/>
    <x v="1"/>
    <x v="2"/>
    <n v="8"/>
    <x v="1"/>
    <s v="Missing Resolve Date"/>
    <s v="No"/>
    <m/>
    <s v="Escalated To Senior Agent"/>
    <s v=""/>
    <x v="1"/>
  </r>
  <r>
    <s v="TCK-20380"/>
    <d v="2026-08-20T00:45:00"/>
    <s v="Billing Support"/>
    <x v="5"/>
    <x v="5"/>
    <x v="0"/>
    <x v="4"/>
    <x v="2"/>
    <n v="8"/>
    <x v="5"/>
    <s v="Missing Resolve Date"/>
    <s v="No"/>
    <m/>
    <s v="Technical Issue Resolved Remotely"/>
    <s v=""/>
    <x v="1"/>
  </r>
  <r>
    <s v="TCK-20325"/>
    <d v="2026-04-27T07:49:00"/>
    <s v="Billing Support"/>
    <x v="5"/>
    <x v="5"/>
    <x v="0"/>
    <x v="4"/>
    <x v="2"/>
    <n v="8"/>
    <x v="0"/>
    <d v="2026-04-27T14:56:00"/>
    <s v="No"/>
    <n v="2"/>
    <s v="Resolved On First Contact"/>
    <n v="7.1166666666395031"/>
    <x v="0"/>
  </r>
  <r>
    <s v="TCK-20591"/>
    <d v="2026-04-06T02:28:00"/>
    <s v="Tier 2 Support"/>
    <x v="2"/>
    <x v="3"/>
    <x v="2"/>
    <x v="0"/>
    <x v="0"/>
    <n v="24"/>
    <x v="4"/>
    <s v="Missing Resolve Date"/>
    <s v="Yes"/>
    <m/>
    <s v="Required Follow-Up Call"/>
    <s v=""/>
    <x v="1"/>
  </r>
  <r>
    <s v="TCK-22554"/>
    <d v="2026-08-30T02:47:00"/>
    <s v="Tier 1 Support"/>
    <x v="7"/>
    <x v="5"/>
    <x v="0"/>
    <x v="4"/>
    <x v="0"/>
    <n v="24"/>
    <x v="2"/>
    <d v="2026-08-30T08:36:00"/>
    <s v="No"/>
    <n v="3"/>
    <s v="Technical Issue Resolved Remotely"/>
    <n v="5.816666666592937"/>
    <x v="1"/>
  </r>
  <r>
    <s v="TCK-22384"/>
    <d v="2026-03-24T23:41:00"/>
    <s v="Tier 2 Support"/>
    <x v="2"/>
    <x v="3"/>
    <x v="1"/>
    <x v="4"/>
    <x v="0"/>
    <n v="24"/>
    <x v="0"/>
    <d v="2026-03-25T03:30:00"/>
    <s v="No"/>
    <n v="4"/>
    <s v="Escalated To Senior Agent"/>
    <n v="3.8166666667093523"/>
    <x v="0"/>
  </r>
  <r>
    <s v="TCK-21706"/>
    <d v="2026-08-12T04:52:00"/>
    <s v="Tier 2 Support"/>
    <x v="2"/>
    <x v="2"/>
    <x v="1"/>
    <x v="0"/>
    <x v="1"/>
    <n v="48"/>
    <x v="0"/>
    <d v="2026-08-13T19:00:00"/>
    <s v="No"/>
    <n v="5"/>
    <s v="Repeat Issue From Same Customer"/>
    <n v="38.133333333302289"/>
    <x v="0"/>
  </r>
  <r>
    <s v="TCK-22335"/>
    <d v="2026-05-24T16:10:00"/>
    <s v="Billing Support"/>
    <x v="5"/>
    <x v="3"/>
    <x v="2"/>
    <x v="4"/>
    <x v="0"/>
    <n v="24"/>
    <x v="4"/>
    <s v="Missing Resolve Date"/>
    <s v="Yes"/>
    <m/>
    <s v="Not Specified"/>
    <s v=""/>
    <x v="1"/>
  </r>
  <r>
    <s v="TCK-23136"/>
    <d v="2026-06-01T08:03:00"/>
    <s v="Technical Support"/>
    <x v="4"/>
    <x v="0"/>
    <x v="3"/>
    <x v="1"/>
    <x v="2"/>
    <n v="8"/>
    <x v="0"/>
    <d v="2026-06-01T21:41:00"/>
    <s v="No"/>
    <m/>
    <s v="Repeat Issue From Same Customer"/>
    <n v="13.633333333244082"/>
    <x v="2"/>
  </r>
  <r>
    <s v="TCK-20189"/>
    <d v="2026-06-26T14:47:00"/>
    <s v="Tier 1 Support"/>
    <x v="1"/>
    <x v="0"/>
    <x v="1"/>
    <x v="4"/>
    <x v="1"/>
    <n v="48"/>
    <x v="2"/>
    <d v="2026-06-28T01:09:00"/>
    <s v="No"/>
    <n v="5"/>
    <s v="Required Follow-Up Call"/>
    <n v="34.366666666755918"/>
    <x v="1"/>
  </r>
  <r>
    <s v="TCK-21710"/>
    <d v="2026-03-05T01:55:00"/>
    <s v="Billing Support"/>
    <x v="0"/>
    <x v="3"/>
    <x v="1"/>
    <x v="4"/>
    <x v="1"/>
    <n v="48"/>
    <x v="5"/>
    <s v="Missing Resolve Date"/>
    <s v="No"/>
    <m/>
    <s v="Resolved On First Contact"/>
    <s v=""/>
    <x v="1"/>
  </r>
  <r>
    <s v="TCK-20403"/>
    <d v="2026-04-12T15:03:00"/>
    <s v="Technical Support"/>
    <x v="6"/>
    <x v="1"/>
    <x v="1"/>
    <x v="0"/>
    <x v="1"/>
    <n v="48"/>
    <x v="0"/>
    <d v="2026-04-13T22:54:00"/>
    <s v="No"/>
    <m/>
    <s v="Technical Issue Resolved Remotely"/>
    <n v="31.850000000093132"/>
    <x v="0"/>
  </r>
  <r>
    <s v="TCK-21892"/>
    <d v="2026-07-20T14:30:00"/>
    <s v="Technical Support"/>
    <x v="4"/>
    <x v="5"/>
    <x v="1"/>
    <x v="2"/>
    <x v="3"/>
    <n v="4"/>
    <x v="1"/>
    <s v="Missing Resolve Date"/>
    <s v="Yes"/>
    <m/>
    <s v="Resolved On First Contact"/>
    <s v=""/>
    <x v="1"/>
  </r>
  <r>
    <s v="TCK-22751"/>
    <d v="2026-04-09T12:18:00"/>
    <s v="Technical Support"/>
    <x v="4"/>
    <x v="2"/>
    <x v="2"/>
    <x v="1"/>
    <x v="0"/>
    <n v="24"/>
    <x v="2"/>
    <d v="2026-04-09T16:02:00"/>
    <s v="No"/>
    <n v="4"/>
    <s v="Repeat Issue From Same Customer"/>
    <n v="3.7333333334536292"/>
    <x v="1"/>
  </r>
  <r>
    <s v="TCK-20426"/>
    <d v="2026-08-23T08:52:00"/>
    <s v="Technical Support"/>
    <x v="4"/>
    <x v="3"/>
    <x v="2"/>
    <x v="5"/>
    <x v="0"/>
    <n v="24"/>
    <x v="0"/>
    <d v="2026-08-25T17:04:00"/>
    <s v="No"/>
    <n v="3"/>
    <s v="Escalated To Senior Agent"/>
    <n v="56.200000000011642"/>
    <x v="2"/>
  </r>
  <r>
    <s v="TCK-23197"/>
    <d v="2026-01-17T17:33:00"/>
    <s v="Tier 1 Support"/>
    <x v="7"/>
    <x v="2"/>
    <x v="0"/>
    <x v="0"/>
    <x v="1"/>
    <n v="48"/>
    <x v="0"/>
    <d v="2026-01-17T23:16:00"/>
    <s v="No"/>
    <m/>
    <s v="Required Follow-Up Call"/>
    <n v="5.716666666790843"/>
    <x v="0"/>
  </r>
  <r>
    <s v="TCK-22497"/>
    <d v="2026-07-17T13:12:00"/>
    <s v="Tier 1 Support"/>
    <x v="1"/>
    <x v="0"/>
    <x v="3"/>
    <x v="1"/>
    <x v="2"/>
    <n v="8"/>
    <x v="4"/>
    <s v="Missing Resolve Date"/>
    <s v="Yes"/>
    <m/>
    <s v="Resolved On First Contact"/>
    <s v=""/>
    <x v="1"/>
  </r>
  <r>
    <s v="TCK-20661"/>
    <d v="2026-06-03T18:16:00"/>
    <s v="Technical Support"/>
    <x v="6"/>
    <x v="5"/>
    <x v="1"/>
    <x v="5"/>
    <x v="0"/>
    <n v="24"/>
    <x v="2"/>
    <d v="2026-06-06T10:59:00"/>
    <s v="No"/>
    <m/>
    <s v="Technical Issue Resolved Remotely"/>
    <n v="64.716666666674428"/>
    <x v="1"/>
  </r>
  <r>
    <s v="TCK-20337"/>
    <d v="2026-07-22T00:30:00"/>
    <s v="Tier 1 Support"/>
    <x v="7"/>
    <x v="2"/>
    <x v="3"/>
    <x v="3"/>
    <x v="2"/>
    <n v="8"/>
    <x v="0"/>
    <d v="2026-07-22T01:57:00"/>
    <s v="No"/>
    <m/>
    <s v="Required Follow-Up Call"/>
    <n v="1.4500000000116415"/>
    <x v="0"/>
  </r>
  <r>
    <s v="TCK-22680"/>
    <d v="2026-04-04T23:09:00"/>
    <s v="Tier 1 Support"/>
    <x v="7"/>
    <x v="3"/>
    <x v="1"/>
    <x v="0"/>
    <x v="1"/>
    <n v="48"/>
    <x v="0"/>
    <d v="2026-04-06T04:34:00"/>
    <s v="No"/>
    <n v="5"/>
    <s v="Awaiting Customer Response"/>
    <n v="29.416666666686069"/>
    <x v="0"/>
  </r>
  <r>
    <s v="TCK-23101"/>
    <d v="2026-06-02T18:39:00"/>
    <s v="Tier 2 Support"/>
    <x v="3"/>
    <x v="6"/>
    <x v="3"/>
    <x v="5"/>
    <x v="1"/>
    <n v="48"/>
    <x v="4"/>
    <s v="Missing Resolve Date"/>
    <s v="Yes"/>
    <m/>
    <s v="Not Specified"/>
    <s v=""/>
    <x v="1"/>
  </r>
  <r>
    <s v="TCK-21559"/>
    <d v="2026-05-02T23:13:00"/>
    <s v="Technical Support"/>
    <x v="4"/>
    <x v="6"/>
    <x v="3"/>
    <x v="2"/>
    <x v="0"/>
    <n v="24"/>
    <x v="0"/>
    <d v="2026-05-04T15:43:00"/>
    <s v="No"/>
    <n v="1"/>
    <s v="Not Specified"/>
    <n v="40.5"/>
    <x v="2"/>
  </r>
  <r>
    <s v="TCK-20471"/>
    <d v="2026-01-11T22:04:00"/>
    <s v="Tier 1 Support"/>
    <x v="7"/>
    <x v="3"/>
    <x v="2"/>
    <x v="1"/>
    <x v="1"/>
    <n v="48"/>
    <x v="2"/>
    <d v="2026-01-12T13:54:00"/>
    <s v="No"/>
    <m/>
    <s v="Repeat Issue From Same Customer"/>
    <n v="15.833333333430346"/>
    <x v="1"/>
  </r>
  <r>
    <s v="TCK-22531"/>
    <d v="2026-06-12T22:08:00"/>
    <s v="Technical Support"/>
    <x v="4"/>
    <x v="5"/>
    <x v="3"/>
    <x v="5"/>
    <x v="2"/>
    <n v="8"/>
    <x v="2"/>
    <d v="2026-06-13T03:30:00"/>
    <s v="No"/>
    <m/>
    <s v="Customer Satisfied With Resolution"/>
    <n v="5.3666666666977108"/>
    <x v="1"/>
  </r>
  <r>
    <s v="TCK-21951"/>
    <d v="2026-08-05T20:38:00"/>
    <s v="Tier 2 Support"/>
    <x v="2"/>
    <x v="3"/>
    <x v="0"/>
    <x v="4"/>
    <x v="1"/>
    <n v="48"/>
    <x v="3"/>
    <s v="Missing Resolve Date"/>
    <s v="No"/>
    <m/>
    <s v="Escalated To Senior Agent"/>
    <s v=""/>
    <x v="1"/>
  </r>
  <r>
    <s v="TCK-20153"/>
    <d v="2026-01-13T04:43:00"/>
    <s v="Billing Support"/>
    <x v="5"/>
    <x v="5"/>
    <x v="2"/>
    <x v="4"/>
    <x v="3"/>
    <n v="4"/>
    <x v="4"/>
    <s v="Missing Resolve Date"/>
    <s v="Yes"/>
    <m/>
    <s v="Customer Requested Refund"/>
    <s v=""/>
    <x v="1"/>
  </r>
  <r>
    <s v="TCK-21832"/>
    <d v="2026-01-25T21:37:00"/>
    <s v="Tier 2 Support"/>
    <x v="2"/>
    <x v="4"/>
    <x v="3"/>
    <x v="0"/>
    <x v="3"/>
    <n v="4"/>
    <x v="2"/>
    <d v="2026-01-26T01:03:00"/>
    <s v="No"/>
    <n v="4"/>
    <s v="Repeat Issue From Same Customer"/>
    <n v="3.4333333333488554"/>
    <x v="1"/>
  </r>
  <r>
    <s v="TCK-20819"/>
    <d v="2026-04-04T17:17:00"/>
    <s v="Technical Support"/>
    <x v="4"/>
    <x v="6"/>
    <x v="0"/>
    <x v="5"/>
    <x v="0"/>
    <n v="24"/>
    <x v="5"/>
    <s v="Missing Resolve Date"/>
    <s v="No"/>
    <m/>
    <s v="Required Follow-Up Call"/>
    <s v=""/>
    <x v="1"/>
  </r>
  <r>
    <s v="TCK-21354"/>
    <d v="2026-04-02T00:39:00"/>
    <s v="Billing Support"/>
    <x v="5"/>
    <x v="2"/>
    <x v="0"/>
    <x v="0"/>
    <x v="1"/>
    <n v="48"/>
    <x v="0"/>
    <d v="2026-04-02T19:46:00"/>
    <s v="No"/>
    <n v="5"/>
    <s v="Customer Satisfied With Resolution"/>
    <n v="19.116666666639503"/>
    <x v="0"/>
  </r>
  <r>
    <s v="TCK-22693"/>
    <d v="2026-08-23T14:04:00"/>
    <s v="Tier 2 Support"/>
    <x v="2"/>
    <x v="1"/>
    <x v="2"/>
    <x v="0"/>
    <x v="3"/>
    <n v="4"/>
    <x v="2"/>
    <d v="2026-08-23T15:57:00"/>
    <s v="No"/>
    <m/>
    <s v="Technical Issue Resolved Remotely"/>
    <n v="1.8833333333604969"/>
    <x v="1"/>
  </r>
  <r>
    <s v="TCK-20308"/>
    <d v="2026-03-14T23:22:00"/>
    <s v="Tier 2 Support"/>
    <x v="2"/>
    <x v="5"/>
    <x v="3"/>
    <x v="5"/>
    <x v="0"/>
    <n v="24"/>
    <x v="0"/>
    <d v="2026-03-15T20:51:00"/>
    <s v="No"/>
    <n v="2"/>
    <s v="Resolved On First Contact"/>
    <n v="21.483333333337214"/>
    <x v="0"/>
  </r>
  <r>
    <s v="TCK-21531"/>
    <d v="2026-05-20T21:21:00"/>
    <s v="Tier 1 Support"/>
    <x v="7"/>
    <x v="6"/>
    <x v="2"/>
    <x v="4"/>
    <x v="2"/>
    <n v="8"/>
    <x v="0"/>
    <d v="2026-05-21T03:50:00"/>
    <s v="No"/>
    <n v="5"/>
    <s v="Not Specified"/>
    <n v="6.4833333333372138"/>
    <x v="0"/>
  </r>
  <r>
    <s v="TCK-22127"/>
    <d v="2026-02-19T10:40:00"/>
    <s v="Tier 2 Support"/>
    <x v="3"/>
    <x v="0"/>
    <x v="0"/>
    <x v="4"/>
    <x v="1"/>
    <n v="48"/>
    <x v="2"/>
    <d v="2026-02-24T15:03:00"/>
    <s v="No"/>
    <n v="5"/>
    <s v="Resolved On First Contact"/>
    <n v="124.38333333330229"/>
    <x v="1"/>
  </r>
  <r>
    <s v="TCK-20047"/>
    <d v="2026-04-01T04:20:00"/>
    <s v="Technical Support"/>
    <x v="4"/>
    <x v="6"/>
    <x v="3"/>
    <x v="5"/>
    <x v="2"/>
    <n v="8"/>
    <x v="3"/>
    <d v="2026-04-01T08:10:00"/>
    <s v="No"/>
    <m/>
    <s v="Awaiting Customer Response"/>
    <n v="3.8333333334303461"/>
    <x v="1"/>
  </r>
  <r>
    <s v="TCK-20870"/>
    <d v="2026-07-31T02:54:00"/>
    <s v="Billing Support"/>
    <x v="5"/>
    <x v="6"/>
    <x v="1"/>
    <x v="4"/>
    <x v="1"/>
    <n v="48"/>
    <x v="4"/>
    <s v="Missing Resolve Date"/>
    <s v="Yes"/>
    <m/>
    <s v="Technical Issue Resolved Remotely"/>
    <s v=""/>
    <x v="1"/>
  </r>
  <r>
    <s v="TCK-21137"/>
    <d v="2026-01-13T06:14:00"/>
    <s v="Technical Support"/>
    <x v="4"/>
    <x v="5"/>
    <x v="1"/>
    <x v="0"/>
    <x v="3"/>
    <n v="4"/>
    <x v="0"/>
    <d v="2026-01-13T07:03:00"/>
    <s v="No"/>
    <n v="4"/>
    <s v="Required Follow-Up Call"/>
    <n v="0.8166666665347293"/>
    <x v="0"/>
  </r>
  <r>
    <s v="TCK-22059"/>
    <d v="2026-05-29T10:00:00"/>
    <s v="Technical Support"/>
    <x v="4"/>
    <x v="1"/>
    <x v="3"/>
    <x v="5"/>
    <x v="0"/>
    <n v="24"/>
    <x v="2"/>
    <d v="2026-05-30T05:24:00"/>
    <s v="No"/>
    <n v="1"/>
    <s v="Customer Requested Refund"/>
    <n v="19.400000000023283"/>
    <x v="1"/>
  </r>
  <r>
    <s v="TCK-20949"/>
    <d v="2026-08-17T21:30:00"/>
    <s v="Billing Support"/>
    <x v="0"/>
    <x v="1"/>
    <x v="3"/>
    <x v="5"/>
    <x v="0"/>
    <n v="24"/>
    <x v="0"/>
    <d v="2026-08-18T03:42:00"/>
    <s v="No"/>
    <n v="1"/>
    <s v="Resolved On First Contact"/>
    <n v="6.1999999999534339"/>
    <x v="0"/>
  </r>
  <r>
    <s v="TCK-21283"/>
    <d v="2026-02-26T17:55:00"/>
    <s v="Billing Support"/>
    <x v="0"/>
    <x v="6"/>
    <x v="0"/>
    <x v="4"/>
    <x v="1"/>
    <n v="48"/>
    <x v="2"/>
    <d v="2026-02-27T03:22:00"/>
    <s v="No"/>
    <m/>
    <s v="Technical Issue Resolved Remotely"/>
    <n v="9.4499999998952262"/>
    <x v="1"/>
  </r>
  <r>
    <s v="TCK-21239"/>
    <d v="2026-02-09T11:24:00"/>
    <s v="Tier 1 Support"/>
    <x v="1"/>
    <x v="0"/>
    <x v="0"/>
    <x v="4"/>
    <x v="2"/>
    <n v="8"/>
    <x v="2"/>
    <d v="2026-02-09T15:46:00"/>
    <s v="No"/>
    <n v="5"/>
    <s v="Customer Requested Refund"/>
    <n v="4.3666666667559184"/>
    <x v="1"/>
  </r>
  <r>
    <s v="TCK-21435"/>
    <d v="2026-06-12T16:14:00"/>
    <s v="Billing Support"/>
    <x v="5"/>
    <x v="2"/>
    <x v="2"/>
    <x v="3"/>
    <x v="2"/>
    <n v="8"/>
    <x v="2"/>
    <d v="2026-06-12T18:42:00"/>
    <s v="No"/>
    <m/>
    <s v="Escalated To Senior Agent"/>
    <n v="2.4666666666744277"/>
    <x v="1"/>
  </r>
  <r>
    <s v="TCK-22382"/>
    <d v="2026-08-13T04:26:00"/>
    <s v="Technical Support"/>
    <x v="4"/>
    <x v="4"/>
    <x v="2"/>
    <x v="1"/>
    <x v="1"/>
    <n v="48"/>
    <x v="4"/>
    <s v="Missing Resolve Date"/>
    <s v="Yes"/>
    <m/>
    <s v="Not Specified"/>
    <s v=""/>
    <x v="1"/>
  </r>
  <r>
    <s v="TCK-20430"/>
    <d v="2026-08-12T12:10:00"/>
    <s v="Tier 1 Support"/>
    <x v="1"/>
    <x v="4"/>
    <x v="2"/>
    <x v="4"/>
    <x v="1"/>
    <n v="48"/>
    <x v="5"/>
    <s v="Missing Resolve Date"/>
    <s v="No"/>
    <m/>
    <s v="Awaiting Customer Response"/>
    <s v=""/>
    <x v="1"/>
  </r>
  <r>
    <s v="TCK-20568"/>
    <d v="2026-05-10T15:06:00"/>
    <s v="Tier 2 Support"/>
    <x v="2"/>
    <x v="6"/>
    <x v="2"/>
    <x v="2"/>
    <x v="2"/>
    <n v="8"/>
    <x v="5"/>
    <s v="Missing Resolve Date"/>
    <s v="No"/>
    <m/>
    <s v="Customer Satisfied With Resolution"/>
    <s v=""/>
    <x v="1"/>
  </r>
  <r>
    <s v="TCK-22196"/>
    <d v="2026-05-28T03:16:00"/>
    <s v="Billing Support"/>
    <x v="5"/>
    <x v="5"/>
    <x v="1"/>
    <x v="0"/>
    <x v="1"/>
    <n v="48"/>
    <x v="0"/>
    <d v="2026-05-29T10:36:00"/>
    <s v="No"/>
    <m/>
    <s v="Escalated To Senior Agent"/>
    <n v="31.333333333313931"/>
    <x v="0"/>
  </r>
  <r>
    <s v="TCK-22111"/>
    <d v="2026-07-04T16:28:00"/>
    <s v="Tier 2 Support"/>
    <x v="3"/>
    <x v="4"/>
    <x v="1"/>
    <x v="2"/>
    <x v="0"/>
    <n v="24"/>
    <x v="0"/>
    <d v="2026-07-05T00:45:00"/>
    <s v="No"/>
    <n v="5"/>
    <s v="Technical Issue Resolved Remotely"/>
    <n v="8.2833333332673647"/>
    <x v="0"/>
  </r>
  <r>
    <s v="TCK-23173"/>
    <d v="2026-02-25T22:35:00"/>
    <s v="Tier 1 Support"/>
    <x v="7"/>
    <x v="2"/>
    <x v="3"/>
    <x v="0"/>
    <x v="0"/>
    <n v="24"/>
    <x v="2"/>
    <d v="2026-02-25T23:28:00"/>
    <s v="No"/>
    <n v="1"/>
    <s v="Not Specified"/>
    <n v="0.88333333341870457"/>
    <x v="1"/>
  </r>
  <r>
    <s v="TCK-21923"/>
    <d v="2026-04-19T07:51:00"/>
    <s v="Technical Support"/>
    <x v="4"/>
    <x v="6"/>
    <x v="2"/>
    <x v="0"/>
    <x v="3"/>
    <n v="4"/>
    <x v="5"/>
    <s v="Missing Resolve Date"/>
    <s v="No"/>
    <m/>
    <s v="Repeat Issue From Same Customer"/>
    <s v=""/>
    <x v="1"/>
  </r>
  <r>
    <s v="TCK-20215"/>
    <d v="2026-04-21T01:05:00"/>
    <s v="Technical Support"/>
    <x v="6"/>
    <x v="0"/>
    <x v="2"/>
    <x v="2"/>
    <x v="0"/>
    <n v="24"/>
    <x v="0"/>
    <d v="2026-04-22T14:30:00"/>
    <s v="No"/>
    <n v="5"/>
    <s v="Resolved On First Contact"/>
    <n v="37.416666666569654"/>
    <x v="2"/>
  </r>
  <r>
    <s v="TCK-21716"/>
    <d v="2026-05-14T14:16:00"/>
    <s v="Tier 2 Support"/>
    <x v="2"/>
    <x v="6"/>
    <x v="3"/>
    <x v="5"/>
    <x v="1"/>
    <n v="48"/>
    <x v="0"/>
    <d v="2026-05-19T09:38:00"/>
    <s v="No"/>
    <n v="5"/>
    <s v="Technical Issue Resolved Remotely"/>
    <n v="115.3666666665813"/>
    <x v="2"/>
  </r>
  <r>
    <s v="TCK-20988"/>
    <d v="2026-03-20T06:30:00"/>
    <s v="Tier 2 Support"/>
    <x v="2"/>
    <x v="5"/>
    <x v="0"/>
    <x v="5"/>
    <x v="2"/>
    <n v="8"/>
    <x v="4"/>
    <s v="Missing Resolve Date"/>
    <s v="Yes"/>
    <m/>
    <s v="Repeat Issue From Same Customer"/>
    <s v=""/>
    <x v="1"/>
  </r>
  <r>
    <s v="TCK-22012"/>
    <d v="2026-05-18T05:51:00"/>
    <s v="Technical Support"/>
    <x v="4"/>
    <x v="0"/>
    <x v="1"/>
    <x v="2"/>
    <x v="1"/>
    <n v="48"/>
    <x v="0"/>
    <d v="2026-05-19T10:00:00"/>
    <s v="No"/>
    <n v="5"/>
    <s v="Customer Requested Refund"/>
    <n v="28.149999999906868"/>
    <x v="0"/>
  </r>
  <r>
    <s v="TCK-21403"/>
    <d v="2026-08-23T16:41:00"/>
    <s v="Tier 2 Support"/>
    <x v="3"/>
    <x v="1"/>
    <x v="2"/>
    <x v="3"/>
    <x v="0"/>
    <n v="24"/>
    <x v="5"/>
    <s v="Missing Resolve Date"/>
    <s v="No"/>
    <m/>
    <s v="Resolved On First Contact"/>
    <s v=""/>
    <x v="1"/>
  </r>
  <r>
    <s v="TCK-22869"/>
    <d v="2026-05-11T12:49:00"/>
    <s v="Technical Support"/>
    <x v="4"/>
    <x v="4"/>
    <x v="0"/>
    <x v="4"/>
    <x v="0"/>
    <n v="24"/>
    <x v="1"/>
    <s v="Missing Resolve Date"/>
    <s v="No"/>
    <m/>
    <s v="Repeat Issue From Same Customer"/>
    <s v=""/>
    <x v="1"/>
  </r>
  <r>
    <s v="TCK-21614"/>
    <d v="2026-01-14T04:48:00"/>
    <s v="Tier 1 Support"/>
    <x v="7"/>
    <x v="2"/>
    <x v="2"/>
    <x v="3"/>
    <x v="3"/>
    <n v="4"/>
    <x v="0"/>
    <d v="2026-01-14T07:08:00"/>
    <s v="No"/>
    <n v="5"/>
    <s v="Not Specified"/>
    <n v="2.3333333334303461"/>
    <x v="0"/>
  </r>
  <r>
    <s v="TCK-21495"/>
    <d v="2026-07-04T14:32:00"/>
    <s v="Tier 1 Support"/>
    <x v="1"/>
    <x v="0"/>
    <x v="0"/>
    <x v="1"/>
    <x v="1"/>
    <n v="48"/>
    <x v="2"/>
    <d v="2026-07-08T13:03:00"/>
    <s v="No"/>
    <n v="4"/>
    <s v="Customer Satisfied With Resolution"/>
    <n v="94.516666666546371"/>
    <x v="1"/>
  </r>
  <r>
    <s v="TCK-20571"/>
    <d v="2026-04-24T08:41:00"/>
    <s v="Billing Support"/>
    <x v="0"/>
    <x v="0"/>
    <x v="0"/>
    <x v="2"/>
    <x v="3"/>
    <n v="4"/>
    <x v="0"/>
    <d v="2026-04-24T11:07:00"/>
    <s v="Yes"/>
    <n v="2"/>
    <s v="Required Follow-Up Call"/>
    <n v="2.4333333332324401"/>
    <x v="0"/>
  </r>
  <r>
    <s v="TCK-22118"/>
    <d v="2026-05-31T08:04:00"/>
    <s v="Billing Support"/>
    <x v="5"/>
    <x v="0"/>
    <x v="2"/>
    <x v="3"/>
    <x v="1"/>
    <n v="48"/>
    <x v="5"/>
    <s v="Missing Resolve Date"/>
    <s v="No"/>
    <m/>
    <s v="Awaiting Customer Response"/>
    <s v=""/>
    <x v="1"/>
  </r>
  <r>
    <s v="TCK-22706"/>
    <d v="2026-08-01T02:44:00"/>
    <s v="Tier 2 Support"/>
    <x v="3"/>
    <x v="2"/>
    <x v="1"/>
    <x v="0"/>
    <x v="3"/>
    <n v="4"/>
    <x v="0"/>
    <d v="2026-08-01T04:14:00"/>
    <s v="Yes"/>
    <n v="5"/>
    <s v="Technical Issue Resolved Remotely"/>
    <n v="1.5"/>
    <x v="0"/>
  </r>
  <r>
    <s v="TCK-20172"/>
    <d v="2026-03-19T10:56:00"/>
    <s v="Tier 1 Support"/>
    <x v="1"/>
    <x v="3"/>
    <x v="2"/>
    <x v="5"/>
    <x v="2"/>
    <n v="8"/>
    <x v="0"/>
    <d v="2026-03-20T03:06:00"/>
    <s v="No"/>
    <n v="1"/>
    <s v="Repeat Issue From Same Customer"/>
    <n v="16.166666666627862"/>
    <x v="2"/>
  </r>
  <r>
    <s v="TCK-22052"/>
    <d v="2026-04-17T18:07:00"/>
    <s v="Tier 1 Support"/>
    <x v="1"/>
    <x v="0"/>
    <x v="1"/>
    <x v="2"/>
    <x v="1"/>
    <n v="48"/>
    <x v="0"/>
    <d v="2026-04-18T07:17:00"/>
    <s v="No"/>
    <n v="5"/>
    <s v="Technical Issue Resolved Remotely"/>
    <n v="13.166666666627862"/>
    <x v="0"/>
  </r>
  <r>
    <s v="TCK-23088"/>
    <d v="2026-06-28T17:59:00"/>
    <s v="Technical Support"/>
    <x v="4"/>
    <x v="2"/>
    <x v="1"/>
    <x v="0"/>
    <x v="1"/>
    <n v="48"/>
    <x v="1"/>
    <s v="Missing Resolve Date"/>
    <s v="No"/>
    <m/>
    <s v="Awaiting Customer Response"/>
    <s v=""/>
    <x v="1"/>
  </r>
  <r>
    <s v="TCK-20029"/>
    <d v="2026-08-06T13:06:00"/>
    <s v="Tier 1 Support"/>
    <x v="1"/>
    <x v="1"/>
    <x v="2"/>
    <x v="3"/>
    <x v="2"/>
    <n v="8"/>
    <x v="2"/>
    <d v="2026-08-06T19:55:00"/>
    <s v="No"/>
    <n v="4"/>
    <s v="Technical Issue Resolved Remotely"/>
    <n v="6.8166666667093523"/>
    <x v="1"/>
  </r>
  <r>
    <s v="TCK-20019"/>
    <d v="2026-03-02T06:48:00"/>
    <s v="Billing Support"/>
    <x v="0"/>
    <x v="3"/>
    <x v="3"/>
    <x v="5"/>
    <x v="1"/>
    <n v="48"/>
    <x v="0"/>
    <d v="2026-03-03T06:42:00"/>
    <s v="No"/>
    <n v="3"/>
    <s v="Awaiting Customer Response"/>
    <n v="23.900000000023283"/>
    <x v="0"/>
  </r>
  <r>
    <s v="TCK-22852"/>
    <d v="2026-08-20T20:59:00"/>
    <s v="Tier 1 Support"/>
    <x v="1"/>
    <x v="6"/>
    <x v="1"/>
    <x v="1"/>
    <x v="2"/>
    <n v="8"/>
    <x v="5"/>
    <s v="Missing Resolve Date"/>
    <s v="No"/>
    <m/>
    <s v="Repeat Issue From Same Customer"/>
    <s v=""/>
    <x v="1"/>
  </r>
  <r>
    <s v="TCK-22507"/>
    <d v="2026-03-17T14:51:00"/>
    <s v="Technical Support"/>
    <x v="4"/>
    <x v="2"/>
    <x v="1"/>
    <x v="4"/>
    <x v="0"/>
    <n v="24"/>
    <x v="0"/>
    <d v="2026-03-18T03:19:00"/>
    <s v="No"/>
    <n v="5"/>
    <s v="Not Specified"/>
    <n v="12.46666666661622"/>
    <x v="0"/>
  </r>
  <r>
    <s v="TCK-21109"/>
    <d v="2026-08-20T23:06:00"/>
    <s v="Billing Support"/>
    <x v="5"/>
    <x v="1"/>
    <x v="0"/>
    <x v="1"/>
    <x v="0"/>
    <n v="24"/>
    <x v="0"/>
    <d v="2026-08-21T20:07:00"/>
    <s v="No"/>
    <m/>
    <s v="Resolved On First Contact"/>
    <n v="21.016666666546371"/>
    <x v="0"/>
  </r>
  <r>
    <s v="TCK-20076"/>
    <d v="2026-03-18T14:14:00"/>
    <s v="Tier 1 Support"/>
    <x v="1"/>
    <x v="4"/>
    <x v="2"/>
    <x v="3"/>
    <x v="2"/>
    <n v="8"/>
    <x v="0"/>
    <d v="2026-03-18T16:29:00"/>
    <s v="Yes"/>
    <m/>
    <s v="Customer Satisfied With Resolution"/>
    <n v="2.25"/>
    <x v="0"/>
  </r>
  <r>
    <s v="TCK-23133"/>
    <d v="2026-05-01T02:32:00"/>
    <s v="Tier 1 Support"/>
    <x v="1"/>
    <x v="2"/>
    <x v="2"/>
    <x v="0"/>
    <x v="0"/>
    <n v="24"/>
    <x v="2"/>
    <d v="2026-05-01T11:28:00"/>
    <s v="No"/>
    <m/>
    <s v="Repeat Issue From Same Customer"/>
    <n v="8.9333333332906477"/>
    <x v="1"/>
  </r>
  <r>
    <s v="TCK-20919"/>
    <d v="2026-08-10T08:49:00"/>
    <s v="Tier 2 Support"/>
    <x v="2"/>
    <x v="3"/>
    <x v="3"/>
    <x v="1"/>
    <x v="2"/>
    <n v="8"/>
    <x v="2"/>
    <d v="2026-08-10T15:15:00"/>
    <s v="No"/>
    <m/>
    <s v="Not Specified"/>
    <n v="6.4333333333488554"/>
    <x v="1"/>
  </r>
  <r>
    <s v="TCK-21563"/>
    <d v="2026-05-09T11:20:00"/>
    <s v="Tier 2 Support"/>
    <x v="2"/>
    <x v="2"/>
    <x v="3"/>
    <x v="0"/>
    <x v="2"/>
    <n v="8"/>
    <x v="2"/>
    <d v="2026-05-09T16:51:00"/>
    <s v="No"/>
    <n v="2"/>
    <s v="Not Specified"/>
    <n v="5.5166666666627862"/>
    <x v="1"/>
  </r>
  <r>
    <s v="TCK-21240"/>
    <d v="2026-05-28T11:13:00"/>
    <s v="Tier 2 Support"/>
    <x v="3"/>
    <x v="0"/>
    <x v="3"/>
    <x v="4"/>
    <x v="2"/>
    <n v="8"/>
    <x v="2"/>
    <d v="2026-05-28T13:31:00"/>
    <s v="No"/>
    <m/>
    <s v="Not Specified"/>
    <n v="2.2999999999883585"/>
    <x v="1"/>
  </r>
  <r>
    <s v="TCK-21905"/>
    <d v="2026-04-21T00:23:00"/>
    <s v="Tier 2 Support"/>
    <x v="3"/>
    <x v="5"/>
    <x v="1"/>
    <x v="4"/>
    <x v="0"/>
    <n v="24"/>
    <x v="5"/>
    <s v="Missing Resolve Date"/>
    <s v="No"/>
    <m/>
    <s v="Repeat Issue From Same Customer"/>
    <s v=""/>
    <x v="1"/>
  </r>
  <r>
    <s v="TCK-22979"/>
    <d v="2026-08-15T02:06:00"/>
    <s v="Billing Support"/>
    <x v="0"/>
    <x v="0"/>
    <x v="1"/>
    <x v="4"/>
    <x v="2"/>
    <n v="8"/>
    <x v="0"/>
    <d v="2026-08-15T08:23:00"/>
    <s v="Yes"/>
    <n v="5"/>
    <s v="Not Specified"/>
    <n v="6.28333333338378"/>
    <x v="0"/>
  </r>
  <r>
    <s v="TCK-21720"/>
    <d v="2026-06-13T12:29:00"/>
    <s v="Tier 1 Support"/>
    <x v="7"/>
    <x v="4"/>
    <x v="3"/>
    <x v="0"/>
    <x v="1"/>
    <n v="48"/>
    <x v="1"/>
    <s v="Missing Resolve Date"/>
    <s v="No"/>
    <m/>
    <s v="Resolved On First Contact"/>
    <s v=""/>
    <x v="1"/>
  </r>
  <r>
    <s v="TCK-22360"/>
    <d v="2026-01-08T00:41:00"/>
    <s v="Tier 2 Support"/>
    <x v="3"/>
    <x v="0"/>
    <x v="0"/>
    <x v="4"/>
    <x v="0"/>
    <n v="24"/>
    <x v="0"/>
    <d v="2026-01-08T02:56:00"/>
    <s v="Yes"/>
    <n v="5"/>
    <s v="Escalated To Senior Agent"/>
    <n v="2.25"/>
    <x v="0"/>
  </r>
  <r>
    <s v="TCK-21024"/>
    <d v="2026-03-08T13:08:00"/>
    <s v="Billing Support"/>
    <x v="0"/>
    <x v="6"/>
    <x v="0"/>
    <x v="1"/>
    <x v="0"/>
    <n v="24"/>
    <x v="0"/>
    <d v="2026-03-11T11:42:00"/>
    <s v="No"/>
    <m/>
    <s v="Repeat Issue From Same Customer"/>
    <n v="70.566666666709352"/>
    <x v="2"/>
  </r>
  <r>
    <s v="TCK-22251"/>
    <d v="2026-08-16T15:11:00"/>
    <s v="Billing Support"/>
    <x v="0"/>
    <x v="0"/>
    <x v="0"/>
    <x v="5"/>
    <x v="1"/>
    <n v="48"/>
    <x v="0"/>
    <d v="2026-08-17T06:15:00"/>
    <s v="No"/>
    <n v="4"/>
    <s v="Technical Issue Resolved Remotely"/>
    <n v="15.066666666534729"/>
    <x v="0"/>
  </r>
  <r>
    <s v="TCK-21360"/>
    <d v="2026-05-09T11:56:00"/>
    <s v="Technical Support"/>
    <x v="4"/>
    <x v="2"/>
    <x v="2"/>
    <x v="0"/>
    <x v="2"/>
    <n v="8"/>
    <x v="3"/>
    <d v="2026-05-09T17:04:00"/>
    <s v="No"/>
    <m/>
    <s v="Customer Requested Refund"/>
    <n v="5.1333333333022892"/>
    <x v="1"/>
  </r>
  <r>
    <s v="TCK-20315"/>
    <d v="2026-06-20T09:05:00"/>
    <s v="Tier 2 Support"/>
    <x v="2"/>
    <x v="0"/>
    <x v="2"/>
    <x v="0"/>
    <x v="0"/>
    <n v="24"/>
    <x v="0"/>
    <d v="2026-06-21T02:20:00"/>
    <s v="No"/>
    <m/>
    <s v="Not Specified"/>
    <n v="17.25"/>
    <x v="0"/>
  </r>
  <r>
    <s v="TCK-21329"/>
    <d v="2026-07-07T21:20:00"/>
    <s v="Billing Support"/>
    <x v="0"/>
    <x v="2"/>
    <x v="0"/>
    <x v="4"/>
    <x v="1"/>
    <n v="48"/>
    <x v="1"/>
    <s v="Missing Resolve Date"/>
    <s v="No"/>
    <m/>
    <s v="Not Specified"/>
    <s v=""/>
    <x v="1"/>
  </r>
  <r>
    <s v="TCK-21496"/>
    <d v="2026-03-04T14:42:00"/>
    <s v="Tier 1 Support"/>
    <x v="7"/>
    <x v="3"/>
    <x v="1"/>
    <x v="3"/>
    <x v="0"/>
    <n v="24"/>
    <x v="5"/>
    <s v="Missing Resolve Date"/>
    <s v="No"/>
    <m/>
    <s v="Customer Satisfied With Resolution"/>
    <s v=""/>
    <x v="1"/>
  </r>
  <r>
    <s v="TCK-20108"/>
    <d v="2026-08-24T05:50:00"/>
    <s v="Tier 1 Support"/>
    <x v="7"/>
    <x v="1"/>
    <x v="3"/>
    <x v="0"/>
    <x v="2"/>
    <n v="8"/>
    <x v="0"/>
    <d v="2026-08-25T00:34:00"/>
    <s v="No"/>
    <m/>
    <s v="Technical Issue Resolved Remotely"/>
    <n v="18.733333333279006"/>
    <x v="2"/>
  </r>
  <r>
    <s v="TCK-21446"/>
    <d v="2026-06-08T02:36:00"/>
    <s v="Tier 1 Support"/>
    <x v="7"/>
    <x v="2"/>
    <x v="2"/>
    <x v="0"/>
    <x v="1"/>
    <n v="48"/>
    <x v="2"/>
    <d v="2026-06-12T14:58:00"/>
    <s v="No"/>
    <m/>
    <s v="Customer Requested Refund"/>
    <n v="108.36666666681413"/>
    <x v="1"/>
  </r>
  <r>
    <s v="TCK-20528"/>
    <d v="2026-07-31T07:28:00"/>
    <s v="Technical Support"/>
    <x v="4"/>
    <x v="4"/>
    <x v="2"/>
    <x v="0"/>
    <x v="1"/>
    <n v="48"/>
    <x v="1"/>
    <s v="Missing Resolve Date"/>
    <s v="No"/>
    <m/>
    <s v="Customer Requested Refund"/>
    <s v=""/>
    <x v="1"/>
  </r>
  <r>
    <s v="TCK-22218"/>
    <d v="2026-08-08T08:12:00"/>
    <s v="Technical Support"/>
    <x v="6"/>
    <x v="2"/>
    <x v="2"/>
    <x v="2"/>
    <x v="2"/>
    <n v="8"/>
    <x v="2"/>
    <d v="2026-08-08T14:03:00"/>
    <s v="No"/>
    <n v="1"/>
    <s v="Resolved On First Contact"/>
    <n v="5.8500000000349246"/>
    <x v="1"/>
  </r>
  <r>
    <s v="TCK-21461"/>
    <d v="2026-04-04T20:05:00"/>
    <s v="Tier 2 Support"/>
    <x v="3"/>
    <x v="1"/>
    <x v="3"/>
    <x v="0"/>
    <x v="3"/>
    <n v="4"/>
    <x v="5"/>
    <s v="Missing Resolve Date"/>
    <s v="No"/>
    <m/>
    <s v="Technical Issue Resolved Remotely"/>
    <s v=""/>
    <x v="1"/>
  </r>
  <r>
    <s v="TCK-20331"/>
    <d v="2026-08-13T11:52:00"/>
    <s v="Tier 1 Support"/>
    <x v="7"/>
    <x v="4"/>
    <x v="0"/>
    <x v="5"/>
    <x v="2"/>
    <n v="8"/>
    <x v="2"/>
    <d v="2026-08-13T17:01:00"/>
    <s v="No"/>
    <n v="1"/>
    <s v="Required Follow-Up Call"/>
    <n v="5.1500000000232831"/>
    <x v="1"/>
  </r>
  <r>
    <s v="TCK-21562"/>
    <d v="2026-08-16T09:50:00"/>
    <s v="Tier 2 Support"/>
    <x v="2"/>
    <x v="3"/>
    <x v="3"/>
    <x v="5"/>
    <x v="0"/>
    <n v="24"/>
    <x v="2"/>
    <d v="2026-08-17T22:12:00"/>
    <s v="Yes"/>
    <n v="5"/>
    <s v="Resolved On First Contact"/>
    <n v="36.366666666814126"/>
    <x v="1"/>
  </r>
  <r>
    <s v="TCK-20879"/>
    <d v="2026-07-02T19:38:00"/>
    <s v="Technical Support"/>
    <x v="6"/>
    <x v="2"/>
    <x v="3"/>
    <x v="5"/>
    <x v="0"/>
    <n v="24"/>
    <x v="2"/>
    <d v="2026-07-03T16:01:00"/>
    <s v="No"/>
    <n v="5"/>
    <s v="Customer Requested Refund"/>
    <n v="20.383333333244082"/>
    <x v="1"/>
  </r>
  <r>
    <s v="TCK-20545"/>
    <d v="2026-04-22T02:18:00"/>
    <s v="Billing Support"/>
    <x v="5"/>
    <x v="1"/>
    <x v="0"/>
    <x v="4"/>
    <x v="0"/>
    <n v="24"/>
    <x v="0"/>
    <d v="2026-04-22T16:24:00"/>
    <s v="No"/>
    <n v="5"/>
    <s v="Awaiting Customer Response"/>
    <n v="14.100000000034925"/>
    <x v="0"/>
  </r>
  <r>
    <s v="TCK-20034"/>
    <d v="2026-07-22T00:17:00"/>
    <s v="Billing Support"/>
    <x v="0"/>
    <x v="4"/>
    <x v="1"/>
    <x v="0"/>
    <x v="2"/>
    <n v="8"/>
    <x v="0"/>
    <d v="2026-07-22T06:02:00"/>
    <s v="No"/>
    <n v="1"/>
    <s v="Customer Requested Refund"/>
    <n v="5.7499999998835847"/>
    <x v="0"/>
  </r>
  <r>
    <s v="TCK-22062"/>
    <d v="2026-07-15T20:49:00"/>
    <s v="Tier 2 Support"/>
    <x v="3"/>
    <x v="4"/>
    <x v="2"/>
    <x v="3"/>
    <x v="1"/>
    <n v="48"/>
    <x v="4"/>
    <s v="Missing Resolve Date"/>
    <s v="Yes"/>
    <m/>
    <s v="Repeat Issue From Same Customer"/>
    <s v=""/>
    <x v="1"/>
  </r>
  <r>
    <s v="TCK-22117"/>
    <d v="2026-08-03T05:47:00"/>
    <s v="Technical Support"/>
    <x v="4"/>
    <x v="0"/>
    <x v="0"/>
    <x v="0"/>
    <x v="1"/>
    <n v="48"/>
    <x v="0"/>
    <d v="2026-08-04T01:33:00"/>
    <s v="No"/>
    <m/>
    <s v="Required Follow-Up Call"/>
    <n v="19.766666666662786"/>
    <x v="0"/>
  </r>
  <r>
    <s v="TCK-20474"/>
    <d v="2026-01-22T18:42:00"/>
    <s v="Tier 1 Support"/>
    <x v="1"/>
    <x v="2"/>
    <x v="2"/>
    <x v="3"/>
    <x v="2"/>
    <n v="8"/>
    <x v="2"/>
    <d v="2026-01-22T19:48:00"/>
    <s v="No"/>
    <m/>
    <s v="Awaiting Customer Response"/>
    <n v="1.0999999999185093"/>
    <x v="1"/>
  </r>
  <r>
    <s v="TCK-21743"/>
    <d v="2026-07-27T15:36:00"/>
    <s v="Tier 1 Support"/>
    <x v="7"/>
    <x v="4"/>
    <x v="2"/>
    <x v="1"/>
    <x v="2"/>
    <n v="8"/>
    <x v="2"/>
    <d v="2026-07-27T20:07:00"/>
    <s v="No"/>
    <m/>
    <s v="Resolved On First Contact"/>
    <n v="4.5166666665463708"/>
    <x v="1"/>
  </r>
  <r>
    <s v="TCK-20632"/>
    <d v="2026-04-07T12:44:00"/>
    <s v="Tier 1 Support"/>
    <x v="1"/>
    <x v="4"/>
    <x v="2"/>
    <x v="2"/>
    <x v="0"/>
    <n v="24"/>
    <x v="0"/>
    <d v="2026-04-08T09:15:00"/>
    <s v="No"/>
    <n v="4"/>
    <s v="Required Follow-Up Call"/>
    <n v="20.516666666662786"/>
    <x v="0"/>
  </r>
  <r>
    <s v="TCK-21644"/>
    <d v="2026-07-14T23:58:00"/>
    <s v="Tier 1 Support"/>
    <x v="7"/>
    <x v="1"/>
    <x v="3"/>
    <x v="2"/>
    <x v="1"/>
    <n v="48"/>
    <x v="0"/>
    <d v="2026-07-15T18:41:00"/>
    <s v="No"/>
    <m/>
    <s v="Escalated To Senior Agent"/>
    <n v="18.716666666558012"/>
    <x v="0"/>
  </r>
  <r>
    <s v="TCK-22884"/>
    <d v="2026-01-17T15:18:00"/>
    <s v="Billing Support"/>
    <x v="5"/>
    <x v="2"/>
    <x v="1"/>
    <x v="2"/>
    <x v="3"/>
    <n v="4"/>
    <x v="0"/>
    <d v="2026-01-17T20:36:00"/>
    <s v="No"/>
    <n v="4"/>
    <s v="Technical Issue Resolved Remotely"/>
    <n v="5.2999999999883585"/>
    <x v="2"/>
  </r>
  <r>
    <s v="TCK-22804"/>
    <d v="2026-04-28T06:41:00"/>
    <s v="Tier 2 Support"/>
    <x v="2"/>
    <x v="1"/>
    <x v="3"/>
    <x v="0"/>
    <x v="2"/>
    <n v="8"/>
    <x v="4"/>
    <s v="Missing Resolve Date"/>
    <s v="Yes"/>
    <m/>
    <s v="Customer Satisfied With Resolution"/>
    <s v=""/>
    <x v="1"/>
  </r>
  <r>
    <s v="TCK-22654"/>
    <d v="2026-04-24T06:53:00"/>
    <s v="Tier 1 Support"/>
    <x v="1"/>
    <x v="2"/>
    <x v="3"/>
    <x v="2"/>
    <x v="1"/>
    <n v="48"/>
    <x v="2"/>
    <d v="2026-04-24T12:06:00"/>
    <s v="No"/>
    <n v="4"/>
    <s v="Not Specified"/>
    <n v="5.2166666665580124"/>
    <x v="1"/>
  </r>
  <r>
    <s v="TCK-22407"/>
    <d v="2026-05-11T05:49:00"/>
    <s v="Billing Support"/>
    <x v="5"/>
    <x v="4"/>
    <x v="0"/>
    <x v="3"/>
    <x v="1"/>
    <n v="48"/>
    <x v="4"/>
    <s v="Missing Resolve Date"/>
    <s v="Yes"/>
    <m/>
    <s v="Resolved On First Contact"/>
    <s v=""/>
    <x v="1"/>
  </r>
  <r>
    <s v="TCK-23071"/>
    <d v="2026-06-18T10:09:00"/>
    <s v="Billing Support"/>
    <x v="0"/>
    <x v="3"/>
    <x v="3"/>
    <x v="5"/>
    <x v="1"/>
    <n v="48"/>
    <x v="2"/>
    <d v="2026-06-19T06:07:00"/>
    <s v="No"/>
    <n v="5"/>
    <s v="Not Specified"/>
    <n v="19.96666666661622"/>
    <x v="1"/>
  </r>
  <r>
    <s v="TCK-20708"/>
    <d v="2026-08-19T04:16:00"/>
    <s v="Technical Support"/>
    <x v="4"/>
    <x v="0"/>
    <x v="0"/>
    <x v="0"/>
    <x v="0"/>
    <n v="24"/>
    <x v="0"/>
    <d v="2026-08-19T06:20:00"/>
    <s v="No"/>
    <n v="4"/>
    <s v="Not Specified"/>
    <n v="2.0666666667675599"/>
    <x v="0"/>
  </r>
  <r>
    <s v="TCK-20931"/>
    <d v="2026-04-19T11:03:00"/>
    <s v="Tier 1 Support"/>
    <x v="1"/>
    <x v="4"/>
    <x v="3"/>
    <x v="5"/>
    <x v="1"/>
    <n v="48"/>
    <x v="0"/>
    <d v="2026-04-20T20:41:00"/>
    <s v="No"/>
    <n v="4"/>
    <s v="Customer Satisfied With Resolution"/>
    <n v="33.633333333302289"/>
    <x v="0"/>
  </r>
  <r>
    <s v="TCK-20252"/>
    <d v="2026-03-13T03:07:00"/>
    <s v="Tier 1 Support"/>
    <x v="7"/>
    <x v="6"/>
    <x v="1"/>
    <x v="2"/>
    <x v="3"/>
    <n v="4"/>
    <x v="1"/>
    <s v="Missing Resolve Date"/>
    <s v="No"/>
    <m/>
    <s v="Customer Requested Refund"/>
    <s v=""/>
    <x v="1"/>
  </r>
  <r>
    <s v="TCK-23198"/>
    <d v="2026-05-16T10:01:00"/>
    <s v="Billing Support"/>
    <x v="0"/>
    <x v="2"/>
    <x v="2"/>
    <x v="5"/>
    <x v="1"/>
    <n v="48"/>
    <x v="1"/>
    <s v="Missing Resolve Date"/>
    <s v="No"/>
    <m/>
    <s v="Customer Satisfied With Resolution"/>
    <s v=""/>
    <x v="1"/>
  </r>
  <r>
    <s v="TCK-21754"/>
    <d v="2026-05-23T05:10:00"/>
    <s v="Tier 2 Support"/>
    <x v="3"/>
    <x v="2"/>
    <x v="1"/>
    <x v="3"/>
    <x v="2"/>
    <n v="8"/>
    <x v="2"/>
    <d v="2026-05-23T06:06:00"/>
    <s v="No"/>
    <m/>
    <s v="Not Specified"/>
    <n v="0.93333333323244005"/>
    <x v="1"/>
  </r>
  <r>
    <s v="TCK-22479"/>
    <d v="2026-04-19T13:05:00"/>
    <s v="Tier 2 Support"/>
    <x v="3"/>
    <x v="2"/>
    <x v="3"/>
    <x v="1"/>
    <x v="1"/>
    <n v="48"/>
    <x v="2"/>
    <d v="2026-04-20T11:44:00"/>
    <s v="No"/>
    <m/>
    <s v="Technical Issue Resolved Remotely"/>
    <n v="22.649999999965075"/>
    <x v="1"/>
  </r>
  <r>
    <s v="TCK-22940"/>
    <d v="2026-05-21T02:59:00"/>
    <s v="Technical Support"/>
    <x v="4"/>
    <x v="2"/>
    <x v="0"/>
    <x v="5"/>
    <x v="2"/>
    <n v="8"/>
    <x v="5"/>
    <s v="Missing Resolve Date"/>
    <s v="No"/>
    <m/>
    <s v="Not Specified"/>
    <s v=""/>
    <x v="1"/>
  </r>
  <r>
    <s v="TCK-20537"/>
    <d v="2026-05-15T20:19:00"/>
    <s v="Tier 2 Support"/>
    <x v="2"/>
    <x v="2"/>
    <x v="1"/>
    <x v="3"/>
    <x v="1"/>
    <n v="48"/>
    <x v="5"/>
    <s v="Missing Resolve Date"/>
    <s v="No"/>
    <m/>
    <s v="Customer Satisfied With Resolution"/>
    <s v=""/>
    <x v="1"/>
  </r>
  <r>
    <s v="TCK-22087"/>
    <d v="2026-06-25T16:07:00"/>
    <s v="Billing Support"/>
    <x v="0"/>
    <x v="3"/>
    <x v="0"/>
    <x v="4"/>
    <x v="2"/>
    <n v="8"/>
    <x v="0"/>
    <d v="2026-06-25T19:03:00"/>
    <s v="No"/>
    <n v="3"/>
    <s v="Awaiting Customer Response"/>
    <n v="2.9333333332906477"/>
    <x v="0"/>
  </r>
  <r>
    <s v="TCK-21958"/>
    <d v="2026-07-31T12:29:00"/>
    <s v="Billing Support"/>
    <x v="0"/>
    <x v="0"/>
    <x v="3"/>
    <x v="4"/>
    <x v="1"/>
    <n v="48"/>
    <x v="0"/>
    <d v="2026-07-31T16:11:00"/>
    <s v="No"/>
    <m/>
    <s v="Not Specified"/>
    <n v="3.7000000000116415"/>
    <x v="0"/>
  </r>
  <r>
    <s v="TCK-21597"/>
    <d v="2026-02-02T08:13:00"/>
    <s v="Technical Support"/>
    <x v="6"/>
    <x v="5"/>
    <x v="3"/>
    <x v="0"/>
    <x v="1"/>
    <n v="48"/>
    <x v="5"/>
    <s v="Missing Resolve Date"/>
    <s v="No"/>
    <m/>
    <s v="Technical Issue Resolved Remotely"/>
    <s v=""/>
    <x v="1"/>
  </r>
  <r>
    <s v="TCK-20893"/>
    <d v="2026-06-04T09:14:00"/>
    <s v="Tier 1 Support"/>
    <x v="7"/>
    <x v="6"/>
    <x v="2"/>
    <x v="4"/>
    <x v="3"/>
    <n v="4"/>
    <x v="0"/>
    <d v="2026-06-04T11:46:00"/>
    <s v="No"/>
    <n v="1"/>
    <s v="Not Specified"/>
    <n v="2.533333333209157"/>
    <x v="0"/>
  </r>
  <r>
    <s v="TCK-22396"/>
    <d v="2026-06-07T22:56:00"/>
    <s v="Technical Support"/>
    <x v="6"/>
    <x v="6"/>
    <x v="2"/>
    <x v="4"/>
    <x v="0"/>
    <n v="24"/>
    <x v="2"/>
    <d v="2026-06-08T06:29:00"/>
    <s v="No"/>
    <n v="5"/>
    <s v="Not Specified"/>
    <n v="7.5499999999883585"/>
    <x v="1"/>
  </r>
  <r>
    <s v="TCK-21215"/>
    <d v="2026-03-05T22:07:00"/>
    <s v="Billing Support"/>
    <x v="5"/>
    <x v="1"/>
    <x v="3"/>
    <x v="5"/>
    <x v="2"/>
    <n v="8"/>
    <x v="0"/>
    <d v="2026-03-06T05:15:00"/>
    <s v="No"/>
    <n v="5"/>
    <s v="Awaiting Customer Response"/>
    <n v="7.1333333333604969"/>
    <x v="0"/>
  </r>
  <r>
    <s v="TCK-22214"/>
    <d v="2026-03-17T02:34:00"/>
    <s v="Tier 2 Support"/>
    <x v="2"/>
    <x v="6"/>
    <x v="1"/>
    <x v="2"/>
    <x v="3"/>
    <n v="4"/>
    <x v="0"/>
    <d v="2026-03-17T05:08:00"/>
    <s v="No"/>
    <n v="5"/>
    <s v="Customer Satisfied With Resolution"/>
    <n v="2.5666666666511446"/>
    <x v="0"/>
  </r>
  <r>
    <s v="TCK-21537"/>
    <d v="2026-02-04T11:00:00"/>
    <s v="Billing Support"/>
    <x v="5"/>
    <x v="5"/>
    <x v="2"/>
    <x v="4"/>
    <x v="3"/>
    <n v="4"/>
    <x v="2"/>
    <d v="2026-02-04T11:44:00"/>
    <s v="No"/>
    <n v="5"/>
    <s v="Customer Satisfied With Resolution"/>
    <n v="0.73333333327900618"/>
    <x v="1"/>
  </r>
  <r>
    <s v="TCK-21903"/>
    <d v="2026-01-30T06:47:00"/>
    <s v="Billing Support"/>
    <x v="0"/>
    <x v="1"/>
    <x v="0"/>
    <x v="5"/>
    <x v="3"/>
    <n v="4"/>
    <x v="0"/>
    <d v="2026-01-30T14:23:00"/>
    <s v="No"/>
    <n v="1"/>
    <s v="Not Specified"/>
    <n v="7.6000000001513399"/>
    <x v="2"/>
  </r>
  <r>
    <s v="TCK-20977"/>
    <d v="2026-08-06T11:27:00"/>
    <s v="Billing Support"/>
    <x v="0"/>
    <x v="1"/>
    <x v="3"/>
    <x v="4"/>
    <x v="0"/>
    <n v="24"/>
    <x v="3"/>
    <d v="2026-08-08T03:03:00"/>
    <s v="No"/>
    <m/>
    <s v="Resolved On First Contact"/>
    <n v="39.600000000034925"/>
    <x v="1"/>
  </r>
  <r>
    <s v="TCK-21357"/>
    <d v="2026-06-17T01:13:00"/>
    <s v="Tier 2 Support"/>
    <x v="2"/>
    <x v="3"/>
    <x v="2"/>
    <x v="2"/>
    <x v="1"/>
    <n v="48"/>
    <x v="0"/>
    <d v="2026-06-21T06:54:00"/>
    <s v="No"/>
    <m/>
    <s v="Customer Requested Refund"/>
    <n v="101.68333333334886"/>
    <x v="2"/>
  </r>
  <r>
    <s v="TCK-21376"/>
    <d v="2026-05-31T11:29:00"/>
    <s v="Tier 2 Support"/>
    <x v="2"/>
    <x v="5"/>
    <x v="1"/>
    <x v="2"/>
    <x v="0"/>
    <n v="24"/>
    <x v="0"/>
    <d v="2026-05-31T23:28:00"/>
    <s v="No"/>
    <n v="5"/>
    <s v="Awaiting Customer Response"/>
    <n v="11.983333333279006"/>
    <x v="0"/>
  </r>
  <r>
    <s v="TCK-20683"/>
    <d v="2026-07-20T06:01:00"/>
    <s v="Tier 2 Support"/>
    <x v="2"/>
    <x v="5"/>
    <x v="2"/>
    <x v="5"/>
    <x v="2"/>
    <n v="8"/>
    <x v="1"/>
    <s v="Missing Resolve Date"/>
    <s v="No"/>
    <m/>
    <s v="Customer Requested Refund"/>
    <s v=""/>
    <x v="1"/>
  </r>
  <r>
    <s v="TCK-20370"/>
    <d v="2026-07-23T07:14:00"/>
    <s v="Tier 2 Support"/>
    <x v="3"/>
    <x v="6"/>
    <x v="2"/>
    <x v="0"/>
    <x v="1"/>
    <n v="48"/>
    <x v="0"/>
    <d v="2026-07-23T12:03:00"/>
    <s v="No"/>
    <m/>
    <s v="Awaiting Customer Response"/>
    <n v="4.8166666666511446"/>
    <x v="0"/>
  </r>
  <r>
    <s v="TCK-23069"/>
    <d v="2026-04-10T12:30:00"/>
    <s v="Tier 1 Support"/>
    <x v="7"/>
    <x v="0"/>
    <x v="3"/>
    <x v="2"/>
    <x v="2"/>
    <n v="8"/>
    <x v="0"/>
    <d v="2026-04-10T14:59:00"/>
    <s v="No"/>
    <n v="5"/>
    <s v="Customer Satisfied With Resolution"/>
    <n v="2.4833333332207985"/>
    <x v="0"/>
  </r>
  <r>
    <s v="TCK-22018"/>
    <d v="2026-03-25T22:34:00"/>
    <s v="Tier 2 Support"/>
    <x v="3"/>
    <x v="0"/>
    <x v="0"/>
    <x v="3"/>
    <x v="0"/>
    <n v="24"/>
    <x v="2"/>
    <d v="2026-03-27T08:59:00"/>
    <s v="No"/>
    <n v="5"/>
    <s v="Resolved On First Contact"/>
    <n v="34.416666666569654"/>
    <x v="1"/>
  </r>
  <r>
    <s v="TCK-22300"/>
    <d v="2026-05-13T11:40:00"/>
    <s v="Billing Support"/>
    <x v="0"/>
    <x v="6"/>
    <x v="2"/>
    <x v="1"/>
    <x v="1"/>
    <n v="48"/>
    <x v="0"/>
    <d v="2026-05-13T13:04:00"/>
    <s v="No"/>
    <n v="3"/>
    <s v="Customer Satisfied With Resolution"/>
    <n v="1.4000000000232831"/>
    <x v="0"/>
  </r>
  <r>
    <s v="TCK-22572"/>
    <d v="2026-05-22T17:38:00"/>
    <s v="Tier 1 Support"/>
    <x v="1"/>
    <x v="0"/>
    <x v="3"/>
    <x v="0"/>
    <x v="0"/>
    <n v="24"/>
    <x v="4"/>
    <s v="Missing Resolve Date"/>
    <s v="Yes"/>
    <m/>
    <s v="Repeat Issue From Same Customer"/>
    <s v=""/>
    <x v="1"/>
  </r>
  <r>
    <s v="TCK-21407"/>
    <d v="2026-03-30T02:34:00"/>
    <s v="Tier 1 Support"/>
    <x v="7"/>
    <x v="4"/>
    <x v="3"/>
    <x v="3"/>
    <x v="2"/>
    <n v="8"/>
    <x v="0"/>
    <d v="2026-03-30T05:48:00"/>
    <s v="No"/>
    <m/>
    <s v="Escalated To Senior Agent"/>
    <n v="3.2333333333954215"/>
    <x v="0"/>
  </r>
  <r>
    <s v="TCK-21285"/>
    <d v="2026-07-22T16:00:00"/>
    <s v="Tier 1 Support"/>
    <x v="7"/>
    <x v="5"/>
    <x v="0"/>
    <x v="0"/>
    <x v="0"/>
    <n v="24"/>
    <x v="0"/>
    <d v="2026-07-23T00:42:00"/>
    <s v="No"/>
    <m/>
    <s v="Customer Satisfied With Resolution"/>
    <n v="8.7000000000698492"/>
    <x v="0"/>
  </r>
  <r>
    <s v="TCK-21234"/>
    <d v="2026-03-21T23:29:00"/>
    <s v="Tier 2 Support"/>
    <x v="3"/>
    <x v="1"/>
    <x v="2"/>
    <x v="3"/>
    <x v="1"/>
    <n v="48"/>
    <x v="5"/>
    <s v="Missing Resolve Date"/>
    <s v="No"/>
    <m/>
    <s v="Not Specified"/>
    <s v=""/>
    <x v="1"/>
  </r>
  <r>
    <s v="TCK-22893"/>
    <d v="2026-07-07T09:48:00"/>
    <s v="Technical Support"/>
    <x v="6"/>
    <x v="1"/>
    <x v="1"/>
    <x v="3"/>
    <x v="3"/>
    <n v="4"/>
    <x v="5"/>
    <s v="Missing Resolve Date"/>
    <s v="No"/>
    <m/>
    <s v="Not Specified"/>
    <s v=""/>
    <x v="1"/>
  </r>
  <r>
    <s v="TCK-21336"/>
    <d v="2026-07-14T04:03:00"/>
    <s v="Billing Support"/>
    <x v="0"/>
    <x v="1"/>
    <x v="2"/>
    <x v="1"/>
    <x v="0"/>
    <n v="24"/>
    <x v="0"/>
    <s v="Missing Resolve Date"/>
    <s v="No"/>
    <m/>
    <s v="Repeat Issue From Same Customer"/>
    <s v=""/>
    <x v="2"/>
  </r>
  <r>
    <s v="TCK-20775"/>
    <d v="2026-04-25T15:19:00"/>
    <s v="Billing Support"/>
    <x v="5"/>
    <x v="5"/>
    <x v="0"/>
    <x v="1"/>
    <x v="0"/>
    <n v="24"/>
    <x v="3"/>
    <d v="2026-04-26T08:43:00"/>
    <s v="No"/>
    <m/>
    <s v="Awaiting Customer Response"/>
    <n v="17.399999999965075"/>
    <x v="1"/>
  </r>
  <r>
    <s v="TCK-21386"/>
    <d v="2026-08-12T07:23:00"/>
    <s v="Billing Support"/>
    <x v="5"/>
    <x v="5"/>
    <x v="0"/>
    <x v="2"/>
    <x v="1"/>
    <n v="48"/>
    <x v="3"/>
    <d v="2026-08-12T15:21:00"/>
    <s v="No"/>
    <m/>
    <s v="Escalated To Senior Agent"/>
    <n v="7.96666666661622"/>
    <x v="1"/>
  </r>
  <r>
    <s v="TCK-22181"/>
    <d v="2026-01-20T23:53:00"/>
    <s v="Billing Support"/>
    <x v="5"/>
    <x v="0"/>
    <x v="2"/>
    <x v="2"/>
    <x v="3"/>
    <n v="4"/>
    <x v="4"/>
    <s v="Missing Resolve Date"/>
    <s v="Yes"/>
    <m/>
    <s v="Required Follow-Up Call"/>
    <s v=""/>
    <x v="1"/>
  </r>
  <r>
    <s v="TCK-20512"/>
    <d v="2026-02-12T17:06:00"/>
    <s v="Technical Support"/>
    <x v="6"/>
    <x v="2"/>
    <x v="2"/>
    <x v="2"/>
    <x v="2"/>
    <n v="8"/>
    <x v="0"/>
    <d v="2026-02-12T20:54:00"/>
    <s v="No"/>
    <n v="4"/>
    <s v="Resolved On First Contact"/>
    <n v="3.7999999999883585"/>
    <x v="0"/>
  </r>
  <r>
    <s v="TCK-20144"/>
    <d v="2026-03-25T03:44:00"/>
    <s v="Tier 2 Support"/>
    <x v="2"/>
    <x v="0"/>
    <x v="0"/>
    <x v="5"/>
    <x v="0"/>
    <n v="24"/>
    <x v="0"/>
    <d v="2026-03-25T08:59:00"/>
    <s v="No"/>
    <n v="3"/>
    <s v="Required Follow-Up Call"/>
    <n v="5.25"/>
    <x v="0"/>
  </r>
  <r>
    <s v="TCK-20253"/>
    <d v="2026-01-30T09:05:00"/>
    <s v="Technical Support"/>
    <x v="4"/>
    <x v="2"/>
    <x v="1"/>
    <x v="4"/>
    <x v="1"/>
    <n v="48"/>
    <x v="0"/>
    <d v="2026-01-31T07:09:00"/>
    <s v="Yes"/>
    <n v="4"/>
    <s v="Repeat Issue From Same Customer"/>
    <n v="22.066666666825768"/>
    <x v="0"/>
  </r>
  <r>
    <s v="TCK-22714"/>
    <d v="2026-04-08T01:42:00"/>
    <s v="Technical Support"/>
    <x v="6"/>
    <x v="1"/>
    <x v="3"/>
    <x v="3"/>
    <x v="2"/>
    <n v="8"/>
    <x v="0"/>
    <d v="2026-04-08T08:10:00"/>
    <s v="No"/>
    <m/>
    <s v="Not Specified"/>
    <n v="6.466666666790843"/>
    <x v="0"/>
  </r>
  <r>
    <s v="TCK-21786"/>
    <d v="2026-01-12T19:33:00"/>
    <s v="Tier 2 Support"/>
    <x v="2"/>
    <x v="0"/>
    <x v="2"/>
    <x v="2"/>
    <x v="2"/>
    <n v="8"/>
    <x v="0"/>
    <d v="2026-01-12T23:51:00"/>
    <s v="No"/>
    <n v="2"/>
    <s v="Customer Satisfied With Resolution"/>
    <n v="4.3000000000465661"/>
    <x v="0"/>
  </r>
  <r>
    <s v="TCK-22440"/>
    <d v="2026-01-21T12:31:00"/>
    <s v="Billing Support"/>
    <x v="5"/>
    <x v="0"/>
    <x v="3"/>
    <x v="2"/>
    <x v="0"/>
    <n v="24"/>
    <x v="0"/>
    <d v="2026-01-24T07:30:00"/>
    <s v="No"/>
    <n v="4"/>
    <s v="Not Specified"/>
    <n v="66.983333333395422"/>
    <x v="2"/>
  </r>
  <r>
    <s v="TCK-20197"/>
    <d v="2026-04-21T15:16:00"/>
    <s v="Tier 1 Support"/>
    <x v="1"/>
    <x v="2"/>
    <x v="3"/>
    <x v="1"/>
    <x v="2"/>
    <n v="8"/>
    <x v="2"/>
    <d v="2026-04-21T19:15:00"/>
    <s v="No"/>
    <n v="4"/>
    <s v="Resolved On First Contact"/>
    <n v="3.9833333333954215"/>
    <x v="1"/>
  </r>
  <r>
    <s v="TCK-21712"/>
    <d v="2026-04-09T13:22:00"/>
    <s v="Technical Support"/>
    <x v="6"/>
    <x v="0"/>
    <x v="3"/>
    <x v="0"/>
    <x v="1"/>
    <n v="48"/>
    <x v="0"/>
    <d v="2026-04-10T18:39:00"/>
    <s v="No"/>
    <n v="3"/>
    <s v="Customer Requested Refund"/>
    <n v="29.283333333441988"/>
    <x v="0"/>
  </r>
  <r>
    <s v="TCK-23189"/>
    <d v="2026-03-07T17:56:00"/>
    <s v="Technical Support"/>
    <x v="6"/>
    <x v="1"/>
    <x v="2"/>
    <x v="2"/>
    <x v="1"/>
    <n v="48"/>
    <x v="2"/>
    <d v="2026-03-08T11:00:00"/>
    <s v="No"/>
    <n v="3"/>
    <s v="Awaiting Customer Response"/>
    <n v="17.06666666676756"/>
    <x v="1"/>
  </r>
  <r>
    <s v="TCK-20897"/>
    <d v="2026-02-02T01:07:00"/>
    <s v="Tier 2 Support"/>
    <x v="3"/>
    <x v="3"/>
    <x v="2"/>
    <x v="3"/>
    <x v="1"/>
    <n v="48"/>
    <x v="0"/>
    <d v="2026-02-07T07:33:00"/>
    <s v="No"/>
    <n v="5"/>
    <s v="Technical Issue Resolved Remotely"/>
    <n v="126.43333333334886"/>
    <x v="2"/>
  </r>
  <r>
    <s v="TCK-22493"/>
    <d v="2026-01-21T03:28:00"/>
    <s v="Technical Support"/>
    <x v="4"/>
    <x v="2"/>
    <x v="3"/>
    <x v="3"/>
    <x v="2"/>
    <n v="8"/>
    <x v="5"/>
    <s v="Missing Resolve Date"/>
    <s v="No"/>
    <m/>
    <s v="Escalated To Senior Agent"/>
    <s v=""/>
    <x v="1"/>
  </r>
  <r>
    <s v="TCK-22963"/>
    <d v="2026-03-01T13:11:00"/>
    <s v="Tier 2 Support"/>
    <x v="3"/>
    <x v="5"/>
    <x v="1"/>
    <x v="4"/>
    <x v="0"/>
    <n v="24"/>
    <x v="4"/>
    <s v="Missing Resolve Date"/>
    <s v="Yes"/>
    <m/>
    <s v="Technical Issue Resolved Remotely"/>
    <s v=""/>
    <x v="1"/>
  </r>
  <r>
    <s v="TCK-20579"/>
    <d v="2026-05-01T23:36:00"/>
    <s v="Technical Support"/>
    <x v="4"/>
    <x v="2"/>
    <x v="2"/>
    <x v="2"/>
    <x v="0"/>
    <n v="24"/>
    <x v="1"/>
    <s v="Missing Resolve Date"/>
    <s v="No"/>
    <m/>
    <s v="Escalated To Senior Agent"/>
    <s v=""/>
    <x v="1"/>
  </r>
  <r>
    <s v="TCK-21284"/>
    <d v="2026-05-05T15:17:00"/>
    <s v="Technical Support"/>
    <x v="6"/>
    <x v="5"/>
    <x v="3"/>
    <x v="3"/>
    <x v="1"/>
    <n v="48"/>
    <x v="2"/>
    <d v="2026-05-06T23:43:00"/>
    <s v="No"/>
    <m/>
    <s v="Escalated To Senior Agent"/>
    <n v="32.43333333323244"/>
    <x v="1"/>
  </r>
  <r>
    <s v="TCK-20860"/>
    <d v="2026-06-26T00:50:00"/>
    <s v="Tier 2 Support"/>
    <x v="3"/>
    <x v="1"/>
    <x v="0"/>
    <x v="5"/>
    <x v="3"/>
    <n v="4"/>
    <x v="0"/>
    <d v="2026-06-26T09:36:00"/>
    <s v="No"/>
    <m/>
    <s v="Awaiting Customer Response"/>
    <n v="8.7666666667792015"/>
    <x v="2"/>
  </r>
  <r>
    <s v="TCK-21694"/>
    <d v="2026-01-29T21:15:00"/>
    <s v="Billing Support"/>
    <x v="5"/>
    <x v="3"/>
    <x v="2"/>
    <x v="3"/>
    <x v="0"/>
    <n v="24"/>
    <x v="2"/>
    <d v="2026-01-30T04:53:00"/>
    <s v="No"/>
    <m/>
    <s v="Customer Satisfied With Resolution"/>
    <n v="7.6333333334187046"/>
    <x v="1"/>
  </r>
  <r>
    <s v="TCK-21790"/>
    <d v="2026-02-12T21:42:00"/>
    <s v="Technical Support"/>
    <x v="6"/>
    <x v="2"/>
    <x v="0"/>
    <x v="5"/>
    <x v="0"/>
    <n v="24"/>
    <x v="4"/>
    <s v="Missing Resolve Date"/>
    <s v="Yes"/>
    <m/>
    <s v="Repeat Issue From Same Customer"/>
    <s v=""/>
    <x v="1"/>
  </r>
  <r>
    <s v="TCK-22403"/>
    <d v="2026-06-15T04:03:00"/>
    <s v="Technical Support"/>
    <x v="6"/>
    <x v="1"/>
    <x v="3"/>
    <x v="0"/>
    <x v="2"/>
    <n v="8"/>
    <x v="5"/>
    <s v="Missing Resolve Date"/>
    <s v="No"/>
    <m/>
    <s v="Awaiting Customer Response"/>
    <s v=""/>
    <x v="1"/>
  </r>
  <r>
    <s v="TCK-22543"/>
    <d v="2026-02-18T15:30:00"/>
    <s v="Tier 1 Support"/>
    <x v="1"/>
    <x v="1"/>
    <x v="3"/>
    <x v="4"/>
    <x v="2"/>
    <n v="8"/>
    <x v="2"/>
    <d v="2026-02-18T19:12:00"/>
    <s v="No"/>
    <m/>
    <s v="Not Specified"/>
    <n v="3.7000000000116415"/>
    <x v="1"/>
  </r>
  <r>
    <s v="TCK-21605"/>
    <d v="2026-01-29T15:09:00"/>
    <s v="Billing Support"/>
    <x v="5"/>
    <x v="6"/>
    <x v="3"/>
    <x v="1"/>
    <x v="3"/>
    <n v="4"/>
    <x v="4"/>
    <s v="Missing Resolve Date"/>
    <s v="Yes"/>
    <m/>
    <s v="Awaiting Customer Response"/>
    <s v=""/>
    <x v="1"/>
  </r>
  <r>
    <s v="TCK-23106"/>
    <d v="2026-03-14T07:36:00"/>
    <s v="Billing Support"/>
    <x v="5"/>
    <x v="5"/>
    <x v="1"/>
    <x v="5"/>
    <x v="1"/>
    <n v="48"/>
    <x v="4"/>
    <s v="Missing Resolve Date"/>
    <s v="Yes"/>
    <m/>
    <s v="Not Specified"/>
    <s v=""/>
    <x v="1"/>
  </r>
  <r>
    <s v="TCK-21253"/>
    <d v="2026-08-27T14:24:00"/>
    <s v="Tier 2 Support"/>
    <x v="2"/>
    <x v="2"/>
    <x v="3"/>
    <x v="5"/>
    <x v="1"/>
    <n v="48"/>
    <x v="1"/>
    <s v="Missing Resolve Date"/>
    <s v="No"/>
    <m/>
    <s v="Escalated To Senior Agent"/>
    <s v=""/>
    <x v="1"/>
  </r>
  <r>
    <s v="TCK-22574"/>
    <d v="2026-02-20T10:18:00"/>
    <s v="Tier 1 Support"/>
    <x v="7"/>
    <x v="3"/>
    <x v="0"/>
    <x v="2"/>
    <x v="2"/>
    <n v="8"/>
    <x v="0"/>
    <d v="2026-02-20T13:54:00"/>
    <s v="No"/>
    <n v="5"/>
    <s v="Awaiting Customer Response"/>
    <n v="3.6000000000349246"/>
    <x v="0"/>
  </r>
  <r>
    <s v="TCK-20088"/>
    <d v="2026-05-01T12:43:00"/>
    <s v="Tier 2 Support"/>
    <x v="3"/>
    <x v="6"/>
    <x v="3"/>
    <x v="3"/>
    <x v="1"/>
    <n v="48"/>
    <x v="0"/>
    <d v="2026-05-06T15:55:00"/>
    <s v="No"/>
    <m/>
    <s v="Required Follow-Up Call"/>
    <n v="123.19999999995343"/>
    <x v="2"/>
  </r>
  <r>
    <s v="TCK-21114"/>
    <d v="2026-01-29T21:52:00"/>
    <s v="Technical Support"/>
    <x v="6"/>
    <x v="3"/>
    <x v="2"/>
    <x v="2"/>
    <x v="0"/>
    <n v="24"/>
    <x v="0"/>
    <d v="2026-01-29T23:41:00"/>
    <s v="No"/>
    <n v="4"/>
    <s v="Escalated To Senior Agent"/>
    <n v="1.8166666666511446"/>
    <x v="0"/>
  </r>
  <r>
    <s v="TCK-22634"/>
    <d v="2026-01-05T20:35:00"/>
    <s v="Tier 1 Support"/>
    <x v="7"/>
    <x v="5"/>
    <x v="1"/>
    <x v="5"/>
    <x v="1"/>
    <n v="48"/>
    <x v="0"/>
    <d v="2026-01-06T09:18:00"/>
    <s v="Yes"/>
    <m/>
    <s v="Awaiting Customer Response"/>
    <n v="12.716666666558012"/>
    <x v="0"/>
  </r>
  <r>
    <s v="TCK-21242"/>
    <d v="2026-06-27T03:38:00"/>
    <s v="Billing Support"/>
    <x v="5"/>
    <x v="6"/>
    <x v="1"/>
    <x v="5"/>
    <x v="2"/>
    <n v="8"/>
    <x v="0"/>
    <d v="2026-06-27T04:21:00"/>
    <s v="No"/>
    <n v="5"/>
    <s v="Customer Satisfied With Resolution"/>
    <n v="0.71666666673263535"/>
    <x v="0"/>
  </r>
  <r>
    <s v="TCK-20954"/>
    <d v="2026-06-09T05:13:00"/>
    <s v="Tier 2 Support"/>
    <x v="2"/>
    <x v="5"/>
    <x v="1"/>
    <x v="1"/>
    <x v="0"/>
    <n v="24"/>
    <x v="4"/>
    <s v="Missing Resolve Date"/>
    <s v="Yes"/>
    <m/>
    <s v="Resolved On First Contact"/>
    <s v=""/>
    <x v="1"/>
  </r>
  <r>
    <s v="TCK-22944"/>
    <d v="2026-01-06T16:20:00"/>
    <s v="Technical Support"/>
    <x v="4"/>
    <x v="3"/>
    <x v="2"/>
    <x v="0"/>
    <x v="1"/>
    <n v="48"/>
    <x v="5"/>
    <s v="Missing Resolve Date"/>
    <s v="No"/>
    <m/>
    <s v="Not Specified"/>
    <s v=""/>
    <x v="1"/>
  </r>
  <r>
    <s v="TCK-20196"/>
    <d v="2026-01-17T22:17:00"/>
    <s v="Tier 2 Support"/>
    <x v="3"/>
    <x v="4"/>
    <x v="0"/>
    <x v="3"/>
    <x v="2"/>
    <n v="8"/>
    <x v="2"/>
    <d v="2026-01-18T07:10:00"/>
    <s v="No"/>
    <n v="3"/>
    <s v="Customer Satisfied With Resolution"/>
    <n v="8.8833333333022892"/>
    <x v="1"/>
  </r>
  <r>
    <s v="TCK-22203"/>
    <d v="2026-03-03T03:26:00"/>
    <s v="Tier 2 Support"/>
    <x v="2"/>
    <x v="6"/>
    <x v="1"/>
    <x v="5"/>
    <x v="0"/>
    <n v="24"/>
    <x v="2"/>
    <d v="2026-03-04T13:26:00"/>
    <s v="No"/>
    <n v="4"/>
    <s v="Escalated To Senior Agent"/>
    <n v="33.999999999941792"/>
    <x v="1"/>
  </r>
  <r>
    <s v="TCK-22659"/>
    <d v="2026-04-07T05:10:00"/>
    <s v="Tier 1 Support"/>
    <x v="1"/>
    <x v="1"/>
    <x v="0"/>
    <x v="1"/>
    <x v="0"/>
    <n v="24"/>
    <x v="2"/>
    <d v="2026-04-08T00:01:00"/>
    <s v="No"/>
    <m/>
    <s v="Not Specified"/>
    <n v="18.849999999976717"/>
    <x v="1"/>
  </r>
  <r>
    <s v="TCK-22873"/>
    <d v="2026-01-03T17:10:00"/>
    <s v="Tier 2 Support"/>
    <x v="3"/>
    <x v="3"/>
    <x v="1"/>
    <x v="4"/>
    <x v="0"/>
    <n v="24"/>
    <x v="2"/>
    <d v="2026-01-06T16:35:00"/>
    <s v="No"/>
    <m/>
    <s v="Required Follow-Up Call"/>
    <n v="71.416666666511446"/>
    <x v="1"/>
  </r>
  <r>
    <s v="TCK-20015"/>
    <d v="2026-05-01T01:21:00"/>
    <s v="Tier 1 Support"/>
    <x v="7"/>
    <x v="6"/>
    <x v="0"/>
    <x v="3"/>
    <x v="0"/>
    <n v="24"/>
    <x v="4"/>
    <s v="Missing Resolve Date"/>
    <s v="Yes"/>
    <m/>
    <s v="Customer Requested Refund"/>
    <s v=""/>
    <x v="1"/>
  </r>
  <r>
    <s v="TCK-21820"/>
    <d v="2026-03-08T22:13:00"/>
    <s v="Technical Support"/>
    <x v="4"/>
    <x v="1"/>
    <x v="3"/>
    <x v="2"/>
    <x v="1"/>
    <n v="48"/>
    <x v="0"/>
    <d v="2026-03-11T13:53:00"/>
    <s v="No"/>
    <n v="5"/>
    <s v="Repeat Issue From Same Customer"/>
    <n v="63.666666666744277"/>
    <x v="2"/>
  </r>
  <r>
    <s v="TCK-21203"/>
    <d v="2026-02-20T12:45:00"/>
    <s v="Tier 1 Support"/>
    <x v="1"/>
    <x v="3"/>
    <x v="3"/>
    <x v="4"/>
    <x v="2"/>
    <n v="8"/>
    <x v="5"/>
    <s v="Missing Resolve Date"/>
    <s v="No"/>
    <m/>
    <s v="Not Specified"/>
    <s v=""/>
    <x v="1"/>
  </r>
  <r>
    <s v="TCK-23057"/>
    <d v="2026-07-06T13:55:00"/>
    <s v="Tier 2 Support"/>
    <x v="3"/>
    <x v="6"/>
    <x v="2"/>
    <x v="5"/>
    <x v="2"/>
    <n v="8"/>
    <x v="0"/>
    <d v="2026-07-06T16:40:00"/>
    <s v="No"/>
    <m/>
    <s v="Customer Satisfied With Resolution"/>
    <n v="2.7500000000582077"/>
    <x v="0"/>
  </r>
  <r>
    <s v="TCK-21950"/>
    <d v="2026-01-30T00:52:00"/>
    <s v="Billing Support"/>
    <x v="5"/>
    <x v="6"/>
    <x v="0"/>
    <x v="3"/>
    <x v="2"/>
    <n v="8"/>
    <x v="2"/>
    <d v="2026-01-30T02:29:00"/>
    <s v="No"/>
    <n v="5"/>
    <s v="Resolved On First Contact"/>
    <n v="1.6166666666977108"/>
    <x v="1"/>
  </r>
  <r>
    <s v="TCK-22309"/>
    <d v="2026-03-25T07:37:00"/>
    <s v="Tier 1 Support"/>
    <x v="1"/>
    <x v="4"/>
    <x v="2"/>
    <x v="3"/>
    <x v="0"/>
    <n v="24"/>
    <x v="5"/>
    <s v="Missing Resolve Date"/>
    <s v="No"/>
    <m/>
    <s v="Not Specified"/>
    <s v=""/>
    <x v="1"/>
  </r>
  <r>
    <s v="TCK-21057"/>
    <d v="2026-08-22T06:18:00"/>
    <s v="Tier 2 Support"/>
    <x v="3"/>
    <x v="0"/>
    <x v="0"/>
    <x v="4"/>
    <x v="0"/>
    <n v="24"/>
    <x v="2"/>
    <d v="2026-08-23T01:56:00"/>
    <s v="No"/>
    <n v="4"/>
    <s v="Customer Satisfied With Resolution"/>
    <n v="19.633333333418705"/>
    <x v="1"/>
  </r>
  <r>
    <s v="TCK-20848"/>
    <d v="2026-02-25T05:59:00"/>
    <s v="Tier 2 Support"/>
    <x v="3"/>
    <x v="5"/>
    <x v="2"/>
    <x v="5"/>
    <x v="0"/>
    <n v="24"/>
    <x v="0"/>
    <d v="2026-02-26T00:25:00"/>
    <s v="No"/>
    <n v="4"/>
    <s v="Technical Issue Resolved Remotely"/>
    <n v="18.433333333348855"/>
    <x v="0"/>
  </r>
  <r>
    <s v="TCK-20096"/>
    <d v="2026-08-25T16:17:00"/>
    <s v="Billing Support"/>
    <x v="0"/>
    <x v="4"/>
    <x v="3"/>
    <x v="3"/>
    <x v="0"/>
    <n v="24"/>
    <x v="0"/>
    <d v="2026-08-26T00:14:00"/>
    <s v="No"/>
    <n v="5"/>
    <s v="Awaiting Customer Response"/>
    <n v="7.9500000000698492"/>
    <x v="0"/>
  </r>
  <r>
    <s v="TCK-22417"/>
    <d v="2026-07-23T22:43:00"/>
    <s v="Technical Support"/>
    <x v="6"/>
    <x v="2"/>
    <x v="3"/>
    <x v="4"/>
    <x v="2"/>
    <n v="8"/>
    <x v="2"/>
    <d v="2026-07-24T00:46:00"/>
    <s v="No"/>
    <n v="4"/>
    <s v="Not Specified"/>
    <n v="2.0500000000465661"/>
    <x v="1"/>
  </r>
  <r>
    <s v="TCK-20176"/>
    <d v="2026-08-14T20:25:00"/>
    <s v="Tier 2 Support"/>
    <x v="3"/>
    <x v="0"/>
    <x v="2"/>
    <x v="1"/>
    <x v="1"/>
    <n v="48"/>
    <x v="0"/>
    <d v="2026-08-15T23:20:00"/>
    <s v="Yes"/>
    <n v="4"/>
    <s v="Required Follow-Up Call"/>
    <n v="26.916666666569654"/>
    <x v="0"/>
  </r>
  <r>
    <s v="TCK-22304"/>
    <d v="2026-05-16T01:35:00"/>
    <s v="Tier 1 Support"/>
    <x v="7"/>
    <x v="6"/>
    <x v="1"/>
    <x v="3"/>
    <x v="0"/>
    <n v="24"/>
    <x v="2"/>
    <d v="2026-05-16T19:23:00"/>
    <s v="No"/>
    <n v="5"/>
    <s v="Repeat Issue From Same Customer"/>
    <n v="17.800000000046566"/>
    <x v="1"/>
  </r>
  <r>
    <s v="TCK-22983"/>
    <d v="2026-01-11T03:08:00"/>
    <s v="Tier 1 Support"/>
    <x v="1"/>
    <x v="0"/>
    <x v="2"/>
    <x v="4"/>
    <x v="1"/>
    <n v="48"/>
    <x v="5"/>
    <s v="Missing Resolve Date"/>
    <s v="No"/>
    <m/>
    <s v="Required Follow-Up Call"/>
    <s v=""/>
    <x v="1"/>
  </r>
  <r>
    <s v="TCK-20605"/>
    <d v="2026-04-10T00:40:00"/>
    <s v="Tier 2 Support"/>
    <x v="2"/>
    <x v="0"/>
    <x v="3"/>
    <x v="5"/>
    <x v="1"/>
    <n v="48"/>
    <x v="2"/>
    <d v="2026-04-10T09:59:00"/>
    <s v="Yes"/>
    <n v="2"/>
    <s v="Escalated To Senior Agent"/>
    <n v="9.3166666666511446"/>
    <x v="1"/>
  </r>
  <r>
    <s v="TCK-20102"/>
    <d v="2026-06-01T12:17:00"/>
    <s v="Billing Support"/>
    <x v="5"/>
    <x v="6"/>
    <x v="1"/>
    <x v="5"/>
    <x v="0"/>
    <n v="24"/>
    <x v="3"/>
    <d v="2026-06-01T14:55:00"/>
    <s v="Yes"/>
    <m/>
    <s v="Awaiting Customer Response"/>
    <n v="2.6333333333604969"/>
    <x v="1"/>
  </r>
  <r>
    <s v="TCK-20237"/>
    <d v="2026-01-30T23:40:00"/>
    <s v="Billing Support"/>
    <x v="0"/>
    <x v="3"/>
    <x v="3"/>
    <x v="0"/>
    <x v="2"/>
    <n v="8"/>
    <x v="1"/>
    <s v="Missing Resolve Date"/>
    <s v="No"/>
    <m/>
    <s v="Awaiting Customer Response"/>
    <s v=""/>
    <x v="1"/>
  </r>
  <r>
    <s v="TCK-22880"/>
    <d v="2026-08-19T07:26:00"/>
    <s v="Billing Support"/>
    <x v="0"/>
    <x v="6"/>
    <x v="0"/>
    <x v="4"/>
    <x v="1"/>
    <n v="48"/>
    <x v="4"/>
    <s v="Missing Resolve Date"/>
    <s v="Yes"/>
    <m/>
    <s v="Repeat Issue From Same Customer"/>
    <s v=""/>
    <x v="1"/>
  </r>
  <r>
    <s v="TCK-20907"/>
    <d v="2026-07-11T13:42:00"/>
    <s v="Tier 1 Support"/>
    <x v="1"/>
    <x v="1"/>
    <x v="1"/>
    <x v="0"/>
    <x v="3"/>
    <n v="4"/>
    <x v="0"/>
    <d v="2026-07-11T15:21:00"/>
    <s v="No"/>
    <n v="5"/>
    <s v="Not Specified"/>
    <n v="1.6499999999650754"/>
    <x v="0"/>
  </r>
  <r>
    <s v="TCK-21621"/>
    <d v="2026-08-12T11:59:00"/>
    <s v="Technical Support"/>
    <x v="6"/>
    <x v="4"/>
    <x v="2"/>
    <x v="3"/>
    <x v="2"/>
    <n v="8"/>
    <x v="2"/>
    <d v="2026-08-13T04:09:00"/>
    <s v="No"/>
    <m/>
    <s v="Customer Requested Refund"/>
    <n v="16.166666666802485"/>
    <x v="1"/>
  </r>
  <r>
    <s v="TCK-20401"/>
    <d v="2026-08-20T20:00:00"/>
    <s v="Technical Support"/>
    <x v="4"/>
    <x v="0"/>
    <x v="0"/>
    <x v="2"/>
    <x v="0"/>
    <n v="24"/>
    <x v="0"/>
    <d v="2026-08-21T08:48:00"/>
    <s v="No"/>
    <m/>
    <s v="Escalated To Senior Agent"/>
    <n v="12.799999999988358"/>
    <x v="0"/>
  </r>
  <r>
    <s v="TCK-23145"/>
    <d v="2026-08-09T06:22:00"/>
    <s v="Billing Support"/>
    <x v="5"/>
    <x v="5"/>
    <x v="0"/>
    <x v="5"/>
    <x v="0"/>
    <n v="24"/>
    <x v="2"/>
    <d v="2026-08-09T10:40:00"/>
    <s v="No"/>
    <n v="4"/>
    <s v="Customer Satisfied With Resolution"/>
    <n v="4.3000000000465661"/>
    <x v="1"/>
  </r>
  <r>
    <s v="TCK-22729"/>
    <d v="2026-02-15T00:31:00"/>
    <s v="Tier 1 Support"/>
    <x v="1"/>
    <x v="2"/>
    <x v="1"/>
    <x v="2"/>
    <x v="0"/>
    <n v="24"/>
    <x v="4"/>
    <s v="Missing Resolve Date"/>
    <s v="Yes"/>
    <m/>
    <s v="Not Specified"/>
    <s v=""/>
    <x v="1"/>
  </r>
  <r>
    <s v="TCK-21307"/>
    <d v="2026-01-15T05:05:00"/>
    <s v="Tier 2 Support"/>
    <x v="2"/>
    <x v="2"/>
    <x v="2"/>
    <x v="0"/>
    <x v="0"/>
    <n v="24"/>
    <x v="4"/>
    <s v="Missing Resolve Date"/>
    <s v="Yes"/>
    <m/>
    <s v="Technical Issue Resolved Remotely"/>
    <s v=""/>
    <x v="1"/>
  </r>
  <r>
    <s v="TCK-22391"/>
    <d v="2026-06-10T21:09:00"/>
    <s v="Tier 2 Support"/>
    <x v="2"/>
    <x v="1"/>
    <x v="1"/>
    <x v="4"/>
    <x v="0"/>
    <n v="24"/>
    <x v="4"/>
    <s v="Missing Resolve Date"/>
    <s v="Yes"/>
    <m/>
    <s v="Customer Satisfied With Resolution"/>
    <s v=""/>
    <x v="1"/>
  </r>
  <r>
    <s v="TCK-22177"/>
    <d v="2026-01-06T05:53:00"/>
    <s v="Tier 1 Support"/>
    <x v="7"/>
    <x v="3"/>
    <x v="2"/>
    <x v="5"/>
    <x v="2"/>
    <n v="8"/>
    <x v="3"/>
    <d v="2026-01-06T09:39:00"/>
    <s v="No"/>
    <m/>
    <s v="Resolved On First Contact"/>
    <n v="3.7666666667209938"/>
    <x v="1"/>
  </r>
  <r>
    <s v="TCK-22877"/>
    <d v="2026-05-02T21:57:00"/>
    <s v="Tier 1 Support"/>
    <x v="7"/>
    <x v="1"/>
    <x v="0"/>
    <x v="2"/>
    <x v="2"/>
    <n v="8"/>
    <x v="0"/>
    <d v="2026-05-03T07:16:00"/>
    <s v="No"/>
    <m/>
    <s v="Repeat Issue From Same Customer"/>
    <n v="9.3166666666511446"/>
    <x v="2"/>
  </r>
  <r>
    <s v="TCK-21019"/>
    <d v="2026-02-27T17:56:00"/>
    <s v="Billing Support"/>
    <x v="5"/>
    <x v="6"/>
    <x v="2"/>
    <x v="1"/>
    <x v="0"/>
    <n v="24"/>
    <x v="2"/>
    <d v="2026-02-27T21:22:00"/>
    <s v="No"/>
    <n v="4"/>
    <s v="Resolved On First Contact"/>
    <n v="3.4333333333488554"/>
    <x v="1"/>
  </r>
  <r>
    <s v="TCK-22914"/>
    <d v="2026-04-18T18:32:00"/>
    <s v="Billing Support"/>
    <x v="0"/>
    <x v="2"/>
    <x v="3"/>
    <x v="1"/>
    <x v="0"/>
    <n v="24"/>
    <x v="0"/>
    <d v="2026-04-18T19:46:00"/>
    <s v="No"/>
    <m/>
    <s v="Resolved On First Contact"/>
    <n v="1.2333333333372138"/>
    <x v="0"/>
  </r>
  <r>
    <s v="TCK-21629"/>
    <d v="2026-08-23T00:21:00"/>
    <s v="Billing Support"/>
    <x v="5"/>
    <x v="3"/>
    <x v="2"/>
    <x v="5"/>
    <x v="1"/>
    <n v="48"/>
    <x v="5"/>
    <s v="Missing Resolve Date"/>
    <s v="No"/>
    <m/>
    <s v="Customer Requested Refund"/>
    <s v=""/>
    <x v="1"/>
  </r>
  <r>
    <s v="TCK-22853"/>
    <d v="2026-06-15T23:56:00"/>
    <s v="Tier 1 Support"/>
    <x v="1"/>
    <x v="6"/>
    <x v="0"/>
    <x v="5"/>
    <x v="1"/>
    <n v="48"/>
    <x v="0"/>
    <d v="2026-06-16T19:01:00"/>
    <s v="No"/>
    <n v="3"/>
    <s v="Required Follow-Up Call"/>
    <n v="19.083333333372138"/>
    <x v="0"/>
  </r>
  <r>
    <s v="TCK-22315"/>
    <d v="2026-07-14T18:21:00"/>
    <s v="Billing Support"/>
    <x v="5"/>
    <x v="0"/>
    <x v="2"/>
    <x v="0"/>
    <x v="3"/>
    <n v="4"/>
    <x v="0"/>
    <d v="2026-07-14T19:33:00"/>
    <s v="No"/>
    <n v="5"/>
    <s v="Escalated To Senior Agent"/>
    <n v="1.2000000000698492"/>
    <x v="0"/>
  </r>
  <r>
    <s v="TCK-20687"/>
    <d v="2026-06-03T17:40:00"/>
    <s v="Tier 2 Support"/>
    <x v="2"/>
    <x v="2"/>
    <x v="1"/>
    <x v="2"/>
    <x v="1"/>
    <n v="48"/>
    <x v="2"/>
    <d v="2026-06-06T21:14:00"/>
    <s v="No"/>
    <n v="5"/>
    <s v="Customer Requested Refund"/>
    <n v="75.56666666676756"/>
    <x v="1"/>
  </r>
  <r>
    <s v="TCK-22429"/>
    <d v="2026-01-29T06:02:00"/>
    <s v="Tier 2 Support"/>
    <x v="2"/>
    <x v="6"/>
    <x v="2"/>
    <x v="4"/>
    <x v="0"/>
    <n v="24"/>
    <x v="0"/>
    <d v="2026-01-29T12:58:00"/>
    <s v="No"/>
    <m/>
    <s v="Customer Requested Refund"/>
    <n v="6.933333333407063"/>
    <x v="0"/>
  </r>
  <r>
    <s v="TCK-20711"/>
    <d v="2026-08-21T20:26:00"/>
    <s v="Technical Support"/>
    <x v="6"/>
    <x v="2"/>
    <x v="1"/>
    <x v="0"/>
    <x v="2"/>
    <n v="8"/>
    <x v="0"/>
    <s v="Missing Resolve Date"/>
    <s v="No"/>
    <n v="2"/>
    <s v="Customer Requested Refund"/>
    <s v=""/>
    <x v="2"/>
  </r>
  <r>
    <s v="TCK-20068"/>
    <d v="2026-07-10T21:50:00"/>
    <s v="Billing Support"/>
    <x v="0"/>
    <x v="6"/>
    <x v="2"/>
    <x v="1"/>
    <x v="0"/>
    <n v="24"/>
    <x v="4"/>
    <s v="Missing Resolve Date"/>
    <s v="Yes"/>
    <m/>
    <s v="Escalated To Senior Agent"/>
    <s v=""/>
    <x v="1"/>
  </r>
  <r>
    <s v="TCK-22235"/>
    <d v="2026-03-21T16:04:00"/>
    <s v="Billing Support"/>
    <x v="0"/>
    <x v="4"/>
    <x v="0"/>
    <x v="0"/>
    <x v="3"/>
    <n v="4"/>
    <x v="3"/>
    <d v="2026-03-22T03:38:00"/>
    <s v="No"/>
    <m/>
    <s v="Not Specified"/>
    <n v="11.566666666651145"/>
    <x v="1"/>
  </r>
  <r>
    <s v="TCK-22862"/>
    <d v="2026-04-02T06:58:00"/>
    <s v="Billing Support"/>
    <x v="0"/>
    <x v="0"/>
    <x v="1"/>
    <x v="5"/>
    <x v="0"/>
    <n v="24"/>
    <x v="2"/>
    <s v="Missing Resolve Date"/>
    <s v="Yes"/>
    <n v="5"/>
    <s v="Escalated To Senior Agent"/>
    <s v=""/>
    <x v="1"/>
  </r>
  <r>
    <s v="TCK-20709"/>
    <d v="2026-06-05T15:20:00"/>
    <s v="Technical Support"/>
    <x v="6"/>
    <x v="4"/>
    <x v="2"/>
    <x v="3"/>
    <x v="0"/>
    <n v="24"/>
    <x v="0"/>
    <d v="2026-06-05T19:56:00"/>
    <s v="No"/>
    <n v="2"/>
    <s v="Technical Issue Resolved Remotely"/>
    <n v="4.5999999999767169"/>
    <x v="0"/>
  </r>
  <r>
    <s v="TCK-21927"/>
    <d v="2026-06-16T08:59:00"/>
    <s v="Tier 2 Support"/>
    <x v="2"/>
    <x v="4"/>
    <x v="3"/>
    <x v="5"/>
    <x v="0"/>
    <n v="24"/>
    <x v="5"/>
    <s v="Missing Resolve Date"/>
    <s v="No"/>
    <m/>
    <s v="Escalated To Senior Agent"/>
    <s v=""/>
    <x v="1"/>
  </r>
  <r>
    <s v="TCK-20975"/>
    <d v="2026-06-06T12:02:00"/>
    <s v="Billing Support"/>
    <x v="5"/>
    <x v="6"/>
    <x v="1"/>
    <x v="5"/>
    <x v="0"/>
    <n v="24"/>
    <x v="0"/>
    <d v="2026-06-07T16:50:00"/>
    <s v="No"/>
    <m/>
    <s v="Awaiting Customer Response"/>
    <n v="28.800000000104774"/>
    <x v="2"/>
  </r>
  <r>
    <s v="TCK-22764"/>
    <d v="2026-04-30T12:58:00"/>
    <s v="Technical Support"/>
    <x v="4"/>
    <x v="6"/>
    <x v="1"/>
    <x v="0"/>
    <x v="3"/>
    <n v="4"/>
    <x v="1"/>
    <s v="Missing Resolve Date"/>
    <s v="No"/>
    <m/>
    <s v="Customer Requested Refund"/>
    <s v=""/>
    <x v="1"/>
  </r>
  <r>
    <s v="TCK-20206"/>
    <d v="2026-04-06T16:31:00"/>
    <s v="Billing Support"/>
    <x v="0"/>
    <x v="5"/>
    <x v="3"/>
    <x v="1"/>
    <x v="1"/>
    <n v="48"/>
    <x v="4"/>
    <s v="Missing Resolve Date"/>
    <s v="Yes"/>
    <m/>
    <s v="Escalated To Senior Agent"/>
    <s v=""/>
    <x v="1"/>
  </r>
  <r>
    <s v="TCK-21178"/>
    <d v="2026-02-11T10:35:00"/>
    <s v="Tier 2 Support"/>
    <x v="2"/>
    <x v="2"/>
    <x v="3"/>
    <x v="1"/>
    <x v="2"/>
    <n v="8"/>
    <x v="4"/>
    <s v="Missing Resolve Date"/>
    <s v="Yes"/>
    <m/>
    <s v="Customer Requested Refund"/>
    <s v=""/>
    <x v="1"/>
  </r>
  <r>
    <s v="TCK-22219"/>
    <d v="2026-06-13T15:47:00"/>
    <s v="Tier 2 Support"/>
    <x v="2"/>
    <x v="1"/>
    <x v="1"/>
    <x v="4"/>
    <x v="3"/>
    <n v="4"/>
    <x v="0"/>
    <d v="2026-06-13T18:08:00"/>
    <s v="No"/>
    <n v="2"/>
    <s v="Not Specified"/>
    <n v="2.3500000001513399"/>
    <x v="0"/>
  </r>
  <r>
    <s v="TCK-21504"/>
    <d v="2026-08-22T16:54:00"/>
    <s v="Tier 1 Support"/>
    <x v="1"/>
    <x v="6"/>
    <x v="3"/>
    <x v="5"/>
    <x v="0"/>
    <n v="24"/>
    <x v="4"/>
    <s v="Missing Resolve Date"/>
    <s v="Yes"/>
    <m/>
    <s v="Awaiting Customer Response"/>
    <s v=""/>
    <x v="1"/>
  </r>
  <r>
    <s v="TCK-20065"/>
    <d v="2026-05-20T13:13:00"/>
    <s v="Tier 1 Support"/>
    <x v="1"/>
    <x v="4"/>
    <x v="3"/>
    <x v="5"/>
    <x v="1"/>
    <n v="48"/>
    <x v="1"/>
    <s v="Missing Resolve Date"/>
    <s v="No"/>
    <m/>
    <s v="Not Specified"/>
    <s v=""/>
    <x v="1"/>
  </r>
  <r>
    <s v="TCK-21270"/>
    <d v="2026-05-30T00:10:00"/>
    <s v="Billing Support"/>
    <x v="5"/>
    <x v="0"/>
    <x v="3"/>
    <x v="5"/>
    <x v="1"/>
    <n v="48"/>
    <x v="2"/>
    <d v="2026-05-31T00:59:00"/>
    <s v="No"/>
    <n v="1"/>
    <s v="Repeat Issue From Same Customer"/>
    <n v="24.816666666709352"/>
    <x v="1"/>
  </r>
  <r>
    <s v="TCK-22954"/>
    <d v="2026-02-23T08:28:00"/>
    <s v="Technical Support"/>
    <x v="4"/>
    <x v="5"/>
    <x v="1"/>
    <x v="3"/>
    <x v="2"/>
    <n v="8"/>
    <x v="5"/>
    <s v="Missing Resolve Date"/>
    <s v="No"/>
    <m/>
    <s v="Repeat Issue From Same Customer"/>
    <s v=""/>
    <x v="1"/>
  </r>
  <r>
    <s v="TCK-22793"/>
    <d v="2026-01-24T13:29:00"/>
    <s v="Billing Support"/>
    <x v="0"/>
    <x v="5"/>
    <x v="0"/>
    <x v="3"/>
    <x v="1"/>
    <n v="48"/>
    <x v="5"/>
    <s v="Missing Resolve Date"/>
    <s v="No"/>
    <m/>
    <s v="Required Follow-Up Call"/>
    <s v=""/>
    <x v="1"/>
  </r>
  <r>
    <s v="TCK-21491"/>
    <d v="2026-04-27T04:16:00"/>
    <s v="Tier 1 Support"/>
    <x v="1"/>
    <x v="2"/>
    <x v="3"/>
    <x v="3"/>
    <x v="1"/>
    <n v="48"/>
    <x v="2"/>
    <d v="2026-05-03T03:33:00"/>
    <s v="No"/>
    <m/>
    <s v="Customer Requested Refund"/>
    <n v="143.28333333344199"/>
    <x v="1"/>
  </r>
  <r>
    <s v="TCK-22421"/>
    <d v="2026-08-27T03:27:00"/>
    <s v="Tier 1 Support"/>
    <x v="7"/>
    <x v="4"/>
    <x v="0"/>
    <x v="2"/>
    <x v="0"/>
    <n v="24"/>
    <x v="2"/>
    <d v="2026-08-27T05:24:00"/>
    <s v="No"/>
    <n v="3"/>
    <s v="Repeat Issue From Same Customer"/>
    <n v="1.9499999998952262"/>
    <x v="1"/>
  </r>
  <r>
    <s v="TCK-22476"/>
    <d v="2026-04-24T20:31:00"/>
    <s v="Billing Support"/>
    <x v="5"/>
    <x v="5"/>
    <x v="2"/>
    <x v="1"/>
    <x v="2"/>
    <n v="8"/>
    <x v="4"/>
    <s v="Missing Resolve Date"/>
    <s v="Yes"/>
    <m/>
    <s v="Technical Issue Resolved Remotely"/>
    <s v=""/>
    <x v="1"/>
  </r>
  <r>
    <s v="TCK-22681"/>
    <d v="2026-07-03T16:17:00"/>
    <s v="Tier 2 Support"/>
    <x v="3"/>
    <x v="2"/>
    <x v="0"/>
    <x v="0"/>
    <x v="1"/>
    <n v="48"/>
    <x v="0"/>
    <d v="2026-07-03T21:18:00"/>
    <s v="No"/>
    <m/>
    <s v="Repeat Issue From Same Customer"/>
    <n v="5.0166666666045785"/>
    <x v="0"/>
  </r>
  <r>
    <s v="TCK-20185"/>
    <d v="2026-07-18T20:50:00"/>
    <s v="Technical Support"/>
    <x v="6"/>
    <x v="6"/>
    <x v="3"/>
    <x v="3"/>
    <x v="2"/>
    <n v="8"/>
    <x v="2"/>
    <d v="2026-07-18T22:30:00"/>
    <s v="No"/>
    <n v="4"/>
    <s v="Awaiting Customer Response"/>
    <n v="1.6666666666860692"/>
    <x v="1"/>
  </r>
  <r>
    <s v="TCK-20477"/>
    <d v="2026-02-16T18:24:00"/>
    <s v="Tier 1 Support"/>
    <x v="7"/>
    <x v="3"/>
    <x v="1"/>
    <x v="2"/>
    <x v="0"/>
    <n v="24"/>
    <x v="2"/>
    <d v="2026-02-17T03:00:00"/>
    <s v="No"/>
    <m/>
    <s v="Not Specified"/>
    <n v="8.5999999999185093"/>
    <x v="1"/>
  </r>
  <r>
    <s v="TCK-22571"/>
    <d v="2026-01-19T18:33:00"/>
    <s v="Tier 1 Support"/>
    <x v="1"/>
    <x v="1"/>
    <x v="3"/>
    <x v="1"/>
    <x v="1"/>
    <n v="48"/>
    <x v="0"/>
    <d v="2026-01-19T23:30:00"/>
    <s v="No"/>
    <n v="2"/>
    <s v="Awaiting Customer Response"/>
    <n v="4.9499999998952262"/>
    <x v="0"/>
  </r>
  <r>
    <s v="TCK-20884"/>
    <d v="2026-06-22T23:35:00"/>
    <s v="Billing Support"/>
    <x v="5"/>
    <x v="0"/>
    <x v="1"/>
    <x v="5"/>
    <x v="2"/>
    <n v="8"/>
    <x v="2"/>
    <d v="2026-06-23T04:59:00"/>
    <s v="No"/>
    <n v="4"/>
    <s v="Not Specified"/>
    <n v="5.3999999999650754"/>
    <x v="1"/>
  </r>
  <r>
    <s v="TCK-22981"/>
    <d v="2026-01-21T00:06:00"/>
    <s v="Billing Support"/>
    <x v="0"/>
    <x v="2"/>
    <x v="0"/>
    <x v="4"/>
    <x v="0"/>
    <n v="24"/>
    <x v="5"/>
    <s v="Missing Resolve Date"/>
    <s v="No"/>
    <m/>
    <s v="Escalated To Senior Agent"/>
    <s v=""/>
    <x v="1"/>
  </r>
  <r>
    <s v="TCK-21036"/>
    <d v="2026-05-18T05:49:00"/>
    <s v="Tier 1 Support"/>
    <x v="1"/>
    <x v="1"/>
    <x v="2"/>
    <x v="2"/>
    <x v="2"/>
    <n v="8"/>
    <x v="2"/>
    <s v="Missing Resolve Date"/>
    <s v="No"/>
    <m/>
    <s v="Not Specified"/>
    <s v=""/>
    <x v="1"/>
  </r>
  <r>
    <s v="TCK-21482"/>
    <d v="2026-02-20T01:05:00"/>
    <s v="Tier 1 Support"/>
    <x v="1"/>
    <x v="4"/>
    <x v="0"/>
    <x v="3"/>
    <x v="2"/>
    <n v="8"/>
    <x v="0"/>
    <d v="2026-02-20T04:56:00"/>
    <s v="No"/>
    <m/>
    <s v="Customer Satisfied With Resolution"/>
    <n v="3.8499999999767169"/>
    <x v="0"/>
  </r>
  <r>
    <s v="TCK-20865"/>
    <d v="2026-06-29T04:32:00"/>
    <s v="Tier 2 Support"/>
    <x v="3"/>
    <x v="3"/>
    <x v="0"/>
    <x v="5"/>
    <x v="1"/>
    <n v="48"/>
    <x v="0"/>
    <d v="2026-06-29T19:16:00"/>
    <s v="No"/>
    <n v="2"/>
    <s v="Awaiting Customer Response"/>
    <n v="14.733333333337214"/>
    <x v="0"/>
  </r>
  <r>
    <s v="TCK-22299"/>
    <d v="2026-07-23T16:38:00"/>
    <s v="Tier 2 Support"/>
    <x v="3"/>
    <x v="1"/>
    <x v="3"/>
    <x v="4"/>
    <x v="0"/>
    <n v="24"/>
    <x v="2"/>
    <d v="2026-07-24T22:50:00"/>
    <s v="No"/>
    <m/>
    <s v="Escalated To Senior Agent"/>
    <n v="30.199999999953434"/>
    <x v="1"/>
  </r>
  <r>
    <s v="TCK-22721"/>
    <d v="2026-06-04T15:09:00"/>
    <s v="Tier 1 Support"/>
    <x v="1"/>
    <x v="3"/>
    <x v="2"/>
    <x v="4"/>
    <x v="1"/>
    <n v="48"/>
    <x v="0"/>
    <d v="2026-06-09T17:14:00"/>
    <s v="No"/>
    <m/>
    <s v="Resolved On First Contact"/>
    <n v="122.08333333331393"/>
    <x v="2"/>
  </r>
  <r>
    <s v="TCK-20489"/>
    <d v="2026-08-20T07:48:00"/>
    <s v="Technical Support"/>
    <x v="4"/>
    <x v="2"/>
    <x v="3"/>
    <x v="0"/>
    <x v="0"/>
    <n v="24"/>
    <x v="2"/>
    <d v="2026-08-22T06:44:00"/>
    <s v="No"/>
    <n v="1"/>
    <s v="Awaiting Customer Response"/>
    <n v="46.933333333348855"/>
    <x v="1"/>
  </r>
  <r>
    <s v="TCK-21291"/>
    <d v="2026-06-19T23:48:00"/>
    <s v="Tier 1 Support"/>
    <x v="1"/>
    <x v="5"/>
    <x v="2"/>
    <x v="3"/>
    <x v="0"/>
    <n v="24"/>
    <x v="2"/>
    <d v="2026-06-20T12:12:00"/>
    <s v="No"/>
    <n v="2"/>
    <s v="Resolved On First Contact"/>
    <n v="12.399999999906868"/>
    <x v="1"/>
  </r>
  <r>
    <s v="TCK-22342"/>
    <d v="2026-08-07T12:23:00"/>
    <s v="Tier 1 Support"/>
    <x v="1"/>
    <x v="0"/>
    <x v="0"/>
    <x v="0"/>
    <x v="2"/>
    <n v="8"/>
    <x v="1"/>
    <s v="Missing Resolve Date"/>
    <s v="No"/>
    <m/>
    <s v="Customer Satisfied With Resolution"/>
    <s v=""/>
    <x v="1"/>
  </r>
  <r>
    <s v="TCK-21648"/>
    <d v="2026-05-03T01:23:00"/>
    <s v="Tier 1 Support"/>
    <x v="7"/>
    <x v="1"/>
    <x v="2"/>
    <x v="2"/>
    <x v="2"/>
    <n v="8"/>
    <x v="1"/>
    <s v="Missing Resolve Date"/>
    <s v="Yes"/>
    <m/>
    <s v="Customer Satisfied With Resolution"/>
    <s v=""/>
    <x v="1"/>
  </r>
  <r>
    <s v="TCK-22473"/>
    <d v="2026-02-04T03:06:00"/>
    <s v="Tier 1 Support"/>
    <x v="7"/>
    <x v="6"/>
    <x v="2"/>
    <x v="5"/>
    <x v="1"/>
    <n v="48"/>
    <x v="5"/>
    <s v="Missing Resolve Date"/>
    <s v="No"/>
    <m/>
    <s v="Resolved On First Contact"/>
    <s v=""/>
    <x v="1"/>
  </r>
  <r>
    <s v="TCK-22336"/>
    <d v="2026-06-19T00:58:00"/>
    <s v="Tier 1 Support"/>
    <x v="7"/>
    <x v="2"/>
    <x v="2"/>
    <x v="2"/>
    <x v="0"/>
    <n v="24"/>
    <x v="2"/>
    <d v="2026-06-19T12:24:00"/>
    <s v="No"/>
    <n v="1"/>
    <s v="Not Specified"/>
    <n v="11.433333333407063"/>
    <x v="1"/>
  </r>
  <r>
    <s v="TCK-22668"/>
    <d v="2026-02-13T08:01:00"/>
    <s v="Tier 1 Support"/>
    <x v="1"/>
    <x v="2"/>
    <x v="1"/>
    <x v="0"/>
    <x v="3"/>
    <n v="4"/>
    <x v="0"/>
    <d v="2026-02-13T10:22:00"/>
    <s v="No"/>
    <n v="5"/>
    <s v="Required Follow-Up Call"/>
    <n v="2.3499999999767169"/>
    <x v="0"/>
  </r>
  <r>
    <s v="TCK-22272"/>
    <d v="2026-03-16T18:40:00"/>
    <s v="Technical Support"/>
    <x v="4"/>
    <x v="5"/>
    <x v="1"/>
    <x v="2"/>
    <x v="1"/>
    <n v="48"/>
    <x v="4"/>
    <s v="Missing Resolve Date"/>
    <s v="Yes"/>
    <m/>
    <s v="Not Specified"/>
    <s v=""/>
    <x v="1"/>
  </r>
  <r>
    <s v="TCK-20272"/>
    <d v="2026-02-08T00:12:00"/>
    <s v="Tier 1 Support"/>
    <x v="1"/>
    <x v="5"/>
    <x v="0"/>
    <x v="3"/>
    <x v="0"/>
    <n v="24"/>
    <x v="4"/>
    <s v="Missing Resolve Date"/>
    <s v="Yes"/>
    <m/>
    <s v="Not Specified"/>
    <s v=""/>
    <x v="1"/>
  </r>
  <r>
    <s v="TCK-21564"/>
    <d v="2026-01-25T23:18:00"/>
    <s v="Billing Support"/>
    <x v="0"/>
    <x v="4"/>
    <x v="1"/>
    <x v="1"/>
    <x v="2"/>
    <n v="8"/>
    <x v="0"/>
    <d v="2026-01-26T04:55:00"/>
    <s v="No"/>
    <m/>
    <s v="Customer Satisfied With Resolution"/>
    <n v="5.6166666666395031"/>
    <x v="0"/>
  </r>
  <r>
    <s v="TCK-22451"/>
    <d v="2026-01-30T12:11:00"/>
    <s v="Billing Support"/>
    <x v="0"/>
    <x v="2"/>
    <x v="0"/>
    <x v="5"/>
    <x v="0"/>
    <n v="24"/>
    <x v="1"/>
    <s v="Missing Resolve Date"/>
    <s v="No"/>
    <m/>
    <s v="Customer Satisfied With Resolution"/>
    <s v=""/>
    <x v="1"/>
  </r>
  <r>
    <s v="TCK-22726"/>
    <d v="2026-04-16T08:35:00"/>
    <s v="Tier 1 Support"/>
    <x v="1"/>
    <x v="2"/>
    <x v="2"/>
    <x v="3"/>
    <x v="2"/>
    <n v="8"/>
    <x v="0"/>
    <d v="2026-04-16T09:14:00"/>
    <s v="No"/>
    <m/>
    <s v="Escalated To Senior Agent"/>
    <n v="0.65000000002328306"/>
    <x v="0"/>
  </r>
  <r>
    <s v="TCK-21075"/>
    <d v="2026-07-19T03:25:00"/>
    <s v="Technical Support"/>
    <x v="6"/>
    <x v="1"/>
    <x v="3"/>
    <x v="3"/>
    <x v="0"/>
    <n v="24"/>
    <x v="5"/>
    <s v="Missing Resolve Date"/>
    <s v="No"/>
    <m/>
    <s v="Awaiting Customer Response"/>
    <s v=""/>
    <x v="1"/>
  </r>
  <r>
    <s v="TCK-22311"/>
    <d v="2026-08-29T18:47:00"/>
    <s v="Tier 1 Support"/>
    <x v="1"/>
    <x v="0"/>
    <x v="0"/>
    <x v="4"/>
    <x v="2"/>
    <n v="8"/>
    <x v="0"/>
    <d v="2026-08-30T17:07:00"/>
    <s v="No"/>
    <n v="1"/>
    <s v="Escalated To Senior Agent"/>
    <n v="22.333333333313931"/>
    <x v="2"/>
  </r>
  <r>
    <s v="TCK-22303"/>
    <d v="2026-05-06T01:20:00"/>
    <s v="Billing Support"/>
    <x v="0"/>
    <x v="1"/>
    <x v="0"/>
    <x v="2"/>
    <x v="1"/>
    <n v="48"/>
    <x v="2"/>
    <d v="2026-05-07T15:52:00"/>
    <s v="No"/>
    <m/>
    <s v="Required Follow-Up Call"/>
    <n v="38.53333333338378"/>
    <x v="1"/>
  </r>
  <r>
    <s v="TCK-23028"/>
    <d v="2026-03-21T00:37:00"/>
    <s v="Technical Support"/>
    <x v="6"/>
    <x v="0"/>
    <x v="1"/>
    <x v="1"/>
    <x v="0"/>
    <n v="24"/>
    <x v="0"/>
    <d v="2026-03-22T15:23:00"/>
    <s v="No"/>
    <n v="5"/>
    <s v="Escalated To Senior Agent"/>
    <n v="38.766666666779201"/>
    <x v="2"/>
  </r>
  <r>
    <s v="TCK-20564"/>
    <d v="2026-02-25T16:10:00"/>
    <s v="Billing Support"/>
    <x v="0"/>
    <x v="0"/>
    <x v="0"/>
    <x v="2"/>
    <x v="2"/>
    <n v="8"/>
    <x v="0"/>
    <d v="2026-02-25T17:19:00"/>
    <s v="No"/>
    <n v="1"/>
    <s v="Not Specified"/>
    <n v="1.1500000000814907"/>
    <x v="0"/>
  </r>
  <r>
    <s v="TCK-23186"/>
    <d v="2026-02-28T22:54:00"/>
    <s v="Tier 2 Support"/>
    <x v="2"/>
    <x v="5"/>
    <x v="2"/>
    <x v="5"/>
    <x v="2"/>
    <n v="8"/>
    <x v="0"/>
    <d v="2026-03-01T04:25:00"/>
    <s v="No"/>
    <n v="5"/>
    <s v="Not Specified"/>
    <n v="5.5166666666627862"/>
    <x v="0"/>
  </r>
  <r>
    <s v="TCK-20620"/>
    <d v="2026-06-23T09:05:00"/>
    <s v="Tier 2 Support"/>
    <x v="2"/>
    <x v="1"/>
    <x v="1"/>
    <x v="0"/>
    <x v="0"/>
    <n v="24"/>
    <x v="0"/>
    <d v="2026-06-24T23:24:00"/>
    <s v="No"/>
    <m/>
    <s v="Not Specified"/>
    <n v="38.316666666709352"/>
    <x v="2"/>
  </r>
  <r>
    <s v="TCK-21887"/>
    <d v="2026-05-11T21:32:00"/>
    <s v="Billing Support"/>
    <x v="5"/>
    <x v="2"/>
    <x v="2"/>
    <x v="1"/>
    <x v="1"/>
    <n v="48"/>
    <x v="0"/>
    <d v="2026-05-13T15:47:00"/>
    <s v="Yes"/>
    <n v="5"/>
    <s v="Technical Issue Resolved Remotely"/>
    <n v="42.249999999941792"/>
    <x v="0"/>
  </r>
  <r>
    <s v="TCK-23083"/>
    <d v="2026-06-24T01:00:00"/>
    <s v="Billing Support"/>
    <x v="0"/>
    <x v="4"/>
    <x v="2"/>
    <x v="1"/>
    <x v="0"/>
    <n v="24"/>
    <x v="0"/>
    <d v="2026-06-24T10:50:00"/>
    <s v="Yes"/>
    <n v="5"/>
    <s v="Not Specified"/>
    <n v="9.8333333334303461"/>
    <x v="0"/>
  </r>
  <r>
    <s v="TCK-21835"/>
    <d v="2026-01-18T08:41:00"/>
    <s v="Technical Support"/>
    <x v="6"/>
    <x v="1"/>
    <x v="1"/>
    <x v="2"/>
    <x v="1"/>
    <n v="48"/>
    <x v="3"/>
    <d v="2026-01-20T02:56:00"/>
    <s v="No"/>
    <m/>
    <s v="Not Specified"/>
    <n v="42.249999999941792"/>
    <x v="1"/>
  </r>
  <r>
    <s v="TCK-20406"/>
    <d v="2026-04-14T21:40:00"/>
    <s v="Tier 2 Support"/>
    <x v="3"/>
    <x v="2"/>
    <x v="2"/>
    <x v="1"/>
    <x v="1"/>
    <n v="48"/>
    <x v="0"/>
    <d v="2026-04-15T06:39:00"/>
    <s v="No"/>
    <m/>
    <s v="Technical Issue Resolved Remotely"/>
    <n v="8.9833333332790062"/>
    <x v="0"/>
  </r>
  <r>
    <s v="TCK-21871"/>
    <d v="2026-02-05T11:06:00"/>
    <s v="Technical Support"/>
    <x v="4"/>
    <x v="3"/>
    <x v="2"/>
    <x v="1"/>
    <x v="2"/>
    <n v="8"/>
    <x v="0"/>
    <d v="2026-02-05T19:54:00"/>
    <s v="No"/>
    <n v="2"/>
    <s v="Not Specified"/>
    <n v="8.8000000000465661"/>
    <x v="2"/>
  </r>
  <r>
    <s v="TCK-20303"/>
    <d v="2026-01-28T16:39:00"/>
    <s v="Tier 1 Support"/>
    <x v="1"/>
    <x v="1"/>
    <x v="2"/>
    <x v="0"/>
    <x v="1"/>
    <n v="48"/>
    <x v="2"/>
    <d v="2026-02-01T19:22:00"/>
    <s v="No"/>
    <n v="5"/>
    <s v="Required Follow-Up Call"/>
    <n v="98.71666666661622"/>
    <x v="1"/>
  </r>
  <r>
    <s v="TCK-21054"/>
    <d v="2026-04-02T21:04:00"/>
    <s v="Technical Support"/>
    <x v="6"/>
    <x v="4"/>
    <x v="0"/>
    <x v="5"/>
    <x v="3"/>
    <n v="4"/>
    <x v="2"/>
    <d v="2026-04-03T00:33:00"/>
    <s v="No"/>
    <n v="5"/>
    <s v="Awaiting Customer Response"/>
    <n v="3.4833333333372138"/>
    <x v="1"/>
  </r>
  <r>
    <s v="TCK-21816"/>
    <d v="2026-03-04T21:15:00"/>
    <s v="Tier 1 Support"/>
    <x v="7"/>
    <x v="2"/>
    <x v="0"/>
    <x v="0"/>
    <x v="1"/>
    <n v="48"/>
    <x v="2"/>
    <d v="2026-03-08T01:22:00"/>
    <s v="No"/>
    <n v="5"/>
    <s v="Repeat Issue From Same Customer"/>
    <n v="76.116666666639503"/>
    <x v="1"/>
  </r>
  <r>
    <s v="TCK-21728"/>
    <d v="2026-03-31T11:23:00"/>
    <s v="Tier 1 Support"/>
    <x v="1"/>
    <x v="3"/>
    <x v="3"/>
    <x v="2"/>
    <x v="0"/>
    <n v="24"/>
    <x v="1"/>
    <s v="Missing Resolve Date"/>
    <s v="Yes"/>
    <m/>
    <s v="Required Follow-Up Call"/>
    <s v=""/>
    <x v="1"/>
  </r>
  <r>
    <s v="TCK-21228"/>
    <d v="2026-05-14T07:37:00"/>
    <s v="Technical Support"/>
    <x v="6"/>
    <x v="3"/>
    <x v="0"/>
    <x v="4"/>
    <x v="0"/>
    <n v="24"/>
    <x v="4"/>
    <s v="Missing Resolve Date"/>
    <s v="Yes"/>
    <m/>
    <s v="Not Specified"/>
    <s v=""/>
    <x v="1"/>
  </r>
  <r>
    <s v="TCK-21860"/>
    <d v="2026-05-07T12:58:00"/>
    <s v="Tier 1 Support"/>
    <x v="7"/>
    <x v="2"/>
    <x v="1"/>
    <x v="0"/>
    <x v="2"/>
    <n v="8"/>
    <x v="0"/>
    <d v="2026-05-07T14:05:00"/>
    <s v="No"/>
    <n v="4"/>
    <s v="Technical Issue Resolved Remotely"/>
    <n v="1.1166666666395031"/>
    <x v="0"/>
  </r>
  <r>
    <s v="TCK-22593"/>
    <d v="2026-08-08T15:08:00"/>
    <s v="Tier 2 Support"/>
    <x v="3"/>
    <x v="1"/>
    <x v="0"/>
    <x v="2"/>
    <x v="1"/>
    <n v="48"/>
    <x v="4"/>
    <s v="Missing Resolve Date"/>
    <s v="Yes"/>
    <m/>
    <s v="Customer Requested Refund"/>
    <s v=""/>
    <x v="1"/>
  </r>
  <r>
    <s v="TCK-22841"/>
    <d v="2026-07-14T00:00:00"/>
    <s v="Technical Support"/>
    <x v="6"/>
    <x v="4"/>
    <x v="2"/>
    <x v="4"/>
    <x v="0"/>
    <n v="24"/>
    <x v="0"/>
    <d v="2026-07-14T08:05:00"/>
    <s v="No"/>
    <n v="5"/>
    <s v="Resolved On First Contact"/>
    <n v="8.0833333333139308"/>
    <x v="0"/>
  </r>
  <r>
    <s v="TCK-21807"/>
    <d v="2026-01-12T12:53:00"/>
    <s v="Technical Support"/>
    <x v="6"/>
    <x v="4"/>
    <x v="2"/>
    <x v="1"/>
    <x v="2"/>
    <n v="8"/>
    <x v="0"/>
    <s v="Missing Resolve Date"/>
    <s v="No"/>
    <n v="4"/>
    <s v="Technical Issue Resolved Remotely"/>
    <s v=""/>
    <x v="2"/>
  </r>
  <r>
    <s v="TCK-20901"/>
    <d v="2026-08-25T09:47:00"/>
    <s v="Technical Support"/>
    <x v="4"/>
    <x v="1"/>
    <x v="2"/>
    <x v="0"/>
    <x v="1"/>
    <n v="48"/>
    <x v="4"/>
    <s v="Missing Resolve Date"/>
    <s v="Yes"/>
    <m/>
    <s v="Customer Requested Refund"/>
    <s v=""/>
    <x v="1"/>
  </r>
  <r>
    <s v="TCK-21246"/>
    <d v="2026-06-07T11:40:00"/>
    <s v="Billing Support"/>
    <x v="5"/>
    <x v="0"/>
    <x v="2"/>
    <x v="0"/>
    <x v="0"/>
    <n v="24"/>
    <x v="0"/>
    <d v="2026-06-08T06:00:00"/>
    <s v="No"/>
    <n v="5"/>
    <s v="Required Follow-Up Call"/>
    <n v="18.333333333372138"/>
    <x v="0"/>
  </r>
  <r>
    <s v="TCK-23176"/>
    <d v="2026-07-15T13:47:00"/>
    <s v="Tier 2 Support"/>
    <x v="2"/>
    <x v="1"/>
    <x v="0"/>
    <x v="0"/>
    <x v="3"/>
    <n v="4"/>
    <x v="5"/>
    <s v="Missing Resolve Date"/>
    <s v="No"/>
    <m/>
    <s v="Required Follow-Up Call"/>
    <s v=""/>
    <x v="1"/>
  </r>
  <r>
    <s v="TCK-21492"/>
    <d v="2026-01-25T21:49:00"/>
    <s v="Tier 1 Support"/>
    <x v="7"/>
    <x v="4"/>
    <x v="3"/>
    <x v="5"/>
    <x v="3"/>
    <n v="4"/>
    <x v="0"/>
    <d v="2026-01-26T01:15:00"/>
    <s v="No"/>
    <n v="5"/>
    <s v="Escalated To Senior Agent"/>
    <n v="3.4333333333488554"/>
    <x v="0"/>
  </r>
  <r>
    <s v="TCK-22091"/>
    <d v="2026-05-11T06:11:00"/>
    <s v="Technical Support"/>
    <x v="6"/>
    <x v="4"/>
    <x v="3"/>
    <x v="5"/>
    <x v="0"/>
    <n v="24"/>
    <x v="0"/>
    <d v="2026-05-11T22:43:00"/>
    <s v="No"/>
    <m/>
    <s v="Escalated To Senior Agent"/>
    <n v="16.533333333267365"/>
    <x v="0"/>
  </r>
  <r>
    <s v="TCK-21544"/>
    <d v="2026-08-14T10:57:00"/>
    <s v="Billing Support"/>
    <x v="0"/>
    <x v="3"/>
    <x v="1"/>
    <x v="5"/>
    <x v="1"/>
    <n v="48"/>
    <x v="0"/>
    <d v="2026-08-17T02:49:00"/>
    <s v="No"/>
    <m/>
    <s v="Required Follow-Up Call"/>
    <n v="63.866666666523088"/>
    <x v="2"/>
  </r>
  <r>
    <s v="TCK-22003"/>
    <d v="2026-08-22T18:55:00"/>
    <s v="Billing Support"/>
    <x v="0"/>
    <x v="4"/>
    <x v="1"/>
    <x v="2"/>
    <x v="3"/>
    <n v="4"/>
    <x v="4"/>
    <s v="Missing Resolve Date"/>
    <s v="Yes"/>
    <m/>
    <s v="Escalated To Senior Agent"/>
    <s v=""/>
    <x v="1"/>
  </r>
  <r>
    <s v="TCK-22435"/>
    <d v="2026-05-24T06:45:00"/>
    <s v="Technical Support"/>
    <x v="6"/>
    <x v="4"/>
    <x v="3"/>
    <x v="2"/>
    <x v="2"/>
    <n v="8"/>
    <x v="0"/>
    <d v="2026-05-24T17:58:00"/>
    <s v="No"/>
    <n v="4"/>
    <s v="Customer Requested Refund"/>
    <n v="11.216666666732635"/>
    <x v="2"/>
  </r>
  <r>
    <s v="TCK-20813"/>
    <d v="2026-05-10T15:33:00"/>
    <s v="Tier 2 Support"/>
    <x v="3"/>
    <x v="3"/>
    <x v="0"/>
    <x v="1"/>
    <x v="1"/>
    <n v="48"/>
    <x v="0"/>
    <d v="2026-05-14T11:03:00"/>
    <s v="No"/>
    <m/>
    <s v="Customer Requested Refund"/>
    <n v="91.5"/>
    <x v="2"/>
  </r>
  <r>
    <s v="TCK-20563"/>
    <d v="2026-08-17T03:51:00"/>
    <s v="Billing Support"/>
    <x v="0"/>
    <x v="2"/>
    <x v="1"/>
    <x v="5"/>
    <x v="2"/>
    <n v="8"/>
    <x v="4"/>
    <s v="Missing Resolve Date"/>
    <s v="Yes"/>
    <m/>
    <s v="Required Follow-Up Call"/>
    <s v=""/>
    <x v="1"/>
  </r>
  <r>
    <s v="TCK-22195"/>
    <d v="2026-08-20T11:19:00"/>
    <s v="Billing Support"/>
    <x v="5"/>
    <x v="3"/>
    <x v="0"/>
    <x v="1"/>
    <x v="0"/>
    <n v="24"/>
    <x v="0"/>
    <d v="2026-08-22T18:06:00"/>
    <s v="No"/>
    <n v="3"/>
    <s v="Not Specified"/>
    <n v="54.783333333267365"/>
    <x v="2"/>
  </r>
  <r>
    <s v="TCK-21205"/>
    <d v="2026-06-27T00:05:00"/>
    <s v="Tier 2 Support"/>
    <x v="2"/>
    <x v="1"/>
    <x v="0"/>
    <x v="1"/>
    <x v="3"/>
    <n v="4"/>
    <x v="4"/>
    <s v="Missing Resolve Date"/>
    <s v="Yes"/>
    <m/>
    <s v="Customer Requested Refund"/>
    <s v=""/>
    <x v="1"/>
  </r>
  <r>
    <s v="TCK-23124"/>
    <d v="2026-07-11T00:56:00"/>
    <s v="Tier 2 Support"/>
    <x v="2"/>
    <x v="3"/>
    <x v="0"/>
    <x v="4"/>
    <x v="1"/>
    <n v="48"/>
    <x v="0"/>
    <d v="2026-07-11T20:28:00"/>
    <s v="No"/>
    <n v="4"/>
    <s v="Required Follow-Up Call"/>
    <n v="19.533333333267365"/>
    <x v="0"/>
  </r>
  <r>
    <s v="TCK-20744"/>
    <d v="2026-07-18T08:08:00"/>
    <s v="Tier 2 Support"/>
    <x v="3"/>
    <x v="6"/>
    <x v="1"/>
    <x v="1"/>
    <x v="2"/>
    <n v="8"/>
    <x v="4"/>
    <s v="Missing Resolve Date"/>
    <s v="Yes"/>
    <m/>
    <s v="Escalated To Senior Agent"/>
    <s v=""/>
    <x v="1"/>
  </r>
  <r>
    <s v="TCK-21869"/>
    <d v="2026-04-13T17:06:00"/>
    <s v="Billing Support"/>
    <x v="0"/>
    <x v="1"/>
    <x v="1"/>
    <x v="2"/>
    <x v="0"/>
    <n v="24"/>
    <x v="2"/>
    <d v="2026-04-13T18:33:00"/>
    <s v="No"/>
    <m/>
    <s v="Customer Requested Refund"/>
    <n v="1.4500000000116415"/>
    <x v="1"/>
  </r>
  <r>
    <s v="TCK-21661"/>
    <d v="2026-01-30T00:52:00"/>
    <s v="Tier 1 Support"/>
    <x v="7"/>
    <x v="1"/>
    <x v="3"/>
    <x v="3"/>
    <x v="0"/>
    <n v="24"/>
    <x v="0"/>
    <d v="2026-01-31T15:14:00"/>
    <s v="No"/>
    <n v="5"/>
    <s v="Repeat Issue From Same Customer"/>
    <n v="38.366666666697711"/>
    <x v="2"/>
  </r>
  <r>
    <s v="TCK-20276"/>
    <d v="2026-07-17T02:44:00"/>
    <s v="Technical Support"/>
    <x v="4"/>
    <x v="6"/>
    <x v="0"/>
    <x v="5"/>
    <x v="2"/>
    <n v="8"/>
    <x v="0"/>
    <d v="2026-07-17T05:39:00"/>
    <s v="No"/>
    <n v="2"/>
    <s v="Awaiting Customer Response"/>
    <n v="2.9166666667442769"/>
    <x v="0"/>
  </r>
  <r>
    <s v="TCK-21806"/>
    <d v="2026-03-03T05:50:00"/>
    <s v="Technical Support"/>
    <x v="4"/>
    <x v="6"/>
    <x v="0"/>
    <x v="2"/>
    <x v="3"/>
    <n v="4"/>
    <x v="0"/>
    <d v="2026-03-03T08:42:00"/>
    <s v="No"/>
    <m/>
    <s v="Technical Issue Resolved Remotely"/>
    <n v="2.8666666667559184"/>
    <x v="0"/>
  </r>
  <r>
    <s v="TCK-20684"/>
    <d v="2026-03-05T16:54:00"/>
    <s v="Tier 1 Support"/>
    <x v="7"/>
    <x v="6"/>
    <x v="2"/>
    <x v="3"/>
    <x v="1"/>
    <n v="48"/>
    <x v="1"/>
    <s v="Missing Resolve Date"/>
    <s v="No"/>
    <m/>
    <s v="Resolved On First Contact"/>
    <s v=""/>
    <x v="1"/>
  </r>
  <r>
    <s v="TCK-20278"/>
    <d v="2026-07-11T16:07:00"/>
    <s v="Tier 2 Support"/>
    <x v="2"/>
    <x v="4"/>
    <x v="1"/>
    <x v="1"/>
    <x v="2"/>
    <n v="8"/>
    <x v="0"/>
    <s v="Missing Resolve Date"/>
    <s v="No"/>
    <n v="5"/>
    <s v="Not Specified"/>
    <s v=""/>
    <x v="2"/>
  </r>
  <r>
    <s v="TCK-21829"/>
    <d v="2026-06-29T08:19:00"/>
    <s v="Tier 2 Support"/>
    <x v="2"/>
    <x v="3"/>
    <x v="2"/>
    <x v="5"/>
    <x v="1"/>
    <n v="48"/>
    <x v="0"/>
    <d v="2026-06-29T09:53:00"/>
    <s v="No"/>
    <n v="5"/>
    <s v="Customer Requested Refund"/>
    <n v="1.5666666667093523"/>
    <x v="0"/>
  </r>
  <r>
    <s v="TCK-20923"/>
    <d v="2026-07-29T10:00:00"/>
    <s v="Tier 2 Support"/>
    <x v="2"/>
    <x v="1"/>
    <x v="3"/>
    <x v="2"/>
    <x v="0"/>
    <n v="24"/>
    <x v="0"/>
    <d v="2026-07-29T23:45:00"/>
    <s v="No"/>
    <n v="5"/>
    <s v="Awaiting Customer Response"/>
    <n v="13.750000000116415"/>
    <x v="0"/>
  </r>
  <r>
    <s v="TCK-23162"/>
    <d v="2026-03-08T20:15:00"/>
    <s v="Tier 1 Support"/>
    <x v="7"/>
    <x v="1"/>
    <x v="0"/>
    <x v="2"/>
    <x v="3"/>
    <n v="4"/>
    <x v="1"/>
    <s v="Missing Resolve Date"/>
    <s v="No"/>
    <m/>
    <s v="Resolved On First Contact"/>
    <s v=""/>
    <x v="1"/>
  </r>
  <r>
    <s v="TCK-22641"/>
    <d v="2026-06-22T09:09:00"/>
    <s v="Tier 2 Support"/>
    <x v="3"/>
    <x v="6"/>
    <x v="0"/>
    <x v="5"/>
    <x v="1"/>
    <n v="48"/>
    <x v="4"/>
    <s v="Missing Resolve Date"/>
    <s v="Yes"/>
    <m/>
    <s v="Technical Issue Resolved Remotely"/>
    <s v=""/>
    <x v="1"/>
  </r>
  <r>
    <s v="TCK-21525"/>
    <d v="2026-04-17T00:08:00"/>
    <s v="Technical Support"/>
    <x v="6"/>
    <x v="6"/>
    <x v="2"/>
    <x v="1"/>
    <x v="0"/>
    <n v="24"/>
    <x v="5"/>
    <s v="Missing Resolve Date"/>
    <s v="Yes"/>
    <m/>
    <s v="Resolved On First Contact"/>
    <s v=""/>
    <x v="1"/>
  </r>
  <r>
    <s v="TCK-20048"/>
    <d v="2026-08-04T05:00:00"/>
    <s v="Tier 1 Support"/>
    <x v="1"/>
    <x v="3"/>
    <x v="0"/>
    <x v="2"/>
    <x v="1"/>
    <n v="48"/>
    <x v="0"/>
    <d v="2026-08-05T18:48:00"/>
    <s v="No"/>
    <n v="4"/>
    <s v="Resolved On First Contact"/>
    <n v="37.799999999930151"/>
    <x v="0"/>
  </r>
  <r>
    <s v="TCK-22700"/>
    <d v="2026-08-08T01:44:00"/>
    <s v="Tier 2 Support"/>
    <x v="3"/>
    <x v="2"/>
    <x v="0"/>
    <x v="1"/>
    <x v="1"/>
    <n v="48"/>
    <x v="2"/>
    <d v="2026-08-09T14:51:00"/>
    <s v="No"/>
    <n v="2"/>
    <s v="Repeat Issue From Same Customer"/>
    <n v="37.116666666639503"/>
    <x v="1"/>
  </r>
  <r>
    <s v="TCK-23043"/>
    <d v="2026-05-11T10:59:00"/>
    <s v="Billing Support"/>
    <x v="5"/>
    <x v="3"/>
    <x v="1"/>
    <x v="1"/>
    <x v="2"/>
    <n v="8"/>
    <x v="2"/>
    <d v="2026-05-12T08:31:00"/>
    <s v="No"/>
    <m/>
    <s v="Escalated To Senior Agent"/>
    <n v="21.533333333325572"/>
    <x v="1"/>
  </r>
  <r>
    <s v="TCK-20648"/>
    <d v="2026-03-22T14:32:00"/>
    <s v="Billing Support"/>
    <x v="0"/>
    <x v="5"/>
    <x v="1"/>
    <x v="0"/>
    <x v="3"/>
    <n v="4"/>
    <x v="0"/>
    <d v="2026-03-22T15:18:00"/>
    <s v="No"/>
    <n v="5"/>
    <s v="Customer Satisfied With Resolution"/>
    <n v="0.76666666654637083"/>
    <x v="0"/>
  </r>
  <r>
    <s v="TCK-22078"/>
    <d v="2026-02-02T00:43:00"/>
    <s v="Technical Support"/>
    <x v="6"/>
    <x v="5"/>
    <x v="0"/>
    <x v="0"/>
    <x v="2"/>
    <n v="8"/>
    <x v="0"/>
    <d v="2026-02-02T06:26:00"/>
    <s v="Yes"/>
    <n v="5"/>
    <s v="Not Specified"/>
    <n v="5.71666666661622"/>
    <x v="0"/>
  </r>
  <r>
    <s v="TCK-22900"/>
    <d v="2026-02-19T14:35:00"/>
    <s v="Billing Support"/>
    <x v="0"/>
    <x v="3"/>
    <x v="3"/>
    <x v="3"/>
    <x v="2"/>
    <n v="8"/>
    <x v="2"/>
    <d v="2026-02-20T10:22:00"/>
    <s v="No"/>
    <m/>
    <s v="Not Specified"/>
    <n v="19.783333333209157"/>
    <x v="1"/>
  </r>
  <r>
    <s v="TCK-21888"/>
    <d v="2026-05-12T01:43:00"/>
    <s v="Tier 2 Support"/>
    <x v="2"/>
    <x v="4"/>
    <x v="2"/>
    <x v="4"/>
    <x v="0"/>
    <n v="24"/>
    <x v="0"/>
    <d v="2026-05-12T06:15:00"/>
    <s v="No"/>
    <m/>
    <s v="Customer Requested Refund"/>
    <n v="4.5333333332673647"/>
    <x v="0"/>
  </r>
  <r>
    <s v="TCK-21854"/>
    <d v="2026-03-16T02:42:00"/>
    <s v="Tier 1 Support"/>
    <x v="7"/>
    <x v="5"/>
    <x v="0"/>
    <x v="0"/>
    <x v="2"/>
    <n v="8"/>
    <x v="5"/>
    <s v="Missing Resolve Date"/>
    <s v="No"/>
    <m/>
    <s v="Not Specified"/>
    <s v=""/>
    <x v="1"/>
  </r>
  <r>
    <s v="TCK-20996"/>
    <d v="2026-04-18T13:43:00"/>
    <s v="Tier 1 Support"/>
    <x v="7"/>
    <x v="5"/>
    <x v="1"/>
    <x v="3"/>
    <x v="2"/>
    <n v="8"/>
    <x v="2"/>
    <d v="2026-04-19T10:18:00"/>
    <s v="No"/>
    <n v="5"/>
    <s v="Required Follow-Up Call"/>
    <n v="20.583333333372138"/>
    <x v="1"/>
  </r>
  <r>
    <s v="TCK-20466"/>
    <d v="2026-01-13T00:39:00"/>
    <s v="Technical Support"/>
    <x v="4"/>
    <x v="6"/>
    <x v="0"/>
    <x v="4"/>
    <x v="0"/>
    <n v="24"/>
    <x v="3"/>
    <d v="2026-01-13T04:28:00"/>
    <s v="No"/>
    <m/>
    <s v="Escalated To Senior Agent"/>
    <n v="3.8166666667093523"/>
    <x v="1"/>
  </r>
  <r>
    <s v="TCK-20506"/>
    <d v="2026-04-13T18:31:00"/>
    <s v="Tier 2 Support"/>
    <x v="2"/>
    <x v="4"/>
    <x v="2"/>
    <x v="4"/>
    <x v="3"/>
    <n v="4"/>
    <x v="4"/>
    <s v="Missing Resolve Date"/>
    <s v="Yes"/>
    <m/>
    <s v="Resolved On First Contact"/>
    <s v=""/>
    <x v="1"/>
  </r>
  <r>
    <s v="TCK-22337"/>
    <d v="2026-04-11T07:00:00"/>
    <s v="Tier 2 Support"/>
    <x v="3"/>
    <x v="1"/>
    <x v="2"/>
    <x v="1"/>
    <x v="3"/>
    <n v="4"/>
    <x v="0"/>
    <d v="2026-04-11T08:01:00"/>
    <s v="Yes"/>
    <n v="3"/>
    <s v="Awaiting Customer Response"/>
    <n v="1.0166666666627862"/>
    <x v="0"/>
  </r>
  <r>
    <s v="TCK-22465"/>
    <d v="2026-03-12T04:03:00"/>
    <s v="Tier 2 Support"/>
    <x v="2"/>
    <x v="5"/>
    <x v="3"/>
    <x v="0"/>
    <x v="1"/>
    <n v="48"/>
    <x v="5"/>
    <s v="Missing Resolve Date"/>
    <s v="No"/>
    <m/>
    <s v="Customer Requested Refund"/>
    <s v=""/>
    <x v="1"/>
  </r>
  <r>
    <s v="TCK-20429"/>
    <d v="2026-05-12T01:28:00"/>
    <s v="Technical Support"/>
    <x v="4"/>
    <x v="0"/>
    <x v="1"/>
    <x v="4"/>
    <x v="1"/>
    <n v="48"/>
    <x v="0"/>
    <d v="2026-05-13T00:45:00"/>
    <s v="No"/>
    <m/>
    <s v="Resolved On First Contact"/>
    <n v="23.283333333267365"/>
    <x v="0"/>
  </r>
  <r>
    <s v="TCK-22206"/>
    <d v="2026-01-17T02:40:00"/>
    <s v="Tier 2 Support"/>
    <x v="2"/>
    <x v="4"/>
    <x v="1"/>
    <x v="1"/>
    <x v="1"/>
    <n v="48"/>
    <x v="4"/>
    <s v="Missing Resolve Date"/>
    <s v="Yes"/>
    <m/>
    <s v="Escalated To Senior Agent"/>
    <s v=""/>
    <x v="1"/>
  </r>
  <r>
    <s v="TCK-22240"/>
    <d v="2026-08-17T04:27:00"/>
    <s v="Tier 2 Support"/>
    <x v="2"/>
    <x v="3"/>
    <x v="0"/>
    <x v="2"/>
    <x v="2"/>
    <n v="8"/>
    <x v="0"/>
    <d v="2026-08-17T14:49:00"/>
    <s v="No"/>
    <m/>
    <s v="Not Specified"/>
    <n v="10.366666666581295"/>
    <x v="2"/>
  </r>
  <r>
    <s v="TCK-21890"/>
    <d v="2026-05-24T17:08:00"/>
    <s v="Technical Support"/>
    <x v="6"/>
    <x v="6"/>
    <x v="2"/>
    <x v="2"/>
    <x v="1"/>
    <n v="48"/>
    <x v="0"/>
    <d v="2026-05-25T12:17:00"/>
    <s v="No"/>
    <n v="4"/>
    <s v="Technical Issue Resolved Remotely"/>
    <n v="19.150000000081491"/>
    <x v="0"/>
  </r>
  <r>
    <s v="TCK-21522"/>
    <d v="2026-06-12T17:59:00"/>
    <s v="Tier 1 Support"/>
    <x v="1"/>
    <x v="1"/>
    <x v="2"/>
    <x v="5"/>
    <x v="0"/>
    <n v="24"/>
    <x v="0"/>
    <d v="2026-06-13T10:54:00"/>
    <s v="No"/>
    <n v="2"/>
    <s v="Repeat Issue From Same Customer"/>
    <n v="16.916666666802485"/>
    <x v="0"/>
  </r>
  <r>
    <s v="TCK-20208"/>
    <d v="2026-02-25T13:37:00"/>
    <s v="Technical Support"/>
    <x v="6"/>
    <x v="2"/>
    <x v="2"/>
    <x v="0"/>
    <x v="0"/>
    <n v="24"/>
    <x v="0"/>
    <d v="2026-02-25T15:19:00"/>
    <s v="No"/>
    <m/>
    <s v="Resolved On First Contact"/>
    <n v="1.6999999999534339"/>
    <x v="0"/>
  </r>
  <r>
    <s v="TCK-22645"/>
    <d v="2026-03-09T03:45:00"/>
    <s v="Tier 2 Support"/>
    <x v="2"/>
    <x v="4"/>
    <x v="3"/>
    <x v="0"/>
    <x v="0"/>
    <n v="24"/>
    <x v="0"/>
    <d v="2026-03-09T17:54:00"/>
    <s v="No"/>
    <m/>
    <s v="Awaiting Customer Response"/>
    <n v="14.150000000023283"/>
    <x v="0"/>
  </r>
  <r>
    <s v="TCK-22071"/>
    <d v="2026-01-24T11:18:00"/>
    <s v="Tier 1 Support"/>
    <x v="7"/>
    <x v="6"/>
    <x v="0"/>
    <x v="1"/>
    <x v="0"/>
    <n v="24"/>
    <x v="0"/>
    <d v="2026-01-24T13:09:00"/>
    <s v="Yes"/>
    <m/>
    <s v="Customer Requested Refund"/>
    <n v="1.8500000000931323"/>
    <x v="0"/>
  </r>
  <r>
    <s v="TCK-22676"/>
    <d v="2026-03-03T21:57:00"/>
    <s v="Technical Support"/>
    <x v="4"/>
    <x v="3"/>
    <x v="3"/>
    <x v="5"/>
    <x v="3"/>
    <n v="4"/>
    <x v="2"/>
    <d v="2026-03-04T00:40:00"/>
    <s v="No"/>
    <n v="3"/>
    <s v="Not Specified"/>
    <n v="2.716666666790843"/>
    <x v="1"/>
  </r>
  <r>
    <s v="TCK-23110"/>
    <d v="2026-04-08T20:52:00"/>
    <s v="Tier 1 Support"/>
    <x v="7"/>
    <x v="0"/>
    <x v="0"/>
    <x v="1"/>
    <x v="0"/>
    <n v="24"/>
    <x v="4"/>
    <s v="Missing Resolve Date"/>
    <s v="Yes"/>
    <m/>
    <s v="Technical Issue Resolved Remotely"/>
    <s v=""/>
    <x v="1"/>
  </r>
  <r>
    <s v="TCK-21738"/>
    <d v="2026-04-21T22:26:00"/>
    <s v="Tier 1 Support"/>
    <x v="1"/>
    <x v="3"/>
    <x v="0"/>
    <x v="4"/>
    <x v="2"/>
    <n v="8"/>
    <x v="0"/>
    <d v="2026-04-22T00:01:00"/>
    <s v="No"/>
    <m/>
    <s v="Customer Requested Refund"/>
    <n v="1.5833333334303461"/>
    <x v="0"/>
  </r>
  <r>
    <s v="TCK-21884"/>
    <d v="2026-03-08T13:10:00"/>
    <s v="Tier 1 Support"/>
    <x v="1"/>
    <x v="3"/>
    <x v="2"/>
    <x v="5"/>
    <x v="1"/>
    <n v="48"/>
    <x v="0"/>
    <d v="2026-03-11T03:42:00"/>
    <s v="No"/>
    <n v="4"/>
    <s v="Technical Issue Resolved Remotely"/>
    <n v="62.53333333338378"/>
    <x v="2"/>
  </r>
  <r>
    <s v="TCK-20386"/>
    <d v="2026-04-01T17:50:00"/>
    <s v="Technical Support"/>
    <x v="6"/>
    <x v="6"/>
    <x v="0"/>
    <x v="3"/>
    <x v="0"/>
    <n v="24"/>
    <x v="5"/>
    <s v="Missing Resolve Date"/>
    <s v="No"/>
    <m/>
    <s v="Awaiting Customer Response"/>
    <s v=""/>
    <x v="1"/>
  </r>
  <r>
    <s v="TCK-20999"/>
    <d v="2026-03-31T15:06:00"/>
    <s v="Tier 1 Support"/>
    <x v="1"/>
    <x v="0"/>
    <x v="3"/>
    <x v="1"/>
    <x v="2"/>
    <n v="8"/>
    <x v="2"/>
    <d v="2026-03-31T21:40:00"/>
    <s v="No"/>
    <n v="1"/>
    <s v="Awaiting Customer Response"/>
    <n v="6.5666666667675599"/>
    <x v="1"/>
  </r>
  <r>
    <s v="TCK-22580"/>
    <d v="2026-07-24T12:48:00"/>
    <s v="Tier 2 Support"/>
    <x v="3"/>
    <x v="4"/>
    <x v="3"/>
    <x v="5"/>
    <x v="0"/>
    <n v="24"/>
    <x v="0"/>
    <d v="2026-07-24T18:03:00"/>
    <s v="No"/>
    <n v="2"/>
    <s v="Awaiting Customer Response"/>
    <n v="5.25"/>
    <x v="0"/>
  </r>
  <r>
    <s v="TCK-22535"/>
    <d v="2026-08-01T19:04:00"/>
    <s v="Tier 1 Support"/>
    <x v="1"/>
    <x v="4"/>
    <x v="0"/>
    <x v="4"/>
    <x v="1"/>
    <n v="48"/>
    <x v="0"/>
    <d v="2026-08-02T01:38:00"/>
    <s v="No"/>
    <n v="4"/>
    <s v="Required Follow-Up Call"/>
    <n v="6.5666666667675599"/>
    <x v="0"/>
  </r>
  <r>
    <s v="TCK-22984"/>
    <d v="2026-02-06T05:40:00"/>
    <s v="Tier 1 Support"/>
    <x v="7"/>
    <x v="6"/>
    <x v="0"/>
    <x v="4"/>
    <x v="1"/>
    <n v="48"/>
    <x v="0"/>
    <d v="2026-02-07T16:23:00"/>
    <s v="No"/>
    <m/>
    <s v="Not Specified"/>
    <n v="34.716666666674428"/>
    <x v="0"/>
  </r>
  <r>
    <s v="TCK-22148"/>
    <d v="2026-06-19T23:20:00"/>
    <s v="Billing Support"/>
    <x v="5"/>
    <x v="2"/>
    <x v="1"/>
    <x v="0"/>
    <x v="2"/>
    <n v="8"/>
    <x v="0"/>
    <d v="2026-06-20T04:40:00"/>
    <s v="No"/>
    <n v="4"/>
    <s v="Escalated To Senior Agent"/>
    <n v="5.3333333334303461"/>
    <x v="0"/>
  </r>
  <r>
    <s v="TCK-22323"/>
    <d v="2026-01-04T17:57:00"/>
    <s v="Technical Support"/>
    <x v="4"/>
    <x v="6"/>
    <x v="0"/>
    <x v="3"/>
    <x v="1"/>
    <n v="48"/>
    <x v="0"/>
    <d v="2026-01-06T06:11:00"/>
    <s v="No"/>
    <m/>
    <s v="Customer Requested Refund"/>
    <n v="36.233333333395422"/>
    <x v="0"/>
  </r>
  <r>
    <s v="TCK-22550"/>
    <d v="2026-04-06T16:43:00"/>
    <s v="Tier 2 Support"/>
    <x v="3"/>
    <x v="4"/>
    <x v="3"/>
    <x v="0"/>
    <x v="0"/>
    <n v="24"/>
    <x v="3"/>
    <d v="2026-04-06T19:57:00"/>
    <s v="No"/>
    <m/>
    <s v="Awaiting Customer Response"/>
    <n v="3.2333333333954215"/>
    <x v="1"/>
  </r>
  <r>
    <s v="TCK-20582"/>
    <d v="2026-06-09T18:01:00"/>
    <s v="Technical Support"/>
    <x v="4"/>
    <x v="6"/>
    <x v="2"/>
    <x v="0"/>
    <x v="1"/>
    <n v="48"/>
    <x v="1"/>
    <s v="Missing Resolve Date"/>
    <s v="No"/>
    <m/>
    <s v="Resolved On First Contact"/>
    <s v=""/>
    <x v="1"/>
  </r>
  <r>
    <s v="TCK-21144"/>
    <d v="2026-05-07T00:08:00"/>
    <s v="Tier 1 Support"/>
    <x v="1"/>
    <x v="1"/>
    <x v="0"/>
    <x v="3"/>
    <x v="2"/>
    <n v="8"/>
    <x v="1"/>
    <s v="Missing Resolve Date"/>
    <s v="No"/>
    <m/>
    <s v="Awaiting Customer Response"/>
    <s v=""/>
    <x v="1"/>
  </r>
  <r>
    <s v="TCK-20119"/>
    <d v="2026-01-15T12:10:00"/>
    <s v="Tier 2 Support"/>
    <x v="3"/>
    <x v="1"/>
    <x v="2"/>
    <x v="0"/>
    <x v="1"/>
    <n v="48"/>
    <x v="0"/>
    <d v="2026-01-16T01:13:00"/>
    <s v="No"/>
    <m/>
    <s v="Escalated To Senior Agent"/>
    <n v="13.049999999930151"/>
    <x v="0"/>
  </r>
  <r>
    <s v="TCK-20245"/>
    <d v="2026-08-16T23:21:00"/>
    <s v="Tier 1 Support"/>
    <x v="7"/>
    <x v="2"/>
    <x v="2"/>
    <x v="2"/>
    <x v="3"/>
    <n v="4"/>
    <x v="3"/>
    <d v="2026-08-16T23:54:00"/>
    <s v="Yes"/>
    <m/>
    <s v="Not Specified"/>
    <n v="0.55000000004656613"/>
    <x v="1"/>
  </r>
  <r>
    <s v="TCK-22837"/>
    <d v="2026-03-02T23:54:00"/>
    <s v="Technical Support"/>
    <x v="4"/>
    <x v="2"/>
    <x v="1"/>
    <x v="5"/>
    <x v="2"/>
    <n v="8"/>
    <x v="0"/>
    <d v="2026-03-03T05:31:00"/>
    <s v="No"/>
    <m/>
    <s v="Awaiting Customer Response"/>
    <n v="5.6166666666395031"/>
    <x v="0"/>
  </r>
  <r>
    <s v="TCK-21736"/>
    <d v="2026-04-28T10:34:00"/>
    <s v="Tier 2 Support"/>
    <x v="3"/>
    <x v="2"/>
    <x v="3"/>
    <x v="2"/>
    <x v="1"/>
    <n v="48"/>
    <x v="2"/>
    <d v="2026-04-29T21:50:00"/>
    <s v="No"/>
    <n v="5"/>
    <s v="Awaiting Customer Response"/>
    <n v="35.266666666546371"/>
    <x v="1"/>
  </r>
  <r>
    <s v="TCK-21140"/>
    <d v="2026-02-09T12:23:00"/>
    <s v="Technical Support"/>
    <x v="4"/>
    <x v="5"/>
    <x v="0"/>
    <x v="1"/>
    <x v="2"/>
    <n v="8"/>
    <x v="2"/>
    <d v="2026-02-09T18:05:00"/>
    <s v="Yes"/>
    <n v="5"/>
    <s v="Awaiting Customer Response"/>
    <n v="5.6999999998952262"/>
    <x v="1"/>
  </r>
  <r>
    <s v="TCK-22368"/>
    <d v="2026-01-20T08:36:00"/>
    <s v="Tier 2 Support"/>
    <x v="2"/>
    <x v="4"/>
    <x v="2"/>
    <x v="5"/>
    <x v="1"/>
    <n v="48"/>
    <x v="2"/>
    <d v="2026-01-23T12:33:00"/>
    <s v="No"/>
    <n v="2"/>
    <s v="Awaiting Customer Response"/>
    <n v="75.950000000128057"/>
    <x v="1"/>
  </r>
  <r>
    <s v="TCK-21226"/>
    <d v="2026-04-04T23:17:00"/>
    <s v="Billing Support"/>
    <x v="0"/>
    <x v="0"/>
    <x v="0"/>
    <x v="5"/>
    <x v="1"/>
    <n v="48"/>
    <x v="0"/>
    <d v="2026-04-06T16:36:00"/>
    <s v="Yes"/>
    <n v="1"/>
    <s v="Awaiting Customer Response"/>
    <n v="41.316666666709352"/>
    <x v="0"/>
  </r>
  <r>
    <s v="TCK-23023"/>
    <d v="2026-06-14T22:00:00"/>
    <s v="Tier 1 Support"/>
    <x v="1"/>
    <x v="5"/>
    <x v="2"/>
    <x v="5"/>
    <x v="1"/>
    <n v="48"/>
    <x v="4"/>
    <s v="Missing Resolve Date"/>
    <s v="Yes"/>
    <m/>
    <s v="Not Specified"/>
    <s v=""/>
    <x v="1"/>
  </r>
  <r>
    <s v="TCK-23059"/>
    <d v="2026-03-26T16:53:00"/>
    <s v="Billing Support"/>
    <x v="0"/>
    <x v="2"/>
    <x v="2"/>
    <x v="2"/>
    <x v="3"/>
    <n v="4"/>
    <x v="1"/>
    <s v="Missing Resolve Date"/>
    <s v="No"/>
    <m/>
    <s v="Resolved On First Contact"/>
    <s v=""/>
    <x v="1"/>
  </r>
  <r>
    <s v="TCK-21932"/>
    <d v="2026-08-02T09:53:00"/>
    <s v="Tier 2 Support"/>
    <x v="2"/>
    <x v="6"/>
    <x v="1"/>
    <x v="0"/>
    <x v="2"/>
    <n v="8"/>
    <x v="2"/>
    <d v="2026-08-02T10:51:00"/>
    <s v="No"/>
    <n v="4"/>
    <s v="Technical Issue Resolved Remotely"/>
    <n v="0.96666666649980471"/>
    <x v="1"/>
  </r>
  <r>
    <s v="TCK-22446"/>
    <d v="2026-03-03T21:34:00"/>
    <s v="Tier 1 Support"/>
    <x v="7"/>
    <x v="3"/>
    <x v="1"/>
    <x v="0"/>
    <x v="3"/>
    <n v="4"/>
    <x v="0"/>
    <d v="2026-03-04T00:54:00"/>
    <s v="No"/>
    <n v="5"/>
    <s v="Customer Satisfied With Resolution"/>
    <n v="3.3333333333721384"/>
    <x v="0"/>
  </r>
  <r>
    <s v="TCK-22606"/>
    <d v="2026-03-05T00:30:00"/>
    <s v="Tier 2 Support"/>
    <x v="2"/>
    <x v="2"/>
    <x v="2"/>
    <x v="2"/>
    <x v="0"/>
    <n v="24"/>
    <x v="2"/>
    <d v="2026-03-05T14:23:00"/>
    <s v="No"/>
    <m/>
    <s v="Required Follow-Up Call"/>
    <n v="13.883333333360497"/>
    <x v="1"/>
  </r>
  <r>
    <s v="TCK-20866"/>
    <d v="2026-07-04T04:24:00"/>
    <s v="Tier 1 Support"/>
    <x v="1"/>
    <x v="6"/>
    <x v="2"/>
    <x v="5"/>
    <x v="2"/>
    <n v="8"/>
    <x v="0"/>
    <d v="2026-07-04T08:29:00"/>
    <s v="No"/>
    <n v="2"/>
    <s v="Technical Issue Resolved Remotely"/>
    <n v="4.0833333333721384"/>
    <x v="0"/>
  </r>
  <r>
    <s v="TCK-21460"/>
    <d v="2026-03-29T12:28:00"/>
    <s v="Tier 1 Support"/>
    <x v="7"/>
    <x v="3"/>
    <x v="1"/>
    <x v="2"/>
    <x v="1"/>
    <n v="48"/>
    <x v="2"/>
    <d v="2026-03-30T06:04:00"/>
    <s v="No"/>
    <n v="2"/>
    <s v="Technical Issue Resolved Remotely"/>
    <n v="17.600000000093132"/>
    <x v="1"/>
  </r>
  <r>
    <s v="TCK-22617"/>
    <d v="2026-04-07T16:36:00"/>
    <s v="Technical Support"/>
    <x v="4"/>
    <x v="2"/>
    <x v="2"/>
    <x v="0"/>
    <x v="0"/>
    <n v="24"/>
    <x v="1"/>
    <s v="Missing Resolve Date"/>
    <s v="No"/>
    <m/>
    <s v="Resolved On First Contact"/>
    <s v=""/>
    <x v="1"/>
  </r>
  <r>
    <s v="TCK-21634"/>
    <d v="2026-05-23T11:53:00"/>
    <s v="Tier 2 Support"/>
    <x v="2"/>
    <x v="5"/>
    <x v="1"/>
    <x v="1"/>
    <x v="2"/>
    <n v="8"/>
    <x v="2"/>
    <d v="2026-05-23T18:15:00"/>
    <s v="No"/>
    <m/>
    <s v="Technical Issue Resolved Remotely"/>
    <n v="6.3666666666395031"/>
    <x v="1"/>
  </r>
  <r>
    <s v="TCK-21935"/>
    <d v="2026-03-20T15:36:00"/>
    <s v="Tier 2 Support"/>
    <x v="3"/>
    <x v="6"/>
    <x v="1"/>
    <x v="2"/>
    <x v="1"/>
    <n v="48"/>
    <x v="2"/>
    <d v="2026-03-26T05:23:00"/>
    <s v="No"/>
    <m/>
    <s v="Customer Satisfied With Resolution"/>
    <n v="133.78333333338378"/>
    <x v="1"/>
  </r>
  <r>
    <s v="TCK-20770"/>
    <d v="2026-08-18T21:11:00"/>
    <s v="Technical Support"/>
    <x v="6"/>
    <x v="5"/>
    <x v="0"/>
    <x v="4"/>
    <x v="1"/>
    <n v="48"/>
    <x v="5"/>
    <s v="Missing Resolve Date"/>
    <s v="No"/>
    <m/>
    <s v="Awaiting Customer Response"/>
    <s v=""/>
    <x v="1"/>
  </r>
  <r>
    <s v="TCK-20225"/>
    <d v="2026-06-19T20:11:00"/>
    <s v="Technical Support"/>
    <x v="4"/>
    <x v="2"/>
    <x v="0"/>
    <x v="5"/>
    <x v="3"/>
    <n v="4"/>
    <x v="5"/>
    <s v="Missing Resolve Date"/>
    <s v="No"/>
    <m/>
    <s v="Required Follow-Up Call"/>
    <s v=""/>
    <x v="1"/>
  </r>
  <r>
    <s v="TCK-22334"/>
    <d v="2026-03-26T03:07:00"/>
    <s v="Technical Support"/>
    <x v="6"/>
    <x v="3"/>
    <x v="0"/>
    <x v="0"/>
    <x v="2"/>
    <n v="8"/>
    <x v="1"/>
    <s v="Missing Resolve Date"/>
    <s v="No"/>
    <m/>
    <s v="Customer Requested Refund"/>
    <s v=""/>
    <x v="1"/>
  </r>
  <r>
    <s v="TCK-22559"/>
    <d v="2026-01-02T12:40:00"/>
    <s v="Technical Support"/>
    <x v="4"/>
    <x v="4"/>
    <x v="2"/>
    <x v="2"/>
    <x v="0"/>
    <n v="24"/>
    <x v="2"/>
    <d v="2026-01-03T00:03:00"/>
    <s v="No"/>
    <m/>
    <s v="Not Specified"/>
    <n v="11.383333333244082"/>
    <x v="1"/>
  </r>
  <r>
    <s v="TCK-22144"/>
    <d v="2026-01-24T05:59:00"/>
    <s v="Tier 2 Support"/>
    <x v="3"/>
    <x v="5"/>
    <x v="2"/>
    <x v="4"/>
    <x v="3"/>
    <n v="4"/>
    <x v="1"/>
    <s v="Missing Resolve Date"/>
    <s v="No"/>
    <m/>
    <s v="Resolved On First Contact"/>
    <s v=""/>
    <x v="1"/>
  </r>
  <r>
    <s v="TCK-23163"/>
    <d v="2026-07-18T19:22:00"/>
    <s v="Tier 1 Support"/>
    <x v="1"/>
    <x v="0"/>
    <x v="3"/>
    <x v="3"/>
    <x v="0"/>
    <n v="24"/>
    <x v="3"/>
    <d v="2026-07-18T23:32:00"/>
    <s v="No"/>
    <m/>
    <s v="Required Follow-Up Call"/>
    <n v="4.1666666668024845"/>
    <x v="1"/>
  </r>
  <r>
    <s v="TCK-22626"/>
    <d v="2026-02-17T07:11:00"/>
    <s v="Billing Support"/>
    <x v="5"/>
    <x v="5"/>
    <x v="2"/>
    <x v="0"/>
    <x v="2"/>
    <n v="8"/>
    <x v="0"/>
    <d v="2026-02-17T12:07:00"/>
    <s v="No"/>
    <m/>
    <s v="Escalated To Senior Agent"/>
    <n v="4.9333333333488554"/>
    <x v="0"/>
  </r>
  <r>
    <s v="TCK-20827"/>
    <d v="2026-02-19T11:52:00"/>
    <s v="Billing Support"/>
    <x v="5"/>
    <x v="4"/>
    <x v="1"/>
    <x v="3"/>
    <x v="1"/>
    <n v="48"/>
    <x v="2"/>
    <s v="Missing Resolve Date"/>
    <s v="No"/>
    <m/>
    <s v="Customer Requested Refund"/>
    <s v=""/>
    <x v="1"/>
  </r>
  <r>
    <s v="TCK-21235"/>
    <d v="2026-04-18T21:15:00"/>
    <s v="Billing Support"/>
    <x v="0"/>
    <x v="6"/>
    <x v="1"/>
    <x v="5"/>
    <x v="2"/>
    <n v="8"/>
    <x v="0"/>
    <d v="2026-04-19T04:02:00"/>
    <s v="No"/>
    <n v="2"/>
    <s v="Technical Issue Resolved Remotely"/>
    <n v="6.7833333334419876"/>
    <x v="0"/>
  </r>
  <r>
    <s v="TCK-23192"/>
    <d v="2026-06-29T12:06:00"/>
    <s v="Tier 1 Support"/>
    <x v="1"/>
    <x v="5"/>
    <x v="1"/>
    <x v="0"/>
    <x v="0"/>
    <n v="24"/>
    <x v="0"/>
    <d v="2026-06-29T18:16:00"/>
    <s v="No"/>
    <n v="4"/>
    <s v="Not Specified"/>
    <n v="6.1666666666860692"/>
    <x v="0"/>
  </r>
  <r>
    <s v="TCK-20221"/>
    <d v="2026-03-11T00:53:00"/>
    <s v="Billing Support"/>
    <x v="0"/>
    <x v="1"/>
    <x v="0"/>
    <x v="5"/>
    <x v="1"/>
    <n v="48"/>
    <x v="0"/>
    <d v="2026-03-16T12:14:00"/>
    <s v="No"/>
    <m/>
    <s v="Not Specified"/>
    <n v="131.34999999997672"/>
    <x v="2"/>
  </r>
  <r>
    <s v="TCK-20726"/>
    <d v="2026-07-22T10:00:00"/>
    <s v="Technical Support"/>
    <x v="6"/>
    <x v="3"/>
    <x v="1"/>
    <x v="0"/>
    <x v="2"/>
    <n v="8"/>
    <x v="1"/>
    <s v="Missing Resolve Date"/>
    <s v="No"/>
    <m/>
    <s v="Escalated To Senior Agent"/>
    <s v=""/>
    <x v="1"/>
  </r>
  <r>
    <s v="TCK-21328"/>
    <d v="2026-06-06T12:56:00"/>
    <s v="Tier 1 Support"/>
    <x v="7"/>
    <x v="4"/>
    <x v="3"/>
    <x v="0"/>
    <x v="0"/>
    <n v="24"/>
    <x v="0"/>
    <d v="2026-06-07T00:02:00"/>
    <s v="No"/>
    <m/>
    <s v="Customer Satisfied With Resolution"/>
    <n v="11.099999999860302"/>
    <x v="0"/>
  </r>
  <r>
    <s v="TCK-21705"/>
    <d v="2026-08-28T03:52:00"/>
    <s v="Billing Support"/>
    <x v="5"/>
    <x v="1"/>
    <x v="2"/>
    <x v="0"/>
    <x v="1"/>
    <n v="48"/>
    <x v="1"/>
    <s v="Missing Resolve Date"/>
    <s v="No"/>
    <m/>
    <s v="Required Follow-Up Call"/>
    <s v=""/>
    <x v="1"/>
  </r>
  <r>
    <s v="TCK-21852"/>
    <d v="2026-03-05T06:39:00"/>
    <s v="Tier 2 Support"/>
    <x v="3"/>
    <x v="0"/>
    <x v="1"/>
    <x v="0"/>
    <x v="1"/>
    <n v="48"/>
    <x v="0"/>
    <d v="2026-03-05T09:16:00"/>
    <s v="No"/>
    <m/>
    <s v="Required Follow-Up Call"/>
    <n v="2.6166666666395031"/>
    <x v="0"/>
  </r>
  <r>
    <s v="TCK-22909"/>
    <d v="2026-08-23T06:25:00"/>
    <s v="Tier 1 Support"/>
    <x v="1"/>
    <x v="4"/>
    <x v="1"/>
    <x v="0"/>
    <x v="2"/>
    <n v="8"/>
    <x v="0"/>
    <d v="2026-08-24T02:55:00"/>
    <s v="No"/>
    <n v="5"/>
    <s v="Required Follow-Up Call"/>
    <n v="20.500000000116415"/>
    <x v="2"/>
  </r>
  <r>
    <s v="TCK-20640"/>
    <d v="2026-02-12T16:41:00"/>
    <s v="Tier 1 Support"/>
    <x v="7"/>
    <x v="3"/>
    <x v="1"/>
    <x v="2"/>
    <x v="2"/>
    <n v="8"/>
    <x v="5"/>
    <s v="Missing Resolve Date"/>
    <s v="Yes"/>
    <m/>
    <s v="Awaiting Customer Response"/>
    <s v=""/>
    <x v="1"/>
  </r>
  <r>
    <s v="TCK-23140"/>
    <d v="2026-06-21T06:15:00"/>
    <s v="Billing Support"/>
    <x v="0"/>
    <x v="3"/>
    <x v="3"/>
    <x v="0"/>
    <x v="1"/>
    <n v="48"/>
    <x v="0"/>
    <d v="2026-06-26T15:19:00"/>
    <s v="No"/>
    <n v="5"/>
    <s v="Escalated To Senior Agent"/>
    <n v="129.06666666670935"/>
    <x v="2"/>
  </r>
  <r>
    <s v="TCK-20248"/>
    <d v="2026-05-29T21:27:00"/>
    <s v="Tier 2 Support"/>
    <x v="3"/>
    <x v="4"/>
    <x v="3"/>
    <x v="3"/>
    <x v="1"/>
    <n v="48"/>
    <x v="2"/>
    <d v="2026-06-01T11:33:00"/>
    <s v="No"/>
    <m/>
    <s v="Escalated To Senior Agent"/>
    <n v="62.099999999860302"/>
    <x v="1"/>
  </r>
  <r>
    <s v="TCK-20043"/>
    <d v="2026-04-05T05:45:00"/>
    <s v="Technical Support"/>
    <x v="4"/>
    <x v="5"/>
    <x v="1"/>
    <x v="2"/>
    <x v="0"/>
    <n v="24"/>
    <x v="2"/>
    <d v="2026-04-05T14:47:00"/>
    <s v="No"/>
    <n v="2"/>
    <s v="Customer Satisfied With Resolution"/>
    <n v="9.0333333332673647"/>
    <x v="1"/>
  </r>
  <r>
    <s v="TCK-22241"/>
    <d v="2026-03-30T14:29:00"/>
    <s v="Technical Support"/>
    <x v="4"/>
    <x v="4"/>
    <x v="1"/>
    <x v="1"/>
    <x v="1"/>
    <n v="48"/>
    <x v="0"/>
    <d v="2026-03-31T20:01:00"/>
    <s v="No"/>
    <m/>
    <s v="Awaiting Customer Response"/>
    <n v="29.533333333209157"/>
    <x v="0"/>
  </r>
  <r>
    <s v="TCK-22224"/>
    <d v="2026-03-01T20:41:00"/>
    <s v="Tier 1 Support"/>
    <x v="1"/>
    <x v="2"/>
    <x v="2"/>
    <x v="1"/>
    <x v="0"/>
    <n v="24"/>
    <x v="4"/>
    <s v="Missing Resolve Date"/>
    <s v="Yes"/>
    <m/>
    <s v="Technical Issue Resolved Remotely"/>
    <s v=""/>
    <x v="1"/>
  </r>
  <r>
    <s v="TCK-20751"/>
    <d v="2026-01-12T15:28:00"/>
    <s v="Tier 2 Support"/>
    <x v="2"/>
    <x v="3"/>
    <x v="2"/>
    <x v="1"/>
    <x v="0"/>
    <n v="24"/>
    <x v="1"/>
    <s v="Missing Resolve Date"/>
    <s v="No"/>
    <m/>
    <s v="Repeat Issue From Same Customer"/>
    <s v=""/>
    <x v="1"/>
  </r>
  <r>
    <s v="TCK-20824"/>
    <d v="2026-03-10T00:59:00"/>
    <s v="Tier 1 Support"/>
    <x v="7"/>
    <x v="2"/>
    <x v="1"/>
    <x v="2"/>
    <x v="2"/>
    <n v="8"/>
    <x v="5"/>
    <s v="Missing Resolve Date"/>
    <s v="No"/>
    <m/>
    <s v="Not Specified"/>
    <s v=""/>
    <x v="1"/>
  </r>
  <r>
    <s v="TCK-20238"/>
    <d v="2026-07-10T23:42:00"/>
    <s v="Tier 2 Support"/>
    <x v="2"/>
    <x v="5"/>
    <x v="3"/>
    <x v="1"/>
    <x v="2"/>
    <n v="8"/>
    <x v="0"/>
    <d v="2026-07-11T05:02:00"/>
    <s v="Yes"/>
    <n v="4"/>
    <s v="Customer Satisfied With Resolution"/>
    <n v="5.3333333332557231"/>
    <x v="0"/>
  </r>
  <r>
    <s v="TCK-21719"/>
    <d v="2026-08-13T10:48:00"/>
    <s v="Tier 2 Support"/>
    <x v="3"/>
    <x v="1"/>
    <x v="0"/>
    <x v="5"/>
    <x v="0"/>
    <n v="24"/>
    <x v="0"/>
    <d v="2026-08-14T02:29:00"/>
    <s v="No"/>
    <m/>
    <s v="Awaiting Customer Response"/>
    <n v="15.683333333465271"/>
    <x v="0"/>
  </r>
  <r>
    <s v="TCK-20106"/>
    <d v="2026-07-28T08:34:00"/>
    <s v="Tier 2 Support"/>
    <x v="3"/>
    <x v="6"/>
    <x v="0"/>
    <x v="2"/>
    <x v="2"/>
    <n v="8"/>
    <x v="0"/>
    <d v="2026-07-28T11:21:00"/>
    <s v="No"/>
    <n v="1"/>
    <s v="Not Specified"/>
    <n v="2.7833333333255723"/>
    <x v="0"/>
  </r>
  <r>
    <s v="TCK-20112"/>
    <d v="2026-04-17T20:19:00"/>
    <s v="Technical Support"/>
    <x v="4"/>
    <x v="3"/>
    <x v="0"/>
    <x v="3"/>
    <x v="0"/>
    <n v="24"/>
    <x v="2"/>
    <d v="2026-04-18T14:17:00"/>
    <s v="No"/>
    <n v="5"/>
    <s v="Not Specified"/>
    <n v="17.966666666558012"/>
    <x v="1"/>
  </r>
  <r>
    <s v="TCK-21984"/>
    <d v="2026-03-31T02:35:00"/>
    <s v="Billing Support"/>
    <x v="5"/>
    <x v="2"/>
    <x v="1"/>
    <x v="1"/>
    <x v="2"/>
    <n v="8"/>
    <x v="2"/>
    <d v="2026-03-31T05:33:00"/>
    <s v="No"/>
    <n v="5"/>
    <s v="Resolved On First Contact"/>
    <n v="2.9666666665580124"/>
    <x v="1"/>
  </r>
  <r>
    <s v="TCK-22481"/>
    <d v="2026-08-14T12:05:00"/>
    <s v="Tier 2 Support"/>
    <x v="3"/>
    <x v="1"/>
    <x v="3"/>
    <x v="5"/>
    <x v="0"/>
    <n v="24"/>
    <x v="0"/>
    <d v="2026-08-16T15:35:00"/>
    <s v="No"/>
    <m/>
    <s v="Customer Satisfied With Resolution"/>
    <n v="51.500000000058208"/>
    <x v="2"/>
  </r>
  <r>
    <s v="TCK-21812"/>
    <d v="2026-04-18T22:02:00"/>
    <s v="Billing Support"/>
    <x v="0"/>
    <x v="6"/>
    <x v="2"/>
    <x v="2"/>
    <x v="1"/>
    <n v="48"/>
    <x v="0"/>
    <d v="2026-04-20T04:05:00"/>
    <s v="No"/>
    <n v="3"/>
    <s v="Not Specified"/>
    <n v="30.049999999988358"/>
    <x v="0"/>
  </r>
  <r>
    <s v="TCK-22452"/>
    <d v="2026-07-10T18:56:00"/>
    <s v="Tier 1 Support"/>
    <x v="1"/>
    <x v="6"/>
    <x v="1"/>
    <x v="0"/>
    <x v="1"/>
    <n v="48"/>
    <x v="2"/>
    <d v="2026-07-11T06:41:00"/>
    <s v="No"/>
    <m/>
    <s v="Required Follow-Up Call"/>
    <n v="11.749999999883585"/>
    <x v="1"/>
  </r>
  <r>
    <s v="TCK-21688"/>
    <d v="2026-01-12T07:46:00"/>
    <s v="Billing Support"/>
    <x v="5"/>
    <x v="2"/>
    <x v="0"/>
    <x v="5"/>
    <x v="1"/>
    <n v="48"/>
    <x v="2"/>
    <d v="2026-01-12T10:35:00"/>
    <s v="No"/>
    <m/>
    <s v="Required Follow-Up Call"/>
    <n v="2.816666666592937"/>
    <x v="1"/>
  </r>
  <r>
    <s v="TCK-20890"/>
    <d v="2026-04-13T09:05:00"/>
    <s v="Tier 1 Support"/>
    <x v="7"/>
    <x v="4"/>
    <x v="2"/>
    <x v="3"/>
    <x v="3"/>
    <n v="4"/>
    <x v="4"/>
    <s v="Missing Resolve Date"/>
    <s v="Yes"/>
    <m/>
    <s v="Customer Satisfied With Resolution"/>
    <s v=""/>
    <x v="1"/>
  </r>
  <r>
    <s v="TCK-21612"/>
    <d v="2026-05-20T11:51:00"/>
    <s v="Technical Support"/>
    <x v="6"/>
    <x v="0"/>
    <x v="1"/>
    <x v="4"/>
    <x v="2"/>
    <n v="8"/>
    <x v="0"/>
    <d v="2026-05-20T12:35:00"/>
    <s v="No"/>
    <m/>
    <s v="Customer Satisfied With Resolution"/>
    <n v="0.73333333327900618"/>
    <x v="0"/>
  </r>
  <r>
    <s v="TCK-21667"/>
    <d v="2026-06-27T22:00:00"/>
    <s v="Billing Support"/>
    <x v="0"/>
    <x v="5"/>
    <x v="0"/>
    <x v="5"/>
    <x v="2"/>
    <n v="8"/>
    <x v="2"/>
    <d v="2026-06-28T00:48:00"/>
    <s v="No"/>
    <n v="1"/>
    <s v="Required Follow-Up Call"/>
    <n v="2.8000000000465661"/>
    <x v="1"/>
  </r>
  <r>
    <s v="TCK-20442"/>
    <d v="2026-07-03T12:07:00"/>
    <s v="Billing Support"/>
    <x v="5"/>
    <x v="5"/>
    <x v="1"/>
    <x v="5"/>
    <x v="1"/>
    <n v="48"/>
    <x v="0"/>
    <d v="2026-07-06T22:02:00"/>
    <s v="Yes"/>
    <n v="4"/>
    <s v="Repeat Issue From Same Customer"/>
    <n v="81.916666666686069"/>
    <x v="2"/>
  </r>
  <r>
    <s v="TCK-21279"/>
    <d v="2026-02-16T14:49:00"/>
    <s v="Tier 1 Support"/>
    <x v="1"/>
    <x v="1"/>
    <x v="1"/>
    <x v="1"/>
    <x v="1"/>
    <n v="48"/>
    <x v="2"/>
    <d v="2026-02-17T23:15:00"/>
    <s v="No"/>
    <n v="3"/>
    <s v="Required Follow-Up Call"/>
    <n v="32.433333333407063"/>
    <x v="1"/>
  </r>
  <r>
    <s v="TCK-21804"/>
    <d v="2026-07-17T09:32:00"/>
    <s v="Billing Support"/>
    <x v="5"/>
    <x v="3"/>
    <x v="1"/>
    <x v="5"/>
    <x v="3"/>
    <n v="4"/>
    <x v="2"/>
    <d v="2026-07-17T12:25:00"/>
    <s v="No"/>
    <n v="5"/>
    <s v="Not Specified"/>
    <n v="2.8833333333022892"/>
    <x v="1"/>
  </r>
  <r>
    <s v="TCK-21277"/>
    <d v="2026-06-15T15:52:00"/>
    <s v="Billing Support"/>
    <x v="5"/>
    <x v="5"/>
    <x v="2"/>
    <x v="4"/>
    <x v="3"/>
    <n v="4"/>
    <x v="5"/>
    <s v="Missing Resolve Date"/>
    <s v="No"/>
    <m/>
    <s v="Resolved On First Contact"/>
    <s v=""/>
    <x v="1"/>
  </r>
  <r>
    <s v="TCK-20855"/>
    <d v="2026-08-28T01:23:00"/>
    <s v="Technical Support"/>
    <x v="4"/>
    <x v="2"/>
    <x v="3"/>
    <x v="0"/>
    <x v="2"/>
    <n v="8"/>
    <x v="2"/>
    <d v="2026-08-28T04:00:00"/>
    <s v="No"/>
    <n v="5"/>
    <s v="Repeat Issue From Same Customer"/>
    <n v="2.6166666666395031"/>
    <x v="1"/>
  </r>
  <r>
    <s v="TCK-20431"/>
    <d v="2026-07-31T16:48:00"/>
    <s v="Tier 1 Support"/>
    <x v="1"/>
    <x v="2"/>
    <x v="0"/>
    <x v="0"/>
    <x v="2"/>
    <n v="8"/>
    <x v="2"/>
    <d v="2026-07-31T17:36:00"/>
    <s v="No"/>
    <m/>
    <s v="Technical Issue Resolved Remotely"/>
    <n v="0.79999999998835847"/>
    <x v="1"/>
  </r>
  <r>
    <s v="TCK-21849"/>
    <d v="2026-04-28T07:43:00"/>
    <s v="Technical Support"/>
    <x v="6"/>
    <x v="5"/>
    <x v="1"/>
    <x v="0"/>
    <x v="0"/>
    <n v="24"/>
    <x v="4"/>
    <s v="Missing Resolve Date"/>
    <s v="Yes"/>
    <m/>
    <s v="Not Specified"/>
    <s v=""/>
    <x v="1"/>
  </r>
  <r>
    <s v="TCK-20342"/>
    <d v="2026-06-12T13:42:00"/>
    <s v="Tier 1 Support"/>
    <x v="7"/>
    <x v="3"/>
    <x v="0"/>
    <x v="5"/>
    <x v="3"/>
    <n v="4"/>
    <x v="0"/>
    <d v="2026-06-12T14:57:00"/>
    <s v="No"/>
    <n v="1"/>
    <s v="Customer Requested Refund"/>
    <n v="1.2500000000582077"/>
    <x v="0"/>
  </r>
  <r>
    <s v="TCK-22518"/>
    <d v="2026-04-29T05:13:00"/>
    <s v="Tier 1 Support"/>
    <x v="7"/>
    <x v="3"/>
    <x v="2"/>
    <x v="0"/>
    <x v="0"/>
    <n v="24"/>
    <x v="0"/>
    <d v="2026-05-02T05:06:00"/>
    <s v="Yes"/>
    <n v="1"/>
    <s v="Technical Issue Resolved Remotely"/>
    <n v="71.883333333302289"/>
    <x v="2"/>
  </r>
  <r>
    <s v="TCK-21031"/>
    <d v="2026-04-07T15:42:00"/>
    <s v="Technical Support"/>
    <x v="6"/>
    <x v="5"/>
    <x v="0"/>
    <x v="5"/>
    <x v="0"/>
    <n v="24"/>
    <x v="0"/>
    <d v="2026-04-08T01:40:00"/>
    <s v="No"/>
    <m/>
    <s v="Awaiting Customer Response"/>
    <n v="9.9666666666744277"/>
    <x v="0"/>
  </r>
  <r>
    <s v="TCK-22961"/>
    <d v="2026-03-12T10:31:00"/>
    <s v="Technical Support"/>
    <x v="6"/>
    <x v="6"/>
    <x v="3"/>
    <x v="3"/>
    <x v="3"/>
    <n v="4"/>
    <x v="4"/>
    <s v="Missing Resolve Date"/>
    <s v="Yes"/>
    <m/>
    <s v="Required Follow-Up Call"/>
    <s v=""/>
    <x v="1"/>
  </r>
  <r>
    <s v="TCK-20171"/>
    <d v="2026-03-01T18:21:00"/>
    <s v="Technical Support"/>
    <x v="4"/>
    <x v="0"/>
    <x v="0"/>
    <x v="4"/>
    <x v="0"/>
    <n v="24"/>
    <x v="2"/>
    <d v="2026-03-03T13:59:00"/>
    <s v="No"/>
    <n v="5"/>
    <s v="Required Follow-Up Call"/>
    <n v="43.633333333418705"/>
    <x v="1"/>
  </r>
  <r>
    <s v="TCK-20405"/>
    <d v="2026-03-15T03:40:00"/>
    <s v="Billing Support"/>
    <x v="5"/>
    <x v="1"/>
    <x v="0"/>
    <x v="1"/>
    <x v="1"/>
    <n v="48"/>
    <x v="1"/>
    <s v="Missing Resolve Date"/>
    <s v="No"/>
    <m/>
    <s v="Required Follow-Up Call"/>
    <s v=""/>
    <x v="1"/>
  </r>
  <r>
    <s v="TCK-21433"/>
    <d v="2026-08-23T23:44:00"/>
    <s v="Technical Support"/>
    <x v="6"/>
    <x v="4"/>
    <x v="1"/>
    <x v="2"/>
    <x v="0"/>
    <n v="24"/>
    <x v="1"/>
    <s v="Missing Resolve Date"/>
    <s v="No"/>
    <m/>
    <s v="Customer Satisfied With Resolution"/>
    <s v=""/>
    <x v="1"/>
  </r>
  <r>
    <s v="TCK-22768"/>
    <d v="2026-06-29T00:49:00"/>
    <s v="Billing Support"/>
    <x v="5"/>
    <x v="2"/>
    <x v="3"/>
    <x v="0"/>
    <x v="0"/>
    <n v="24"/>
    <x v="0"/>
    <d v="2026-06-29T09:40:00"/>
    <s v="No"/>
    <m/>
    <s v="Awaiting Customer Response"/>
    <n v="8.8500000000349246"/>
    <x v="0"/>
  </r>
  <r>
    <s v="TCK-22175"/>
    <d v="2026-01-20T16:18:00"/>
    <s v="Tier 1 Support"/>
    <x v="7"/>
    <x v="4"/>
    <x v="0"/>
    <x v="5"/>
    <x v="0"/>
    <n v="24"/>
    <x v="1"/>
    <s v="Missing Resolve Date"/>
    <s v="Yes"/>
    <m/>
    <s v="Customer Satisfied With Resolution"/>
    <s v=""/>
    <x v="1"/>
  </r>
  <r>
    <s v="TCK-21038"/>
    <d v="2026-01-11T03:25:00"/>
    <s v="Tier 1 Support"/>
    <x v="7"/>
    <x v="6"/>
    <x v="3"/>
    <x v="4"/>
    <x v="0"/>
    <n v="24"/>
    <x v="1"/>
    <s v="Missing Resolve Date"/>
    <s v="No"/>
    <m/>
    <s v="Repeat Issue From Same Customer"/>
    <s v=""/>
    <x v="1"/>
  </r>
  <r>
    <s v="TCK-20173"/>
    <d v="2026-06-04T19:15:00"/>
    <s v="Tier 1 Support"/>
    <x v="1"/>
    <x v="0"/>
    <x v="1"/>
    <x v="0"/>
    <x v="0"/>
    <n v="24"/>
    <x v="0"/>
    <d v="2026-06-06T10:09:00"/>
    <s v="No"/>
    <n v="3"/>
    <s v="Resolved On First Contact"/>
    <n v="38.900000000023283"/>
    <x v="2"/>
  </r>
  <r>
    <s v="TCK-20164"/>
    <d v="2026-06-09T11:46:00"/>
    <s v="Tier 1 Support"/>
    <x v="7"/>
    <x v="0"/>
    <x v="2"/>
    <x v="5"/>
    <x v="1"/>
    <n v="48"/>
    <x v="0"/>
    <d v="2026-06-12T22:49:00"/>
    <s v="No"/>
    <n v="5"/>
    <s v="Technical Issue Resolved Remotely"/>
    <n v="83.050000000046566"/>
    <x v="2"/>
  </r>
  <r>
    <s v="TCK-20222"/>
    <d v="2026-05-01T15:28:00"/>
    <s v="Billing Support"/>
    <x v="0"/>
    <x v="3"/>
    <x v="2"/>
    <x v="1"/>
    <x v="1"/>
    <n v="48"/>
    <x v="2"/>
    <d v="2026-05-02T07:44:00"/>
    <s v="No"/>
    <n v="5"/>
    <s v="Awaiting Customer Response"/>
    <n v="16.266666666779201"/>
    <x v="1"/>
  </r>
  <r>
    <s v="TCK-21989"/>
    <d v="2026-08-25T23:55:00"/>
    <s v="Technical Support"/>
    <x v="4"/>
    <x v="3"/>
    <x v="1"/>
    <x v="2"/>
    <x v="2"/>
    <n v="8"/>
    <x v="5"/>
    <s v="Missing Resolve Date"/>
    <s v="No"/>
    <m/>
    <s v="Escalated To Senior Agent"/>
    <s v=""/>
    <x v="1"/>
  </r>
  <r>
    <s v="TCK-21464"/>
    <d v="2026-05-20T10:31:00"/>
    <s v="Tier 2 Support"/>
    <x v="3"/>
    <x v="0"/>
    <x v="2"/>
    <x v="3"/>
    <x v="2"/>
    <n v="8"/>
    <x v="4"/>
    <s v="Missing Resolve Date"/>
    <s v="Yes"/>
    <m/>
    <s v="Customer Requested Refund"/>
    <s v=""/>
    <x v="1"/>
  </r>
  <r>
    <s v="TCK-20983"/>
    <d v="2026-01-03T18:27:00"/>
    <s v="Tier 2 Support"/>
    <x v="2"/>
    <x v="6"/>
    <x v="0"/>
    <x v="4"/>
    <x v="0"/>
    <n v="24"/>
    <x v="0"/>
    <d v="2026-01-04T11:24:00"/>
    <s v="No"/>
    <n v="1"/>
    <s v="Required Follow-Up Call"/>
    <n v="16.949999999895226"/>
    <x v="0"/>
  </r>
  <r>
    <s v="TCK-23151"/>
    <d v="2026-03-30T06:02:00"/>
    <s v="Tier 1 Support"/>
    <x v="7"/>
    <x v="6"/>
    <x v="2"/>
    <x v="0"/>
    <x v="1"/>
    <n v="48"/>
    <x v="5"/>
    <s v="Missing Resolve Date"/>
    <s v="No"/>
    <m/>
    <s v="Not Specified"/>
    <s v=""/>
    <x v="1"/>
  </r>
  <r>
    <s v="TCK-22660"/>
    <d v="2026-05-16T13:06:00"/>
    <s v="Technical Support"/>
    <x v="6"/>
    <x v="5"/>
    <x v="0"/>
    <x v="4"/>
    <x v="2"/>
    <n v="8"/>
    <x v="2"/>
    <d v="2026-05-16T14:52:00"/>
    <s v="No"/>
    <m/>
    <s v="Required Follow-Up Call"/>
    <n v="1.7666666666627862"/>
    <x v="1"/>
  </r>
  <r>
    <s v="TCK-21009"/>
    <d v="2026-01-02T20:42:00"/>
    <s v="Tier 1 Support"/>
    <x v="1"/>
    <x v="2"/>
    <x v="2"/>
    <x v="3"/>
    <x v="0"/>
    <n v="24"/>
    <x v="0"/>
    <d v="2026-01-03T01:14:00"/>
    <s v="No"/>
    <m/>
    <s v="Resolved On First Contact"/>
    <n v="4.5333333332673647"/>
    <x v="0"/>
  </r>
  <r>
    <s v="TCK-22855"/>
    <d v="2026-04-09T22:44:00"/>
    <s v="Technical Support"/>
    <x v="4"/>
    <x v="2"/>
    <x v="0"/>
    <x v="2"/>
    <x v="0"/>
    <n v="24"/>
    <x v="0"/>
    <d v="2026-04-10T13:57:00"/>
    <s v="No"/>
    <m/>
    <s v="Resolved On First Contact"/>
    <n v="15.216666666674428"/>
    <x v="0"/>
  </r>
  <r>
    <s v="TCK-23006"/>
    <d v="2026-04-28T16:41:00"/>
    <s v="Billing Support"/>
    <x v="5"/>
    <x v="5"/>
    <x v="2"/>
    <x v="5"/>
    <x v="2"/>
    <n v="8"/>
    <x v="0"/>
    <d v="2026-04-28T18:59:00"/>
    <s v="No"/>
    <n v="4"/>
    <s v="Customer Satisfied With Resolution"/>
    <n v="2.2999999999883585"/>
    <x v="0"/>
  </r>
  <r>
    <s v="TCK-22143"/>
    <d v="2026-07-27T12:17:00"/>
    <s v="Technical Support"/>
    <x v="6"/>
    <x v="6"/>
    <x v="1"/>
    <x v="3"/>
    <x v="0"/>
    <n v="24"/>
    <x v="5"/>
    <s v="Missing Resolve Date"/>
    <s v="No"/>
    <m/>
    <s v="Repeat Issue From Same Customer"/>
    <s v=""/>
    <x v="1"/>
  </r>
  <r>
    <s v="TCK-22503"/>
    <d v="2026-08-19T21:00:00"/>
    <s v="Billing Support"/>
    <x v="5"/>
    <x v="4"/>
    <x v="1"/>
    <x v="2"/>
    <x v="1"/>
    <n v="48"/>
    <x v="0"/>
    <d v="2026-08-21T01:57:00"/>
    <s v="No"/>
    <n v="3"/>
    <s v="Escalated To Senior Agent"/>
    <n v="28.950000000069849"/>
    <x v="0"/>
  </r>
  <r>
    <s v="TCK-22320"/>
    <d v="2026-04-22T15:29:00"/>
    <s v="Tier 1 Support"/>
    <x v="7"/>
    <x v="1"/>
    <x v="3"/>
    <x v="4"/>
    <x v="1"/>
    <n v="48"/>
    <x v="4"/>
    <s v="Missing Resolve Date"/>
    <s v="Yes"/>
    <m/>
    <s v="Escalated To Senior Agent"/>
    <s v=""/>
    <x v="1"/>
  </r>
  <r>
    <s v="TCK-20138"/>
    <d v="2026-07-20T12:46:00"/>
    <s v="Tier 1 Support"/>
    <x v="1"/>
    <x v="1"/>
    <x v="1"/>
    <x v="4"/>
    <x v="2"/>
    <n v="8"/>
    <x v="0"/>
    <d v="2026-07-20T13:52:00"/>
    <s v="No"/>
    <n v="4"/>
    <s v="Awaiting Customer Response"/>
    <n v="1.0999999999185093"/>
    <x v="0"/>
  </r>
  <r>
    <s v="TCK-22950"/>
    <d v="2026-07-29T04:36:00"/>
    <s v="Tier 1 Support"/>
    <x v="1"/>
    <x v="5"/>
    <x v="2"/>
    <x v="3"/>
    <x v="1"/>
    <n v="48"/>
    <x v="5"/>
    <s v="Missing Resolve Date"/>
    <s v="No"/>
    <m/>
    <s v="Awaiting Customer Response"/>
    <s v=""/>
    <x v="1"/>
  </r>
  <r>
    <s v="TCK-22750"/>
    <d v="2026-05-08T00:45:00"/>
    <s v="Tier 1 Support"/>
    <x v="1"/>
    <x v="1"/>
    <x v="2"/>
    <x v="5"/>
    <x v="0"/>
    <n v="24"/>
    <x v="2"/>
    <d v="2026-05-08T13:51:00"/>
    <s v="Yes"/>
    <m/>
    <s v="Customer Requested Refund"/>
    <n v="13.099999999918509"/>
    <x v="1"/>
  </r>
  <r>
    <s v="TCK-20395"/>
    <d v="2026-01-09T10:19:00"/>
    <s v="Tier 1 Support"/>
    <x v="7"/>
    <x v="6"/>
    <x v="3"/>
    <x v="1"/>
    <x v="1"/>
    <n v="48"/>
    <x v="0"/>
    <d v="2026-01-10T11:13:00"/>
    <s v="No"/>
    <n v="5"/>
    <s v="Repeat Issue From Same Customer"/>
    <n v="24.900000000139698"/>
    <x v="0"/>
  </r>
  <r>
    <s v="TCK-22199"/>
    <d v="2026-04-21T17:44:00"/>
    <s v="Tier 1 Support"/>
    <x v="7"/>
    <x v="6"/>
    <x v="0"/>
    <x v="1"/>
    <x v="1"/>
    <n v="48"/>
    <x v="4"/>
    <s v="Missing Resolve Date"/>
    <s v="Yes"/>
    <m/>
    <s v="Escalated To Senior Agent"/>
    <s v=""/>
    <x v="1"/>
  </r>
  <r>
    <s v="TCK-22959"/>
    <d v="2026-01-04T19:49:00"/>
    <s v="Tier 1 Support"/>
    <x v="1"/>
    <x v="3"/>
    <x v="0"/>
    <x v="1"/>
    <x v="0"/>
    <n v="24"/>
    <x v="2"/>
    <d v="2026-01-05T06:48:00"/>
    <s v="No"/>
    <m/>
    <s v="Customer Requested Refund"/>
    <n v="10.983333333337214"/>
    <x v="1"/>
  </r>
  <r>
    <s v="TCK-22234"/>
    <d v="2026-06-11T01:20:00"/>
    <s v="Tier 1 Support"/>
    <x v="7"/>
    <x v="4"/>
    <x v="3"/>
    <x v="1"/>
    <x v="0"/>
    <n v="24"/>
    <x v="2"/>
    <s v="Missing Resolve Date"/>
    <s v="No"/>
    <n v="4"/>
    <s v="Technical Issue Resolved Remotely"/>
    <s v=""/>
    <x v="1"/>
  </r>
  <r>
    <s v="TCK-22288"/>
    <d v="2026-01-20T03:44:00"/>
    <s v="Billing Support"/>
    <x v="0"/>
    <x v="0"/>
    <x v="0"/>
    <x v="5"/>
    <x v="0"/>
    <n v="24"/>
    <x v="0"/>
    <d v="2026-01-21T00:10:00"/>
    <s v="No"/>
    <m/>
    <s v="Resolved On First Contact"/>
    <n v="20.433333333407063"/>
    <x v="0"/>
  </r>
  <r>
    <s v="TCK-21753"/>
    <d v="2026-01-11T06:38:00"/>
    <s v="Billing Support"/>
    <x v="0"/>
    <x v="3"/>
    <x v="3"/>
    <x v="4"/>
    <x v="2"/>
    <n v="8"/>
    <x v="1"/>
    <s v="Missing Resolve Date"/>
    <s v="Yes"/>
    <m/>
    <s v="Technical Issue Resolved Remotely"/>
    <s v=""/>
    <x v="1"/>
  </r>
  <r>
    <s v="TCK-21281"/>
    <d v="2026-04-17T16:42:00"/>
    <s v="Tier 1 Support"/>
    <x v="7"/>
    <x v="1"/>
    <x v="3"/>
    <x v="0"/>
    <x v="3"/>
    <n v="4"/>
    <x v="0"/>
    <d v="2026-04-17T17:49:00"/>
    <s v="No"/>
    <m/>
    <s v="Customer Requested Refund"/>
    <n v="1.1166666666395031"/>
    <x v="0"/>
  </r>
  <r>
    <s v="TCK-20487"/>
    <d v="2026-07-15T13:13:00"/>
    <s v="Technical Support"/>
    <x v="4"/>
    <x v="0"/>
    <x v="3"/>
    <x v="2"/>
    <x v="0"/>
    <n v="24"/>
    <x v="0"/>
    <d v="2026-07-15T22:59:00"/>
    <s v="No"/>
    <m/>
    <s v="Repeat Issue From Same Customer"/>
    <n v="9.7666666667209938"/>
    <x v="0"/>
  </r>
  <r>
    <s v="TCK-20450"/>
    <d v="2026-04-12T00:51:00"/>
    <s v="Tier 2 Support"/>
    <x v="2"/>
    <x v="1"/>
    <x v="2"/>
    <x v="3"/>
    <x v="0"/>
    <n v="24"/>
    <x v="4"/>
    <s v="Missing Resolve Date"/>
    <s v="Yes"/>
    <m/>
    <s v="Awaiting Customer Response"/>
    <s v=""/>
    <x v="1"/>
  </r>
  <r>
    <s v="TCK-20734"/>
    <d v="2026-06-03T16:33:00"/>
    <s v="Technical Support"/>
    <x v="6"/>
    <x v="2"/>
    <x v="1"/>
    <x v="1"/>
    <x v="0"/>
    <n v="24"/>
    <x v="0"/>
    <d v="2026-06-03T18:56:00"/>
    <s v="No"/>
    <m/>
    <s v="Resolved On First Contact"/>
    <n v="2.3833333334187046"/>
    <x v="0"/>
  </r>
  <r>
    <s v="TCK-20785"/>
    <d v="2026-06-26T05:56:00"/>
    <s v="Billing Support"/>
    <x v="0"/>
    <x v="0"/>
    <x v="1"/>
    <x v="1"/>
    <x v="1"/>
    <n v="48"/>
    <x v="0"/>
    <d v="2026-06-26T22:54:00"/>
    <s v="No"/>
    <n v="5"/>
    <s v="Repeat Issue From Same Customer"/>
    <n v="16.966666666790843"/>
    <x v="0"/>
  </r>
  <r>
    <s v="TCK-21021"/>
    <d v="2026-03-26T21:55:00"/>
    <s v="Billing Support"/>
    <x v="5"/>
    <x v="2"/>
    <x v="0"/>
    <x v="0"/>
    <x v="0"/>
    <n v="24"/>
    <x v="5"/>
    <s v="Missing Resolve Date"/>
    <s v="No"/>
    <m/>
    <s v="Technical Issue Resolved Remotely"/>
    <s v=""/>
    <x v="1"/>
  </r>
  <r>
    <s v="TCK-22536"/>
    <d v="2026-01-02T12:14:00"/>
    <s v="Billing Support"/>
    <x v="0"/>
    <x v="4"/>
    <x v="1"/>
    <x v="1"/>
    <x v="0"/>
    <n v="24"/>
    <x v="0"/>
    <d v="2026-01-02T17:30:00"/>
    <s v="No"/>
    <n v="2"/>
    <s v="Not Specified"/>
    <n v="5.2666666665463708"/>
    <x v="0"/>
  </r>
  <r>
    <s v="TCK-20129"/>
    <d v="2026-03-23T16:43:00"/>
    <s v="Tier 2 Support"/>
    <x v="3"/>
    <x v="1"/>
    <x v="2"/>
    <x v="4"/>
    <x v="2"/>
    <n v="8"/>
    <x v="4"/>
    <s v="Missing Resolve Date"/>
    <s v="Yes"/>
    <m/>
    <s v="Awaiting Customer Response"/>
    <s v=""/>
    <x v="1"/>
  </r>
  <r>
    <s v="TCK-21168"/>
    <d v="2026-03-13T12:47:00"/>
    <s v="Tier 2 Support"/>
    <x v="2"/>
    <x v="0"/>
    <x v="3"/>
    <x v="1"/>
    <x v="0"/>
    <n v="24"/>
    <x v="0"/>
    <d v="2026-03-13T15:58:00"/>
    <s v="No"/>
    <m/>
    <s v="Technical Issue Resolved Remotely"/>
    <n v="3.183333333407063"/>
    <x v="0"/>
  </r>
  <r>
    <s v="TCK-20123"/>
    <d v="2026-08-25T22:50:00"/>
    <s v="Technical Support"/>
    <x v="4"/>
    <x v="2"/>
    <x v="1"/>
    <x v="3"/>
    <x v="2"/>
    <n v="8"/>
    <x v="0"/>
    <d v="2026-08-26T00:14:00"/>
    <s v="No"/>
    <n v="5"/>
    <s v="Not Specified"/>
    <n v="1.4000000000232831"/>
    <x v="0"/>
  </r>
  <r>
    <s v="TCK-21264"/>
    <d v="2026-08-24T11:50:00"/>
    <s v="Technical Support"/>
    <x v="6"/>
    <x v="2"/>
    <x v="0"/>
    <x v="3"/>
    <x v="1"/>
    <n v="48"/>
    <x v="2"/>
    <d v="2026-08-25T22:57:00"/>
    <s v="No"/>
    <m/>
    <s v="Repeat Issue From Same Customer"/>
    <n v="35.116666666755918"/>
    <x v="1"/>
  </r>
  <r>
    <s v="TCK-20961"/>
    <d v="2026-02-14T08:12:00"/>
    <s v="Tier 1 Support"/>
    <x v="1"/>
    <x v="4"/>
    <x v="1"/>
    <x v="1"/>
    <x v="1"/>
    <n v="48"/>
    <x v="0"/>
    <d v="2026-02-14T13:16:00"/>
    <s v="No"/>
    <n v="5"/>
    <s v="Repeat Issue From Same Customer"/>
    <n v="5.066666666592937"/>
    <x v="0"/>
  </r>
  <r>
    <s v="TCK-21945"/>
    <d v="2026-07-04T08:00:00"/>
    <s v="Technical Support"/>
    <x v="6"/>
    <x v="4"/>
    <x v="0"/>
    <x v="5"/>
    <x v="0"/>
    <n v="24"/>
    <x v="0"/>
    <d v="2026-07-05T02:33:00"/>
    <s v="No"/>
    <n v="2"/>
    <s v="Required Follow-Up Call"/>
    <n v="18.549999999871943"/>
    <x v="0"/>
  </r>
  <r>
    <s v="TCK-22282"/>
    <d v="2026-01-09T12:34:00"/>
    <s v="Technical Support"/>
    <x v="6"/>
    <x v="0"/>
    <x v="1"/>
    <x v="5"/>
    <x v="0"/>
    <n v="24"/>
    <x v="2"/>
    <d v="2026-01-10T02:48:00"/>
    <s v="Yes"/>
    <m/>
    <s v="Required Follow-Up Call"/>
    <n v="14.233333333453629"/>
    <x v="1"/>
  </r>
  <r>
    <s v="TCK-20178"/>
    <d v="2026-05-30T18:22:00"/>
    <s v="Tier 1 Support"/>
    <x v="1"/>
    <x v="0"/>
    <x v="0"/>
    <x v="3"/>
    <x v="0"/>
    <n v="24"/>
    <x v="4"/>
    <s v="Missing Resolve Date"/>
    <s v="Yes"/>
    <m/>
    <s v="Resolved On First Contact"/>
    <s v=""/>
    <x v="1"/>
  </r>
  <r>
    <s v="TCK-20650"/>
    <d v="2026-07-01T15:40:00"/>
    <s v="Tier 2 Support"/>
    <x v="2"/>
    <x v="1"/>
    <x v="1"/>
    <x v="5"/>
    <x v="2"/>
    <n v="8"/>
    <x v="0"/>
    <d v="2026-07-01T21:58:00"/>
    <s v="No"/>
    <m/>
    <s v="Escalated To Senior Agent"/>
    <n v="6.2999999999301508"/>
    <x v="0"/>
  </r>
  <r>
    <s v="TCK-20798"/>
    <d v="2026-01-23T21:26:00"/>
    <s v="Tier 2 Support"/>
    <x v="3"/>
    <x v="2"/>
    <x v="1"/>
    <x v="4"/>
    <x v="0"/>
    <n v="24"/>
    <x v="0"/>
    <d v="2026-01-24T13:40:00"/>
    <s v="No"/>
    <m/>
    <s v="Repeat Issue From Same Customer"/>
    <n v="16.233333333337214"/>
    <x v="0"/>
  </r>
  <r>
    <s v="TCK-21032"/>
    <d v="2026-02-03T09:12:00"/>
    <s v="Tier 2 Support"/>
    <x v="2"/>
    <x v="5"/>
    <x v="1"/>
    <x v="4"/>
    <x v="2"/>
    <n v="8"/>
    <x v="2"/>
    <d v="2026-02-03T10:48:00"/>
    <s v="No"/>
    <n v="5"/>
    <s v="Not Specified"/>
    <n v="1.5999999999767169"/>
    <x v="1"/>
  </r>
  <r>
    <s v="TCK-20461"/>
    <d v="2026-07-02T07:22:00"/>
    <s v="Billing Support"/>
    <x v="0"/>
    <x v="5"/>
    <x v="1"/>
    <x v="5"/>
    <x v="0"/>
    <n v="24"/>
    <x v="2"/>
    <d v="2026-07-02T14:44:00"/>
    <s v="No"/>
    <m/>
    <s v="Technical Issue Resolved Remotely"/>
    <n v="7.3666666667559184"/>
    <x v="1"/>
  </r>
  <r>
    <s v="TCK-20269"/>
    <d v="2026-06-22T22:00:00"/>
    <s v="Technical Support"/>
    <x v="4"/>
    <x v="1"/>
    <x v="2"/>
    <x v="1"/>
    <x v="0"/>
    <n v="24"/>
    <x v="2"/>
    <d v="2026-06-23T06:54:00"/>
    <s v="No"/>
    <m/>
    <s v="Repeat Issue From Same Customer"/>
    <n v="8.9000000000232831"/>
    <x v="1"/>
  </r>
  <r>
    <s v="TCK-22539"/>
    <d v="2026-08-19T04:44:00"/>
    <s v="Tier 2 Support"/>
    <x v="2"/>
    <x v="0"/>
    <x v="2"/>
    <x v="4"/>
    <x v="1"/>
    <n v="48"/>
    <x v="2"/>
    <s v="Missing Resolve Date"/>
    <s v="No"/>
    <m/>
    <s v="Not Specified"/>
    <s v=""/>
    <x v="1"/>
  </r>
  <r>
    <s v="TCK-21275"/>
    <d v="2026-03-22T11:15:00"/>
    <s v="Technical Support"/>
    <x v="4"/>
    <x v="3"/>
    <x v="0"/>
    <x v="5"/>
    <x v="1"/>
    <n v="48"/>
    <x v="0"/>
    <d v="2026-03-24T02:43:00"/>
    <s v="No"/>
    <m/>
    <s v="Escalated To Senior Agent"/>
    <n v="39.46666666661622"/>
    <x v="0"/>
  </r>
  <r>
    <s v="TCK-20411"/>
    <d v="2026-01-26T12:00:00"/>
    <s v="Tier 2 Support"/>
    <x v="3"/>
    <x v="4"/>
    <x v="0"/>
    <x v="3"/>
    <x v="2"/>
    <n v="8"/>
    <x v="1"/>
    <s v="Missing Resolve Date"/>
    <s v="No"/>
    <m/>
    <s v="Escalated To Senior Agent"/>
    <s v=""/>
    <x v="1"/>
  </r>
  <r>
    <s v="TCK-23035"/>
    <d v="2026-05-08T01:34:00"/>
    <s v="Technical Support"/>
    <x v="4"/>
    <x v="0"/>
    <x v="1"/>
    <x v="3"/>
    <x v="0"/>
    <n v="24"/>
    <x v="4"/>
    <s v="Missing Resolve Date"/>
    <s v="Yes"/>
    <m/>
    <s v="Resolved On First Contact"/>
    <s v=""/>
    <x v="1"/>
  </r>
  <r>
    <s v="TCK-20841"/>
    <d v="2026-08-18T00:06:00"/>
    <s v="Tier 2 Support"/>
    <x v="2"/>
    <x v="5"/>
    <x v="0"/>
    <x v="5"/>
    <x v="2"/>
    <n v="8"/>
    <x v="1"/>
    <s v="Missing Resolve Date"/>
    <s v="No"/>
    <m/>
    <s v="Awaiting Customer Response"/>
    <s v=""/>
    <x v="1"/>
  </r>
  <r>
    <s v="TCK-20558"/>
    <d v="2026-08-18T15:55:00"/>
    <s v="Technical Support"/>
    <x v="6"/>
    <x v="0"/>
    <x v="2"/>
    <x v="2"/>
    <x v="3"/>
    <n v="4"/>
    <x v="0"/>
    <d v="2026-08-18T19:27:00"/>
    <s v="No"/>
    <m/>
    <s v="Escalated To Senior Agent"/>
    <n v="3.5333333333255723"/>
    <x v="0"/>
  </r>
  <r>
    <s v="TCK-20009"/>
    <d v="2026-07-05T01:41:00"/>
    <s v="Tier 1 Support"/>
    <x v="7"/>
    <x v="5"/>
    <x v="3"/>
    <x v="1"/>
    <x v="1"/>
    <n v="48"/>
    <x v="2"/>
    <d v="2026-07-06T14:04:00"/>
    <s v="No"/>
    <m/>
    <s v="Required Follow-Up Call"/>
    <n v="36.383333333185874"/>
    <x v="1"/>
  </r>
  <r>
    <s v="TCK-23070"/>
    <d v="2026-04-14T15:12:00"/>
    <s v="Tier 1 Support"/>
    <x v="1"/>
    <x v="4"/>
    <x v="0"/>
    <x v="0"/>
    <x v="0"/>
    <n v="24"/>
    <x v="0"/>
    <d v="2026-04-14T23:11:00"/>
    <s v="No"/>
    <n v="5"/>
    <s v="Resolved On First Contact"/>
    <n v="7.9833333333372138"/>
    <x v="0"/>
  </r>
  <r>
    <s v="TCK-22254"/>
    <d v="2026-02-28T15:24:00"/>
    <s v="Technical Support"/>
    <x v="4"/>
    <x v="1"/>
    <x v="2"/>
    <x v="0"/>
    <x v="1"/>
    <n v="48"/>
    <x v="4"/>
    <s v="Missing Resolve Date"/>
    <s v="Yes"/>
    <m/>
    <s v="Escalated To Senior Agent"/>
    <s v=""/>
    <x v="1"/>
  </r>
  <r>
    <s v="TCK-22820"/>
    <d v="2026-05-20T05:04:00"/>
    <s v="Billing Support"/>
    <x v="5"/>
    <x v="3"/>
    <x v="0"/>
    <x v="5"/>
    <x v="2"/>
    <n v="8"/>
    <x v="0"/>
    <d v="2026-05-20T05:40:00"/>
    <s v="No"/>
    <n v="5"/>
    <s v="Awaiting Customer Response"/>
    <n v="0.6000000000349246"/>
    <x v="0"/>
  </r>
  <r>
    <s v="TCK-21417"/>
    <d v="2026-03-14T19:15:00"/>
    <s v="Tier 1 Support"/>
    <x v="7"/>
    <x v="5"/>
    <x v="3"/>
    <x v="5"/>
    <x v="1"/>
    <n v="48"/>
    <x v="5"/>
    <s v="Missing Resolve Date"/>
    <s v="No"/>
    <m/>
    <s v="Technical Issue Resolved Remotely"/>
    <s v=""/>
    <x v="1"/>
  </r>
  <r>
    <s v="TCK-21093"/>
    <d v="2026-02-22T20:39:00"/>
    <s v="Technical Support"/>
    <x v="6"/>
    <x v="5"/>
    <x v="3"/>
    <x v="2"/>
    <x v="0"/>
    <n v="24"/>
    <x v="3"/>
    <d v="2026-02-25T20:09:00"/>
    <s v="No"/>
    <m/>
    <s v="Repeat Issue From Same Customer"/>
    <n v="71.499999999941792"/>
    <x v="1"/>
  </r>
  <r>
    <s v="TCK-22358"/>
    <d v="2026-02-13T16:24:00"/>
    <s v="Technical Support"/>
    <x v="4"/>
    <x v="0"/>
    <x v="2"/>
    <x v="3"/>
    <x v="3"/>
    <n v="4"/>
    <x v="3"/>
    <d v="2026-02-13T19:03:00"/>
    <s v="No"/>
    <m/>
    <s v="Customer Requested Refund"/>
    <n v="2.6499999999068677"/>
    <x v="1"/>
  </r>
  <r>
    <s v="TCK-21035"/>
    <d v="2026-02-19T06:51:00"/>
    <s v="Tier 1 Support"/>
    <x v="1"/>
    <x v="2"/>
    <x v="2"/>
    <x v="1"/>
    <x v="3"/>
    <n v="4"/>
    <x v="0"/>
    <d v="2026-02-19T08:47:00"/>
    <s v="No"/>
    <n v="4"/>
    <s v="Not Specified"/>
    <n v="1.9333333333488554"/>
    <x v="0"/>
  </r>
  <r>
    <s v="TCK-21615"/>
    <d v="2026-05-19T05:53:00"/>
    <s v="Technical Support"/>
    <x v="6"/>
    <x v="4"/>
    <x v="0"/>
    <x v="2"/>
    <x v="0"/>
    <n v="24"/>
    <x v="2"/>
    <d v="2026-05-19T21:09:00"/>
    <s v="No"/>
    <n v="5"/>
    <s v="Resolved On First Contact"/>
    <n v="15.266666666662786"/>
    <x v="1"/>
  </r>
  <r>
    <s v="TCK-21480"/>
    <d v="2026-08-09T10:22:00"/>
    <s v="Tier 1 Support"/>
    <x v="7"/>
    <x v="5"/>
    <x v="1"/>
    <x v="5"/>
    <x v="1"/>
    <n v="48"/>
    <x v="4"/>
    <s v="Missing Resolve Date"/>
    <s v="Yes"/>
    <m/>
    <s v="Awaiting Customer Response"/>
    <s v=""/>
    <x v="1"/>
  </r>
  <r>
    <s v="TCK-22872"/>
    <d v="2026-08-05T20:16:00"/>
    <s v="Tier 1 Support"/>
    <x v="7"/>
    <x v="3"/>
    <x v="0"/>
    <x v="0"/>
    <x v="1"/>
    <n v="48"/>
    <x v="2"/>
    <d v="2026-08-10T00:22:00"/>
    <s v="Yes"/>
    <n v="5"/>
    <s v="Repeat Issue From Same Customer"/>
    <n v="100.09999999991851"/>
    <x v="1"/>
  </r>
  <r>
    <s v="TCK-20729"/>
    <d v="2026-07-21T08:16:00"/>
    <s v="Tier 1 Support"/>
    <x v="1"/>
    <x v="1"/>
    <x v="2"/>
    <x v="3"/>
    <x v="0"/>
    <n v="24"/>
    <x v="0"/>
    <d v="2026-07-22T00:32:00"/>
    <s v="No"/>
    <n v="1"/>
    <s v="Escalated To Senior Agent"/>
    <n v="16.266666666604578"/>
    <x v="0"/>
  </r>
  <r>
    <s v="TCK-22684"/>
    <d v="2026-01-26T05:39:00"/>
    <s v="Technical Support"/>
    <x v="4"/>
    <x v="4"/>
    <x v="1"/>
    <x v="4"/>
    <x v="1"/>
    <n v="48"/>
    <x v="0"/>
    <d v="2026-01-27T16:34:00"/>
    <s v="No"/>
    <n v="4"/>
    <s v="Customer Satisfied With Resolution"/>
    <n v="34.916666666627862"/>
    <x v="0"/>
  </r>
  <r>
    <s v="TCK-22230"/>
    <d v="2026-08-03T22:12:00"/>
    <s v="Tier 1 Support"/>
    <x v="1"/>
    <x v="2"/>
    <x v="3"/>
    <x v="0"/>
    <x v="1"/>
    <n v="48"/>
    <x v="2"/>
    <d v="2026-08-04T15:38:00"/>
    <s v="No"/>
    <n v="5"/>
    <s v="Not Specified"/>
    <n v="17.43333333323244"/>
    <x v="1"/>
  </r>
  <r>
    <s v="TCK-22134"/>
    <d v="2026-06-19T14:21:00"/>
    <s v="Tier 2 Support"/>
    <x v="3"/>
    <x v="5"/>
    <x v="0"/>
    <x v="2"/>
    <x v="0"/>
    <n v="24"/>
    <x v="1"/>
    <s v="Missing Resolve Date"/>
    <s v="No"/>
    <m/>
    <s v="Customer Requested Refund"/>
    <s v=""/>
    <x v="1"/>
  </r>
  <r>
    <s v="TCK-22390"/>
    <d v="2026-01-21T09:02:00"/>
    <s v="Technical Support"/>
    <x v="4"/>
    <x v="0"/>
    <x v="1"/>
    <x v="0"/>
    <x v="2"/>
    <n v="8"/>
    <x v="2"/>
    <d v="2026-01-21T12:48:00"/>
    <s v="No"/>
    <n v="5"/>
    <s v="Not Specified"/>
    <n v="3.7666666667209938"/>
    <x v="1"/>
  </r>
  <r>
    <s v="TCK-21576"/>
    <d v="2026-03-14T03:48:00"/>
    <s v="Billing Support"/>
    <x v="5"/>
    <x v="4"/>
    <x v="1"/>
    <x v="1"/>
    <x v="1"/>
    <n v="48"/>
    <x v="0"/>
    <d v="2026-03-14T09:37:00"/>
    <s v="No"/>
    <n v="4"/>
    <s v="Required Follow-Up Call"/>
    <n v="5.816666666592937"/>
    <x v="0"/>
  </r>
  <r>
    <s v="TCK-20935"/>
    <d v="2026-07-07T15:26:00"/>
    <s v="Technical Support"/>
    <x v="4"/>
    <x v="2"/>
    <x v="3"/>
    <x v="0"/>
    <x v="0"/>
    <n v="24"/>
    <x v="0"/>
    <d v="2026-07-10T06:02:00"/>
    <s v="No"/>
    <m/>
    <s v="Resolved On First Contact"/>
    <n v="62.599999999918509"/>
    <x v="2"/>
  </r>
  <r>
    <s v="TCK-20693"/>
    <d v="2026-07-17T16:01:00"/>
    <s v="Technical Support"/>
    <x v="4"/>
    <x v="6"/>
    <x v="3"/>
    <x v="5"/>
    <x v="0"/>
    <n v="24"/>
    <x v="0"/>
    <d v="2026-07-18T03:28:00"/>
    <s v="No"/>
    <n v="4"/>
    <s v="Not Specified"/>
    <n v="11.449999999953434"/>
    <x v="0"/>
  </r>
  <r>
    <s v="TCK-20894"/>
    <d v="2026-03-29T04:20:00"/>
    <s v="Tier 2 Support"/>
    <x v="3"/>
    <x v="2"/>
    <x v="3"/>
    <x v="3"/>
    <x v="0"/>
    <n v="24"/>
    <x v="2"/>
    <d v="2026-03-29T15:54:00"/>
    <s v="No"/>
    <n v="5"/>
    <s v="Awaiting Customer Response"/>
    <n v="11.566666666651145"/>
    <x v="1"/>
  </r>
  <r>
    <s v="TCK-22231"/>
    <d v="2026-07-16T17:04:00"/>
    <s v="Tier 2 Support"/>
    <x v="2"/>
    <x v="2"/>
    <x v="2"/>
    <x v="4"/>
    <x v="2"/>
    <n v="8"/>
    <x v="1"/>
    <s v="Missing Resolve Date"/>
    <s v="No"/>
    <m/>
    <s v="Technical Issue Resolved Remotely"/>
    <s v=""/>
    <x v="1"/>
  </r>
  <r>
    <s v="TCK-22168"/>
    <d v="2026-04-08T06:57:00"/>
    <s v="Tier 1 Support"/>
    <x v="7"/>
    <x v="6"/>
    <x v="1"/>
    <x v="3"/>
    <x v="1"/>
    <n v="48"/>
    <x v="5"/>
    <s v="Missing Resolve Date"/>
    <s v="No"/>
    <m/>
    <s v="Not Specified"/>
    <s v=""/>
    <x v="1"/>
  </r>
  <r>
    <s v="TCK-23058"/>
    <d v="2026-03-04T05:33:00"/>
    <s v="Technical Support"/>
    <x v="4"/>
    <x v="3"/>
    <x v="2"/>
    <x v="1"/>
    <x v="0"/>
    <n v="24"/>
    <x v="2"/>
    <d v="2026-03-05T00:38:00"/>
    <s v="No"/>
    <n v="4"/>
    <s v="Technical Issue Resolved Remotely"/>
    <n v="19.083333333372138"/>
    <x v="1"/>
  </r>
  <r>
    <s v="TCK-23132"/>
    <d v="2026-05-13T08:43:00"/>
    <s v="Tier 2 Support"/>
    <x v="3"/>
    <x v="4"/>
    <x v="3"/>
    <x v="5"/>
    <x v="0"/>
    <n v="24"/>
    <x v="0"/>
    <d v="2026-05-14T01:14:00"/>
    <s v="No"/>
    <n v="5"/>
    <s v="Required Follow-Up Call"/>
    <n v="16.516666666720994"/>
    <x v="0"/>
  </r>
  <r>
    <s v="TCK-21990"/>
    <d v="2026-01-30T02:34:00"/>
    <s v="Tier 1 Support"/>
    <x v="7"/>
    <x v="3"/>
    <x v="3"/>
    <x v="0"/>
    <x v="3"/>
    <n v="4"/>
    <x v="5"/>
    <s v="Missing Resolve Date"/>
    <s v="No"/>
    <m/>
    <s v="Repeat Issue From Same Customer"/>
    <s v=""/>
    <x v="1"/>
  </r>
  <r>
    <s v="TCK-21671"/>
    <d v="2026-06-27T02:17:00"/>
    <s v="Technical Support"/>
    <x v="6"/>
    <x v="2"/>
    <x v="3"/>
    <x v="2"/>
    <x v="0"/>
    <n v="24"/>
    <x v="4"/>
    <s v="Missing Resolve Date"/>
    <s v="Yes"/>
    <m/>
    <s v="Customer Satisfied With Resolution"/>
    <s v=""/>
    <x v="1"/>
  </r>
  <r>
    <s v="TCK-20580"/>
    <d v="2026-07-14T16:07:00"/>
    <s v="Tier 2 Support"/>
    <x v="3"/>
    <x v="6"/>
    <x v="3"/>
    <x v="3"/>
    <x v="2"/>
    <n v="8"/>
    <x v="2"/>
    <d v="2026-07-14T18:02:00"/>
    <s v="No"/>
    <n v="4"/>
    <s v="Resolved On First Contact"/>
    <n v="1.9166666666278616"/>
    <x v="1"/>
  </r>
  <r>
    <s v="TCK-20418"/>
    <d v="2026-01-20T11:21:00"/>
    <s v="Billing Support"/>
    <x v="0"/>
    <x v="3"/>
    <x v="0"/>
    <x v="1"/>
    <x v="0"/>
    <n v="24"/>
    <x v="0"/>
    <d v="2026-01-20T12:27:00"/>
    <s v="No"/>
    <m/>
    <s v="Repeat Issue From Same Customer"/>
    <n v="1.1000000000931323"/>
    <x v="0"/>
  </r>
  <r>
    <s v="TCK-22487"/>
    <d v="2026-04-03T16:16:00"/>
    <s v="Technical Support"/>
    <x v="4"/>
    <x v="1"/>
    <x v="0"/>
    <x v="1"/>
    <x v="3"/>
    <n v="4"/>
    <x v="2"/>
    <d v="2026-04-03T18:17:00"/>
    <s v="No"/>
    <n v="5"/>
    <s v="Not Specified"/>
    <n v="2.0166666667792015"/>
    <x v="1"/>
  </r>
  <r>
    <s v="TCK-22586"/>
    <d v="2026-05-30T06:57:00"/>
    <s v="Technical Support"/>
    <x v="4"/>
    <x v="5"/>
    <x v="3"/>
    <x v="5"/>
    <x v="1"/>
    <n v="48"/>
    <x v="2"/>
    <d v="2026-05-30T14:44:00"/>
    <s v="No"/>
    <n v="4"/>
    <s v="Escalated To Senior Agent"/>
    <n v="7.78333333338378"/>
    <x v="1"/>
  </r>
  <r>
    <s v="TCK-21528"/>
    <d v="2026-06-25T02:19:00"/>
    <s v="Tier 1 Support"/>
    <x v="1"/>
    <x v="3"/>
    <x v="0"/>
    <x v="1"/>
    <x v="2"/>
    <n v="8"/>
    <x v="2"/>
    <s v="Missing Resolve Date"/>
    <s v="No"/>
    <n v="5"/>
    <s v="Resolved On First Contact"/>
    <s v=""/>
    <x v="1"/>
  </r>
  <r>
    <s v="TCK-20355"/>
    <d v="2026-02-01T05:33:00"/>
    <s v="Tier 1 Support"/>
    <x v="1"/>
    <x v="5"/>
    <x v="2"/>
    <x v="0"/>
    <x v="0"/>
    <n v="24"/>
    <x v="0"/>
    <d v="2026-02-03T16:43:00"/>
    <s v="No"/>
    <n v="5"/>
    <s v="Not Specified"/>
    <n v="59.166666666744277"/>
    <x v="2"/>
  </r>
  <r>
    <s v="TCK-22027"/>
    <d v="2026-03-27T03:34:00"/>
    <s v="Billing Support"/>
    <x v="0"/>
    <x v="3"/>
    <x v="0"/>
    <x v="3"/>
    <x v="1"/>
    <n v="48"/>
    <x v="0"/>
    <d v="2026-03-28T19:33:00"/>
    <s v="No"/>
    <m/>
    <s v="Not Specified"/>
    <n v="39.983333333395422"/>
    <x v="0"/>
  </r>
  <r>
    <s v="TCK-21311"/>
    <d v="2026-01-25T17:50:00"/>
    <s v="Billing Support"/>
    <x v="5"/>
    <x v="4"/>
    <x v="1"/>
    <x v="3"/>
    <x v="3"/>
    <n v="4"/>
    <x v="0"/>
    <d v="2026-01-26T01:34:00"/>
    <s v="No"/>
    <n v="3"/>
    <s v="Required Follow-Up Call"/>
    <n v="7.7333333333954215"/>
    <x v="2"/>
  </r>
  <r>
    <s v="TCK-21251"/>
    <d v="2026-05-21T12:34:00"/>
    <s v="Tier 1 Support"/>
    <x v="7"/>
    <x v="0"/>
    <x v="1"/>
    <x v="0"/>
    <x v="2"/>
    <n v="8"/>
    <x v="0"/>
    <d v="2026-05-21T18:42:00"/>
    <s v="No"/>
    <n v="4"/>
    <s v="Resolved On First Contact"/>
    <n v="6.1333333334187046"/>
    <x v="0"/>
  </r>
  <r>
    <s v="TCK-22478"/>
    <d v="2026-03-28T21:36:00"/>
    <s v="Tier 1 Support"/>
    <x v="7"/>
    <x v="1"/>
    <x v="1"/>
    <x v="5"/>
    <x v="2"/>
    <n v="8"/>
    <x v="0"/>
    <d v="2026-03-29T13:34:00"/>
    <s v="No"/>
    <n v="4"/>
    <s v="Resolved On First Contact"/>
    <n v="15.966666666674428"/>
    <x v="2"/>
  </r>
  <r>
    <s v="TCK-20583"/>
    <d v="2026-04-08T20:31:00"/>
    <s v="Tier 1 Support"/>
    <x v="1"/>
    <x v="0"/>
    <x v="0"/>
    <x v="2"/>
    <x v="1"/>
    <n v="48"/>
    <x v="0"/>
    <s v="Missing Resolve Date"/>
    <s v="No"/>
    <n v="1"/>
    <s v="Not Specified"/>
    <s v=""/>
    <x v="2"/>
  </r>
  <r>
    <s v="TCK-22784"/>
    <d v="2026-08-27T04:16:00"/>
    <s v="Tier 1 Support"/>
    <x v="1"/>
    <x v="3"/>
    <x v="1"/>
    <x v="0"/>
    <x v="1"/>
    <n v="48"/>
    <x v="0"/>
    <s v="Missing Resolve Date"/>
    <s v="No"/>
    <m/>
    <s v="Awaiting Customer Response"/>
    <s v=""/>
    <x v="2"/>
  </r>
  <r>
    <s v="TCK-21598"/>
    <d v="2026-04-12T14:39:00"/>
    <s v="Billing Support"/>
    <x v="5"/>
    <x v="1"/>
    <x v="1"/>
    <x v="2"/>
    <x v="3"/>
    <n v="4"/>
    <x v="0"/>
    <d v="2026-04-12T17:35:00"/>
    <s v="No"/>
    <n v="1"/>
    <s v="Resolved On First Contact"/>
    <n v="2.9333333332906477"/>
    <x v="0"/>
  </r>
  <r>
    <s v="TCK-20301"/>
    <d v="2026-04-25T02:25:00"/>
    <s v="Technical Support"/>
    <x v="6"/>
    <x v="0"/>
    <x v="2"/>
    <x v="5"/>
    <x v="1"/>
    <n v="48"/>
    <x v="2"/>
    <d v="2026-04-29T03:56:00"/>
    <s v="No"/>
    <n v="4"/>
    <s v="Not Specified"/>
    <n v="97.516666666720994"/>
    <x v="1"/>
  </r>
  <r>
    <s v="TCK-20376"/>
    <d v="2026-07-03T13:59:00"/>
    <s v="Tier 1 Support"/>
    <x v="7"/>
    <x v="4"/>
    <x v="1"/>
    <x v="1"/>
    <x v="2"/>
    <n v="8"/>
    <x v="0"/>
    <d v="2026-07-03T18:37:00"/>
    <s v="No"/>
    <n v="4"/>
    <s v="Customer Requested Refund"/>
    <n v="4.6333333332440816"/>
    <x v="0"/>
  </r>
  <r>
    <s v="TCK-22362"/>
    <d v="2026-06-25T16:21:00"/>
    <s v="Technical Support"/>
    <x v="6"/>
    <x v="3"/>
    <x v="1"/>
    <x v="4"/>
    <x v="1"/>
    <n v="48"/>
    <x v="1"/>
    <s v="Missing Resolve Date"/>
    <s v="No"/>
    <m/>
    <s v="Not Specified"/>
    <s v=""/>
    <x v="1"/>
  </r>
  <r>
    <s v="TCK-21955"/>
    <d v="2026-03-07T19:43:00"/>
    <s v="Technical Support"/>
    <x v="4"/>
    <x v="1"/>
    <x v="3"/>
    <x v="5"/>
    <x v="0"/>
    <n v="24"/>
    <x v="0"/>
    <d v="2026-03-08T05:06:00"/>
    <s v="No"/>
    <n v="4"/>
    <s v="Not Specified"/>
    <n v="9.3833333333604969"/>
    <x v="0"/>
  </r>
  <r>
    <s v="TCK-20077"/>
    <d v="2026-05-17T18:32:00"/>
    <s v="Tier 2 Support"/>
    <x v="3"/>
    <x v="2"/>
    <x v="3"/>
    <x v="5"/>
    <x v="0"/>
    <n v="24"/>
    <x v="4"/>
    <s v="Missing Resolve Date"/>
    <s v="Yes"/>
    <m/>
    <s v="Repeat Issue From Same Customer"/>
    <s v=""/>
    <x v="1"/>
  </r>
  <r>
    <s v="TCK-22190"/>
    <d v="2026-02-26T23:46:00"/>
    <s v="Billing Support"/>
    <x v="0"/>
    <x v="0"/>
    <x v="0"/>
    <x v="4"/>
    <x v="0"/>
    <n v="24"/>
    <x v="1"/>
    <s v="Missing Resolve Date"/>
    <s v="Yes"/>
    <m/>
    <s v="Technical Issue Resolved Remotely"/>
    <s v=""/>
    <x v="1"/>
  </r>
  <r>
    <s v="TCK-20115"/>
    <d v="2026-04-27T09:03:00"/>
    <s v="Technical Support"/>
    <x v="4"/>
    <x v="4"/>
    <x v="2"/>
    <x v="5"/>
    <x v="1"/>
    <n v="48"/>
    <x v="0"/>
    <d v="2026-04-27T19:15:00"/>
    <s v="No"/>
    <n v="4"/>
    <s v="Resolved On First Contact"/>
    <n v="10.200000000069849"/>
    <x v="0"/>
  </r>
  <r>
    <s v="TCK-23003"/>
    <d v="2026-04-12T06:40:00"/>
    <s v="Billing Support"/>
    <x v="5"/>
    <x v="4"/>
    <x v="0"/>
    <x v="2"/>
    <x v="2"/>
    <n v="8"/>
    <x v="0"/>
    <d v="2026-04-12T16:47:00"/>
    <s v="No"/>
    <m/>
    <s v="Not Specified"/>
    <n v="10.116666666639503"/>
    <x v="2"/>
  </r>
  <r>
    <s v="TCK-21327"/>
    <d v="2026-04-28T06:28:00"/>
    <s v="Tier 2 Support"/>
    <x v="2"/>
    <x v="4"/>
    <x v="3"/>
    <x v="2"/>
    <x v="2"/>
    <n v="8"/>
    <x v="2"/>
    <s v="Missing Resolve Date"/>
    <s v="No"/>
    <m/>
    <s v="Customer Satisfied With Resolution"/>
    <s v=""/>
    <x v="1"/>
  </r>
  <r>
    <s v="TCK-20723"/>
    <d v="2026-01-02T16:55:00"/>
    <s v="Tier 1 Support"/>
    <x v="1"/>
    <x v="2"/>
    <x v="2"/>
    <x v="4"/>
    <x v="2"/>
    <n v="8"/>
    <x v="4"/>
    <s v="Missing Resolve Date"/>
    <s v="Yes"/>
    <m/>
    <s v="Customer Satisfied With Resolution"/>
    <s v=""/>
    <x v="1"/>
  </r>
  <r>
    <s v="TCK-23104"/>
    <d v="2026-02-24T21:19:00"/>
    <s v="Billing Support"/>
    <x v="5"/>
    <x v="1"/>
    <x v="0"/>
    <x v="0"/>
    <x v="1"/>
    <n v="48"/>
    <x v="1"/>
    <s v="Missing Resolve Date"/>
    <s v="No"/>
    <m/>
    <s v="Technical Issue Resolved Remotely"/>
    <s v=""/>
    <x v="1"/>
  </r>
  <r>
    <s v="TCK-22227"/>
    <d v="2026-07-12T03:33:00"/>
    <s v="Tier 2 Support"/>
    <x v="3"/>
    <x v="6"/>
    <x v="3"/>
    <x v="3"/>
    <x v="2"/>
    <n v="8"/>
    <x v="1"/>
    <s v="Missing Resolve Date"/>
    <s v="No"/>
    <m/>
    <s v="Not Specified"/>
    <s v=""/>
    <x v="1"/>
  </r>
  <r>
    <s v="TCK-22886"/>
    <d v="2026-01-19T01:06:00"/>
    <s v="Tier 2 Support"/>
    <x v="3"/>
    <x v="4"/>
    <x v="0"/>
    <x v="2"/>
    <x v="2"/>
    <n v="8"/>
    <x v="5"/>
    <s v="Missing Resolve Date"/>
    <s v="No"/>
    <m/>
    <s v="Required Follow-Up Call"/>
    <s v=""/>
    <x v="1"/>
  </r>
  <r>
    <s v="TCK-20057"/>
    <d v="2026-06-16T19:05:00"/>
    <s v="Billing Support"/>
    <x v="5"/>
    <x v="0"/>
    <x v="0"/>
    <x v="4"/>
    <x v="2"/>
    <n v="8"/>
    <x v="1"/>
    <s v="Missing Resolve Date"/>
    <s v="No"/>
    <m/>
    <s v="Repeat Issue From Same Customer"/>
    <s v=""/>
    <x v="1"/>
  </r>
  <r>
    <s v="TCK-22773"/>
    <d v="2026-05-06T12:38:00"/>
    <s v="Tier 2 Support"/>
    <x v="2"/>
    <x v="4"/>
    <x v="3"/>
    <x v="5"/>
    <x v="1"/>
    <n v="48"/>
    <x v="5"/>
    <s v="Missing Resolve Date"/>
    <s v="No"/>
    <m/>
    <s v="Technical Issue Resolved Remotely"/>
    <s v=""/>
    <x v="1"/>
  </r>
  <r>
    <s v="TCK-22122"/>
    <d v="2026-08-15T13:41:00"/>
    <s v="Tier 1 Support"/>
    <x v="7"/>
    <x v="0"/>
    <x v="3"/>
    <x v="2"/>
    <x v="0"/>
    <n v="24"/>
    <x v="2"/>
    <d v="2026-08-16T07:00:00"/>
    <s v="No"/>
    <n v="1"/>
    <s v="Awaiting Customer Response"/>
    <n v="17.316666666534729"/>
    <x v="1"/>
  </r>
  <r>
    <s v="TCK-20323"/>
    <d v="2026-04-15T12:33:00"/>
    <s v="Technical Support"/>
    <x v="4"/>
    <x v="5"/>
    <x v="0"/>
    <x v="5"/>
    <x v="1"/>
    <n v="48"/>
    <x v="0"/>
    <d v="2026-04-16T12:28:00"/>
    <s v="No"/>
    <n v="4"/>
    <s v="Escalated To Senior Agent"/>
    <n v="23.916666666569654"/>
    <x v="0"/>
  </r>
  <r>
    <s v="TCK-22581"/>
    <d v="2026-08-21T04:52:00"/>
    <s v="Billing Support"/>
    <x v="5"/>
    <x v="0"/>
    <x v="0"/>
    <x v="2"/>
    <x v="0"/>
    <n v="24"/>
    <x v="0"/>
    <d v="2026-08-21T13:39:00"/>
    <s v="No"/>
    <m/>
    <s v="Repeat Issue From Same Customer"/>
    <n v="8.7833333333255723"/>
    <x v="0"/>
  </r>
  <r>
    <s v="TCK-21785"/>
    <d v="2026-06-12T11:18:00"/>
    <s v="Billing Support"/>
    <x v="5"/>
    <x v="4"/>
    <x v="0"/>
    <x v="1"/>
    <x v="0"/>
    <n v="24"/>
    <x v="5"/>
    <s v="Missing Resolve Date"/>
    <s v="Yes"/>
    <m/>
    <s v="Customer Requested Refund"/>
    <s v=""/>
    <x v="1"/>
  </r>
  <r>
    <s v="TCK-20091"/>
    <d v="2026-08-04T17:24:00"/>
    <s v="Tier 2 Support"/>
    <x v="2"/>
    <x v="6"/>
    <x v="2"/>
    <x v="3"/>
    <x v="0"/>
    <n v="24"/>
    <x v="0"/>
    <d v="2026-08-04T19:18:00"/>
    <s v="No"/>
    <n v="4"/>
    <s v="Escalated To Senior Agent"/>
    <n v="1.9000000000814907"/>
    <x v="0"/>
  </r>
  <r>
    <s v="TCK-20773"/>
    <d v="2026-08-04T04:56:00"/>
    <s v="Tier 2 Support"/>
    <x v="3"/>
    <x v="6"/>
    <x v="0"/>
    <x v="4"/>
    <x v="1"/>
    <n v="48"/>
    <x v="2"/>
    <d v="2026-08-07T04:42:00"/>
    <s v="No"/>
    <m/>
    <s v="Repeat Issue From Same Customer"/>
    <n v="71.766666666604578"/>
    <x v="1"/>
  </r>
  <r>
    <s v="TCK-22453"/>
    <d v="2026-03-18T05:04:00"/>
    <s v="Tier 2 Support"/>
    <x v="2"/>
    <x v="4"/>
    <x v="1"/>
    <x v="2"/>
    <x v="2"/>
    <n v="8"/>
    <x v="5"/>
    <s v="Missing Resolve Date"/>
    <s v="No"/>
    <m/>
    <s v="Not Specified"/>
    <s v=""/>
    <x v="1"/>
  </r>
  <r>
    <s v="TCK-20530"/>
    <d v="2026-01-12T00:23:00"/>
    <s v="Tier 1 Support"/>
    <x v="1"/>
    <x v="3"/>
    <x v="1"/>
    <x v="5"/>
    <x v="3"/>
    <n v="4"/>
    <x v="0"/>
    <d v="2026-01-12T02:43:00"/>
    <s v="No"/>
    <n v="4"/>
    <s v="Awaiting Customer Response"/>
    <n v="2.3333333332557231"/>
    <x v="0"/>
  </r>
  <r>
    <s v="TCK-20659"/>
    <d v="2026-01-20T17:35:00"/>
    <s v="Tier 2 Support"/>
    <x v="2"/>
    <x v="2"/>
    <x v="0"/>
    <x v="3"/>
    <x v="1"/>
    <n v="48"/>
    <x v="2"/>
    <d v="2026-01-25T10:14:00"/>
    <s v="No"/>
    <n v="5"/>
    <s v="Not Specified"/>
    <n v="112.64999999996508"/>
    <x v="1"/>
  </r>
  <r>
    <s v="TCK-21586"/>
    <d v="2026-04-17T15:42:00"/>
    <s v="Billing Support"/>
    <x v="5"/>
    <x v="6"/>
    <x v="3"/>
    <x v="1"/>
    <x v="0"/>
    <n v="24"/>
    <x v="2"/>
    <d v="2026-04-17T20:04:00"/>
    <s v="No"/>
    <n v="2"/>
    <s v="Repeat Issue From Same Customer"/>
    <n v="4.3666666665812954"/>
    <x v="1"/>
  </r>
  <r>
    <s v="TCK-22856"/>
    <d v="2026-05-03T18:27:00"/>
    <s v="Technical Support"/>
    <x v="4"/>
    <x v="2"/>
    <x v="3"/>
    <x v="5"/>
    <x v="1"/>
    <n v="48"/>
    <x v="4"/>
    <s v="Missing Resolve Date"/>
    <s v="Yes"/>
    <m/>
    <s v="Awaiting Customer Response"/>
    <s v=""/>
    <x v="1"/>
  </r>
  <r>
    <s v="TCK-23075"/>
    <d v="2026-08-04T13:16:00"/>
    <s v="Billing Support"/>
    <x v="5"/>
    <x v="6"/>
    <x v="1"/>
    <x v="5"/>
    <x v="0"/>
    <n v="24"/>
    <x v="0"/>
    <d v="2026-08-05T06:31:00"/>
    <s v="No"/>
    <m/>
    <s v="Customer Requested Refund"/>
    <n v="17.25"/>
    <x v="0"/>
  </r>
  <r>
    <s v="TCK-21697"/>
    <d v="2026-01-28T06:25:00"/>
    <s v="Tier 2 Support"/>
    <x v="3"/>
    <x v="3"/>
    <x v="3"/>
    <x v="5"/>
    <x v="0"/>
    <n v="24"/>
    <x v="0"/>
    <d v="2026-01-28T13:01:00"/>
    <s v="No"/>
    <m/>
    <s v="Escalated To Senior Agent"/>
    <n v="6.6000000000349246"/>
    <x v="0"/>
  </r>
  <r>
    <s v="TCK-21802"/>
    <d v="2026-02-09T17:31:00"/>
    <s v="Tier 2 Support"/>
    <x v="3"/>
    <x v="0"/>
    <x v="0"/>
    <x v="3"/>
    <x v="0"/>
    <n v="24"/>
    <x v="0"/>
    <d v="2026-02-09T19:28:00"/>
    <s v="No"/>
    <n v="2"/>
    <s v="Escalated To Senior Agent"/>
    <n v="1.9500000000698492"/>
    <x v="0"/>
  </r>
  <r>
    <s v="TCK-20747"/>
    <d v="2026-02-01T00:21:00"/>
    <s v="Tier 1 Support"/>
    <x v="7"/>
    <x v="2"/>
    <x v="0"/>
    <x v="3"/>
    <x v="1"/>
    <n v="48"/>
    <x v="0"/>
    <d v="2026-02-01T17:01:00"/>
    <s v="No"/>
    <n v="4"/>
    <s v="Technical Issue Resolved Remotely"/>
    <n v="16.666666666686069"/>
    <x v="0"/>
  </r>
  <r>
    <s v="TCK-21456"/>
    <d v="2026-04-11T05:36:00"/>
    <s v="Tier 1 Support"/>
    <x v="1"/>
    <x v="2"/>
    <x v="0"/>
    <x v="0"/>
    <x v="0"/>
    <n v="24"/>
    <x v="0"/>
    <d v="2026-04-12T01:52:00"/>
    <s v="No"/>
    <n v="1"/>
    <s v="Not Specified"/>
    <n v="20.266666666720994"/>
    <x v="0"/>
  </r>
  <r>
    <s v="TCK-22371"/>
    <d v="2026-05-20T18:50:00"/>
    <s v="Tier 2 Support"/>
    <x v="2"/>
    <x v="3"/>
    <x v="3"/>
    <x v="5"/>
    <x v="1"/>
    <n v="48"/>
    <x v="0"/>
    <d v="2026-05-21T01:01:00"/>
    <s v="Yes"/>
    <n v="2"/>
    <s v="Required Follow-Up Call"/>
    <n v="6.183333333407063"/>
    <x v="0"/>
  </r>
  <r>
    <s v="TCK-21177"/>
    <d v="2026-01-20T23:19:00"/>
    <s v="Tier 2 Support"/>
    <x v="2"/>
    <x v="2"/>
    <x v="1"/>
    <x v="5"/>
    <x v="1"/>
    <n v="48"/>
    <x v="0"/>
    <s v="Missing Resolve Date"/>
    <s v="No"/>
    <n v="2"/>
    <s v="Escalated To Senior Agent"/>
    <s v=""/>
    <x v="2"/>
  </r>
  <r>
    <s v="TCK-20621"/>
    <d v="2026-08-30T02:11:00"/>
    <s v="Tier 2 Support"/>
    <x v="3"/>
    <x v="4"/>
    <x v="0"/>
    <x v="4"/>
    <x v="1"/>
    <n v="48"/>
    <x v="2"/>
    <d v="2026-08-30T14:08:00"/>
    <s v="Yes"/>
    <m/>
    <s v="Customer Satisfied With Resolution"/>
    <n v="11.950000000011642"/>
    <x v="1"/>
  </r>
  <r>
    <s v="TCK-20069"/>
    <d v="2026-05-27T07:06:00"/>
    <s v="Tier 1 Support"/>
    <x v="1"/>
    <x v="2"/>
    <x v="3"/>
    <x v="3"/>
    <x v="2"/>
    <n v="8"/>
    <x v="5"/>
    <s v="Missing Resolve Date"/>
    <s v="No"/>
    <m/>
    <s v="Escalated To Senior Agent"/>
    <s v=""/>
    <x v="1"/>
  </r>
  <r>
    <s v="TCK-22061"/>
    <d v="2026-06-03T13:09:00"/>
    <s v="Tier 1 Support"/>
    <x v="7"/>
    <x v="1"/>
    <x v="3"/>
    <x v="2"/>
    <x v="2"/>
    <n v="8"/>
    <x v="0"/>
    <d v="2026-06-03T15:35:00"/>
    <s v="No"/>
    <n v="4"/>
    <s v="Technical Issue Resolved Remotely"/>
    <n v="2.4333333332324401"/>
    <x v="0"/>
  </r>
  <r>
    <s v="TCK-20105"/>
    <d v="2026-02-24T03:41:00"/>
    <s v="Tier 1 Support"/>
    <x v="1"/>
    <x v="3"/>
    <x v="0"/>
    <x v="5"/>
    <x v="1"/>
    <n v="48"/>
    <x v="0"/>
    <d v="2026-02-24T04:34:00"/>
    <s v="No"/>
    <n v="5"/>
    <s v="Technical Issue Resolved Remotely"/>
    <n v="0.88333333341870457"/>
    <x v="0"/>
  </r>
  <r>
    <s v="TCK-20100"/>
    <d v="2026-06-16T20:34:00"/>
    <s v="Technical Support"/>
    <x v="6"/>
    <x v="2"/>
    <x v="3"/>
    <x v="1"/>
    <x v="2"/>
    <n v="8"/>
    <x v="1"/>
    <s v="Missing Resolve Date"/>
    <s v="No"/>
    <m/>
    <s v="Required Follow-Up Call"/>
    <s v=""/>
    <x v="1"/>
  </r>
  <r>
    <s v="TCK-20825"/>
    <d v="2026-04-25T08:12:00"/>
    <s v="Billing Support"/>
    <x v="5"/>
    <x v="1"/>
    <x v="1"/>
    <x v="1"/>
    <x v="3"/>
    <n v="4"/>
    <x v="0"/>
    <d v="2026-04-25T09:02:00"/>
    <s v="No"/>
    <m/>
    <s v="Not Specified"/>
    <n v="0.83333333325572312"/>
    <x v="0"/>
  </r>
  <r>
    <s v="TCK-22370"/>
    <d v="2026-01-20T22:47:00"/>
    <s v="Technical Support"/>
    <x v="4"/>
    <x v="2"/>
    <x v="2"/>
    <x v="3"/>
    <x v="0"/>
    <n v="24"/>
    <x v="4"/>
    <s v="Missing Resolve Date"/>
    <s v="Yes"/>
    <m/>
    <s v="Repeat Issue From Same Customer"/>
    <s v=""/>
    <x v="1"/>
  </r>
  <r>
    <s v="TCK-23010"/>
    <d v="2026-07-29T12:22:00"/>
    <s v="Technical Support"/>
    <x v="6"/>
    <x v="5"/>
    <x v="0"/>
    <x v="5"/>
    <x v="3"/>
    <n v="4"/>
    <x v="0"/>
    <d v="2026-07-29T13:06:00"/>
    <s v="No"/>
    <n v="1"/>
    <s v="Resolved On First Contact"/>
    <n v="0.73333333327900618"/>
    <x v="0"/>
  </r>
  <r>
    <s v="TCK-22752"/>
    <d v="2026-08-11T21:26:00"/>
    <s v="Tier 1 Support"/>
    <x v="7"/>
    <x v="6"/>
    <x v="1"/>
    <x v="1"/>
    <x v="0"/>
    <n v="24"/>
    <x v="5"/>
    <s v="Missing Resolve Date"/>
    <s v="No"/>
    <m/>
    <s v="Required Follow-Up Call"/>
    <s v=""/>
    <x v="1"/>
  </r>
  <r>
    <s v="TCK-21877"/>
    <d v="2026-05-18T22:29:00"/>
    <s v="Billing Support"/>
    <x v="0"/>
    <x v="4"/>
    <x v="1"/>
    <x v="0"/>
    <x v="0"/>
    <n v="24"/>
    <x v="0"/>
    <d v="2026-05-21T12:33:00"/>
    <s v="No"/>
    <n v="3"/>
    <s v="Escalated To Senior Agent"/>
    <n v="62.06666666676756"/>
    <x v="2"/>
  </r>
  <r>
    <s v="TCK-21649"/>
    <d v="2026-01-23T14:00:00"/>
    <s v="Billing Support"/>
    <x v="5"/>
    <x v="1"/>
    <x v="1"/>
    <x v="0"/>
    <x v="0"/>
    <n v="24"/>
    <x v="2"/>
    <d v="2026-01-24T23:54:00"/>
    <s v="No"/>
    <n v="2"/>
    <s v="Required Follow-Up Call"/>
    <n v="33.899999999965075"/>
    <x v="1"/>
  </r>
  <r>
    <s v="TCK-22718"/>
    <d v="2026-03-26T15:53:00"/>
    <s v="Tier 1 Support"/>
    <x v="1"/>
    <x v="4"/>
    <x v="1"/>
    <x v="0"/>
    <x v="1"/>
    <n v="48"/>
    <x v="0"/>
    <d v="2026-03-27T12:11:00"/>
    <s v="No"/>
    <n v="2"/>
    <s v="Customer Satisfied With Resolution"/>
    <n v="20.299999999988358"/>
    <x v="0"/>
  </r>
  <r>
    <s v="TCK-20742"/>
    <d v="2026-08-04T22:16:00"/>
    <s v="Tier 1 Support"/>
    <x v="7"/>
    <x v="6"/>
    <x v="3"/>
    <x v="3"/>
    <x v="3"/>
    <n v="4"/>
    <x v="0"/>
    <d v="2026-08-05T08:37:00"/>
    <s v="No"/>
    <n v="5"/>
    <s v="Technical Issue Resolved Remotely"/>
    <n v="10.350000000034925"/>
    <x v="2"/>
  </r>
  <r>
    <s v="TCK-22375"/>
    <d v="2026-02-02T08:35:00"/>
    <s v="Tier 2 Support"/>
    <x v="2"/>
    <x v="6"/>
    <x v="1"/>
    <x v="4"/>
    <x v="0"/>
    <n v="24"/>
    <x v="0"/>
    <d v="2026-02-02T10:35:00"/>
    <s v="No"/>
    <n v="2"/>
    <s v="Not Specified"/>
    <n v="1.9999999998835847"/>
    <x v="0"/>
  </r>
  <r>
    <s v="TCK-22655"/>
    <d v="2026-07-23T16:39:00"/>
    <s v="Billing Support"/>
    <x v="0"/>
    <x v="0"/>
    <x v="0"/>
    <x v="3"/>
    <x v="2"/>
    <n v="8"/>
    <x v="2"/>
    <d v="2026-07-23T19:23:00"/>
    <s v="No"/>
    <n v="2"/>
    <s v="Customer Satisfied With Resolution"/>
    <n v="2.7333333333372138"/>
    <x v="1"/>
  </r>
  <r>
    <s v="TCK-22674"/>
    <d v="2026-01-16T03:42:00"/>
    <s v="Technical Support"/>
    <x v="4"/>
    <x v="5"/>
    <x v="2"/>
    <x v="2"/>
    <x v="1"/>
    <n v="48"/>
    <x v="2"/>
    <d v="2026-01-17T12:06:00"/>
    <s v="No"/>
    <n v="1"/>
    <s v="Not Specified"/>
    <n v="32.399999999965075"/>
    <x v="1"/>
  </r>
  <r>
    <s v="TCK-21164"/>
    <d v="2026-03-30T07:25:00"/>
    <s v="Billing Support"/>
    <x v="0"/>
    <x v="4"/>
    <x v="0"/>
    <x v="5"/>
    <x v="0"/>
    <n v="24"/>
    <x v="0"/>
    <d v="2026-03-30T11:48:00"/>
    <s v="Yes"/>
    <n v="3"/>
    <s v="Escalated To Senior Agent"/>
    <n v="4.3833333333022892"/>
    <x v="0"/>
  </r>
  <r>
    <s v="TCK-21047"/>
    <d v="2026-01-28T13:04:00"/>
    <s v="Billing Support"/>
    <x v="5"/>
    <x v="5"/>
    <x v="1"/>
    <x v="2"/>
    <x v="1"/>
    <n v="48"/>
    <x v="4"/>
    <s v="Missing Resolve Date"/>
    <s v="Yes"/>
    <m/>
    <s v="Escalated To Senior Agent"/>
    <s v=""/>
    <x v="1"/>
  </r>
  <r>
    <s v="TCK-21084"/>
    <d v="2026-06-04T21:43:00"/>
    <s v="Tier 2 Support"/>
    <x v="2"/>
    <x v="3"/>
    <x v="0"/>
    <x v="4"/>
    <x v="2"/>
    <n v="8"/>
    <x v="2"/>
    <d v="2026-06-04T22:17:00"/>
    <s v="No"/>
    <n v="3"/>
    <s v="Customer Satisfied With Resolution"/>
    <n v="0.56666666659293696"/>
    <x v="1"/>
  </r>
  <r>
    <s v="TCK-23155"/>
    <d v="2026-08-12T06:40:00"/>
    <s v="Technical Support"/>
    <x v="6"/>
    <x v="5"/>
    <x v="1"/>
    <x v="1"/>
    <x v="1"/>
    <n v="48"/>
    <x v="2"/>
    <d v="2026-08-14T00:52:00"/>
    <s v="No"/>
    <n v="4"/>
    <s v="Escalated To Senior Agent"/>
    <n v="42.199999999953434"/>
    <x v="1"/>
  </r>
  <r>
    <s v="TCK-21808"/>
    <d v="2026-07-01T20:53:00"/>
    <s v="Technical Support"/>
    <x v="6"/>
    <x v="4"/>
    <x v="0"/>
    <x v="1"/>
    <x v="0"/>
    <n v="24"/>
    <x v="0"/>
    <d v="2026-07-04T08:54:00"/>
    <s v="No"/>
    <m/>
    <s v="Technical Issue Resolved Remotely"/>
    <n v="60.016666666720994"/>
    <x v="2"/>
  </r>
  <r>
    <s v="TCK-22678"/>
    <d v="2026-08-11T17:41:00"/>
    <s v="Tier 1 Support"/>
    <x v="7"/>
    <x v="1"/>
    <x v="3"/>
    <x v="5"/>
    <x v="3"/>
    <n v="4"/>
    <x v="0"/>
    <d v="2026-08-11T18:57:00"/>
    <s v="No"/>
    <n v="3"/>
    <s v="Customer Satisfied With Resolution"/>
    <n v="1.2666666666045785"/>
    <x v="0"/>
  </r>
  <r>
    <s v="TCK-20888"/>
    <d v="2026-01-07T21:27:00"/>
    <s v="Technical Support"/>
    <x v="4"/>
    <x v="4"/>
    <x v="3"/>
    <x v="0"/>
    <x v="0"/>
    <n v="24"/>
    <x v="5"/>
    <s v="Missing Resolve Date"/>
    <s v="No"/>
    <m/>
    <s v="Not Specified"/>
    <s v=""/>
    <x v="1"/>
  </r>
  <r>
    <s v="TCK-22516"/>
    <d v="2026-07-01T06:01:00"/>
    <s v="Technical Support"/>
    <x v="4"/>
    <x v="2"/>
    <x v="2"/>
    <x v="0"/>
    <x v="0"/>
    <n v="24"/>
    <x v="5"/>
    <s v="Missing Resolve Date"/>
    <s v="No"/>
    <m/>
    <s v="Customer Requested Refund"/>
    <s v=""/>
    <x v="1"/>
  </r>
  <r>
    <s v="TCK-21356"/>
    <d v="2026-04-16T03:25:00"/>
    <s v="Tier 2 Support"/>
    <x v="2"/>
    <x v="3"/>
    <x v="0"/>
    <x v="2"/>
    <x v="2"/>
    <n v="8"/>
    <x v="2"/>
    <d v="2026-04-16T06:39:00"/>
    <s v="No"/>
    <n v="2"/>
    <s v="Customer Requested Refund"/>
    <n v="3.2333333333954215"/>
    <x v="1"/>
  </r>
  <r>
    <s v="TCK-22595"/>
    <d v="2026-05-03T20:48:00"/>
    <s v="Technical Support"/>
    <x v="6"/>
    <x v="3"/>
    <x v="0"/>
    <x v="5"/>
    <x v="0"/>
    <n v="24"/>
    <x v="0"/>
    <d v="2026-05-04T00:17:00"/>
    <s v="No"/>
    <m/>
    <s v="Technical Issue Resolved Remotely"/>
    <n v="3.4833333333372138"/>
    <x v="0"/>
  </r>
  <r>
    <s v="TCK-21518"/>
    <d v="2026-06-10T16:40:00"/>
    <s v="Technical Support"/>
    <x v="4"/>
    <x v="6"/>
    <x v="3"/>
    <x v="3"/>
    <x v="2"/>
    <n v="8"/>
    <x v="0"/>
    <d v="2026-06-11T01:51:00"/>
    <s v="No"/>
    <n v="5"/>
    <s v="Customer Requested Refund"/>
    <n v="9.1833333332324401"/>
    <x v="2"/>
  </r>
  <r>
    <s v="TCK-22982"/>
    <d v="2026-07-11T19:00:00"/>
    <s v="Tier 2 Support"/>
    <x v="2"/>
    <x v="5"/>
    <x v="2"/>
    <x v="2"/>
    <x v="0"/>
    <n v="24"/>
    <x v="0"/>
    <d v="2026-07-14T10:52:00"/>
    <s v="No"/>
    <n v="5"/>
    <s v="Not Specified"/>
    <n v="63.866666666697711"/>
    <x v="2"/>
  </r>
  <r>
    <s v="TCK-22976"/>
    <d v="2026-02-02T13:40:00"/>
    <s v="Technical Support"/>
    <x v="6"/>
    <x v="6"/>
    <x v="2"/>
    <x v="4"/>
    <x v="0"/>
    <n v="24"/>
    <x v="0"/>
    <d v="2026-02-05T05:49:00"/>
    <s v="No"/>
    <m/>
    <s v="Not Specified"/>
    <n v="64.149999999906868"/>
    <x v="2"/>
  </r>
  <r>
    <s v="TCK-20111"/>
    <d v="2026-01-08T23:15:00"/>
    <s v="Technical Support"/>
    <x v="4"/>
    <x v="1"/>
    <x v="3"/>
    <x v="2"/>
    <x v="1"/>
    <n v="48"/>
    <x v="1"/>
    <s v="Missing Resolve Date"/>
    <s v="No"/>
    <m/>
    <s v="Not Specified"/>
    <s v=""/>
    <x v="1"/>
  </r>
  <r>
    <s v="TCK-22737"/>
    <d v="2026-01-08T04:10:00"/>
    <s v="Tier 2 Support"/>
    <x v="2"/>
    <x v="0"/>
    <x v="1"/>
    <x v="3"/>
    <x v="0"/>
    <n v="24"/>
    <x v="0"/>
    <d v="2026-01-08T20:45:00"/>
    <s v="No"/>
    <m/>
    <s v="Customer Requested Refund"/>
    <n v="16.583333333430346"/>
    <x v="0"/>
  </r>
  <r>
    <s v="TCK-20636"/>
    <d v="2026-05-02T20:57:00"/>
    <s v="Tier 2 Support"/>
    <x v="3"/>
    <x v="0"/>
    <x v="2"/>
    <x v="3"/>
    <x v="2"/>
    <n v="8"/>
    <x v="0"/>
    <d v="2026-05-03T03:15:00"/>
    <s v="No"/>
    <n v="5"/>
    <s v="Technical Issue Resolved Remotely"/>
    <n v="6.2999999999301508"/>
    <x v="0"/>
  </r>
  <r>
    <s v="TCK-21748"/>
    <d v="2026-01-03T20:12:00"/>
    <s v="Tier 1 Support"/>
    <x v="7"/>
    <x v="6"/>
    <x v="1"/>
    <x v="3"/>
    <x v="0"/>
    <n v="24"/>
    <x v="0"/>
    <d v="2026-01-04T01:18:00"/>
    <s v="No"/>
    <n v="5"/>
    <s v="Required Follow-Up Call"/>
    <n v="5.1000000000349246"/>
    <x v="0"/>
  </r>
  <r>
    <s v="TCK-20915"/>
    <d v="2026-06-16T01:52:00"/>
    <s v="Billing Support"/>
    <x v="0"/>
    <x v="1"/>
    <x v="2"/>
    <x v="2"/>
    <x v="1"/>
    <n v="48"/>
    <x v="5"/>
    <s v="Missing Resolve Date"/>
    <s v="No"/>
    <m/>
    <s v="Repeat Issue From Same Customer"/>
    <s v=""/>
    <x v="1"/>
  </r>
  <r>
    <s v="TCK-20956"/>
    <d v="2026-04-13T00:08:00"/>
    <s v="Tier 2 Support"/>
    <x v="2"/>
    <x v="4"/>
    <x v="1"/>
    <x v="4"/>
    <x v="0"/>
    <n v="24"/>
    <x v="5"/>
    <s v="Missing Resolve Date"/>
    <s v="No"/>
    <m/>
    <s v="Required Follow-Up Call"/>
    <s v=""/>
    <x v="1"/>
  </r>
  <r>
    <s v="TCK-21337"/>
    <d v="2026-03-05T05:13:00"/>
    <s v="Tier 2 Support"/>
    <x v="3"/>
    <x v="4"/>
    <x v="1"/>
    <x v="2"/>
    <x v="2"/>
    <n v="8"/>
    <x v="5"/>
    <s v="Missing Resolve Date"/>
    <s v="No"/>
    <m/>
    <s v="Customer Satisfied With Resolution"/>
    <s v=""/>
    <x v="1"/>
  </r>
  <r>
    <s v="TCK-23113"/>
    <d v="2026-01-10T15:50:00"/>
    <s v="Tier 2 Support"/>
    <x v="2"/>
    <x v="6"/>
    <x v="1"/>
    <x v="4"/>
    <x v="1"/>
    <n v="48"/>
    <x v="3"/>
    <d v="2026-01-11T23:25:00"/>
    <s v="No"/>
    <m/>
    <s v="Resolved On First Contact"/>
    <n v="31.583333333430346"/>
    <x v="1"/>
  </r>
  <r>
    <s v="TCK-21981"/>
    <d v="2026-01-24T04:12:00"/>
    <s v="Tier 2 Support"/>
    <x v="3"/>
    <x v="3"/>
    <x v="1"/>
    <x v="4"/>
    <x v="2"/>
    <n v="8"/>
    <x v="0"/>
    <d v="2026-01-24T16:26:00"/>
    <s v="No"/>
    <m/>
    <s v="Required Follow-Up Call"/>
    <n v="12.233333333220799"/>
    <x v="2"/>
  </r>
  <r>
    <s v="TCK-20541"/>
    <d v="2026-02-27T16:00:00"/>
    <s v="Billing Support"/>
    <x v="0"/>
    <x v="3"/>
    <x v="2"/>
    <x v="1"/>
    <x v="1"/>
    <n v="48"/>
    <x v="2"/>
    <d v="2026-03-03T16:54:00"/>
    <s v="No"/>
    <n v="4"/>
    <s v="Customer Requested Refund"/>
    <n v="96.900000000139698"/>
    <x v="1"/>
  </r>
  <r>
    <s v="TCK-20419"/>
    <d v="2026-08-26T03:26:00"/>
    <s v="Tier 2 Support"/>
    <x v="3"/>
    <x v="0"/>
    <x v="0"/>
    <x v="2"/>
    <x v="0"/>
    <n v="24"/>
    <x v="0"/>
    <s v="Missing Resolve Date"/>
    <s v="No"/>
    <m/>
    <s v="Customer Satisfied With Resolution"/>
    <s v=""/>
    <x v="2"/>
  </r>
  <r>
    <s v="TCK-20553"/>
    <d v="2026-05-24T20:42:00"/>
    <s v="Billing Support"/>
    <x v="5"/>
    <x v="0"/>
    <x v="2"/>
    <x v="4"/>
    <x v="0"/>
    <n v="24"/>
    <x v="0"/>
    <d v="2026-05-25T17:57:00"/>
    <s v="No"/>
    <m/>
    <s v="Awaiting Customer Response"/>
    <n v="21.249999999941792"/>
    <x v="0"/>
  </r>
  <r>
    <s v="TCK-21546"/>
    <d v="2026-01-12T20:15:00"/>
    <s v="Billing Support"/>
    <x v="5"/>
    <x v="3"/>
    <x v="3"/>
    <x v="1"/>
    <x v="1"/>
    <n v="48"/>
    <x v="1"/>
    <s v="Missing Resolve Date"/>
    <s v="No"/>
    <m/>
    <s v="Resolved On First Contact"/>
    <s v=""/>
    <x v="1"/>
  </r>
  <r>
    <s v="TCK-22274"/>
    <d v="2026-01-07T00:57:00"/>
    <s v="Billing Support"/>
    <x v="5"/>
    <x v="6"/>
    <x v="3"/>
    <x v="3"/>
    <x v="0"/>
    <n v="24"/>
    <x v="3"/>
    <d v="2026-01-07T22:29:00"/>
    <s v="No"/>
    <m/>
    <s v="Not Specified"/>
    <n v="21.533333333325572"/>
    <x v="1"/>
  </r>
  <r>
    <s v="TCK-23131"/>
    <d v="2026-05-10T21:17:00"/>
    <s v="Technical Support"/>
    <x v="4"/>
    <x v="2"/>
    <x v="2"/>
    <x v="1"/>
    <x v="1"/>
    <n v="48"/>
    <x v="2"/>
    <d v="2026-05-16T06:42:00"/>
    <s v="No"/>
    <n v="3"/>
    <s v="Required Follow-Up Call"/>
    <n v="129.41666666662786"/>
    <x v="1"/>
  </r>
  <r>
    <s v="TCK-21361"/>
    <d v="2026-06-30T11:08:00"/>
    <s v="Technical Support"/>
    <x v="6"/>
    <x v="6"/>
    <x v="1"/>
    <x v="0"/>
    <x v="0"/>
    <n v="24"/>
    <x v="0"/>
    <d v="2026-06-30T12:09:00"/>
    <s v="No"/>
    <n v="5"/>
    <s v="Escalated To Senior Agent"/>
    <n v="1.0166666666627862"/>
    <x v="0"/>
  </r>
  <r>
    <s v="TCK-21066"/>
    <d v="2026-02-03T21:34:00"/>
    <s v="Billing Support"/>
    <x v="5"/>
    <x v="1"/>
    <x v="0"/>
    <x v="2"/>
    <x v="2"/>
    <n v="8"/>
    <x v="1"/>
    <s v="Missing Resolve Date"/>
    <s v="No"/>
    <m/>
    <s v="Customer Requested Refund"/>
    <s v=""/>
    <x v="1"/>
  </r>
  <r>
    <s v="TCK-21029"/>
    <d v="2026-03-09T04:02:00"/>
    <s v="Billing Support"/>
    <x v="0"/>
    <x v="3"/>
    <x v="3"/>
    <x v="5"/>
    <x v="2"/>
    <n v="8"/>
    <x v="2"/>
    <d v="2026-03-09T23:00:00"/>
    <s v="No"/>
    <n v="1"/>
    <s v="Awaiting Customer Response"/>
    <n v="18.966666666674428"/>
    <x v="1"/>
  </r>
  <r>
    <s v="TCK-22710"/>
    <d v="2026-03-23T08:38:00"/>
    <s v="Technical Support"/>
    <x v="4"/>
    <x v="6"/>
    <x v="1"/>
    <x v="5"/>
    <x v="2"/>
    <n v="8"/>
    <x v="4"/>
    <s v="Missing Resolve Date"/>
    <s v="Yes"/>
    <m/>
    <s v="Customer Satisfied With Resolution"/>
    <s v=""/>
    <x v="1"/>
  </r>
  <r>
    <s v="TCK-22628"/>
    <d v="2026-06-04T13:10:00"/>
    <s v="Tier 2 Support"/>
    <x v="3"/>
    <x v="6"/>
    <x v="0"/>
    <x v="5"/>
    <x v="1"/>
    <n v="48"/>
    <x v="1"/>
    <s v="Missing Resolve Date"/>
    <s v="No"/>
    <m/>
    <s v="Not Specified"/>
    <s v=""/>
    <x v="1"/>
  </r>
  <r>
    <s v="TCK-23139"/>
    <d v="2026-06-16T19:32:00"/>
    <s v="Tier 1 Support"/>
    <x v="7"/>
    <x v="4"/>
    <x v="1"/>
    <x v="3"/>
    <x v="2"/>
    <n v="8"/>
    <x v="0"/>
    <d v="2026-06-17T07:52:00"/>
    <s v="No"/>
    <n v="5"/>
    <s v="Technical Issue Resolved Remotely"/>
    <n v="12.333333333372138"/>
    <x v="2"/>
  </r>
  <r>
    <s v="TCK-21124"/>
    <d v="2026-02-18T16:20:00"/>
    <s v="Tier 1 Support"/>
    <x v="1"/>
    <x v="3"/>
    <x v="0"/>
    <x v="1"/>
    <x v="3"/>
    <n v="4"/>
    <x v="5"/>
    <s v="Missing Resolve Date"/>
    <s v="No"/>
    <m/>
    <s v="Customer Requested Refund"/>
    <s v=""/>
    <x v="1"/>
  </r>
  <r>
    <s v="TCK-21740"/>
    <d v="2026-01-23T23:53:00"/>
    <s v="Billing Support"/>
    <x v="5"/>
    <x v="4"/>
    <x v="3"/>
    <x v="4"/>
    <x v="3"/>
    <n v="4"/>
    <x v="1"/>
    <s v="Missing Resolve Date"/>
    <s v="No"/>
    <m/>
    <s v="Customer Requested Refund"/>
    <s v=""/>
    <x v="1"/>
  </r>
  <r>
    <s v="TCK-21826"/>
    <d v="2026-05-12T19:03:00"/>
    <s v="Tier 1 Support"/>
    <x v="1"/>
    <x v="2"/>
    <x v="3"/>
    <x v="1"/>
    <x v="0"/>
    <n v="24"/>
    <x v="1"/>
    <s v="Missing Resolve Date"/>
    <s v="No"/>
    <m/>
    <s v="Required Follow-Up Call"/>
    <s v=""/>
    <x v="1"/>
  </r>
  <r>
    <s v="TCK-20885"/>
    <d v="2026-04-16T07:29:00"/>
    <s v="Technical Support"/>
    <x v="6"/>
    <x v="5"/>
    <x v="1"/>
    <x v="3"/>
    <x v="3"/>
    <n v="4"/>
    <x v="1"/>
    <s v="Missing Resolve Date"/>
    <s v="No"/>
    <m/>
    <s v="Required Follow-Up Call"/>
    <s v=""/>
    <x v="1"/>
  </r>
  <r>
    <s v="TCK-22485"/>
    <d v="2026-02-21T17:59:00"/>
    <s v="Tier 2 Support"/>
    <x v="2"/>
    <x v="5"/>
    <x v="1"/>
    <x v="1"/>
    <x v="0"/>
    <n v="24"/>
    <x v="0"/>
    <s v="Missing Resolve Date"/>
    <s v="No"/>
    <m/>
    <s v="Escalated To Senior Agent"/>
    <s v=""/>
    <x v="2"/>
  </r>
  <r>
    <s v="TCK-21651"/>
    <d v="2026-04-11T01:07:00"/>
    <s v="Technical Support"/>
    <x v="4"/>
    <x v="0"/>
    <x v="2"/>
    <x v="4"/>
    <x v="0"/>
    <n v="24"/>
    <x v="0"/>
    <d v="2026-04-11T04:38:00"/>
    <s v="No"/>
    <n v="4"/>
    <s v="Technical Issue Resolved Remotely"/>
    <n v="3.5166666667792015"/>
    <x v="0"/>
  </r>
  <r>
    <s v="TCK-21280"/>
    <d v="2026-08-01T13:24:00"/>
    <s v="Technical Support"/>
    <x v="4"/>
    <x v="4"/>
    <x v="0"/>
    <x v="3"/>
    <x v="0"/>
    <n v="24"/>
    <x v="2"/>
    <d v="2026-08-03T14:35:00"/>
    <s v="No"/>
    <m/>
    <s v="Repeat Issue From Same Customer"/>
    <n v="49.183333333348855"/>
    <x v="1"/>
  </r>
  <r>
    <s v="TCK-21086"/>
    <d v="2026-02-14T03:16:00"/>
    <s v="Technical Support"/>
    <x v="4"/>
    <x v="1"/>
    <x v="1"/>
    <x v="1"/>
    <x v="1"/>
    <n v="48"/>
    <x v="4"/>
    <s v="Missing Resolve Date"/>
    <s v="Yes"/>
    <m/>
    <s v="Not Specified"/>
    <s v=""/>
    <x v="1"/>
  </r>
  <r>
    <s v="TCK-23068"/>
    <d v="2026-03-30T01:44:00"/>
    <s v="Technical Support"/>
    <x v="6"/>
    <x v="0"/>
    <x v="2"/>
    <x v="2"/>
    <x v="3"/>
    <n v="4"/>
    <x v="0"/>
    <d v="2026-03-30T02:26:00"/>
    <s v="No"/>
    <m/>
    <s v="Not Specified"/>
    <n v="0.70000000001164153"/>
    <x v="0"/>
  </r>
  <r>
    <s v="TCK-20895"/>
    <d v="2026-04-05T01:35:00"/>
    <s v="Tier 2 Support"/>
    <x v="3"/>
    <x v="2"/>
    <x v="1"/>
    <x v="5"/>
    <x v="1"/>
    <n v="48"/>
    <x v="0"/>
    <d v="2026-04-06T13:31:00"/>
    <s v="No"/>
    <n v="4"/>
    <s v="Repeat Issue From Same Customer"/>
    <n v="35.933333333465271"/>
    <x v="0"/>
  </r>
  <r>
    <s v="TCK-22705"/>
    <d v="2026-04-14T00:47:00"/>
    <s v="Tier 2 Support"/>
    <x v="2"/>
    <x v="4"/>
    <x v="1"/>
    <x v="2"/>
    <x v="2"/>
    <n v="8"/>
    <x v="4"/>
    <s v="Missing Resolve Date"/>
    <s v="Yes"/>
    <m/>
    <s v="Not Specified"/>
    <s v=""/>
    <x v="1"/>
  </r>
  <r>
    <s v="TCK-20705"/>
    <d v="2026-07-06T01:46:00"/>
    <s v="Tier 2 Support"/>
    <x v="2"/>
    <x v="6"/>
    <x v="2"/>
    <x v="2"/>
    <x v="0"/>
    <n v="24"/>
    <x v="2"/>
    <d v="2026-07-07T08:45:00"/>
    <s v="No"/>
    <n v="4"/>
    <s v="Escalated To Senior Agent"/>
    <n v="30.983333333395422"/>
    <x v="1"/>
  </r>
  <r>
    <s v="TCK-23032"/>
    <d v="2026-06-17T03:25:00"/>
    <s v="Tier 1 Support"/>
    <x v="7"/>
    <x v="4"/>
    <x v="3"/>
    <x v="2"/>
    <x v="3"/>
    <n v="4"/>
    <x v="4"/>
    <s v="Missing Resolve Date"/>
    <s v="Yes"/>
    <m/>
    <s v="Not Specified"/>
    <s v=""/>
    <x v="1"/>
  </r>
  <r>
    <s v="TCK-20539"/>
    <d v="2026-08-22T19:22:00"/>
    <s v="Tier 2 Support"/>
    <x v="2"/>
    <x v="0"/>
    <x v="1"/>
    <x v="3"/>
    <x v="1"/>
    <n v="48"/>
    <x v="4"/>
    <s v="Missing Resolve Date"/>
    <s v="Yes"/>
    <m/>
    <s v="Awaiting Customer Response"/>
    <s v=""/>
    <x v="1"/>
  </r>
  <r>
    <s v="TCK-20989"/>
    <d v="2026-05-30T00:43:00"/>
    <s v="Tier 1 Support"/>
    <x v="1"/>
    <x v="0"/>
    <x v="0"/>
    <x v="5"/>
    <x v="2"/>
    <n v="8"/>
    <x v="0"/>
    <d v="2026-05-30T13:49:00"/>
    <s v="No"/>
    <m/>
    <s v="Resolved On First Contact"/>
    <n v="13.099999999918509"/>
    <x v="2"/>
  </r>
  <r>
    <s v="TCK-22292"/>
    <d v="2026-05-31T03:04:00"/>
    <s v="Tier 2 Support"/>
    <x v="2"/>
    <x v="0"/>
    <x v="2"/>
    <x v="1"/>
    <x v="1"/>
    <n v="48"/>
    <x v="5"/>
    <s v="Missing Resolve Date"/>
    <s v="No"/>
    <m/>
    <s v="Technical Issue Resolved Remotely"/>
    <s v=""/>
    <x v="1"/>
  </r>
  <r>
    <s v="TCK-21260"/>
    <d v="2026-01-01T09:10:00"/>
    <s v="Billing Support"/>
    <x v="0"/>
    <x v="0"/>
    <x v="1"/>
    <x v="0"/>
    <x v="0"/>
    <n v="24"/>
    <x v="3"/>
    <d v="2026-01-01T22:03:00"/>
    <s v="No"/>
    <m/>
    <s v="Resolved On First Contact"/>
    <n v="12.883333333244082"/>
    <x v="1"/>
  </r>
  <r>
    <s v="TCK-22957"/>
    <d v="2026-05-30T18:55:00"/>
    <s v="Tier 2 Support"/>
    <x v="3"/>
    <x v="2"/>
    <x v="0"/>
    <x v="3"/>
    <x v="0"/>
    <n v="24"/>
    <x v="3"/>
    <d v="2026-05-30T20:47:00"/>
    <s v="No"/>
    <m/>
    <s v="Customer Satisfied With Resolution"/>
    <n v="1.8666666666395031"/>
    <x v="1"/>
  </r>
  <r>
    <s v="TCK-22615"/>
    <d v="2026-05-01T23:10:00"/>
    <s v="Billing Support"/>
    <x v="5"/>
    <x v="3"/>
    <x v="1"/>
    <x v="1"/>
    <x v="1"/>
    <n v="48"/>
    <x v="1"/>
    <s v="Missing Resolve Date"/>
    <s v="No"/>
    <m/>
    <s v="Not Specified"/>
    <s v=""/>
    <x v="1"/>
  </r>
  <r>
    <s v="TCK-20965"/>
    <d v="2026-04-21T17:38:00"/>
    <s v="Tier 1 Support"/>
    <x v="7"/>
    <x v="6"/>
    <x v="1"/>
    <x v="3"/>
    <x v="2"/>
    <n v="8"/>
    <x v="0"/>
    <d v="2026-04-22T02:30:00"/>
    <s v="No"/>
    <m/>
    <s v="Escalated To Senior Agent"/>
    <n v="8.8666666665812954"/>
    <x v="2"/>
  </r>
  <r>
    <s v="TCK-21087"/>
    <d v="2026-03-28T19:36:00"/>
    <s v="Tier 2 Support"/>
    <x v="2"/>
    <x v="4"/>
    <x v="1"/>
    <x v="3"/>
    <x v="2"/>
    <n v="8"/>
    <x v="0"/>
    <d v="2026-03-29T08:00:00"/>
    <s v="No"/>
    <n v="5"/>
    <s v="Required Follow-Up Call"/>
    <n v="12.400000000081491"/>
    <x v="2"/>
  </r>
  <r>
    <s v="TCK-21548"/>
    <d v="2026-02-15T03:27:00"/>
    <s v="Tier 2 Support"/>
    <x v="3"/>
    <x v="3"/>
    <x v="3"/>
    <x v="2"/>
    <x v="2"/>
    <n v="8"/>
    <x v="5"/>
    <s v="Missing Resolve Date"/>
    <s v="No"/>
    <m/>
    <s v="Not Specified"/>
    <s v=""/>
    <x v="1"/>
  </r>
  <r>
    <s v="TCK-22924"/>
    <d v="2026-01-10T16:12:00"/>
    <s v="Tier 2 Support"/>
    <x v="3"/>
    <x v="0"/>
    <x v="3"/>
    <x v="2"/>
    <x v="0"/>
    <n v="24"/>
    <x v="0"/>
    <d v="2026-01-11T00:21:00"/>
    <s v="No"/>
    <n v="5"/>
    <s v="Technical Issue Resolved Remotely"/>
    <n v="8.1499999998486601"/>
    <x v="0"/>
  </r>
  <r>
    <s v="TCK-20556"/>
    <d v="2026-08-13T06:05:00"/>
    <s v="Billing Support"/>
    <x v="5"/>
    <x v="3"/>
    <x v="2"/>
    <x v="1"/>
    <x v="0"/>
    <n v="24"/>
    <x v="2"/>
    <d v="2026-08-13T12:15:00"/>
    <s v="No"/>
    <n v="3"/>
    <s v="Not Specified"/>
    <n v="6.1666666666860692"/>
    <x v="1"/>
  </r>
  <r>
    <s v="TCK-20575"/>
    <d v="2026-08-30T14:53:00"/>
    <s v="Tier 2 Support"/>
    <x v="3"/>
    <x v="6"/>
    <x v="2"/>
    <x v="5"/>
    <x v="1"/>
    <n v="48"/>
    <x v="0"/>
    <d v="2026-08-31T13:33:00"/>
    <s v="No"/>
    <n v="4"/>
    <s v="Resolved On First Contact"/>
    <n v="22.666666666686069"/>
    <x v="0"/>
  </r>
  <r>
    <s v="TCK-21580"/>
    <d v="2026-03-17T23:10:00"/>
    <s v="Tier 1 Support"/>
    <x v="7"/>
    <x v="1"/>
    <x v="2"/>
    <x v="1"/>
    <x v="0"/>
    <n v="24"/>
    <x v="2"/>
    <d v="2026-03-19T09:14:00"/>
    <s v="No"/>
    <n v="3"/>
    <s v="Not Specified"/>
    <n v="34.066666666651145"/>
    <x v="1"/>
  </r>
  <r>
    <s v="TCK-22354"/>
    <d v="2026-08-08T07:18:00"/>
    <s v="Tier 2 Support"/>
    <x v="3"/>
    <x v="1"/>
    <x v="0"/>
    <x v="2"/>
    <x v="2"/>
    <n v="8"/>
    <x v="0"/>
    <d v="2026-08-08T10:44:00"/>
    <s v="No"/>
    <n v="1"/>
    <s v="Awaiting Customer Response"/>
    <n v="3.4333333333488554"/>
    <x v="0"/>
  </r>
  <r>
    <s v="TCK-22864"/>
    <d v="2026-01-28T23:34:00"/>
    <s v="Billing Support"/>
    <x v="5"/>
    <x v="2"/>
    <x v="0"/>
    <x v="3"/>
    <x v="0"/>
    <n v="24"/>
    <x v="1"/>
    <s v="Missing Resolve Date"/>
    <s v="No"/>
    <m/>
    <s v="Resolved On First Contact"/>
    <s v=""/>
    <x v="1"/>
  </r>
  <r>
    <s v="TCK-20584"/>
    <d v="2026-08-01T14:40:00"/>
    <s v="Tier 2 Support"/>
    <x v="2"/>
    <x v="4"/>
    <x v="1"/>
    <x v="5"/>
    <x v="1"/>
    <n v="48"/>
    <x v="0"/>
    <d v="2026-08-05T17:22:00"/>
    <s v="No"/>
    <m/>
    <s v="Technical Issue Resolved Remotely"/>
    <n v="98.700000000069849"/>
    <x v="2"/>
  </r>
  <r>
    <s v="TCK-22782"/>
    <d v="2026-04-09T00:47:00"/>
    <s v="Billing Support"/>
    <x v="5"/>
    <x v="1"/>
    <x v="1"/>
    <x v="1"/>
    <x v="1"/>
    <n v="48"/>
    <x v="0"/>
    <d v="2026-04-14T01:36:00"/>
    <s v="No"/>
    <m/>
    <s v="Required Follow-Up Call"/>
    <n v="120.81666666670935"/>
    <x v="2"/>
  </r>
  <r>
    <s v="TCK-20116"/>
    <d v="2026-05-22T06:58:00"/>
    <s v="Tier 2 Support"/>
    <x v="2"/>
    <x v="6"/>
    <x v="0"/>
    <x v="2"/>
    <x v="1"/>
    <n v="48"/>
    <x v="0"/>
    <d v="2026-05-22T21:55:00"/>
    <s v="No"/>
    <m/>
    <s v="Customer Requested Refund"/>
    <n v="14.950000000011642"/>
    <x v="0"/>
  </r>
  <r>
    <s v="TCK-20121"/>
    <d v="2026-05-15T04:53:00"/>
    <s v="Billing Support"/>
    <x v="5"/>
    <x v="5"/>
    <x v="1"/>
    <x v="5"/>
    <x v="0"/>
    <n v="24"/>
    <x v="2"/>
    <d v="2026-05-16T00:32:00"/>
    <s v="No"/>
    <n v="4"/>
    <s v="Resolved On First Contact"/>
    <n v="19.649999999965075"/>
    <x v="1"/>
  </r>
  <r>
    <s v="TCK-21707"/>
    <d v="2026-01-14T11:57:00"/>
    <s v="Technical Support"/>
    <x v="4"/>
    <x v="6"/>
    <x v="1"/>
    <x v="4"/>
    <x v="0"/>
    <n v="24"/>
    <x v="0"/>
    <d v="2026-01-15T00:24:00"/>
    <s v="No"/>
    <n v="1"/>
    <s v="Required Follow-Up Call"/>
    <n v="12.450000000069849"/>
    <x v="0"/>
  </r>
  <r>
    <s v="TCK-23030"/>
    <d v="2026-04-23T08:08:00"/>
    <s v="Tier 2 Support"/>
    <x v="2"/>
    <x v="4"/>
    <x v="2"/>
    <x v="2"/>
    <x v="1"/>
    <n v="48"/>
    <x v="0"/>
    <d v="2026-04-27T13:50:00"/>
    <s v="No"/>
    <m/>
    <s v="Escalated To Senior Agent"/>
    <n v="101.70000000006985"/>
    <x v="2"/>
  </r>
  <r>
    <s v="TCK-22664"/>
    <d v="2026-06-22T06:21:00"/>
    <s v="Tier 2 Support"/>
    <x v="2"/>
    <x v="3"/>
    <x v="2"/>
    <x v="1"/>
    <x v="0"/>
    <n v="24"/>
    <x v="0"/>
    <d v="2026-06-24T05:54:00"/>
    <s v="No"/>
    <n v="5"/>
    <s v="Technical Issue Resolved Remotely"/>
    <n v="47.550000000104774"/>
    <x v="2"/>
  </r>
  <r>
    <s v="TCK-20769"/>
    <d v="2026-06-02T16:35:00"/>
    <s v="Tier 2 Support"/>
    <x v="3"/>
    <x v="6"/>
    <x v="2"/>
    <x v="3"/>
    <x v="2"/>
    <n v="8"/>
    <x v="3"/>
    <d v="2026-06-02T17:06:00"/>
    <s v="No"/>
    <m/>
    <s v="Required Follow-Up Call"/>
    <n v="0.51666666677920148"/>
    <x v="1"/>
  </r>
  <r>
    <s v="TCK-21151"/>
    <d v="2026-02-06T14:31:00"/>
    <s v="Technical Support"/>
    <x v="4"/>
    <x v="0"/>
    <x v="0"/>
    <x v="1"/>
    <x v="1"/>
    <n v="48"/>
    <x v="2"/>
    <d v="2026-02-07T11:07:00"/>
    <s v="No"/>
    <n v="4"/>
    <s v="Not Specified"/>
    <n v="20.599999999918509"/>
    <x v="1"/>
  </r>
  <r>
    <s v="TCK-21077"/>
    <d v="2026-05-06T15:22:00"/>
    <s v="Tier 2 Support"/>
    <x v="2"/>
    <x v="1"/>
    <x v="1"/>
    <x v="4"/>
    <x v="2"/>
    <n v="8"/>
    <x v="2"/>
    <d v="2026-05-07T11:03:00"/>
    <s v="No"/>
    <n v="5"/>
    <s v="Not Specified"/>
    <n v="19.683333333407063"/>
    <x v="1"/>
  </r>
  <r>
    <s v="TCK-22926"/>
    <d v="2026-08-15T03:37:00"/>
    <s v="Tier 1 Support"/>
    <x v="1"/>
    <x v="5"/>
    <x v="1"/>
    <x v="0"/>
    <x v="0"/>
    <n v="24"/>
    <x v="2"/>
    <d v="2026-08-15T09:50:00"/>
    <s v="No"/>
    <m/>
    <s v="Required Follow-Up Call"/>
    <n v="6.2166666666744277"/>
    <x v="1"/>
  </r>
  <r>
    <s v="TCK-22542"/>
    <d v="2026-05-23T07:22:00"/>
    <s v="Tier 2 Support"/>
    <x v="2"/>
    <x v="6"/>
    <x v="0"/>
    <x v="5"/>
    <x v="0"/>
    <n v="24"/>
    <x v="2"/>
    <d v="2026-05-24T02:15:00"/>
    <s v="No"/>
    <n v="3"/>
    <s v="Awaiting Customer Response"/>
    <n v="18.883333333418705"/>
    <x v="1"/>
  </r>
  <r>
    <s v="TCK-22850"/>
    <d v="2026-07-16T11:35:00"/>
    <s v="Technical Support"/>
    <x v="6"/>
    <x v="3"/>
    <x v="3"/>
    <x v="4"/>
    <x v="1"/>
    <n v="48"/>
    <x v="2"/>
    <d v="2026-07-17T10:11:00"/>
    <s v="No"/>
    <m/>
    <s v="Not Specified"/>
    <n v="22.599999999976717"/>
    <x v="1"/>
  </r>
  <r>
    <s v="TCK-22279"/>
    <d v="2026-06-09T10:38:00"/>
    <s v="Tier 1 Support"/>
    <x v="7"/>
    <x v="3"/>
    <x v="3"/>
    <x v="0"/>
    <x v="1"/>
    <n v="48"/>
    <x v="1"/>
    <s v="Missing Resolve Date"/>
    <s v="Yes"/>
    <m/>
    <s v="Not Specified"/>
    <s v=""/>
    <x v="1"/>
  </r>
  <r>
    <s v="TCK-22295"/>
    <d v="2026-05-10T12:37:00"/>
    <s v="Tier 1 Support"/>
    <x v="1"/>
    <x v="2"/>
    <x v="0"/>
    <x v="3"/>
    <x v="0"/>
    <n v="24"/>
    <x v="2"/>
    <d v="2026-05-10T18:48:00"/>
    <s v="No"/>
    <m/>
    <s v="Technical Issue Resolved Remotely"/>
    <n v="6.183333333407063"/>
    <x v="1"/>
  </r>
  <r>
    <s v="TCK-22696"/>
    <d v="2026-06-14T06:22:00"/>
    <s v="Technical Support"/>
    <x v="4"/>
    <x v="4"/>
    <x v="1"/>
    <x v="4"/>
    <x v="1"/>
    <n v="48"/>
    <x v="5"/>
    <s v="Missing Resolve Date"/>
    <s v="No"/>
    <m/>
    <s v="Not Specified"/>
    <s v=""/>
    <x v="1"/>
  </r>
  <r>
    <s v="TCK-21186"/>
    <d v="2026-03-22T20:48:00"/>
    <s v="Billing Support"/>
    <x v="0"/>
    <x v="6"/>
    <x v="1"/>
    <x v="4"/>
    <x v="0"/>
    <n v="24"/>
    <x v="3"/>
    <d v="2026-03-22T22:35:00"/>
    <s v="No"/>
    <m/>
    <s v="Repeat Issue From Same Customer"/>
    <n v="1.783333333209157"/>
    <x v="1"/>
  </r>
  <r>
    <s v="TCK-22372"/>
    <d v="2026-05-02T23:49:00"/>
    <s v="Tier 2 Support"/>
    <x v="3"/>
    <x v="6"/>
    <x v="2"/>
    <x v="3"/>
    <x v="3"/>
    <n v="4"/>
    <x v="4"/>
    <s v="Missing Resolve Date"/>
    <s v="Yes"/>
    <m/>
    <s v="Not Specified"/>
    <s v=""/>
    <x v="1"/>
  </r>
  <r>
    <s v="TCK-22439"/>
    <d v="2026-05-09T07:24:00"/>
    <s v="Tier 1 Support"/>
    <x v="7"/>
    <x v="5"/>
    <x v="3"/>
    <x v="5"/>
    <x v="0"/>
    <n v="24"/>
    <x v="0"/>
    <d v="2026-05-09T13:42:00"/>
    <s v="Yes"/>
    <n v="1"/>
    <s v="Not Specified"/>
    <n v="6.2999999999301508"/>
    <x v="0"/>
  </r>
  <r>
    <s v="TCK-23165"/>
    <d v="2026-07-21T19:15:00"/>
    <s v="Tier 1 Support"/>
    <x v="7"/>
    <x v="6"/>
    <x v="0"/>
    <x v="1"/>
    <x v="3"/>
    <n v="4"/>
    <x v="0"/>
    <d v="2026-07-22T02:54:00"/>
    <s v="No"/>
    <n v="5"/>
    <s v="Not Specified"/>
    <n v="7.6499999999650754"/>
    <x v="2"/>
  </r>
  <r>
    <s v="TCK-20952"/>
    <d v="2026-07-11T14:49:00"/>
    <s v="Tier 2 Support"/>
    <x v="3"/>
    <x v="6"/>
    <x v="0"/>
    <x v="0"/>
    <x v="0"/>
    <n v="24"/>
    <x v="0"/>
    <d v="2026-07-14T02:37:00"/>
    <s v="No"/>
    <n v="4"/>
    <s v="Not Specified"/>
    <n v="59.800000000046566"/>
    <x v="2"/>
  </r>
  <r>
    <s v="TCK-20191"/>
    <d v="2026-07-11T06:24:00"/>
    <s v="Billing Support"/>
    <x v="0"/>
    <x v="4"/>
    <x v="0"/>
    <x v="0"/>
    <x v="1"/>
    <n v="48"/>
    <x v="2"/>
    <d v="2026-07-13T23:26:00"/>
    <s v="No"/>
    <m/>
    <s v="Resolved On First Contact"/>
    <n v="65.033333333325572"/>
    <x v="1"/>
  </r>
  <r>
    <s v="TCK-21049"/>
    <d v="2026-08-03T22:29:00"/>
    <s v="Tier 2 Support"/>
    <x v="2"/>
    <x v="0"/>
    <x v="1"/>
    <x v="0"/>
    <x v="1"/>
    <n v="48"/>
    <x v="4"/>
    <s v="Missing Resolve Date"/>
    <s v="Yes"/>
    <m/>
    <s v="Awaiting Customer Response"/>
    <s v=""/>
    <x v="1"/>
  </r>
  <r>
    <s v="TCK-20625"/>
    <d v="2026-08-30T23:31:00"/>
    <s v="Tier 1 Support"/>
    <x v="1"/>
    <x v="2"/>
    <x v="0"/>
    <x v="4"/>
    <x v="1"/>
    <n v="48"/>
    <x v="2"/>
    <d v="2026-09-01T04:36:00"/>
    <s v="No"/>
    <n v="5"/>
    <s v="Resolved On First Contact"/>
    <n v="29.083333333313931"/>
    <x v="1"/>
  </r>
  <r>
    <s v="TCK-22791"/>
    <d v="2026-06-10T07:14:00"/>
    <s v="Tier 1 Support"/>
    <x v="7"/>
    <x v="3"/>
    <x v="3"/>
    <x v="3"/>
    <x v="2"/>
    <n v="8"/>
    <x v="0"/>
    <d v="2026-06-11T05:02:00"/>
    <s v="No"/>
    <n v="4"/>
    <s v="Customer Requested Refund"/>
    <n v="21.799999999988358"/>
    <x v="2"/>
  </r>
  <r>
    <s v="TCK-21856"/>
    <d v="2026-02-20T07:44:00"/>
    <s v="Billing Support"/>
    <x v="5"/>
    <x v="2"/>
    <x v="0"/>
    <x v="5"/>
    <x v="1"/>
    <n v="48"/>
    <x v="2"/>
    <d v="2026-02-20T23:51:00"/>
    <s v="No"/>
    <n v="1"/>
    <s v="Repeat Issue From Same Customer"/>
    <n v="16.116666666639503"/>
    <x v="1"/>
  </r>
  <r>
    <s v="TCK-22373"/>
    <d v="2026-03-13T05:33:00"/>
    <s v="Billing Support"/>
    <x v="0"/>
    <x v="1"/>
    <x v="1"/>
    <x v="4"/>
    <x v="0"/>
    <n v="24"/>
    <x v="2"/>
    <d v="2026-03-13T13:11:00"/>
    <s v="No"/>
    <m/>
    <s v="Resolved On First Contact"/>
    <n v="7.6333333334187046"/>
    <x v="1"/>
  </r>
  <r>
    <s v="TCK-20832"/>
    <d v="2026-01-14T05:29:00"/>
    <s v="Tier 1 Support"/>
    <x v="1"/>
    <x v="0"/>
    <x v="2"/>
    <x v="0"/>
    <x v="1"/>
    <n v="48"/>
    <x v="0"/>
    <d v="2026-01-14T09:21:00"/>
    <s v="No"/>
    <m/>
    <s v="Technical Issue Resolved Remotely"/>
    <n v="3.8666666665230878"/>
    <x v="0"/>
  </r>
  <r>
    <s v="TCK-22951"/>
    <d v="2026-07-21T21:56:00"/>
    <s v="Technical Support"/>
    <x v="6"/>
    <x v="1"/>
    <x v="3"/>
    <x v="5"/>
    <x v="2"/>
    <n v="8"/>
    <x v="0"/>
    <d v="2026-07-22T01:57:00"/>
    <s v="No"/>
    <n v="5"/>
    <s v="Not Specified"/>
    <n v="4.0166666666627862"/>
    <x v="0"/>
  </r>
  <r>
    <s v="TCK-20081"/>
    <d v="2026-08-25T23:15:00"/>
    <s v="Tier 2 Support"/>
    <x v="2"/>
    <x v="0"/>
    <x v="2"/>
    <x v="1"/>
    <x v="1"/>
    <n v="48"/>
    <x v="4"/>
    <s v="Missing Resolve Date"/>
    <s v="Yes"/>
    <m/>
    <s v="Escalated To Senior Agent"/>
    <s v=""/>
    <x v="1"/>
  </r>
  <r>
    <s v="TCK-20499"/>
    <d v="2026-03-18T12:15:00"/>
    <s v="Tier 1 Support"/>
    <x v="1"/>
    <x v="6"/>
    <x v="2"/>
    <x v="4"/>
    <x v="0"/>
    <n v="24"/>
    <x v="0"/>
    <d v="2026-03-20T01:10:00"/>
    <s v="No"/>
    <n v="1"/>
    <s v="Not Specified"/>
    <n v="36.916666666686069"/>
    <x v="2"/>
  </r>
  <r>
    <s v="TCK-21607"/>
    <d v="2026-03-08T05:19:00"/>
    <s v="Billing Support"/>
    <x v="0"/>
    <x v="3"/>
    <x v="2"/>
    <x v="0"/>
    <x v="2"/>
    <n v="8"/>
    <x v="0"/>
    <d v="2026-03-08T06:41:00"/>
    <s v="No"/>
    <n v="5"/>
    <s v="Customer Satisfied With Resolution"/>
    <n v="1.3666666665812954"/>
    <x v="0"/>
  </r>
  <r>
    <s v="TCK-20148"/>
    <d v="2026-08-27T09:01:00"/>
    <s v="Tier 1 Support"/>
    <x v="7"/>
    <x v="0"/>
    <x v="1"/>
    <x v="4"/>
    <x v="0"/>
    <n v="24"/>
    <x v="2"/>
    <d v="2026-08-27T13:03:00"/>
    <s v="Yes"/>
    <m/>
    <s v="Repeat Issue From Same Customer"/>
    <n v="4.033333333209157"/>
    <x v="1"/>
  </r>
  <r>
    <s v="TCK-20538"/>
    <d v="2026-07-13T05:13:00"/>
    <s v="Tier 1 Support"/>
    <x v="1"/>
    <x v="1"/>
    <x v="2"/>
    <x v="2"/>
    <x v="1"/>
    <n v="48"/>
    <x v="5"/>
    <s v="Missing Resolve Date"/>
    <s v="No"/>
    <m/>
    <s v="Customer Requested Refund"/>
    <s v=""/>
    <x v="1"/>
  </r>
  <r>
    <s v="TCK-20677"/>
    <d v="2026-04-01T04:25:00"/>
    <s v="Tier 1 Support"/>
    <x v="1"/>
    <x v="5"/>
    <x v="0"/>
    <x v="5"/>
    <x v="0"/>
    <n v="24"/>
    <x v="0"/>
    <d v="2026-04-01T15:50:00"/>
    <s v="No"/>
    <n v="1"/>
    <s v="Awaiting Customer Response"/>
    <n v="11.416666666511446"/>
    <x v="0"/>
  </r>
  <r>
    <s v="TCK-21051"/>
    <d v="2026-04-21T21:48:00"/>
    <s v="Tier 1 Support"/>
    <x v="1"/>
    <x v="5"/>
    <x v="3"/>
    <x v="0"/>
    <x v="0"/>
    <n v="24"/>
    <x v="2"/>
    <d v="2026-04-22T17:16:00"/>
    <s v="No"/>
    <n v="3"/>
    <s v="Required Follow-Up Call"/>
    <n v="19.466666666732635"/>
    <x v="1"/>
  </r>
  <r>
    <s v="TCK-22867"/>
    <d v="2026-01-04T23:16:00"/>
    <s v="Technical Support"/>
    <x v="4"/>
    <x v="5"/>
    <x v="3"/>
    <x v="3"/>
    <x v="0"/>
    <n v="24"/>
    <x v="0"/>
    <d v="2026-01-06T23:58:00"/>
    <s v="No"/>
    <n v="3"/>
    <s v="Technical Issue Resolved Remotely"/>
    <n v="48.700000000011642"/>
    <x v="2"/>
  </r>
  <r>
    <s v="TCK-22561"/>
    <d v="2026-03-11T08:26:00"/>
    <s v="Billing Support"/>
    <x v="0"/>
    <x v="6"/>
    <x v="0"/>
    <x v="2"/>
    <x v="0"/>
    <n v="24"/>
    <x v="1"/>
    <s v="Missing Resolve Date"/>
    <s v="No"/>
    <m/>
    <s v="Required Follow-Up Call"/>
    <s v=""/>
    <x v="1"/>
  </r>
  <r>
    <s v="TCK-21414"/>
    <d v="2026-06-15T10:32:00"/>
    <s v="Billing Support"/>
    <x v="0"/>
    <x v="1"/>
    <x v="2"/>
    <x v="2"/>
    <x v="0"/>
    <n v="24"/>
    <x v="2"/>
    <d v="2026-06-18T09:13:00"/>
    <s v="No"/>
    <m/>
    <s v="Technical Issue Resolved Remotely"/>
    <n v="70.683333333407063"/>
    <x v="1"/>
  </r>
  <r>
    <s v="TCK-21611"/>
    <d v="2026-07-01T22:32:00"/>
    <s v="Billing Support"/>
    <x v="0"/>
    <x v="3"/>
    <x v="0"/>
    <x v="2"/>
    <x v="0"/>
    <n v="24"/>
    <x v="0"/>
    <d v="2026-07-02T08:35:00"/>
    <s v="No"/>
    <n v="5"/>
    <s v="Required Follow-Up Call"/>
    <n v="10.050000000104774"/>
    <x v="0"/>
  </r>
  <r>
    <s v="TCK-21575"/>
    <d v="2026-08-05T20:52:00"/>
    <s v="Technical Support"/>
    <x v="4"/>
    <x v="6"/>
    <x v="0"/>
    <x v="5"/>
    <x v="0"/>
    <n v="24"/>
    <x v="5"/>
    <s v="Missing Resolve Date"/>
    <s v="No"/>
    <m/>
    <s v="Escalated To Senior Agent"/>
    <s v=""/>
    <x v="1"/>
  </r>
  <r>
    <s v="TCK-22125"/>
    <d v="2026-07-21T08:17:00"/>
    <s v="Technical Support"/>
    <x v="6"/>
    <x v="4"/>
    <x v="2"/>
    <x v="5"/>
    <x v="1"/>
    <n v="48"/>
    <x v="2"/>
    <d v="2026-07-21T12:51:00"/>
    <s v="No"/>
    <m/>
    <s v="Not Specified"/>
    <n v="4.5666666667093523"/>
    <x v="1"/>
  </r>
  <r>
    <s v="TCK-20083"/>
    <d v="2026-04-15T22:03:00"/>
    <s v="Tier 1 Support"/>
    <x v="7"/>
    <x v="5"/>
    <x v="2"/>
    <x v="3"/>
    <x v="1"/>
    <n v="48"/>
    <x v="0"/>
    <d v="2026-04-17T14:09:00"/>
    <s v="No"/>
    <n v="5"/>
    <s v="Not Specified"/>
    <n v="40.100000000093132"/>
    <x v="0"/>
  </r>
  <r>
    <s v="TCK-22878"/>
    <d v="2026-02-17T00:43:00"/>
    <s v="Tier 1 Support"/>
    <x v="1"/>
    <x v="2"/>
    <x v="1"/>
    <x v="2"/>
    <x v="1"/>
    <n v="48"/>
    <x v="5"/>
    <s v="Missing Resolve Date"/>
    <s v="Yes"/>
    <m/>
    <s v="Not Specified"/>
    <s v=""/>
    <x v="1"/>
  </r>
  <r>
    <s v="TCK-20364"/>
    <d v="2026-07-30T12:06:00"/>
    <s v="Technical Support"/>
    <x v="4"/>
    <x v="1"/>
    <x v="2"/>
    <x v="1"/>
    <x v="0"/>
    <n v="24"/>
    <x v="2"/>
    <d v="2026-07-31T04:30:00"/>
    <s v="No"/>
    <m/>
    <s v="Required Follow-Up Call"/>
    <n v="16.400000000023283"/>
    <x v="1"/>
  </r>
  <r>
    <s v="TCK-21190"/>
    <d v="2026-04-02T09:11:00"/>
    <s v="Billing Support"/>
    <x v="0"/>
    <x v="3"/>
    <x v="0"/>
    <x v="5"/>
    <x v="0"/>
    <n v="24"/>
    <x v="5"/>
    <s v="Missing Resolve Date"/>
    <s v="No"/>
    <m/>
    <s v="Escalated To Senior Agent"/>
    <s v=""/>
    <x v="1"/>
  </r>
  <r>
    <s v="TCK-22246"/>
    <d v="2026-01-24T01:21:00"/>
    <s v="Tier 2 Support"/>
    <x v="2"/>
    <x v="1"/>
    <x v="2"/>
    <x v="4"/>
    <x v="2"/>
    <n v="8"/>
    <x v="0"/>
    <d v="2026-01-24T06:29:00"/>
    <s v="No"/>
    <m/>
    <s v="Resolved On First Contact"/>
    <n v="5.1333333333022892"/>
    <x v="0"/>
  </r>
  <r>
    <s v="TCK-20071"/>
    <d v="2026-02-26T06:17:00"/>
    <s v="Tier 1 Support"/>
    <x v="7"/>
    <x v="2"/>
    <x v="0"/>
    <x v="4"/>
    <x v="0"/>
    <n v="24"/>
    <x v="0"/>
    <d v="2026-02-27T09:37:00"/>
    <s v="Yes"/>
    <n v="3"/>
    <s v="Not Specified"/>
    <n v="27.333333333197515"/>
    <x v="2"/>
  </r>
  <r>
    <s v="TCK-22034"/>
    <d v="2026-07-21T01:16:00"/>
    <s v="Technical Support"/>
    <x v="6"/>
    <x v="2"/>
    <x v="0"/>
    <x v="3"/>
    <x v="0"/>
    <n v="24"/>
    <x v="3"/>
    <d v="2026-07-21T15:18:00"/>
    <s v="No"/>
    <m/>
    <s v="Technical Issue Resolved Remotely"/>
    <n v="14.033333333325572"/>
    <x v="1"/>
  </r>
  <r>
    <s v="TCK-21956"/>
    <d v="2026-07-16T20:04:00"/>
    <s v="Tier 1 Support"/>
    <x v="1"/>
    <x v="3"/>
    <x v="0"/>
    <x v="5"/>
    <x v="0"/>
    <n v="24"/>
    <x v="1"/>
    <s v="Missing Resolve Date"/>
    <s v="No"/>
    <m/>
    <s v="Escalated To Senior Agent"/>
    <s v=""/>
    <x v="1"/>
  </r>
  <r>
    <s v="TCK-20816"/>
    <d v="2026-02-28T08:56:00"/>
    <s v="Billing Support"/>
    <x v="5"/>
    <x v="2"/>
    <x v="1"/>
    <x v="5"/>
    <x v="0"/>
    <n v="24"/>
    <x v="2"/>
    <s v="Missing Resolve Date"/>
    <s v="No"/>
    <n v="4"/>
    <s v="Customer Satisfied With Resolution"/>
    <s v=""/>
    <x v="1"/>
  </r>
  <r>
    <s v="TCK-20608"/>
    <d v="2026-07-06T01:37:00"/>
    <s v="Tier 2 Support"/>
    <x v="3"/>
    <x v="0"/>
    <x v="0"/>
    <x v="2"/>
    <x v="2"/>
    <n v="8"/>
    <x v="2"/>
    <d v="2026-07-06T04:57:00"/>
    <s v="No"/>
    <n v="4"/>
    <s v="Required Follow-Up Call"/>
    <n v="3.3333333333721384"/>
    <x v="1"/>
  </r>
  <r>
    <s v="TCK-20170"/>
    <d v="2026-03-02T01:05:00"/>
    <s v="Tier 1 Support"/>
    <x v="1"/>
    <x v="2"/>
    <x v="3"/>
    <x v="1"/>
    <x v="1"/>
    <n v="48"/>
    <x v="5"/>
    <s v="Missing Resolve Date"/>
    <s v="No"/>
    <m/>
    <s v="Not Specified"/>
    <s v=""/>
    <x v="1"/>
  </r>
  <r>
    <s v="TCK-20959"/>
    <d v="2026-07-22T03:08:00"/>
    <s v="Billing Support"/>
    <x v="0"/>
    <x v="0"/>
    <x v="1"/>
    <x v="1"/>
    <x v="2"/>
    <n v="8"/>
    <x v="0"/>
    <d v="2026-07-22T15:50:00"/>
    <s v="Yes"/>
    <n v="5"/>
    <s v="Repeat Issue From Same Customer"/>
    <n v="12.699999999837019"/>
    <x v="2"/>
  </r>
  <r>
    <s v="TCK-20679"/>
    <d v="2026-07-26T23:10:00"/>
    <s v="Technical Support"/>
    <x v="6"/>
    <x v="6"/>
    <x v="0"/>
    <x v="2"/>
    <x v="2"/>
    <n v="8"/>
    <x v="2"/>
    <d v="2026-07-27T02:03:00"/>
    <s v="No"/>
    <m/>
    <s v="Required Follow-Up Call"/>
    <n v="2.8833333333022892"/>
    <x v="1"/>
  </r>
  <r>
    <s v="TCK-22733"/>
    <d v="2026-06-17T10:39:00"/>
    <s v="Billing Support"/>
    <x v="0"/>
    <x v="2"/>
    <x v="3"/>
    <x v="1"/>
    <x v="0"/>
    <n v="24"/>
    <x v="2"/>
    <s v="Missing Resolve Date"/>
    <s v="No"/>
    <n v="1"/>
    <s v="Resolved On First Contact"/>
    <s v=""/>
    <x v="1"/>
  </r>
  <r>
    <s v="TCK-22916"/>
    <d v="2026-06-25T23:33:00"/>
    <s v="Tier 2 Support"/>
    <x v="3"/>
    <x v="3"/>
    <x v="1"/>
    <x v="4"/>
    <x v="0"/>
    <n v="24"/>
    <x v="0"/>
    <d v="2026-06-26T15:03:00"/>
    <s v="No"/>
    <m/>
    <s v="Customer Requested Refund"/>
    <n v="15.500000000058208"/>
    <x v="0"/>
  </r>
  <r>
    <s v="TCK-21259"/>
    <d v="2026-03-22T16:32:00"/>
    <s v="Tier 1 Support"/>
    <x v="1"/>
    <x v="1"/>
    <x v="3"/>
    <x v="2"/>
    <x v="2"/>
    <n v="8"/>
    <x v="4"/>
    <s v="Missing Resolve Date"/>
    <s v="Yes"/>
    <m/>
    <s v="Resolved On First Contact"/>
    <s v=""/>
    <x v="1"/>
  </r>
  <r>
    <s v="TCK-22104"/>
    <d v="2026-07-24T03:41:00"/>
    <s v="Technical Support"/>
    <x v="6"/>
    <x v="1"/>
    <x v="2"/>
    <x v="1"/>
    <x v="1"/>
    <n v="48"/>
    <x v="2"/>
    <d v="2026-07-25T11:53:00"/>
    <s v="No"/>
    <m/>
    <s v="Required Follow-Up Call"/>
    <n v="32.200000000011642"/>
    <x v="1"/>
  </r>
  <r>
    <s v="TCK-21946"/>
    <d v="2026-08-17T09:02:00"/>
    <s v="Technical Support"/>
    <x v="4"/>
    <x v="0"/>
    <x v="1"/>
    <x v="4"/>
    <x v="1"/>
    <n v="48"/>
    <x v="4"/>
    <s v="Missing Resolve Date"/>
    <s v="Yes"/>
    <m/>
    <s v="Technical Issue Resolved Remotely"/>
    <s v=""/>
    <x v="1"/>
  </r>
  <r>
    <s v="TCK-22221"/>
    <d v="2026-08-14T08:40:00"/>
    <s v="Technical Support"/>
    <x v="4"/>
    <x v="5"/>
    <x v="1"/>
    <x v="5"/>
    <x v="0"/>
    <n v="24"/>
    <x v="0"/>
    <d v="2026-08-14T21:00:00"/>
    <s v="Yes"/>
    <m/>
    <s v="Customer Satisfied With Resolution"/>
    <n v="12.333333333372138"/>
    <x v="0"/>
  </r>
  <r>
    <s v="TCK-22502"/>
    <d v="2026-02-17T02:38:00"/>
    <s v="Technical Support"/>
    <x v="4"/>
    <x v="1"/>
    <x v="3"/>
    <x v="3"/>
    <x v="2"/>
    <n v="8"/>
    <x v="0"/>
    <d v="2026-02-17T08:22:00"/>
    <s v="No"/>
    <n v="2"/>
    <s v="Awaiting Customer Response"/>
    <n v="5.7333333333372138"/>
    <x v="0"/>
  </r>
  <r>
    <s v="TCK-20392"/>
    <d v="2026-06-05T08:51:00"/>
    <s v="Technical Support"/>
    <x v="4"/>
    <x v="1"/>
    <x v="0"/>
    <x v="3"/>
    <x v="3"/>
    <n v="4"/>
    <x v="2"/>
    <d v="2026-06-05T11:33:00"/>
    <s v="No"/>
    <n v="5"/>
    <s v="Repeat Issue From Same Customer"/>
    <n v="2.6999999998952262"/>
    <x v="1"/>
  </r>
  <r>
    <s v="TCK-22220"/>
    <d v="2026-08-28T16:52:00"/>
    <s v="Tier 1 Support"/>
    <x v="1"/>
    <x v="4"/>
    <x v="1"/>
    <x v="3"/>
    <x v="2"/>
    <n v="8"/>
    <x v="0"/>
    <d v="2026-08-28T23:32:00"/>
    <s v="No"/>
    <m/>
    <s v="Required Follow-Up Call"/>
    <n v="6.6666666667442769"/>
    <x v="0"/>
  </r>
  <r>
    <s v="TCK-22197"/>
    <d v="2026-07-04T14:10:00"/>
    <s v="Technical Support"/>
    <x v="4"/>
    <x v="0"/>
    <x v="2"/>
    <x v="5"/>
    <x v="0"/>
    <n v="24"/>
    <x v="4"/>
    <s v="Missing Resolve Date"/>
    <s v="Yes"/>
    <m/>
    <s v="Customer Satisfied With Resolution"/>
    <s v=""/>
    <x v="1"/>
  </r>
  <r>
    <s v="TCK-22058"/>
    <d v="2026-01-24T00:12:00"/>
    <s v="Tier 2 Support"/>
    <x v="3"/>
    <x v="4"/>
    <x v="0"/>
    <x v="4"/>
    <x v="0"/>
    <n v="24"/>
    <x v="1"/>
    <s v="Missing Resolve Date"/>
    <s v="Yes"/>
    <m/>
    <s v="Not Specified"/>
    <s v=""/>
    <x v="1"/>
  </r>
  <r>
    <s v="TCK-22225"/>
    <d v="2026-02-01T07:17:00"/>
    <s v="Tier 1 Support"/>
    <x v="1"/>
    <x v="6"/>
    <x v="2"/>
    <x v="4"/>
    <x v="1"/>
    <n v="48"/>
    <x v="0"/>
    <d v="2026-02-03T02:14:00"/>
    <s v="No"/>
    <n v="5"/>
    <s v="Technical Issue Resolved Remotely"/>
    <n v="42.949999999953434"/>
    <x v="0"/>
  </r>
  <r>
    <s v="TCK-22186"/>
    <d v="2026-03-11T21:55:00"/>
    <s v="Billing Support"/>
    <x v="5"/>
    <x v="2"/>
    <x v="3"/>
    <x v="5"/>
    <x v="2"/>
    <n v="8"/>
    <x v="1"/>
    <s v="Missing Resolve Date"/>
    <s v="No"/>
    <m/>
    <s v="Technical Issue Resolved Remotely"/>
    <s v=""/>
    <x v="1"/>
  </r>
  <r>
    <s v="TCK-20540"/>
    <d v="2026-05-17T04:33:00"/>
    <s v="Tier 1 Support"/>
    <x v="7"/>
    <x v="3"/>
    <x v="3"/>
    <x v="3"/>
    <x v="0"/>
    <n v="24"/>
    <x v="0"/>
    <d v="2026-05-18T01:15:00"/>
    <s v="Yes"/>
    <m/>
    <s v="Customer Requested Refund"/>
    <n v="20.700000000069849"/>
    <x v="0"/>
  </r>
  <r>
    <s v="TCK-20675"/>
    <d v="2026-05-15T16:21:00"/>
    <s v="Tier 1 Support"/>
    <x v="7"/>
    <x v="2"/>
    <x v="3"/>
    <x v="4"/>
    <x v="2"/>
    <n v="8"/>
    <x v="4"/>
    <s v="Missing Resolve Date"/>
    <s v="Yes"/>
    <m/>
    <s v="Customer Requested Refund"/>
    <s v=""/>
    <x v="1"/>
  </r>
  <r>
    <s v="TCK-20321"/>
    <d v="2026-07-12T09:21:00"/>
    <s v="Tier 1 Support"/>
    <x v="1"/>
    <x v="3"/>
    <x v="1"/>
    <x v="0"/>
    <x v="0"/>
    <n v="24"/>
    <x v="2"/>
    <d v="2026-07-12T16:47:00"/>
    <s v="No"/>
    <m/>
    <s v="Not Specified"/>
    <n v="7.4333333334652707"/>
    <x v="1"/>
  </r>
  <r>
    <s v="TCK-23072"/>
    <d v="2026-04-25T18:38:00"/>
    <s v="Tier 2 Support"/>
    <x v="3"/>
    <x v="6"/>
    <x v="1"/>
    <x v="1"/>
    <x v="1"/>
    <n v="48"/>
    <x v="2"/>
    <s v="Missing Resolve Date"/>
    <s v="No"/>
    <m/>
    <s v="Escalated To Senior Agent"/>
    <s v=""/>
    <x v="1"/>
  </r>
  <r>
    <s v="TCK-20758"/>
    <d v="2026-01-28T17:18:00"/>
    <s v="Billing Support"/>
    <x v="5"/>
    <x v="3"/>
    <x v="1"/>
    <x v="1"/>
    <x v="2"/>
    <n v="8"/>
    <x v="5"/>
    <s v="Missing Resolve Date"/>
    <s v="No"/>
    <m/>
    <s v="Customer Requested Refund"/>
    <s v=""/>
    <x v="1"/>
  </r>
  <r>
    <s v="TCK-21686"/>
    <d v="2026-04-10T00:18:00"/>
    <s v="Tier 1 Support"/>
    <x v="1"/>
    <x v="1"/>
    <x v="1"/>
    <x v="1"/>
    <x v="2"/>
    <n v="8"/>
    <x v="3"/>
    <d v="2026-04-10T01:25:00"/>
    <s v="No"/>
    <m/>
    <s v="Required Follow-Up Call"/>
    <n v="1.1166666668141261"/>
    <x v="1"/>
  </r>
  <r>
    <s v="TCK-21821"/>
    <d v="2026-03-29T18:20:00"/>
    <s v="Tier 1 Support"/>
    <x v="1"/>
    <x v="0"/>
    <x v="3"/>
    <x v="0"/>
    <x v="0"/>
    <n v="24"/>
    <x v="0"/>
    <s v="Missing Resolve Date"/>
    <s v="No"/>
    <n v="4"/>
    <s v="Not Specified"/>
    <s v=""/>
    <x v="2"/>
  </r>
  <r>
    <s v="TCK-21902"/>
    <d v="2026-08-17T00:57:00"/>
    <s v="Tier 2 Support"/>
    <x v="2"/>
    <x v="0"/>
    <x v="0"/>
    <x v="0"/>
    <x v="2"/>
    <n v="8"/>
    <x v="4"/>
    <s v="Missing Resolve Date"/>
    <s v="Yes"/>
    <m/>
    <s v="Customer Requested Refund"/>
    <s v=""/>
    <x v="1"/>
  </r>
  <r>
    <s v="TCK-22501"/>
    <d v="2026-03-12T04:27:00"/>
    <s v="Billing Support"/>
    <x v="5"/>
    <x v="4"/>
    <x v="0"/>
    <x v="0"/>
    <x v="0"/>
    <n v="24"/>
    <x v="1"/>
    <s v="Missing Resolve Date"/>
    <s v="No"/>
    <m/>
    <s v="Customer Requested Refund"/>
    <s v=""/>
    <x v="1"/>
  </r>
  <r>
    <s v="TCK-21459"/>
    <d v="2026-08-02T20:59:00"/>
    <s v="Tier 2 Support"/>
    <x v="2"/>
    <x v="1"/>
    <x v="3"/>
    <x v="1"/>
    <x v="1"/>
    <n v="48"/>
    <x v="0"/>
    <d v="2026-08-05T20:28:00"/>
    <s v="No"/>
    <n v="4"/>
    <s v="Repeat Issue From Same Customer"/>
    <n v="71.483333333395422"/>
    <x v="2"/>
  </r>
  <r>
    <s v="TCK-20610"/>
    <d v="2026-08-01T01:28:00"/>
    <s v="Tier 2 Support"/>
    <x v="3"/>
    <x v="3"/>
    <x v="3"/>
    <x v="0"/>
    <x v="0"/>
    <n v="24"/>
    <x v="0"/>
    <d v="2026-08-01T13:50:00"/>
    <s v="No"/>
    <n v="5"/>
    <s v="Not Specified"/>
    <n v="12.366666666639503"/>
    <x v="0"/>
  </r>
  <r>
    <s v="TCK-22996"/>
    <d v="2026-05-31T13:50:00"/>
    <s v="Tier 2 Support"/>
    <x v="3"/>
    <x v="5"/>
    <x v="2"/>
    <x v="0"/>
    <x v="2"/>
    <n v="8"/>
    <x v="4"/>
    <s v="Missing Resolve Date"/>
    <s v="Yes"/>
    <m/>
    <s v="Required Follow-Up Call"/>
    <s v=""/>
    <x v="1"/>
  </r>
  <r>
    <s v="TCK-22607"/>
    <d v="2026-04-23T11:28:00"/>
    <s v="Technical Support"/>
    <x v="4"/>
    <x v="4"/>
    <x v="2"/>
    <x v="5"/>
    <x v="2"/>
    <n v="8"/>
    <x v="0"/>
    <d v="2026-04-23T17:29:00"/>
    <s v="No"/>
    <n v="5"/>
    <s v="Not Specified"/>
    <n v="6.0166666667209938"/>
    <x v="0"/>
  </r>
  <r>
    <s v="TCK-20158"/>
    <d v="2026-05-03T17:12:00"/>
    <s v="Technical Support"/>
    <x v="6"/>
    <x v="6"/>
    <x v="0"/>
    <x v="5"/>
    <x v="2"/>
    <n v="8"/>
    <x v="4"/>
    <s v="Missing Resolve Date"/>
    <s v="Yes"/>
    <m/>
    <s v="Not Specified"/>
    <s v=""/>
    <x v="1"/>
  </r>
  <r>
    <s v="TCK-20113"/>
    <d v="2026-05-20T00:53:00"/>
    <s v="Billing Support"/>
    <x v="5"/>
    <x v="0"/>
    <x v="2"/>
    <x v="3"/>
    <x v="2"/>
    <n v="8"/>
    <x v="4"/>
    <s v="Missing Resolve Date"/>
    <s v="Yes"/>
    <m/>
    <s v="Customer Requested Refund"/>
    <s v=""/>
    <x v="1"/>
  </r>
  <r>
    <s v="TCK-23199"/>
    <d v="2026-03-30T11:47:00"/>
    <s v="Tier 1 Support"/>
    <x v="1"/>
    <x v="1"/>
    <x v="1"/>
    <x v="3"/>
    <x v="0"/>
    <n v="24"/>
    <x v="2"/>
    <d v="2026-03-30T17:47:00"/>
    <s v="No"/>
    <m/>
    <s v="Resolved On First Contact"/>
    <n v="6"/>
    <x v="1"/>
  </r>
  <r>
    <s v="TCK-22120"/>
    <d v="2026-07-13T11:54:00"/>
    <s v="Technical Support"/>
    <x v="4"/>
    <x v="1"/>
    <x v="3"/>
    <x v="4"/>
    <x v="0"/>
    <n v="24"/>
    <x v="2"/>
    <d v="2026-07-14T03:55:00"/>
    <s v="No"/>
    <m/>
    <s v="Resolved On First Contact"/>
    <n v="16.016666666662786"/>
    <x v="1"/>
  </r>
  <r>
    <s v="TCK-22690"/>
    <d v="2026-04-25T16:42:00"/>
    <s v="Tier 2 Support"/>
    <x v="3"/>
    <x v="2"/>
    <x v="2"/>
    <x v="3"/>
    <x v="0"/>
    <n v="24"/>
    <x v="2"/>
    <d v="2026-04-26T23:33:00"/>
    <s v="No"/>
    <m/>
    <s v="Customer Satisfied With Resolution"/>
    <n v="30.849999999976717"/>
    <x v="1"/>
  </r>
  <r>
    <s v="TCK-22649"/>
    <d v="2026-04-13T12:33:00"/>
    <s v="Tier 1 Support"/>
    <x v="1"/>
    <x v="1"/>
    <x v="3"/>
    <x v="3"/>
    <x v="0"/>
    <n v="24"/>
    <x v="0"/>
    <d v="2026-04-15T03:50:00"/>
    <s v="No"/>
    <n v="5"/>
    <s v="Customer Satisfied With Resolution"/>
    <n v="39.283333333209157"/>
    <x v="2"/>
  </r>
  <r>
    <s v="TCK-20322"/>
    <d v="2026-03-06T03:49:00"/>
    <s v="Technical Support"/>
    <x v="6"/>
    <x v="5"/>
    <x v="1"/>
    <x v="1"/>
    <x v="0"/>
    <n v="24"/>
    <x v="4"/>
    <s v="Missing Resolve Date"/>
    <s v="Yes"/>
    <m/>
    <s v="Resolved On First Contact"/>
    <s v=""/>
    <x v="1"/>
  </r>
  <r>
    <s v="TCK-23089"/>
    <d v="2026-03-22T18:51:00"/>
    <s v="Billing Support"/>
    <x v="5"/>
    <x v="5"/>
    <x v="1"/>
    <x v="4"/>
    <x v="2"/>
    <n v="8"/>
    <x v="5"/>
    <s v="Missing Resolve Date"/>
    <s v="No"/>
    <m/>
    <s v="Awaiting Customer Response"/>
    <s v=""/>
    <x v="1"/>
  </r>
  <r>
    <s v="TCK-21133"/>
    <d v="2026-02-26T19:07:00"/>
    <s v="Tier 2 Support"/>
    <x v="3"/>
    <x v="4"/>
    <x v="0"/>
    <x v="0"/>
    <x v="1"/>
    <n v="48"/>
    <x v="4"/>
    <s v="Missing Resolve Date"/>
    <s v="Yes"/>
    <m/>
    <s v="Required Follow-Up Call"/>
    <s v=""/>
    <x v="1"/>
  </r>
  <r>
    <s v="TCK-20101"/>
    <d v="2026-06-21T05:35:00"/>
    <s v="Billing Support"/>
    <x v="5"/>
    <x v="5"/>
    <x v="1"/>
    <x v="5"/>
    <x v="0"/>
    <n v="24"/>
    <x v="0"/>
    <d v="2026-06-21T21:50:00"/>
    <s v="No"/>
    <n v="2"/>
    <s v="Customer Requested Refund"/>
    <n v="16.249999999883585"/>
    <x v="0"/>
  </r>
  <r>
    <s v="TCK-22980"/>
    <d v="2026-08-01T14:37:00"/>
    <s v="Billing Support"/>
    <x v="5"/>
    <x v="2"/>
    <x v="0"/>
    <x v="0"/>
    <x v="0"/>
    <n v="24"/>
    <x v="0"/>
    <d v="2026-08-01T18:11:00"/>
    <s v="No"/>
    <n v="3"/>
    <s v="Repeat Issue From Same Customer"/>
    <n v="3.5666666667675599"/>
    <x v="0"/>
  </r>
  <r>
    <s v="TCK-20199"/>
    <d v="2026-04-30T21:02:00"/>
    <s v="Billing Support"/>
    <x v="5"/>
    <x v="5"/>
    <x v="1"/>
    <x v="0"/>
    <x v="1"/>
    <n v="48"/>
    <x v="2"/>
    <d v="2026-05-04T17:42:00"/>
    <s v="No"/>
    <m/>
    <s v="Required Follow-Up Call"/>
    <n v="92.666666666802485"/>
    <x v="1"/>
  </r>
  <r>
    <s v="TCK-21079"/>
    <d v="2026-02-21T23:44:00"/>
    <s v="Billing Support"/>
    <x v="0"/>
    <x v="5"/>
    <x v="1"/>
    <x v="4"/>
    <x v="3"/>
    <n v="4"/>
    <x v="0"/>
    <d v="2026-02-22T03:12:00"/>
    <s v="No"/>
    <m/>
    <s v="Escalated To Senior Agent"/>
    <n v="3.46666666661622"/>
    <x v="0"/>
  </r>
  <r>
    <s v="TCK-21709"/>
    <d v="2026-02-05T08:54:00"/>
    <s v="Tier 2 Support"/>
    <x v="2"/>
    <x v="2"/>
    <x v="3"/>
    <x v="2"/>
    <x v="1"/>
    <n v="48"/>
    <x v="0"/>
    <d v="2026-02-07T02:04:00"/>
    <s v="No"/>
    <m/>
    <s v="Resolved On First Contact"/>
    <n v="41.166666666569654"/>
    <x v="0"/>
  </r>
  <r>
    <s v="TCK-20498"/>
    <d v="2026-01-19T00:21:00"/>
    <s v="Tier 2 Support"/>
    <x v="2"/>
    <x v="5"/>
    <x v="0"/>
    <x v="2"/>
    <x v="2"/>
    <n v="8"/>
    <x v="0"/>
    <d v="2026-01-19T00:56:00"/>
    <s v="No"/>
    <n v="1"/>
    <s v="Customer Satisfied With Resolution"/>
    <n v="0.58333333348855376"/>
    <x v="0"/>
  </r>
  <r>
    <s v="TCK-22713"/>
    <d v="2026-06-21T20:04:00"/>
    <s v="Billing Support"/>
    <x v="5"/>
    <x v="6"/>
    <x v="0"/>
    <x v="3"/>
    <x v="0"/>
    <n v="24"/>
    <x v="0"/>
    <d v="2026-06-23T04:52:00"/>
    <s v="No"/>
    <m/>
    <s v="Customer Satisfied With Resolution"/>
    <n v="32.800000000046566"/>
    <x v="2"/>
  </r>
  <r>
    <s v="TCK-20807"/>
    <d v="2026-08-27T22:53:00"/>
    <s v="Tier 1 Support"/>
    <x v="7"/>
    <x v="0"/>
    <x v="3"/>
    <x v="1"/>
    <x v="1"/>
    <n v="48"/>
    <x v="0"/>
    <d v="2026-08-28T15:52:00"/>
    <s v="No"/>
    <n v="1"/>
    <s v="Required Follow-Up Call"/>
    <n v="16.983333333337214"/>
    <x v="0"/>
  </r>
  <r>
    <s v="TCK-21844"/>
    <d v="2026-03-09T20:41:00"/>
    <s v="Technical Support"/>
    <x v="6"/>
    <x v="3"/>
    <x v="2"/>
    <x v="2"/>
    <x v="0"/>
    <n v="24"/>
    <x v="2"/>
    <d v="2026-03-11T06:35:00"/>
    <s v="No"/>
    <m/>
    <s v="Escalated To Senior Agent"/>
    <n v="33.899999999965075"/>
    <x v="1"/>
  </r>
  <r>
    <s v="TCK-22598"/>
    <d v="2026-07-11T23:33:00"/>
    <s v="Tier 2 Support"/>
    <x v="3"/>
    <x v="3"/>
    <x v="2"/>
    <x v="4"/>
    <x v="2"/>
    <n v="8"/>
    <x v="0"/>
    <d v="2026-07-12T22:57:00"/>
    <s v="Yes"/>
    <n v="5"/>
    <s v="Not Specified"/>
    <n v="23.400000000139698"/>
    <x v="2"/>
  </r>
  <r>
    <s v="TCK-20349"/>
    <d v="2026-01-18T07:00:00"/>
    <s v="Technical Support"/>
    <x v="6"/>
    <x v="0"/>
    <x v="3"/>
    <x v="1"/>
    <x v="3"/>
    <n v="4"/>
    <x v="0"/>
    <d v="2026-01-18T14:28:00"/>
    <s v="No"/>
    <n v="3"/>
    <s v="Required Follow-Up Call"/>
    <n v="7.4666666667326353"/>
    <x v="2"/>
  </r>
  <r>
    <s v="TCK-21372"/>
    <d v="2026-01-07T21:26:00"/>
    <s v="Technical Support"/>
    <x v="4"/>
    <x v="2"/>
    <x v="3"/>
    <x v="4"/>
    <x v="2"/>
    <n v="8"/>
    <x v="5"/>
    <s v="Missing Resolve Date"/>
    <s v="No"/>
    <m/>
    <s v="Not Specified"/>
    <s v=""/>
    <x v="1"/>
  </r>
  <r>
    <s v="TCK-20169"/>
    <d v="2026-06-20T20:45:00"/>
    <s v="Billing Support"/>
    <x v="5"/>
    <x v="2"/>
    <x v="0"/>
    <x v="4"/>
    <x v="1"/>
    <n v="48"/>
    <x v="2"/>
    <d v="2026-06-22T13:59:00"/>
    <s v="No"/>
    <m/>
    <s v="Repeat Issue From Same Customer"/>
    <n v="41.233333333279006"/>
    <x v="1"/>
  </r>
  <r>
    <s v="TCK-22245"/>
    <d v="2026-06-09T00:57:00"/>
    <s v="Tier 2 Support"/>
    <x v="3"/>
    <x v="1"/>
    <x v="2"/>
    <x v="5"/>
    <x v="1"/>
    <n v="48"/>
    <x v="5"/>
    <s v="Missing Resolve Date"/>
    <s v="Yes"/>
    <m/>
    <s v="Required Follow-Up Call"/>
    <s v=""/>
    <x v="1"/>
  </r>
  <r>
    <s v="TCK-22582"/>
    <d v="2026-08-21T05:21:00"/>
    <s v="Billing Support"/>
    <x v="0"/>
    <x v="2"/>
    <x v="3"/>
    <x v="0"/>
    <x v="0"/>
    <n v="24"/>
    <x v="2"/>
    <d v="2026-08-22T21:33:00"/>
    <s v="No"/>
    <n v="5"/>
    <s v="Awaiting Customer Response"/>
    <n v="40.200000000069849"/>
    <x v="1"/>
  </r>
  <r>
    <s v="TCK-20201"/>
    <d v="2026-02-08T16:42:00"/>
    <s v="Tier 2 Support"/>
    <x v="3"/>
    <x v="0"/>
    <x v="1"/>
    <x v="1"/>
    <x v="2"/>
    <n v="8"/>
    <x v="0"/>
    <d v="2026-02-08T22:46:00"/>
    <s v="No"/>
    <m/>
    <s v="Technical Issue Resolved Remotely"/>
    <n v="6.0666666667093523"/>
    <x v="0"/>
  </r>
  <r>
    <s v="TCK-21899"/>
    <d v="2026-01-15T19:02:00"/>
    <s v="Billing Support"/>
    <x v="0"/>
    <x v="0"/>
    <x v="1"/>
    <x v="2"/>
    <x v="1"/>
    <n v="48"/>
    <x v="0"/>
    <d v="2026-01-19T15:39:00"/>
    <s v="No"/>
    <n v="1"/>
    <s v="Resolved On First Contact"/>
    <n v="92.616666666639503"/>
    <x v="2"/>
  </r>
  <r>
    <s v="TCK-21733"/>
    <d v="2026-07-04T20:08:00"/>
    <s v="Billing Support"/>
    <x v="0"/>
    <x v="3"/>
    <x v="2"/>
    <x v="0"/>
    <x v="2"/>
    <n v="8"/>
    <x v="2"/>
    <d v="2026-07-04T23:26:00"/>
    <s v="No"/>
    <m/>
    <s v="Technical Issue Resolved Remotely"/>
    <n v="3.3000000001047738"/>
    <x v="1"/>
  </r>
  <r>
    <s v="TCK-21347"/>
    <d v="2026-07-09T00:01:00"/>
    <s v="Billing Support"/>
    <x v="0"/>
    <x v="6"/>
    <x v="3"/>
    <x v="0"/>
    <x v="1"/>
    <n v="48"/>
    <x v="4"/>
    <s v="Missing Resolve Date"/>
    <s v="Yes"/>
    <m/>
    <s v="Not Specified"/>
    <s v=""/>
    <x v="1"/>
  </r>
  <r>
    <s v="TCK-22663"/>
    <d v="2026-07-03T09:06:00"/>
    <s v="Technical Support"/>
    <x v="4"/>
    <x v="1"/>
    <x v="2"/>
    <x v="5"/>
    <x v="0"/>
    <n v="24"/>
    <x v="0"/>
    <d v="2026-07-03T21:03:00"/>
    <s v="No"/>
    <m/>
    <s v="Technical Issue Resolved Remotely"/>
    <n v="11.950000000011642"/>
    <x v="0"/>
  </r>
  <r>
    <s v="TCK-22035"/>
    <d v="2026-03-28T01:30:00"/>
    <s v="Billing Support"/>
    <x v="0"/>
    <x v="0"/>
    <x v="2"/>
    <x v="5"/>
    <x v="0"/>
    <n v="24"/>
    <x v="2"/>
    <d v="2026-03-28T08:05:00"/>
    <s v="No"/>
    <m/>
    <s v="Customer Requested Refund"/>
    <n v="6.5833333333139308"/>
    <x v="1"/>
  </r>
  <r>
    <s v="TCK-20849"/>
    <d v="2026-05-31T15:16:00"/>
    <s v="Technical Support"/>
    <x v="4"/>
    <x v="3"/>
    <x v="0"/>
    <x v="5"/>
    <x v="2"/>
    <n v="8"/>
    <x v="5"/>
    <s v="Missing Resolve Date"/>
    <s v="No"/>
    <m/>
    <s v="Awaiting Customer Response"/>
    <s v=""/>
    <x v="1"/>
  </r>
  <r>
    <s v="TCK-21225"/>
    <d v="2026-07-22T03:28:00"/>
    <s v="Tier 2 Support"/>
    <x v="2"/>
    <x v="5"/>
    <x v="3"/>
    <x v="3"/>
    <x v="0"/>
    <n v="24"/>
    <x v="2"/>
    <d v="2026-07-22T22:54:00"/>
    <s v="No"/>
    <n v="1"/>
    <s v="Technical Issue Resolved Remotely"/>
    <n v="19.433333333465271"/>
    <x v="1"/>
  </r>
  <r>
    <s v="TCK-21938"/>
    <d v="2026-05-20T15:09:00"/>
    <s v="Technical Support"/>
    <x v="4"/>
    <x v="3"/>
    <x v="0"/>
    <x v="3"/>
    <x v="2"/>
    <n v="8"/>
    <x v="2"/>
    <d v="2026-05-20T20:27:00"/>
    <s v="No"/>
    <n v="4"/>
    <s v="Awaiting Customer Response"/>
    <n v="5.2999999999883585"/>
    <x v="1"/>
  </r>
  <r>
    <s v="TCK-20399"/>
    <d v="2026-01-02T15:04:00"/>
    <s v="Tier 2 Support"/>
    <x v="2"/>
    <x v="5"/>
    <x v="0"/>
    <x v="2"/>
    <x v="1"/>
    <n v="48"/>
    <x v="1"/>
    <s v="Missing Resolve Date"/>
    <s v="No"/>
    <m/>
    <s v="Repeat Issue From Same Customer"/>
    <s v=""/>
    <x v="1"/>
  </r>
  <r>
    <s v="TCK-21772"/>
    <d v="2026-07-13T15:05:00"/>
    <s v="Technical Support"/>
    <x v="4"/>
    <x v="3"/>
    <x v="0"/>
    <x v="2"/>
    <x v="2"/>
    <n v="8"/>
    <x v="0"/>
    <d v="2026-07-14T04:00:00"/>
    <s v="No"/>
    <n v="5"/>
    <s v="Customer Requested Refund"/>
    <n v="12.916666666686069"/>
    <x v="2"/>
  </r>
  <r>
    <s v="TCK-22619"/>
    <d v="2026-01-14T17:46:00"/>
    <s v="Tier 2 Support"/>
    <x v="2"/>
    <x v="0"/>
    <x v="1"/>
    <x v="1"/>
    <x v="1"/>
    <n v="48"/>
    <x v="0"/>
    <d v="2026-01-15T13:28:00"/>
    <s v="No"/>
    <n v="2"/>
    <s v="Escalated To Senior Agent"/>
    <n v="19.700000000128057"/>
    <x v="0"/>
  </r>
  <r>
    <s v="TCK-21584"/>
    <d v="2026-04-25T10:32:00"/>
    <s v="Billing Support"/>
    <x v="5"/>
    <x v="7"/>
    <x v="3"/>
    <x v="1"/>
    <x v="0"/>
    <n v="24"/>
    <x v="0"/>
    <d v="2026-04-25T18:01:00"/>
    <s v="No"/>
    <n v="5"/>
    <s v="Customer Satisfied With Resolution"/>
    <n v="7.4833333334536292"/>
    <x v="0"/>
  </r>
  <r>
    <s v="TCK-21462"/>
    <d v="2026-05-01T17:46:00"/>
    <s v="Tier 1 Support"/>
    <x v="1"/>
    <x v="5"/>
    <x v="1"/>
    <x v="5"/>
    <x v="0"/>
    <n v="24"/>
    <x v="0"/>
    <d v="2026-05-02T07:01:00"/>
    <s v="No"/>
    <n v="2"/>
    <s v="Customer Requested Refund"/>
    <n v="13.250000000058208"/>
    <x v="0"/>
  </r>
  <r>
    <s v="TCK-20293"/>
    <d v="2026-04-03T02:56:00"/>
    <s v="Tier 1 Support"/>
    <x v="1"/>
    <x v="1"/>
    <x v="1"/>
    <x v="3"/>
    <x v="1"/>
    <n v="48"/>
    <x v="2"/>
    <d v="2026-04-05T13:08:00"/>
    <s v="No"/>
    <n v="3"/>
    <s v="Awaiting Customer Response"/>
    <n v="58.200000000069849"/>
    <x v="1"/>
  </r>
  <r>
    <s v="TCK-21334"/>
    <d v="2026-05-31T14:03:00"/>
    <s v="Billing Support"/>
    <x v="5"/>
    <x v="4"/>
    <x v="1"/>
    <x v="3"/>
    <x v="0"/>
    <n v="24"/>
    <x v="3"/>
    <s v="Missing Resolve Date"/>
    <s v="No"/>
    <m/>
    <s v="Not Specified"/>
    <s v=""/>
    <x v="1"/>
  </r>
  <r>
    <s v="TCK-22730"/>
    <d v="2026-03-02T10:16:00"/>
    <s v="Technical Support"/>
    <x v="6"/>
    <x v="4"/>
    <x v="1"/>
    <x v="4"/>
    <x v="0"/>
    <n v="24"/>
    <x v="1"/>
    <s v="Missing Resolve Date"/>
    <s v="No"/>
    <m/>
    <s v="Customer Requested Refund"/>
    <s v=""/>
    <x v="1"/>
  </r>
  <r>
    <s v="TCK-22249"/>
    <d v="2026-06-17T06:19:00"/>
    <s v="Tier 2 Support"/>
    <x v="2"/>
    <x v="5"/>
    <x v="2"/>
    <x v="2"/>
    <x v="0"/>
    <n v="24"/>
    <x v="2"/>
    <d v="2026-06-18T01:55:00"/>
    <s v="No"/>
    <m/>
    <s v="Resolved On First Contact"/>
    <n v="19.599999999976717"/>
    <x v="1"/>
  </r>
  <r>
    <s v="TCK-20593"/>
    <d v="2026-04-21T10:22:00"/>
    <s v="Billing Support"/>
    <x v="0"/>
    <x v="2"/>
    <x v="1"/>
    <x v="5"/>
    <x v="2"/>
    <n v="8"/>
    <x v="0"/>
    <d v="2026-04-21T16:12:00"/>
    <s v="No"/>
    <n v="1"/>
    <s v="Not Specified"/>
    <n v="5.8333333334885538"/>
    <x v="0"/>
  </r>
  <r>
    <s v="TCK-21241"/>
    <d v="2026-03-17T05:37:00"/>
    <s v="Tier 2 Support"/>
    <x v="2"/>
    <x v="6"/>
    <x v="3"/>
    <x v="1"/>
    <x v="0"/>
    <n v="24"/>
    <x v="2"/>
    <s v="Missing Resolve Date"/>
    <s v="No"/>
    <n v="4"/>
    <s v="Awaiting Customer Response"/>
    <s v=""/>
    <x v="1"/>
  </r>
  <r>
    <s v="TCK-22687"/>
    <d v="2026-08-01T09:54:00"/>
    <s v="Tier 2 Support"/>
    <x v="3"/>
    <x v="5"/>
    <x v="2"/>
    <x v="0"/>
    <x v="2"/>
    <n v="8"/>
    <x v="0"/>
    <d v="2026-08-02T07:54:00"/>
    <s v="No"/>
    <n v="4"/>
    <s v="Repeat Issue From Same Customer"/>
    <n v="22.000000000116415"/>
    <x v="2"/>
  </r>
  <r>
    <s v="TCK-20692"/>
    <d v="2026-01-28T00:31:00"/>
    <s v="Tier 2 Support"/>
    <x v="3"/>
    <x v="2"/>
    <x v="3"/>
    <x v="3"/>
    <x v="2"/>
    <n v="8"/>
    <x v="0"/>
    <d v="2026-01-28T06:13:00"/>
    <s v="No"/>
    <m/>
    <s v="Escalated To Senior Agent"/>
    <n v="5.7000000000698492"/>
    <x v="0"/>
  </r>
  <r>
    <s v="TCK-20891"/>
    <d v="2026-08-28T17:10:00"/>
    <s v="Tier 2 Support"/>
    <x v="3"/>
    <x v="0"/>
    <x v="0"/>
    <x v="0"/>
    <x v="2"/>
    <n v="8"/>
    <x v="0"/>
    <d v="2026-08-29T05:15:00"/>
    <s v="No"/>
    <n v="2"/>
    <s v="Required Follow-Up Call"/>
    <n v="12.083333333255723"/>
    <x v="2"/>
  </r>
  <r>
    <s v="TCK-21353"/>
    <d v="2026-02-15T08:03:00"/>
    <s v="Tier 1 Support"/>
    <x v="7"/>
    <x v="2"/>
    <x v="0"/>
    <x v="5"/>
    <x v="1"/>
    <n v="48"/>
    <x v="0"/>
    <d v="2026-02-16T18:54:00"/>
    <s v="No"/>
    <n v="5"/>
    <s v="Awaiting Customer Response"/>
    <n v="34.849999999918509"/>
    <x v="0"/>
  </r>
  <r>
    <s v="TCK-22823"/>
    <d v="2026-04-03T15:08:00"/>
    <s v="Billing Support"/>
    <x v="5"/>
    <x v="0"/>
    <x v="3"/>
    <x v="1"/>
    <x v="0"/>
    <n v="24"/>
    <x v="0"/>
    <d v="2026-04-04T05:35:00"/>
    <s v="No"/>
    <n v="5"/>
    <s v="Escalated To Senior Agent"/>
    <n v="14.449999999953434"/>
    <x v="0"/>
  </r>
  <r>
    <s v="TCK-20410"/>
    <d v="2026-05-20T10:32:00"/>
    <s v="Tier 1 Support"/>
    <x v="7"/>
    <x v="6"/>
    <x v="2"/>
    <x v="4"/>
    <x v="1"/>
    <n v="48"/>
    <x v="0"/>
    <d v="2026-05-23T02:09:00"/>
    <s v="No"/>
    <n v="2"/>
    <s v="Repeat Issue From Same Customer"/>
    <n v="63.616666666755918"/>
    <x v="2"/>
  </r>
  <r>
    <s v="TCK-20373"/>
    <d v="2026-04-09T01:05:00"/>
    <s v="Tier 1 Support"/>
    <x v="1"/>
    <x v="2"/>
    <x v="3"/>
    <x v="1"/>
    <x v="3"/>
    <n v="4"/>
    <x v="0"/>
    <d v="2026-04-09T04:21:00"/>
    <s v="No"/>
    <m/>
    <s v="Awaiting Customer Response"/>
    <n v="3.2666666666627862"/>
    <x v="0"/>
  </r>
  <r>
    <s v="TCK-22994"/>
    <d v="2026-06-06T07:26:00"/>
    <s v="Tier 1 Support"/>
    <x v="7"/>
    <x v="2"/>
    <x v="3"/>
    <x v="2"/>
    <x v="1"/>
    <n v="48"/>
    <x v="0"/>
    <d v="2026-06-07T12:50:00"/>
    <s v="No"/>
    <m/>
    <s v="Resolved On First Contact"/>
    <n v="29.399999999965075"/>
    <x v="0"/>
  </r>
  <r>
    <s v="TCK-22640"/>
    <d v="2026-05-23T22:20:00"/>
    <s v="Billing Support"/>
    <x v="5"/>
    <x v="1"/>
    <x v="2"/>
    <x v="3"/>
    <x v="0"/>
    <n v="24"/>
    <x v="0"/>
    <d v="2026-05-24T04:28:00"/>
    <s v="No"/>
    <n v="4"/>
    <s v="Awaiting Customer Response"/>
    <n v="6.1333333334187046"/>
    <x v="0"/>
  </r>
  <r>
    <s v="TCK-20397"/>
    <d v="2026-03-25T23:51:00"/>
    <s v="Billing Support"/>
    <x v="5"/>
    <x v="5"/>
    <x v="1"/>
    <x v="2"/>
    <x v="0"/>
    <n v="24"/>
    <x v="0"/>
    <d v="2026-03-27T09:21:00"/>
    <s v="No"/>
    <n v="3"/>
    <s v="Not Specified"/>
    <n v="33.499999999883585"/>
    <x v="2"/>
  </r>
  <r>
    <s v="TCK-22913"/>
    <d v="2026-01-08T01:59:00"/>
    <s v="Billing Support"/>
    <x v="0"/>
    <x v="0"/>
    <x v="3"/>
    <x v="4"/>
    <x v="0"/>
    <n v="24"/>
    <x v="2"/>
    <d v="2026-01-08T17:36:00"/>
    <s v="No"/>
    <n v="2"/>
    <s v="Escalated To Senior Agent"/>
    <n v="15.616666666581295"/>
    <x v="1"/>
  </r>
  <r>
    <s v="TCK-22116"/>
    <d v="2026-07-17T05:34:00"/>
    <s v="Billing Support"/>
    <x v="0"/>
    <x v="3"/>
    <x v="0"/>
    <x v="5"/>
    <x v="0"/>
    <n v="24"/>
    <x v="5"/>
    <s v="Missing Resolve Date"/>
    <s v="No"/>
    <m/>
    <s v="Technical Issue Resolved Remotely"/>
    <s v=""/>
    <x v="1"/>
  </r>
  <r>
    <s v="TCK-21080"/>
    <d v="2026-06-11T22:12:00"/>
    <s v="Tier 1 Support"/>
    <x v="7"/>
    <x v="1"/>
    <x v="1"/>
    <x v="1"/>
    <x v="2"/>
    <n v="8"/>
    <x v="2"/>
    <d v="2026-06-12T05:07:00"/>
    <s v="No"/>
    <n v="4"/>
    <s v="Customer Requested Refund"/>
    <n v="6.9166666665114462"/>
    <x v="1"/>
  </r>
  <r>
    <s v="TCK-21916"/>
    <d v="2026-01-27T07:24:00"/>
    <s v="Tier 2 Support"/>
    <x v="3"/>
    <x v="3"/>
    <x v="0"/>
    <x v="3"/>
    <x v="1"/>
    <n v="48"/>
    <x v="4"/>
    <s v="Missing Resolve Date"/>
    <s v="Yes"/>
    <m/>
    <s v="Customer Requested Refund"/>
    <s v=""/>
    <x v="1"/>
  </r>
  <r>
    <s v="TCK-21628"/>
    <d v="2026-07-31T18:09:00"/>
    <s v="Tier 2 Support"/>
    <x v="3"/>
    <x v="5"/>
    <x v="2"/>
    <x v="2"/>
    <x v="1"/>
    <n v="48"/>
    <x v="3"/>
    <d v="2026-08-01T14:00:00"/>
    <s v="No"/>
    <m/>
    <s v="Not Specified"/>
    <n v="19.850000000093132"/>
    <x v="1"/>
  </r>
  <r>
    <s v="TCK-21037"/>
    <d v="2026-02-22T16:34:00"/>
    <s v="Tier 2 Support"/>
    <x v="2"/>
    <x v="0"/>
    <x v="3"/>
    <x v="0"/>
    <x v="2"/>
    <n v="8"/>
    <x v="2"/>
    <d v="2026-02-22T23:32:00"/>
    <s v="No"/>
    <n v="5"/>
    <s v="Required Follow-Up Call"/>
    <n v="6.9666666666744277"/>
    <x v="1"/>
  </r>
  <r>
    <s v="TCK-20182"/>
    <d v="2026-06-19T03:09:00"/>
    <s v="Technical Support"/>
    <x v="4"/>
    <x v="6"/>
    <x v="1"/>
    <x v="0"/>
    <x v="2"/>
    <n v="8"/>
    <x v="0"/>
    <d v="2026-06-19T07:52:00"/>
    <s v="No"/>
    <m/>
    <s v="Not Specified"/>
    <n v="4.7166666666744277"/>
    <x v="0"/>
  </r>
  <r>
    <s v="TCK-20577"/>
    <d v="2026-08-12T20:01:00"/>
    <s v="Billing Support"/>
    <x v="5"/>
    <x v="2"/>
    <x v="1"/>
    <x v="0"/>
    <x v="0"/>
    <n v="24"/>
    <x v="1"/>
    <s v="Missing Resolve Date"/>
    <s v="No"/>
    <m/>
    <s v="Repeat Issue From Same Customer"/>
    <s v=""/>
    <x v="1"/>
  </r>
  <r>
    <s v="TCK-22849"/>
    <d v="2026-08-22T05:52:00"/>
    <s v="Technical Support"/>
    <x v="6"/>
    <x v="5"/>
    <x v="0"/>
    <x v="3"/>
    <x v="0"/>
    <n v="24"/>
    <x v="0"/>
    <s v="Missing Resolve Date"/>
    <s v="No"/>
    <n v="4"/>
    <s v="Technical Issue Resolved Remotely"/>
    <s v=""/>
    <x v="2"/>
  </r>
  <r>
    <s v="TCK-22746"/>
    <d v="2026-02-24T00:43:00"/>
    <s v="Billing Support"/>
    <x v="5"/>
    <x v="5"/>
    <x v="1"/>
    <x v="2"/>
    <x v="0"/>
    <n v="24"/>
    <x v="0"/>
    <s v="Missing Resolve Date"/>
    <s v="No"/>
    <m/>
    <s v="Customer Requested Refund"/>
    <s v=""/>
    <x v="2"/>
  </r>
  <r>
    <s v="TCK-23073"/>
    <d v="2026-05-27T15:32:00"/>
    <s v="Technical Support"/>
    <x v="4"/>
    <x v="1"/>
    <x v="2"/>
    <x v="2"/>
    <x v="3"/>
    <n v="4"/>
    <x v="2"/>
    <d v="2026-05-27T16:24:00"/>
    <s v="No"/>
    <n v="5"/>
    <s v="Awaiting Customer Response"/>
    <n v="0.86666666669771075"/>
    <x v="1"/>
  </r>
  <r>
    <s v="TCK-20033"/>
    <d v="2026-06-22T13:57:00"/>
    <s v="Tier 1 Support"/>
    <x v="7"/>
    <x v="2"/>
    <x v="1"/>
    <x v="4"/>
    <x v="3"/>
    <n v="4"/>
    <x v="4"/>
    <s v="Missing Resolve Date"/>
    <s v="Yes"/>
    <m/>
    <s v="Awaiting Customer Response"/>
    <s v=""/>
    <x v="1"/>
  </r>
  <r>
    <s v="TCK-20130"/>
    <d v="2026-08-25T16:38:00"/>
    <s v="Technical Support"/>
    <x v="4"/>
    <x v="3"/>
    <x v="0"/>
    <x v="1"/>
    <x v="1"/>
    <n v="48"/>
    <x v="2"/>
    <d v="2026-08-26T22:50:00"/>
    <s v="No"/>
    <m/>
    <s v="Not Specified"/>
    <n v="30.199999999953434"/>
    <x v="1"/>
  </r>
  <r>
    <s v="TCK-21145"/>
    <d v="2026-03-15T12:39:00"/>
    <s v="Tier 2 Support"/>
    <x v="3"/>
    <x v="4"/>
    <x v="3"/>
    <x v="0"/>
    <x v="2"/>
    <n v="8"/>
    <x v="0"/>
    <s v="Missing Resolve Date"/>
    <s v="No"/>
    <n v="5"/>
    <s v="Escalated To Senior Agent"/>
    <s v=""/>
    <x v="2"/>
  </r>
  <r>
    <s v="TCK-22930"/>
    <d v="2026-01-05T00:01:00"/>
    <s v="Tier 2 Support"/>
    <x v="2"/>
    <x v="6"/>
    <x v="2"/>
    <x v="5"/>
    <x v="1"/>
    <n v="48"/>
    <x v="2"/>
    <d v="2026-01-07T12:50:00"/>
    <s v="No"/>
    <n v="4"/>
    <s v="Escalated To Senior Agent"/>
    <n v="60.816666666534729"/>
    <x v="1"/>
  </r>
  <r>
    <s v="TCK-20569"/>
    <d v="2026-01-18T13:20:00"/>
    <s v="Technical Support"/>
    <x v="6"/>
    <x v="3"/>
    <x v="0"/>
    <x v="0"/>
    <x v="2"/>
    <n v="8"/>
    <x v="1"/>
    <s v="Missing Resolve Date"/>
    <s v="No"/>
    <m/>
    <s v="Customer Satisfied With Resolution"/>
    <s v=""/>
    <x v="1"/>
  </r>
  <r>
    <s v="TCK-21303"/>
    <d v="2026-01-26T23:10:00"/>
    <s v="Technical Support"/>
    <x v="6"/>
    <x v="6"/>
    <x v="0"/>
    <x v="0"/>
    <x v="0"/>
    <n v="24"/>
    <x v="4"/>
    <s v="Missing Resolve Date"/>
    <s v="Yes"/>
    <m/>
    <s v="Customer Satisfied With Resolution"/>
    <s v=""/>
    <x v="1"/>
  </r>
  <r>
    <s v="TCK-22277"/>
    <d v="2026-08-29T02:18:00"/>
    <s v="Tier 1 Support"/>
    <x v="1"/>
    <x v="6"/>
    <x v="3"/>
    <x v="5"/>
    <x v="3"/>
    <n v="4"/>
    <x v="0"/>
    <d v="2026-08-29T03:46:00"/>
    <s v="No"/>
    <m/>
    <s v="Technical Issue Resolved Remotely"/>
    <n v="1.4666666667326353"/>
    <x v="0"/>
  </r>
  <r>
    <s v="TCK-21101"/>
    <d v="2026-08-23T17:18:00"/>
    <s v="Tier 2 Support"/>
    <x v="2"/>
    <x v="0"/>
    <x v="1"/>
    <x v="3"/>
    <x v="0"/>
    <n v="24"/>
    <x v="1"/>
    <s v="Missing Resolve Date"/>
    <s v="No"/>
    <m/>
    <s v="Technical Issue Resolved Remotely"/>
    <s v=""/>
    <x v="1"/>
  </r>
  <r>
    <s v="TCK-22949"/>
    <d v="2026-07-28T14:57:00"/>
    <s v="Technical Support"/>
    <x v="6"/>
    <x v="5"/>
    <x v="0"/>
    <x v="0"/>
    <x v="1"/>
    <n v="48"/>
    <x v="5"/>
    <s v="Missing Resolve Date"/>
    <s v="No"/>
    <m/>
    <s v="Awaiting Customer Response"/>
    <s v=""/>
    <x v="1"/>
  </r>
  <r>
    <s v="TCK-21745"/>
    <d v="2026-01-15T18:03:00"/>
    <s v="Technical Support"/>
    <x v="4"/>
    <x v="5"/>
    <x v="1"/>
    <x v="3"/>
    <x v="0"/>
    <n v="24"/>
    <x v="2"/>
    <d v="2026-01-16T10:31:00"/>
    <s v="No"/>
    <m/>
    <s v="Technical Issue Resolved Remotely"/>
    <n v="16.466666666732635"/>
    <x v="1"/>
  </r>
  <r>
    <s v="TCK-22522"/>
    <d v="2026-05-21T03:19:00"/>
    <s v="Tier 2 Support"/>
    <x v="2"/>
    <x v="1"/>
    <x v="3"/>
    <x v="2"/>
    <x v="3"/>
    <n v="4"/>
    <x v="0"/>
    <d v="2026-05-21T03:54:00"/>
    <s v="No"/>
    <n v="2"/>
    <s v="Awaiting Customer Response"/>
    <n v="0.58333333331393078"/>
    <x v="0"/>
  </r>
  <r>
    <s v="TCK-21699"/>
    <d v="2026-08-20T16:21:00"/>
    <s v="Billing Support"/>
    <x v="0"/>
    <x v="5"/>
    <x v="0"/>
    <x v="5"/>
    <x v="1"/>
    <n v="48"/>
    <x v="0"/>
    <d v="2026-08-21T21:34:00"/>
    <s v="No"/>
    <m/>
    <s v="Not Specified"/>
    <n v="29.216666666558012"/>
    <x v="0"/>
  </r>
  <r>
    <s v="TCK-21533"/>
    <d v="2026-07-08T17:21:00"/>
    <s v="Tier 1 Support"/>
    <x v="1"/>
    <x v="3"/>
    <x v="0"/>
    <x v="1"/>
    <x v="1"/>
    <n v="48"/>
    <x v="1"/>
    <s v="Missing Resolve Date"/>
    <s v="No"/>
    <m/>
    <s v="Repeat Issue From Same Customer"/>
    <s v=""/>
    <x v="1"/>
  </r>
  <r>
    <s v="TCK-21104"/>
    <d v="2026-08-22T11:35:00"/>
    <s v="Tier 1 Support"/>
    <x v="7"/>
    <x v="2"/>
    <x v="3"/>
    <x v="5"/>
    <x v="1"/>
    <n v="48"/>
    <x v="0"/>
    <d v="2026-08-25T08:50:00"/>
    <s v="No"/>
    <n v="1"/>
    <s v="Not Specified"/>
    <n v="69.249999999941792"/>
    <x v="2"/>
  </r>
  <r>
    <s v="TCK-20722"/>
    <d v="2026-02-03T15:18:00"/>
    <s v="Technical Support"/>
    <x v="4"/>
    <x v="6"/>
    <x v="3"/>
    <x v="2"/>
    <x v="0"/>
    <n v="24"/>
    <x v="2"/>
    <d v="2026-02-04T22:22:00"/>
    <s v="Yes"/>
    <n v="4"/>
    <s v="Customer Satisfied With Resolution"/>
    <n v="31.066666666651145"/>
    <x v="1"/>
  </r>
  <r>
    <s v="TCK-21635"/>
    <d v="2026-07-16T07:13:00"/>
    <s v="Technical Support"/>
    <x v="6"/>
    <x v="4"/>
    <x v="1"/>
    <x v="5"/>
    <x v="1"/>
    <n v="48"/>
    <x v="4"/>
    <s v="Missing Resolve Date"/>
    <s v="Yes"/>
    <m/>
    <s v="Technical Issue Resolved Remotely"/>
    <s v=""/>
    <x v="1"/>
  </r>
  <r>
    <s v="TCK-21000"/>
    <d v="2026-08-01T02:00:00"/>
    <s v="Tier 1 Support"/>
    <x v="1"/>
    <x v="4"/>
    <x v="3"/>
    <x v="0"/>
    <x v="1"/>
    <n v="48"/>
    <x v="0"/>
    <d v="2026-08-01T18:48:00"/>
    <s v="No"/>
    <n v="3"/>
    <s v="Resolved On First Contact"/>
    <n v="16.799999999930151"/>
    <x v="0"/>
  </r>
  <r>
    <s v="TCK-22973"/>
    <d v="2026-08-24T12:27:00"/>
    <s v="Technical Support"/>
    <x v="6"/>
    <x v="4"/>
    <x v="2"/>
    <x v="0"/>
    <x v="0"/>
    <n v="24"/>
    <x v="2"/>
    <d v="2026-08-25T05:51:00"/>
    <s v="No"/>
    <n v="4"/>
    <s v="Not Specified"/>
    <n v="17.399999999965075"/>
    <x v="1"/>
  </r>
  <r>
    <s v="TCK-20097"/>
    <d v="2026-04-22T02:42:00"/>
    <s v="Technical Support"/>
    <x v="4"/>
    <x v="5"/>
    <x v="2"/>
    <x v="4"/>
    <x v="1"/>
    <n v="48"/>
    <x v="0"/>
    <d v="2026-04-22T14:32:00"/>
    <s v="No"/>
    <n v="2"/>
    <s v="Repeat Issue From Same Customer"/>
    <n v="11.833333333313931"/>
    <x v="0"/>
  </r>
  <r>
    <s v="TCK-22991"/>
    <d v="2026-03-06T13:06:00"/>
    <s v="Tier 2 Support"/>
    <x v="2"/>
    <x v="4"/>
    <x v="0"/>
    <x v="5"/>
    <x v="2"/>
    <n v="8"/>
    <x v="4"/>
    <s v="Missing Resolve Date"/>
    <s v="Yes"/>
    <m/>
    <s v="Customer Requested Refund"/>
    <s v=""/>
    <x v="1"/>
  </r>
  <r>
    <s v="TCK-21088"/>
    <d v="2026-04-09T07:40:00"/>
    <s v="Tier 2 Support"/>
    <x v="2"/>
    <x v="1"/>
    <x v="3"/>
    <x v="2"/>
    <x v="0"/>
    <n v="24"/>
    <x v="1"/>
    <s v="Missing Resolve Date"/>
    <s v="No"/>
    <m/>
    <s v="Repeat Issue From Same Customer"/>
    <s v=""/>
    <x v="1"/>
  </r>
  <r>
    <s v="TCK-20175"/>
    <d v="2026-05-26T06:21:00"/>
    <s v="Tier 1 Support"/>
    <x v="7"/>
    <x v="6"/>
    <x v="2"/>
    <x v="4"/>
    <x v="1"/>
    <n v="48"/>
    <x v="4"/>
    <s v="Missing Resolve Date"/>
    <s v="Yes"/>
    <m/>
    <s v="Awaiting Customer Response"/>
    <s v=""/>
    <x v="1"/>
  </r>
  <r>
    <s v="TCK-21700"/>
    <d v="2026-06-19T19:11:00"/>
    <s v="Tier 1 Support"/>
    <x v="1"/>
    <x v="3"/>
    <x v="1"/>
    <x v="0"/>
    <x v="1"/>
    <n v="48"/>
    <x v="2"/>
    <d v="2026-06-21T13:37:00"/>
    <s v="Yes"/>
    <n v="2"/>
    <s v="Repeat Issue From Same Customer"/>
    <n v="42.433333333348855"/>
    <x v="1"/>
  </r>
  <r>
    <s v="TCK-22121"/>
    <d v="2026-06-04T00:18:00"/>
    <s v="Tier 1 Support"/>
    <x v="1"/>
    <x v="0"/>
    <x v="2"/>
    <x v="5"/>
    <x v="0"/>
    <n v="24"/>
    <x v="2"/>
    <d v="2026-06-04T04:52:00"/>
    <s v="No"/>
    <m/>
    <s v="Technical Issue Resolved Remotely"/>
    <n v="4.5666666667093523"/>
    <x v="1"/>
  </r>
  <r>
    <s v="TCK-23159"/>
    <d v="2026-03-12T17:48:00"/>
    <s v="Technical Support"/>
    <x v="4"/>
    <x v="1"/>
    <x v="3"/>
    <x v="3"/>
    <x v="2"/>
    <n v="8"/>
    <x v="0"/>
    <d v="2026-03-13T16:47:00"/>
    <s v="No"/>
    <m/>
    <s v="Not Specified"/>
    <n v="22.983333333337214"/>
    <x v="2"/>
  </r>
  <r>
    <s v="TCK-22243"/>
    <d v="2026-04-01T02:42:00"/>
    <s v="Technical Support"/>
    <x v="4"/>
    <x v="6"/>
    <x v="1"/>
    <x v="5"/>
    <x v="1"/>
    <n v="48"/>
    <x v="4"/>
    <s v="Missing Resolve Date"/>
    <s v="Yes"/>
    <m/>
    <s v="Technical Issue Resolved Remotely"/>
    <s v=""/>
    <x v="1"/>
  </r>
  <r>
    <s v="TCK-20358"/>
    <d v="2026-02-05T02:51:00"/>
    <s v="Technical Support"/>
    <x v="4"/>
    <x v="2"/>
    <x v="2"/>
    <x v="5"/>
    <x v="0"/>
    <n v="24"/>
    <x v="1"/>
    <s v="Missing Resolve Date"/>
    <s v="No"/>
    <m/>
    <s v="Not Specified"/>
    <s v=""/>
    <x v="1"/>
  </r>
  <r>
    <s v="TCK-20543"/>
    <d v="2026-08-18T02:30:00"/>
    <s v="Tier 1 Support"/>
    <x v="1"/>
    <x v="1"/>
    <x v="1"/>
    <x v="5"/>
    <x v="1"/>
    <n v="48"/>
    <x v="5"/>
    <s v="Missing Resolve Date"/>
    <s v="No"/>
    <m/>
    <s v="Customer Satisfied With Resolution"/>
    <s v=""/>
    <x v="1"/>
  </r>
  <r>
    <s v="TCK-20674"/>
    <d v="2026-04-11T00:32:00"/>
    <s v="Technical Support"/>
    <x v="6"/>
    <x v="1"/>
    <x v="1"/>
    <x v="4"/>
    <x v="0"/>
    <n v="24"/>
    <x v="3"/>
    <d v="2026-04-11T14:28:00"/>
    <s v="No"/>
    <m/>
    <s v="Not Specified"/>
    <n v="13.933333333348855"/>
    <x v="1"/>
  </r>
  <r>
    <s v="TCK-23048"/>
    <d v="2026-05-11T03:00:00"/>
    <s v="Tier 2 Support"/>
    <x v="2"/>
    <x v="3"/>
    <x v="0"/>
    <x v="4"/>
    <x v="1"/>
    <n v="48"/>
    <x v="4"/>
    <s v="Missing Resolve Date"/>
    <s v="Yes"/>
    <m/>
    <s v="Escalated To Senior Agent"/>
    <s v=""/>
    <x v="1"/>
  </r>
  <r>
    <s v="TCK-23063"/>
    <d v="2026-05-31T04:24:00"/>
    <s v="Billing Support"/>
    <x v="0"/>
    <x v="1"/>
    <x v="2"/>
    <x v="1"/>
    <x v="2"/>
    <n v="8"/>
    <x v="2"/>
    <d v="2026-05-31T21:43:00"/>
    <s v="No"/>
    <n v="5"/>
    <s v="Customer Requested Refund"/>
    <n v="17.316666666709352"/>
    <x v="1"/>
  </r>
  <r>
    <s v="TCK-21730"/>
    <d v="2026-05-04T13:15:00"/>
    <s v="Tier 2 Support"/>
    <x v="3"/>
    <x v="1"/>
    <x v="1"/>
    <x v="0"/>
    <x v="0"/>
    <n v="24"/>
    <x v="1"/>
    <s v="Missing Resolve Date"/>
    <s v="No"/>
    <m/>
    <s v="Not Specified"/>
    <s v=""/>
    <x v="1"/>
  </r>
  <r>
    <s v="TCK-21465"/>
    <d v="2026-02-14T09:29:00"/>
    <s v="Technical Support"/>
    <x v="6"/>
    <x v="2"/>
    <x v="3"/>
    <x v="4"/>
    <x v="2"/>
    <n v="8"/>
    <x v="0"/>
    <d v="2026-02-14T12:21:00"/>
    <s v="No"/>
    <n v="4"/>
    <s v="Customer Requested Refund"/>
    <n v="2.8666666665812954"/>
    <x v="0"/>
  </r>
  <r>
    <s v="TCK-21392"/>
    <d v="2026-01-05T05:39:00"/>
    <s v="Technical Support"/>
    <x v="6"/>
    <x v="5"/>
    <x v="2"/>
    <x v="0"/>
    <x v="0"/>
    <n v="24"/>
    <x v="4"/>
    <s v="Missing Resolve Date"/>
    <s v="Yes"/>
    <m/>
    <s v="Not Specified"/>
    <s v=""/>
    <x v="1"/>
  </r>
  <r>
    <s v="TCK-22564"/>
    <d v="2026-06-10T12:46:00"/>
    <s v="Billing Support"/>
    <x v="0"/>
    <x v="6"/>
    <x v="1"/>
    <x v="1"/>
    <x v="2"/>
    <n v="8"/>
    <x v="0"/>
    <d v="2026-06-10T17:46:00"/>
    <s v="No"/>
    <n v="5"/>
    <s v="Awaiting Customer Response"/>
    <n v="4.9999999998835847"/>
    <x v="0"/>
  </r>
  <r>
    <s v="TCK-22147"/>
    <d v="2026-02-17T07:50:00"/>
    <s v="Tier 2 Support"/>
    <x v="3"/>
    <x v="6"/>
    <x v="2"/>
    <x v="2"/>
    <x v="2"/>
    <n v="8"/>
    <x v="0"/>
    <d v="2026-02-17T13:05:00"/>
    <s v="No"/>
    <m/>
    <s v="Not Specified"/>
    <n v="5.25"/>
    <x v="0"/>
  </r>
  <r>
    <s v="TCK-22472"/>
    <d v="2026-01-27T20:50:00"/>
    <s v="Tier 2 Support"/>
    <x v="2"/>
    <x v="4"/>
    <x v="3"/>
    <x v="4"/>
    <x v="1"/>
    <n v="48"/>
    <x v="5"/>
    <s v="Missing Resolve Date"/>
    <s v="No"/>
    <m/>
    <s v="Escalated To Senior Agent"/>
    <s v=""/>
    <x v="1"/>
  </r>
  <r>
    <s v="TCK-21065"/>
    <d v="2026-08-24T21:41:00"/>
    <s v="Tier 2 Support"/>
    <x v="2"/>
    <x v="3"/>
    <x v="2"/>
    <x v="5"/>
    <x v="0"/>
    <n v="24"/>
    <x v="2"/>
    <d v="2026-08-25T00:15:00"/>
    <s v="No"/>
    <n v="5"/>
    <s v="Resolved On First Contact"/>
    <n v="2.5666666666511446"/>
    <x v="1"/>
  </r>
  <r>
    <s v="TCK-22847"/>
    <d v="2026-04-06T09:49:00"/>
    <s v="Tier 1 Support"/>
    <x v="7"/>
    <x v="4"/>
    <x v="1"/>
    <x v="2"/>
    <x v="1"/>
    <n v="48"/>
    <x v="4"/>
    <s v="Missing Resolve Date"/>
    <s v="Yes"/>
    <m/>
    <s v="Escalated To Senior Agent"/>
    <s v=""/>
    <x v="1"/>
  </r>
  <r>
    <s v="TCK-20645"/>
    <d v="2026-08-30T16:58:00"/>
    <s v="Technical Support"/>
    <x v="4"/>
    <x v="4"/>
    <x v="1"/>
    <x v="5"/>
    <x v="1"/>
    <n v="48"/>
    <x v="0"/>
    <d v="2026-09-04T19:19:00"/>
    <s v="No"/>
    <n v="5"/>
    <s v="Technical Issue Resolved Remotely"/>
    <n v="122.34999999997672"/>
    <x v="2"/>
  </r>
  <r>
    <s v="TCK-20230"/>
    <d v="2026-06-29T17:31:00"/>
    <s v="Technical Support"/>
    <x v="4"/>
    <x v="6"/>
    <x v="0"/>
    <x v="2"/>
    <x v="0"/>
    <n v="24"/>
    <x v="0"/>
    <s v="Missing Resolve Date"/>
    <s v="No"/>
    <m/>
    <s v="Customer Requested Refund"/>
    <s v=""/>
    <x v="2"/>
  </r>
  <r>
    <s v="TCK-20420"/>
    <d v="2026-06-18T03:01:00"/>
    <s v="Technical Support"/>
    <x v="4"/>
    <x v="0"/>
    <x v="1"/>
    <x v="4"/>
    <x v="2"/>
    <n v="8"/>
    <x v="2"/>
    <d v="2026-06-18T05:36:00"/>
    <s v="No"/>
    <m/>
    <s v="Technical Issue Resolved Remotely"/>
    <n v="2.5833333331975155"/>
    <x v="1"/>
  </r>
  <r>
    <s v="TCK-22038"/>
    <d v="2026-07-13T05:12:00"/>
    <s v="Tier 2 Support"/>
    <x v="2"/>
    <x v="1"/>
    <x v="0"/>
    <x v="2"/>
    <x v="1"/>
    <n v="48"/>
    <x v="0"/>
    <d v="2026-07-13T21:45:00"/>
    <s v="No"/>
    <m/>
    <s v="Required Follow-Up Call"/>
    <n v="16.549999999988358"/>
    <x v="0"/>
  </r>
  <r>
    <s v="TCK-21780"/>
    <d v="2026-04-30T22:09:00"/>
    <s v="Tier 1 Support"/>
    <x v="7"/>
    <x v="6"/>
    <x v="1"/>
    <x v="0"/>
    <x v="3"/>
    <n v="4"/>
    <x v="4"/>
    <s v="Missing Resolve Date"/>
    <s v="Yes"/>
    <m/>
    <s v="Customer Requested Refund"/>
    <s v=""/>
    <x v="1"/>
  </r>
  <r>
    <s v="TCK-22902"/>
    <d v="2026-07-29T11:44:00"/>
    <s v="Technical Support"/>
    <x v="6"/>
    <x v="2"/>
    <x v="1"/>
    <x v="5"/>
    <x v="1"/>
    <n v="48"/>
    <x v="0"/>
    <d v="2026-08-01T04:17:00"/>
    <s v="No"/>
    <m/>
    <s v="Technical Issue Resolved Remotely"/>
    <n v="64.549999999988358"/>
    <x v="2"/>
  </r>
  <r>
    <s v="TCK-21425"/>
    <d v="2026-05-29T05:15:00"/>
    <s v="Tier 2 Support"/>
    <x v="3"/>
    <x v="3"/>
    <x v="3"/>
    <x v="0"/>
    <x v="1"/>
    <n v="48"/>
    <x v="0"/>
    <d v="2026-05-29T12:15:00"/>
    <s v="No"/>
    <n v="4"/>
    <s v="Not Specified"/>
    <n v="6.9999999999417923"/>
    <x v="0"/>
  </r>
  <r>
    <s v="TCK-21013"/>
    <d v="2026-01-28T15:37:00"/>
    <s v="Tier 1 Support"/>
    <x v="7"/>
    <x v="1"/>
    <x v="3"/>
    <x v="3"/>
    <x v="0"/>
    <n v="24"/>
    <x v="2"/>
    <d v="2026-01-31T10:56:00"/>
    <s v="No"/>
    <m/>
    <s v="Not Specified"/>
    <n v="67.31666666676756"/>
    <x v="1"/>
  </r>
  <r>
    <s v="TCK-21201"/>
    <d v="2026-07-26T05:23:00"/>
    <s v="Billing Support"/>
    <x v="5"/>
    <x v="2"/>
    <x v="3"/>
    <x v="3"/>
    <x v="1"/>
    <n v="48"/>
    <x v="0"/>
    <d v="2026-07-26T16:34:00"/>
    <s v="No"/>
    <n v="1"/>
    <s v="Technical Issue Resolved Remotely"/>
    <n v="11.183333333290648"/>
    <x v="0"/>
  </r>
  <r>
    <s v="TCK-22293"/>
    <d v="2026-03-09T16:50:00"/>
    <s v="Technical Support"/>
    <x v="6"/>
    <x v="6"/>
    <x v="0"/>
    <x v="3"/>
    <x v="0"/>
    <n v="24"/>
    <x v="5"/>
    <s v="Missing Resolve Date"/>
    <s v="No"/>
    <m/>
    <s v="Escalated To Senior Agent"/>
    <s v=""/>
    <x v="1"/>
  </r>
  <r>
    <s v="TCK-21604"/>
    <d v="2026-04-28T06:58:00"/>
    <s v="Technical Support"/>
    <x v="6"/>
    <x v="6"/>
    <x v="1"/>
    <x v="3"/>
    <x v="1"/>
    <n v="48"/>
    <x v="4"/>
    <s v="Missing Resolve Date"/>
    <s v="Yes"/>
    <m/>
    <s v="Customer Satisfied With Resolution"/>
    <s v=""/>
    <x v="1"/>
  </r>
  <r>
    <s v="TCK-22137"/>
    <d v="2026-04-16T18:52:00"/>
    <s v="Technical Support"/>
    <x v="6"/>
    <x v="6"/>
    <x v="1"/>
    <x v="1"/>
    <x v="1"/>
    <n v="48"/>
    <x v="0"/>
    <d v="2026-04-18T08:37:00"/>
    <s v="Yes"/>
    <n v="2"/>
    <s v="Customer Satisfied With Resolution"/>
    <n v="37.749999999941792"/>
    <x v="0"/>
  </r>
  <r>
    <s v="TCK-20433"/>
    <d v="2026-03-14T23:11:00"/>
    <s v="Billing Support"/>
    <x v="0"/>
    <x v="3"/>
    <x v="3"/>
    <x v="5"/>
    <x v="2"/>
    <n v="8"/>
    <x v="0"/>
    <d v="2026-03-15T05:30:00"/>
    <s v="Yes"/>
    <n v="2"/>
    <s v="Technical Issue Resolved Remotely"/>
    <n v="6.3166666666511446"/>
    <x v="0"/>
  </r>
  <r>
    <s v="TCK-21067"/>
    <d v="2026-01-08T15:02:00"/>
    <s v="Technical Support"/>
    <x v="4"/>
    <x v="2"/>
    <x v="2"/>
    <x v="3"/>
    <x v="0"/>
    <n v="24"/>
    <x v="4"/>
    <s v="Missing Resolve Date"/>
    <s v="Yes"/>
    <m/>
    <s v="Not Specified"/>
    <s v=""/>
    <x v="1"/>
  </r>
  <r>
    <s v="TCK-21278"/>
    <d v="2026-08-09T02:57:00"/>
    <s v="Tier 2 Support"/>
    <x v="3"/>
    <x v="5"/>
    <x v="0"/>
    <x v="5"/>
    <x v="0"/>
    <n v="24"/>
    <x v="5"/>
    <s v="Missing Resolve Date"/>
    <s v="No"/>
    <m/>
    <s v="Customer Satisfied With Resolution"/>
    <s v=""/>
    <x v="1"/>
  </r>
  <r>
    <s v="TCK-21149"/>
    <d v="2026-01-11T16:37:00"/>
    <s v="Tier 1 Support"/>
    <x v="1"/>
    <x v="2"/>
    <x v="2"/>
    <x v="1"/>
    <x v="1"/>
    <n v="48"/>
    <x v="5"/>
    <s v="Missing Resolve Date"/>
    <s v="No"/>
    <m/>
    <s v="Not Specified"/>
    <s v=""/>
    <x v="1"/>
  </r>
  <r>
    <s v="TCK-22868"/>
    <d v="2026-07-24T12:43:00"/>
    <s v="Tier 2 Support"/>
    <x v="3"/>
    <x v="2"/>
    <x v="0"/>
    <x v="1"/>
    <x v="0"/>
    <n v="24"/>
    <x v="5"/>
    <s v="Missing Resolve Date"/>
    <s v="No"/>
    <m/>
    <s v="Not Specified"/>
    <s v=""/>
    <x v="1"/>
  </r>
  <r>
    <s v="TCK-20155"/>
    <d v="2026-07-24T00:16:00"/>
    <s v="Technical Support"/>
    <x v="6"/>
    <x v="1"/>
    <x v="3"/>
    <x v="0"/>
    <x v="2"/>
    <n v="8"/>
    <x v="2"/>
    <d v="2026-07-24T03:18:00"/>
    <s v="No"/>
    <n v="4"/>
    <s v="Repeat Issue From Same Customer"/>
    <n v="3.0333333332673647"/>
    <x v="1"/>
  </r>
  <r>
    <s v="TCK-20759"/>
    <d v="2026-02-18T20:39:00"/>
    <s v="Tier 2 Support"/>
    <x v="3"/>
    <x v="2"/>
    <x v="1"/>
    <x v="3"/>
    <x v="0"/>
    <n v="24"/>
    <x v="2"/>
    <d v="2026-02-19T10:17:00"/>
    <s v="No"/>
    <n v="2"/>
    <s v="Technical Issue Resolved Remotely"/>
    <n v="13.633333333244082"/>
    <x v="1"/>
  </r>
  <r>
    <s v="TCK-23109"/>
    <d v="2026-05-03T10:22:00"/>
    <s v="Billing Support"/>
    <x v="0"/>
    <x v="0"/>
    <x v="2"/>
    <x v="4"/>
    <x v="0"/>
    <n v="24"/>
    <x v="5"/>
    <s v="Missing Resolve Date"/>
    <s v="No"/>
    <m/>
    <s v="Customer Requested Refund"/>
    <s v=""/>
    <x v="1"/>
  </r>
  <r>
    <s v="TCK-20792"/>
    <d v="2026-08-06T22:59:00"/>
    <s v="Tier 2 Support"/>
    <x v="2"/>
    <x v="1"/>
    <x v="1"/>
    <x v="4"/>
    <x v="2"/>
    <n v="8"/>
    <x v="0"/>
    <d v="2026-08-07T03:02:00"/>
    <s v="No"/>
    <n v="3"/>
    <s v="Not Specified"/>
    <n v="4.0499999999301508"/>
    <x v="0"/>
  </r>
  <r>
    <s v="TCK-21368"/>
    <d v="2026-05-29T06:00:00"/>
    <s v="Tier 2 Support"/>
    <x v="2"/>
    <x v="6"/>
    <x v="0"/>
    <x v="0"/>
    <x v="3"/>
    <n v="4"/>
    <x v="1"/>
    <s v="Missing Resolve Date"/>
    <s v="No"/>
    <m/>
    <s v="Resolved On First Contact"/>
    <s v=""/>
    <x v="1"/>
  </r>
  <r>
    <s v="TCK-21988"/>
    <d v="2026-05-24T20:47:00"/>
    <s v="Technical Support"/>
    <x v="4"/>
    <x v="1"/>
    <x v="2"/>
    <x v="3"/>
    <x v="0"/>
    <n v="24"/>
    <x v="0"/>
    <d v="2026-05-25T14:13:00"/>
    <s v="No"/>
    <n v="4"/>
    <s v="Required Follow-Up Call"/>
    <n v="17.433333333407063"/>
    <x v="0"/>
  </r>
  <r>
    <s v="TCK-21490"/>
    <d v="2026-04-06T23:06:00"/>
    <s v="Tier 2 Support"/>
    <x v="2"/>
    <x v="1"/>
    <x v="2"/>
    <x v="2"/>
    <x v="2"/>
    <n v="8"/>
    <x v="0"/>
    <d v="2026-04-07T02:48:00"/>
    <s v="No"/>
    <n v="3"/>
    <s v="Technical Issue Resolved Remotely"/>
    <n v="3.7000000000116415"/>
    <x v="0"/>
  </r>
  <r>
    <s v="TCK-20207"/>
    <d v="2026-03-14T15:16:00"/>
    <s v="Billing Support"/>
    <x v="0"/>
    <x v="2"/>
    <x v="2"/>
    <x v="3"/>
    <x v="0"/>
    <n v="24"/>
    <x v="2"/>
    <s v="Missing Resolve Date"/>
    <s v="No"/>
    <m/>
    <s v="Required Follow-Up Call"/>
    <s v=""/>
    <x v="1"/>
  </r>
  <r>
    <s v="TCK-22999"/>
    <d v="2026-07-30T22:29:00"/>
    <s v="Tier 1 Support"/>
    <x v="1"/>
    <x v="3"/>
    <x v="3"/>
    <x v="4"/>
    <x v="1"/>
    <n v="48"/>
    <x v="1"/>
    <s v="Missing Resolve Date"/>
    <s v="No"/>
    <m/>
    <s v="Technical Issue Resolved Remotely"/>
    <s v=""/>
    <x v="1"/>
  </r>
  <r>
    <s v="TCK-22419"/>
    <d v="2026-05-03T17:21:00"/>
    <s v="Technical Support"/>
    <x v="4"/>
    <x v="1"/>
    <x v="0"/>
    <x v="2"/>
    <x v="3"/>
    <n v="4"/>
    <x v="2"/>
    <d v="2026-05-03T17:55:00"/>
    <s v="No"/>
    <m/>
    <s v="Escalated To Senior Agent"/>
    <n v="0.56666666676755995"/>
    <x v="1"/>
  </r>
  <r>
    <s v="TCK-22699"/>
    <d v="2026-08-24T01:17:00"/>
    <s v="Tier 1 Support"/>
    <x v="1"/>
    <x v="4"/>
    <x v="0"/>
    <x v="1"/>
    <x v="0"/>
    <n v="24"/>
    <x v="0"/>
    <d v="2026-08-24T11:37:00"/>
    <s v="No"/>
    <n v="1"/>
    <s v="Customer Satisfied With Resolution"/>
    <n v="10.333333333313931"/>
    <x v="0"/>
  </r>
  <r>
    <s v="TCK-20756"/>
    <d v="2026-04-05T15:17:00"/>
    <s v="Tier 1 Support"/>
    <x v="1"/>
    <x v="6"/>
    <x v="0"/>
    <x v="3"/>
    <x v="0"/>
    <n v="24"/>
    <x v="5"/>
    <s v="Missing Resolve Date"/>
    <s v="No"/>
    <m/>
    <s v="Customer Satisfied With Resolution"/>
    <s v=""/>
    <x v="1"/>
  </r>
  <r>
    <s v="TCK-21675"/>
    <d v="2026-07-20T16:46:00"/>
    <s v="Technical Support"/>
    <x v="4"/>
    <x v="3"/>
    <x v="3"/>
    <x v="0"/>
    <x v="2"/>
    <n v="8"/>
    <x v="5"/>
    <s v="Missing Resolve Date"/>
    <s v="No"/>
    <m/>
    <s v="Resolved On First Contact"/>
    <s v=""/>
    <x v="1"/>
  </r>
  <r>
    <s v="TCK-21893"/>
    <d v="2026-07-25T00:24:00"/>
    <s v="Billing Support"/>
    <x v="0"/>
    <x v="2"/>
    <x v="0"/>
    <x v="4"/>
    <x v="3"/>
    <n v="4"/>
    <x v="2"/>
    <d v="2026-07-25T01:29:00"/>
    <s v="No"/>
    <m/>
    <s v="Technical Issue Resolved Remotely"/>
    <n v="1.0833333331975155"/>
    <x v="1"/>
  </r>
  <r>
    <s v="TCK-21182"/>
    <d v="2026-05-02T00:30:00"/>
    <s v="Billing Support"/>
    <x v="5"/>
    <x v="6"/>
    <x v="3"/>
    <x v="2"/>
    <x v="0"/>
    <n v="24"/>
    <x v="3"/>
    <d v="2026-05-02T03:35:00"/>
    <s v="No"/>
    <m/>
    <s v="Not Specified"/>
    <n v="3.0833333332557231"/>
    <x v="1"/>
  </r>
  <r>
    <s v="TCK-22623"/>
    <d v="2026-06-09T07:25:00"/>
    <s v="Tier 1 Support"/>
    <x v="1"/>
    <x v="0"/>
    <x v="0"/>
    <x v="0"/>
    <x v="0"/>
    <n v="24"/>
    <x v="3"/>
    <d v="2026-06-09T12:19:00"/>
    <s v="No"/>
    <m/>
    <s v="Awaiting Customer Response"/>
    <n v="4.8999999999068677"/>
    <x v="1"/>
  </r>
  <r>
    <s v="TCK-20790"/>
    <d v="2026-02-08T10:11:00"/>
    <s v="Tier 2 Support"/>
    <x v="3"/>
    <x v="4"/>
    <x v="1"/>
    <x v="4"/>
    <x v="3"/>
    <n v="4"/>
    <x v="0"/>
    <d v="2026-02-08T12:56:00"/>
    <s v="No"/>
    <n v="5"/>
    <s v="Customer Requested Refund"/>
    <n v="2.7500000000582077"/>
    <x v="0"/>
  </r>
  <r>
    <s v="TCK-22530"/>
    <d v="2026-08-24T14:06:00"/>
    <s v="Tier 1 Support"/>
    <x v="7"/>
    <x v="4"/>
    <x v="1"/>
    <x v="1"/>
    <x v="0"/>
    <n v="24"/>
    <x v="0"/>
    <d v="2026-08-24T22:33:00"/>
    <s v="No"/>
    <n v="4"/>
    <s v="Not Specified"/>
    <n v="8.4499999999534339"/>
    <x v="0"/>
  </r>
  <r>
    <s v="TCK-22140"/>
    <d v="2026-06-20T00:31:00"/>
    <s v="Tier 2 Support"/>
    <x v="2"/>
    <x v="1"/>
    <x v="0"/>
    <x v="1"/>
    <x v="0"/>
    <n v="24"/>
    <x v="2"/>
    <d v="2026-06-20T08:34:00"/>
    <s v="No"/>
    <n v="4"/>
    <s v="Customer Requested Refund"/>
    <n v="8.0500000000465661"/>
    <x v="1"/>
  </r>
  <r>
    <s v="TCK-20240"/>
    <d v="2026-01-12T22:24:00"/>
    <s v="Tier 2 Support"/>
    <x v="3"/>
    <x v="0"/>
    <x v="3"/>
    <x v="3"/>
    <x v="2"/>
    <n v="8"/>
    <x v="2"/>
    <d v="2026-01-13T01:25:00"/>
    <s v="No"/>
    <m/>
    <s v="Technical Issue Resolved Remotely"/>
    <n v="3.0166666667209938"/>
    <x v="1"/>
  </r>
  <r>
    <s v="TCK-22387"/>
    <d v="2026-05-25T15:04:00"/>
    <s v="Technical Support"/>
    <x v="4"/>
    <x v="0"/>
    <x v="1"/>
    <x v="4"/>
    <x v="1"/>
    <n v="48"/>
    <x v="1"/>
    <s v="Missing Resolve Date"/>
    <s v="No"/>
    <m/>
    <s v="Required Follow-Up Call"/>
    <s v=""/>
    <x v="1"/>
  </r>
  <r>
    <s v="TCK-20566"/>
    <d v="2026-06-16T08:37:00"/>
    <s v="Billing Support"/>
    <x v="5"/>
    <x v="6"/>
    <x v="3"/>
    <x v="2"/>
    <x v="0"/>
    <n v="24"/>
    <x v="5"/>
    <s v="Missing Resolve Date"/>
    <s v="No"/>
    <m/>
    <s v="Not Specified"/>
    <s v=""/>
    <x v="1"/>
  </r>
  <r>
    <s v="TCK-21221"/>
    <d v="2026-08-14T19:21:00"/>
    <s v="Billing Support"/>
    <x v="0"/>
    <x v="0"/>
    <x v="0"/>
    <x v="1"/>
    <x v="1"/>
    <n v="48"/>
    <x v="5"/>
    <s v="Missing Resolve Date"/>
    <s v="No"/>
    <m/>
    <s v="Not Specified"/>
    <s v=""/>
    <x v="1"/>
  </r>
  <r>
    <s v="TCK-23158"/>
    <d v="2026-08-16T04:37:00"/>
    <s v="Tier 1 Support"/>
    <x v="7"/>
    <x v="6"/>
    <x v="0"/>
    <x v="1"/>
    <x v="1"/>
    <n v="48"/>
    <x v="4"/>
    <s v="Missing Resolve Date"/>
    <s v="Yes"/>
    <m/>
    <s v="Customer Requested Refund"/>
    <s v=""/>
    <x v="1"/>
  </r>
  <r>
    <s v="TCK-22469"/>
    <d v="2026-02-12T18:37:00"/>
    <s v="Tier 2 Support"/>
    <x v="3"/>
    <x v="6"/>
    <x v="2"/>
    <x v="4"/>
    <x v="0"/>
    <n v="24"/>
    <x v="5"/>
    <s v="Missing Resolve Date"/>
    <s v="No"/>
    <m/>
    <s v="Awaiting Customer Response"/>
    <s v=""/>
    <x v="1"/>
  </r>
  <r>
    <s v="TCK-22551"/>
    <d v="2026-06-18T01:26:00"/>
    <s v="Billing Support"/>
    <x v="0"/>
    <x v="0"/>
    <x v="0"/>
    <x v="4"/>
    <x v="2"/>
    <n v="8"/>
    <x v="5"/>
    <s v="Missing Resolve Date"/>
    <s v="No"/>
    <m/>
    <s v="Repeat Issue From Same Customer"/>
    <s v=""/>
    <x v="1"/>
  </r>
  <r>
    <s v="TCK-22275"/>
    <d v="2026-05-12T21:30:00"/>
    <s v="Tier 2 Support"/>
    <x v="2"/>
    <x v="1"/>
    <x v="0"/>
    <x v="0"/>
    <x v="0"/>
    <n v="24"/>
    <x v="2"/>
    <d v="2026-05-13T17:39:00"/>
    <s v="No"/>
    <n v="5"/>
    <s v="Customer Requested Refund"/>
    <n v="20.150000000023283"/>
    <x v="1"/>
  </r>
  <r>
    <s v="TCK-22937"/>
    <d v="2026-03-31T00:07:00"/>
    <s v="Technical Support"/>
    <x v="4"/>
    <x v="0"/>
    <x v="2"/>
    <x v="1"/>
    <x v="1"/>
    <n v="48"/>
    <x v="0"/>
    <d v="2026-03-31T21:33:00"/>
    <s v="No"/>
    <m/>
    <s v="Not Specified"/>
    <n v="21.433333333348855"/>
    <x v="0"/>
  </r>
  <r>
    <s v="TCK-20549"/>
    <d v="2026-02-11T05:29:00"/>
    <s v="Technical Support"/>
    <x v="6"/>
    <x v="1"/>
    <x v="0"/>
    <x v="2"/>
    <x v="2"/>
    <n v="8"/>
    <x v="2"/>
    <d v="2026-02-11T07:24:00"/>
    <s v="No"/>
    <m/>
    <s v="Repeat Issue From Same Customer"/>
    <n v="1.9166666666278616"/>
    <x v="1"/>
  </r>
  <r>
    <s v="TCK-20532"/>
    <d v="2026-07-23T02:25:00"/>
    <s v="Tier 2 Support"/>
    <x v="3"/>
    <x v="1"/>
    <x v="3"/>
    <x v="4"/>
    <x v="1"/>
    <n v="48"/>
    <x v="2"/>
    <d v="2026-07-23T07:58:00"/>
    <s v="No"/>
    <m/>
    <s v="Not Specified"/>
    <n v="5.5499999999301508"/>
    <x v="1"/>
  </r>
  <r>
    <s v="TCK-20944"/>
    <d v="2026-07-26T22:20:00"/>
    <s v="Billing Support"/>
    <x v="5"/>
    <x v="5"/>
    <x v="0"/>
    <x v="1"/>
    <x v="1"/>
    <n v="48"/>
    <x v="0"/>
    <d v="2026-07-30T22:13:00"/>
    <s v="No"/>
    <m/>
    <s v="Required Follow-Up Call"/>
    <n v="95.883333333302289"/>
    <x v="2"/>
  </r>
  <r>
    <s v="TCK-21367"/>
    <d v="2026-07-14T14:44:00"/>
    <s v="Tier 2 Support"/>
    <x v="3"/>
    <x v="3"/>
    <x v="3"/>
    <x v="3"/>
    <x v="1"/>
    <n v="48"/>
    <x v="2"/>
    <d v="2026-07-15T19:00:00"/>
    <s v="No"/>
    <m/>
    <s v="Customer Satisfied With Resolution"/>
    <n v="28.266666666604578"/>
    <x v="1"/>
  </r>
  <r>
    <s v="TCK-21300"/>
    <d v="2026-01-04T05:18:00"/>
    <s v="Technical Support"/>
    <x v="4"/>
    <x v="0"/>
    <x v="2"/>
    <x v="4"/>
    <x v="2"/>
    <n v="8"/>
    <x v="4"/>
    <s v="Missing Resolve Date"/>
    <s v="Yes"/>
    <m/>
    <s v="Awaiting Customer Response"/>
    <s v=""/>
    <x v="1"/>
  </r>
  <r>
    <s v="TCK-21876"/>
    <d v="2026-05-18T19:37:00"/>
    <s v="Tier 1 Support"/>
    <x v="7"/>
    <x v="1"/>
    <x v="3"/>
    <x v="4"/>
    <x v="0"/>
    <n v="24"/>
    <x v="0"/>
    <d v="2026-05-19T13:05:00"/>
    <s v="No"/>
    <n v="2"/>
    <s v="Customer Satisfied With Resolution"/>
    <n v="17.466666666674428"/>
    <x v="0"/>
  </r>
  <r>
    <s v="TCK-20714"/>
    <d v="2026-07-28T18:12:00"/>
    <s v="Technical Support"/>
    <x v="4"/>
    <x v="5"/>
    <x v="1"/>
    <x v="1"/>
    <x v="0"/>
    <n v="24"/>
    <x v="3"/>
    <d v="2026-07-29T09:20:00"/>
    <s v="No"/>
    <m/>
    <s v="Technical Issue Resolved Remotely"/>
    <n v="15.133333333418705"/>
    <x v="1"/>
  </r>
  <r>
    <s v="TCK-21448"/>
    <d v="2026-03-01T16:34:00"/>
    <s v="Tier 2 Support"/>
    <x v="3"/>
    <x v="4"/>
    <x v="3"/>
    <x v="2"/>
    <x v="1"/>
    <n v="48"/>
    <x v="2"/>
    <d v="2026-03-04T19:11:00"/>
    <s v="No"/>
    <m/>
    <s v="Technical Issue Resolved Remotely"/>
    <n v="74.616666666639503"/>
    <x v="1"/>
  </r>
  <r>
    <s v="TCK-20533"/>
    <d v="2026-05-07T04:30:00"/>
    <s v="Tier 1 Support"/>
    <x v="1"/>
    <x v="1"/>
    <x v="2"/>
    <x v="2"/>
    <x v="0"/>
    <n v="24"/>
    <x v="3"/>
    <d v="2026-05-07T08:49:00"/>
    <s v="No"/>
    <m/>
    <s v="Customer Requested Refund"/>
    <n v="4.316666666592937"/>
    <x v="1"/>
  </r>
  <r>
    <s v="TCK-21554"/>
    <d v="2026-08-02T08:45:00"/>
    <s v="Tier 2 Support"/>
    <x v="3"/>
    <x v="5"/>
    <x v="2"/>
    <x v="0"/>
    <x v="0"/>
    <n v="24"/>
    <x v="0"/>
    <d v="2026-08-03T02:07:00"/>
    <s v="No"/>
    <m/>
    <s v="Resolved On First Contact"/>
    <n v="17.366666666523088"/>
    <x v="0"/>
  </r>
  <r>
    <s v="TCK-22876"/>
    <d v="2026-05-18T11:38:00"/>
    <s v="Tier 2 Support"/>
    <x v="2"/>
    <x v="3"/>
    <x v="1"/>
    <x v="0"/>
    <x v="0"/>
    <n v="24"/>
    <x v="2"/>
    <d v="2026-05-18T16:55:00"/>
    <s v="No"/>
    <m/>
    <s v="Required Follow-Up Call"/>
    <n v="5.2833333332673647"/>
    <x v="1"/>
  </r>
  <r>
    <s v="TCK-21122"/>
    <d v="2026-02-24T03:54:00"/>
    <s v="Billing Support"/>
    <x v="5"/>
    <x v="1"/>
    <x v="2"/>
    <x v="3"/>
    <x v="0"/>
    <n v="24"/>
    <x v="4"/>
    <s v="Missing Resolve Date"/>
    <s v="Yes"/>
    <m/>
    <s v="Required Follow-Up Call"/>
    <s v=""/>
    <x v="1"/>
  </r>
  <r>
    <s v="TCK-21735"/>
    <d v="2026-05-24T16:44:00"/>
    <s v="Technical Support"/>
    <x v="4"/>
    <x v="0"/>
    <x v="3"/>
    <x v="2"/>
    <x v="0"/>
    <n v="24"/>
    <x v="5"/>
    <s v="Missing Resolve Date"/>
    <s v="No"/>
    <m/>
    <s v="Customer Satisfied With Resolution"/>
    <s v=""/>
    <x v="1"/>
  </r>
  <r>
    <s v="TCK-20720"/>
    <d v="2026-01-18T18:47:00"/>
    <s v="Tier 2 Support"/>
    <x v="2"/>
    <x v="5"/>
    <x v="3"/>
    <x v="3"/>
    <x v="0"/>
    <n v="24"/>
    <x v="2"/>
    <d v="2026-01-18T22:51:00"/>
    <s v="No"/>
    <m/>
    <s v="Resolved On First Contact"/>
    <n v="4.0666666666511446"/>
    <x v="1"/>
  </r>
  <r>
    <s v="TCK-21623"/>
    <d v="2026-04-14T21:37:00"/>
    <s v="Billing Support"/>
    <x v="0"/>
    <x v="1"/>
    <x v="1"/>
    <x v="5"/>
    <x v="1"/>
    <n v="48"/>
    <x v="0"/>
    <d v="2026-04-15T05:46:00"/>
    <s v="No"/>
    <m/>
    <s v="Escalated To Senior Agent"/>
    <n v="8.1500000000232831"/>
    <x v="0"/>
  </r>
  <r>
    <s v="TCK-21755"/>
    <d v="2026-03-09T23:32:00"/>
    <s v="Tier 1 Support"/>
    <x v="1"/>
    <x v="2"/>
    <x v="2"/>
    <x v="3"/>
    <x v="2"/>
    <n v="8"/>
    <x v="2"/>
    <d v="2026-03-10T20:40:00"/>
    <s v="No"/>
    <n v="5"/>
    <s v="Awaiting Customer Response"/>
    <n v="21.133333333244082"/>
    <x v="1"/>
  </r>
  <r>
    <s v="TCK-20179"/>
    <d v="2026-02-16T19:15:00"/>
    <s v="Technical Support"/>
    <x v="4"/>
    <x v="0"/>
    <x v="2"/>
    <x v="3"/>
    <x v="1"/>
    <n v="48"/>
    <x v="2"/>
    <d v="2026-02-17T00:50:00"/>
    <s v="No"/>
    <m/>
    <s v="Required Follow-Up Call"/>
    <n v="5.5833333331975155"/>
    <x v="1"/>
  </r>
  <r>
    <s v="TCK-20871"/>
    <d v="2026-06-08T02:18:00"/>
    <s v="Billing Support"/>
    <x v="0"/>
    <x v="4"/>
    <x v="2"/>
    <x v="2"/>
    <x v="1"/>
    <n v="48"/>
    <x v="2"/>
    <d v="2026-06-12T13:53:00"/>
    <s v="No"/>
    <n v="4"/>
    <s v="Not Specified"/>
    <n v="107.58333333337214"/>
    <x v="1"/>
  </r>
  <r>
    <s v="TCK-20727"/>
    <d v="2026-01-08T13:43:00"/>
    <s v="Tier 1 Support"/>
    <x v="7"/>
    <x v="1"/>
    <x v="3"/>
    <x v="4"/>
    <x v="1"/>
    <n v="48"/>
    <x v="0"/>
    <d v="2026-01-09T20:44:00"/>
    <s v="No"/>
    <m/>
    <s v="Repeat Issue From Same Customer"/>
    <n v="31.016666666662786"/>
    <x v="0"/>
  </r>
  <r>
    <s v="TCK-22326"/>
    <d v="2026-01-07T00:41:00"/>
    <s v="Technical Support"/>
    <x v="4"/>
    <x v="5"/>
    <x v="0"/>
    <x v="0"/>
    <x v="2"/>
    <n v="8"/>
    <x v="0"/>
    <d v="2026-01-07T04:41:00"/>
    <s v="No"/>
    <n v="5"/>
    <s v="Not Specified"/>
    <n v="4.0000000001164153"/>
    <x v="0"/>
  </r>
  <r>
    <s v="TCK-20439"/>
    <d v="2026-01-20T15:13:00"/>
    <s v="Tier 1 Support"/>
    <x v="1"/>
    <x v="1"/>
    <x v="2"/>
    <x v="4"/>
    <x v="2"/>
    <n v="8"/>
    <x v="5"/>
    <s v="Missing Resolve Date"/>
    <s v="No"/>
    <m/>
    <s v="Technical Issue Resolved Remotely"/>
    <s v=""/>
    <x v="1"/>
  </r>
  <r>
    <s v="TCK-20361"/>
    <d v="2026-07-14T07:37:00"/>
    <s v="Billing Support"/>
    <x v="0"/>
    <x v="2"/>
    <x v="3"/>
    <x v="5"/>
    <x v="1"/>
    <n v="48"/>
    <x v="0"/>
    <d v="2026-07-15T03:32:00"/>
    <s v="No"/>
    <n v="5"/>
    <s v="Resolved On First Contact"/>
    <n v="19.916666666627862"/>
    <x v="0"/>
  </r>
  <r>
    <s v="TCK-20147"/>
    <d v="2026-04-28T08:31:00"/>
    <s v="Billing Support"/>
    <x v="5"/>
    <x v="0"/>
    <x v="2"/>
    <x v="3"/>
    <x v="1"/>
    <n v="48"/>
    <x v="5"/>
    <s v="Missing Resolve Date"/>
    <s v="No"/>
    <m/>
    <s v="Technical Issue Resolved Remotely"/>
    <s v=""/>
    <x v="1"/>
  </r>
  <r>
    <s v="TCK-20280"/>
    <d v="2026-05-14T18:05:00"/>
    <s v="Technical Support"/>
    <x v="6"/>
    <x v="1"/>
    <x v="2"/>
    <x v="0"/>
    <x v="3"/>
    <n v="4"/>
    <x v="4"/>
    <s v="Missing Resolve Date"/>
    <s v="Yes"/>
    <m/>
    <s v="Escalated To Senior Agent"/>
    <s v=""/>
    <x v="1"/>
  </r>
  <r>
    <s v="TCK-23184"/>
    <d v="2026-01-23T11:25:00"/>
    <s v="Tier 1 Support"/>
    <x v="7"/>
    <x v="3"/>
    <x v="0"/>
    <x v="2"/>
    <x v="0"/>
    <n v="24"/>
    <x v="0"/>
    <d v="2026-01-24T08:52:00"/>
    <s v="No"/>
    <n v="3"/>
    <s v="Required Follow-Up Call"/>
    <n v="21.449999999895226"/>
    <x v="0"/>
  </r>
  <r>
    <s v="TCK-21302"/>
    <d v="2026-01-13T03:17:00"/>
    <s v="Tier 1 Support"/>
    <x v="7"/>
    <x v="2"/>
    <x v="0"/>
    <x v="5"/>
    <x v="1"/>
    <n v="48"/>
    <x v="2"/>
    <d v="2026-01-14T04:24:00"/>
    <s v="No"/>
    <n v="5"/>
    <s v="Customer Satisfied With Resolution"/>
    <n v="25.116666666639503"/>
    <x v="1"/>
  </r>
  <r>
    <s v="TCK-21440"/>
    <d v="2026-03-27T21:59:00"/>
    <s v="Technical Support"/>
    <x v="6"/>
    <x v="1"/>
    <x v="1"/>
    <x v="3"/>
    <x v="2"/>
    <n v="8"/>
    <x v="4"/>
    <s v="Missing Resolve Date"/>
    <s v="Yes"/>
    <m/>
    <s v="Customer Requested Refund"/>
    <s v=""/>
    <x v="1"/>
  </r>
  <r>
    <s v="TCK-23085"/>
    <d v="2026-04-04T11:39:00"/>
    <s v="Tier 2 Support"/>
    <x v="2"/>
    <x v="0"/>
    <x v="1"/>
    <x v="0"/>
    <x v="0"/>
    <n v="24"/>
    <x v="4"/>
    <s v="Missing Resolve Date"/>
    <s v="Yes"/>
    <m/>
    <s v="Customer Requested Refund"/>
    <s v=""/>
    <x v="1"/>
  </r>
  <r>
    <s v="TCK-21377"/>
    <d v="2026-08-24T02:53:00"/>
    <s v="Billing Support"/>
    <x v="0"/>
    <x v="5"/>
    <x v="2"/>
    <x v="1"/>
    <x v="1"/>
    <n v="48"/>
    <x v="2"/>
    <d v="2026-08-25T03:05:00"/>
    <s v="No"/>
    <n v="5"/>
    <s v="Customer Satisfied With Resolution"/>
    <n v="24.199999999953434"/>
    <x v="1"/>
  </r>
  <r>
    <s v="TCK-22483"/>
    <d v="2026-03-10T15:29:00"/>
    <s v="Technical Support"/>
    <x v="6"/>
    <x v="0"/>
    <x v="2"/>
    <x v="0"/>
    <x v="1"/>
    <n v="48"/>
    <x v="4"/>
    <s v="Missing Resolve Date"/>
    <s v="Yes"/>
    <m/>
    <s v="Required Follow-Up Call"/>
    <s v=""/>
    <x v="1"/>
  </r>
  <r>
    <s v="TCK-22757"/>
    <d v="2026-04-09T00:33:00"/>
    <s v="Technical Support"/>
    <x v="4"/>
    <x v="3"/>
    <x v="1"/>
    <x v="0"/>
    <x v="3"/>
    <n v="4"/>
    <x v="0"/>
    <d v="2026-04-09T02:02:00"/>
    <s v="No"/>
    <m/>
    <s v="Technical Issue Resolved Remotely"/>
    <n v="1.4833333332790062"/>
    <x v="0"/>
  </r>
  <r>
    <s v="TCK-21073"/>
    <d v="2026-01-13T11:19:00"/>
    <s v="Tier 1 Support"/>
    <x v="1"/>
    <x v="3"/>
    <x v="3"/>
    <x v="4"/>
    <x v="2"/>
    <n v="8"/>
    <x v="2"/>
    <d v="2026-01-13T12:26:00"/>
    <s v="Yes"/>
    <n v="1"/>
    <s v="Not Specified"/>
    <n v="1.1166666666395031"/>
    <x v="1"/>
  </r>
  <r>
    <s v="TCK-22636"/>
    <d v="2026-06-26T17:24:00"/>
    <s v="Tier 2 Support"/>
    <x v="3"/>
    <x v="3"/>
    <x v="1"/>
    <x v="5"/>
    <x v="1"/>
    <n v="48"/>
    <x v="0"/>
    <d v="2026-06-27T13:03:00"/>
    <s v="No"/>
    <n v="5"/>
    <s v="Resolved On First Contact"/>
    <n v="19.649999999965075"/>
    <x v="0"/>
  </r>
  <r>
    <s v="TCK-20371"/>
    <d v="2026-06-17T20:50:00"/>
    <s v="Tier 1 Support"/>
    <x v="7"/>
    <x v="5"/>
    <x v="2"/>
    <x v="0"/>
    <x v="2"/>
    <n v="8"/>
    <x v="2"/>
    <d v="2026-06-17T21:54:00"/>
    <s v="Yes"/>
    <m/>
    <s v="Technical Issue Resolved Remotely"/>
    <n v="1.0666666666511446"/>
    <x v="1"/>
  </r>
  <r>
    <s v="TCK-22461"/>
    <d v="2026-01-27T14:10:00"/>
    <s v="Billing Support"/>
    <x v="0"/>
    <x v="6"/>
    <x v="3"/>
    <x v="0"/>
    <x v="1"/>
    <n v="48"/>
    <x v="4"/>
    <s v="Missing Resolve Date"/>
    <s v="Yes"/>
    <m/>
    <s v="Repeat Issue From Same Customer"/>
    <s v=""/>
    <x v="1"/>
  </r>
  <r>
    <s v="TCK-21330"/>
    <d v="2026-05-17T19:16:00"/>
    <s v="Billing Support"/>
    <x v="0"/>
    <x v="5"/>
    <x v="1"/>
    <x v="3"/>
    <x v="2"/>
    <n v="8"/>
    <x v="1"/>
    <s v="Missing Resolve Date"/>
    <s v="No"/>
    <m/>
    <s v="Resolved On First Contact"/>
    <s v=""/>
    <x v="1"/>
  </r>
  <r>
    <s v="TCK-20689"/>
    <d v="2026-06-10T17:26:00"/>
    <s v="Technical Support"/>
    <x v="6"/>
    <x v="3"/>
    <x v="1"/>
    <x v="3"/>
    <x v="2"/>
    <n v="8"/>
    <x v="5"/>
    <s v="Missing Resolve Date"/>
    <s v="No"/>
    <m/>
    <s v="Customer Satisfied With Resolution"/>
    <s v=""/>
    <x v="1"/>
  </r>
  <r>
    <s v="TCK-21295"/>
    <d v="2026-04-11T14:29:00"/>
    <s v="Technical Support"/>
    <x v="4"/>
    <x v="5"/>
    <x v="3"/>
    <x v="5"/>
    <x v="1"/>
    <n v="48"/>
    <x v="2"/>
    <d v="2026-04-12T22:29:00"/>
    <s v="No"/>
    <m/>
    <s v="Customer Requested Refund"/>
    <n v="31.999999999883585"/>
    <x v="1"/>
  </r>
  <r>
    <s v="TCK-21317"/>
    <d v="2026-07-07T06:13:00"/>
    <s v="Tier 2 Support"/>
    <x v="3"/>
    <x v="0"/>
    <x v="1"/>
    <x v="1"/>
    <x v="1"/>
    <n v="48"/>
    <x v="0"/>
    <d v="2026-07-08T06:08:00"/>
    <s v="No"/>
    <n v="4"/>
    <s v="Required Follow-Up Call"/>
    <n v="23.916666666744277"/>
    <x v="0"/>
  </r>
  <r>
    <s v="TCK-20733"/>
    <d v="2026-03-23T15:04:00"/>
    <s v="Tier 1 Support"/>
    <x v="1"/>
    <x v="3"/>
    <x v="3"/>
    <x v="3"/>
    <x v="1"/>
    <n v="48"/>
    <x v="1"/>
    <s v="Missing Resolve Date"/>
    <s v="No"/>
    <m/>
    <s v="Customer Satisfied With Resolution"/>
    <s v=""/>
    <x v="1"/>
  </r>
  <r>
    <s v="TCK-21762"/>
    <d v="2026-02-22T23:51:00"/>
    <s v="Tier 2 Support"/>
    <x v="3"/>
    <x v="6"/>
    <x v="0"/>
    <x v="3"/>
    <x v="0"/>
    <n v="24"/>
    <x v="0"/>
    <d v="2026-02-23T05:34:00"/>
    <s v="No"/>
    <n v="5"/>
    <s v="Resolved On First Contact"/>
    <n v="5.71666666661622"/>
    <x v="0"/>
  </r>
  <r>
    <s v="TCK-21986"/>
    <d v="2026-06-24T14:24:00"/>
    <s v="Billing Support"/>
    <x v="0"/>
    <x v="1"/>
    <x v="3"/>
    <x v="5"/>
    <x v="1"/>
    <n v="48"/>
    <x v="2"/>
    <d v="2026-06-25T00:59:00"/>
    <s v="No"/>
    <n v="4"/>
    <s v="Required Follow-Up Call"/>
    <n v="10.583333333430346"/>
    <x v="1"/>
  </r>
  <r>
    <s v="TCK-20445"/>
    <d v="2026-07-03T15:02:00"/>
    <s v="Billing Support"/>
    <x v="0"/>
    <x v="6"/>
    <x v="2"/>
    <x v="2"/>
    <x v="2"/>
    <n v="8"/>
    <x v="4"/>
    <s v="Missing Resolve Date"/>
    <s v="Yes"/>
    <m/>
    <s v="Resolved On First Contact"/>
    <s v=""/>
    <x v="1"/>
  </r>
  <r>
    <s v="TCK-22587"/>
    <d v="2026-07-26T06:10:00"/>
    <s v="Billing Support"/>
    <x v="5"/>
    <x v="3"/>
    <x v="2"/>
    <x v="1"/>
    <x v="3"/>
    <n v="4"/>
    <x v="0"/>
    <d v="2026-07-26T08:32:00"/>
    <s v="No"/>
    <m/>
    <s v="Customer Requested Refund"/>
    <n v="2.3666666666977108"/>
    <x v="0"/>
  </r>
  <r>
    <s v="TCK-21493"/>
    <d v="2026-08-06T02:18:00"/>
    <s v="Tier 1 Support"/>
    <x v="7"/>
    <x v="4"/>
    <x v="1"/>
    <x v="0"/>
    <x v="0"/>
    <n v="24"/>
    <x v="2"/>
    <d v="2026-08-06T11:01:00"/>
    <s v="No"/>
    <n v="5"/>
    <s v="Customer Satisfied With Resolution"/>
    <n v="8.71666666661622"/>
    <x v="1"/>
  </r>
  <r>
    <s v="TCK-22698"/>
    <d v="2026-06-10T10:39:00"/>
    <s v="Tier 2 Support"/>
    <x v="3"/>
    <x v="1"/>
    <x v="2"/>
    <x v="3"/>
    <x v="1"/>
    <n v="48"/>
    <x v="0"/>
    <d v="2026-06-10T18:44:00"/>
    <s v="No"/>
    <m/>
    <s v="Not Specified"/>
    <n v="8.0833333333139308"/>
    <x v="0"/>
  </r>
  <r>
    <s v="TCK-22456"/>
    <d v="2026-01-21T22:17:00"/>
    <s v="Billing Support"/>
    <x v="0"/>
    <x v="5"/>
    <x v="1"/>
    <x v="5"/>
    <x v="2"/>
    <n v="8"/>
    <x v="1"/>
    <s v="Missing Resolve Date"/>
    <s v="No"/>
    <m/>
    <s v="Resolved On First Contact"/>
    <s v=""/>
    <x v="1"/>
  </r>
  <r>
    <s v="TCK-20212"/>
    <d v="2026-04-19T23:40:00"/>
    <s v="Tier 1 Support"/>
    <x v="7"/>
    <x v="6"/>
    <x v="1"/>
    <x v="3"/>
    <x v="1"/>
    <n v="48"/>
    <x v="0"/>
    <d v="2026-04-21T03:27:00"/>
    <s v="No"/>
    <n v="5"/>
    <s v="Required Follow-Up Call"/>
    <n v="27.783333333441988"/>
    <x v="0"/>
  </r>
  <r>
    <s v="TCK-22449"/>
    <d v="2026-05-14T02:08:00"/>
    <s v="Billing Support"/>
    <x v="0"/>
    <x v="5"/>
    <x v="2"/>
    <x v="3"/>
    <x v="1"/>
    <n v="48"/>
    <x v="0"/>
    <d v="2026-05-14T14:40:00"/>
    <s v="No"/>
    <m/>
    <s v="Awaiting Customer Response"/>
    <n v="12.533333333325572"/>
    <x v="0"/>
  </r>
  <r>
    <s v="TCK-21668"/>
    <d v="2026-06-25T05:13:00"/>
    <s v="Tier 1 Support"/>
    <x v="7"/>
    <x v="2"/>
    <x v="1"/>
    <x v="1"/>
    <x v="2"/>
    <n v="8"/>
    <x v="1"/>
    <s v="Missing Resolve Date"/>
    <s v="No"/>
    <m/>
    <s v="Not Specified"/>
    <s v=""/>
    <x v="1"/>
  </r>
  <r>
    <s v="TCK-22805"/>
    <d v="2026-02-22T17:49:00"/>
    <s v="Tier 1 Support"/>
    <x v="1"/>
    <x v="6"/>
    <x v="2"/>
    <x v="2"/>
    <x v="0"/>
    <n v="24"/>
    <x v="5"/>
    <s v="Missing Resolve Date"/>
    <s v="No"/>
    <m/>
    <s v="Repeat Issue From Same Customer"/>
    <s v=""/>
    <x v="1"/>
  </r>
  <r>
    <s v="TCK-21650"/>
    <d v="2026-07-19T12:23:00"/>
    <s v="Billing Support"/>
    <x v="5"/>
    <x v="4"/>
    <x v="0"/>
    <x v="5"/>
    <x v="2"/>
    <n v="8"/>
    <x v="0"/>
    <d v="2026-07-19T15:18:00"/>
    <s v="No"/>
    <m/>
    <s v="Repeat Issue From Same Customer"/>
    <n v="2.9166666665696539"/>
    <x v="0"/>
  </r>
  <r>
    <s v="TCK-21803"/>
    <d v="2026-07-11T00:32:00"/>
    <s v="Billing Support"/>
    <x v="5"/>
    <x v="1"/>
    <x v="1"/>
    <x v="3"/>
    <x v="1"/>
    <n v="48"/>
    <x v="0"/>
    <d v="2026-07-11T21:53:00"/>
    <s v="No"/>
    <n v="2"/>
    <s v="Not Specified"/>
    <n v="21.350000000093132"/>
    <x v="0"/>
  </r>
  <r>
    <s v="TCK-22770"/>
    <d v="2026-01-22T14:55:00"/>
    <s v="Tier 2 Support"/>
    <x v="3"/>
    <x v="3"/>
    <x v="2"/>
    <x v="3"/>
    <x v="1"/>
    <n v="48"/>
    <x v="0"/>
    <d v="2026-01-23T03:53:00"/>
    <s v="No"/>
    <n v="5"/>
    <s v="Required Follow-Up Call"/>
    <n v="12.966666666674428"/>
    <x v="0"/>
  </r>
  <r>
    <s v="TCK-22827"/>
    <d v="2026-04-18T17:23:00"/>
    <s v="Technical Support"/>
    <x v="6"/>
    <x v="0"/>
    <x v="0"/>
    <x v="3"/>
    <x v="0"/>
    <n v="24"/>
    <x v="5"/>
    <s v="Missing Resolve Date"/>
    <s v="No"/>
    <m/>
    <s v="Resolved On First Contact"/>
    <s v=""/>
    <x v="1"/>
  </r>
  <r>
    <s v="TCK-22413"/>
    <d v="2026-08-15T19:38:00"/>
    <s v="Tier 2 Support"/>
    <x v="3"/>
    <x v="2"/>
    <x v="1"/>
    <x v="0"/>
    <x v="0"/>
    <n v="24"/>
    <x v="1"/>
    <s v="Missing Resolve Date"/>
    <s v="No"/>
    <m/>
    <s v="Customer Requested Refund"/>
    <s v=""/>
    <x v="1"/>
  </r>
  <r>
    <s v="TCK-22492"/>
    <d v="2026-07-02T11:47:00"/>
    <s v="Tier 2 Support"/>
    <x v="3"/>
    <x v="3"/>
    <x v="1"/>
    <x v="0"/>
    <x v="0"/>
    <n v="24"/>
    <x v="2"/>
    <d v="2026-07-03T04:19:00"/>
    <s v="Yes"/>
    <n v="2"/>
    <s v="Repeat Issue From Same Customer"/>
    <n v="16.533333333267365"/>
    <x v="1"/>
  </r>
  <r>
    <s v="TCK-20273"/>
    <d v="2026-04-17T02:13:00"/>
    <s v="Tier 1 Support"/>
    <x v="1"/>
    <x v="6"/>
    <x v="1"/>
    <x v="5"/>
    <x v="0"/>
    <n v="24"/>
    <x v="0"/>
    <d v="2026-04-17T13:52:00"/>
    <s v="No"/>
    <m/>
    <s v="Repeat Issue From Same Customer"/>
    <n v="11.649999999906868"/>
    <x v="0"/>
  </r>
  <r>
    <s v="TCK-20020"/>
    <d v="2026-04-07T19:46:00"/>
    <s v="Billing Support"/>
    <x v="5"/>
    <x v="3"/>
    <x v="2"/>
    <x v="3"/>
    <x v="0"/>
    <n v="24"/>
    <x v="2"/>
    <d v="2026-04-08T00:50:00"/>
    <s v="No"/>
    <n v="5"/>
    <s v="Resolved On First Contact"/>
    <n v="5.066666666592937"/>
    <x v="1"/>
  </r>
  <r>
    <s v="TCK-23076"/>
    <d v="2026-01-19T01:07:00"/>
    <s v="Tier 2 Support"/>
    <x v="3"/>
    <x v="1"/>
    <x v="0"/>
    <x v="0"/>
    <x v="0"/>
    <n v="24"/>
    <x v="0"/>
    <d v="2026-01-19T09:38:00"/>
    <s v="No"/>
    <n v="5"/>
    <s v="Awaiting Customer Response"/>
    <n v="8.5166666666627862"/>
    <x v="0"/>
  </r>
  <r>
    <s v="TCK-21696"/>
    <d v="2026-03-24T06:10:00"/>
    <s v="Tier 2 Support"/>
    <x v="3"/>
    <x v="0"/>
    <x v="2"/>
    <x v="0"/>
    <x v="0"/>
    <n v="24"/>
    <x v="0"/>
    <d v="2026-03-24T12:41:00"/>
    <s v="Yes"/>
    <m/>
    <s v="Required Follow-Up Call"/>
    <n v="6.5166666666045785"/>
    <x v="0"/>
  </r>
  <r>
    <s v="TCK-20570"/>
    <d v="2026-01-05T14:12:00"/>
    <s v="Tier 1 Support"/>
    <x v="1"/>
    <x v="5"/>
    <x v="0"/>
    <x v="5"/>
    <x v="0"/>
    <n v="24"/>
    <x v="0"/>
    <d v="2026-01-07T11:56:00"/>
    <s v="No"/>
    <n v="1"/>
    <s v="Resolved On First Contact"/>
    <n v="45.733333333279006"/>
    <x v="2"/>
  </r>
  <r>
    <s v="TCK-21953"/>
    <d v="2026-06-09T00:43:00"/>
    <s v="Tier 1 Support"/>
    <x v="1"/>
    <x v="1"/>
    <x v="0"/>
    <x v="2"/>
    <x v="1"/>
    <n v="48"/>
    <x v="1"/>
    <s v="Missing Resolve Date"/>
    <s v="No"/>
    <m/>
    <s v="Required Follow-Up Call"/>
    <s v=""/>
    <x v="1"/>
  </r>
  <r>
    <s v="TCK-22069"/>
    <d v="2026-07-06T02:27:00"/>
    <s v="Tier 1 Support"/>
    <x v="7"/>
    <x v="4"/>
    <x v="0"/>
    <x v="4"/>
    <x v="1"/>
    <n v="48"/>
    <x v="0"/>
    <d v="2026-07-06T13:38:00"/>
    <s v="No"/>
    <n v="3"/>
    <s v="Awaiting Customer Response"/>
    <n v="11.183333333465271"/>
    <x v="0"/>
  </r>
  <r>
    <s v="TCK-21828"/>
    <d v="2026-08-27T23:33:00"/>
    <s v="Technical Support"/>
    <x v="4"/>
    <x v="2"/>
    <x v="3"/>
    <x v="3"/>
    <x v="0"/>
    <n v="24"/>
    <x v="0"/>
    <d v="2026-08-28T03:30:00"/>
    <s v="No"/>
    <m/>
    <s v="Not Specified"/>
    <n v="3.9500000001280569"/>
    <x v="0"/>
  </r>
  <r>
    <s v="TCK-21517"/>
    <d v="2026-07-01T18:51:00"/>
    <s v="Technical Support"/>
    <x v="4"/>
    <x v="3"/>
    <x v="1"/>
    <x v="4"/>
    <x v="1"/>
    <n v="48"/>
    <x v="0"/>
    <d v="2026-07-04T13:50:00"/>
    <s v="No"/>
    <m/>
    <s v="Resolved On First Contact"/>
    <n v="66.983333333395422"/>
    <x v="2"/>
  </r>
  <r>
    <s v="TCK-22590"/>
    <d v="2026-01-22T00:55:00"/>
    <s v="Tier 2 Support"/>
    <x v="3"/>
    <x v="5"/>
    <x v="1"/>
    <x v="5"/>
    <x v="0"/>
    <n v="24"/>
    <x v="0"/>
    <d v="2026-01-22T11:18:00"/>
    <s v="Yes"/>
    <n v="5"/>
    <s v="Escalated To Senior Agent"/>
    <n v="10.383333333302289"/>
    <x v="0"/>
  </r>
  <r>
    <s v="TCK-22029"/>
    <d v="2026-08-17T13:45:00"/>
    <s v="Tier 2 Support"/>
    <x v="2"/>
    <x v="2"/>
    <x v="2"/>
    <x v="3"/>
    <x v="2"/>
    <n v="8"/>
    <x v="1"/>
    <s v="Missing Resolve Date"/>
    <s v="No"/>
    <m/>
    <s v="Resolved On First Contact"/>
    <s v=""/>
    <x v="1"/>
  </r>
  <r>
    <s v="TCK-21681"/>
    <d v="2026-03-01T03:53:00"/>
    <s v="Billing Support"/>
    <x v="0"/>
    <x v="3"/>
    <x v="2"/>
    <x v="4"/>
    <x v="3"/>
    <n v="4"/>
    <x v="2"/>
    <d v="2026-03-01T12:17:00"/>
    <s v="No"/>
    <n v="4"/>
    <s v="Awaiting Customer Response"/>
    <n v="8.3999999999650754"/>
    <x v="1"/>
  </r>
  <r>
    <s v="TCK-22642"/>
    <d v="2026-07-14T05:21:00"/>
    <s v="Tier 2 Support"/>
    <x v="3"/>
    <x v="4"/>
    <x v="1"/>
    <x v="4"/>
    <x v="2"/>
    <n v="8"/>
    <x v="1"/>
    <s v="Missing Resolve Date"/>
    <s v="No"/>
    <m/>
    <s v="Customer Requested Refund"/>
    <s v=""/>
    <x v="1"/>
  </r>
  <r>
    <s v="TCK-20187"/>
    <d v="2026-02-23T10:41:00"/>
    <s v="Billing Support"/>
    <x v="0"/>
    <x v="2"/>
    <x v="1"/>
    <x v="1"/>
    <x v="1"/>
    <n v="48"/>
    <x v="0"/>
    <d v="2026-02-24T18:09:00"/>
    <s v="No"/>
    <n v="2"/>
    <s v="Resolved On First Contact"/>
    <n v="31.466666666558012"/>
    <x v="0"/>
  </r>
  <r>
    <s v="TCK-21870"/>
    <d v="2026-01-23T16:39:00"/>
    <s v="Tier 2 Support"/>
    <x v="2"/>
    <x v="6"/>
    <x v="3"/>
    <x v="2"/>
    <x v="2"/>
    <n v="8"/>
    <x v="0"/>
    <d v="2026-01-23T20:48:00"/>
    <s v="No"/>
    <n v="4"/>
    <s v="Escalated To Senior Agent"/>
    <n v="4.1500000000814907"/>
    <x v="0"/>
  </r>
  <r>
    <s v="TCK-20463"/>
    <d v="2026-05-07T15:14:00"/>
    <s v="Tier 1 Support"/>
    <x v="1"/>
    <x v="6"/>
    <x v="2"/>
    <x v="1"/>
    <x v="2"/>
    <n v="8"/>
    <x v="0"/>
    <d v="2026-05-07T20:41:00"/>
    <s v="No"/>
    <n v="4"/>
    <s v="Resolved On First Contact"/>
    <n v="5.4499999999534339"/>
    <x v="0"/>
  </r>
  <r>
    <s v="TCK-23062"/>
    <d v="2026-07-06T02:20:00"/>
    <s v="Tier 2 Support"/>
    <x v="2"/>
    <x v="1"/>
    <x v="0"/>
    <x v="2"/>
    <x v="0"/>
    <n v="24"/>
    <x v="2"/>
    <d v="2026-07-06T03:46:00"/>
    <s v="Yes"/>
    <n v="4"/>
    <s v="Customer Satisfied With Resolution"/>
    <n v="1.4333333334652707"/>
    <x v="1"/>
  </r>
  <r>
    <s v="TCK-21796"/>
    <d v="2026-07-02T04:28:00"/>
    <s v="Billing Support"/>
    <x v="5"/>
    <x v="6"/>
    <x v="0"/>
    <x v="3"/>
    <x v="2"/>
    <n v="8"/>
    <x v="5"/>
    <s v="Missing Resolve Date"/>
    <s v="No"/>
    <m/>
    <s v="Customer Satisfied With Resolution"/>
    <s v=""/>
    <x v="1"/>
  </r>
  <r>
    <s v="TCK-23052"/>
    <d v="2026-08-02T02:18:00"/>
    <s v="Tier 1 Support"/>
    <x v="1"/>
    <x v="3"/>
    <x v="0"/>
    <x v="4"/>
    <x v="1"/>
    <n v="48"/>
    <x v="0"/>
    <d v="2026-08-06T21:45:00"/>
    <s v="No"/>
    <n v="3"/>
    <s v="Resolved On First Contact"/>
    <n v="115.45000000001164"/>
    <x v="2"/>
  </r>
  <r>
    <s v="TCK-21971"/>
    <d v="2026-02-11T07:29:00"/>
    <s v="Billing Support"/>
    <x v="0"/>
    <x v="4"/>
    <x v="1"/>
    <x v="1"/>
    <x v="0"/>
    <n v="24"/>
    <x v="0"/>
    <d v="2026-02-12T01:30:00"/>
    <s v="No"/>
    <m/>
    <s v="Required Follow-Up Call"/>
    <n v="18.016666666720994"/>
    <x v="0"/>
  </r>
  <r>
    <s v="TCK-21252"/>
    <d v="2026-05-03T19:33:00"/>
    <s v="Tier 2 Support"/>
    <x v="3"/>
    <x v="3"/>
    <x v="3"/>
    <x v="4"/>
    <x v="1"/>
    <n v="48"/>
    <x v="2"/>
    <d v="2026-05-05T07:18:00"/>
    <s v="No"/>
    <m/>
    <s v="Awaiting Customer Response"/>
    <n v="35.750000000058208"/>
    <x v="1"/>
  </r>
  <r>
    <s v="TCK-22629"/>
    <d v="2026-07-10T08:09:00"/>
    <s v="Tier 1 Support"/>
    <x v="1"/>
    <x v="1"/>
    <x v="3"/>
    <x v="1"/>
    <x v="2"/>
    <n v="8"/>
    <x v="5"/>
    <s v="Missing Resolve Date"/>
    <s v="No"/>
    <m/>
    <s v="Not Specified"/>
    <s v=""/>
    <x v="1"/>
  </r>
  <r>
    <s v="TCK-22154"/>
    <d v="2026-07-05T15:54:00"/>
    <s v="Billing Support"/>
    <x v="5"/>
    <x v="0"/>
    <x v="1"/>
    <x v="1"/>
    <x v="1"/>
    <n v="48"/>
    <x v="1"/>
    <s v="Missing Resolve Date"/>
    <s v="No"/>
    <m/>
    <s v="Not Specified"/>
    <s v=""/>
    <x v="1"/>
  </r>
  <r>
    <s v="TCK-20594"/>
    <d v="2026-01-20T09:47:00"/>
    <s v="Tier 2 Support"/>
    <x v="3"/>
    <x v="4"/>
    <x v="3"/>
    <x v="5"/>
    <x v="0"/>
    <n v="24"/>
    <x v="0"/>
    <d v="2026-01-21T02:29:00"/>
    <s v="No"/>
    <n v="4"/>
    <s v="Required Follow-Up Call"/>
    <n v="16.700000000128057"/>
    <x v="0"/>
  </r>
  <r>
    <s v="TCK-20026"/>
    <d v="2026-03-31T05:15:00"/>
    <s v="Tier 1 Support"/>
    <x v="1"/>
    <x v="4"/>
    <x v="3"/>
    <x v="4"/>
    <x v="2"/>
    <n v="8"/>
    <x v="3"/>
    <d v="2026-03-31T14:25:00"/>
    <s v="No"/>
    <m/>
    <s v="Resolved On First Contact"/>
    <n v="9.1666666666860692"/>
    <x v="1"/>
  </r>
  <r>
    <s v="TCK-23049"/>
    <d v="2026-06-04T01:23:00"/>
    <s v="Billing Support"/>
    <x v="0"/>
    <x v="0"/>
    <x v="0"/>
    <x v="3"/>
    <x v="1"/>
    <n v="48"/>
    <x v="0"/>
    <d v="2026-06-04T19:40:00"/>
    <s v="No"/>
    <n v="1"/>
    <s v="Resolved On First Contact"/>
    <n v="18.28333333338378"/>
    <x v="0"/>
  </r>
  <r>
    <s v="TCK-20903"/>
    <d v="2026-01-30T19:02:00"/>
    <s v="Tier 2 Support"/>
    <x v="2"/>
    <x v="6"/>
    <x v="0"/>
    <x v="5"/>
    <x v="3"/>
    <n v="4"/>
    <x v="0"/>
    <d v="2026-01-30T19:33:00"/>
    <s v="No"/>
    <m/>
    <s v="Not Specified"/>
    <n v="0.5166666666045785"/>
    <x v="0"/>
  </r>
  <r>
    <s v="TCK-23152"/>
    <d v="2026-01-12T22:36:00"/>
    <s v="Tier 2 Support"/>
    <x v="2"/>
    <x v="3"/>
    <x v="3"/>
    <x v="0"/>
    <x v="1"/>
    <n v="48"/>
    <x v="2"/>
    <d v="2026-01-13T22:53:00"/>
    <s v="No"/>
    <n v="5"/>
    <s v="Escalated To Senior Agent"/>
    <n v="24.28333333338378"/>
    <x v="1"/>
  </r>
  <r>
    <s v="TCK-21469"/>
    <d v="2026-04-08T15:56:00"/>
    <s v="Tier 1 Support"/>
    <x v="1"/>
    <x v="6"/>
    <x v="1"/>
    <x v="0"/>
    <x v="0"/>
    <n v="24"/>
    <x v="5"/>
    <s v="Missing Resolve Date"/>
    <s v="No"/>
    <m/>
    <s v="Repeat Issue From Same Customer"/>
    <s v=""/>
    <x v="1"/>
  </r>
  <r>
    <s v="TCK-22567"/>
    <d v="2026-05-22T04:27:00"/>
    <s v="Tier 2 Support"/>
    <x v="2"/>
    <x v="5"/>
    <x v="1"/>
    <x v="5"/>
    <x v="2"/>
    <n v="8"/>
    <x v="2"/>
    <d v="2026-05-22T09:43:00"/>
    <s v="No"/>
    <n v="5"/>
    <s v="Customer Requested Refund"/>
    <n v="5.2666666667209938"/>
    <x v="1"/>
  </r>
  <r>
    <s v="TCK-21309"/>
    <d v="2026-03-01T16:01:00"/>
    <s v="Billing Support"/>
    <x v="0"/>
    <x v="3"/>
    <x v="2"/>
    <x v="5"/>
    <x v="2"/>
    <n v="8"/>
    <x v="1"/>
    <s v="Missing Resolve Date"/>
    <s v="No"/>
    <m/>
    <s v="Escalated To Senior Agent"/>
    <s v=""/>
    <x v="1"/>
  </r>
  <r>
    <s v="TCK-22754"/>
    <d v="2026-08-06T06:30:00"/>
    <s v="Tier 2 Support"/>
    <x v="2"/>
    <x v="3"/>
    <x v="1"/>
    <x v="0"/>
    <x v="0"/>
    <n v="24"/>
    <x v="2"/>
    <d v="2026-08-08T16:32:00"/>
    <s v="No"/>
    <m/>
    <s v="Customer Satisfied With Resolution"/>
    <n v="58.033333333209157"/>
    <x v="1"/>
  </r>
  <r>
    <s v="TCK-22099"/>
    <d v="2026-05-20T08:11:00"/>
    <s v="Technical Support"/>
    <x v="6"/>
    <x v="2"/>
    <x v="0"/>
    <x v="4"/>
    <x v="1"/>
    <n v="48"/>
    <x v="1"/>
    <s v="Missing Resolve Date"/>
    <s v="No"/>
    <m/>
    <s v="Not Specified"/>
    <s v=""/>
    <x v="1"/>
  </r>
  <r>
    <s v="TCK-21558"/>
    <d v="2026-03-15T00:47:00"/>
    <s v="Billing Support"/>
    <x v="0"/>
    <x v="2"/>
    <x v="2"/>
    <x v="5"/>
    <x v="1"/>
    <n v="48"/>
    <x v="2"/>
    <d v="2026-03-20T23:06:00"/>
    <s v="Yes"/>
    <n v="1"/>
    <s v="Customer Satisfied With Resolution"/>
    <n v="142.31666666676756"/>
    <x v="1"/>
  </r>
  <r>
    <s v="TCK-22947"/>
    <d v="2026-08-30T01:56:00"/>
    <s v="Tier 1 Support"/>
    <x v="1"/>
    <x v="6"/>
    <x v="3"/>
    <x v="0"/>
    <x v="3"/>
    <n v="4"/>
    <x v="2"/>
    <d v="2026-08-30T08:26:00"/>
    <s v="No"/>
    <n v="5"/>
    <s v="Technical Issue Resolved Remotely"/>
    <n v="6.5000000000582077"/>
    <x v="1"/>
  </r>
  <r>
    <s v="TCK-21797"/>
    <d v="2026-02-12T23:02:00"/>
    <s v="Tier 2 Support"/>
    <x v="2"/>
    <x v="1"/>
    <x v="2"/>
    <x v="3"/>
    <x v="3"/>
    <n v="4"/>
    <x v="0"/>
    <d v="2026-02-13T01:51:00"/>
    <s v="No"/>
    <n v="4"/>
    <s v="Required Follow-Up Call"/>
    <n v="2.816666666592937"/>
    <x v="0"/>
  </r>
  <r>
    <s v="TCK-22829"/>
    <d v="2026-04-17T04:04:00"/>
    <s v="Tier 1 Support"/>
    <x v="7"/>
    <x v="6"/>
    <x v="0"/>
    <x v="3"/>
    <x v="0"/>
    <n v="24"/>
    <x v="0"/>
    <d v="2026-04-19T00:01:00"/>
    <s v="No"/>
    <m/>
    <s v="Awaiting Customer Response"/>
    <n v="43.950000000069849"/>
    <x v="2"/>
  </r>
  <r>
    <s v="TCK-20797"/>
    <d v="2026-04-02T01:25:00"/>
    <s v="Billing Support"/>
    <x v="0"/>
    <x v="6"/>
    <x v="0"/>
    <x v="0"/>
    <x v="0"/>
    <n v="24"/>
    <x v="3"/>
    <d v="2026-04-04T10:30:00"/>
    <s v="No"/>
    <m/>
    <s v="Technical Issue Resolved Remotely"/>
    <n v="57.083333333255723"/>
    <x v="1"/>
  </r>
  <r>
    <s v="TCK-21100"/>
    <d v="2026-01-29T23:15:00"/>
    <s v="Tier 1 Support"/>
    <x v="1"/>
    <x v="1"/>
    <x v="1"/>
    <x v="4"/>
    <x v="2"/>
    <n v="8"/>
    <x v="2"/>
    <d v="2026-01-30T16:21:00"/>
    <s v="No"/>
    <m/>
    <s v="Not Specified"/>
    <n v="17.100000000034925"/>
    <x v="1"/>
  </r>
  <r>
    <s v="TCK-21819"/>
    <d v="2026-01-27T09:27:00"/>
    <s v="Billing Support"/>
    <x v="5"/>
    <x v="0"/>
    <x v="0"/>
    <x v="3"/>
    <x v="0"/>
    <n v="24"/>
    <x v="2"/>
    <d v="2026-01-29T23:20:00"/>
    <s v="No"/>
    <n v="5"/>
    <s v="Not Specified"/>
    <n v="61.883333333185874"/>
    <x v="1"/>
  </r>
  <r>
    <s v="TCK-21209"/>
    <d v="2026-02-13T11:28:00"/>
    <s v="Billing Support"/>
    <x v="5"/>
    <x v="2"/>
    <x v="3"/>
    <x v="2"/>
    <x v="2"/>
    <n v="8"/>
    <x v="2"/>
    <d v="2026-02-13T13:02:00"/>
    <s v="No"/>
    <m/>
    <s v="Technical Issue Resolved Remotely"/>
    <n v="1.5666666667093523"/>
    <x v="1"/>
  </r>
  <r>
    <s v="TCK-22906"/>
    <d v="2026-03-03T02:15:00"/>
    <s v="Tier 1 Support"/>
    <x v="7"/>
    <x v="1"/>
    <x v="0"/>
    <x v="2"/>
    <x v="0"/>
    <n v="24"/>
    <x v="2"/>
    <d v="2026-03-05T14:56:00"/>
    <s v="No"/>
    <m/>
    <s v="Not Specified"/>
    <n v="60.683333333290648"/>
    <x v="1"/>
  </r>
  <r>
    <s v="TCK-20369"/>
    <d v="2026-01-04T22:38:00"/>
    <s v="Tier 2 Support"/>
    <x v="3"/>
    <x v="0"/>
    <x v="0"/>
    <x v="1"/>
    <x v="0"/>
    <n v="24"/>
    <x v="0"/>
    <d v="2026-01-05T03:44:00"/>
    <s v="No"/>
    <n v="5"/>
    <s v="Repeat Issue From Same Customer"/>
    <n v="5.0999999998603016"/>
    <x v="0"/>
  </r>
  <r>
    <s v="TCK-20856"/>
    <d v="2026-06-25T03:34:00"/>
    <s v="Tier 2 Support"/>
    <x v="2"/>
    <x v="4"/>
    <x v="0"/>
    <x v="4"/>
    <x v="1"/>
    <n v="48"/>
    <x v="5"/>
    <s v="Missing Resolve Date"/>
    <s v="Yes"/>
    <m/>
    <s v="Customer Requested Refund"/>
    <s v=""/>
    <x v="1"/>
  </r>
  <r>
    <s v="TCK-20994"/>
    <d v="2026-02-10T16:31:00"/>
    <s v="Billing Support"/>
    <x v="0"/>
    <x v="1"/>
    <x v="3"/>
    <x v="4"/>
    <x v="0"/>
    <n v="24"/>
    <x v="0"/>
    <d v="2026-02-10T22:59:00"/>
    <s v="No"/>
    <n v="5"/>
    <s v="Required Follow-Up Call"/>
    <n v="6.46666666661622"/>
    <x v="0"/>
  </r>
  <r>
    <s v="TCK-23143"/>
    <d v="2026-03-10T17:19:00"/>
    <s v="Tier 2 Support"/>
    <x v="2"/>
    <x v="6"/>
    <x v="2"/>
    <x v="2"/>
    <x v="3"/>
    <n v="4"/>
    <x v="0"/>
    <d v="2026-03-10T20:16:00"/>
    <s v="No"/>
    <n v="3"/>
    <s v="Technical Issue Resolved Remotely"/>
    <n v="2.9500000000116415"/>
    <x v="0"/>
  </r>
  <r>
    <s v="TCK-22488"/>
    <d v="2026-06-22T22:20:00"/>
    <s v="Tier 2 Support"/>
    <x v="2"/>
    <x v="2"/>
    <x v="1"/>
    <x v="3"/>
    <x v="0"/>
    <n v="24"/>
    <x v="1"/>
    <s v="Missing Resolve Date"/>
    <s v="No"/>
    <m/>
    <s v="Repeat Issue From Same Customer"/>
    <s v=""/>
    <x v="1"/>
  </r>
  <r>
    <s v="TCK-20473"/>
    <d v="2026-06-19T10:30:00"/>
    <s v="Tier 1 Support"/>
    <x v="1"/>
    <x v="4"/>
    <x v="3"/>
    <x v="5"/>
    <x v="0"/>
    <n v="24"/>
    <x v="4"/>
    <s v="Missing Resolve Date"/>
    <s v="Yes"/>
    <m/>
    <s v="Customer Requested Refund"/>
    <s v=""/>
    <x v="1"/>
  </r>
  <r>
    <s v="TCK-21861"/>
    <d v="2026-06-12T03:43:00"/>
    <s v="Tier 1 Support"/>
    <x v="1"/>
    <x v="4"/>
    <x v="3"/>
    <x v="5"/>
    <x v="0"/>
    <n v="24"/>
    <x v="0"/>
    <d v="2026-06-12T23:08:00"/>
    <s v="No"/>
    <m/>
    <s v="Resolved On First Contact"/>
    <n v="19.416666666569654"/>
    <x v="0"/>
  </r>
  <r>
    <s v="TCK-21467"/>
    <d v="2026-08-05T06:20:00"/>
    <s v="Technical Support"/>
    <x v="6"/>
    <x v="3"/>
    <x v="2"/>
    <x v="4"/>
    <x v="1"/>
    <n v="48"/>
    <x v="4"/>
    <s v="Missing Resolve Date"/>
    <s v="Yes"/>
    <m/>
    <s v="Customer Requested Refund"/>
    <s v=""/>
    <x v="1"/>
  </r>
  <r>
    <s v="TCK-22085"/>
    <d v="2026-06-06T12:05:00"/>
    <s v="Tier 1 Support"/>
    <x v="1"/>
    <x v="5"/>
    <x v="1"/>
    <x v="2"/>
    <x v="2"/>
    <n v="8"/>
    <x v="0"/>
    <d v="2026-06-06T14:29:00"/>
    <s v="No"/>
    <n v="4"/>
    <s v="Resolved On First Contact"/>
    <n v="2.4000000001396984"/>
    <x v="0"/>
  </r>
  <r>
    <s v="TCK-21438"/>
    <d v="2026-04-06T22:06:00"/>
    <s v="Billing Support"/>
    <x v="5"/>
    <x v="0"/>
    <x v="0"/>
    <x v="3"/>
    <x v="3"/>
    <n v="4"/>
    <x v="2"/>
    <d v="2026-04-06T23:59:00"/>
    <s v="No"/>
    <n v="1"/>
    <s v="Awaiting Customer Response"/>
    <n v="1.8833333333604969"/>
    <x v="1"/>
  </r>
  <r>
    <s v="TCK-20270"/>
    <d v="2026-02-08T13:06:00"/>
    <s v="Billing Support"/>
    <x v="0"/>
    <x v="3"/>
    <x v="1"/>
    <x v="1"/>
    <x v="2"/>
    <n v="8"/>
    <x v="0"/>
    <d v="2026-02-08T17:17:00"/>
    <s v="No"/>
    <n v="5"/>
    <s v="Resolved On First Contact"/>
    <n v="4.1833333333488554"/>
    <x v="0"/>
  </r>
  <r>
    <s v="TCK-20637"/>
    <d v="2026-04-27T13:39:00"/>
    <s v="Technical Support"/>
    <x v="6"/>
    <x v="3"/>
    <x v="0"/>
    <x v="0"/>
    <x v="0"/>
    <n v="24"/>
    <x v="0"/>
    <d v="2026-04-28T07:33:00"/>
    <s v="No"/>
    <n v="2"/>
    <s v="Customer Requested Refund"/>
    <n v="17.900000000023283"/>
    <x v="0"/>
  </r>
  <r>
    <s v="TCK-20808"/>
    <d v="2026-04-21T14:26:00"/>
    <s v="Billing Support"/>
    <x v="0"/>
    <x v="1"/>
    <x v="0"/>
    <x v="1"/>
    <x v="1"/>
    <n v="48"/>
    <x v="0"/>
    <s v="Missing Resolve Date"/>
    <s v="No"/>
    <m/>
    <s v="Resolved On First Contact"/>
    <s v=""/>
    <x v="2"/>
  </r>
  <r>
    <s v="TCK-22602"/>
    <d v="2026-06-30T03:15:00"/>
    <s v="Tier 2 Support"/>
    <x v="2"/>
    <x v="4"/>
    <x v="0"/>
    <x v="1"/>
    <x v="1"/>
    <n v="48"/>
    <x v="4"/>
    <s v="Missing Resolve Date"/>
    <s v="Yes"/>
    <m/>
    <s v="Customer Requested Refund"/>
    <s v=""/>
    <x v="1"/>
  </r>
  <r>
    <s v="TCK-21325"/>
    <d v="2026-01-12T15:35:00"/>
    <s v="Tier 1 Support"/>
    <x v="7"/>
    <x v="1"/>
    <x v="2"/>
    <x v="0"/>
    <x v="2"/>
    <n v="8"/>
    <x v="5"/>
    <s v="Missing Resolve Date"/>
    <s v="No"/>
    <m/>
    <s v="Escalated To Senior Agent"/>
    <s v=""/>
    <x v="1"/>
  </r>
  <r>
    <s v="TCK-22333"/>
    <d v="2026-06-01T20:25:00"/>
    <s v="Technical Support"/>
    <x v="4"/>
    <x v="2"/>
    <x v="1"/>
    <x v="2"/>
    <x v="3"/>
    <n v="4"/>
    <x v="0"/>
    <d v="2026-06-02T04:26:00"/>
    <s v="No"/>
    <m/>
    <s v="Technical Issue Resolved Remotely"/>
    <n v="8.0166666666045785"/>
    <x v="2"/>
  </r>
  <r>
    <s v="TCK-21232"/>
    <d v="2026-08-19T23:42:00"/>
    <s v="Billing Support"/>
    <x v="0"/>
    <x v="5"/>
    <x v="1"/>
    <x v="5"/>
    <x v="1"/>
    <n v="48"/>
    <x v="2"/>
    <d v="2026-08-21T00:44:00"/>
    <s v="No"/>
    <m/>
    <s v="Repeat Issue From Same Customer"/>
    <n v="25.033333333209157"/>
    <x v="1"/>
  </r>
  <r>
    <s v="TCK-22115"/>
    <d v="2026-04-15T18:27:00"/>
    <s v="Tier 2 Support"/>
    <x v="3"/>
    <x v="5"/>
    <x v="1"/>
    <x v="3"/>
    <x v="1"/>
    <n v="48"/>
    <x v="0"/>
    <d v="2026-04-17T06:10:00"/>
    <s v="No"/>
    <n v="2"/>
    <s v="Customer Requested Refund"/>
    <n v="35.71666666661622"/>
    <x v="0"/>
  </r>
  <r>
    <s v="TCK-21332"/>
    <d v="2026-05-06T07:58:00"/>
    <s v="Tier 2 Support"/>
    <x v="3"/>
    <x v="6"/>
    <x v="3"/>
    <x v="3"/>
    <x v="0"/>
    <n v="24"/>
    <x v="0"/>
    <d v="2026-05-09T00:10:00"/>
    <s v="No"/>
    <n v="2"/>
    <s v="Awaiting Customer Response"/>
    <n v="64.200000000069849"/>
    <x v="2"/>
  </r>
  <r>
    <s v="TCK-20776"/>
    <d v="2026-07-10T17:19:00"/>
    <s v="Tier 1 Support"/>
    <x v="1"/>
    <x v="2"/>
    <x v="1"/>
    <x v="5"/>
    <x v="2"/>
    <n v="8"/>
    <x v="0"/>
    <s v="Missing Resolve Date"/>
    <s v="No"/>
    <n v="1"/>
    <s v="Technical Issue Resolved Remotely"/>
    <s v=""/>
    <x v="2"/>
  </r>
  <r>
    <s v="TCK-20921"/>
    <d v="2026-08-07T11:51:00"/>
    <s v="Tier 2 Support"/>
    <x v="3"/>
    <x v="6"/>
    <x v="0"/>
    <x v="0"/>
    <x v="1"/>
    <n v="48"/>
    <x v="4"/>
    <s v="Missing Resolve Date"/>
    <s v="Yes"/>
    <m/>
    <s v="Awaiting Customer Response"/>
    <s v=""/>
    <x v="1"/>
  </r>
  <r>
    <s v="TCK-20356"/>
    <d v="2026-04-18T08:48:00"/>
    <s v="Tier 2 Support"/>
    <x v="2"/>
    <x v="0"/>
    <x v="2"/>
    <x v="4"/>
    <x v="1"/>
    <n v="48"/>
    <x v="1"/>
    <s v="Missing Resolve Date"/>
    <s v="No"/>
    <m/>
    <s v="Not Specified"/>
    <s v=""/>
    <x v="1"/>
  </r>
  <r>
    <s v="TCK-22002"/>
    <d v="2026-05-24T07:56:00"/>
    <s v="Tier 1 Support"/>
    <x v="1"/>
    <x v="2"/>
    <x v="0"/>
    <x v="4"/>
    <x v="0"/>
    <n v="24"/>
    <x v="0"/>
    <d v="2026-05-26T03:53:00"/>
    <s v="No"/>
    <m/>
    <s v="Not Specified"/>
    <n v="43.950000000069849"/>
    <x v="2"/>
  </r>
  <r>
    <s v="TCK-22798"/>
    <d v="2026-03-30T08:50:00"/>
    <s v="Tier 1 Support"/>
    <x v="7"/>
    <x v="4"/>
    <x v="3"/>
    <x v="0"/>
    <x v="1"/>
    <n v="48"/>
    <x v="5"/>
    <s v="Missing Resolve Date"/>
    <s v="No"/>
    <m/>
    <s v="Not Specified"/>
    <s v=""/>
    <x v="1"/>
  </r>
  <r>
    <s v="TCK-20378"/>
    <d v="2026-03-01T08:43:00"/>
    <s v="Tier 2 Support"/>
    <x v="3"/>
    <x v="2"/>
    <x v="0"/>
    <x v="0"/>
    <x v="2"/>
    <n v="8"/>
    <x v="2"/>
    <d v="2026-03-01T15:36:00"/>
    <s v="No"/>
    <n v="3"/>
    <s v="Repeat Issue From Same Customer"/>
    <n v="6.8833333334187046"/>
    <x v="1"/>
  </r>
  <r>
    <s v="TCK-21342"/>
    <d v="2026-04-27T17:06:00"/>
    <s v="Technical Support"/>
    <x v="6"/>
    <x v="4"/>
    <x v="3"/>
    <x v="3"/>
    <x v="2"/>
    <n v="8"/>
    <x v="1"/>
    <s v="Missing Resolve Date"/>
    <s v="No"/>
    <m/>
    <s v="Technical Issue Resolved Remotely"/>
    <s v=""/>
    <x v="1"/>
  </r>
  <r>
    <s v="TCK-21016"/>
    <d v="2026-01-27T17:49:00"/>
    <s v="Tier 2 Support"/>
    <x v="3"/>
    <x v="3"/>
    <x v="2"/>
    <x v="3"/>
    <x v="0"/>
    <n v="24"/>
    <x v="3"/>
    <d v="2026-01-29T10:00:00"/>
    <s v="No"/>
    <m/>
    <s v="Awaiting Customer Response"/>
    <n v="40.183333333348855"/>
    <x v="1"/>
  </r>
  <r>
    <s v="TCK-20941"/>
    <d v="2026-01-21T09:12:00"/>
    <s v="Billing Support"/>
    <x v="0"/>
    <x v="1"/>
    <x v="1"/>
    <x v="2"/>
    <x v="0"/>
    <n v="24"/>
    <x v="4"/>
    <s v="Missing Resolve Date"/>
    <s v="Yes"/>
    <m/>
    <s v="Not Specified"/>
    <s v=""/>
    <x v="1"/>
  </r>
  <r>
    <s v="TCK-21341"/>
    <d v="2026-02-27T07:40:00"/>
    <s v="Tier 2 Support"/>
    <x v="2"/>
    <x v="6"/>
    <x v="2"/>
    <x v="5"/>
    <x v="0"/>
    <n v="24"/>
    <x v="0"/>
    <d v="2026-02-28T01:00:00"/>
    <s v="No"/>
    <m/>
    <s v="Not Specified"/>
    <n v="17.333333333255723"/>
    <x v="0"/>
  </r>
  <r>
    <s v="TCK-21859"/>
    <d v="2026-03-05T02:00:00"/>
    <s v="Technical Support"/>
    <x v="4"/>
    <x v="4"/>
    <x v="2"/>
    <x v="1"/>
    <x v="0"/>
    <n v="24"/>
    <x v="0"/>
    <d v="2026-03-05T09:24:00"/>
    <s v="No"/>
    <m/>
    <s v="Customer Requested Refund"/>
    <n v="7.4000000000232831"/>
    <x v="0"/>
  </r>
  <r>
    <s v="TCK-22280"/>
    <d v="2026-01-27T12:50:00"/>
    <s v="Tier 1 Support"/>
    <x v="1"/>
    <x v="2"/>
    <x v="3"/>
    <x v="0"/>
    <x v="1"/>
    <n v="48"/>
    <x v="0"/>
    <d v="2026-01-28T22:12:00"/>
    <s v="No"/>
    <m/>
    <s v="Awaiting Customer Response"/>
    <n v="33.366666666814126"/>
    <x v="0"/>
  </r>
  <r>
    <s v="TCK-22558"/>
    <d v="2026-02-16T12:27:00"/>
    <s v="Billing Support"/>
    <x v="0"/>
    <x v="5"/>
    <x v="0"/>
    <x v="2"/>
    <x v="0"/>
    <n v="24"/>
    <x v="0"/>
    <d v="2026-02-16T14:27:00"/>
    <s v="No"/>
    <m/>
    <s v="Not Specified"/>
    <n v="1.9999999998835847"/>
    <x v="0"/>
  </r>
  <r>
    <s v="TCK-22840"/>
    <d v="2026-08-07T09:57:00"/>
    <s v="Tier 1 Support"/>
    <x v="1"/>
    <x v="5"/>
    <x v="3"/>
    <x v="0"/>
    <x v="1"/>
    <n v="48"/>
    <x v="2"/>
    <d v="2026-08-08T03:33:00"/>
    <s v="No"/>
    <n v="4"/>
    <s v="Not Specified"/>
    <n v="17.600000000093132"/>
    <x v="1"/>
  </r>
  <r>
    <s v="TCK-21115"/>
    <d v="2026-04-17T02:06:00"/>
    <s v="Tier 1 Support"/>
    <x v="1"/>
    <x v="6"/>
    <x v="2"/>
    <x v="2"/>
    <x v="0"/>
    <n v="24"/>
    <x v="0"/>
    <d v="2026-04-17T04:09:00"/>
    <s v="No"/>
    <m/>
    <s v="Awaiting Customer Response"/>
    <n v="2.0500000000465661"/>
    <x v="0"/>
  </r>
  <r>
    <s v="TCK-20971"/>
    <d v="2026-05-15T01:32:00"/>
    <s v="Technical Support"/>
    <x v="6"/>
    <x v="2"/>
    <x v="2"/>
    <x v="1"/>
    <x v="2"/>
    <n v="8"/>
    <x v="4"/>
    <s v="Missing Resolve Date"/>
    <s v="Yes"/>
    <m/>
    <s v="Technical Issue Resolved Remotely"/>
    <s v=""/>
    <x v="1"/>
  </r>
  <r>
    <s v="TCK-22622"/>
    <d v="2026-04-30T23:22:00"/>
    <s v="Billing Support"/>
    <x v="5"/>
    <x v="0"/>
    <x v="2"/>
    <x v="4"/>
    <x v="0"/>
    <n v="24"/>
    <x v="2"/>
    <d v="2026-05-01T16:35:00"/>
    <s v="No"/>
    <n v="2"/>
    <s v="Not Specified"/>
    <n v="17.216666666558012"/>
    <x v="1"/>
  </r>
  <r>
    <s v="TCK-22159"/>
    <d v="2026-06-26T17:44:00"/>
    <s v="Tier 1 Support"/>
    <x v="7"/>
    <x v="2"/>
    <x v="0"/>
    <x v="1"/>
    <x v="2"/>
    <n v="8"/>
    <x v="0"/>
    <d v="2026-06-26T19:21:00"/>
    <s v="No"/>
    <n v="1"/>
    <s v="Customer Satisfied With Resolution"/>
    <n v="1.6166666666977108"/>
    <x v="0"/>
  </r>
  <r>
    <s v="TCK-22200"/>
    <d v="2026-01-06T21:33:00"/>
    <s v="Billing Support"/>
    <x v="5"/>
    <x v="5"/>
    <x v="1"/>
    <x v="2"/>
    <x v="2"/>
    <n v="8"/>
    <x v="5"/>
    <s v="Missing Resolve Date"/>
    <s v="No"/>
    <m/>
    <s v="Required Follow-Up Call"/>
    <s v=""/>
    <x v="1"/>
  </r>
  <r>
    <s v="TCK-21673"/>
    <d v="2026-04-03T08:15:00"/>
    <s v="Technical Support"/>
    <x v="6"/>
    <x v="4"/>
    <x v="2"/>
    <x v="3"/>
    <x v="3"/>
    <n v="4"/>
    <x v="2"/>
    <d v="2026-04-03T10:49:00"/>
    <s v="Yes"/>
    <m/>
    <s v="Customer Satisfied With Resolution"/>
    <n v="2.5666666666511446"/>
    <x v="1"/>
  </r>
  <r>
    <s v="TCK-20765"/>
    <d v="2026-08-28T18:41:00"/>
    <s v="Tier 1 Support"/>
    <x v="1"/>
    <x v="4"/>
    <x v="0"/>
    <x v="4"/>
    <x v="1"/>
    <n v="48"/>
    <x v="2"/>
    <d v="2026-08-29T23:11:00"/>
    <s v="No"/>
    <m/>
    <s v="Customer Satisfied With Resolution"/>
    <n v="28.5"/>
    <x v="1"/>
  </r>
  <r>
    <s v="TCK-22709"/>
    <d v="2026-04-21T21:31:00"/>
    <s v="Technical Support"/>
    <x v="4"/>
    <x v="4"/>
    <x v="0"/>
    <x v="0"/>
    <x v="1"/>
    <n v="48"/>
    <x v="0"/>
    <d v="2026-04-22T01:24:00"/>
    <s v="No"/>
    <m/>
    <s v="Customer Requested Refund"/>
    <n v="3.8833333334187046"/>
    <x v="0"/>
  </r>
  <r>
    <s v="TCK-21652"/>
    <d v="2026-08-30T11:19:00"/>
    <s v="Technical Support"/>
    <x v="6"/>
    <x v="5"/>
    <x v="1"/>
    <x v="4"/>
    <x v="0"/>
    <n v="24"/>
    <x v="1"/>
    <s v="Missing Resolve Date"/>
    <s v="No"/>
    <m/>
    <s v="Escalated To Senior Agent"/>
    <s v=""/>
    <x v="1"/>
  </r>
  <r>
    <s v="TCK-21756"/>
    <d v="2026-07-05T11:52:00"/>
    <s v="Tier 2 Support"/>
    <x v="2"/>
    <x v="5"/>
    <x v="1"/>
    <x v="2"/>
    <x v="2"/>
    <n v="8"/>
    <x v="0"/>
    <d v="2026-07-06T10:20:00"/>
    <s v="No"/>
    <m/>
    <s v="Awaiting Customer Response"/>
    <n v="22.466666666732635"/>
    <x v="2"/>
  </r>
  <r>
    <s v="TCK-20090"/>
    <d v="2026-03-07T12:47:00"/>
    <s v="Tier 1 Support"/>
    <x v="1"/>
    <x v="3"/>
    <x v="3"/>
    <x v="1"/>
    <x v="0"/>
    <n v="24"/>
    <x v="1"/>
    <s v="Missing Resolve Date"/>
    <s v="Yes"/>
    <m/>
    <s v="Escalated To Senior Agent"/>
    <s v=""/>
    <x v="1"/>
  </r>
  <r>
    <s v="TCK-21695"/>
    <d v="2026-04-11T17:20:00"/>
    <s v="Billing Support"/>
    <x v="5"/>
    <x v="1"/>
    <x v="3"/>
    <x v="2"/>
    <x v="0"/>
    <n v="24"/>
    <x v="2"/>
    <d v="2026-04-11T21:43:00"/>
    <s v="Yes"/>
    <n v="5"/>
    <s v="Repeat Issue From Same Customer"/>
    <n v="4.3833333334769122"/>
    <x v="1"/>
  </r>
  <r>
    <s v="TCK-21381"/>
    <d v="2026-01-07T19:28:00"/>
    <s v="Billing Support"/>
    <x v="5"/>
    <x v="5"/>
    <x v="2"/>
    <x v="5"/>
    <x v="0"/>
    <n v="24"/>
    <x v="2"/>
    <d v="2026-01-08T00:18:00"/>
    <s v="No"/>
    <n v="5"/>
    <s v="Required Follow-Up Call"/>
    <n v="4.8333333331975155"/>
    <x v="1"/>
  </r>
  <r>
    <s v="TCK-21082"/>
    <d v="2026-06-20T03:26:00"/>
    <s v="Tier 2 Support"/>
    <x v="2"/>
    <x v="4"/>
    <x v="2"/>
    <x v="3"/>
    <x v="1"/>
    <n v="48"/>
    <x v="2"/>
    <d v="2026-06-21T11:21:00"/>
    <s v="No"/>
    <n v="5"/>
    <s v="Resolved On First Contact"/>
    <n v="31.916666666627862"/>
    <x v="1"/>
  </r>
  <r>
    <s v="TCK-20523"/>
    <d v="2026-02-20T06:56:00"/>
    <s v="Tier 1 Support"/>
    <x v="1"/>
    <x v="2"/>
    <x v="2"/>
    <x v="0"/>
    <x v="3"/>
    <n v="4"/>
    <x v="1"/>
    <s v="Missing Resolve Date"/>
    <s v="No"/>
    <m/>
    <s v="Required Follow-Up Call"/>
    <s v=""/>
    <x v="1"/>
  </r>
  <r>
    <s v="TCK-21406"/>
    <d v="2026-07-24T16:19:00"/>
    <s v="Technical Support"/>
    <x v="6"/>
    <x v="2"/>
    <x v="1"/>
    <x v="3"/>
    <x v="0"/>
    <n v="24"/>
    <x v="5"/>
    <s v="Missing Resolve Date"/>
    <s v="No"/>
    <m/>
    <s v="Customer Requested Refund"/>
    <s v=""/>
    <x v="1"/>
  </r>
  <r>
    <s v="TCK-22995"/>
    <d v="2026-02-21T16:45:00"/>
    <s v="Tier 1 Support"/>
    <x v="7"/>
    <x v="4"/>
    <x v="3"/>
    <x v="4"/>
    <x v="2"/>
    <n v="8"/>
    <x v="0"/>
    <d v="2026-02-21T19:37:00"/>
    <s v="No"/>
    <n v="5"/>
    <s v="Technical Issue Resolved Remotely"/>
    <n v="2.8666666667559184"/>
    <x v="0"/>
  </r>
  <r>
    <s v="TCK-22882"/>
    <d v="2026-03-07T14:15:00"/>
    <s v="Tier 1 Support"/>
    <x v="1"/>
    <x v="0"/>
    <x v="0"/>
    <x v="4"/>
    <x v="2"/>
    <n v="8"/>
    <x v="1"/>
    <s v="Missing Resolve Date"/>
    <s v="No"/>
    <m/>
    <s v="Awaiting Customer Response"/>
    <s v=""/>
    <x v="1"/>
  </r>
  <r>
    <s v="TCK-22545"/>
    <d v="2026-05-12T11:06:00"/>
    <s v="Tier 1 Support"/>
    <x v="7"/>
    <x v="6"/>
    <x v="1"/>
    <x v="2"/>
    <x v="0"/>
    <n v="24"/>
    <x v="2"/>
    <d v="2026-05-13T05:59:00"/>
    <s v="No"/>
    <m/>
    <s v="Awaiting Customer Response"/>
    <n v="18.883333333244082"/>
    <x v="1"/>
  </r>
  <r>
    <s v="TCK-21041"/>
    <d v="2026-05-06T15:07:00"/>
    <s v="Tier 2 Support"/>
    <x v="2"/>
    <x v="5"/>
    <x v="1"/>
    <x v="1"/>
    <x v="2"/>
    <n v="8"/>
    <x v="2"/>
    <d v="2026-05-06T19:16:00"/>
    <s v="No"/>
    <n v="3"/>
    <s v="Awaiting Customer Response"/>
    <n v="4.1499999999068677"/>
    <x v="1"/>
  </r>
  <r>
    <s v="TCK-22165"/>
    <d v="2026-02-04T12:34:00"/>
    <s v="Billing Support"/>
    <x v="5"/>
    <x v="6"/>
    <x v="3"/>
    <x v="4"/>
    <x v="2"/>
    <n v="8"/>
    <x v="4"/>
    <s v="Missing Resolve Date"/>
    <s v="Yes"/>
    <m/>
    <s v="Customer Requested Refund"/>
    <s v=""/>
    <x v="1"/>
  </r>
  <r>
    <s v="TCK-21582"/>
    <d v="2026-04-06T06:49:00"/>
    <s v="Billing Support"/>
    <x v="0"/>
    <x v="2"/>
    <x v="0"/>
    <x v="2"/>
    <x v="0"/>
    <n v="24"/>
    <x v="1"/>
    <s v="Missing Resolve Date"/>
    <s v="No"/>
    <m/>
    <s v="Customer Requested Refund"/>
    <s v=""/>
    <x v="1"/>
  </r>
  <r>
    <s v="TCK-22097"/>
    <d v="2026-07-11T11:12:00"/>
    <s v="Technical Support"/>
    <x v="4"/>
    <x v="0"/>
    <x v="2"/>
    <x v="0"/>
    <x v="1"/>
    <n v="48"/>
    <x v="1"/>
    <s v="Missing Resolve Date"/>
    <s v="No"/>
    <m/>
    <s v="Required Follow-Up Call"/>
    <s v=""/>
    <x v="1"/>
  </r>
  <r>
    <s v="TCK-21474"/>
    <d v="2026-02-05T06:44:00"/>
    <s v="Technical Support"/>
    <x v="4"/>
    <x v="6"/>
    <x v="3"/>
    <x v="1"/>
    <x v="0"/>
    <n v="24"/>
    <x v="1"/>
    <s v="Missing Resolve Date"/>
    <s v="Yes"/>
    <m/>
    <s v="Not Specified"/>
    <s v=""/>
    <x v="1"/>
  </r>
  <r>
    <s v="TCK-22321"/>
    <d v="2026-05-07T04:00:00"/>
    <s v="Tier 1 Support"/>
    <x v="7"/>
    <x v="6"/>
    <x v="1"/>
    <x v="3"/>
    <x v="0"/>
    <n v="24"/>
    <x v="0"/>
    <d v="2026-05-07T14:30:00"/>
    <s v="No"/>
    <m/>
    <s v="Escalated To Senior Agent"/>
    <n v="10.5"/>
    <x v="0"/>
  </r>
  <r>
    <s v="TCK-21276"/>
    <d v="2026-02-11T11:19:00"/>
    <s v="Tier 1 Support"/>
    <x v="1"/>
    <x v="5"/>
    <x v="0"/>
    <x v="3"/>
    <x v="2"/>
    <n v="8"/>
    <x v="0"/>
    <d v="2026-02-12T08:19:00"/>
    <s v="No"/>
    <m/>
    <s v="Repeat Issue From Same Customer"/>
    <n v="21"/>
    <x v="2"/>
  </r>
  <r>
    <s v="TCK-21050"/>
    <d v="2026-04-18T01:00:00"/>
    <s v="Technical Support"/>
    <x v="6"/>
    <x v="5"/>
    <x v="1"/>
    <x v="4"/>
    <x v="1"/>
    <n v="48"/>
    <x v="0"/>
    <d v="2026-04-18T19:57:00"/>
    <s v="No"/>
    <n v="4"/>
    <s v="Resolved On First Contact"/>
    <n v="18.950000000128057"/>
    <x v="0"/>
  </r>
  <r>
    <s v="TCK-22672"/>
    <d v="2026-05-11T20:31:00"/>
    <s v="Tier 1 Support"/>
    <x v="7"/>
    <x v="5"/>
    <x v="2"/>
    <x v="3"/>
    <x v="1"/>
    <n v="48"/>
    <x v="0"/>
    <d v="2026-05-13T10:44:00"/>
    <s v="No"/>
    <n v="4"/>
    <s v="Technical Issue Resolved Remotely"/>
    <n v="38.216666666732635"/>
    <x v="0"/>
  </r>
  <r>
    <s v="TCK-20609"/>
    <d v="2026-01-28T02:12:00"/>
    <s v="Tier 2 Support"/>
    <x v="3"/>
    <x v="0"/>
    <x v="2"/>
    <x v="5"/>
    <x v="2"/>
    <n v="8"/>
    <x v="0"/>
    <s v="Missing Resolve Date"/>
    <s v="No"/>
    <n v="5"/>
    <s v="Customer Satisfied With Resolution"/>
    <s v=""/>
    <x v="2"/>
  </r>
  <r>
    <s v="TCK-20525"/>
    <d v="2026-04-24T18:04:00"/>
    <s v="Tier 2 Support"/>
    <x v="3"/>
    <x v="6"/>
    <x v="2"/>
    <x v="2"/>
    <x v="2"/>
    <n v="8"/>
    <x v="2"/>
    <d v="2026-04-24T20:53:00"/>
    <s v="No"/>
    <m/>
    <s v="Escalated To Senior Agent"/>
    <n v="2.816666666592937"/>
    <x v="1"/>
  </r>
  <r>
    <s v="TCK-20460"/>
    <d v="2026-05-09T10:51:00"/>
    <s v="Technical Support"/>
    <x v="4"/>
    <x v="5"/>
    <x v="0"/>
    <x v="2"/>
    <x v="3"/>
    <n v="4"/>
    <x v="4"/>
    <s v="Missing Resolve Date"/>
    <s v="Yes"/>
    <m/>
    <s v="Required Follow-Up Call"/>
    <s v=""/>
    <x v="1"/>
  </r>
  <r>
    <s v="TCK-21163"/>
    <d v="2026-07-13T17:29:00"/>
    <s v="Technical Support"/>
    <x v="4"/>
    <x v="2"/>
    <x v="0"/>
    <x v="5"/>
    <x v="0"/>
    <n v="24"/>
    <x v="0"/>
    <d v="2026-07-14T00:40:00"/>
    <s v="No"/>
    <n v="5"/>
    <s v="Not Specified"/>
    <n v="7.1833333333488554"/>
    <x v="0"/>
  </r>
  <r>
    <s v="TCK-22707"/>
    <d v="2026-03-13T20:22:00"/>
    <s v="Billing Support"/>
    <x v="5"/>
    <x v="5"/>
    <x v="2"/>
    <x v="3"/>
    <x v="2"/>
    <n v="8"/>
    <x v="1"/>
    <s v="Missing Resolve Date"/>
    <s v="No"/>
    <m/>
    <s v="Resolved On First Contact"/>
    <s v=""/>
    <x v="1"/>
  </r>
  <r>
    <s v="TCK-21961"/>
    <d v="2026-05-19T23:05:00"/>
    <s v="Tier 1 Support"/>
    <x v="7"/>
    <x v="7"/>
    <x v="1"/>
    <x v="4"/>
    <x v="1"/>
    <n v="48"/>
    <x v="2"/>
    <d v="2026-05-20T14:54:00"/>
    <s v="No"/>
    <m/>
    <s v="Not Specified"/>
    <n v="15.816666666709352"/>
    <x v="1"/>
  </r>
  <r>
    <s v="TCK-21213"/>
    <d v="2026-02-18T23:44:00"/>
    <s v="Billing Support"/>
    <x v="0"/>
    <x v="6"/>
    <x v="2"/>
    <x v="2"/>
    <x v="0"/>
    <n v="24"/>
    <x v="4"/>
    <s v="Missing Resolve Date"/>
    <s v="Yes"/>
    <m/>
    <s v="Customer Satisfied With Resolution"/>
    <s v=""/>
    <x v="1"/>
  </r>
  <r>
    <s v="TCK-21674"/>
    <d v="2026-05-16T13:27:00"/>
    <s v="Tier 1 Support"/>
    <x v="1"/>
    <x v="2"/>
    <x v="2"/>
    <x v="3"/>
    <x v="2"/>
    <n v="8"/>
    <x v="2"/>
    <d v="2026-05-16T15:55:00"/>
    <s v="No"/>
    <n v="4"/>
    <s v="Resolved On First Contact"/>
    <n v="2.4666666666744277"/>
    <x v="1"/>
  </r>
  <r>
    <s v="TCK-21843"/>
    <d v="2026-06-15T18:43:00"/>
    <s v="Technical Support"/>
    <x v="4"/>
    <x v="2"/>
    <x v="2"/>
    <x v="2"/>
    <x v="3"/>
    <n v="4"/>
    <x v="2"/>
    <s v="Missing Resolve Date"/>
    <s v="No"/>
    <n v="3"/>
    <s v="Awaiting Customer Response"/>
    <s v=""/>
    <x v="1"/>
  </r>
  <r>
    <s v="TCK-20710"/>
    <d v="2026-07-10T10:54:00"/>
    <s v="Tier 2 Support"/>
    <x v="2"/>
    <x v="0"/>
    <x v="3"/>
    <x v="0"/>
    <x v="0"/>
    <n v="24"/>
    <x v="2"/>
    <d v="2026-07-10T11:31:00"/>
    <s v="No"/>
    <m/>
    <s v="Escalated To Senior Agent"/>
    <n v="0.61666666658129543"/>
    <x v="1"/>
  </r>
  <r>
    <s v="TCK-21794"/>
    <d v="2026-03-21T00:03:00"/>
    <s v="Billing Support"/>
    <x v="5"/>
    <x v="5"/>
    <x v="0"/>
    <x v="5"/>
    <x v="2"/>
    <n v="8"/>
    <x v="3"/>
    <d v="2026-03-21T09:50:00"/>
    <s v="Yes"/>
    <m/>
    <s v="Awaiting Customer Response"/>
    <n v="9.7833333332673647"/>
    <x v="1"/>
  </r>
  <r>
    <s v="TCK-22297"/>
    <d v="2026-01-26T02:21:00"/>
    <s v="Tier 2 Support"/>
    <x v="2"/>
    <x v="4"/>
    <x v="3"/>
    <x v="1"/>
    <x v="2"/>
    <n v="8"/>
    <x v="4"/>
    <s v="Missing Resolve Date"/>
    <s v="Yes"/>
    <m/>
    <s v="Escalated To Senior Agent"/>
    <s v=""/>
    <x v="1"/>
  </r>
  <r>
    <s v="TCK-22173"/>
    <d v="2026-05-07T01:49:00"/>
    <s v="Technical Support"/>
    <x v="6"/>
    <x v="5"/>
    <x v="0"/>
    <x v="5"/>
    <x v="0"/>
    <n v="24"/>
    <x v="0"/>
    <d v="2026-05-07T06:20:00"/>
    <s v="No"/>
    <m/>
    <s v="Customer Satisfied With Resolution"/>
    <n v="4.5166666667209938"/>
    <x v="0"/>
  </r>
  <r>
    <s v="TCK-21795"/>
    <d v="2026-08-22T23:57:00"/>
    <s v="Tier 2 Support"/>
    <x v="3"/>
    <x v="6"/>
    <x v="2"/>
    <x v="3"/>
    <x v="0"/>
    <n v="24"/>
    <x v="3"/>
    <d v="2026-08-23T08:36:00"/>
    <s v="No"/>
    <m/>
    <s v="Required Follow-Up Call"/>
    <n v="8.6499999999068677"/>
    <x v="1"/>
  </r>
  <r>
    <s v="TCK-21174"/>
    <d v="2026-07-02T21:46:00"/>
    <s v="Billing Support"/>
    <x v="5"/>
    <x v="3"/>
    <x v="1"/>
    <x v="3"/>
    <x v="0"/>
    <n v="24"/>
    <x v="3"/>
    <d v="2026-07-03T17:52:00"/>
    <s v="No"/>
    <m/>
    <s v="Escalated To Senior Agent"/>
    <n v="20.099999999860302"/>
    <x v="1"/>
  </r>
  <r>
    <s v="TCK-21947"/>
    <d v="2026-05-01T18:21:00"/>
    <s v="Tier 2 Support"/>
    <x v="3"/>
    <x v="2"/>
    <x v="1"/>
    <x v="3"/>
    <x v="2"/>
    <n v="8"/>
    <x v="3"/>
    <d v="2026-05-01T18:57:00"/>
    <s v="No"/>
    <m/>
    <s v="Not Specified"/>
    <n v="0.6000000000349246"/>
    <x v="1"/>
  </r>
  <r>
    <s v="TCK-20962"/>
    <d v="2026-06-14T08:39:00"/>
    <s v="Tier 2 Support"/>
    <x v="3"/>
    <x v="4"/>
    <x v="1"/>
    <x v="5"/>
    <x v="1"/>
    <n v="48"/>
    <x v="0"/>
    <d v="2026-06-16T00:02:00"/>
    <s v="No"/>
    <m/>
    <s v="Not Specified"/>
    <n v="39.383333333185874"/>
    <x v="0"/>
  </r>
  <r>
    <s v="TCK-22513"/>
    <d v="2026-02-18T02:01:00"/>
    <s v="Tier 1 Support"/>
    <x v="7"/>
    <x v="6"/>
    <x v="1"/>
    <x v="5"/>
    <x v="1"/>
    <n v="48"/>
    <x v="0"/>
    <d v="2026-02-19T11:35:00"/>
    <s v="No"/>
    <m/>
    <s v="Not Specified"/>
    <n v="33.56666666676756"/>
    <x v="0"/>
  </r>
  <r>
    <s v="TCK-22389"/>
    <d v="2026-06-21T05:25:00"/>
    <s v="Tier 1 Support"/>
    <x v="7"/>
    <x v="2"/>
    <x v="3"/>
    <x v="4"/>
    <x v="3"/>
    <n v="4"/>
    <x v="4"/>
    <s v="Missing Resolve Date"/>
    <s v="Yes"/>
    <m/>
    <s v="Customer Satisfied With Resolution"/>
    <s v=""/>
    <x v="1"/>
  </r>
  <r>
    <s v="TCK-22130"/>
    <d v="2026-07-20T04:02:00"/>
    <s v="Tier 2 Support"/>
    <x v="3"/>
    <x v="6"/>
    <x v="1"/>
    <x v="2"/>
    <x v="2"/>
    <n v="8"/>
    <x v="5"/>
    <s v="Missing Resolve Date"/>
    <s v="No"/>
    <m/>
    <s v="Repeat Issue From Same Customer"/>
    <s v=""/>
    <x v="1"/>
  </r>
  <r>
    <s v="TCK-20228"/>
    <d v="2026-01-07T15:06:00"/>
    <s v="Tier 1 Support"/>
    <x v="1"/>
    <x v="3"/>
    <x v="2"/>
    <x v="5"/>
    <x v="0"/>
    <n v="24"/>
    <x v="5"/>
    <s v="Missing Resolve Date"/>
    <s v="No"/>
    <m/>
    <s v="Escalated To Senior Agent"/>
    <s v=""/>
    <x v="1"/>
  </r>
  <r>
    <s v="TCK-23092"/>
    <d v="2026-07-04T15:51:00"/>
    <s v="Tier 2 Support"/>
    <x v="3"/>
    <x v="6"/>
    <x v="3"/>
    <x v="0"/>
    <x v="0"/>
    <n v="24"/>
    <x v="0"/>
    <d v="2026-07-05T09:12:00"/>
    <s v="No"/>
    <n v="5"/>
    <s v="Technical Issue Resolved Remotely"/>
    <n v="17.349999999976717"/>
    <x v="0"/>
  </r>
  <r>
    <s v="TCK-21639"/>
    <d v="2026-08-15T23:18:00"/>
    <s v="Tier 2 Support"/>
    <x v="2"/>
    <x v="3"/>
    <x v="3"/>
    <x v="3"/>
    <x v="2"/>
    <n v="8"/>
    <x v="0"/>
    <d v="2026-08-16T03:35:00"/>
    <s v="No"/>
    <n v="3"/>
    <s v="Escalated To Senior Agent"/>
    <n v="4.2833333333255723"/>
    <x v="0"/>
  </r>
  <r>
    <s v="TCK-23027"/>
    <d v="2026-08-18T10:19:00"/>
    <s v="Billing Support"/>
    <x v="0"/>
    <x v="6"/>
    <x v="3"/>
    <x v="2"/>
    <x v="1"/>
    <n v="48"/>
    <x v="0"/>
    <d v="2026-08-22T07:54:00"/>
    <s v="No"/>
    <n v="5"/>
    <s v="Technical Issue Resolved Remotely"/>
    <n v="93.583333333488554"/>
    <x v="2"/>
  </r>
  <r>
    <s v="TCK-20441"/>
    <d v="2026-03-06T01:48:00"/>
    <s v="Tier 1 Support"/>
    <x v="1"/>
    <x v="6"/>
    <x v="2"/>
    <x v="3"/>
    <x v="1"/>
    <n v="48"/>
    <x v="0"/>
    <d v="2026-03-11T03:05:00"/>
    <s v="Yes"/>
    <n v="2"/>
    <s v="Not Specified"/>
    <n v="121.28333333332557"/>
    <x v="2"/>
  </r>
  <r>
    <s v="TCK-20036"/>
    <d v="2026-07-07T17:31:00"/>
    <s v="Tier 1 Support"/>
    <x v="1"/>
    <x v="3"/>
    <x v="3"/>
    <x v="3"/>
    <x v="0"/>
    <n v="24"/>
    <x v="2"/>
    <d v="2026-07-09T21:56:00"/>
    <s v="No"/>
    <m/>
    <s v="Repeat Issue From Same Customer"/>
    <n v="52.416666666744277"/>
    <x v="1"/>
  </r>
  <r>
    <s v="TCK-21619"/>
    <d v="2026-07-11T19:14:00"/>
    <s v="Billing Support"/>
    <x v="0"/>
    <x v="6"/>
    <x v="2"/>
    <x v="5"/>
    <x v="2"/>
    <n v="8"/>
    <x v="0"/>
    <d v="2026-07-12T07:43:00"/>
    <s v="No"/>
    <m/>
    <s v="Repeat Issue From Same Customer"/>
    <n v="12.483333333337214"/>
    <x v="2"/>
  </r>
  <r>
    <s v="TCK-22527"/>
    <d v="2026-05-17T07:20:00"/>
    <s v="Billing Support"/>
    <x v="5"/>
    <x v="6"/>
    <x v="0"/>
    <x v="0"/>
    <x v="1"/>
    <n v="48"/>
    <x v="0"/>
    <d v="2026-05-18T09:26:00"/>
    <s v="No"/>
    <n v="5"/>
    <s v="Resolved On First Contact"/>
    <n v="26.100000000034925"/>
    <x v="0"/>
  </r>
  <r>
    <s v="TCK-21690"/>
    <d v="2026-04-04T05:05:00"/>
    <s v="Technical Support"/>
    <x v="6"/>
    <x v="1"/>
    <x v="1"/>
    <x v="4"/>
    <x v="0"/>
    <n v="24"/>
    <x v="1"/>
    <s v="Missing Resolve Date"/>
    <s v="Yes"/>
    <m/>
    <s v="Awaiting Customer Response"/>
    <s v=""/>
    <x v="1"/>
  </r>
  <r>
    <s v="TCK-21799"/>
    <d v="2026-08-12T00:38:00"/>
    <s v="Billing Support"/>
    <x v="0"/>
    <x v="1"/>
    <x v="1"/>
    <x v="4"/>
    <x v="1"/>
    <n v="48"/>
    <x v="0"/>
    <d v="2026-08-17T13:45:00"/>
    <s v="No"/>
    <n v="2"/>
    <s v="Not Specified"/>
    <n v="133.1166666666395"/>
    <x v="2"/>
  </r>
  <r>
    <s v="TCK-22934"/>
    <d v="2026-05-24T11:14:00"/>
    <s v="Technical Support"/>
    <x v="6"/>
    <x v="5"/>
    <x v="3"/>
    <x v="0"/>
    <x v="1"/>
    <n v="48"/>
    <x v="2"/>
    <d v="2026-05-24T22:19:00"/>
    <s v="No"/>
    <m/>
    <s v="Required Follow-Up Call"/>
    <n v="11.083333333313931"/>
    <x v="1"/>
  </r>
  <r>
    <s v="TCK-20040"/>
    <d v="2026-03-07T13:03:00"/>
    <s v="Technical Support"/>
    <x v="4"/>
    <x v="6"/>
    <x v="2"/>
    <x v="5"/>
    <x v="2"/>
    <n v="8"/>
    <x v="0"/>
    <d v="2026-03-07T18:34:00"/>
    <s v="No"/>
    <m/>
    <s v="Required Follow-Up Call"/>
    <n v="5.5166666666627862"/>
    <x v="0"/>
  </r>
  <r>
    <s v="TCK-20665"/>
    <d v="2026-07-08T19:55:00"/>
    <s v="Technical Support"/>
    <x v="6"/>
    <x v="0"/>
    <x v="2"/>
    <x v="3"/>
    <x v="0"/>
    <n v="24"/>
    <x v="3"/>
    <d v="2026-07-09T17:23:00"/>
    <s v="No"/>
    <m/>
    <s v="Technical Issue Resolved Remotely"/>
    <n v="21.466666666790843"/>
    <x v="1"/>
  </r>
  <r>
    <s v="TCK-20054"/>
    <d v="2026-04-27T19:39:00"/>
    <s v="Technical Support"/>
    <x v="6"/>
    <x v="6"/>
    <x v="2"/>
    <x v="3"/>
    <x v="0"/>
    <n v="24"/>
    <x v="2"/>
    <d v="2026-04-28T13:46:00"/>
    <s v="No"/>
    <m/>
    <s v="Escalated To Senior Agent"/>
    <n v="18.116666666697711"/>
    <x v="1"/>
  </r>
  <r>
    <s v="TCK-21020"/>
    <d v="2026-06-08T04:35:00"/>
    <s v="Technical Support"/>
    <x v="4"/>
    <x v="1"/>
    <x v="3"/>
    <x v="3"/>
    <x v="1"/>
    <n v="48"/>
    <x v="1"/>
    <s v="Missing Resolve Date"/>
    <s v="No"/>
    <m/>
    <s v="Technical Issue Resolved Remotely"/>
    <s v=""/>
    <x v="1"/>
  </r>
  <r>
    <s v="TCK-20854"/>
    <d v="2026-02-01T01:38:00"/>
    <s v="Billing Support"/>
    <x v="5"/>
    <x v="2"/>
    <x v="2"/>
    <x v="0"/>
    <x v="2"/>
    <n v="8"/>
    <x v="0"/>
    <d v="2026-02-01T18:46:00"/>
    <s v="No"/>
    <n v="3"/>
    <s v="Awaiting Customer Response"/>
    <n v="17.133333333302289"/>
    <x v="2"/>
  </r>
  <r>
    <s v="TCK-21095"/>
    <d v="2026-07-06T07:07:00"/>
    <s v="Tier 1 Support"/>
    <x v="1"/>
    <x v="3"/>
    <x v="2"/>
    <x v="4"/>
    <x v="2"/>
    <n v="8"/>
    <x v="2"/>
    <d v="2026-07-06T09:18:00"/>
    <s v="No"/>
    <n v="1"/>
    <s v="Repeat Issue From Same Customer"/>
    <n v="2.1833333332906477"/>
    <x v="1"/>
  </r>
  <r>
    <s v="TCK-21458"/>
    <d v="2026-03-30T13:48:00"/>
    <s v="Technical Support"/>
    <x v="4"/>
    <x v="0"/>
    <x v="3"/>
    <x v="4"/>
    <x v="2"/>
    <n v="8"/>
    <x v="0"/>
    <d v="2026-03-31T02:37:00"/>
    <s v="No"/>
    <n v="5"/>
    <s v="Required Follow-Up Call"/>
    <n v="12.816666666709352"/>
    <x v="2"/>
  </r>
  <r>
    <s v="TCK-22825"/>
    <d v="2026-08-24T21:17:00"/>
    <s v="Technical Support"/>
    <x v="6"/>
    <x v="4"/>
    <x v="1"/>
    <x v="1"/>
    <x v="0"/>
    <n v="24"/>
    <x v="2"/>
    <d v="2026-08-25T01:18:00"/>
    <s v="No"/>
    <m/>
    <s v="Resolved On First Contact"/>
    <n v="4.0166666666627862"/>
    <x v="1"/>
  </r>
  <r>
    <s v="TCK-22808"/>
    <d v="2026-05-08T12:24:00"/>
    <s v="Billing Support"/>
    <x v="5"/>
    <x v="0"/>
    <x v="0"/>
    <x v="3"/>
    <x v="1"/>
    <n v="48"/>
    <x v="0"/>
    <d v="2026-05-08T17:47:00"/>
    <s v="No"/>
    <m/>
    <s v="Not Specified"/>
    <n v="5.3833333332440816"/>
    <x v="0"/>
  </r>
  <r>
    <s v="TCK-21885"/>
    <d v="2026-08-13T08:05:00"/>
    <s v="Billing Support"/>
    <x v="0"/>
    <x v="0"/>
    <x v="1"/>
    <x v="1"/>
    <x v="1"/>
    <n v="48"/>
    <x v="0"/>
    <d v="2026-08-14T03:56:00"/>
    <s v="No"/>
    <m/>
    <s v="Not Specified"/>
    <n v="19.850000000093132"/>
    <x v="0"/>
  </r>
  <r>
    <s v="TCK-22509"/>
    <d v="2026-04-30T09:21:00"/>
    <s v="Tier 2 Support"/>
    <x v="3"/>
    <x v="2"/>
    <x v="0"/>
    <x v="2"/>
    <x v="2"/>
    <n v="8"/>
    <x v="4"/>
    <s v="Missing Resolve Date"/>
    <s v="Yes"/>
    <m/>
    <s v="Technical Issue Resolved Remotely"/>
    <s v=""/>
    <x v="1"/>
  </r>
  <r>
    <s v="TCK-20982"/>
    <d v="2026-03-01T02:34:00"/>
    <s v="Technical Support"/>
    <x v="4"/>
    <x v="6"/>
    <x v="2"/>
    <x v="3"/>
    <x v="0"/>
    <n v="24"/>
    <x v="4"/>
    <s v="Missing Resolve Date"/>
    <s v="Yes"/>
    <m/>
    <s v="Customer Satisfied With Resolution"/>
    <s v=""/>
    <x v="1"/>
  </r>
  <r>
    <s v="TCK-21214"/>
    <d v="2026-01-24T14:34:00"/>
    <s v="Technical Support"/>
    <x v="4"/>
    <x v="5"/>
    <x v="1"/>
    <x v="1"/>
    <x v="0"/>
    <n v="24"/>
    <x v="0"/>
    <d v="2026-01-24T16:40:00"/>
    <s v="No"/>
    <m/>
    <s v="Escalated To Senior Agent"/>
    <n v="2.1000000000349246"/>
    <x v="0"/>
  </r>
  <r>
    <s v="TCK-21430"/>
    <d v="2026-01-05T08:53:00"/>
    <s v="Billing Support"/>
    <x v="0"/>
    <x v="2"/>
    <x v="2"/>
    <x v="3"/>
    <x v="0"/>
    <n v="24"/>
    <x v="2"/>
    <d v="2026-01-05T13:15:00"/>
    <s v="No"/>
    <m/>
    <s v="Required Follow-Up Call"/>
    <n v="4.3666666667559184"/>
    <x v="1"/>
  </r>
  <r>
    <s v="TCK-22045"/>
    <d v="2026-01-04T04:56:00"/>
    <s v="Tier 1 Support"/>
    <x v="1"/>
    <x v="1"/>
    <x v="3"/>
    <x v="2"/>
    <x v="2"/>
    <n v="8"/>
    <x v="3"/>
    <d v="2026-01-04T11:46:00"/>
    <s v="No"/>
    <m/>
    <s v="Repeat Issue From Same Customer"/>
    <n v="6.8333333332557231"/>
    <x v="1"/>
  </r>
  <r>
    <s v="TCK-20391"/>
    <d v="2026-07-05T05:49:00"/>
    <s v="Tier 2 Support"/>
    <x v="2"/>
    <x v="0"/>
    <x v="2"/>
    <x v="5"/>
    <x v="0"/>
    <n v="24"/>
    <x v="0"/>
    <d v="2026-07-05T19:22:00"/>
    <s v="No"/>
    <m/>
    <s v="Customer Satisfied With Resolution"/>
    <n v="13.549999999988358"/>
    <x v="0"/>
  </r>
  <r>
    <s v="TCK-21287"/>
    <d v="2026-08-01T23:31:00"/>
    <s v="Technical Support"/>
    <x v="6"/>
    <x v="6"/>
    <x v="2"/>
    <x v="4"/>
    <x v="1"/>
    <n v="48"/>
    <x v="2"/>
    <d v="2026-08-02T07:34:00"/>
    <s v="No"/>
    <n v="5"/>
    <s v="Resolved On First Contact"/>
    <n v="8.0500000000465661"/>
    <x v="1"/>
  </r>
  <r>
    <s v="TCK-22599"/>
    <d v="2026-05-12T11:15:00"/>
    <s v="Tier 2 Support"/>
    <x v="3"/>
    <x v="0"/>
    <x v="1"/>
    <x v="4"/>
    <x v="1"/>
    <n v="48"/>
    <x v="0"/>
    <d v="2026-05-13T08:49:00"/>
    <s v="Yes"/>
    <n v="5"/>
    <s v="Technical Issue Resolved Remotely"/>
    <n v="21.566666666592937"/>
    <x v="0"/>
  </r>
  <r>
    <s v="TCK-20093"/>
    <d v="2026-03-21T20:35:00"/>
    <s v="Tier 2 Support"/>
    <x v="3"/>
    <x v="5"/>
    <x v="2"/>
    <x v="1"/>
    <x v="3"/>
    <n v="4"/>
    <x v="2"/>
    <d v="2026-03-21T23:08:00"/>
    <s v="No"/>
    <m/>
    <s v="Awaiting Customer Response"/>
    <n v="2.5499999999301508"/>
    <x v="1"/>
  </r>
  <r>
    <s v="TCK-20565"/>
    <d v="2026-06-17T05:57:00"/>
    <s v="Technical Support"/>
    <x v="4"/>
    <x v="1"/>
    <x v="0"/>
    <x v="3"/>
    <x v="0"/>
    <n v="24"/>
    <x v="5"/>
    <s v="Missing Resolve Date"/>
    <s v="No"/>
    <m/>
    <s v="Escalated To Senior Agent"/>
    <s v=""/>
    <x v="1"/>
  </r>
  <r>
    <s v="TCK-22412"/>
    <d v="2026-03-06T10:36:00"/>
    <s v="Tier 2 Support"/>
    <x v="2"/>
    <x v="2"/>
    <x v="2"/>
    <x v="1"/>
    <x v="3"/>
    <n v="4"/>
    <x v="5"/>
    <s v="Missing Resolve Date"/>
    <s v="No"/>
    <m/>
    <s v="Required Follow-Up Call"/>
    <s v=""/>
    <x v="1"/>
  </r>
  <r>
    <s v="TCK-21853"/>
    <d v="2026-05-12T10:36:00"/>
    <s v="Billing Support"/>
    <x v="0"/>
    <x v="6"/>
    <x v="1"/>
    <x v="5"/>
    <x v="1"/>
    <n v="48"/>
    <x v="5"/>
    <s v="Missing Resolve Date"/>
    <s v="No"/>
    <m/>
    <s v="Repeat Issue From Same Customer"/>
    <s v=""/>
    <x v="1"/>
  </r>
  <r>
    <s v="TCK-21739"/>
    <d v="2026-03-06T13:03:00"/>
    <s v="Tier 2 Support"/>
    <x v="2"/>
    <x v="1"/>
    <x v="1"/>
    <x v="4"/>
    <x v="0"/>
    <n v="24"/>
    <x v="2"/>
    <d v="2026-03-09T06:33:00"/>
    <s v="No"/>
    <n v="2"/>
    <s v="Resolved On First Contact"/>
    <n v="65.500000000116415"/>
    <x v="1"/>
  </r>
  <r>
    <s v="TCK-20275"/>
    <d v="2026-01-09T23:26:00"/>
    <s v="Tier 2 Support"/>
    <x v="2"/>
    <x v="6"/>
    <x v="1"/>
    <x v="2"/>
    <x v="2"/>
    <n v="8"/>
    <x v="0"/>
    <d v="2026-01-10T00:01:00"/>
    <s v="No"/>
    <n v="4"/>
    <s v="Required Follow-Up Call"/>
    <n v="0.58333333331393078"/>
    <x v="0"/>
  </r>
  <r>
    <s v="TCK-20251"/>
    <d v="2026-01-24T08:21:00"/>
    <s v="Tier 2 Support"/>
    <x v="2"/>
    <x v="1"/>
    <x v="3"/>
    <x v="3"/>
    <x v="0"/>
    <n v="24"/>
    <x v="0"/>
    <d v="2026-01-24T09:51:00"/>
    <s v="No"/>
    <n v="5"/>
    <s v="Customer Requested Refund"/>
    <n v="1.5"/>
    <x v="0"/>
  </r>
  <r>
    <s v="TCK-21637"/>
    <d v="2026-01-31T07:50:00"/>
    <s v="Billing Support"/>
    <x v="5"/>
    <x v="2"/>
    <x v="0"/>
    <x v="0"/>
    <x v="0"/>
    <n v="24"/>
    <x v="5"/>
    <s v="Missing Resolve Date"/>
    <s v="No"/>
    <m/>
    <s v="Customer Requested Refund"/>
    <s v=""/>
    <x v="1"/>
  </r>
  <r>
    <s v="TCK-21110"/>
    <d v="2026-06-07T01:28:00"/>
    <s v="Tier 2 Support"/>
    <x v="3"/>
    <x v="1"/>
    <x v="1"/>
    <x v="3"/>
    <x v="3"/>
    <n v="4"/>
    <x v="0"/>
    <d v="2026-06-07T08:13:00"/>
    <s v="No"/>
    <n v="5"/>
    <s v="Technical Issue Resolved Remotely"/>
    <n v="6.75"/>
    <x v="2"/>
  </r>
  <r>
    <s v="TCK-21765"/>
    <d v="2026-08-10T15:18:00"/>
    <s v="Technical Support"/>
    <x v="6"/>
    <x v="6"/>
    <x v="3"/>
    <x v="5"/>
    <x v="2"/>
    <n v="8"/>
    <x v="4"/>
    <s v="Missing Resolve Date"/>
    <s v="Yes"/>
    <m/>
    <s v="Not Specified"/>
    <s v=""/>
    <x v="1"/>
  </r>
  <r>
    <s v="TCK-21693"/>
    <d v="2026-04-01T20:14:00"/>
    <s v="Tier 1 Support"/>
    <x v="1"/>
    <x v="0"/>
    <x v="2"/>
    <x v="0"/>
    <x v="0"/>
    <n v="24"/>
    <x v="0"/>
    <d v="2026-04-02T07:07:00"/>
    <s v="No"/>
    <n v="4"/>
    <s v="Repeat Issue From Same Customer"/>
    <n v="10.883333333360497"/>
    <x v="0"/>
  </r>
  <r>
    <s v="TCK-23100"/>
    <d v="2026-04-29T04:26:00"/>
    <s v="Billing Support"/>
    <x v="0"/>
    <x v="3"/>
    <x v="0"/>
    <x v="3"/>
    <x v="2"/>
    <n v="8"/>
    <x v="3"/>
    <d v="2026-04-29T11:23:00"/>
    <s v="No"/>
    <m/>
    <s v="Not Specified"/>
    <n v="6.9500000001280569"/>
    <x v="1"/>
  </r>
  <r>
    <s v="TCK-21689"/>
    <d v="2026-03-28T15:15:00"/>
    <s v="Technical Support"/>
    <x v="4"/>
    <x v="0"/>
    <x v="2"/>
    <x v="3"/>
    <x v="1"/>
    <n v="48"/>
    <x v="1"/>
    <s v="Missing Resolve Date"/>
    <s v="No"/>
    <m/>
    <s v="Escalated To Senior Agent"/>
    <s v=""/>
    <x v="1"/>
  </r>
  <r>
    <s v="TCK-22110"/>
    <d v="2026-04-08T10:43:00"/>
    <s v="Technical Support"/>
    <x v="4"/>
    <x v="2"/>
    <x v="0"/>
    <x v="3"/>
    <x v="0"/>
    <n v="24"/>
    <x v="4"/>
    <s v="Missing Resolve Date"/>
    <s v="Yes"/>
    <m/>
    <s v="Resolved On First Contact"/>
    <s v=""/>
    <x v="1"/>
  </r>
  <r>
    <s v="TCK-22510"/>
    <d v="2026-05-26T10:08:00"/>
    <s v="Tier 1 Support"/>
    <x v="7"/>
    <x v="6"/>
    <x v="2"/>
    <x v="0"/>
    <x v="1"/>
    <n v="48"/>
    <x v="4"/>
    <s v="Missing Resolve Date"/>
    <s v="Yes"/>
    <m/>
    <s v="Escalated To Senior Agent"/>
    <s v=""/>
    <x v="1"/>
  </r>
  <r>
    <s v="TCK-21788"/>
    <d v="2026-08-30T23:18:00"/>
    <s v="Billing Support"/>
    <x v="5"/>
    <x v="1"/>
    <x v="0"/>
    <x v="5"/>
    <x v="1"/>
    <n v="48"/>
    <x v="2"/>
    <d v="2026-08-30T23:59:00"/>
    <s v="No"/>
    <n v="4"/>
    <s v="Required Follow-Up Call"/>
    <n v="0.68333333329064772"/>
    <x v="1"/>
  </r>
  <r>
    <s v="TCK-21161"/>
    <d v="2026-08-19T00:55:00"/>
    <s v="Billing Support"/>
    <x v="5"/>
    <x v="4"/>
    <x v="2"/>
    <x v="5"/>
    <x v="0"/>
    <n v="24"/>
    <x v="1"/>
    <s v="Missing Resolve Date"/>
    <s v="No"/>
    <m/>
    <s v="Not Specified"/>
    <s v=""/>
    <x v="1"/>
  </r>
  <r>
    <s v="TCK-21014"/>
    <d v="2026-05-18T18:30:00"/>
    <s v="Tier 2 Support"/>
    <x v="2"/>
    <x v="6"/>
    <x v="2"/>
    <x v="1"/>
    <x v="1"/>
    <n v="48"/>
    <x v="3"/>
    <d v="2026-05-19T07:03:00"/>
    <s v="No"/>
    <m/>
    <s v="Customer Satisfied With Resolution"/>
    <n v="12.549999999871943"/>
    <x v="1"/>
  </r>
  <r>
    <s v="TCK-20839"/>
    <d v="2026-04-26T07:53:00"/>
    <s v="Technical Support"/>
    <x v="4"/>
    <x v="2"/>
    <x v="2"/>
    <x v="4"/>
    <x v="0"/>
    <n v="24"/>
    <x v="0"/>
    <d v="2026-04-26T16:18:00"/>
    <s v="No"/>
    <m/>
    <s v="Escalated To Senior Agent"/>
    <n v="8.4166666666860692"/>
    <x v="0"/>
  </r>
  <r>
    <s v="TCK-23099"/>
    <d v="2026-01-13T20:23:00"/>
    <s v="Technical Support"/>
    <x v="4"/>
    <x v="0"/>
    <x v="3"/>
    <x v="2"/>
    <x v="1"/>
    <n v="48"/>
    <x v="1"/>
    <s v="Missing Resolve Date"/>
    <s v="No"/>
    <m/>
    <s v="Not Specified"/>
    <s v=""/>
    <x v="1"/>
  </r>
  <r>
    <s v="TCK-22283"/>
    <d v="2026-08-17T07:42:00"/>
    <s v="Billing Support"/>
    <x v="0"/>
    <x v="1"/>
    <x v="1"/>
    <x v="1"/>
    <x v="2"/>
    <n v="8"/>
    <x v="1"/>
    <s v="Missing Resolve Date"/>
    <s v="No"/>
    <m/>
    <s v="Not Specified"/>
    <s v=""/>
    <x v="1"/>
  </r>
  <r>
    <s v="TCK-20667"/>
    <d v="2026-04-05T15:50:00"/>
    <s v="Tier 1 Support"/>
    <x v="1"/>
    <x v="6"/>
    <x v="0"/>
    <x v="2"/>
    <x v="1"/>
    <n v="48"/>
    <x v="0"/>
    <d v="2026-04-05T20:04:00"/>
    <s v="No"/>
    <n v="5"/>
    <s v="Not Specified"/>
    <n v="4.2333333333372138"/>
    <x v="0"/>
  </r>
  <r>
    <s v="TCK-21627"/>
    <d v="2026-08-06T01:26:00"/>
    <s v="Billing Support"/>
    <x v="0"/>
    <x v="5"/>
    <x v="0"/>
    <x v="3"/>
    <x v="2"/>
    <n v="8"/>
    <x v="0"/>
    <s v="Missing Resolve Date"/>
    <s v="No"/>
    <n v="5"/>
    <s v="Resolved On First Contact"/>
    <s v=""/>
    <x v="2"/>
  </r>
  <r>
    <s v="TCK-22691"/>
    <d v="2026-07-29T08:41:00"/>
    <s v="Tier 1 Support"/>
    <x v="1"/>
    <x v="0"/>
    <x v="3"/>
    <x v="5"/>
    <x v="2"/>
    <n v="8"/>
    <x v="5"/>
    <s v="Missing Resolve Date"/>
    <s v="No"/>
    <m/>
    <s v="Not Specified"/>
    <s v=""/>
    <x v="1"/>
  </r>
  <r>
    <s v="TCK-21638"/>
    <d v="2026-02-25T08:04:00"/>
    <s v="Billing Support"/>
    <x v="0"/>
    <x v="3"/>
    <x v="2"/>
    <x v="0"/>
    <x v="0"/>
    <n v="24"/>
    <x v="2"/>
    <d v="2026-02-25T12:14:00"/>
    <s v="No"/>
    <n v="5"/>
    <s v="Resolved On First Contact"/>
    <n v="4.1666666668024845"/>
    <x v="1"/>
  </r>
  <r>
    <s v="TCK-20703"/>
    <d v="2026-01-18T05:27:00"/>
    <s v="Billing Support"/>
    <x v="0"/>
    <x v="2"/>
    <x v="1"/>
    <x v="4"/>
    <x v="0"/>
    <n v="24"/>
    <x v="1"/>
    <s v="Missing Resolve Date"/>
    <s v="No"/>
    <m/>
    <s v="Not Specified"/>
    <s v=""/>
    <x v="1"/>
  </r>
  <r>
    <s v="TCK-21714"/>
    <d v="2026-06-13T10:56:00"/>
    <s v="Tier 1 Support"/>
    <x v="7"/>
    <x v="3"/>
    <x v="0"/>
    <x v="0"/>
    <x v="2"/>
    <n v="8"/>
    <x v="0"/>
    <d v="2026-06-13T14:44:00"/>
    <s v="No"/>
    <n v="3"/>
    <s v="Customer Requested Refund"/>
    <n v="3.7999999999883585"/>
    <x v="0"/>
  </r>
  <r>
    <s v="TCK-22265"/>
    <d v="2026-04-14T21:50:00"/>
    <s v="Tier 1 Support"/>
    <x v="1"/>
    <x v="0"/>
    <x v="3"/>
    <x v="4"/>
    <x v="2"/>
    <n v="8"/>
    <x v="4"/>
    <s v="Missing Resolve Date"/>
    <s v="Yes"/>
    <m/>
    <s v="Repeat Issue From Same Customer"/>
    <s v=""/>
    <x v="1"/>
  </r>
  <r>
    <s v="TCK-20929"/>
    <d v="2026-03-05T19:38:00"/>
    <s v="Tier 1 Support"/>
    <x v="1"/>
    <x v="3"/>
    <x v="3"/>
    <x v="3"/>
    <x v="0"/>
    <n v="24"/>
    <x v="5"/>
    <s v="Missing Resolve Date"/>
    <s v="No"/>
    <m/>
    <s v="Customer Satisfied With Resolution"/>
    <s v=""/>
    <x v="1"/>
  </r>
  <r>
    <s v="TCK-20284"/>
    <d v="2026-02-27T08:55:00"/>
    <s v="Tier 1 Support"/>
    <x v="1"/>
    <x v="0"/>
    <x v="3"/>
    <x v="0"/>
    <x v="1"/>
    <n v="48"/>
    <x v="0"/>
    <d v="2026-02-28T16:14:00"/>
    <s v="No"/>
    <m/>
    <s v="Repeat Issue From Same Customer"/>
    <n v="31.316666666592937"/>
    <x v="0"/>
  </r>
  <r>
    <s v="TCK-22505"/>
    <d v="2026-01-30T01:07:00"/>
    <s v="Tier 1 Support"/>
    <x v="1"/>
    <x v="5"/>
    <x v="2"/>
    <x v="4"/>
    <x v="1"/>
    <n v="48"/>
    <x v="5"/>
    <s v="Missing Resolve Date"/>
    <s v="No"/>
    <m/>
    <s v="Customer Requested Refund"/>
    <s v=""/>
    <x v="1"/>
  </r>
  <r>
    <s v="TCK-21878"/>
    <d v="2026-06-29T18:17:00"/>
    <s v="Tier 2 Support"/>
    <x v="2"/>
    <x v="5"/>
    <x v="1"/>
    <x v="1"/>
    <x v="0"/>
    <n v="24"/>
    <x v="2"/>
    <d v="2026-06-30T01:35:00"/>
    <s v="No"/>
    <n v="5"/>
    <s v="Customer Satisfied With Resolution"/>
    <n v="7.2999999998719431"/>
    <x v="1"/>
  </r>
  <r>
    <s v="TCK-22198"/>
    <d v="2026-08-06T11:58:00"/>
    <s v="Technical Support"/>
    <x v="6"/>
    <x v="1"/>
    <x v="3"/>
    <x v="3"/>
    <x v="1"/>
    <n v="48"/>
    <x v="4"/>
    <s v="Missing Resolve Date"/>
    <s v="Yes"/>
    <m/>
    <s v="Awaiting Customer Response"/>
    <s v=""/>
    <x v="1"/>
  </r>
  <r>
    <s v="TCK-23097"/>
    <d v="2026-07-22T01:24:00"/>
    <s v="Technical Support"/>
    <x v="6"/>
    <x v="6"/>
    <x v="0"/>
    <x v="0"/>
    <x v="2"/>
    <n v="8"/>
    <x v="2"/>
    <s v="Missing Resolve Date"/>
    <s v="No"/>
    <n v="5"/>
    <s v="Required Follow-Up Call"/>
    <s v=""/>
    <x v="1"/>
  </r>
  <r>
    <s v="TCK-21478"/>
    <d v="2026-08-14T01:32:00"/>
    <s v="Technical Support"/>
    <x v="6"/>
    <x v="0"/>
    <x v="1"/>
    <x v="0"/>
    <x v="1"/>
    <n v="48"/>
    <x v="0"/>
    <d v="2026-08-14T13:05:00"/>
    <s v="No"/>
    <n v="5"/>
    <s v="Resolved On First Contact"/>
    <n v="11.550000000104774"/>
    <x v="0"/>
  </r>
  <r>
    <s v="TCK-21606"/>
    <d v="2026-05-29T22:33:00"/>
    <s v="Billing Support"/>
    <x v="5"/>
    <x v="1"/>
    <x v="1"/>
    <x v="1"/>
    <x v="0"/>
    <n v="24"/>
    <x v="1"/>
    <s v="Missing Resolve Date"/>
    <s v="No"/>
    <m/>
    <s v="Not Specified"/>
    <s v=""/>
    <x v="1"/>
  </r>
  <r>
    <s v="TCK-23200"/>
    <d v="2026-03-27T09:18:00"/>
    <s v="Tier 1 Support"/>
    <x v="7"/>
    <x v="5"/>
    <x v="1"/>
    <x v="4"/>
    <x v="1"/>
    <n v="48"/>
    <x v="2"/>
    <d v="2026-03-27T17:55:00"/>
    <s v="No"/>
    <n v="5"/>
    <s v="Resolved On First Contact"/>
    <n v="8.6166666668141261"/>
    <x v="1"/>
  </r>
  <r>
    <s v="TCK-20811"/>
    <d v="2026-06-24T09:37:00"/>
    <s v="Billing Support"/>
    <x v="5"/>
    <x v="4"/>
    <x v="1"/>
    <x v="2"/>
    <x v="1"/>
    <n v="48"/>
    <x v="0"/>
    <d v="2026-06-25T12:38:00"/>
    <s v="No"/>
    <n v="5"/>
    <s v="Customer Requested Refund"/>
    <n v="27.016666666720994"/>
    <x v="0"/>
  </r>
  <r>
    <s v="TCK-21994"/>
    <d v="2026-04-30T19:26:00"/>
    <s v="Billing Support"/>
    <x v="5"/>
    <x v="3"/>
    <x v="2"/>
    <x v="2"/>
    <x v="1"/>
    <n v="48"/>
    <x v="0"/>
    <d v="2026-05-03T07:39:00"/>
    <s v="No"/>
    <n v="4"/>
    <s v="Customer Requested Refund"/>
    <n v="60.216666666674428"/>
    <x v="2"/>
  </r>
  <r>
    <s v="TCK-22964"/>
    <d v="2026-02-20T19:52:00"/>
    <s v="Billing Support"/>
    <x v="5"/>
    <x v="6"/>
    <x v="2"/>
    <x v="5"/>
    <x v="0"/>
    <n v="24"/>
    <x v="5"/>
    <s v="Missing Resolve Date"/>
    <s v="No"/>
    <m/>
    <s v="Required Follow-Up Call"/>
    <s v=""/>
    <x v="1"/>
  </r>
  <r>
    <s v="TCK-21572"/>
    <d v="2026-03-10T23:23:00"/>
    <s v="Billing Support"/>
    <x v="0"/>
    <x v="0"/>
    <x v="3"/>
    <x v="3"/>
    <x v="0"/>
    <n v="24"/>
    <x v="0"/>
    <d v="2026-03-11T03:56:00"/>
    <s v="No"/>
    <n v="4"/>
    <s v="Required Follow-Up Call"/>
    <n v="4.5499999999883585"/>
    <x v="0"/>
  </r>
  <r>
    <s v="TCK-20103"/>
    <d v="2026-04-26T06:50:00"/>
    <s v="Tier 2 Support"/>
    <x v="2"/>
    <x v="1"/>
    <x v="3"/>
    <x v="0"/>
    <x v="1"/>
    <n v="48"/>
    <x v="1"/>
    <s v="Missing Resolve Date"/>
    <s v="No"/>
    <m/>
    <s v="Customer Satisfied With Resolution"/>
    <s v=""/>
    <x v="1"/>
  </r>
  <r>
    <s v="TCK-23188"/>
    <d v="2026-07-15T09:55:00"/>
    <s v="Technical Support"/>
    <x v="4"/>
    <x v="0"/>
    <x v="0"/>
    <x v="2"/>
    <x v="0"/>
    <n v="24"/>
    <x v="0"/>
    <d v="2026-07-16T03:40:00"/>
    <s v="No"/>
    <n v="2"/>
    <s v="Technical Issue Resolved Remotely"/>
    <n v="17.750000000058208"/>
    <x v="0"/>
  </r>
  <r>
    <s v="TCK-23056"/>
    <d v="2026-02-10T00:26:00"/>
    <s v="Billing Support"/>
    <x v="5"/>
    <x v="6"/>
    <x v="3"/>
    <x v="5"/>
    <x v="1"/>
    <n v="48"/>
    <x v="3"/>
    <d v="2026-02-15T08:59:00"/>
    <s v="No"/>
    <m/>
    <s v="Resolved On First Contact"/>
    <n v="128.54999999993015"/>
    <x v="1"/>
  </r>
  <r>
    <s v="TCK-21471"/>
    <d v="2026-01-10T09:48:00"/>
    <s v="Technical Support"/>
    <x v="4"/>
    <x v="4"/>
    <x v="2"/>
    <x v="5"/>
    <x v="1"/>
    <n v="48"/>
    <x v="2"/>
    <d v="2026-01-11T09:54:00"/>
    <s v="No"/>
    <m/>
    <s v="Customer Requested Refund"/>
    <n v="24.099999999976717"/>
    <x v="1"/>
  </r>
  <r>
    <s v="TCK-20969"/>
    <d v="2026-05-30T06:35:00"/>
    <s v="Billing Support"/>
    <x v="5"/>
    <x v="5"/>
    <x v="0"/>
    <x v="3"/>
    <x v="2"/>
    <n v="8"/>
    <x v="0"/>
    <d v="2026-05-30T12:33:00"/>
    <s v="Yes"/>
    <n v="5"/>
    <s v="Awaiting Customer Response"/>
    <n v="5.9666666667326353"/>
    <x v="0"/>
  </r>
  <r>
    <s v="TCK-22015"/>
    <d v="2026-03-21T08:25:00"/>
    <s v="Billing Support"/>
    <x v="0"/>
    <x v="2"/>
    <x v="1"/>
    <x v="0"/>
    <x v="2"/>
    <n v="8"/>
    <x v="2"/>
    <d v="2026-03-21T15:20:00"/>
    <s v="No"/>
    <n v="3"/>
    <s v="Customer Requested Refund"/>
    <n v="6.9166666666860692"/>
    <x v="1"/>
  </r>
  <r>
    <s v="TCK-22592"/>
    <d v="2026-03-19T18:34:00"/>
    <s v="Billing Support"/>
    <x v="5"/>
    <x v="0"/>
    <x v="2"/>
    <x v="4"/>
    <x v="0"/>
    <n v="24"/>
    <x v="0"/>
    <d v="2026-03-22T09:30:00"/>
    <s v="No"/>
    <n v="3"/>
    <s v="Resolved On First Contact"/>
    <n v="62.933333333465271"/>
    <x v="2"/>
  </r>
  <r>
    <s v="TCK-21192"/>
    <d v="2026-06-16T06:29:00"/>
    <s v="Billing Support"/>
    <x v="5"/>
    <x v="6"/>
    <x v="0"/>
    <x v="2"/>
    <x v="1"/>
    <n v="48"/>
    <x v="2"/>
    <d v="2026-06-20T17:11:00"/>
    <s v="No"/>
    <m/>
    <s v="Resolved On First Contact"/>
    <n v="106.69999999995343"/>
    <x v="1"/>
  </r>
  <r>
    <s v="TCK-20914"/>
    <d v="2026-02-12T21:26:00"/>
    <s v="Technical Support"/>
    <x v="6"/>
    <x v="1"/>
    <x v="2"/>
    <x v="4"/>
    <x v="0"/>
    <n v="24"/>
    <x v="0"/>
    <d v="2026-02-13T08:11:00"/>
    <s v="No"/>
    <m/>
    <s v="Repeat Issue From Same Customer"/>
    <n v="10.749999999941792"/>
    <x v="0"/>
  </r>
  <r>
    <s v="TCK-20132"/>
    <d v="2026-06-04T12:51:00"/>
    <s v="Billing Support"/>
    <x v="5"/>
    <x v="2"/>
    <x v="2"/>
    <x v="4"/>
    <x v="1"/>
    <n v="48"/>
    <x v="0"/>
    <d v="2026-06-10T08:58:00"/>
    <s v="No"/>
    <m/>
    <s v="Customer Satisfied With Resolution"/>
    <n v="140.11666666675592"/>
    <x v="2"/>
  </r>
  <r>
    <s v="TCK-20292"/>
    <d v="2026-01-10T00:26:00"/>
    <s v="Billing Support"/>
    <x v="5"/>
    <x v="1"/>
    <x v="2"/>
    <x v="2"/>
    <x v="0"/>
    <n v="24"/>
    <x v="2"/>
    <d v="2026-01-10T12:22:00"/>
    <s v="No"/>
    <n v="1"/>
    <s v="Not Specified"/>
    <n v="11.933333333290648"/>
    <x v="1"/>
  </r>
  <r>
    <s v="TCK-21911"/>
    <d v="2026-07-19T12:47:00"/>
    <s v="Billing Support"/>
    <x v="0"/>
    <x v="4"/>
    <x v="2"/>
    <x v="2"/>
    <x v="2"/>
    <n v="8"/>
    <x v="0"/>
    <d v="2026-07-19T18:31:00"/>
    <s v="No"/>
    <n v="5"/>
    <s v="Repeat Issue From Same Customer"/>
    <n v="5.7333333333372138"/>
    <x v="0"/>
  </r>
  <r>
    <s v="TCK-20005"/>
    <d v="2026-02-27T12:35:00"/>
    <s v="Technical Support"/>
    <x v="4"/>
    <x v="3"/>
    <x v="0"/>
    <x v="3"/>
    <x v="0"/>
    <n v="24"/>
    <x v="0"/>
    <d v="2026-02-27T18:55:00"/>
    <s v="No"/>
    <m/>
    <s v="Not Specified"/>
    <n v="6.3333333333721384"/>
    <x v="0"/>
  </r>
  <r>
    <s v="TCK-21395"/>
    <d v="2026-07-09T00:45:00"/>
    <s v="Tier 1 Support"/>
    <x v="1"/>
    <x v="2"/>
    <x v="0"/>
    <x v="3"/>
    <x v="1"/>
    <n v="48"/>
    <x v="0"/>
    <d v="2026-07-10T02:36:00"/>
    <s v="No"/>
    <n v="4"/>
    <s v="Escalated To Senior Agent"/>
    <n v="25.849999999918509"/>
    <x v="0"/>
  </r>
  <r>
    <s v="TCK-22095"/>
    <d v="2026-05-09T02:23:00"/>
    <s v="Billing Support"/>
    <x v="0"/>
    <x v="3"/>
    <x v="3"/>
    <x v="0"/>
    <x v="2"/>
    <n v="8"/>
    <x v="0"/>
    <d v="2026-05-09T05:05:00"/>
    <s v="No"/>
    <m/>
    <s v="Required Follow-Up Call"/>
    <n v="2.6999999998952262"/>
    <x v="0"/>
  </r>
  <r>
    <s v="TCK-21419"/>
    <d v="2026-03-09T11:51:00"/>
    <s v="Tier 1 Support"/>
    <x v="1"/>
    <x v="1"/>
    <x v="0"/>
    <x v="4"/>
    <x v="0"/>
    <n v="24"/>
    <x v="0"/>
    <d v="2026-03-10T04:39:00"/>
    <s v="No"/>
    <n v="4"/>
    <s v="Customer Requested Refund"/>
    <n v="16.799999999930151"/>
    <x v="0"/>
  </r>
  <r>
    <s v="TCK-22021"/>
    <d v="2026-03-02T18:52:00"/>
    <s v="Billing Support"/>
    <x v="5"/>
    <x v="0"/>
    <x v="0"/>
    <x v="3"/>
    <x v="1"/>
    <n v="48"/>
    <x v="3"/>
    <d v="2026-03-03T04:19:00"/>
    <s v="No"/>
    <m/>
    <s v="Required Follow-Up Call"/>
    <n v="9.4499999998952262"/>
    <x v="1"/>
  </r>
  <r>
    <s v="TCK-22812"/>
    <d v="2026-02-10T23:09:00"/>
    <s v="Tier 2 Support"/>
    <x v="2"/>
    <x v="1"/>
    <x v="0"/>
    <x v="5"/>
    <x v="2"/>
    <n v="8"/>
    <x v="1"/>
    <s v="Missing Resolve Date"/>
    <s v="No"/>
    <m/>
    <s v="Not Specified"/>
    <s v=""/>
    <x v="1"/>
  </r>
  <r>
    <s v="TCK-20387"/>
    <d v="2026-02-13T05:42:00"/>
    <s v="Tier 1 Support"/>
    <x v="7"/>
    <x v="4"/>
    <x v="0"/>
    <x v="4"/>
    <x v="0"/>
    <n v="24"/>
    <x v="2"/>
    <d v="2026-02-13T18:03:00"/>
    <s v="No"/>
    <n v="5"/>
    <s v="Awaiting Customer Response"/>
    <n v="12.349999999918509"/>
    <x v="1"/>
  </r>
  <r>
    <s v="TCK-22781"/>
    <d v="2026-02-15T17:55:00"/>
    <s v="Technical Support"/>
    <x v="4"/>
    <x v="0"/>
    <x v="2"/>
    <x v="3"/>
    <x v="0"/>
    <n v="24"/>
    <x v="1"/>
    <s v="Missing Resolve Date"/>
    <s v="No"/>
    <m/>
    <s v="Repeat Issue From Same Customer"/>
    <s v=""/>
    <x v="1"/>
  </r>
  <r>
    <s v="TCK-22589"/>
    <d v="2026-01-08T00:10:00"/>
    <s v="Tier 1 Support"/>
    <x v="1"/>
    <x v="3"/>
    <x v="1"/>
    <x v="0"/>
    <x v="2"/>
    <n v="8"/>
    <x v="3"/>
    <d v="2026-01-08T02:12:00"/>
    <s v="No"/>
    <m/>
    <s v="Technical Issue Resolved Remotely"/>
    <n v="2.0333333333255723"/>
    <x v="1"/>
  </r>
  <r>
    <s v="TCK-21567"/>
    <d v="2026-06-29T21:53:00"/>
    <s v="Tier 2 Support"/>
    <x v="3"/>
    <x v="1"/>
    <x v="0"/>
    <x v="4"/>
    <x v="2"/>
    <n v="8"/>
    <x v="0"/>
    <d v="2026-06-30T02:25:00"/>
    <s v="No"/>
    <n v="5"/>
    <s v="Not Specified"/>
    <n v="4.5333333332673647"/>
    <x v="0"/>
  </r>
  <r>
    <s v="TCK-20229"/>
    <d v="2026-07-06T00:38:00"/>
    <s v="Tier 2 Support"/>
    <x v="3"/>
    <x v="4"/>
    <x v="3"/>
    <x v="0"/>
    <x v="1"/>
    <n v="48"/>
    <x v="3"/>
    <d v="2026-07-09T03:15:00"/>
    <s v="No"/>
    <m/>
    <s v="Not Specified"/>
    <n v="74.616666666639503"/>
    <x v="1"/>
  </r>
  <r>
    <s v="TCK-22084"/>
    <d v="2026-04-13T02:03:00"/>
    <s v="Tier 2 Support"/>
    <x v="2"/>
    <x v="5"/>
    <x v="3"/>
    <x v="1"/>
    <x v="0"/>
    <n v="24"/>
    <x v="0"/>
    <d v="2026-04-14T09:16:00"/>
    <s v="No"/>
    <m/>
    <s v="Not Specified"/>
    <n v="31.21666666661622"/>
    <x v="2"/>
  </r>
  <r>
    <s v="TCK-22150"/>
    <d v="2026-05-27T14:54:00"/>
    <s v="Tier 2 Support"/>
    <x v="2"/>
    <x v="1"/>
    <x v="3"/>
    <x v="2"/>
    <x v="1"/>
    <n v="48"/>
    <x v="0"/>
    <d v="2026-05-27T21:12:00"/>
    <s v="No"/>
    <n v="4"/>
    <s v="Customer Satisfied With Resolution"/>
    <n v="6.2999999999301508"/>
    <x v="0"/>
  </r>
  <r>
    <s v="TCK-21967"/>
    <d v="2026-02-05T17:33:00"/>
    <s v="Technical Support"/>
    <x v="6"/>
    <x v="6"/>
    <x v="0"/>
    <x v="2"/>
    <x v="1"/>
    <n v="48"/>
    <x v="5"/>
    <s v="Missing Resolve Date"/>
    <s v="No"/>
    <m/>
    <s v="Awaiting Customer Response"/>
    <s v=""/>
    <x v="1"/>
  </r>
  <r>
    <s v="TCK-20883"/>
    <d v="2026-03-07T11:45:00"/>
    <s v="Tier 2 Support"/>
    <x v="3"/>
    <x v="3"/>
    <x v="1"/>
    <x v="1"/>
    <x v="0"/>
    <n v="24"/>
    <x v="2"/>
    <d v="2026-03-07T22:51:00"/>
    <s v="No"/>
    <n v="4"/>
    <s v="Required Follow-Up Call"/>
    <n v="11.099999999860302"/>
    <x v="1"/>
  </r>
  <r>
    <s v="TCK-20718"/>
    <d v="2026-06-12T05:41:00"/>
    <s v="Tier 1 Support"/>
    <x v="1"/>
    <x v="6"/>
    <x v="3"/>
    <x v="2"/>
    <x v="2"/>
    <n v="8"/>
    <x v="0"/>
    <d v="2026-06-12T07:32:00"/>
    <s v="No"/>
    <n v="2"/>
    <s v="Customer Requested Refund"/>
    <n v="1.8499999999185093"/>
    <x v="0"/>
  </r>
  <r>
    <s v="TCK-23175"/>
    <d v="2026-08-25T01:17:00"/>
    <s v="Billing Support"/>
    <x v="0"/>
    <x v="0"/>
    <x v="3"/>
    <x v="0"/>
    <x v="1"/>
    <n v="48"/>
    <x v="3"/>
    <d v="2026-08-26T19:03:00"/>
    <s v="No"/>
    <m/>
    <s v="Resolved On First Contact"/>
    <n v="41.766666666604578"/>
    <x v="1"/>
  </r>
  <r>
    <s v="TCK-21526"/>
    <d v="2026-06-19T03:04:00"/>
    <s v="Tier 1 Support"/>
    <x v="7"/>
    <x v="5"/>
    <x v="1"/>
    <x v="3"/>
    <x v="1"/>
    <n v="48"/>
    <x v="0"/>
    <d v="2026-06-19T20:32:00"/>
    <s v="Yes"/>
    <m/>
    <s v="Customer Satisfied With Resolution"/>
    <n v="17.466666666674428"/>
    <x v="0"/>
  </r>
  <r>
    <s v="TCK-21350"/>
    <d v="2026-02-10T15:15:00"/>
    <s v="Technical Support"/>
    <x v="4"/>
    <x v="1"/>
    <x v="2"/>
    <x v="3"/>
    <x v="0"/>
    <n v="24"/>
    <x v="5"/>
    <s v="Missing Resolve Date"/>
    <s v="No"/>
    <m/>
    <s v="Repeat Issue From Same Customer"/>
    <s v=""/>
    <x v="1"/>
  </r>
  <r>
    <s v="TCK-20973"/>
    <d v="2026-07-05T05:13:00"/>
    <s v="Billing Support"/>
    <x v="0"/>
    <x v="3"/>
    <x v="1"/>
    <x v="0"/>
    <x v="1"/>
    <n v="48"/>
    <x v="3"/>
    <d v="2026-07-05T22:11:00"/>
    <s v="No"/>
    <m/>
    <s v="Resolved On First Contact"/>
    <n v="16.96666666661622"/>
    <x v="1"/>
  </r>
  <r>
    <s v="TCK-23187"/>
    <d v="2026-06-11T19:55:00"/>
    <s v="Technical Support"/>
    <x v="6"/>
    <x v="5"/>
    <x v="0"/>
    <x v="4"/>
    <x v="1"/>
    <n v="48"/>
    <x v="2"/>
    <d v="2026-06-12T01:53:00"/>
    <s v="Yes"/>
    <n v="5"/>
    <s v="Not Specified"/>
    <n v="5.9666666667326353"/>
    <x v="1"/>
  </r>
  <r>
    <s v="TCK-21382"/>
    <d v="2026-08-01T09:27:00"/>
    <s v="Billing Support"/>
    <x v="0"/>
    <x v="1"/>
    <x v="2"/>
    <x v="2"/>
    <x v="0"/>
    <n v="24"/>
    <x v="0"/>
    <d v="2026-08-01T15:50:00"/>
    <s v="No"/>
    <m/>
    <s v="Not Specified"/>
    <n v="6.3833333331858739"/>
    <x v="0"/>
  </r>
  <r>
    <s v="TCK-22597"/>
    <d v="2026-06-26T00:31:00"/>
    <s v="Billing Support"/>
    <x v="5"/>
    <x v="2"/>
    <x v="3"/>
    <x v="5"/>
    <x v="1"/>
    <n v="48"/>
    <x v="0"/>
    <d v="2026-06-27T01:40:00"/>
    <s v="No"/>
    <n v="5"/>
    <s v="Awaiting Customer Response"/>
    <n v="25.150000000081491"/>
    <x v="0"/>
  </r>
  <r>
    <s v="TCK-23021"/>
    <d v="2026-07-06T14:27:00"/>
    <s v="Tier 1 Support"/>
    <x v="7"/>
    <x v="3"/>
    <x v="0"/>
    <x v="4"/>
    <x v="0"/>
    <n v="24"/>
    <x v="2"/>
    <d v="2026-07-07T09:26:00"/>
    <s v="No"/>
    <n v="3"/>
    <s v="Not Specified"/>
    <n v="18.983333333395422"/>
    <x v="1"/>
  </r>
  <r>
    <s v="TCK-21312"/>
    <d v="2026-05-10T00:29:00"/>
    <s v="Tier 2 Support"/>
    <x v="3"/>
    <x v="4"/>
    <x v="3"/>
    <x v="5"/>
    <x v="2"/>
    <n v="8"/>
    <x v="0"/>
    <d v="2026-05-10T03:58:00"/>
    <s v="No"/>
    <n v="1"/>
    <s v="Required Follow-Up Call"/>
    <n v="3.4833333333372138"/>
    <x v="0"/>
  </r>
  <r>
    <s v="TCK-20438"/>
    <d v="2026-07-21T07:05:00"/>
    <s v="Technical Support"/>
    <x v="4"/>
    <x v="1"/>
    <x v="2"/>
    <x v="1"/>
    <x v="0"/>
    <n v="24"/>
    <x v="0"/>
    <d v="2026-07-23T21:23:00"/>
    <s v="No"/>
    <m/>
    <s v="Required Follow-Up Call"/>
    <n v="62.299999999988358"/>
    <x v="2"/>
  </r>
  <r>
    <s v="TCK-20737"/>
    <d v="2026-02-06T10:22:00"/>
    <s v="Tier 2 Support"/>
    <x v="2"/>
    <x v="2"/>
    <x v="0"/>
    <x v="0"/>
    <x v="1"/>
    <n v="48"/>
    <x v="2"/>
    <d v="2026-02-06T15:25:00"/>
    <s v="No"/>
    <n v="1"/>
    <s v="Repeat Issue From Same Customer"/>
    <n v="5.0500000000465661"/>
    <x v="1"/>
  </r>
  <r>
    <s v="TCK-23018"/>
    <d v="2026-05-20T09:54:00"/>
    <s v="Tier 1 Support"/>
    <x v="1"/>
    <x v="6"/>
    <x v="0"/>
    <x v="2"/>
    <x v="0"/>
    <n v="24"/>
    <x v="0"/>
    <d v="2026-05-21T02:52:00"/>
    <s v="No"/>
    <n v="5"/>
    <s v="Awaiting Customer Response"/>
    <n v="16.96666666661622"/>
    <x v="0"/>
  </r>
  <r>
    <s v="TCK-20288"/>
    <d v="2026-02-12T20:26:00"/>
    <s v="Technical Support"/>
    <x v="6"/>
    <x v="0"/>
    <x v="1"/>
    <x v="4"/>
    <x v="0"/>
    <n v="24"/>
    <x v="3"/>
    <d v="2026-02-15T13:36:00"/>
    <s v="No"/>
    <m/>
    <s v="Required Follow-Up Call"/>
    <n v="65.166666666569654"/>
    <x v="1"/>
  </r>
  <r>
    <s v="TCK-22226"/>
    <d v="2026-01-22T19:17:00"/>
    <s v="Technical Support"/>
    <x v="6"/>
    <x v="3"/>
    <x v="0"/>
    <x v="4"/>
    <x v="2"/>
    <n v="8"/>
    <x v="2"/>
    <d v="2026-01-22T23:39:00"/>
    <s v="No"/>
    <m/>
    <s v="Awaiting Customer Response"/>
    <n v="4.3666666667559184"/>
    <x v="1"/>
  </r>
  <r>
    <s v="TCK-22725"/>
    <d v="2026-01-29T00:04:00"/>
    <s v="Technical Support"/>
    <x v="6"/>
    <x v="0"/>
    <x v="3"/>
    <x v="3"/>
    <x v="0"/>
    <n v="24"/>
    <x v="0"/>
    <d v="2026-01-31T06:27:00"/>
    <s v="No"/>
    <n v="4"/>
    <s v="Customer Satisfied With Resolution"/>
    <n v="54.383333333360497"/>
    <x v="2"/>
  </r>
  <r>
    <s v="TCK-22575"/>
    <d v="2026-07-18T05:48:00"/>
    <s v="Technical Support"/>
    <x v="4"/>
    <x v="3"/>
    <x v="2"/>
    <x v="1"/>
    <x v="0"/>
    <n v="24"/>
    <x v="0"/>
    <d v="2026-07-18T21:45:00"/>
    <s v="No"/>
    <n v="5"/>
    <s v="Customer Satisfied With Resolution"/>
    <n v="15.949999999953434"/>
    <x v="0"/>
  </r>
  <r>
    <s v="TCK-21062"/>
    <d v="2026-04-05T16:57:00"/>
    <s v="Tier 2 Support"/>
    <x v="2"/>
    <x v="4"/>
    <x v="0"/>
    <x v="1"/>
    <x v="0"/>
    <n v="24"/>
    <x v="0"/>
    <d v="2026-04-05T20:56:00"/>
    <s v="No"/>
    <n v="3"/>
    <s v="Not Specified"/>
    <n v="3.9833333332207985"/>
    <x v="0"/>
  </r>
  <r>
    <s v="TCK-20319"/>
    <d v="2026-04-07T09:20:00"/>
    <s v="Technical Support"/>
    <x v="4"/>
    <x v="4"/>
    <x v="2"/>
    <x v="3"/>
    <x v="1"/>
    <n v="48"/>
    <x v="3"/>
    <d v="2026-04-08T16:51:00"/>
    <s v="No"/>
    <m/>
    <s v="Escalated To Senior Agent"/>
    <n v="31.516666666546371"/>
    <x v="1"/>
  </r>
  <r>
    <s v="TCK-21487"/>
    <d v="2026-04-20T09:05:00"/>
    <s v="Technical Support"/>
    <x v="6"/>
    <x v="4"/>
    <x v="2"/>
    <x v="5"/>
    <x v="0"/>
    <n v="24"/>
    <x v="2"/>
    <s v="Missing Resolve Date"/>
    <s v="No"/>
    <m/>
    <s v="Repeat Issue From Same Customer"/>
    <s v=""/>
    <x v="1"/>
  </r>
  <r>
    <s v="TCK-21944"/>
    <d v="2026-03-31T03:21:00"/>
    <s v="Technical Support"/>
    <x v="4"/>
    <x v="1"/>
    <x v="2"/>
    <x v="3"/>
    <x v="1"/>
    <n v="48"/>
    <x v="0"/>
    <d v="2026-04-04T23:53:00"/>
    <s v="No"/>
    <n v="4"/>
    <s v="Resolved On First Contact"/>
    <n v="116.53333333338378"/>
    <x v="2"/>
  </r>
  <r>
    <s v="TCK-21841"/>
    <d v="2026-06-28T15:19:00"/>
    <s v="Technical Support"/>
    <x v="4"/>
    <x v="5"/>
    <x v="1"/>
    <x v="3"/>
    <x v="0"/>
    <n v="24"/>
    <x v="3"/>
    <d v="2026-06-28T23:30:00"/>
    <s v="No"/>
    <m/>
    <s v="Repeat Issue From Same Customer"/>
    <n v="8.1833333332906477"/>
    <x v="1"/>
  </r>
  <r>
    <s v="TCK-20482"/>
    <d v="2026-07-18T03:06:00"/>
    <s v="Technical Support"/>
    <x v="6"/>
    <x v="4"/>
    <x v="1"/>
    <x v="0"/>
    <x v="0"/>
    <n v="24"/>
    <x v="4"/>
    <s v="Missing Resolve Date"/>
    <s v="Yes"/>
    <m/>
    <s v="Awaiting Customer Response"/>
    <s v=""/>
    <x v="1"/>
  </r>
  <r>
    <s v="TCK-20478"/>
    <d v="2026-08-20T14:59:00"/>
    <s v="Billing Support"/>
    <x v="5"/>
    <x v="2"/>
    <x v="3"/>
    <x v="3"/>
    <x v="2"/>
    <n v="8"/>
    <x v="1"/>
    <s v="Missing Resolve Date"/>
    <s v="No"/>
    <m/>
    <s v="Not Specified"/>
    <s v=""/>
    <x v="1"/>
  </r>
  <r>
    <s v="TCK-22474"/>
    <d v="2026-04-10T06:13:00"/>
    <s v="Billing Support"/>
    <x v="0"/>
    <x v="2"/>
    <x v="3"/>
    <x v="0"/>
    <x v="2"/>
    <n v="8"/>
    <x v="2"/>
    <d v="2026-04-10T06:50:00"/>
    <s v="No"/>
    <n v="4"/>
    <s v="Escalated To Senior Agent"/>
    <n v="0.61666666658129543"/>
    <x v="1"/>
  </r>
  <r>
    <s v="TCK-21992"/>
    <d v="2026-03-21T23:47:00"/>
    <s v="Tier 2 Support"/>
    <x v="3"/>
    <x v="1"/>
    <x v="1"/>
    <x v="1"/>
    <x v="2"/>
    <n v="8"/>
    <x v="0"/>
    <d v="2026-03-22T06:12:00"/>
    <s v="No"/>
    <n v="1"/>
    <s v="Awaiting Customer Response"/>
    <n v="6.4166666666278616"/>
    <x v="0"/>
  </r>
  <r>
    <s v="TCK-20951"/>
    <d v="2026-04-26T05:17:00"/>
    <s v="Technical Support"/>
    <x v="6"/>
    <x v="0"/>
    <x v="2"/>
    <x v="4"/>
    <x v="3"/>
    <n v="4"/>
    <x v="2"/>
    <d v="2026-04-26T17:04:00"/>
    <s v="No"/>
    <n v="3"/>
    <s v="Escalated To Senior Agent"/>
    <n v="11.783333333325572"/>
    <x v="1"/>
  </r>
  <r>
    <s v="TCK-22006"/>
    <d v="2026-06-29T17:35:00"/>
    <s v="Technical Support"/>
    <x v="4"/>
    <x v="6"/>
    <x v="2"/>
    <x v="4"/>
    <x v="3"/>
    <n v="4"/>
    <x v="0"/>
    <d v="2026-06-30T00:23:00"/>
    <s v="No"/>
    <m/>
    <s v="Customer Satisfied With Resolution"/>
    <n v="6.7999999999883585"/>
    <x v="2"/>
  </r>
  <r>
    <s v="TCK-20339"/>
    <d v="2026-06-22T17:46:00"/>
    <s v="Tier 1 Support"/>
    <x v="7"/>
    <x v="3"/>
    <x v="3"/>
    <x v="5"/>
    <x v="0"/>
    <n v="24"/>
    <x v="4"/>
    <s v="Missing Resolve Date"/>
    <s v="Yes"/>
    <m/>
    <s v="Required Follow-Up Call"/>
    <s v=""/>
    <x v="1"/>
  </r>
  <r>
    <s v="TCK-20120"/>
    <d v="2026-04-03T02:17:00"/>
    <s v="Tier 2 Support"/>
    <x v="2"/>
    <x v="3"/>
    <x v="2"/>
    <x v="3"/>
    <x v="0"/>
    <n v="24"/>
    <x v="5"/>
    <s v="Missing Resolve Date"/>
    <s v="No"/>
    <m/>
    <s v="Not Specified"/>
    <s v=""/>
    <x v="1"/>
  </r>
  <r>
    <s v="TCK-21408"/>
    <d v="2026-07-25T02:03:00"/>
    <s v="Billing Support"/>
    <x v="0"/>
    <x v="2"/>
    <x v="3"/>
    <x v="0"/>
    <x v="0"/>
    <n v="24"/>
    <x v="0"/>
    <d v="2026-07-25T16:15:00"/>
    <s v="No"/>
    <m/>
    <s v="Resolved On First Contact"/>
    <n v="14.200000000011642"/>
    <x v="0"/>
  </r>
  <r>
    <s v="TCK-20135"/>
    <d v="2026-08-25T11:22:00"/>
    <s v="Billing Support"/>
    <x v="5"/>
    <x v="1"/>
    <x v="2"/>
    <x v="5"/>
    <x v="1"/>
    <n v="48"/>
    <x v="2"/>
    <d v="2026-08-26T13:08:00"/>
    <s v="No"/>
    <m/>
    <s v="Not Specified"/>
    <n v="25.766666666662786"/>
    <x v="1"/>
  </r>
  <r>
    <s v="TCK-20831"/>
    <d v="2026-07-27T02:20:00"/>
    <s v="Tier 2 Support"/>
    <x v="3"/>
    <x v="4"/>
    <x v="2"/>
    <x v="3"/>
    <x v="1"/>
    <n v="48"/>
    <x v="4"/>
    <s v="Missing Resolve Date"/>
    <s v="Yes"/>
    <m/>
    <s v="Customer Requested Refund"/>
    <s v=""/>
    <x v="1"/>
  </r>
  <r>
    <s v="TCK-20416"/>
    <d v="2026-08-12T01:38:00"/>
    <s v="Tier 2 Support"/>
    <x v="2"/>
    <x v="3"/>
    <x v="0"/>
    <x v="1"/>
    <x v="0"/>
    <n v="24"/>
    <x v="0"/>
    <d v="2026-08-12T06:32:00"/>
    <s v="No"/>
    <m/>
    <s v="Repeat Issue From Same Customer"/>
    <n v="4.8999999999068677"/>
    <x v="0"/>
  </r>
  <r>
    <s v="TCK-22276"/>
    <d v="2026-02-12T03:44:00"/>
    <s v="Tier 1 Support"/>
    <x v="1"/>
    <x v="5"/>
    <x v="1"/>
    <x v="0"/>
    <x v="2"/>
    <n v="8"/>
    <x v="4"/>
    <s v="Missing Resolve Date"/>
    <s v="Yes"/>
    <m/>
    <s v="Customer Requested Refund"/>
    <s v=""/>
    <x v="1"/>
  </r>
  <r>
    <s v="TCK-20233"/>
    <d v="2026-04-02T16:50:00"/>
    <s v="Billing Support"/>
    <x v="5"/>
    <x v="4"/>
    <x v="0"/>
    <x v="1"/>
    <x v="0"/>
    <n v="24"/>
    <x v="2"/>
    <d v="2026-04-03T06:46:00"/>
    <s v="No"/>
    <n v="5"/>
    <s v="Repeat Issue From Same Customer"/>
    <n v="13.933333333348855"/>
    <x v="1"/>
  </r>
  <r>
    <s v="TCK-22904"/>
    <d v="2026-08-19T20:12:00"/>
    <s v="Tier 1 Support"/>
    <x v="1"/>
    <x v="2"/>
    <x v="3"/>
    <x v="4"/>
    <x v="1"/>
    <n v="48"/>
    <x v="5"/>
    <s v="Missing Resolve Date"/>
    <s v="No"/>
    <m/>
    <s v="Awaiting Customer Response"/>
    <s v=""/>
    <x v="1"/>
  </r>
  <r>
    <s v="TCK-22496"/>
    <d v="2026-04-02T14:08:00"/>
    <s v="Technical Support"/>
    <x v="4"/>
    <x v="1"/>
    <x v="0"/>
    <x v="5"/>
    <x v="2"/>
    <n v="8"/>
    <x v="0"/>
    <d v="2026-04-03T10:54:00"/>
    <s v="No"/>
    <n v="5"/>
    <s v="Repeat Issue From Same Customer"/>
    <n v="20.766666666779201"/>
    <x v="2"/>
  </r>
  <r>
    <s v="TCK-23120"/>
    <d v="2026-05-23T11:53:00"/>
    <s v="Technical Support"/>
    <x v="6"/>
    <x v="3"/>
    <x v="0"/>
    <x v="2"/>
    <x v="1"/>
    <n v="48"/>
    <x v="2"/>
    <d v="2026-05-24T19:22:00"/>
    <s v="Yes"/>
    <n v="1"/>
    <s v="Customer Requested Refund"/>
    <n v="31.483333333279006"/>
    <x v="1"/>
  </r>
  <r>
    <s v="TCK-20612"/>
    <d v="2026-04-16T08:55:00"/>
    <s v="Tier 1 Support"/>
    <x v="7"/>
    <x v="1"/>
    <x v="3"/>
    <x v="0"/>
    <x v="0"/>
    <n v="24"/>
    <x v="5"/>
    <s v="Missing Resolve Date"/>
    <s v="No"/>
    <m/>
    <s v="Customer Satisfied With Resolution"/>
    <s v=""/>
    <x v="1"/>
  </r>
  <r>
    <s v="TCK-20087"/>
    <d v="2026-05-08T12:25:00"/>
    <s v="Technical Support"/>
    <x v="6"/>
    <x v="4"/>
    <x v="3"/>
    <x v="3"/>
    <x v="2"/>
    <n v="8"/>
    <x v="5"/>
    <s v="Missing Resolve Date"/>
    <s v="No"/>
    <m/>
    <s v="Required Follow-Up Call"/>
    <s v=""/>
    <x v="1"/>
  </r>
  <r>
    <s v="TCK-20311"/>
    <d v="2026-08-18T05:17:00"/>
    <s v="Technical Support"/>
    <x v="4"/>
    <x v="4"/>
    <x v="3"/>
    <x v="0"/>
    <x v="2"/>
    <n v="8"/>
    <x v="0"/>
    <d v="2026-08-18T14:21:00"/>
    <s v="No"/>
    <m/>
    <s v="Repeat Issue From Same Customer"/>
    <n v="9.0666666667093523"/>
    <x v="2"/>
  </r>
  <r>
    <s v="TCK-21847"/>
    <d v="2026-07-15T14:45:00"/>
    <s v="Billing Support"/>
    <x v="5"/>
    <x v="2"/>
    <x v="1"/>
    <x v="5"/>
    <x v="3"/>
    <n v="4"/>
    <x v="0"/>
    <d v="2026-07-15T21:46:00"/>
    <s v="No"/>
    <n v="3"/>
    <s v="Customer Satisfied With Resolution"/>
    <n v="7.0166666666627862"/>
    <x v="2"/>
  </r>
  <r>
    <s v="TCK-21868"/>
    <d v="2026-06-04T20:22:00"/>
    <s v="Billing Support"/>
    <x v="0"/>
    <x v="0"/>
    <x v="3"/>
    <x v="0"/>
    <x v="0"/>
    <n v="24"/>
    <x v="2"/>
    <d v="2026-06-05T06:34:00"/>
    <s v="No"/>
    <n v="5"/>
    <s v="Customer Satisfied With Resolution"/>
    <n v="10.199999999895226"/>
    <x v="1"/>
  </r>
  <r>
    <s v="TCK-20344"/>
    <d v="2026-03-01T19:16:00"/>
    <s v="Billing Support"/>
    <x v="5"/>
    <x v="4"/>
    <x v="0"/>
    <x v="0"/>
    <x v="2"/>
    <n v="8"/>
    <x v="5"/>
    <s v="Missing Resolve Date"/>
    <s v="No"/>
    <m/>
    <s v="Awaiting Customer Response"/>
    <s v=""/>
    <x v="1"/>
  </r>
  <r>
    <s v="TCK-21111"/>
    <d v="2026-06-27T20:58:00"/>
    <s v="Technical Support"/>
    <x v="4"/>
    <x v="1"/>
    <x v="1"/>
    <x v="0"/>
    <x v="1"/>
    <n v="48"/>
    <x v="2"/>
    <d v="2026-07-02T09:06:00"/>
    <s v="No"/>
    <m/>
    <s v="Awaiting Customer Response"/>
    <n v="108.13333333324408"/>
    <x v="1"/>
  </r>
  <r>
    <s v="TCK-22050"/>
    <d v="2026-06-07T10:56:00"/>
    <s v="Tier 1 Support"/>
    <x v="7"/>
    <x v="6"/>
    <x v="0"/>
    <x v="3"/>
    <x v="1"/>
    <n v="48"/>
    <x v="2"/>
    <d v="2026-06-08T12:10:00"/>
    <s v="No"/>
    <m/>
    <s v="Required Follow-Up Call"/>
    <n v="25.233333333337214"/>
    <x v="1"/>
  </r>
  <r>
    <s v="TCK-23038"/>
    <d v="2026-01-28T07:42:00"/>
    <s v="Tier 1 Support"/>
    <x v="1"/>
    <x v="4"/>
    <x v="1"/>
    <x v="1"/>
    <x v="0"/>
    <n v="24"/>
    <x v="5"/>
    <s v="Missing Resolve Date"/>
    <s v="No"/>
    <m/>
    <s v="Required Follow-Up Call"/>
    <s v=""/>
    <x v="1"/>
  </r>
  <r>
    <s v="TCK-20562"/>
    <d v="2026-06-10T18:50:00"/>
    <s v="Technical Support"/>
    <x v="4"/>
    <x v="1"/>
    <x v="2"/>
    <x v="0"/>
    <x v="3"/>
    <n v="4"/>
    <x v="5"/>
    <s v="Missing Resolve Date"/>
    <s v="No"/>
    <m/>
    <s v="Resolved On First Contact"/>
    <s v=""/>
    <x v="1"/>
  </r>
  <r>
    <s v="TCK-21197"/>
    <d v="2026-07-01T03:11:00"/>
    <s v="Tier 2 Support"/>
    <x v="2"/>
    <x v="0"/>
    <x v="3"/>
    <x v="1"/>
    <x v="1"/>
    <n v="48"/>
    <x v="0"/>
    <d v="2026-07-02T05:14:00"/>
    <s v="No"/>
    <n v="5"/>
    <s v="Not Specified"/>
    <n v="26.049999999871943"/>
    <x v="0"/>
  </r>
  <r>
    <s v="TCK-21132"/>
    <d v="2026-07-05T01:50:00"/>
    <s v="Billing Support"/>
    <x v="5"/>
    <x v="3"/>
    <x v="0"/>
    <x v="5"/>
    <x v="1"/>
    <n v="48"/>
    <x v="2"/>
    <d v="2026-07-07T16:21:00"/>
    <s v="No"/>
    <n v="4"/>
    <s v="Not Specified"/>
    <n v="62.516666666662786"/>
    <x v="1"/>
  </r>
  <r>
    <s v="TCK-20917"/>
    <d v="2026-08-25T15:36:00"/>
    <s v="Technical Support"/>
    <x v="6"/>
    <x v="0"/>
    <x v="1"/>
    <x v="2"/>
    <x v="0"/>
    <n v="24"/>
    <x v="0"/>
    <d v="2026-08-25T20:41:00"/>
    <s v="No"/>
    <n v="3"/>
    <s v="Technical Issue Resolved Remotely"/>
    <n v="5.0833333333139308"/>
    <x v="0"/>
  </r>
  <r>
    <s v="TCK-20815"/>
    <d v="2026-07-18T01:52:00"/>
    <s v="Billing Support"/>
    <x v="0"/>
    <x v="5"/>
    <x v="0"/>
    <x v="2"/>
    <x v="1"/>
    <n v="48"/>
    <x v="2"/>
    <d v="2026-07-22T15:29:00"/>
    <s v="No"/>
    <m/>
    <s v="Repeat Issue From Same Customer"/>
    <n v="109.61666666669771"/>
    <x v="1"/>
  </r>
  <r>
    <s v="TCK-20957"/>
    <d v="2026-01-15T00:03:00"/>
    <s v="Tier 1 Support"/>
    <x v="1"/>
    <x v="2"/>
    <x v="3"/>
    <x v="5"/>
    <x v="0"/>
    <n v="24"/>
    <x v="3"/>
    <d v="2026-01-15T08:39:00"/>
    <s v="No"/>
    <m/>
    <s v="Repeat Issue From Same Customer"/>
    <n v="8.6000000000931323"/>
    <x v="1"/>
  </r>
  <r>
    <s v="TCK-21248"/>
    <d v="2026-04-28T11:06:00"/>
    <s v="Tier 1 Support"/>
    <x v="1"/>
    <x v="4"/>
    <x v="2"/>
    <x v="1"/>
    <x v="0"/>
    <n v="24"/>
    <x v="0"/>
    <d v="2026-04-28T19:49:00"/>
    <s v="No"/>
    <n v="1"/>
    <s v="Customer Requested Refund"/>
    <n v="8.71666666661622"/>
    <x v="0"/>
  </r>
  <r>
    <s v="TCK-20786"/>
    <d v="2026-06-10T12:19:00"/>
    <s v="Tier 2 Support"/>
    <x v="2"/>
    <x v="0"/>
    <x v="3"/>
    <x v="0"/>
    <x v="2"/>
    <n v="8"/>
    <x v="5"/>
    <s v="Missing Resolve Date"/>
    <s v="No"/>
    <m/>
    <s v="Not Specified"/>
    <s v=""/>
    <x v="1"/>
  </r>
  <r>
    <s v="TCK-21574"/>
    <d v="2026-03-10T18:46:00"/>
    <s v="Tier 1 Support"/>
    <x v="1"/>
    <x v="1"/>
    <x v="1"/>
    <x v="1"/>
    <x v="2"/>
    <n v="8"/>
    <x v="0"/>
    <d v="2026-03-10T20:49:00"/>
    <s v="No"/>
    <n v="1"/>
    <s v="Technical Issue Resolved Remotely"/>
    <n v="2.0499999998719431"/>
    <x v="0"/>
  </r>
  <r>
    <s v="TCK-22351"/>
    <d v="2026-05-22T06:14:00"/>
    <s v="Tier 2 Support"/>
    <x v="2"/>
    <x v="0"/>
    <x v="2"/>
    <x v="4"/>
    <x v="1"/>
    <n v="48"/>
    <x v="2"/>
    <d v="2026-05-26T18:07:00"/>
    <s v="No"/>
    <m/>
    <s v="Customer Requested Refund"/>
    <n v="107.88333333330229"/>
    <x v="1"/>
  </r>
  <r>
    <s v="TCK-22102"/>
    <d v="2026-07-30T08:00:00"/>
    <s v="Tier 1 Support"/>
    <x v="7"/>
    <x v="0"/>
    <x v="0"/>
    <x v="4"/>
    <x v="1"/>
    <n v="48"/>
    <x v="4"/>
    <s v="Missing Resolve Date"/>
    <s v="Yes"/>
    <m/>
    <s v="Technical Issue Resolved Remotely"/>
    <s v=""/>
    <x v="1"/>
  </r>
  <r>
    <s v="TCK-22263"/>
    <d v="2026-02-07T07:22:00"/>
    <s v="Tier 2 Support"/>
    <x v="3"/>
    <x v="2"/>
    <x v="3"/>
    <x v="1"/>
    <x v="0"/>
    <n v="24"/>
    <x v="0"/>
    <d v="2026-02-07T16:56:00"/>
    <s v="No"/>
    <n v="4"/>
    <s v="Repeat Issue From Same Customer"/>
    <n v="9.5666666667675599"/>
    <x v="0"/>
  </r>
  <r>
    <s v="TCK-20089"/>
    <d v="2026-02-22T03:48:00"/>
    <s v="Billing Support"/>
    <x v="5"/>
    <x v="2"/>
    <x v="2"/>
    <x v="4"/>
    <x v="0"/>
    <n v="24"/>
    <x v="3"/>
    <d v="2026-02-24T21:54:00"/>
    <s v="No"/>
    <m/>
    <s v="Resolved On First Contact"/>
    <n v="66.099999999976717"/>
    <x v="1"/>
  </r>
  <r>
    <s v="TCK-22521"/>
    <d v="2026-03-08T02:23:00"/>
    <s v="Tier 1 Support"/>
    <x v="7"/>
    <x v="0"/>
    <x v="0"/>
    <x v="2"/>
    <x v="0"/>
    <n v="24"/>
    <x v="0"/>
    <d v="2026-03-10T20:01:00"/>
    <s v="No"/>
    <m/>
    <s v="Customer Requested Refund"/>
    <n v="65.633333333185874"/>
    <x v="2"/>
  </r>
  <r>
    <s v="TCK-21477"/>
    <d v="2026-01-18T02:31:00"/>
    <s v="Tier 1 Support"/>
    <x v="7"/>
    <x v="2"/>
    <x v="3"/>
    <x v="5"/>
    <x v="3"/>
    <n v="4"/>
    <x v="3"/>
    <d v="2026-01-18T04:00:00"/>
    <s v="No"/>
    <m/>
    <s v="Required Follow-Up Call"/>
    <n v="1.4833333332790062"/>
    <x v="1"/>
  </r>
  <r>
    <s v="TCK-22610"/>
    <d v="2026-05-20T21:58:00"/>
    <s v="Tier 1 Support"/>
    <x v="7"/>
    <x v="5"/>
    <x v="1"/>
    <x v="4"/>
    <x v="0"/>
    <n v="24"/>
    <x v="4"/>
    <s v="Missing Resolve Date"/>
    <s v="Yes"/>
    <m/>
    <s v="Technical Issue Resolved Remotely"/>
    <s v=""/>
    <x v="1"/>
  </r>
  <r>
    <s v="TCK-22596"/>
    <d v="2026-06-07T21:25:00"/>
    <s v="Tier 2 Support"/>
    <x v="3"/>
    <x v="2"/>
    <x v="0"/>
    <x v="5"/>
    <x v="2"/>
    <n v="8"/>
    <x v="5"/>
    <s v="Missing Resolve Date"/>
    <s v="No"/>
    <m/>
    <s v="Technical Issue Resolved Remotely"/>
    <s v=""/>
    <x v="1"/>
  </r>
  <r>
    <s v="TCK-22807"/>
    <d v="2026-07-18T12:24:00"/>
    <s v="Tier 2 Support"/>
    <x v="3"/>
    <x v="0"/>
    <x v="0"/>
    <x v="5"/>
    <x v="2"/>
    <n v="8"/>
    <x v="0"/>
    <d v="2026-07-18T14:00:00"/>
    <s v="No"/>
    <n v="5"/>
    <s v="Resolved On First Contact"/>
    <n v="1.5999999999767169"/>
    <x v="0"/>
  </r>
  <r>
    <s v="TCK-20555"/>
    <d v="2026-03-22T21:18:00"/>
    <s v="Tier 2 Support"/>
    <x v="2"/>
    <x v="4"/>
    <x v="1"/>
    <x v="2"/>
    <x v="0"/>
    <n v="24"/>
    <x v="0"/>
    <d v="2026-03-23T02:47:00"/>
    <s v="No"/>
    <m/>
    <s v="Not Specified"/>
    <n v="5.4833333333954215"/>
    <x v="0"/>
  </r>
  <r>
    <s v="TCK-20757"/>
    <d v="2026-08-29T14:53:00"/>
    <s v="Tier 2 Support"/>
    <x v="2"/>
    <x v="6"/>
    <x v="1"/>
    <x v="0"/>
    <x v="1"/>
    <n v="48"/>
    <x v="0"/>
    <d v="2026-08-30T16:00:00"/>
    <s v="No"/>
    <m/>
    <s v="Repeat Issue From Same Customer"/>
    <n v="25.116666666639503"/>
    <x v="0"/>
  </r>
  <r>
    <s v="TCK-21207"/>
    <d v="2026-02-15T23:40:00"/>
    <s v="Tier 1 Support"/>
    <x v="1"/>
    <x v="0"/>
    <x v="1"/>
    <x v="2"/>
    <x v="2"/>
    <n v="8"/>
    <x v="0"/>
    <d v="2026-02-16T03:33:00"/>
    <s v="Yes"/>
    <n v="5"/>
    <s v="Not Specified"/>
    <n v="3.8833333334187046"/>
    <x v="0"/>
  </r>
  <r>
    <s v="TCK-20624"/>
    <d v="2026-04-05T19:14:00"/>
    <s v="Billing Support"/>
    <x v="0"/>
    <x v="1"/>
    <x v="1"/>
    <x v="5"/>
    <x v="0"/>
    <n v="24"/>
    <x v="4"/>
    <s v="Missing Resolve Date"/>
    <s v="Yes"/>
    <m/>
    <s v="Required Follow-Up Call"/>
    <s v=""/>
    <x v="1"/>
  </r>
  <r>
    <s v="TCK-20300"/>
    <d v="2026-03-01T07:11:00"/>
    <s v="Technical Support"/>
    <x v="6"/>
    <x v="2"/>
    <x v="3"/>
    <x v="0"/>
    <x v="1"/>
    <n v="48"/>
    <x v="1"/>
    <s v="Missing Resolve Date"/>
    <s v="No"/>
    <m/>
    <s v="Not Specified"/>
    <s v=""/>
    <x v="1"/>
  </r>
  <r>
    <s v="TCK-20740"/>
    <d v="2026-04-29T13:50:00"/>
    <s v="Tier 1 Support"/>
    <x v="1"/>
    <x v="6"/>
    <x v="3"/>
    <x v="5"/>
    <x v="2"/>
    <n v="8"/>
    <x v="4"/>
    <s v="Missing Resolve Date"/>
    <s v="Yes"/>
    <m/>
    <s v="Escalated To Senior Agent"/>
    <s v=""/>
    <x v="1"/>
  </r>
  <r>
    <s v="TCK-21749"/>
    <d v="2026-02-10T19:48:00"/>
    <s v="Tier 2 Support"/>
    <x v="3"/>
    <x v="2"/>
    <x v="0"/>
    <x v="0"/>
    <x v="2"/>
    <n v="8"/>
    <x v="2"/>
    <d v="2026-02-10T21:14:00"/>
    <s v="No"/>
    <n v="1"/>
    <s v="Escalated To Senior Agent"/>
    <n v="1.4333333334652707"/>
    <x v="1"/>
  </r>
  <r>
    <s v="TCK-21908"/>
    <d v="2026-03-10T05:26:00"/>
    <s v="Billing Support"/>
    <x v="5"/>
    <x v="3"/>
    <x v="0"/>
    <x v="5"/>
    <x v="0"/>
    <n v="24"/>
    <x v="0"/>
    <d v="2026-03-12T13:48:00"/>
    <s v="No"/>
    <n v="5"/>
    <s v="Not Specified"/>
    <n v="56.366666666523088"/>
    <x v="2"/>
  </r>
  <r>
    <s v="TCK-21998"/>
    <d v="2026-01-27T05:27:00"/>
    <s v="Tier 2 Support"/>
    <x v="3"/>
    <x v="0"/>
    <x v="2"/>
    <x v="5"/>
    <x v="2"/>
    <n v="8"/>
    <x v="0"/>
    <d v="2026-01-27T08:05:00"/>
    <s v="No"/>
    <m/>
    <s v="Customer Satisfied With Resolution"/>
    <n v="2.6333333333604969"/>
    <x v="0"/>
  </r>
  <r>
    <s v="TCK-21896"/>
    <d v="2026-05-22T20:13:00"/>
    <s v="Billing Support"/>
    <x v="0"/>
    <x v="3"/>
    <x v="0"/>
    <x v="4"/>
    <x v="0"/>
    <n v="24"/>
    <x v="2"/>
    <d v="2026-05-23T02:46:00"/>
    <s v="No"/>
    <m/>
    <s v="Customer Satisfied With Resolution"/>
    <n v="6.5499999998719431"/>
    <x v="1"/>
  </r>
  <r>
    <s v="TCK-23033"/>
    <d v="2026-02-08T20:49:00"/>
    <s v="Tier 2 Support"/>
    <x v="3"/>
    <x v="5"/>
    <x v="2"/>
    <x v="5"/>
    <x v="0"/>
    <n v="24"/>
    <x v="0"/>
    <d v="2026-02-09T01:26:00"/>
    <s v="No"/>
    <n v="1"/>
    <s v="Escalated To Senior Agent"/>
    <n v="4.6166666666977108"/>
    <x v="0"/>
  </r>
  <r>
    <s v="TCK-20764"/>
    <d v="2026-04-25T06:20:00"/>
    <s v="Billing Support"/>
    <x v="5"/>
    <x v="0"/>
    <x v="2"/>
    <x v="0"/>
    <x v="2"/>
    <n v="8"/>
    <x v="2"/>
    <d v="2026-04-25T08:46:00"/>
    <s v="No"/>
    <n v="5"/>
    <s v="Awaiting Customer Response"/>
    <n v="2.4333333332324401"/>
    <x v="1"/>
  </r>
  <r>
    <s v="TCK-21452"/>
    <d v="2026-01-22T23:19:00"/>
    <s v="Tier 2 Support"/>
    <x v="3"/>
    <x v="1"/>
    <x v="0"/>
    <x v="2"/>
    <x v="2"/>
    <n v="8"/>
    <x v="2"/>
    <d v="2026-01-23T14:48:00"/>
    <s v="No"/>
    <m/>
    <s v="Customer Satisfied With Resolution"/>
    <n v="15.483333333337214"/>
    <x v="1"/>
  </r>
  <r>
    <s v="TCK-23148"/>
    <d v="2026-01-25T08:43:00"/>
    <s v="Technical Support"/>
    <x v="4"/>
    <x v="6"/>
    <x v="0"/>
    <x v="0"/>
    <x v="2"/>
    <n v="8"/>
    <x v="2"/>
    <d v="2026-01-25T15:18:00"/>
    <s v="No"/>
    <n v="5"/>
    <s v="Not Specified"/>
    <n v="6.5833333333139308"/>
    <x v="1"/>
  </r>
  <r>
    <s v="TCK-20343"/>
    <d v="2026-04-01T23:04:00"/>
    <s v="Tier 2 Support"/>
    <x v="3"/>
    <x v="0"/>
    <x v="2"/>
    <x v="2"/>
    <x v="0"/>
    <n v="24"/>
    <x v="2"/>
    <d v="2026-04-04T03:49:00"/>
    <s v="No"/>
    <m/>
    <s v="Resolved On First Contact"/>
    <n v="52.750000000116415"/>
    <x v="1"/>
  </r>
  <r>
    <s v="TCK-21602"/>
    <d v="2026-05-23T10:18:00"/>
    <s v="Tier 1 Support"/>
    <x v="1"/>
    <x v="3"/>
    <x v="2"/>
    <x v="5"/>
    <x v="0"/>
    <n v="24"/>
    <x v="0"/>
    <d v="2026-05-25T00:00:00"/>
    <s v="No"/>
    <n v="4"/>
    <s v="Escalated To Senior Agent"/>
    <n v="37.699999999953434"/>
    <x v="2"/>
  </r>
  <r>
    <s v="TCK-21664"/>
    <d v="2026-01-29T16:48:00"/>
    <s v="Technical Support"/>
    <x v="6"/>
    <x v="5"/>
    <x v="2"/>
    <x v="4"/>
    <x v="0"/>
    <n v="24"/>
    <x v="1"/>
    <s v="Missing Resolve Date"/>
    <s v="No"/>
    <m/>
    <s v="Awaiting Customer Response"/>
    <s v=""/>
    <x v="1"/>
  </r>
  <r>
    <s v="TCK-22056"/>
    <d v="2026-07-11T20:11:00"/>
    <s v="Tier 1 Support"/>
    <x v="1"/>
    <x v="0"/>
    <x v="1"/>
    <x v="2"/>
    <x v="1"/>
    <n v="48"/>
    <x v="4"/>
    <s v="Missing Resolve Date"/>
    <s v="Yes"/>
    <m/>
    <s v="Escalated To Senior Agent"/>
    <s v=""/>
    <x v="1"/>
  </r>
  <r>
    <s v="TCK-22898"/>
    <d v="2026-03-23T14:35:00"/>
    <s v="Tier 2 Support"/>
    <x v="2"/>
    <x v="3"/>
    <x v="1"/>
    <x v="5"/>
    <x v="0"/>
    <n v="24"/>
    <x v="0"/>
    <d v="2026-03-24T11:47:00"/>
    <s v="No"/>
    <n v="5"/>
    <s v="Customer Requested Refund"/>
    <n v="21.199999999953434"/>
    <x v="0"/>
  </r>
  <r>
    <s v="TCK-23168"/>
    <d v="2026-02-16T01:59:00"/>
    <s v="Tier 2 Support"/>
    <x v="2"/>
    <x v="3"/>
    <x v="2"/>
    <x v="3"/>
    <x v="3"/>
    <n v="4"/>
    <x v="1"/>
    <s v="Missing Resolve Date"/>
    <s v="No"/>
    <m/>
    <s v="Resolved On First Contact"/>
    <s v=""/>
    <x v="1"/>
  </r>
  <r>
    <s v="TCK-22208"/>
    <d v="2026-06-29T19:49:00"/>
    <s v="Tier 1 Support"/>
    <x v="1"/>
    <x v="3"/>
    <x v="1"/>
    <x v="5"/>
    <x v="1"/>
    <n v="48"/>
    <x v="0"/>
    <d v="2026-07-01T14:19:00"/>
    <s v="No"/>
    <n v="2"/>
    <s v="Not Specified"/>
    <n v="42.500000000058208"/>
    <x v="0"/>
  </r>
  <r>
    <s v="TCK-22833"/>
    <d v="2026-06-23T04:10:00"/>
    <s v="Technical Support"/>
    <x v="6"/>
    <x v="0"/>
    <x v="0"/>
    <x v="4"/>
    <x v="3"/>
    <n v="4"/>
    <x v="2"/>
    <d v="2026-06-23T05:16:00"/>
    <s v="No"/>
    <n v="4"/>
    <s v="Customer Satisfied With Resolution"/>
    <n v="1.1000000000931323"/>
    <x v="1"/>
  </r>
  <r>
    <s v="TCK-20731"/>
    <d v="2026-03-24T15:33:00"/>
    <s v="Tier 1 Support"/>
    <x v="1"/>
    <x v="1"/>
    <x v="0"/>
    <x v="4"/>
    <x v="3"/>
    <n v="4"/>
    <x v="0"/>
    <d v="2026-03-25T01:52:00"/>
    <s v="No"/>
    <n v="5"/>
    <s v="Required Follow-Up Call"/>
    <n v="10.316666666592937"/>
    <x v="2"/>
  </r>
  <r>
    <s v="TCK-22563"/>
    <d v="2026-01-31T15:15:00"/>
    <s v="Billing Support"/>
    <x v="0"/>
    <x v="4"/>
    <x v="3"/>
    <x v="2"/>
    <x v="1"/>
    <n v="48"/>
    <x v="0"/>
    <s v="Missing Resolve Date"/>
    <s v="Yes"/>
    <n v="2"/>
    <s v="Repeat Issue From Same Customer"/>
    <s v=""/>
    <x v="2"/>
  </r>
  <r>
    <s v="TCK-22191"/>
    <d v="2026-08-20T15:56:00"/>
    <s v="Technical Support"/>
    <x v="4"/>
    <x v="5"/>
    <x v="1"/>
    <x v="3"/>
    <x v="2"/>
    <n v="8"/>
    <x v="2"/>
    <d v="2026-08-20T17:49:00"/>
    <s v="Yes"/>
    <n v="5"/>
    <s v="Not Specified"/>
    <n v="1.8833333331858739"/>
    <x v="1"/>
  </r>
  <r>
    <s v="TCK-20104"/>
    <d v="2026-03-05T11:58:00"/>
    <s v="Billing Support"/>
    <x v="5"/>
    <x v="0"/>
    <x v="0"/>
    <x v="0"/>
    <x v="3"/>
    <n v="4"/>
    <x v="2"/>
    <d v="2026-03-05T19:14:00"/>
    <s v="No"/>
    <m/>
    <s v="Repeat Issue From Same Customer"/>
    <n v="7.2666666666045785"/>
    <x v="1"/>
  </r>
  <r>
    <s v="TCK-21085"/>
    <d v="2026-04-06T23:04:00"/>
    <s v="Tier 2 Support"/>
    <x v="3"/>
    <x v="6"/>
    <x v="3"/>
    <x v="1"/>
    <x v="0"/>
    <n v="24"/>
    <x v="0"/>
    <d v="2026-04-07T10:24:00"/>
    <s v="No"/>
    <m/>
    <s v="Not Specified"/>
    <n v="11.333333333430346"/>
    <x v="0"/>
  </r>
  <r>
    <s v="TCK-21081"/>
    <d v="2026-07-12T11:31:00"/>
    <s v="Tier 1 Support"/>
    <x v="1"/>
    <x v="6"/>
    <x v="1"/>
    <x v="4"/>
    <x v="2"/>
    <n v="8"/>
    <x v="5"/>
    <s v="Missing Resolve Date"/>
    <s v="No"/>
    <m/>
    <s v="Customer Requested Refund"/>
    <s v=""/>
    <x v="1"/>
  </r>
  <r>
    <s v="TCK-23017"/>
    <d v="2026-01-12T11:17:00"/>
    <s v="Technical Support"/>
    <x v="6"/>
    <x v="3"/>
    <x v="0"/>
    <x v="2"/>
    <x v="1"/>
    <n v="48"/>
    <x v="2"/>
    <d v="2026-01-16T21:08:00"/>
    <s v="No"/>
    <m/>
    <s v="Not Specified"/>
    <n v="105.85000000015134"/>
    <x v="1"/>
  </r>
  <r>
    <s v="TCK-22420"/>
    <d v="2026-08-27T08:40:00"/>
    <s v="Tier 1 Support"/>
    <x v="1"/>
    <x v="1"/>
    <x v="3"/>
    <x v="3"/>
    <x v="1"/>
    <n v="48"/>
    <x v="2"/>
    <d v="2026-08-28T15:33:00"/>
    <s v="Yes"/>
    <n v="2"/>
    <s v="Customer Satisfied With Resolution"/>
    <n v="30.883333333418705"/>
    <x v="1"/>
  </r>
  <r>
    <s v="TCK-22049"/>
    <d v="2026-04-21T19:49:00"/>
    <s v="Tier 1 Support"/>
    <x v="7"/>
    <x v="2"/>
    <x v="0"/>
    <x v="5"/>
    <x v="0"/>
    <n v="24"/>
    <x v="0"/>
    <d v="2026-04-22T09:35:00"/>
    <s v="No"/>
    <n v="5"/>
    <s v="Not Specified"/>
    <n v="13.766666666662786"/>
    <x v="0"/>
  </r>
  <r>
    <s v="TCK-22030"/>
    <d v="2026-06-14T13:23:00"/>
    <s v="Technical Support"/>
    <x v="6"/>
    <x v="2"/>
    <x v="2"/>
    <x v="1"/>
    <x v="0"/>
    <n v="24"/>
    <x v="2"/>
    <d v="2026-06-16T10:17:00"/>
    <s v="No"/>
    <n v="4"/>
    <s v="Repeat Issue From Same Customer"/>
    <n v="44.900000000023283"/>
    <x v="1"/>
  </r>
  <r>
    <s v="TCK-22164"/>
    <d v="2026-04-03T18:13:00"/>
    <s v="Tier 2 Support"/>
    <x v="3"/>
    <x v="6"/>
    <x v="3"/>
    <x v="5"/>
    <x v="2"/>
    <n v="8"/>
    <x v="4"/>
    <s v="Missing Resolve Date"/>
    <s v="Yes"/>
    <m/>
    <s v="Technical Issue Resolved Remotely"/>
    <s v=""/>
    <x v="1"/>
  </r>
  <r>
    <s v="TCK-21729"/>
    <d v="2026-01-28T01:23:00"/>
    <s v="Billing Support"/>
    <x v="0"/>
    <x v="0"/>
    <x v="2"/>
    <x v="4"/>
    <x v="2"/>
    <n v="8"/>
    <x v="4"/>
    <s v="Missing Resolve Date"/>
    <s v="Yes"/>
    <m/>
    <s v="Customer Satisfied With Resolution"/>
    <s v=""/>
    <x v="1"/>
  </r>
  <r>
    <s v="TCK-21413"/>
    <d v="2026-03-17T09:18:00"/>
    <s v="Tier 2 Support"/>
    <x v="2"/>
    <x v="0"/>
    <x v="0"/>
    <x v="3"/>
    <x v="0"/>
    <n v="24"/>
    <x v="2"/>
    <d v="2026-03-17T18:48:00"/>
    <s v="No"/>
    <n v="2"/>
    <s v="Awaiting Customer Response"/>
    <n v="9.5000000000582077"/>
    <x v="1"/>
  </r>
  <r>
    <s v="TCK-22404"/>
    <d v="2026-06-17T04:49:00"/>
    <s v="Tier 1 Support"/>
    <x v="1"/>
    <x v="6"/>
    <x v="2"/>
    <x v="4"/>
    <x v="0"/>
    <n v="24"/>
    <x v="0"/>
    <d v="2026-06-18T00:57:00"/>
    <s v="No"/>
    <m/>
    <s v="Awaiting Customer Response"/>
    <n v="20.133333333302289"/>
    <x v="0"/>
  </r>
  <r>
    <s v="TCK-22917"/>
    <d v="2026-08-28T06:01:00"/>
    <s v="Tier 2 Support"/>
    <x v="3"/>
    <x v="2"/>
    <x v="1"/>
    <x v="5"/>
    <x v="0"/>
    <n v="24"/>
    <x v="0"/>
    <d v="2026-08-28T16:28:00"/>
    <s v="No"/>
    <m/>
    <s v="Customer Satisfied With Resolution"/>
    <n v="10.450000000011642"/>
    <x v="0"/>
  </r>
  <r>
    <s v="TCK-22753"/>
    <d v="2026-08-22T23:18:00"/>
    <s v="Billing Support"/>
    <x v="5"/>
    <x v="2"/>
    <x v="3"/>
    <x v="5"/>
    <x v="0"/>
    <n v="24"/>
    <x v="0"/>
    <d v="2026-08-23T10:07:00"/>
    <s v="No"/>
    <n v="5"/>
    <s v="Awaiting Customer Response"/>
    <n v="10.816666666651145"/>
    <x v="0"/>
  </r>
  <r>
    <s v="TCK-21636"/>
    <d v="2026-04-17T10:40:00"/>
    <s v="Technical Support"/>
    <x v="4"/>
    <x v="0"/>
    <x v="1"/>
    <x v="3"/>
    <x v="1"/>
    <n v="48"/>
    <x v="2"/>
    <d v="2026-04-18T03:56:00"/>
    <s v="No"/>
    <m/>
    <s v="Not Specified"/>
    <n v="17.266666666720994"/>
    <x v="1"/>
  </r>
  <r>
    <s v="TCK-22538"/>
    <d v="2026-04-21T23:11:00"/>
    <s v="Technical Support"/>
    <x v="6"/>
    <x v="0"/>
    <x v="0"/>
    <x v="0"/>
    <x v="1"/>
    <n v="48"/>
    <x v="2"/>
    <d v="2026-04-22T17:55:00"/>
    <s v="No"/>
    <n v="5"/>
    <s v="Repeat Issue From Same Customer"/>
    <n v="18.733333333453629"/>
    <x v="1"/>
  </r>
  <r>
    <s v="TCK-21751"/>
    <d v="2026-06-05T10:42:00"/>
    <s v="Tier 1 Support"/>
    <x v="7"/>
    <x v="3"/>
    <x v="1"/>
    <x v="0"/>
    <x v="0"/>
    <n v="24"/>
    <x v="0"/>
    <d v="2026-06-05T11:41:00"/>
    <s v="Yes"/>
    <n v="1"/>
    <s v="Required Follow-Up Call"/>
    <n v="0.9833333333954215"/>
    <x v="0"/>
  </r>
  <r>
    <s v="TCK-22187"/>
    <d v="2026-03-17T12:40:00"/>
    <s v="Tier 2 Support"/>
    <x v="2"/>
    <x v="5"/>
    <x v="2"/>
    <x v="0"/>
    <x v="0"/>
    <n v="24"/>
    <x v="0"/>
    <d v="2026-03-18T03:56:00"/>
    <s v="No"/>
    <m/>
    <s v="Resolved On First Contact"/>
    <n v="15.266666666662786"/>
    <x v="0"/>
  </r>
  <r>
    <s v="TCK-22651"/>
    <d v="2026-06-10T13:31:00"/>
    <s v="Tier 1 Support"/>
    <x v="7"/>
    <x v="6"/>
    <x v="1"/>
    <x v="0"/>
    <x v="3"/>
    <n v="4"/>
    <x v="0"/>
    <d v="2026-06-11T00:20:00"/>
    <s v="No"/>
    <n v="5"/>
    <s v="Customer Requested Refund"/>
    <n v="10.816666666651145"/>
    <x v="2"/>
  </r>
  <r>
    <s v="TCK-20255"/>
    <d v="2026-01-18T18:35:00"/>
    <s v="Tier 2 Support"/>
    <x v="2"/>
    <x v="2"/>
    <x v="2"/>
    <x v="1"/>
    <x v="0"/>
    <n v="24"/>
    <x v="0"/>
    <s v="Missing Resolve Date"/>
    <s v="No"/>
    <n v="5"/>
    <s v="Customer Satisfied With Resolution"/>
    <s v=""/>
    <x v="2"/>
  </r>
  <r>
    <s v="TCK-23129"/>
    <d v="2026-01-27T22:24:00"/>
    <s v="Technical Support"/>
    <x v="4"/>
    <x v="2"/>
    <x v="2"/>
    <x v="3"/>
    <x v="1"/>
    <n v="48"/>
    <x v="5"/>
    <s v="Missing Resolve Date"/>
    <s v="No"/>
    <m/>
    <s v="Customer Satisfied With Resolution"/>
    <s v=""/>
    <x v="1"/>
  </r>
  <r>
    <s v="TCK-20042"/>
    <d v="2026-05-03T09:31:00"/>
    <s v="Tier 1 Support"/>
    <x v="7"/>
    <x v="1"/>
    <x v="2"/>
    <x v="5"/>
    <x v="3"/>
    <n v="4"/>
    <x v="5"/>
    <s v="Missing Resolve Date"/>
    <s v="No"/>
    <m/>
    <s v="Resolved On First Contact"/>
    <s v=""/>
    <x v="1"/>
  </r>
  <r>
    <s v="TCK-21224"/>
    <d v="2026-04-30T13:33:00"/>
    <s v="Tier 1 Support"/>
    <x v="7"/>
    <x v="6"/>
    <x v="1"/>
    <x v="2"/>
    <x v="0"/>
    <n v="24"/>
    <x v="0"/>
    <d v="2026-05-01T11:01:00"/>
    <s v="No"/>
    <m/>
    <s v="Not Specified"/>
    <n v="21.46666666661622"/>
    <x v="0"/>
  </r>
  <r>
    <s v="TCK-20390"/>
    <d v="2026-01-20T15:19:00"/>
    <s v="Billing Support"/>
    <x v="5"/>
    <x v="6"/>
    <x v="1"/>
    <x v="4"/>
    <x v="3"/>
    <n v="4"/>
    <x v="0"/>
    <d v="2026-01-20T16:54:00"/>
    <s v="No"/>
    <n v="3"/>
    <s v="Repeat Issue From Same Customer"/>
    <n v="1.5833333334303461"/>
    <x v="0"/>
  </r>
  <r>
    <s v="TCK-21616"/>
    <d v="2026-08-24T21:12:00"/>
    <s v="Tier 1 Support"/>
    <x v="1"/>
    <x v="5"/>
    <x v="2"/>
    <x v="3"/>
    <x v="0"/>
    <n v="24"/>
    <x v="3"/>
    <d v="2026-08-25T02:02:00"/>
    <s v="No"/>
    <m/>
    <s v="Customer Requested Refund"/>
    <n v="4.8333333333721384"/>
    <x v="1"/>
  </r>
  <r>
    <s v="TCK-21551"/>
    <d v="2026-05-09T17:46:00"/>
    <s v="Tier 2 Support"/>
    <x v="2"/>
    <x v="1"/>
    <x v="2"/>
    <x v="5"/>
    <x v="0"/>
    <n v="24"/>
    <x v="0"/>
    <d v="2026-05-09T20:04:00"/>
    <s v="No"/>
    <n v="5"/>
    <s v="Resolved On First Contact"/>
    <n v="2.2999999999883585"/>
    <x v="0"/>
  </r>
  <r>
    <s v="TCK-20652"/>
    <d v="2026-05-15T17:50:00"/>
    <s v="Billing Support"/>
    <x v="0"/>
    <x v="6"/>
    <x v="1"/>
    <x v="0"/>
    <x v="0"/>
    <n v="24"/>
    <x v="2"/>
    <d v="2026-05-16T05:06:00"/>
    <s v="No"/>
    <n v="5"/>
    <s v="Customer Satisfied With Resolution"/>
    <n v="11.266666666720994"/>
    <x v="1"/>
  </r>
  <r>
    <s v="TCK-20282"/>
    <d v="2026-07-27T01:45:00"/>
    <s v="Tier 1 Support"/>
    <x v="1"/>
    <x v="0"/>
    <x v="0"/>
    <x v="4"/>
    <x v="0"/>
    <n v="24"/>
    <x v="2"/>
    <d v="2026-07-27T15:22:00"/>
    <s v="No"/>
    <n v="1"/>
    <s v="Escalated To Senior Agent"/>
    <n v="13.616666666697711"/>
    <x v="1"/>
  </r>
  <r>
    <s v="TCK-20039"/>
    <d v="2026-05-21T07:12:00"/>
    <s v="Billing Support"/>
    <x v="5"/>
    <x v="6"/>
    <x v="0"/>
    <x v="3"/>
    <x v="3"/>
    <n v="4"/>
    <x v="2"/>
    <d v="2026-05-21T08:31:00"/>
    <s v="No"/>
    <m/>
    <s v="Customer Requested Refund"/>
    <n v="1.316666666592937"/>
    <x v="1"/>
  </r>
  <r>
    <s v="TCK-20953"/>
    <d v="2026-06-18T10:44:00"/>
    <s v="Billing Support"/>
    <x v="5"/>
    <x v="5"/>
    <x v="1"/>
    <x v="5"/>
    <x v="3"/>
    <n v="4"/>
    <x v="2"/>
    <d v="2026-06-18T13:15:00"/>
    <s v="No"/>
    <n v="1"/>
    <s v="Not Specified"/>
    <n v="2.5166666666627862"/>
    <x v="1"/>
  </r>
  <r>
    <s v="TCK-23020"/>
    <d v="2026-01-20T10:13:00"/>
    <s v="Technical Support"/>
    <x v="4"/>
    <x v="6"/>
    <x v="3"/>
    <x v="2"/>
    <x v="1"/>
    <n v="48"/>
    <x v="2"/>
    <d v="2026-01-21T18:36:00"/>
    <s v="No"/>
    <m/>
    <s v="Repeat Issue From Same Customer"/>
    <n v="32.383333333418705"/>
    <x v="1"/>
  </r>
  <r>
    <s v="TCK-21937"/>
    <d v="2026-07-20T16:31:00"/>
    <s v="Technical Support"/>
    <x v="6"/>
    <x v="3"/>
    <x v="1"/>
    <x v="2"/>
    <x v="2"/>
    <n v="8"/>
    <x v="5"/>
    <s v="Missing Resolve Date"/>
    <s v="No"/>
    <m/>
    <s v="Not Specified"/>
    <s v=""/>
    <x v="1"/>
  </r>
  <r>
    <s v="TCK-21181"/>
    <d v="2026-04-24T20:41:00"/>
    <s v="Technical Support"/>
    <x v="4"/>
    <x v="4"/>
    <x v="2"/>
    <x v="1"/>
    <x v="1"/>
    <n v="48"/>
    <x v="3"/>
    <d v="2026-04-26T12:02:00"/>
    <s v="No"/>
    <m/>
    <s v="Not Specified"/>
    <n v="39.349999999918509"/>
    <x v="1"/>
  </r>
  <r>
    <s v="TCK-20513"/>
    <d v="2026-07-20T01:08:00"/>
    <s v="Tier 2 Support"/>
    <x v="3"/>
    <x v="5"/>
    <x v="3"/>
    <x v="4"/>
    <x v="1"/>
    <n v="48"/>
    <x v="2"/>
    <d v="2026-07-20T17:28:00"/>
    <s v="No"/>
    <n v="4"/>
    <s v="Not Specified"/>
    <n v="16.333333333313931"/>
    <x v="1"/>
  </r>
  <r>
    <s v="TCK-20425"/>
    <d v="2026-07-28T11:05:00"/>
    <s v="Tier 1 Support"/>
    <x v="7"/>
    <x v="1"/>
    <x v="1"/>
    <x v="4"/>
    <x v="2"/>
    <n v="8"/>
    <x v="0"/>
    <d v="2026-07-28T15:15:00"/>
    <s v="No"/>
    <n v="4"/>
    <s v="Awaiting Customer Response"/>
    <n v="4.1666666666278616"/>
    <x v="0"/>
  </r>
  <r>
    <s v="TCK-22540"/>
    <d v="2026-06-30T14:12:00"/>
    <s v="Billing Support"/>
    <x v="5"/>
    <x v="1"/>
    <x v="3"/>
    <x v="5"/>
    <x v="1"/>
    <n v="48"/>
    <x v="4"/>
    <s v="Missing Resolve Date"/>
    <s v="Yes"/>
    <m/>
    <s v="Escalated To Senior Agent"/>
    <s v=""/>
    <x v="1"/>
  </r>
  <r>
    <s v="TCK-22854"/>
    <d v="2026-06-05T14:17:00"/>
    <s v="Billing Support"/>
    <x v="5"/>
    <x v="0"/>
    <x v="2"/>
    <x v="2"/>
    <x v="0"/>
    <n v="24"/>
    <x v="2"/>
    <d v="2026-06-07T17:17:00"/>
    <s v="No"/>
    <n v="4"/>
    <s v="Required Follow-Up Call"/>
    <n v="51"/>
    <x v="1"/>
  </r>
  <r>
    <s v="TCK-20706"/>
    <d v="2026-07-24T01:39:00"/>
    <s v="Tier 2 Support"/>
    <x v="2"/>
    <x v="0"/>
    <x v="2"/>
    <x v="4"/>
    <x v="0"/>
    <n v="24"/>
    <x v="1"/>
    <s v="Missing Resolve Date"/>
    <s v="No"/>
    <m/>
    <s v="Resolved On First Contact"/>
    <s v=""/>
    <x v="1"/>
  </r>
  <r>
    <s v="TCK-21061"/>
    <d v="2026-01-14T20:11:00"/>
    <s v="Tier 1 Support"/>
    <x v="1"/>
    <x v="6"/>
    <x v="3"/>
    <x v="1"/>
    <x v="0"/>
    <n v="24"/>
    <x v="3"/>
    <d v="2026-01-15T08:19:00"/>
    <s v="Yes"/>
    <m/>
    <s v="Resolved On First Contact"/>
    <n v="12.133333333418705"/>
    <x v="1"/>
  </r>
  <r>
    <s v="TCK-22262"/>
    <d v="2026-05-10T08:51:00"/>
    <s v="Tier 1 Support"/>
    <x v="7"/>
    <x v="3"/>
    <x v="1"/>
    <x v="1"/>
    <x v="0"/>
    <n v="24"/>
    <x v="0"/>
    <s v="Missing Resolve Date"/>
    <s v="No"/>
    <m/>
    <s v="Customer Requested Refund"/>
    <s v=""/>
    <x v="2"/>
  </r>
  <r>
    <s v="TCK-23122"/>
    <d v="2026-02-17T16:26:00"/>
    <s v="Tier 2 Support"/>
    <x v="3"/>
    <x v="3"/>
    <x v="0"/>
    <x v="3"/>
    <x v="2"/>
    <n v="8"/>
    <x v="0"/>
    <d v="2026-02-18T09:07:00"/>
    <s v="No"/>
    <n v="3"/>
    <s v="Not Specified"/>
    <n v="16.683333333407063"/>
    <x v="2"/>
  </r>
  <r>
    <s v="TCK-20560"/>
    <d v="2026-04-18T13:03:00"/>
    <s v="Billing Support"/>
    <x v="5"/>
    <x v="3"/>
    <x v="2"/>
    <x v="1"/>
    <x v="1"/>
    <n v="48"/>
    <x v="2"/>
    <d v="2026-04-20T20:22:00"/>
    <s v="No"/>
    <m/>
    <s v="Resolved On First Contact"/>
    <n v="55.31666666676756"/>
    <x v="1"/>
  </r>
  <r>
    <s v="TCK-21734"/>
    <d v="2026-07-07T20:02:00"/>
    <s v="Tier 2 Support"/>
    <x v="3"/>
    <x v="0"/>
    <x v="3"/>
    <x v="2"/>
    <x v="2"/>
    <n v="8"/>
    <x v="2"/>
    <d v="2026-07-08T02:03:00"/>
    <s v="No"/>
    <m/>
    <s v="Repeat Issue From Same Customer"/>
    <n v="6.0166666667209938"/>
    <x v="1"/>
  </r>
  <r>
    <s v="TCK-20440"/>
    <d v="2026-01-08T18:52:00"/>
    <s v="Billing Support"/>
    <x v="5"/>
    <x v="3"/>
    <x v="0"/>
    <x v="5"/>
    <x v="2"/>
    <n v="8"/>
    <x v="2"/>
    <d v="2026-01-09T00:25:00"/>
    <s v="No"/>
    <m/>
    <s v="Required Follow-Up Call"/>
    <n v="5.5499999999301508"/>
    <x v="1"/>
  </r>
  <r>
    <s v="TCK-20803"/>
    <d v="2026-01-25T18:33:00"/>
    <s v="Technical Support"/>
    <x v="6"/>
    <x v="5"/>
    <x v="0"/>
    <x v="1"/>
    <x v="1"/>
    <n v="48"/>
    <x v="5"/>
    <s v="Missing Resolve Date"/>
    <s v="No"/>
    <m/>
    <s v="Resolved On First Contact"/>
    <s v=""/>
    <x v="1"/>
  </r>
  <r>
    <s v="TCK-21691"/>
    <d v="2026-08-03T03:09:00"/>
    <s v="Tier 1 Support"/>
    <x v="7"/>
    <x v="6"/>
    <x v="0"/>
    <x v="3"/>
    <x v="1"/>
    <n v="48"/>
    <x v="0"/>
    <d v="2026-08-04T21:42:00"/>
    <s v="No"/>
    <n v="2"/>
    <s v="Required Follow-Up Call"/>
    <n v="42.550000000046566"/>
    <x v="0"/>
  </r>
  <r>
    <s v="TCK-22313"/>
    <d v="2026-05-15T15:24:00"/>
    <s v="Tier 1 Support"/>
    <x v="1"/>
    <x v="5"/>
    <x v="0"/>
    <x v="5"/>
    <x v="0"/>
    <n v="24"/>
    <x v="0"/>
    <d v="2026-05-16T07:40:00"/>
    <s v="No"/>
    <m/>
    <s v="Repeat Issue From Same Customer"/>
    <n v="16.266666666604578"/>
    <x v="0"/>
  </r>
  <r>
    <s v="TCK-22464"/>
    <d v="2026-02-22T21:04:00"/>
    <s v="Technical Support"/>
    <x v="4"/>
    <x v="0"/>
    <x v="2"/>
    <x v="1"/>
    <x v="0"/>
    <n v="24"/>
    <x v="0"/>
    <d v="2026-02-23T13:17:00"/>
    <s v="No"/>
    <n v="2"/>
    <s v="Required Follow-Up Call"/>
    <n v="16.21666666661622"/>
    <x v="0"/>
  </r>
  <r>
    <s v="TCK-20224"/>
    <d v="2026-01-07T03:26:00"/>
    <s v="Tier 1 Support"/>
    <x v="7"/>
    <x v="5"/>
    <x v="2"/>
    <x v="2"/>
    <x v="2"/>
    <n v="8"/>
    <x v="0"/>
    <d v="2026-01-07T06:10:00"/>
    <s v="No"/>
    <n v="3"/>
    <s v="Technical Issue Resolved Remotely"/>
    <n v="2.7333333333372138"/>
    <x v="0"/>
  </r>
  <r>
    <s v="TCK-20704"/>
    <d v="2026-04-02T15:37:00"/>
    <s v="Technical Support"/>
    <x v="4"/>
    <x v="0"/>
    <x v="1"/>
    <x v="4"/>
    <x v="1"/>
    <n v="48"/>
    <x v="2"/>
    <d v="2026-04-03T19:53:00"/>
    <s v="No"/>
    <n v="5"/>
    <s v="Required Follow-Up Call"/>
    <n v="28.266666666779201"/>
    <x v="1"/>
  </r>
  <r>
    <s v="TCK-20725"/>
    <d v="2026-04-05T08:23:00"/>
    <s v="Tier 2 Support"/>
    <x v="2"/>
    <x v="3"/>
    <x v="0"/>
    <x v="4"/>
    <x v="0"/>
    <n v="24"/>
    <x v="1"/>
    <s v="Missing Resolve Date"/>
    <s v="No"/>
    <m/>
    <s v="Technical Issue Resolved Remotely"/>
    <s v=""/>
    <x v="1"/>
  </r>
  <r>
    <s v="TCK-22133"/>
    <d v="2026-05-16T12:16:00"/>
    <s v="Billing Support"/>
    <x v="5"/>
    <x v="4"/>
    <x v="0"/>
    <x v="0"/>
    <x v="0"/>
    <n v="24"/>
    <x v="0"/>
    <d v="2026-05-16T20:45:00"/>
    <s v="No"/>
    <m/>
    <s v="Escalated To Senior Agent"/>
    <n v="8.4833333333954215"/>
    <x v="0"/>
  </r>
  <r>
    <s v="TCK-20945"/>
    <d v="2026-06-30T01:34:00"/>
    <s v="Tier 2 Support"/>
    <x v="3"/>
    <x v="2"/>
    <x v="0"/>
    <x v="1"/>
    <x v="1"/>
    <n v="48"/>
    <x v="3"/>
    <d v="2026-06-30T22:06:00"/>
    <s v="No"/>
    <m/>
    <s v="Required Follow-Up Call"/>
    <n v="20.533333333209157"/>
    <x v="1"/>
  </r>
  <r>
    <s v="TCK-20008"/>
    <d v="2026-07-26T18:30:00"/>
    <s v="Tier 1 Support"/>
    <x v="1"/>
    <x v="4"/>
    <x v="3"/>
    <x v="2"/>
    <x v="0"/>
    <n v="24"/>
    <x v="0"/>
    <d v="2026-07-27T22:05:00"/>
    <s v="No"/>
    <n v="5"/>
    <s v="Not Specified"/>
    <n v="27.583333333313931"/>
    <x v="2"/>
  </r>
  <r>
    <s v="TCK-22925"/>
    <d v="2026-07-15T22:10:00"/>
    <s v="Tier 2 Support"/>
    <x v="2"/>
    <x v="4"/>
    <x v="1"/>
    <x v="0"/>
    <x v="2"/>
    <n v="8"/>
    <x v="2"/>
    <d v="2026-07-16T03:01:00"/>
    <s v="No"/>
    <n v="5"/>
    <s v="Required Follow-Up Call"/>
    <n v="4.8500000000931323"/>
    <x v="1"/>
  </r>
  <r>
    <s v="TCK-22828"/>
    <d v="2026-02-26T04:22:00"/>
    <s v="Technical Support"/>
    <x v="6"/>
    <x v="5"/>
    <x v="0"/>
    <x v="2"/>
    <x v="3"/>
    <n v="4"/>
    <x v="0"/>
    <d v="2026-02-26T05:06:00"/>
    <s v="No"/>
    <n v="4"/>
    <s v="Awaiting Customer Response"/>
    <n v="0.73333333345362917"/>
    <x v="0"/>
  </r>
  <r>
    <s v="TCK-22020"/>
    <d v="2026-06-14T11:35:00"/>
    <s v="Tier 1 Support"/>
    <x v="1"/>
    <x v="0"/>
    <x v="2"/>
    <x v="3"/>
    <x v="0"/>
    <n v="24"/>
    <x v="3"/>
    <s v="Missing Resolve Date"/>
    <s v="No"/>
    <m/>
    <s v="Technical Issue Resolved Remotely"/>
    <s v=""/>
    <x v="1"/>
  </r>
  <r>
    <s v="TCK-22921"/>
    <d v="2026-07-04T13:32:00"/>
    <s v="Tier 1 Support"/>
    <x v="7"/>
    <x v="6"/>
    <x v="1"/>
    <x v="0"/>
    <x v="1"/>
    <n v="48"/>
    <x v="0"/>
    <d v="2026-07-07T15:46:00"/>
    <s v="No"/>
    <m/>
    <s v="Customer Satisfied With Resolution"/>
    <n v="74.233333333453629"/>
    <x v="2"/>
  </r>
  <r>
    <s v="TCK-21048"/>
    <d v="2026-03-20T12:32:00"/>
    <s v="Billing Support"/>
    <x v="5"/>
    <x v="3"/>
    <x v="2"/>
    <x v="3"/>
    <x v="2"/>
    <n v="8"/>
    <x v="0"/>
    <d v="2026-03-20T19:13:00"/>
    <s v="Yes"/>
    <n v="4"/>
    <s v="Not Specified"/>
    <n v="6.6833333332906477"/>
    <x v="0"/>
  </r>
  <r>
    <s v="TCK-20074"/>
    <d v="2026-06-13T13:12:00"/>
    <s v="Tier 1 Support"/>
    <x v="1"/>
    <x v="4"/>
    <x v="2"/>
    <x v="0"/>
    <x v="0"/>
    <n v="24"/>
    <x v="2"/>
    <d v="2026-06-15T07:41:00"/>
    <s v="No"/>
    <n v="3"/>
    <s v="Resolved On First Contact"/>
    <n v="42.483333333337214"/>
    <x v="1"/>
  </r>
  <r>
    <s v="TCK-22565"/>
    <d v="2026-05-16T10:29:00"/>
    <s v="Tier 2 Support"/>
    <x v="2"/>
    <x v="0"/>
    <x v="1"/>
    <x v="2"/>
    <x v="1"/>
    <n v="48"/>
    <x v="0"/>
    <d v="2026-05-16T21:08:00"/>
    <s v="No"/>
    <n v="1"/>
    <s v="Repeat Issue From Same Customer"/>
    <n v="10.650000000139698"/>
    <x v="0"/>
  </r>
  <r>
    <s v="TCK-22865"/>
    <d v="2026-03-03T11:08:00"/>
    <s v="Billing Support"/>
    <x v="0"/>
    <x v="5"/>
    <x v="2"/>
    <x v="1"/>
    <x v="1"/>
    <n v="48"/>
    <x v="0"/>
    <d v="2026-03-04T13:28:00"/>
    <s v="No"/>
    <n v="3"/>
    <s v="Technical Issue Resolved Remotely"/>
    <n v="26.333333333430346"/>
    <x v="0"/>
  </r>
  <r>
    <s v="TCK-22306"/>
    <d v="2026-04-28T04:18:00"/>
    <s v="Tier 2 Support"/>
    <x v="2"/>
    <x v="5"/>
    <x v="0"/>
    <x v="3"/>
    <x v="0"/>
    <n v="24"/>
    <x v="0"/>
    <d v="2026-04-28T16:15:00"/>
    <s v="No"/>
    <m/>
    <s v="Required Follow-Up Call"/>
    <n v="11.950000000011642"/>
    <x v="0"/>
  </r>
  <r>
    <s v="TCK-21091"/>
    <d v="2026-02-13T16:28:00"/>
    <s v="Billing Support"/>
    <x v="5"/>
    <x v="5"/>
    <x v="2"/>
    <x v="0"/>
    <x v="0"/>
    <n v="24"/>
    <x v="0"/>
    <d v="2026-02-14T10:50:00"/>
    <s v="No"/>
    <m/>
    <s v="Not Specified"/>
    <n v="18.366666666639503"/>
    <x v="0"/>
  </r>
  <r>
    <s v="TCK-20638"/>
    <d v="2026-08-27T01:41:00"/>
    <s v="Tier 2 Support"/>
    <x v="3"/>
    <x v="4"/>
    <x v="0"/>
    <x v="2"/>
    <x v="1"/>
    <n v="48"/>
    <x v="3"/>
    <d v="2026-08-27T03:56:00"/>
    <s v="No"/>
    <m/>
    <s v="Customer Requested Refund"/>
    <n v="2.25"/>
    <x v="1"/>
  </r>
  <r>
    <s v="TCK-20031"/>
    <d v="2026-04-28T03:58:00"/>
    <s v="Billing Support"/>
    <x v="0"/>
    <x v="2"/>
    <x v="0"/>
    <x v="0"/>
    <x v="2"/>
    <n v="8"/>
    <x v="0"/>
    <d v="2026-04-28T23:11:00"/>
    <s v="No"/>
    <n v="1"/>
    <s v="Required Follow-Up Call"/>
    <n v="19.21666666661622"/>
    <x v="2"/>
  </r>
  <r>
    <s v="TCK-22454"/>
    <d v="2026-08-01T06:36:00"/>
    <s v="Technical Support"/>
    <x v="6"/>
    <x v="6"/>
    <x v="1"/>
    <x v="3"/>
    <x v="2"/>
    <n v="8"/>
    <x v="1"/>
    <s v="Missing Resolve Date"/>
    <s v="No"/>
    <m/>
    <s v="Customer Requested Refund"/>
    <s v=""/>
    <x v="1"/>
  </r>
  <r>
    <s v="TCK-20754"/>
    <d v="2026-05-07T06:03:00"/>
    <s v="Billing Support"/>
    <x v="0"/>
    <x v="4"/>
    <x v="2"/>
    <x v="1"/>
    <x v="0"/>
    <n v="24"/>
    <x v="0"/>
    <d v="2026-05-07T22:39:00"/>
    <s v="No"/>
    <n v="5"/>
    <s v="Customer Requested Refund"/>
    <n v="16.599999999976717"/>
    <x v="0"/>
  </r>
  <r>
    <s v="TCK-21351"/>
    <d v="2026-06-26T13:44:00"/>
    <s v="Tier 1 Support"/>
    <x v="1"/>
    <x v="2"/>
    <x v="2"/>
    <x v="5"/>
    <x v="0"/>
    <n v="24"/>
    <x v="1"/>
    <s v="Missing Resolve Date"/>
    <s v="No"/>
    <m/>
    <s v="Awaiting Customer Response"/>
    <s v=""/>
    <x v="1"/>
  </r>
  <r>
    <s v="TCK-22952"/>
    <d v="2026-08-21T20:41:00"/>
    <s v="Tier 1 Support"/>
    <x v="1"/>
    <x v="1"/>
    <x v="1"/>
    <x v="3"/>
    <x v="0"/>
    <n v="24"/>
    <x v="2"/>
    <d v="2026-08-22T12:08:00"/>
    <s v="No"/>
    <n v="5"/>
    <s v="Technical Issue Resolved Remotely"/>
    <n v="15.450000000069849"/>
    <x v="1"/>
  </r>
  <r>
    <s v="TCK-21665"/>
    <d v="2026-06-10T21:41:00"/>
    <s v="Billing Support"/>
    <x v="0"/>
    <x v="2"/>
    <x v="1"/>
    <x v="2"/>
    <x v="1"/>
    <n v="48"/>
    <x v="1"/>
    <s v="Missing Resolve Date"/>
    <s v="No"/>
    <m/>
    <s v="Resolved On First Contact"/>
    <s v=""/>
    <x v="1"/>
  </r>
  <r>
    <s v="TCK-20967"/>
    <d v="2026-05-08T19:28:00"/>
    <s v="Technical Support"/>
    <x v="6"/>
    <x v="2"/>
    <x v="2"/>
    <x v="1"/>
    <x v="0"/>
    <n v="24"/>
    <x v="0"/>
    <d v="2026-05-09T10:38:00"/>
    <s v="No"/>
    <m/>
    <s v="Customer Satisfied With Resolution"/>
    <n v="15.166666666686069"/>
    <x v="0"/>
  </r>
  <r>
    <s v="TCK-21097"/>
    <d v="2026-03-28T01:00:00"/>
    <s v="Tier 1 Support"/>
    <x v="1"/>
    <x v="2"/>
    <x v="0"/>
    <x v="2"/>
    <x v="3"/>
    <n v="4"/>
    <x v="3"/>
    <d v="2026-03-28T03:28:00"/>
    <s v="No"/>
    <m/>
    <s v="Escalated To Senior Agent"/>
    <n v="2.4666666666744277"/>
    <x v="1"/>
  </r>
  <r>
    <s v="TCK-21200"/>
    <d v="2026-01-22T02:49:00"/>
    <s v="Tier 1 Support"/>
    <x v="1"/>
    <x v="5"/>
    <x v="0"/>
    <x v="4"/>
    <x v="0"/>
    <n v="24"/>
    <x v="2"/>
    <d v="2026-01-24T17:37:00"/>
    <s v="No"/>
    <n v="4"/>
    <s v="Not Specified"/>
    <n v="62.800000000046566"/>
    <x v="1"/>
  </r>
  <r>
    <s v="TCK-22971"/>
    <d v="2026-07-08T01:51:00"/>
    <s v="Billing Support"/>
    <x v="5"/>
    <x v="4"/>
    <x v="2"/>
    <x v="2"/>
    <x v="1"/>
    <n v="48"/>
    <x v="0"/>
    <d v="2026-07-12T02:17:00"/>
    <s v="No"/>
    <m/>
    <s v="Technical Issue Resolved Remotely"/>
    <n v="96.433333333348855"/>
    <x v="2"/>
  </r>
  <r>
    <s v="TCK-22008"/>
    <d v="2026-06-29T19:00:00"/>
    <s v="Tier 1 Support"/>
    <x v="7"/>
    <x v="4"/>
    <x v="0"/>
    <x v="0"/>
    <x v="1"/>
    <n v="48"/>
    <x v="0"/>
    <d v="2026-06-30T17:53:00"/>
    <s v="No"/>
    <n v="5"/>
    <s v="Escalated To Senior Agent"/>
    <n v="22.883333333360497"/>
    <x v="0"/>
  </r>
  <r>
    <s v="TCK-21445"/>
    <d v="2026-07-11T14:14:00"/>
    <s v="Technical Support"/>
    <x v="6"/>
    <x v="2"/>
    <x v="2"/>
    <x v="2"/>
    <x v="1"/>
    <n v="48"/>
    <x v="5"/>
    <s v="Missing Resolve Date"/>
    <s v="No"/>
    <m/>
    <s v="Not Specified"/>
    <s v=""/>
    <x v="1"/>
  </r>
  <r>
    <s v="TCK-21656"/>
    <d v="2026-05-23T11:20:00"/>
    <s v="Billing Support"/>
    <x v="5"/>
    <x v="5"/>
    <x v="2"/>
    <x v="5"/>
    <x v="0"/>
    <n v="24"/>
    <x v="4"/>
    <s v="Missing Resolve Date"/>
    <s v="Yes"/>
    <m/>
    <s v="Required Follow-Up Call"/>
    <s v=""/>
    <x v="1"/>
  </r>
  <r>
    <s v="TCK-20336"/>
    <d v="2026-04-12T01:22:00"/>
    <s v="Billing Support"/>
    <x v="5"/>
    <x v="1"/>
    <x v="2"/>
    <x v="1"/>
    <x v="0"/>
    <n v="24"/>
    <x v="5"/>
    <s v="Missing Resolve Date"/>
    <s v="No"/>
    <m/>
    <s v="Required Follow-Up Call"/>
    <s v=""/>
    <x v="1"/>
  </r>
  <r>
    <s v="TCK-21323"/>
    <d v="2026-06-04T07:51:00"/>
    <s v="Tier 2 Support"/>
    <x v="2"/>
    <x v="5"/>
    <x v="3"/>
    <x v="3"/>
    <x v="0"/>
    <n v="24"/>
    <x v="5"/>
    <s v="Missing Resolve Date"/>
    <s v="No"/>
    <m/>
    <s v="Not Specified"/>
    <s v=""/>
    <x v="1"/>
  </r>
  <r>
    <s v="TCK-22523"/>
    <d v="2026-08-07T01:23:00"/>
    <s v="Billing Support"/>
    <x v="0"/>
    <x v="6"/>
    <x v="0"/>
    <x v="0"/>
    <x v="0"/>
    <n v="24"/>
    <x v="5"/>
    <s v="Missing Resolve Date"/>
    <s v="No"/>
    <m/>
    <s v="Customer Requested Refund"/>
    <s v=""/>
    <x v="1"/>
  </r>
  <r>
    <s v="TCK-20214"/>
    <d v="2026-07-18T18:25:00"/>
    <s v="Tier 1 Support"/>
    <x v="7"/>
    <x v="2"/>
    <x v="3"/>
    <x v="0"/>
    <x v="2"/>
    <n v="8"/>
    <x v="2"/>
    <d v="2026-07-18T23:29:00"/>
    <s v="Yes"/>
    <n v="5"/>
    <s v="Customer Requested Refund"/>
    <n v="5.0666666667675599"/>
    <x v="1"/>
  </r>
  <r>
    <s v="TCK-20836"/>
    <d v="2026-01-07T18:04:00"/>
    <s v="Tier 1 Support"/>
    <x v="7"/>
    <x v="3"/>
    <x v="2"/>
    <x v="0"/>
    <x v="0"/>
    <n v="24"/>
    <x v="0"/>
    <s v="Missing Resolve Date"/>
    <s v="No"/>
    <n v="5"/>
    <s v="Not Specified"/>
    <s v=""/>
    <x v="2"/>
  </r>
  <r>
    <s v="TCK-20748"/>
    <d v="2026-06-02T09:43:00"/>
    <s v="Tier 2 Support"/>
    <x v="3"/>
    <x v="3"/>
    <x v="0"/>
    <x v="5"/>
    <x v="1"/>
    <n v="48"/>
    <x v="4"/>
    <s v="Missing Resolve Date"/>
    <s v="Yes"/>
    <m/>
    <s v="Resolved On First Contact"/>
    <s v=""/>
    <x v="1"/>
  </r>
  <r>
    <s v="TCK-20641"/>
    <d v="2026-06-09T03:47:00"/>
    <s v="Technical Support"/>
    <x v="6"/>
    <x v="2"/>
    <x v="1"/>
    <x v="2"/>
    <x v="2"/>
    <n v="8"/>
    <x v="0"/>
    <d v="2026-06-09T09:56:00"/>
    <s v="No"/>
    <n v="1"/>
    <s v="Resolved On First Contact"/>
    <n v="6.1500000001396984"/>
    <x v="0"/>
  </r>
  <r>
    <s v="TCK-22386"/>
    <d v="2026-05-26T14:25:00"/>
    <s v="Tier 1 Support"/>
    <x v="7"/>
    <x v="0"/>
    <x v="3"/>
    <x v="1"/>
    <x v="1"/>
    <n v="48"/>
    <x v="2"/>
    <s v="Missing Resolve Date"/>
    <s v="No"/>
    <n v="3"/>
    <s v="Customer Requested Refund"/>
    <s v=""/>
    <x v="1"/>
  </r>
  <r>
    <s v="TCK-20194"/>
    <d v="2026-08-13T10:56:00"/>
    <s v="Billing Support"/>
    <x v="0"/>
    <x v="6"/>
    <x v="3"/>
    <x v="4"/>
    <x v="0"/>
    <n v="24"/>
    <x v="5"/>
    <s v="Missing Resolve Date"/>
    <s v="No"/>
    <m/>
    <s v="Customer Satisfied With Resolution"/>
    <s v=""/>
    <x v="1"/>
  </r>
  <r>
    <s v="TCK-22236"/>
    <d v="2026-07-25T22:52:00"/>
    <s v="Tier 2 Support"/>
    <x v="2"/>
    <x v="4"/>
    <x v="2"/>
    <x v="4"/>
    <x v="2"/>
    <n v="8"/>
    <x v="0"/>
    <d v="2026-07-26T00:51:00"/>
    <s v="Yes"/>
    <n v="5"/>
    <s v="Not Specified"/>
    <n v="1.9833333333372138"/>
    <x v="0"/>
  </r>
  <r>
    <s v="TCK-21530"/>
    <d v="2026-04-15T13:32:00"/>
    <s v="Technical Support"/>
    <x v="6"/>
    <x v="1"/>
    <x v="0"/>
    <x v="4"/>
    <x v="2"/>
    <n v="8"/>
    <x v="2"/>
    <d v="2026-04-15T19:48:00"/>
    <s v="No"/>
    <n v="2"/>
    <s v="Not Specified"/>
    <n v="6.2666666666627862"/>
    <x v="1"/>
  </r>
  <r>
    <s v="TCK-21506"/>
    <d v="2026-05-12T22:28:00"/>
    <s v="Billing Support"/>
    <x v="0"/>
    <x v="6"/>
    <x v="2"/>
    <x v="4"/>
    <x v="0"/>
    <n v="24"/>
    <x v="5"/>
    <s v="Missing Resolve Date"/>
    <s v="No"/>
    <m/>
    <s v="Customer Requested Refund"/>
    <s v=""/>
    <x v="1"/>
  </r>
  <r>
    <s v="TCK-22506"/>
    <d v="2026-07-08T17:50:00"/>
    <s v="Tier 1 Support"/>
    <x v="7"/>
    <x v="3"/>
    <x v="1"/>
    <x v="1"/>
    <x v="0"/>
    <n v="24"/>
    <x v="4"/>
    <s v="Missing Resolve Date"/>
    <s v="Yes"/>
    <m/>
    <s v="Resolved On First Contact"/>
    <s v=""/>
    <x v="1"/>
  </r>
  <r>
    <s v="TCK-21322"/>
    <d v="2026-04-05T01:00:00"/>
    <s v="Tier 2 Support"/>
    <x v="2"/>
    <x v="4"/>
    <x v="2"/>
    <x v="4"/>
    <x v="1"/>
    <n v="48"/>
    <x v="0"/>
    <d v="2026-04-05T06:12:00"/>
    <s v="No"/>
    <m/>
    <s v="Escalated To Senior Agent"/>
    <n v="5.2000000000116415"/>
    <x v="0"/>
  </r>
  <r>
    <s v="TCK-22128"/>
    <d v="2026-04-15T04:38:00"/>
    <s v="Tier 2 Support"/>
    <x v="2"/>
    <x v="0"/>
    <x v="2"/>
    <x v="5"/>
    <x v="0"/>
    <n v="24"/>
    <x v="0"/>
    <d v="2026-04-15T13:39:00"/>
    <s v="No"/>
    <m/>
    <s v="Technical Issue Resolved Remotely"/>
    <n v="9.0166666665463708"/>
    <x v="0"/>
  </r>
  <r>
    <s v="TCK-21027"/>
    <d v="2026-08-11T01:46:00"/>
    <s v="Technical Support"/>
    <x v="4"/>
    <x v="2"/>
    <x v="2"/>
    <x v="3"/>
    <x v="0"/>
    <n v="24"/>
    <x v="0"/>
    <d v="2026-08-12T17:50:00"/>
    <s v="No"/>
    <n v="5"/>
    <s v="Repeat Issue From Same Customer"/>
    <n v="40.066666666651145"/>
    <x v="2"/>
  </r>
  <r>
    <s v="TCK-22514"/>
    <d v="2026-02-01T13:12:00"/>
    <s v="Billing Support"/>
    <x v="5"/>
    <x v="3"/>
    <x v="1"/>
    <x v="4"/>
    <x v="1"/>
    <n v="48"/>
    <x v="1"/>
    <s v="Missing Resolve Date"/>
    <s v="No"/>
    <m/>
    <s v="Technical Issue Resolved Remotely"/>
    <s v=""/>
    <x v="1"/>
  </r>
  <r>
    <s v="TCK-20735"/>
    <d v="2026-04-19T10:01:00"/>
    <s v="Billing Support"/>
    <x v="5"/>
    <x v="6"/>
    <x v="3"/>
    <x v="4"/>
    <x v="1"/>
    <n v="48"/>
    <x v="4"/>
    <s v="Missing Resolve Date"/>
    <s v="Yes"/>
    <m/>
    <s v="Resolved On First Contact"/>
    <s v=""/>
    <x v="1"/>
  </r>
  <r>
    <s v="TCK-20743"/>
    <d v="2026-02-06T17:59:00"/>
    <s v="Tier 1 Support"/>
    <x v="1"/>
    <x v="1"/>
    <x v="0"/>
    <x v="0"/>
    <x v="1"/>
    <n v="48"/>
    <x v="0"/>
    <d v="2026-02-08T22:53:00"/>
    <s v="No"/>
    <n v="1"/>
    <s v="Resolved On First Contact"/>
    <n v="52.900000000081491"/>
    <x v="2"/>
  </r>
  <r>
    <s v="TCK-20193"/>
    <d v="2026-03-15T06:48:00"/>
    <s v="Billing Support"/>
    <x v="0"/>
    <x v="5"/>
    <x v="0"/>
    <x v="3"/>
    <x v="1"/>
    <n v="48"/>
    <x v="3"/>
    <d v="2026-03-19T10:10:00"/>
    <s v="No"/>
    <m/>
    <s v="Required Follow-Up Call"/>
    <n v="99.366666666639503"/>
    <x v="1"/>
  </r>
  <r>
    <s v="TCK-20801"/>
    <d v="2026-05-27T07:39:00"/>
    <s v="Tier 2 Support"/>
    <x v="3"/>
    <x v="1"/>
    <x v="2"/>
    <x v="5"/>
    <x v="1"/>
    <n v="48"/>
    <x v="2"/>
    <d v="2026-05-27T22:47:00"/>
    <s v="Yes"/>
    <m/>
    <s v="Customer Requested Refund"/>
    <n v="15.133333333418705"/>
    <x v="1"/>
  </r>
  <r>
    <s v="TCK-20184"/>
    <d v="2026-02-15T12:48:00"/>
    <s v="Technical Support"/>
    <x v="4"/>
    <x v="2"/>
    <x v="0"/>
    <x v="3"/>
    <x v="1"/>
    <n v="48"/>
    <x v="2"/>
    <d v="2026-02-21T09:32:00"/>
    <s v="No"/>
    <m/>
    <s v="Technical Issue Resolved Remotely"/>
    <n v="140.73333333333721"/>
    <x v="1"/>
  </r>
  <r>
    <s v="TCK-22408"/>
    <d v="2026-01-07T14:43:00"/>
    <s v="Tier 2 Support"/>
    <x v="2"/>
    <x v="2"/>
    <x v="3"/>
    <x v="2"/>
    <x v="0"/>
    <n v="24"/>
    <x v="0"/>
    <d v="2026-01-07T15:58:00"/>
    <s v="No"/>
    <n v="1"/>
    <s v="Customer Requested Refund"/>
    <n v="1.2500000000582077"/>
    <x v="0"/>
  </r>
  <r>
    <s v="TCK-20094"/>
    <d v="2026-01-11T22:31:00"/>
    <s v="Tier 1 Support"/>
    <x v="7"/>
    <x v="1"/>
    <x v="0"/>
    <x v="3"/>
    <x v="2"/>
    <n v="8"/>
    <x v="0"/>
    <d v="2026-01-12T03:14:00"/>
    <s v="No"/>
    <n v="5"/>
    <s v="Escalated To Senior Agent"/>
    <n v="4.7166666666744277"/>
    <x v="0"/>
  </r>
  <r>
    <s v="TCK-22153"/>
    <d v="2026-01-13T21:17:00"/>
    <s v="Billing Support"/>
    <x v="0"/>
    <x v="4"/>
    <x v="3"/>
    <x v="0"/>
    <x v="3"/>
    <n v="4"/>
    <x v="4"/>
    <s v="Missing Resolve Date"/>
    <s v="Yes"/>
    <m/>
    <s v="Technical Issue Resolved Remotely"/>
    <s v=""/>
    <x v="1"/>
  </r>
  <r>
    <s v="TCK-20981"/>
    <d v="2026-02-02T13:35:00"/>
    <s v="Tier 1 Support"/>
    <x v="1"/>
    <x v="3"/>
    <x v="3"/>
    <x v="2"/>
    <x v="0"/>
    <n v="24"/>
    <x v="0"/>
    <d v="2026-02-04T01:37:00"/>
    <s v="No"/>
    <n v="5"/>
    <s v="Escalated To Senior Agent"/>
    <n v="36.033333333441988"/>
    <x v="2"/>
  </r>
  <r>
    <s v="TCK-20940"/>
    <d v="2026-02-26T17:13:00"/>
    <s v="Tier 1 Support"/>
    <x v="1"/>
    <x v="4"/>
    <x v="1"/>
    <x v="5"/>
    <x v="0"/>
    <n v="24"/>
    <x v="0"/>
    <d v="2026-02-27T04:00:00"/>
    <s v="No"/>
    <m/>
    <s v="Technical Issue Resolved Remotely"/>
    <n v="10.783333333209157"/>
    <x v="0"/>
  </r>
  <r>
    <s v="TCK-22911"/>
    <d v="2026-05-21T10:13:00"/>
    <s v="Technical Support"/>
    <x v="4"/>
    <x v="1"/>
    <x v="3"/>
    <x v="0"/>
    <x v="1"/>
    <n v="48"/>
    <x v="0"/>
    <d v="2026-05-21T13:36:00"/>
    <s v="No"/>
    <n v="2"/>
    <s v="Not Specified"/>
    <n v="3.3833333333604969"/>
    <x v="0"/>
  </r>
  <r>
    <s v="TCK-22749"/>
    <d v="2026-01-09T02:11:00"/>
    <s v="Technical Support"/>
    <x v="6"/>
    <x v="3"/>
    <x v="2"/>
    <x v="0"/>
    <x v="1"/>
    <n v="48"/>
    <x v="4"/>
    <s v="Missing Resolve Date"/>
    <s v="Yes"/>
    <m/>
    <s v="Required Follow-Up Call"/>
    <s v=""/>
    <x v="1"/>
  </r>
  <r>
    <s v="TCK-22344"/>
    <d v="2026-01-15T13:01:00"/>
    <s v="Tier 2 Support"/>
    <x v="2"/>
    <x v="3"/>
    <x v="0"/>
    <x v="1"/>
    <x v="2"/>
    <n v="8"/>
    <x v="3"/>
    <d v="2026-01-15T17:28:00"/>
    <s v="No"/>
    <m/>
    <s v="Repeat Issue From Same Customer"/>
    <n v="4.4500000000116415"/>
    <x v="1"/>
  </r>
  <r>
    <s v="TCK-22364"/>
    <d v="2026-04-25T06:30:00"/>
    <s v="Technical Support"/>
    <x v="6"/>
    <x v="2"/>
    <x v="3"/>
    <x v="2"/>
    <x v="2"/>
    <n v="8"/>
    <x v="2"/>
    <d v="2026-04-26T05:30:00"/>
    <s v="No"/>
    <n v="5"/>
    <s v="Not Specified"/>
    <n v="22.999999999883585"/>
    <x v="1"/>
  </r>
  <r>
    <s v="TCK-20846"/>
    <d v="2026-07-12T11:48:00"/>
    <s v="Technical Support"/>
    <x v="4"/>
    <x v="1"/>
    <x v="1"/>
    <x v="1"/>
    <x v="1"/>
    <n v="48"/>
    <x v="5"/>
    <s v="Missing Resolve Date"/>
    <s v="No"/>
    <m/>
    <s v="Customer Satisfied With Resolution"/>
    <s v=""/>
    <x v="1"/>
  </r>
  <r>
    <s v="TCK-22919"/>
    <d v="2026-04-25T01:11:00"/>
    <s v="Tier 1 Support"/>
    <x v="1"/>
    <x v="4"/>
    <x v="3"/>
    <x v="3"/>
    <x v="1"/>
    <n v="48"/>
    <x v="4"/>
    <s v="Missing Resolve Date"/>
    <s v="Yes"/>
    <m/>
    <s v="Escalated To Senior Agent"/>
    <s v=""/>
    <x v="1"/>
  </r>
  <r>
    <s v="TCK-22624"/>
    <d v="2026-04-27T11:58:00"/>
    <s v="Billing Support"/>
    <x v="0"/>
    <x v="4"/>
    <x v="2"/>
    <x v="4"/>
    <x v="0"/>
    <n v="24"/>
    <x v="5"/>
    <s v="Missing Resolve Date"/>
    <s v="No"/>
    <m/>
    <s v="Resolved On First Contact"/>
    <s v=""/>
    <x v="1"/>
  </r>
  <r>
    <s v="TCK-23009"/>
    <d v="2026-07-24T06:36:00"/>
    <s v="Tier 2 Support"/>
    <x v="3"/>
    <x v="4"/>
    <x v="0"/>
    <x v="1"/>
    <x v="0"/>
    <n v="24"/>
    <x v="0"/>
    <d v="2026-07-24T22:58:00"/>
    <s v="No"/>
    <n v="2"/>
    <s v="Repeat Issue From Same Customer"/>
    <n v="16.366666666581295"/>
    <x v="0"/>
  </r>
  <r>
    <s v="TCK-21987"/>
    <d v="2026-02-28T08:47:00"/>
    <s v="Tier 2 Support"/>
    <x v="2"/>
    <x v="5"/>
    <x v="2"/>
    <x v="1"/>
    <x v="0"/>
    <n v="24"/>
    <x v="4"/>
    <s v="Missing Resolve Date"/>
    <s v="Yes"/>
    <m/>
    <s v="Escalated To Senior Agent"/>
    <s v=""/>
    <x v="1"/>
  </r>
  <r>
    <s v="TCK-21338"/>
    <d v="2026-04-04T20:09:00"/>
    <s v="Tier 2 Support"/>
    <x v="3"/>
    <x v="5"/>
    <x v="2"/>
    <x v="4"/>
    <x v="3"/>
    <n v="4"/>
    <x v="4"/>
    <s v="Missing Resolve Date"/>
    <s v="Yes"/>
    <m/>
    <s v="Not Specified"/>
    <s v=""/>
    <x v="1"/>
  </r>
  <r>
    <s v="TCK-22887"/>
    <d v="2026-06-08T19:20:00"/>
    <s v="Tier 1 Support"/>
    <x v="7"/>
    <x v="4"/>
    <x v="1"/>
    <x v="5"/>
    <x v="0"/>
    <n v="24"/>
    <x v="0"/>
    <d v="2026-06-11T08:42:00"/>
    <s v="No"/>
    <n v="4"/>
    <s v="Technical Issue Resolved Remotely"/>
    <n v="61.366666666755918"/>
    <x v="2"/>
  </r>
  <r>
    <s v="TCK-20256"/>
    <d v="2026-03-28T22:02:00"/>
    <s v="Tier 1 Support"/>
    <x v="7"/>
    <x v="4"/>
    <x v="3"/>
    <x v="1"/>
    <x v="2"/>
    <n v="8"/>
    <x v="3"/>
    <s v="Missing Resolve Date"/>
    <s v="Yes"/>
    <m/>
    <s v="Not Specified"/>
    <s v=""/>
    <x v="1"/>
  </r>
  <r>
    <s v="TCK-22089"/>
    <d v="2026-05-19T04:33:00"/>
    <s v="Technical Support"/>
    <x v="6"/>
    <x v="4"/>
    <x v="3"/>
    <x v="4"/>
    <x v="2"/>
    <n v="8"/>
    <x v="5"/>
    <s v="Missing Resolve Date"/>
    <s v="No"/>
    <m/>
    <s v="Resolved On First Contact"/>
    <s v=""/>
    <x v="1"/>
  </r>
  <r>
    <s v="TCK-20046"/>
    <d v="2026-02-27T15:55:00"/>
    <s v="Technical Support"/>
    <x v="6"/>
    <x v="0"/>
    <x v="3"/>
    <x v="2"/>
    <x v="1"/>
    <n v="48"/>
    <x v="2"/>
    <d v="2026-02-28T08:22:00"/>
    <s v="No"/>
    <n v="5"/>
    <s v="Resolved On First Contact"/>
    <n v="16.450000000011642"/>
    <x v="1"/>
  </r>
  <r>
    <s v="TCK-22997"/>
    <d v="2026-06-01T16:13:00"/>
    <s v="Tier 1 Support"/>
    <x v="1"/>
    <x v="2"/>
    <x v="1"/>
    <x v="4"/>
    <x v="0"/>
    <n v="24"/>
    <x v="0"/>
    <d v="2026-06-02T21:48:00"/>
    <s v="No"/>
    <n v="3"/>
    <s v="Awaiting Customer Response"/>
    <n v="29.583333333372138"/>
    <x v="2"/>
  </r>
  <r>
    <s v="TCK-22585"/>
    <d v="2026-02-08T07:37:00"/>
    <s v="Technical Support"/>
    <x v="6"/>
    <x v="6"/>
    <x v="1"/>
    <x v="0"/>
    <x v="2"/>
    <n v="8"/>
    <x v="5"/>
    <s v="Missing Resolve Date"/>
    <s v="No"/>
    <m/>
    <s v="Technical Issue Resolved Remotely"/>
    <s v=""/>
    <x v="1"/>
  </r>
  <r>
    <s v="TCK-21102"/>
    <d v="2026-05-27T09:21:00"/>
    <s v="Technical Support"/>
    <x v="4"/>
    <x v="4"/>
    <x v="0"/>
    <x v="4"/>
    <x v="2"/>
    <n v="8"/>
    <x v="4"/>
    <s v="Missing Resolve Date"/>
    <s v="Yes"/>
    <m/>
    <s v="Not Specified"/>
    <s v=""/>
    <x v="1"/>
  </r>
  <r>
    <s v="TCK-21282"/>
    <d v="2026-05-13T17:27:00"/>
    <s v="Billing Support"/>
    <x v="5"/>
    <x v="1"/>
    <x v="3"/>
    <x v="0"/>
    <x v="0"/>
    <n v="24"/>
    <x v="4"/>
    <s v="Missing Resolve Date"/>
    <s v="Yes"/>
    <m/>
    <s v="Customer Satisfied With Resolution"/>
    <s v=""/>
    <x v="1"/>
  </r>
  <r>
    <s v="TCK-21815"/>
    <d v="2026-07-14T04:24:00"/>
    <s v="Billing Support"/>
    <x v="5"/>
    <x v="6"/>
    <x v="0"/>
    <x v="2"/>
    <x v="2"/>
    <n v="8"/>
    <x v="2"/>
    <d v="2026-07-15T02:06:00"/>
    <s v="No"/>
    <n v="4"/>
    <s v="Repeat Issue From Same Customer"/>
    <n v="21.700000000011642"/>
    <x v="1"/>
  </r>
  <r>
    <s v="TCK-21676"/>
    <d v="2026-04-01T03:14:00"/>
    <s v="Technical Support"/>
    <x v="6"/>
    <x v="2"/>
    <x v="1"/>
    <x v="0"/>
    <x v="2"/>
    <n v="8"/>
    <x v="2"/>
    <d v="2026-04-01T09:51:00"/>
    <s v="No"/>
    <n v="5"/>
    <s v="Not Specified"/>
    <n v="6.6166666665812954"/>
    <x v="1"/>
  </r>
  <r>
    <s v="TCK-20664"/>
    <d v="2026-02-20T06:45:00"/>
    <s v="Technical Support"/>
    <x v="6"/>
    <x v="4"/>
    <x v="0"/>
    <x v="2"/>
    <x v="3"/>
    <n v="4"/>
    <x v="0"/>
    <d v="2026-02-20T08:34:00"/>
    <s v="No"/>
    <m/>
    <s v="Technical Issue Resolved Remotely"/>
    <n v="1.8166666666511446"/>
    <x v="0"/>
  </r>
  <r>
    <s v="TCK-21568"/>
    <d v="2026-04-04T15:09:00"/>
    <s v="Tier 1 Support"/>
    <x v="1"/>
    <x v="5"/>
    <x v="2"/>
    <x v="0"/>
    <x v="1"/>
    <n v="48"/>
    <x v="0"/>
    <d v="2026-04-06T02:52:00"/>
    <s v="No"/>
    <m/>
    <s v="Escalated To Senior Agent"/>
    <n v="35.71666666661622"/>
    <x v="0"/>
  </r>
  <r>
    <s v="TCK-23117"/>
    <d v="2026-05-04T03:51:00"/>
    <s v="Billing Support"/>
    <x v="0"/>
    <x v="4"/>
    <x v="0"/>
    <x v="0"/>
    <x v="1"/>
    <n v="48"/>
    <x v="5"/>
    <s v="Missing Resolve Date"/>
    <s v="No"/>
    <m/>
    <s v="Customer Requested Refund"/>
    <s v=""/>
    <x v="1"/>
  </r>
  <r>
    <s v="TCK-22958"/>
    <d v="2026-06-12T02:18:00"/>
    <s v="Tier 1 Support"/>
    <x v="1"/>
    <x v="3"/>
    <x v="2"/>
    <x v="3"/>
    <x v="0"/>
    <n v="24"/>
    <x v="2"/>
    <d v="2026-06-12T12:23:00"/>
    <s v="No"/>
    <n v="2"/>
    <s v="Customer Satisfied With Resolution"/>
    <n v="10.083333333372138"/>
    <x v="1"/>
  </r>
  <r>
    <s v="TCK-22656"/>
    <d v="2026-01-29T01:41:00"/>
    <s v="Billing Support"/>
    <x v="0"/>
    <x v="3"/>
    <x v="0"/>
    <x v="4"/>
    <x v="2"/>
    <n v="8"/>
    <x v="5"/>
    <s v="Missing Resolve Date"/>
    <s v="No"/>
    <m/>
    <s v="Not Specified"/>
    <s v=""/>
    <x v="1"/>
  </r>
  <r>
    <s v="TCK-22192"/>
    <d v="2026-01-05T09:57:00"/>
    <s v="Technical Support"/>
    <x v="6"/>
    <x v="0"/>
    <x v="1"/>
    <x v="3"/>
    <x v="1"/>
    <n v="48"/>
    <x v="1"/>
    <s v="Missing Resolve Date"/>
    <s v="No"/>
    <m/>
    <s v="Repeat Issue From Same Customer"/>
    <s v=""/>
    <x v="1"/>
  </r>
  <r>
    <s v="TCK-20966"/>
    <d v="2026-05-28T11:59:00"/>
    <s v="Tier 1 Support"/>
    <x v="7"/>
    <x v="1"/>
    <x v="3"/>
    <x v="0"/>
    <x v="3"/>
    <n v="4"/>
    <x v="0"/>
    <d v="2026-05-28T14:10:00"/>
    <s v="No"/>
    <n v="5"/>
    <s v="Required Follow-Up Call"/>
    <n v="2.1833333334652707"/>
    <x v="0"/>
  </r>
  <r>
    <s v="TCK-21507"/>
    <d v="2026-04-22T18:45:00"/>
    <s v="Billing Support"/>
    <x v="5"/>
    <x v="4"/>
    <x v="2"/>
    <x v="4"/>
    <x v="2"/>
    <n v="8"/>
    <x v="2"/>
    <s v="Missing Resolve Date"/>
    <s v="No"/>
    <n v="4"/>
    <s v="Not Specified"/>
    <s v=""/>
    <x v="1"/>
  </r>
  <r>
    <s v="TCK-22943"/>
    <d v="2026-01-02T04:35:00"/>
    <s v="Technical Support"/>
    <x v="6"/>
    <x v="1"/>
    <x v="3"/>
    <x v="5"/>
    <x v="0"/>
    <n v="24"/>
    <x v="2"/>
    <d v="2026-01-02T19:11:00"/>
    <s v="No"/>
    <n v="5"/>
    <s v="Customer Requested Refund"/>
    <n v="14.600000000093132"/>
    <x v="1"/>
  </r>
  <r>
    <s v="TCK-22318"/>
    <d v="2026-05-20T23:17:00"/>
    <s v="Tier 1 Support"/>
    <x v="7"/>
    <x v="5"/>
    <x v="1"/>
    <x v="5"/>
    <x v="2"/>
    <n v="8"/>
    <x v="1"/>
    <s v="Missing Resolve Date"/>
    <s v="No"/>
    <m/>
    <s v="Required Follow-Up Call"/>
    <s v=""/>
    <x v="1"/>
  </r>
  <r>
    <s v="TCK-22475"/>
    <d v="2026-03-06T04:08:00"/>
    <s v="Tier 2 Support"/>
    <x v="3"/>
    <x v="5"/>
    <x v="0"/>
    <x v="4"/>
    <x v="0"/>
    <n v="24"/>
    <x v="4"/>
    <s v="Missing Resolve Date"/>
    <s v="Yes"/>
    <m/>
    <s v="Required Follow-Up Call"/>
    <s v=""/>
    <x v="1"/>
  </r>
  <r>
    <s v="TCK-21840"/>
    <d v="2026-04-07T04:51:00"/>
    <s v="Tier 2 Support"/>
    <x v="3"/>
    <x v="2"/>
    <x v="1"/>
    <x v="5"/>
    <x v="1"/>
    <n v="48"/>
    <x v="0"/>
    <d v="2026-04-07T16:51:00"/>
    <s v="No"/>
    <m/>
    <s v="Escalated To Senior Agent"/>
    <n v="12"/>
    <x v="0"/>
  </r>
  <r>
    <s v="TCK-22406"/>
    <d v="2026-01-27T22:31:00"/>
    <s v="Tier 1 Support"/>
    <x v="1"/>
    <x v="0"/>
    <x v="0"/>
    <x v="0"/>
    <x v="1"/>
    <n v="48"/>
    <x v="2"/>
    <d v="2026-01-29T06:42:00"/>
    <s v="No"/>
    <n v="3"/>
    <s v="Customer Satisfied With Resolution"/>
    <n v="32.183333333290648"/>
    <x v="1"/>
  </r>
  <r>
    <s v="TCK-23170"/>
    <d v="2026-01-05T23:22:00"/>
    <s v="Billing Support"/>
    <x v="5"/>
    <x v="6"/>
    <x v="2"/>
    <x v="2"/>
    <x v="1"/>
    <n v="48"/>
    <x v="4"/>
    <s v="Missing Resolve Date"/>
    <s v="Yes"/>
    <m/>
    <s v="Awaiting Customer Response"/>
    <s v=""/>
    <x v="1"/>
  </r>
  <r>
    <s v="TCK-21409"/>
    <d v="2026-06-06T15:53:00"/>
    <s v="Billing Support"/>
    <x v="0"/>
    <x v="2"/>
    <x v="3"/>
    <x v="5"/>
    <x v="0"/>
    <n v="24"/>
    <x v="2"/>
    <s v="Missing Resolve Date"/>
    <s v="No"/>
    <n v="4"/>
    <s v="Not Specified"/>
    <s v=""/>
    <x v="1"/>
  </r>
  <r>
    <s v="TCK-21897"/>
    <d v="2026-01-01T22:17:00"/>
    <s v="Tier 1 Support"/>
    <x v="1"/>
    <x v="4"/>
    <x v="0"/>
    <x v="4"/>
    <x v="0"/>
    <n v="24"/>
    <x v="4"/>
    <s v="Missing Resolve Date"/>
    <s v="Yes"/>
    <m/>
    <s v="Not Specified"/>
    <s v=""/>
    <x v="1"/>
  </r>
  <r>
    <s v="TCK-20166"/>
    <d v="2026-07-17T04:53:00"/>
    <s v="Billing Support"/>
    <x v="0"/>
    <x v="3"/>
    <x v="1"/>
    <x v="2"/>
    <x v="0"/>
    <n v="24"/>
    <x v="0"/>
    <d v="2026-07-19T08:39:00"/>
    <s v="No"/>
    <m/>
    <s v="Required Follow-Up Call"/>
    <n v="51.766666666720994"/>
    <x v="2"/>
  </r>
  <r>
    <s v="TCK-20041"/>
    <d v="2026-03-28T19:53:00"/>
    <s v="Billing Support"/>
    <x v="0"/>
    <x v="1"/>
    <x v="3"/>
    <x v="4"/>
    <x v="2"/>
    <n v="8"/>
    <x v="2"/>
    <d v="2026-03-29T02:06:00"/>
    <s v="No"/>
    <n v="1"/>
    <s v="Escalated To Senior Agent"/>
    <n v="6.2166666666744277"/>
    <x v="1"/>
  </r>
  <r>
    <s v="TCK-21071"/>
    <d v="2026-06-14T01:31:00"/>
    <s v="Tier 2 Support"/>
    <x v="2"/>
    <x v="2"/>
    <x v="1"/>
    <x v="0"/>
    <x v="0"/>
    <n v="24"/>
    <x v="0"/>
    <d v="2026-06-14T06:46:00"/>
    <s v="No"/>
    <m/>
    <s v="Repeat Issue From Same Customer"/>
    <n v="5.25"/>
    <x v="0"/>
  </r>
  <r>
    <s v="TCK-22222"/>
    <d v="2026-04-09T03:29:00"/>
    <s v="Technical Support"/>
    <x v="4"/>
    <x v="0"/>
    <x v="0"/>
    <x v="0"/>
    <x v="0"/>
    <n v="24"/>
    <x v="3"/>
    <d v="2026-04-09T14:24:00"/>
    <s v="No"/>
    <m/>
    <s v="Not Specified"/>
    <n v="10.916666666627862"/>
    <x v="1"/>
  </r>
  <r>
    <s v="TCK-22142"/>
    <d v="2026-02-26T06:40:00"/>
    <s v="Tier 1 Support"/>
    <x v="1"/>
    <x v="5"/>
    <x v="0"/>
    <x v="4"/>
    <x v="1"/>
    <n v="48"/>
    <x v="2"/>
    <d v="2026-02-27T13:19:00"/>
    <s v="No"/>
    <m/>
    <s v="Not Specified"/>
    <n v="30.64999999984866"/>
    <x v="1"/>
  </r>
  <r>
    <s v="TCK-21924"/>
    <d v="2026-04-23T02:16:00"/>
    <s v="Billing Support"/>
    <x v="5"/>
    <x v="5"/>
    <x v="2"/>
    <x v="3"/>
    <x v="0"/>
    <n v="24"/>
    <x v="4"/>
    <s v="Missing Resolve Date"/>
    <s v="Yes"/>
    <m/>
    <s v="Required Follow-Up Call"/>
    <s v=""/>
    <x v="1"/>
  </r>
  <r>
    <s v="TCK-20985"/>
    <d v="2026-07-26T11:58:00"/>
    <s v="Tier 1 Support"/>
    <x v="7"/>
    <x v="2"/>
    <x v="1"/>
    <x v="0"/>
    <x v="1"/>
    <n v="48"/>
    <x v="5"/>
    <s v="Missing Resolve Date"/>
    <s v="No"/>
    <m/>
    <s v="Not Specified"/>
    <s v=""/>
    <x v="1"/>
  </r>
  <r>
    <s v="TCK-21889"/>
    <d v="2026-03-25T09:58:00"/>
    <s v="Billing Support"/>
    <x v="0"/>
    <x v="4"/>
    <x v="0"/>
    <x v="2"/>
    <x v="1"/>
    <n v="48"/>
    <x v="5"/>
    <s v="Missing Resolve Date"/>
    <s v="No"/>
    <m/>
    <s v="Technical Issue Resolved Remotely"/>
    <s v=""/>
    <x v="1"/>
  </r>
  <r>
    <s v="TCK-22157"/>
    <d v="2026-05-18T20:55:00"/>
    <s v="Technical Support"/>
    <x v="6"/>
    <x v="5"/>
    <x v="2"/>
    <x v="5"/>
    <x v="1"/>
    <n v="48"/>
    <x v="0"/>
    <d v="2026-05-19T03:06:00"/>
    <s v="No"/>
    <m/>
    <s v="Repeat Issue From Same Customer"/>
    <n v="6.1833333332324401"/>
    <x v="0"/>
  </r>
  <r>
    <s v="TCK-21394"/>
    <d v="2026-05-06T21:43:00"/>
    <s v="Technical Support"/>
    <x v="6"/>
    <x v="2"/>
    <x v="1"/>
    <x v="3"/>
    <x v="0"/>
    <n v="24"/>
    <x v="0"/>
    <d v="2026-05-07T18:54:00"/>
    <s v="No"/>
    <m/>
    <s v="Resolved On First Contact"/>
    <n v="21.18333333323244"/>
    <x v="0"/>
  </r>
  <r>
    <s v="TCK-20152"/>
    <d v="2026-05-05T19:56:00"/>
    <s v="Technical Support"/>
    <x v="6"/>
    <x v="1"/>
    <x v="3"/>
    <x v="5"/>
    <x v="0"/>
    <n v="24"/>
    <x v="2"/>
    <d v="2026-05-06T06:05:00"/>
    <s v="No"/>
    <n v="3"/>
    <s v="Not Specified"/>
    <n v="10.149999999906868"/>
    <x v="1"/>
  </r>
  <r>
    <s v="TCK-23130"/>
    <d v="2026-06-05T20:45:00"/>
    <s v="Tier 1 Support"/>
    <x v="1"/>
    <x v="4"/>
    <x v="0"/>
    <x v="2"/>
    <x v="0"/>
    <n v="24"/>
    <x v="5"/>
    <s v="Missing Resolve Date"/>
    <s v="No"/>
    <m/>
    <s v="Resolved On First Contact"/>
    <s v=""/>
    <x v="1"/>
  </r>
  <r>
    <s v="TCK-22369"/>
    <d v="2026-06-29T03:59:00"/>
    <s v="Tier 1 Support"/>
    <x v="7"/>
    <x v="4"/>
    <x v="1"/>
    <x v="1"/>
    <x v="3"/>
    <n v="4"/>
    <x v="2"/>
    <d v="2026-06-29T05:43:00"/>
    <s v="No"/>
    <m/>
    <s v="Not Specified"/>
    <n v="1.7333333332207985"/>
    <x v="1"/>
  </r>
  <r>
    <s v="TCK-21120"/>
    <d v="2026-03-01T18:22:00"/>
    <s v="Tier 1 Support"/>
    <x v="1"/>
    <x v="3"/>
    <x v="3"/>
    <x v="4"/>
    <x v="3"/>
    <n v="4"/>
    <x v="1"/>
    <s v="Missing Resolve Date"/>
    <s v="Yes"/>
    <m/>
    <s v="Not Specified"/>
    <s v=""/>
    <x v="1"/>
  </r>
  <r>
    <s v="TCK-20716"/>
    <d v="2026-01-09T11:10:00"/>
    <s v="Technical Support"/>
    <x v="4"/>
    <x v="6"/>
    <x v="2"/>
    <x v="3"/>
    <x v="0"/>
    <n v="24"/>
    <x v="5"/>
    <s v="Missing Resolve Date"/>
    <s v="No"/>
    <m/>
    <s v="Escalated To Senior Agent"/>
    <s v=""/>
    <x v="1"/>
  </r>
  <r>
    <s v="TCK-20698"/>
    <d v="2026-06-06T10:15:00"/>
    <s v="Billing Support"/>
    <x v="0"/>
    <x v="1"/>
    <x v="2"/>
    <x v="3"/>
    <x v="1"/>
    <n v="48"/>
    <x v="0"/>
    <d v="2026-06-11T13:03:00"/>
    <s v="No"/>
    <n v="2"/>
    <s v="Awaiting Customer Response"/>
    <n v="122.79999999987194"/>
    <x v="2"/>
  </r>
  <r>
    <s v="TCK-20721"/>
    <d v="2026-03-26T01:44:00"/>
    <s v="Technical Support"/>
    <x v="4"/>
    <x v="0"/>
    <x v="1"/>
    <x v="0"/>
    <x v="0"/>
    <n v="24"/>
    <x v="5"/>
    <s v="Missing Resolve Date"/>
    <s v="No"/>
    <m/>
    <s v="Required Follow-Up Call"/>
    <s v=""/>
    <x v="1"/>
  </r>
  <r>
    <s v="TCK-20495"/>
    <d v="2026-02-20T23:03:00"/>
    <s v="Tier 2 Support"/>
    <x v="3"/>
    <x v="4"/>
    <x v="3"/>
    <x v="1"/>
    <x v="1"/>
    <n v="48"/>
    <x v="0"/>
    <d v="2026-02-25T01:34:00"/>
    <s v="No"/>
    <n v="4"/>
    <s v="Customer Satisfied With Resolution"/>
    <n v="98.516666666662786"/>
    <x v="2"/>
  </r>
  <r>
    <s v="TCK-22024"/>
    <d v="2026-08-08T06:25:00"/>
    <s v="Technical Support"/>
    <x v="4"/>
    <x v="4"/>
    <x v="0"/>
    <x v="4"/>
    <x v="2"/>
    <n v="8"/>
    <x v="0"/>
    <d v="2026-08-08T11:32:00"/>
    <s v="No"/>
    <n v="2"/>
    <s v="Awaiting Customer Response"/>
    <n v="5.1166666667559184"/>
    <x v="0"/>
  </r>
  <r>
    <s v="TCK-21521"/>
    <d v="2026-06-12T01:41:00"/>
    <s v="Tier 2 Support"/>
    <x v="3"/>
    <x v="6"/>
    <x v="0"/>
    <x v="4"/>
    <x v="1"/>
    <n v="48"/>
    <x v="2"/>
    <d v="2026-06-13T07:29:00"/>
    <s v="Yes"/>
    <m/>
    <s v="Customer Requested Refund"/>
    <n v="29.799999999871943"/>
    <x v="1"/>
  </r>
  <r>
    <s v="TCK-22094"/>
    <d v="2026-06-02T23:03:00"/>
    <s v="Tier 1 Support"/>
    <x v="7"/>
    <x v="6"/>
    <x v="2"/>
    <x v="5"/>
    <x v="0"/>
    <n v="24"/>
    <x v="0"/>
    <d v="2026-06-04T09:19:00"/>
    <s v="No"/>
    <m/>
    <s v="Customer Requested Refund"/>
    <n v="34.266666666604578"/>
    <x v="2"/>
  </r>
  <r>
    <s v="TCK-20835"/>
    <d v="2026-02-28T01:21:00"/>
    <s v="Tier 1 Support"/>
    <x v="7"/>
    <x v="6"/>
    <x v="2"/>
    <x v="1"/>
    <x v="1"/>
    <n v="48"/>
    <x v="2"/>
    <s v="Missing Resolve Date"/>
    <s v="No"/>
    <m/>
    <s v="Resolved On First Contact"/>
    <s v=""/>
    <x v="1"/>
  </r>
  <r>
    <s v="TCK-23141"/>
    <d v="2026-05-04T18:02:00"/>
    <s v="Billing Support"/>
    <x v="0"/>
    <x v="1"/>
    <x v="2"/>
    <x v="1"/>
    <x v="1"/>
    <n v="48"/>
    <x v="4"/>
    <s v="Missing Resolve Date"/>
    <s v="Yes"/>
    <m/>
    <s v="Required Follow-Up Call"/>
    <s v=""/>
    <x v="1"/>
  </r>
  <r>
    <s v="TCK-22244"/>
    <d v="2026-02-06T19:53:00"/>
    <s v="Tier 2 Support"/>
    <x v="2"/>
    <x v="0"/>
    <x v="2"/>
    <x v="5"/>
    <x v="1"/>
    <n v="48"/>
    <x v="1"/>
    <s v="Missing Resolve Date"/>
    <s v="No"/>
    <m/>
    <s v="Escalated To Senior Agent"/>
    <s v=""/>
    <x v="1"/>
  </r>
  <r>
    <s v="TCK-22500"/>
    <d v="2026-03-15T11:50:00"/>
    <s v="Technical Support"/>
    <x v="6"/>
    <x v="4"/>
    <x v="1"/>
    <x v="5"/>
    <x v="0"/>
    <n v="24"/>
    <x v="0"/>
    <d v="2026-03-17T12:03:00"/>
    <s v="No"/>
    <n v="3"/>
    <s v="Repeat Issue From Same Customer"/>
    <n v="48.216666666674428"/>
    <x v="2"/>
  </r>
  <r>
    <s v="TCK-21503"/>
    <d v="2026-06-29T14:35:00"/>
    <s v="Technical Support"/>
    <x v="6"/>
    <x v="6"/>
    <x v="2"/>
    <x v="5"/>
    <x v="1"/>
    <n v="48"/>
    <x v="2"/>
    <d v="2026-06-30T21:44:00"/>
    <s v="No"/>
    <n v="2"/>
    <s v="Technical Issue Resolved Remotely"/>
    <n v="31.149999999906868"/>
    <x v="1"/>
  </r>
  <r>
    <s v="TCK-23065"/>
    <d v="2026-01-29T04:42:00"/>
    <s v="Billing Support"/>
    <x v="5"/>
    <x v="2"/>
    <x v="3"/>
    <x v="0"/>
    <x v="1"/>
    <n v="48"/>
    <x v="1"/>
    <s v="Missing Resolve Date"/>
    <s v="No"/>
    <m/>
    <s v="Not Specified"/>
    <s v=""/>
    <x v="1"/>
  </r>
  <r>
    <s v="TCK-21427"/>
    <d v="2026-03-30T18:42:00"/>
    <s v="Tier 2 Support"/>
    <x v="3"/>
    <x v="2"/>
    <x v="3"/>
    <x v="0"/>
    <x v="2"/>
    <n v="8"/>
    <x v="0"/>
    <d v="2026-03-31T18:07:00"/>
    <s v="No"/>
    <m/>
    <s v="Not Specified"/>
    <n v="23.416666666686069"/>
    <x v="2"/>
  </r>
  <r>
    <s v="TCK-20821"/>
    <d v="2026-05-04T00:10:00"/>
    <s v="Technical Support"/>
    <x v="6"/>
    <x v="2"/>
    <x v="1"/>
    <x v="4"/>
    <x v="2"/>
    <n v="8"/>
    <x v="0"/>
    <d v="2026-05-04T01:34:00"/>
    <s v="No"/>
    <n v="4"/>
    <s v="Not Specified"/>
    <n v="1.4000000000232831"/>
    <x v="0"/>
  </r>
  <r>
    <s v="TCK-22310"/>
    <d v="2026-02-01T17:26:00"/>
    <s v="Technical Support"/>
    <x v="6"/>
    <x v="0"/>
    <x v="1"/>
    <x v="0"/>
    <x v="2"/>
    <n v="8"/>
    <x v="5"/>
    <s v="Missing Resolve Date"/>
    <s v="No"/>
    <m/>
    <s v="Awaiting Customer Response"/>
    <s v=""/>
    <x v="1"/>
  </r>
  <r>
    <s v="TCK-21141"/>
    <d v="2026-06-12T01:53:00"/>
    <s v="Billing Support"/>
    <x v="5"/>
    <x v="2"/>
    <x v="1"/>
    <x v="5"/>
    <x v="1"/>
    <n v="48"/>
    <x v="2"/>
    <d v="2026-06-13T15:37:00"/>
    <s v="No"/>
    <m/>
    <s v="Not Specified"/>
    <n v="37.733333333220799"/>
    <x v="1"/>
  </r>
  <r>
    <s v="TCK-22780"/>
    <d v="2026-01-14T15:10:00"/>
    <s v="Billing Support"/>
    <x v="0"/>
    <x v="5"/>
    <x v="2"/>
    <x v="2"/>
    <x v="2"/>
    <n v="8"/>
    <x v="4"/>
    <s v="Missing Resolve Date"/>
    <s v="Yes"/>
    <m/>
    <s v="Required Follow-Up Call"/>
    <s v=""/>
    <x v="1"/>
  </r>
  <r>
    <s v="TCK-22942"/>
    <d v="2026-05-21T03:10:00"/>
    <s v="Technical Support"/>
    <x v="4"/>
    <x v="6"/>
    <x v="1"/>
    <x v="4"/>
    <x v="1"/>
    <n v="48"/>
    <x v="2"/>
    <d v="2026-05-22T18:34:00"/>
    <s v="No"/>
    <n v="1"/>
    <s v="Resolved On First Contact"/>
    <n v="39.399999999906868"/>
    <x v="1"/>
  </r>
  <r>
    <s v="TCK-21170"/>
    <d v="2026-01-03T07:07:00"/>
    <s v="Billing Support"/>
    <x v="5"/>
    <x v="3"/>
    <x v="1"/>
    <x v="0"/>
    <x v="0"/>
    <n v="24"/>
    <x v="2"/>
    <d v="2026-01-03T09:11:00"/>
    <s v="No"/>
    <n v="5"/>
    <s v="Awaiting Customer Response"/>
    <n v="2.0666666667675599"/>
    <x v="1"/>
  </r>
  <r>
    <s v="TCK-21918"/>
    <d v="2026-06-10T11:45:00"/>
    <s v="Tier 2 Support"/>
    <x v="2"/>
    <x v="4"/>
    <x v="2"/>
    <x v="0"/>
    <x v="0"/>
    <n v="24"/>
    <x v="4"/>
    <s v="Missing Resolve Date"/>
    <s v="Yes"/>
    <m/>
    <s v="Resolved On First Contact"/>
    <s v=""/>
    <x v="1"/>
  </r>
  <r>
    <s v="TCK-20290"/>
    <d v="2026-03-08T13:11:00"/>
    <s v="Tier 1 Support"/>
    <x v="1"/>
    <x v="2"/>
    <x v="0"/>
    <x v="0"/>
    <x v="0"/>
    <n v="24"/>
    <x v="5"/>
    <s v="Missing Resolve Date"/>
    <s v="No"/>
    <m/>
    <s v="Technical Issue Resolved Remotely"/>
    <s v=""/>
    <x v="1"/>
  </r>
  <r>
    <s v="TCK-22792"/>
    <d v="2026-03-30T14:44:00"/>
    <s v="Tier 2 Support"/>
    <x v="3"/>
    <x v="0"/>
    <x v="0"/>
    <x v="4"/>
    <x v="0"/>
    <n v="24"/>
    <x v="0"/>
    <d v="2026-03-31T04:58:00"/>
    <s v="No"/>
    <m/>
    <s v="Resolved On First Contact"/>
    <n v="14.233333333279006"/>
    <x v="0"/>
  </r>
  <r>
    <s v="TCK-21603"/>
    <d v="2026-05-12T12:38:00"/>
    <s v="Billing Support"/>
    <x v="5"/>
    <x v="3"/>
    <x v="0"/>
    <x v="1"/>
    <x v="2"/>
    <n v="8"/>
    <x v="5"/>
    <s v="Missing Resolve Date"/>
    <s v="No"/>
    <m/>
    <s v="Customer Requested Refund"/>
    <s v=""/>
    <x v="1"/>
  </r>
  <r>
    <s v="TCK-23095"/>
    <d v="2026-03-05T22:14:00"/>
    <s v="Billing Support"/>
    <x v="0"/>
    <x v="3"/>
    <x v="1"/>
    <x v="5"/>
    <x v="0"/>
    <n v="24"/>
    <x v="0"/>
    <d v="2026-03-06T03:54:00"/>
    <s v="No"/>
    <n v="3"/>
    <s v="Awaiting Customer Response"/>
    <n v="5.6666666666278616"/>
    <x v="0"/>
  </r>
  <r>
    <s v="TCK-22172"/>
    <d v="2026-04-28T16:37:00"/>
    <s v="Tier 1 Support"/>
    <x v="7"/>
    <x v="6"/>
    <x v="3"/>
    <x v="0"/>
    <x v="3"/>
    <n v="4"/>
    <x v="5"/>
    <s v="Missing Resolve Date"/>
    <s v="Yes"/>
    <m/>
    <s v="Not Specified"/>
    <s v=""/>
    <x v="1"/>
  </r>
  <r>
    <s v="TCK-21294"/>
    <d v="2026-04-24T11:41:00"/>
    <s v="Billing Support"/>
    <x v="5"/>
    <x v="6"/>
    <x v="3"/>
    <x v="0"/>
    <x v="1"/>
    <n v="48"/>
    <x v="0"/>
    <d v="2026-04-25T01:06:00"/>
    <s v="No"/>
    <m/>
    <s v="Escalated To Senior Agent"/>
    <n v="13.416666666569654"/>
    <x v="0"/>
  </r>
  <r>
    <s v="TCK-22201"/>
    <d v="2026-02-26T01:41:00"/>
    <s v="Tier 2 Support"/>
    <x v="3"/>
    <x v="0"/>
    <x v="2"/>
    <x v="5"/>
    <x v="1"/>
    <n v="48"/>
    <x v="0"/>
    <d v="2026-02-28T12:56:00"/>
    <s v="No"/>
    <m/>
    <s v="Customer Requested Refund"/>
    <n v="59.25"/>
    <x v="2"/>
  </r>
  <r>
    <s v="TCK-23103"/>
    <d v="2026-05-31T16:09:00"/>
    <s v="Tier 2 Support"/>
    <x v="3"/>
    <x v="6"/>
    <x v="0"/>
    <x v="0"/>
    <x v="1"/>
    <n v="48"/>
    <x v="5"/>
    <s v="Missing Resolve Date"/>
    <s v="No"/>
    <m/>
    <s v="Escalated To Senior Agent"/>
    <s v=""/>
    <x v="1"/>
  </r>
  <r>
    <s v="TCK-22388"/>
    <d v="2026-05-21T20:22:00"/>
    <s v="Tier 1 Support"/>
    <x v="7"/>
    <x v="6"/>
    <x v="1"/>
    <x v="3"/>
    <x v="2"/>
    <n v="8"/>
    <x v="2"/>
    <d v="2026-05-22T00:38:00"/>
    <s v="No"/>
    <m/>
    <s v="Not Specified"/>
    <n v="4.2666666666045785"/>
    <x v="1"/>
  </r>
  <r>
    <s v="TCK-22671"/>
    <d v="2026-06-07T19:14:00"/>
    <s v="Tier 2 Support"/>
    <x v="3"/>
    <x v="2"/>
    <x v="1"/>
    <x v="5"/>
    <x v="1"/>
    <n v="48"/>
    <x v="5"/>
    <s v="Missing Resolve Date"/>
    <s v="No"/>
    <m/>
    <s v="Required Follow-Up Call"/>
    <s v=""/>
    <x v="1"/>
  </r>
  <r>
    <s v="TCK-20980"/>
    <d v="2026-01-09T13:29:00"/>
    <s v="Tier 2 Support"/>
    <x v="3"/>
    <x v="6"/>
    <x v="3"/>
    <x v="5"/>
    <x v="1"/>
    <n v="48"/>
    <x v="0"/>
    <d v="2026-01-10T15:16:00"/>
    <s v="No"/>
    <m/>
    <s v="Customer Satisfied With Resolution"/>
    <n v="25.78333333338378"/>
    <x v="0"/>
  </r>
  <r>
    <s v="TCK-20598"/>
    <d v="2026-04-08T08:18:00"/>
    <s v="Tier 1 Support"/>
    <x v="1"/>
    <x v="1"/>
    <x v="1"/>
    <x v="0"/>
    <x v="2"/>
    <n v="8"/>
    <x v="2"/>
    <d v="2026-04-08T12:00:00"/>
    <s v="No"/>
    <n v="5"/>
    <s v="Resolved On First Contact"/>
    <n v="3.7000000000116415"/>
    <x v="1"/>
  </r>
  <r>
    <s v="TCK-22669"/>
    <d v="2026-05-21T12:30:00"/>
    <s v="Tier 1 Support"/>
    <x v="1"/>
    <x v="2"/>
    <x v="3"/>
    <x v="4"/>
    <x v="1"/>
    <n v="48"/>
    <x v="0"/>
    <d v="2026-05-22T06:49:00"/>
    <s v="No"/>
    <n v="3"/>
    <s v="Customer Satisfied With Resolution"/>
    <n v="18.316666666651145"/>
    <x v="0"/>
  </r>
  <r>
    <s v="TCK-21139"/>
    <d v="2026-07-28T10:48:00"/>
    <s v="Billing Support"/>
    <x v="0"/>
    <x v="2"/>
    <x v="3"/>
    <x v="0"/>
    <x v="2"/>
    <n v="8"/>
    <x v="0"/>
    <d v="2026-07-29T06:58:00"/>
    <s v="No"/>
    <n v="5"/>
    <s v="Technical Issue Resolved Remotely"/>
    <n v="20.166666666744277"/>
    <x v="2"/>
  </r>
  <r>
    <s v="TCK-22092"/>
    <d v="2026-01-23T00:41:00"/>
    <s v="Billing Support"/>
    <x v="5"/>
    <x v="5"/>
    <x v="2"/>
    <x v="5"/>
    <x v="3"/>
    <n v="4"/>
    <x v="4"/>
    <s v="Missing Resolve Date"/>
    <s v="Yes"/>
    <m/>
    <s v="Required Follow-Up Call"/>
    <s v=""/>
    <x v="1"/>
  </r>
  <r>
    <s v="TCK-20263"/>
    <d v="2026-03-14T01:18:00"/>
    <s v="Tier 2 Support"/>
    <x v="3"/>
    <x v="2"/>
    <x v="2"/>
    <x v="2"/>
    <x v="2"/>
    <n v="8"/>
    <x v="0"/>
    <d v="2026-03-14T02:04:00"/>
    <s v="No"/>
    <n v="4"/>
    <s v="Escalated To Senior Agent"/>
    <n v="0.76666666654637083"/>
    <x v="0"/>
  </r>
  <r>
    <s v="TCK-21666"/>
    <d v="2026-06-10T14:12:00"/>
    <s v="Technical Support"/>
    <x v="4"/>
    <x v="3"/>
    <x v="3"/>
    <x v="5"/>
    <x v="1"/>
    <n v="48"/>
    <x v="2"/>
    <d v="2026-06-11T03:59:00"/>
    <s v="No"/>
    <n v="5"/>
    <s v="Required Follow-Up Call"/>
    <n v="13.78333333338378"/>
    <x v="1"/>
  </r>
  <r>
    <s v="TCK-21131"/>
    <d v="2026-05-10T16:40:00"/>
    <s v="Technical Support"/>
    <x v="6"/>
    <x v="3"/>
    <x v="2"/>
    <x v="1"/>
    <x v="3"/>
    <n v="4"/>
    <x v="1"/>
    <s v="Missing Resolve Date"/>
    <s v="No"/>
    <m/>
    <s v="Customer Requested Refund"/>
    <s v=""/>
    <x v="1"/>
  </r>
  <r>
    <s v="TCK-22258"/>
    <d v="2026-04-16T11:16:00"/>
    <s v="Billing Support"/>
    <x v="0"/>
    <x v="2"/>
    <x v="2"/>
    <x v="3"/>
    <x v="1"/>
    <n v="48"/>
    <x v="0"/>
    <d v="2026-04-16T20:11:00"/>
    <s v="Yes"/>
    <n v="4"/>
    <s v="Resolved On First Contact"/>
    <n v="8.9166666665696539"/>
    <x v="0"/>
  </r>
  <r>
    <s v="TCK-22450"/>
    <d v="2026-04-10T15:39:00"/>
    <s v="Tier 2 Support"/>
    <x v="2"/>
    <x v="0"/>
    <x v="2"/>
    <x v="0"/>
    <x v="1"/>
    <n v="48"/>
    <x v="4"/>
    <s v="Missing Resolve Date"/>
    <s v="Yes"/>
    <m/>
    <s v="Resolved On First Contact"/>
    <s v=""/>
    <x v="1"/>
  </r>
  <r>
    <s v="TCK-22988"/>
    <d v="2026-05-19T07:33:00"/>
    <s v="Billing Support"/>
    <x v="0"/>
    <x v="4"/>
    <x v="0"/>
    <x v="4"/>
    <x v="2"/>
    <n v="8"/>
    <x v="2"/>
    <d v="2026-05-19T10:37:00"/>
    <s v="No"/>
    <m/>
    <s v="Awaiting Customer Response"/>
    <n v="3.0666666667093523"/>
    <x v="1"/>
  </r>
  <r>
    <s v="TCK-21569"/>
    <d v="2026-07-20T06:34:00"/>
    <s v="Technical Support"/>
    <x v="4"/>
    <x v="2"/>
    <x v="0"/>
    <x v="1"/>
    <x v="2"/>
    <n v="8"/>
    <x v="0"/>
    <d v="2026-07-21T01:27:00"/>
    <s v="No"/>
    <m/>
    <s v="Not Specified"/>
    <n v="18.883333333418705"/>
    <x v="2"/>
  </r>
  <r>
    <s v="TCK-21906"/>
    <d v="2026-02-15T20:34:00"/>
    <s v="Billing Support"/>
    <x v="0"/>
    <x v="0"/>
    <x v="0"/>
    <x v="3"/>
    <x v="1"/>
    <n v="48"/>
    <x v="0"/>
    <d v="2026-02-20T00:59:00"/>
    <s v="No"/>
    <m/>
    <s v="Not Specified"/>
    <n v="100.41666666674428"/>
    <x v="2"/>
  </r>
  <r>
    <s v="TCK-21271"/>
    <d v="2026-07-29T18:24:00"/>
    <s v="Technical Support"/>
    <x v="6"/>
    <x v="5"/>
    <x v="0"/>
    <x v="0"/>
    <x v="1"/>
    <n v="48"/>
    <x v="0"/>
    <d v="2026-08-02T06:29:00"/>
    <s v="No"/>
    <n v="2"/>
    <s v="Customer Satisfied With Resolution"/>
    <n v="84.083333333255723"/>
    <x v="2"/>
  </r>
  <r>
    <s v="TCK-23042"/>
    <d v="2026-06-30T03:26:00"/>
    <s v="Tier 1 Support"/>
    <x v="1"/>
    <x v="3"/>
    <x v="1"/>
    <x v="3"/>
    <x v="0"/>
    <n v="24"/>
    <x v="0"/>
    <d v="2026-06-30T15:36:00"/>
    <s v="Yes"/>
    <m/>
    <s v="Awaiting Customer Response"/>
    <n v="12.166666666686069"/>
    <x v="0"/>
  </r>
  <r>
    <s v="TCK-20685"/>
    <d v="2026-05-21T16:08:00"/>
    <s v="Tier 1 Support"/>
    <x v="7"/>
    <x v="2"/>
    <x v="1"/>
    <x v="0"/>
    <x v="3"/>
    <n v="4"/>
    <x v="4"/>
    <s v="Missing Resolve Date"/>
    <s v="Yes"/>
    <m/>
    <s v="Escalated To Senior Agent"/>
    <s v=""/>
    <x v="1"/>
  </r>
  <r>
    <s v="TCK-22444"/>
    <d v="2026-02-12T05:57:00"/>
    <s v="Tier 2 Support"/>
    <x v="3"/>
    <x v="6"/>
    <x v="0"/>
    <x v="2"/>
    <x v="3"/>
    <n v="4"/>
    <x v="0"/>
    <d v="2026-02-12T17:14:00"/>
    <s v="No"/>
    <n v="4"/>
    <s v="Customer Requested Refund"/>
    <n v="11.283333333267365"/>
    <x v="2"/>
  </r>
  <r>
    <s v="TCK-20329"/>
    <d v="2026-03-05T14:55:00"/>
    <s v="Technical Support"/>
    <x v="4"/>
    <x v="5"/>
    <x v="2"/>
    <x v="2"/>
    <x v="1"/>
    <n v="48"/>
    <x v="2"/>
    <d v="2026-03-11T03:25:00"/>
    <s v="No"/>
    <m/>
    <s v="Resolved On First Contact"/>
    <n v="132.49999999988358"/>
    <x v="1"/>
  </r>
  <r>
    <s v="TCK-22242"/>
    <d v="2026-07-22T16:20:00"/>
    <s v="Technical Support"/>
    <x v="4"/>
    <x v="4"/>
    <x v="1"/>
    <x v="3"/>
    <x v="2"/>
    <n v="8"/>
    <x v="5"/>
    <s v="Missing Resolve Date"/>
    <s v="Yes"/>
    <m/>
    <s v="Technical Issue Resolved Remotely"/>
    <s v=""/>
    <x v="1"/>
  </r>
  <r>
    <s v="TCK-20918"/>
    <d v="2026-02-28T05:13:00"/>
    <s v="Billing Support"/>
    <x v="0"/>
    <x v="1"/>
    <x v="2"/>
    <x v="5"/>
    <x v="0"/>
    <n v="24"/>
    <x v="0"/>
    <d v="2026-02-28T21:59:00"/>
    <s v="No"/>
    <n v="3"/>
    <s v="Not Specified"/>
    <n v="16.766666666662786"/>
    <x v="0"/>
  </r>
  <r>
    <s v="TCK-20476"/>
    <d v="2026-03-05T23:55:00"/>
    <s v="Billing Support"/>
    <x v="5"/>
    <x v="1"/>
    <x v="1"/>
    <x v="1"/>
    <x v="2"/>
    <n v="8"/>
    <x v="0"/>
    <d v="2026-03-06T00:25:00"/>
    <s v="No"/>
    <m/>
    <s v="Repeat Issue From Same Customer"/>
    <n v="0.49999999988358468"/>
    <x v="0"/>
  </r>
  <r>
    <s v="TCK-21993"/>
    <d v="2026-03-15T11:04:00"/>
    <s v="Billing Support"/>
    <x v="5"/>
    <x v="4"/>
    <x v="2"/>
    <x v="4"/>
    <x v="1"/>
    <n v="48"/>
    <x v="2"/>
    <s v="Missing Resolve Date"/>
    <s v="Yes"/>
    <n v="5"/>
    <s v="Technical Issue Resolved Remotely"/>
    <s v=""/>
    <x v="1"/>
  </r>
  <r>
    <s v="TCK-22330"/>
    <d v="2026-07-03T14:54:00"/>
    <s v="Billing Support"/>
    <x v="5"/>
    <x v="0"/>
    <x v="2"/>
    <x v="3"/>
    <x v="2"/>
    <n v="8"/>
    <x v="0"/>
    <d v="2026-07-03T16:10:00"/>
    <s v="No"/>
    <m/>
    <s v="Technical Issue Resolved Remotely"/>
    <n v="1.2666666666045785"/>
    <x v="0"/>
  </r>
  <r>
    <s v="TCK-21364"/>
    <d v="2026-01-25T06:32:00"/>
    <s v="Tier 2 Support"/>
    <x v="2"/>
    <x v="1"/>
    <x v="2"/>
    <x v="0"/>
    <x v="0"/>
    <n v="24"/>
    <x v="2"/>
    <d v="2026-01-25T18:45:00"/>
    <s v="Yes"/>
    <m/>
    <s v="Customer Requested Refund"/>
    <n v="12.216666666674428"/>
    <x v="1"/>
  </r>
  <r>
    <s v="TCK-20782"/>
    <d v="2026-05-06T18:28:00"/>
    <s v="Technical Support"/>
    <x v="4"/>
    <x v="6"/>
    <x v="3"/>
    <x v="2"/>
    <x v="0"/>
    <n v="24"/>
    <x v="2"/>
    <d v="2026-05-06T21:36:00"/>
    <s v="No"/>
    <n v="5"/>
    <s v="Customer Satisfied With Resolution"/>
    <n v="3.1333333334187046"/>
    <x v="1"/>
  </r>
  <r>
    <s v="TCK-22762"/>
    <d v="2026-02-03T21:02:00"/>
    <s v="Tier 2 Support"/>
    <x v="3"/>
    <x v="5"/>
    <x v="1"/>
    <x v="3"/>
    <x v="0"/>
    <n v="24"/>
    <x v="3"/>
    <d v="2026-02-04T02:21:00"/>
    <s v="Yes"/>
    <m/>
    <s v="Not Specified"/>
    <n v="5.3166666667093523"/>
    <x v="1"/>
  </r>
  <r>
    <s v="TCK-21658"/>
    <d v="2026-04-15T15:57:00"/>
    <s v="Technical Support"/>
    <x v="6"/>
    <x v="4"/>
    <x v="1"/>
    <x v="4"/>
    <x v="2"/>
    <n v="8"/>
    <x v="2"/>
    <d v="2026-04-15T19:56:00"/>
    <s v="No"/>
    <n v="4"/>
    <s v="Technical Issue Resolved Remotely"/>
    <n v="3.9833333333954215"/>
    <x v="1"/>
  </r>
  <r>
    <s v="TCK-22603"/>
    <d v="2026-08-20T01:54:00"/>
    <s v="Tier 2 Support"/>
    <x v="2"/>
    <x v="5"/>
    <x v="1"/>
    <x v="5"/>
    <x v="3"/>
    <n v="4"/>
    <x v="5"/>
    <s v="Missing Resolve Date"/>
    <s v="No"/>
    <m/>
    <s v="Resolved On First Contact"/>
    <s v=""/>
    <x v="1"/>
  </r>
  <r>
    <s v="TCK-23127"/>
    <d v="2026-06-13T01:34:00"/>
    <s v="Tier 1 Support"/>
    <x v="1"/>
    <x v="5"/>
    <x v="1"/>
    <x v="0"/>
    <x v="0"/>
    <n v="24"/>
    <x v="0"/>
    <d v="2026-06-15T06:54:00"/>
    <s v="No"/>
    <n v="4"/>
    <s v="Escalated To Senior Agent"/>
    <n v="53.333333333255723"/>
    <x v="2"/>
  </r>
  <r>
    <s v="TCK-22005"/>
    <d v="2026-08-14T19:35:00"/>
    <s v="Tier 1 Support"/>
    <x v="1"/>
    <x v="1"/>
    <x v="0"/>
    <x v="5"/>
    <x v="3"/>
    <n v="4"/>
    <x v="0"/>
    <d v="2026-08-14T20:08:00"/>
    <s v="No"/>
    <m/>
    <s v="Customer Satisfied With Resolution"/>
    <n v="0.55000000004656613"/>
    <x v="0"/>
  </r>
  <r>
    <s v="TCK-20646"/>
    <d v="2026-07-30T00:42:00"/>
    <s v="Technical Support"/>
    <x v="6"/>
    <x v="6"/>
    <x v="0"/>
    <x v="2"/>
    <x v="0"/>
    <n v="24"/>
    <x v="0"/>
    <d v="2026-07-30T17:42:00"/>
    <s v="No"/>
    <m/>
    <s v="Not Specified"/>
    <n v="17.000000000058208"/>
    <x v="0"/>
  </r>
  <r>
    <s v="TCK-20368"/>
    <d v="2026-01-31T18:42:00"/>
    <s v="Tier 1 Support"/>
    <x v="7"/>
    <x v="2"/>
    <x v="0"/>
    <x v="0"/>
    <x v="0"/>
    <n v="24"/>
    <x v="0"/>
    <d v="2026-02-01T04:12:00"/>
    <s v="No"/>
    <n v="3"/>
    <s v="Customer Satisfied With Resolution"/>
    <n v="9.5000000000582077"/>
    <x v="0"/>
  </r>
  <r>
    <s v="TCK-21596"/>
    <d v="2026-08-22T06:59:00"/>
    <s v="Tier 2 Support"/>
    <x v="3"/>
    <x v="6"/>
    <x v="3"/>
    <x v="0"/>
    <x v="2"/>
    <n v="8"/>
    <x v="2"/>
    <d v="2026-08-22T11:34:00"/>
    <s v="No"/>
    <m/>
    <s v="Customer Satisfied With Resolution"/>
    <n v="4.5833333332557231"/>
    <x v="1"/>
  </r>
  <r>
    <s v="TCK-21600"/>
    <d v="2026-05-04T00:24:00"/>
    <s v="Tier 2 Support"/>
    <x v="3"/>
    <x v="2"/>
    <x v="1"/>
    <x v="3"/>
    <x v="0"/>
    <n v="24"/>
    <x v="2"/>
    <d v="2026-05-05T18:35:00"/>
    <s v="No"/>
    <n v="5"/>
    <s v="Escalated To Senior Agent"/>
    <n v="42.18333333323244"/>
    <x v="1"/>
  </r>
  <r>
    <s v="TCK-21631"/>
    <d v="2026-08-20T08:22:00"/>
    <s v="Technical Support"/>
    <x v="4"/>
    <x v="6"/>
    <x v="1"/>
    <x v="5"/>
    <x v="2"/>
    <n v="8"/>
    <x v="0"/>
    <d v="2026-08-20T13:09:00"/>
    <s v="No"/>
    <n v="5"/>
    <s v="Customer Requested Refund"/>
    <n v="4.78333333338378"/>
    <x v="0"/>
  </r>
  <r>
    <s v="TCK-23154"/>
    <d v="2026-01-24T18:20:00"/>
    <s v="Tier 2 Support"/>
    <x v="3"/>
    <x v="1"/>
    <x v="1"/>
    <x v="5"/>
    <x v="0"/>
    <n v="24"/>
    <x v="0"/>
    <d v="2026-01-25T07:07:00"/>
    <s v="No"/>
    <n v="3"/>
    <s v="Escalated To Senior Agent"/>
    <n v="12.783333333267365"/>
    <x v="0"/>
  </r>
  <r>
    <s v="TCK-22546"/>
    <d v="2026-04-22T07:28:00"/>
    <s v="Tier 2 Support"/>
    <x v="3"/>
    <x v="3"/>
    <x v="3"/>
    <x v="0"/>
    <x v="0"/>
    <n v="24"/>
    <x v="0"/>
    <d v="2026-04-23T03:41:00"/>
    <s v="No"/>
    <n v="4"/>
    <s v="Technical Issue Resolved Remotely"/>
    <n v="20.216666666558012"/>
    <x v="0"/>
  </r>
  <r>
    <s v="TCK-21003"/>
    <d v="2026-06-22T06:05:00"/>
    <s v="Technical Support"/>
    <x v="6"/>
    <x v="0"/>
    <x v="3"/>
    <x v="2"/>
    <x v="3"/>
    <n v="4"/>
    <x v="0"/>
    <d v="2026-06-22T12:32:00"/>
    <s v="No"/>
    <n v="1"/>
    <s v="Awaiting Customer Response"/>
    <n v="6.4500000000698492"/>
    <x v="2"/>
  </r>
  <r>
    <s v="TCK-20655"/>
    <d v="2026-07-17T23:47:00"/>
    <s v="Tier 2 Support"/>
    <x v="3"/>
    <x v="3"/>
    <x v="1"/>
    <x v="1"/>
    <x v="2"/>
    <n v="8"/>
    <x v="1"/>
    <s v="Missing Resolve Date"/>
    <s v="No"/>
    <m/>
    <s v="Escalated To Senior Agent"/>
    <s v=""/>
    <x v="1"/>
  </r>
  <r>
    <s v="TCK-21389"/>
    <d v="2026-01-18T00:16:00"/>
    <s v="Tier 2 Support"/>
    <x v="2"/>
    <x v="2"/>
    <x v="1"/>
    <x v="1"/>
    <x v="1"/>
    <n v="48"/>
    <x v="2"/>
    <d v="2026-01-19T12:20:00"/>
    <s v="No"/>
    <m/>
    <s v="Escalated To Senior Agent"/>
    <n v="36.066666666709352"/>
    <x v="1"/>
  </r>
  <r>
    <s v="TCK-22250"/>
    <d v="2026-02-18T20:33:00"/>
    <s v="Tier 2 Support"/>
    <x v="3"/>
    <x v="6"/>
    <x v="1"/>
    <x v="2"/>
    <x v="1"/>
    <n v="48"/>
    <x v="0"/>
    <d v="2026-02-19T03:49:00"/>
    <s v="No"/>
    <n v="5"/>
    <s v="Not Specified"/>
    <n v="7.2666666667792015"/>
    <x v="0"/>
  </r>
  <r>
    <s v="TCK-21358"/>
    <d v="2026-07-10T20:09:00"/>
    <s v="Tier 2 Support"/>
    <x v="2"/>
    <x v="0"/>
    <x v="0"/>
    <x v="0"/>
    <x v="1"/>
    <n v="48"/>
    <x v="4"/>
    <s v="Missing Resolve Date"/>
    <s v="Yes"/>
    <m/>
    <s v="Awaiting Customer Response"/>
    <s v=""/>
    <x v="1"/>
  </r>
  <r>
    <s v="TCK-20719"/>
    <d v="2026-06-30T20:51:00"/>
    <s v="Technical Support"/>
    <x v="6"/>
    <x v="0"/>
    <x v="1"/>
    <x v="2"/>
    <x v="2"/>
    <n v="8"/>
    <x v="5"/>
    <s v="Missing Resolve Date"/>
    <s v="No"/>
    <m/>
    <s v="Not Specified"/>
    <s v=""/>
    <x v="1"/>
  </r>
  <r>
    <s v="TCK-20585"/>
    <d v="2026-08-15T12:18:00"/>
    <s v="Technical Support"/>
    <x v="6"/>
    <x v="2"/>
    <x v="0"/>
    <x v="1"/>
    <x v="0"/>
    <n v="24"/>
    <x v="2"/>
    <d v="2026-08-17T23:52:00"/>
    <s v="No"/>
    <n v="1"/>
    <s v="Required Follow-Up Call"/>
    <n v="59.566666666651145"/>
    <x v="1"/>
  </r>
  <r>
    <s v="TCK-21387"/>
    <d v="2026-01-01T19:10:00"/>
    <s v="Billing Support"/>
    <x v="5"/>
    <x v="4"/>
    <x v="0"/>
    <x v="2"/>
    <x v="1"/>
    <n v="48"/>
    <x v="4"/>
    <s v="Missing Resolve Date"/>
    <s v="Yes"/>
    <m/>
    <s v="Escalated To Senior Agent"/>
    <s v=""/>
    <x v="1"/>
  </r>
  <r>
    <s v="TCK-21524"/>
    <d v="2026-01-07T19:27:00"/>
    <s v="Technical Support"/>
    <x v="4"/>
    <x v="3"/>
    <x v="0"/>
    <x v="0"/>
    <x v="0"/>
    <n v="24"/>
    <x v="0"/>
    <d v="2026-01-08T04:01:00"/>
    <s v="No"/>
    <n v="2"/>
    <s v="Awaiting Customer Response"/>
    <n v="8.5666666666511446"/>
    <x v="0"/>
  </r>
  <r>
    <s v="TCK-21970"/>
    <d v="2026-01-26T18:22:00"/>
    <s v="Tier 1 Support"/>
    <x v="1"/>
    <x v="5"/>
    <x v="2"/>
    <x v="1"/>
    <x v="1"/>
    <n v="48"/>
    <x v="4"/>
    <s v="Missing Resolve Date"/>
    <s v="Yes"/>
    <m/>
    <s v="Required Follow-Up Call"/>
    <s v=""/>
    <x v="1"/>
  </r>
  <r>
    <s v="TCK-22813"/>
    <d v="2026-07-03T18:23:00"/>
    <s v="Billing Support"/>
    <x v="5"/>
    <x v="6"/>
    <x v="1"/>
    <x v="1"/>
    <x v="1"/>
    <n v="48"/>
    <x v="2"/>
    <s v="Missing Resolve Date"/>
    <s v="No"/>
    <n v="5"/>
    <s v="Required Follow-Up Call"/>
    <s v=""/>
    <x v="1"/>
  </r>
  <r>
    <s v="TCK-20072"/>
    <d v="2026-07-19T02:59:00"/>
    <s v="Billing Support"/>
    <x v="0"/>
    <x v="5"/>
    <x v="2"/>
    <x v="0"/>
    <x v="1"/>
    <n v="48"/>
    <x v="0"/>
    <d v="2026-07-19T16:31:00"/>
    <s v="No"/>
    <m/>
    <s v="Repeat Issue From Same Customer"/>
    <n v="13.533333333441988"/>
    <x v="0"/>
  </r>
  <r>
    <s v="TCK-20163"/>
    <d v="2026-04-20T20:58:00"/>
    <s v="Tier 1 Support"/>
    <x v="7"/>
    <x v="0"/>
    <x v="1"/>
    <x v="3"/>
    <x v="0"/>
    <n v="24"/>
    <x v="1"/>
    <s v="Missing Resolve Date"/>
    <s v="No"/>
    <m/>
    <s v="Customer Satisfied With Resolution"/>
    <s v=""/>
    <x v="1"/>
  </r>
  <r>
    <s v="TCK-22467"/>
    <d v="2026-07-02T04:51:00"/>
    <s v="Technical Support"/>
    <x v="4"/>
    <x v="0"/>
    <x v="3"/>
    <x v="3"/>
    <x v="0"/>
    <n v="24"/>
    <x v="0"/>
    <d v="2026-07-02T10:29:00"/>
    <s v="No"/>
    <m/>
    <s v="Not Specified"/>
    <n v="5.6333333333604969"/>
    <x v="0"/>
  </r>
  <r>
    <s v="TCK-22426"/>
    <d v="2026-07-12T10:05:00"/>
    <s v="Billing Support"/>
    <x v="0"/>
    <x v="0"/>
    <x v="2"/>
    <x v="1"/>
    <x v="1"/>
    <n v="48"/>
    <x v="0"/>
    <d v="2026-07-13T01:28:00"/>
    <s v="No"/>
    <n v="5"/>
    <s v="Customer Requested Refund"/>
    <n v="15.383333333360497"/>
    <x v="0"/>
  </r>
  <r>
    <s v="TCK-21909"/>
    <d v="2026-05-24T12:47:00"/>
    <s v="Tier 2 Support"/>
    <x v="2"/>
    <x v="2"/>
    <x v="0"/>
    <x v="1"/>
    <x v="1"/>
    <n v="48"/>
    <x v="0"/>
    <d v="2026-05-25T22:25:00"/>
    <s v="No"/>
    <n v="5"/>
    <s v="Repeat Issue From Same Customer"/>
    <n v="33.633333333476912"/>
    <x v="0"/>
  </r>
  <r>
    <s v="TCK-21952"/>
    <d v="2026-08-23T07:55:00"/>
    <s v="Technical Support"/>
    <x v="6"/>
    <x v="6"/>
    <x v="1"/>
    <x v="1"/>
    <x v="2"/>
    <n v="8"/>
    <x v="5"/>
    <s v="Missing Resolve Date"/>
    <s v="No"/>
    <m/>
    <s v="Not Specified"/>
    <s v=""/>
    <x v="1"/>
  </r>
  <r>
    <s v="TCK-20889"/>
    <d v="2026-05-19T02:42:00"/>
    <s v="Technical Support"/>
    <x v="4"/>
    <x v="6"/>
    <x v="2"/>
    <x v="5"/>
    <x v="1"/>
    <n v="48"/>
    <x v="2"/>
    <d v="2026-05-19T23:26:00"/>
    <s v="No"/>
    <n v="2"/>
    <s v="Awaiting Customer Response"/>
    <n v="20.733333333337214"/>
    <x v="1"/>
  </r>
  <r>
    <s v="TCK-21811"/>
    <d v="2026-04-15T13:07:00"/>
    <s v="Tier 2 Support"/>
    <x v="3"/>
    <x v="6"/>
    <x v="0"/>
    <x v="5"/>
    <x v="0"/>
    <n v="24"/>
    <x v="2"/>
    <d v="2026-04-15T20:41:00"/>
    <s v="No"/>
    <n v="4"/>
    <s v="Not Specified"/>
    <n v="7.5666666667093523"/>
    <x v="1"/>
  </r>
  <r>
    <s v="TCK-22016"/>
    <d v="2026-03-04T20:46:00"/>
    <s v="Tier 2 Support"/>
    <x v="3"/>
    <x v="3"/>
    <x v="2"/>
    <x v="3"/>
    <x v="3"/>
    <n v="4"/>
    <x v="0"/>
    <d v="2026-03-04T22:59:00"/>
    <s v="No"/>
    <n v="2"/>
    <s v="Customer Satisfied With Resolution"/>
    <n v="2.2166666667326353"/>
    <x v="0"/>
  </r>
  <r>
    <s v="TCK-21701"/>
    <d v="2026-03-17T07:41:00"/>
    <s v="Technical Support"/>
    <x v="4"/>
    <x v="6"/>
    <x v="2"/>
    <x v="2"/>
    <x v="0"/>
    <n v="24"/>
    <x v="4"/>
    <s v="Missing Resolve Date"/>
    <s v="Yes"/>
    <m/>
    <s v="Customer Satisfied With Resolution"/>
    <s v=""/>
    <x v="1"/>
  </r>
  <r>
    <s v="TCK-22694"/>
    <d v="2026-07-05T08:26:00"/>
    <s v="Tier 2 Support"/>
    <x v="3"/>
    <x v="3"/>
    <x v="3"/>
    <x v="5"/>
    <x v="0"/>
    <n v="24"/>
    <x v="5"/>
    <s v="Missing Resolve Date"/>
    <s v="No"/>
    <m/>
    <s v="Required Follow-Up Call"/>
    <s v=""/>
    <x v="1"/>
  </r>
  <r>
    <s v="TCK-22993"/>
    <d v="2026-07-18T00:27:00"/>
    <s v="Tier 2 Support"/>
    <x v="2"/>
    <x v="2"/>
    <x v="2"/>
    <x v="4"/>
    <x v="2"/>
    <n v="8"/>
    <x v="0"/>
    <d v="2026-07-18T01:51:00"/>
    <s v="No"/>
    <m/>
    <s v="Not Specified"/>
    <n v="1.3999999998486601"/>
    <x v="0"/>
  </r>
  <r>
    <s v="TCK-22577"/>
    <d v="2026-02-07T01:46:00"/>
    <s v="Tier 2 Support"/>
    <x v="3"/>
    <x v="4"/>
    <x v="0"/>
    <x v="5"/>
    <x v="1"/>
    <n v="48"/>
    <x v="0"/>
    <d v="2026-02-07T21:34:00"/>
    <s v="No"/>
    <n v="5"/>
    <s v="Resolved On First Contact"/>
    <n v="19.799999999930151"/>
    <x v="0"/>
  </r>
  <r>
    <s v="TCK-20934"/>
    <d v="2026-01-11T18:08:00"/>
    <s v="Billing Support"/>
    <x v="0"/>
    <x v="5"/>
    <x v="3"/>
    <x v="2"/>
    <x v="1"/>
    <n v="48"/>
    <x v="1"/>
    <s v="Missing Resolve Date"/>
    <s v="No"/>
    <m/>
    <s v="Customer Satisfied With Resolution"/>
    <s v=""/>
    <x v="1"/>
  </r>
  <r>
    <s v="TCK-22704"/>
    <d v="2026-03-19T20:43:00"/>
    <s v="Billing Support"/>
    <x v="0"/>
    <x v="5"/>
    <x v="2"/>
    <x v="3"/>
    <x v="1"/>
    <n v="48"/>
    <x v="2"/>
    <d v="2026-03-23T06:12:00"/>
    <s v="No"/>
    <n v="4"/>
    <s v="Customer Satisfied With Resolution"/>
    <n v="81.483333333337214"/>
    <x v="1"/>
  </r>
  <r>
    <s v="TCK-22000"/>
    <d v="2026-05-14T15:54:00"/>
    <s v="Technical Support"/>
    <x v="6"/>
    <x v="6"/>
    <x v="2"/>
    <x v="2"/>
    <x v="0"/>
    <n v="24"/>
    <x v="0"/>
    <d v="2026-05-15T01:22:00"/>
    <s v="No"/>
    <n v="5"/>
    <s v="Resolved On First Contact"/>
    <n v="9.46666666661622"/>
    <x v="0"/>
  </r>
  <r>
    <s v="TCK-21571"/>
    <d v="2026-02-27T18:41:00"/>
    <s v="Tier 1 Support"/>
    <x v="7"/>
    <x v="4"/>
    <x v="0"/>
    <x v="1"/>
    <x v="1"/>
    <n v="48"/>
    <x v="2"/>
    <d v="2026-02-27T21:03:00"/>
    <s v="No"/>
    <m/>
    <s v="Customer Satisfied With Resolution"/>
    <n v="2.3666666666977108"/>
    <x v="1"/>
  </r>
  <r>
    <s v="TCK-21931"/>
    <d v="2026-05-08T14:42:00"/>
    <s v="Tier 1 Support"/>
    <x v="7"/>
    <x v="0"/>
    <x v="2"/>
    <x v="0"/>
    <x v="0"/>
    <n v="24"/>
    <x v="2"/>
    <d v="2026-05-08T19:12:00"/>
    <s v="Yes"/>
    <n v="5"/>
    <s v="Customer Requested Refund"/>
    <n v="4.5"/>
    <x v="1"/>
  </r>
  <r>
    <s v="TCK-22723"/>
    <d v="2026-04-24T16:39:00"/>
    <s v="Billing Support"/>
    <x v="0"/>
    <x v="1"/>
    <x v="3"/>
    <x v="1"/>
    <x v="0"/>
    <n v="24"/>
    <x v="5"/>
    <s v="Missing Resolve Date"/>
    <s v="No"/>
    <m/>
    <s v="Customer Requested Refund"/>
    <s v=""/>
    <x v="1"/>
  </r>
  <r>
    <s v="TCK-22048"/>
    <d v="2026-01-21T15:28:00"/>
    <s v="Tier 1 Support"/>
    <x v="7"/>
    <x v="4"/>
    <x v="1"/>
    <x v="5"/>
    <x v="0"/>
    <n v="24"/>
    <x v="4"/>
    <s v="Missing Resolve Date"/>
    <s v="Yes"/>
    <m/>
    <s v="Customer Satisfied With Resolution"/>
    <s v=""/>
    <x v="1"/>
  </r>
  <r>
    <s v="TCK-20696"/>
    <d v="2026-04-23T13:52:00"/>
    <s v="Tier 2 Support"/>
    <x v="2"/>
    <x v="0"/>
    <x v="2"/>
    <x v="2"/>
    <x v="0"/>
    <n v="24"/>
    <x v="0"/>
    <d v="2026-04-23T17:23:00"/>
    <s v="No"/>
    <n v="4"/>
    <s v="Repeat Issue From Same Customer"/>
    <n v="3.5166666667792015"/>
    <x v="0"/>
  </r>
  <r>
    <s v="TCK-20374"/>
    <d v="2026-02-08T10:51:00"/>
    <s v="Tier 2 Support"/>
    <x v="3"/>
    <x v="5"/>
    <x v="1"/>
    <x v="2"/>
    <x v="0"/>
    <n v="24"/>
    <x v="2"/>
    <d v="2026-02-08T14:35:00"/>
    <s v="No"/>
    <n v="5"/>
    <s v="Repeat Issue From Same Customer"/>
    <n v="3.7333333334536292"/>
    <x v="1"/>
  </r>
  <r>
    <s v="TCK-22349"/>
    <d v="2026-01-25T03:15:00"/>
    <s v="Tier 2 Support"/>
    <x v="2"/>
    <x v="3"/>
    <x v="2"/>
    <x v="3"/>
    <x v="0"/>
    <n v="24"/>
    <x v="4"/>
    <s v="Missing Resolve Date"/>
    <s v="Yes"/>
    <m/>
    <s v="Not Specified"/>
    <s v=""/>
    <x v="1"/>
  </r>
  <r>
    <s v="TCK-22532"/>
    <d v="2026-04-08T18:10:00"/>
    <s v="Tier 1 Support"/>
    <x v="7"/>
    <x v="4"/>
    <x v="3"/>
    <x v="0"/>
    <x v="0"/>
    <n v="24"/>
    <x v="1"/>
    <s v="Missing Resolve Date"/>
    <s v="No"/>
    <m/>
    <s v="Repeat Issue From Same Customer"/>
    <s v=""/>
    <x v="1"/>
  </r>
  <r>
    <s v="TCK-21113"/>
    <d v="2026-05-22T00:55:00"/>
    <s v="Billing Support"/>
    <x v="0"/>
    <x v="2"/>
    <x v="3"/>
    <x v="5"/>
    <x v="0"/>
    <n v="24"/>
    <x v="0"/>
    <d v="2026-05-22T04:23:00"/>
    <s v="No"/>
    <m/>
    <s v="Required Follow-Up Call"/>
    <n v="3.46666666661622"/>
    <x v="0"/>
  </r>
  <r>
    <s v="TCK-21064"/>
    <d v="2026-06-06T11:37:00"/>
    <s v="Tier 1 Support"/>
    <x v="1"/>
    <x v="6"/>
    <x v="3"/>
    <x v="3"/>
    <x v="1"/>
    <n v="48"/>
    <x v="4"/>
    <s v="Missing Resolve Date"/>
    <s v="Yes"/>
    <m/>
    <s v="Not Specified"/>
    <s v=""/>
    <x v="1"/>
  </r>
  <r>
    <s v="TCK-20396"/>
    <d v="2026-02-11T04:20:00"/>
    <s v="Technical Support"/>
    <x v="6"/>
    <x v="2"/>
    <x v="3"/>
    <x v="2"/>
    <x v="0"/>
    <n v="24"/>
    <x v="3"/>
    <d v="2026-02-11T23:47:00"/>
    <s v="No"/>
    <m/>
    <s v="Escalated To Senior Agent"/>
    <n v="19.450000000011642"/>
    <x v="1"/>
  </r>
  <r>
    <s v="TCK-20600"/>
    <d v="2026-07-01T18:36:00"/>
    <s v="Tier 1 Support"/>
    <x v="1"/>
    <x v="2"/>
    <x v="3"/>
    <x v="0"/>
    <x v="2"/>
    <n v="8"/>
    <x v="1"/>
    <s v="Missing Resolve Date"/>
    <s v="No"/>
    <m/>
    <s v="Awaiting Customer Response"/>
    <s v=""/>
    <x v="1"/>
  </r>
  <r>
    <s v="TCK-21670"/>
    <d v="2026-03-25T13:54:00"/>
    <s v="Technical Support"/>
    <x v="6"/>
    <x v="6"/>
    <x v="3"/>
    <x v="0"/>
    <x v="1"/>
    <n v="48"/>
    <x v="5"/>
    <s v="Missing Resolve Date"/>
    <s v="No"/>
    <m/>
    <s v="Not Specified"/>
    <s v=""/>
    <x v="1"/>
  </r>
  <r>
    <s v="TCK-20802"/>
    <d v="2026-07-12T04:03:00"/>
    <s v="Tier 2 Support"/>
    <x v="3"/>
    <x v="3"/>
    <x v="0"/>
    <x v="5"/>
    <x v="1"/>
    <n v="48"/>
    <x v="0"/>
    <d v="2026-07-12T11:23:00"/>
    <s v="No"/>
    <m/>
    <s v="Repeat Issue From Same Customer"/>
    <n v="7.3333333334885538"/>
    <x v="0"/>
  </r>
  <r>
    <s v="TCK-22953"/>
    <d v="2026-07-22T05:32:00"/>
    <s v="Technical Support"/>
    <x v="6"/>
    <x v="1"/>
    <x v="3"/>
    <x v="1"/>
    <x v="3"/>
    <n v="4"/>
    <x v="3"/>
    <d v="2026-07-22T07:24:00"/>
    <s v="No"/>
    <m/>
    <s v="Not Specified"/>
    <n v="1.8666666666395031"/>
    <x v="1"/>
  </r>
  <r>
    <s v="TCK-21236"/>
    <d v="2026-07-25T01:45:00"/>
    <s v="Technical Support"/>
    <x v="4"/>
    <x v="2"/>
    <x v="1"/>
    <x v="3"/>
    <x v="2"/>
    <n v="8"/>
    <x v="5"/>
    <s v="Missing Resolve Date"/>
    <s v="No"/>
    <m/>
    <s v="Repeat Issue From Same Customer"/>
    <s v=""/>
    <x v="1"/>
  </r>
  <r>
    <s v="TCK-22529"/>
    <d v="2026-04-25T23:00:00"/>
    <s v="Tier 2 Support"/>
    <x v="3"/>
    <x v="1"/>
    <x v="1"/>
    <x v="3"/>
    <x v="2"/>
    <n v="8"/>
    <x v="0"/>
    <d v="2026-04-26T03:05:00"/>
    <s v="No"/>
    <m/>
    <s v="Repeat Issue From Same Customer"/>
    <n v="4.0833333331975155"/>
    <x v="0"/>
  </r>
  <r>
    <s v="TCK-21731"/>
    <d v="2026-06-27T11:12:00"/>
    <s v="Billing Support"/>
    <x v="0"/>
    <x v="2"/>
    <x v="0"/>
    <x v="1"/>
    <x v="0"/>
    <n v="24"/>
    <x v="2"/>
    <d v="2026-06-28T05:03:00"/>
    <s v="No"/>
    <n v="4"/>
    <s v="Required Follow-Up Call"/>
    <n v="17.850000000034925"/>
    <x v="1"/>
  </r>
  <r>
    <s v="TCK-23169"/>
    <d v="2026-01-17T19:41:00"/>
    <s v="Tier 2 Support"/>
    <x v="3"/>
    <x v="0"/>
    <x v="0"/>
    <x v="4"/>
    <x v="1"/>
    <n v="48"/>
    <x v="1"/>
    <s v="Missing Resolve Date"/>
    <s v="No"/>
    <m/>
    <s v="Customer Satisfied With Resolution"/>
    <s v=""/>
    <x v="1"/>
  </r>
  <r>
    <s v="TCK-21800"/>
    <d v="2026-03-03T00:59:00"/>
    <s v="Tier 2 Support"/>
    <x v="2"/>
    <x v="2"/>
    <x v="0"/>
    <x v="5"/>
    <x v="1"/>
    <n v="48"/>
    <x v="2"/>
    <d v="2026-03-08T04:12:00"/>
    <s v="No"/>
    <n v="4"/>
    <s v="Awaiting Customer Response"/>
    <n v="123.21666666667443"/>
    <x v="1"/>
  </r>
  <r>
    <s v="TCK-20400"/>
    <d v="2026-08-07T02:49:00"/>
    <s v="Tier 1 Support"/>
    <x v="1"/>
    <x v="4"/>
    <x v="2"/>
    <x v="1"/>
    <x v="3"/>
    <n v="4"/>
    <x v="1"/>
    <s v="Missing Resolve Date"/>
    <s v="No"/>
    <m/>
    <s v="Not Specified"/>
    <s v=""/>
    <x v="1"/>
  </r>
  <r>
    <s v="TCK-20235"/>
    <d v="2026-04-07T04:08:00"/>
    <s v="Tier 2 Support"/>
    <x v="3"/>
    <x v="3"/>
    <x v="3"/>
    <x v="3"/>
    <x v="2"/>
    <n v="8"/>
    <x v="0"/>
    <d v="2026-04-07T14:40:00"/>
    <s v="No"/>
    <m/>
    <s v="Not Specified"/>
    <n v="10.533333333267365"/>
    <x v="2"/>
  </r>
  <r>
    <s v="TCK-20216"/>
    <d v="2026-01-01T15:41:00"/>
    <s v="Technical Support"/>
    <x v="6"/>
    <x v="0"/>
    <x v="1"/>
    <x v="0"/>
    <x v="1"/>
    <n v="48"/>
    <x v="0"/>
    <d v="2026-01-03T10:47:00"/>
    <s v="No"/>
    <n v="5"/>
    <s v="Awaiting Customer Response"/>
    <n v="43.100000000093132"/>
    <x v="0"/>
  </r>
  <r>
    <s v="TCK-23012"/>
    <d v="2026-07-16T05:10:00"/>
    <s v="Technical Support"/>
    <x v="6"/>
    <x v="6"/>
    <x v="1"/>
    <x v="3"/>
    <x v="2"/>
    <n v="8"/>
    <x v="5"/>
    <s v="Missing Resolve Date"/>
    <s v="No"/>
    <m/>
    <s v="Not Specified"/>
    <s v=""/>
    <x v="1"/>
  </r>
  <r>
    <s v="TCK-21834"/>
    <d v="2026-06-14T08:40:00"/>
    <s v="Tier 1 Support"/>
    <x v="7"/>
    <x v="3"/>
    <x v="1"/>
    <x v="0"/>
    <x v="2"/>
    <n v="8"/>
    <x v="0"/>
    <d v="2026-06-15T05:51:00"/>
    <s v="No"/>
    <n v="1"/>
    <s v="Customer Satisfied With Resolution"/>
    <n v="21.183333333407063"/>
    <x v="2"/>
  </r>
  <r>
    <s v="TCK-21046"/>
    <d v="2026-05-06T09:40:00"/>
    <s v="Technical Support"/>
    <x v="4"/>
    <x v="4"/>
    <x v="3"/>
    <x v="2"/>
    <x v="0"/>
    <n v="24"/>
    <x v="2"/>
    <d v="2026-05-07T06:11:00"/>
    <s v="No"/>
    <n v="5"/>
    <s v="Required Follow-Up Call"/>
    <n v="20.516666666662786"/>
    <x v="1"/>
  </r>
  <r>
    <s v="TCK-22929"/>
    <d v="2026-05-05T05:31:00"/>
    <s v="Billing Support"/>
    <x v="0"/>
    <x v="5"/>
    <x v="1"/>
    <x v="2"/>
    <x v="2"/>
    <n v="8"/>
    <x v="0"/>
    <d v="2026-05-05T08:29:00"/>
    <s v="No"/>
    <n v="1"/>
    <s v="Customer Satisfied With Resolution"/>
    <n v="2.9666666667326353"/>
    <x v="0"/>
  </r>
  <r>
    <s v="TCK-21449"/>
    <d v="2026-06-03T15:09:00"/>
    <s v="Billing Support"/>
    <x v="5"/>
    <x v="0"/>
    <x v="0"/>
    <x v="1"/>
    <x v="1"/>
    <n v="48"/>
    <x v="2"/>
    <d v="2026-06-03T16:35:00"/>
    <s v="No"/>
    <n v="1"/>
    <s v="Required Follow-Up Call"/>
    <n v="1.4333333332906477"/>
    <x v="1"/>
  </r>
  <r>
    <s v="TCK-23157"/>
    <d v="2026-01-27T03:57:00"/>
    <s v="Billing Support"/>
    <x v="5"/>
    <x v="0"/>
    <x v="2"/>
    <x v="2"/>
    <x v="3"/>
    <n v="4"/>
    <x v="3"/>
    <d v="2026-01-27T06:02:00"/>
    <s v="No"/>
    <m/>
    <s v="Not Specified"/>
    <n v="2.0833333333139308"/>
    <x v="1"/>
  </r>
  <r>
    <s v="TCK-22001"/>
    <d v="2026-08-18T11:48:00"/>
    <s v="Tier 1 Support"/>
    <x v="1"/>
    <x v="0"/>
    <x v="2"/>
    <x v="5"/>
    <x v="2"/>
    <n v="8"/>
    <x v="2"/>
    <d v="2026-08-19T00:27:00"/>
    <s v="Yes"/>
    <m/>
    <s v="Not Specified"/>
    <n v="12.650000000023283"/>
    <x v="1"/>
  </r>
  <r>
    <s v="TCK-22458"/>
    <d v="2026-01-02T20:37:00"/>
    <s v="Technical Support"/>
    <x v="6"/>
    <x v="0"/>
    <x v="0"/>
    <x v="2"/>
    <x v="1"/>
    <n v="48"/>
    <x v="5"/>
    <s v="Missing Resolve Date"/>
    <s v="No"/>
    <m/>
    <s v="Customer Satisfied With Resolution"/>
    <s v=""/>
    <x v="1"/>
  </r>
  <r>
    <s v="TCK-20451"/>
    <d v="2026-05-30T20:28:00"/>
    <s v="Billing Support"/>
    <x v="0"/>
    <x v="6"/>
    <x v="0"/>
    <x v="0"/>
    <x v="2"/>
    <n v="8"/>
    <x v="2"/>
    <d v="2026-05-31T00:38:00"/>
    <s v="No"/>
    <n v="4"/>
    <s v="Customer Satisfied With Resolution"/>
    <n v="4.1666666666278616"/>
    <x v="1"/>
  </r>
  <r>
    <s v="TCK-21410"/>
    <d v="2026-08-17T00:32:00"/>
    <s v="Billing Support"/>
    <x v="5"/>
    <x v="5"/>
    <x v="1"/>
    <x v="0"/>
    <x v="1"/>
    <n v="48"/>
    <x v="0"/>
    <d v="2026-08-18T01:37:00"/>
    <s v="No"/>
    <n v="2"/>
    <s v="Escalated To Senior Agent"/>
    <n v="25.083333333372138"/>
    <x v="0"/>
  </r>
  <r>
    <s v="TCK-22783"/>
    <d v="2026-08-28T13:48:00"/>
    <s v="Tier 1 Support"/>
    <x v="1"/>
    <x v="6"/>
    <x v="0"/>
    <x v="1"/>
    <x v="0"/>
    <n v="24"/>
    <x v="0"/>
    <d v="2026-08-29T03:05:00"/>
    <s v="No"/>
    <m/>
    <s v="Resolved On First Contact"/>
    <n v="13.283333333325572"/>
    <x v="0"/>
  </r>
  <r>
    <s v="TCK-20793"/>
    <d v="2026-05-20T23:38:00"/>
    <s v="Tier 1 Support"/>
    <x v="7"/>
    <x v="2"/>
    <x v="0"/>
    <x v="5"/>
    <x v="3"/>
    <n v="4"/>
    <x v="5"/>
    <s v="Missing Resolve Date"/>
    <s v="No"/>
    <m/>
    <s v="Not Specified"/>
    <s v=""/>
    <x v="1"/>
  </r>
  <r>
    <s v="TCK-21135"/>
    <d v="2026-06-06T08:23:00"/>
    <s v="Billing Support"/>
    <x v="5"/>
    <x v="4"/>
    <x v="3"/>
    <x v="5"/>
    <x v="0"/>
    <n v="24"/>
    <x v="0"/>
    <d v="2026-06-06T16:44:00"/>
    <s v="No"/>
    <n v="2"/>
    <s v="Awaiting Customer Response"/>
    <n v="8.3499999999767169"/>
    <x v="0"/>
  </r>
  <r>
    <s v="TCK-22846"/>
    <d v="2026-04-05T15:50:00"/>
    <s v="Billing Support"/>
    <x v="0"/>
    <x v="4"/>
    <x v="0"/>
    <x v="2"/>
    <x v="0"/>
    <n v="24"/>
    <x v="4"/>
    <s v="Missing Resolve Date"/>
    <s v="Yes"/>
    <m/>
    <s v="Not Specified"/>
    <s v=""/>
    <x v="1"/>
  </r>
  <r>
    <s v="TCK-22621"/>
    <d v="2026-02-24T04:44:00"/>
    <s v="Technical Support"/>
    <x v="4"/>
    <x v="2"/>
    <x v="1"/>
    <x v="4"/>
    <x v="1"/>
    <n v="48"/>
    <x v="2"/>
    <d v="2026-02-25T01:03:00"/>
    <s v="No"/>
    <n v="1"/>
    <s v="Customer Requested Refund"/>
    <n v="20.316666666534729"/>
    <x v="1"/>
  </r>
  <r>
    <s v="TCK-22499"/>
    <d v="2026-03-10T16:33:00"/>
    <s v="Tier 1 Support"/>
    <x v="1"/>
    <x v="4"/>
    <x v="1"/>
    <x v="2"/>
    <x v="0"/>
    <n v="24"/>
    <x v="0"/>
    <d v="2026-03-12T02:04:00"/>
    <s v="No"/>
    <n v="2"/>
    <s v="Escalated To Senior Agent"/>
    <n v="33.516666666604578"/>
    <x v="2"/>
  </r>
  <r>
    <s v="TCK-20925"/>
    <d v="2026-03-20T15:36:00"/>
    <s v="Technical Support"/>
    <x v="6"/>
    <x v="6"/>
    <x v="2"/>
    <x v="5"/>
    <x v="0"/>
    <n v="24"/>
    <x v="0"/>
    <d v="2026-03-21T08:04:00"/>
    <s v="No"/>
    <n v="5"/>
    <s v="Customer Satisfied With Resolution"/>
    <n v="16.466666666558012"/>
    <x v="0"/>
  </r>
  <r>
    <s v="TCK-22229"/>
    <d v="2026-05-29T10:42:00"/>
    <s v="Billing Support"/>
    <x v="0"/>
    <x v="2"/>
    <x v="0"/>
    <x v="1"/>
    <x v="1"/>
    <n v="48"/>
    <x v="0"/>
    <s v="Missing Resolve Date"/>
    <s v="No"/>
    <n v="5"/>
    <s v="Required Follow-Up Call"/>
    <s v=""/>
    <x v="2"/>
  </r>
  <r>
    <s v="TCK-20160"/>
    <d v="2026-01-14T17:53:00"/>
    <s v="Tier 2 Support"/>
    <x v="2"/>
    <x v="3"/>
    <x v="3"/>
    <x v="4"/>
    <x v="0"/>
    <n v="24"/>
    <x v="0"/>
    <d v="2026-01-14T21:39:00"/>
    <s v="No"/>
    <n v="4"/>
    <s v="Awaiting Customer Response"/>
    <n v="3.7666666667209938"/>
    <x v="0"/>
  </r>
  <r>
    <s v="TCK-22719"/>
    <d v="2026-06-19T15:28:00"/>
    <s v="Tier 2 Support"/>
    <x v="3"/>
    <x v="1"/>
    <x v="1"/>
    <x v="3"/>
    <x v="3"/>
    <n v="4"/>
    <x v="2"/>
    <d v="2026-06-19T16:37:00"/>
    <s v="No"/>
    <n v="1"/>
    <s v="Resolved On First Contact"/>
    <n v="1.1500000000814907"/>
    <x v="1"/>
  </r>
  <r>
    <s v="TCK-22504"/>
    <d v="2026-07-20T20:54:00"/>
    <s v="Tier 2 Support"/>
    <x v="2"/>
    <x v="6"/>
    <x v="0"/>
    <x v="0"/>
    <x v="2"/>
    <n v="8"/>
    <x v="5"/>
    <s v="Missing Resolve Date"/>
    <s v="No"/>
    <m/>
    <s v="Required Follow-Up Call"/>
    <s v=""/>
    <x v="1"/>
  </r>
  <r>
    <s v="TCK-21813"/>
    <d v="2026-03-03T10:04:00"/>
    <s v="Technical Support"/>
    <x v="6"/>
    <x v="3"/>
    <x v="3"/>
    <x v="4"/>
    <x v="3"/>
    <n v="4"/>
    <x v="0"/>
    <d v="2026-03-03T12:55:00"/>
    <s v="No"/>
    <m/>
    <s v="Not Specified"/>
    <n v="2.8500000000349246"/>
    <x v="0"/>
  </r>
  <r>
    <s v="TCK-22455"/>
    <d v="2026-06-29T10:43:00"/>
    <s v="Billing Support"/>
    <x v="5"/>
    <x v="4"/>
    <x v="1"/>
    <x v="1"/>
    <x v="1"/>
    <n v="48"/>
    <x v="5"/>
    <s v="Missing Resolve Date"/>
    <s v="No"/>
    <m/>
    <s v="Not Specified"/>
    <s v=""/>
    <x v="1"/>
  </r>
  <r>
    <s v="TCK-23066"/>
    <d v="2026-08-25T20:36:00"/>
    <s v="Tier 2 Support"/>
    <x v="2"/>
    <x v="2"/>
    <x v="2"/>
    <x v="1"/>
    <x v="2"/>
    <n v="8"/>
    <x v="1"/>
    <s v="Missing Resolve Date"/>
    <s v="No"/>
    <m/>
    <s v="Repeat Issue From Same Customer"/>
    <s v=""/>
    <x v="1"/>
  </r>
  <r>
    <s v="TCK-22011"/>
    <d v="2026-01-11T05:13:00"/>
    <s v="Billing Support"/>
    <x v="5"/>
    <x v="6"/>
    <x v="0"/>
    <x v="1"/>
    <x v="3"/>
    <n v="4"/>
    <x v="4"/>
    <s v="Missing Resolve Date"/>
    <s v="Yes"/>
    <m/>
    <s v="Escalated To Senior Agent"/>
    <s v=""/>
    <x v="1"/>
  </r>
  <r>
    <s v="TCK-22355"/>
    <d v="2026-05-10T20:42:00"/>
    <s v="Tier 1 Support"/>
    <x v="7"/>
    <x v="3"/>
    <x v="3"/>
    <x v="3"/>
    <x v="1"/>
    <n v="48"/>
    <x v="2"/>
    <d v="2026-05-14T06:02:00"/>
    <s v="No"/>
    <n v="4"/>
    <s v="Technical Issue Resolved Remotely"/>
    <n v="81.333333333197515"/>
    <x v="1"/>
  </r>
  <r>
    <s v="TCK-20504"/>
    <d v="2026-01-13T04:48:00"/>
    <s v="Billing Support"/>
    <x v="0"/>
    <x v="2"/>
    <x v="1"/>
    <x v="1"/>
    <x v="0"/>
    <n v="24"/>
    <x v="0"/>
    <d v="2026-01-16T02:59:00"/>
    <s v="No"/>
    <m/>
    <s v="Customer Requested Refund"/>
    <n v="70.183333333348855"/>
    <x v="2"/>
  </r>
  <r>
    <s v="TCK-22717"/>
    <d v="2026-02-10T14:30:00"/>
    <s v="Tier 2 Support"/>
    <x v="2"/>
    <x v="6"/>
    <x v="3"/>
    <x v="5"/>
    <x v="0"/>
    <n v="24"/>
    <x v="5"/>
    <s v="Missing Resolve Date"/>
    <s v="No"/>
    <m/>
    <s v="Customer Satisfied With Resolution"/>
    <s v=""/>
    <x v="1"/>
  </r>
  <r>
    <s v="TCK-21653"/>
    <d v="2026-04-01T22:09:00"/>
    <s v="Technical Support"/>
    <x v="4"/>
    <x v="2"/>
    <x v="3"/>
    <x v="0"/>
    <x v="0"/>
    <n v="24"/>
    <x v="4"/>
    <s v="Missing Resolve Date"/>
    <s v="Yes"/>
    <m/>
    <s v="Resolved On First Contact"/>
    <s v=""/>
    <x v="1"/>
  </r>
  <r>
    <s v="TCK-21718"/>
    <d v="2026-05-22T21:12:00"/>
    <s v="Tier 2 Support"/>
    <x v="2"/>
    <x v="3"/>
    <x v="0"/>
    <x v="3"/>
    <x v="0"/>
    <n v="24"/>
    <x v="0"/>
    <d v="2026-05-23T00:08:00"/>
    <s v="No"/>
    <n v="2"/>
    <s v="Awaiting Customer Response"/>
    <n v="2.9333333334652707"/>
    <x v="0"/>
  </r>
  <r>
    <s v="TCK-22076"/>
    <d v="2026-07-12T09:14:00"/>
    <s v="Tier 2 Support"/>
    <x v="2"/>
    <x v="0"/>
    <x v="3"/>
    <x v="3"/>
    <x v="1"/>
    <n v="48"/>
    <x v="4"/>
    <s v="Missing Resolve Date"/>
    <s v="Yes"/>
    <m/>
    <s v="Escalated To Senior Agent"/>
    <s v=""/>
    <x v="1"/>
  </r>
  <r>
    <s v="TCK-20452"/>
    <d v="2026-04-25T07:19:00"/>
    <s v="Tier 1 Support"/>
    <x v="7"/>
    <x v="0"/>
    <x v="2"/>
    <x v="4"/>
    <x v="2"/>
    <n v="8"/>
    <x v="0"/>
    <d v="2026-04-25T11:07:00"/>
    <s v="No"/>
    <m/>
    <s v="Escalated To Senior Agent"/>
    <n v="3.7999999999883585"/>
    <x v="0"/>
  </r>
  <r>
    <s v="TCK-21520"/>
    <d v="2026-01-29T20:36:00"/>
    <s v="Technical Support"/>
    <x v="6"/>
    <x v="1"/>
    <x v="0"/>
    <x v="3"/>
    <x v="3"/>
    <n v="4"/>
    <x v="0"/>
    <d v="2026-01-29T23:29:00"/>
    <s v="No"/>
    <n v="4"/>
    <s v="Resolved On First Contact"/>
    <n v="2.8833333334769122"/>
    <x v="0"/>
  </r>
  <r>
    <s v="TCK-21261"/>
    <d v="2026-03-11T01:33:00"/>
    <s v="Billing Support"/>
    <x v="0"/>
    <x v="6"/>
    <x v="3"/>
    <x v="3"/>
    <x v="1"/>
    <n v="48"/>
    <x v="0"/>
    <d v="2026-03-12T13:25:00"/>
    <s v="No"/>
    <n v="2"/>
    <s v="Technical Issue Resolved Remotely"/>
    <n v="35.866666666755918"/>
    <x v="0"/>
  </r>
  <r>
    <s v="TCK-20318"/>
    <d v="2026-03-31T14:17:00"/>
    <s v="Technical Support"/>
    <x v="4"/>
    <x v="2"/>
    <x v="1"/>
    <x v="0"/>
    <x v="0"/>
    <n v="24"/>
    <x v="1"/>
    <s v="Missing Resolve Date"/>
    <s v="No"/>
    <m/>
    <s v="Technical Issue Resolved Remotely"/>
    <s v=""/>
    <x v="1"/>
  </r>
  <r>
    <s v="TCK-22790"/>
    <d v="2026-06-11T12:46:00"/>
    <s v="Tier 2 Support"/>
    <x v="3"/>
    <x v="1"/>
    <x v="3"/>
    <x v="4"/>
    <x v="0"/>
    <n v="24"/>
    <x v="4"/>
    <s v="Missing Resolve Date"/>
    <s v="Yes"/>
    <m/>
    <s v="Not Specified"/>
    <s v=""/>
    <x v="1"/>
  </r>
  <r>
    <s v="TCK-22860"/>
    <d v="2026-04-25T04:44:00"/>
    <s v="Technical Support"/>
    <x v="6"/>
    <x v="2"/>
    <x v="3"/>
    <x v="4"/>
    <x v="0"/>
    <n v="24"/>
    <x v="3"/>
    <d v="2026-04-26T00:10:00"/>
    <s v="No"/>
    <m/>
    <s v="Required Follow-Up Call"/>
    <n v="19.433333333290648"/>
    <x v="1"/>
  </r>
  <r>
    <s v="TCK-20717"/>
    <d v="2026-01-24T06:31:00"/>
    <s v="Technical Support"/>
    <x v="6"/>
    <x v="6"/>
    <x v="2"/>
    <x v="1"/>
    <x v="2"/>
    <n v="8"/>
    <x v="4"/>
    <s v="Missing Resolve Date"/>
    <s v="Yes"/>
    <m/>
    <s v="Customer Requested Refund"/>
    <s v=""/>
    <x v="1"/>
  </r>
  <r>
    <s v="TCK-22689"/>
    <d v="2026-03-30T03:10:00"/>
    <s v="Billing Support"/>
    <x v="0"/>
    <x v="4"/>
    <x v="1"/>
    <x v="1"/>
    <x v="2"/>
    <n v="8"/>
    <x v="1"/>
    <s v="Missing Resolve Date"/>
    <s v="No"/>
    <m/>
    <s v="Customer Requested Refund"/>
    <s v=""/>
    <x v="1"/>
  </r>
  <r>
    <s v="TCK-21539"/>
    <d v="2026-07-21T06:51:00"/>
    <s v="Billing Support"/>
    <x v="0"/>
    <x v="0"/>
    <x v="0"/>
    <x v="1"/>
    <x v="0"/>
    <n v="24"/>
    <x v="4"/>
    <s v="Missing Resolve Date"/>
    <s v="Yes"/>
    <m/>
    <s v="Repeat Issue From Same Customer"/>
    <s v=""/>
    <x v="1"/>
  </r>
  <r>
    <s v="TCK-22394"/>
    <d v="2026-02-21T16:29:00"/>
    <s v="Technical Support"/>
    <x v="6"/>
    <x v="1"/>
    <x v="0"/>
    <x v="2"/>
    <x v="0"/>
    <n v="24"/>
    <x v="2"/>
    <d v="2026-02-22T22:46:00"/>
    <s v="No"/>
    <m/>
    <s v="Awaiting Customer Response"/>
    <n v="30.28333333338378"/>
    <x v="1"/>
  </r>
  <r>
    <s v="TCK-22779"/>
    <d v="2026-07-25T09:13:00"/>
    <s v="Tier 1 Support"/>
    <x v="7"/>
    <x v="1"/>
    <x v="0"/>
    <x v="1"/>
    <x v="2"/>
    <n v="8"/>
    <x v="4"/>
    <s v="Missing Resolve Date"/>
    <s v="Yes"/>
    <m/>
    <s v="Not Specified"/>
    <s v=""/>
    <x v="1"/>
  </r>
  <r>
    <s v="TCK-20117"/>
    <d v="2026-07-12T06:44:00"/>
    <s v="Tier 2 Support"/>
    <x v="3"/>
    <x v="5"/>
    <x v="2"/>
    <x v="0"/>
    <x v="0"/>
    <n v="24"/>
    <x v="0"/>
    <d v="2026-07-12T07:29:00"/>
    <s v="No"/>
    <n v="5"/>
    <s v="Awaiting Customer Response"/>
    <n v="0.75"/>
    <x v="0"/>
  </r>
  <r>
    <s v="TCK-20398"/>
    <d v="2026-03-20T17:38:00"/>
    <s v="Billing Support"/>
    <x v="5"/>
    <x v="1"/>
    <x v="1"/>
    <x v="0"/>
    <x v="1"/>
    <n v="48"/>
    <x v="0"/>
    <d v="2026-03-22T06:08:00"/>
    <s v="No"/>
    <m/>
    <s v="Required Follow-Up Call"/>
    <n v="36.500000000058208"/>
    <x v="0"/>
  </r>
  <r>
    <s v="TCK-20882"/>
    <d v="2026-06-04T11:45:00"/>
    <s v="Technical Support"/>
    <x v="4"/>
    <x v="5"/>
    <x v="3"/>
    <x v="4"/>
    <x v="0"/>
    <n v="24"/>
    <x v="5"/>
    <s v="Missing Resolve Date"/>
    <s v="Yes"/>
    <m/>
    <s v="Customer Requested Refund"/>
    <s v=""/>
    <x v="1"/>
  </r>
  <r>
    <s v="TCK-21758"/>
    <d v="2026-08-29T11:58:00"/>
    <s v="Tier 1 Support"/>
    <x v="1"/>
    <x v="0"/>
    <x v="3"/>
    <x v="2"/>
    <x v="3"/>
    <n v="4"/>
    <x v="0"/>
    <d v="2026-08-29T14:01:00"/>
    <s v="No"/>
    <n v="5"/>
    <s v="Escalated To Senior Agent"/>
    <n v="2.0499999998719431"/>
    <x v="0"/>
  </r>
  <r>
    <s v="TCK-20266"/>
    <d v="2026-02-13T14:09:00"/>
    <s v="Technical Support"/>
    <x v="4"/>
    <x v="5"/>
    <x v="3"/>
    <x v="3"/>
    <x v="3"/>
    <n v="4"/>
    <x v="5"/>
    <s v="Missing Resolve Date"/>
    <s v="No"/>
    <m/>
    <s v="Resolved On First Contact"/>
    <s v=""/>
    <x v="1"/>
  </r>
  <r>
    <s v="TCK-22042"/>
    <d v="2026-04-26T13:17:00"/>
    <s v="Tier 1 Support"/>
    <x v="7"/>
    <x v="4"/>
    <x v="2"/>
    <x v="4"/>
    <x v="0"/>
    <n v="24"/>
    <x v="2"/>
    <d v="2026-04-26T18:42:00"/>
    <s v="No"/>
    <n v="2"/>
    <s v="Repeat Issue From Same Customer"/>
    <n v="5.4166666666860692"/>
    <x v="1"/>
  </r>
  <r>
    <s v="TCK-21764"/>
    <d v="2026-06-04T10:14:00"/>
    <s v="Tier 1 Support"/>
    <x v="7"/>
    <x v="0"/>
    <x v="0"/>
    <x v="1"/>
    <x v="2"/>
    <n v="8"/>
    <x v="2"/>
    <d v="2026-06-05T08:37:00"/>
    <s v="No"/>
    <m/>
    <s v="Technical Issue Resolved Remotely"/>
    <n v="22.383333333302289"/>
    <x v="1"/>
  </r>
  <r>
    <s v="TCK-20943"/>
    <d v="2026-05-19T22:01:00"/>
    <s v="Technical Support"/>
    <x v="4"/>
    <x v="2"/>
    <x v="2"/>
    <x v="4"/>
    <x v="1"/>
    <n v="48"/>
    <x v="0"/>
    <d v="2026-05-24T04:52:00"/>
    <s v="No"/>
    <m/>
    <s v="Escalated To Senior Agent"/>
    <n v="102.84999999997672"/>
    <x v="2"/>
  </r>
  <r>
    <s v="TCK-20843"/>
    <d v="2026-07-28T03:25:00"/>
    <s v="Tier 1 Support"/>
    <x v="7"/>
    <x v="6"/>
    <x v="1"/>
    <x v="2"/>
    <x v="1"/>
    <n v="48"/>
    <x v="5"/>
    <s v="Missing Resolve Date"/>
    <s v="No"/>
    <m/>
    <s v="Not Specified"/>
    <s v=""/>
    <x v="1"/>
  </r>
  <r>
    <s v="TCK-23116"/>
    <d v="2026-07-21T05:59:00"/>
    <s v="Tier 2 Support"/>
    <x v="2"/>
    <x v="6"/>
    <x v="3"/>
    <x v="3"/>
    <x v="0"/>
    <n v="24"/>
    <x v="5"/>
    <s v="Missing Resolve Date"/>
    <s v="No"/>
    <m/>
    <s v="Awaiting Customer Response"/>
    <s v=""/>
    <x v="1"/>
  </r>
  <r>
    <s v="TCK-21588"/>
    <d v="2026-04-19T12:46:00"/>
    <s v="Technical Support"/>
    <x v="6"/>
    <x v="1"/>
    <x v="3"/>
    <x v="2"/>
    <x v="0"/>
    <n v="24"/>
    <x v="5"/>
    <s v="Missing Resolve Date"/>
    <s v="No"/>
    <m/>
    <s v="Technical Issue Resolved Remotely"/>
    <s v=""/>
    <x v="1"/>
  </r>
  <r>
    <s v="TCK-20023"/>
    <d v="2026-07-20T13:17:00"/>
    <s v="Tier 2 Support"/>
    <x v="2"/>
    <x v="6"/>
    <x v="3"/>
    <x v="3"/>
    <x v="2"/>
    <n v="8"/>
    <x v="0"/>
    <d v="2026-07-20T19:43:00"/>
    <s v="No"/>
    <n v="2"/>
    <s v="Not Specified"/>
    <n v="6.4333333333488554"/>
    <x v="0"/>
  </r>
  <r>
    <s v="TCK-21142"/>
    <d v="2026-01-17T09:06:00"/>
    <s v="Billing Support"/>
    <x v="5"/>
    <x v="2"/>
    <x v="0"/>
    <x v="0"/>
    <x v="0"/>
    <n v="24"/>
    <x v="5"/>
    <s v="Missing Resolve Date"/>
    <s v="No"/>
    <m/>
    <s v="Escalated To Senior Agent"/>
    <s v=""/>
    <x v="1"/>
  </r>
  <r>
    <s v="TCK-20379"/>
    <d v="2026-08-02T20:02:00"/>
    <s v="Tier 2 Support"/>
    <x v="3"/>
    <x v="1"/>
    <x v="2"/>
    <x v="0"/>
    <x v="1"/>
    <n v="48"/>
    <x v="4"/>
    <s v="Missing Resolve Date"/>
    <s v="Yes"/>
    <m/>
    <s v="Not Specified"/>
    <s v=""/>
    <x v="1"/>
  </r>
  <r>
    <s v="TCK-20099"/>
    <d v="2026-08-20T14:54:00"/>
    <s v="Tier 2 Support"/>
    <x v="3"/>
    <x v="2"/>
    <x v="3"/>
    <x v="2"/>
    <x v="0"/>
    <n v="24"/>
    <x v="0"/>
    <d v="2026-08-20T23:42:00"/>
    <s v="Yes"/>
    <m/>
    <s v="Customer Requested Refund"/>
    <n v="8.8000000000465661"/>
    <x v="0"/>
  </r>
  <r>
    <s v="TCK-20546"/>
    <d v="2026-06-23T07:39:00"/>
    <s v="Tier 2 Support"/>
    <x v="3"/>
    <x v="3"/>
    <x v="0"/>
    <x v="3"/>
    <x v="2"/>
    <n v="8"/>
    <x v="4"/>
    <s v="Missing Resolve Date"/>
    <s v="Yes"/>
    <m/>
    <s v="Repeat Issue From Same Customer"/>
    <s v=""/>
    <x v="1"/>
  </r>
  <r>
    <s v="TCK-20285"/>
    <d v="2026-02-12T21:11:00"/>
    <s v="Tier 1 Support"/>
    <x v="1"/>
    <x v="4"/>
    <x v="0"/>
    <x v="2"/>
    <x v="1"/>
    <n v="48"/>
    <x v="4"/>
    <s v="Missing Resolve Date"/>
    <s v="Yes"/>
    <m/>
    <s v="Not Specified"/>
    <s v=""/>
    <x v="1"/>
  </r>
  <r>
    <s v="TCK-20309"/>
    <d v="2026-03-18T08:44:00"/>
    <s v="Tier 2 Support"/>
    <x v="2"/>
    <x v="6"/>
    <x v="1"/>
    <x v="1"/>
    <x v="0"/>
    <n v="24"/>
    <x v="2"/>
    <d v="2026-03-20T21:27:00"/>
    <s v="No"/>
    <m/>
    <s v="Resolved On First Contact"/>
    <n v="60.716666666732635"/>
    <x v="1"/>
  </r>
  <r>
    <s v="TCK-20421"/>
    <d v="2026-06-30T09:14:00"/>
    <s v="Tier 2 Support"/>
    <x v="2"/>
    <x v="5"/>
    <x v="0"/>
    <x v="5"/>
    <x v="0"/>
    <n v="24"/>
    <x v="5"/>
    <s v="Missing Resolve Date"/>
    <s v="No"/>
    <m/>
    <s v="Technical Issue Resolved Remotely"/>
    <s v=""/>
    <x v="1"/>
  </r>
  <r>
    <s v="TCK-21401"/>
    <d v="2026-04-02T23:54:00"/>
    <s v="Tier 2 Support"/>
    <x v="3"/>
    <x v="4"/>
    <x v="2"/>
    <x v="0"/>
    <x v="0"/>
    <n v="24"/>
    <x v="0"/>
    <d v="2026-04-04T16:00:00"/>
    <s v="No"/>
    <n v="4"/>
    <s v="Resolved On First Contact"/>
    <n v="40.099999999918509"/>
    <x v="2"/>
  </r>
  <r>
    <s v="TCK-21211"/>
    <d v="2026-01-21T17:37:00"/>
    <s v="Tier 1 Support"/>
    <x v="7"/>
    <x v="3"/>
    <x v="2"/>
    <x v="0"/>
    <x v="0"/>
    <n v="24"/>
    <x v="4"/>
    <s v="Missing Resolve Date"/>
    <s v="Yes"/>
    <m/>
    <s v="Repeat Issue From Same Customer"/>
    <s v=""/>
    <x v="1"/>
  </r>
  <r>
    <s v="TCK-21557"/>
    <d v="2026-07-29T13:18:00"/>
    <s v="Technical Support"/>
    <x v="6"/>
    <x v="1"/>
    <x v="2"/>
    <x v="3"/>
    <x v="0"/>
    <n v="24"/>
    <x v="2"/>
    <d v="2026-07-31T17:33:00"/>
    <s v="No"/>
    <n v="5"/>
    <s v="Required Follow-Up Call"/>
    <n v="52.249999999883585"/>
    <x v="1"/>
  </r>
  <r>
    <s v="TCK-22460"/>
    <d v="2026-08-17T16:22:00"/>
    <s v="Technical Support"/>
    <x v="6"/>
    <x v="3"/>
    <x v="2"/>
    <x v="0"/>
    <x v="1"/>
    <n v="48"/>
    <x v="0"/>
    <d v="2026-08-18T13:59:00"/>
    <s v="No"/>
    <n v="3"/>
    <s v="Customer Requested Refund"/>
    <n v="21.616666666755918"/>
    <x v="0"/>
  </r>
  <r>
    <s v="TCK-22057"/>
    <d v="2026-07-19T15:41:00"/>
    <s v="Billing Support"/>
    <x v="5"/>
    <x v="3"/>
    <x v="3"/>
    <x v="0"/>
    <x v="3"/>
    <n v="4"/>
    <x v="0"/>
    <d v="2026-07-19T16:45:00"/>
    <s v="No"/>
    <n v="4"/>
    <s v="Technical Issue Resolved Remotely"/>
    <n v="1.0666666666511446"/>
    <x v="0"/>
  </r>
  <r>
    <s v="TCK-22044"/>
    <d v="2026-03-16T06:58:00"/>
    <s v="Tier 2 Support"/>
    <x v="2"/>
    <x v="3"/>
    <x v="1"/>
    <x v="5"/>
    <x v="3"/>
    <n v="4"/>
    <x v="2"/>
    <d v="2026-03-16T07:31:00"/>
    <s v="No"/>
    <m/>
    <s v="Required Follow-Up Call"/>
    <n v="0.55000000004656613"/>
    <x v="1"/>
  </r>
  <r>
    <s v="TCK-21891"/>
    <d v="2026-02-01T02:35:00"/>
    <s v="Tier 2 Support"/>
    <x v="3"/>
    <x v="3"/>
    <x v="1"/>
    <x v="5"/>
    <x v="2"/>
    <n v="8"/>
    <x v="5"/>
    <s v="Missing Resolve Date"/>
    <s v="No"/>
    <m/>
    <s v="Not Specified"/>
    <s v=""/>
    <x v="1"/>
  </r>
  <r>
    <s v="TCK-21468"/>
    <d v="2026-06-25T06:33:00"/>
    <s v="Technical Support"/>
    <x v="6"/>
    <x v="1"/>
    <x v="2"/>
    <x v="0"/>
    <x v="0"/>
    <n v="24"/>
    <x v="0"/>
    <d v="2026-06-26T00:52:00"/>
    <s v="No"/>
    <n v="4"/>
    <s v="Not Specified"/>
    <n v="18.316666666651145"/>
    <x v="0"/>
  </r>
  <r>
    <s v="TCK-22480"/>
    <d v="2026-06-07T23:55:00"/>
    <s v="Billing Support"/>
    <x v="0"/>
    <x v="3"/>
    <x v="3"/>
    <x v="0"/>
    <x v="0"/>
    <n v="24"/>
    <x v="1"/>
    <s v="Missing Resolve Date"/>
    <s v="No"/>
    <m/>
    <s v="Awaiting Customer Response"/>
    <s v=""/>
    <x v="1"/>
  </r>
  <r>
    <s v="TCK-20312"/>
    <d v="2026-07-12T01:09:00"/>
    <s v="Tier 1 Support"/>
    <x v="7"/>
    <x v="0"/>
    <x v="1"/>
    <x v="2"/>
    <x v="2"/>
    <n v="8"/>
    <x v="0"/>
    <d v="2026-07-12T07:09:00"/>
    <s v="No"/>
    <m/>
    <s v="Awaiting Customer Response"/>
    <n v="6"/>
    <x v="0"/>
  </r>
  <r>
    <s v="TCK-21779"/>
    <d v="2026-08-29T19:32:00"/>
    <s v="Technical Support"/>
    <x v="6"/>
    <x v="3"/>
    <x v="0"/>
    <x v="4"/>
    <x v="0"/>
    <n v="24"/>
    <x v="1"/>
    <s v="Missing Resolve Date"/>
    <s v="No"/>
    <m/>
    <s v="Resolved On First Contact"/>
    <s v=""/>
    <x v="1"/>
  </r>
  <r>
    <s v="TCK-22040"/>
    <d v="2026-01-04T02:06:00"/>
    <s v="Tier 2 Support"/>
    <x v="3"/>
    <x v="2"/>
    <x v="3"/>
    <x v="0"/>
    <x v="0"/>
    <n v="24"/>
    <x v="2"/>
    <d v="2026-01-04T10:59:00"/>
    <s v="No"/>
    <m/>
    <s v="Not Specified"/>
    <n v="8.8833333333022892"/>
    <x v="1"/>
  </r>
  <r>
    <s v="TCK-20873"/>
    <d v="2026-03-13T09:37:00"/>
    <s v="Tier 1 Support"/>
    <x v="1"/>
    <x v="2"/>
    <x v="2"/>
    <x v="2"/>
    <x v="0"/>
    <n v="24"/>
    <x v="5"/>
    <s v="Missing Resolve Date"/>
    <s v="No"/>
    <m/>
    <s v="Not Specified"/>
    <s v=""/>
    <x v="1"/>
  </r>
  <r>
    <s v="TCK-22415"/>
    <d v="2026-01-26T14:05:00"/>
    <s v="Billing Support"/>
    <x v="5"/>
    <x v="4"/>
    <x v="2"/>
    <x v="2"/>
    <x v="0"/>
    <n v="24"/>
    <x v="1"/>
    <s v="Missing Resolve Date"/>
    <s v="No"/>
    <m/>
    <s v="Awaiting Customer Response"/>
    <s v=""/>
    <x v="1"/>
  </r>
  <r>
    <s v="TCK-21447"/>
    <d v="2026-05-07T06:12:00"/>
    <s v="Technical Support"/>
    <x v="6"/>
    <x v="5"/>
    <x v="1"/>
    <x v="1"/>
    <x v="2"/>
    <n v="8"/>
    <x v="0"/>
    <d v="2026-05-07T11:29:00"/>
    <s v="No"/>
    <n v="4"/>
    <s v="Technical Issue Resolved Remotely"/>
    <n v="5.2833333334419876"/>
    <x v="0"/>
  </r>
  <r>
    <s v="TCK-23061"/>
    <d v="2026-03-30T22:32:00"/>
    <s v="Tier 2 Support"/>
    <x v="3"/>
    <x v="5"/>
    <x v="2"/>
    <x v="1"/>
    <x v="3"/>
    <n v="4"/>
    <x v="0"/>
    <d v="2026-03-31T01:03:00"/>
    <s v="No"/>
    <m/>
    <s v="Resolved On First Contact"/>
    <n v="2.5166666666627862"/>
    <x v="0"/>
  </r>
  <r>
    <s v="TCK-21390"/>
    <d v="2026-03-05T07:09:00"/>
    <s v="Technical Support"/>
    <x v="6"/>
    <x v="2"/>
    <x v="0"/>
    <x v="3"/>
    <x v="0"/>
    <n v="24"/>
    <x v="4"/>
    <s v="Missing Resolve Date"/>
    <s v="Yes"/>
    <m/>
    <s v="Repeat Issue From Same Customer"/>
    <s v=""/>
    <x v="1"/>
  </r>
  <r>
    <s v="TCK-23171"/>
    <d v="2026-04-07T05:03:00"/>
    <s v="Tier 1 Support"/>
    <x v="1"/>
    <x v="6"/>
    <x v="0"/>
    <x v="5"/>
    <x v="2"/>
    <n v="8"/>
    <x v="0"/>
    <d v="2026-04-07T14:56:00"/>
    <s v="No"/>
    <n v="4"/>
    <s v="Not Specified"/>
    <n v="9.8833333332440816"/>
    <x v="2"/>
  </r>
  <r>
    <s v="TCK-20913"/>
    <d v="2026-08-30T10:17:00"/>
    <s v="Technical Support"/>
    <x v="6"/>
    <x v="0"/>
    <x v="0"/>
    <x v="5"/>
    <x v="0"/>
    <n v="24"/>
    <x v="2"/>
    <d v="2026-08-30T15:19:00"/>
    <s v="No"/>
    <m/>
    <s v="Technical Issue Resolved Remotely"/>
    <n v="5.0333333333255723"/>
    <x v="1"/>
  </r>
  <r>
    <s v="TCK-20878"/>
    <d v="2026-04-17T03:18:00"/>
    <s v="Technical Support"/>
    <x v="4"/>
    <x v="1"/>
    <x v="1"/>
    <x v="0"/>
    <x v="1"/>
    <n v="48"/>
    <x v="5"/>
    <s v="Missing Resolve Date"/>
    <s v="No"/>
    <m/>
    <s v="Repeat Issue From Same Customer"/>
    <s v=""/>
    <x v="1"/>
  </r>
  <r>
    <s v="TCK-21444"/>
    <d v="2026-02-16T05:53:00"/>
    <s v="Tier 1 Support"/>
    <x v="1"/>
    <x v="4"/>
    <x v="2"/>
    <x v="4"/>
    <x v="1"/>
    <n v="48"/>
    <x v="0"/>
    <d v="2026-02-17T06:16:00"/>
    <s v="No"/>
    <n v="4"/>
    <s v="Required Follow-Up Call"/>
    <n v="24.383333333360497"/>
    <x v="0"/>
  </r>
  <r>
    <s v="TCK-21370"/>
    <d v="2026-06-19T04:24:00"/>
    <s v="Billing Support"/>
    <x v="5"/>
    <x v="1"/>
    <x v="2"/>
    <x v="2"/>
    <x v="3"/>
    <n v="4"/>
    <x v="0"/>
    <d v="2026-06-19T05:18:00"/>
    <s v="No"/>
    <n v="4"/>
    <s v="Not Specified"/>
    <n v="0.8999999999650754"/>
    <x v="0"/>
  </r>
  <r>
    <s v="TCK-23102"/>
    <d v="2026-08-06T01:21:00"/>
    <s v="Technical Support"/>
    <x v="4"/>
    <x v="0"/>
    <x v="3"/>
    <x v="0"/>
    <x v="2"/>
    <n v="8"/>
    <x v="5"/>
    <s v="Missing Resolve Date"/>
    <s v="Yes"/>
    <m/>
    <s v="Repeat Issue From Same Customer"/>
    <s v=""/>
    <x v="1"/>
  </r>
  <r>
    <s v="TCK-22489"/>
    <d v="2026-01-18T13:58:00"/>
    <s v="Tier 2 Support"/>
    <x v="2"/>
    <x v="0"/>
    <x v="3"/>
    <x v="3"/>
    <x v="0"/>
    <n v="24"/>
    <x v="4"/>
    <s v="Missing Resolve Date"/>
    <s v="Yes"/>
    <m/>
    <s v="Resolved On First Contact"/>
    <s v=""/>
    <x v="1"/>
  </r>
  <r>
    <s v="TCK-22259"/>
    <d v="2026-07-30T18:57:00"/>
    <s v="Tier 2 Support"/>
    <x v="2"/>
    <x v="3"/>
    <x v="0"/>
    <x v="1"/>
    <x v="2"/>
    <n v="8"/>
    <x v="5"/>
    <s v="Missing Resolve Date"/>
    <s v="No"/>
    <m/>
    <s v="Resolved On First Contact"/>
    <s v=""/>
    <x v="1"/>
  </r>
  <r>
    <s v="TCK-20294"/>
    <d v="2026-08-24T06:58:00"/>
    <s v="Billing Support"/>
    <x v="5"/>
    <x v="0"/>
    <x v="2"/>
    <x v="3"/>
    <x v="1"/>
    <n v="48"/>
    <x v="0"/>
    <d v="2026-08-27T14:24:00"/>
    <s v="No"/>
    <n v="1"/>
    <s v="Required Follow-Up Call"/>
    <n v="79.433333333290648"/>
    <x v="2"/>
  </r>
  <r>
    <s v="TCK-22756"/>
    <d v="2026-05-09T09:16:00"/>
    <s v="Tier 2 Support"/>
    <x v="2"/>
    <x v="0"/>
    <x v="0"/>
    <x v="0"/>
    <x v="2"/>
    <n v="8"/>
    <x v="0"/>
    <d v="2026-05-09T11:15:00"/>
    <s v="No"/>
    <n v="4"/>
    <s v="Resolved On First Contact"/>
    <n v="1.9833333333372138"/>
    <x v="0"/>
  </r>
  <r>
    <s v="TCK-20486"/>
    <d v="2026-04-08T10:17:00"/>
    <s v="Tier 2 Support"/>
    <x v="3"/>
    <x v="4"/>
    <x v="0"/>
    <x v="2"/>
    <x v="2"/>
    <n v="8"/>
    <x v="5"/>
    <s v="Missing Resolve Date"/>
    <s v="No"/>
    <m/>
    <s v="Not Specified"/>
    <s v=""/>
    <x v="1"/>
  </r>
  <r>
    <s v="TCK-22520"/>
    <d v="2026-07-17T23:05:00"/>
    <s v="Billing Support"/>
    <x v="0"/>
    <x v="1"/>
    <x v="2"/>
    <x v="5"/>
    <x v="1"/>
    <n v="48"/>
    <x v="2"/>
    <d v="2026-07-19T09:52:00"/>
    <s v="No"/>
    <n v="2"/>
    <s v="Not Specified"/>
    <n v="34.78333333338378"/>
    <x v="1"/>
  </r>
  <r>
    <s v="TCK-21949"/>
    <d v="2026-06-11T13:17:00"/>
    <s v="Billing Support"/>
    <x v="0"/>
    <x v="2"/>
    <x v="1"/>
    <x v="0"/>
    <x v="0"/>
    <n v="24"/>
    <x v="1"/>
    <s v="Missing Resolve Date"/>
    <s v="No"/>
    <m/>
    <s v="Customer Satisfied With Resolution"/>
    <s v=""/>
    <x v="1"/>
  </r>
  <r>
    <s v="TCK-22209"/>
    <d v="2026-07-24T00:20:00"/>
    <s v="Technical Support"/>
    <x v="6"/>
    <x v="6"/>
    <x v="2"/>
    <x v="5"/>
    <x v="0"/>
    <n v="24"/>
    <x v="0"/>
    <d v="2026-07-24T14:51:00"/>
    <s v="No"/>
    <n v="1"/>
    <s v="Resolved On First Contact"/>
    <n v="14.516666666662786"/>
    <x v="0"/>
  </r>
  <r>
    <s v="TCK-22844"/>
    <d v="2026-01-22T00:55:00"/>
    <s v="Technical Support"/>
    <x v="4"/>
    <x v="4"/>
    <x v="1"/>
    <x v="0"/>
    <x v="2"/>
    <n v="8"/>
    <x v="0"/>
    <d v="2026-01-22T17:51:00"/>
    <s v="Yes"/>
    <n v="5"/>
    <s v="Customer Satisfied With Resolution"/>
    <n v="16.933333333348855"/>
    <x v="2"/>
  </r>
  <r>
    <s v="TCK-21922"/>
    <d v="2026-04-14T00:52:00"/>
    <s v="Technical Support"/>
    <x v="4"/>
    <x v="4"/>
    <x v="0"/>
    <x v="1"/>
    <x v="2"/>
    <n v="8"/>
    <x v="1"/>
    <s v="Missing Resolve Date"/>
    <s v="No"/>
    <m/>
    <s v="Not Specified"/>
    <s v=""/>
    <x v="1"/>
  </r>
  <r>
    <s v="TCK-21577"/>
    <d v="2026-05-14T06:41:00"/>
    <s v="Billing Support"/>
    <x v="0"/>
    <x v="0"/>
    <x v="0"/>
    <x v="1"/>
    <x v="1"/>
    <n v="48"/>
    <x v="0"/>
    <d v="2026-05-15T01:00:00"/>
    <s v="No"/>
    <n v="2"/>
    <s v="Required Follow-Up Call"/>
    <n v="18.316666666651145"/>
    <x v="0"/>
  </r>
  <r>
    <s v="TCK-20316"/>
    <d v="2026-06-14T12:39:00"/>
    <s v="Tier 2 Support"/>
    <x v="2"/>
    <x v="1"/>
    <x v="0"/>
    <x v="3"/>
    <x v="3"/>
    <n v="4"/>
    <x v="3"/>
    <d v="2026-06-14T14:14:00"/>
    <s v="No"/>
    <m/>
    <s v="Customer Satisfied With Resolution"/>
    <n v="1.5833333332557231"/>
    <x v="1"/>
  </r>
  <r>
    <s v="TCK-22786"/>
    <d v="2026-07-13T07:02:00"/>
    <s v="Tier 2 Support"/>
    <x v="3"/>
    <x v="6"/>
    <x v="0"/>
    <x v="4"/>
    <x v="1"/>
    <n v="48"/>
    <x v="2"/>
    <d v="2026-07-14T17:18:00"/>
    <s v="Yes"/>
    <m/>
    <s v="Repeat Issue From Same Customer"/>
    <n v="34.266666666604578"/>
    <x v="1"/>
  </r>
  <r>
    <s v="TCK-21687"/>
    <d v="2026-05-14T10:10:00"/>
    <s v="Billing Support"/>
    <x v="5"/>
    <x v="1"/>
    <x v="0"/>
    <x v="0"/>
    <x v="0"/>
    <n v="24"/>
    <x v="0"/>
    <d v="2026-05-16T17:03:00"/>
    <s v="No"/>
    <n v="5"/>
    <s v="Technical Issue Resolved Remotely"/>
    <n v="54.883333333418705"/>
    <x v="2"/>
  </r>
  <r>
    <s v="TCK-21078"/>
    <d v="2026-06-19T13:00:00"/>
    <s v="Tier 1 Support"/>
    <x v="7"/>
    <x v="3"/>
    <x v="2"/>
    <x v="1"/>
    <x v="0"/>
    <n v="24"/>
    <x v="4"/>
    <s v="Missing Resolve Date"/>
    <s v="Yes"/>
    <m/>
    <s v="Technical Issue Resolved Remotely"/>
    <s v=""/>
    <x v="1"/>
  </r>
  <r>
    <s v="TCK-22082"/>
    <d v="2026-03-15T10:40:00"/>
    <s v="Billing Support"/>
    <x v="0"/>
    <x v="5"/>
    <x v="2"/>
    <x v="4"/>
    <x v="0"/>
    <n v="24"/>
    <x v="2"/>
    <d v="2026-03-15T21:39:00"/>
    <s v="Yes"/>
    <n v="4"/>
    <s v="Awaiting Customer Response"/>
    <n v="10.983333333337214"/>
    <x v="1"/>
  </r>
  <r>
    <s v="TCK-22341"/>
    <d v="2026-04-24T22:29:00"/>
    <s v="Technical Support"/>
    <x v="4"/>
    <x v="3"/>
    <x v="2"/>
    <x v="1"/>
    <x v="1"/>
    <n v="48"/>
    <x v="5"/>
    <s v="Missing Resolve Date"/>
    <s v="No"/>
    <m/>
    <s v="Escalated To Senior Agent"/>
    <s v=""/>
    <x v="1"/>
  </r>
  <r>
    <s v="TCK-22834"/>
    <d v="2026-06-29T10:12:00"/>
    <s v="Tier 1 Support"/>
    <x v="1"/>
    <x v="3"/>
    <x v="2"/>
    <x v="4"/>
    <x v="1"/>
    <n v="48"/>
    <x v="2"/>
    <d v="2026-06-30T11:09:00"/>
    <s v="No"/>
    <n v="5"/>
    <s v="Not Specified"/>
    <n v="24.949999999953434"/>
    <x v="1"/>
  </r>
  <r>
    <s v="TCK-21542"/>
    <d v="2026-02-07T14:07:00"/>
    <s v="Tier 2 Support"/>
    <x v="3"/>
    <x v="6"/>
    <x v="3"/>
    <x v="2"/>
    <x v="0"/>
    <n v="24"/>
    <x v="5"/>
    <s v="Missing Resolve Date"/>
    <s v="No"/>
    <m/>
    <s v="Awaiting Customer Response"/>
    <s v=""/>
    <x v="1"/>
  </r>
  <r>
    <s v="TCK-21424"/>
    <d v="2026-06-12T23:52:00"/>
    <s v="Billing Support"/>
    <x v="5"/>
    <x v="2"/>
    <x v="1"/>
    <x v="4"/>
    <x v="0"/>
    <n v="24"/>
    <x v="0"/>
    <d v="2026-06-14T18:44:00"/>
    <s v="No"/>
    <m/>
    <s v="Resolved On First Contact"/>
    <n v="42.866666666697711"/>
    <x v="2"/>
  </r>
  <r>
    <s v="TCK-20457"/>
    <d v="2026-06-26T20:38:00"/>
    <s v="Billing Support"/>
    <x v="0"/>
    <x v="5"/>
    <x v="1"/>
    <x v="3"/>
    <x v="1"/>
    <n v="48"/>
    <x v="0"/>
    <d v="2026-06-27T08:29:00"/>
    <s v="No"/>
    <n v="4"/>
    <s v="Escalated To Senior Agent"/>
    <n v="11.850000000034925"/>
    <x v="0"/>
  </r>
  <r>
    <s v="TCK-20974"/>
    <d v="2026-05-07T07:23:00"/>
    <s v="Technical Support"/>
    <x v="6"/>
    <x v="5"/>
    <x v="1"/>
    <x v="5"/>
    <x v="1"/>
    <n v="48"/>
    <x v="4"/>
    <s v="Missing Resolve Date"/>
    <s v="Yes"/>
    <m/>
    <s v="Repeat Issue From Same Customer"/>
    <s v=""/>
    <x v="1"/>
  </r>
  <r>
    <s v="TCK-22167"/>
    <d v="2026-02-25T05:19:00"/>
    <s v="Tier 2 Support"/>
    <x v="3"/>
    <x v="1"/>
    <x v="2"/>
    <x v="5"/>
    <x v="0"/>
    <n v="24"/>
    <x v="2"/>
    <d v="2026-02-25T22:00:00"/>
    <s v="No"/>
    <m/>
    <s v="Required Follow-Up Call"/>
    <n v="16.68333333323244"/>
    <x v="1"/>
  </r>
  <r>
    <s v="TCK-20567"/>
    <d v="2026-06-07T00:21:00"/>
    <s v="Billing Support"/>
    <x v="5"/>
    <x v="5"/>
    <x v="0"/>
    <x v="2"/>
    <x v="1"/>
    <n v="48"/>
    <x v="2"/>
    <d v="2026-06-07T10:40:00"/>
    <s v="No"/>
    <n v="5"/>
    <s v="Technical Issue Resolved Remotely"/>
    <n v="10.31666666676756"/>
    <x v="1"/>
  </r>
  <r>
    <s v="TCK-22433"/>
    <d v="2026-07-18T02:27:00"/>
    <s v="Tier 1 Support"/>
    <x v="1"/>
    <x v="0"/>
    <x v="3"/>
    <x v="0"/>
    <x v="1"/>
    <n v="48"/>
    <x v="0"/>
    <d v="2026-07-19T21:00:00"/>
    <s v="Yes"/>
    <n v="2"/>
    <s v="Customer Satisfied With Resolution"/>
    <n v="42.550000000046566"/>
    <x v="0"/>
  </r>
  <r>
    <s v="TCK-21837"/>
    <d v="2026-04-02T05:54:00"/>
    <s v="Tier 1 Support"/>
    <x v="7"/>
    <x v="0"/>
    <x v="3"/>
    <x v="1"/>
    <x v="1"/>
    <n v="48"/>
    <x v="1"/>
    <s v="Missing Resolve Date"/>
    <s v="No"/>
    <m/>
    <s v="Customer Requested Refund"/>
    <s v=""/>
    <x v="1"/>
  </r>
  <r>
    <s v="TCK-22129"/>
    <d v="2026-06-23T02:11:00"/>
    <s v="Tier 2 Support"/>
    <x v="3"/>
    <x v="0"/>
    <x v="2"/>
    <x v="2"/>
    <x v="1"/>
    <n v="48"/>
    <x v="5"/>
    <s v="Missing Resolve Date"/>
    <s v="No"/>
    <m/>
    <s v="Resolved On First Contact"/>
    <s v=""/>
    <x v="1"/>
  </r>
  <r>
    <s v="TCK-22708"/>
    <d v="2026-04-08T06:03:00"/>
    <s v="Tier 2 Support"/>
    <x v="2"/>
    <x v="1"/>
    <x v="0"/>
    <x v="0"/>
    <x v="1"/>
    <n v="48"/>
    <x v="5"/>
    <s v="Missing Resolve Date"/>
    <s v="No"/>
    <m/>
    <s v="Not Specified"/>
    <s v=""/>
    <x v="1"/>
  </r>
  <r>
    <s v="TCK-21055"/>
    <d v="2026-08-06T23:26:00"/>
    <s v="Technical Support"/>
    <x v="4"/>
    <x v="5"/>
    <x v="2"/>
    <x v="0"/>
    <x v="0"/>
    <n v="24"/>
    <x v="4"/>
    <s v="Missing Resolve Date"/>
    <s v="Yes"/>
    <m/>
    <s v="Required Follow-Up Call"/>
    <s v=""/>
    <x v="1"/>
  </r>
  <r>
    <s v="TCK-21292"/>
    <d v="2026-01-29T14:03:00"/>
    <s v="Tier 2 Support"/>
    <x v="2"/>
    <x v="2"/>
    <x v="2"/>
    <x v="2"/>
    <x v="2"/>
    <n v="8"/>
    <x v="1"/>
    <s v="Missing Resolve Date"/>
    <s v="No"/>
    <m/>
    <s v="Customer Satisfied With Resolution"/>
    <s v=""/>
    <x v="1"/>
  </r>
  <r>
    <s v="TCK-20573"/>
    <d v="2026-08-17T10:43:00"/>
    <s v="Tier 2 Support"/>
    <x v="2"/>
    <x v="0"/>
    <x v="1"/>
    <x v="2"/>
    <x v="3"/>
    <n v="4"/>
    <x v="2"/>
    <d v="2026-08-17T13:04:00"/>
    <s v="No"/>
    <n v="1"/>
    <s v="Customer Satisfied With Resolution"/>
    <n v="2.3499999999767169"/>
    <x v="1"/>
  </r>
  <r>
    <s v="TCK-21457"/>
    <d v="2026-02-07T11:45:00"/>
    <s v="Tier 1 Support"/>
    <x v="1"/>
    <x v="4"/>
    <x v="0"/>
    <x v="4"/>
    <x v="0"/>
    <n v="24"/>
    <x v="0"/>
    <d v="2026-02-09T22:45:00"/>
    <s v="No"/>
    <n v="1"/>
    <s v="Resolved On First Contact"/>
    <n v="58.999999999883585"/>
    <x v="2"/>
  </r>
  <r>
    <s v="TCK-21320"/>
    <d v="2026-04-11T10:39:00"/>
    <s v="Billing Support"/>
    <x v="0"/>
    <x v="6"/>
    <x v="3"/>
    <x v="2"/>
    <x v="2"/>
    <n v="8"/>
    <x v="0"/>
    <d v="2026-04-12T00:22:00"/>
    <s v="No"/>
    <n v="5"/>
    <s v="Escalated To Senior Agent"/>
    <n v="13.716666666674428"/>
    <x v="2"/>
  </r>
  <r>
    <s v="TCK-20984"/>
    <d v="2026-03-17T14:13:00"/>
    <s v="Tier 1 Support"/>
    <x v="1"/>
    <x v="2"/>
    <x v="2"/>
    <x v="0"/>
    <x v="0"/>
    <n v="24"/>
    <x v="0"/>
    <s v="Missing Resolve Date"/>
    <s v="No"/>
    <n v="5"/>
    <s v="Escalated To Senior Agent"/>
    <s v=""/>
    <x v="2"/>
  </r>
  <r>
    <s v="TCK-20589"/>
    <d v="2026-06-05T19:59:00"/>
    <s v="Technical Support"/>
    <x v="4"/>
    <x v="2"/>
    <x v="3"/>
    <x v="5"/>
    <x v="1"/>
    <n v="48"/>
    <x v="0"/>
    <d v="2026-06-05T20:29:00"/>
    <s v="No"/>
    <n v="1"/>
    <s v="Not Specified"/>
    <n v="0.50000000005820766"/>
    <x v="0"/>
  </r>
  <r>
    <s v="TCK-22816"/>
    <d v="2026-04-25T10:07:00"/>
    <s v="Tier 2 Support"/>
    <x v="3"/>
    <x v="4"/>
    <x v="3"/>
    <x v="1"/>
    <x v="1"/>
    <n v="48"/>
    <x v="2"/>
    <d v="2026-04-27T03:35:00"/>
    <s v="No"/>
    <m/>
    <s v="Not Specified"/>
    <n v="41.466666666674428"/>
    <x v="1"/>
  </r>
  <r>
    <s v="TCK-22009"/>
    <d v="2026-04-28T07:57:00"/>
    <s v="Billing Support"/>
    <x v="0"/>
    <x v="3"/>
    <x v="2"/>
    <x v="3"/>
    <x v="0"/>
    <n v="24"/>
    <x v="2"/>
    <d v="2026-04-28T17:34:00"/>
    <s v="No"/>
    <m/>
    <s v="Required Follow-Up Call"/>
    <n v="9.6166666665812954"/>
    <x v="1"/>
  </r>
  <r>
    <s v="TCK-22438"/>
    <d v="2026-06-07T13:05:00"/>
    <s v="Tier 2 Support"/>
    <x v="2"/>
    <x v="3"/>
    <x v="2"/>
    <x v="5"/>
    <x v="0"/>
    <n v="24"/>
    <x v="0"/>
    <d v="2026-06-10T00:14:00"/>
    <s v="No"/>
    <n v="2"/>
    <s v="Escalated To Senior Agent"/>
    <n v="59.150000000023283"/>
    <x v="2"/>
  </r>
  <r>
    <s v="TCK-22769"/>
    <d v="2026-01-03T03:12:00"/>
    <s v="Billing Support"/>
    <x v="5"/>
    <x v="6"/>
    <x v="2"/>
    <x v="3"/>
    <x v="1"/>
    <n v="48"/>
    <x v="1"/>
    <s v="Missing Resolve Date"/>
    <s v="No"/>
    <m/>
    <s v="Not Specified"/>
    <s v=""/>
    <x v="1"/>
  </r>
  <r>
    <s v="TCK-20247"/>
    <d v="2026-04-11T19:06:00"/>
    <s v="Tier 1 Support"/>
    <x v="7"/>
    <x v="1"/>
    <x v="2"/>
    <x v="3"/>
    <x v="2"/>
    <n v="8"/>
    <x v="4"/>
    <s v="Missing Resolve Date"/>
    <s v="Yes"/>
    <m/>
    <s v="Awaiting Customer Response"/>
    <s v=""/>
    <x v="1"/>
  </r>
  <r>
    <s v="TCK-21249"/>
    <d v="2026-08-10T15:17:00"/>
    <s v="Tier 2 Support"/>
    <x v="3"/>
    <x v="5"/>
    <x v="2"/>
    <x v="2"/>
    <x v="3"/>
    <n v="4"/>
    <x v="5"/>
    <s v="Missing Resolve Date"/>
    <s v="Yes"/>
    <m/>
    <s v="Required Follow-Up Call"/>
    <s v=""/>
    <x v="1"/>
  </r>
  <r>
    <s v="TCK-20053"/>
    <d v="2026-04-09T15:05:00"/>
    <s v="Billing Support"/>
    <x v="0"/>
    <x v="5"/>
    <x v="2"/>
    <x v="5"/>
    <x v="1"/>
    <n v="48"/>
    <x v="2"/>
    <d v="2026-04-10T22:28:00"/>
    <s v="No"/>
    <m/>
    <s v="Customer Satisfied With Resolution"/>
    <n v="31.383333333476912"/>
    <x v="1"/>
  </r>
  <r>
    <s v="TCK-22583"/>
    <d v="2026-05-06T19:17:00"/>
    <s v="Technical Support"/>
    <x v="4"/>
    <x v="1"/>
    <x v="2"/>
    <x v="2"/>
    <x v="1"/>
    <n v="48"/>
    <x v="0"/>
    <d v="2026-05-07T10:47:00"/>
    <s v="No"/>
    <n v="5"/>
    <s v="Customer Satisfied With Resolution"/>
    <n v="15.500000000058208"/>
    <x v="0"/>
  </r>
  <r>
    <s v="TCK-21219"/>
    <d v="2026-02-17T17:01:00"/>
    <s v="Technical Support"/>
    <x v="6"/>
    <x v="2"/>
    <x v="1"/>
    <x v="3"/>
    <x v="0"/>
    <n v="24"/>
    <x v="1"/>
    <s v="Missing Resolve Date"/>
    <s v="No"/>
    <m/>
    <s v="Technical Issue Resolved Remotely"/>
    <s v=""/>
    <x v="1"/>
  </r>
  <r>
    <s v="TCK-20362"/>
    <d v="2026-05-16T21:11:00"/>
    <s v="Tier 2 Support"/>
    <x v="3"/>
    <x v="1"/>
    <x v="1"/>
    <x v="0"/>
    <x v="0"/>
    <n v="24"/>
    <x v="2"/>
    <d v="2026-05-18T23:34:00"/>
    <s v="No"/>
    <m/>
    <s v="Awaiting Customer Response"/>
    <n v="50.383333333244082"/>
    <x v="1"/>
  </r>
  <r>
    <s v="TCK-23190"/>
    <d v="2026-05-29T05:28:00"/>
    <s v="Tier 2 Support"/>
    <x v="3"/>
    <x v="6"/>
    <x v="0"/>
    <x v="3"/>
    <x v="0"/>
    <n v="24"/>
    <x v="5"/>
    <s v="Missing Resolve Date"/>
    <s v="No"/>
    <m/>
    <s v="Customer Satisfied With Resolution"/>
    <s v=""/>
    <x v="1"/>
  </r>
  <r>
    <s v="TCK-21632"/>
    <d v="2026-01-19T10:23:00"/>
    <s v="Tier 2 Support"/>
    <x v="3"/>
    <x v="6"/>
    <x v="3"/>
    <x v="3"/>
    <x v="0"/>
    <n v="24"/>
    <x v="3"/>
    <d v="2026-01-21T06:53:00"/>
    <s v="No"/>
    <m/>
    <s v="Customer Requested Refund"/>
    <n v="44.500000000116415"/>
    <x v="1"/>
  </r>
  <r>
    <s v="TCK-21936"/>
    <d v="2026-04-28T09:18:00"/>
    <s v="Technical Support"/>
    <x v="4"/>
    <x v="5"/>
    <x v="1"/>
    <x v="1"/>
    <x v="2"/>
    <n v="8"/>
    <x v="0"/>
    <d v="2026-04-28T10:28:00"/>
    <s v="No"/>
    <n v="1"/>
    <s v="Awaiting Customer Response"/>
    <n v="1.1666666668024845"/>
    <x v="0"/>
  </r>
  <r>
    <s v="TCK-20847"/>
    <d v="2026-06-20T13:34:00"/>
    <s v="Tier 1 Support"/>
    <x v="1"/>
    <x v="0"/>
    <x v="0"/>
    <x v="0"/>
    <x v="0"/>
    <n v="24"/>
    <x v="5"/>
    <s v="Missing Resolve Date"/>
    <s v="No"/>
    <m/>
    <s v="Awaiting Customer Response"/>
    <s v=""/>
    <x v="1"/>
  </r>
  <r>
    <s v="TCK-20449"/>
    <d v="2026-01-05T13:32:00"/>
    <s v="Billing Support"/>
    <x v="0"/>
    <x v="4"/>
    <x v="2"/>
    <x v="0"/>
    <x v="0"/>
    <n v="24"/>
    <x v="1"/>
    <s v="Missing Resolve Date"/>
    <s v="No"/>
    <m/>
    <s v="Customer Satisfied With Resolution"/>
    <s v=""/>
    <x v="1"/>
  </r>
  <r>
    <s v="TCK-21549"/>
    <d v="2026-04-04T19:46:00"/>
    <s v="Tier 2 Support"/>
    <x v="3"/>
    <x v="2"/>
    <x v="2"/>
    <x v="3"/>
    <x v="0"/>
    <n v="24"/>
    <x v="5"/>
    <s v="Missing Resolve Date"/>
    <s v="No"/>
    <m/>
    <s v="Required Follow-Up Call"/>
    <s v=""/>
    <x v="1"/>
  </r>
  <r>
    <s v="TCK-21594"/>
    <d v="2026-01-29T19:04:00"/>
    <s v="Tier 1 Support"/>
    <x v="1"/>
    <x v="1"/>
    <x v="1"/>
    <x v="2"/>
    <x v="1"/>
    <n v="48"/>
    <x v="5"/>
    <s v="Missing Resolve Date"/>
    <s v="No"/>
    <m/>
    <s v="Resolved On First Contact"/>
    <s v=""/>
    <x v="1"/>
  </r>
  <r>
    <s v="TCK-20863"/>
    <d v="2026-07-27T17:03:00"/>
    <s v="Tier 2 Support"/>
    <x v="2"/>
    <x v="1"/>
    <x v="1"/>
    <x v="0"/>
    <x v="2"/>
    <n v="8"/>
    <x v="2"/>
    <d v="2026-07-27T23:22:00"/>
    <s v="No"/>
    <m/>
    <s v="Required Follow-Up Call"/>
    <n v="6.3166666666511446"/>
    <x v="1"/>
  </r>
  <r>
    <s v="TCK-21256"/>
    <d v="2026-08-03T04:40:00"/>
    <s v="Tier 1 Support"/>
    <x v="7"/>
    <x v="5"/>
    <x v="3"/>
    <x v="1"/>
    <x v="2"/>
    <n v="8"/>
    <x v="0"/>
    <d v="2026-08-03T07:20:00"/>
    <s v="No"/>
    <n v="1"/>
    <s v="Customer Satisfied With Resolution"/>
    <n v="2.6666666666278616"/>
    <x v="0"/>
  </r>
  <r>
    <s v="TCK-21873"/>
    <d v="2026-04-13T06:33:00"/>
    <s v="Tier 2 Support"/>
    <x v="3"/>
    <x v="4"/>
    <x v="3"/>
    <x v="0"/>
    <x v="2"/>
    <n v="8"/>
    <x v="4"/>
    <s v="Missing Resolve Date"/>
    <s v="Yes"/>
    <m/>
    <s v="Not Specified"/>
    <s v=""/>
    <x v="1"/>
  </r>
  <r>
    <s v="TCK-20480"/>
    <d v="2026-02-21T10:21:00"/>
    <s v="Tier 2 Support"/>
    <x v="2"/>
    <x v="1"/>
    <x v="1"/>
    <x v="1"/>
    <x v="1"/>
    <n v="48"/>
    <x v="1"/>
    <s v="Missing Resolve Date"/>
    <s v="No"/>
    <m/>
    <s v="Required Follow-Up Call"/>
    <s v=""/>
    <x v="1"/>
  </r>
  <r>
    <s v="TCK-20209"/>
    <d v="2026-06-12T10:46:00"/>
    <s v="Tier 1 Support"/>
    <x v="1"/>
    <x v="6"/>
    <x v="0"/>
    <x v="3"/>
    <x v="3"/>
    <n v="4"/>
    <x v="0"/>
    <d v="2026-06-12T12:39:00"/>
    <s v="No"/>
    <n v="4"/>
    <s v="Technical Issue Resolved Remotely"/>
    <n v="1.8833333333604969"/>
    <x v="0"/>
  </r>
  <r>
    <s v="TCK-20014"/>
    <d v="2026-07-17T07:07:00"/>
    <s v="Billing Support"/>
    <x v="5"/>
    <x v="2"/>
    <x v="1"/>
    <x v="4"/>
    <x v="2"/>
    <n v="8"/>
    <x v="2"/>
    <d v="2026-07-17T07:40:00"/>
    <s v="No"/>
    <n v="5"/>
    <s v="Technical Issue Resolved Remotely"/>
    <n v="0.55000000004656613"/>
    <x v="1"/>
  </r>
  <r>
    <s v="TCK-21308"/>
    <d v="2026-01-09T16:36:00"/>
    <s v="Billing Support"/>
    <x v="5"/>
    <x v="2"/>
    <x v="0"/>
    <x v="4"/>
    <x v="3"/>
    <n v="4"/>
    <x v="5"/>
    <s v="Missing Resolve Date"/>
    <s v="No"/>
    <m/>
    <s v="Technical Issue Resolved Remotely"/>
    <s v=""/>
    <x v="1"/>
  </r>
  <r>
    <s v="TCK-21550"/>
    <d v="2026-07-14T18:30:00"/>
    <s v="Tier 2 Support"/>
    <x v="2"/>
    <x v="5"/>
    <x v="2"/>
    <x v="5"/>
    <x v="3"/>
    <n v="4"/>
    <x v="1"/>
    <s v="Missing Resolve Date"/>
    <s v="No"/>
    <m/>
    <s v="Not Specified"/>
    <s v=""/>
    <x v="1"/>
  </r>
  <r>
    <s v="TCK-22103"/>
    <d v="2026-04-27T21:26:00"/>
    <s v="Technical Support"/>
    <x v="4"/>
    <x v="4"/>
    <x v="2"/>
    <x v="1"/>
    <x v="2"/>
    <n v="8"/>
    <x v="2"/>
    <d v="2026-04-28T03:24:00"/>
    <s v="Yes"/>
    <n v="5"/>
    <s v="Technical Issue Resolved Remotely"/>
    <n v="5.9666666667326353"/>
    <x v="1"/>
  </r>
  <r>
    <s v="TCK-22482"/>
    <d v="2026-03-27T10:53:00"/>
    <s v="Billing Support"/>
    <x v="5"/>
    <x v="6"/>
    <x v="3"/>
    <x v="2"/>
    <x v="2"/>
    <n v="8"/>
    <x v="1"/>
    <s v="Missing Resolve Date"/>
    <s v="No"/>
    <m/>
    <s v="Technical Issue Resolved Remotely"/>
    <s v=""/>
    <x v="1"/>
  </r>
  <r>
    <s v="TCK-20781"/>
    <d v="2026-02-11T12:23:00"/>
    <s v="Tier 2 Support"/>
    <x v="3"/>
    <x v="3"/>
    <x v="3"/>
    <x v="3"/>
    <x v="1"/>
    <n v="48"/>
    <x v="0"/>
    <d v="2026-02-12T02:21:00"/>
    <s v="No"/>
    <n v="3"/>
    <s v="Required Follow-Up Call"/>
    <n v="13.96666666661622"/>
    <x v="0"/>
  </r>
  <r>
    <s v="TCK-20377"/>
    <d v="2026-08-04T18:06:00"/>
    <s v="Tier 1 Support"/>
    <x v="1"/>
    <x v="5"/>
    <x v="2"/>
    <x v="5"/>
    <x v="2"/>
    <n v="8"/>
    <x v="5"/>
    <s v="Missing Resolve Date"/>
    <s v="No"/>
    <m/>
    <s v="Required Follow-Up Call"/>
    <s v=""/>
    <x v="1"/>
  </r>
  <r>
    <s v="TCK-20963"/>
    <d v="2026-02-02T09:28:00"/>
    <s v="Tier 1 Support"/>
    <x v="1"/>
    <x v="3"/>
    <x v="3"/>
    <x v="2"/>
    <x v="0"/>
    <n v="24"/>
    <x v="2"/>
    <d v="2026-02-03T05:00:00"/>
    <s v="No"/>
    <n v="4"/>
    <s v="Customer Satisfied With Resolution"/>
    <n v="19.533333333441988"/>
    <x v="1"/>
  </r>
  <r>
    <s v="TCK-20886"/>
    <d v="2026-04-04T10:39:00"/>
    <s v="Tier 1 Support"/>
    <x v="7"/>
    <x v="1"/>
    <x v="1"/>
    <x v="1"/>
    <x v="1"/>
    <n v="48"/>
    <x v="0"/>
    <d v="2026-04-05T07:06:00"/>
    <s v="No"/>
    <n v="5"/>
    <s v="Required Follow-Up Call"/>
    <n v="20.449999999953434"/>
    <x v="0"/>
  </r>
  <r>
    <s v="TCK-22290"/>
    <d v="2026-05-29T10:28:00"/>
    <s v="Technical Support"/>
    <x v="6"/>
    <x v="5"/>
    <x v="2"/>
    <x v="3"/>
    <x v="2"/>
    <n v="8"/>
    <x v="5"/>
    <s v="Missing Resolve Date"/>
    <s v="Yes"/>
    <m/>
    <s v="Repeat Issue From Same Customer"/>
    <s v=""/>
    <x v="1"/>
  </r>
  <r>
    <s v="TCK-21118"/>
    <d v="2026-04-12T19:17:00"/>
    <s v="Tier 2 Support"/>
    <x v="2"/>
    <x v="0"/>
    <x v="2"/>
    <x v="2"/>
    <x v="0"/>
    <n v="24"/>
    <x v="0"/>
    <d v="2026-04-14T17:47:00"/>
    <s v="No"/>
    <n v="1"/>
    <s v="Not Specified"/>
    <n v="46.5"/>
    <x v="2"/>
  </r>
  <r>
    <s v="TCK-22158"/>
    <d v="2026-08-16T15:12:00"/>
    <s v="Billing Support"/>
    <x v="5"/>
    <x v="3"/>
    <x v="2"/>
    <x v="3"/>
    <x v="3"/>
    <n v="4"/>
    <x v="2"/>
    <d v="2026-08-16T16:52:00"/>
    <s v="No"/>
    <m/>
    <s v="Awaiting Customer Response"/>
    <n v="1.6666666666860692"/>
    <x v="1"/>
  </r>
  <r>
    <s v="TCK-22317"/>
    <d v="2026-08-28T04:42:00"/>
    <s v="Technical Support"/>
    <x v="4"/>
    <x v="2"/>
    <x v="2"/>
    <x v="5"/>
    <x v="0"/>
    <n v="24"/>
    <x v="2"/>
    <d v="2026-08-28T23:08:00"/>
    <s v="No"/>
    <n v="5"/>
    <s v="Not Specified"/>
    <n v="18.433333333348855"/>
    <x v="1"/>
  </r>
  <r>
    <s v="TCK-22631"/>
    <d v="2026-07-07T11:03:00"/>
    <s v="Technical Support"/>
    <x v="4"/>
    <x v="2"/>
    <x v="2"/>
    <x v="0"/>
    <x v="0"/>
    <n v="24"/>
    <x v="0"/>
    <d v="2026-07-07T16:31:00"/>
    <s v="No"/>
    <n v="2"/>
    <s v="Not Specified"/>
    <n v="5.4666666666744277"/>
    <x v="0"/>
  </r>
  <r>
    <s v="TCK-20599"/>
    <d v="2026-06-28T09:49:00"/>
    <s v="Tier 2 Support"/>
    <x v="2"/>
    <x v="5"/>
    <x v="2"/>
    <x v="0"/>
    <x v="1"/>
    <n v="48"/>
    <x v="2"/>
    <d v="2026-06-29T22:41:00"/>
    <s v="No"/>
    <m/>
    <s v="Resolved On First Contact"/>
    <n v="36.866666666697711"/>
    <x v="1"/>
  </r>
  <r>
    <s v="TCK-22215"/>
    <d v="2026-07-19T18:11:00"/>
    <s v="Tier 2 Support"/>
    <x v="3"/>
    <x v="4"/>
    <x v="2"/>
    <x v="0"/>
    <x v="2"/>
    <n v="8"/>
    <x v="0"/>
    <d v="2026-07-19T19:20:00"/>
    <s v="No"/>
    <n v="5"/>
    <s v="Technical Issue Resolved Remotely"/>
    <n v="1.1499999999068677"/>
    <x v="0"/>
  </r>
  <r>
    <s v="TCK-21199"/>
    <d v="2026-07-31T16:05:00"/>
    <s v="Technical Support"/>
    <x v="6"/>
    <x v="2"/>
    <x v="3"/>
    <x v="2"/>
    <x v="1"/>
    <n v="48"/>
    <x v="0"/>
    <d v="2026-08-01T09:11:00"/>
    <s v="No"/>
    <n v="2"/>
    <s v="Customer Requested Refund"/>
    <n v="17.100000000034925"/>
    <x v="0"/>
  </r>
  <r>
    <s v="TCK-22217"/>
    <d v="2026-08-30T23:54:00"/>
    <s v="Tier 2 Support"/>
    <x v="2"/>
    <x v="2"/>
    <x v="1"/>
    <x v="4"/>
    <x v="0"/>
    <n v="24"/>
    <x v="0"/>
    <d v="2026-08-31T14:39:00"/>
    <s v="No"/>
    <n v="4"/>
    <s v="Repeat Issue From Same Customer"/>
    <n v="14.750000000058208"/>
    <x v="0"/>
  </r>
  <r>
    <s v="TCK-23022"/>
    <d v="2026-02-12T21:29:00"/>
    <s v="Billing Support"/>
    <x v="5"/>
    <x v="6"/>
    <x v="2"/>
    <x v="1"/>
    <x v="1"/>
    <n v="48"/>
    <x v="0"/>
    <d v="2026-02-13T00:21:00"/>
    <s v="No"/>
    <m/>
    <s v="Customer Satisfied With Resolution"/>
    <n v="2.8666666665812954"/>
    <x v="0"/>
  </r>
  <r>
    <s v="TCK-20875"/>
    <d v="2026-02-28T10:58:00"/>
    <s v="Technical Support"/>
    <x v="4"/>
    <x v="5"/>
    <x v="2"/>
    <x v="1"/>
    <x v="2"/>
    <n v="8"/>
    <x v="3"/>
    <d v="2026-02-28T14:43:00"/>
    <s v="No"/>
    <m/>
    <s v="Not Specified"/>
    <n v="3.75"/>
    <x v="1"/>
  </r>
  <r>
    <s v="TCK-23055"/>
    <d v="2026-04-26T14:09:00"/>
    <s v="Technical Support"/>
    <x v="4"/>
    <x v="1"/>
    <x v="2"/>
    <x v="4"/>
    <x v="1"/>
    <n v="48"/>
    <x v="0"/>
    <d v="2026-04-28T00:59:00"/>
    <s v="No"/>
    <n v="3"/>
    <s v="Not Specified"/>
    <n v="34.833333333372138"/>
    <x v="0"/>
  </r>
  <r>
    <s v="TCK-22379"/>
    <d v="2026-01-04T17:20:00"/>
    <s v="Tier 2 Support"/>
    <x v="2"/>
    <x v="3"/>
    <x v="3"/>
    <x v="1"/>
    <x v="3"/>
    <n v="4"/>
    <x v="2"/>
    <d v="2026-01-04T18:17:00"/>
    <s v="No"/>
    <n v="5"/>
    <s v="Required Follow-Up Call"/>
    <n v="0.95000000012805685"/>
    <x v="1"/>
  </r>
  <r>
    <s v="TCK-20467"/>
    <d v="2026-04-03T22:21:00"/>
    <s v="Tier 1 Support"/>
    <x v="7"/>
    <x v="5"/>
    <x v="1"/>
    <x v="3"/>
    <x v="1"/>
    <n v="48"/>
    <x v="2"/>
    <d v="2026-04-08T17:31:00"/>
    <s v="No"/>
    <m/>
    <s v="Repeat Issue From Same Customer"/>
    <n v="115.16666666662786"/>
    <x v="1"/>
  </r>
  <r>
    <s v="TCK-22494"/>
    <d v="2026-05-02T15:41:00"/>
    <s v="Tier 2 Support"/>
    <x v="2"/>
    <x v="5"/>
    <x v="1"/>
    <x v="1"/>
    <x v="1"/>
    <n v="48"/>
    <x v="5"/>
    <s v="Missing Resolve Date"/>
    <s v="Yes"/>
    <m/>
    <s v="Customer Requested Refund"/>
    <s v=""/>
    <x v="1"/>
  </r>
  <r>
    <s v="TCK-23119"/>
    <d v="2026-08-10T10:04:00"/>
    <s v="Billing Support"/>
    <x v="5"/>
    <x v="6"/>
    <x v="3"/>
    <x v="3"/>
    <x v="2"/>
    <n v="8"/>
    <x v="0"/>
    <d v="2026-08-10T15:40:00"/>
    <s v="No"/>
    <n v="1"/>
    <s v="Not Specified"/>
    <n v="5.6000000000931323"/>
    <x v="0"/>
  </r>
  <r>
    <s v="TCK-22903"/>
    <d v="2026-02-14T01:16:00"/>
    <s v="Billing Support"/>
    <x v="0"/>
    <x v="5"/>
    <x v="2"/>
    <x v="2"/>
    <x v="0"/>
    <n v="24"/>
    <x v="2"/>
    <d v="2026-02-14T08:45:00"/>
    <s v="Yes"/>
    <n v="5"/>
    <s v="Repeat Issue From Same Customer"/>
    <n v="7.4833333334536292"/>
    <x v="1"/>
  </r>
  <r>
    <s v="TCK-21188"/>
    <d v="2026-02-11T13:53:00"/>
    <s v="Tier 2 Support"/>
    <x v="2"/>
    <x v="6"/>
    <x v="3"/>
    <x v="2"/>
    <x v="2"/>
    <n v="8"/>
    <x v="4"/>
    <s v="Missing Resolve Date"/>
    <s v="Yes"/>
    <m/>
    <s v="Escalated To Senior Agent"/>
    <s v=""/>
    <x v="1"/>
  </r>
  <r>
    <s v="TCK-21451"/>
    <d v="2026-01-25T14:20:00"/>
    <s v="Technical Support"/>
    <x v="4"/>
    <x v="4"/>
    <x v="3"/>
    <x v="4"/>
    <x v="1"/>
    <n v="48"/>
    <x v="5"/>
    <s v="Missing Resolve Date"/>
    <s v="Yes"/>
    <m/>
    <s v="Resolved On First Contact"/>
    <s v=""/>
    <x v="1"/>
  </r>
  <r>
    <s v="TCK-21333"/>
    <d v="2026-02-14T08:43:00"/>
    <s v="Tier 2 Support"/>
    <x v="2"/>
    <x v="4"/>
    <x v="1"/>
    <x v="0"/>
    <x v="0"/>
    <n v="24"/>
    <x v="0"/>
    <d v="2026-02-14T16:58:00"/>
    <s v="No"/>
    <m/>
    <s v="Required Follow-Up Call"/>
    <n v="8.25"/>
    <x v="0"/>
  </r>
  <r>
    <s v="TCK-22948"/>
    <d v="2026-02-02T20:17:00"/>
    <s v="Tier 1 Support"/>
    <x v="1"/>
    <x v="1"/>
    <x v="0"/>
    <x v="2"/>
    <x v="0"/>
    <n v="24"/>
    <x v="0"/>
    <d v="2026-02-03T03:38:00"/>
    <s v="No"/>
    <m/>
    <s v="Customer Requested Refund"/>
    <n v="7.3500000000349246"/>
    <x v="0"/>
  </r>
  <r>
    <s v="TCK-20200"/>
    <d v="2026-04-20T06:15:00"/>
    <s v="Tier 1 Support"/>
    <x v="1"/>
    <x v="0"/>
    <x v="0"/>
    <x v="0"/>
    <x v="2"/>
    <n v="8"/>
    <x v="2"/>
    <d v="2026-04-21T04:06:00"/>
    <s v="No"/>
    <n v="5"/>
    <s v="Customer Requested Refund"/>
    <n v="21.849999999976717"/>
    <x v="1"/>
  </r>
  <r>
    <s v="TCK-20198"/>
    <d v="2026-08-28T05:27:00"/>
    <s v="Billing Support"/>
    <x v="5"/>
    <x v="6"/>
    <x v="0"/>
    <x v="0"/>
    <x v="2"/>
    <n v="8"/>
    <x v="0"/>
    <d v="2026-08-28T11:14:00"/>
    <s v="No"/>
    <m/>
    <s v="Customer Satisfied With Resolution"/>
    <n v="5.7833333333255723"/>
    <x v="0"/>
  </r>
  <r>
    <s v="TCK-20122"/>
    <d v="2026-03-27T23:59:00"/>
    <s v="Tier 2 Support"/>
    <x v="3"/>
    <x v="4"/>
    <x v="1"/>
    <x v="1"/>
    <x v="2"/>
    <n v="8"/>
    <x v="4"/>
    <s v="Missing Resolve Date"/>
    <s v="Yes"/>
    <m/>
    <s v="Not Specified"/>
    <s v=""/>
    <x v="1"/>
  </r>
  <r>
    <s v="TCK-22968"/>
    <d v="2026-03-22T13:44:00"/>
    <s v="Billing Support"/>
    <x v="0"/>
    <x v="6"/>
    <x v="2"/>
    <x v="5"/>
    <x v="1"/>
    <n v="48"/>
    <x v="0"/>
    <d v="2026-03-23T07:55:00"/>
    <s v="No"/>
    <n v="3"/>
    <s v="Resolved On First Contact"/>
    <n v="18.18333333323244"/>
    <x v="0"/>
  </r>
  <r>
    <s v="TCK-21230"/>
    <d v="2026-03-30T00:15:00"/>
    <s v="Tier 1 Support"/>
    <x v="7"/>
    <x v="0"/>
    <x v="1"/>
    <x v="3"/>
    <x v="0"/>
    <n v="24"/>
    <x v="0"/>
    <d v="2026-03-30T08:31:00"/>
    <s v="No"/>
    <n v="3"/>
    <s v="Customer Requested Refund"/>
    <n v="8.2666666667209938"/>
    <x v="0"/>
  </r>
  <r>
    <s v="TCK-22763"/>
    <d v="2026-08-20T08:15:00"/>
    <s v="Billing Support"/>
    <x v="5"/>
    <x v="5"/>
    <x v="2"/>
    <x v="0"/>
    <x v="2"/>
    <n v="8"/>
    <x v="3"/>
    <d v="2026-08-21T04:42:00"/>
    <s v="No"/>
    <m/>
    <s v="Not Specified"/>
    <n v="20.449999999953434"/>
    <x v="1"/>
  </r>
  <r>
    <s v="TCK-20302"/>
    <d v="2026-03-26T00:24:00"/>
    <s v="Billing Support"/>
    <x v="0"/>
    <x v="2"/>
    <x v="3"/>
    <x v="4"/>
    <x v="1"/>
    <n v="48"/>
    <x v="1"/>
    <s v="Missing Resolve Date"/>
    <s v="No"/>
    <m/>
    <s v="Not Specified"/>
    <s v=""/>
    <x v="1"/>
  </r>
  <r>
    <s v="TCK-21770"/>
    <d v="2026-01-26T23:07:00"/>
    <s v="Billing Support"/>
    <x v="0"/>
    <x v="4"/>
    <x v="3"/>
    <x v="5"/>
    <x v="3"/>
    <n v="4"/>
    <x v="0"/>
    <d v="2026-01-27T00:24:00"/>
    <s v="No"/>
    <n v="5"/>
    <s v="Repeat Issue From Same Customer"/>
    <n v="1.2833333335001953"/>
    <x v="0"/>
  </r>
  <r>
    <s v="TCK-20500"/>
    <d v="2026-06-06T20:34:00"/>
    <s v="Billing Support"/>
    <x v="0"/>
    <x v="1"/>
    <x v="2"/>
    <x v="5"/>
    <x v="1"/>
    <n v="48"/>
    <x v="2"/>
    <d v="2026-06-07T05:29:00"/>
    <s v="No"/>
    <n v="5"/>
    <s v="Not Specified"/>
    <n v="8.9166666667442769"/>
    <x v="1"/>
  </r>
  <r>
    <s v="TCK-22188"/>
    <d v="2026-08-18T10:52:00"/>
    <s v="Tier 1 Support"/>
    <x v="7"/>
    <x v="3"/>
    <x v="3"/>
    <x v="3"/>
    <x v="1"/>
    <n v="48"/>
    <x v="2"/>
    <d v="2026-08-18T19:05:00"/>
    <s v="No"/>
    <m/>
    <s v="Escalated To Senior Agent"/>
    <n v="8.2166666667326353"/>
    <x v="1"/>
  </r>
  <r>
    <s v="TCK-22745"/>
    <d v="2026-05-05T21:35:00"/>
    <s v="Tier 1 Support"/>
    <x v="7"/>
    <x v="0"/>
    <x v="3"/>
    <x v="0"/>
    <x v="0"/>
    <n v="24"/>
    <x v="5"/>
    <s v="Missing Resolve Date"/>
    <s v="No"/>
    <m/>
    <s v="Resolved On First Contact"/>
    <s v=""/>
    <x v="1"/>
  </r>
  <r>
    <s v="TCK-20823"/>
    <d v="2026-04-18T09:41:00"/>
    <s v="Tier 1 Support"/>
    <x v="1"/>
    <x v="0"/>
    <x v="3"/>
    <x v="3"/>
    <x v="1"/>
    <n v="48"/>
    <x v="0"/>
    <d v="2026-04-19T01:57:00"/>
    <s v="Yes"/>
    <n v="4"/>
    <s v="Escalated To Senior Agent"/>
    <n v="16.266666666779201"/>
    <x v="0"/>
  </r>
  <r>
    <s v="TCK-21512"/>
    <d v="2026-08-22T07:06:00"/>
    <s v="Tier 2 Support"/>
    <x v="3"/>
    <x v="1"/>
    <x v="0"/>
    <x v="3"/>
    <x v="0"/>
    <n v="24"/>
    <x v="0"/>
    <d v="2026-08-22T17:57:00"/>
    <s v="No"/>
    <n v="5"/>
    <s v="Customer Requested Refund"/>
    <n v="10.850000000093132"/>
    <x v="0"/>
  </r>
  <r>
    <s v="TCK-23080"/>
    <d v="2026-07-26T04:23:00"/>
    <s v="Tier 1 Support"/>
    <x v="7"/>
    <x v="1"/>
    <x v="0"/>
    <x v="3"/>
    <x v="0"/>
    <n v="24"/>
    <x v="0"/>
    <d v="2026-07-26T11:11:00"/>
    <s v="No"/>
    <n v="2"/>
    <s v="Resolved On First Contact"/>
    <n v="6.7999999999883585"/>
    <x v="0"/>
  </r>
  <r>
    <s v="TCK-21959"/>
    <d v="2026-04-05T11:54:00"/>
    <s v="Technical Support"/>
    <x v="6"/>
    <x v="4"/>
    <x v="2"/>
    <x v="2"/>
    <x v="2"/>
    <n v="8"/>
    <x v="3"/>
    <d v="2026-04-05T16:03:00"/>
    <s v="No"/>
    <m/>
    <s v="Repeat Issue From Same Customer"/>
    <n v="4.1499999999068677"/>
    <x v="1"/>
  </r>
  <r>
    <s v="TCK-22443"/>
    <d v="2026-06-15T00:08:00"/>
    <s v="Tier 1 Support"/>
    <x v="1"/>
    <x v="0"/>
    <x v="3"/>
    <x v="4"/>
    <x v="0"/>
    <n v="24"/>
    <x v="3"/>
    <d v="2026-06-15T18:48:00"/>
    <s v="No"/>
    <m/>
    <s v="Customer Satisfied With Resolution"/>
    <n v="18.666666666569654"/>
    <x v="1"/>
  </r>
  <r>
    <s v="TCK-20143"/>
    <d v="2026-01-23T10:04:00"/>
    <s v="Technical Support"/>
    <x v="4"/>
    <x v="1"/>
    <x v="3"/>
    <x v="2"/>
    <x v="1"/>
    <n v="48"/>
    <x v="2"/>
    <d v="2026-01-24T11:33:00"/>
    <s v="No"/>
    <n v="5"/>
    <s v="Awaiting Customer Response"/>
    <n v="25.483333333279006"/>
    <x v="1"/>
  </r>
  <r>
    <s v="TCK-21940"/>
    <d v="2026-03-18T05:43:00"/>
    <s v="Tier 1 Support"/>
    <x v="1"/>
    <x v="1"/>
    <x v="3"/>
    <x v="2"/>
    <x v="2"/>
    <n v="8"/>
    <x v="3"/>
    <d v="2026-03-18T12:36:00"/>
    <s v="No"/>
    <m/>
    <s v="Repeat Issue From Same Customer"/>
    <n v="6.8833333334187046"/>
    <x v="1"/>
  </r>
  <r>
    <s v="TCK-20595"/>
    <d v="2026-06-12T19:23:00"/>
    <s v="Tier 2 Support"/>
    <x v="2"/>
    <x v="6"/>
    <x v="0"/>
    <x v="3"/>
    <x v="0"/>
    <n v="24"/>
    <x v="0"/>
    <d v="2026-06-13T15:14:00"/>
    <s v="No"/>
    <m/>
    <s v="Customer Satisfied With Resolution"/>
    <n v="19.850000000093132"/>
    <x v="0"/>
  </r>
  <r>
    <s v="TCK-20435"/>
    <d v="2026-07-23T11:45:00"/>
    <s v="Billing Support"/>
    <x v="0"/>
    <x v="0"/>
    <x v="0"/>
    <x v="3"/>
    <x v="1"/>
    <n v="48"/>
    <x v="1"/>
    <s v="Missing Resolve Date"/>
    <s v="No"/>
    <m/>
    <s v="Repeat Issue From Same Customer"/>
    <s v=""/>
    <x v="1"/>
  </r>
  <r>
    <s v="TCK-22490"/>
    <d v="2026-07-27T13:49:00"/>
    <s v="Tier 1 Support"/>
    <x v="1"/>
    <x v="6"/>
    <x v="1"/>
    <x v="2"/>
    <x v="0"/>
    <n v="24"/>
    <x v="2"/>
    <d v="2026-07-28T02:33:00"/>
    <s v="No"/>
    <n v="3"/>
    <s v="Customer Requested Refund"/>
    <n v="12.733333333279006"/>
    <x v="1"/>
  </r>
  <r>
    <s v="TCK-21385"/>
    <d v="2026-07-22T13:29:00"/>
    <s v="Tier 1 Support"/>
    <x v="7"/>
    <x v="1"/>
    <x v="0"/>
    <x v="4"/>
    <x v="0"/>
    <n v="24"/>
    <x v="4"/>
    <s v="Missing Resolve Date"/>
    <s v="Yes"/>
    <m/>
    <s v="Customer Satisfied With Resolution"/>
    <s v=""/>
    <x v="1"/>
  </r>
  <r>
    <s v="TCK-21527"/>
    <d v="2026-06-25T08:50:00"/>
    <s v="Tier 1 Support"/>
    <x v="7"/>
    <x v="5"/>
    <x v="2"/>
    <x v="3"/>
    <x v="3"/>
    <n v="4"/>
    <x v="1"/>
    <s v="Missing Resolve Date"/>
    <s v="No"/>
    <m/>
    <s v="Required Follow-Up Call"/>
    <s v=""/>
    <x v="1"/>
  </r>
  <r>
    <s v="TCK-20133"/>
    <d v="2026-05-26T17:04:00"/>
    <s v="Billing Support"/>
    <x v="5"/>
    <x v="4"/>
    <x v="0"/>
    <x v="3"/>
    <x v="0"/>
    <n v="24"/>
    <x v="0"/>
    <d v="2026-05-29T01:28:00"/>
    <s v="No"/>
    <n v="4"/>
    <s v="Repeat Issue From Same Customer"/>
    <n v="56.400000000139698"/>
    <x v="2"/>
  </r>
  <r>
    <s v="TCK-20616"/>
    <d v="2026-03-29T06:48:00"/>
    <s v="Technical Support"/>
    <x v="4"/>
    <x v="2"/>
    <x v="3"/>
    <x v="2"/>
    <x v="0"/>
    <n v="24"/>
    <x v="5"/>
    <s v="Missing Resolve Date"/>
    <s v="No"/>
    <m/>
    <s v="Awaiting Customer Response"/>
    <s v=""/>
    <x v="1"/>
  </r>
  <r>
    <s v="TCK-20055"/>
    <d v="2026-08-23T06:21:00"/>
    <s v="Tier 1 Support"/>
    <x v="1"/>
    <x v="2"/>
    <x v="1"/>
    <x v="4"/>
    <x v="1"/>
    <n v="48"/>
    <x v="0"/>
    <d v="2026-08-24T09:10:00"/>
    <s v="No"/>
    <n v="2"/>
    <s v="Technical Issue Resolved Remotely"/>
    <n v="26.81666666676756"/>
    <x v="0"/>
  </r>
  <r>
    <s v="TCK-20483"/>
    <d v="2026-08-04T03:41:00"/>
    <s v="Tier 1 Support"/>
    <x v="1"/>
    <x v="0"/>
    <x v="3"/>
    <x v="1"/>
    <x v="0"/>
    <n v="24"/>
    <x v="4"/>
    <s v="Missing Resolve Date"/>
    <s v="Yes"/>
    <m/>
    <s v="Resolved On First Contact"/>
    <s v=""/>
    <x v="1"/>
  </r>
  <r>
    <s v="TCK-20900"/>
    <d v="2026-08-24T07:24:00"/>
    <s v="Tier 1 Support"/>
    <x v="7"/>
    <x v="3"/>
    <x v="1"/>
    <x v="5"/>
    <x v="1"/>
    <n v="48"/>
    <x v="4"/>
    <s v="Missing Resolve Date"/>
    <s v="Yes"/>
    <m/>
    <s v="Escalated To Senior Agent"/>
    <s v=""/>
    <x v="1"/>
  </r>
  <r>
    <s v="TCK-22237"/>
    <d v="2026-06-27T22:13:00"/>
    <s v="Tier 2 Support"/>
    <x v="3"/>
    <x v="0"/>
    <x v="2"/>
    <x v="0"/>
    <x v="1"/>
    <n v="48"/>
    <x v="0"/>
    <d v="2026-06-29T14:24:00"/>
    <s v="No"/>
    <m/>
    <s v="Not Specified"/>
    <n v="40.183333333348855"/>
    <x v="0"/>
  </r>
  <r>
    <s v="TCK-22776"/>
    <d v="2026-05-24T06:08:00"/>
    <s v="Billing Support"/>
    <x v="5"/>
    <x v="6"/>
    <x v="2"/>
    <x v="1"/>
    <x v="0"/>
    <n v="24"/>
    <x v="0"/>
    <d v="2026-05-25T10:32:00"/>
    <s v="No"/>
    <m/>
    <s v="Technical Issue Resolved Remotely"/>
    <n v="28.39999999984866"/>
    <x v="2"/>
  </r>
  <r>
    <s v="TCK-20926"/>
    <d v="2026-01-24T19:39:00"/>
    <s v="Tier 2 Support"/>
    <x v="3"/>
    <x v="4"/>
    <x v="0"/>
    <x v="4"/>
    <x v="1"/>
    <n v="48"/>
    <x v="0"/>
    <d v="2026-01-25T15:04:00"/>
    <s v="Yes"/>
    <m/>
    <s v="Not Specified"/>
    <n v="19.416666666744277"/>
    <x v="0"/>
  </r>
  <r>
    <s v="TCK-20777"/>
    <d v="2026-01-15T12:13:00"/>
    <s v="Billing Support"/>
    <x v="0"/>
    <x v="2"/>
    <x v="0"/>
    <x v="4"/>
    <x v="0"/>
    <n v="24"/>
    <x v="3"/>
    <d v="2026-01-16T08:33:00"/>
    <s v="No"/>
    <m/>
    <s v="Resolved On First Contact"/>
    <n v="20.333333333255723"/>
    <x v="1"/>
  </r>
  <r>
    <s v="TCK-20950"/>
    <d v="2026-02-12T01:06:00"/>
    <s v="Technical Support"/>
    <x v="4"/>
    <x v="1"/>
    <x v="2"/>
    <x v="5"/>
    <x v="0"/>
    <n v="24"/>
    <x v="2"/>
    <d v="2026-02-12T11:01:00"/>
    <s v="No"/>
    <n v="3"/>
    <s v="Awaiting Customer Response"/>
    <n v="9.9166666666860692"/>
    <x v="1"/>
  </r>
  <r>
    <s v="TCK-22682"/>
    <d v="2026-08-18T17:22:00"/>
    <s v="Tier 2 Support"/>
    <x v="2"/>
    <x v="1"/>
    <x v="0"/>
    <x v="4"/>
    <x v="0"/>
    <n v="24"/>
    <x v="1"/>
    <s v="Missing Resolve Date"/>
    <s v="No"/>
    <m/>
    <s v="Not Specified"/>
    <s v=""/>
    <x v="1"/>
  </r>
  <r>
    <s v="TCK-21344"/>
    <d v="2026-07-03T21:58:00"/>
    <s v="Tier 2 Support"/>
    <x v="3"/>
    <x v="0"/>
    <x v="1"/>
    <x v="1"/>
    <x v="0"/>
    <n v="24"/>
    <x v="0"/>
    <d v="2026-07-06T05:59:00"/>
    <s v="No"/>
    <n v="2"/>
    <s v="Not Specified"/>
    <n v="56.016666666604578"/>
    <x v="2"/>
  </r>
  <r>
    <s v="TCK-21498"/>
    <d v="2026-02-05T09:58:00"/>
    <s v="Technical Support"/>
    <x v="4"/>
    <x v="6"/>
    <x v="1"/>
    <x v="3"/>
    <x v="2"/>
    <n v="8"/>
    <x v="2"/>
    <d v="2026-02-05T13:40:00"/>
    <s v="No"/>
    <m/>
    <s v="Awaiting Customer Response"/>
    <n v="3.7000000000116415"/>
    <x v="1"/>
  </r>
  <r>
    <s v="TCK-22093"/>
    <d v="2026-02-07T14:52:00"/>
    <s v="Tier 2 Support"/>
    <x v="3"/>
    <x v="6"/>
    <x v="3"/>
    <x v="4"/>
    <x v="1"/>
    <n v="48"/>
    <x v="1"/>
    <s v="Missing Resolve Date"/>
    <s v="No"/>
    <m/>
    <s v="Customer Satisfied With Resolution"/>
    <s v=""/>
    <x v="1"/>
  </r>
  <r>
    <s v="TCK-21405"/>
    <d v="2026-01-08T17:45:00"/>
    <s v="Billing Support"/>
    <x v="5"/>
    <x v="0"/>
    <x v="2"/>
    <x v="0"/>
    <x v="3"/>
    <n v="4"/>
    <x v="3"/>
    <d v="2026-01-08T20:14:00"/>
    <s v="No"/>
    <m/>
    <s v="Technical Issue Resolved Remotely"/>
    <n v="2.4833333332207985"/>
    <x v="1"/>
  </r>
  <r>
    <s v="TCK-22132"/>
    <d v="2026-05-28T11:15:00"/>
    <s v="Billing Support"/>
    <x v="0"/>
    <x v="3"/>
    <x v="1"/>
    <x v="5"/>
    <x v="2"/>
    <n v="8"/>
    <x v="5"/>
    <s v="Missing Resolve Date"/>
    <s v="No"/>
    <m/>
    <s v="Technical Issue Resolved Remotely"/>
    <s v=""/>
    <x v="1"/>
  </r>
  <r>
    <s v="TCK-22025"/>
    <d v="2026-07-03T03:01:00"/>
    <s v="Tier 1 Support"/>
    <x v="1"/>
    <x v="3"/>
    <x v="3"/>
    <x v="3"/>
    <x v="1"/>
    <n v="48"/>
    <x v="3"/>
    <d v="2026-07-04T14:45:00"/>
    <s v="No"/>
    <m/>
    <s v="Not Specified"/>
    <n v="35.733333333337214"/>
    <x v="1"/>
  </r>
  <r>
    <s v="TCK-21784"/>
    <d v="2026-07-25T08:26:00"/>
    <s v="Tier 2 Support"/>
    <x v="2"/>
    <x v="6"/>
    <x v="1"/>
    <x v="5"/>
    <x v="0"/>
    <n v="24"/>
    <x v="0"/>
    <d v="2026-07-27T14:40:00"/>
    <s v="No"/>
    <m/>
    <s v="Customer Requested Refund"/>
    <n v="54.233333333220799"/>
    <x v="2"/>
  </r>
  <r>
    <s v="TCK-21969"/>
    <d v="2026-06-04T02:21:00"/>
    <s v="Technical Support"/>
    <x v="6"/>
    <x v="1"/>
    <x v="2"/>
    <x v="1"/>
    <x v="0"/>
    <n v="24"/>
    <x v="2"/>
    <d v="2026-06-04T05:09:00"/>
    <s v="No"/>
    <n v="3"/>
    <s v="Required Follow-Up Call"/>
    <n v="2.8000000000465661"/>
    <x v="1"/>
  </r>
  <r>
    <s v="TCK-22166"/>
    <d v="2026-02-13T07:05:00"/>
    <s v="Billing Support"/>
    <x v="5"/>
    <x v="3"/>
    <x v="1"/>
    <x v="2"/>
    <x v="0"/>
    <n v="24"/>
    <x v="0"/>
    <d v="2026-02-13T19:08:00"/>
    <s v="No"/>
    <m/>
    <s v="Escalated To Senior Agent"/>
    <n v="12.049999999988358"/>
    <x v="0"/>
  </r>
  <r>
    <s v="TCK-20393"/>
    <d v="2026-03-16T07:34:00"/>
    <s v="Tier 1 Support"/>
    <x v="1"/>
    <x v="2"/>
    <x v="2"/>
    <x v="2"/>
    <x v="2"/>
    <n v="8"/>
    <x v="5"/>
    <s v="Missing Resolve Date"/>
    <s v="No"/>
    <m/>
    <s v="Resolved On First Contact"/>
    <s v=""/>
    <x v="1"/>
  </r>
  <r>
    <s v="TCK-22428"/>
    <d v="2026-04-12T20:13:00"/>
    <s v="Tier 2 Support"/>
    <x v="3"/>
    <x v="4"/>
    <x v="3"/>
    <x v="5"/>
    <x v="0"/>
    <n v="24"/>
    <x v="1"/>
    <s v="Missing Resolve Date"/>
    <s v="No"/>
    <m/>
    <s v="Not Specified"/>
    <s v=""/>
    <x v="1"/>
  </r>
  <r>
    <s v="TCK-22424"/>
    <d v="2026-03-31T17:37:00"/>
    <s v="Billing Support"/>
    <x v="0"/>
    <x v="5"/>
    <x v="3"/>
    <x v="4"/>
    <x v="0"/>
    <n v="24"/>
    <x v="4"/>
    <s v="Missing Resolve Date"/>
    <s v="Yes"/>
    <m/>
    <s v="Not Specified"/>
    <s v=""/>
    <x v="1"/>
  </r>
  <r>
    <s v="TCK-22445"/>
    <d v="2026-06-07T06:31:00"/>
    <s v="Tier 2 Support"/>
    <x v="3"/>
    <x v="4"/>
    <x v="3"/>
    <x v="3"/>
    <x v="2"/>
    <n v="8"/>
    <x v="5"/>
    <s v="Missing Resolve Date"/>
    <s v="No"/>
    <m/>
    <s v="Customer Satisfied With Resolution"/>
    <s v=""/>
    <x v="1"/>
  </r>
  <r>
    <s v="TCK-23014"/>
    <d v="2026-02-24T05:10:00"/>
    <s v="Billing Support"/>
    <x v="5"/>
    <x v="4"/>
    <x v="1"/>
    <x v="2"/>
    <x v="1"/>
    <n v="48"/>
    <x v="4"/>
    <s v="Missing Resolve Date"/>
    <s v="Yes"/>
    <m/>
    <s v="Not Specified"/>
    <s v=""/>
    <x v="1"/>
  </r>
  <r>
    <s v="TCK-22332"/>
    <d v="2026-04-01T02:53:00"/>
    <s v="Billing Support"/>
    <x v="5"/>
    <x v="5"/>
    <x v="1"/>
    <x v="1"/>
    <x v="2"/>
    <n v="8"/>
    <x v="4"/>
    <s v="Missing Resolve Date"/>
    <s v="Yes"/>
    <m/>
    <s v="Resolved On First Contact"/>
    <s v=""/>
    <x v="1"/>
  </r>
  <r>
    <s v="TCK-20274"/>
    <d v="2026-04-27T22:02:00"/>
    <s v="Tier 1 Support"/>
    <x v="1"/>
    <x v="4"/>
    <x v="1"/>
    <x v="5"/>
    <x v="1"/>
    <n v="48"/>
    <x v="2"/>
    <d v="2026-05-03T16:33:00"/>
    <s v="No"/>
    <n v="5"/>
    <s v="Escalated To Senior Agent"/>
    <n v="138.51666666660458"/>
    <x v="1"/>
  </r>
  <r>
    <s v="TCK-20180"/>
    <d v="2026-06-09T16:42:00"/>
    <s v="Billing Support"/>
    <x v="5"/>
    <x v="5"/>
    <x v="2"/>
    <x v="5"/>
    <x v="1"/>
    <n v="48"/>
    <x v="2"/>
    <d v="2026-06-10T10:17:00"/>
    <s v="No"/>
    <n v="4"/>
    <s v="Technical Issue Resolved Remotely"/>
    <n v="17.583333333372138"/>
    <x v="1"/>
  </r>
  <r>
    <s v="TCK-22711"/>
    <d v="2026-01-15T22:47:00"/>
    <s v="Technical Support"/>
    <x v="6"/>
    <x v="6"/>
    <x v="1"/>
    <x v="3"/>
    <x v="0"/>
    <n v="24"/>
    <x v="0"/>
    <d v="2026-01-16T18:47:00"/>
    <s v="No"/>
    <m/>
    <s v="Not Specified"/>
    <n v="19.999999999883585"/>
    <x v="0"/>
  </r>
  <r>
    <s v="TCK-21004"/>
    <d v="2026-06-21T17:14:00"/>
    <s v="Technical Support"/>
    <x v="4"/>
    <x v="6"/>
    <x v="3"/>
    <x v="2"/>
    <x v="2"/>
    <n v="8"/>
    <x v="2"/>
    <d v="2026-06-21T21:35:00"/>
    <s v="No"/>
    <n v="4"/>
    <s v="Required Follow-Up Call"/>
    <n v="4.3500000000349246"/>
    <x v="1"/>
  </r>
  <r>
    <s v="TCK-21973"/>
    <d v="2026-03-13T09:48:00"/>
    <s v="Tier 1 Support"/>
    <x v="1"/>
    <x v="1"/>
    <x v="2"/>
    <x v="0"/>
    <x v="0"/>
    <n v="24"/>
    <x v="4"/>
    <s v="Missing Resolve Date"/>
    <s v="Yes"/>
    <m/>
    <s v="Technical Issue Resolved Remotely"/>
    <s v=""/>
    <x v="1"/>
  </r>
  <r>
    <s v="TCK-20424"/>
    <d v="2026-08-22T04:27:00"/>
    <s v="Tier 2 Support"/>
    <x v="3"/>
    <x v="5"/>
    <x v="2"/>
    <x v="5"/>
    <x v="2"/>
    <n v="8"/>
    <x v="0"/>
    <d v="2026-08-22T23:35:00"/>
    <s v="No"/>
    <n v="5"/>
    <s v="Required Follow-Up Call"/>
    <n v="19.133333333360497"/>
    <x v="2"/>
  </r>
  <r>
    <s v="TCK-21033"/>
    <d v="2026-08-22T11:46:00"/>
    <s v="Tier 1 Support"/>
    <x v="7"/>
    <x v="5"/>
    <x v="3"/>
    <x v="2"/>
    <x v="0"/>
    <n v="24"/>
    <x v="5"/>
    <s v="Missing Resolve Date"/>
    <s v="Yes"/>
    <m/>
    <s v="Resolved On First Contact"/>
    <s v=""/>
    <x v="1"/>
  </r>
  <r>
    <s v="TCK-20085"/>
    <d v="2026-04-15T14:23:00"/>
    <s v="Tier 1 Support"/>
    <x v="7"/>
    <x v="1"/>
    <x v="1"/>
    <x v="4"/>
    <x v="0"/>
    <n v="24"/>
    <x v="0"/>
    <d v="2026-04-15T15:30:00"/>
    <s v="No"/>
    <m/>
    <s v="Customer Requested Refund"/>
    <n v="1.1166666666395031"/>
    <x v="0"/>
  </r>
  <r>
    <s v="TCK-21002"/>
    <d v="2026-06-08T05:05:00"/>
    <s v="Tier 2 Support"/>
    <x v="2"/>
    <x v="5"/>
    <x v="0"/>
    <x v="5"/>
    <x v="0"/>
    <n v="24"/>
    <x v="0"/>
    <d v="2026-06-10T11:58:00"/>
    <s v="No"/>
    <n v="2"/>
    <s v="Repeat Issue From Same Customer"/>
    <n v="54.883333333418705"/>
    <x v="2"/>
  </r>
  <r>
    <s v="TCK-20783"/>
    <d v="2026-06-26T14:51:00"/>
    <s v="Billing Support"/>
    <x v="0"/>
    <x v="5"/>
    <x v="1"/>
    <x v="4"/>
    <x v="2"/>
    <n v="8"/>
    <x v="1"/>
    <s v="Missing Resolve Date"/>
    <s v="Yes"/>
    <m/>
    <s v="Awaiting Customer Response"/>
    <s v=""/>
    <x v="1"/>
  </r>
  <r>
    <s v="TCK-22818"/>
    <d v="2026-04-21T17:34:00"/>
    <s v="Tier 2 Support"/>
    <x v="2"/>
    <x v="5"/>
    <x v="1"/>
    <x v="2"/>
    <x v="1"/>
    <n v="48"/>
    <x v="0"/>
    <s v="Missing Resolve Date"/>
    <s v="No"/>
    <n v="5"/>
    <s v="Not Specified"/>
    <s v=""/>
    <x v="2"/>
  </r>
  <r>
    <s v="TCK-21169"/>
    <d v="2026-03-05T16:39:00"/>
    <s v="Tier 2 Support"/>
    <x v="2"/>
    <x v="4"/>
    <x v="0"/>
    <x v="0"/>
    <x v="1"/>
    <n v="48"/>
    <x v="1"/>
    <s v="Missing Resolve Date"/>
    <s v="No"/>
    <m/>
    <s v="Resolved On First Contact"/>
    <s v=""/>
    <x v="1"/>
  </r>
  <r>
    <s v="TCK-20030"/>
    <d v="2026-05-26T04:47:00"/>
    <s v="Billing Support"/>
    <x v="0"/>
    <x v="0"/>
    <x v="3"/>
    <x v="4"/>
    <x v="0"/>
    <n v="24"/>
    <x v="0"/>
    <d v="2026-05-26T14:17:00"/>
    <s v="No"/>
    <n v="1"/>
    <s v="Repeat Issue From Same Customer"/>
    <n v="9.4999999998835847"/>
    <x v="0"/>
  </r>
  <r>
    <s v="TCK-21106"/>
    <d v="2026-07-14T13:44:00"/>
    <s v="Billing Support"/>
    <x v="5"/>
    <x v="6"/>
    <x v="3"/>
    <x v="4"/>
    <x v="2"/>
    <n v="8"/>
    <x v="0"/>
    <d v="2026-07-14T15:19:00"/>
    <s v="No"/>
    <n v="2"/>
    <s v="Technical Issue Resolved Remotely"/>
    <n v="1.5833333332557231"/>
    <x v="0"/>
  </r>
  <r>
    <s v="TCK-20479"/>
    <d v="2026-06-16T02:22:00"/>
    <s v="Tier 1 Support"/>
    <x v="1"/>
    <x v="6"/>
    <x v="2"/>
    <x v="5"/>
    <x v="0"/>
    <n v="24"/>
    <x v="5"/>
    <s v="Missing Resolve Date"/>
    <s v="No"/>
    <m/>
    <s v="Technical Issue Resolved Remotely"/>
    <s v=""/>
    <x v="1"/>
  </r>
  <r>
    <s v="TCK-20264"/>
    <d v="2026-01-19T05:20:00"/>
    <s v="Tier 1 Support"/>
    <x v="7"/>
    <x v="4"/>
    <x v="0"/>
    <x v="4"/>
    <x v="2"/>
    <n v="8"/>
    <x v="3"/>
    <d v="2026-01-19T06:02:00"/>
    <s v="No"/>
    <m/>
    <s v="Resolved On First Contact"/>
    <n v="0.70000000001164153"/>
    <x v="1"/>
  </r>
  <r>
    <s v="TCK-22155"/>
    <d v="2026-08-05T12:19:00"/>
    <s v="Tier 2 Support"/>
    <x v="3"/>
    <x v="2"/>
    <x v="3"/>
    <x v="3"/>
    <x v="2"/>
    <n v="8"/>
    <x v="0"/>
    <d v="2026-08-05T15:27:00"/>
    <s v="No"/>
    <n v="3"/>
    <s v="Technical Issue Resolved Remotely"/>
    <n v="3.1333333334187046"/>
    <x v="0"/>
  </r>
  <r>
    <s v="TCK-21301"/>
    <d v="2026-01-14T16:06:00"/>
    <s v="Tier 2 Support"/>
    <x v="2"/>
    <x v="2"/>
    <x v="1"/>
    <x v="2"/>
    <x v="1"/>
    <n v="48"/>
    <x v="5"/>
    <s v="Missing Resolve Date"/>
    <s v="No"/>
    <m/>
    <s v="Customer Satisfied With Resolution"/>
    <s v=""/>
    <x v="1"/>
  </r>
  <r>
    <s v="TCK-20656"/>
    <d v="2026-04-03T08:23:00"/>
    <s v="Technical Support"/>
    <x v="6"/>
    <x v="5"/>
    <x v="2"/>
    <x v="1"/>
    <x v="0"/>
    <n v="24"/>
    <x v="1"/>
    <s v="Missing Resolve Date"/>
    <s v="No"/>
    <m/>
    <s v="Resolved On First Contact"/>
    <s v=""/>
    <x v="1"/>
  </r>
  <r>
    <s v="TCK-22985"/>
    <d v="2026-02-03T00:57:00"/>
    <s v="Tier 2 Support"/>
    <x v="3"/>
    <x v="4"/>
    <x v="3"/>
    <x v="4"/>
    <x v="2"/>
    <n v="8"/>
    <x v="0"/>
    <s v="Missing Resolve Date"/>
    <s v="No"/>
    <n v="5"/>
    <s v="Escalated To Senior Agent"/>
    <s v=""/>
    <x v="2"/>
  </r>
  <r>
    <s v="TCK-21052"/>
    <d v="2026-05-11T22:13:00"/>
    <s v="Technical Support"/>
    <x v="6"/>
    <x v="0"/>
    <x v="3"/>
    <x v="2"/>
    <x v="0"/>
    <n v="24"/>
    <x v="0"/>
    <d v="2026-05-12T06:15:00"/>
    <s v="Yes"/>
    <m/>
    <s v="Escalated To Senior Agent"/>
    <n v="8.0333333333255723"/>
    <x v="0"/>
  </r>
  <r>
    <s v="TCK-20139"/>
    <d v="2026-03-25T15:16:00"/>
    <s v="Technical Support"/>
    <x v="6"/>
    <x v="5"/>
    <x v="0"/>
    <x v="3"/>
    <x v="2"/>
    <n v="8"/>
    <x v="0"/>
    <d v="2026-03-25T20:58:00"/>
    <s v="No"/>
    <n v="3"/>
    <s v="Customer Requested Refund"/>
    <n v="5.7000000000698492"/>
    <x v="0"/>
  </r>
  <r>
    <s v="TCK-21809"/>
    <d v="2026-05-17T17:55:00"/>
    <s v="Tier 2 Support"/>
    <x v="3"/>
    <x v="3"/>
    <x v="1"/>
    <x v="4"/>
    <x v="2"/>
    <n v="8"/>
    <x v="0"/>
    <d v="2026-05-17T21:06:00"/>
    <s v="No"/>
    <n v="3"/>
    <s v="Resolved On First Contact"/>
    <n v="3.1833333332324401"/>
    <x v="0"/>
  </r>
  <r>
    <s v="TCK-21624"/>
    <d v="2026-01-21T09:11:00"/>
    <s v="Tier 1 Support"/>
    <x v="1"/>
    <x v="1"/>
    <x v="3"/>
    <x v="1"/>
    <x v="2"/>
    <n v="8"/>
    <x v="0"/>
    <d v="2026-01-21T11:50:00"/>
    <s v="No"/>
    <n v="4"/>
    <s v="Customer Satisfied With Resolution"/>
    <n v="2.6499999999068677"/>
    <x v="0"/>
  </r>
  <r>
    <s v="TCK-20607"/>
    <d v="2026-04-19T01:11:00"/>
    <s v="Tier 1 Support"/>
    <x v="7"/>
    <x v="1"/>
    <x v="1"/>
    <x v="0"/>
    <x v="1"/>
    <n v="48"/>
    <x v="3"/>
    <d v="2026-04-20T00:31:00"/>
    <s v="No"/>
    <m/>
    <s v="Awaiting Customer Response"/>
    <n v="23.333333333255723"/>
    <x v="1"/>
  </r>
  <r>
    <s v="TCK-20314"/>
    <d v="2026-08-18T20:34:00"/>
    <s v="Tier 1 Support"/>
    <x v="1"/>
    <x v="1"/>
    <x v="3"/>
    <x v="5"/>
    <x v="3"/>
    <n v="4"/>
    <x v="5"/>
    <s v="Missing Resolve Date"/>
    <s v="No"/>
    <m/>
    <s v="Customer Requested Refund"/>
    <s v=""/>
    <x v="1"/>
  </r>
  <r>
    <s v="TCK-21171"/>
    <d v="2026-01-17T21:45:00"/>
    <s v="Technical Support"/>
    <x v="4"/>
    <x v="3"/>
    <x v="1"/>
    <x v="1"/>
    <x v="1"/>
    <n v="48"/>
    <x v="3"/>
    <d v="2026-01-23T01:26:00"/>
    <s v="No"/>
    <m/>
    <s v="Customer Requested Refund"/>
    <n v="123.68333333329065"/>
    <x v="1"/>
  </r>
  <r>
    <s v="TCK-21184"/>
    <d v="2026-05-05T00:19:00"/>
    <s v="Tier 1 Support"/>
    <x v="1"/>
    <x v="3"/>
    <x v="3"/>
    <x v="5"/>
    <x v="0"/>
    <n v="24"/>
    <x v="0"/>
    <d v="2026-05-07T17:07:00"/>
    <s v="No"/>
    <m/>
    <s v="Customer Requested Refund"/>
    <n v="64.799999999930151"/>
    <x v="2"/>
  </r>
  <r>
    <s v="TCK-21783"/>
    <d v="2026-08-14T16:03:00"/>
    <s v="Technical Support"/>
    <x v="6"/>
    <x v="6"/>
    <x v="1"/>
    <x v="2"/>
    <x v="1"/>
    <n v="48"/>
    <x v="2"/>
    <d v="2026-08-15T23:54:00"/>
    <s v="No"/>
    <n v="3"/>
    <s v="Not Specified"/>
    <n v="31.850000000093132"/>
    <x v="1"/>
  </r>
  <r>
    <s v="TCK-22794"/>
    <d v="2026-07-29T05:03:00"/>
    <s v="Billing Support"/>
    <x v="0"/>
    <x v="0"/>
    <x v="0"/>
    <x v="3"/>
    <x v="1"/>
    <n v="48"/>
    <x v="0"/>
    <d v="2026-07-30T00:06:00"/>
    <s v="No"/>
    <n v="5"/>
    <s v="Not Specified"/>
    <n v="19.049999999930151"/>
    <x v="0"/>
  </r>
  <r>
    <s v="TCK-22331"/>
    <d v="2026-04-05T21:53:00"/>
    <s v="Tier 2 Support"/>
    <x v="3"/>
    <x v="2"/>
    <x v="2"/>
    <x v="1"/>
    <x v="0"/>
    <n v="24"/>
    <x v="5"/>
    <s v="Missing Resolve Date"/>
    <s v="No"/>
    <m/>
    <s v="Escalated To Senior Agent"/>
    <s v=""/>
    <x v="1"/>
  </r>
  <r>
    <s v="TCK-22432"/>
    <d v="2026-01-02T08:06:00"/>
    <s v="Technical Support"/>
    <x v="4"/>
    <x v="5"/>
    <x v="3"/>
    <x v="0"/>
    <x v="1"/>
    <n v="48"/>
    <x v="3"/>
    <d v="2026-01-03T13:22:00"/>
    <s v="No"/>
    <m/>
    <s v="Not Specified"/>
    <n v="29.266666666546371"/>
    <x v="1"/>
  </r>
  <r>
    <s v="TCK-21536"/>
    <d v="2026-05-17T23:49:00"/>
    <s v="Technical Support"/>
    <x v="6"/>
    <x v="4"/>
    <x v="1"/>
    <x v="4"/>
    <x v="1"/>
    <n v="48"/>
    <x v="1"/>
    <s v="Missing Resolve Date"/>
    <s v="No"/>
    <m/>
    <s v="Resolved On First Contact"/>
    <s v=""/>
    <x v="1"/>
  </r>
  <r>
    <s v="TCK-21845"/>
    <d v="2026-03-08T14:43:00"/>
    <s v="Tier 2 Support"/>
    <x v="3"/>
    <x v="3"/>
    <x v="0"/>
    <x v="2"/>
    <x v="2"/>
    <n v="8"/>
    <x v="1"/>
    <s v="Missing Resolve Date"/>
    <s v="Yes"/>
    <m/>
    <s v="Resolved On First Contact"/>
    <s v=""/>
    <x v="1"/>
  </r>
  <r>
    <s v="TCK-20660"/>
    <d v="2026-05-29T16:52:00"/>
    <s v="Technical Support"/>
    <x v="6"/>
    <x v="1"/>
    <x v="3"/>
    <x v="1"/>
    <x v="0"/>
    <n v="24"/>
    <x v="4"/>
    <s v="Missing Resolve Date"/>
    <s v="Yes"/>
    <m/>
    <s v="Required Follow-Up Call"/>
    <s v=""/>
    <x v="1"/>
  </r>
  <r>
    <s v="TCK-22410"/>
    <d v="2026-03-29T15:25:00"/>
    <s v="Tier 2 Support"/>
    <x v="3"/>
    <x v="4"/>
    <x v="2"/>
    <x v="0"/>
    <x v="2"/>
    <n v="8"/>
    <x v="0"/>
    <d v="2026-03-29T19:55:00"/>
    <s v="No"/>
    <n v="4"/>
    <s v="Customer Satisfied With Resolution"/>
    <n v="4.5"/>
    <x v="0"/>
  </r>
  <r>
    <s v="TCK-20244"/>
    <d v="2026-03-01T22:31:00"/>
    <s v="Billing Support"/>
    <x v="0"/>
    <x v="5"/>
    <x v="0"/>
    <x v="2"/>
    <x v="0"/>
    <n v="24"/>
    <x v="5"/>
    <s v="Missing Resolve Date"/>
    <s v="No"/>
    <m/>
    <s v="Escalated To Senior Agent"/>
    <s v=""/>
    <x v="1"/>
  </r>
  <r>
    <s v="TCK-22307"/>
    <d v="2026-02-06T05:13:00"/>
    <s v="Technical Support"/>
    <x v="4"/>
    <x v="5"/>
    <x v="2"/>
    <x v="5"/>
    <x v="0"/>
    <n v="24"/>
    <x v="0"/>
    <d v="2026-02-06T08:01:00"/>
    <s v="No"/>
    <m/>
    <s v="Repeat Issue From Same Customer"/>
    <n v="2.7999999998719431"/>
    <x v="0"/>
  </r>
  <r>
    <s v="TCK-21824"/>
    <d v="2026-04-07T05:36:00"/>
    <s v="Billing Support"/>
    <x v="5"/>
    <x v="6"/>
    <x v="2"/>
    <x v="4"/>
    <x v="0"/>
    <n v="24"/>
    <x v="3"/>
    <d v="2026-04-07T10:51:00"/>
    <s v="No"/>
    <m/>
    <s v="Customer Requested Refund"/>
    <n v="5.25"/>
    <x v="1"/>
  </r>
  <r>
    <s v="TCK-22883"/>
    <d v="2026-03-19T22:18:00"/>
    <s v="Technical Support"/>
    <x v="4"/>
    <x v="1"/>
    <x v="0"/>
    <x v="2"/>
    <x v="2"/>
    <n v="8"/>
    <x v="0"/>
    <d v="2026-03-20T03:50:00"/>
    <s v="No"/>
    <n v="5"/>
    <s v="Required Follow-Up Call"/>
    <n v="5.533333333209157"/>
    <x v="0"/>
  </r>
  <r>
    <s v="TCK-20507"/>
    <d v="2026-04-18T14:40:00"/>
    <s v="Billing Support"/>
    <x v="0"/>
    <x v="5"/>
    <x v="3"/>
    <x v="4"/>
    <x v="0"/>
    <n v="24"/>
    <x v="0"/>
    <d v="2026-04-19T03:07:00"/>
    <s v="No"/>
    <n v="4"/>
    <s v="Escalated To Senior Agent"/>
    <n v="12.450000000069849"/>
    <x v="0"/>
  </r>
  <r>
    <s v="TCK-22677"/>
    <d v="2026-03-06T20:06:00"/>
    <s v="Tier 1 Support"/>
    <x v="7"/>
    <x v="3"/>
    <x v="3"/>
    <x v="5"/>
    <x v="3"/>
    <n v="4"/>
    <x v="0"/>
    <d v="2026-03-06T22:44:00"/>
    <s v="Yes"/>
    <n v="4"/>
    <s v="Technical Issue Resolved Remotely"/>
    <n v="2.6333333333604969"/>
    <x v="0"/>
  </r>
  <r>
    <s v="TCK-20035"/>
    <d v="2026-04-06T05:04:00"/>
    <s v="Tier 2 Support"/>
    <x v="2"/>
    <x v="6"/>
    <x v="3"/>
    <x v="3"/>
    <x v="2"/>
    <n v="8"/>
    <x v="4"/>
    <s v="Missing Resolve Date"/>
    <s v="Yes"/>
    <m/>
    <s v="Resolved On First Contact"/>
    <s v=""/>
    <x v="1"/>
  </r>
  <r>
    <s v="TCK-21318"/>
    <d v="2026-02-09T01:07:00"/>
    <s v="Tier 2 Support"/>
    <x v="2"/>
    <x v="0"/>
    <x v="3"/>
    <x v="5"/>
    <x v="2"/>
    <n v="8"/>
    <x v="1"/>
    <s v="Missing Resolve Date"/>
    <s v="No"/>
    <m/>
    <s v="Not Specified"/>
    <s v=""/>
    <x v="1"/>
  </r>
  <r>
    <s v="TCK-21818"/>
    <d v="2026-02-04T10:12:00"/>
    <s v="Tier 2 Support"/>
    <x v="2"/>
    <x v="3"/>
    <x v="3"/>
    <x v="1"/>
    <x v="2"/>
    <n v="8"/>
    <x v="2"/>
    <d v="2026-02-04T17:01:00"/>
    <s v="No"/>
    <m/>
    <s v="Not Specified"/>
    <n v="6.8166666665347293"/>
    <x v="1"/>
  </r>
  <r>
    <s v="TCK-21976"/>
    <d v="2026-02-15T03:53:00"/>
    <s v="Technical Support"/>
    <x v="4"/>
    <x v="2"/>
    <x v="0"/>
    <x v="2"/>
    <x v="3"/>
    <n v="4"/>
    <x v="4"/>
    <s v="Missing Resolve Date"/>
    <s v="Yes"/>
    <m/>
    <s v="Awaiting Customer Response"/>
    <s v=""/>
    <x v="1"/>
  </r>
  <r>
    <s v="TCK-20372"/>
    <d v="2026-07-22T15:44:00"/>
    <s v="Billing Support"/>
    <x v="5"/>
    <x v="6"/>
    <x v="1"/>
    <x v="4"/>
    <x v="2"/>
    <n v="8"/>
    <x v="0"/>
    <d v="2026-07-22T22:34:00"/>
    <s v="No"/>
    <m/>
    <s v="Awaiting Customer Response"/>
    <n v="6.8333333334303461"/>
    <x v="0"/>
  </r>
  <r>
    <s v="TCK-20896"/>
    <d v="2026-02-03T07:29:00"/>
    <s v="Tier 1 Support"/>
    <x v="7"/>
    <x v="4"/>
    <x v="2"/>
    <x v="4"/>
    <x v="2"/>
    <n v="8"/>
    <x v="0"/>
    <d v="2026-02-03T12:38:00"/>
    <s v="No"/>
    <n v="2"/>
    <s v="Repeat Issue From Same Customer"/>
    <n v="5.1500000000232831"/>
    <x v="0"/>
  </r>
  <r>
    <s v="TCK-22863"/>
    <d v="2026-07-31T14:25:00"/>
    <s v="Billing Support"/>
    <x v="5"/>
    <x v="5"/>
    <x v="3"/>
    <x v="3"/>
    <x v="1"/>
    <n v="48"/>
    <x v="5"/>
    <s v="Missing Resolve Date"/>
    <s v="No"/>
    <m/>
    <s v="Technical Issue Resolved Remotely"/>
    <s v=""/>
    <x v="1"/>
  </r>
  <r>
    <s v="TCK-20574"/>
    <d v="2026-01-17T13:37:00"/>
    <s v="Technical Support"/>
    <x v="6"/>
    <x v="2"/>
    <x v="0"/>
    <x v="5"/>
    <x v="1"/>
    <n v="48"/>
    <x v="1"/>
    <s v="Missing Resolve Date"/>
    <s v="No"/>
    <m/>
    <s v="Customer Requested Refund"/>
    <s v=""/>
    <x v="1"/>
  </r>
  <r>
    <s v="TCK-21159"/>
    <d v="2026-03-03T20:46:00"/>
    <s v="Tier 2 Support"/>
    <x v="3"/>
    <x v="4"/>
    <x v="1"/>
    <x v="5"/>
    <x v="3"/>
    <n v="4"/>
    <x v="0"/>
    <d v="2026-03-03T23:29:00"/>
    <s v="No"/>
    <m/>
    <s v="Repeat Issue From Same Customer"/>
    <n v="2.716666666790843"/>
    <x v="0"/>
  </r>
  <r>
    <s v="TCK-22075"/>
    <d v="2026-01-11T19:23:00"/>
    <s v="Tier 1 Support"/>
    <x v="7"/>
    <x v="0"/>
    <x v="3"/>
    <x v="4"/>
    <x v="0"/>
    <n v="24"/>
    <x v="1"/>
    <s v="Missing Resolve Date"/>
    <s v="No"/>
    <m/>
    <s v="Not Specified"/>
    <s v=""/>
    <x v="1"/>
  </r>
  <r>
    <s v="TCK-20712"/>
    <d v="2026-02-21T16:32:00"/>
    <s v="Tier 2 Support"/>
    <x v="2"/>
    <x v="0"/>
    <x v="2"/>
    <x v="5"/>
    <x v="0"/>
    <n v="24"/>
    <x v="4"/>
    <s v="Missing Resolve Date"/>
    <s v="Yes"/>
    <m/>
    <s v="Customer Requested Refund"/>
    <s v=""/>
    <x v="1"/>
  </r>
  <r>
    <s v="TCK-21657"/>
    <d v="2026-05-01T08:21:00"/>
    <s v="Tier 1 Support"/>
    <x v="1"/>
    <x v="2"/>
    <x v="2"/>
    <x v="5"/>
    <x v="0"/>
    <n v="24"/>
    <x v="0"/>
    <d v="2026-05-01T19:53:00"/>
    <s v="No"/>
    <m/>
    <s v="Not Specified"/>
    <n v="11.53333333338378"/>
    <x v="0"/>
  </r>
  <r>
    <s v="TCK-21618"/>
    <d v="2026-08-24T01:16:00"/>
    <s v="Technical Support"/>
    <x v="4"/>
    <x v="2"/>
    <x v="3"/>
    <x v="1"/>
    <x v="1"/>
    <n v="48"/>
    <x v="0"/>
    <d v="2026-08-24T13:02:00"/>
    <s v="No"/>
    <m/>
    <s v="Customer Satisfied With Resolution"/>
    <n v="11.766666666779201"/>
    <x v="0"/>
  </r>
  <r>
    <s v="TCK-20064"/>
    <d v="2026-04-22T11:23:00"/>
    <s v="Tier 1 Support"/>
    <x v="1"/>
    <x v="2"/>
    <x v="1"/>
    <x v="1"/>
    <x v="0"/>
    <n v="24"/>
    <x v="3"/>
    <d v="2026-04-23T08:54:00"/>
    <s v="No"/>
    <m/>
    <s v="Required Follow-Up Call"/>
    <n v="21.516666666604578"/>
    <x v="1"/>
  </r>
  <r>
    <s v="TCK-20581"/>
    <d v="2026-03-15T03:14:00"/>
    <s v="Tier 1 Support"/>
    <x v="7"/>
    <x v="4"/>
    <x v="2"/>
    <x v="5"/>
    <x v="0"/>
    <n v="24"/>
    <x v="4"/>
    <s v="Missing Resolve Date"/>
    <s v="Yes"/>
    <m/>
    <s v="Not Specified"/>
    <s v=""/>
    <x v="1"/>
  </r>
  <r>
    <s v="TCK-22918"/>
    <d v="2026-04-04T19:04:00"/>
    <s v="Billing Support"/>
    <x v="0"/>
    <x v="1"/>
    <x v="1"/>
    <x v="3"/>
    <x v="0"/>
    <n v="24"/>
    <x v="5"/>
    <s v="Missing Resolve Date"/>
    <s v="No"/>
    <m/>
    <s v="Resolved On First Contact"/>
    <s v=""/>
    <x v="1"/>
  </r>
  <r>
    <s v="TCK-20559"/>
    <d v="2026-03-08T02:57:00"/>
    <s v="Billing Support"/>
    <x v="0"/>
    <x v="4"/>
    <x v="3"/>
    <x v="2"/>
    <x v="0"/>
    <n v="24"/>
    <x v="3"/>
    <d v="2026-03-08T10:40:00"/>
    <s v="No"/>
    <m/>
    <s v="Resolved On First Contact"/>
    <n v="7.7166666666744277"/>
    <x v="1"/>
  </r>
  <r>
    <s v="TCK-20668"/>
    <d v="2026-01-04T23:51:00"/>
    <s v="Billing Support"/>
    <x v="5"/>
    <x v="4"/>
    <x v="3"/>
    <x v="5"/>
    <x v="0"/>
    <n v="24"/>
    <x v="2"/>
    <d v="2026-01-05T04:05:00"/>
    <s v="No"/>
    <n v="1"/>
    <s v="Customer Requested Refund"/>
    <n v="4.2333333333372138"/>
    <x v="1"/>
  </r>
  <r>
    <s v="TCK-23053"/>
    <d v="2026-05-22T08:40:00"/>
    <s v="Tier 2 Support"/>
    <x v="3"/>
    <x v="1"/>
    <x v="0"/>
    <x v="2"/>
    <x v="2"/>
    <n v="8"/>
    <x v="1"/>
    <s v="Missing Resolve Date"/>
    <s v="No"/>
    <m/>
    <s v="Technical Issue Resolved Remotely"/>
    <s v=""/>
    <x v="1"/>
  </r>
  <r>
    <s v="TCK-20755"/>
    <d v="2026-07-10T11:19:00"/>
    <s v="Tier 1 Support"/>
    <x v="1"/>
    <x v="6"/>
    <x v="3"/>
    <x v="4"/>
    <x v="0"/>
    <n v="24"/>
    <x v="0"/>
    <d v="2026-07-10T12:07:00"/>
    <s v="No"/>
    <m/>
    <s v="Customer Requested Refund"/>
    <n v="0.79999999998835847"/>
    <x v="0"/>
  </r>
  <r>
    <s v="TCK-20853"/>
    <d v="2026-01-16T17:59:00"/>
    <s v="Tier 2 Support"/>
    <x v="2"/>
    <x v="4"/>
    <x v="2"/>
    <x v="3"/>
    <x v="1"/>
    <n v="48"/>
    <x v="5"/>
    <s v="Missing Resolve Date"/>
    <s v="No"/>
    <m/>
    <s v="Awaiting Customer Response"/>
    <s v=""/>
    <x v="1"/>
  </r>
  <r>
    <s v="TCK-22193"/>
    <d v="2026-05-24T19:42:00"/>
    <s v="Billing Support"/>
    <x v="5"/>
    <x v="3"/>
    <x v="0"/>
    <x v="0"/>
    <x v="2"/>
    <n v="8"/>
    <x v="1"/>
    <s v="Missing Resolve Date"/>
    <s v="No"/>
    <m/>
    <s v="Repeat Issue From Same Customer"/>
    <s v=""/>
    <x v="1"/>
  </r>
  <r>
    <s v="TCK-22646"/>
    <d v="2026-04-14T07:26:00"/>
    <s v="Billing Support"/>
    <x v="0"/>
    <x v="3"/>
    <x v="3"/>
    <x v="0"/>
    <x v="2"/>
    <n v="8"/>
    <x v="2"/>
    <d v="2026-04-14T13:16:00"/>
    <s v="No"/>
    <m/>
    <s v="Required Follow-Up Call"/>
    <n v="5.8333333333139308"/>
    <x v="1"/>
  </r>
  <r>
    <s v="TCK-22600"/>
    <d v="2026-06-12T18:47:00"/>
    <s v="Tier 1 Support"/>
    <x v="1"/>
    <x v="5"/>
    <x v="0"/>
    <x v="5"/>
    <x v="1"/>
    <n v="48"/>
    <x v="0"/>
    <d v="2026-06-13T16:15:00"/>
    <s v="No"/>
    <n v="3"/>
    <s v="Not Specified"/>
    <n v="21.466666666790843"/>
    <x v="0"/>
  </r>
  <r>
    <s v="TCK-22131"/>
    <d v="2026-04-02T16:15:00"/>
    <s v="Tier 2 Support"/>
    <x v="2"/>
    <x v="1"/>
    <x v="2"/>
    <x v="1"/>
    <x v="1"/>
    <n v="48"/>
    <x v="0"/>
    <d v="2026-04-03T17:09:00"/>
    <s v="No"/>
    <n v="3"/>
    <s v="Awaiting Customer Response"/>
    <n v="24.899999999965075"/>
    <x v="0"/>
  </r>
  <r>
    <s v="TCK-20745"/>
    <d v="2026-02-26T11:03:00"/>
    <s v="Tier 1 Support"/>
    <x v="1"/>
    <x v="5"/>
    <x v="0"/>
    <x v="3"/>
    <x v="2"/>
    <n v="8"/>
    <x v="5"/>
    <s v="Missing Resolve Date"/>
    <s v="No"/>
    <m/>
    <s v="Not Specified"/>
    <s v=""/>
    <x v="1"/>
  </r>
  <r>
    <s v="TCK-21669"/>
    <d v="2026-06-12T12:04:00"/>
    <s v="Billing Support"/>
    <x v="0"/>
    <x v="5"/>
    <x v="2"/>
    <x v="2"/>
    <x v="1"/>
    <n v="48"/>
    <x v="1"/>
    <s v="Missing Resolve Date"/>
    <s v="No"/>
    <m/>
    <s v="Customer Requested Refund"/>
    <s v=""/>
    <x v="1"/>
  </r>
  <r>
    <s v="TCK-22686"/>
    <d v="2026-03-17T14:40:00"/>
    <s v="Technical Support"/>
    <x v="4"/>
    <x v="4"/>
    <x v="2"/>
    <x v="4"/>
    <x v="0"/>
    <n v="24"/>
    <x v="5"/>
    <s v="Missing Resolve Date"/>
    <s v="No"/>
    <m/>
    <s v="Required Follow-Up Call"/>
    <s v=""/>
    <x v="1"/>
  </r>
  <r>
    <s v="TCK-22109"/>
    <d v="2026-03-23T05:53:00"/>
    <s v="Technical Support"/>
    <x v="4"/>
    <x v="4"/>
    <x v="1"/>
    <x v="4"/>
    <x v="2"/>
    <n v="8"/>
    <x v="0"/>
    <d v="2026-03-24T03:42:00"/>
    <s v="Yes"/>
    <m/>
    <s v="Not Specified"/>
    <n v="21.816666666709352"/>
    <x v="2"/>
  </r>
  <r>
    <s v="TCK-20446"/>
    <d v="2026-08-11T23:03:00"/>
    <s v="Tier 1 Support"/>
    <x v="1"/>
    <x v="1"/>
    <x v="0"/>
    <x v="5"/>
    <x v="0"/>
    <n v="24"/>
    <x v="0"/>
    <d v="2026-08-12T05:04:00"/>
    <s v="No"/>
    <m/>
    <s v="Customer Satisfied With Resolution"/>
    <n v="6.0166666665463708"/>
    <x v="0"/>
  </r>
  <r>
    <s v="TCK-20067"/>
    <d v="2026-08-07T08:06:00"/>
    <s v="Tier 1 Support"/>
    <x v="1"/>
    <x v="0"/>
    <x v="3"/>
    <x v="1"/>
    <x v="2"/>
    <n v="8"/>
    <x v="3"/>
    <d v="2026-08-07T14:58:00"/>
    <s v="No"/>
    <m/>
    <s v="Awaiting Customer Response"/>
    <n v="6.8666666666977108"/>
    <x v="1"/>
  </r>
  <r>
    <s v="TCK-21436"/>
    <d v="2026-01-13T14:23:00"/>
    <s v="Tier 1 Support"/>
    <x v="1"/>
    <x v="3"/>
    <x v="3"/>
    <x v="5"/>
    <x v="3"/>
    <n v="4"/>
    <x v="0"/>
    <d v="2026-01-13T20:25:00"/>
    <s v="No"/>
    <m/>
    <s v="Repeat Issue From Same Customer"/>
    <n v="6.0333333332673647"/>
    <x v="2"/>
  </r>
  <r>
    <s v="TCK-22588"/>
    <d v="2026-05-13T00:40:00"/>
    <s v="Billing Support"/>
    <x v="0"/>
    <x v="3"/>
    <x v="1"/>
    <x v="5"/>
    <x v="1"/>
    <n v="48"/>
    <x v="2"/>
    <d v="2026-05-14T17:45:00"/>
    <s v="No"/>
    <n v="4"/>
    <s v="Technical Issue Resolved Remotely"/>
    <n v="41.083333333313931"/>
    <x v="1"/>
  </r>
  <r>
    <s v="TCK-21789"/>
    <d v="2026-01-11T12:55:00"/>
    <s v="Tier 1 Support"/>
    <x v="7"/>
    <x v="5"/>
    <x v="1"/>
    <x v="4"/>
    <x v="0"/>
    <n v="24"/>
    <x v="2"/>
    <d v="2026-01-12T10:09:00"/>
    <s v="No"/>
    <n v="3"/>
    <s v="Resolved On First Contact"/>
    <n v="21.233333333395422"/>
    <x v="1"/>
  </r>
  <r>
    <s v="TCK-22352"/>
    <d v="2026-01-02T13:57:00"/>
    <s v="Billing Support"/>
    <x v="5"/>
    <x v="3"/>
    <x v="1"/>
    <x v="5"/>
    <x v="1"/>
    <n v="48"/>
    <x v="0"/>
    <d v="2026-01-07T08:39:00"/>
    <s v="No"/>
    <n v="5"/>
    <s v="Customer Satisfied With Resolution"/>
    <n v="114.70000000001164"/>
    <x v="2"/>
  </r>
  <r>
    <s v="TCK-20174"/>
    <d v="2026-04-13T09:40:00"/>
    <s v="Tier 2 Support"/>
    <x v="2"/>
    <x v="2"/>
    <x v="3"/>
    <x v="1"/>
    <x v="0"/>
    <n v="24"/>
    <x v="0"/>
    <s v="Missing Resolve Date"/>
    <s v="No"/>
    <n v="2"/>
    <s v="Repeat Issue From Same Customer"/>
    <s v=""/>
    <x v="2"/>
  </r>
  <r>
    <s v="TCK-23185"/>
    <d v="2026-06-03T02:58:00"/>
    <s v="Billing Support"/>
    <x v="5"/>
    <x v="1"/>
    <x v="1"/>
    <x v="5"/>
    <x v="0"/>
    <n v="24"/>
    <x v="2"/>
    <d v="2026-06-04T07:01:00"/>
    <s v="No"/>
    <n v="4"/>
    <s v="Awaiting Customer Response"/>
    <n v="28.049999999930151"/>
    <x v="1"/>
  </r>
  <r>
    <s v="TCK-21247"/>
    <d v="2026-07-27T18:59:00"/>
    <s v="Technical Support"/>
    <x v="4"/>
    <x v="5"/>
    <x v="3"/>
    <x v="2"/>
    <x v="1"/>
    <n v="48"/>
    <x v="2"/>
    <d v="2026-07-28T04:35:00"/>
    <s v="No"/>
    <n v="3"/>
    <s v="Customer Satisfied With Resolution"/>
    <n v="9.5999999998603016"/>
    <x v="1"/>
  </r>
  <r>
    <s v="TCK-20488"/>
    <d v="2026-07-29T00:44:00"/>
    <s v="Technical Support"/>
    <x v="4"/>
    <x v="3"/>
    <x v="0"/>
    <x v="1"/>
    <x v="2"/>
    <n v="8"/>
    <x v="1"/>
    <s v="Missing Resolve Date"/>
    <s v="Yes"/>
    <m/>
    <s v="Not Specified"/>
    <s v=""/>
    <x v="1"/>
  </r>
  <r>
    <s v="TCK-21346"/>
    <d v="2026-05-22T00:08:00"/>
    <s v="Tier 1 Support"/>
    <x v="7"/>
    <x v="2"/>
    <x v="2"/>
    <x v="4"/>
    <x v="0"/>
    <n v="24"/>
    <x v="4"/>
    <s v="Missing Resolve Date"/>
    <s v="Yes"/>
    <m/>
    <s v="Not Specified"/>
    <s v=""/>
    <x v="1"/>
  </r>
  <r>
    <s v="TCK-20587"/>
    <d v="2026-06-12T17:45:00"/>
    <s v="Technical Support"/>
    <x v="6"/>
    <x v="0"/>
    <x v="3"/>
    <x v="3"/>
    <x v="0"/>
    <n v="24"/>
    <x v="0"/>
    <d v="2026-06-13T04:48:00"/>
    <s v="No"/>
    <n v="4"/>
    <s v="Not Specified"/>
    <n v="11.049999999871943"/>
    <x v="0"/>
  </r>
  <r>
    <s v="TCK-21684"/>
    <d v="2026-04-04T06:01:00"/>
    <s v="Tier 1 Support"/>
    <x v="7"/>
    <x v="4"/>
    <x v="3"/>
    <x v="0"/>
    <x v="0"/>
    <n v="24"/>
    <x v="0"/>
    <d v="2026-04-04T19:17:00"/>
    <s v="No"/>
    <n v="1"/>
    <s v="Not Specified"/>
    <n v="13.266666666604578"/>
    <x v="0"/>
  </r>
  <r>
    <s v="TCK-21578"/>
    <d v="2026-01-02T14:14:00"/>
    <s v="Tier 2 Support"/>
    <x v="3"/>
    <x v="4"/>
    <x v="0"/>
    <x v="5"/>
    <x v="0"/>
    <n v="24"/>
    <x v="5"/>
    <s v="Missing Resolve Date"/>
    <s v="No"/>
    <m/>
    <s v="Resolved On First Contact"/>
    <s v=""/>
    <x v="1"/>
  </r>
  <r>
    <s v="TCK-22824"/>
    <d v="2026-08-03T01:37:00"/>
    <s v="Tier 2 Support"/>
    <x v="2"/>
    <x v="5"/>
    <x v="0"/>
    <x v="0"/>
    <x v="0"/>
    <n v="24"/>
    <x v="0"/>
    <d v="2026-08-05T05:19:00"/>
    <s v="No"/>
    <n v="5"/>
    <s v="Repeat Issue From Same Customer"/>
    <n v="51.700000000011642"/>
    <x v="2"/>
  </r>
  <r>
    <s v="TCK-22081"/>
    <d v="2026-02-14T18:20:00"/>
    <s v="Billing Support"/>
    <x v="0"/>
    <x v="1"/>
    <x v="1"/>
    <x v="5"/>
    <x v="0"/>
    <n v="24"/>
    <x v="0"/>
    <d v="2026-02-14T23:26:00"/>
    <s v="No"/>
    <n v="5"/>
    <s v="Awaiting Customer Response"/>
    <n v="5.1000000000349246"/>
    <x v="0"/>
  </r>
  <r>
    <s v="TCK-20788"/>
    <d v="2026-01-19T10:10:00"/>
    <s v="Tier 1 Support"/>
    <x v="7"/>
    <x v="5"/>
    <x v="2"/>
    <x v="5"/>
    <x v="0"/>
    <n v="24"/>
    <x v="0"/>
    <s v="Missing Resolve Date"/>
    <s v="No"/>
    <m/>
    <s v="Not Specified"/>
    <s v=""/>
    <x v="2"/>
  </r>
  <r>
    <s v="TCK-20195"/>
    <d v="2026-03-02T18:55:00"/>
    <s v="Tier 1 Support"/>
    <x v="1"/>
    <x v="1"/>
    <x v="0"/>
    <x v="3"/>
    <x v="0"/>
    <n v="24"/>
    <x v="5"/>
    <s v="Missing Resolve Date"/>
    <s v="No"/>
    <m/>
    <s v="Not Specified"/>
    <s v=""/>
    <x v="1"/>
  </r>
  <r>
    <s v="TCK-21523"/>
    <d v="2026-03-22T10:02:00"/>
    <s v="Billing Support"/>
    <x v="5"/>
    <x v="3"/>
    <x v="3"/>
    <x v="1"/>
    <x v="1"/>
    <n v="48"/>
    <x v="0"/>
    <d v="2026-03-24T00:45:00"/>
    <s v="No"/>
    <n v="5"/>
    <s v="Technical Issue Resolved Remotely"/>
    <n v="38.71666666661622"/>
    <x v="0"/>
  </r>
  <r>
    <s v="TCK-22366"/>
    <d v="2026-03-13T19:31:00"/>
    <s v="Tier 1 Support"/>
    <x v="7"/>
    <x v="6"/>
    <x v="2"/>
    <x v="0"/>
    <x v="0"/>
    <n v="24"/>
    <x v="2"/>
    <d v="2026-03-14T11:39:00"/>
    <s v="No"/>
    <n v="4"/>
    <s v="Customer Requested Refund"/>
    <n v="16.133333333360497"/>
    <x v="1"/>
  </r>
  <r>
    <s v="TCK-22253"/>
    <d v="2026-04-30T23:03:00"/>
    <s v="Technical Support"/>
    <x v="4"/>
    <x v="3"/>
    <x v="0"/>
    <x v="2"/>
    <x v="1"/>
    <n v="48"/>
    <x v="0"/>
    <d v="2026-05-03T21:09:00"/>
    <s v="No"/>
    <n v="3"/>
    <s v="Customer Requested Refund"/>
    <n v="70.099999999918509"/>
    <x v="2"/>
  </r>
  <r>
    <s v="TCK-22541"/>
    <d v="2026-05-08T21:23:00"/>
    <s v="Tier 2 Support"/>
    <x v="3"/>
    <x v="3"/>
    <x v="2"/>
    <x v="0"/>
    <x v="1"/>
    <n v="48"/>
    <x v="0"/>
    <d v="2026-05-10T08:50:00"/>
    <s v="No"/>
    <n v="5"/>
    <s v="Customer Satisfied With Resolution"/>
    <n v="35.449999999953434"/>
    <x v="0"/>
  </r>
  <r>
    <s v="TCK-22471"/>
    <d v="2026-02-28T21:01:00"/>
    <s v="Tier 1 Support"/>
    <x v="7"/>
    <x v="4"/>
    <x v="0"/>
    <x v="4"/>
    <x v="2"/>
    <n v="8"/>
    <x v="0"/>
    <d v="2026-03-01T02:29:00"/>
    <s v="Yes"/>
    <n v="5"/>
    <s v="Not Specified"/>
    <n v="5.4666666666744277"/>
    <x v="0"/>
  </r>
  <r>
    <s v="TCK-21919"/>
    <d v="2026-06-07T10:14:00"/>
    <s v="Technical Support"/>
    <x v="4"/>
    <x v="3"/>
    <x v="0"/>
    <x v="1"/>
    <x v="0"/>
    <n v="24"/>
    <x v="2"/>
    <d v="2026-06-07T12:58:00"/>
    <s v="No"/>
    <m/>
    <s v="Not Specified"/>
    <n v="2.7333333333372138"/>
    <x v="1"/>
  </r>
  <r>
    <s v="TCK-20018"/>
    <d v="2026-05-16T08:17:00"/>
    <s v="Billing Support"/>
    <x v="0"/>
    <x v="4"/>
    <x v="2"/>
    <x v="1"/>
    <x v="0"/>
    <n v="24"/>
    <x v="0"/>
    <d v="2026-05-16T14:08:00"/>
    <s v="No"/>
    <n v="4"/>
    <s v="Resolved On First Contact"/>
    <n v="5.8500000000349246"/>
    <x v="0"/>
  </r>
  <r>
    <s v="TCK-20670"/>
    <d v="2026-03-01T08:27:00"/>
    <s v="Tier 1 Support"/>
    <x v="7"/>
    <x v="0"/>
    <x v="2"/>
    <x v="4"/>
    <x v="0"/>
    <n v="24"/>
    <x v="2"/>
    <d v="2026-03-02T00:58:00"/>
    <s v="No"/>
    <n v="5"/>
    <s v="Resolved On First Contact"/>
    <n v="16.516666666720994"/>
    <x v="1"/>
  </r>
  <r>
    <s v="TCK-20572"/>
    <d v="2026-04-08T06:10:00"/>
    <s v="Tier 2 Support"/>
    <x v="2"/>
    <x v="6"/>
    <x v="0"/>
    <x v="2"/>
    <x v="0"/>
    <n v="24"/>
    <x v="2"/>
    <d v="2026-04-11T04:40:00"/>
    <s v="No"/>
    <n v="4"/>
    <s v="Not Specified"/>
    <n v="70.5"/>
    <x v="1"/>
  </r>
  <r>
    <s v="TCK-23004"/>
    <d v="2026-07-15T14:32:00"/>
    <s v="Billing Support"/>
    <x v="5"/>
    <x v="1"/>
    <x v="3"/>
    <x v="2"/>
    <x v="0"/>
    <n v="24"/>
    <x v="0"/>
    <d v="2026-07-16T06:34:00"/>
    <s v="No"/>
    <n v="5"/>
    <s v="Not Specified"/>
    <n v="16.033333333209157"/>
    <x v="0"/>
  </r>
  <r>
    <s v="TCK-22350"/>
    <d v="2026-08-12T09:09:00"/>
    <s v="Technical Support"/>
    <x v="6"/>
    <x v="6"/>
    <x v="0"/>
    <x v="0"/>
    <x v="0"/>
    <n v="24"/>
    <x v="4"/>
    <s v="Missing Resolve Date"/>
    <s v="Yes"/>
    <m/>
    <s v="Not Specified"/>
    <s v=""/>
    <x v="1"/>
  </r>
  <r>
    <s v="TCK-22060"/>
    <d v="2026-07-20T17:17:00"/>
    <s v="Technical Support"/>
    <x v="4"/>
    <x v="2"/>
    <x v="1"/>
    <x v="1"/>
    <x v="1"/>
    <n v="48"/>
    <x v="2"/>
    <d v="2026-07-23T04:29:00"/>
    <s v="No"/>
    <n v="4"/>
    <s v="Not Specified"/>
    <n v="59.200000000011642"/>
    <x v="1"/>
  </r>
  <r>
    <s v="TCK-22627"/>
    <d v="2026-05-31T11:35:00"/>
    <s v="Technical Support"/>
    <x v="4"/>
    <x v="1"/>
    <x v="2"/>
    <x v="4"/>
    <x v="0"/>
    <n v="24"/>
    <x v="2"/>
    <d v="2026-06-01T01:36:00"/>
    <s v="No"/>
    <n v="5"/>
    <s v="Resolved On First Contact"/>
    <n v="14.016666666604578"/>
    <x v="1"/>
  </r>
  <r>
    <s v="TCK-22556"/>
    <d v="2026-06-30T13:08:00"/>
    <s v="Technical Support"/>
    <x v="4"/>
    <x v="5"/>
    <x v="2"/>
    <x v="5"/>
    <x v="0"/>
    <n v="24"/>
    <x v="4"/>
    <s v="Missing Resolve Date"/>
    <s v="Yes"/>
    <m/>
    <s v="Required Follow-Up Call"/>
    <s v=""/>
    <x v="1"/>
  </r>
  <r>
    <s v="TCK-21384"/>
    <d v="2026-01-22T00:36:00"/>
    <s v="Technical Support"/>
    <x v="4"/>
    <x v="3"/>
    <x v="2"/>
    <x v="4"/>
    <x v="1"/>
    <n v="48"/>
    <x v="4"/>
    <s v="Missing Resolve Date"/>
    <s v="Yes"/>
    <m/>
    <s v="Technical Issue Resolved Remotely"/>
    <s v=""/>
    <x v="1"/>
  </r>
  <r>
    <s v="TCK-22339"/>
    <d v="2026-08-21T04:12:00"/>
    <s v="Tier 1 Support"/>
    <x v="1"/>
    <x v="5"/>
    <x v="3"/>
    <x v="5"/>
    <x v="0"/>
    <n v="24"/>
    <x v="3"/>
    <s v="Missing Resolve Date"/>
    <s v="No"/>
    <m/>
    <s v="Not Specified"/>
    <s v=""/>
    <x v="1"/>
  </r>
  <r>
    <s v="TCK-22845"/>
    <d v="2026-05-10T18:47:00"/>
    <s v="Tier 2 Support"/>
    <x v="3"/>
    <x v="0"/>
    <x v="0"/>
    <x v="0"/>
    <x v="0"/>
    <n v="24"/>
    <x v="2"/>
    <d v="2026-05-11T12:09:00"/>
    <s v="No"/>
    <n v="4"/>
    <s v="Technical Issue Resolved Remotely"/>
    <n v="17.366666666697711"/>
    <x v="1"/>
  </r>
  <r>
    <s v="TCK-21103"/>
    <d v="2026-03-02T08:08:00"/>
    <s v="Tier 1 Support"/>
    <x v="1"/>
    <x v="1"/>
    <x v="1"/>
    <x v="5"/>
    <x v="3"/>
    <n v="4"/>
    <x v="4"/>
    <s v="Missing Resolve Date"/>
    <s v="Yes"/>
    <m/>
    <s v="Not Specified"/>
    <s v=""/>
    <x v="1"/>
  </r>
  <r>
    <s v="TCK-21172"/>
    <d v="2026-03-06T20:41:00"/>
    <s v="Tier 1 Support"/>
    <x v="1"/>
    <x v="7"/>
    <x v="2"/>
    <x v="3"/>
    <x v="1"/>
    <n v="48"/>
    <x v="0"/>
    <d v="2026-03-10T08:08:00"/>
    <s v="No"/>
    <n v="4"/>
    <s v="Escalated To Senior Agent"/>
    <n v="83.449999999953434"/>
    <x v="2"/>
  </r>
  <r>
    <s v="TCK-21121"/>
    <d v="2026-05-23T12:44:00"/>
    <s v="Technical Support"/>
    <x v="4"/>
    <x v="0"/>
    <x v="2"/>
    <x v="1"/>
    <x v="0"/>
    <n v="24"/>
    <x v="2"/>
    <d v="2026-05-24T00:45:00"/>
    <s v="No"/>
    <n v="3"/>
    <s v="Not Specified"/>
    <n v="12.016666666720994"/>
    <x v="1"/>
  </r>
  <r>
    <s v="TCK-20283"/>
    <d v="2026-06-10T11:20:00"/>
    <s v="Billing Support"/>
    <x v="0"/>
    <x v="2"/>
    <x v="3"/>
    <x v="0"/>
    <x v="0"/>
    <n v="24"/>
    <x v="2"/>
    <d v="2026-06-11T00:00:00"/>
    <s v="No"/>
    <n v="1"/>
    <s v="Resolved On First Contact"/>
    <n v="12.666666666744277"/>
    <x v="1"/>
  </r>
  <r>
    <s v="TCK-20150"/>
    <d v="2026-03-18T12:16:00"/>
    <s v="Tier 1 Support"/>
    <x v="7"/>
    <x v="2"/>
    <x v="3"/>
    <x v="1"/>
    <x v="0"/>
    <n v="24"/>
    <x v="0"/>
    <d v="2026-03-18T17:10:00"/>
    <s v="No"/>
    <m/>
    <s v="Resolved On First Contact"/>
    <n v="4.9000000000814907"/>
    <x v="0"/>
  </r>
  <r>
    <s v="TCK-21534"/>
    <d v="2026-04-06T05:47:00"/>
    <s v="Tier 1 Support"/>
    <x v="7"/>
    <x v="4"/>
    <x v="3"/>
    <x v="0"/>
    <x v="0"/>
    <n v="24"/>
    <x v="4"/>
    <s v="Missing Resolve Date"/>
    <s v="Yes"/>
    <m/>
    <s v="Awaiting Customer Response"/>
    <s v=""/>
    <x v="1"/>
  </r>
  <r>
    <s v="TCK-22260"/>
    <d v="2026-08-05T16:41:00"/>
    <s v="Tier 2 Support"/>
    <x v="3"/>
    <x v="3"/>
    <x v="1"/>
    <x v="5"/>
    <x v="3"/>
    <n v="4"/>
    <x v="4"/>
    <s v="Missing Resolve Date"/>
    <s v="Yes"/>
    <m/>
    <s v="Customer Requested Refund"/>
    <s v=""/>
    <x v="1"/>
  </r>
  <r>
    <s v="TCK-22284"/>
    <d v="2026-04-05T07:50:00"/>
    <s v="Tier 2 Support"/>
    <x v="3"/>
    <x v="2"/>
    <x v="0"/>
    <x v="4"/>
    <x v="2"/>
    <n v="8"/>
    <x v="0"/>
    <d v="2026-04-05T11:33:00"/>
    <s v="No"/>
    <n v="1"/>
    <s v="Not Specified"/>
    <n v="3.7166666665580124"/>
    <x v="0"/>
  </r>
  <r>
    <s v="TCK-20286"/>
    <d v="2026-08-29T00:50:00"/>
    <s v="Tier 2 Support"/>
    <x v="3"/>
    <x v="2"/>
    <x v="3"/>
    <x v="2"/>
    <x v="0"/>
    <n v="24"/>
    <x v="0"/>
    <d v="2026-08-29T18:50:00"/>
    <s v="No"/>
    <n v="2"/>
    <s v="Repeat Issue From Same Customer"/>
    <n v="18"/>
    <x v="0"/>
  </r>
  <r>
    <s v="TCK-21678"/>
    <d v="2026-01-17T09:28:00"/>
    <s v="Tier 2 Support"/>
    <x v="2"/>
    <x v="1"/>
    <x v="0"/>
    <x v="3"/>
    <x v="1"/>
    <n v="48"/>
    <x v="2"/>
    <d v="2026-01-18T20:18:00"/>
    <s v="No"/>
    <n v="3"/>
    <s v="Resolved On First Contact"/>
    <n v="34.833333333372138"/>
    <x v="1"/>
  </r>
  <r>
    <s v="TCK-22210"/>
    <d v="2026-07-03T16:12:00"/>
    <s v="Billing Support"/>
    <x v="5"/>
    <x v="1"/>
    <x v="1"/>
    <x v="1"/>
    <x v="2"/>
    <n v="8"/>
    <x v="5"/>
    <s v="Missing Resolve Date"/>
    <s v="No"/>
    <m/>
    <s v="Not Specified"/>
    <s v=""/>
    <x v="1"/>
  </r>
  <r>
    <s v="TCK-21626"/>
    <d v="2026-06-21T08:24:00"/>
    <s v="Technical Support"/>
    <x v="4"/>
    <x v="2"/>
    <x v="2"/>
    <x v="1"/>
    <x v="3"/>
    <n v="4"/>
    <x v="0"/>
    <d v="2026-06-21T12:51:00"/>
    <s v="No"/>
    <n v="2"/>
    <s v="Not Specified"/>
    <n v="4.4500000000116415"/>
    <x v="2"/>
  </r>
  <r>
    <s v="TCK-20024"/>
    <d v="2026-03-05T02:35:00"/>
    <s v="Billing Support"/>
    <x v="5"/>
    <x v="5"/>
    <x v="3"/>
    <x v="4"/>
    <x v="0"/>
    <n v="24"/>
    <x v="0"/>
    <d v="2026-03-05T21:57:00"/>
    <s v="No"/>
    <n v="4"/>
    <s v="Customer Requested Refund"/>
    <n v="19.366666666581295"/>
    <x v="0"/>
  </r>
  <r>
    <s v="TCK-21858"/>
    <d v="2026-05-30T14:40:00"/>
    <s v="Tier 2 Support"/>
    <x v="2"/>
    <x v="1"/>
    <x v="0"/>
    <x v="2"/>
    <x v="3"/>
    <n v="4"/>
    <x v="2"/>
    <d v="2026-05-30T23:33:00"/>
    <s v="No"/>
    <m/>
    <s v="Escalated To Senior Agent"/>
    <n v="8.8833333333022892"/>
    <x v="1"/>
  </r>
  <r>
    <s v="TCK-21964"/>
    <d v="2026-06-06T16:39:00"/>
    <s v="Tier 2 Support"/>
    <x v="3"/>
    <x v="1"/>
    <x v="3"/>
    <x v="2"/>
    <x v="0"/>
    <n v="24"/>
    <x v="3"/>
    <d v="2026-06-06T23:38:00"/>
    <s v="No"/>
    <m/>
    <s v="Customer Requested Refund"/>
    <n v="6.9833333333954215"/>
    <x v="1"/>
  </r>
  <r>
    <s v="TCK-21189"/>
    <d v="2026-05-25T16:28:00"/>
    <s v="Tier 2 Support"/>
    <x v="2"/>
    <x v="6"/>
    <x v="3"/>
    <x v="3"/>
    <x v="2"/>
    <n v="8"/>
    <x v="2"/>
    <d v="2026-05-25T19:39:00"/>
    <s v="No"/>
    <n v="5"/>
    <s v="Not Specified"/>
    <n v="3.1833333332324401"/>
    <x v="1"/>
  </r>
  <r>
    <s v="TCK-22938"/>
    <d v="2026-07-29T06:34:00"/>
    <s v="Technical Support"/>
    <x v="4"/>
    <x v="3"/>
    <x v="1"/>
    <x v="4"/>
    <x v="1"/>
    <n v="48"/>
    <x v="4"/>
    <s v="Missing Resolve Date"/>
    <s v="Yes"/>
    <m/>
    <s v="Resolved On First Contact"/>
    <s v=""/>
    <x v="1"/>
  </r>
  <r>
    <s v="TCK-21428"/>
    <d v="2026-07-07T05:23:00"/>
    <s v="Billing Support"/>
    <x v="5"/>
    <x v="4"/>
    <x v="1"/>
    <x v="3"/>
    <x v="2"/>
    <n v="8"/>
    <x v="2"/>
    <d v="2026-07-07T12:25:00"/>
    <s v="No"/>
    <n v="2"/>
    <s v="Customer Requested Refund"/>
    <n v="7.033333333209157"/>
    <x v="1"/>
  </r>
  <r>
    <s v="TCK-22635"/>
    <d v="2026-02-23T06:35:00"/>
    <s v="Tier 2 Support"/>
    <x v="2"/>
    <x v="0"/>
    <x v="1"/>
    <x v="2"/>
    <x v="2"/>
    <n v="8"/>
    <x v="2"/>
    <d v="2026-02-23T10:58:00"/>
    <s v="No"/>
    <n v="5"/>
    <s v="Technical Issue Resolved Remotely"/>
    <n v="4.3833333333022892"/>
    <x v="1"/>
  </r>
  <r>
    <s v="TCK-21053"/>
    <d v="2026-06-04T02:34:00"/>
    <s v="Technical Support"/>
    <x v="4"/>
    <x v="0"/>
    <x v="0"/>
    <x v="0"/>
    <x v="1"/>
    <n v="48"/>
    <x v="0"/>
    <d v="2026-06-08T19:20:00"/>
    <s v="Yes"/>
    <n v="5"/>
    <s v="Awaiting Customer Response"/>
    <n v="112.76666666666279"/>
    <x v="2"/>
  </r>
  <r>
    <s v="TCK-20249"/>
    <d v="2026-05-19T17:18:00"/>
    <s v="Technical Support"/>
    <x v="6"/>
    <x v="6"/>
    <x v="2"/>
    <x v="1"/>
    <x v="0"/>
    <n v="24"/>
    <x v="2"/>
    <d v="2026-05-20T09:49:00"/>
    <s v="No"/>
    <n v="1"/>
    <s v="Technical Issue Resolved Remotely"/>
    <n v="16.516666666720994"/>
    <x v="1"/>
  </r>
  <r>
    <s v="TCK-21130"/>
    <d v="2026-04-29T01:06:00"/>
    <s v="Tier 2 Support"/>
    <x v="2"/>
    <x v="3"/>
    <x v="2"/>
    <x v="3"/>
    <x v="2"/>
    <n v="8"/>
    <x v="2"/>
    <d v="2026-04-29T04:17:00"/>
    <s v="No"/>
    <n v="5"/>
    <s v="Customer Requested Refund"/>
    <n v="3.183333333407063"/>
    <x v="1"/>
  </r>
  <r>
    <s v="TCK-22830"/>
    <d v="2026-05-21T12:57:00"/>
    <s v="Billing Support"/>
    <x v="5"/>
    <x v="3"/>
    <x v="0"/>
    <x v="0"/>
    <x v="0"/>
    <n v="24"/>
    <x v="0"/>
    <d v="2026-05-22T06:11:00"/>
    <s v="No"/>
    <m/>
    <s v="Awaiting Customer Response"/>
    <n v="17.233333333453629"/>
    <x v="0"/>
  </r>
  <r>
    <s v="TCK-22124"/>
    <d v="2026-06-14T16:22:00"/>
    <s v="Technical Support"/>
    <x v="6"/>
    <x v="2"/>
    <x v="2"/>
    <x v="5"/>
    <x v="3"/>
    <n v="4"/>
    <x v="0"/>
    <d v="2026-06-14T19:21:00"/>
    <s v="No"/>
    <n v="5"/>
    <s v="Awaiting Customer Response"/>
    <n v="2.9833333334536292"/>
    <x v="0"/>
  </r>
  <r>
    <s v="TCK-22105"/>
    <d v="2026-07-02T16:18:00"/>
    <s v="Technical Support"/>
    <x v="6"/>
    <x v="0"/>
    <x v="1"/>
    <x v="5"/>
    <x v="0"/>
    <n v="24"/>
    <x v="0"/>
    <d v="2026-07-04T04:18:00"/>
    <s v="No"/>
    <n v="2"/>
    <s v="Technical Issue Resolved Remotely"/>
    <n v="36"/>
    <x v="2"/>
  </r>
  <r>
    <s v="TCK-23177"/>
    <d v="2026-08-08T03:40:00"/>
    <s v="Billing Support"/>
    <x v="0"/>
    <x v="5"/>
    <x v="0"/>
    <x v="1"/>
    <x v="0"/>
    <n v="24"/>
    <x v="0"/>
    <d v="2026-08-09T00:46:00"/>
    <s v="No"/>
    <n v="3"/>
    <s v="Customer Satisfied With Resolution"/>
    <n v="21.099999999976717"/>
    <x v="0"/>
  </r>
  <r>
    <s v="TCK-23078"/>
    <d v="2026-08-20T17:55:00"/>
    <s v="Tier 1 Support"/>
    <x v="7"/>
    <x v="2"/>
    <x v="2"/>
    <x v="4"/>
    <x v="3"/>
    <n v="4"/>
    <x v="2"/>
    <d v="2026-08-20T19:15:00"/>
    <s v="No"/>
    <m/>
    <s v="Customer Requested Refund"/>
    <n v="1.3333333333139308"/>
    <x v="1"/>
  </r>
  <r>
    <s v="TCK-22112"/>
    <d v="2026-08-19T09:33:00"/>
    <s v="Tier 1 Support"/>
    <x v="7"/>
    <x v="6"/>
    <x v="3"/>
    <x v="3"/>
    <x v="1"/>
    <n v="48"/>
    <x v="0"/>
    <d v="2026-08-20T21:24:00"/>
    <s v="No"/>
    <m/>
    <s v="Escalated To Senior Agent"/>
    <n v="35.850000000034925"/>
    <x v="0"/>
  </r>
  <r>
    <s v="TCK-22213"/>
    <d v="2026-08-18T18:44:00"/>
    <s v="Technical Support"/>
    <x v="4"/>
    <x v="5"/>
    <x v="2"/>
    <x v="1"/>
    <x v="1"/>
    <n v="48"/>
    <x v="2"/>
    <d v="2026-08-20T03:08:00"/>
    <s v="No"/>
    <n v="2"/>
    <s v="Not Specified"/>
    <n v="32.400000000139698"/>
    <x v="1"/>
  </r>
  <r>
    <s v="TCK-21501"/>
    <d v="2026-07-07T19:12:00"/>
    <s v="Billing Support"/>
    <x v="0"/>
    <x v="3"/>
    <x v="1"/>
    <x v="4"/>
    <x v="2"/>
    <n v="8"/>
    <x v="0"/>
    <d v="2026-07-08T02:11:00"/>
    <s v="No"/>
    <m/>
    <s v="Not Specified"/>
    <n v="6.9833333332207985"/>
    <x v="0"/>
  </r>
  <r>
    <s v="TCK-22566"/>
    <d v="2026-01-25T06:30:00"/>
    <s v="Tier 1 Support"/>
    <x v="1"/>
    <x v="0"/>
    <x v="2"/>
    <x v="4"/>
    <x v="2"/>
    <n v="8"/>
    <x v="0"/>
    <d v="2026-01-25T13:25:00"/>
    <s v="No"/>
    <n v="4"/>
    <s v="Customer Requested Refund"/>
    <n v="6.9166666666860692"/>
    <x v="0"/>
  </r>
  <r>
    <s v="TCK-23193"/>
    <d v="2026-03-10T09:17:00"/>
    <s v="Technical Support"/>
    <x v="4"/>
    <x v="3"/>
    <x v="0"/>
    <x v="4"/>
    <x v="1"/>
    <n v="48"/>
    <x v="3"/>
    <d v="2026-03-11T15:37:00"/>
    <s v="No"/>
    <m/>
    <s v="Resolved On First Contact"/>
    <n v="30.333333333197515"/>
    <x v="1"/>
  </r>
  <r>
    <s v="TCK-22255"/>
    <d v="2026-08-06T11:37:00"/>
    <s v="Tier 1 Support"/>
    <x v="7"/>
    <x v="0"/>
    <x v="3"/>
    <x v="3"/>
    <x v="2"/>
    <n v="8"/>
    <x v="2"/>
    <d v="2026-08-06T16:44:00"/>
    <s v="No"/>
    <n v="3"/>
    <s v="Not Specified"/>
    <n v="5.1166666667559184"/>
    <x v="1"/>
  </r>
  <r>
    <s v="TCK-22648"/>
    <d v="2026-06-01T18:34:00"/>
    <s v="Tier 1 Support"/>
    <x v="1"/>
    <x v="0"/>
    <x v="1"/>
    <x v="3"/>
    <x v="2"/>
    <n v="8"/>
    <x v="0"/>
    <d v="2026-06-01T20:44:00"/>
    <s v="No"/>
    <m/>
    <s v="Repeat Issue From Same Customer"/>
    <n v="2.1666666667442769"/>
    <x v="0"/>
  </r>
  <r>
    <s v="TCK-21136"/>
    <d v="2026-04-30T09:33:00"/>
    <s v="Billing Support"/>
    <x v="5"/>
    <x v="2"/>
    <x v="2"/>
    <x v="1"/>
    <x v="1"/>
    <n v="48"/>
    <x v="2"/>
    <d v="2026-05-01T00:25:00"/>
    <s v="No"/>
    <m/>
    <s v="Customer Satisfied With Resolution"/>
    <n v="14.866666666581295"/>
    <x v="1"/>
  </r>
  <r>
    <s v="TCK-23128"/>
    <d v="2026-08-17T10:24:00"/>
    <s v="Technical Support"/>
    <x v="4"/>
    <x v="3"/>
    <x v="2"/>
    <x v="4"/>
    <x v="2"/>
    <n v="8"/>
    <x v="0"/>
    <d v="2026-08-17T15:17:00"/>
    <s v="No"/>
    <m/>
    <s v="Customer Requested Refund"/>
    <n v="4.8833333333604969"/>
    <x v="0"/>
  </r>
  <r>
    <s v="TCK-20534"/>
    <d v="2026-07-02T06:18:00"/>
    <s v="Tier 2 Support"/>
    <x v="2"/>
    <x v="1"/>
    <x v="1"/>
    <x v="2"/>
    <x v="0"/>
    <n v="24"/>
    <x v="5"/>
    <s v="Missing Resolve Date"/>
    <s v="No"/>
    <m/>
    <s v="Repeat Issue From Same Customer"/>
    <s v=""/>
    <x v="1"/>
  </r>
  <r>
    <s v="TCK-21442"/>
    <d v="2026-08-05T05:18:00"/>
    <s v="Tier 2 Support"/>
    <x v="3"/>
    <x v="1"/>
    <x v="1"/>
    <x v="1"/>
    <x v="0"/>
    <n v="24"/>
    <x v="4"/>
    <s v="Missing Resolve Date"/>
    <s v="Yes"/>
    <m/>
    <s v="Resolved On First Contact"/>
    <s v=""/>
    <x v="1"/>
  </r>
  <r>
    <s v="TCK-21497"/>
    <d v="2026-03-03T07:25:00"/>
    <s v="Technical Support"/>
    <x v="4"/>
    <x v="0"/>
    <x v="3"/>
    <x v="4"/>
    <x v="2"/>
    <n v="8"/>
    <x v="0"/>
    <d v="2026-03-03T13:13:00"/>
    <s v="No"/>
    <m/>
    <s v="Escalated To Senior Agent"/>
    <n v="5.7999999998719431"/>
    <x v="0"/>
  </r>
  <r>
    <s v="TCK-21851"/>
    <d v="2026-02-25T12:55:00"/>
    <s v="Tier 2 Support"/>
    <x v="2"/>
    <x v="0"/>
    <x v="0"/>
    <x v="4"/>
    <x v="2"/>
    <n v="8"/>
    <x v="2"/>
    <d v="2026-02-25T18:01:00"/>
    <s v="No"/>
    <m/>
    <s v="Not Specified"/>
    <n v="5.1000000000349246"/>
    <x v="1"/>
  </r>
  <r>
    <s v="TCK-23039"/>
    <d v="2026-08-19T23:43:00"/>
    <s v="Tier 1 Support"/>
    <x v="7"/>
    <x v="5"/>
    <x v="2"/>
    <x v="1"/>
    <x v="0"/>
    <n v="24"/>
    <x v="0"/>
    <d v="2026-08-20T18:11:00"/>
    <s v="No"/>
    <m/>
    <s v="Not Specified"/>
    <n v="18.466666666790843"/>
    <x v="0"/>
  </r>
  <r>
    <s v="TCK-22266"/>
    <d v="2026-05-23T17:12:00"/>
    <s v="Technical Support"/>
    <x v="6"/>
    <x v="6"/>
    <x v="2"/>
    <x v="1"/>
    <x v="1"/>
    <n v="48"/>
    <x v="0"/>
    <d v="2026-05-25T02:56:00"/>
    <s v="Yes"/>
    <n v="5"/>
    <s v="Technical Issue Resolved Remotely"/>
    <n v="33.733333333279006"/>
    <x v="0"/>
  </r>
  <r>
    <s v="TCK-20796"/>
    <d v="2026-01-31T02:39:00"/>
    <s v="Tier 1 Support"/>
    <x v="1"/>
    <x v="4"/>
    <x v="3"/>
    <x v="0"/>
    <x v="2"/>
    <n v="8"/>
    <x v="2"/>
    <d v="2026-01-31T08:26:00"/>
    <s v="No"/>
    <m/>
    <s v="Repeat Issue From Same Customer"/>
    <n v="5.7833333333255723"/>
    <x v="1"/>
  </r>
  <r>
    <s v="TCK-22361"/>
    <d v="2026-03-28T08:04:00"/>
    <s v="Tier 2 Support"/>
    <x v="2"/>
    <x v="6"/>
    <x v="3"/>
    <x v="1"/>
    <x v="2"/>
    <n v="8"/>
    <x v="0"/>
    <d v="2026-03-28T11:08:00"/>
    <s v="No"/>
    <n v="1"/>
    <s v="Technical Issue Resolved Remotely"/>
    <n v="3.0666666667093523"/>
    <x v="0"/>
  </r>
  <r>
    <s v="TCK-20852"/>
    <d v="2026-07-04T15:50:00"/>
    <s v="Billing Support"/>
    <x v="0"/>
    <x v="0"/>
    <x v="3"/>
    <x v="5"/>
    <x v="0"/>
    <n v="24"/>
    <x v="0"/>
    <d v="2026-07-04T18:22:00"/>
    <s v="No"/>
    <n v="2"/>
    <s v="Resolved On First Contact"/>
    <n v="2.53333333338378"/>
    <x v="0"/>
  </r>
  <r>
    <s v="TCK-20227"/>
    <d v="2026-03-05T22:43:00"/>
    <s v="Technical Support"/>
    <x v="4"/>
    <x v="3"/>
    <x v="3"/>
    <x v="4"/>
    <x v="1"/>
    <n v="48"/>
    <x v="1"/>
    <s v="Missing Resolve Date"/>
    <s v="No"/>
    <m/>
    <s v="Technical Issue Resolved Remotely"/>
    <s v=""/>
    <x v="1"/>
  </r>
  <r>
    <s v="TCK-21883"/>
    <d v="2026-06-21T16:05:00"/>
    <s v="Tier 1 Support"/>
    <x v="7"/>
    <x v="4"/>
    <x v="0"/>
    <x v="1"/>
    <x v="0"/>
    <n v="24"/>
    <x v="3"/>
    <s v="Missing Resolve Date"/>
    <s v="No"/>
    <m/>
    <s v="Not Specified"/>
    <s v=""/>
    <x v="1"/>
  </r>
  <r>
    <s v="TCK-22576"/>
    <d v="2026-02-28T07:47:00"/>
    <s v="Tier 2 Support"/>
    <x v="2"/>
    <x v="6"/>
    <x v="3"/>
    <x v="4"/>
    <x v="0"/>
    <n v="24"/>
    <x v="2"/>
    <d v="2026-03-01T14:06:00"/>
    <s v="No"/>
    <m/>
    <s v="Required Follow-Up Call"/>
    <n v="30.316666666651145"/>
    <x v="1"/>
  </r>
  <r>
    <s v="TCK-21316"/>
    <d v="2026-06-18T04:31:00"/>
    <s v="Tier 1 Support"/>
    <x v="1"/>
    <x v="5"/>
    <x v="3"/>
    <x v="5"/>
    <x v="3"/>
    <n v="4"/>
    <x v="0"/>
    <d v="2026-06-18T13:23:00"/>
    <s v="No"/>
    <m/>
    <s v="Not Specified"/>
    <n v="8.8666666665812954"/>
    <x v="2"/>
  </r>
  <r>
    <s v="TCK-21723"/>
    <d v="2026-02-05T06:49:00"/>
    <s v="Technical Support"/>
    <x v="4"/>
    <x v="3"/>
    <x v="2"/>
    <x v="5"/>
    <x v="0"/>
    <n v="24"/>
    <x v="2"/>
    <d v="2026-02-08T04:44:00"/>
    <s v="No"/>
    <n v="3"/>
    <s v="Customer Requested Refund"/>
    <n v="69.916666666686069"/>
    <x v="1"/>
  </r>
  <r>
    <s v="TCK-20527"/>
    <d v="2026-04-28T16:06:00"/>
    <s v="Billing Support"/>
    <x v="5"/>
    <x v="2"/>
    <x v="0"/>
    <x v="0"/>
    <x v="2"/>
    <n v="8"/>
    <x v="4"/>
    <s v="Missing Resolve Date"/>
    <s v="Yes"/>
    <m/>
    <s v="Required Follow-Up Call"/>
    <s v=""/>
    <x v="1"/>
  </r>
  <r>
    <s v="TCK-20557"/>
    <d v="2026-08-14T04:56:00"/>
    <s v="Tier 1 Support"/>
    <x v="1"/>
    <x v="1"/>
    <x v="1"/>
    <x v="3"/>
    <x v="0"/>
    <n v="24"/>
    <x v="0"/>
    <d v="2026-08-15T13:26:00"/>
    <s v="No"/>
    <n v="1"/>
    <s v="Not Specified"/>
    <n v="32.499999999941792"/>
    <x v="2"/>
  </r>
  <r>
    <s v="TCK-22732"/>
    <d v="2026-06-04T09:25:00"/>
    <s v="Technical Support"/>
    <x v="4"/>
    <x v="5"/>
    <x v="0"/>
    <x v="1"/>
    <x v="3"/>
    <n v="4"/>
    <x v="0"/>
    <d v="2026-06-04T12:02:00"/>
    <s v="No"/>
    <n v="4"/>
    <s v="Repeat Issue From Same Customer"/>
    <n v="2.6166666666395031"/>
    <x v="0"/>
  </r>
  <r>
    <s v="TCK-20137"/>
    <d v="2026-04-20T06:36:00"/>
    <s v="Technical Support"/>
    <x v="4"/>
    <x v="3"/>
    <x v="3"/>
    <x v="4"/>
    <x v="2"/>
    <n v="8"/>
    <x v="1"/>
    <s v="Missing Resolve Date"/>
    <s v="No"/>
    <m/>
    <s v="Customer Requested Refund"/>
    <s v=""/>
    <x v="1"/>
  </r>
  <r>
    <s v="TCK-22670"/>
    <d v="2026-03-06T19:09:00"/>
    <s v="Technical Support"/>
    <x v="6"/>
    <x v="6"/>
    <x v="1"/>
    <x v="3"/>
    <x v="1"/>
    <n v="48"/>
    <x v="2"/>
    <d v="2026-03-09T06:12:00"/>
    <s v="Yes"/>
    <n v="2"/>
    <s v="Not Specified"/>
    <n v="59.049999999871943"/>
    <x v="1"/>
  </r>
  <r>
    <s v="TCK-21839"/>
    <d v="2026-04-04T23:13:00"/>
    <s v="Technical Support"/>
    <x v="6"/>
    <x v="3"/>
    <x v="1"/>
    <x v="0"/>
    <x v="0"/>
    <n v="24"/>
    <x v="0"/>
    <d v="2026-04-06T19:41:00"/>
    <s v="No"/>
    <m/>
    <s v="Customer Requested Refund"/>
    <n v="44.466666666674428"/>
    <x v="2"/>
  </r>
  <r>
    <s v="TCK-20542"/>
    <d v="2026-02-09T08:56:00"/>
    <s v="Tier 2 Support"/>
    <x v="2"/>
    <x v="0"/>
    <x v="3"/>
    <x v="5"/>
    <x v="1"/>
    <n v="48"/>
    <x v="0"/>
    <d v="2026-02-10T16:53:00"/>
    <s v="No"/>
    <m/>
    <s v="Customer Requested Refund"/>
    <n v="31.950000000069849"/>
    <x v="0"/>
  </r>
  <r>
    <s v="TCK-21617"/>
    <d v="2026-07-13T16:33:00"/>
    <s v="Tier 2 Support"/>
    <x v="3"/>
    <x v="0"/>
    <x v="3"/>
    <x v="1"/>
    <x v="0"/>
    <n v="24"/>
    <x v="4"/>
    <s v="Missing Resolve Date"/>
    <s v="Yes"/>
    <m/>
    <s v="Required Follow-Up Call"/>
    <s v=""/>
    <x v="1"/>
  </r>
  <r>
    <s v="TCK-20653"/>
    <d v="2026-02-25T01:54:00"/>
    <s v="Billing Support"/>
    <x v="0"/>
    <x v="5"/>
    <x v="2"/>
    <x v="3"/>
    <x v="0"/>
    <n v="24"/>
    <x v="2"/>
    <d v="2026-02-27T06:25:00"/>
    <s v="No"/>
    <n v="5"/>
    <s v="Resolved On First Contact"/>
    <n v="52.516666666546371"/>
    <x v="1"/>
  </r>
  <r>
    <s v="TCK-21420"/>
    <d v="2026-02-28T06:28:00"/>
    <s v="Tier 2 Support"/>
    <x v="3"/>
    <x v="1"/>
    <x v="3"/>
    <x v="0"/>
    <x v="2"/>
    <n v="8"/>
    <x v="3"/>
    <d v="2026-02-28T13:19:00"/>
    <s v="No"/>
    <m/>
    <s v="Customer Requested Refund"/>
    <n v="6.8499999999767169"/>
    <x v="1"/>
  </r>
  <r>
    <s v="TCK-22796"/>
    <d v="2026-05-08T08:19:00"/>
    <s v="Billing Support"/>
    <x v="5"/>
    <x v="5"/>
    <x v="2"/>
    <x v="3"/>
    <x v="1"/>
    <n v="48"/>
    <x v="0"/>
    <d v="2026-05-12T23:40:00"/>
    <s v="No"/>
    <n v="1"/>
    <s v="Resolved On First Contact"/>
    <n v="111.34999999991851"/>
    <x v="2"/>
  </r>
  <r>
    <s v="TCK-21023"/>
    <d v="2026-07-11T14:07:00"/>
    <s v="Technical Support"/>
    <x v="6"/>
    <x v="4"/>
    <x v="1"/>
    <x v="1"/>
    <x v="2"/>
    <n v="8"/>
    <x v="1"/>
    <s v="Missing Resolve Date"/>
    <s v="No"/>
    <m/>
    <s v="Customer Satisfied With Resolution"/>
    <s v=""/>
    <x v="1"/>
  </r>
  <r>
    <s v="TCK-22019"/>
    <d v="2026-08-28T09:31:00"/>
    <s v="Billing Support"/>
    <x v="0"/>
    <x v="3"/>
    <x v="1"/>
    <x v="3"/>
    <x v="0"/>
    <n v="24"/>
    <x v="5"/>
    <s v="Missing Resolve Date"/>
    <s v="No"/>
    <m/>
    <s v="Required Follow-Up Call"/>
    <s v=""/>
    <x v="1"/>
  </r>
  <r>
    <s v="TCK-20768"/>
    <d v="2026-04-26T08:06:00"/>
    <s v="Billing Support"/>
    <x v="0"/>
    <x v="3"/>
    <x v="3"/>
    <x v="5"/>
    <x v="0"/>
    <n v="24"/>
    <x v="3"/>
    <d v="2026-04-27T03:37:00"/>
    <s v="No"/>
    <m/>
    <s v="Escalated To Senior Agent"/>
    <n v="19.516666666546371"/>
    <x v="1"/>
  </r>
  <r>
    <s v="TCK-20829"/>
    <d v="2026-04-13T06:02:00"/>
    <s v="Tier 2 Support"/>
    <x v="2"/>
    <x v="1"/>
    <x v="0"/>
    <x v="1"/>
    <x v="0"/>
    <n v="24"/>
    <x v="0"/>
    <d v="2026-04-13T11:38:00"/>
    <s v="No"/>
    <n v="5"/>
    <s v="Resolved On First Contact"/>
    <n v="5.6000000000931323"/>
    <x v="0"/>
  </r>
  <r>
    <s v="TCK-20834"/>
    <d v="2026-04-30T20:54:00"/>
    <s v="Tier 1 Support"/>
    <x v="7"/>
    <x v="4"/>
    <x v="1"/>
    <x v="4"/>
    <x v="1"/>
    <n v="48"/>
    <x v="0"/>
    <d v="2026-05-02T08:37:00"/>
    <s v="No"/>
    <n v="5"/>
    <s v="Customer Requested Refund"/>
    <n v="35.71666666661622"/>
    <x v="0"/>
  </r>
  <r>
    <s v="TCK-23125"/>
    <d v="2026-05-01T00:50:00"/>
    <s v="Tier 2 Support"/>
    <x v="2"/>
    <x v="3"/>
    <x v="2"/>
    <x v="0"/>
    <x v="2"/>
    <n v="8"/>
    <x v="0"/>
    <d v="2026-05-01T07:01:00"/>
    <s v="No"/>
    <m/>
    <s v="Technical Issue Resolved Remotely"/>
    <n v="6.183333333407063"/>
    <x v="0"/>
  </r>
  <r>
    <s v="TCK-20634"/>
    <d v="2026-03-21T09:41:00"/>
    <s v="Tier 1 Support"/>
    <x v="7"/>
    <x v="6"/>
    <x v="0"/>
    <x v="0"/>
    <x v="0"/>
    <n v="24"/>
    <x v="1"/>
    <s v="Missing Resolve Date"/>
    <s v="No"/>
    <m/>
    <s v="Not Specified"/>
    <s v=""/>
    <x v="1"/>
  </r>
  <r>
    <s v="TCK-22376"/>
    <d v="2026-02-09T10:20:00"/>
    <s v="Tier 1 Support"/>
    <x v="1"/>
    <x v="0"/>
    <x v="3"/>
    <x v="4"/>
    <x v="0"/>
    <n v="24"/>
    <x v="4"/>
    <s v="Missing Resolve Date"/>
    <s v="Yes"/>
    <m/>
    <s v="Customer Requested Refund"/>
    <s v=""/>
    <x v="1"/>
  </r>
  <r>
    <s v="TCK-22638"/>
    <d v="2026-05-04T06:52:00"/>
    <s v="Technical Support"/>
    <x v="6"/>
    <x v="4"/>
    <x v="2"/>
    <x v="0"/>
    <x v="1"/>
    <n v="48"/>
    <x v="2"/>
    <d v="2026-05-04T21:55:00"/>
    <s v="No"/>
    <n v="5"/>
    <s v="Technical Issue Resolved Remotely"/>
    <n v="15.049999999988358"/>
    <x v="1"/>
  </r>
  <r>
    <s v="TCK-21535"/>
    <d v="2026-05-22T20:58:00"/>
    <s v="Billing Support"/>
    <x v="5"/>
    <x v="3"/>
    <x v="1"/>
    <x v="2"/>
    <x v="0"/>
    <n v="24"/>
    <x v="0"/>
    <d v="2026-05-23T15:32:00"/>
    <s v="No"/>
    <m/>
    <s v="Customer Requested Refund"/>
    <n v="18.566666666592937"/>
    <x v="0"/>
  </r>
  <r>
    <s v="TCK-20142"/>
    <d v="2026-02-04T00:53:00"/>
    <s v="Technical Support"/>
    <x v="6"/>
    <x v="2"/>
    <x v="2"/>
    <x v="4"/>
    <x v="0"/>
    <n v="24"/>
    <x v="2"/>
    <d v="2026-02-04T21:15:00"/>
    <s v="Yes"/>
    <m/>
    <s v="Customer Satisfied With Resolution"/>
    <n v="20.366666666523088"/>
    <x v="1"/>
  </r>
  <r>
    <s v="TCK-21349"/>
    <d v="2026-07-06T12:49:00"/>
    <s v="Tier 2 Support"/>
    <x v="2"/>
    <x v="3"/>
    <x v="3"/>
    <x v="1"/>
    <x v="0"/>
    <n v="24"/>
    <x v="0"/>
    <d v="2026-07-06T15:37:00"/>
    <s v="No"/>
    <n v="3"/>
    <s v="Not Specified"/>
    <n v="2.7999999998719431"/>
    <x v="0"/>
  </r>
  <r>
    <s v="TCK-23091"/>
    <d v="2026-06-06T04:17:00"/>
    <s v="Technical Support"/>
    <x v="6"/>
    <x v="5"/>
    <x v="3"/>
    <x v="0"/>
    <x v="2"/>
    <n v="8"/>
    <x v="5"/>
    <s v="Missing Resolve Date"/>
    <s v="No"/>
    <m/>
    <s v="Not Specified"/>
    <s v=""/>
    <x v="1"/>
  </r>
  <r>
    <s v="TCK-20699"/>
    <d v="2026-01-18T23:06:00"/>
    <s v="Technical Support"/>
    <x v="4"/>
    <x v="1"/>
    <x v="2"/>
    <x v="0"/>
    <x v="1"/>
    <n v="48"/>
    <x v="5"/>
    <s v="Missing Resolve Date"/>
    <s v="No"/>
    <m/>
    <s v="Not Specified"/>
    <s v=""/>
    <x v="1"/>
  </r>
  <r>
    <s v="TCK-21642"/>
    <d v="2026-07-21T10:21:00"/>
    <s v="Tier 2 Support"/>
    <x v="3"/>
    <x v="6"/>
    <x v="3"/>
    <x v="3"/>
    <x v="2"/>
    <n v="8"/>
    <x v="5"/>
    <s v="Missing Resolve Date"/>
    <s v="No"/>
    <m/>
    <s v="Not Specified"/>
    <s v=""/>
    <x v="1"/>
  </r>
  <r>
    <s v="TCK-22785"/>
    <d v="2026-06-19T20:11:00"/>
    <s v="Billing Support"/>
    <x v="5"/>
    <x v="5"/>
    <x v="1"/>
    <x v="1"/>
    <x v="1"/>
    <n v="48"/>
    <x v="0"/>
    <d v="2026-06-23T00:09:00"/>
    <s v="No"/>
    <m/>
    <s v="Customer Requested Refund"/>
    <n v="75.966666666674428"/>
    <x v="2"/>
  </r>
  <r>
    <s v="TCK-22298"/>
    <d v="2026-03-12T15:55:00"/>
    <s v="Technical Support"/>
    <x v="6"/>
    <x v="1"/>
    <x v="1"/>
    <x v="0"/>
    <x v="0"/>
    <n v="24"/>
    <x v="0"/>
    <s v="Missing Resolve Date"/>
    <s v="No"/>
    <m/>
    <s v="Not Specified"/>
    <s v=""/>
    <x v="2"/>
  </r>
  <r>
    <s v="TCK-22517"/>
    <d v="2026-07-13T04:20:00"/>
    <s v="Tier 2 Support"/>
    <x v="2"/>
    <x v="0"/>
    <x v="0"/>
    <x v="5"/>
    <x v="0"/>
    <n v="24"/>
    <x v="0"/>
    <d v="2026-07-13T13:49:00"/>
    <s v="Yes"/>
    <n v="5"/>
    <s v="Escalated To Senior Agent"/>
    <n v="9.4833333333372138"/>
    <x v="0"/>
  </r>
  <r>
    <s v="TCK-20767"/>
    <d v="2026-08-22T14:55:00"/>
    <s v="Billing Support"/>
    <x v="5"/>
    <x v="3"/>
    <x v="1"/>
    <x v="0"/>
    <x v="2"/>
    <n v="8"/>
    <x v="2"/>
    <s v="Missing Resolve Date"/>
    <s v="No"/>
    <n v="5"/>
    <s v="Awaiting Customer Response"/>
    <s v=""/>
    <x v="1"/>
  </r>
  <r>
    <s v="TCK-21622"/>
    <d v="2026-01-21T14:04:00"/>
    <s v="Technical Support"/>
    <x v="6"/>
    <x v="6"/>
    <x v="1"/>
    <x v="1"/>
    <x v="0"/>
    <n v="24"/>
    <x v="0"/>
    <d v="2026-01-21T20:07:00"/>
    <s v="No"/>
    <n v="4"/>
    <s v="Not Specified"/>
    <n v="6.0499999999883585"/>
    <x v="0"/>
  </r>
  <r>
    <s v="TCK-22945"/>
    <d v="2026-04-30T13:46:00"/>
    <s v="Tier 1 Support"/>
    <x v="1"/>
    <x v="3"/>
    <x v="1"/>
    <x v="0"/>
    <x v="0"/>
    <n v="24"/>
    <x v="2"/>
    <d v="2026-05-01T03:47:00"/>
    <s v="No"/>
    <n v="4"/>
    <s v="Not Specified"/>
    <n v="14.016666666604578"/>
    <x v="1"/>
  </r>
  <r>
    <s v="TCK-21685"/>
    <d v="2026-05-20T04:08:00"/>
    <s v="Billing Support"/>
    <x v="5"/>
    <x v="1"/>
    <x v="1"/>
    <x v="3"/>
    <x v="1"/>
    <n v="48"/>
    <x v="4"/>
    <s v="Missing Resolve Date"/>
    <s v="Yes"/>
    <m/>
    <s v="Escalated To Senior Agent"/>
    <s v=""/>
    <x v="1"/>
  </r>
  <r>
    <s v="TCK-22182"/>
    <d v="2026-08-30T06:18:00"/>
    <s v="Tier 2 Support"/>
    <x v="2"/>
    <x v="4"/>
    <x v="0"/>
    <x v="5"/>
    <x v="1"/>
    <n v="48"/>
    <x v="0"/>
    <d v="2026-08-30T20:40:00"/>
    <s v="No"/>
    <n v="3"/>
    <s v="Technical Issue Resolved Remotely"/>
    <n v="14.366666666697711"/>
    <x v="0"/>
  </r>
  <r>
    <s v="TCK-21822"/>
    <d v="2026-06-14T14:46:00"/>
    <s v="Technical Support"/>
    <x v="6"/>
    <x v="3"/>
    <x v="1"/>
    <x v="1"/>
    <x v="2"/>
    <n v="8"/>
    <x v="2"/>
    <d v="2026-06-14T15:43:00"/>
    <s v="No"/>
    <n v="3"/>
    <s v="Technical Issue Resolved Remotely"/>
    <n v="0.95000000012805685"/>
    <x v="1"/>
  </r>
  <r>
    <s v="TCK-20752"/>
    <d v="2026-07-18T08:47:00"/>
    <s v="Tier 2 Support"/>
    <x v="3"/>
    <x v="3"/>
    <x v="2"/>
    <x v="3"/>
    <x v="0"/>
    <n v="24"/>
    <x v="4"/>
    <s v="Missing Resolve Date"/>
    <s v="Yes"/>
    <m/>
    <s v="Awaiting Customer Response"/>
    <s v=""/>
    <x v="1"/>
  </r>
  <r>
    <s v="TCK-22744"/>
    <d v="2026-01-28T12:07:00"/>
    <s v="Technical Support"/>
    <x v="4"/>
    <x v="3"/>
    <x v="1"/>
    <x v="0"/>
    <x v="0"/>
    <n v="24"/>
    <x v="3"/>
    <d v="2026-01-29T01:34:00"/>
    <s v="No"/>
    <m/>
    <s v="Not Specified"/>
    <n v="13.450000000011642"/>
    <x v="1"/>
  </r>
  <r>
    <s v="TCK-21310"/>
    <d v="2026-03-29T15:37:00"/>
    <s v="Tier 2 Support"/>
    <x v="2"/>
    <x v="3"/>
    <x v="3"/>
    <x v="3"/>
    <x v="1"/>
    <n v="48"/>
    <x v="2"/>
    <d v="2026-03-31T09:25:00"/>
    <s v="No"/>
    <m/>
    <s v="Not Specified"/>
    <n v="41.800000000046566"/>
    <x v="1"/>
  </r>
  <r>
    <s v="TCK-22806"/>
    <d v="2026-01-13T13:47:00"/>
    <s v="Technical Support"/>
    <x v="6"/>
    <x v="4"/>
    <x v="0"/>
    <x v="4"/>
    <x v="2"/>
    <n v="8"/>
    <x v="0"/>
    <d v="2026-01-13T19:03:00"/>
    <s v="Yes"/>
    <n v="5"/>
    <s v="Not Specified"/>
    <n v="5.2666666665463708"/>
    <x v="0"/>
  </r>
  <r>
    <s v="TCK-20073"/>
    <d v="2026-02-13T16:47:00"/>
    <s v="Tier 1 Support"/>
    <x v="1"/>
    <x v="5"/>
    <x v="0"/>
    <x v="2"/>
    <x v="0"/>
    <n v="24"/>
    <x v="1"/>
    <s v="Missing Resolve Date"/>
    <s v="No"/>
    <m/>
    <s v="Customer Satisfied With Resolution"/>
    <s v=""/>
    <x v="1"/>
  </r>
  <r>
    <s v="TCK-22601"/>
    <d v="2026-06-19T22:17:00"/>
    <s v="Billing Support"/>
    <x v="0"/>
    <x v="4"/>
    <x v="1"/>
    <x v="5"/>
    <x v="0"/>
    <n v="24"/>
    <x v="0"/>
    <d v="2026-06-20T19:13:00"/>
    <s v="No"/>
    <n v="4"/>
    <s v="Not Specified"/>
    <n v="20.933333333290648"/>
    <x v="0"/>
  </r>
  <r>
    <s v="TCK-22065"/>
    <d v="2026-05-06T20:43:00"/>
    <s v="Technical Support"/>
    <x v="4"/>
    <x v="2"/>
    <x v="0"/>
    <x v="1"/>
    <x v="1"/>
    <n v="48"/>
    <x v="2"/>
    <d v="2026-05-07T16:14:00"/>
    <s v="No"/>
    <n v="4"/>
    <s v="Customer Requested Refund"/>
    <n v="19.516666666720994"/>
    <x v="1"/>
  </r>
  <r>
    <s v="TCK-21193"/>
    <d v="2026-02-16T02:37:00"/>
    <s v="Tier 1 Support"/>
    <x v="7"/>
    <x v="4"/>
    <x v="1"/>
    <x v="2"/>
    <x v="0"/>
    <n v="24"/>
    <x v="0"/>
    <d v="2026-02-16T05:51:00"/>
    <s v="No"/>
    <m/>
    <s v="Not Specified"/>
    <n v="3.2333333333954215"/>
    <x v="0"/>
  </r>
  <r>
    <s v="TCK-21509"/>
    <d v="2026-03-23T01:29:00"/>
    <s v="Technical Support"/>
    <x v="4"/>
    <x v="3"/>
    <x v="0"/>
    <x v="2"/>
    <x v="1"/>
    <n v="48"/>
    <x v="4"/>
    <s v="Missing Resolve Date"/>
    <s v="Yes"/>
    <m/>
    <s v="Awaiting Customer Response"/>
    <s v=""/>
    <x v="1"/>
  </r>
  <r>
    <s v="TCK-22544"/>
    <d v="2026-06-17T11:37:00"/>
    <s v="Billing Support"/>
    <x v="0"/>
    <x v="6"/>
    <x v="3"/>
    <x v="2"/>
    <x v="2"/>
    <n v="8"/>
    <x v="4"/>
    <s v="Missing Resolve Date"/>
    <s v="Yes"/>
    <m/>
    <s v="Repeat Issue From Same Customer"/>
    <s v=""/>
    <x v="1"/>
  </r>
  <r>
    <s v="TCK-21429"/>
    <d v="2026-01-20T02:45:00"/>
    <s v="Billing Support"/>
    <x v="5"/>
    <x v="6"/>
    <x v="3"/>
    <x v="1"/>
    <x v="1"/>
    <n v="48"/>
    <x v="0"/>
    <s v="Missing Resolve Date"/>
    <s v="No"/>
    <n v="4"/>
    <s v="Not Specified"/>
    <s v=""/>
    <x v="2"/>
  </r>
  <r>
    <s v="TCK-21335"/>
    <d v="2026-01-15T23:01:00"/>
    <s v="Tier 2 Support"/>
    <x v="2"/>
    <x v="4"/>
    <x v="0"/>
    <x v="2"/>
    <x v="2"/>
    <n v="8"/>
    <x v="0"/>
    <d v="2026-01-16T19:27:00"/>
    <s v="No"/>
    <n v="4"/>
    <s v="Repeat Issue From Same Customer"/>
    <n v="20.433333333407063"/>
    <x v="2"/>
  </r>
  <r>
    <s v="TCK-20092"/>
    <d v="2026-03-28T17:56:00"/>
    <s v="Tier 1 Support"/>
    <x v="1"/>
    <x v="5"/>
    <x v="0"/>
    <x v="0"/>
    <x v="0"/>
    <n v="24"/>
    <x v="0"/>
    <d v="2026-03-29T08:48:00"/>
    <s v="No"/>
    <m/>
    <s v="Customer Requested Refund"/>
    <n v="14.866666666755918"/>
    <x v="0"/>
  </r>
  <r>
    <s v="TCK-20611"/>
    <d v="2026-08-12T19:51:00"/>
    <s v="Tier 2 Support"/>
    <x v="3"/>
    <x v="3"/>
    <x v="1"/>
    <x v="3"/>
    <x v="2"/>
    <n v="8"/>
    <x v="0"/>
    <d v="2026-08-12T22:53:00"/>
    <s v="No"/>
    <m/>
    <s v="Not Specified"/>
    <n v="3.0333333334419876"/>
    <x v="0"/>
  </r>
  <r>
    <s v="TCK-20021"/>
    <d v="2026-06-27T06:47:00"/>
    <s v="Tier 1 Support"/>
    <x v="7"/>
    <x v="3"/>
    <x v="3"/>
    <x v="0"/>
    <x v="1"/>
    <n v="48"/>
    <x v="2"/>
    <d v="2026-06-28T06:16:00"/>
    <s v="No"/>
    <n v="4"/>
    <s v="Customer Requested Refund"/>
    <n v="23.483333333395422"/>
    <x v="1"/>
  </r>
  <r>
    <s v="TCK-20310"/>
    <d v="2026-01-02T20:33:00"/>
    <s v="Technical Support"/>
    <x v="4"/>
    <x v="2"/>
    <x v="1"/>
    <x v="5"/>
    <x v="2"/>
    <n v="8"/>
    <x v="0"/>
    <d v="2026-01-02T23:07:00"/>
    <s v="No"/>
    <m/>
    <s v="Not Specified"/>
    <n v="2.5666666666511446"/>
    <x v="0"/>
  </r>
  <r>
    <s v="TCK-22343"/>
    <d v="2026-06-28T23:09:00"/>
    <s v="Tier 1 Support"/>
    <x v="7"/>
    <x v="2"/>
    <x v="3"/>
    <x v="4"/>
    <x v="2"/>
    <n v="8"/>
    <x v="2"/>
    <d v="2026-06-28T23:41:00"/>
    <s v="Yes"/>
    <m/>
    <s v="Not Specified"/>
    <n v="0.53333333332557231"/>
    <x v="1"/>
  </r>
  <r>
    <s v="TCK-20218"/>
    <d v="2026-05-11T05:30:00"/>
    <s v="Tier 2 Support"/>
    <x v="3"/>
    <x v="4"/>
    <x v="2"/>
    <x v="4"/>
    <x v="1"/>
    <n v="48"/>
    <x v="3"/>
    <d v="2026-05-11T07:27:00"/>
    <s v="No"/>
    <m/>
    <s v="Customer Satisfied With Resolution"/>
    <n v="1.9500000000698492"/>
    <x v="1"/>
  </r>
  <r>
    <s v="TCK-20154"/>
    <d v="2026-07-01T09:34:00"/>
    <s v="Technical Support"/>
    <x v="4"/>
    <x v="0"/>
    <x v="2"/>
    <x v="4"/>
    <x v="0"/>
    <n v="24"/>
    <x v="0"/>
    <d v="2026-07-01T12:32:00"/>
    <s v="No"/>
    <n v="5"/>
    <s v="Not Specified"/>
    <n v="2.9666666667326353"/>
    <x v="0"/>
  </r>
  <r>
    <s v="TCK-20837"/>
    <d v="2026-06-23T21:22:00"/>
    <s v="Tier 1 Support"/>
    <x v="1"/>
    <x v="1"/>
    <x v="2"/>
    <x v="5"/>
    <x v="2"/>
    <n v="8"/>
    <x v="0"/>
    <d v="2026-06-24T03:47:00"/>
    <s v="No"/>
    <n v="5"/>
    <s v="Customer Satisfied With Resolution"/>
    <n v="6.4166666666278616"/>
    <x v="0"/>
  </r>
  <r>
    <s v="TCK-23135"/>
    <d v="2026-03-04T12:37:00"/>
    <s v="Tier 1 Support"/>
    <x v="7"/>
    <x v="4"/>
    <x v="1"/>
    <x v="1"/>
    <x v="1"/>
    <n v="48"/>
    <x v="3"/>
    <d v="2026-03-04T13:49:00"/>
    <s v="No"/>
    <m/>
    <s v="Required Follow-Up Call"/>
    <n v="1.2000000000698492"/>
    <x v="1"/>
  </r>
  <r>
    <s v="TCK-21792"/>
    <d v="2026-03-06T04:11:00"/>
    <s v="Tier 1 Support"/>
    <x v="7"/>
    <x v="5"/>
    <x v="0"/>
    <x v="5"/>
    <x v="0"/>
    <n v="24"/>
    <x v="1"/>
    <s v="Missing Resolve Date"/>
    <s v="No"/>
    <m/>
    <s v="Customer Satisfied With Resolution"/>
    <s v=""/>
    <x v="1"/>
  </r>
  <r>
    <s v="TCK-22815"/>
    <d v="2026-05-29T08:11:00"/>
    <s v="Technical Support"/>
    <x v="6"/>
    <x v="3"/>
    <x v="1"/>
    <x v="2"/>
    <x v="1"/>
    <n v="48"/>
    <x v="0"/>
    <d v="2026-05-29T12:40:00"/>
    <s v="No"/>
    <n v="3"/>
    <s v="Resolved On First Contact"/>
    <n v="4.4833333334536292"/>
    <x v="0"/>
  </r>
  <r>
    <s v="TCK-22096"/>
    <d v="2026-07-11T20:59:00"/>
    <s v="Tier 2 Support"/>
    <x v="3"/>
    <x v="5"/>
    <x v="3"/>
    <x v="1"/>
    <x v="2"/>
    <n v="8"/>
    <x v="2"/>
    <d v="2026-07-12T01:17:00"/>
    <s v="Yes"/>
    <n v="3"/>
    <s v="Escalated To Senior Agent"/>
    <n v="4.3000000000465661"/>
    <x v="1"/>
  </r>
  <r>
    <s v="TCK-21939"/>
    <d v="2026-06-29T06:05:00"/>
    <s v="Tier 2 Support"/>
    <x v="3"/>
    <x v="2"/>
    <x v="3"/>
    <x v="3"/>
    <x v="0"/>
    <n v="24"/>
    <x v="4"/>
    <s v="Missing Resolve Date"/>
    <s v="Yes"/>
    <m/>
    <s v="Required Follow-Up Call"/>
    <s v=""/>
    <x v="1"/>
  </r>
  <r>
    <s v="TCK-21373"/>
    <d v="2026-02-19T13:50:00"/>
    <s v="Technical Support"/>
    <x v="6"/>
    <x v="4"/>
    <x v="2"/>
    <x v="4"/>
    <x v="0"/>
    <n v="24"/>
    <x v="0"/>
    <d v="2026-02-19T14:21:00"/>
    <s v="No"/>
    <m/>
    <s v="Resolved On First Contact"/>
    <n v="0.5166666666045785"/>
    <x v="0"/>
  </r>
  <r>
    <s v="TCK-22211"/>
    <d v="2026-04-13T15:55:00"/>
    <s v="Billing Support"/>
    <x v="0"/>
    <x v="6"/>
    <x v="3"/>
    <x v="2"/>
    <x v="2"/>
    <n v="8"/>
    <x v="0"/>
    <d v="2026-04-13T17:31:00"/>
    <s v="No"/>
    <n v="4"/>
    <s v="Awaiting Customer Response"/>
    <n v="1.5999999999767169"/>
    <x v="0"/>
  </r>
  <r>
    <s v="TCK-21930"/>
    <d v="2026-07-12T14:43:00"/>
    <s v="Technical Support"/>
    <x v="6"/>
    <x v="4"/>
    <x v="3"/>
    <x v="1"/>
    <x v="2"/>
    <n v="8"/>
    <x v="2"/>
    <d v="2026-07-12T17:41:00"/>
    <s v="No"/>
    <m/>
    <s v="Customer Satisfied With Resolution"/>
    <n v="2.9666666667326353"/>
    <x v="1"/>
  </r>
  <r>
    <s v="TCK-20858"/>
    <d v="2026-05-04T09:30:00"/>
    <s v="Billing Support"/>
    <x v="0"/>
    <x v="0"/>
    <x v="3"/>
    <x v="1"/>
    <x v="3"/>
    <n v="4"/>
    <x v="0"/>
    <d v="2026-05-04T12:45:00"/>
    <s v="No"/>
    <m/>
    <s v="Required Follow-Up Call"/>
    <n v="3.2499999999417923"/>
    <x v="0"/>
  </r>
  <r>
    <s v="TCK-22357"/>
    <d v="2026-01-23T11:05:00"/>
    <s v="Technical Support"/>
    <x v="6"/>
    <x v="4"/>
    <x v="3"/>
    <x v="3"/>
    <x v="3"/>
    <n v="4"/>
    <x v="2"/>
    <d v="2026-01-23T14:18:00"/>
    <s v="No"/>
    <n v="3"/>
    <s v="Technical Issue Resolved Remotely"/>
    <n v="3.2166666666744277"/>
    <x v="1"/>
  </r>
  <r>
    <s v="TCK-20806"/>
    <d v="2026-05-20T13:59:00"/>
    <s v="Technical Support"/>
    <x v="4"/>
    <x v="5"/>
    <x v="0"/>
    <x v="3"/>
    <x v="1"/>
    <n v="48"/>
    <x v="4"/>
    <s v="Missing Resolve Date"/>
    <s v="Yes"/>
    <m/>
    <s v="Not Specified"/>
    <s v=""/>
    <x v="1"/>
  </r>
  <r>
    <s v="TCK-22758"/>
    <d v="2026-06-16T02:14:00"/>
    <s v="Billing Support"/>
    <x v="0"/>
    <x v="2"/>
    <x v="3"/>
    <x v="2"/>
    <x v="1"/>
    <n v="48"/>
    <x v="0"/>
    <d v="2026-06-16T18:36:00"/>
    <s v="No"/>
    <n v="5"/>
    <s v="Customer Requested Refund"/>
    <n v="16.366666666755918"/>
    <x v="0"/>
  </r>
  <r>
    <s v="TCK-20232"/>
    <d v="2026-08-06T09:29:00"/>
    <s v="Billing Support"/>
    <x v="5"/>
    <x v="6"/>
    <x v="2"/>
    <x v="3"/>
    <x v="0"/>
    <n v="24"/>
    <x v="1"/>
    <s v="Missing Resolve Date"/>
    <s v="No"/>
    <m/>
    <s v="Not Specified"/>
    <s v=""/>
    <x v="1"/>
  </r>
  <r>
    <s v="TCK-20304"/>
    <d v="2026-08-30T21:45:00"/>
    <s v="Tier 2 Support"/>
    <x v="2"/>
    <x v="3"/>
    <x v="1"/>
    <x v="5"/>
    <x v="2"/>
    <n v="8"/>
    <x v="4"/>
    <s v="Missing Resolve Date"/>
    <s v="Yes"/>
    <m/>
    <s v="Customer Satisfied With Resolution"/>
    <s v=""/>
    <x v="1"/>
  </r>
  <r>
    <s v="TCK-22463"/>
    <d v="2026-03-05T10:25:00"/>
    <s v="Tier 1 Support"/>
    <x v="1"/>
    <x v="5"/>
    <x v="2"/>
    <x v="0"/>
    <x v="0"/>
    <n v="24"/>
    <x v="0"/>
    <d v="2026-03-06T04:05:00"/>
    <s v="Yes"/>
    <m/>
    <s v="Technical Issue Resolved Remotely"/>
    <n v="17.666666666627862"/>
    <x v="0"/>
  </r>
  <r>
    <s v="TCK-20590"/>
    <d v="2026-04-25T18:45:00"/>
    <s v="Tier 1 Support"/>
    <x v="1"/>
    <x v="3"/>
    <x v="3"/>
    <x v="5"/>
    <x v="1"/>
    <n v="48"/>
    <x v="2"/>
    <d v="2026-04-26T22:55:00"/>
    <s v="No"/>
    <n v="5"/>
    <s v="Technical Issue Resolved Remotely"/>
    <n v="28.166666666627862"/>
    <x v="1"/>
  </r>
  <r>
    <s v="TCK-22223"/>
    <d v="2026-03-26T00:24:00"/>
    <s v="Tier 2 Support"/>
    <x v="3"/>
    <x v="6"/>
    <x v="1"/>
    <x v="1"/>
    <x v="3"/>
    <n v="4"/>
    <x v="2"/>
    <d v="2026-03-26T07:07:00"/>
    <s v="No"/>
    <n v="5"/>
    <s v="Required Follow-Up Call"/>
    <n v="6.7166666665580124"/>
    <x v="1"/>
  </r>
  <r>
    <s v="TCK-21933"/>
    <d v="2026-03-21T12:26:00"/>
    <s v="Tier 1 Support"/>
    <x v="7"/>
    <x v="6"/>
    <x v="2"/>
    <x v="1"/>
    <x v="1"/>
    <n v="48"/>
    <x v="5"/>
    <s v="Missing Resolve Date"/>
    <s v="No"/>
    <m/>
    <s v="Escalated To Senior Agent"/>
    <s v=""/>
    <x v="1"/>
  </r>
  <r>
    <s v="TCK-21985"/>
    <d v="2026-08-27T05:37:00"/>
    <s v="Billing Support"/>
    <x v="5"/>
    <x v="4"/>
    <x v="1"/>
    <x v="2"/>
    <x v="2"/>
    <n v="8"/>
    <x v="0"/>
    <d v="2026-08-27T09:47:00"/>
    <s v="No"/>
    <n v="4"/>
    <s v="Escalated To Senior Agent"/>
    <n v="4.1666666666278616"/>
    <x v="0"/>
  </r>
  <r>
    <s v="TCK-20003"/>
    <d v="2026-07-31T13:19:00"/>
    <s v="Tier 2 Support"/>
    <x v="3"/>
    <x v="0"/>
    <x v="2"/>
    <x v="3"/>
    <x v="2"/>
    <n v="8"/>
    <x v="0"/>
    <d v="2026-07-31T16:57:00"/>
    <s v="No"/>
    <n v="5"/>
    <s v="Technical Issue Resolved Remotely"/>
    <n v="3.6333333334769122"/>
    <x v="0"/>
  </r>
  <r>
    <s v="TCK-22248"/>
    <d v="2026-07-02T05:06:00"/>
    <s v="Tier 1 Support"/>
    <x v="7"/>
    <x v="6"/>
    <x v="0"/>
    <x v="2"/>
    <x v="0"/>
    <n v="24"/>
    <x v="1"/>
    <s v="Missing Resolve Date"/>
    <s v="No"/>
    <m/>
    <s v="Technical Issue Resolved Remotely"/>
    <s v=""/>
    <x v="1"/>
  </r>
  <r>
    <s v="TCK-20357"/>
    <d v="2026-04-11T09:05:00"/>
    <s v="Tier 2 Support"/>
    <x v="2"/>
    <x v="1"/>
    <x v="2"/>
    <x v="1"/>
    <x v="0"/>
    <n v="24"/>
    <x v="5"/>
    <s v="Missing Resolve Date"/>
    <s v="No"/>
    <m/>
    <s v="Required Follow-Up Call"/>
    <s v=""/>
    <x v="1"/>
  </r>
  <r>
    <s v="TCK-21823"/>
    <d v="2026-06-14T09:45:00"/>
    <s v="Technical Support"/>
    <x v="6"/>
    <x v="5"/>
    <x v="1"/>
    <x v="5"/>
    <x v="1"/>
    <n v="48"/>
    <x v="4"/>
    <s v="Missing Resolve Date"/>
    <s v="Yes"/>
    <m/>
    <s v="Customer Satisfied With Resolution"/>
    <s v=""/>
    <x v="1"/>
  </r>
  <r>
    <s v="TCK-22956"/>
    <d v="2026-03-02T13:30:00"/>
    <s v="Technical Support"/>
    <x v="4"/>
    <x v="4"/>
    <x v="0"/>
    <x v="1"/>
    <x v="3"/>
    <n v="4"/>
    <x v="2"/>
    <d v="2026-03-02T14:50:00"/>
    <s v="No"/>
    <n v="5"/>
    <s v="Escalated To Senior Agent"/>
    <n v="1.3333333333139308"/>
    <x v="1"/>
  </r>
  <r>
    <s v="TCK-20363"/>
    <d v="2026-07-19T17:52:00"/>
    <s v="Tier 2 Support"/>
    <x v="2"/>
    <x v="2"/>
    <x v="2"/>
    <x v="2"/>
    <x v="1"/>
    <n v="48"/>
    <x v="0"/>
    <d v="2026-07-20T07:36:00"/>
    <s v="No"/>
    <m/>
    <s v="Not Specified"/>
    <n v="13.733333333395422"/>
    <x v="0"/>
  </r>
  <r>
    <s v="TCK-21773"/>
    <d v="2026-07-30T08:14:00"/>
    <s v="Tier 2 Support"/>
    <x v="3"/>
    <x v="5"/>
    <x v="1"/>
    <x v="5"/>
    <x v="3"/>
    <n v="4"/>
    <x v="0"/>
    <d v="2026-07-30T13:24:00"/>
    <s v="No"/>
    <n v="3"/>
    <s v="Awaiting Customer Response"/>
    <n v="5.1666666667442769"/>
    <x v="2"/>
  </r>
  <r>
    <s v="TCK-21515"/>
    <d v="2026-08-26T14:48:00"/>
    <s v="Technical Support"/>
    <x v="4"/>
    <x v="3"/>
    <x v="3"/>
    <x v="2"/>
    <x v="3"/>
    <n v="4"/>
    <x v="0"/>
    <d v="2026-08-26T15:34:00"/>
    <s v="No"/>
    <n v="3"/>
    <s v="Customer Requested Refund"/>
    <n v="0.76666666654637083"/>
    <x v="0"/>
  </r>
  <r>
    <s v="TCK-21412"/>
    <d v="2026-04-24T02:58:00"/>
    <s v="Tier 1 Support"/>
    <x v="7"/>
    <x v="1"/>
    <x v="3"/>
    <x v="1"/>
    <x v="1"/>
    <n v="48"/>
    <x v="2"/>
    <d v="2026-04-24T21:30:00"/>
    <s v="No"/>
    <n v="2"/>
    <s v="Technical Issue Resolved Remotely"/>
    <n v="18.533333333325572"/>
    <x v="1"/>
  </r>
  <r>
    <s v="TCK-20246"/>
    <d v="2026-03-08T23:50:00"/>
    <s v="Billing Support"/>
    <x v="5"/>
    <x v="3"/>
    <x v="1"/>
    <x v="2"/>
    <x v="0"/>
    <n v="24"/>
    <x v="2"/>
    <d v="2026-03-09T07:27:00"/>
    <s v="No"/>
    <m/>
    <s v="Awaiting Customer Response"/>
    <n v="7.6166666666977108"/>
    <x v="1"/>
  </r>
  <r>
    <s v="TCK-21398"/>
    <d v="2026-05-17T11:19:00"/>
    <s v="Billing Support"/>
    <x v="0"/>
    <x v="3"/>
    <x v="0"/>
    <x v="1"/>
    <x v="1"/>
    <n v="48"/>
    <x v="0"/>
    <d v="2026-05-17T17:18:00"/>
    <s v="No"/>
    <n v="3"/>
    <s v="Awaiting Customer Response"/>
    <n v="5.9833333332790062"/>
    <x v="0"/>
  </r>
  <r>
    <s v="TCK-20472"/>
    <d v="2026-07-31T21:42:00"/>
    <s v="Billing Support"/>
    <x v="5"/>
    <x v="3"/>
    <x v="2"/>
    <x v="2"/>
    <x v="1"/>
    <n v="48"/>
    <x v="5"/>
    <s v="Missing Resolve Date"/>
    <s v="No"/>
    <m/>
    <s v="Escalated To Senior Agent"/>
    <s v=""/>
    <x v="1"/>
  </r>
  <r>
    <s v="TCK-20320"/>
    <d v="2026-07-09T10:45:00"/>
    <s v="Tier 2 Support"/>
    <x v="3"/>
    <x v="6"/>
    <x v="1"/>
    <x v="2"/>
    <x v="0"/>
    <n v="24"/>
    <x v="0"/>
    <d v="2026-07-12T02:06:00"/>
    <s v="No"/>
    <n v="1"/>
    <s v="Escalated To Senior Agent"/>
    <n v="63.350000000093132"/>
    <x v="2"/>
  </r>
  <r>
    <s v="TCK-20844"/>
    <d v="2026-08-27T23:29:00"/>
    <s v="Technical Support"/>
    <x v="6"/>
    <x v="1"/>
    <x v="1"/>
    <x v="4"/>
    <x v="0"/>
    <n v="24"/>
    <x v="0"/>
    <d v="2026-08-30T13:15:00"/>
    <s v="No"/>
    <n v="1"/>
    <s v="Required Follow-Up Call"/>
    <n v="61.766666666662786"/>
    <x v="2"/>
  </r>
  <r>
    <s v="TCK-22835"/>
    <d v="2026-06-04T20:23:00"/>
    <s v="Billing Support"/>
    <x v="0"/>
    <x v="4"/>
    <x v="1"/>
    <x v="2"/>
    <x v="0"/>
    <n v="24"/>
    <x v="2"/>
    <d v="2026-06-05T08:41:00"/>
    <s v="No"/>
    <n v="2"/>
    <s v="Technical Issue Resolved Remotely"/>
    <n v="12.299999999930151"/>
    <x v="1"/>
  </r>
  <r>
    <s v="TCK-22397"/>
    <d v="2026-04-11T00:45:00"/>
    <s v="Billing Support"/>
    <x v="5"/>
    <x v="5"/>
    <x v="0"/>
    <x v="4"/>
    <x v="2"/>
    <n v="8"/>
    <x v="2"/>
    <d v="2026-04-11T07:56:00"/>
    <s v="No"/>
    <m/>
    <s v="Repeat Issue From Same Customer"/>
    <n v="7.1833333333488554"/>
    <x v="1"/>
  </r>
  <r>
    <s v="TCK-20942"/>
    <d v="2026-04-29T08:52:00"/>
    <s v="Technical Support"/>
    <x v="4"/>
    <x v="4"/>
    <x v="2"/>
    <x v="0"/>
    <x v="2"/>
    <n v="8"/>
    <x v="0"/>
    <d v="2026-04-30T06:12:00"/>
    <s v="No"/>
    <n v="3"/>
    <s v="Not Specified"/>
    <n v="21.333333333372138"/>
    <x v="2"/>
  </r>
  <r>
    <s v="TCK-21105"/>
    <d v="2026-08-28T21:17:00"/>
    <s v="Technical Support"/>
    <x v="4"/>
    <x v="2"/>
    <x v="2"/>
    <x v="1"/>
    <x v="0"/>
    <n v="24"/>
    <x v="0"/>
    <d v="2026-08-30T16:06:00"/>
    <s v="No"/>
    <n v="5"/>
    <s v="Customer Requested Refund"/>
    <n v="42.816666666534729"/>
    <x v="2"/>
  </r>
  <r>
    <s v="TCK-21305"/>
    <d v="2026-03-03T17:25:00"/>
    <s v="Billing Support"/>
    <x v="0"/>
    <x v="5"/>
    <x v="3"/>
    <x v="0"/>
    <x v="2"/>
    <n v="8"/>
    <x v="5"/>
    <s v="Missing Resolve Date"/>
    <s v="Yes"/>
    <m/>
    <s v="Repeat Issue From Same Customer"/>
    <s v=""/>
    <x v="1"/>
  </r>
  <r>
    <s v="TCK-20448"/>
    <d v="2026-01-02T07:34:00"/>
    <s v="Technical Support"/>
    <x v="4"/>
    <x v="0"/>
    <x v="2"/>
    <x v="3"/>
    <x v="1"/>
    <n v="48"/>
    <x v="3"/>
    <d v="2026-01-02T22:23:00"/>
    <s v="No"/>
    <m/>
    <s v="Escalated To Senior Agent"/>
    <n v="14.816666666592937"/>
    <x v="1"/>
  </r>
  <r>
    <s v="TCK-21553"/>
    <d v="2026-03-23T01:26:00"/>
    <s v="Billing Support"/>
    <x v="5"/>
    <x v="0"/>
    <x v="0"/>
    <x v="3"/>
    <x v="2"/>
    <n v="8"/>
    <x v="4"/>
    <s v="Missing Resolve Date"/>
    <s v="Yes"/>
    <m/>
    <s v="Awaiting Customer Response"/>
    <s v=""/>
    <x v="1"/>
  </r>
  <r>
    <s v="TCK-22803"/>
    <d v="2026-02-20T16:19:00"/>
    <s v="Billing Support"/>
    <x v="0"/>
    <x v="2"/>
    <x v="1"/>
    <x v="4"/>
    <x v="0"/>
    <n v="24"/>
    <x v="5"/>
    <s v="Missing Resolve Date"/>
    <s v="No"/>
    <m/>
    <s v="Customer Satisfied With Resolution"/>
    <s v=""/>
    <x v="1"/>
  </r>
  <r>
    <s v="TCK-20354"/>
    <d v="2026-04-10T01:25:00"/>
    <s v="Technical Support"/>
    <x v="4"/>
    <x v="1"/>
    <x v="3"/>
    <x v="5"/>
    <x v="0"/>
    <n v="24"/>
    <x v="2"/>
    <d v="2026-04-11T12:32:00"/>
    <s v="No"/>
    <n v="5"/>
    <s v="Technical Issue Resolved Remotely"/>
    <n v="35.116666666581295"/>
    <x v="1"/>
  </r>
  <r>
    <s v="TCK-22866"/>
    <d v="2026-06-15T23:37:00"/>
    <s v="Tier 1 Support"/>
    <x v="7"/>
    <x v="2"/>
    <x v="3"/>
    <x v="3"/>
    <x v="0"/>
    <n v="24"/>
    <x v="2"/>
    <d v="2026-06-16T06:54:00"/>
    <s v="No"/>
    <n v="5"/>
    <s v="Not Specified"/>
    <n v="7.2833333333255723"/>
    <x v="1"/>
  </r>
  <r>
    <s v="TCK-20313"/>
    <d v="2026-03-27T19:51:00"/>
    <s v="Tier 2 Support"/>
    <x v="2"/>
    <x v="4"/>
    <x v="2"/>
    <x v="0"/>
    <x v="0"/>
    <n v="24"/>
    <x v="0"/>
    <d v="2026-03-28T05:03:00"/>
    <s v="No"/>
    <n v="5"/>
    <s v="Escalated To Senior Agent"/>
    <n v="9.2000000001280569"/>
    <x v="0"/>
  </r>
  <r>
    <s v="TCK-21722"/>
    <d v="2026-01-11T04:08:00"/>
    <s v="Tier 1 Support"/>
    <x v="1"/>
    <x v="0"/>
    <x v="2"/>
    <x v="3"/>
    <x v="1"/>
    <n v="48"/>
    <x v="4"/>
    <s v="Missing Resolve Date"/>
    <s v="Yes"/>
    <m/>
    <s v="Resolved On First Contact"/>
    <s v=""/>
    <x v="1"/>
  </r>
  <r>
    <s v="TCK-20818"/>
    <d v="2026-01-09T11:03:00"/>
    <s v="Tier 1 Support"/>
    <x v="1"/>
    <x v="6"/>
    <x v="0"/>
    <x v="2"/>
    <x v="2"/>
    <n v="8"/>
    <x v="4"/>
    <s v="Missing Resolve Date"/>
    <s v="Yes"/>
    <m/>
    <s v="Technical Issue Resolved Remotely"/>
    <s v=""/>
    <x v="1"/>
  </r>
  <r>
    <s v="TCK-20551"/>
    <d v="2026-06-04T07:53:00"/>
    <s v="Tier 1 Support"/>
    <x v="7"/>
    <x v="5"/>
    <x v="3"/>
    <x v="2"/>
    <x v="1"/>
    <n v="48"/>
    <x v="4"/>
    <s v="Missing Resolve Date"/>
    <s v="Yes"/>
    <m/>
    <s v="Repeat Issue From Same Customer"/>
    <s v=""/>
    <x v="1"/>
  </r>
  <r>
    <s v="TCK-21742"/>
    <d v="2026-07-08T13:33:00"/>
    <s v="Tier 2 Support"/>
    <x v="3"/>
    <x v="3"/>
    <x v="0"/>
    <x v="4"/>
    <x v="1"/>
    <n v="48"/>
    <x v="0"/>
    <d v="2026-07-11T00:23:00"/>
    <s v="No"/>
    <n v="4"/>
    <s v="Customer Requested Refund"/>
    <n v="58.833333333372138"/>
    <x v="2"/>
  </r>
  <r>
    <s v="TCK-22285"/>
    <d v="2026-08-11T10:36:00"/>
    <s v="Tier 1 Support"/>
    <x v="1"/>
    <x v="5"/>
    <x v="1"/>
    <x v="1"/>
    <x v="2"/>
    <n v="8"/>
    <x v="0"/>
    <d v="2026-08-11T13:36:00"/>
    <s v="No"/>
    <m/>
    <s v="Customer Satisfied With Resolution"/>
    <n v="3"/>
    <x v="0"/>
  </r>
  <r>
    <s v="TCK-21659"/>
    <d v="2026-03-13T04:28:00"/>
    <s v="Billing Support"/>
    <x v="0"/>
    <x v="1"/>
    <x v="0"/>
    <x v="2"/>
    <x v="1"/>
    <n v="48"/>
    <x v="2"/>
    <d v="2026-03-13T22:22:00"/>
    <s v="No"/>
    <n v="3"/>
    <s v="Escalated To Senior Agent"/>
    <n v="17.89999999984866"/>
    <x v="1"/>
  </r>
  <r>
    <s v="TCK-23178"/>
    <d v="2026-04-19T03:09:00"/>
    <s v="Technical Support"/>
    <x v="4"/>
    <x v="4"/>
    <x v="0"/>
    <x v="3"/>
    <x v="0"/>
    <n v="24"/>
    <x v="2"/>
    <d v="2026-04-19T07:38:00"/>
    <s v="No"/>
    <m/>
    <s v="Customer Requested Refund"/>
    <n v="4.4833333334536292"/>
    <x v="1"/>
  </r>
  <r>
    <s v="TCK-21378"/>
    <d v="2026-05-17T07:23:00"/>
    <s v="Billing Support"/>
    <x v="5"/>
    <x v="1"/>
    <x v="1"/>
    <x v="0"/>
    <x v="0"/>
    <n v="24"/>
    <x v="1"/>
    <s v="Missing Resolve Date"/>
    <s v="Yes"/>
    <m/>
    <s v="Customer Requested Refund"/>
    <s v=""/>
    <x v="1"/>
  </r>
  <r>
    <s v="TCK-22289"/>
    <d v="2026-01-05T06:28:00"/>
    <s v="Tier 2 Support"/>
    <x v="2"/>
    <x v="1"/>
    <x v="0"/>
    <x v="3"/>
    <x v="3"/>
    <n v="4"/>
    <x v="0"/>
    <d v="2026-01-05T08:33:00"/>
    <s v="No"/>
    <n v="1"/>
    <s v="Not Specified"/>
    <n v="2.0833333333139308"/>
    <x v="0"/>
  </r>
  <r>
    <s v="TCK-22946"/>
    <d v="2026-04-01T04:14:00"/>
    <s v="Tier 2 Support"/>
    <x v="2"/>
    <x v="1"/>
    <x v="2"/>
    <x v="1"/>
    <x v="3"/>
    <n v="4"/>
    <x v="5"/>
    <s v="Missing Resolve Date"/>
    <s v="No"/>
    <m/>
    <s v="Resolved On First Contact"/>
    <s v=""/>
    <x v="1"/>
  </r>
  <r>
    <s v="TCK-21005"/>
    <d v="2026-05-11T15:14:00"/>
    <s v="Tier 2 Support"/>
    <x v="2"/>
    <x v="2"/>
    <x v="3"/>
    <x v="5"/>
    <x v="0"/>
    <n v="24"/>
    <x v="0"/>
    <d v="2026-05-12T10:55:00"/>
    <s v="No"/>
    <n v="2"/>
    <s v="Customer Requested Refund"/>
    <n v="19.68333333323244"/>
    <x v="0"/>
  </r>
  <r>
    <s v="TCK-23134"/>
    <d v="2026-04-23T22:39:00"/>
    <s v="Tier 1 Support"/>
    <x v="1"/>
    <x v="1"/>
    <x v="1"/>
    <x v="4"/>
    <x v="0"/>
    <n v="24"/>
    <x v="2"/>
    <d v="2026-04-24T12:52:00"/>
    <s v="No"/>
    <m/>
    <s v="Required Follow-Up Call"/>
    <n v="14.216666666732635"/>
    <x v="1"/>
  </r>
  <r>
    <s v="TCK-21592"/>
    <d v="2026-01-17T08:22:00"/>
    <s v="Billing Support"/>
    <x v="0"/>
    <x v="0"/>
    <x v="1"/>
    <x v="5"/>
    <x v="0"/>
    <n v="24"/>
    <x v="0"/>
    <d v="2026-01-17T11:01:00"/>
    <s v="No"/>
    <m/>
    <s v="Awaiting Customer Response"/>
    <n v="2.6499999999068677"/>
    <x v="0"/>
  </r>
  <r>
    <s v="TCK-20812"/>
    <d v="2026-01-13T02:34:00"/>
    <s v="Technical Support"/>
    <x v="4"/>
    <x v="5"/>
    <x v="3"/>
    <x v="5"/>
    <x v="0"/>
    <n v="24"/>
    <x v="2"/>
    <d v="2026-01-13T05:17:00"/>
    <s v="No"/>
    <m/>
    <s v="Awaiting Customer Response"/>
    <n v="2.71666666661622"/>
    <x v="1"/>
  </r>
  <r>
    <s v="TCK-21220"/>
    <d v="2026-02-12T13:00:00"/>
    <s v="Billing Support"/>
    <x v="5"/>
    <x v="0"/>
    <x v="3"/>
    <x v="5"/>
    <x v="1"/>
    <n v="48"/>
    <x v="2"/>
    <d v="2026-02-13T20:09:00"/>
    <s v="No"/>
    <m/>
    <s v="Escalated To Senior Agent"/>
    <n v="31.150000000081491"/>
    <x v="1"/>
  </r>
  <r>
    <s v="TCK-20210"/>
    <d v="2026-08-04T12:21:00"/>
    <s v="Tier 1 Support"/>
    <x v="7"/>
    <x v="3"/>
    <x v="0"/>
    <x v="1"/>
    <x v="0"/>
    <n v="24"/>
    <x v="0"/>
    <d v="2026-08-04T17:55:00"/>
    <s v="No"/>
    <n v="1"/>
    <s v="Customer Requested Refund"/>
    <n v="5.5666666668257676"/>
    <x v="0"/>
  </r>
  <r>
    <s v="TCK-22548"/>
    <d v="2026-04-19T23:50:00"/>
    <s v="Tier 1 Support"/>
    <x v="1"/>
    <x v="4"/>
    <x v="0"/>
    <x v="3"/>
    <x v="1"/>
    <n v="48"/>
    <x v="5"/>
    <s v="Missing Resolve Date"/>
    <s v="No"/>
    <m/>
    <s v="Not Specified"/>
    <s v=""/>
    <x v="1"/>
  </r>
  <r>
    <s v="TCK-23011"/>
    <d v="2026-03-23T10:25:00"/>
    <s v="Technical Support"/>
    <x v="4"/>
    <x v="1"/>
    <x v="1"/>
    <x v="4"/>
    <x v="3"/>
    <n v="4"/>
    <x v="3"/>
    <d v="2026-03-23T11:48:00"/>
    <s v="No"/>
    <m/>
    <s v="Awaiting Customer Response"/>
    <n v="1.3833333333022892"/>
    <x v="1"/>
  </r>
  <r>
    <s v="TCK-22936"/>
    <d v="2026-01-19T22:23:00"/>
    <s v="Technical Support"/>
    <x v="6"/>
    <x v="3"/>
    <x v="0"/>
    <x v="5"/>
    <x v="2"/>
    <n v="8"/>
    <x v="5"/>
    <s v="Missing Resolve Date"/>
    <s v="No"/>
    <m/>
    <s v="Awaiting Customer Response"/>
    <s v=""/>
    <x v="1"/>
  </r>
  <r>
    <s v="TCK-22787"/>
    <d v="2026-08-06T13:25:00"/>
    <s v="Billing Support"/>
    <x v="0"/>
    <x v="2"/>
    <x v="2"/>
    <x v="3"/>
    <x v="0"/>
    <n v="24"/>
    <x v="0"/>
    <d v="2026-08-07T05:19:00"/>
    <s v="No"/>
    <n v="3"/>
    <s v="Repeat Issue From Same Customer"/>
    <n v="15.899999999965075"/>
    <x v="0"/>
  </r>
  <r>
    <s v="TCK-20822"/>
    <d v="2026-02-21T07:15:00"/>
    <s v="Tier 2 Support"/>
    <x v="2"/>
    <x v="1"/>
    <x v="0"/>
    <x v="3"/>
    <x v="2"/>
    <n v="8"/>
    <x v="0"/>
    <d v="2026-02-22T02:39:00"/>
    <s v="No"/>
    <m/>
    <s v="Technical Issue Resolved Remotely"/>
    <n v="19.400000000023283"/>
    <x v="2"/>
  </r>
  <r>
    <s v="TCK-21570"/>
    <d v="2026-04-12T14:48:00"/>
    <s v="Billing Support"/>
    <x v="0"/>
    <x v="3"/>
    <x v="2"/>
    <x v="1"/>
    <x v="0"/>
    <n v="24"/>
    <x v="5"/>
    <s v="Missing Resolve Date"/>
    <s v="No"/>
    <m/>
    <s v="Technical Issue Resolved Remotely"/>
    <s v=""/>
    <x v="1"/>
  </r>
  <r>
    <s v="TCK-20306"/>
    <d v="2026-06-27T17:12:00"/>
    <s v="Tier 2 Support"/>
    <x v="2"/>
    <x v="3"/>
    <x v="0"/>
    <x v="4"/>
    <x v="3"/>
    <n v="4"/>
    <x v="0"/>
    <d v="2026-06-27T18:57:00"/>
    <s v="No"/>
    <m/>
    <s v="Technical Issue Resolved Remotely"/>
    <n v="1.7499999999417923"/>
    <x v="0"/>
  </r>
  <r>
    <s v="TCK-22620"/>
    <d v="2026-02-01T18:14:00"/>
    <s v="Billing Support"/>
    <x v="5"/>
    <x v="5"/>
    <x v="2"/>
    <x v="3"/>
    <x v="2"/>
    <n v="8"/>
    <x v="1"/>
    <s v="Missing Resolve Date"/>
    <s v="No"/>
    <m/>
    <s v="Not Specified"/>
    <s v=""/>
    <x v="1"/>
  </r>
  <r>
    <s v="TCK-20183"/>
    <d v="2026-08-23T01:41:00"/>
    <s v="Tier 2 Support"/>
    <x v="2"/>
    <x v="6"/>
    <x v="3"/>
    <x v="5"/>
    <x v="0"/>
    <n v="24"/>
    <x v="4"/>
    <s v="Missing Resolve Date"/>
    <s v="Yes"/>
    <m/>
    <s v="Not Specified"/>
    <s v=""/>
    <x v="1"/>
  </r>
  <r>
    <s v="TCK-20909"/>
    <d v="2026-05-19T22:58:00"/>
    <s v="Tier 1 Support"/>
    <x v="1"/>
    <x v="6"/>
    <x v="1"/>
    <x v="2"/>
    <x v="2"/>
    <n v="8"/>
    <x v="3"/>
    <d v="2026-05-20T03:40:00"/>
    <s v="No"/>
    <m/>
    <s v="Required Follow-Up Call"/>
    <n v="4.7000000001280569"/>
    <x v="1"/>
  </r>
  <r>
    <s v="TCK-21059"/>
    <d v="2026-06-02T06:05:00"/>
    <s v="Tier 2 Support"/>
    <x v="3"/>
    <x v="6"/>
    <x v="0"/>
    <x v="1"/>
    <x v="0"/>
    <n v="24"/>
    <x v="0"/>
    <d v="2026-06-04T12:23:00"/>
    <s v="No"/>
    <n v="2"/>
    <s v="Escalated To Senior Agent"/>
    <n v="54.300000000104774"/>
    <x v="2"/>
  </r>
  <r>
    <s v="TCK-20795"/>
    <d v="2026-06-30T07:23:00"/>
    <s v="Tier 2 Support"/>
    <x v="3"/>
    <x v="0"/>
    <x v="0"/>
    <x v="3"/>
    <x v="1"/>
    <n v="48"/>
    <x v="2"/>
    <d v="2026-07-01T05:19:00"/>
    <s v="No"/>
    <m/>
    <s v="Repeat Issue From Same Customer"/>
    <n v="21.933333333407063"/>
    <x v="1"/>
  </r>
  <r>
    <s v="TCK-20774"/>
    <d v="2026-08-23T13:24:00"/>
    <s v="Tier 2 Support"/>
    <x v="2"/>
    <x v="6"/>
    <x v="2"/>
    <x v="4"/>
    <x v="0"/>
    <n v="24"/>
    <x v="2"/>
    <d v="2026-08-23T21:11:00"/>
    <s v="No"/>
    <n v="4"/>
    <s v="Awaiting Customer Response"/>
    <n v="7.78333333338378"/>
    <x v="1"/>
  </r>
  <r>
    <s v="TCK-21752"/>
    <d v="2026-04-10T10:38:00"/>
    <s v="Tier 1 Support"/>
    <x v="1"/>
    <x v="6"/>
    <x v="3"/>
    <x v="5"/>
    <x v="2"/>
    <n v="8"/>
    <x v="2"/>
    <d v="2026-04-11T04:20:00"/>
    <s v="Yes"/>
    <n v="1"/>
    <s v="Resolved On First Contact"/>
    <n v="17.699999999895226"/>
    <x v="1"/>
  </r>
  <r>
    <s v="TCK-22301"/>
    <d v="2026-05-22T06:22:00"/>
    <s v="Technical Support"/>
    <x v="6"/>
    <x v="0"/>
    <x v="1"/>
    <x v="2"/>
    <x v="2"/>
    <n v="8"/>
    <x v="1"/>
    <s v="Missing Resolve Date"/>
    <s v="No"/>
    <m/>
    <s v="Repeat Issue From Same Customer"/>
    <s v=""/>
    <x v="1"/>
  </r>
  <r>
    <s v="TCK-21708"/>
    <d v="2026-04-17T01:32:00"/>
    <s v="Tier 1 Support"/>
    <x v="1"/>
    <x v="2"/>
    <x v="1"/>
    <x v="5"/>
    <x v="1"/>
    <n v="48"/>
    <x v="2"/>
    <d v="2026-04-17T22:09:00"/>
    <s v="No"/>
    <n v="3"/>
    <s v="Repeat Issue From Same Customer"/>
    <n v="20.616666666814126"/>
    <x v="1"/>
  </r>
  <r>
    <s v="TCK-20456"/>
    <d v="2026-08-15T11:15:00"/>
    <s v="Tier 2 Support"/>
    <x v="3"/>
    <x v="2"/>
    <x v="0"/>
    <x v="5"/>
    <x v="1"/>
    <n v="48"/>
    <x v="2"/>
    <d v="2026-08-15T19:27:00"/>
    <s v="No"/>
    <n v="5"/>
    <s v="Repeat Issue From Same Customer"/>
    <n v="8.2000000000116415"/>
    <x v="1"/>
  </r>
  <r>
    <s v="TCK-21191"/>
    <d v="2026-02-07T21:05:00"/>
    <s v="Billing Support"/>
    <x v="0"/>
    <x v="4"/>
    <x v="2"/>
    <x v="3"/>
    <x v="1"/>
    <n v="48"/>
    <x v="0"/>
    <d v="2026-02-08T22:45:00"/>
    <s v="No"/>
    <m/>
    <s v="Awaiting Customer Response"/>
    <n v="25.666666666686069"/>
    <x v="0"/>
  </r>
  <r>
    <s v="TCK-21941"/>
    <d v="2026-01-07T18:43:00"/>
    <s v="Technical Support"/>
    <x v="4"/>
    <x v="4"/>
    <x v="2"/>
    <x v="0"/>
    <x v="0"/>
    <n v="24"/>
    <x v="0"/>
    <d v="2026-01-08T10:26:00"/>
    <s v="No"/>
    <m/>
    <s v="Technical Issue Resolved Remotely"/>
    <n v="15.716666666558012"/>
    <x v="0"/>
  </r>
  <r>
    <s v="TCK-23037"/>
    <d v="2026-03-05T05:40:00"/>
    <s v="Billing Support"/>
    <x v="5"/>
    <x v="5"/>
    <x v="2"/>
    <x v="4"/>
    <x v="3"/>
    <n v="4"/>
    <x v="0"/>
    <d v="2026-03-05T06:31:00"/>
    <s v="No"/>
    <m/>
    <s v="Not Specified"/>
    <n v="0.84999999997671694"/>
    <x v="0"/>
  </r>
  <r>
    <s v="TCK-21180"/>
    <d v="2026-03-29T02:21:00"/>
    <s v="Tier 2 Support"/>
    <x v="3"/>
    <x v="1"/>
    <x v="1"/>
    <x v="1"/>
    <x v="1"/>
    <n v="48"/>
    <x v="2"/>
    <d v="2026-03-30T00:31:00"/>
    <s v="No"/>
    <n v="4"/>
    <s v="Escalated To Senior Agent"/>
    <n v="22.166666666627862"/>
    <x v="1"/>
  </r>
  <r>
    <s v="TCK-21229"/>
    <d v="2026-05-09T10:30:00"/>
    <s v="Tier 2 Support"/>
    <x v="2"/>
    <x v="6"/>
    <x v="3"/>
    <x v="1"/>
    <x v="2"/>
    <n v="8"/>
    <x v="4"/>
    <s v="Missing Resolve Date"/>
    <s v="Yes"/>
    <m/>
    <s v="Customer Satisfied With Resolution"/>
    <s v=""/>
    <x v="1"/>
  </r>
  <r>
    <s v="TCK-22557"/>
    <d v="2026-02-26T09:31:00"/>
    <s v="Technical Support"/>
    <x v="6"/>
    <x v="0"/>
    <x v="0"/>
    <x v="1"/>
    <x v="0"/>
    <n v="24"/>
    <x v="0"/>
    <d v="2026-02-26T17:45:00"/>
    <s v="No"/>
    <n v="1"/>
    <s v="Resolved On First Contact"/>
    <n v="8.2333333334536292"/>
    <x v="0"/>
  </r>
  <r>
    <s v="TCK-22579"/>
    <d v="2026-05-15T09:17:00"/>
    <s v="Tier 2 Support"/>
    <x v="2"/>
    <x v="6"/>
    <x v="0"/>
    <x v="2"/>
    <x v="1"/>
    <n v="48"/>
    <x v="1"/>
    <s v="Missing Resolve Date"/>
    <s v="No"/>
    <m/>
    <s v="Escalated To Senior Agent"/>
    <s v=""/>
    <x v="1"/>
  </r>
  <r>
    <s v="TCK-22036"/>
    <d v="2026-04-30T08:03:00"/>
    <s v="Billing Support"/>
    <x v="5"/>
    <x v="3"/>
    <x v="0"/>
    <x v="3"/>
    <x v="2"/>
    <n v="8"/>
    <x v="5"/>
    <s v="Missing Resolve Date"/>
    <s v="Yes"/>
    <m/>
    <s v="Customer Requested Refund"/>
    <s v=""/>
    <x v="1"/>
  </r>
  <r>
    <s v="TCK-20810"/>
    <d v="2026-07-20T08:57:00"/>
    <s v="Billing Support"/>
    <x v="0"/>
    <x v="0"/>
    <x v="1"/>
    <x v="2"/>
    <x v="1"/>
    <n v="48"/>
    <x v="1"/>
    <s v="Missing Resolve Date"/>
    <s v="No"/>
    <m/>
    <s v="Not Specified"/>
    <s v=""/>
    <x v="1"/>
  </r>
  <r>
    <s v="TCK-20746"/>
    <d v="2026-03-03T08:41:00"/>
    <s v="Tier 2 Support"/>
    <x v="2"/>
    <x v="6"/>
    <x v="2"/>
    <x v="0"/>
    <x v="0"/>
    <n v="24"/>
    <x v="1"/>
    <s v="Missing Resolve Date"/>
    <s v="No"/>
    <m/>
    <s v="Required Follow-Up Call"/>
    <s v=""/>
    <x v="1"/>
  </r>
  <r>
    <s v="TCK-20516"/>
    <d v="2026-06-07T18:10:00"/>
    <s v="Technical Support"/>
    <x v="4"/>
    <x v="2"/>
    <x v="3"/>
    <x v="3"/>
    <x v="2"/>
    <n v="8"/>
    <x v="1"/>
    <s v="Missing Resolve Date"/>
    <s v="No"/>
    <m/>
    <s v="Customer Satisfied With Resolution"/>
    <s v=""/>
    <x v="1"/>
  </r>
  <r>
    <s v="TCK-21510"/>
    <d v="2026-07-13T10:55:00"/>
    <s v="Tier 2 Support"/>
    <x v="3"/>
    <x v="2"/>
    <x v="1"/>
    <x v="4"/>
    <x v="1"/>
    <n v="48"/>
    <x v="3"/>
    <d v="2026-07-14T03:10:00"/>
    <s v="No"/>
    <m/>
    <s v="Not Specified"/>
    <n v="16.250000000058208"/>
    <x v="1"/>
  </r>
  <r>
    <s v="TCK-20642"/>
    <d v="2026-07-31T09:06:00"/>
    <s v="Technical Support"/>
    <x v="4"/>
    <x v="3"/>
    <x v="3"/>
    <x v="0"/>
    <x v="3"/>
    <n v="4"/>
    <x v="3"/>
    <d v="2026-07-31T17:29:00"/>
    <s v="No"/>
    <m/>
    <s v="Repeat Issue From Same Customer"/>
    <n v="8.3833333334187046"/>
    <x v="1"/>
  </r>
  <r>
    <s v="TCK-22017"/>
    <d v="2026-04-05T00:53:00"/>
    <s v="Technical Support"/>
    <x v="6"/>
    <x v="3"/>
    <x v="3"/>
    <x v="2"/>
    <x v="1"/>
    <n v="48"/>
    <x v="0"/>
    <d v="2026-04-06T19:26:00"/>
    <s v="No"/>
    <n v="5"/>
    <s v="Customer Requested Refund"/>
    <n v="42.549999999871943"/>
    <x v="0"/>
  </r>
  <r>
    <s v="TCK-20519"/>
    <d v="2026-03-08T09:08:00"/>
    <s v="Billing Support"/>
    <x v="5"/>
    <x v="0"/>
    <x v="1"/>
    <x v="4"/>
    <x v="3"/>
    <n v="4"/>
    <x v="2"/>
    <d v="2026-03-08T15:50:00"/>
    <s v="No"/>
    <m/>
    <s v="Technical Issue Resolved Remotely"/>
    <n v="6.6999999998370185"/>
    <x v="1"/>
  </r>
  <r>
    <s v="TCK-21874"/>
    <d v="2026-06-15T05:27:00"/>
    <s v="Technical Support"/>
    <x v="6"/>
    <x v="0"/>
    <x v="0"/>
    <x v="5"/>
    <x v="1"/>
    <n v="48"/>
    <x v="0"/>
    <d v="2026-06-15T21:36:00"/>
    <s v="No"/>
    <n v="4"/>
    <s v="Escalated To Senior Agent"/>
    <n v="16.150000000081491"/>
    <x v="0"/>
  </r>
  <r>
    <s v="TCK-20126"/>
    <d v="2026-02-10T06:15:00"/>
    <s v="Technical Support"/>
    <x v="4"/>
    <x v="6"/>
    <x v="1"/>
    <x v="2"/>
    <x v="1"/>
    <n v="48"/>
    <x v="0"/>
    <d v="2026-02-11T14:26:00"/>
    <s v="No"/>
    <m/>
    <s v="Technical Issue Resolved Remotely"/>
    <n v="32.183333333465271"/>
    <x v="0"/>
  </r>
  <r>
    <s v="TCK-21817"/>
    <d v="2026-02-11T08:39:00"/>
    <s v="Tier 2 Support"/>
    <x v="3"/>
    <x v="3"/>
    <x v="2"/>
    <x v="1"/>
    <x v="0"/>
    <n v="24"/>
    <x v="3"/>
    <s v="Missing Resolve Date"/>
    <s v="No"/>
    <m/>
    <s v="Repeat Issue From Same Customer"/>
    <s v=""/>
    <x v="1"/>
  </r>
  <r>
    <s v="TCK-20514"/>
    <d v="2026-04-18T16:39:00"/>
    <s v="Tier 1 Support"/>
    <x v="7"/>
    <x v="0"/>
    <x v="3"/>
    <x v="2"/>
    <x v="2"/>
    <n v="8"/>
    <x v="4"/>
    <s v="Missing Resolve Date"/>
    <s v="Yes"/>
    <m/>
    <s v="Repeat Issue From Same Customer"/>
    <s v=""/>
    <x v="1"/>
  </r>
  <r>
    <s v="TCK-21060"/>
    <d v="2026-05-21T11:25:00"/>
    <s v="Tier 1 Support"/>
    <x v="7"/>
    <x v="2"/>
    <x v="1"/>
    <x v="5"/>
    <x v="1"/>
    <n v="48"/>
    <x v="0"/>
    <d v="2026-05-23T18:48:00"/>
    <s v="No"/>
    <n v="1"/>
    <s v="Required Follow-Up Call"/>
    <n v="55.383333333302289"/>
    <x v="2"/>
  </r>
  <r>
    <s v="TCK-20859"/>
    <d v="2026-03-26T05:13:00"/>
    <s v="Billing Support"/>
    <x v="5"/>
    <x v="2"/>
    <x v="0"/>
    <x v="3"/>
    <x v="3"/>
    <n v="4"/>
    <x v="4"/>
    <s v="Missing Resolve Date"/>
    <s v="Yes"/>
    <m/>
    <s v="Not Specified"/>
    <s v=""/>
    <x v="1"/>
  </r>
  <r>
    <s v="TCK-21761"/>
    <d v="2026-06-12T03:07:00"/>
    <s v="Technical Support"/>
    <x v="6"/>
    <x v="3"/>
    <x v="1"/>
    <x v="0"/>
    <x v="0"/>
    <n v="24"/>
    <x v="0"/>
    <d v="2026-06-12T09:50:00"/>
    <s v="No"/>
    <n v="5"/>
    <s v="Repeat Issue From Same Customer"/>
    <n v="6.7166666665580124"/>
    <x v="0"/>
  </r>
  <r>
    <s v="TCK-20162"/>
    <d v="2026-03-26T14:00:00"/>
    <s v="Billing Support"/>
    <x v="0"/>
    <x v="5"/>
    <x v="2"/>
    <x v="4"/>
    <x v="2"/>
    <n v="8"/>
    <x v="5"/>
    <s v="Missing Resolve Date"/>
    <s v="No"/>
    <m/>
    <s v="Not Specified"/>
    <s v=""/>
    <x v="1"/>
  </r>
  <r>
    <s v="TCK-20517"/>
    <d v="2026-03-26T06:06:00"/>
    <s v="Tier 1 Support"/>
    <x v="1"/>
    <x v="4"/>
    <x v="1"/>
    <x v="0"/>
    <x v="2"/>
    <n v="8"/>
    <x v="4"/>
    <s v="Missing Resolve Date"/>
    <s v="Yes"/>
    <m/>
    <s v="Technical Issue Resolved Remotely"/>
    <s v=""/>
    <x v="1"/>
  </r>
  <r>
    <s v="TCK-20627"/>
    <d v="2026-06-26T03:22:00"/>
    <s v="Billing Support"/>
    <x v="5"/>
    <x v="0"/>
    <x v="3"/>
    <x v="1"/>
    <x v="0"/>
    <n v="24"/>
    <x v="0"/>
    <d v="2026-06-28T19:45:00"/>
    <s v="No"/>
    <n v="3"/>
    <s v="Customer Satisfied With Resolution"/>
    <n v="64.383333333302289"/>
    <x v="2"/>
  </r>
  <r>
    <s v="TCK-22765"/>
    <d v="2026-01-20T15:40:00"/>
    <s v="Billing Support"/>
    <x v="0"/>
    <x v="5"/>
    <x v="2"/>
    <x v="2"/>
    <x v="1"/>
    <n v="48"/>
    <x v="2"/>
    <s v="Missing Resolve Date"/>
    <s v="No"/>
    <n v="4"/>
    <s v="Required Follow-Up Call"/>
    <s v=""/>
    <x v="1"/>
  </r>
  <r>
    <s v="TCK-21297"/>
    <d v="2026-07-11T15:50:00"/>
    <s v="Tier 1 Support"/>
    <x v="1"/>
    <x v="4"/>
    <x v="0"/>
    <x v="5"/>
    <x v="2"/>
    <n v="8"/>
    <x v="1"/>
    <s v="Missing Resolve Date"/>
    <s v="No"/>
    <m/>
    <s v="Required Follow-Up Call"/>
    <s v=""/>
    <x v="1"/>
  </r>
  <r>
    <s v="TCK-20738"/>
    <d v="2026-03-31T02:22:00"/>
    <s v="Technical Support"/>
    <x v="4"/>
    <x v="0"/>
    <x v="1"/>
    <x v="2"/>
    <x v="0"/>
    <n v="24"/>
    <x v="0"/>
    <d v="2026-03-31T11:04:00"/>
    <s v="No"/>
    <n v="5"/>
    <s v="Required Follow-Up Call"/>
    <n v="8.6999999998952262"/>
    <x v="0"/>
  </r>
  <r>
    <s v="TCK-21258"/>
    <d v="2026-05-25T23:56:00"/>
    <s v="Tier 2 Support"/>
    <x v="2"/>
    <x v="3"/>
    <x v="1"/>
    <x v="1"/>
    <x v="2"/>
    <n v="8"/>
    <x v="0"/>
    <d v="2026-05-26T06:38:00"/>
    <s v="No"/>
    <m/>
    <s v="Escalated To Senior Agent"/>
    <n v="6.7000000000116415"/>
    <x v="0"/>
  </r>
  <r>
    <s v="TCK-20939"/>
    <d v="2026-07-15T02:20:00"/>
    <s v="Billing Support"/>
    <x v="5"/>
    <x v="5"/>
    <x v="3"/>
    <x v="0"/>
    <x v="0"/>
    <n v="24"/>
    <x v="1"/>
    <s v="Missing Resolve Date"/>
    <s v="No"/>
    <m/>
    <s v="Required Follow-Up Call"/>
    <s v=""/>
    <x v="1"/>
  </r>
  <r>
    <s v="TCK-23044"/>
    <d v="2026-08-11T03:05:00"/>
    <s v="Tier 2 Support"/>
    <x v="3"/>
    <x v="6"/>
    <x v="3"/>
    <x v="2"/>
    <x v="1"/>
    <n v="48"/>
    <x v="0"/>
    <d v="2026-08-11T17:30:00"/>
    <s v="No"/>
    <n v="5"/>
    <s v="Technical Issue Resolved Remotely"/>
    <n v="14.416666666686069"/>
    <x v="0"/>
  </r>
  <r>
    <s v="TCK-20098"/>
    <d v="2026-05-16T05:29:00"/>
    <s v="Billing Support"/>
    <x v="5"/>
    <x v="0"/>
    <x v="0"/>
    <x v="1"/>
    <x v="2"/>
    <n v="8"/>
    <x v="0"/>
    <d v="2026-05-16T10:45:00"/>
    <s v="No"/>
    <n v="4"/>
    <s v="Repeat Issue From Same Customer"/>
    <n v="5.2666666665463708"/>
    <x v="0"/>
  </r>
  <r>
    <s v="TCK-20938"/>
    <d v="2026-03-24T00:10:00"/>
    <s v="Tier 2 Support"/>
    <x v="3"/>
    <x v="5"/>
    <x v="2"/>
    <x v="2"/>
    <x v="0"/>
    <n v="24"/>
    <x v="0"/>
    <d v="2026-03-24T13:30:00"/>
    <s v="Yes"/>
    <m/>
    <s v="Not Specified"/>
    <n v="13.333333333313931"/>
    <x v="0"/>
  </r>
  <r>
    <s v="TCK-23105"/>
    <d v="2026-02-14T06:13:00"/>
    <s v="Billing Support"/>
    <x v="5"/>
    <x v="4"/>
    <x v="1"/>
    <x v="0"/>
    <x v="0"/>
    <n v="24"/>
    <x v="0"/>
    <d v="2026-02-14T17:36:00"/>
    <s v="No"/>
    <m/>
    <s v="Not Specified"/>
    <n v="11.383333333244082"/>
    <x v="0"/>
  </r>
  <r>
    <s v="TCK-20602"/>
    <d v="2026-05-06T14:25:00"/>
    <s v="Tier 2 Support"/>
    <x v="3"/>
    <x v="6"/>
    <x v="1"/>
    <x v="5"/>
    <x v="3"/>
    <n v="4"/>
    <x v="1"/>
    <s v="Missing Resolve Date"/>
    <s v="No"/>
    <m/>
    <s v="Not Specified"/>
    <s v=""/>
    <x v="1"/>
  </r>
  <r>
    <s v="TCK-22101"/>
    <d v="2026-04-10T20:43:00"/>
    <s v="Tier 1 Support"/>
    <x v="1"/>
    <x v="4"/>
    <x v="0"/>
    <x v="2"/>
    <x v="0"/>
    <n v="24"/>
    <x v="0"/>
    <d v="2026-04-11T12:33:00"/>
    <s v="No"/>
    <n v="5"/>
    <s v="Resolved On First Contact"/>
    <n v="15.833333333430346"/>
    <x v="0"/>
  </r>
  <r>
    <s v="TCK-23087"/>
    <d v="2026-06-06T04:46:00"/>
    <s v="Technical Support"/>
    <x v="4"/>
    <x v="3"/>
    <x v="3"/>
    <x v="0"/>
    <x v="0"/>
    <n v="24"/>
    <x v="0"/>
    <d v="2026-06-06T09:58:00"/>
    <s v="No"/>
    <m/>
    <s v="Customer Satisfied With Resolution"/>
    <n v="5.2000000000116415"/>
    <x v="0"/>
  </r>
  <r>
    <s v="TCK-22423"/>
    <d v="2026-03-08T08:58:00"/>
    <s v="Tier 2 Support"/>
    <x v="3"/>
    <x v="3"/>
    <x v="2"/>
    <x v="4"/>
    <x v="1"/>
    <n v="48"/>
    <x v="2"/>
    <s v="Missing Resolve Date"/>
    <s v="No"/>
    <m/>
    <s v="Not Specified"/>
    <s v=""/>
    <x v="1"/>
  </r>
  <r>
    <s v="TCK-21015"/>
    <d v="2026-08-19T06:41:00"/>
    <s v="Billing Support"/>
    <x v="0"/>
    <x v="0"/>
    <x v="2"/>
    <x v="3"/>
    <x v="0"/>
    <n v="24"/>
    <x v="4"/>
    <s v="Missing Resolve Date"/>
    <s v="Yes"/>
    <m/>
    <s v="Not Specified"/>
    <s v=""/>
    <x v="1"/>
  </r>
  <r>
    <s v="TCK-22141"/>
    <d v="2026-07-26T01:14:00"/>
    <s v="Tier 2 Support"/>
    <x v="3"/>
    <x v="6"/>
    <x v="1"/>
    <x v="1"/>
    <x v="1"/>
    <n v="48"/>
    <x v="0"/>
    <d v="2026-07-27T17:46:00"/>
    <s v="No"/>
    <n v="2"/>
    <s v="Repeat Issue From Same Customer"/>
    <n v="40.533333333267365"/>
    <x v="0"/>
  </r>
  <r>
    <s v="TCK-20828"/>
    <d v="2026-07-14T00:38:00"/>
    <s v="Billing Support"/>
    <x v="5"/>
    <x v="0"/>
    <x v="0"/>
    <x v="4"/>
    <x v="0"/>
    <n v="24"/>
    <x v="1"/>
    <s v="Missing Resolve Date"/>
    <s v="Yes"/>
    <m/>
    <s v="Customer Satisfied With Resolution"/>
    <s v=""/>
    <x v="1"/>
  </r>
  <r>
    <s v="TCK-22907"/>
    <d v="2026-08-01T09:16:00"/>
    <s v="Technical Support"/>
    <x v="4"/>
    <x v="1"/>
    <x v="0"/>
    <x v="1"/>
    <x v="3"/>
    <n v="4"/>
    <x v="2"/>
    <d v="2026-08-01T09:57:00"/>
    <s v="No"/>
    <n v="5"/>
    <s v="Technical Issue Resolved Remotely"/>
    <n v="0.68333333329064772"/>
    <x v="1"/>
  </r>
  <r>
    <s v="TCK-22374"/>
    <d v="2026-06-10T18:06:00"/>
    <s v="Tier 1 Support"/>
    <x v="7"/>
    <x v="2"/>
    <x v="0"/>
    <x v="1"/>
    <x v="2"/>
    <n v="8"/>
    <x v="2"/>
    <d v="2026-06-10T22:49:00"/>
    <s v="Yes"/>
    <n v="4"/>
    <s v="Technical Issue Resolved Remotely"/>
    <n v="4.7166666666744277"/>
    <x v="1"/>
  </r>
  <r>
    <s v="TCK-20469"/>
    <d v="2026-04-12T06:48:00"/>
    <s v="Billing Support"/>
    <x v="5"/>
    <x v="0"/>
    <x v="2"/>
    <x v="5"/>
    <x v="2"/>
    <n v="8"/>
    <x v="0"/>
    <d v="2026-04-12T07:50:00"/>
    <s v="Yes"/>
    <n v="5"/>
    <s v="Repeat Issue From Same Customer"/>
    <n v="1.03333333338378"/>
    <x v="0"/>
  </r>
  <r>
    <s v="TCK-21331"/>
    <d v="2026-06-17T19:20:00"/>
    <s v="Technical Support"/>
    <x v="4"/>
    <x v="3"/>
    <x v="3"/>
    <x v="0"/>
    <x v="1"/>
    <n v="48"/>
    <x v="0"/>
    <d v="2026-06-19T10:49:00"/>
    <s v="Yes"/>
    <n v="1"/>
    <s v="Customer Requested Refund"/>
    <n v="39.483333333337214"/>
    <x v="0"/>
  </r>
  <r>
    <s v="TCK-22797"/>
    <d v="2026-02-18T09:59:00"/>
    <s v="Technical Support"/>
    <x v="4"/>
    <x v="2"/>
    <x v="3"/>
    <x v="1"/>
    <x v="3"/>
    <n v="4"/>
    <x v="5"/>
    <s v="Missing Resolve Date"/>
    <s v="No"/>
    <m/>
    <s v="Customer Requested Refund"/>
    <s v=""/>
    <x v="1"/>
  </r>
  <r>
    <s v="TCK-21848"/>
    <d v="2026-06-24T18:21:00"/>
    <s v="Tier 1 Support"/>
    <x v="1"/>
    <x v="1"/>
    <x v="0"/>
    <x v="3"/>
    <x v="1"/>
    <n v="48"/>
    <x v="0"/>
    <d v="2026-06-25T12:15:00"/>
    <s v="No"/>
    <n v="2"/>
    <s v="Required Follow-Up Call"/>
    <n v="17.900000000023283"/>
    <x v="0"/>
  </r>
  <r>
    <s v="TCK-21263"/>
    <d v="2026-05-28T18:57:00"/>
    <s v="Tier 2 Support"/>
    <x v="3"/>
    <x v="1"/>
    <x v="3"/>
    <x v="5"/>
    <x v="1"/>
    <n v="48"/>
    <x v="2"/>
    <d v="2026-05-29T15:02:00"/>
    <s v="No"/>
    <n v="5"/>
    <s v="Resolved On First Contact"/>
    <n v="20.083333333313931"/>
    <x v="1"/>
  </r>
  <r>
    <s v="TCK-20524"/>
    <d v="2026-01-08T23:40:00"/>
    <s v="Tier 1 Support"/>
    <x v="1"/>
    <x v="1"/>
    <x v="1"/>
    <x v="2"/>
    <x v="0"/>
    <n v="24"/>
    <x v="0"/>
    <d v="2026-01-09T01:13:00"/>
    <s v="No"/>
    <n v="2"/>
    <s v="Customer Satisfied With Resolution"/>
    <n v="1.5499999999883585"/>
    <x v="0"/>
  </r>
  <r>
    <s v="TCK-23144"/>
    <d v="2026-03-21T07:45:00"/>
    <s v="Billing Support"/>
    <x v="5"/>
    <x v="3"/>
    <x v="0"/>
    <x v="0"/>
    <x v="0"/>
    <n v="24"/>
    <x v="2"/>
    <d v="2026-03-21T11:31:00"/>
    <s v="No"/>
    <m/>
    <s v="Resolved On First Contact"/>
    <n v="3.7666666667209938"/>
    <x v="1"/>
  </r>
  <r>
    <s v="TCK-23195"/>
    <d v="2026-01-26T23:36:00"/>
    <s v="Tier 2 Support"/>
    <x v="2"/>
    <x v="5"/>
    <x v="3"/>
    <x v="1"/>
    <x v="0"/>
    <n v="24"/>
    <x v="2"/>
    <d v="2026-01-27T06:42:00"/>
    <s v="No"/>
    <m/>
    <s v="Escalated To Senior Agent"/>
    <n v="7.1000000000931323"/>
    <x v="1"/>
  </r>
  <r>
    <s v="TCK-21056"/>
    <d v="2026-08-20T10:49:00"/>
    <s v="Billing Support"/>
    <x v="5"/>
    <x v="4"/>
    <x v="3"/>
    <x v="0"/>
    <x v="1"/>
    <n v="48"/>
    <x v="0"/>
    <d v="2026-08-25T06:49:00"/>
    <s v="No"/>
    <n v="5"/>
    <s v="Awaiting Customer Response"/>
    <n v="116.00000000005821"/>
    <x v="2"/>
  </r>
  <r>
    <s v="TCK-22074"/>
    <d v="2026-08-28T22:35:00"/>
    <s v="Technical Support"/>
    <x v="4"/>
    <x v="2"/>
    <x v="3"/>
    <x v="2"/>
    <x v="1"/>
    <n v="48"/>
    <x v="3"/>
    <d v="2026-09-02T08:41:00"/>
    <s v="No"/>
    <m/>
    <s v="Awaiting Customer Response"/>
    <n v="106.10000000009313"/>
    <x v="1"/>
  </r>
  <r>
    <s v="TCK-21143"/>
    <d v="2026-05-10T20:17:00"/>
    <s v="Technical Support"/>
    <x v="4"/>
    <x v="5"/>
    <x v="1"/>
    <x v="3"/>
    <x v="1"/>
    <n v="48"/>
    <x v="0"/>
    <d v="2026-05-12T09:34:00"/>
    <s v="No"/>
    <m/>
    <s v="Customer Requested Refund"/>
    <n v="37.283333333325572"/>
    <x v="0"/>
  </r>
  <r>
    <s v="TCK-21831"/>
    <d v="2026-03-10T11:24:00"/>
    <s v="Billing Support"/>
    <x v="5"/>
    <x v="0"/>
    <x v="2"/>
    <x v="4"/>
    <x v="0"/>
    <n v="24"/>
    <x v="5"/>
    <s v="Missing Resolve Date"/>
    <s v="No"/>
    <m/>
    <s v="Resolved On First Contact"/>
    <s v=""/>
    <x v="1"/>
  </r>
  <r>
    <s v="TCK-20868"/>
    <d v="2026-07-23T08:42:00"/>
    <s v="Tier 1 Support"/>
    <x v="1"/>
    <x v="1"/>
    <x v="0"/>
    <x v="3"/>
    <x v="2"/>
    <n v="8"/>
    <x v="2"/>
    <d v="2026-07-24T08:34:00"/>
    <s v="No"/>
    <n v="2"/>
    <s v="Resolved On First Contact"/>
    <n v="23.866666666581295"/>
    <x v="1"/>
  </r>
  <r>
    <s v="TCK-21289"/>
    <d v="2026-02-11T16:45:00"/>
    <s v="Tier 2 Support"/>
    <x v="3"/>
    <x v="1"/>
    <x v="1"/>
    <x v="1"/>
    <x v="2"/>
    <n v="8"/>
    <x v="0"/>
    <d v="2026-02-11T23:37:00"/>
    <s v="No"/>
    <m/>
    <s v="Customer Satisfied With Resolution"/>
    <n v="6.8666666666977108"/>
    <x v="0"/>
  </r>
  <r>
    <s v="TCK-21319"/>
    <d v="2026-03-12T18:07:00"/>
    <s v="Tier 2 Support"/>
    <x v="2"/>
    <x v="6"/>
    <x v="0"/>
    <x v="5"/>
    <x v="0"/>
    <n v="24"/>
    <x v="0"/>
    <d v="2026-03-13T08:21:00"/>
    <s v="No"/>
    <n v="3"/>
    <s v="Resolved On First Contact"/>
    <n v="14.233333333279006"/>
    <x v="0"/>
  </r>
  <r>
    <s v="TCK-21775"/>
    <d v="2026-07-24T05:21:00"/>
    <s v="Technical Support"/>
    <x v="4"/>
    <x v="5"/>
    <x v="3"/>
    <x v="3"/>
    <x v="0"/>
    <n v="24"/>
    <x v="2"/>
    <d v="2026-07-25T01:07:00"/>
    <s v="No"/>
    <m/>
    <s v="Required Follow-Up Call"/>
    <n v="19.766666666662786"/>
    <x v="1"/>
  </r>
  <r>
    <s v="TCK-20107"/>
    <d v="2026-03-30T23:44:00"/>
    <s v="Tier 1 Support"/>
    <x v="7"/>
    <x v="2"/>
    <x v="0"/>
    <x v="5"/>
    <x v="0"/>
    <n v="24"/>
    <x v="5"/>
    <s v="Missing Resolve Date"/>
    <s v="No"/>
    <m/>
    <s v="Not Specified"/>
    <s v=""/>
    <x v="1"/>
  </r>
  <r>
    <s v="TCK-20644"/>
    <d v="2026-01-21T11:40:00"/>
    <s v="Tier 2 Support"/>
    <x v="2"/>
    <x v="2"/>
    <x v="2"/>
    <x v="1"/>
    <x v="0"/>
    <n v="24"/>
    <x v="0"/>
    <d v="2026-01-21T12:21:00"/>
    <s v="No"/>
    <n v="3"/>
    <s v="Required Follow-Up Call"/>
    <n v="0.68333333329064772"/>
    <x v="0"/>
  </r>
  <r>
    <s v="TCK-22441"/>
    <d v="2026-04-01T17:55:00"/>
    <s v="Technical Support"/>
    <x v="4"/>
    <x v="5"/>
    <x v="2"/>
    <x v="3"/>
    <x v="1"/>
    <n v="48"/>
    <x v="5"/>
    <s v="Missing Resolve Date"/>
    <s v="No"/>
    <m/>
    <s v="Awaiting Customer Response"/>
    <s v=""/>
    <x v="1"/>
  </r>
  <r>
    <s v="TCK-21166"/>
    <d v="2026-07-31T09:21:00"/>
    <s v="Tier 2 Support"/>
    <x v="2"/>
    <x v="3"/>
    <x v="2"/>
    <x v="4"/>
    <x v="1"/>
    <n v="48"/>
    <x v="2"/>
    <d v="2026-07-31T12:01:00"/>
    <s v="No"/>
    <m/>
    <s v="Technical Issue Resolved Remotely"/>
    <n v="2.6666666668024845"/>
    <x v="1"/>
  </r>
  <r>
    <s v="TCK-20920"/>
    <d v="2026-08-08T10:55:00"/>
    <s v="Tier 2 Support"/>
    <x v="3"/>
    <x v="4"/>
    <x v="1"/>
    <x v="2"/>
    <x v="2"/>
    <n v="8"/>
    <x v="5"/>
    <s v="Missing Resolve Date"/>
    <s v="No"/>
    <m/>
    <s v="Required Follow-Up Call"/>
    <s v=""/>
    <x v="1"/>
  </r>
  <r>
    <s v="TCK-20145"/>
    <d v="2026-04-22T21:55:00"/>
    <s v="Billing Support"/>
    <x v="5"/>
    <x v="6"/>
    <x v="2"/>
    <x v="5"/>
    <x v="1"/>
    <n v="48"/>
    <x v="2"/>
    <d v="2026-04-24T13:23:00"/>
    <s v="No"/>
    <m/>
    <s v="Technical Issue Resolved Remotely"/>
    <n v="39.46666666661622"/>
    <x v="1"/>
  </r>
  <r>
    <s v="TCK-22547"/>
    <d v="2026-02-04T00:50:00"/>
    <s v="Billing Support"/>
    <x v="5"/>
    <x v="4"/>
    <x v="0"/>
    <x v="4"/>
    <x v="0"/>
    <n v="24"/>
    <x v="4"/>
    <s v="Missing Resolve Date"/>
    <s v="Yes"/>
    <m/>
    <s v="Not Specified"/>
    <s v=""/>
    <x v="1"/>
  </r>
  <r>
    <s v="TCK-20317"/>
    <d v="2026-02-07T06:52:00"/>
    <s v="Tier 2 Support"/>
    <x v="2"/>
    <x v="3"/>
    <x v="0"/>
    <x v="0"/>
    <x v="0"/>
    <n v="24"/>
    <x v="4"/>
    <s v="Missing Resolve Date"/>
    <s v="Yes"/>
    <m/>
    <s v="Resolved On First Contact"/>
    <s v=""/>
    <x v="1"/>
  </r>
  <r>
    <s v="TCK-22346"/>
    <d v="2026-06-27T21:59:00"/>
    <s v="Tier 2 Support"/>
    <x v="3"/>
    <x v="3"/>
    <x v="0"/>
    <x v="5"/>
    <x v="1"/>
    <n v="48"/>
    <x v="0"/>
    <d v="2026-06-28T11:23:00"/>
    <s v="No"/>
    <m/>
    <s v="Technical Issue Resolved Remotely"/>
    <n v="13.400000000023283"/>
    <x v="0"/>
  </r>
  <r>
    <s v="TCK-21791"/>
    <d v="2026-05-03T08:27:00"/>
    <s v="Tier 1 Support"/>
    <x v="7"/>
    <x v="3"/>
    <x v="0"/>
    <x v="4"/>
    <x v="1"/>
    <n v="48"/>
    <x v="0"/>
    <d v="2026-05-03T20:12:00"/>
    <s v="No"/>
    <m/>
    <s v="Resolved On First Contact"/>
    <n v="11.750000000058208"/>
    <x v="0"/>
  </r>
  <r>
    <s v="TCK-22261"/>
    <d v="2026-02-03T07:59:00"/>
    <s v="Technical Support"/>
    <x v="4"/>
    <x v="1"/>
    <x v="2"/>
    <x v="0"/>
    <x v="3"/>
    <n v="4"/>
    <x v="2"/>
    <d v="2026-02-03T18:00:00"/>
    <s v="No"/>
    <n v="4"/>
    <s v="Repeat Issue From Same Customer"/>
    <n v="10.016666666662786"/>
    <x v="1"/>
  </r>
  <r>
    <s v="TCK-22974"/>
    <d v="2026-01-15T10:01:00"/>
    <s v="Billing Support"/>
    <x v="0"/>
    <x v="3"/>
    <x v="0"/>
    <x v="3"/>
    <x v="1"/>
    <n v="48"/>
    <x v="4"/>
    <s v="Missing Resolve Date"/>
    <s v="Yes"/>
    <m/>
    <s v="Required Follow-Up Call"/>
    <s v=""/>
    <x v="1"/>
  </r>
  <r>
    <s v="TCK-22555"/>
    <d v="2026-07-17T15:20:00"/>
    <s v="Billing Support"/>
    <x v="0"/>
    <x v="3"/>
    <x v="0"/>
    <x v="2"/>
    <x v="1"/>
    <n v="48"/>
    <x v="0"/>
    <d v="2026-07-17T17:41:00"/>
    <s v="No"/>
    <n v="4"/>
    <s v="Awaiting Customer Response"/>
    <n v="2.3499999999767169"/>
    <x v="0"/>
  </r>
  <r>
    <s v="TCK-20262"/>
    <d v="2026-08-05T11:38:00"/>
    <s v="Tier 2 Support"/>
    <x v="3"/>
    <x v="2"/>
    <x v="0"/>
    <x v="5"/>
    <x v="1"/>
    <n v="48"/>
    <x v="0"/>
    <d v="2026-08-06T06:46:00"/>
    <s v="No"/>
    <n v="5"/>
    <s v="Not Specified"/>
    <n v="19.133333333360497"/>
    <x v="0"/>
  </r>
  <r>
    <s v="TCK-22477"/>
    <d v="2026-07-22T08:46:00"/>
    <s v="Tier 1 Support"/>
    <x v="1"/>
    <x v="4"/>
    <x v="3"/>
    <x v="1"/>
    <x v="3"/>
    <n v="4"/>
    <x v="4"/>
    <s v="Missing Resolve Date"/>
    <s v="Yes"/>
    <m/>
    <s v="Required Follow-Up Call"/>
    <s v=""/>
    <x v="1"/>
  </r>
  <r>
    <s v="TCK-22073"/>
    <d v="2026-05-26T12:56:00"/>
    <s v="Technical Support"/>
    <x v="6"/>
    <x v="2"/>
    <x v="3"/>
    <x v="0"/>
    <x v="2"/>
    <n v="8"/>
    <x v="5"/>
    <s v="Missing Resolve Date"/>
    <s v="No"/>
    <m/>
    <s v="Resolved On First Contact"/>
    <s v=""/>
    <x v="1"/>
  </r>
  <r>
    <s v="TCK-22088"/>
    <d v="2026-08-03T19:07:00"/>
    <s v="Technical Support"/>
    <x v="4"/>
    <x v="4"/>
    <x v="1"/>
    <x v="3"/>
    <x v="2"/>
    <n v="8"/>
    <x v="0"/>
    <d v="2026-08-03T23:17:00"/>
    <s v="No"/>
    <n v="4"/>
    <s v="Repeat Issue From Same Customer"/>
    <n v="4.1666666666278616"/>
    <x v="0"/>
  </r>
  <r>
    <s v="TCK-22294"/>
    <d v="2026-06-10T17:23:00"/>
    <s v="Tier 1 Support"/>
    <x v="7"/>
    <x v="4"/>
    <x v="3"/>
    <x v="4"/>
    <x v="1"/>
    <n v="48"/>
    <x v="3"/>
    <d v="2026-06-15T13:36:00"/>
    <s v="No"/>
    <m/>
    <s v="Not Specified"/>
    <n v="116.21666666655801"/>
    <x v="1"/>
  </r>
  <r>
    <s v="TCK-20025"/>
    <d v="2026-06-03T07:55:00"/>
    <s v="Billing Support"/>
    <x v="0"/>
    <x v="4"/>
    <x v="2"/>
    <x v="1"/>
    <x v="2"/>
    <n v="8"/>
    <x v="2"/>
    <d v="2026-06-03T08:42:00"/>
    <s v="No"/>
    <n v="5"/>
    <s v="Awaiting Customer Response"/>
    <n v="0.78333333344198763"/>
    <x v="1"/>
  </r>
  <r>
    <s v="TCK-20993"/>
    <d v="2026-01-23T22:09:00"/>
    <s v="Tier 2 Support"/>
    <x v="3"/>
    <x v="4"/>
    <x v="0"/>
    <x v="2"/>
    <x v="1"/>
    <n v="48"/>
    <x v="2"/>
    <d v="2026-01-24T19:17:00"/>
    <s v="No"/>
    <m/>
    <s v="Not Specified"/>
    <n v="21.133333333244082"/>
    <x v="1"/>
  </r>
  <r>
    <s v="TCK-20326"/>
    <d v="2026-08-06T04:22:00"/>
    <s v="Technical Support"/>
    <x v="6"/>
    <x v="4"/>
    <x v="2"/>
    <x v="2"/>
    <x v="3"/>
    <n v="4"/>
    <x v="0"/>
    <d v="2026-08-06T06:31:00"/>
    <s v="No"/>
    <n v="5"/>
    <s v="Required Follow-Up Call"/>
    <n v="2.1500000000232831"/>
    <x v="0"/>
  </r>
  <r>
    <s v="TCK-20623"/>
    <d v="2026-03-16T15:09:00"/>
    <s v="Billing Support"/>
    <x v="5"/>
    <x v="6"/>
    <x v="1"/>
    <x v="1"/>
    <x v="0"/>
    <n v="24"/>
    <x v="1"/>
    <s v="Missing Resolve Date"/>
    <s v="No"/>
    <m/>
    <s v="Escalated To Senior Agent"/>
    <s v=""/>
    <x v="1"/>
  </r>
  <r>
    <s v="TCK-22431"/>
    <d v="2026-05-09T12:58:00"/>
    <s v="Tier 1 Support"/>
    <x v="7"/>
    <x v="2"/>
    <x v="1"/>
    <x v="3"/>
    <x v="0"/>
    <n v="24"/>
    <x v="2"/>
    <d v="2026-05-10T02:33:00"/>
    <s v="No"/>
    <n v="5"/>
    <s v="Repeat Issue From Same Customer"/>
    <n v="13.583333333255723"/>
    <x v="1"/>
  </r>
  <r>
    <s v="TCK-22457"/>
    <d v="2026-08-03T09:35:00"/>
    <s v="Billing Support"/>
    <x v="5"/>
    <x v="2"/>
    <x v="1"/>
    <x v="0"/>
    <x v="2"/>
    <n v="8"/>
    <x v="2"/>
    <d v="2026-08-03T20:54:00"/>
    <s v="No"/>
    <m/>
    <s v="Resolved On First Contact"/>
    <n v="11.316666666709352"/>
    <x v="1"/>
  </r>
  <r>
    <s v="TCK-22448"/>
    <d v="2026-03-04T09:54:00"/>
    <s v="Tier 1 Support"/>
    <x v="1"/>
    <x v="6"/>
    <x v="2"/>
    <x v="5"/>
    <x v="1"/>
    <n v="48"/>
    <x v="2"/>
    <d v="2026-03-05T17:51:00"/>
    <s v="No"/>
    <m/>
    <s v="Resolved On First Contact"/>
    <n v="31.950000000069849"/>
    <x v="1"/>
  </r>
  <r>
    <s v="TCK-22519"/>
    <d v="2026-04-13T07:30:00"/>
    <s v="Billing Support"/>
    <x v="5"/>
    <x v="3"/>
    <x v="0"/>
    <x v="2"/>
    <x v="0"/>
    <n v="24"/>
    <x v="2"/>
    <d v="2026-04-16T00:17:00"/>
    <s v="No"/>
    <m/>
    <s v="Escalated To Senior Agent"/>
    <n v="64.78333333338378"/>
    <x v="1"/>
  </r>
  <r>
    <s v="TCK-23147"/>
    <d v="2026-04-18T09:58:00"/>
    <s v="Billing Support"/>
    <x v="5"/>
    <x v="0"/>
    <x v="0"/>
    <x v="1"/>
    <x v="1"/>
    <n v="48"/>
    <x v="2"/>
    <d v="2026-04-19T20:09:00"/>
    <s v="No"/>
    <m/>
    <s v="Resolved On First Contact"/>
    <n v="34.183333333348855"/>
    <x v="1"/>
  </r>
  <r>
    <s v="TCK-22135"/>
    <d v="2026-04-25T13:16:00"/>
    <s v="Tier 1 Support"/>
    <x v="7"/>
    <x v="6"/>
    <x v="1"/>
    <x v="1"/>
    <x v="1"/>
    <n v="48"/>
    <x v="4"/>
    <s v="Missing Resolve Date"/>
    <s v="Yes"/>
    <m/>
    <s v="Not Specified"/>
    <s v=""/>
    <x v="1"/>
  </r>
  <r>
    <s v="TCK-21655"/>
    <d v="2026-08-07T15:40:00"/>
    <s v="Tier 2 Support"/>
    <x v="3"/>
    <x v="0"/>
    <x v="1"/>
    <x v="5"/>
    <x v="0"/>
    <n v="24"/>
    <x v="5"/>
    <s v="Missing Resolve Date"/>
    <s v="No"/>
    <m/>
    <s v="Required Follow-Up Call"/>
    <s v=""/>
    <x v="1"/>
  </r>
  <r>
    <s v="TCK-20535"/>
    <d v="2026-01-10T15:37:00"/>
    <s v="Billing Support"/>
    <x v="0"/>
    <x v="0"/>
    <x v="2"/>
    <x v="5"/>
    <x v="1"/>
    <n v="48"/>
    <x v="2"/>
    <d v="2026-01-15T09:52:00"/>
    <s v="No"/>
    <m/>
    <s v="Escalated To Senior Agent"/>
    <n v="114.25000000011642"/>
    <x v="1"/>
  </r>
  <r>
    <s v="TCK-23146"/>
    <d v="2026-08-11T16:35:00"/>
    <s v="Billing Support"/>
    <x v="5"/>
    <x v="5"/>
    <x v="0"/>
    <x v="5"/>
    <x v="1"/>
    <n v="48"/>
    <x v="0"/>
    <d v="2026-08-11T21:40:00"/>
    <s v="No"/>
    <n v="2"/>
    <s v="Resolved On First Contact"/>
    <n v="5.0833333334885538"/>
    <x v="0"/>
  </r>
  <r>
    <s v="TCK-21402"/>
    <d v="2026-02-21T03:53:00"/>
    <s v="Tier 1 Support"/>
    <x v="7"/>
    <x v="2"/>
    <x v="0"/>
    <x v="5"/>
    <x v="2"/>
    <n v="8"/>
    <x v="2"/>
    <s v="Missing Resolve Date"/>
    <s v="No"/>
    <n v="1"/>
    <s v="Customer Requested Refund"/>
    <s v=""/>
    <x v="1"/>
  </r>
  <r>
    <s v="TCK-20991"/>
    <d v="2026-08-02T10:22:00"/>
    <s v="Technical Support"/>
    <x v="4"/>
    <x v="3"/>
    <x v="2"/>
    <x v="3"/>
    <x v="0"/>
    <n v="24"/>
    <x v="3"/>
    <d v="2026-08-02T11:35:00"/>
    <s v="No"/>
    <m/>
    <s v="Not Specified"/>
    <n v="1.216666666790843"/>
    <x v="1"/>
  </r>
  <r>
    <s v="TCK-22657"/>
    <d v="2026-03-10T17:59:00"/>
    <s v="Tier 2 Support"/>
    <x v="3"/>
    <x v="2"/>
    <x v="0"/>
    <x v="4"/>
    <x v="1"/>
    <n v="48"/>
    <x v="2"/>
    <d v="2026-03-14T11:48:00"/>
    <s v="No"/>
    <m/>
    <s v="Not Specified"/>
    <n v="89.81666666676756"/>
    <x v="1"/>
  </r>
  <r>
    <s v="TCK-20554"/>
    <d v="2026-07-25T04:08:00"/>
    <s v="Technical Support"/>
    <x v="6"/>
    <x v="0"/>
    <x v="1"/>
    <x v="2"/>
    <x v="2"/>
    <n v="8"/>
    <x v="2"/>
    <d v="2026-07-26T03:50:00"/>
    <s v="No"/>
    <n v="4"/>
    <s v="Repeat Issue From Same Customer"/>
    <n v="23.699999999895226"/>
    <x v="1"/>
  </r>
  <r>
    <s v="TCK-20330"/>
    <d v="2026-02-07T12:44:00"/>
    <s v="Technical Support"/>
    <x v="4"/>
    <x v="5"/>
    <x v="2"/>
    <x v="2"/>
    <x v="3"/>
    <n v="4"/>
    <x v="1"/>
    <s v="Missing Resolve Date"/>
    <s v="Yes"/>
    <m/>
    <s v="Repeat Issue From Same Customer"/>
    <s v=""/>
    <x v="1"/>
  </r>
  <r>
    <s v="TCK-22470"/>
    <d v="2026-04-12T05:48:00"/>
    <s v="Tier 2 Support"/>
    <x v="2"/>
    <x v="0"/>
    <x v="2"/>
    <x v="3"/>
    <x v="1"/>
    <n v="48"/>
    <x v="1"/>
    <s v="Missing Resolve Date"/>
    <s v="No"/>
    <m/>
    <s v="Escalated To Senior Agent"/>
    <s v=""/>
    <x v="1"/>
  </r>
  <r>
    <s v="TCK-22051"/>
    <d v="2026-02-24T14:35:00"/>
    <s v="Tier 2 Support"/>
    <x v="3"/>
    <x v="0"/>
    <x v="3"/>
    <x v="4"/>
    <x v="0"/>
    <n v="24"/>
    <x v="2"/>
    <d v="2026-02-26T21:55:00"/>
    <s v="No"/>
    <n v="5"/>
    <s v="Repeat Issue From Same Customer"/>
    <n v="55.333333333313931"/>
    <x v="1"/>
  </r>
  <r>
    <s v="TCK-20241"/>
    <d v="2026-08-10T13:37:00"/>
    <s v="Tier 2 Support"/>
    <x v="3"/>
    <x v="6"/>
    <x v="1"/>
    <x v="4"/>
    <x v="0"/>
    <n v="24"/>
    <x v="5"/>
    <s v="Missing Resolve Date"/>
    <s v="No"/>
    <m/>
    <s v="Repeat Issue From Same Customer"/>
    <s v=""/>
    <x v="1"/>
  </r>
  <r>
    <s v="TCK-22202"/>
    <d v="2026-02-26T22:29:00"/>
    <s v="Billing Support"/>
    <x v="0"/>
    <x v="6"/>
    <x v="0"/>
    <x v="3"/>
    <x v="2"/>
    <n v="8"/>
    <x v="2"/>
    <d v="2026-02-27T00:35:00"/>
    <s v="No"/>
    <n v="1"/>
    <s v="Customer Satisfied With Resolution"/>
    <n v="2.1000000000349246"/>
    <x v="1"/>
  </r>
  <r>
    <s v="TCK-20639"/>
    <d v="2026-07-18T11:38:00"/>
    <s v="Tier 2 Support"/>
    <x v="2"/>
    <x v="2"/>
    <x v="3"/>
    <x v="2"/>
    <x v="1"/>
    <n v="48"/>
    <x v="4"/>
    <s v="Missing Resolve Date"/>
    <s v="Yes"/>
    <m/>
    <s v="Technical Issue Resolved Remotely"/>
    <s v=""/>
    <x v="1"/>
  </r>
  <r>
    <s v="TCK-22232"/>
    <d v="2026-06-19T18:53:00"/>
    <s v="Technical Support"/>
    <x v="6"/>
    <x v="0"/>
    <x v="2"/>
    <x v="0"/>
    <x v="1"/>
    <n v="48"/>
    <x v="4"/>
    <s v="Missing Resolve Date"/>
    <s v="Yes"/>
    <m/>
    <s v="Customer Requested Refund"/>
    <s v=""/>
    <x v="1"/>
  </r>
  <r>
    <s v="TCK-21379"/>
    <d v="2026-08-08T11:07:00"/>
    <s v="Tier 1 Support"/>
    <x v="1"/>
    <x v="5"/>
    <x v="2"/>
    <x v="3"/>
    <x v="0"/>
    <n v="24"/>
    <x v="0"/>
    <d v="2026-08-08T17:07:00"/>
    <s v="No"/>
    <n v="5"/>
    <s v="Escalated To Senior Agent"/>
    <n v="6"/>
    <x v="0"/>
  </r>
  <r>
    <s v="TCK-21857"/>
    <d v="2026-01-20T09:07:00"/>
    <s v="Billing Support"/>
    <x v="5"/>
    <x v="0"/>
    <x v="2"/>
    <x v="5"/>
    <x v="0"/>
    <n v="24"/>
    <x v="0"/>
    <d v="2026-01-20T17:24:00"/>
    <s v="No"/>
    <n v="3"/>
    <s v="Resolved On First Contact"/>
    <n v="8.2833333332673647"/>
    <x v="0"/>
  </r>
  <r>
    <s v="TCK-21760"/>
    <d v="2026-07-28T21:26:00"/>
    <s v="Billing Support"/>
    <x v="5"/>
    <x v="0"/>
    <x v="2"/>
    <x v="4"/>
    <x v="1"/>
    <n v="48"/>
    <x v="4"/>
    <s v="Missing Resolve Date"/>
    <s v="Yes"/>
    <m/>
    <s v="Repeat Issue From Same Customer"/>
    <s v=""/>
    <x v="1"/>
  </r>
  <r>
    <s v="TCK-21092"/>
    <d v="2026-03-05T10:31:00"/>
    <s v="Tier 1 Support"/>
    <x v="7"/>
    <x v="6"/>
    <x v="3"/>
    <x v="4"/>
    <x v="2"/>
    <n v="8"/>
    <x v="2"/>
    <d v="2026-03-05T17:31:00"/>
    <s v="No"/>
    <n v="3"/>
    <s v="Not Specified"/>
    <n v="6.9999999999417923"/>
    <x v="1"/>
  </r>
  <r>
    <s v="TCK-20976"/>
    <d v="2026-06-01T22:23:00"/>
    <s v="Tier 2 Support"/>
    <x v="3"/>
    <x v="5"/>
    <x v="2"/>
    <x v="5"/>
    <x v="1"/>
    <n v="48"/>
    <x v="0"/>
    <d v="2026-06-02T01:16:00"/>
    <s v="No"/>
    <m/>
    <s v="Resolved On First Contact"/>
    <n v="2.8833333333022892"/>
    <x v="0"/>
  </r>
  <r>
    <s v="TCK-23025"/>
    <d v="2026-02-10T04:33:00"/>
    <s v="Technical Support"/>
    <x v="4"/>
    <x v="4"/>
    <x v="1"/>
    <x v="5"/>
    <x v="0"/>
    <n v="24"/>
    <x v="5"/>
    <s v="Missing Resolve Date"/>
    <s v="No"/>
    <m/>
    <s v="Technical Issue Resolved Remotely"/>
    <s v=""/>
    <x v="1"/>
  </r>
  <r>
    <s v="TCK-23001"/>
    <d v="2026-08-12T12:09:00"/>
    <s v="Technical Support"/>
    <x v="4"/>
    <x v="1"/>
    <x v="1"/>
    <x v="2"/>
    <x v="2"/>
    <n v="8"/>
    <x v="4"/>
    <s v="Missing Resolve Date"/>
    <s v="Yes"/>
    <m/>
    <s v="Awaiting Customer Response"/>
    <s v=""/>
    <x v="1"/>
  </r>
  <r>
    <s v="TCK-22515"/>
    <d v="2026-07-24T17:43:00"/>
    <s v="Tier 1 Support"/>
    <x v="1"/>
    <x v="4"/>
    <x v="2"/>
    <x v="1"/>
    <x v="1"/>
    <n v="48"/>
    <x v="5"/>
    <s v="Missing Resolve Date"/>
    <s v="No"/>
    <m/>
    <s v="Required Follow-Up Call"/>
    <s v=""/>
    <x v="1"/>
  </r>
  <r>
    <s v="TCK-21774"/>
    <d v="2026-08-22T03:22:00"/>
    <s v="Tier 1 Support"/>
    <x v="7"/>
    <x v="2"/>
    <x v="1"/>
    <x v="3"/>
    <x v="0"/>
    <n v="24"/>
    <x v="0"/>
    <d v="2026-08-23T00:00:00"/>
    <s v="No"/>
    <n v="4"/>
    <s v="Customer Requested Refund"/>
    <n v="20.633333333360497"/>
    <x v="0"/>
  </r>
  <r>
    <s v="TCK-22070"/>
    <d v="2026-01-25T19:21:00"/>
    <s v="Tier 2 Support"/>
    <x v="3"/>
    <x v="3"/>
    <x v="1"/>
    <x v="4"/>
    <x v="1"/>
    <n v="48"/>
    <x v="2"/>
    <d v="2026-01-27T05:52:00"/>
    <s v="No"/>
    <n v="1"/>
    <s v="Repeat Issue From Same Customer"/>
    <n v="34.516666666546371"/>
    <x v="1"/>
  </r>
  <r>
    <s v="TCK-22106"/>
    <d v="2026-01-07T03:31:00"/>
    <s v="Technical Support"/>
    <x v="6"/>
    <x v="6"/>
    <x v="0"/>
    <x v="3"/>
    <x v="2"/>
    <n v="8"/>
    <x v="0"/>
    <s v="Missing Resolve Date"/>
    <s v="No"/>
    <m/>
    <s v="Customer Satisfied With Resolution"/>
    <s v=""/>
    <x v="2"/>
  </r>
  <r>
    <s v="TCK-20341"/>
    <d v="2026-08-01T02:26:00"/>
    <s v="Billing Support"/>
    <x v="5"/>
    <x v="6"/>
    <x v="0"/>
    <x v="1"/>
    <x v="0"/>
    <n v="24"/>
    <x v="2"/>
    <d v="2026-08-03T16:15:00"/>
    <s v="No"/>
    <m/>
    <s v="Escalated To Senior Agent"/>
    <n v="61.816666666651145"/>
    <x v="1"/>
  </r>
  <r>
    <s v="TCK-21928"/>
    <d v="2026-07-13T12:30:00"/>
    <s v="Technical Support"/>
    <x v="4"/>
    <x v="3"/>
    <x v="3"/>
    <x v="4"/>
    <x v="2"/>
    <n v="8"/>
    <x v="4"/>
    <s v="Missing Resolve Date"/>
    <s v="Yes"/>
    <m/>
    <s v="Not Specified"/>
    <s v=""/>
    <x v="1"/>
  </r>
  <r>
    <s v="TCK-20338"/>
    <d v="2026-04-19T10:03:00"/>
    <s v="Technical Support"/>
    <x v="6"/>
    <x v="6"/>
    <x v="2"/>
    <x v="4"/>
    <x v="1"/>
    <n v="48"/>
    <x v="5"/>
    <s v="Missing Resolve Date"/>
    <s v="No"/>
    <m/>
    <s v="Customer Requested Refund"/>
    <s v=""/>
    <x v="1"/>
  </r>
  <r>
    <s v="TCK-22859"/>
    <d v="2026-03-01T23:53:00"/>
    <s v="Technical Support"/>
    <x v="4"/>
    <x v="1"/>
    <x v="3"/>
    <x v="3"/>
    <x v="2"/>
    <n v="8"/>
    <x v="0"/>
    <d v="2026-03-02T02:08:00"/>
    <s v="No"/>
    <n v="1"/>
    <s v="Customer Requested Refund"/>
    <n v="2.25"/>
    <x v="0"/>
  </r>
  <r>
    <s v="TCK-20904"/>
    <d v="2026-01-12T07:18:00"/>
    <s v="Billing Support"/>
    <x v="0"/>
    <x v="4"/>
    <x v="0"/>
    <x v="5"/>
    <x v="0"/>
    <n v="24"/>
    <x v="2"/>
    <d v="2026-01-13T03:30:00"/>
    <s v="No"/>
    <n v="1"/>
    <s v="Escalated To Senior Agent"/>
    <n v="20.200000000011642"/>
    <x v="1"/>
  </r>
  <r>
    <s v="TCK-20635"/>
    <d v="2026-08-14T06:25:00"/>
    <s v="Tier 2 Support"/>
    <x v="3"/>
    <x v="2"/>
    <x v="2"/>
    <x v="1"/>
    <x v="0"/>
    <n v="24"/>
    <x v="0"/>
    <d v="2026-08-14T21:11:00"/>
    <s v="Yes"/>
    <n v="5"/>
    <s v="Required Follow-Up Call"/>
    <n v="14.766666666779201"/>
    <x v="0"/>
  </r>
  <r>
    <s v="TCK-23067"/>
    <d v="2026-01-28T06:40:00"/>
    <s v="Billing Support"/>
    <x v="0"/>
    <x v="0"/>
    <x v="3"/>
    <x v="1"/>
    <x v="0"/>
    <n v="24"/>
    <x v="0"/>
    <d v="2026-01-28T19:09:00"/>
    <s v="No"/>
    <n v="4"/>
    <s v="Awaiting Customer Response"/>
    <n v="12.483333333337214"/>
    <x v="0"/>
  </r>
  <r>
    <s v="TCK-20902"/>
    <d v="2026-08-15T09:56:00"/>
    <s v="Tier 1 Support"/>
    <x v="7"/>
    <x v="3"/>
    <x v="3"/>
    <x v="1"/>
    <x v="2"/>
    <n v="8"/>
    <x v="5"/>
    <s v="Missing Resolve Date"/>
    <s v="No"/>
    <m/>
    <s v="Escalated To Senior Agent"/>
    <s v=""/>
    <x v="1"/>
  </r>
  <r>
    <s v="TCK-20066"/>
    <d v="2026-04-30T21:38:00"/>
    <s v="Billing Support"/>
    <x v="0"/>
    <x v="6"/>
    <x v="3"/>
    <x v="2"/>
    <x v="0"/>
    <n v="24"/>
    <x v="2"/>
    <d v="2026-05-01T18:22:00"/>
    <s v="No"/>
    <n v="4"/>
    <s v="Customer Satisfied With Resolution"/>
    <n v="20.733333333337214"/>
    <x v="1"/>
  </r>
  <r>
    <s v="TCK-20079"/>
    <d v="2026-05-23T20:59:00"/>
    <s v="Billing Support"/>
    <x v="5"/>
    <x v="0"/>
    <x v="1"/>
    <x v="0"/>
    <x v="0"/>
    <n v="24"/>
    <x v="0"/>
    <d v="2026-05-24T18:11:00"/>
    <s v="No"/>
    <n v="5"/>
    <s v="Technical Issue Resolved Remotely"/>
    <n v="21.200000000128057"/>
    <x v="0"/>
  </r>
  <r>
    <s v="TCK-22895"/>
    <d v="2026-05-31T18:31:00"/>
    <s v="Technical Support"/>
    <x v="6"/>
    <x v="1"/>
    <x v="0"/>
    <x v="0"/>
    <x v="1"/>
    <n v="48"/>
    <x v="0"/>
    <d v="2026-06-02T01:01:00"/>
    <s v="No"/>
    <n v="2"/>
    <s v="Technical Issue Resolved Remotely"/>
    <n v="30.500000000058208"/>
    <x v="0"/>
  </r>
  <r>
    <s v="TCK-21185"/>
    <d v="2026-07-21T11:55:00"/>
    <s v="Tier 2 Support"/>
    <x v="3"/>
    <x v="6"/>
    <x v="0"/>
    <x v="0"/>
    <x v="3"/>
    <n v="4"/>
    <x v="2"/>
    <s v="Missing Resolve Date"/>
    <s v="No"/>
    <n v="2"/>
    <s v="Repeat Issue From Same Customer"/>
    <s v=""/>
    <x v="1"/>
  </r>
  <r>
    <s v="TCK-22395"/>
    <d v="2026-04-15T19:38:00"/>
    <s v="Tier 1 Support"/>
    <x v="1"/>
    <x v="5"/>
    <x v="0"/>
    <x v="5"/>
    <x v="2"/>
    <n v="8"/>
    <x v="2"/>
    <d v="2026-04-15T21:35:00"/>
    <s v="No"/>
    <n v="2"/>
    <s v="Repeat Issue From Same Customer"/>
    <n v="1.9499999998952262"/>
    <x v="1"/>
  </r>
  <r>
    <s v="TCK-21962"/>
    <d v="2026-06-29T18:15:00"/>
    <s v="Technical Support"/>
    <x v="6"/>
    <x v="4"/>
    <x v="0"/>
    <x v="0"/>
    <x v="0"/>
    <n v="24"/>
    <x v="0"/>
    <d v="2026-07-01T09:53:00"/>
    <s v="No"/>
    <n v="3"/>
    <s v="Not Specified"/>
    <n v="39.633333333476912"/>
    <x v="2"/>
  </r>
  <r>
    <s v="TCK-21978"/>
    <d v="2026-06-15T17:06:00"/>
    <s v="Tier 2 Support"/>
    <x v="2"/>
    <x v="1"/>
    <x v="0"/>
    <x v="2"/>
    <x v="1"/>
    <n v="48"/>
    <x v="0"/>
    <d v="2026-06-16T17:49:00"/>
    <s v="No"/>
    <m/>
    <s v="Repeat Issue From Same Customer"/>
    <n v="24.716666666558012"/>
    <x v="0"/>
  </r>
  <r>
    <s v="TCK-21541"/>
    <d v="2026-04-19T14:58:00"/>
    <s v="Tier 2 Support"/>
    <x v="3"/>
    <x v="5"/>
    <x v="2"/>
    <x v="5"/>
    <x v="1"/>
    <n v="48"/>
    <x v="0"/>
    <d v="2026-04-19T17:18:00"/>
    <s v="No"/>
    <n v="2"/>
    <s v="Not Specified"/>
    <n v="2.3333333332557231"/>
    <x v="0"/>
  </r>
  <r>
    <s v="TCK-20458"/>
    <d v="2026-03-30T14:30:00"/>
    <s v="Tier 1 Support"/>
    <x v="1"/>
    <x v="4"/>
    <x v="3"/>
    <x v="2"/>
    <x v="0"/>
    <n v="24"/>
    <x v="2"/>
    <d v="2026-03-30T22:51:00"/>
    <s v="No"/>
    <n v="4"/>
    <s v="Awaiting Customer Response"/>
    <n v="8.3499999999767169"/>
    <x v="1"/>
  </r>
  <r>
    <s v="TCK-22176"/>
    <d v="2026-01-22T02:47:00"/>
    <s v="Technical Support"/>
    <x v="4"/>
    <x v="2"/>
    <x v="3"/>
    <x v="2"/>
    <x v="2"/>
    <n v="8"/>
    <x v="0"/>
    <d v="2026-01-22T09:39:00"/>
    <s v="No"/>
    <n v="3"/>
    <s v="Repeat Issue From Same Customer"/>
    <n v="6.8666666666977108"/>
    <x v="0"/>
  </r>
  <r>
    <s v="TCK-20862"/>
    <d v="2026-02-01T08:56:00"/>
    <s v="Tier 1 Support"/>
    <x v="7"/>
    <x v="1"/>
    <x v="2"/>
    <x v="0"/>
    <x v="1"/>
    <n v="48"/>
    <x v="0"/>
    <d v="2026-02-02T21:59:00"/>
    <s v="Yes"/>
    <m/>
    <s v="Resolved On First Contact"/>
    <n v="37.050000000104774"/>
    <x v="0"/>
  </r>
  <r>
    <s v="TCK-22422"/>
    <d v="2026-03-13T15:06:00"/>
    <s v="Tier 1 Support"/>
    <x v="7"/>
    <x v="6"/>
    <x v="3"/>
    <x v="3"/>
    <x v="3"/>
    <n v="4"/>
    <x v="2"/>
    <d v="2026-03-13T15:49:00"/>
    <s v="No"/>
    <m/>
    <s v="Repeat Issue From Same Customer"/>
    <n v="0.71666666673263535"/>
    <x v="1"/>
  </r>
  <r>
    <s v="TCK-21473"/>
    <d v="2026-02-11T19:50:00"/>
    <s v="Tier 2 Support"/>
    <x v="3"/>
    <x v="6"/>
    <x v="0"/>
    <x v="4"/>
    <x v="3"/>
    <n v="4"/>
    <x v="2"/>
    <d v="2026-02-12T06:00:00"/>
    <s v="No"/>
    <m/>
    <s v="Awaiting Customer Response"/>
    <n v="10.166666666627862"/>
    <x v="1"/>
  </r>
  <r>
    <s v="TCK-21400"/>
    <d v="2026-01-04T07:43:00"/>
    <s v="Tier 1 Support"/>
    <x v="1"/>
    <x v="2"/>
    <x v="3"/>
    <x v="0"/>
    <x v="0"/>
    <n v="24"/>
    <x v="0"/>
    <d v="2026-01-04T23:47:00"/>
    <s v="No"/>
    <n v="1"/>
    <s v="Customer Requested Refund"/>
    <n v="16.066666666651145"/>
    <x v="0"/>
  </r>
  <r>
    <s v="TCK-21601"/>
    <d v="2026-08-15T21:33:00"/>
    <s v="Tier 2 Support"/>
    <x v="3"/>
    <x v="2"/>
    <x v="3"/>
    <x v="3"/>
    <x v="0"/>
    <n v="24"/>
    <x v="4"/>
    <s v="Missing Resolve Date"/>
    <s v="Yes"/>
    <m/>
    <s v="Not Specified"/>
    <s v=""/>
    <x v="1"/>
  </r>
  <r>
    <s v="TCK-21123"/>
    <d v="2026-03-23T23:59:00"/>
    <s v="Billing Support"/>
    <x v="5"/>
    <x v="4"/>
    <x v="1"/>
    <x v="0"/>
    <x v="2"/>
    <n v="8"/>
    <x v="2"/>
    <d v="2026-03-24T23:51:00"/>
    <s v="No"/>
    <n v="5"/>
    <s v="Awaiting Customer Response"/>
    <n v="23.866666666755918"/>
    <x v="1"/>
  </r>
  <r>
    <s v="TCK-20654"/>
    <d v="2026-01-08T21:08:00"/>
    <s v="Technical Support"/>
    <x v="4"/>
    <x v="6"/>
    <x v="2"/>
    <x v="2"/>
    <x v="0"/>
    <n v="24"/>
    <x v="0"/>
    <s v="Missing Resolve Date"/>
    <s v="No"/>
    <n v="5"/>
    <s v="Not Specified"/>
    <s v=""/>
    <x v="2"/>
  </r>
  <r>
    <s v="TCK-22325"/>
    <d v="2026-05-01T21:26:00"/>
    <s v="Billing Support"/>
    <x v="0"/>
    <x v="5"/>
    <x v="1"/>
    <x v="1"/>
    <x v="3"/>
    <n v="4"/>
    <x v="2"/>
    <d v="2026-05-02T04:00:00"/>
    <s v="No"/>
    <n v="1"/>
    <s v="Awaiting Customer Response"/>
    <n v="6.566666666592937"/>
    <x v="1"/>
  </r>
  <r>
    <s v="TCK-22826"/>
    <d v="2026-01-14T07:08:00"/>
    <s v="Tier 2 Support"/>
    <x v="3"/>
    <x v="3"/>
    <x v="3"/>
    <x v="3"/>
    <x v="2"/>
    <n v="8"/>
    <x v="0"/>
    <d v="2026-01-14T22:13:00"/>
    <s v="No"/>
    <n v="5"/>
    <s v="Not Specified"/>
    <n v="15.083333333255723"/>
    <x v="2"/>
  </r>
  <r>
    <s v="TCK-21672"/>
    <d v="2026-06-24T12:16:00"/>
    <s v="Tier 2 Support"/>
    <x v="2"/>
    <x v="3"/>
    <x v="3"/>
    <x v="5"/>
    <x v="1"/>
    <n v="48"/>
    <x v="2"/>
    <d v="2026-06-27T12:58:00"/>
    <s v="No"/>
    <n v="4"/>
    <s v="Customer Satisfied With Resolution"/>
    <n v="72.700000000011642"/>
    <x v="1"/>
  </r>
  <r>
    <s v="TCK-23086"/>
    <d v="2026-05-13T23:21:00"/>
    <s v="Tier 1 Support"/>
    <x v="7"/>
    <x v="3"/>
    <x v="1"/>
    <x v="2"/>
    <x v="3"/>
    <n v="4"/>
    <x v="1"/>
    <s v="Missing Resolve Date"/>
    <s v="No"/>
    <m/>
    <s v="Not Specified"/>
    <s v=""/>
    <x v="1"/>
  </r>
  <r>
    <s v="TCK-21466"/>
    <d v="2026-06-26T14:34:00"/>
    <s v="Tier 1 Support"/>
    <x v="7"/>
    <x v="5"/>
    <x v="2"/>
    <x v="4"/>
    <x v="0"/>
    <n v="24"/>
    <x v="2"/>
    <d v="2026-06-27T09:00:00"/>
    <s v="No"/>
    <m/>
    <s v="Required Follow-Up Call"/>
    <n v="18.433333333348855"/>
    <x v="1"/>
  </r>
  <r>
    <s v="TCK-22316"/>
    <d v="2026-05-04T08:37:00"/>
    <s v="Tier 2 Support"/>
    <x v="2"/>
    <x v="6"/>
    <x v="1"/>
    <x v="0"/>
    <x v="1"/>
    <n v="48"/>
    <x v="2"/>
    <s v="Missing Resolve Date"/>
    <s v="No"/>
    <n v="1"/>
    <s v="Resolved On First Contact"/>
    <s v=""/>
    <x v="1"/>
  </r>
  <r>
    <s v="TCK-22378"/>
    <d v="2026-02-20T15:04:00"/>
    <s v="Billing Support"/>
    <x v="0"/>
    <x v="3"/>
    <x v="1"/>
    <x v="4"/>
    <x v="0"/>
    <n v="24"/>
    <x v="0"/>
    <d v="2026-02-20T18:44:00"/>
    <s v="No"/>
    <m/>
    <s v="Repeat Issue From Same Customer"/>
    <n v="3.6666666665696539"/>
    <x v="0"/>
  </r>
  <r>
    <s v="TCK-22136"/>
    <d v="2026-08-22T07:15:00"/>
    <s v="Technical Support"/>
    <x v="4"/>
    <x v="2"/>
    <x v="2"/>
    <x v="4"/>
    <x v="1"/>
    <n v="48"/>
    <x v="0"/>
    <d v="2026-08-23T12:39:00"/>
    <s v="No"/>
    <n v="5"/>
    <s v="Resolved On First Contact"/>
    <n v="29.399999999965075"/>
    <x v="0"/>
  </r>
  <r>
    <s v="TCK-20010"/>
    <d v="2026-01-04T13:32:00"/>
    <s v="Technical Support"/>
    <x v="6"/>
    <x v="2"/>
    <x v="2"/>
    <x v="2"/>
    <x v="0"/>
    <n v="24"/>
    <x v="2"/>
    <d v="2026-01-04T17:11:00"/>
    <s v="No"/>
    <m/>
    <s v="Repeat Issue From Same Customer"/>
    <n v="3.6500000000232831"/>
    <x v="1"/>
  </r>
  <r>
    <s v="TCK-23194"/>
    <d v="2026-08-19T06:57:00"/>
    <s v="Technical Support"/>
    <x v="6"/>
    <x v="2"/>
    <x v="1"/>
    <x v="1"/>
    <x v="0"/>
    <n v="24"/>
    <x v="5"/>
    <s v="Missing Resolve Date"/>
    <s v="No"/>
    <m/>
    <s v="Resolved On First Contact"/>
    <s v=""/>
    <x v="1"/>
  </r>
  <r>
    <s v="TCK-21179"/>
    <d v="2026-03-12T12:59:00"/>
    <s v="Tier 2 Support"/>
    <x v="2"/>
    <x v="6"/>
    <x v="2"/>
    <x v="3"/>
    <x v="2"/>
    <n v="8"/>
    <x v="5"/>
    <s v="Missing Resolve Date"/>
    <s v="No"/>
    <m/>
    <s v="Required Follow-Up Call"/>
    <s v=""/>
    <x v="1"/>
  </r>
  <r>
    <s v="TCK-20678"/>
    <d v="2026-02-25T10:03:00"/>
    <s v="Technical Support"/>
    <x v="4"/>
    <x v="2"/>
    <x v="3"/>
    <x v="1"/>
    <x v="1"/>
    <n v="48"/>
    <x v="5"/>
    <s v="Missing Resolve Date"/>
    <s v="No"/>
    <m/>
    <s v="Escalated To Senior Agent"/>
    <s v=""/>
    <x v="1"/>
  </r>
  <r>
    <s v="TCK-22552"/>
    <d v="2026-03-26T21:18:00"/>
    <s v="Tier 2 Support"/>
    <x v="3"/>
    <x v="4"/>
    <x v="1"/>
    <x v="4"/>
    <x v="1"/>
    <n v="48"/>
    <x v="0"/>
    <d v="2026-03-27T07:20:00"/>
    <s v="No"/>
    <n v="2"/>
    <s v="Awaiting Customer Response"/>
    <n v="10.03333333338378"/>
    <x v="0"/>
  </r>
  <r>
    <s v="TCK-22870"/>
    <d v="2026-06-23T22:21:00"/>
    <s v="Billing Support"/>
    <x v="5"/>
    <x v="4"/>
    <x v="0"/>
    <x v="5"/>
    <x v="2"/>
    <n v="8"/>
    <x v="0"/>
    <s v="Missing Resolve Date"/>
    <s v="No"/>
    <m/>
    <s v="Escalated To Senior Agent"/>
    <s v=""/>
    <x v="2"/>
  </r>
  <r>
    <s v="TCK-22212"/>
    <d v="2026-06-15T11:11:00"/>
    <s v="Tier 2 Support"/>
    <x v="2"/>
    <x v="2"/>
    <x v="1"/>
    <x v="5"/>
    <x v="2"/>
    <n v="8"/>
    <x v="0"/>
    <d v="2026-06-15T13:55:00"/>
    <s v="No"/>
    <m/>
    <s v="Customer Requested Refund"/>
    <n v="2.7333333333372138"/>
    <x v="0"/>
  </r>
  <r>
    <s v="TCK-20930"/>
    <d v="2026-04-16T06:26:00"/>
    <s v="Billing Support"/>
    <x v="0"/>
    <x v="2"/>
    <x v="3"/>
    <x v="2"/>
    <x v="0"/>
    <n v="24"/>
    <x v="4"/>
    <s v="Missing Resolve Date"/>
    <s v="Yes"/>
    <m/>
    <s v="Required Follow-Up Call"/>
    <s v=""/>
    <x v="1"/>
  </r>
  <r>
    <s v="TCK-21343"/>
    <d v="2026-03-08T11:12:00"/>
    <s v="Tier 1 Support"/>
    <x v="7"/>
    <x v="3"/>
    <x v="0"/>
    <x v="1"/>
    <x v="2"/>
    <n v="8"/>
    <x v="0"/>
    <d v="2026-03-08T13:16:00"/>
    <s v="No"/>
    <m/>
    <s v="Required Follow-Up Call"/>
    <n v="2.066666666592937"/>
    <x v="0"/>
  </r>
  <r>
    <s v="TCK-22743"/>
    <d v="2026-08-03T13:36:00"/>
    <s v="Billing Support"/>
    <x v="0"/>
    <x v="6"/>
    <x v="3"/>
    <x v="1"/>
    <x v="0"/>
    <n v="24"/>
    <x v="5"/>
    <s v="Missing Resolve Date"/>
    <s v="No"/>
    <m/>
    <s v="Resolved On First Contact"/>
    <s v=""/>
    <x v="1"/>
  </r>
  <r>
    <s v="TCK-22392"/>
    <d v="2026-08-10T06:41:00"/>
    <s v="Billing Support"/>
    <x v="5"/>
    <x v="5"/>
    <x v="2"/>
    <x v="1"/>
    <x v="0"/>
    <n v="24"/>
    <x v="0"/>
    <d v="2026-08-10T21:48:00"/>
    <s v="No"/>
    <m/>
    <s v="Required Follow-Up Call"/>
    <n v="15.116666666697711"/>
    <x v="0"/>
  </r>
  <r>
    <s v="TCK-22156"/>
    <d v="2026-01-17T10:39:00"/>
    <s v="Tier 1 Support"/>
    <x v="7"/>
    <x v="3"/>
    <x v="3"/>
    <x v="3"/>
    <x v="0"/>
    <n v="24"/>
    <x v="2"/>
    <d v="2026-01-18T04:38:00"/>
    <s v="No"/>
    <n v="1"/>
    <s v="Customer Satisfied With Resolution"/>
    <n v="17.983333333453629"/>
    <x v="1"/>
  </r>
  <r>
    <s v="TCK-21194"/>
    <d v="2026-08-29T19:14:00"/>
    <s v="Tier 2 Support"/>
    <x v="3"/>
    <x v="4"/>
    <x v="3"/>
    <x v="5"/>
    <x v="0"/>
    <n v="24"/>
    <x v="0"/>
    <d v="2026-08-30T05:47:00"/>
    <s v="No"/>
    <n v="4"/>
    <s v="Repeat Issue From Same Customer"/>
    <n v="10.549999999988358"/>
    <x v="0"/>
  </r>
  <r>
    <s v="TCK-22715"/>
    <d v="2026-04-03T01:45:00"/>
    <s v="Tier 2 Support"/>
    <x v="2"/>
    <x v="3"/>
    <x v="2"/>
    <x v="2"/>
    <x v="0"/>
    <n v="24"/>
    <x v="0"/>
    <d v="2026-04-03T17:14:00"/>
    <s v="Yes"/>
    <n v="5"/>
    <s v="Customer Requested Refund"/>
    <n v="15.483333333337214"/>
    <x v="0"/>
  </r>
  <r>
    <s v="TCK-22495"/>
    <d v="2026-01-23T16:16:00"/>
    <s v="Technical Support"/>
    <x v="4"/>
    <x v="0"/>
    <x v="2"/>
    <x v="4"/>
    <x v="1"/>
    <n v="48"/>
    <x v="0"/>
    <d v="2026-01-24T14:11:00"/>
    <s v="Yes"/>
    <m/>
    <s v="Customer Requested Refund"/>
    <n v="21.916666666686069"/>
    <x v="0"/>
  </r>
  <r>
    <s v="TCK-21965"/>
    <d v="2026-06-13T00:43:00"/>
    <s v="Tier 1 Support"/>
    <x v="1"/>
    <x v="2"/>
    <x v="1"/>
    <x v="1"/>
    <x v="0"/>
    <n v="24"/>
    <x v="0"/>
    <d v="2026-06-15T00:30:00"/>
    <s v="No"/>
    <n v="5"/>
    <s v="Customer Satisfied With Resolution"/>
    <n v="47.783333333325572"/>
    <x v="2"/>
  </r>
  <r>
    <s v="TCK-22080"/>
    <d v="2026-05-20T05:58:00"/>
    <s v="Billing Support"/>
    <x v="0"/>
    <x v="2"/>
    <x v="3"/>
    <x v="4"/>
    <x v="1"/>
    <n v="48"/>
    <x v="2"/>
    <d v="2026-05-21T14:27:00"/>
    <s v="No"/>
    <m/>
    <s v="Awaiting Customer Response"/>
    <n v="32.483333333220799"/>
    <x v="1"/>
  </r>
  <r>
    <s v="TCK-22381"/>
    <d v="2026-05-25T09:33:00"/>
    <s v="Billing Support"/>
    <x v="0"/>
    <x v="0"/>
    <x v="2"/>
    <x v="0"/>
    <x v="1"/>
    <n v="48"/>
    <x v="5"/>
    <s v="Missing Resolve Date"/>
    <s v="No"/>
    <m/>
    <s v="Not Specified"/>
    <s v=""/>
    <x v="1"/>
  </r>
  <r>
    <s v="TCK-21996"/>
    <d v="2026-03-26T14:35:00"/>
    <s v="Tier 1 Support"/>
    <x v="7"/>
    <x v="1"/>
    <x v="1"/>
    <x v="0"/>
    <x v="0"/>
    <n v="24"/>
    <x v="1"/>
    <s v="Missing Resolve Date"/>
    <s v="No"/>
    <m/>
    <s v="Escalated To Senior Agent"/>
    <s v=""/>
    <x v="1"/>
  </r>
  <r>
    <s v="TCK-22028"/>
    <d v="2026-03-21T09:27:00"/>
    <s v="Tier 2 Support"/>
    <x v="2"/>
    <x v="5"/>
    <x v="2"/>
    <x v="5"/>
    <x v="0"/>
    <n v="24"/>
    <x v="5"/>
    <s v="Missing Resolve Date"/>
    <s v="No"/>
    <m/>
    <s v="Customer Requested Refund"/>
    <s v=""/>
    <x v="1"/>
  </r>
  <r>
    <s v="TCK-21732"/>
    <d v="2026-01-19T22:22:00"/>
    <s v="Tier 2 Support"/>
    <x v="2"/>
    <x v="3"/>
    <x v="0"/>
    <x v="4"/>
    <x v="2"/>
    <n v="8"/>
    <x v="0"/>
    <d v="2026-01-20T00:19:00"/>
    <s v="No"/>
    <n v="4"/>
    <s v="Customer Satisfied With Resolution"/>
    <n v="1.9500000000698492"/>
    <x v="0"/>
  </r>
  <r>
    <s v="TCK-20050"/>
    <d v="2026-07-28T06:24:00"/>
    <s v="Billing Support"/>
    <x v="5"/>
    <x v="0"/>
    <x v="2"/>
    <x v="2"/>
    <x v="2"/>
    <n v="8"/>
    <x v="2"/>
    <d v="2026-07-29T00:57:00"/>
    <s v="Yes"/>
    <m/>
    <s v="Not Specified"/>
    <n v="18.549999999871943"/>
    <x v="1"/>
  </r>
  <r>
    <s v="TCK-22402"/>
    <d v="2026-01-26T13:32:00"/>
    <s v="Billing Support"/>
    <x v="5"/>
    <x v="3"/>
    <x v="0"/>
    <x v="1"/>
    <x v="2"/>
    <n v="8"/>
    <x v="2"/>
    <d v="2026-01-26T14:48:00"/>
    <s v="No"/>
    <n v="4"/>
    <s v="Customer Satisfied With Resolution"/>
    <n v="1.2666666667792015"/>
    <x v="1"/>
  </r>
  <r>
    <s v="TCK-20647"/>
    <d v="2026-05-23T20:43:00"/>
    <s v="Tier 2 Support"/>
    <x v="3"/>
    <x v="0"/>
    <x v="0"/>
    <x v="5"/>
    <x v="1"/>
    <n v="48"/>
    <x v="0"/>
    <d v="2026-05-28T13:53:00"/>
    <s v="No"/>
    <n v="4"/>
    <s v="Technical Issue Resolved Remotely"/>
    <n v="113.16666666674428"/>
    <x v="2"/>
  </r>
  <r>
    <s v="TCK-20291"/>
    <d v="2026-04-06T21:31:00"/>
    <s v="Tier 1 Support"/>
    <x v="1"/>
    <x v="0"/>
    <x v="1"/>
    <x v="3"/>
    <x v="0"/>
    <n v="24"/>
    <x v="2"/>
    <d v="2026-04-08T00:11:00"/>
    <s v="Yes"/>
    <m/>
    <s v="Awaiting Customer Response"/>
    <n v="26.666666666802485"/>
    <x v="1"/>
  </r>
  <r>
    <s v="TCK-20335"/>
    <d v="2026-06-29T19:21:00"/>
    <s v="Technical Support"/>
    <x v="4"/>
    <x v="3"/>
    <x v="0"/>
    <x v="1"/>
    <x v="2"/>
    <n v="8"/>
    <x v="1"/>
    <s v="Missing Resolve Date"/>
    <s v="No"/>
    <m/>
    <s v="Customer Satisfied With Resolution"/>
    <s v=""/>
    <x v="1"/>
  </r>
  <r>
    <s v="TCK-21017"/>
    <d v="2026-07-06T01:09:00"/>
    <s v="Tier 1 Support"/>
    <x v="1"/>
    <x v="4"/>
    <x v="0"/>
    <x v="2"/>
    <x v="1"/>
    <n v="48"/>
    <x v="5"/>
    <s v="Missing Resolve Date"/>
    <s v="No"/>
    <m/>
    <s v="Not Specified"/>
    <s v=""/>
    <x v="1"/>
  </r>
  <r>
    <s v="TCK-21502"/>
    <d v="2026-02-03T20:36:00"/>
    <s v="Technical Support"/>
    <x v="4"/>
    <x v="0"/>
    <x v="2"/>
    <x v="0"/>
    <x v="1"/>
    <n v="48"/>
    <x v="2"/>
    <d v="2026-02-09T15:00:00"/>
    <s v="No"/>
    <m/>
    <s v="Not Specified"/>
    <n v="138.40000000008149"/>
    <x v="1"/>
  </r>
  <r>
    <s v="TCK-21210"/>
    <d v="2026-01-11T05:47:00"/>
    <s v="Billing Support"/>
    <x v="0"/>
    <x v="6"/>
    <x v="2"/>
    <x v="0"/>
    <x v="2"/>
    <n v="8"/>
    <x v="0"/>
    <d v="2026-01-11T10:53:00"/>
    <s v="No"/>
    <n v="4"/>
    <s v="Not Specified"/>
    <n v="5.1000000000349246"/>
    <x v="0"/>
  </r>
  <r>
    <s v="TCK-22179"/>
    <d v="2026-01-08T03:19:00"/>
    <s v="Technical Support"/>
    <x v="6"/>
    <x v="0"/>
    <x v="1"/>
    <x v="1"/>
    <x v="0"/>
    <n v="24"/>
    <x v="0"/>
    <d v="2026-01-09T00:46:00"/>
    <s v="No"/>
    <m/>
    <s v="Awaiting Customer Response"/>
    <n v="21.450000000069849"/>
    <x v="0"/>
  </r>
  <r>
    <s v="TCK-20205"/>
    <d v="2026-04-10T21:29:00"/>
    <s v="Billing Support"/>
    <x v="5"/>
    <x v="4"/>
    <x v="2"/>
    <x v="4"/>
    <x v="2"/>
    <n v="8"/>
    <x v="4"/>
    <s v="Missing Resolve Date"/>
    <s v="Yes"/>
    <m/>
    <s v="Repeat Issue From Same Customer"/>
    <s v=""/>
    <x v="1"/>
  </r>
  <r>
    <s v="TCK-20491"/>
    <d v="2026-01-03T04:00:00"/>
    <s v="Tier 1 Support"/>
    <x v="1"/>
    <x v="1"/>
    <x v="3"/>
    <x v="5"/>
    <x v="1"/>
    <n v="48"/>
    <x v="1"/>
    <s v="Missing Resolve Date"/>
    <s v="Yes"/>
    <m/>
    <s v="Technical Issue Resolved Remotely"/>
    <s v=""/>
    <x v="1"/>
  </r>
  <r>
    <s v="TCK-21724"/>
    <d v="2026-05-05T20:23:00"/>
    <s v="Technical Support"/>
    <x v="6"/>
    <x v="1"/>
    <x v="3"/>
    <x v="0"/>
    <x v="1"/>
    <n v="48"/>
    <x v="3"/>
    <d v="2026-05-07T01:54:00"/>
    <s v="No"/>
    <m/>
    <s v="Customer Satisfied With Resolution"/>
    <n v="29.516666666662786"/>
    <x v="1"/>
  </r>
  <r>
    <s v="TCK-23016"/>
    <d v="2026-05-05T13:46:00"/>
    <s v="Technical Support"/>
    <x v="6"/>
    <x v="3"/>
    <x v="3"/>
    <x v="5"/>
    <x v="1"/>
    <n v="48"/>
    <x v="2"/>
    <d v="2026-05-06T05:15:00"/>
    <s v="No"/>
    <n v="5"/>
    <s v="Escalated To Senior Agent"/>
    <n v="15.483333333337214"/>
    <x v="1"/>
  </r>
  <r>
    <s v="TCK-20511"/>
    <d v="2026-04-18T08:38:00"/>
    <s v="Tier 2 Support"/>
    <x v="3"/>
    <x v="0"/>
    <x v="1"/>
    <x v="2"/>
    <x v="0"/>
    <n v="24"/>
    <x v="0"/>
    <d v="2026-04-20T23:37:00"/>
    <s v="No"/>
    <n v="5"/>
    <s v="Resolved On First Contact"/>
    <n v="62.983333333279006"/>
    <x v="2"/>
  </r>
  <r>
    <s v="TCK-23000"/>
    <d v="2026-05-20T13:17:00"/>
    <s v="Billing Support"/>
    <x v="5"/>
    <x v="6"/>
    <x v="3"/>
    <x v="0"/>
    <x v="1"/>
    <n v="48"/>
    <x v="5"/>
    <s v="Missing Resolve Date"/>
    <s v="No"/>
    <m/>
    <s v="Customer Satisfied With Resolution"/>
    <s v=""/>
    <x v="1"/>
  </r>
  <r>
    <s v="TCK-20181"/>
    <d v="2026-06-20T21:29:00"/>
    <s v="Technical Support"/>
    <x v="6"/>
    <x v="6"/>
    <x v="2"/>
    <x v="4"/>
    <x v="0"/>
    <n v="24"/>
    <x v="2"/>
    <d v="2026-06-21T06:38:00"/>
    <s v="Yes"/>
    <n v="5"/>
    <s v="Technical Issue Resolved Remotely"/>
    <n v="9.1499999999650754"/>
    <x v="1"/>
  </r>
  <r>
    <s v="TCK-21273"/>
    <d v="2026-01-03T00:37:00"/>
    <s v="Billing Support"/>
    <x v="0"/>
    <x v="1"/>
    <x v="0"/>
    <x v="2"/>
    <x v="1"/>
    <n v="48"/>
    <x v="0"/>
    <d v="2026-01-03T02:00:00"/>
    <s v="No"/>
    <m/>
    <s v="Customer Satisfied With Resolution"/>
    <n v="1.3833333334769122"/>
    <x v="0"/>
  </r>
  <r>
    <s v="TCK-21830"/>
    <d v="2026-05-27T13:55:00"/>
    <s v="Technical Support"/>
    <x v="4"/>
    <x v="4"/>
    <x v="1"/>
    <x v="3"/>
    <x v="1"/>
    <n v="48"/>
    <x v="5"/>
    <s v="Missing Resolve Date"/>
    <s v="No"/>
    <m/>
    <s v="Required Follow-Up Call"/>
    <s v=""/>
    <x v="1"/>
  </r>
  <r>
    <s v="TCK-22666"/>
    <d v="2026-07-29T10:51:00"/>
    <s v="Technical Support"/>
    <x v="6"/>
    <x v="4"/>
    <x v="2"/>
    <x v="0"/>
    <x v="2"/>
    <n v="8"/>
    <x v="0"/>
    <d v="2026-07-29T15:03:00"/>
    <s v="No"/>
    <m/>
    <s v="Resolved On First Contact"/>
    <n v="4.2000000000698492"/>
    <x v="0"/>
  </r>
  <r>
    <s v="TCK-21599"/>
    <d v="2026-02-24T09:07:00"/>
    <s v="Billing Support"/>
    <x v="5"/>
    <x v="5"/>
    <x v="2"/>
    <x v="0"/>
    <x v="0"/>
    <n v="24"/>
    <x v="0"/>
    <d v="2026-02-24T11:28:00"/>
    <s v="No"/>
    <m/>
    <s v="Customer Satisfied With Resolution"/>
    <n v="2.3499999999767169"/>
    <x v="0"/>
  </r>
  <r>
    <s v="TCK-21380"/>
    <d v="2026-04-26T23:45:00"/>
    <s v="Billing Support"/>
    <x v="5"/>
    <x v="1"/>
    <x v="1"/>
    <x v="3"/>
    <x v="1"/>
    <n v="48"/>
    <x v="0"/>
    <d v="2026-04-28T05:43:00"/>
    <s v="No"/>
    <n v="2"/>
    <s v="Escalated To Senior Agent"/>
    <n v="29.966666666558012"/>
    <x v="0"/>
  </r>
  <r>
    <s v="TCK-21010"/>
    <d v="2026-01-08T15:13:00"/>
    <s v="Tier 1 Support"/>
    <x v="7"/>
    <x v="0"/>
    <x v="3"/>
    <x v="3"/>
    <x v="0"/>
    <n v="24"/>
    <x v="0"/>
    <d v="2026-01-08T16:45:00"/>
    <s v="No"/>
    <n v="2"/>
    <s v="Awaiting Customer Response"/>
    <n v="1.5333333332673647"/>
    <x v="0"/>
  </r>
  <r>
    <s v="TCK-20080"/>
    <d v="2026-03-10T09:19:00"/>
    <s v="Technical Support"/>
    <x v="6"/>
    <x v="5"/>
    <x v="2"/>
    <x v="3"/>
    <x v="1"/>
    <n v="48"/>
    <x v="5"/>
    <s v="Missing Resolve Date"/>
    <s v="No"/>
    <m/>
    <s v="Escalated To Senior Agent"/>
    <s v=""/>
    <x v="1"/>
  </r>
  <r>
    <s v="TCK-20254"/>
    <d v="2026-01-17T01:46:00"/>
    <s v="Technical Support"/>
    <x v="4"/>
    <x v="1"/>
    <x v="3"/>
    <x v="3"/>
    <x v="0"/>
    <n v="24"/>
    <x v="0"/>
    <d v="2026-01-17T09:35:00"/>
    <s v="No"/>
    <m/>
    <s v="Customer Satisfied With Resolution"/>
    <n v="7.8166666666511446"/>
    <x v="0"/>
  </r>
  <r>
    <s v="TCK-20615"/>
    <d v="2026-05-08T06:20:00"/>
    <s v="Tier 1 Support"/>
    <x v="7"/>
    <x v="0"/>
    <x v="0"/>
    <x v="2"/>
    <x v="3"/>
    <n v="4"/>
    <x v="5"/>
    <s v="Missing Resolve Date"/>
    <s v="No"/>
    <m/>
    <s v="Required Follow-Up Call"/>
    <s v=""/>
    <x v="1"/>
  </r>
  <r>
    <s v="TCK-20958"/>
    <d v="2026-04-24T20:07:00"/>
    <s v="Technical Support"/>
    <x v="4"/>
    <x v="4"/>
    <x v="0"/>
    <x v="5"/>
    <x v="1"/>
    <n v="48"/>
    <x v="2"/>
    <d v="2026-04-26T07:23:00"/>
    <s v="No"/>
    <m/>
    <s v="Awaiting Customer Response"/>
    <n v="35.266666666720994"/>
    <x v="1"/>
  </r>
  <r>
    <s v="TCK-23123"/>
    <d v="2026-06-01T06:09:00"/>
    <s v="Technical Support"/>
    <x v="4"/>
    <x v="0"/>
    <x v="3"/>
    <x v="0"/>
    <x v="3"/>
    <n v="4"/>
    <x v="0"/>
    <d v="2026-06-01T09:25:00"/>
    <s v="Yes"/>
    <n v="1"/>
    <s v="Customer Satisfied With Resolution"/>
    <n v="3.2666666666627862"/>
    <x v="0"/>
  </r>
  <r>
    <s v="TCK-22986"/>
    <d v="2026-07-20T15:56:00"/>
    <s v="Technical Support"/>
    <x v="4"/>
    <x v="6"/>
    <x v="2"/>
    <x v="3"/>
    <x v="0"/>
    <n v="24"/>
    <x v="0"/>
    <d v="2026-07-22T03:08:00"/>
    <s v="No"/>
    <n v="3"/>
    <s v="Awaiting Customer Response"/>
    <n v="35.200000000011642"/>
    <x v="2"/>
  </r>
  <r>
    <s v="TCK-21926"/>
    <d v="2026-07-16T18:46:00"/>
    <s v="Tier 1 Support"/>
    <x v="1"/>
    <x v="5"/>
    <x v="1"/>
    <x v="4"/>
    <x v="1"/>
    <n v="48"/>
    <x v="2"/>
    <d v="2026-07-18T00:04:00"/>
    <s v="No"/>
    <n v="2"/>
    <s v="Repeat Issue From Same Customer"/>
    <n v="29.299999999988358"/>
    <x v="1"/>
  </r>
  <r>
    <s v="TCK-20629"/>
    <d v="2026-07-03T10:01:00"/>
    <s v="Billing Support"/>
    <x v="0"/>
    <x v="5"/>
    <x v="2"/>
    <x v="1"/>
    <x v="1"/>
    <n v="48"/>
    <x v="2"/>
    <d v="2026-07-03T11:40:00"/>
    <s v="No"/>
    <m/>
    <s v="Required Follow-Up Call"/>
    <n v="1.6499999999650754"/>
    <x v="1"/>
  </r>
  <r>
    <s v="TCK-22560"/>
    <d v="2026-04-23T19:44:00"/>
    <s v="Technical Support"/>
    <x v="6"/>
    <x v="5"/>
    <x v="1"/>
    <x v="1"/>
    <x v="0"/>
    <n v="24"/>
    <x v="2"/>
    <d v="2026-04-24T11:39:00"/>
    <s v="No"/>
    <n v="2"/>
    <s v="Not Specified"/>
    <n v="15.916666666686069"/>
    <x v="1"/>
  </r>
  <r>
    <s v="TCK-22146"/>
    <d v="2026-07-07T20:17:00"/>
    <s v="Tier 2 Support"/>
    <x v="2"/>
    <x v="3"/>
    <x v="3"/>
    <x v="3"/>
    <x v="1"/>
    <n v="48"/>
    <x v="2"/>
    <d v="2026-07-08T21:49:00"/>
    <s v="No"/>
    <n v="1"/>
    <s v="Escalated To Senior Agent"/>
    <n v="25.533333333441988"/>
    <x v="1"/>
  </r>
  <r>
    <s v="TCK-22734"/>
    <d v="2026-04-09T01:02:00"/>
    <s v="Technical Support"/>
    <x v="6"/>
    <x v="3"/>
    <x v="3"/>
    <x v="3"/>
    <x v="2"/>
    <n v="8"/>
    <x v="5"/>
    <s v="Missing Resolve Date"/>
    <s v="No"/>
    <m/>
    <s v="Required Follow-Up Call"/>
    <s v=""/>
    <x v="1"/>
  </r>
  <r>
    <s v="TCK-21583"/>
    <d v="2026-08-22T23:45:00"/>
    <s v="Tier 1 Support"/>
    <x v="7"/>
    <x v="3"/>
    <x v="2"/>
    <x v="1"/>
    <x v="2"/>
    <n v="8"/>
    <x v="2"/>
    <d v="2026-08-23T04:19:00"/>
    <s v="No"/>
    <n v="5"/>
    <s v="Not Specified"/>
    <n v="4.5666666665347293"/>
    <x v="1"/>
  </r>
  <r>
    <s v="TCK-20749"/>
    <d v="2026-01-05T08:31:00"/>
    <s v="Tier 2 Support"/>
    <x v="2"/>
    <x v="4"/>
    <x v="2"/>
    <x v="1"/>
    <x v="0"/>
    <n v="24"/>
    <x v="2"/>
    <d v="2026-01-06T00:39:00"/>
    <s v="No"/>
    <n v="4"/>
    <s v="Resolved On First Contact"/>
    <n v="16.133333333360497"/>
    <x v="1"/>
  </r>
  <r>
    <s v="TCK-21741"/>
    <d v="2026-06-08T08:41:00"/>
    <s v="Technical Support"/>
    <x v="6"/>
    <x v="5"/>
    <x v="1"/>
    <x v="5"/>
    <x v="2"/>
    <n v="8"/>
    <x v="2"/>
    <d v="2026-06-08T13:30:00"/>
    <s v="No"/>
    <n v="4"/>
    <s v="Customer Requested Refund"/>
    <n v="4.8166666666511446"/>
    <x v="1"/>
  </r>
  <r>
    <s v="TCK-21767"/>
    <d v="2026-03-31T10:57:00"/>
    <s v="Tier 2 Support"/>
    <x v="3"/>
    <x v="6"/>
    <x v="0"/>
    <x v="5"/>
    <x v="0"/>
    <n v="24"/>
    <x v="0"/>
    <d v="2026-03-31T14:58:00"/>
    <s v="No"/>
    <m/>
    <s v="Not Specified"/>
    <n v="4.0166666666627862"/>
    <x v="0"/>
  </r>
  <r>
    <s v="TCK-20544"/>
    <d v="2026-06-09T21:32:00"/>
    <s v="Billing Support"/>
    <x v="5"/>
    <x v="4"/>
    <x v="2"/>
    <x v="1"/>
    <x v="2"/>
    <n v="8"/>
    <x v="0"/>
    <d v="2026-06-10T16:10:00"/>
    <s v="No"/>
    <n v="5"/>
    <s v="Required Follow-Up Call"/>
    <n v="18.633333333302289"/>
    <x v="2"/>
  </r>
  <r>
    <s v="TCK-20520"/>
    <d v="2026-06-20T22:56:00"/>
    <s v="Billing Support"/>
    <x v="5"/>
    <x v="6"/>
    <x v="2"/>
    <x v="1"/>
    <x v="1"/>
    <n v="48"/>
    <x v="0"/>
    <d v="2026-06-21T10:55:00"/>
    <s v="No"/>
    <n v="5"/>
    <s v="Not Specified"/>
    <n v="11.983333333279006"/>
    <x v="0"/>
  </r>
  <r>
    <s v="TCK-23046"/>
    <d v="2026-06-08T19:48:00"/>
    <s v="Tier 2 Support"/>
    <x v="2"/>
    <x v="5"/>
    <x v="3"/>
    <x v="4"/>
    <x v="2"/>
    <n v="8"/>
    <x v="0"/>
    <d v="2026-06-09T00:24:00"/>
    <s v="No"/>
    <n v="4"/>
    <s v="Required Follow-Up Call"/>
    <n v="4.6000000001513399"/>
    <x v="0"/>
  </r>
  <r>
    <s v="TCK-21555"/>
    <d v="2026-06-07T08:31:00"/>
    <s v="Tier 1 Support"/>
    <x v="7"/>
    <x v="5"/>
    <x v="1"/>
    <x v="4"/>
    <x v="0"/>
    <n v="24"/>
    <x v="3"/>
    <d v="2026-06-08T04:59:00"/>
    <s v="No"/>
    <m/>
    <s v="Escalated To Senior Agent"/>
    <n v="20.466666666674428"/>
    <x v="1"/>
  </r>
  <r>
    <s v="TCK-21960"/>
    <d v="2026-01-15T17:22:00"/>
    <s v="Tier 2 Support"/>
    <x v="3"/>
    <x v="1"/>
    <x v="2"/>
    <x v="4"/>
    <x v="1"/>
    <n v="48"/>
    <x v="0"/>
    <d v="2026-01-16T21:14:00"/>
    <s v="No"/>
    <m/>
    <s v="Customer Satisfied With Resolution"/>
    <n v="27.866666666697711"/>
    <x v="0"/>
  </r>
  <r>
    <s v="TCK-21769"/>
    <d v="2026-01-28T09:03:00"/>
    <s v="Billing Support"/>
    <x v="5"/>
    <x v="1"/>
    <x v="2"/>
    <x v="3"/>
    <x v="0"/>
    <n v="24"/>
    <x v="2"/>
    <d v="2026-01-29T15:55:00"/>
    <s v="No"/>
    <m/>
    <s v="Escalated To Senior Agent"/>
    <n v="30.866666666697711"/>
    <x v="1"/>
  </r>
  <r>
    <s v="TCK-22149"/>
    <d v="2026-06-03T07:42:00"/>
    <s v="Tier 2 Support"/>
    <x v="2"/>
    <x v="2"/>
    <x v="3"/>
    <x v="3"/>
    <x v="1"/>
    <n v="48"/>
    <x v="0"/>
    <d v="2026-06-04T11:31:00"/>
    <s v="No"/>
    <m/>
    <s v="Escalated To Senior Agent"/>
    <n v="27.816666666709352"/>
    <x v="0"/>
  </r>
  <r>
    <s v="TCK-20434"/>
    <d v="2026-05-05T21:46:00"/>
    <s v="Technical Support"/>
    <x v="6"/>
    <x v="3"/>
    <x v="2"/>
    <x v="2"/>
    <x v="1"/>
    <n v="48"/>
    <x v="2"/>
    <d v="2026-05-06T13:18:00"/>
    <s v="No"/>
    <m/>
    <s v="Resolved On First Contact"/>
    <n v="15.533333333325572"/>
    <x v="1"/>
  </r>
  <r>
    <s v="TCK-21074"/>
    <d v="2026-05-14T09:17:00"/>
    <s v="Technical Support"/>
    <x v="4"/>
    <x v="1"/>
    <x v="3"/>
    <x v="2"/>
    <x v="3"/>
    <n v="4"/>
    <x v="2"/>
    <d v="2026-05-14T12:33:00"/>
    <s v="No"/>
    <n v="4"/>
    <s v="Repeat Issue From Same Customer"/>
    <n v="3.2666666666627862"/>
    <x v="1"/>
  </r>
  <r>
    <s v="TCK-20407"/>
    <d v="2026-06-05T11:56:00"/>
    <s v="Tier 2 Support"/>
    <x v="3"/>
    <x v="5"/>
    <x v="3"/>
    <x v="1"/>
    <x v="1"/>
    <n v="48"/>
    <x v="3"/>
    <d v="2026-06-09T21:19:00"/>
    <s v="No"/>
    <m/>
    <s v="Customer Requested Refund"/>
    <n v="105.3833333333605"/>
    <x v="1"/>
  </r>
  <r>
    <s v="TCK-22405"/>
    <d v="2026-06-07T09:21:00"/>
    <s v="Tier 2 Support"/>
    <x v="3"/>
    <x v="2"/>
    <x v="3"/>
    <x v="1"/>
    <x v="3"/>
    <n v="4"/>
    <x v="0"/>
    <d v="2026-06-07T12:17:00"/>
    <s v="No"/>
    <n v="3"/>
    <s v="Technical Issue Resolved Remotely"/>
    <n v="2.9333333334652707"/>
    <x v="0"/>
  </r>
  <r>
    <s v="TCK-20159"/>
    <d v="2026-03-18T06:39:00"/>
    <s v="Tier 1 Support"/>
    <x v="7"/>
    <x v="0"/>
    <x v="1"/>
    <x v="4"/>
    <x v="0"/>
    <n v="24"/>
    <x v="1"/>
    <s v="Missing Resolve Date"/>
    <s v="No"/>
    <m/>
    <s v="Not Specified"/>
    <s v=""/>
    <x v="1"/>
  </r>
  <r>
    <s v="TCK-22399"/>
    <d v="2026-06-20T00:33:00"/>
    <s v="Tier 2 Support"/>
    <x v="2"/>
    <x v="0"/>
    <x v="2"/>
    <x v="2"/>
    <x v="3"/>
    <n v="4"/>
    <x v="1"/>
    <s v="Missing Resolve Date"/>
    <s v="No"/>
    <m/>
    <s v="Customer Requested Refund"/>
    <s v=""/>
    <x v="1"/>
  </r>
  <r>
    <s v="TCK-20817"/>
    <d v="2026-03-18T15:46:00"/>
    <s v="Tier 2 Support"/>
    <x v="3"/>
    <x v="5"/>
    <x v="2"/>
    <x v="2"/>
    <x v="0"/>
    <n v="24"/>
    <x v="3"/>
    <d v="2026-03-19T01:27:00"/>
    <s v="No"/>
    <m/>
    <s v="Not Specified"/>
    <n v="9.6833333332906477"/>
    <x v="1"/>
  </r>
  <r>
    <s v="TCK-21119"/>
    <d v="2026-06-21T00:11:00"/>
    <s v="Technical Support"/>
    <x v="6"/>
    <x v="5"/>
    <x v="1"/>
    <x v="3"/>
    <x v="1"/>
    <n v="48"/>
    <x v="3"/>
    <d v="2026-06-22T04:14:00"/>
    <s v="No"/>
    <m/>
    <s v="Required Follow-Up Call"/>
    <n v="28.049999999930151"/>
    <x v="1"/>
  </r>
  <r>
    <s v="TCK-21018"/>
    <d v="2026-07-10T01:59:00"/>
    <s v="Billing Support"/>
    <x v="0"/>
    <x v="3"/>
    <x v="2"/>
    <x v="1"/>
    <x v="3"/>
    <n v="4"/>
    <x v="0"/>
    <d v="2026-07-10T03:55:00"/>
    <s v="No"/>
    <n v="5"/>
    <s v="Technical Issue Resolved Remotely"/>
    <n v="1.9333333333488554"/>
    <x v="0"/>
  </r>
  <r>
    <s v="TCK-20906"/>
    <d v="2026-06-20T14:58:00"/>
    <s v="Tier 2 Support"/>
    <x v="2"/>
    <x v="1"/>
    <x v="2"/>
    <x v="4"/>
    <x v="1"/>
    <n v="48"/>
    <x v="0"/>
    <d v="2026-06-22T08:02:00"/>
    <s v="No"/>
    <n v="4"/>
    <s v="Customer Satisfied With Resolution"/>
    <n v="41.066666666592937"/>
    <x v="0"/>
  </r>
  <r>
    <s v="TCK-22508"/>
    <d v="2026-04-05T02:27:00"/>
    <s v="Tier 2 Support"/>
    <x v="3"/>
    <x v="6"/>
    <x v="3"/>
    <x v="3"/>
    <x v="1"/>
    <n v="48"/>
    <x v="0"/>
    <d v="2026-04-06T09:07:00"/>
    <s v="No"/>
    <n v="5"/>
    <s v="Resolved On First Contact"/>
    <n v="30.666666666744277"/>
    <x v="0"/>
  </r>
  <r>
    <s v="TCK-22990"/>
    <d v="2026-01-30T14:39:00"/>
    <s v="Tier 2 Support"/>
    <x v="2"/>
    <x v="6"/>
    <x v="3"/>
    <x v="1"/>
    <x v="0"/>
    <n v="24"/>
    <x v="0"/>
    <d v="2026-02-02T04:05:00"/>
    <s v="No"/>
    <n v="4"/>
    <s v="Customer Satisfied With Resolution"/>
    <n v="61.433333333290648"/>
    <x v="2"/>
  </r>
  <r>
    <s v="TCK-20413"/>
    <d v="2026-02-06T17:19:00"/>
    <s v="Technical Support"/>
    <x v="6"/>
    <x v="5"/>
    <x v="1"/>
    <x v="1"/>
    <x v="1"/>
    <n v="48"/>
    <x v="2"/>
    <d v="2026-02-11T12:50:00"/>
    <s v="No"/>
    <n v="3"/>
    <s v="Escalated To Senior Agent"/>
    <n v="115.51666666654637"/>
    <x v="1"/>
  </r>
  <r>
    <s v="TCK-22772"/>
    <d v="2026-02-13T06:21:00"/>
    <s v="Technical Support"/>
    <x v="4"/>
    <x v="6"/>
    <x v="2"/>
    <x v="3"/>
    <x v="2"/>
    <n v="8"/>
    <x v="5"/>
    <s v="Missing Resolve Date"/>
    <s v="No"/>
    <m/>
    <s v="Repeat Issue From Same Customer"/>
    <s v=""/>
    <x v="1"/>
  </r>
  <r>
    <s v="TCK-21125"/>
    <d v="2026-07-25T03:38:00"/>
    <s v="Tier 2 Support"/>
    <x v="2"/>
    <x v="3"/>
    <x v="2"/>
    <x v="4"/>
    <x v="3"/>
    <n v="4"/>
    <x v="4"/>
    <s v="Missing Resolve Date"/>
    <s v="Yes"/>
    <m/>
    <s v="Escalated To Senior Agent"/>
    <s v=""/>
    <x v="1"/>
  </r>
  <r>
    <s v="TCK-22809"/>
    <d v="2026-08-15T05:00:00"/>
    <s v="Tier 2 Support"/>
    <x v="2"/>
    <x v="3"/>
    <x v="0"/>
    <x v="2"/>
    <x v="0"/>
    <n v="24"/>
    <x v="5"/>
    <s v="Missing Resolve Date"/>
    <s v="No"/>
    <m/>
    <s v="Required Follow-Up Call"/>
    <s v=""/>
    <x v="1"/>
  </r>
  <r>
    <s v="TCK-22267"/>
    <d v="2026-04-09T14:59:00"/>
    <s v="Technical Support"/>
    <x v="4"/>
    <x v="1"/>
    <x v="3"/>
    <x v="5"/>
    <x v="1"/>
    <n v="48"/>
    <x v="0"/>
    <d v="2026-04-09T16:47:00"/>
    <s v="No"/>
    <n v="4"/>
    <s v="Technical Issue Resolved Remotely"/>
    <n v="1.8000000001047738"/>
    <x v="0"/>
  </r>
  <r>
    <s v="TCK-20510"/>
    <d v="2026-05-26T20:57:00"/>
    <s v="Technical Support"/>
    <x v="6"/>
    <x v="2"/>
    <x v="0"/>
    <x v="4"/>
    <x v="1"/>
    <n v="48"/>
    <x v="4"/>
    <s v="Missing Resolve Date"/>
    <s v="Yes"/>
    <m/>
    <s v="Technical Issue Resolved Remotely"/>
    <s v=""/>
    <x v="1"/>
  </r>
  <r>
    <s v="TCK-20673"/>
    <d v="2026-01-23T04:00:00"/>
    <s v="Billing Support"/>
    <x v="0"/>
    <x v="3"/>
    <x v="1"/>
    <x v="1"/>
    <x v="1"/>
    <n v="48"/>
    <x v="2"/>
    <d v="2026-01-23T11:50:00"/>
    <s v="No"/>
    <n v="4"/>
    <s v="Not Specified"/>
    <n v="7.8333333333721384"/>
    <x v="1"/>
  </r>
  <r>
    <s v="TCK-21069"/>
    <d v="2026-03-22T01:04:00"/>
    <s v="Billing Support"/>
    <x v="5"/>
    <x v="1"/>
    <x v="1"/>
    <x v="1"/>
    <x v="0"/>
    <n v="24"/>
    <x v="0"/>
    <d v="2026-03-22T18:49:00"/>
    <s v="No"/>
    <m/>
    <s v="Required Follow-Up Call"/>
    <n v="17.750000000058208"/>
    <x v="0"/>
  </r>
  <r>
    <s v="TCK-21153"/>
    <d v="2026-03-06T03:07:00"/>
    <s v="Billing Support"/>
    <x v="0"/>
    <x v="6"/>
    <x v="2"/>
    <x v="3"/>
    <x v="1"/>
    <n v="48"/>
    <x v="0"/>
    <d v="2026-03-07T03:23:00"/>
    <s v="No"/>
    <n v="2"/>
    <s v="Customer Satisfied With Resolution"/>
    <n v="24.266666666662786"/>
    <x v="0"/>
  </r>
  <r>
    <s v="TCK-22675"/>
    <d v="2026-05-03T09:48:00"/>
    <s v="Technical Support"/>
    <x v="6"/>
    <x v="2"/>
    <x v="0"/>
    <x v="3"/>
    <x v="1"/>
    <n v="48"/>
    <x v="0"/>
    <d v="2026-05-08T11:12:00"/>
    <s v="No"/>
    <n v="5"/>
    <s v="Required Follow-Up Call"/>
    <n v="121.40000000002328"/>
    <x v="2"/>
  </r>
  <r>
    <s v="TCK-20468"/>
    <d v="2026-02-01T07:43:00"/>
    <s v="Technical Support"/>
    <x v="4"/>
    <x v="6"/>
    <x v="1"/>
    <x v="5"/>
    <x v="0"/>
    <n v="24"/>
    <x v="0"/>
    <d v="2026-02-01T18:37:00"/>
    <s v="No"/>
    <n v="4"/>
    <s v="Required Follow-Up Call"/>
    <n v="10.899999999906868"/>
    <x v="0"/>
  </r>
  <r>
    <s v="TCK-20186"/>
    <d v="2026-01-21T04:17:00"/>
    <s v="Tier 2 Support"/>
    <x v="2"/>
    <x v="0"/>
    <x v="0"/>
    <x v="5"/>
    <x v="2"/>
    <n v="8"/>
    <x v="4"/>
    <s v="Missing Resolve Date"/>
    <s v="Yes"/>
    <m/>
    <s v="Resolved On First Contact"/>
    <s v=""/>
    <x v="1"/>
  </r>
  <r>
    <s v="TCK-20382"/>
    <d v="2026-05-28T12:34:00"/>
    <s v="Billing Support"/>
    <x v="0"/>
    <x v="0"/>
    <x v="1"/>
    <x v="5"/>
    <x v="1"/>
    <n v="48"/>
    <x v="5"/>
    <s v="Missing Resolve Date"/>
    <s v="No"/>
    <m/>
    <s v="Technical Issue Resolved Remotely"/>
    <s v=""/>
    <x v="1"/>
  </r>
  <r>
    <s v="TCK-21573"/>
    <d v="2026-02-24T08:54:00"/>
    <s v="Tier 2 Support"/>
    <x v="2"/>
    <x v="2"/>
    <x v="1"/>
    <x v="2"/>
    <x v="2"/>
    <n v="8"/>
    <x v="1"/>
    <s v="Missing Resolve Date"/>
    <s v="Yes"/>
    <m/>
    <s v="Technical Issue Resolved Remotely"/>
    <s v=""/>
    <x v="1"/>
  </r>
  <r>
    <s v="TCK-21991"/>
    <d v="2026-05-29T19:02:00"/>
    <s v="Billing Support"/>
    <x v="0"/>
    <x v="0"/>
    <x v="2"/>
    <x v="4"/>
    <x v="3"/>
    <n v="4"/>
    <x v="0"/>
    <d v="2026-05-30T03:01:00"/>
    <s v="No"/>
    <m/>
    <s v="Repeat Issue From Same Customer"/>
    <n v="7.9833333333372138"/>
    <x v="2"/>
  </r>
  <r>
    <s v="TCK-20922"/>
    <d v="2026-06-14T19:20:00"/>
    <s v="Tier 2 Support"/>
    <x v="3"/>
    <x v="0"/>
    <x v="0"/>
    <x v="1"/>
    <x v="0"/>
    <n v="24"/>
    <x v="5"/>
    <s v="Missing Resolve Date"/>
    <s v="No"/>
    <m/>
    <s v="Not Specified"/>
    <s v=""/>
    <x v="1"/>
  </r>
  <r>
    <s v="TCK-20800"/>
    <d v="2026-03-10T15:34:00"/>
    <s v="Tier 2 Support"/>
    <x v="3"/>
    <x v="4"/>
    <x v="1"/>
    <x v="4"/>
    <x v="0"/>
    <n v="24"/>
    <x v="2"/>
    <d v="2026-03-11T06:15:00"/>
    <s v="No"/>
    <n v="3"/>
    <s v="Technical Issue Resolved Remotely"/>
    <n v="14.683333333348855"/>
    <x v="1"/>
  </r>
  <r>
    <s v="TCK-22498"/>
    <d v="2026-02-03T18:13:00"/>
    <s v="Technical Support"/>
    <x v="4"/>
    <x v="5"/>
    <x v="1"/>
    <x v="3"/>
    <x v="1"/>
    <n v="48"/>
    <x v="5"/>
    <s v="Missing Resolve Date"/>
    <s v="No"/>
    <m/>
    <s v="Resolved On First Contact"/>
    <s v=""/>
    <x v="1"/>
  </r>
  <r>
    <s v="TCK-20061"/>
    <d v="2026-04-09T02:43:00"/>
    <s v="Tier 1 Support"/>
    <x v="1"/>
    <x v="6"/>
    <x v="3"/>
    <x v="4"/>
    <x v="0"/>
    <n v="24"/>
    <x v="0"/>
    <d v="2026-04-09T12:53:00"/>
    <s v="No"/>
    <n v="3"/>
    <s v="Customer Requested Refund"/>
    <n v="10.166666666802485"/>
    <x v="0"/>
  </r>
  <r>
    <s v="TCK-23074"/>
    <d v="2026-08-21T11:18:00"/>
    <s v="Billing Support"/>
    <x v="5"/>
    <x v="0"/>
    <x v="1"/>
    <x v="4"/>
    <x v="0"/>
    <n v="24"/>
    <x v="0"/>
    <d v="2026-08-21T18:29:00"/>
    <s v="No"/>
    <m/>
    <s v="Not Specified"/>
    <n v="7.1833333333488554"/>
    <x v="0"/>
  </r>
  <r>
    <s v="TCK-21511"/>
    <d v="2026-03-09T10:02:00"/>
    <s v="Billing Support"/>
    <x v="5"/>
    <x v="5"/>
    <x v="1"/>
    <x v="3"/>
    <x v="0"/>
    <n v="24"/>
    <x v="1"/>
    <s v="Missing Resolve Date"/>
    <s v="Yes"/>
    <m/>
    <s v="Technical Issue Resolved Remotely"/>
    <s v=""/>
    <x v="1"/>
  </r>
  <r>
    <s v="TCK-21608"/>
    <d v="2026-07-27T08:23:00"/>
    <s v="Technical Support"/>
    <x v="6"/>
    <x v="1"/>
    <x v="0"/>
    <x v="0"/>
    <x v="1"/>
    <n v="48"/>
    <x v="0"/>
    <d v="2026-07-27T11:19:00"/>
    <s v="No"/>
    <n v="2"/>
    <s v="Repeat Issue From Same Customer"/>
    <n v="2.9333333332906477"/>
    <x v="0"/>
  </r>
  <r>
    <s v="TCK-21315"/>
    <d v="2026-08-21T15:26:00"/>
    <s v="Technical Support"/>
    <x v="4"/>
    <x v="3"/>
    <x v="3"/>
    <x v="2"/>
    <x v="1"/>
    <n v="48"/>
    <x v="0"/>
    <d v="2026-08-22T14:54:00"/>
    <s v="No"/>
    <n v="4"/>
    <s v="Escalated To Senior Agent"/>
    <n v="23.466666666674428"/>
    <x v="0"/>
  </r>
  <r>
    <s v="TCK-20680"/>
    <d v="2026-04-01T04:23:00"/>
    <s v="Technical Support"/>
    <x v="6"/>
    <x v="6"/>
    <x v="2"/>
    <x v="2"/>
    <x v="1"/>
    <n v="48"/>
    <x v="5"/>
    <s v="Missing Resolve Date"/>
    <s v="No"/>
    <m/>
    <s v="Awaiting Customer Response"/>
    <s v=""/>
    <x v="1"/>
  </r>
  <r>
    <s v="TCK-22697"/>
    <d v="2026-06-30T20:00:00"/>
    <s v="Technical Support"/>
    <x v="4"/>
    <x v="2"/>
    <x v="2"/>
    <x v="0"/>
    <x v="0"/>
    <n v="24"/>
    <x v="4"/>
    <s v="Missing Resolve Date"/>
    <s v="Yes"/>
    <m/>
    <s v="Required Follow-Up Call"/>
    <s v=""/>
    <x v="1"/>
  </r>
  <r>
    <s v="TCK-22685"/>
    <d v="2026-05-06T11:34:00"/>
    <s v="Tier 1 Support"/>
    <x v="7"/>
    <x v="1"/>
    <x v="3"/>
    <x v="1"/>
    <x v="0"/>
    <n v="24"/>
    <x v="2"/>
    <d v="2026-05-06T22:31:00"/>
    <s v="No"/>
    <n v="5"/>
    <s v="Customer Satisfied With Resolution"/>
    <n v="10.950000000069849"/>
    <x v="1"/>
  </r>
  <r>
    <s v="TCK-21610"/>
    <d v="2026-02-07T14:32:00"/>
    <s v="Tier 2 Support"/>
    <x v="3"/>
    <x v="3"/>
    <x v="2"/>
    <x v="0"/>
    <x v="0"/>
    <n v="24"/>
    <x v="0"/>
    <d v="2026-02-08T11:02:00"/>
    <s v="No"/>
    <n v="4"/>
    <s v="Customer Requested Refund"/>
    <n v="20.499999999941792"/>
    <x v="0"/>
  </r>
  <r>
    <s v="TCK-20305"/>
    <d v="2026-02-24T22:06:00"/>
    <s v="Tier 1 Support"/>
    <x v="7"/>
    <x v="4"/>
    <x v="1"/>
    <x v="3"/>
    <x v="1"/>
    <n v="48"/>
    <x v="1"/>
    <s v="Missing Resolve Date"/>
    <s v="Yes"/>
    <m/>
    <s v="Not Specified"/>
    <s v=""/>
    <x v="1"/>
  </r>
  <r>
    <s v="TCK-20739"/>
    <d v="2026-03-10T07:23:00"/>
    <s v="Tier 2 Support"/>
    <x v="2"/>
    <x v="6"/>
    <x v="3"/>
    <x v="1"/>
    <x v="1"/>
    <n v="48"/>
    <x v="1"/>
    <s v="Missing Resolve Date"/>
    <s v="No"/>
    <m/>
    <s v="Escalated To Senior Agent"/>
    <s v=""/>
    <x v="1"/>
  </r>
  <r>
    <s v="TCK-21912"/>
    <d v="2026-04-10T23:18:00"/>
    <s v="Billing Support"/>
    <x v="5"/>
    <x v="3"/>
    <x v="2"/>
    <x v="5"/>
    <x v="0"/>
    <n v="24"/>
    <x v="0"/>
    <d v="2026-04-12T14:09:00"/>
    <s v="No"/>
    <m/>
    <s v="Escalated To Senior Agent"/>
    <n v="38.850000000034925"/>
    <x v="2"/>
  </r>
  <r>
    <s v="TCK-20428"/>
    <d v="2026-03-20T18:40:00"/>
    <s v="Tier 1 Support"/>
    <x v="7"/>
    <x v="1"/>
    <x v="3"/>
    <x v="5"/>
    <x v="1"/>
    <n v="48"/>
    <x v="2"/>
    <s v="Missing Resolve Date"/>
    <s v="Yes"/>
    <n v="3"/>
    <s v="Awaiting Customer Response"/>
    <s v=""/>
    <x v="1"/>
  </r>
  <r>
    <s v="TCK-21827"/>
    <d v="2026-08-08T09:05:00"/>
    <s v="Tier 2 Support"/>
    <x v="3"/>
    <x v="6"/>
    <x v="3"/>
    <x v="3"/>
    <x v="0"/>
    <n v="24"/>
    <x v="4"/>
    <s v="Missing Resolve Date"/>
    <s v="Yes"/>
    <m/>
    <s v="Not Specified"/>
    <s v=""/>
    <x v="1"/>
  </r>
  <r>
    <s v="TCK-21152"/>
    <d v="2026-05-28T12:03:00"/>
    <s v="Billing Support"/>
    <x v="0"/>
    <x v="0"/>
    <x v="0"/>
    <x v="5"/>
    <x v="0"/>
    <n v="24"/>
    <x v="5"/>
    <s v="Missing Resolve Date"/>
    <s v="No"/>
    <m/>
    <s v="Customer Satisfied With Resolution"/>
    <s v=""/>
    <x v="1"/>
  </r>
  <r>
    <s v="TCK-21532"/>
    <d v="2026-08-16T16:04:00"/>
    <s v="Technical Support"/>
    <x v="6"/>
    <x v="6"/>
    <x v="2"/>
    <x v="5"/>
    <x v="1"/>
    <n v="48"/>
    <x v="2"/>
    <d v="2026-08-17T05:48:00"/>
    <s v="No"/>
    <m/>
    <s v="Resolved On First Contact"/>
    <n v="13.733333333395422"/>
    <x v="1"/>
  </r>
  <r>
    <s v="TCK-23029"/>
    <d v="2026-04-11T09:24:00"/>
    <s v="Billing Support"/>
    <x v="0"/>
    <x v="5"/>
    <x v="2"/>
    <x v="4"/>
    <x v="0"/>
    <n v="24"/>
    <x v="0"/>
    <d v="2026-04-12T05:34:00"/>
    <s v="No"/>
    <m/>
    <s v="Not Specified"/>
    <n v="20.166666666569654"/>
    <x v="0"/>
  </r>
  <r>
    <s v="TCK-20649"/>
    <d v="2026-03-13T19:56:00"/>
    <s v="Billing Support"/>
    <x v="5"/>
    <x v="1"/>
    <x v="0"/>
    <x v="1"/>
    <x v="3"/>
    <n v="4"/>
    <x v="0"/>
    <d v="2026-03-13T22:22:00"/>
    <s v="No"/>
    <n v="5"/>
    <s v="Required Follow-Up Call"/>
    <n v="2.4333333332324401"/>
    <x v="0"/>
  </r>
  <r>
    <s v="TCK-22799"/>
    <d v="2026-06-25T13:41:00"/>
    <s v="Tier 2 Support"/>
    <x v="2"/>
    <x v="3"/>
    <x v="1"/>
    <x v="0"/>
    <x v="3"/>
    <n v="4"/>
    <x v="1"/>
    <s v="Missing Resolve Date"/>
    <s v="No"/>
    <m/>
    <s v="Escalated To Senior Agent"/>
    <s v=""/>
    <x v="1"/>
  </r>
  <r>
    <s v="TCK-22189"/>
    <d v="2026-01-14T04:37:00"/>
    <s v="Tier 2 Support"/>
    <x v="2"/>
    <x v="4"/>
    <x v="0"/>
    <x v="4"/>
    <x v="1"/>
    <n v="48"/>
    <x v="0"/>
    <d v="2026-01-15T05:01:00"/>
    <s v="No"/>
    <n v="1"/>
    <s v="Escalated To Senior Agent"/>
    <n v="24.399999999906868"/>
    <x v="0"/>
  </r>
  <r>
    <s v="TCK-21090"/>
    <d v="2026-06-20T07:07:00"/>
    <s v="Technical Support"/>
    <x v="6"/>
    <x v="6"/>
    <x v="3"/>
    <x v="2"/>
    <x v="0"/>
    <n v="24"/>
    <x v="2"/>
    <d v="2026-06-22T20:21:00"/>
    <s v="No"/>
    <n v="4"/>
    <s v="Repeat Issue From Same Customer"/>
    <n v="61.233333333337214"/>
    <x v="1"/>
  </r>
  <r>
    <s v="TCK-22512"/>
    <d v="2026-08-09T18:11:00"/>
    <s v="Tier 1 Support"/>
    <x v="7"/>
    <x v="5"/>
    <x v="0"/>
    <x v="0"/>
    <x v="1"/>
    <n v="48"/>
    <x v="0"/>
    <d v="2026-08-10T02:30:00"/>
    <s v="No"/>
    <m/>
    <s v="Repeat Issue From Same Customer"/>
    <n v="8.3166666665347293"/>
    <x v="0"/>
  </r>
  <r>
    <s v="TCK-21974"/>
    <d v="2026-04-20T19:42:00"/>
    <s v="Billing Support"/>
    <x v="0"/>
    <x v="1"/>
    <x v="2"/>
    <x v="2"/>
    <x v="2"/>
    <n v="8"/>
    <x v="0"/>
    <d v="2026-04-20T22:49:00"/>
    <s v="No"/>
    <n v="3"/>
    <s v="Awaiting Customer Response"/>
    <n v="3.1166666666977108"/>
    <x v="0"/>
  </r>
  <r>
    <s v="TCK-21362"/>
    <d v="2026-07-14T20:12:00"/>
    <s v="Billing Support"/>
    <x v="5"/>
    <x v="5"/>
    <x v="0"/>
    <x v="5"/>
    <x v="0"/>
    <n v="24"/>
    <x v="5"/>
    <s v="Missing Resolve Date"/>
    <s v="No"/>
    <m/>
    <s v="Technical Issue Resolved Remotely"/>
    <s v=""/>
    <x v="1"/>
  </r>
  <r>
    <s v="TCK-21423"/>
    <d v="2026-01-14T00:58:00"/>
    <s v="Billing Support"/>
    <x v="5"/>
    <x v="2"/>
    <x v="1"/>
    <x v="4"/>
    <x v="1"/>
    <n v="48"/>
    <x v="0"/>
    <d v="2026-01-15T02:02:00"/>
    <s v="No"/>
    <n v="4"/>
    <s v="Escalated To Senior Agent"/>
    <n v="25.066666666651145"/>
    <x v="0"/>
  </r>
  <r>
    <s v="TCK-22233"/>
    <d v="2026-06-04T08:37:00"/>
    <s v="Technical Support"/>
    <x v="6"/>
    <x v="6"/>
    <x v="3"/>
    <x v="4"/>
    <x v="1"/>
    <n v="48"/>
    <x v="4"/>
    <s v="Missing Resolve Date"/>
    <s v="Yes"/>
    <m/>
    <s v="Resolved On First Contact"/>
    <s v=""/>
    <x v="1"/>
  </r>
  <r>
    <s v="TCK-20681"/>
    <d v="2026-02-24T07:07:00"/>
    <s v="Technical Support"/>
    <x v="6"/>
    <x v="5"/>
    <x v="1"/>
    <x v="0"/>
    <x v="2"/>
    <n v="8"/>
    <x v="0"/>
    <d v="2026-02-24T11:04:00"/>
    <s v="No"/>
    <m/>
    <s v="Not Specified"/>
    <n v="3.9499999999534339"/>
    <x v="0"/>
  </r>
  <r>
    <s v="TCK-22740"/>
    <d v="2026-01-18T13:50:00"/>
    <s v="Tier 2 Support"/>
    <x v="3"/>
    <x v="1"/>
    <x v="2"/>
    <x v="1"/>
    <x v="1"/>
    <n v="48"/>
    <x v="0"/>
    <d v="2026-01-23T10:35:00"/>
    <s v="No"/>
    <m/>
    <s v="Technical Issue Resolved Remotely"/>
    <n v="116.74999999988358"/>
    <x v="2"/>
  </r>
  <r>
    <s v="TCK-22328"/>
    <d v="2026-06-02T06:07:00"/>
    <s v="Technical Support"/>
    <x v="6"/>
    <x v="6"/>
    <x v="3"/>
    <x v="5"/>
    <x v="0"/>
    <n v="24"/>
    <x v="1"/>
    <s v="Missing Resolve Date"/>
    <s v="No"/>
    <m/>
    <s v="Required Follow-Up Call"/>
    <s v=""/>
    <x v="1"/>
  </r>
  <r>
    <s v="TCK-21683"/>
    <d v="2026-03-05T20:47:00"/>
    <s v="Tier 1 Support"/>
    <x v="1"/>
    <x v="4"/>
    <x v="3"/>
    <x v="2"/>
    <x v="0"/>
    <n v="24"/>
    <x v="4"/>
    <s v="Missing Resolve Date"/>
    <s v="Yes"/>
    <m/>
    <s v="Not Specified"/>
    <s v=""/>
    <x v="1"/>
  </r>
  <r>
    <s v="TCK-21206"/>
    <d v="2026-02-28T04:39:00"/>
    <s v="Tier 1 Support"/>
    <x v="7"/>
    <x v="2"/>
    <x v="2"/>
    <x v="4"/>
    <x v="1"/>
    <n v="48"/>
    <x v="2"/>
    <d v="2026-02-28T23:46:00"/>
    <s v="No"/>
    <n v="2"/>
    <s v="Not Specified"/>
    <n v="19.116666666639503"/>
    <x v="1"/>
  </r>
  <r>
    <s v="TCK-20597"/>
    <d v="2026-01-17T01:26:00"/>
    <s v="Tier 1 Support"/>
    <x v="1"/>
    <x v="1"/>
    <x v="2"/>
    <x v="5"/>
    <x v="1"/>
    <n v="48"/>
    <x v="0"/>
    <d v="2026-01-17T21:38:00"/>
    <s v="No"/>
    <n v="4"/>
    <s v="Not Specified"/>
    <n v="20.200000000011642"/>
    <x v="0"/>
  </r>
  <r>
    <s v="TCK-21698"/>
    <d v="2026-05-20T11:33:00"/>
    <s v="Billing Support"/>
    <x v="0"/>
    <x v="0"/>
    <x v="0"/>
    <x v="2"/>
    <x v="1"/>
    <n v="48"/>
    <x v="2"/>
    <d v="2026-05-21T13:54:00"/>
    <s v="No"/>
    <n v="5"/>
    <s v="Not Specified"/>
    <n v="26.35000000015134"/>
    <x v="1"/>
  </r>
  <r>
    <s v="TCK-22665"/>
    <d v="2026-03-24T06:41:00"/>
    <s v="Tier 2 Support"/>
    <x v="3"/>
    <x v="3"/>
    <x v="0"/>
    <x v="4"/>
    <x v="1"/>
    <n v="48"/>
    <x v="1"/>
    <s v="Missing Resolve Date"/>
    <s v="No"/>
    <m/>
    <s v="Not Specified"/>
    <s v=""/>
    <x v="1"/>
  </r>
  <r>
    <s v="TCK-21529"/>
    <d v="2026-04-25T14:20:00"/>
    <s v="Billing Support"/>
    <x v="5"/>
    <x v="4"/>
    <x v="0"/>
    <x v="1"/>
    <x v="0"/>
    <n v="24"/>
    <x v="5"/>
    <s v="Missing Resolve Date"/>
    <s v="No"/>
    <m/>
    <s v="Not Specified"/>
    <s v=""/>
    <x v="1"/>
  </r>
  <r>
    <s v="TCK-20037"/>
    <d v="2026-05-26T12:50:00"/>
    <s v="Technical Support"/>
    <x v="6"/>
    <x v="6"/>
    <x v="1"/>
    <x v="2"/>
    <x v="0"/>
    <n v="24"/>
    <x v="0"/>
    <d v="2026-05-26T20:12:00"/>
    <s v="No"/>
    <m/>
    <s v="Required Follow-Up Call"/>
    <n v="7.3666666667559184"/>
    <x v="0"/>
  </r>
  <r>
    <s v="TCK-20851"/>
    <d v="2026-02-17T23:07:00"/>
    <s v="Technical Support"/>
    <x v="6"/>
    <x v="2"/>
    <x v="1"/>
    <x v="2"/>
    <x v="0"/>
    <n v="24"/>
    <x v="5"/>
    <s v="Missing Resolve Date"/>
    <s v="No"/>
    <m/>
    <s v="Not Specified"/>
    <s v=""/>
    <x v="1"/>
  </r>
  <r>
    <s v="TCK-20231"/>
    <d v="2026-01-15T22:31:00"/>
    <s v="Tier 2 Support"/>
    <x v="3"/>
    <x v="3"/>
    <x v="2"/>
    <x v="2"/>
    <x v="1"/>
    <n v="48"/>
    <x v="1"/>
    <s v="Missing Resolve Date"/>
    <s v="No"/>
    <m/>
    <s v="Escalated To Senior Agent"/>
    <s v=""/>
    <x v="1"/>
  </r>
  <r>
    <s v="TCK-22072"/>
    <d v="2026-01-04T16:55:00"/>
    <s v="Technical Support"/>
    <x v="6"/>
    <x v="3"/>
    <x v="1"/>
    <x v="5"/>
    <x v="2"/>
    <n v="8"/>
    <x v="0"/>
    <d v="2026-01-05T00:01:00"/>
    <s v="No"/>
    <n v="5"/>
    <s v="Required Follow-Up Call"/>
    <n v="7.1000000000931323"/>
    <x v="0"/>
  </r>
  <r>
    <s v="TCK-20365"/>
    <d v="2026-03-12T20:18:00"/>
    <s v="Billing Support"/>
    <x v="5"/>
    <x v="6"/>
    <x v="0"/>
    <x v="1"/>
    <x v="2"/>
    <n v="8"/>
    <x v="0"/>
    <d v="2026-03-13T02:07:00"/>
    <s v="No"/>
    <m/>
    <s v="Technical Issue Resolved Remotely"/>
    <n v="5.816666666592937"/>
    <x v="0"/>
  </r>
  <r>
    <s v="TCK-21107"/>
    <d v="2026-01-15T10:15:00"/>
    <s v="Technical Support"/>
    <x v="4"/>
    <x v="2"/>
    <x v="1"/>
    <x v="2"/>
    <x v="0"/>
    <n v="24"/>
    <x v="2"/>
    <d v="2026-01-16T05:38:00"/>
    <s v="No"/>
    <n v="1"/>
    <s v="Awaiting Customer Response"/>
    <n v="19.383333333302289"/>
    <x v="1"/>
  </r>
  <r>
    <s v="TCK-20455"/>
    <d v="2026-08-05T20:58:00"/>
    <s v="Tier 2 Support"/>
    <x v="3"/>
    <x v="3"/>
    <x v="1"/>
    <x v="3"/>
    <x v="2"/>
    <n v="8"/>
    <x v="0"/>
    <d v="2026-08-06T02:50:00"/>
    <s v="No"/>
    <n v="1"/>
    <s v="Not Specified"/>
    <n v="5.8666666665812954"/>
    <x v="0"/>
  </r>
  <r>
    <s v="TCK-21593"/>
    <d v="2026-02-06T12:20:00"/>
    <s v="Billing Support"/>
    <x v="5"/>
    <x v="3"/>
    <x v="3"/>
    <x v="3"/>
    <x v="2"/>
    <n v="8"/>
    <x v="2"/>
    <s v="Missing Resolve Date"/>
    <s v="No"/>
    <n v="5"/>
    <s v="Repeat Issue From Same Customer"/>
    <s v=""/>
    <x v="1"/>
  </r>
  <r>
    <s v="TCK-20905"/>
    <d v="2026-07-15T03:42:00"/>
    <s v="Tier 1 Support"/>
    <x v="7"/>
    <x v="1"/>
    <x v="3"/>
    <x v="1"/>
    <x v="1"/>
    <n v="48"/>
    <x v="0"/>
    <d v="2026-07-20T19:31:00"/>
    <s v="No"/>
    <m/>
    <s v="Required Follow-Up Call"/>
    <n v="135.81666666670935"/>
    <x v="2"/>
  </r>
  <r>
    <s v="TCK-21040"/>
    <d v="2026-01-15T08:28:00"/>
    <s v="Billing Support"/>
    <x v="0"/>
    <x v="3"/>
    <x v="0"/>
    <x v="1"/>
    <x v="0"/>
    <n v="24"/>
    <x v="0"/>
    <d v="2026-01-18T01:43:00"/>
    <s v="No"/>
    <n v="2"/>
    <s v="Not Specified"/>
    <n v="65.25"/>
    <x v="2"/>
  </r>
  <r>
    <s v="TCK-22442"/>
    <d v="2026-07-29T11:19:00"/>
    <s v="Technical Support"/>
    <x v="6"/>
    <x v="4"/>
    <x v="0"/>
    <x v="3"/>
    <x v="1"/>
    <n v="48"/>
    <x v="4"/>
    <s v="Missing Resolve Date"/>
    <s v="Yes"/>
    <m/>
    <s v="Technical Issue Resolved Remotely"/>
    <s v=""/>
    <x v="1"/>
  </r>
  <r>
    <s v="TCK-20864"/>
    <d v="2026-01-26T22:35:00"/>
    <s v="Billing Support"/>
    <x v="0"/>
    <x v="0"/>
    <x v="2"/>
    <x v="5"/>
    <x v="2"/>
    <n v="8"/>
    <x v="2"/>
    <d v="2026-01-26T23:09:00"/>
    <s v="No"/>
    <m/>
    <s v="Customer Satisfied With Resolution"/>
    <n v="0.56666666676755995"/>
    <x v="1"/>
  </r>
  <r>
    <s v="TCK-23167"/>
    <d v="2026-01-15T22:22:00"/>
    <s v="Technical Support"/>
    <x v="6"/>
    <x v="2"/>
    <x v="3"/>
    <x v="1"/>
    <x v="1"/>
    <n v="48"/>
    <x v="2"/>
    <d v="2026-01-17T12:22:00"/>
    <s v="No"/>
    <n v="3"/>
    <s v="Required Follow-Up Call"/>
    <n v="38.000000000058208"/>
    <x v="1"/>
  </r>
  <r>
    <s v="TCK-23050"/>
    <d v="2026-08-13T21:00:00"/>
    <s v="Billing Support"/>
    <x v="0"/>
    <x v="4"/>
    <x v="3"/>
    <x v="4"/>
    <x v="1"/>
    <n v="48"/>
    <x v="0"/>
    <d v="2026-08-16T07:35:00"/>
    <s v="No"/>
    <n v="1"/>
    <s v="Required Follow-Up Call"/>
    <n v="58.583333333255723"/>
    <x v="2"/>
  </r>
  <r>
    <s v="TCK-22184"/>
    <d v="2026-08-12T22:30:00"/>
    <s v="Technical Support"/>
    <x v="6"/>
    <x v="6"/>
    <x v="0"/>
    <x v="0"/>
    <x v="2"/>
    <n v="8"/>
    <x v="4"/>
    <s v="Missing Resolve Date"/>
    <s v="Yes"/>
    <m/>
    <s v="Required Follow-Up Call"/>
    <s v=""/>
    <x v="1"/>
  </r>
  <r>
    <s v="TCK-20805"/>
    <d v="2026-06-21T04:58:00"/>
    <s v="Technical Support"/>
    <x v="4"/>
    <x v="4"/>
    <x v="3"/>
    <x v="1"/>
    <x v="1"/>
    <n v="48"/>
    <x v="0"/>
    <d v="2026-06-26T10:22:00"/>
    <s v="No"/>
    <n v="5"/>
    <s v="Technical Issue Resolved Remotely"/>
    <n v="125.39999999996508"/>
    <x v="2"/>
  </r>
  <r>
    <s v="TCK-21966"/>
    <d v="2026-05-28T07:41:00"/>
    <s v="Billing Support"/>
    <x v="5"/>
    <x v="5"/>
    <x v="0"/>
    <x v="1"/>
    <x v="0"/>
    <n v="24"/>
    <x v="0"/>
    <d v="2026-05-28T17:41:00"/>
    <s v="No"/>
    <n v="1"/>
    <s v="Not Specified"/>
    <n v="9.9999999999417923"/>
    <x v="0"/>
  </r>
  <r>
    <s v="TCK-20223"/>
    <d v="2026-03-28T10:07:00"/>
    <s v="Tier 2 Support"/>
    <x v="2"/>
    <x v="3"/>
    <x v="0"/>
    <x v="5"/>
    <x v="0"/>
    <n v="24"/>
    <x v="3"/>
    <d v="2026-03-29T18:29:00"/>
    <s v="Yes"/>
    <m/>
    <s v="Not Specified"/>
    <n v="32.366666666697711"/>
    <x v="1"/>
  </r>
  <r>
    <s v="TCK-22897"/>
    <d v="2026-06-19T10:28:00"/>
    <s v="Tier 1 Support"/>
    <x v="7"/>
    <x v="1"/>
    <x v="3"/>
    <x v="2"/>
    <x v="1"/>
    <n v="48"/>
    <x v="5"/>
    <s v="Missing Resolve Date"/>
    <s v="No"/>
    <m/>
    <s v="Not Specified"/>
    <s v=""/>
    <x v="1"/>
  </r>
  <r>
    <s v="TCK-20503"/>
    <d v="2026-06-30T08:20:00"/>
    <s v="Technical Support"/>
    <x v="6"/>
    <x v="0"/>
    <x v="0"/>
    <x v="2"/>
    <x v="2"/>
    <n v="8"/>
    <x v="2"/>
    <d v="2026-06-30T10:50:00"/>
    <s v="No"/>
    <m/>
    <s v="Repeat Issue From Same Customer"/>
    <n v="2.5000000001164153"/>
    <x v="1"/>
  </r>
  <r>
    <s v="TCK-22447"/>
    <d v="2026-07-25T17:58:00"/>
    <s v="Tier 2 Support"/>
    <x v="2"/>
    <x v="3"/>
    <x v="2"/>
    <x v="2"/>
    <x v="2"/>
    <n v="8"/>
    <x v="3"/>
    <d v="2026-07-25T20:35:00"/>
    <s v="No"/>
    <m/>
    <s v="Repeat Issue From Same Customer"/>
    <n v="2.6166666666395031"/>
    <x v="1"/>
  </r>
  <r>
    <s v="TCK-22022"/>
    <d v="2026-02-15T08:03:00"/>
    <s v="Tier 2 Support"/>
    <x v="3"/>
    <x v="1"/>
    <x v="3"/>
    <x v="2"/>
    <x v="2"/>
    <n v="8"/>
    <x v="0"/>
    <d v="2026-02-15T11:44:00"/>
    <s v="No"/>
    <n v="3"/>
    <s v="Technical Issue Resolved Remotely"/>
    <n v="3.6833333332906477"/>
    <x v="0"/>
  </r>
  <r>
    <s v="TCK-21977"/>
    <d v="2026-06-24T21:25:00"/>
    <s v="Billing Support"/>
    <x v="5"/>
    <x v="6"/>
    <x v="0"/>
    <x v="5"/>
    <x v="0"/>
    <n v="24"/>
    <x v="2"/>
    <d v="2026-06-25T16:15:00"/>
    <s v="No"/>
    <n v="5"/>
    <s v="Customer Satisfied With Resolution"/>
    <n v="18.833333333430346"/>
    <x v="1"/>
  </r>
  <r>
    <s v="TCK-22031"/>
    <d v="2026-01-19T20:55:00"/>
    <s v="Tier 2 Support"/>
    <x v="3"/>
    <x v="0"/>
    <x v="0"/>
    <x v="5"/>
    <x v="1"/>
    <n v="48"/>
    <x v="3"/>
    <d v="2026-01-20T12:03:00"/>
    <s v="No"/>
    <m/>
    <s v="Resolved On First Contact"/>
    <n v="15.133333333244082"/>
    <x v="1"/>
  </r>
  <r>
    <s v="TCK-22741"/>
    <d v="2026-01-10T04:07:00"/>
    <s v="Billing Support"/>
    <x v="5"/>
    <x v="5"/>
    <x v="2"/>
    <x v="3"/>
    <x v="1"/>
    <n v="48"/>
    <x v="3"/>
    <d v="2026-01-10T19:04:00"/>
    <s v="No"/>
    <m/>
    <s v="Not Specified"/>
    <n v="14.950000000011642"/>
    <x v="1"/>
  </r>
  <r>
    <s v="TCK-20916"/>
    <d v="2026-03-05T10:58:00"/>
    <s v="Tier 1 Support"/>
    <x v="1"/>
    <x v="2"/>
    <x v="2"/>
    <x v="1"/>
    <x v="0"/>
    <n v="24"/>
    <x v="5"/>
    <s v="Missing Resolve Date"/>
    <s v="No"/>
    <m/>
    <s v="Technical Issue Resolved Remotely"/>
    <s v=""/>
    <x v="1"/>
  </r>
  <r>
    <s v="TCK-21472"/>
    <d v="2026-07-22T20:50:00"/>
    <s v="Tier 1 Support"/>
    <x v="1"/>
    <x v="0"/>
    <x v="2"/>
    <x v="1"/>
    <x v="0"/>
    <n v="24"/>
    <x v="0"/>
    <d v="2026-07-24T15:14:00"/>
    <s v="No"/>
    <n v="5"/>
    <s v="Technical Issue Resolved Remotely"/>
    <n v="42.400000000081491"/>
    <x v="2"/>
  </r>
  <r>
    <s v="TCK-23149"/>
    <d v="2026-03-28T21:39:00"/>
    <s v="Billing Support"/>
    <x v="5"/>
    <x v="5"/>
    <x v="3"/>
    <x v="4"/>
    <x v="0"/>
    <n v="24"/>
    <x v="4"/>
    <s v="Missing Resolve Date"/>
    <s v="Yes"/>
    <m/>
    <s v="Awaiting Customer Response"/>
    <s v=""/>
    <x v="1"/>
  </r>
  <r>
    <s v="TCK-21814"/>
    <d v="2026-07-03T16:15:00"/>
    <s v="Technical Support"/>
    <x v="6"/>
    <x v="5"/>
    <x v="0"/>
    <x v="4"/>
    <x v="0"/>
    <n v="24"/>
    <x v="0"/>
    <d v="2026-07-03T17:29:00"/>
    <s v="No"/>
    <n v="5"/>
    <s v="Awaiting Customer Response"/>
    <n v="1.2333333333372138"/>
    <x v="0"/>
  </r>
  <r>
    <s v="TCK-22486"/>
    <d v="2026-06-30T16:36:00"/>
    <s v="Technical Support"/>
    <x v="6"/>
    <x v="2"/>
    <x v="3"/>
    <x v="4"/>
    <x v="0"/>
    <n v="24"/>
    <x v="2"/>
    <d v="2026-07-01T08:01:00"/>
    <s v="No"/>
    <n v="1"/>
    <s v="Resolved On First Contact"/>
    <n v="15.416666666627862"/>
    <x v="1"/>
  </r>
  <r>
    <s v="TCK-21034"/>
    <d v="2026-08-17T11:29:00"/>
    <s v="Tier 1 Support"/>
    <x v="7"/>
    <x v="5"/>
    <x v="2"/>
    <x v="0"/>
    <x v="1"/>
    <n v="48"/>
    <x v="2"/>
    <d v="2026-08-20T00:16:00"/>
    <s v="Yes"/>
    <n v="4"/>
    <s v="Not Specified"/>
    <n v="60.783333333267365"/>
    <x v="1"/>
  </r>
  <r>
    <s v="TCK-22969"/>
    <d v="2026-05-05T17:11:00"/>
    <s v="Tier 2 Support"/>
    <x v="3"/>
    <x v="1"/>
    <x v="1"/>
    <x v="5"/>
    <x v="1"/>
    <n v="48"/>
    <x v="1"/>
    <s v="Missing Resolve Date"/>
    <s v="No"/>
    <m/>
    <s v="Escalated To Senior Agent"/>
    <s v=""/>
    <x v="1"/>
  </r>
  <r>
    <s v="TCK-22252"/>
    <d v="2026-04-07T20:51:00"/>
    <s v="Technical Support"/>
    <x v="6"/>
    <x v="3"/>
    <x v="3"/>
    <x v="3"/>
    <x v="1"/>
    <n v="48"/>
    <x v="0"/>
    <d v="2026-04-08T14:59:00"/>
    <s v="No"/>
    <n v="5"/>
    <s v="Awaiting Customer Response"/>
    <n v="18.133333333244082"/>
    <x v="0"/>
  </r>
  <r>
    <s v="TCK-20351"/>
    <d v="2026-03-04T11:40:00"/>
    <s v="Tier 1 Support"/>
    <x v="1"/>
    <x v="2"/>
    <x v="0"/>
    <x v="2"/>
    <x v="0"/>
    <n v="24"/>
    <x v="0"/>
    <d v="2026-03-04T16:13:00"/>
    <s v="No"/>
    <m/>
    <s v="Repeat Issue From Same Customer"/>
    <n v="4.5499999999883585"/>
    <x v="0"/>
  </r>
  <r>
    <s v="TCK-22652"/>
    <d v="2026-06-22T05:08:00"/>
    <s v="Technical Support"/>
    <x v="4"/>
    <x v="4"/>
    <x v="1"/>
    <x v="5"/>
    <x v="3"/>
    <n v="4"/>
    <x v="0"/>
    <d v="2026-06-22T11:33:00"/>
    <s v="No"/>
    <n v="4"/>
    <s v="Resolved On First Contact"/>
    <n v="6.4166666666278616"/>
    <x v="2"/>
  </r>
  <r>
    <s v="TCK-21146"/>
    <d v="2026-06-12T18:10:00"/>
    <s v="Tier 1 Support"/>
    <x v="1"/>
    <x v="1"/>
    <x v="0"/>
    <x v="0"/>
    <x v="2"/>
    <n v="8"/>
    <x v="2"/>
    <d v="2026-06-13T11:50:00"/>
    <s v="No"/>
    <m/>
    <s v="Customer Requested Refund"/>
    <n v="17.666666666627862"/>
    <x v="1"/>
  </r>
  <r>
    <s v="TCK-22526"/>
    <d v="2026-05-17T17:00:00"/>
    <s v="Tier 2 Support"/>
    <x v="2"/>
    <x v="1"/>
    <x v="1"/>
    <x v="1"/>
    <x v="2"/>
    <n v="8"/>
    <x v="0"/>
    <d v="2026-05-17T17:33:00"/>
    <s v="No"/>
    <n v="2"/>
    <s v="Technical Issue Resolved Remotely"/>
    <n v="0.54999999987194315"/>
    <x v="0"/>
  </r>
  <r>
    <s v="TCK-20277"/>
    <d v="2026-06-25T00:23:00"/>
    <s v="Billing Support"/>
    <x v="5"/>
    <x v="0"/>
    <x v="3"/>
    <x v="2"/>
    <x v="1"/>
    <n v="48"/>
    <x v="2"/>
    <d v="2026-06-26T09:36:00"/>
    <s v="No"/>
    <m/>
    <s v="Awaiting Customer Response"/>
    <n v="33.216666666674428"/>
    <x v="1"/>
  </r>
  <r>
    <s v="TCK-20522"/>
    <d v="2026-01-30T05:59:00"/>
    <s v="Tier 2 Support"/>
    <x v="2"/>
    <x v="1"/>
    <x v="2"/>
    <x v="1"/>
    <x v="2"/>
    <n v="8"/>
    <x v="2"/>
    <d v="2026-01-30T06:31:00"/>
    <s v="No"/>
    <n v="4"/>
    <s v="Escalated To Senior Agent"/>
    <n v="0.53333333332557231"/>
    <x v="1"/>
  </r>
  <r>
    <s v="TCK-21968"/>
    <d v="2026-08-07T00:38:00"/>
    <s v="Billing Support"/>
    <x v="0"/>
    <x v="3"/>
    <x v="0"/>
    <x v="4"/>
    <x v="0"/>
    <n v="24"/>
    <x v="2"/>
    <d v="2026-08-07T15:50:00"/>
    <s v="No"/>
    <n v="4"/>
    <s v="Customer Requested Refund"/>
    <n v="15.199999999953434"/>
    <x v="1"/>
  </r>
  <r>
    <s v="TCK-20141"/>
    <d v="2026-03-11T21:36:00"/>
    <s v="Technical Support"/>
    <x v="4"/>
    <x v="4"/>
    <x v="1"/>
    <x v="0"/>
    <x v="2"/>
    <n v="8"/>
    <x v="1"/>
    <s v="Missing Resolve Date"/>
    <s v="No"/>
    <m/>
    <s v="Customer Requested Refund"/>
    <s v=""/>
    <x v="1"/>
  </r>
  <r>
    <s v="TCK-21217"/>
    <d v="2026-04-17T15:40:00"/>
    <s v="Tier 2 Support"/>
    <x v="3"/>
    <x v="3"/>
    <x v="3"/>
    <x v="3"/>
    <x v="1"/>
    <n v="48"/>
    <x v="3"/>
    <d v="2026-04-18T01:53:00"/>
    <s v="No"/>
    <m/>
    <s v="Escalated To Senior Agent"/>
    <n v="10.21666666661622"/>
    <x v="1"/>
  </r>
  <r>
    <s v="TCK-20350"/>
    <d v="2026-06-25T22:42:00"/>
    <s v="Tier 2 Support"/>
    <x v="3"/>
    <x v="2"/>
    <x v="1"/>
    <x v="5"/>
    <x v="0"/>
    <n v="24"/>
    <x v="2"/>
    <d v="2026-06-26T13:52:00"/>
    <s v="No"/>
    <m/>
    <s v="Resolved On First Contact"/>
    <n v="15.166666666686069"/>
    <x v="1"/>
  </r>
  <r>
    <s v="TCK-23031"/>
    <d v="2026-03-12T03:59:00"/>
    <s v="Tier 1 Support"/>
    <x v="1"/>
    <x v="3"/>
    <x v="1"/>
    <x v="5"/>
    <x v="0"/>
    <n v="24"/>
    <x v="2"/>
    <d v="2026-03-12T19:49:00"/>
    <s v="No"/>
    <n v="5"/>
    <s v="Customer Requested Refund"/>
    <n v="15.833333333255723"/>
    <x v="1"/>
  </r>
  <r>
    <s v="TCK-22885"/>
    <d v="2026-07-24T21:00:00"/>
    <s v="Tier 2 Support"/>
    <x v="2"/>
    <x v="0"/>
    <x v="0"/>
    <x v="0"/>
    <x v="1"/>
    <n v="48"/>
    <x v="0"/>
    <d v="2026-07-27T09:17:00"/>
    <s v="Yes"/>
    <n v="5"/>
    <s v="Escalated To Senior Agent"/>
    <n v="60.28333333338378"/>
    <x v="2"/>
  </r>
  <r>
    <s v="TCK-22871"/>
    <d v="2026-08-07T21:18:00"/>
    <s v="Tier 2 Support"/>
    <x v="2"/>
    <x v="5"/>
    <x v="3"/>
    <x v="1"/>
    <x v="2"/>
    <n v="8"/>
    <x v="1"/>
    <s v="Missing Resolve Date"/>
    <s v="No"/>
    <m/>
    <s v="Resolved On First Contact"/>
    <s v=""/>
    <x v="1"/>
  </r>
  <r>
    <s v="TCK-21879"/>
    <d v="2026-03-27T06:01:00"/>
    <s v="Tier 2 Support"/>
    <x v="3"/>
    <x v="4"/>
    <x v="1"/>
    <x v="3"/>
    <x v="1"/>
    <n v="48"/>
    <x v="2"/>
    <d v="2026-03-29T22:53:00"/>
    <s v="No"/>
    <m/>
    <s v="Required Follow-Up Call"/>
    <n v="64.866666666639503"/>
    <x v="1"/>
  </r>
  <r>
    <s v="TCK-20732"/>
    <d v="2026-08-11T18:54:00"/>
    <s v="Tier 1 Support"/>
    <x v="1"/>
    <x v="1"/>
    <x v="3"/>
    <x v="1"/>
    <x v="0"/>
    <n v="24"/>
    <x v="5"/>
    <s v="Missing Resolve Date"/>
    <s v="Yes"/>
    <m/>
    <s v="Customer Requested Refund"/>
    <s v=""/>
    <x v="1"/>
  </r>
  <r>
    <s v="TCK-21880"/>
    <d v="2026-04-05T03:19:00"/>
    <s v="Billing Support"/>
    <x v="5"/>
    <x v="4"/>
    <x v="0"/>
    <x v="5"/>
    <x v="2"/>
    <n v="8"/>
    <x v="2"/>
    <d v="2026-04-05T14:12:00"/>
    <s v="No"/>
    <n v="2"/>
    <s v="Not Specified"/>
    <n v="10.883333333360497"/>
    <x v="1"/>
  </r>
  <r>
    <s v="TCK-20501"/>
    <d v="2026-01-22T23:11:00"/>
    <s v="Tier 2 Support"/>
    <x v="3"/>
    <x v="3"/>
    <x v="1"/>
    <x v="3"/>
    <x v="0"/>
    <n v="24"/>
    <x v="0"/>
    <d v="2026-01-23T17:58:00"/>
    <s v="Yes"/>
    <n v="4"/>
    <s v="Not Specified"/>
    <n v="18.783333333441988"/>
    <x v="0"/>
  </r>
  <r>
    <s v="TCK-20140"/>
    <d v="2026-03-30T11:28:00"/>
    <s v="Billing Support"/>
    <x v="5"/>
    <x v="2"/>
    <x v="3"/>
    <x v="5"/>
    <x v="1"/>
    <n v="48"/>
    <x v="5"/>
    <s v="Missing Resolve Date"/>
    <s v="No"/>
    <m/>
    <s v="Customer Satisfied With Resolution"/>
    <s v=""/>
    <x v="1"/>
  </r>
  <r>
    <s v="TCK-20880"/>
    <d v="2026-01-01T16:57:00"/>
    <s v="Billing Support"/>
    <x v="0"/>
    <x v="1"/>
    <x v="3"/>
    <x v="3"/>
    <x v="3"/>
    <n v="4"/>
    <x v="0"/>
    <d v="2026-01-01T20:22:00"/>
    <s v="No"/>
    <n v="5"/>
    <s v="Not Specified"/>
    <n v="3.4166666666278616"/>
    <x v="0"/>
  </r>
  <r>
    <s v="TCK-21422"/>
    <d v="2026-05-09T20:17:00"/>
    <s v="Billing Support"/>
    <x v="0"/>
    <x v="2"/>
    <x v="2"/>
    <x v="3"/>
    <x v="2"/>
    <n v="8"/>
    <x v="0"/>
    <d v="2026-05-10T03:24:00"/>
    <s v="No"/>
    <n v="4"/>
    <s v="Customer Satisfied With Resolution"/>
    <n v="7.1166666668141261"/>
    <x v="0"/>
  </r>
  <r>
    <s v="TCK-22356"/>
    <d v="2026-03-15T11:39:00"/>
    <s v="Tier 2 Support"/>
    <x v="3"/>
    <x v="6"/>
    <x v="1"/>
    <x v="2"/>
    <x v="1"/>
    <n v="48"/>
    <x v="0"/>
    <d v="2026-03-16T21:51:00"/>
    <s v="No"/>
    <n v="1"/>
    <s v="Resolved On First Contact"/>
    <n v="34.199999999895226"/>
    <x v="0"/>
  </r>
  <r>
    <s v="TCK-22716"/>
    <d v="2026-06-06T04:36:00"/>
    <s v="Tier 1 Support"/>
    <x v="7"/>
    <x v="0"/>
    <x v="2"/>
    <x v="3"/>
    <x v="0"/>
    <n v="24"/>
    <x v="0"/>
    <d v="2026-06-06T22:59:00"/>
    <s v="No"/>
    <m/>
    <s v="Resolved On First Contact"/>
    <n v="18.383333333360497"/>
    <x v="0"/>
  </r>
  <r>
    <s v="TCK-20110"/>
    <d v="2026-03-28T17:10:00"/>
    <s v="Billing Support"/>
    <x v="5"/>
    <x v="2"/>
    <x v="0"/>
    <x v="3"/>
    <x v="2"/>
    <n v="8"/>
    <x v="0"/>
    <d v="2026-03-28T23:57:00"/>
    <s v="No"/>
    <n v="2"/>
    <s v="Customer Satisfied With Resolution"/>
    <n v="6.7833333332673647"/>
    <x v="0"/>
  </r>
  <r>
    <s v="TCK-21565"/>
    <d v="2026-02-07T13:44:00"/>
    <s v="Tier 1 Support"/>
    <x v="1"/>
    <x v="5"/>
    <x v="0"/>
    <x v="2"/>
    <x v="2"/>
    <n v="8"/>
    <x v="1"/>
    <s v="Missing Resolve Date"/>
    <s v="No"/>
    <m/>
    <s v="Not Specified"/>
    <s v=""/>
    <x v="1"/>
  </r>
  <r>
    <s v="TCK-22238"/>
    <d v="2026-05-14T23:08:00"/>
    <s v="Technical Support"/>
    <x v="4"/>
    <x v="6"/>
    <x v="0"/>
    <x v="4"/>
    <x v="0"/>
    <n v="24"/>
    <x v="4"/>
    <s v="Missing Resolve Date"/>
    <s v="Yes"/>
    <m/>
    <s v="Customer Satisfied With Resolution"/>
    <s v=""/>
    <x v="1"/>
  </r>
  <r>
    <s v="TCK-21365"/>
    <d v="2026-01-06T02:18:00"/>
    <s v="Technical Support"/>
    <x v="6"/>
    <x v="2"/>
    <x v="2"/>
    <x v="1"/>
    <x v="3"/>
    <n v="4"/>
    <x v="1"/>
    <s v="Missing Resolve Date"/>
    <s v="No"/>
    <m/>
    <s v="Escalated To Senior Agent"/>
    <s v=""/>
    <x v="1"/>
  </r>
  <r>
    <s v="TCK-22810"/>
    <d v="2026-05-13T17:02:00"/>
    <s v="Technical Support"/>
    <x v="4"/>
    <x v="0"/>
    <x v="2"/>
    <x v="3"/>
    <x v="1"/>
    <n v="48"/>
    <x v="0"/>
    <d v="2026-05-15T02:28:00"/>
    <s v="No"/>
    <n v="5"/>
    <s v="Customer Requested Refund"/>
    <n v="33.433333333348855"/>
    <x v="0"/>
  </r>
  <r>
    <s v="TCK-22795"/>
    <d v="2026-03-14T07:30:00"/>
    <s v="Technical Support"/>
    <x v="4"/>
    <x v="5"/>
    <x v="1"/>
    <x v="5"/>
    <x v="0"/>
    <n v="24"/>
    <x v="5"/>
    <s v="Missing Resolve Date"/>
    <s v="No"/>
    <m/>
    <s v="Not Specified"/>
    <s v=""/>
    <x v="1"/>
  </r>
  <r>
    <s v="TCK-22126"/>
    <d v="2026-06-30T01:25:00"/>
    <s v="Technical Support"/>
    <x v="6"/>
    <x v="6"/>
    <x v="3"/>
    <x v="1"/>
    <x v="0"/>
    <n v="24"/>
    <x v="0"/>
    <d v="2026-06-30T22:20:00"/>
    <s v="No"/>
    <m/>
    <s v="Resolved On First Contact"/>
    <n v="20.916666666569654"/>
    <x v="0"/>
  </r>
  <r>
    <s v="TCK-22459"/>
    <d v="2026-02-27T21:45:00"/>
    <s v="Billing Support"/>
    <x v="0"/>
    <x v="3"/>
    <x v="1"/>
    <x v="1"/>
    <x v="0"/>
    <n v="24"/>
    <x v="0"/>
    <d v="2026-02-28T12:55:00"/>
    <s v="No"/>
    <n v="1"/>
    <s v="Resolved On First Contact"/>
    <n v="15.166666666686069"/>
    <x v="0"/>
  </r>
  <r>
    <s v="TCK-20267"/>
    <d v="2026-01-19T17:44:00"/>
    <s v="Technical Support"/>
    <x v="6"/>
    <x v="0"/>
    <x v="2"/>
    <x v="4"/>
    <x v="3"/>
    <n v="4"/>
    <x v="1"/>
    <s v="Missing Resolve Date"/>
    <s v="No"/>
    <m/>
    <s v="Awaiting Customer Response"/>
    <s v=""/>
    <x v="1"/>
  </r>
  <r>
    <s v="TCK-20381"/>
    <d v="2026-04-01T22:21:00"/>
    <s v="Billing Support"/>
    <x v="0"/>
    <x v="3"/>
    <x v="2"/>
    <x v="5"/>
    <x v="0"/>
    <n v="24"/>
    <x v="0"/>
    <d v="2026-04-04T20:19:00"/>
    <s v="No"/>
    <n v="2"/>
    <s v="Awaiting Customer Response"/>
    <n v="69.966666666674428"/>
    <x v="2"/>
  </r>
  <r>
    <s v="TCK-20213"/>
    <d v="2026-08-20T17:28:00"/>
    <s v="Tier 2 Support"/>
    <x v="3"/>
    <x v="6"/>
    <x v="0"/>
    <x v="4"/>
    <x v="1"/>
    <n v="48"/>
    <x v="2"/>
    <d v="2026-08-21T15:11:00"/>
    <s v="No"/>
    <n v="5"/>
    <s v="Resolved On First Contact"/>
    <n v="21.716666666732635"/>
    <x v="1"/>
  </r>
  <r>
    <s v="TCK-22842"/>
    <d v="2026-02-22T22:59:00"/>
    <s v="Tier 2 Support"/>
    <x v="3"/>
    <x v="3"/>
    <x v="2"/>
    <x v="3"/>
    <x v="1"/>
    <n v="48"/>
    <x v="2"/>
    <d v="2026-02-27T23:40:00"/>
    <s v="No"/>
    <n v="3"/>
    <s v="Repeat Issue From Same Customer"/>
    <n v="120.68333333329065"/>
    <x v="1"/>
  </r>
  <r>
    <s v="TCK-22090"/>
    <d v="2026-01-02T16:55:00"/>
    <s v="Billing Support"/>
    <x v="0"/>
    <x v="6"/>
    <x v="1"/>
    <x v="4"/>
    <x v="0"/>
    <n v="24"/>
    <x v="2"/>
    <d v="2026-01-02T22:18:00"/>
    <s v="No"/>
    <m/>
    <s v="Required Follow-Up Call"/>
    <n v="5.3833333334187046"/>
    <x v="1"/>
  </r>
  <r>
    <s v="TCK-22632"/>
    <d v="2026-06-14T13:56:00"/>
    <s v="Billing Support"/>
    <x v="5"/>
    <x v="4"/>
    <x v="1"/>
    <x v="1"/>
    <x v="0"/>
    <n v="24"/>
    <x v="2"/>
    <d v="2026-06-15T07:01:00"/>
    <s v="No"/>
    <m/>
    <s v="Escalated To Senior Agent"/>
    <n v="17.083333333313931"/>
    <x v="1"/>
  </r>
  <r>
    <s v="TCK-23179"/>
    <d v="2026-03-10T19:39:00"/>
    <s v="Tier 2 Support"/>
    <x v="3"/>
    <x v="6"/>
    <x v="1"/>
    <x v="0"/>
    <x v="1"/>
    <n v="48"/>
    <x v="1"/>
    <s v="Missing Resolve Date"/>
    <s v="Yes"/>
    <m/>
    <s v="Technical Issue Resolved Remotely"/>
    <s v=""/>
    <x v="1"/>
  </r>
  <r>
    <s v="TCK-20657"/>
    <d v="2026-03-20T01:35:00"/>
    <s v="Technical Support"/>
    <x v="4"/>
    <x v="0"/>
    <x v="0"/>
    <x v="5"/>
    <x v="0"/>
    <n v="24"/>
    <x v="0"/>
    <d v="2026-03-20T20:06:00"/>
    <s v="No"/>
    <n v="1"/>
    <s v="Customer Requested Refund"/>
    <n v="18.516666666779201"/>
    <x v="0"/>
  </r>
  <r>
    <s v="TCK-21717"/>
    <d v="2026-04-09T19:04:00"/>
    <s v="Tier 2 Support"/>
    <x v="2"/>
    <x v="6"/>
    <x v="1"/>
    <x v="3"/>
    <x v="0"/>
    <n v="24"/>
    <x v="2"/>
    <d v="2026-04-10T16:02:00"/>
    <s v="No"/>
    <m/>
    <s v="Technical Issue Resolved Remotely"/>
    <n v="20.966666666732635"/>
    <x v="1"/>
  </r>
  <r>
    <s v="TCK-20151"/>
    <d v="2026-06-02T10:13:00"/>
    <s v="Tier 1 Support"/>
    <x v="7"/>
    <x v="6"/>
    <x v="1"/>
    <x v="4"/>
    <x v="2"/>
    <n v="8"/>
    <x v="2"/>
    <d v="2026-06-02T14:03:00"/>
    <s v="No"/>
    <n v="4"/>
    <s v="Technical Issue Resolved Remotely"/>
    <n v="3.8333333334303461"/>
    <x v="1"/>
  </r>
  <r>
    <s v="TCK-20833"/>
    <d v="2026-04-16T21:28:00"/>
    <s v="Technical Support"/>
    <x v="4"/>
    <x v="1"/>
    <x v="1"/>
    <x v="4"/>
    <x v="1"/>
    <n v="48"/>
    <x v="0"/>
    <d v="2026-04-17T00:16:00"/>
    <s v="No"/>
    <n v="1"/>
    <s v="Customer Requested Refund"/>
    <n v="2.8000000000465661"/>
    <x v="0"/>
  </r>
  <r>
    <s v="TCK-21441"/>
    <d v="2026-07-04T13:57:00"/>
    <s v="Billing Support"/>
    <x v="0"/>
    <x v="2"/>
    <x v="1"/>
    <x v="4"/>
    <x v="0"/>
    <n v="24"/>
    <x v="4"/>
    <s v="Missing Resolve Date"/>
    <s v="Yes"/>
    <m/>
    <s v="Technical Issue Resolved Remotely"/>
    <s v=""/>
    <x v="1"/>
  </r>
  <r>
    <s v="TCK-20022"/>
    <d v="2026-08-13T10:50:00"/>
    <s v="Technical Support"/>
    <x v="4"/>
    <x v="5"/>
    <x v="1"/>
    <x v="1"/>
    <x v="0"/>
    <n v="24"/>
    <x v="4"/>
    <s v="Missing Resolve Date"/>
    <s v="Yes"/>
    <m/>
    <s v="Escalated To Senior Agent"/>
    <s v=""/>
    <x v="1"/>
  </r>
  <r>
    <s v="TCK-22291"/>
    <d v="2026-08-10T04:46:00"/>
    <s v="Tier 1 Support"/>
    <x v="1"/>
    <x v="3"/>
    <x v="3"/>
    <x v="5"/>
    <x v="0"/>
    <n v="24"/>
    <x v="0"/>
    <d v="2026-08-13T02:19:00"/>
    <s v="No"/>
    <n v="4"/>
    <s v="Not Specified"/>
    <n v="69.550000000046566"/>
    <x v="2"/>
  </r>
  <r>
    <s v="TCK-20060"/>
    <d v="2026-02-04T10:16:00"/>
    <s v="Tier 1 Support"/>
    <x v="7"/>
    <x v="3"/>
    <x v="3"/>
    <x v="5"/>
    <x v="2"/>
    <n v="8"/>
    <x v="5"/>
    <s v="Missing Resolve Date"/>
    <s v="No"/>
    <m/>
    <s v="Resolved On First Contact"/>
    <s v=""/>
    <x v="1"/>
  </r>
  <r>
    <s v="TCK-20044"/>
    <d v="2026-04-18T00:47:00"/>
    <s v="Billing Support"/>
    <x v="5"/>
    <x v="6"/>
    <x v="1"/>
    <x v="0"/>
    <x v="1"/>
    <n v="48"/>
    <x v="0"/>
    <d v="2026-04-18T22:26:00"/>
    <s v="Yes"/>
    <n v="3"/>
    <s v="Repeat Issue From Same Customer"/>
    <n v="21.650000000023283"/>
    <x v="0"/>
  </r>
  <r>
    <s v="TCK-20447"/>
    <d v="2026-05-19T11:11:00"/>
    <s v="Technical Support"/>
    <x v="6"/>
    <x v="2"/>
    <x v="2"/>
    <x v="5"/>
    <x v="0"/>
    <n v="24"/>
    <x v="0"/>
    <d v="2026-05-19T23:44:00"/>
    <s v="No"/>
    <m/>
    <s v="Customer Satisfied With Resolution"/>
    <n v="12.550000000046566"/>
    <x v="0"/>
  </r>
  <r>
    <s v="TCK-22569"/>
    <d v="2026-06-08T14:45:00"/>
    <s v="Technical Support"/>
    <x v="6"/>
    <x v="2"/>
    <x v="3"/>
    <x v="5"/>
    <x v="2"/>
    <n v="8"/>
    <x v="0"/>
    <d v="2026-06-08T16:33:00"/>
    <s v="No"/>
    <m/>
    <s v="Required Follow-Up Call"/>
    <n v="1.7999999999301508"/>
    <x v="0"/>
  </r>
  <r>
    <s v="TCK-21484"/>
    <d v="2026-05-11T11:32:00"/>
    <s v="Technical Support"/>
    <x v="4"/>
    <x v="0"/>
    <x v="2"/>
    <x v="4"/>
    <x v="0"/>
    <n v="24"/>
    <x v="2"/>
    <d v="2026-05-11T12:25:00"/>
    <s v="Yes"/>
    <n v="5"/>
    <s v="Awaiting Customer Response"/>
    <n v="0.88333333324408159"/>
    <x v="1"/>
  </r>
  <r>
    <s v="TCK-21025"/>
    <d v="2026-04-17T00:34:00"/>
    <s v="Technical Support"/>
    <x v="6"/>
    <x v="4"/>
    <x v="1"/>
    <x v="1"/>
    <x v="2"/>
    <n v="8"/>
    <x v="0"/>
    <s v="Missing Resolve Date"/>
    <s v="No"/>
    <m/>
    <s v="Customer Requested Refund"/>
    <s v=""/>
    <x v="2"/>
  </r>
  <r>
    <s v="TCK-20346"/>
    <d v="2026-03-02T12:18:00"/>
    <s v="Billing Support"/>
    <x v="5"/>
    <x v="0"/>
    <x v="1"/>
    <x v="2"/>
    <x v="0"/>
    <n v="24"/>
    <x v="2"/>
    <d v="2026-03-03T04:09:00"/>
    <s v="No"/>
    <n v="2"/>
    <s v="Resolved On First Contact"/>
    <n v="15.85000000015134"/>
    <x v="1"/>
  </r>
  <r>
    <s v="TCK-22915"/>
    <d v="2026-08-27T02:22:00"/>
    <s v="Technical Support"/>
    <x v="6"/>
    <x v="2"/>
    <x v="1"/>
    <x v="1"/>
    <x v="1"/>
    <n v="48"/>
    <x v="0"/>
    <d v="2026-08-28T20:12:00"/>
    <s v="No"/>
    <n v="1"/>
    <s v="Not Specified"/>
    <n v="41.833333333313931"/>
    <x v="0"/>
  </r>
  <r>
    <s v="TCK-20937"/>
    <d v="2026-08-20T05:55:00"/>
    <s v="Tier 2 Support"/>
    <x v="2"/>
    <x v="2"/>
    <x v="2"/>
    <x v="0"/>
    <x v="0"/>
    <n v="24"/>
    <x v="0"/>
    <d v="2026-08-23T02:55:00"/>
    <s v="No"/>
    <m/>
    <s v="Not Specified"/>
    <n v="69"/>
    <x v="2"/>
  </r>
  <r>
    <s v="TCK-20588"/>
    <d v="2026-01-19T00:36:00"/>
    <s v="Technical Support"/>
    <x v="6"/>
    <x v="1"/>
    <x v="0"/>
    <x v="5"/>
    <x v="3"/>
    <n v="4"/>
    <x v="3"/>
    <d v="2026-01-19T03:19:00"/>
    <s v="No"/>
    <m/>
    <s v="Not Specified"/>
    <n v="2.71666666661622"/>
    <x v="1"/>
  </r>
  <r>
    <s v="TCK-21591"/>
    <d v="2026-02-06T18:41:00"/>
    <s v="Technical Support"/>
    <x v="6"/>
    <x v="1"/>
    <x v="2"/>
    <x v="0"/>
    <x v="1"/>
    <n v="48"/>
    <x v="3"/>
    <d v="2026-02-07T17:49:00"/>
    <s v="No"/>
    <m/>
    <s v="Resolved On First Contact"/>
    <n v="23.133333333302289"/>
    <x v="1"/>
  </r>
  <r>
    <s v="TCK-21453"/>
    <d v="2026-03-03T16:13:00"/>
    <s v="Tier 1 Support"/>
    <x v="7"/>
    <x v="6"/>
    <x v="2"/>
    <x v="3"/>
    <x v="2"/>
    <n v="8"/>
    <x v="2"/>
    <d v="2026-03-03T17:02:00"/>
    <s v="No"/>
    <n v="5"/>
    <s v="Required Follow-Up Call"/>
    <n v="0.81666666670935228"/>
    <x v="1"/>
  </r>
  <r>
    <s v="TCK-22889"/>
    <d v="2026-07-26T22:20:00"/>
    <s v="Tier 2 Support"/>
    <x v="3"/>
    <x v="0"/>
    <x v="2"/>
    <x v="1"/>
    <x v="0"/>
    <n v="24"/>
    <x v="1"/>
    <s v="Missing Resolve Date"/>
    <s v="No"/>
    <m/>
    <s v="Technical Issue Resolved Remotely"/>
    <s v=""/>
    <x v="1"/>
  </r>
  <r>
    <s v="TCK-22594"/>
    <d v="2026-08-06T15:17:00"/>
    <s v="Technical Support"/>
    <x v="4"/>
    <x v="6"/>
    <x v="0"/>
    <x v="0"/>
    <x v="2"/>
    <n v="8"/>
    <x v="2"/>
    <d v="2026-08-06T20:27:00"/>
    <s v="Yes"/>
    <n v="5"/>
    <s v="Repeat Issue From Same Customer"/>
    <n v="5.1666666665696539"/>
    <x v="1"/>
  </r>
  <r>
    <s v="TCK-20004"/>
    <d v="2026-06-29T22:16:00"/>
    <s v="Tier 2 Support"/>
    <x v="2"/>
    <x v="2"/>
    <x v="0"/>
    <x v="5"/>
    <x v="1"/>
    <n v="48"/>
    <x v="4"/>
    <s v="Missing Resolve Date"/>
    <s v="Yes"/>
    <m/>
    <s v="Required Follow-Up Call"/>
    <s v=""/>
    <x v="1"/>
  </r>
  <r>
    <s v="TCK-21975"/>
    <d v="2026-01-24T09:42:00"/>
    <s v="Tier 1 Support"/>
    <x v="1"/>
    <x v="6"/>
    <x v="0"/>
    <x v="1"/>
    <x v="2"/>
    <n v="8"/>
    <x v="0"/>
    <d v="2026-01-24T16:00:00"/>
    <s v="No"/>
    <m/>
    <s v="Customer Requested Refund"/>
    <n v="6.2999999999301508"/>
    <x v="0"/>
  </r>
  <r>
    <s v="TCK-22039"/>
    <d v="2026-04-06T09:07:00"/>
    <s v="Tier 1 Support"/>
    <x v="1"/>
    <x v="5"/>
    <x v="0"/>
    <x v="5"/>
    <x v="2"/>
    <n v="8"/>
    <x v="2"/>
    <d v="2026-04-06T10:40:00"/>
    <s v="No"/>
    <m/>
    <s v="Customer Satisfied With Resolution"/>
    <n v="1.5499999999883585"/>
    <x v="1"/>
  </r>
  <r>
    <s v="TCK-22204"/>
    <d v="2026-07-12T16:18:00"/>
    <s v="Tier 2 Support"/>
    <x v="3"/>
    <x v="0"/>
    <x v="3"/>
    <x v="3"/>
    <x v="1"/>
    <n v="48"/>
    <x v="3"/>
    <d v="2026-07-16T09:53:00"/>
    <s v="No"/>
    <m/>
    <s v="Not Specified"/>
    <n v="89.583333333372138"/>
    <x v="1"/>
  </r>
  <r>
    <s v="TCK-20007"/>
    <d v="2026-03-30T14:37:00"/>
    <s v="Technical Support"/>
    <x v="6"/>
    <x v="6"/>
    <x v="3"/>
    <x v="0"/>
    <x v="2"/>
    <n v="8"/>
    <x v="0"/>
    <d v="2026-03-30T15:26:00"/>
    <s v="No"/>
    <n v="4"/>
    <s v="Not Specified"/>
    <n v="0.81666666670935228"/>
    <x v="0"/>
  </r>
  <r>
    <s v="TCK-22086"/>
    <d v="2026-08-24T00:41:00"/>
    <s v="Technical Support"/>
    <x v="4"/>
    <x v="3"/>
    <x v="0"/>
    <x v="4"/>
    <x v="0"/>
    <n v="24"/>
    <x v="0"/>
    <d v="2026-08-24T18:27:00"/>
    <s v="Yes"/>
    <m/>
    <s v="Not Specified"/>
    <n v="17.766666666779201"/>
    <x v="0"/>
  </r>
  <r>
    <s v="TCK-20167"/>
    <d v="2026-08-28T15:16:00"/>
    <s v="Tier 1 Support"/>
    <x v="7"/>
    <x v="5"/>
    <x v="2"/>
    <x v="1"/>
    <x v="1"/>
    <n v="48"/>
    <x v="0"/>
    <d v="2026-09-01T07:29:00"/>
    <s v="No"/>
    <n v="5"/>
    <s v="Repeat Issue From Same Customer"/>
    <n v="88.21666666661622"/>
    <x v="2"/>
  </r>
  <r>
    <s v="TCK-23013"/>
    <d v="2026-06-22T14:19:00"/>
    <s v="Billing Support"/>
    <x v="0"/>
    <x v="0"/>
    <x v="1"/>
    <x v="5"/>
    <x v="3"/>
    <n v="4"/>
    <x v="3"/>
    <d v="2026-06-22T16:53:00"/>
    <s v="No"/>
    <m/>
    <s v="Not Specified"/>
    <n v="2.5666666666511446"/>
    <x v="1"/>
  </r>
  <r>
    <s v="TCK-20924"/>
    <d v="2026-08-23T15:33:00"/>
    <s v="Technical Support"/>
    <x v="4"/>
    <x v="6"/>
    <x v="3"/>
    <x v="0"/>
    <x v="1"/>
    <n v="48"/>
    <x v="2"/>
    <d v="2026-08-24T03:43:00"/>
    <s v="No"/>
    <n v="5"/>
    <s v="Required Follow-Up Call"/>
    <n v="12.166666666686069"/>
    <x v="1"/>
  </r>
  <r>
    <s v="TCK-21237"/>
    <d v="2026-03-30T16:12:00"/>
    <s v="Tier 1 Support"/>
    <x v="1"/>
    <x v="2"/>
    <x v="3"/>
    <x v="2"/>
    <x v="1"/>
    <n v="48"/>
    <x v="2"/>
    <d v="2026-03-31T20:32:00"/>
    <s v="No"/>
    <n v="4"/>
    <s v="Customer Requested Refund"/>
    <n v="28.333333333313931"/>
    <x v="1"/>
  </r>
  <r>
    <s v="TCK-21488"/>
    <d v="2026-07-03T12:17:00"/>
    <s v="Tier 2 Support"/>
    <x v="2"/>
    <x v="1"/>
    <x v="1"/>
    <x v="1"/>
    <x v="1"/>
    <n v="48"/>
    <x v="2"/>
    <d v="2026-07-03T22:58:00"/>
    <s v="No"/>
    <m/>
    <s v="Not Specified"/>
    <n v="10.68333333323244"/>
    <x v="1"/>
  </r>
  <r>
    <s v="TCK-20453"/>
    <d v="2026-08-20T18:37:00"/>
    <s v="Billing Support"/>
    <x v="5"/>
    <x v="0"/>
    <x v="0"/>
    <x v="1"/>
    <x v="0"/>
    <n v="24"/>
    <x v="1"/>
    <s v="Missing Resolve Date"/>
    <s v="No"/>
    <m/>
    <s v="Technical Issue Resolved Remotely"/>
    <s v=""/>
    <x v="1"/>
  </r>
  <r>
    <s v="TCK-21643"/>
    <d v="2026-04-02T19:31:00"/>
    <s v="Billing Support"/>
    <x v="5"/>
    <x v="5"/>
    <x v="1"/>
    <x v="2"/>
    <x v="3"/>
    <n v="4"/>
    <x v="0"/>
    <s v="Missing Resolve Date"/>
    <s v="No"/>
    <m/>
    <s v="Required Follow-Up Call"/>
    <s v=""/>
    <x v="2"/>
  </r>
  <r>
    <s v="TCK-20001"/>
    <d v="2026-08-23T23:59:00"/>
    <s v="Tier 1 Support"/>
    <x v="7"/>
    <x v="3"/>
    <x v="1"/>
    <x v="5"/>
    <x v="0"/>
    <n v="24"/>
    <x v="3"/>
    <d v="2026-08-24T08:36:00"/>
    <s v="No"/>
    <m/>
    <s v="Repeat Issue From Same Customer"/>
    <n v="8.6166666666395031"/>
    <x v="1"/>
  </r>
  <r>
    <s v="TCK-21411"/>
    <d v="2026-08-15T21:33:00"/>
    <s v="Technical Support"/>
    <x v="6"/>
    <x v="6"/>
    <x v="0"/>
    <x v="4"/>
    <x v="0"/>
    <n v="24"/>
    <x v="4"/>
    <s v="Missing Resolve Date"/>
    <s v="Yes"/>
    <m/>
    <s v="Not Specified"/>
    <s v=""/>
    <x v="1"/>
  </r>
  <r>
    <s v="TCK-21345"/>
    <d v="2026-06-06T10:24:00"/>
    <s v="Technical Support"/>
    <x v="6"/>
    <x v="6"/>
    <x v="3"/>
    <x v="4"/>
    <x v="1"/>
    <n v="48"/>
    <x v="0"/>
    <d v="2026-06-08T03:35:00"/>
    <s v="No"/>
    <n v="5"/>
    <s v="Customer Requested Refund"/>
    <n v="41.183333333290648"/>
    <x v="0"/>
  </r>
  <r>
    <s v="TCK-22673"/>
    <d v="2026-05-27T16:19:00"/>
    <s v="Billing Support"/>
    <x v="5"/>
    <x v="2"/>
    <x v="3"/>
    <x v="5"/>
    <x v="1"/>
    <n v="48"/>
    <x v="0"/>
    <d v="2026-05-28T21:22:00"/>
    <s v="No"/>
    <n v="3"/>
    <s v="Customer Requested Refund"/>
    <n v="29.050000000046566"/>
    <x v="0"/>
  </r>
  <r>
    <s v="TCK-22427"/>
    <d v="2026-02-09T11:24:00"/>
    <s v="Technical Support"/>
    <x v="6"/>
    <x v="3"/>
    <x v="0"/>
    <x v="2"/>
    <x v="0"/>
    <n v="24"/>
    <x v="2"/>
    <d v="2026-02-09T19:19:00"/>
    <s v="No"/>
    <m/>
    <s v="Customer Satisfied With Resolution"/>
    <n v="7.9166666666278616"/>
    <x v="1"/>
  </r>
  <r>
    <s v="TCK-20838"/>
    <d v="2026-05-13T13:37:00"/>
    <s v="Tier 1 Support"/>
    <x v="7"/>
    <x v="2"/>
    <x v="2"/>
    <x v="1"/>
    <x v="0"/>
    <n v="24"/>
    <x v="1"/>
    <s v="Missing Resolve Date"/>
    <s v="No"/>
    <m/>
    <s v="Customer Satisfied With Resolution"/>
    <s v=""/>
    <x v="1"/>
  </r>
  <r>
    <s v="TCK-23191"/>
    <d v="2026-07-31T09:06:00"/>
    <s v="Tier 2 Support"/>
    <x v="2"/>
    <x v="1"/>
    <x v="1"/>
    <x v="3"/>
    <x v="1"/>
    <n v="48"/>
    <x v="3"/>
    <d v="2026-08-01T11:09:00"/>
    <s v="No"/>
    <m/>
    <s v="Escalated To Senior Agent"/>
    <n v="26.050000000046566"/>
    <x v="1"/>
  </r>
  <r>
    <s v="TCK-22491"/>
    <d v="2026-01-25T20:40:00"/>
    <s v="Technical Support"/>
    <x v="4"/>
    <x v="0"/>
    <x v="2"/>
    <x v="2"/>
    <x v="3"/>
    <n v="4"/>
    <x v="2"/>
    <d v="2026-01-26T03:32:00"/>
    <s v="No"/>
    <n v="5"/>
    <s v="Customer Requested Refund"/>
    <n v="6.8666666666977108"/>
    <x v="1"/>
  </r>
  <r>
    <s v="TCK-21443"/>
    <d v="2026-01-05T11:02:00"/>
    <s v="Technical Support"/>
    <x v="4"/>
    <x v="5"/>
    <x v="0"/>
    <x v="5"/>
    <x v="1"/>
    <n v="48"/>
    <x v="2"/>
    <d v="2026-01-06T03:20:00"/>
    <s v="No"/>
    <m/>
    <s v="Customer Requested Refund"/>
    <n v="16.300000000046566"/>
    <x v="1"/>
  </r>
  <r>
    <s v="TCK-20972"/>
    <d v="2026-08-01T17:23:00"/>
    <s v="Tier 1 Support"/>
    <x v="1"/>
    <x v="2"/>
    <x v="0"/>
    <x v="5"/>
    <x v="1"/>
    <n v="48"/>
    <x v="0"/>
    <d v="2026-08-02T15:46:00"/>
    <s v="No"/>
    <n v="3"/>
    <s v="Repeat Issue From Same Customer"/>
    <n v="22.383333333302289"/>
    <x v="0"/>
  </r>
  <r>
    <s v="TCK-20826"/>
    <d v="2026-07-20T12:04:00"/>
    <s v="Billing Support"/>
    <x v="5"/>
    <x v="2"/>
    <x v="2"/>
    <x v="3"/>
    <x v="1"/>
    <n v="48"/>
    <x v="4"/>
    <s v="Missing Resolve Date"/>
    <s v="Yes"/>
    <m/>
    <s v="Awaiting Customer Response"/>
    <s v=""/>
    <x v="1"/>
  </r>
  <r>
    <s v="TCK-23114"/>
    <d v="2026-04-15T03:17:00"/>
    <s v="Tier 2 Support"/>
    <x v="2"/>
    <x v="3"/>
    <x v="1"/>
    <x v="5"/>
    <x v="2"/>
    <n v="8"/>
    <x v="0"/>
    <d v="2026-04-15T08:51:00"/>
    <s v="Yes"/>
    <n v="3"/>
    <s v="Customer Requested Refund"/>
    <n v="5.5666666666511446"/>
    <x v="0"/>
  </r>
  <r>
    <s v="TCK-20789"/>
    <d v="2026-06-23T07:09:00"/>
    <s v="Technical Support"/>
    <x v="6"/>
    <x v="1"/>
    <x v="1"/>
    <x v="4"/>
    <x v="0"/>
    <n v="24"/>
    <x v="1"/>
    <s v="Missing Resolve Date"/>
    <s v="No"/>
    <m/>
    <s v="Repeat Issue From Same Customer"/>
    <s v=""/>
    <x v="1"/>
  </r>
  <r>
    <s v="TCK-21863"/>
    <d v="2026-03-20T02:21:00"/>
    <s v="Tier 2 Support"/>
    <x v="3"/>
    <x v="3"/>
    <x v="0"/>
    <x v="4"/>
    <x v="2"/>
    <n v="8"/>
    <x v="0"/>
    <d v="2026-03-20T11:39:00"/>
    <s v="No"/>
    <n v="2"/>
    <s v="Required Follow-Up Call"/>
    <n v="9.3000000001047738"/>
    <x v="2"/>
  </r>
  <r>
    <s v="TCK-23137"/>
    <d v="2026-08-02T20:28:00"/>
    <s v="Tier 2 Support"/>
    <x v="2"/>
    <x v="3"/>
    <x v="1"/>
    <x v="5"/>
    <x v="3"/>
    <n v="4"/>
    <x v="5"/>
    <s v="Missing Resolve Date"/>
    <s v="No"/>
    <m/>
    <s v="Escalated To Senior Agent"/>
    <s v=""/>
    <x v="1"/>
  </r>
  <r>
    <s v="TCK-22098"/>
    <d v="2026-08-20T11:45:00"/>
    <s v="Billing Support"/>
    <x v="0"/>
    <x v="1"/>
    <x v="0"/>
    <x v="0"/>
    <x v="2"/>
    <n v="8"/>
    <x v="1"/>
    <s v="Missing Resolve Date"/>
    <s v="No"/>
    <m/>
    <s v="Awaiting Customer Response"/>
    <s v=""/>
    <x v="1"/>
  </r>
  <r>
    <s v="TCK-22205"/>
    <d v="2026-05-18T07:08:00"/>
    <s v="Technical Support"/>
    <x v="4"/>
    <x v="5"/>
    <x v="0"/>
    <x v="2"/>
    <x v="1"/>
    <n v="48"/>
    <x v="0"/>
    <d v="2026-05-23T05:55:00"/>
    <s v="No"/>
    <n v="5"/>
    <s v="Customer Satisfied With Resolution"/>
    <n v="118.78333333338378"/>
    <x v="2"/>
  </r>
  <r>
    <s v="TCK-20493"/>
    <d v="2026-08-28T23:59:00"/>
    <s v="Billing Support"/>
    <x v="5"/>
    <x v="4"/>
    <x v="2"/>
    <x v="5"/>
    <x v="0"/>
    <n v="24"/>
    <x v="4"/>
    <s v="Missing Resolve Date"/>
    <s v="Yes"/>
    <m/>
    <s v="Awaiting Customer Response"/>
    <s v=""/>
    <x v="1"/>
  </r>
  <r>
    <s v="TCK-22525"/>
    <d v="2026-06-27T12:06:00"/>
    <s v="Tier 2 Support"/>
    <x v="2"/>
    <x v="0"/>
    <x v="1"/>
    <x v="5"/>
    <x v="0"/>
    <n v="24"/>
    <x v="2"/>
    <d v="2026-06-28T00:06:00"/>
    <s v="No"/>
    <n v="3"/>
    <s v="Required Follow-Up Call"/>
    <n v="12"/>
    <x v="1"/>
  </r>
  <r>
    <s v="TCK-21782"/>
    <d v="2026-04-23T10:09:00"/>
    <s v="Tier 2 Support"/>
    <x v="3"/>
    <x v="4"/>
    <x v="0"/>
    <x v="1"/>
    <x v="2"/>
    <n v="8"/>
    <x v="4"/>
    <s v="Missing Resolve Date"/>
    <s v="Yes"/>
    <m/>
    <s v="Repeat Issue From Same Customer"/>
    <s v=""/>
    <x v="1"/>
  </r>
  <r>
    <s v="TCK-21654"/>
    <d v="2026-04-25T02:59:00"/>
    <s v="Tier 2 Support"/>
    <x v="2"/>
    <x v="0"/>
    <x v="2"/>
    <x v="1"/>
    <x v="1"/>
    <n v="48"/>
    <x v="2"/>
    <d v="2026-04-25T21:54:00"/>
    <s v="Yes"/>
    <m/>
    <s v="Required Follow-Up Call"/>
    <n v="18.916666666686069"/>
    <x v="1"/>
  </r>
  <r>
    <s v="TCK-21545"/>
    <d v="2026-01-23T15:54:00"/>
    <s v="Tier 2 Support"/>
    <x v="2"/>
    <x v="1"/>
    <x v="3"/>
    <x v="5"/>
    <x v="0"/>
    <n v="24"/>
    <x v="0"/>
    <d v="2026-01-24T12:23:00"/>
    <s v="No"/>
    <n v="5"/>
    <s v="Awaiting Customer Response"/>
    <n v="20.483333333395422"/>
    <x v="0"/>
  </r>
  <r>
    <s v="TCK-20630"/>
    <d v="2026-06-18T02:42:00"/>
    <s v="Tier 2 Support"/>
    <x v="3"/>
    <x v="5"/>
    <x v="1"/>
    <x v="3"/>
    <x v="0"/>
    <n v="24"/>
    <x v="0"/>
    <d v="2026-06-18T17:58:00"/>
    <s v="No"/>
    <n v="1"/>
    <s v="Customer Satisfied With Resolution"/>
    <n v="15.266666666662786"/>
    <x v="0"/>
  </r>
  <r>
    <s v="TCK-22604"/>
    <d v="2026-07-02T20:16:00"/>
    <s v="Billing Support"/>
    <x v="0"/>
    <x v="3"/>
    <x v="3"/>
    <x v="5"/>
    <x v="0"/>
    <n v="24"/>
    <x v="1"/>
    <s v="Missing Resolve Date"/>
    <s v="Yes"/>
    <m/>
    <s v="Technical Issue Resolved Remotely"/>
    <s v=""/>
    <x v="1"/>
  </r>
  <r>
    <s v="TCK-22010"/>
    <d v="2026-01-07T09:02:00"/>
    <s v="Tier 1 Support"/>
    <x v="7"/>
    <x v="1"/>
    <x v="3"/>
    <x v="0"/>
    <x v="1"/>
    <n v="48"/>
    <x v="4"/>
    <s v="Missing Resolve Date"/>
    <s v="Yes"/>
    <m/>
    <s v="Customer Requested Refund"/>
    <s v=""/>
    <x v="1"/>
  </r>
  <r>
    <s v="TCK-22511"/>
    <d v="2026-06-23T07:26:00"/>
    <s v="Tier 2 Support"/>
    <x v="3"/>
    <x v="7"/>
    <x v="3"/>
    <x v="2"/>
    <x v="0"/>
    <n v="24"/>
    <x v="0"/>
    <s v="Missing Resolve Date"/>
    <s v="No"/>
    <n v="4"/>
    <s v="Not Specified"/>
    <s v=""/>
    <x v="2"/>
  </r>
  <r>
    <s v="TCK-22079"/>
    <d v="2026-05-02T20:25:00"/>
    <s v="Tier 2 Support"/>
    <x v="3"/>
    <x v="2"/>
    <x v="3"/>
    <x v="3"/>
    <x v="0"/>
    <n v="24"/>
    <x v="0"/>
    <d v="2026-05-03T08:54:00"/>
    <s v="Yes"/>
    <n v="5"/>
    <s v="Not Specified"/>
    <n v="12.483333333337214"/>
    <x v="0"/>
  </r>
  <r>
    <s v="TCK-21982"/>
    <d v="2026-07-23T10:30:00"/>
    <s v="Billing Support"/>
    <x v="0"/>
    <x v="4"/>
    <x v="2"/>
    <x v="4"/>
    <x v="2"/>
    <n v="8"/>
    <x v="0"/>
    <d v="2026-07-23T13:25:00"/>
    <s v="No"/>
    <m/>
    <s v="Customer Requested Refund"/>
    <n v="2.9166666667442769"/>
    <x v="0"/>
  </r>
  <r>
    <s v="TCK-21006"/>
    <d v="2026-03-05T08:05:00"/>
    <s v="Billing Support"/>
    <x v="5"/>
    <x v="4"/>
    <x v="0"/>
    <x v="3"/>
    <x v="2"/>
    <n v="8"/>
    <x v="5"/>
    <s v="Missing Resolve Date"/>
    <s v="No"/>
    <m/>
    <s v="Not Specified"/>
    <s v=""/>
    <x v="1"/>
  </r>
  <r>
    <s v="TCK-22616"/>
    <d v="2026-01-27T02:55:00"/>
    <s v="Technical Support"/>
    <x v="4"/>
    <x v="2"/>
    <x v="3"/>
    <x v="1"/>
    <x v="0"/>
    <n v="24"/>
    <x v="0"/>
    <d v="2026-01-27T14:28:00"/>
    <s v="No"/>
    <n v="2"/>
    <s v="Repeat Issue From Same Customer"/>
    <n v="11.549999999930151"/>
    <x v="0"/>
  </r>
  <r>
    <s v="TCK-21117"/>
    <d v="2026-05-17T15:14:00"/>
    <s v="Billing Support"/>
    <x v="0"/>
    <x v="2"/>
    <x v="1"/>
    <x v="2"/>
    <x v="2"/>
    <n v="8"/>
    <x v="1"/>
    <s v="Missing Resolve Date"/>
    <s v="No"/>
    <m/>
    <s v="Required Follow-Up Call"/>
    <s v=""/>
    <x v="1"/>
  </r>
  <r>
    <s v="TCK-20470"/>
    <d v="2026-04-09T21:05:00"/>
    <s v="Tier 1 Support"/>
    <x v="7"/>
    <x v="3"/>
    <x v="2"/>
    <x v="3"/>
    <x v="1"/>
    <n v="48"/>
    <x v="2"/>
    <s v="Missing Resolve Date"/>
    <s v="No"/>
    <m/>
    <s v="Not Specified"/>
    <s v=""/>
    <x v="1"/>
  </r>
  <r>
    <s v="TCK-20874"/>
    <d v="2026-07-12T13:03:00"/>
    <s v="Tier 2 Support"/>
    <x v="2"/>
    <x v="5"/>
    <x v="0"/>
    <x v="4"/>
    <x v="2"/>
    <n v="8"/>
    <x v="0"/>
    <d v="2026-07-12T14:50:00"/>
    <s v="No"/>
    <n v="5"/>
    <s v="Repeat Issue From Same Customer"/>
    <n v="1.78333333338378"/>
    <x v="0"/>
  </r>
  <r>
    <s v="TCK-20633"/>
    <d v="2026-04-15T23:45:00"/>
    <s v="Tier 1 Support"/>
    <x v="1"/>
    <x v="1"/>
    <x v="1"/>
    <x v="0"/>
    <x v="0"/>
    <n v="24"/>
    <x v="0"/>
    <d v="2026-04-16T06:29:00"/>
    <s v="No"/>
    <n v="1"/>
    <s v="Resolved On First Contact"/>
    <n v="6.7333333332790062"/>
    <x v="0"/>
  </r>
  <r>
    <s v="TCK-22400"/>
    <d v="2026-02-10T14:30:00"/>
    <s v="Billing Support"/>
    <x v="5"/>
    <x v="0"/>
    <x v="3"/>
    <x v="1"/>
    <x v="1"/>
    <n v="48"/>
    <x v="1"/>
    <s v="Missing Resolve Date"/>
    <s v="No"/>
    <m/>
    <s v="Required Follow-Up Call"/>
    <s v=""/>
    <x v="1"/>
  </r>
  <r>
    <s v="TCK-20234"/>
    <d v="2026-04-12T10:30:00"/>
    <s v="Tier 1 Support"/>
    <x v="1"/>
    <x v="0"/>
    <x v="1"/>
    <x v="0"/>
    <x v="0"/>
    <n v="24"/>
    <x v="2"/>
    <d v="2026-04-12T11:57:00"/>
    <s v="No"/>
    <n v="4"/>
    <s v="Escalated To Senior Agent"/>
    <n v="1.4500000000116415"/>
    <x v="1"/>
  </r>
  <r>
    <s v="TCK-21160"/>
    <d v="2026-01-31T09:55:00"/>
    <s v="Billing Support"/>
    <x v="0"/>
    <x v="5"/>
    <x v="1"/>
    <x v="2"/>
    <x v="1"/>
    <n v="48"/>
    <x v="0"/>
    <d v="2026-01-31T22:02:00"/>
    <s v="No"/>
    <n v="5"/>
    <s v="Not Specified"/>
    <n v="12.116666666697711"/>
    <x v="0"/>
  </r>
  <r>
    <s v="TCK-21920"/>
    <d v="2026-07-03T12:44:00"/>
    <s v="Tier 2 Support"/>
    <x v="3"/>
    <x v="1"/>
    <x v="3"/>
    <x v="3"/>
    <x v="0"/>
    <n v="24"/>
    <x v="5"/>
    <s v="Missing Resolve Date"/>
    <s v="No"/>
    <m/>
    <s v="Not Specified"/>
    <s v=""/>
    <x v="1"/>
  </r>
  <r>
    <s v="TCK-22692"/>
    <d v="2026-02-27T05:15:00"/>
    <s v="Tier 1 Support"/>
    <x v="7"/>
    <x v="6"/>
    <x v="1"/>
    <x v="5"/>
    <x v="2"/>
    <n v="8"/>
    <x v="1"/>
    <s v="Missing Resolve Date"/>
    <s v="Yes"/>
    <m/>
    <s v="Technical Issue Resolved Remotely"/>
    <s v=""/>
    <x v="1"/>
  </r>
  <r>
    <s v="TCK-22194"/>
    <d v="2026-06-20T04:33:00"/>
    <s v="Billing Support"/>
    <x v="0"/>
    <x v="3"/>
    <x v="1"/>
    <x v="3"/>
    <x v="1"/>
    <n v="48"/>
    <x v="1"/>
    <s v="Missing Resolve Date"/>
    <s v="No"/>
    <m/>
    <s v="Not Specified"/>
    <s v=""/>
    <x v="1"/>
  </r>
  <r>
    <s v="TCK-22138"/>
    <d v="2026-08-09T11:12:00"/>
    <s v="Tier 2 Support"/>
    <x v="2"/>
    <x v="1"/>
    <x v="0"/>
    <x v="3"/>
    <x v="0"/>
    <n v="24"/>
    <x v="0"/>
    <d v="2026-08-11T23:37:00"/>
    <s v="No"/>
    <n v="5"/>
    <s v="Customer Requested Refund"/>
    <n v="60.416666666627862"/>
    <x v="2"/>
  </r>
  <r>
    <s v="TCK-20444"/>
    <d v="2026-07-23T11:28:00"/>
    <s v="Tier 2 Support"/>
    <x v="2"/>
    <x v="6"/>
    <x v="1"/>
    <x v="3"/>
    <x v="2"/>
    <n v="8"/>
    <x v="2"/>
    <d v="2026-07-23T23:08:00"/>
    <s v="No"/>
    <n v="1"/>
    <s v="Not Specified"/>
    <n v="11.666666666627862"/>
    <x v="1"/>
  </r>
  <r>
    <s v="TCK-21766"/>
    <d v="2026-04-10T11:26:00"/>
    <s v="Tier 1 Support"/>
    <x v="1"/>
    <x v="6"/>
    <x v="3"/>
    <x v="4"/>
    <x v="0"/>
    <n v="24"/>
    <x v="3"/>
    <d v="2026-04-10T20:21:00"/>
    <s v="No"/>
    <m/>
    <s v="Awaiting Customer Response"/>
    <n v="8.9166666665696539"/>
    <x v="1"/>
  </r>
  <r>
    <s v="TCK-21485"/>
    <d v="2026-06-06T18:32:00"/>
    <s v="Technical Support"/>
    <x v="4"/>
    <x v="2"/>
    <x v="0"/>
    <x v="1"/>
    <x v="1"/>
    <n v="48"/>
    <x v="4"/>
    <s v="Missing Resolve Date"/>
    <s v="Yes"/>
    <m/>
    <s v="Customer Requested Refund"/>
    <s v=""/>
    <x v="1"/>
  </r>
  <r>
    <s v="TCK-21134"/>
    <d v="2026-05-30T14:27:00"/>
    <s v="Billing Support"/>
    <x v="0"/>
    <x v="4"/>
    <x v="2"/>
    <x v="2"/>
    <x v="0"/>
    <n v="24"/>
    <x v="0"/>
    <d v="2026-05-31T11:28:00"/>
    <s v="No"/>
    <n v="2"/>
    <s v="Technical Issue Resolved Remotely"/>
    <n v="21.016666666720994"/>
    <x v="0"/>
  </r>
  <r>
    <s v="TCK-20462"/>
    <d v="2026-03-10T05:21:00"/>
    <s v="Tier 1 Support"/>
    <x v="1"/>
    <x v="3"/>
    <x v="3"/>
    <x v="4"/>
    <x v="0"/>
    <n v="24"/>
    <x v="2"/>
    <d v="2026-03-11T01:24:00"/>
    <s v="No"/>
    <n v="1"/>
    <s v="Technical Issue Resolved Remotely"/>
    <n v="20.050000000046566"/>
    <x v="1"/>
  </r>
  <r>
    <s v="TCK-21254"/>
    <d v="2026-05-18T15:54:00"/>
    <s v="Tier 1 Support"/>
    <x v="1"/>
    <x v="3"/>
    <x v="2"/>
    <x v="4"/>
    <x v="1"/>
    <n v="48"/>
    <x v="0"/>
    <d v="2026-05-19T13:44:00"/>
    <s v="No"/>
    <n v="3"/>
    <s v="Technical Issue Resolved Remotely"/>
    <n v="21.833333333430346"/>
    <x v="0"/>
  </r>
  <r>
    <s v="TCK-22851"/>
    <d v="2026-08-11T06:03:00"/>
    <s v="Technical Support"/>
    <x v="6"/>
    <x v="5"/>
    <x v="2"/>
    <x v="3"/>
    <x v="0"/>
    <n v="24"/>
    <x v="1"/>
    <s v="Missing Resolve Date"/>
    <s v="No"/>
    <m/>
    <s v="Escalated To Senior Agent"/>
    <s v=""/>
    <x v="1"/>
  </r>
  <r>
    <s v="TCK-21805"/>
    <d v="2026-07-04T07:12:00"/>
    <s v="Technical Support"/>
    <x v="4"/>
    <x v="3"/>
    <x v="2"/>
    <x v="4"/>
    <x v="0"/>
    <n v="24"/>
    <x v="5"/>
    <s v="Missing Resolve Date"/>
    <s v="Yes"/>
    <m/>
    <s v="Resolved On First Contact"/>
    <s v=""/>
    <x v="1"/>
  </r>
  <r>
    <s v="TCK-21011"/>
    <d v="2026-07-13T18:20:00"/>
    <s v="Billing Support"/>
    <x v="5"/>
    <x v="1"/>
    <x v="1"/>
    <x v="2"/>
    <x v="0"/>
    <n v="24"/>
    <x v="2"/>
    <d v="2026-07-14T05:05:00"/>
    <s v="No"/>
    <n v="3"/>
    <s v="Customer Requested Refund"/>
    <n v="10.749999999941792"/>
    <x v="1"/>
  </r>
  <r>
    <s v="TCK-21483"/>
    <d v="2026-07-16T05:15:00"/>
    <s v="Tier 1 Support"/>
    <x v="7"/>
    <x v="5"/>
    <x v="3"/>
    <x v="1"/>
    <x v="2"/>
    <n v="8"/>
    <x v="5"/>
    <s v="Missing Resolve Date"/>
    <s v="No"/>
    <m/>
    <s v="Technical Issue Resolved Remotely"/>
    <s v=""/>
    <x v="1"/>
  </r>
  <r>
    <s v="TCK-20561"/>
    <d v="2026-02-15T07:54:00"/>
    <s v="Tier 1 Support"/>
    <x v="1"/>
    <x v="3"/>
    <x v="2"/>
    <x v="3"/>
    <x v="0"/>
    <n v="24"/>
    <x v="0"/>
    <s v="Missing Resolve Date"/>
    <s v="No"/>
    <n v="5"/>
    <s v="Customer Requested Refund"/>
    <s v=""/>
    <x v="2"/>
  </r>
  <r>
    <s v="TCK-22759"/>
    <d v="2026-06-21T17:17:00"/>
    <s v="Technical Support"/>
    <x v="4"/>
    <x v="6"/>
    <x v="0"/>
    <x v="3"/>
    <x v="1"/>
    <n v="48"/>
    <x v="1"/>
    <s v="Missing Resolve Date"/>
    <s v="No"/>
    <m/>
    <s v="Customer Requested Refund"/>
    <s v=""/>
    <x v="1"/>
  </r>
  <r>
    <s v="TCK-22171"/>
    <d v="2026-01-09T14:55:00"/>
    <s v="Technical Support"/>
    <x v="4"/>
    <x v="0"/>
    <x v="2"/>
    <x v="1"/>
    <x v="1"/>
    <n v="48"/>
    <x v="3"/>
    <d v="2026-01-10T19:25:00"/>
    <s v="No"/>
    <m/>
    <s v="Awaiting Customer Response"/>
    <n v="28.5"/>
    <x v="1"/>
  </r>
  <r>
    <s v="TCK-21680"/>
    <d v="2026-01-17T18:32:00"/>
    <s v="Billing Support"/>
    <x v="5"/>
    <x v="4"/>
    <x v="2"/>
    <x v="1"/>
    <x v="0"/>
    <n v="24"/>
    <x v="4"/>
    <s v="Missing Resolve Date"/>
    <s v="Yes"/>
    <m/>
    <s v="Customer Requested Refund"/>
    <s v=""/>
    <x v="1"/>
  </r>
  <r>
    <s v="TCK-23115"/>
    <d v="2026-01-10T05:43:00"/>
    <s v="Tier 1 Support"/>
    <x v="7"/>
    <x v="0"/>
    <x v="2"/>
    <x v="4"/>
    <x v="2"/>
    <n v="8"/>
    <x v="2"/>
    <d v="2026-01-10T07:13:00"/>
    <s v="No"/>
    <m/>
    <s v="Repeat Issue From Same Customer"/>
    <n v="1.5"/>
    <x v="1"/>
  </r>
  <r>
    <s v="TCK-23172"/>
    <d v="2026-07-13T14:49:00"/>
    <s v="Billing Support"/>
    <x v="5"/>
    <x v="6"/>
    <x v="3"/>
    <x v="0"/>
    <x v="1"/>
    <n v="48"/>
    <x v="4"/>
    <s v="Missing Resolve Date"/>
    <s v="Yes"/>
    <m/>
    <s v="Awaiting Customer Response"/>
    <s v=""/>
    <x v="1"/>
  </r>
  <r>
    <s v="TCK-20260"/>
    <d v="2026-01-09T03:14:00"/>
    <s v="Billing Support"/>
    <x v="0"/>
    <x v="1"/>
    <x v="3"/>
    <x v="3"/>
    <x v="2"/>
    <n v="8"/>
    <x v="4"/>
    <s v="Missing Resolve Date"/>
    <s v="Yes"/>
    <m/>
    <s v="Repeat Issue From Same Customer"/>
    <s v=""/>
    <x v="1"/>
  </r>
  <r>
    <s v="TCK-20016"/>
    <d v="2026-04-11T16:39:00"/>
    <s v="Billing Support"/>
    <x v="5"/>
    <x v="6"/>
    <x v="1"/>
    <x v="2"/>
    <x v="1"/>
    <n v="48"/>
    <x v="4"/>
    <s v="Missing Resolve Date"/>
    <s v="Yes"/>
    <m/>
    <s v="Technical Issue Resolved Remotely"/>
    <s v=""/>
    <x v="1"/>
  </r>
  <r>
    <s v="TCK-22312"/>
    <d v="2026-04-29T12:20:00"/>
    <s v="Tier 1 Support"/>
    <x v="1"/>
    <x v="6"/>
    <x v="3"/>
    <x v="5"/>
    <x v="0"/>
    <n v="24"/>
    <x v="0"/>
    <d v="2026-04-29T22:24:00"/>
    <s v="No"/>
    <n v="5"/>
    <s v="Escalated To Senior Agent"/>
    <n v="10.066666666651145"/>
    <x v="0"/>
  </r>
  <r>
    <s v="TCK-22383"/>
    <d v="2026-06-27T20:13:00"/>
    <s v="Technical Support"/>
    <x v="4"/>
    <x v="3"/>
    <x v="3"/>
    <x v="2"/>
    <x v="0"/>
    <n v="24"/>
    <x v="0"/>
    <d v="2026-06-28T03:25:00"/>
    <s v="No"/>
    <n v="5"/>
    <s v="Awaiting Customer Response"/>
    <n v="7.1999999998952262"/>
    <x v="0"/>
  </r>
  <r>
    <s v="TCK-22270"/>
    <d v="2026-03-16T15:28:00"/>
    <s v="Technical Support"/>
    <x v="4"/>
    <x v="3"/>
    <x v="3"/>
    <x v="1"/>
    <x v="1"/>
    <n v="48"/>
    <x v="2"/>
    <d v="2026-03-17T07:06:00"/>
    <s v="No"/>
    <m/>
    <s v="Required Follow-Up Call"/>
    <n v="15.633333333302289"/>
    <x v="1"/>
  </r>
  <r>
    <s v="TCK-22113"/>
    <d v="2026-05-13T03:04:00"/>
    <s v="Tier 2 Support"/>
    <x v="2"/>
    <x v="6"/>
    <x v="1"/>
    <x v="0"/>
    <x v="3"/>
    <n v="4"/>
    <x v="2"/>
    <d v="2026-05-13T08:29:00"/>
    <s v="No"/>
    <m/>
    <s v="Technical Issue Resolved Remotely"/>
    <n v="5.4166666666860692"/>
    <x v="1"/>
  </r>
  <r>
    <s v="TCK-21455"/>
    <d v="2026-01-07T12:42:00"/>
    <s v="Billing Support"/>
    <x v="0"/>
    <x v="1"/>
    <x v="1"/>
    <x v="5"/>
    <x v="1"/>
    <n v="48"/>
    <x v="4"/>
    <s v="Missing Resolve Date"/>
    <s v="Yes"/>
    <m/>
    <s v="Technical Issue Resolved Remotely"/>
    <s v=""/>
    <x v="1"/>
  </r>
  <r>
    <s v="TCK-20125"/>
    <d v="2026-05-11T01:08:00"/>
    <s v="Tier 2 Support"/>
    <x v="2"/>
    <x v="5"/>
    <x v="2"/>
    <x v="0"/>
    <x v="1"/>
    <n v="48"/>
    <x v="0"/>
    <d v="2026-05-16T12:26:00"/>
    <s v="No"/>
    <m/>
    <s v="Escalated To Senior Agent"/>
    <n v="131.29999999998836"/>
    <x v="2"/>
  </r>
  <r>
    <s v="TCK-20136"/>
    <d v="2026-05-24T15:32:00"/>
    <s v="Billing Support"/>
    <x v="0"/>
    <x v="6"/>
    <x v="3"/>
    <x v="0"/>
    <x v="0"/>
    <n v="24"/>
    <x v="3"/>
    <d v="2026-05-24T17:59:00"/>
    <s v="No"/>
    <m/>
    <s v="Customer Satisfied With Resolution"/>
    <n v="2.4499999999534339"/>
    <x v="1"/>
  </r>
  <r>
    <s v="TCK-22789"/>
    <d v="2026-01-24T18:38:00"/>
    <s v="Billing Support"/>
    <x v="5"/>
    <x v="4"/>
    <x v="1"/>
    <x v="2"/>
    <x v="1"/>
    <n v="48"/>
    <x v="0"/>
    <d v="2026-01-26T05:33:00"/>
    <s v="No"/>
    <n v="4"/>
    <s v="Awaiting Customer Response"/>
    <n v="34.916666666627862"/>
    <x v="0"/>
  </r>
  <r>
    <s v="TCK-21864"/>
    <d v="2026-08-22T23:24:00"/>
    <s v="Tier 2 Support"/>
    <x v="2"/>
    <x v="4"/>
    <x v="2"/>
    <x v="5"/>
    <x v="1"/>
    <n v="48"/>
    <x v="4"/>
    <s v="Missing Resolve Date"/>
    <s v="Yes"/>
    <m/>
    <s v="Required Follow-Up Call"/>
    <s v=""/>
    <x v="1"/>
  </r>
  <r>
    <s v="TCK-20908"/>
    <d v="2026-03-10T10:55:00"/>
    <s v="Tier 2 Support"/>
    <x v="3"/>
    <x v="4"/>
    <x v="1"/>
    <x v="5"/>
    <x v="2"/>
    <n v="8"/>
    <x v="2"/>
    <d v="2026-03-10T13:14:00"/>
    <s v="No"/>
    <n v="5"/>
    <s v="Awaiting Customer Response"/>
    <n v="2.3166666667093523"/>
    <x v="1"/>
  </r>
  <r>
    <s v="TCK-20388"/>
    <d v="2026-05-02T20:45:00"/>
    <s v="Billing Support"/>
    <x v="0"/>
    <x v="2"/>
    <x v="3"/>
    <x v="3"/>
    <x v="0"/>
    <n v="24"/>
    <x v="0"/>
    <d v="2026-05-03T16:28:00"/>
    <s v="No"/>
    <m/>
    <s v="Not Specified"/>
    <n v="19.716666666674428"/>
    <x v="0"/>
  </r>
  <r>
    <s v="TCK-20367"/>
    <d v="2026-04-29T09:17:00"/>
    <s v="Tier 1 Support"/>
    <x v="1"/>
    <x v="5"/>
    <x v="0"/>
    <x v="4"/>
    <x v="0"/>
    <n v="24"/>
    <x v="5"/>
    <s v="Missing Resolve Date"/>
    <s v="No"/>
    <m/>
    <s v="Repeat Issue From Same Customer"/>
    <s v=""/>
    <x v="1"/>
  </r>
  <r>
    <s v="TCK-21195"/>
    <d v="2026-05-31T15:35:00"/>
    <s v="Tier 1 Support"/>
    <x v="7"/>
    <x v="2"/>
    <x v="3"/>
    <x v="3"/>
    <x v="1"/>
    <n v="48"/>
    <x v="0"/>
    <d v="2026-06-03T21:25:00"/>
    <s v="No"/>
    <n v="2"/>
    <s v="Not Specified"/>
    <n v="77.833333333313931"/>
    <x v="2"/>
  </r>
  <r>
    <s v="TCK-20622"/>
    <d v="2026-03-20T15:13:00"/>
    <s v="Tier 1 Support"/>
    <x v="7"/>
    <x v="5"/>
    <x v="1"/>
    <x v="3"/>
    <x v="0"/>
    <n v="24"/>
    <x v="4"/>
    <s v="Missing Resolve Date"/>
    <s v="Yes"/>
    <m/>
    <s v="Not Specified"/>
    <s v=""/>
    <x v="1"/>
  </r>
  <r>
    <s v="TCK-22145"/>
    <d v="2026-07-22T03:45:00"/>
    <s v="Technical Support"/>
    <x v="6"/>
    <x v="3"/>
    <x v="0"/>
    <x v="0"/>
    <x v="0"/>
    <n v="24"/>
    <x v="2"/>
    <d v="2026-07-23T01:03:00"/>
    <s v="No"/>
    <n v="5"/>
    <s v="Resolved On First Contact"/>
    <n v="21.299999999930151"/>
    <x v="1"/>
  </r>
  <r>
    <s v="TCK-21397"/>
    <d v="2026-03-18T01:31:00"/>
    <s v="Tier 2 Support"/>
    <x v="3"/>
    <x v="5"/>
    <x v="1"/>
    <x v="3"/>
    <x v="1"/>
    <n v="48"/>
    <x v="0"/>
    <d v="2026-03-18T20:07:00"/>
    <s v="No"/>
    <m/>
    <s v="Resolved On First Contact"/>
    <n v="18.599999999860302"/>
    <x v="0"/>
  </r>
  <r>
    <s v="TCK-20676"/>
    <d v="2026-03-07T18:25:00"/>
    <s v="Billing Support"/>
    <x v="0"/>
    <x v="3"/>
    <x v="3"/>
    <x v="1"/>
    <x v="1"/>
    <n v="48"/>
    <x v="1"/>
    <s v="Missing Resolve Date"/>
    <s v="No"/>
    <m/>
    <s v="Not Specified"/>
    <s v=""/>
    <x v="1"/>
  </r>
  <r>
    <s v="TCK-20436"/>
    <d v="2026-04-26T04:10:00"/>
    <s v="Tier 2 Support"/>
    <x v="3"/>
    <x v="2"/>
    <x v="2"/>
    <x v="2"/>
    <x v="0"/>
    <n v="24"/>
    <x v="2"/>
    <d v="2026-04-26T18:37:00"/>
    <s v="No"/>
    <n v="5"/>
    <s v="Escalated To Senior Agent"/>
    <n v="14.449999999953434"/>
    <x v="1"/>
  </r>
  <r>
    <s v="TCK-22043"/>
    <d v="2026-04-29T12:44:00"/>
    <s v="Technical Support"/>
    <x v="4"/>
    <x v="0"/>
    <x v="0"/>
    <x v="2"/>
    <x v="0"/>
    <n v="24"/>
    <x v="0"/>
    <d v="2026-04-29T20:04:00"/>
    <s v="No"/>
    <n v="2"/>
    <s v="Awaiting Customer Response"/>
    <n v="7.3333333333139308"/>
    <x v="0"/>
  </r>
  <r>
    <s v="TCK-20845"/>
    <d v="2026-03-25T23:45:00"/>
    <s v="Tier 1 Support"/>
    <x v="1"/>
    <x v="5"/>
    <x v="2"/>
    <x v="2"/>
    <x v="1"/>
    <n v="48"/>
    <x v="2"/>
    <d v="2026-03-26T19:34:00"/>
    <s v="No"/>
    <m/>
    <s v="Awaiting Customer Response"/>
    <n v="19.816666666651145"/>
    <x v="1"/>
  </r>
  <r>
    <s v="TCK-22728"/>
    <d v="2026-02-14T02:26:00"/>
    <s v="Tier 2 Support"/>
    <x v="3"/>
    <x v="3"/>
    <x v="0"/>
    <x v="4"/>
    <x v="3"/>
    <n v="4"/>
    <x v="0"/>
    <d v="2026-02-14T08:20:00"/>
    <s v="Yes"/>
    <n v="5"/>
    <s v="Customer Satisfied With Resolution"/>
    <n v="5.8999999998486601"/>
    <x v="2"/>
  </r>
  <r>
    <s v="TCK-20898"/>
    <d v="2026-06-24T16:30:00"/>
    <s v="Billing Support"/>
    <x v="0"/>
    <x v="1"/>
    <x v="2"/>
    <x v="3"/>
    <x v="2"/>
    <n v="8"/>
    <x v="2"/>
    <d v="2026-06-25T12:37:00"/>
    <s v="No"/>
    <m/>
    <s v="Escalated To Senior Agent"/>
    <n v="20.116666666581295"/>
    <x v="1"/>
  </r>
  <r>
    <s v="TCK-20296"/>
    <d v="2026-08-28T02:55:00"/>
    <s v="Billing Support"/>
    <x v="0"/>
    <x v="1"/>
    <x v="1"/>
    <x v="1"/>
    <x v="0"/>
    <n v="24"/>
    <x v="0"/>
    <s v="Missing Resolve Date"/>
    <s v="Yes"/>
    <n v="5"/>
    <s v="Awaiting Customer Response"/>
    <s v=""/>
    <x v="2"/>
  </r>
  <r>
    <s v="TCK-22327"/>
    <d v="2026-04-27T14:42:00"/>
    <s v="Technical Support"/>
    <x v="6"/>
    <x v="1"/>
    <x v="3"/>
    <x v="3"/>
    <x v="3"/>
    <n v="4"/>
    <x v="0"/>
    <d v="2026-04-27T17:26:00"/>
    <s v="No"/>
    <n v="2"/>
    <s v="Customer Satisfied With Resolution"/>
    <n v="2.7333333333372138"/>
    <x v="0"/>
  </r>
  <r>
    <s v="TCK-20226"/>
    <d v="2026-03-09T14:31:00"/>
    <s v="Technical Support"/>
    <x v="6"/>
    <x v="1"/>
    <x v="2"/>
    <x v="1"/>
    <x v="0"/>
    <n v="24"/>
    <x v="0"/>
    <d v="2026-03-11T06:39:00"/>
    <s v="No"/>
    <n v="3"/>
    <s v="Customer Satisfied With Resolution"/>
    <n v="40.133333333360497"/>
    <x v="2"/>
  </r>
  <r>
    <s v="TCK-22568"/>
    <d v="2026-08-06T13:23:00"/>
    <s v="Tier 2 Support"/>
    <x v="3"/>
    <x v="6"/>
    <x v="2"/>
    <x v="5"/>
    <x v="2"/>
    <n v="8"/>
    <x v="0"/>
    <d v="2026-08-06T20:34:00"/>
    <s v="No"/>
    <m/>
    <s v="Escalated To Senior Agent"/>
    <n v="7.1833333333488554"/>
    <x v="0"/>
  </r>
  <r>
    <s v="TCK-22888"/>
    <d v="2026-02-15T06:06:00"/>
    <s v="Technical Support"/>
    <x v="4"/>
    <x v="2"/>
    <x v="0"/>
    <x v="1"/>
    <x v="0"/>
    <n v="24"/>
    <x v="0"/>
    <d v="2026-02-15T23:27:00"/>
    <s v="Yes"/>
    <m/>
    <s v="Technical Issue Resolved Remotely"/>
    <n v="17.349999999976717"/>
    <x v="0"/>
  </r>
  <r>
    <s v="TCK-21098"/>
    <d v="2026-05-20T12:13:00"/>
    <s v="Tier 2 Support"/>
    <x v="3"/>
    <x v="4"/>
    <x v="2"/>
    <x v="0"/>
    <x v="2"/>
    <n v="8"/>
    <x v="4"/>
    <s v="Missing Resolve Date"/>
    <s v="Yes"/>
    <m/>
    <s v="Not Specified"/>
    <s v=""/>
    <x v="1"/>
  </r>
  <r>
    <s v="TCK-22286"/>
    <d v="2026-05-16T20:32:00"/>
    <s v="Tier 1 Support"/>
    <x v="7"/>
    <x v="0"/>
    <x v="0"/>
    <x v="3"/>
    <x v="1"/>
    <n v="48"/>
    <x v="0"/>
    <d v="2026-05-17T21:28:00"/>
    <s v="No"/>
    <m/>
    <s v="Not Specified"/>
    <n v="24.93333333323244"/>
    <x v="0"/>
  </r>
  <r>
    <s v="TCK-22879"/>
    <d v="2026-08-03T02:31:00"/>
    <s v="Tier 2 Support"/>
    <x v="3"/>
    <x v="6"/>
    <x v="0"/>
    <x v="3"/>
    <x v="0"/>
    <n v="24"/>
    <x v="2"/>
    <d v="2026-08-03T03:16:00"/>
    <s v="Yes"/>
    <n v="5"/>
    <s v="Escalated To Senior Agent"/>
    <n v="0.75"/>
    <x v="1"/>
  </r>
  <r>
    <s v="TCK-21538"/>
    <d v="2026-07-21T05:19:00"/>
    <s v="Billing Support"/>
    <x v="5"/>
    <x v="5"/>
    <x v="1"/>
    <x v="4"/>
    <x v="1"/>
    <n v="48"/>
    <x v="5"/>
    <s v="Missing Resolve Date"/>
    <s v="No"/>
    <m/>
    <s v="Escalated To Senior Agent"/>
    <s v=""/>
    <x v="1"/>
  </r>
  <r>
    <s v="TCK-21737"/>
    <d v="2026-02-18T18:01:00"/>
    <s v="Tier 2 Support"/>
    <x v="3"/>
    <x v="6"/>
    <x v="1"/>
    <x v="1"/>
    <x v="0"/>
    <n v="24"/>
    <x v="0"/>
    <d v="2026-02-19T10:20:00"/>
    <s v="No"/>
    <n v="1"/>
    <s v="Technical Issue Resolved Remotely"/>
    <n v="16.316666666592937"/>
    <x v="0"/>
  </r>
  <r>
    <s v="TCK-20496"/>
    <d v="2026-03-20T23:18:00"/>
    <s v="Tier 2 Support"/>
    <x v="3"/>
    <x v="3"/>
    <x v="2"/>
    <x v="4"/>
    <x v="0"/>
    <n v="24"/>
    <x v="4"/>
    <s v="Missing Resolve Date"/>
    <s v="Yes"/>
    <m/>
    <s v="Not Specified"/>
    <s v=""/>
    <x v="1"/>
  </r>
  <r>
    <s v="TCK-21886"/>
    <d v="2026-06-27T07:09:00"/>
    <s v="Technical Support"/>
    <x v="6"/>
    <x v="4"/>
    <x v="1"/>
    <x v="5"/>
    <x v="2"/>
    <n v="8"/>
    <x v="0"/>
    <d v="2026-06-27T13:03:00"/>
    <s v="No"/>
    <m/>
    <s v="Required Follow-Up Call"/>
    <n v="5.8999999998486601"/>
    <x v="0"/>
  </r>
  <r>
    <s v="TCK-22832"/>
    <d v="2026-08-23T01:53:00"/>
    <s v="Technical Support"/>
    <x v="4"/>
    <x v="1"/>
    <x v="2"/>
    <x v="0"/>
    <x v="1"/>
    <n v="48"/>
    <x v="2"/>
    <d v="2026-08-24T13:42:00"/>
    <s v="No"/>
    <n v="4"/>
    <s v="Customer Requested Refund"/>
    <n v="35.816666666592937"/>
    <x v="1"/>
  </r>
  <r>
    <s v="TCK-21547"/>
    <d v="2026-06-26T23:46:00"/>
    <s v="Billing Support"/>
    <x v="0"/>
    <x v="1"/>
    <x v="3"/>
    <x v="4"/>
    <x v="0"/>
    <n v="24"/>
    <x v="4"/>
    <s v="Missing Resolve Date"/>
    <s v="Yes"/>
    <m/>
    <s v="Escalated To Senior Agent"/>
    <s v=""/>
    <x v="1"/>
  </r>
  <r>
    <s v="TCK-23196"/>
    <d v="2026-05-06T01:25:00"/>
    <s v="Tier 2 Support"/>
    <x v="2"/>
    <x v="0"/>
    <x v="2"/>
    <x v="1"/>
    <x v="2"/>
    <n v="8"/>
    <x v="0"/>
    <d v="2026-05-06T12:22:00"/>
    <s v="No"/>
    <n v="5"/>
    <s v="Repeat Issue From Same Customer"/>
    <n v="10.949999999895226"/>
    <x v="2"/>
  </r>
  <r>
    <s v="TCK-21371"/>
    <d v="2026-02-25T05:56:00"/>
    <s v="Billing Support"/>
    <x v="0"/>
    <x v="1"/>
    <x v="3"/>
    <x v="5"/>
    <x v="3"/>
    <n v="4"/>
    <x v="0"/>
    <d v="2026-02-25T08:02:00"/>
    <s v="No"/>
    <n v="1"/>
    <s v="Technical Issue Resolved Remotely"/>
    <n v="2.1000000000349246"/>
    <x v="0"/>
  </r>
  <r>
    <s v="TCK-23041"/>
    <d v="2026-06-10T21:13:00"/>
    <s v="Technical Support"/>
    <x v="4"/>
    <x v="4"/>
    <x v="0"/>
    <x v="3"/>
    <x v="2"/>
    <n v="8"/>
    <x v="4"/>
    <s v="Missing Resolve Date"/>
    <s v="Yes"/>
    <m/>
    <s v="Resolved On First Contact"/>
    <s v=""/>
    <x v="1"/>
  </r>
  <r>
    <s v="TCK-22228"/>
    <d v="2026-07-11T20:07:00"/>
    <s v="Billing Support"/>
    <x v="5"/>
    <x v="2"/>
    <x v="3"/>
    <x v="5"/>
    <x v="0"/>
    <n v="24"/>
    <x v="1"/>
    <s v="Missing Resolve Date"/>
    <s v="Yes"/>
    <m/>
    <s v="Required Follow-Up Call"/>
    <s v=""/>
    <x v="1"/>
  </r>
  <r>
    <s v="TCK-21393"/>
    <d v="2026-04-01T21:36:00"/>
    <s v="Tier 1 Support"/>
    <x v="1"/>
    <x v="5"/>
    <x v="2"/>
    <x v="2"/>
    <x v="0"/>
    <n v="24"/>
    <x v="0"/>
    <d v="2026-04-03T00:33:00"/>
    <s v="No"/>
    <m/>
    <s v="Not Specified"/>
    <n v="26.950000000011642"/>
    <x v="2"/>
  </r>
  <r>
    <s v="TCK-22962"/>
    <d v="2026-01-17T12:41:00"/>
    <s v="Tier 1 Support"/>
    <x v="7"/>
    <x v="0"/>
    <x v="1"/>
    <x v="1"/>
    <x v="1"/>
    <n v="48"/>
    <x v="0"/>
    <d v="2026-01-22T16:09:00"/>
    <s v="No"/>
    <n v="2"/>
    <s v="Awaiting Customer Response"/>
    <n v="123.46666666679084"/>
    <x v="2"/>
  </r>
  <r>
    <s v="TCK-20741"/>
    <d v="2026-02-09T08:07:00"/>
    <s v="Billing Support"/>
    <x v="0"/>
    <x v="1"/>
    <x v="3"/>
    <x v="1"/>
    <x v="1"/>
    <n v="48"/>
    <x v="0"/>
    <d v="2026-02-10T15:53:00"/>
    <s v="No"/>
    <n v="4"/>
    <s v="Not Specified"/>
    <n v="31.766666666837409"/>
    <x v="0"/>
  </r>
  <r>
    <s v="TCK-20417"/>
    <d v="2026-07-10T04:24:00"/>
    <s v="Tier 2 Support"/>
    <x v="3"/>
    <x v="0"/>
    <x v="0"/>
    <x v="3"/>
    <x v="1"/>
    <n v="48"/>
    <x v="1"/>
    <s v="Missing Resolve Date"/>
    <s v="No"/>
    <m/>
    <s v="Not Specified"/>
    <s v=""/>
    <x v="1"/>
  </r>
  <r>
    <s v="TCK-20281"/>
    <d v="2026-01-22T22:22:00"/>
    <s v="Tier 1 Support"/>
    <x v="1"/>
    <x v="6"/>
    <x v="3"/>
    <x v="5"/>
    <x v="1"/>
    <n v="48"/>
    <x v="3"/>
    <d v="2026-01-23T08:47:00"/>
    <s v="No"/>
    <m/>
    <s v="Awaiting Customer Response"/>
    <n v="10.416666666744277"/>
    <x v="1"/>
  </r>
  <r>
    <s v="TCK-20353"/>
    <d v="2026-05-27T09:21:00"/>
    <s v="Technical Support"/>
    <x v="4"/>
    <x v="0"/>
    <x v="1"/>
    <x v="1"/>
    <x v="2"/>
    <n v="8"/>
    <x v="2"/>
    <d v="2026-05-27T11:33:00"/>
    <s v="No"/>
    <m/>
    <s v="Customer Requested Refund"/>
    <n v="2.2000000000116415"/>
    <x v="1"/>
  </r>
  <r>
    <s v="TCK-21183"/>
    <d v="2026-01-08T01:37:00"/>
    <s v="Tier 1 Support"/>
    <x v="7"/>
    <x v="5"/>
    <x v="3"/>
    <x v="5"/>
    <x v="3"/>
    <n v="4"/>
    <x v="4"/>
    <s v="Missing Resolve Date"/>
    <s v="Yes"/>
    <m/>
    <s v="Technical Issue Resolved Remotely"/>
    <s v=""/>
    <x v="1"/>
  </r>
  <r>
    <s v="TCK-20242"/>
    <d v="2026-01-12T12:00:00"/>
    <s v="Tier 1 Support"/>
    <x v="1"/>
    <x v="1"/>
    <x v="1"/>
    <x v="0"/>
    <x v="0"/>
    <n v="24"/>
    <x v="2"/>
    <s v="Missing Resolve Date"/>
    <s v="No"/>
    <n v="4"/>
    <s v="Repeat Issue From Same Customer"/>
    <s v=""/>
    <x v="1"/>
  </r>
  <r>
    <s v="TCK-20409"/>
    <d v="2026-01-22T08:28:00"/>
    <s v="Billing Support"/>
    <x v="0"/>
    <x v="5"/>
    <x v="0"/>
    <x v="1"/>
    <x v="1"/>
    <n v="48"/>
    <x v="0"/>
    <d v="2026-01-23T20:24:00"/>
    <s v="No"/>
    <n v="5"/>
    <s v="Awaiting Customer Response"/>
    <n v="35.933333333290648"/>
    <x v="0"/>
  </r>
  <r>
    <s v="TCK-21842"/>
    <d v="2026-05-15T05:25:00"/>
    <s v="Tier 1 Support"/>
    <x v="1"/>
    <x v="1"/>
    <x v="0"/>
    <x v="2"/>
    <x v="1"/>
    <n v="48"/>
    <x v="2"/>
    <s v="Missing Resolve Date"/>
    <s v="No"/>
    <n v="5"/>
    <s v="Technical Issue Resolved Remotely"/>
    <s v=""/>
    <x v="1"/>
  </r>
  <r>
    <s v="TCK-22338"/>
    <d v="2026-03-25T21:54:00"/>
    <s v="Tier 2 Support"/>
    <x v="3"/>
    <x v="0"/>
    <x v="2"/>
    <x v="4"/>
    <x v="0"/>
    <n v="24"/>
    <x v="5"/>
    <s v="Missing Resolve Date"/>
    <s v="No"/>
    <m/>
    <s v="Customer Requested Refund"/>
    <s v=""/>
    <x v="1"/>
  </r>
  <r>
    <s v="TCK-20257"/>
    <d v="2026-07-25T21:50:00"/>
    <s v="Technical Support"/>
    <x v="6"/>
    <x v="1"/>
    <x v="1"/>
    <x v="4"/>
    <x v="0"/>
    <n v="24"/>
    <x v="0"/>
    <d v="2026-07-28T03:45:00"/>
    <s v="Yes"/>
    <n v="4"/>
    <s v="Technical Issue Resolved Remotely"/>
    <n v="53.916666666744277"/>
    <x v="2"/>
  </r>
  <r>
    <s v="TCK-21776"/>
    <d v="2026-01-08T03:56:00"/>
    <s v="Tier 2 Support"/>
    <x v="2"/>
    <x v="5"/>
    <x v="0"/>
    <x v="0"/>
    <x v="3"/>
    <n v="4"/>
    <x v="0"/>
    <d v="2026-01-08T05:34:00"/>
    <s v="No"/>
    <n v="1"/>
    <s v="Customer Satisfied With Resolution"/>
    <n v="1.6333333332440816"/>
    <x v="0"/>
  </r>
  <r>
    <s v="TCK-20881"/>
    <d v="2026-07-20T10:30:00"/>
    <s v="Tier 1 Support"/>
    <x v="7"/>
    <x v="2"/>
    <x v="2"/>
    <x v="3"/>
    <x v="1"/>
    <n v="48"/>
    <x v="2"/>
    <d v="2026-07-21T02:10:00"/>
    <s v="No"/>
    <n v="5"/>
    <s v="Not Specified"/>
    <n v="15.666666666744277"/>
    <x v="1"/>
  </r>
  <r>
    <s v="TCK-21148"/>
    <d v="2026-06-23T07:33:00"/>
    <s v="Billing Support"/>
    <x v="5"/>
    <x v="5"/>
    <x v="3"/>
    <x v="0"/>
    <x v="1"/>
    <n v="48"/>
    <x v="5"/>
    <s v="Missing Resolve Date"/>
    <s v="No"/>
    <m/>
    <s v="Awaiting Customer Response"/>
    <s v=""/>
    <x v="1"/>
  </r>
  <r>
    <s v="TCK-21995"/>
    <d v="2026-06-01T17:39:00"/>
    <s v="Technical Support"/>
    <x v="6"/>
    <x v="0"/>
    <x v="1"/>
    <x v="4"/>
    <x v="2"/>
    <n v="8"/>
    <x v="2"/>
    <d v="2026-06-01T18:47:00"/>
    <s v="No"/>
    <n v="1"/>
    <s v="Escalated To Senior Agent"/>
    <n v="1.1333333331858739"/>
    <x v="1"/>
  </r>
  <r>
    <s v="TCK-20127"/>
    <d v="2026-08-17T02:50:00"/>
    <s v="Tier 2 Support"/>
    <x v="2"/>
    <x v="4"/>
    <x v="0"/>
    <x v="1"/>
    <x v="1"/>
    <n v="48"/>
    <x v="5"/>
    <s v="Missing Resolve Date"/>
    <s v="No"/>
    <m/>
    <s v="Escalated To Senior Agent"/>
    <s v=""/>
    <x v="1"/>
  </r>
  <r>
    <s v="TCK-22077"/>
    <d v="2026-02-13T20:33:00"/>
    <s v="Tier 2 Support"/>
    <x v="3"/>
    <x v="1"/>
    <x v="1"/>
    <x v="4"/>
    <x v="2"/>
    <n v="8"/>
    <x v="0"/>
    <d v="2026-02-14T03:33:00"/>
    <s v="No"/>
    <m/>
    <s v="Required Follow-Up Call"/>
    <n v="7.0000000001164153"/>
    <x v="0"/>
  </r>
  <r>
    <s v="TCK-22965"/>
    <d v="2026-07-04T02:07:00"/>
    <s v="Billing Support"/>
    <x v="5"/>
    <x v="0"/>
    <x v="2"/>
    <x v="2"/>
    <x v="1"/>
    <n v="48"/>
    <x v="4"/>
    <s v="Missing Resolve Date"/>
    <s v="Yes"/>
    <m/>
    <s v="Not Specified"/>
    <s v=""/>
    <x v="1"/>
  </r>
  <r>
    <s v="TCK-20753"/>
    <d v="2026-07-12T20:19:00"/>
    <s v="Tier 1 Support"/>
    <x v="1"/>
    <x v="4"/>
    <x v="3"/>
    <x v="2"/>
    <x v="3"/>
    <n v="4"/>
    <x v="4"/>
    <s v="Missing Resolve Date"/>
    <s v="Yes"/>
    <m/>
    <s v="Not Specified"/>
    <s v=""/>
    <x v="1"/>
  </r>
  <r>
    <s v="TCK-21647"/>
    <d v="2026-03-08T07:51:00"/>
    <s v="Tier 2 Support"/>
    <x v="2"/>
    <x v="0"/>
    <x v="1"/>
    <x v="0"/>
    <x v="1"/>
    <n v="48"/>
    <x v="4"/>
    <s v="Missing Resolve Date"/>
    <s v="Yes"/>
    <m/>
    <s v="Escalated To Senior Agent"/>
    <s v=""/>
    <x v="1"/>
  </r>
  <r>
    <s v="TCK-22724"/>
    <d v="2026-07-16T05:34:00"/>
    <s v="Tier 2 Support"/>
    <x v="3"/>
    <x v="3"/>
    <x v="3"/>
    <x v="2"/>
    <x v="0"/>
    <n v="24"/>
    <x v="2"/>
    <d v="2026-07-17T02:28:00"/>
    <s v="No"/>
    <m/>
    <s v="Resolved On First Contact"/>
    <n v="20.900000000023283"/>
    <x v="1"/>
  </r>
  <r>
    <s v="TCK-20867"/>
    <d v="2026-07-05T10:02:00"/>
    <s v="Tier 1 Support"/>
    <x v="1"/>
    <x v="4"/>
    <x v="1"/>
    <x v="4"/>
    <x v="2"/>
    <n v="8"/>
    <x v="1"/>
    <s v="Missing Resolve Date"/>
    <s v="No"/>
    <m/>
    <s v="Escalated To Senior Agent"/>
    <s v=""/>
    <x v="1"/>
  </r>
  <r>
    <s v="TCK-22701"/>
    <d v="2026-04-28T14:32:00"/>
    <s v="Technical Support"/>
    <x v="4"/>
    <x v="5"/>
    <x v="2"/>
    <x v="5"/>
    <x v="0"/>
    <n v="24"/>
    <x v="0"/>
    <d v="2026-04-29T07:32:00"/>
    <s v="No"/>
    <n v="3"/>
    <s v="Customer Satisfied With Resolution"/>
    <n v="16.999999999883585"/>
    <x v="0"/>
  </r>
  <r>
    <s v="TCK-20404"/>
    <d v="2026-02-02T08:37:00"/>
    <s v="Tier 1 Support"/>
    <x v="7"/>
    <x v="1"/>
    <x v="2"/>
    <x v="1"/>
    <x v="1"/>
    <n v="48"/>
    <x v="0"/>
    <d v="2026-02-03T02:13:00"/>
    <s v="No"/>
    <m/>
    <s v="Escalated To Senior Agent"/>
    <n v="17.600000000093132"/>
    <x v="0"/>
  </r>
  <r>
    <s v="TCK-20165"/>
    <d v="2026-01-06T03:31:00"/>
    <s v="Tier 1 Support"/>
    <x v="1"/>
    <x v="1"/>
    <x v="2"/>
    <x v="2"/>
    <x v="3"/>
    <n v="4"/>
    <x v="0"/>
    <d v="2026-01-06T06:04:00"/>
    <s v="No"/>
    <n v="2"/>
    <s v="Not Specified"/>
    <n v="2.5500000001047738"/>
    <x v="0"/>
  </r>
  <r>
    <s v="TCK-21265"/>
    <d v="2026-02-17T23:46:00"/>
    <s v="Tier 2 Support"/>
    <x v="2"/>
    <x v="0"/>
    <x v="0"/>
    <x v="4"/>
    <x v="2"/>
    <n v="8"/>
    <x v="2"/>
    <d v="2026-02-18T17:18:00"/>
    <s v="No"/>
    <n v="4"/>
    <s v="Repeat Issue From Same Customer"/>
    <n v="17.53333333338378"/>
    <x v="1"/>
  </r>
  <r>
    <s v="TCK-22418"/>
    <d v="2026-07-09T16:31:00"/>
    <s v="Tier 1 Support"/>
    <x v="7"/>
    <x v="1"/>
    <x v="0"/>
    <x v="3"/>
    <x v="2"/>
    <n v="8"/>
    <x v="0"/>
    <d v="2026-07-10T01:36:00"/>
    <s v="No"/>
    <n v="4"/>
    <s v="Technical Issue Resolved Remotely"/>
    <n v="9.0833333332557231"/>
    <x v="2"/>
  </r>
  <r>
    <s v="TCK-21454"/>
    <d v="2026-05-28T21:26:00"/>
    <s v="Technical Support"/>
    <x v="4"/>
    <x v="4"/>
    <x v="0"/>
    <x v="5"/>
    <x v="1"/>
    <n v="48"/>
    <x v="2"/>
    <d v="2026-05-29T02:00:00"/>
    <s v="No"/>
    <n v="5"/>
    <s v="Required Follow-Up Call"/>
    <n v="4.5666666667093523"/>
    <x v="1"/>
  </r>
  <r>
    <s v="TCK-22377"/>
    <d v="2026-04-27T03:10:00"/>
    <s v="Tier 2 Support"/>
    <x v="3"/>
    <x v="1"/>
    <x v="2"/>
    <x v="3"/>
    <x v="2"/>
    <n v="8"/>
    <x v="5"/>
    <s v="Missing Resolve Date"/>
    <s v="No"/>
    <m/>
    <s v="Escalated To Senior Agent"/>
    <s v=""/>
    <x v="1"/>
  </r>
  <r>
    <s v="TCK-22416"/>
    <d v="2026-03-09T02:14:00"/>
    <s v="Tier 2 Support"/>
    <x v="2"/>
    <x v="0"/>
    <x v="0"/>
    <x v="4"/>
    <x v="1"/>
    <n v="48"/>
    <x v="2"/>
    <d v="2026-03-12T01:27:00"/>
    <s v="No"/>
    <n v="4"/>
    <s v="Customer Requested Refund"/>
    <n v="71.216666666732635"/>
    <x v="1"/>
  </r>
  <r>
    <s v="TCK-22912"/>
    <d v="2026-03-19T04:33:00"/>
    <s v="Technical Support"/>
    <x v="4"/>
    <x v="6"/>
    <x v="1"/>
    <x v="1"/>
    <x v="0"/>
    <n v="24"/>
    <x v="0"/>
    <d v="2026-03-19T06:43:00"/>
    <s v="No"/>
    <n v="4"/>
    <s v="Escalated To Senior Agent"/>
    <n v="2.1666666667442769"/>
    <x v="0"/>
  </r>
  <r>
    <s v="TCK-23126"/>
    <d v="2026-03-25T12:16:00"/>
    <s v="Billing Support"/>
    <x v="5"/>
    <x v="3"/>
    <x v="0"/>
    <x v="3"/>
    <x v="2"/>
    <n v="8"/>
    <x v="0"/>
    <d v="2026-03-25T22:57:00"/>
    <s v="No"/>
    <n v="1"/>
    <s v="Not Specified"/>
    <n v="10.683333333407063"/>
    <x v="2"/>
  </r>
  <r>
    <s v="TCK-20948"/>
    <d v="2026-08-15T00:21:00"/>
    <s v="Technical Support"/>
    <x v="4"/>
    <x v="4"/>
    <x v="1"/>
    <x v="5"/>
    <x v="3"/>
    <n v="4"/>
    <x v="2"/>
    <d v="2026-08-15T01:09:00"/>
    <s v="No"/>
    <n v="1"/>
    <s v="Customer Satisfied With Resolution"/>
    <n v="0.80000000016298145"/>
    <x v="1"/>
  </r>
  <r>
    <s v="TCK-22767"/>
    <d v="2026-07-06T14:56:00"/>
    <s v="Billing Support"/>
    <x v="0"/>
    <x v="0"/>
    <x v="0"/>
    <x v="4"/>
    <x v="0"/>
    <n v="24"/>
    <x v="0"/>
    <d v="2026-07-09T10:37:00"/>
    <s v="No"/>
    <n v="5"/>
    <s v="Customer Requested Refund"/>
    <n v="67.683333333407063"/>
    <x v="2"/>
  </r>
  <r>
    <s v="TCK-21865"/>
    <d v="2026-06-10T03:55:00"/>
    <s v="Technical Support"/>
    <x v="4"/>
    <x v="6"/>
    <x v="3"/>
    <x v="1"/>
    <x v="3"/>
    <n v="4"/>
    <x v="2"/>
    <d v="2026-06-10T06:54:00"/>
    <s v="No"/>
    <m/>
    <s v="Required Follow-Up Call"/>
    <n v="2.9833333332790062"/>
    <x v="1"/>
  </r>
  <r>
    <s v="TCK-20707"/>
    <d v="2026-03-28T19:12:00"/>
    <s v="Tier 2 Support"/>
    <x v="2"/>
    <x v="6"/>
    <x v="1"/>
    <x v="4"/>
    <x v="2"/>
    <n v="8"/>
    <x v="5"/>
    <s v="Missing Resolve Date"/>
    <s v="No"/>
    <m/>
    <s v="Escalated To Senior Agent"/>
    <s v=""/>
    <x v="1"/>
  </r>
  <r>
    <s v="TCK-20295"/>
    <d v="2026-03-09T03:06:00"/>
    <s v="Tier 2 Support"/>
    <x v="3"/>
    <x v="4"/>
    <x v="0"/>
    <x v="1"/>
    <x v="2"/>
    <n v="8"/>
    <x v="0"/>
    <d v="2026-03-09T05:40:00"/>
    <s v="No"/>
    <n v="4"/>
    <s v="Not Specified"/>
    <n v="2.5666666666511446"/>
    <x v="0"/>
  </r>
  <r>
    <s v="TCK-20192"/>
    <d v="2026-06-27T12:51:00"/>
    <s v="Tier 2 Support"/>
    <x v="2"/>
    <x v="3"/>
    <x v="3"/>
    <x v="3"/>
    <x v="2"/>
    <n v="8"/>
    <x v="0"/>
    <d v="2026-06-27T14:13:00"/>
    <s v="No"/>
    <n v="1"/>
    <s v="Customer Requested Refund"/>
    <n v="1.3666666667559184"/>
    <x v="0"/>
  </r>
  <r>
    <s v="TCK-20892"/>
    <d v="2026-08-17T20:25:00"/>
    <s v="Tier 2 Support"/>
    <x v="2"/>
    <x v="3"/>
    <x v="1"/>
    <x v="2"/>
    <x v="2"/>
    <n v="8"/>
    <x v="0"/>
    <d v="2026-08-17T21:16:00"/>
    <s v="No"/>
    <m/>
    <s v="Technical Issue Resolved Remotely"/>
    <n v="0.84999999997671694"/>
    <x v="0"/>
  </r>
  <r>
    <s v="TCK-20058"/>
    <d v="2026-08-07T12:45:00"/>
    <s v="Technical Support"/>
    <x v="6"/>
    <x v="4"/>
    <x v="1"/>
    <x v="0"/>
    <x v="2"/>
    <n v="8"/>
    <x v="3"/>
    <d v="2026-08-07T17:35:00"/>
    <s v="No"/>
    <m/>
    <s v="Resolved On First Contact"/>
    <n v="4.8333333333721384"/>
    <x v="1"/>
  </r>
  <r>
    <s v="TCK-21072"/>
    <d v="2026-06-11T11:46:00"/>
    <s v="Technical Support"/>
    <x v="4"/>
    <x v="0"/>
    <x v="3"/>
    <x v="4"/>
    <x v="1"/>
    <n v="48"/>
    <x v="0"/>
    <d v="2026-06-12T06:47:00"/>
    <s v="No"/>
    <n v="3"/>
    <s v="Repeat Issue From Same Customer"/>
    <n v="19.016666666662786"/>
    <x v="0"/>
  </r>
  <r>
    <s v="TCK-21850"/>
    <d v="2026-03-07T13:39:00"/>
    <s v="Technical Support"/>
    <x v="4"/>
    <x v="2"/>
    <x v="1"/>
    <x v="4"/>
    <x v="0"/>
    <n v="24"/>
    <x v="0"/>
    <d v="2026-03-09T10:08:00"/>
    <s v="No"/>
    <n v="5"/>
    <s v="Resolved On First Contact"/>
    <n v="44.483333333395422"/>
    <x v="2"/>
  </r>
  <r>
    <s v="TCK-22857"/>
    <d v="2026-01-12T16:05:00"/>
    <s v="Technical Support"/>
    <x v="4"/>
    <x v="2"/>
    <x v="2"/>
    <x v="3"/>
    <x v="1"/>
    <n v="48"/>
    <x v="2"/>
    <d v="2026-01-13T23:04:00"/>
    <s v="No"/>
    <n v="3"/>
    <s v="Escalated To Senior Agent"/>
    <n v="30.983333333220799"/>
    <x v="1"/>
  </r>
  <r>
    <s v="TCK-20946"/>
    <d v="2026-03-22T05:24:00"/>
    <s v="Tier 2 Support"/>
    <x v="3"/>
    <x v="2"/>
    <x v="2"/>
    <x v="2"/>
    <x v="0"/>
    <n v="24"/>
    <x v="2"/>
    <d v="2026-03-22T14:08:00"/>
    <s v="No"/>
    <m/>
    <s v="Escalated To Senior Agent"/>
    <n v="8.7333333333372138"/>
    <x v="1"/>
  </r>
  <r>
    <s v="TCK-21750"/>
    <d v="2026-04-28T11:24:00"/>
    <s v="Tier 1 Support"/>
    <x v="1"/>
    <x v="1"/>
    <x v="2"/>
    <x v="5"/>
    <x v="1"/>
    <n v="48"/>
    <x v="2"/>
    <d v="2026-04-30T00:45:00"/>
    <s v="No"/>
    <m/>
    <s v="Escalated To Senior Agent"/>
    <n v="37.350000000034925"/>
    <x v="1"/>
  </r>
  <r>
    <s v="TCK-20408"/>
    <d v="2026-08-15T05:39:00"/>
    <s v="Billing Support"/>
    <x v="5"/>
    <x v="0"/>
    <x v="1"/>
    <x v="2"/>
    <x v="3"/>
    <n v="4"/>
    <x v="0"/>
    <d v="2026-08-15T07:39:00"/>
    <s v="No"/>
    <n v="5"/>
    <s v="Resolved On First Contact"/>
    <n v="1.9999999998835847"/>
    <x v="0"/>
  </r>
  <r>
    <s v="TCK-22967"/>
    <d v="2026-02-25T08:51:00"/>
    <s v="Tier 1 Support"/>
    <x v="7"/>
    <x v="2"/>
    <x v="1"/>
    <x v="4"/>
    <x v="0"/>
    <n v="24"/>
    <x v="1"/>
    <s v="Missing Resolve Date"/>
    <s v="No"/>
    <m/>
    <s v="Not Specified"/>
    <s v=""/>
    <x v="1"/>
  </r>
  <r>
    <s v="TCK-21096"/>
    <d v="2026-01-02T20:16:00"/>
    <s v="Tier 1 Support"/>
    <x v="1"/>
    <x v="1"/>
    <x v="2"/>
    <x v="4"/>
    <x v="1"/>
    <n v="48"/>
    <x v="2"/>
    <d v="2026-01-03T02:33:00"/>
    <s v="No"/>
    <m/>
    <s v="Awaiting Customer Response"/>
    <n v="6.283333333209157"/>
    <x v="1"/>
  </r>
  <r>
    <s v="TCK-23118"/>
    <d v="2026-08-10T22:55:00"/>
    <s v="Tier 2 Support"/>
    <x v="3"/>
    <x v="4"/>
    <x v="3"/>
    <x v="3"/>
    <x v="2"/>
    <n v="8"/>
    <x v="1"/>
    <s v="Missing Resolve Date"/>
    <s v="No"/>
    <m/>
    <s v="Awaiting Customer Response"/>
    <s v=""/>
    <x v="1"/>
  </r>
  <r>
    <s v="TCK-21396"/>
    <d v="2026-05-21T00:49:00"/>
    <s v="Billing Support"/>
    <x v="5"/>
    <x v="5"/>
    <x v="3"/>
    <x v="5"/>
    <x v="2"/>
    <n v="8"/>
    <x v="0"/>
    <d v="2026-05-21T05:22:00"/>
    <s v="No"/>
    <m/>
    <s v="Awaiting Customer Response"/>
    <n v="4.5499999999883585"/>
    <x v="0"/>
  </r>
  <r>
    <s v="TCK-21900"/>
    <d v="2026-07-19T11:45:00"/>
    <s v="Tier 2 Support"/>
    <x v="2"/>
    <x v="2"/>
    <x v="0"/>
    <x v="0"/>
    <x v="0"/>
    <n v="24"/>
    <x v="4"/>
    <s v="Missing Resolve Date"/>
    <s v="Yes"/>
    <m/>
    <s v="Customer Requested Refund"/>
    <s v=""/>
    <x v="1"/>
  </r>
  <r>
    <s v="TCK-21208"/>
    <d v="2026-02-26T09:57:00"/>
    <s v="Technical Support"/>
    <x v="6"/>
    <x v="2"/>
    <x v="3"/>
    <x v="2"/>
    <x v="0"/>
    <n v="24"/>
    <x v="1"/>
    <s v="Missing Resolve Date"/>
    <s v="No"/>
    <m/>
    <s v="Required Follow-Up Call"/>
    <s v=""/>
    <x v="1"/>
  </r>
  <r>
    <s v="TCK-21715"/>
    <d v="2026-04-14T09:18:00"/>
    <s v="Tier 2 Support"/>
    <x v="3"/>
    <x v="2"/>
    <x v="2"/>
    <x v="3"/>
    <x v="2"/>
    <n v="8"/>
    <x v="0"/>
    <d v="2026-04-14T10:30:00"/>
    <s v="No"/>
    <n v="1"/>
    <s v="Technical Issue Resolved Remotely"/>
    <n v="1.2000000000698492"/>
    <x v="0"/>
  </r>
  <r>
    <s v="TCK-21963"/>
    <d v="2026-03-24T13:49:00"/>
    <s v="Tier 2 Support"/>
    <x v="3"/>
    <x v="3"/>
    <x v="1"/>
    <x v="0"/>
    <x v="2"/>
    <n v="8"/>
    <x v="0"/>
    <d v="2026-03-24T15:50:00"/>
    <s v="No"/>
    <n v="5"/>
    <s v="Required Follow-Up Call"/>
    <n v="2.0166666666045785"/>
    <x v="0"/>
  </r>
  <r>
    <s v="TCK-20287"/>
    <d v="2026-02-10T22:57:00"/>
    <s v="Technical Support"/>
    <x v="4"/>
    <x v="3"/>
    <x v="3"/>
    <x v="3"/>
    <x v="1"/>
    <n v="48"/>
    <x v="4"/>
    <s v="Missing Resolve Date"/>
    <s v="Yes"/>
    <m/>
    <s v="Customer Satisfied With Resolution"/>
    <s v=""/>
    <x v="1"/>
  </r>
  <r>
    <s v="TCK-20465"/>
    <d v="2026-08-16T04:48:00"/>
    <s v="Tier 1 Support"/>
    <x v="7"/>
    <x v="4"/>
    <x v="2"/>
    <x v="3"/>
    <x v="0"/>
    <n v="24"/>
    <x v="2"/>
    <d v="2026-08-16T19:41:00"/>
    <s v="No"/>
    <m/>
    <s v="Customer Requested Refund"/>
    <n v="14.883333333476912"/>
    <x v="1"/>
  </r>
  <r>
    <s v="TCK-22534"/>
    <d v="2026-07-23T13:18:00"/>
    <s v="Billing Support"/>
    <x v="0"/>
    <x v="2"/>
    <x v="1"/>
    <x v="0"/>
    <x v="2"/>
    <n v="8"/>
    <x v="0"/>
    <d v="2026-07-23T16:15:00"/>
    <s v="No"/>
    <m/>
    <s v="Not Specified"/>
    <n v="2.9500000000116415"/>
    <x v="0"/>
  </r>
  <r>
    <s v="TCK-21391"/>
    <d v="2026-03-11T03:01:00"/>
    <s v="Tier 1 Support"/>
    <x v="7"/>
    <x v="1"/>
    <x v="1"/>
    <x v="2"/>
    <x v="0"/>
    <n v="24"/>
    <x v="0"/>
    <d v="2026-03-11T17:22:00"/>
    <s v="Yes"/>
    <n v="1"/>
    <s v="Resolved On First Contact"/>
    <n v="14.349999999976717"/>
    <x v="0"/>
  </r>
  <r>
    <s v="TCK-22437"/>
    <d v="2026-03-01T12:49:00"/>
    <s v="Tier 2 Support"/>
    <x v="3"/>
    <x v="2"/>
    <x v="0"/>
    <x v="0"/>
    <x v="1"/>
    <n v="48"/>
    <x v="0"/>
    <d v="2026-03-01T18:46:00"/>
    <s v="No"/>
    <m/>
    <s v="Technical Issue Resolved Remotely"/>
    <n v="5.9500000000116415"/>
    <x v="0"/>
  </r>
  <r>
    <s v="TCK-22054"/>
    <d v="2026-06-29T14:26:00"/>
    <s v="Technical Support"/>
    <x v="6"/>
    <x v="4"/>
    <x v="1"/>
    <x v="5"/>
    <x v="2"/>
    <n v="8"/>
    <x v="2"/>
    <d v="2026-06-29T15:35:00"/>
    <s v="No"/>
    <n v="3"/>
    <s v="Technical Issue Resolved Remotely"/>
    <n v="1.1499999999068677"/>
    <x v="1"/>
  </r>
  <r>
    <s v="TCK-21645"/>
    <d v="2026-08-29T22:09:00"/>
    <s v="Tier 1 Support"/>
    <x v="7"/>
    <x v="5"/>
    <x v="1"/>
    <x v="0"/>
    <x v="2"/>
    <n v="8"/>
    <x v="4"/>
    <s v="Missing Resolve Date"/>
    <s v="Yes"/>
    <m/>
    <s v="Not Specified"/>
    <s v=""/>
    <x v="1"/>
  </r>
</pivotCacheRecords>
</file>

<file path=xl/pivotCache/pivotCacheRecords2.xml><?xml version="1.0" encoding="utf-8"?>
<pivotCacheRecords xmlns="http://schemas.openxmlformats.org/spreadsheetml/2006/main" xmlns:r="http://schemas.openxmlformats.org/officeDocument/2006/relationships" count="3200">
  <r>
    <s v="TCK-21324"/>
    <d v="2026-07-11T20:33:00"/>
    <x v="0"/>
    <s v="Rehan Qureshi"/>
    <s v="Lahore"/>
    <s v="Email"/>
    <s v="General Inquiry"/>
    <s v="Medium"/>
    <n v="24"/>
    <s v="Resolved"/>
    <d v="2026-07-11T21:20:00"/>
    <s v="No"/>
    <m/>
    <s v="Required Follow-Up Call"/>
    <n v="0.78333333344198763"/>
  </r>
  <r>
    <s v="TCK-20385"/>
    <d v="2026-04-16T15:15:00"/>
    <x v="1"/>
    <s v="Zara Hussain"/>
    <s v="Lahore"/>
    <s v="Email"/>
    <s v="Technical Issue"/>
    <s v="Low"/>
    <n v="48"/>
    <s v="Open"/>
    <s v="Missing Resolve Date"/>
    <s v="No"/>
    <m/>
    <s v="Escalated To Senior Agent"/>
    <s v=""/>
  </r>
  <r>
    <s v="TCK-21872"/>
    <d v="2026-04-20T10:52:00"/>
    <x v="1"/>
    <s v="Zara Hussain"/>
    <s v="Karachi"/>
    <s v="Chat"/>
    <s v="Billing Issue"/>
    <s v="Medium"/>
    <n v="24"/>
    <s v="Resolved"/>
    <d v="2026-04-20T18:31:00"/>
    <s v="No"/>
    <n v="4"/>
    <s v="Resolved On First Contact"/>
    <n v="7.6499999999650754"/>
  </r>
  <r>
    <s v="TCK-20146"/>
    <d v="2026-06-11T19:08:00"/>
    <x v="1"/>
    <s v="Zara Hussain"/>
    <s v="Peshawar"/>
    <s v="Portal"/>
    <s v="Billing Issue"/>
    <s v="Low"/>
    <n v="48"/>
    <s v="Closed"/>
    <d v="2026-06-12T22:25:00"/>
    <s v="No"/>
    <n v="3"/>
    <s v="Technical Issue Resolved Remotely"/>
    <n v="27.28333333338378"/>
  </r>
  <r>
    <s v="TCK-21894"/>
    <d v="2026-06-18T23:02:00"/>
    <x v="2"/>
    <s v="Mahnoor Aslam"/>
    <s v="Lahore"/>
    <s v="Portal"/>
    <s v="Billing Issue"/>
    <s v="Low"/>
    <n v="48"/>
    <s v="Re-Opened"/>
    <d v="2026-06-24T21:51:00"/>
    <s v="No"/>
    <m/>
    <s v="Customer Satisfied With Resolution"/>
    <n v="142.81666666665114"/>
  </r>
  <r>
    <s v="TCK-21895"/>
    <d v="2026-05-13T12:41:00"/>
    <x v="2"/>
    <s v="Bilal Chaudhry"/>
    <s v="Karachi"/>
    <s v="Chat"/>
    <s v="Billing Issue"/>
    <s v="Medium"/>
    <n v="24"/>
    <s v="Resolved"/>
    <d v="2026-05-15T05:27:00"/>
    <s v="No"/>
    <m/>
    <s v="Repeat Issue From Same Customer"/>
    <n v="40.766666666662786"/>
  </r>
  <r>
    <s v="TCK-20861"/>
    <d v="2026-05-24T03:57:00"/>
    <x v="3"/>
    <s v="Iqra Basit"/>
    <s v="Lahore"/>
    <s v="Phone"/>
    <s v="Technical Issue"/>
    <s v="Medium"/>
    <n v="24"/>
    <s v="Resolved"/>
    <d v="2026-05-25T09:12:00"/>
    <s v="No"/>
    <m/>
    <s v="Required Follow-Up Call"/>
    <n v="29.25"/>
  </r>
  <r>
    <s v="TCK-22644"/>
    <d v="2026-03-18T23:31:00"/>
    <x v="3"/>
    <s v="Iqra Basit"/>
    <s v="Karachi"/>
    <s v="Portal"/>
    <s v="General Inquiry"/>
    <s v="High"/>
    <n v="8"/>
    <s v="Closed"/>
    <d v="2026-03-19T03:11:00"/>
    <s v="No"/>
    <m/>
    <s v="Technical Issue Resolved Remotely"/>
    <n v="3.6666666667442769"/>
  </r>
  <r>
    <s v="TCK-23174"/>
    <d v="2026-02-08T09:40:00"/>
    <x v="2"/>
    <s v="Bilal Chaudhry"/>
    <s v="Islamabad"/>
    <s v="Phone"/>
    <s v="Technical Issue"/>
    <s v="Critical"/>
    <n v="4"/>
    <s v="Closed"/>
    <d v="2026-02-08T12:58:00"/>
    <s v="No"/>
    <n v="5"/>
    <s v="Customer Satisfied With Resolution"/>
    <n v="3.2999999999301508"/>
  </r>
  <r>
    <s v="TCK-22892"/>
    <d v="2026-05-17T10:11:00"/>
    <x v="0"/>
    <s v="Sadia Anwar"/>
    <s v="Faisalabad"/>
    <s v="Phone"/>
    <s v="Technical Issue"/>
    <s v="High"/>
    <n v="8"/>
    <s v="Resolved"/>
    <d v="2026-05-17T16:51:00"/>
    <s v="No"/>
    <m/>
    <s v="Not Specified"/>
    <n v="6.6666666665696539"/>
  </r>
  <r>
    <s v="TCK-22430"/>
    <d v="2026-06-03T17:25:00"/>
    <x v="3"/>
    <s v="Talha Nadeem"/>
    <s v="Multan"/>
    <s v="Portal"/>
    <s v="Account Access"/>
    <s v="Low"/>
    <n v="48"/>
    <s v="Escalated"/>
    <s v="Missing Resolve Date"/>
    <s v="Yes"/>
    <m/>
    <s v="Not Specified"/>
    <s v=""/>
  </r>
  <r>
    <s v="TCK-22748"/>
    <d v="2026-02-27T19:17:00"/>
    <x v="3"/>
    <s v="Talha Nadeem"/>
    <s v="Peshawar"/>
    <s v="Chat"/>
    <s v="Delivery Delay"/>
    <s v="Low"/>
    <n v="48"/>
    <s v="Escalated"/>
    <s v="Missing Resolve Date"/>
    <s v="Yes"/>
    <m/>
    <s v="Repeat Issue From Same Customer"/>
    <s v=""/>
  </r>
  <r>
    <s v="TCK-21997"/>
    <d v="2026-01-07T17:20:00"/>
    <x v="1"/>
    <s v="Ayaan Khalid"/>
    <s v="Karachi"/>
    <s v="Chat"/>
    <s v="Delivery Delay"/>
    <s v="Critical"/>
    <n v="4"/>
    <s v="Resolved"/>
    <d v="2026-01-07T18:59:00"/>
    <s v="No"/>
    <m/>
    <s v="Not Specified"/>
    <n v="1.6500000001396984"/>
  </r>
  <r>
    <s v="TCK-21076"/>
    <d v="2026-02-10T22:38:00"/>
    <x v="0"/>
    <s v="Sadia Anwar"/>
    <s v="Multan"/>
    <s v="Portal"/>
    <s v="General Inquiry"/>
    <s v="Medium"/>
    <n v="24"/>
    <s v="Resolved"/>
    <d v="2026-02-11T02:05:00"/>
    <s v="No"/>
    <n v="4"/>
    <s v="Technical Issue Resolved Remotely"/>
    <n v="3.4499999998952262"/>
  </r>
  <r>
    <s v="TCK-21836"/>
    <d v="2026-06-28T15:46:00"/>
    <x v="0"/>
    <s v="Sadia Anwar"/>
    <s v="Multan"/>
    <s v="Email"/>
    <s v="Refund Request"/>
    <s v="Low"/>
    <n v="48"/>
    <s v="Open"/>
    <s v="Missing Resolve Date"/>
    <s v="No"/>
    <m/>
    <s v="Repeat Issue From Same Customer"/>
    <s v=""/>
  </r>
  <r>
    <s v="TCK-20694"/>
    <d v="2026-04-11T16:39:00"/>
    <x v="2"/>
    <s v="Mahnoor Aslam"/>
    <s v="Lahore"/>
    <s v="Phone"/>
    <s v="General Inquiry"/>
    <s v="Critical"/>
    <n v="4"/>
    <s v="Resolved"/>
    <d v="2026-04-11T17:13:00"/>
    <s v="No"/>
    <n v="5"/>
    <s v="Resolved On First Contact"/>
    <n v="0.56666666676755995"/>
  </r>
  <r>
    <s v="TCK-21727"/>
    <d v="2026-06-20T02:24:00"/>
    <x v="1"/>
    <s v="Ayaan Khalid"/>
    <s v="Multan"/>
    <s v="Chat"/>
    <s v="Billing Issue"/>
    <s v="Critical"/>
    <n v="4"/>
    <s v="In Progress"/>
    <s v="Missing Resolve Date"/>
    <s v="No"/>
    <m/>
    <s v="Awaiting Customer Response"/>
    <s v=""/>
  </r>
  <r>
    <s v="TCK-22363"/>
    <d v="2026-07-09T12:04:00"/>
    <x v="0"/>
    <s v="Sadia Anwar"/>
    <s v="Karachi"/>
    <s v="Email"/>
    <s v="Refund Request"/>
    <s v="Medium"/>
    <n v="24"/>
    <s v="Resolved"/>
    <d v="2026-07-09T13:07:00"/>
    <s v="No"/>
    <m/>
    <s v="Customer Satisfied With Resolution"/>
    <n v="1.0499999999301508"/>
  </r>
  <r>
    <s v="TCK-21516"/>
    <d v="2026-03-26T14:31:00"/>
    <x v="3"/>
    <s v="Iqra Basit"/>
    <s v="Faisalabad"/>
    <s v="Phone"/>
    <s v="Delivery Delay"/>
    <s v="Low"/>
    <n v="48"/>
    <s v="Closed"/>
    <d v="2026-03-27T08:42:00"/>
    <s v="No"/>
    <n v="4"/>
    <s v="Customer Requested Refund"/>
    <n v="18.183333333407063"/>
  </r>
  <r>
    <s v="TCK-21810"/>
    <d v="2026-06-11T07:46:00"/>
    <x v="1"/>
    <s v="Zara Hussain"/>
    <s v="Peshawar"/>
    <s v="Portal"/>
    <s v="Delivery Delay"/>
    <s v="Medium"/>
    <n v="24"/>
    <s v="Resolved"/>
    <d v="2026-06-13T09:04:00"/>
    <s v="No"/>
    <n v="3"/>
    <s v="Customer Requested Refund"/>
    <n v="49.300000000046566"/>
  </r>
  <r>
    <s v="TCK-20701"/>
    <d v="2026-01-19T10:18:00"/>
    <x v="1"/>
    <s v="Zara Hussain"/>
    <s v="Islamabad"/>
    <s v="Phone"/>
    <s v="Billing Issue"/>
    <s v="Low"/>
    <n v="48"/>
    <s v="Closed"/>
    <d v="2026-01-22T09:44:00"/>
    <s v="No"/>
    <m/>
    <s v="Repeat Issue From Same Customer"/>
    <n v="71.43333333323244"/>
  </r>
  <r>
    <s v="TCK-21274"/>
    <d v="2026-07-03T16:18:00"/>
    <x v="3"/>
    <s v="Iqra Basit"/>
    <s v="Islamabad"/>
    <s v="Portal"/>
    <s v="Account Access"/>
    <s v="Medium"/>
    <n v="24"/>
    <s v="Closed"/>
    <d v="2026-07-03T23:20:00"/>
    <s v="No"/>
    <n v="4"/>
    <s v="Required Follow-Up Call"/>
    <n v="7.033333333209157"/>
  </r>
  <r>
    <s v="TCK-21771"/>
    <d v="2026-06-19T06:46:00"/>
    <x v="0"/>
    <s v="Sadia Anwar"/>
    <s v="Karachi"/>
    <s v="Email"/>
    <s v="Technical Issue"/>
    <s v="Low"/>
    <n v="48"/>
    <s v="Open"/>
    <s v="Missing Resolve Date"/>
    <s v="No"/>
    <m/>
    <s v="Awaiting Customer Response"/>
    <s v=""/>
  </r>
  <r>
    <s v="TCK-20578"/>
    <d v="2026-04-10T21:02:00"/>
    <x v="0"/>
    <s v="Rehan Qureshi"/>
    <s v="Rawalpindi"/>
    <s v="Chat"/>
    <s v="Account Access"/>
    <s v="Medium"/>
    <n v="24"/>
    <s v="In Progress"/>
    <s v="Missing Resolve Date"/>
    <s v="No"/>
    <m/>
    <s v="Awaiting Customer Response"/>
    <s v=""/>
  </r>
  <r>
    <s v="TCK-21957"/>
    <d v="2026-06-13T10:28:00"/>
    <x v="1"/>
    <s v="Ayaan Khalid"/>
    <s v="Karachi"/>
    <s v="Portal"/>
    <s v="Delivery Delay"/>
    <s v="High"/>
    <n v="8"/>
    <s v="Resolved"/>
    <d v="2026-06-13T13:24:00"/>
    <s v="No"/>
    <m/>
    <s v="Customer Satisfied With Resolution"/>
    <n v="2.9333333332906477"/>
  </r>
  <r>
    <s v="TCK-23150"/>
    <d v="2026-08-29T16:39:00"/>
    <x v="1"/>
    <s v="Zara Hussain"/>
    <s v="Rawalpindi"/>
    <s v="Email"/>
    <s v="Refund Request"/>
    <s v="Medium"/>
    <n v="24"/>
    <s v="In Progress"/>
    <s v="Missing Resolve Date"/>
    <s v="No"/>
    <m/>
    <s v="Customer Requested Refund"/>
    <s v=""/>
  </r>
  <r>
    <s v="TCK-21907"/>
    <d v="2026-08-14T20:10:00"/>
    <x v="3"/>
    <s v="Talha Nadeem"/>
    <s v="Islamabad"/>
    <s v="Email"/>
    <s v="Refund Request"/>
    <s v="Medium"/>
    <n v="24"/>
    <s v="Closed"/>
    <d v="2026-08-15T17:20:00"/>
    <s v="No"/>
    <n v="2"/>
    <s v="Not Specified"/>
    <n v="21.166666666511446"/>
  </r>
  <r>
    <s v="TCK-20794"/>
    <d v="2026-05-12T20:17:00"/>
    <x v="2"/>
    <s v="Mahnoor Aslam"/>
    <s v="Faisalabad"/>
    <s v="Portal"/>
    <s v="General Inquiry"/>
    <s v="Medium"/>
    <n v="24"/>
    <s v="Open"/>
    <s v="Missing Resolve Date"/>
    <s v="No"/>
    <m/>
    <s v="Repeat Issue From Same Customer"/>
    <s v=""/>
  </r>
  <r>
    <s v="TCK-20075"/>
    <d v="2026-08-30T15:37:00"/>
    <x v="2"/>
    <s v="Bilal Chaudhry"/>
    <s v="Multan"/>
    <s v="Chat"/>
    <s v="Delivery Delay"/>
    <s v="Medium"/>
    <n v="24"/>
    <s v="Resolved"/>
    <d v="2026-08-31T09:53:00"/>
    <s v="No"/>
    <n v="2"/>
    <s v="Not Specified"/>
    <n v="18.266666666837409"/>
  </r>
  <r>
    <s v="TCK-23081"/>
    <d v="2026-08-03T04:49:00"/>
    <x v="1"/>
    <s v="Ayaan Khalid"/>
    <s v="Rawalpindi"/>
    <s v="Portal"/>
    <s v="Account Access"/>
    <s v="Low"/>
    <n v="48"/>
    <s v="Resolved"/>
    <d v="2026-08-03T07:37:00"/>
    <s v="Yes"/>
    <n v="2"/>
    <s v="Customer Requested Refund"/>
    <n v="2.8000000000465661"/>
  </r>
  <r>
    <s v="TCK-21231"/>
    <d v="2026-08-24T22:45:00"/>
    <x v="2"/>
    <s v="Mahnoor Aslam"/>
    <s v="Lahore"/>
    <s v="Chat"/>
    <s v="Technical Issue"/>
    <s v="Low"/>
    <n v="48"/>
    <s v="Resolved"/>
    <d v="2026-08-27T06:00:00"/>
    <s v="No"/>
    <n v="3"/>
    <s v="Repeat Issue From Same Customer"/>
    <n v="55.250000000058208"/>
  </r>
  <r>
    <s v="TCK-22702"/>
    <d v="2026-07-09T07:18:00"/>
    <x v="0"/>
    <s v="Sadia Anwar"/>
    <s v="Peshawar"/>
    <s v="Portal"/>
    <s v="General Inquiry"/>
    <s v="Medium"/>
    <n v="24"/>
    <s v="Closed"/>
    <d v="2026-07-09T19:03:00"/>
    <s v="No"/>
    <m/>
    <s v="Repeat Issue From Same Customer"/>
    <n v="11.749999999883585"/>
  </r>
  <r>
    <s v="TCK-22931"/>
    <d v="2026-04-19T12:38:00"/>
    <x v="1"/>
    <s v="Zara Hussain"/>
    <s v="Faisalabad"/>
    <s v="Portal"/>
    <s v="Refund Request"/>
    <s v="Critical"/>
    <n v="4"/>
    <s v="Escalated"/>
    <s v="Missing Resolve Date"/>
    <s v="Yes"/>
    <m/>
    <s v="Customer Requested Refund"/>
    <s v=""/>
  </r>
  <r>
    <s v="TCK-21721"/>
    <d v="2026-08-07T16:42:00"/>
    <x v="0"/>
    <s v="Sadia Anwar"/>
    <s v="Faisalabad"/>
    <s v="Chat"/>
    <s v="Billing Issue"/>
    <s v="Low"/>
    <n v="48"/>
    <s v="Closed"/>
    <d v="2026-08-09T09:55:00"/>
    <s v="No"/>
    <n v="2"/>
    <s v="Technical Issue Resolved Remotely"/>
    <n v="41.216666666732635"/>
  </r>
  <r>
    <s v="TCK-20492"/>
    <d v="2026-02-04T03:25:00"/>
    <x v="0"/>
    <s v="Rehan Qureshi"/>
    <s v="Lahore"/>
    <s v="Phone"/>
    <s v="Account Access"/>
    <s v="Medium"/>
    <n v="24"/>
    <s v="Closed"/>
    <d v="2026-02-04T05:35:00"/>
    <s v="No"/>
    <n v="1"/>
    <s v="Customer Satisfied With Resolution"/>
    <n v="2.1666666667442769"/>
  </r>
  <r>
    <s v="TCK-21757"/>
    <d v="2026-01-21T18:20:00"/>
    <x v="2"/>
    <s v="Bilal Chaudhry"/>
    <s v="Lahore"/>
    <s v="Portal"/>
    <s v="Refund Request"/>
    <s v="Medium"/>
    <n v="24"/>
    <s v="Closed"/>
    <d v="2026-01-21T21:03:00"/>
    <s v="No"/>
    <n v="5"/>
    <s v="Not Specified"/>
    <n v="2.71666666661622"/>
  </r>
  <r>
    <s v="TCK-20017"/>
    <d v="2026-02-06T09:53:00"/>
    <x v="0"/>
    <s v="Rehan Qureshi"/>
    <s v="Peshawar"/>
    <s v="Email"/>
    <s v="Refund Request"/>
    <s v="Medium"/>
    <n v="24"/>
    <s v="Re-Opened"/>
    <s v="Missing Resolve Date"/>
    <s v="No"/>
    <m/>
    <s v="Not Specified"/>
    <s v=""/>
  </r>
  <r>
    <s v="TCK-22401"/>
    <d v="2026-06-06T01:56:00"/>
    <x v="0"/>
    <s v="Sadia Anwar"/>
    <s v="Faisalabad"/>
    <s v="Phone"/>
    <s v="General Inquiry"/>
    <s v="High"/>
    <n v="8"/>
    <s v="Closed"/>
    <d v="2026-06-06T07:22:00"/>
    <s v="No"/>
    <n v="1"/>
    <s v="Escalated To Senior Agent"/>
    <n v="5.4333333332324401"/>
  </r>
  <r>
    <s v="TCK-21540"/>
    <d v="2026-08-22T15:21:00"/>
    <x v="3"/>
    <s v="Iqra Basit"/>
    <s v="Multan"/>
    <s v="Portal"/>
    <s v="Technical Issue"/>
    <s v="Medium"/>
    <n v="24"/>
    <s v="Closed"/>
    <d v="2026-08-23T11:34:00"/>
    <s v="No"/>
    <n v="5"/>
    <s v="Required Follow-Up Call"/>
    <n v="20.216666666732635"/>
  </r>
  <r>
    <s v="TCK-22329"/>
    <d v="2026-08-23T19:12:00"/>
    <x v="0"/>
    <s v="Sadia Anwar"/>
    <s v="Rawalpindi"/>
    <s v="Email"/>
    <s v="Technical Issue"/>
    <s v="High"/>
    <n v="8"/>
    <s v="Escalated"/>
    <s v="Missing Resolve Date"/>
    <s v="Yes"/>
    <m/>
    <s v="Resolved On First Contact"/>
    <s v=""/>
  </r>
  <r>
    <s v="TCK-21158"/>
    <d v="2026-06-22T16:32:00"/>
    <x v="1"/>
    <s v="Ayaan Khalid"/>
    <s v="Faisalabad"/>
    <s v="Phone"/>
    <s v="Refund Request"/>
    <s v="Medium"/>
    <n v="24"/>
    <s v="Resolved"/>
    <d v="2026-06-25T01:19:00"/>
    <s v="No"/>
    <m/>
    <s v="Not Specified"/>
    <n v="56.783333333325572"/>
  </r>
  <r>
    <s v="TCK-21155"/>
    <d v="2026-03-05T10:02:00"/>
    <x v="1"/>
    <s v="Ayaan Khalid"/>
    <s v="Peshawar"/>
    <s v="Phone"/>
    <s v="Account Access"/>
    <s v="Critical"/>
    <n v="4"/>
    <s v="Escalated"/>
    <s v="Missing Resolve Date"/>
    <s v="Yes"/>
    <m/>
    <s v="Awaiting Customer Response"/>
    <s v=""/>
  </r>
  <r>
    <s v="TCK-22992"/>
    <d v="2026-05-22T15:45:00"/>
    <x v="1"/>
    <s v="Ayaan Khalid"/>
    <s v="Peshawar"/>
    <s v="Chat"/>
    <s v="Billing Issue"/>
    <s v="Medium"/>
    <n v="24"/>
    <s v="Closed"/>
    <d v="2026-05-23T10:55:00"/>
    <s v="No"/>
    <n v="3"/>
    <s v="Resolved On First Contact"/>
    <n v="19.166666666627862"/>
  </r>
  <r>
    <s v="TCK-22650"/>
    <d v="2026-05-07T05:25:00"/>
    <x v="1"/>
    <s v="Zara Hussain"/>
    <s v="Karachi"/>
    <s v="Phone"/>
    <s v="General Inquiry"/>
    <s v="Medium"/>
    <n v="24"/>
    <s v="Closed"/>
    <d v="2026-05-07T11:59:00"/>
    <s v="No"/>
    <n v="4"/>
    <s v="Customer Requested Refund"/>
    <n v="6.566666666592937"/>
  </r>
  <r>
    <s v="TCK-20156"/>
    <d v="2026-01-23T11:58:00"/>
    <x v="2"/>
    <s v="Bilal Chaudhry"/>
    <s v="Multan"/>
    <s v="Phone"/>
    <s v="Technical Issue"/>
    <s v="Low"/>
    <n v="48"/>
    <s v="Closed"/>
    <s v="Missing Resolve Date"/>
    <s v="No"/>
    <n v="4"/>
    <s v="Repeat Issue From Same Customer"/>
    <s v=""/>
  </r>
  <r>
    <s v="TCK-20299"/>
    <d v="2026-03-18T14:47:00"/>
    <x v="0"/>
    <s v="Sadia Anwar"/>
    <s v="Multan"/>
    <s v="Phone"/>
    <s v="Delivery Delay"/>
    <s v="Low"/>
    <n v="48"/>
    <s v="Resolved"/>
    <d v="2026-03-19T10:51:00"/>
    <s v="No"/>
    <m/>
    <s v="Awaiting Customer Response"/>
    <n v="20.066666666592937"/>
  </r>
  <r>
    <s v="TCK-22183"/>
    <d v="2026-03-05T06:37:00"/>
    <x v="1"/>
    <s v="Ayaan Khalid"/>
    <s v="Faisalabad"/>
    <s v="Email"/>
    <s v="Technical Issue"/>
    <s v="Low"/>
    <n v="48"/>
    <s v="Resolved"/>
    <d v="2026-03-06T18:45:00"/>
    <s v="No"/>
    <n v="5"/>
    <s v="Not Specified"/>
    <n v="36.133333333418705"/>
  </r>
  <r>
    <s v="TCK-20220"/>
    <d v="2026-08-17T04:35:00"/>
    <x v="1"/>
    <s v="Zara Hussain"/>
    <s v="Rawalpindi"/>
    <s v="Portal"/>
    <s v="Billing Issue"/>
    <s v="Critical"/>
    <n v="4"/>
    <s v="Resolved"/>
    <d v="2026-08-17T06:37:00"/>
    <s v="No"/>
    <m/>
    <s v="Required Follow-Up Call"/>
    <n v="2.0333333333255723"/>
  </r>
  <r>
    <s v="TCK-21063"/>
    <d v="2026-06-15T16:20:00"/>
    <x v="2"/>
    <s v="Mahnoor Aslam"/>
    <s v="Karachi"/>
    <s v="Email"/>
    <s v="Account Access"/>
    <s v="Medium"/>
    <n v="24"/>
    <s v="Resolved"/>
    <d v="2026-06-16T02:28:00"/>
    <s v="No"/>
    <n v="3"/>
    <s v="Required Follow-Up Call"/>
    <n v="10.133333333360497"/>
  </r>
  <r>
    <s v="TCK-20730"/>
    <d v="2026-05-11T18:16:00"/>
    <x v="0"/>
    <s v="Rehan Qureshi"/>
    <s v="Rawalpindi"/>
    <s v="Email"/>
    <s v="Refund Request"/>
    <s v="Low"/>
    <n v="48"/>
    <s v="In Progress"/>
    <s v="Missing Resolve Date"/>
    <s v="No"/>
    <m/>
    <s v="Customer Satisfied With Resolution"/>
    <s v=""/>
  </r>
  <r>
    <s v="TCK-20666"/>
    <d v="2026-06-26T02:48:00"/>
    <x v="1"/>
    <s v="Zara Hussain"/>
    <s v="Peshawar"/>
    <s v="Email"/>
    <s v="Account Access"/>
    <s v="Medium"/>
    <n v="24"/>
    <s v="Escalated"/>
    <s v="Missing Resolve Date"/>
    <s v="Yes"/>
    <m/>
    <s v="Resolved On First Contact"/>
    <s v=""/>
  </r>
  <r>
    <s v="TCK-22108"/>
    <d v="2026-08-14T17:14:00"/>
    <x v="3"/>
    <s v="Talha Nadeem"/>
    <s v="Islamabad"/>
    <s v="Chat"/>
    <s v="Billing Issue"/>
    <s v="Low"/>
    <n v="48"/>
    <s v="Resolved"/>
    <d v="2026-08-20T11:48:00"/>
    <s v="No"/>
    <n v="3"/>
    <s v="Customer Satisfied With Resolution"/>
    <n v="138.56666666676756"/>
  </r>
  <r>
    <s v="TCK-21363"/>
    <d v="2026-08-21T19:55:00"/>
    <x v="3"/>
    <s v="Iqra Basit"/>
    <s v="Rawalpindi"/>
    <s v="Portal"/>
    <s v="Delivery Delay"/>
    <s v="Medium"/>
    <n v="24"/>
    <s v="Escalated"/>
    <s v="Missing Resolve Date"/>
    <s v="Yes"/>
    <m/>
    <s v="Awaiting Customer Response"/>
    <s v=""/>
  </r>
  <r>
    <s v="TCK-20259"/>
    <d v="2026-04-20T18:07:00"/>
    <x v="0"/>
    <s v="Sadia Anwar"/>
    <s v="Faisalabad"/>
    <s v="Portal"/>
    <s v="Billing Issue"/>
    <s v="Medium"/>
    <n v="24"/>
    <s v="Resolved"/>
    <d v="2026-04-21T06:04:00"/>
    <s v="No"/>
    <n v="5"/>
    <s v="Customer Requested Refund"/>
    <n v="11.950000000011642"/>
  </r>
  <r>
    <s v="TCK-22524"/>
    <d v="2026-04-17T05:18:00"/>
    <x v="1"/>
    <s v="Zara Hussain"/>
    <s v="Lahore"/>
    <s v="Portal"/>
    <s v="General Inquiry"/>
    <s v="Low"/>
    <n v="48"/>
    <s v="Resolved"/>
    <d v="2026-04-22T20:45:00"/>
    <s v="Yes"/>
    <n v="5"/>
    <s v="Required Follow-Up Call"/>
    <n v="135.45000000006985"/>
  </r>
  <r>
    <s v="TCK-21355"/>
    <d v="2026-05-17T04:14:00"/>
    <x v="1"/>
    <s v="Ayaan Khalid"/>
    <s v="Lahore"/>
    <s v="Email"/>
    <s v="Refund Request"/>
    <s v="Medium"/>
    <n v="24"/>
    <s v="Closed"/>
    <d v="2026-05-17T20:18:00"/>
    <s v="No"/>
    <n v="3"/>
    <s v="Required Follow-Up Call"/>
    <n v="16.066666666651145"/>
  </r>
  <r>
    <s v="TCK-20032"/>
    <d v="2026-06-28T23:33:00"/>
    <x v="2"/>
    <s v="Mahnoor Aslam"/>
    <s v="Faisalabad"/>
    <s v="Portal"/>
    <s v="Technical Issue"/>
    <s v="Medium"/>
    <n v="24"/>
    <s v="Closed"/>
    <d v="2026-06-29T06:54:00"/>
    <s v="Yes"/>
    <m/>
    <s v="Repeat Issue From Same Customer"/>
    <n v="7.3500000000349246"/>
  </r>
  <r>
    <s v="TCK-20258"/>
    <d v="2026-07-17T13:28:00"/>
    <x v="0"/>
    <s v="Sadia Anwar"/>
    <s v="Faisalabad"/>
    <s v="Chat"/>
    <s v="Account Access"/>
    <s v="Medium"/>
    <n v="24"/>
    <s v="Resolved"/>
    <d v="2026-07-19T08:11:00"/>
    <s v="No"/>
    <n v="4"/>
    <s v="Awaiting Customer Response"/>
    <n v="42.716666666558012"/>
  </r>
  <r>
    <s v="TCK-21589"/>
    <d v="2026-03-18T13:33:00"/>
    <x v="1"/>
    <s v="Zara Hussain"/>
    <s v="Faisalabad"/>
    <s v="Chat"/>
    <s v="General Inquiry"/>
    <s v="High"/>
    <n v="8"/>
    <s v="Resolved"/>
    <d v="2026-03-19T09:40:00"/>
    <s v="No"/>
    <n v="3"/>
    <s v="Customer Satisfied With Resolution"/>
    <n v="20.116666666755918"/>
  </r>
  <r>
    <s v="TCK-22688"/>
    <d v="2026-01-25T08:01:00"/>
    <x v="2"/>
    <s v="Mahnoor Aslam"/>
    <s v="Islamabad"/>
    <s v="Chat"/>
    <s v="Delivery Delay"/>
    <s v="Low"/>
    <n v="48"/>
    <s v="Resolved"/>
    <d v="2026-01-27T02:58:00"/>
    <s v="No"/>
    <n v="3"/>
    <s v="Not Specified"/>
    <n v="42.950000000128057"/>
  </r>
  <r>
    <s v="TCK-21585"/>
    <d v="2026-05-12T13:37:00"/>
    <x v="1"/>
    <s v="Zara Hussain"/>
    <s v="Peshawar"/>
    <s v="Email"/>
    <s v="General Inquiry"/>
    <s v="Medium"/>
    <n v="24"/>
    <s v="Resolved"/>
    <d v="2026-05-12T20:47:00"/>
    <s v="No"/>
    <m/>
    <s v="Required Follow-Up Call"/>
    <n v="7.1666666666278616"/>
  </r>
  <r>
    <s v="TCK-21915"/>
    <d v="2026-07-25T00:16:00"/>
    <x v="0"/>
    <s v="Sadia Anwar"/>
    <s v="Faisalabad"/>
    <s v="Chat"/>
    <s v="Technical Issue"/>
    <s v="Medium"/>
    <n v="24"/>
    <s v="Open"/>
    <s v="Missing Resolve Date"/>
    <s v="No"/>
    <m/>
    <s v="Awaiting Customer Response"/>
    <s v=""/>
  </r>
  <r>
    <s v="TCK-22801"/>
    <d v="2026-01-18T17:29:00"/>
    <x v="1"/>
    <s v="Zara Hussain"/>
    <s v="Islamabad"/>
    <s v="Email"/>
    <s v="General Inquiry"/>
    <s v="Medium"/>
    <n v="24"/>
    <s v="Resolved"/>
    <d v="2026-01-19T22:57:00"/>
    <s v="No"/>
    <n v="1"/>
    <s v="Not Specified"/>
    <n v="29.466666666674428"/>
  </r>
  <r>
    <s v="TCK-20702"/>
    <d v="2026-02-06T02:42:00"/>
    <x v="3"/>
    <s v="Iqra Basit"/>
    <s v="Islamabad"/>
    <s v="Phone"/>
    <s v="Account Access"/>
    <s v="High"/>
    <n v="8"/>
    <s v="Resolved"/>
    <d v="2026-02-06T19:25:00"/>
    <s v="No"/>
    <m/>
    <s v="Escalated To Senior Agent"/>
    <n v="16.716666666674428"/>
  </r>
  <r>
    <s v="TCK-21904"/>
    <d v="2026-01-22T20:55:00"/>
    <x v="0"/>
    <s v="Sadia Anwar"/>
    <s v="Multan"/>
    <s v="Phone"/>
    <s v="Delivery Delay"/>
    <s v="High"/>
    <n v="8"/>
    <s v="Resolved"/>
    <d v="2026-01-23T06:25:00"/>
    <s v="No"/>
    <n v="4"/>
    <s v="Customer Requested Refund"/>
    <n v="9.4999999998835847"/>
  </r>
  <r>
    <s v="TCK-21243"/>
    <d v="2026-01-29T09:26:00"/>
    <x v="0"/>
    <s v="Sadia Anwar"/>
    <s v="Multan"/>
    <s v="Email"/>
    <s v="General Inquiry"/>
    <s v="Low"/>
    <n v="48"/>
    <s v="Closed"/>
    <d v="2026-01-31T03:36:00"/>
    <s v="No"/>
    <m/>
    <s v="Escalated To Senior Agent"/>
    <n v="42.166666666686069"/>
  </r>
  <r>
    <s v="TCK-21663"/>
    <d v="2026-03-01T11:10:00"/>
    <x v="2"/>
    <s v="Bilal Chaudhry"/>
    <s v="Multan"/>
    <s v="Email"/>
    <s v="Technical Issue"/>
    <s v="Medium"/>
    <n v="24"/>
    <s v="Closed"/>
    <d v="2026-03-01T21:43:00"/>
    <s v="No"/>
    <n v="2"/>
    <s v="Not Specified"/>
    <n v="10.549999999988358"/>
  </r>
  <r>
    <s v="TCK-21581"/>
    <d v="2026-08-04T05:33:00"/>
    <x v="1"/>
    <s v="Zara Hussain"/>
    <s v="Multan"/>
    <s v="Chat"/>
    <s v="Delivery Delay"/>
    <s v="High"/>
    <n v="8"/>
    <s v="In Progress"/>
    <s v="Missing Resolve Date"/>
    <s v="No"/>
    <m/>
    <s v="Awaiting Customer Response"/>
    <s v=""/>
  </r>
  <r>
    <s v="TCK-20188"/>
    <d v="2026-06-06T14:44:00"/>
    <x v="3"/>
    <s v="Iqra Basit"/>
    <s v="Rawalpindi"/>
    <s v="Email"/>
    <s v="Technical Issue"/>
    <s v="Medium"/>
    <n v="24"/>
    <s v="Resolved"/>
    <d v="2026-06-06T18:27:00"/>
    <s v="No"/>
    <n v="4"/>
    <s v="Escalated To Senior Agent"/>
    <n v="3.7166666667326353"/>
  </r>
  <r>
    <s v="TCK-20601"/>
    <d v="2026-01-22T02:30:00"/>
    <x v="3"/>
    <s v="Talha Nadeem"/>
    <s v="Multan"/>
    <s v="Chat"/>
    <s v="Delivery Delay"/>
    <s v="Critical"/>
    <n v="4"/>
    <s v="Open"/>
    <s v="Missing Resolve Date"/>
    <s v="No"/>
    <m/>
    <s v="Customer Satisfied With Resolution"/>
    <s v=""/>
  </r>
  <r>
    <s v="TCK-21846"/>
    <d v="2026-01-17T03:45:00"/>
    <x v="2"/>
    <s v="Mahnoor Aslam"/>
    <s v="Faisalabad"/>
    <s v="Email"/>
    <s v="Technical Issue"/>
    <s v="Low"/>
    <n v="48"/>
    <s v="Escalated"/>
    <s v="Missing Resolve Date"/>
    <s v="Yes"/>
    <m/>
    <s v="Not Specified"/>
    <s v=""/>
  </r>
  <r>
    <s v="TCK-21269"/>
    <d v="2026-05-02T15:51:00"/>
    <x v="2"/>
    <s v="Mahnoor Aslam"/>
    <s v="Lahore"/>
    <s v="Chat"/>
    <s v="Delivery Delay"/>
    <s v="Medium"/>
    <n v="24"/>
    <s v="Resolved"/>
    <d v="2026-05-05T13:57:00"/>
    <s v="No"/>
    <n v="2"/>
    <s v="Repeat Issue From Same Customer"/>
    <n v="70.100000000093132"/>
  </r>
  <r>
    <s v="TCK-21942"/>
    <d v="2026-05-21T14:47:00"/>
    <x v="3"/>
    <s v="Talha Nadeem"/>
    <s v="Karachi"/>
    <s v="Email"/>
    <s v="General Inquiry"/>
    <s v="Critical"/>
    <n v="4"/>
    <s v="Resolved"/>
    <s v="Missing Resolve Date"/>
    <s v="No"/>
    <n v="1"/>
    <s v="Escalated To Senior Agent"/>
    <s v=""/>
  </r>
  <r>
    <s v="TCK-20297"/>
    <d v="2026-07-18T05:10:00"/>
    <x v="1"/>
    <s v="Ayaan Khalid"/>
    <s v="Islamabad"/>
    <s v="Chat"/>
    <s v="Delivery Delay"/>
    <s v="Low"/>
    <n v="48"/>
    <s v="Resolved"/>
    <d v="2026-07-19T19:03:00"/>
    <s v="No"/>
    <m/>
    <s v="Escalated To Senior Agent"/>
    <n v="37.883333333185874"/>
  </r>
  <r>
    <s v="TCK-21917"/>
    <d v="2026-03-02T22:17:00"/>
    <x v="0"/>
    <s v="Rehan Qureshi"/>
    <s v="Peshawar"/>
    <s v="Portal"/>
    <s v="Billing Issue"/>
    <s v="Medium"/>
    <n v="24"/>
    <s v="Closed"/>
    <d v="2026-03-05T02:15:00"/>
    <s v="Yes"/>
    <m/>
    <s v="Awaiting Customer Response"/>
    <n v="51.966666666674428"/>
  </r>
  <r>
    <s v="TCK-20028"/>
    <d v="2026-05-24T09:14:00"/>
    <x v="3"/>
    <s v="Talha Nadeem"/>
    <s v="Multan"/>
    <s v="Portal"/>
    <s v="Billing Issue"/>
    <s v="High"/>
    <n v="8"/>
    <s v="Resolved"/>
    <d v="2026-05-25T06:45:00"/>
    <s v="No"/>
    <m/>
    <s v="Required Follow-Up Call"/>
    <n v="21.516666666604578"/>
  </r>
  <r>
    <s v="TCK-22736"/>
    <d v="2026-02-10T11:17:00"/>
    <x v="2"/>
    <s v="Bilal Chaudhry"/>
    <s v="Islamabad"/>
    <s v="Phone"/>
    <s v="General Inquiry"/>
    <s v="Low"/>
    <n v="48"/>
    <s v="Resolved"/>
    <d v="2026-02-11T00:39:00"/>
    <s v="No"/>
    <n v="5"/>
    <s v="Customer Satisfied With Resolution"/>
    <n v="13.366666666755918"/>
  </r>
  <r>
    <s v="TCK-21972"/>
    <d v="2026-07-12T10:46:00"/>
    <x v="3"/>
    <s v="Iqra Basit"/>
    <s v="Peshawar"/>
    <s v="Email"/>
    <s v="Account Access"/>
    <s v="High"/>
    <n v="8"/>
    <s v="Closed"/>
    <d v="2026-07-12T12:20:00"/>
    <s v="No"/>
    <n v="4"/>
    <s v="Escalated To Senior Agent"/>
    <n v="1.5666666667093523"/>
  </r>
  <r>
    <s v="TCK-20494"/>
    <d v="2026-06-12T01:11:00"/>
    <x v="2"/>
    <s v="Mahnoor Aslam"/>
    <s v="Karachi"/>
    <s v="Phone"/>
    <s v="Delivery Delay"/>
    <s v="Low"/>
    <n v="48"/>
    <s v="Escalated"/>
    <s v="Missing Resolve Date"/>
    <s v="Yes"/>
    <m/>
    <s v="Not Specified"/>
    <s v=""/>
  </r>
  <r>
    <s v="TCK-22468"/>
    <d v="2026-03-27T19:26:00"/>
    <x v="0"/>
    <s v="Rehan Qureshi"/>
    <s v="Karachi"/>
    <s v="Chat"/>
    <s v="General Inquiry"/>
    <s v="Medium"/>
    <n v="24"/>
    <s v="Resolved"/>
    <d v="2026-03-27T20:58:00"/>
    <s v="No"/>
    <m/>
    <s v="Required Follow-Up Call"/>
    <n v="1.5333333334419876"/>
  </r>
  <r>
    <s v="TCK-20324"/>
    <d v="2026-04-01T22:54:00"/>
    <x v="1"/>
    <s v="Zara Hussain"/>
    <s v="Multan"/>
    <s v="Phone"/>
    <s v="Refund Request"/>
    <s v="Low"/>
    <n v="48"/>
    <s v="Re-Opened"/>
    <d v="2026-04-02T09:38:00"/>
    <s v="No"/>
    <m/>
    <s v="Escalated To Senior Agent"/>
    <n v="10.733333333220799"/>
  </r>
  <r>
    <s v="TCK-20960"/>
    <d v="2026-08-28T13:01:00"/>
    <x v="0"/>
    <s v="Sadia Anwar"/>
    <s v="Peshawar"/>
    <s v="Phone"/>
    <s v="Refund Request"/>
    <s v="Low"/>
    <n v="48"/>
    <s v="Closed"/>
    <d v="2026-08-30T01:11:00"/>
    <s v="No"/>
    <m/>
    <s v="Customer Requested Refund"/>
    <n v="36.166666666686069"/>
  </r>
  <r>
    <s v="TCK-23051"/>
    <d v="2026-08-26T23:29:00"/>
    <x v="3"/>
    <s v="Iqra Basit"/>
    <s v="Lahore"/>
    <s v="Phone"/>
    <s v="General Inquiry"/>
    <s v="Low"/>
    <n v="48"/>
    <s v="In Progress"/>
    <s v="Missing Resolve Date"/>
    <s v="No"/>
    <m/>
    <s v="Not Specified"/>
    <s v=""/>
  </r>
  <r>
    <s v="TCK-21759"/>
    <d v="2026-05-21T17:42:00"/>
    <x v="2"/>
    <s v="Bilal Chaudhry"/>
    <s v="Karachi"/>
    <s v="Chat"/>
    <s v="Account Access"/>
    <s v="Medium"/>
    <n v="24"/>
    <s v="Re-Opened"/>
    <d v="2026-05-22T11:09:00"/>
    <s v="No"/>
    <m/>
    <s v="Not Specified"/>
    <n v="17.449999999953434"/>
  </r>
  <r>
    <s v="TCK-20412"/>
    <d v="2026-05-11T04:37:00"/>
    <x v="2"/>
    <s v="Mahnoor Aslam"/>
    <s v="Faisalabad"/>
    <s v="Chat"/>
    <s v="Technical Issue"/>
    <s v="Low"/>
    <n v="48"/>
    <s v="Closed"/>
    <d v="2026-05-12T12:27:00"/>
    <s v="No"/>
    <n v="4"/>
    <s v="Customer Requested Refund"/>
    <n v="31.833333333372138"/>
  </r>
  <r>
    <s v="TCK-21290"/>
    <d v="2026-01-31T22:36:00"/>
    <x v="0"/>
    <s v="Sadia Anwar"/>
    <s v="Islamabad"/>
    <s v="Phone"/>
    <s v="Technical Issue"/>
    <s v="Critical"/>
    <n v="4"/>
    <s v="Resolved"/>
    <d v="2026-02-01T05:53:00"/>
    <s v="No"/>
    <n v="1"/>
    <s v="Technical Issue Resolved Remotely"/>
    <n v="7.2833333333255723"/>
  </r>
  <r>
    <s v="TCK-22608"/>
    <d v="2026-06-06T04:59:00"/>
    <x v="0"/>
    <s v="Rehan Qureshi"/>
    <s v="Islamabad"/>
    <s v="Phone"/>
    <s v="Technical Issue"/>
    <s v="Critical"/>
    <n v="4"/>
    <s v="Open"/>
    <s v="Missing Resolve Date"/>
    <s v="No"/>
    <m/>
    <s v="Awaiting Customer Response"/>
    <s v=""/>
  </r>
  <r>
    <s v="TCK-22941"/>
    <d v="2026-06-28T13:46:00"/>
    <x v="1"/>
    <s v="Ayaan Khalid"/>
    <s v="Islamabad"/>
    <s v="Email"/>
    <s v="Refund Request"/>
    <s v="Medium"/>
    <n v="24"/>
    <s v="Open"/>
    <s v="Missing Resolve Date"/>
    <s v="No"/>
    <m/>
    <s v="Not Specified"/>
    <s v=""/>
  </r>
  <r>
    <s v="TCK-21910"/>
    <d v="2026-02-21T12:03:00"/>
    <x v="0"/>
    <s v="Sadia Anwar"/>
    <s v="Multan"/>
    <s v="Portal"/>
    <s v="Billing Issue"/>
    <s v="High"/>
    <n v="8"/>
    <s v="Closed"/>
    <d v="2026-02-21T16:19:00"/>
    <s v="No"/>
    <m/>
    <s v="Not Specified"/>
    <n v="4.2666666666045785"/>
  </r>
  <r>
    <s v="TCK-21175"/>
    <d v="2026-02-02T21:56:00"/>
    <x v="1"/>
    <s v="Ayaan Khalid"/>
    <s v="Multan"/>
    <s v="Portal"/>
    <s v="Account Access"/>
    <s v="Low"/>
    <n v="48"/>
    <s v="In Progress"/>
    <s v="Missing Resolve Date"/>
    <s v="No"/>
    <m/>
    <s v="Repeat Issue From Same Customer"/>
    <s v=""/>
  </r>
  <r>
    <s v="TCK-22414"/>
    <d v="2026-03-20T10:16:00"/>
    <x v="2"/>
    <s v="Mahnoor Aslam"/>
    <s v="Karachi"/>
    <s v="Phone"/>
    <s v="Delivery Delay"/>
    <s v="Medium"/>
    <n v="24"/>
    <s v="Resolved"/>
    <d v="2026-03-21T06:31:00"/>
    <s v="No"/>
    <n v="5"/>
    <s v="Customer Requested Refund"/>
    <n v="20.25"/>
  </r>
  <r>
    <s v="TCK-20128"/>
    <d v="2026-03-06T16:51:00"/>
    <x v="2"/>
    <s v="Mahnoor Aslam"/>
    <s v="Lahore"/>
    <s v="Email"/>
    <s v="Refund Request"/>
    <s v="Low"/>
    <n v="48"/>
    <s v="Closed"/>
    <d v="2026-03-12T09:24:00"/>
    <s v="No"/>
    <n v="4"/>
    <s v="Required Follow-Up Call"/>
    <n v="136.55000000016298"/>
  </r>
  <r>
    <s v="TCK-20760"/>
    <d v="2026-05-27T02:38:00"/>
    <x v="0"/>
    <s v="Rehan Qureshi"/>
    <s v="Multan"/>
    <s v="Phone"/>
    <s v="General Inquiry"/>
    <s v="High"/>
    <n v="8"/>
    <s v="Resolved"/>
    <d v="2026-05-27T05:29:00"/>
    <s v="No"/>
    <n v="3"/>
    <s v="Required Follow-Up Call"/>
    <n v="2.8500000000349246"/>
  </r>
  <r>
    <s v="TCK-21030"/>
    <d v="2026-06-09T16:14:00"/>
    <x v="1"/>
    <s v="Ayaan Khalid"/>
    <s v="Karachi"/>
    <s v="Portal"/>
    <s v="General Inquiry"/>
    <s v="High"/>
    <n v="8"/>
    <s v="Resolved"/>
    <d v="2026-06-09T23:09:00"/>
    <s v="No"/>
    <n v="4"/>
    <s v="Required Follow-Up Call"/>
    <n v="6.9166666666860692"/>
  </r>
  <r>
    <s v="TCK-21746"/>
    <d v="2026-02-13T10:07:00"/>
    <x v="0"/>
    <s v="Sadia Anwar"/>
    <s v="Peshawar"/>
    <s v="Phone"/>
    <s v="General Inquiry"/>
    <s v="High"/>
    <n v="8"/>
    <s v="Closed"/>
    <d v="2026-02-13T13:50:00"/>
    <s v="No"/>
    <n v="2"/>
    <s v="Customer Satisfied With Resolution"/>
    <n v="3.7166666667326353"/>
  </r>
  <r>
    <s v="TCK-21513"/>
    <d v="2026-02-15T17:50:00"/>
    <x v="0"/>
    <s v="Sadia Anwar"/>
    <s v="Rawalpindi"/>
    <s v="Portal"/>
    <s v="Billing Issue"/>
    <s v="Medium"/>
    <n v="24"/>
    <s v="Resolved"/>
    <d v="2026-02-17T06:58:00"/>
    <s v="No"/>
    <m/>
    <s v="Not Specified"/>
    <n v="37.133333333360497"/>
  </r>
  <r>
    <s v="TCK-20261"/>
    <d v="2026-01-22T15:49:00"/>
    <x v="0"/>
    <s v="Rehan Qureshi"/>
    <s v="Karachi"/>
    <s v="Chat"/>
    <s v="Delivery Delay"/>
    <s v="Medium"/>
    <n v="24"/>
    <s v="Resolved"/>
    <s v="Missing Resolve Date"/>
    <s v="No"/>
    <m/>
    <s v="Escalated To Senior Agent"/>
    <s v=""/>
  </r>
  <r>
    <s v="TCK-21176"/>
    <d v="2026-08-13T01:03:00"/>
    <x v="1"/>
    <s v="Zara Hussain"/>
    <s v="Rawalpindi"/>
    <s v="Email"/>
    <s v="Technical Issue"/>
    <s v="Low"/>
    <n v="48"/>
    <s v="Escalated"/>
    <s v="Missing Resolve Date"/>
    <s v="Yes"/>
    <m/>
    <s v="Not Specified"/>
    <s v=""/>
  </r>
  <r>
    <s v="TCK-21999"/>
    <d v="2026-06-12T22:21:00"/>
    <x v="2"/>
    <s v="Bilal Chaudhry"/>
    <s v="Multan"/>
    <s v="Email"/>
    <s v="Technical Issue"/>
    <s v="High"/>
    <n v="8"/>
    <s v="Closed"/>
    <d v="2026-06-13T17:34:00"/>
    <s v="No"/>
    <n v="2"/>
    <s v="Not Specified"/>
    <n v="19.21666666661622"/>
  </r>
  <r>
    <s v="TCK-20389"/>
    <d v="2026-01-25T14:13:00"/>
    <x v="0"/>
    <s v="Sadia Anwar"/>
    <s v="Peshawar"/>
    <s v="Phone"/>
    <s v="Delivery Delay"/>
    <s v="High"/>
    <n v="8"/>
    <s v="Re-Opened"/>
    <d v="2026-01-25T17:36:00"/>
    <s v="No"/>
    <m/>
    <s v="Technical Issue Resolved Remotely"/>
    <n v="3.3833333331858739"/>
  </r>
  <r>
    <s v="TCK-22553"/>
    <d v="2026-04-16T16:06:00"/>
    <x v="1"/>
    <s v="Zara Hussain"/>
    <s v="Lahore"/>
    <s v="Email"/>
    <s v="Delivery Delay"/>
    <s v="Medium"/>
    <n v="24"/>
    <s v="In Progress"/>
    <s v="Missing Resolve Date"/>
    <s v="No"/>
    <m/>
    <s v="Not Specified"/>
    <s v=""/>
  </r>
  <r>
    <s v="TCK-20728"/>
    <d v="2026-03-23T05:36:00"/>
    <x v="3"/>
    <s v="Iqra Basit"/>
    <s v="Karachi"/>
    <s v="Email"/>
    <s v="General Inquiry"/>
    <s v="Critical"/>
    <n v="4"/>
    <s v="Resolved"/>
    <d v="2026-03-23T06:37:00"/>
    <s v="No"/>
    <m/>
    <s v="Escalated To Senior Agent"/>
    <n v="1.0166666666627862"/>
  </r>
  <r>
    <s v="TCK-21321"/>
    <d v="2026-04-27T13:02:00"/>
    <x v="1"/>
    <s v="Ayaan Khalid"/>
    <s v="Karachi"/>
    <s v="Portal"/>
    <s v="Technical Issue"/>
    <s v="Low"/>
    <n v="48"/>
    <s v="Escalated"/>
    <s v="Missing Resolve Date"/>
    <s v="Yes"/>
    <m/>
    <s v="Not Specified"/>
    <s v=""/>
  </r>
  <r>
    <s v="TCK-22271"/>
    <d v="2026-02-28T19:13:00"/>
    <x v="3"/>
    <s v="Talha Nadeem"/>
    <s v="Lahore"/>
    <s v="Email"/>
    <s v="General Inquiry"/>
    <s v="Low"/>
    <n v="48"/>
    <s v="Open"/>
    <s v="Missing Resolve Date"/>
    <s v="No"/>
    <m/>
    <s v="Required Follow-Up Call"/>
    <s v=""/>
  </r>
  <r>
    <s v="TCK-21127"/>
    <d v="2026-05-23T12:04:00"/>
    <x v="2"/>
    <s v="Bilal Chaudhry"/>
    <s v="Lahore"/>
    <s v="Email"/>
    <s v="Refund Request"/>
    <s v="High"/>
    <n v="8"/>
    <s v="Open"/>
    <s v="Missing Resolve Date"/>
    <s v="No"/>
    <m/>
    <s v="Customer Satisfied With Resolution"/>
    <s v=""/>
  </r>
  <r>
    <s v="TCK-21173"/>
    <d v="2026-04-19T12:49:00"/>
    <x v="3"/>
    <s v="Talha Nadeem"/>
    <s v="Rawalpindi"/>
    <s v="Email"/>
    <s v="Delivery Delay"/>
    <s v="Medium"/>
    <n v="24"/>
    <s v="Escalated"/>
    <s v="Missing Resolve Date"/>
    <s v="Yes"/>
    <m/>
    <s v="Technical Issue Resolved Remotely"/>
    <s v=""/>
  </r>
  <r>
    <s v="TCK-20149"/>
    <d v="2026-08-30T01:08:00"/>
    <x v="2"/>
    <s v="Mahnoor Aslam"/>
    <s v="Faisalabad"/>
    <s v="Portal"/>
    <s v="General Inquiry"/>
    <s v="Medium"/>
    <n v="24"/>
    <s v="Closed"/>
    <d v="2026-08-30T03:51:00"/>
    <s v="No"/>
    <n v="2"/>
    <s v="Not Specified"/>
    <n v="2.71666666661622"/>
  </r>
  <r>
    <s v="TCK-20084"/>
    <d v="2026-08-24T07:13:00"/>
    <x v="2"/>
    <s v="Mahnoor Aslam"/>
    <s v="Rawalpindi"/>
    <s v="Email"/>
    <s v="Technical Issue"/>
    <s v="High"/>
    <n v="8"/>
    <s v="Escalated"/>
    <s v="Missing Resolve Date"/>
    <s v="Yes"/>
    <m/>
    <s v="Customer Satisfied With Resolution"/>
    <s v=""/>
  </r>
  <r>
    <s v="TCK-23093"/>
    <d v="2026-04-02T06:08:00"/>
    <x v="1"/>
    <s v="Zara Hussain"/>
    <s v="Karachi"/>
    <s v="Chat"/>
    <s v="Refund Request"/>
    <s v="Low"/>
    <n v="48"/>
    <s v="Escalated"/>
    <s v="Missing Resolve Date"/>
    <s v="Yes"/>
    <m/>
    <s v="Awaiting Customer Response"/>
    <s v=""/>
  </r>
  <r>
    <s v="TCK-20736"/>
    <d v="2026-04-14T17:00:00"/>
    <x v="3"/>
    <s v="Iqra Basit"/>
    <s v="Rawalpindi"/>
    <s v="Email"/>
    <s v="Billing Issue"/>
    <s v="Medium"/>
    <n v="24"/>
    <s v="Re-Opened"/>
    <d v="2026-04-15T12:10:00"/>
    <s v="Yes"/>
    <m/>
    <s v="Customer Requested Refund"/>
    <n v="19.166666666627862"/>
  </r>
  <r>
    <s v="TCK-21001"/>
    <d v="2026-05-29T12:59:00"/>
    <x v="0"/>
    <s v="Sadia Anwar"/>
    <s v="Lahore"/>
    <s v="Phone"/>
    <s v="Delivery Delay"/>
    <s v="High"/>
    <n v="8"/>
    <s v="Resolved"/>
    <d v="2026-05-29T18:28:00"/>
    <s v="No"/>
    <m/>
    <s v="Customer Satisfied With Resolution"/>
    <n v="5.4833333332207985"/>
  </r>
  <r>
    <s v="TCK-21726"/>
    <d v="2026-06-05T16:37:00"/>
    <x v="1"/>
    <s v="Ayaan Khalid"/>
    <s v="Rawalpindi"/>
    <s v="Email"/>
    <s v="Technical Issue"/>
    <s v="Low"/>
    <n v="48"/>
    <s v="In Progress"/>
    <s v="Missing Resolve Date"/>
    <s v="No"/>
    <m/>
    <s v="Not Specified"/>
    <s v=""/>
  </r>
  <r>
    <s v="TCK-22683"/>
    <d v="2026-03-24T07:49:00"/>
    <x v="2"/>
    <s v="Bilal Chaudhry"/>
    <s v="Lahore"/>
    <s v="Phone"/>
    <s v="Billing Issue"/>
    <s v="Low"/>
    <n v="48"/>
    <s v="In Progress"/>
    <s v="Missing Resolve Date"/>
    <s v="No"/>
    <m/>
    <s v="Awaiting Customer Response"/>
    <s v=""/>
  </r>
  <r>
    <s v="TCK-21028"/>
    <d v="2026-07-23T01:26:00"/>
    <x v="3"/>
    <s v="Iqra Basit"/>
    <s v="Karachi"/>
    <s v="Portal"/>
    <s v="Delivery Delay"/>
    <s v="Medium"/>
    <n v="24"/>
    <s v="Resolved"/>
    <d v="2026-07-23T15:11:00"/>
    <s v="No"/>
    <n v="3"/>
    <s v="Resolved On First Contact"/>
    <n v="13.750000000116415"/>
  </r>
  <r>
    <s v="TCK-22114"/>
    <d v="2026-05-10T07:29:00"/>
    <x v="0"/>
    <s v="Sadia Anwar"/>
    <s v="Peshawar"/>
    <s v="Chat"/>
    <s v="General Inquiry"/>
    <s v="High"/>
    <n v="8"/>
    <s v="Escalated"/>
    <s v="Missing Resolve Date"/>
    <s v="Yes"/>
    <m/>
    <s v="Escalated To Senior Agent"/>
    <s v=""/>
  </r>
  <r>
    <s v="TCK-20576"/>
    <d v="2026-06-01T11:39:00"/>
    <x v="3"/>
    <s v="Iqra Basit"/>
    <s v="Multan"/>
    <s v="Portal"/>
    <s v="Delivery Delay"/>
    <s v="Low"/>
    <n v="48"/>
    <s v="Closed"/>
    <d v="2026-06-02T04:43:00"/>
    <s v="No"/>
    <n v="5"/>
    <s v="Required Follow-Up Call"/>
    <n v="17.066666666592937"/>
  </r>
  <r>
    <s v="TCK-20114"/>
    <d v="2026-08-12T21:48:00"/>
    <x v="3"/>
    <s v="Talha Nadeem"/>
    <s v="Multan"/>
    <s v="Phone"/>
    <s v="Billing Issue"/>
    <s v="High"/>
    <n v="8"/>
    <s v="Closed"/>
    <d v="2026-08-13T11:47:00"/>
    <s v="No"/>
    <n v="5"/>
    <s v="Technical Issue Resolved Remotely"/>
    <n v="13.983333333337214"/>
  </r>
  <r>
    <s v="TCK-21138"/>
    <d v="2026-04-16T17:24:00"/>
    <x v="1"/>
    <s v="Ayaan Khalid"/>
    <s v="Lahore"/>
    <s v="Email"/>
    <s v="Technical Issue"/>
    <s v="Medium"/>
    <n v="24"/>
    <s v="Escalated"/>
    <s v="Missing Resolve Date"/>
    <s v="Yes"/>
    <m/>
    <s v="Required Follow-Up Call"/>
    <s v=""/>
  </r>
  <r>
    <s v="TCK-21838"/>
    <d v="2026-05-18T01:50:00"/>
    <x v="0"/>
    <s v="Sadia Anwar"/>
    <s v="Rawalpindi"/>
    <s v="Chat"/>
    <s v="Delivery Delay"/>
    <s v="Low"/>
    <n v="48"/>
    <s v="Closed"/>
    <d v="2026-05-19T06:05:00"/>
    <s v="No"/>
    <n v="4"/>
    <s v="Escalated To Senior Agent"/>
    <n v="28.249999999883585"/>
  </r>
  <r>
    <s v="TCK-22549"/>
    <d v="2026-03-10T16:41:00"/>
    <x v="3"/>
    <s v="Talha Nadeem"/>
    <s v="Islamabad"/>
    <s v="Portal"/>
    <s v="Technical Issue"/>
    <s v="High"/>
    <n v="8"/>
    <s v="Re-Opened"/>
    <d v="2026-03-10T19:38:00"/>
    <s v="No"/>
    <m/>
    <s v="Customer Satisfied With Resolution"/>
    <n v="2.9500000000116415"/>
  </r>
  <r>
    <s v="TCK-21418"/>
    <d v="2026-08-04T05:45:00"/>
    <x v="3"/>
    <s v="Iqra Basit"/>
    <s v="Peshawar"/>
    <s v="Email"/>
    <s v="Technical Issue"/>
    <s v="Critical"/>
    <n v="4"/>
    <s v="Resolved"/>
    <d v="2026-08-04T07:56:00"/>
    <s v="No"/>
    <m/>
    <s v="Resolved On First Contact"/>
    <n v="2.1833333332906477"/>
  </r>
  <r>
    <s v="TCK-20243"/>
    <d v="2026-07-18T09:46:00"/>
    <x v="0"/>
    <s v="Sadia Anwar"/>
    <s v="Karachi"/>
    <s v="Email"/>
    <s v="Account Access"/>
    <s v="Low"/>
    <n v="48"/>
    <s v="Resolved"/>
    <d v="2026-07-20T02:45:00"/>
    <s v="No"/>
    <n v="5"/>
    <s v="Required Follow-Up Call"/>
    <n v="40.983333333337214"/>
  </r>
  <r>
    <s v="TCK-20298"/>
    <d v="2026-08-19T03:38:00"/>
    <x v="3"/>
    <s v="Talha Nadeem"/>
    <s v="Peshawar"/>
    <s v="Chat"/>
    <s v="Technical Issue"/>
    <s v="High"/>
    <n v="8"/>
    <s v="Open"/>
    <s v="Missing Resolve Date"/>
    <s v="No"/>
    <m/>
    <s v="Technical Issue Resolved Remotely"/>
    <s v=""/>
  </r>
  <r>
    <s v="TCK-22348"/>
    <d v="2026-08-13T07:38:00"/>
    <x v="2"/>
    <s v="Bilal Chaudhry"/>
    <s v="Karachi"/>
    <s v="Portal"/>
    <s v="Account Access"/>
    <s v="Low"/>
    <n v="48"/>
    <s v="Open"/>
    <s v="Missing Resolve Date"/>
    <s v="No"/>
    <m/>
    <s v="Escalated To Senior Agent"/>
    <s v=""/>
  </r>
  <r>
    <s v="TCK-20986"/>
    <d v="2026-04-17T12:45:00"/>
    <x v="1"/>
    <s v="Ayaan Khalid"/>
    <s v="Peshawar"/>
    <s v="Portal"/>
    <s v="Account Access"/>
    <s v="Medium"/>
    <n v="24"/>
    <s v="Resolved"/>
    <d v="2026-04-19T22:11:00"/>
    <s v="No"/>
    <n v="4"/>
    <s v="Technical Issue Resolved Remotely"/>
    <n v="57.433333333348855"/>
  </r>
  <r>
    <s v="TCK-20688"/>
    <d v="2026-05-06T07:40:00"/>
    <x v="2"/>
    <s v="Bilal Chaudhry"/>
    <s v="Islamabad"/>
    <s v="Email"/>
    <s v="Billing Issue"/>
    <s v="High"/>
    <n v="8"/>
    <s v="Resolved"/>
    <d v="2026-05-06T13:23:00"/>
    <s v="No"/>
    <n v="4"/>
    <s v="Not Specified"/>
    <n v="5.71666666661622"/>
  </r>
  <r>
    <s v="TCK-20968"/>
    <d v="2026-07-08T02:16:00"/>
    <x v="0"/>
    <s v="Rehan Qureshi"/>
    <s v="Lahore"/>
    <s v="Chat"/>
    <s v="Refund Request"/>
    <s v="Low"/>
    <n v="48"/>
    <s v="Escalated"/>
    <s v="Missing Resolve Date"/>
    <s v="Yes"/>
    <m/>
    <s v="Required Follow-Up Call"/>
    <s v=""/>
  </r>
  <r>
    <s v="TCK-21925"/>
    <d v="2026-08-24T11:27:00"/>
    <x v="0"/>
    <s v="Sadia Anwar"/>
    <s v="Islamabad"/>
    <s v="Phone"/>
    <s v="Billing Issue"/>
    <s v="Low"/>
    <n v="48"/>
    <s v="Closed"/>
    <d v="2026-08-24T22:28:00"/>
    <s v="No"/>
    <n v="5"/>
    <s v="Required Follow-Up Call"/>
    <n v="11.016666666779201"/>
  </r>
  <r>
    <s v="TCK-22023"/>
    <d v="2026-06-17T15:50:00"/>
    <x v="1"/>
    <s v="Zara Hussain"/>
    <s v="Peshawar"/>
    <s v="Phone"/>
    <s v="Technical Issue"/>
    <s v="Critical"/>
    <n v="4"/>
    <s v="Closed"/>
    <s v="Missing Resolve Date"/>
    <s v="No"/>
    <m/>
    <s v="Escalated To Senior Agent"/>
    <s v=""/>
  </r>
  <r>
    <s v="TCK-23019"/>
    <d v="2026-08-20T01:27:00"/>
    <x v="1"/>
    <s v="Zara Hussain"/>
    <s v="Peshawar"/>
    <s v="Phone"/>
    <s v="Refund Request"/>
    <s v="Low"/>
    <n v="48"/>
    <s v="Resolved"/>
    <d v="2026-08-21T18:13:00"/>
    <s v="Yes"/>
    <m/>
    <s v="Technical Issue Resolved Remotely"/>
    <n v="40.766666666662786"/>
  </r>
  <r>
    <s v="TCK-20204"/>
    <d v="2026-03-30T11:34:00"/>
    <x v="1"/>
    <s v="Ayaan Khalid"/>
    <s v="Karachi"/>
    <s v="Email"/>
    <s v="Refund Request"/>
    <s v="Medium"/>
    <n v="24"/>
    <s v="Resolved"/>
    <d v="2026-03-31T06:00:00"/>
    <s v="No"/>
    <n v="2"/>
    <s v="Customer Requested Refund"/>
    <n v="18.433333333348855"/>
  </r>
  <r>
    <s v="TCK-21022"/>
    <d v="2026-03-02T16:17:00"/>
    <x v="0"/>
    <s v="Sadia Anwar"/>
    <s v="Faisalabad"/>
    <s v="Portal"/>
    <s v="General Inquiry"/>
    <s v="Medium"/>
    <n v="24"/>
    <s v="Closed"/>
    <d v="2026-03-02T21:53:00"/>
    <s v="No"/>
    <n v="4"/>
    <s v="Required Follow-Up Call"/>
    <n v="5.6000000000931323"/>
  </r>
  <r>
    <s v="TCK-20809"/>
    <d v="2026-06-22T01:06:00"/>
    <x v="0"/>
    <s v="Rehan Qureshi"/>
    <s v="Faisalabad"/>
    <s v="Chat"/>
    <s v="Refund Request"/>
    <s v="Critical"/>
    <n v="4"/>
    <s v="Closed"/>
    <d v="2026-06-22T01:53:00"/>
    <s v="Yes"/>
    <n v="1"/>
    <s v="Awaiting Customer Response"/>
    <n v="0.78333333344198763"/>
  </r>
  <r>
    <s v="TCK-22013"/>
    <d v="2026-06-20T16:26:00"/>
    <x v="1"/>
    <s v="Zara Hussain"/>
    <s v="Multan"/>
    <s v="Email"/>
    <s v="Refund Request"/>
    <s v="High"/>
    <n v="8"/>
    <s v="Re-Opened"/>
    <d v="2026-06-20T22:19:00"/>
    <s v="No"/>
    <m/>
    <s v="Escalated To Senior Agent"/>
    <n v="5.8833333333022892"/>
  </r>
  <r>
    <s v="TCK-20550"/>
    <d v="2026-02-15T12:02:00"/>
    <x v="3"/>
    <s v="Talha Nadeem"/>
    <s v="Faisalabad"/>
    <s v="Chat"/>
    <s v="Account Access"/>
    <s v="Medium"/>
    <n v="24"/>
    <s v="Resolved"/>
    <d v="2026-02-16T22:45:00"/>
    <s v="No"/>
    <n v="5"/>
    <s v="Resolved On First Contact"/>
    <n v="34.716666666674428"/>
  </r>
  <r>
    <s v="TCK-20307"/>
    <d v="2026-08-26T16:31:00"/>
    <x v="3"/>
    <s v="Iqra Basit"/>
    <s v="Islamabad"/>
    <s v="Phone"/>
    <s v="General Inquiry"/>
    <s v="Medium"/>
    <n v="24"/>
    <s v="In Progress"/>
    <s v="Missing Resolve Date"/>
    <s v="No"/>
    <m/>
    <s v="Required Follow-Up Call"/>
    <s v=""/>
  </r>
  <r>
    <s v="TCK-21556"/>
    <d v="2026-05-26T23:16:00"/>
    <x v="0"/>
    <s v="Rehan Qureshi"/>
    <s v="Karachi"/>
    <s v="Email"/>
    <s v="Delivery Delay"/>
    <s v="Medium"/>
    <n v="24"/>
    <s v="In Progress"/>
    <s v="Missing Resolve Date"/>
    <s v="No"/>
    <m/>
    <s v="Required Follow-Up Call"/>
    <s v=""/>
  </r>
  <r>
    <s v="TCK-20334"/>
    <d v="2026-03-25T17:17:00"/>
    <x v="0"/>
    <s v="Sadia Anwar"/>
    <s v="Peshawar"/>
    <s v="Phone"/>
    <s v="Technical Issue"/>
    <s v="Low"/>
    <n v="48"/>
    <s v="Resolved"/>
    <d v="2026-03-25T18:16:00"/>
    <s v="No"/>
    <n v="1"/>
    <s v="Not Specified"/>
    <n v="0.9833333333954215"/>
  </r>
  <r>
    <s v="TCK-20202"/>
    <d v="2026-08-13T06:39:00"/>
    <x v="3"/>
    <s v="Talha Nadeem"/>
    <s v="Rawalpindi"/>
    <s v="Portal"/>
    <s v="Technical Issue"/>
    <s v="High"/>
    <n v="8"/>
    <s v="In Progress"/>
    <s v="Missing Resolve Date"/>
    <s v="No"/>
    <m/>
    <s v="Required Follow-Up Call"/>
    <s v=""/>
  </r>
  <r>
    <s v="TCK-20481"/>
    <d v="2026-07-05T22:41:00"/>
    <x v="0"/>
    <s v="Rehan Qureshi"/>
    <s v="Karachi"/>
    <s v="Email"/>
    <s v="General Inquiry"/>
    <s v="High"/>
    <n v="8"/>
    <s v="Resolved"/>
    <d v="2026-07-06T03:56:00"/>
    <s v="No"/>
    <m/>
    <s v="Customer Satisfied With Resolution"/>
    <n v="5.25"/>
  </r>
  <r>
    <s v="TCK-20443"/>
    <d v="2026-01-19T06:01:00"/>
    <x v="2"/>
    <s v="Bilal Chaudhry"/>
    <s v="Islamabad"/>
    <s v="Chat"/>
    <s v="Refund Request"/>
    <s v="Medium"/>
    <n v="24"/>
    <s v="Escalated"/>
    <s v="Missing Resolve Date"/>
    <s v="Yes"/>
    <m/>
    <s v="Repeat Issue From Same Customer"/>
    <s v=""/>
  </r>
  <r>
    <s v="TCK-23036"/>
    <d v="2026-02-20T05:30:00"/>
    <x v="0"/>
    <s v="Sadia Anwar"/>
    <s v="Peshawar"/>
    <s v="Portal"/>
    <s v="Refund Request"/>
    <s v="High"/>
    <n v="8"/>
    <s v="Resolved"/>
    <d v="2026-02-20T23:00:00"/>
    <s v="No"/>
    <m/>
    <s v="Customer Satisfied With Resolution"/>
    <n v="17.500000000116415"/>
  </r>
  <r>
    <s v="TCK-22899"/>
    <d v="2026-02-22T09:54:00"/>
    <x v="3"/>
    <s v="Iqra Basit"/>
    <s v="Peshawar"/>
    <s v="Phone"/>
    <s v="Account Access"/>
    <s v="Medium"/>
    <n v="24"/>
    <s v="Resolved"/>
    <d v="2026-02-22T15:51:00"/>
    <s v="No"/>
    <m/>
    <s v="Customer Satisfied With Resolution"/>
    <n v="5.9500000000116415"/>
  </r>
  <r>
    <s v="TCK-20437"/>
    <d v="2026-05-18T22:01:00"/>
    <x v="0"/>
    <s v="Rehan Qureshi"/>
    <s v="Peshawar"/>
    <s v="Phone"/>
    <s v="General Inquiry"/>
    <s v="Low"/>
    <n v="48"/>
    <s v="Resolved"/>
    <d v="2026-05-19T13:01:00"/>
    <s v="No"/>
    <m/>
    <s v="Not Specified"/>
    <n v="15"/>
  </r>
  <r>
    <s v="TCK-21778"/>
    <d v="2026-01-20T15:03:00"/>
    <x v="2"/>
    <s v="Bilal Chaudhry"/>
    <s v="Peshawar"/>
    <s v="Portal"/>
    <s v="Account Access"/>
    <s v="Critical"/>
    <n v="4"/>
    <s v="In Progress"/>
    <s v="Missing Resolve Date"/>
    <s v="No"/>
    <m/>
    <s v="Repeat Issue From Same Customer"/>
    <s v=""/>
  </r>
  <r>
    <s v="TCK-23164"/>
    <d v="2026-01-29T08:04:00"/>
    <x v="2"/>
    <s v="Mahnoor Aslam"/>
    <s v="Multan"/>
    <s v="Phone"/>
    <s v="Account Access"/>
    <s v="Medium"/>
    <n v="24"/>
    <s v="Re-Opened"/>
    <d v="2026-01-29T17:46:00"/>
    <s v="No"/>
    <m/>
    <s v="Technical Issue Resolved Remotely"/>
    <n v="9.7000000000116415"/>
  </r>
  <r>
    <s v="TCK-20614"/>
    <d v="2026-03-27T21:36:00"/>
    <x v="2"/>
    <s v="Bilal Chaudhry"/>
    <s v="Karachi"/>
    <s v="Portal"/>
    <s v="Billing Issue"/>
    <s v="Medium"/>
    <n v="24"/>
    <s v="Resolved"/>
    <d v="2026-03-28T02:53:00"/>
    <s v="No"/>
    <n v="5"/>
    <s v="Awaiting Customer Response"/>
    <n v="5.2833333332673647"/>
  </r>
  <r>
    <s v="TCK-21154"/>
    <d v="2026-03-24T04:12:00"/>
    <x v="3"/>
    <s v="Iqra Basit"/>
    <s v="Multan"/>
    <s v="Chat"/>
    <s v="Account Access"/>
    <s v="Low"/>
    <n v="48"/>
    <s v="Resolved"/>
    <d v="2026-03-24T15:27:00"/>
    <s v="No"/>
    <n v="4"/>
    <s v="Not Specified"/>
    <n v="11.25"/>
  </r>
  <r>
    <s v="TCK-21223"/>
    <d v="2026-06-02T09:46:00"/>
    <x v="3"/>
    <s v="Talha Nadeem"/>
    <s v="Karachi"/>
    <s v="Email"/>
    <s v="General Inquiry"/>
    <s v="Medium"/>
    <n v="24"/>
    <s v="Closed"/>
    <d v="2026-06-03T06:07:00"/>
    <s v="No"/>
    <n v="5"/>
    <s v="Not Specified"/>
    <n v="20.349999999976717"/>
  </r>
  <r>
    <s v="TCK-22484"/>
    <d v="2026-02-09T16:24:00"/>
    <x v="1"/>
    <s v="Ayaan Khalid"/>
    <s v="Karachi"/>
    <s v="Portal"/>
    <s v="Billing Issue"/>
    <s v="High"/>
    <n v="8"/>
    <s v="In Progress"/>
    <s v="Missing Resolve Date"/>
    <s v="No"/>
    <m/>
    <s v="Customer Satisfied With Resolution"/>
    <s v=""/>
  </r>
  <r>
    <s v="TCK-22032"/>
    <d v="2026-04-20T21:57:00"/>
    <x v="2"/>
    <s v="Mahnoor Aslam"/>
    <s v="Islamabad"/>
    <s v="Chat"/>
    <s v="Refund Request"/>
    <s v="Low"/>
    <n v="48"/>
    <s v="Escalated"/>
    <s v="Missing Resolve Date"/>
    <s v="Yes"/>
    <m/>
    <s v="Not Specified"/>
    <s v=""/>
  </r>
  <r>
    <s v="TCK-20912"/>
    <d v="2026-02-10T15:16:00"/>
    <x v="1"/>
    <s v="Ayaan Khalid"/>
    <s v="Faisalabad"/>
    <s v="Phone"/>
    <s v="General Inquiry"/>
    <s v="Low"/>
    <n v="48"/>
    <s v="Closed"/>
    <d v="2026-02-11T00:26:00"/>
    <s v="No"/>
    <m/>
    <s v="Escalated To Senior Agent"/>
    <n v="9.1666666666860692"/>
  </r>
  <r>
    <s v="TCK-21304"/>
    <d v="2026-07-07T13:12:00"/>
    <x v="2"/>
    <s v="Mahnoor Aslam"/>
    <s v="Islamabad"/>
    <s v="Phone"/>
    <s v="Technical Issue"/>
    <s v="Medium"/>
    <n v="24"/>
    <s v="In Progress"/>
    <s v="Missing Resolve Date"/>
    <s v="Yes"/>
    <m/>
    <s v="Not Specified"/>
    <s v=""/>
  </r>
  <r>
    <s v="TCK-23026"/>
    <d v="2026-07-10T01:14:00"/>
    <x v="1"/>
    <s v="Zara Hussain"/>
    <s v="Lahore"/>
    <s v="Phone"/>
    <s v="Technical Issue"/>
    <s v="Medium"/>
    <n v="24"/>
    <s v="Re-Opened"/>
    <d v="2026-07-10T16:23:00"/>
    <s v="No"/>
    <m/>
    <s v="Not Specified"/>
    <n v="15.149999999965075"/>
  </r>
  <r>
    <s v="TCK-21012"/>
    <d v="2026-06-23T06:22:00"/>
    <x v="1"/>
    <s v="Ayaan Khalid"/>
    <s v="Islamabad"/>
    <s v="Portal"/>
    <s v="Technical Issue"/>
    <s v="Critical"/>
    <n v="4"/>
    <s v="Closed"/>
    <s v="Missing Resolve Date"/>
    <s v="No"/>
    <n v="4"/>
    <s v="Not Specified"/>
    <s v=""/>
  </r>
  <r>
    <s v="TCK-21162"/>
    <d v="2026-04-18T08:49:00"/>
    <x v="0"/>
    <s v="Sadia Anwar"/>
    <s v="Lahore"/>
    <s v="Email"/>
    <s v="Technical Issue"/>
    <s v="High"/>
    <n v="8"/>
    <s v="Resolved"/>
    <d v="2026-04-18T13:43:00"/>
    <s v="No"/>
    <m/>
    <s v="Technical Issue Resolved Remotely"/>
    <n v="4.9000000000814907"/>
  </r>
  <r>
    <s v="TCK-20157"/>
    <d v="2026-04-26T12:10:00"/>
    <x v="0"/>
    <s v="Rehan Qureshi"/>
    <s v="Islamabad"/>
    <s v="Email"/>
    <s v="Account Access"/>
    <s v="Medium"/>
    <n v="24"/>
    <s v="Resolved"/>
    <d v="2026-04-28T01:33:00"/>
    <s v="No"/>
    <n v="2"/>
    <s v="Resolved On First Contact"/>
    <n v="37.383333333302289"/>
  </r>
  <r>
    <s v="TCK-21983"/>
    <d v="2026-06-16T06:39:00"/>
    <x v="1"/>
    <s v="Ayaan Khalid"/>
    <s v="Multan"/>
    <s v="Phone"/>
    <s v="Delivery Delay"/>
    <s v="Medium"/>
    <n v="24"/>
    <s v="Closed"/>
    <d v="2026-06-16T11:09:00"/>
    <s v="No"/>
    <n v="2"/>
    <s v="Repeat Issue From Same Customer"/>
    <n v="4.5"/>
  </r>
  <r>
    <s v="TCK-22578"/>
    <d v="2026-03-25T22:42:00"/>
    <x v="2"/>
    <s v="Mahnoor Aslam"/>
    <s v="Rawalpindi"/>
    <s v="Phone"/>
    <s v="Delivery Delay"/>
    <s v="High"/>
    <n v="8"/>
    <s v="Closed"/>
    <d v="2026-03-26T01:25:00"/>
    <s v="No"/>
    <m/>
    <s v="Customer Satisfied With Resolution"/>
    <n v="2.716666666790843"/>
  </r>
  <r>
    <s v="TCK-21470"/>
    <d v="2026-05-06T11:48:00"/>
    <x v="3"/>
    <s v="Talha Nadeem"/>
    <s v="Karachi"/>
    <s v="Email"/>
    <s v="Technical Issue"/>
    <s v="Medium"/>
    <n v="24"/>
    <s v="Closed"/>
    <d v="2026-05-06T19:14:00"/>
    <s v="No"/>
    <n v="2"/>
    <s v="Customer Satisfied With Resolution"/>
    <n v="7.4333333332906477"/>
  </r>
  <r>
    <s v="TCK-20348"/>
    <d v="2026-03-17T19:26:00"/>
    <x v="2"/>
    <s v="Bilal Chaudhry"/>
    <s v="Faisalabad"/>
    <s v="Chat"/>
    <s v="General Inquiry"/>
    <s v="High"/>
    <n v="8"/>
    <s v="Resolved"/>
    <d v="2026-03-18T07:01:00"/>
    <s v="No"/>
    <n v="4"/>
    <s v="Required Follow-Up Call"/>
    <n v="11.583333333372138"/>
  </r>
  <r>
    <s v="TCK-22180"/>
    <d v="2026-05-01T11:33:00"/>
    <x v="2"/>
    <s v="Mahnoor Aslam"/>
    <s v="Islamabad"/>
    <s v="Chat"/>
    <s v="Account Access"/>
    <s v="Low"/>
    <n v="48"/>
    <s v="Closed"/>
    <d v="2026-05-02T04:25:00"/>
    <s v="No"/>
    <m/>
    <s v="Resolved On First Contact"/>
    <n v="16.866666666814126"/>
  </r>
  <r>
    <s v="TCK-22160"/>
    <d v="2026-02-05T16:23:00"/>
    <x v="2"/>
    <s v="Mahnoor Aslam"/>
    <s v="Peshawar"/>
    <s v="Portal"/>
    <s v="Refund Request"/>
    <s v="Medium"/>
    <n v="24"/>
    <s v="Resolved"/>
    <d v="2026-02-05T22:02:00"/>
    <s v="No"/>
    <n v="3"/>
    <s v="Escalated To Senior Agent"/>
    <n v="5.6500000000814907"/>
  </r>
  <r>
    <s v="TCK-21494"/>
    <d v="2026-08-28T21:23:00"/>
    <x v="3"/>
    <s v="Iqra Basit"/>
    <s v="Peshawar"/>
    <s v="Email"/>
    <s v="General Inquiry"/>
    <s v="Medium"/>
    <n v="24"/>
    <s v="Resolved"/>
    <d v="2026-08-29T06:34:00"/>
    <s v="No"/>
    <m/>
    <s v="Technical Issue Resolved Remotely"/>
    <n v="9.1833333332324401"/>
  </r>
  <r>
    <s v="TCK-20268"/>
    <d v="2026-06-03T04:39:00"/>
    <x v="2"/>
    <s v="Mahnoor Aslam"/>
    <s v="Islamabad"/>
    <s v="Chat"/>
    <s v="Delivery Delay"/>
    <s v="Medium"/>
    <n v="24"/>
    <s v="Resolved"/>
    <d v="2026-06-03T21:18:00"/>
    <s v="No"/>
    <n v="3"/>
    <s v="Technical Issue Resolved Remotely"/>
    <n v="16.649999999965075"/>
  </r>
  <r>
    <s v="TCK-21862"/>
    <d v="2026-06-20T04:00:00"/>
    <x v="0"/>
    <s v="Sadia Anwar"/>
    <s v="Islamabad"/>
    <s v="Phone"/>
    <s v="Technical Issue"/>
    <s v="High"/>
    <n v="8"/>
    <s v="Resolved"/>
    <d v="2026-06-21T00:36:00"/>
    <s v="No"/>
    <m/>
    <s v="Technical Issue Resolved Remotely"/>
    <n v="20.600000000093132"/>
  </r>
  <r>
    <s v="TCK-21432"/>
    <d v="2026-03-05T22:04:00"/>
    <x v="1"/>
    <s v="Ayaan Khalid"/>
    <s v="Lahore"/>
    <s v="Phone"/>
    <s v="Technical Issue"/>
    <s v="High"/>
    <n v="8"/>
    <s v="In Progress"/>
    <s v="Missing Resolve Date"/>
    <s v="No"/>
    <m/>
    <s v="Awaiting Customer Response"/>
    <s v=""/>
  </r>
  <r>
    <s v="TCK-21058"/>
    <d v="2026-01-18T22:18:00"/>
    <x v="1"/>
    <s v="Ayaan Khalid"/>
    <s v="Lahore"/>
    <s v="Email"/>
    <s v="Billing Issue"/>
    <s v="Critical"/>
    <n v="4"/>
    <s v="Resolved"/>
    <d v="2026-01-19T00:20:00"/>
    <s v="No"/>
    <n v="1"/>
    <s v="Resolved On First Contact"/>
    <n v="2.0333333333255723"/>
  </r>
  <r>
    <s v="TCK-20219"/>
    <d v="2026-03-31T03:33:00"/>
    <x v="3"/>
    <s v="Talha Nadeem"/>
    <s v="Lahore"/>
    <s v="Phone"/>
    <s v="Refund Request"/>
    <s v="High"/>
    <n v="8"/>
    <s v="Resolved"/>
    <d v="2026-03-31T05:57:00"/>
    <s v="No"/>
    <n v="2"/>
    <s v="Not Specified"/>
    <n v="2.3999999999650754"/>
  </r>
  <r>
    <s v="TCK-23180"/>
    <d v="2026-04-08T23:43:00"/>
    <x v="1"/>
    <s v="Zara Hussain"/>
    <s v="Islamabad"/>
    <s v="Email"/>
    <s v="Delivery Delay"/>
    <s v="Low"/>
    <n v="48"/>
    <s v="Resolved"/>
    <d v="2026-04-10T12:05:00"/>
    <s v="No"/>
    <n v="4"/>
    <s v="Escalated To Senior Agent"/>
    <n v="36.366666666639503"/>
  </r>
  <r>
    <s v="TCK-22778"/>
    <d v="2026-02-05T13:17:00"/>
    <x v="2"/>
    <s v="Bilal Chaudhry"/>
    <s v="Karachi"/>
    <s v="Chat"/>
    <s v="Technical Issue"/>
    <s v="High"/>
    <n v="8"/>
    <s v="Closed"/>
    <d v="2026-02-05T20:13:00"/>
    <s v="No"/>
    <n v="4"/>
    <s v="Not Specified"/>
    <n v="6.933333333407063"/>
  </r>
  <r>
    <s v="TCK-21007"/>
    <d v="2026-08-30T06:15:00"/>
    <x v="3"/>
    <s v="Talha Nadeem"/>
    <s v="Faisalabad"/>
    <s v="Email"/>
    <s v="Account Access"/>
    <s v="High"/>
    <n v="8"/>
    <s v="Resolved"/>
    <d v="2026-08-30T09:44:00"/>
    <s v="No"/>
    <m/>
    <s v="Customer Requested Refund"/>
    <n v="3.4833333333372138"/>
  </r>
  <r>
    <s v="TCK-22695"/>
    <d v="2026-06-29T07:28:00"/>
    <x v="2"/>
    <s v="Bilal Chaudhry"/>
    <s v="Islamabad"/>
    <s v="Phone"/>
    <s v="Account Access"/>
    <s v="Low"/>
    <n v="48"/>
    <s v="In Progress"/>
    <s v="Missing Resolve Date"/>
    <s v="Yes"/>
    <m/>
    <s v="Resolved On First Contact"/>
    <s v=""/>
  </r>
  <r>
    <s v="TCK-23183"/>
    <d v="2026-02-11T05:30:00"/>
    <x v="3"/>
    <s v="Talha Nadeem"/>
    <s v="Peshawar"/>
    <s v="Chat"/>
    <s v="Billing Issue"/>
    <s v="Low"/>
    <n v="48"/>
    <s v="Re-Opened"/>
    <d v="2026-02-13T20:03:00"/>
    <s v="No"/>
    <m/>
    <s v="Not Specified"/>
    <n v="62.550000000104774"/>
  </r>
  <r>
    <s v="TCK-22775"/>
    <d v="2026-08-08T10:21:00"/>
    <x v="1"/>
    <s v="Ayaan Khalid"/>
    <s v="Rawalpindi"/>
    <s v="Chat"/>
    <s v="Refund Request"/>
    <s v="Low"/>
    <n v="48"/>
    <s v="Escalated"/>
    <s v="Missing Resolve Date"/>
    <s v="Yes"/>
    <m/>
    <s v="Technical Issue Resolved Remotely"/>
    <s v=""/>
  </r>
  <r>
    <s v="TCK-20955"/>
    <d v="2026-01-07T01:51:00"/>
    <x v="1"/>
    <s v="Ayaan Khalid"/>
    <s v="Multan"/>
    <s v="Phone"/>
    <s v="Refund Request"/>
    <s v="Medium"/>
    <n v="24"/>
    <s v="Closed"/>
    <d v="2026-01-08T11:50:00"/>
    <s v="No"/>
    <n v="5"/>
    <s v="Required Follow-Up Call"/>
    <n v="33.983333333395422"/>
  </r>
  <r>
    <s v="TCK-20850"/>
    <d v="2026-01-29T19:03:00"/>
    <x v="2"/>
    <s v="Mahnoor Aslam"/>
    <s v="Karachi"/>
    <s v="Chat"/>
    <s v="Delivery Delay"/>
    <s v="High"/>
    <n v="8"/>
    <s v="Resolved"/>
    <d v="2026-01-30T02:06:00"/>
    <s v="No"/>
    <n v="5"/>
    <s v="Customer Requested Refund"/>
    <n v="7.0500000001047738"/>
  </r>
  <r>
    <s v="TCK-22314"/>
    <d v="2026-07-08T14:55:00"/>
    <x v="1"/>
    <s v="Zara Hussain"/>
    <s v="Karachi"/>
    <s v="Portal"/>
    <s v="General Inquiry"/>
    <s v="High"/>
    <n v="8"/>
    <s v="Resolved"/>
    <d v="2026-07-09T02:06:00"/>
    <s v="No"/>
    <n v="3"/>
    <s v="Not Specified"/>
    <n v="11.183333333290648"/>
  </r>
  <r>
    <s v="TCK-22185"/>
    <d v="2026-04-01T22:47:00"/>
    <x v="3"/>
    <s v="Talha Nadeem"/>
    <s v="Multan"/>
    <s v="Portal"/>
    <s v="Refund Request"/>
    <s v="Low"/>
    <n v="48"/>
    <s v="Resolved"/>
    <d v="2026-04-02T23:43:00"/>
    <s v="No"/>
    <m/>
    <s v="Required Follow-Up Call"/>
    <n v="24.93333333323244"/>
  </r>
  <r>
    <s v="TCK-20345"/>
    <d v="2026-01-18T06:01:00"/>
    <x v="2"/>
    <s v="Bilal Chaudhry"/>
    <s v="Karachi"/>
    <s v="Portal"/>
    <s v="Refund Request"/>
    <s v="Critical"/>
    <n v="4"/>
    <s v="Resolved"/>
    <d v="2026-01-18T15:21:00"/>
    <s v="No"/>
    <m/>
    <s v="Not Specified"/>
    <n v="9.3333333331975155"/>
  </r>
  <r>
    <s v="TCK-21703"/>
    <d v="2026-01-22T23:33:00"/>
    <x v="2"/>
    <s v="Mahnoor Aslam"/>
    <s v="Islamabad"/>
    <s v="Portal"/>
    <s v="Technical Issue"/>
    <s v="Medium"/>
    <n v="24"/>
    <s v="Resolved"/>
    <d v="2026-01-23T19:43:00"/>
    <s v="No"/>
    <n v="5"/>
    <s v="Escalated To Senior Agent"/>
    <n v="20.166666666744277"/>
  </r>
  <r>
    <s v="TCK-20936"/>
    <d v="2026-02-24T09:43:00"/>
    <x v="0"/>
    <s v="Sadia Anwar"/>
    <s v="Islamabad"/>
    <s v="Portal"/>
    <s v="Refund Request"/>
    <s v="Low"/>
    <n v="48"/>
    <s v="Closed"/>
    <d v="2026-02-28T19:47:00"/>
    <s v="No"/>
    <n v="5"/>
    <s v="Required Follow-Up Call"/>
    <n v="106.06666666665114"/>
  </r>
  <r>
    <s v="TCK-21147"/>
    <d v="2026-06-02T05:44:00"/>
    <x v="0"/>
    <s v="Rehan Qureshi"/>
    <s v="Rawalpindi"/>
    <s v="Email"/>
    <s v="Delivery Delay"/>
    <s v="Medium"/>
    <n v="24"/>
    <s v="In Progress"/>
    <s v="Missing Resolve Date"/>
    <s v="No"/>
    <m/>
    <s v="Escalated To Senior Agent"/>
    <s v=""/>
  </r>
  <r>
    <s v="TCK-20603"/>
    <d v="2026-01-06T16:03:00"/>
    <x v="3"/>
    <s v="Talha Nadeem"/>
    <s v="Faisalabad"/>
    <s v="Portal"/>
    <s v="Refund Request"/>
    <s v="Low"/>
    <n v="48"/>
    <s v="Open"/>
    <s v="Missing Resolve Date"/>
    <s v="No"/>
    <m/>
    <s v="Technical Issue Resolved Remotely"/>
    <s v=""/>
  </r>
  <r>
    <s v="TCK-22811"/>
    <d v="2026-06-14T23:36:00"/>
    <x v="2"/>
    <s v="Bilal Chaudhry"/>
    <s v="Multan"/>
    <s v="Chat"/>
    <s v="Delivery Delay"/>
    <s v="Critical"/>
    <n v="4"/>
    <s v="Resolved"/>
    <d v="2026-06-15T00:27:00"/>
    <s v="No"/>
    <m/>
    <s v="Not Specified"/>
    <n v="0.85000000015133992"/>
  </r>
  <r>
    <s v="TCK-22256"/>
    <d v="2026-05-31T04:00:00"/>
    <x v="1"/>
    <s v="Ayaan Khalid"/>
    <s v="Lahore"/>
    <s v="Phone"/>
    <s v="Refund Request"/>
    <s v="High"/>
    <n v="8"/>
    <s v="Resolved"/>
    <d v="2026-05-31T22:14:00"/>
    <s v="No"/>
    <n v="4"/>
    <s v="Not Specified"/>
    <n v="18.233333333395422"/>
  </r>
  <r>
    <s v="TCK-21202"/>
    <d v="2026-05-30T23:06:00"/>
    <x v="3"/>
    <s v="Iqra Basit"/>
    <s v="Rawalpindi"/>
    <s v="Chat"/>
    <s v="Refund Request"/>
    <s v="Low"/>
    <n v="48"/>
    <s v="Closed"/>
    <d v="2026-06-01T04:24:00"/>
    <s v="No"/>
    <n v="1"/>
    <s v="Not Specified"/>
    <n v="29.299999999988358"/>
  </r>
  <r>
    <s v="TCK-21954"/>
    <d v="2026-01-03T08:14:00"/>
    <x v="3"/>
    <s v="Talha Nadeem"/>
    <s v="Lahore"/>
    <s v="Email"/>
    <s v="Billing Issue"/>
    <s v="Medium"/>
    <n v="24"/>
    <s v="Resolved"/>
    <d v="2026-01-04T05:40:00"/>
    <s v="No"/>
    <n v="5"/>
    <s v="Technical Issue Resolved Remotely"/>
    <n v="21.433333333348855"/>
  </r>
  <r>
    <s v="TCK-21543"/>
    <d v="2026-02-06T18:06:00"/>
    <x v="1"/>
    <s v="Ayaan Khalid"/>
    <s v="Islamabad"/>
    <s v="Phone"/>
    <s v="General Inquiry"/>
    <s v="High"/>
    <n v="8"/>
    <s v="Resolved"/>
    <d v="2026-02-07T00:16:00"/>
    <s v="No"/>
    <n v="2"/>
    <s v="Resolved On First Contact"/>
    <n v="6.1666666666860692"/>
  </r>
  <r>
    <s v="TCK-20592"/>
    <d v="2026-06-02T13:19:00"/>
    <x v="3"/>
    <s v="Iqra Basit"/>
    <s v="Multan"/>
    <s v="Chat"/>
    <s v="Billing Issue"/>
    <s v="Medium"/>
    <n v="24"/>
    <s v="Resolved"/>
    <d v="2026-06-03T09:04:00"/>
    <s v="No"/>
    <n v="4"/>
    <s v="Not Specified"/>
    <n v="19.750000000116415"/>
  </r>
  <r>
    <s v="TCK-22814"/>
    <d v="2026-03-30T19:34:00"/>
    <x v="1"/>
    <s v="Zara Hussain"/>
    <s v="Islamabad"/>
    <s v="Phone"/>
    <s v="Refund Request"/>
    <s v="Medium"/>
    <n v="24"/>
    <s v="Closed"/>
    <d v="2026-04-02T00:00:00"/>
    <s v="No"/>
    <n v="5"/>
    <s v="Escalated To Senior Agent"/>
    <n v="52.433333333290648"/>
  </r>
  <r>
    <s v="TCK-20459"/>
    <d v="2026-01-16T21:54:00"/>
    <x v="1"/>
    <s v="Zara Hussain"/>
    <s v="Multan"/>
    <s v="Email"/>
    <s v="General Inquiry"/>
    <s v="Medium"/>
    <n v="24"/>
    <s v="Closed"/>
    <d v="2026-01-17T02:07:00"/>
    <s v="No"/>
    <m/>
    <s v="Not Specified"/>
    <n v="4.21666666661622"/>
  </r>
  <r>
    <s v="TCK-22679"/>
    <d v="2026-05-01T16:19:00"/>
    <x v="1"/>
    <s v="Ayaan Khalid"/>
    <s v="Lahore"/>
    <s v="Email"/>
    <s v="General Inquiry"/>
    <s v="Low"/>
    <n v="48"/>
    <s v="Resolved"/>
    <d v="2026-05-06T09:34:00"/>
    <s v="No"/>
    <m/>
    <s v="Not Specified"/>
    <n v="113.25"/>
  </r>
  <r>
    <s v="TCK-21481"/>
    <d v="2026-08-26T21:02:00"/>
    <x v="1"/>
    <s v="Zara Hussain"/>
    <s v="Peshawar"/>
    <s v="Chat"/>
    <s v="Account Access"/>
    <s v="Low"/>
    <n v="48"/>
    <s v="Re-Opened"/>
    <d v="2026-08-27T08:16:00"/>
    <s v="No"/>
    <m/>
    <s v="Not Specified"/>
    <n v="11.233333333453629"/>
  </r>
  <r>
    <s v="TCK-23077"/>
    <d v="2026-03-29T23:33:00"/>
    <x v="2"/>
    <s v="Bilal Chaudhry"/>
    <s v="Lahore"/>
    <s v="Chat"/>
    <s v="Account Access"/>
    <s v="High"/>
    <n v="8"/>
    <s v="Closed"/>
    <d v="2026-03-30T03:47:00"/>
    <s v="No"/>
    <m/>
    <s v="Customer Satisfied With Resolution"/>
    <n v="4.2333333333372138"/>
  </r>
  <r>
    <s v="TCK-20763"/>
    <d v="2026-08-06T20:59:00"/>
    <x v="1"/>
    <s v="Ayaan Khalid"/>
    <s v="Multan"/>
    <s v="Chat"/>
    <s v="Delivery Delay"/>
    <s v="Medium"/>
    <n v="24"/>
    <s v="Resolved"/>
    <d v="2026-08-07T02:13:00"/>
    <s v="Yes"/>
    <n v="5"/>
    <s v="Resolved On First Contact"/>
    <n v="5.2333333334536292"/>
  </r>
  <r>
    <s v="TCK-23096"/>
    <d v="2026-06-18T19:38:00"/>
    <x v="0"/>
    <s v="Rehan Qureshi"/>
    <s v="Multan"/>
    <s v="Portal"/>
    <s v="Delivery Delay"/>
    <s v="Medium"/>
    <n v="24"/>
    <s v="Resolved"/>
    <d v="2026-06-19T14:43:00"/>
    <s v="No"/>
    <n v="2"/>
    <s v="Repeat Issue From Same Customer"/>
    <n v="19.083333333197515"/>
  </r>
  <r>
    <s v="TCK-20724"/>
    <d v="2026-03-11T18:35:00"/>
    <x v="3"/>
    <s v="Talha Nadeem"/>
    <s v="Rawalpindi"/>
    <s v="Portal"/>
    <s v="Technical Issue"/>
    <s v="Low"/>
    <n v="48"/>
    <s v="Escalated"/>
    <s v="Missing Resolve Date"/>
    <s v="Yes"/>
    <m/>
    <s v="Customer Requested Refund"/>
    <s v=""/>
  </r>
  <r>
    <s v="TCK-21293"/>
    <d v="2026-03-21T18:43:00"/>
    <x v="0"/>
    <s v="Sadia Anwar"/>
    <s v="Multan"/>
    <s v="Email"/>
    <s v="General Inquiry"/>
    <s v="Critical"/>
    <n v="4"/>
    <s v="Resolved"/>
    <d v="2026-03-22T03:41:00"/>
    <s v="Yes"/>
    <m/>
    <s v="Technical Issue Resolved Remotely"/>
    <n v="8.9666666665580124"/>
  </r>
  <r>
    <s v="TCK-21825"/>
    <d v="2026-07-07T05:19:00"/>
    <x v="2"/>
    <s v="Bilal Chaudhry"/>
    <s v="Lahore"/>
    <s v="Portal"/>
    <s v="Refund Request"/>
    <s v="High"/>
    <n v="8"/>
    <s v="Closed"/>
    <d v="2026-07-07T09:20:00"/>
    <s v="No"/>
    <m/>
    <s v="Required Follow-Up Call"/>
    <n v="4.0166666666627862"/>
  </r>
  <r>
    <s v="TCK-21008"/>
    <d v="2026-03-30T18:40:00"/>
    <x v="3"/>
    <s v="Talha Nadeem"/>
    <s v="Karachi"/>
    <s v="Phone"/>
    <s v="Billing Issue"/>
    <s v="Low"/>
    <n v="48"/>
    <s v="Closed"/>
    <d v="2026-04-04T04:31:00"/>
    <s v="No"/>
    <n v="5"/>
    <s v="Required Follow-Up Call"/>
    <n v="105.84999999997672"/>
  </r>
  <r>
    <s v="TCK-20427"/>
    <d v="2026-01-25T17:01:00"/>
    <x v="0"/>
    <s v="Sadia Anwar"/>
    <s v="Lahore"/>
    <s v="Phone"/>
    <s v="Technical Issue"/>
    <s v="Medium"/>
    <n v="24"/>
    <s v="Resolved"/>
    <d v="2026-01-26T04:07:00"/>
    <s v="No"/>
    <n v="5"/>
    <s v="Required Follow-Up Call"/>
    <n v="11.100000000034925"/>
  </r>
  <r>
    <s v="TCK-22591"/>
    <d v="2026-03-06T14:27:00"/>
    <x v="3"/>
    <s v="Talha Nadeem"/>
    <s v="Rawalpindi"/>
    <s v="Email"/>
    <s v="Refund Request"/>
    <s v="High"/>
    <n v="8"/>
    <s v="Resolved"/>
    <d v="2026-03-06T18:01:00"/>
    <s v="No"/>
    <n v="5"/>
    <s v="Awaiting Customer Response"/>
    <n v="3.5666666667675599"/>
  </r>
  <r>
    <s v="TCK-22436"/>
    <d v="2026-03-27T11:13:00"/>
    <x v="1"/>
    <s v="Ayaan Khalid"/>
    <s v="Faisalabad"/>
    <s v="Email"/>
    <s v="Account Access"/>
    <s v="High"/>
    <n v="8"/>
    <s v="Escalated"/>
    <s v="Missing Resolve Date"/>
    <s v="Yes"/>
    <m/>
    <s v="Not Specified"/>
    <s v=""/>
  </r>
  <r>
    <s v="TCK-21980"/>
    <d v="2026-01-05T18:50:00"/>
    <x v="1"/>
    <s v="Zara Hussain"/>
    <s v="Karachi"/>
    <s v="Portal"/>
    <s v="Account Access"/>
    <s v="Medium"/>
    <n v="24"/>
    <s v="Resolved"/>
    <d v="2026-01-08T18:21:00"/>
    <s v="No"/>
    <m/>
    <s v="Repeat Issue From Same Customer"/>
    <n v="71.516666666662786"/>
  </r>
  <r>
    <s v="TCK-20772"/>
    <d v="2026-05-05T05:30:00"/>
    <x v="1"/>
    <s v="Ayaan Khalid"/>
    <s v="Lahore"/>
    <s v="Phone"/>
    <s v="Technical Issue"/>
    <s v="Critical"/>
    <n v="4"/>
    <s v="Resolved"/>
    <d v="2026-05-05T10:07:00"/>
    <s v="No"/>
    <n v="2"/>
    <s v="Escalated To Senior Agent"/>
    <n v="4.6166666666977108"/>
  </r>
  <r>
    <s v="TCK-22731"/>
    <d v="2026-02-20T23:14:00"/>
    <x v="2"/>
    <s v="Bilal Chaudhry"/>
    <s v="Lahore"/>
    <s v="Email"/>
    <s v="Account Access"/>
    <s v="Critical"/>
    <n v="4"/>
    <s v="Resolved"/>
    <d v="2026-02-20T23:44:00"/>
    <s v="No"/>
    <n v="5"/>
    <s v="Not Specified"/>
    <n v="0.50000000005820766"/>
  </r>
  <r>
    <s v="TCK-21083"/>
    <d v="2026-01-09T20:54:00"/>
    <x v="3"/>
    <s v="Talha Nadeem"/>
    <s v="Islamabad"/>
    <s v="Portal"/>
    <s v="Refund Request"/>
    <s v="Critical"/>
    <n v="4"/>
    <s v="In Progress"/>
    <s v="Missing Resolve Date"/>
    <s v="No"/>
    <m/>
    <s v="Customer Requested Refund"/>
    <s v=""/>
  </r>
  <r>
    <s v="TCK-20529"/>
    <d v="2026-08-26T04:58:00"/>
    <x v="0"/>
    <s v="Rehan Qureshi"/>
    <s v="Lahore"/>
    <s v="Chat"/>
    <s v="General Inquiry"/>
    <s v="High"/>
    <n v="8"/>
    <s v="Resolved"/>
    <d v="2026-08-26T11:58:00"/>
    <s v="No"/>
    <m/>
    <s v="Not Specified"/>
    <n v="7.0000000001164153"/>
  </r>
  <r>
    <s v="TCK-22817"/>
    <d v="2026-03-25T10:14:00"/>
    <x v="1"/>
    <s v="Zara Hussain"/>
    <s v="Rawalpindi"/>
    <s v="Portal"/>
    <s v="Technical Issue"/>
    <s v="Low"/>
    <n v="48"/>
    <s v="In Progress"/>
    <s v="Missing Resolve Date"/>
    <s v="No"/>
    <m/>
    <s v="Customer Requested Refund"/>
    <s v=""/>
  </r>
  <r>
    <s v="TCK-20423"/>
    <d v="2026-04-10T00:06:00"/>
    <x v="0"/>
    <s v="Sadia Anwar"/>
    <s v="Karachi"/>
    <s v="Email"/>
    <s v="Delivery Delay"/>
    <s v="Low"/>
    <n v="48"/>
    <s v="Escalated"/>
    <s v="Missing Resolve Date"/>
    <s v="Yes"/>
    <m/>
    <s v="Customer Requested Refund"/>
    <s v=""/>
  </r>
  <r>
    <s v="TCK-20830"/>
    <d v="2026-04-05T21:31:00"/>
    <x v="1"/>
    <s v="Zara Hussain"/>
    <s v="Faisalabad"/>
    <s v="Chat"/>
    <s v="Delivery Delay"/>
    <s v="Low"/>
    <n v="48"/>
    <s v="Open"/>
    <s v="Missing Resolve Date"/>
    <s v="No"/>
    <m/>
    <s v="Not Specified"/>
    <s v=""/>
  </r>
  <r>
    <s v="TCK-20168"/>
    <d v="2026-01-19T15:27:00"/>
    <x v="1"/>
    <s v="Ayaan Khalid"/>
    <s v="Lahore"/>
    <s v="Email"/>
    <s v="Billing Issue"/>
    <s v="Medium"/>
    <n v="24"/>
    <s v="Open"/>
    <s v="Missing Resolve Date"/>
    <s v="No"/>
    <m/>
    <s v="Required Follow-Up Call"/>
    <s v=""/>
  </r>
  <r>
    <s v="TCK-21677"/>
    <d v="2026-05-05T13:22:00"/>
    <x v="1"/>
    <s v="Zara Hussain"/>
    <s v="Lahore"/>
    <s v="Portal"/>
    <s v="Account Access"/>
    <s v="High"/>
    <n v="8"/>
    <s v="Resolved"/>
    <d v="2026-05-06T06:55:00"/>
    <s v="No"/>
    <m/>
    <s v="Awaiting Customer Response"/>
    <n v="17.550000000104774"/>
  </r>
  <r>
    <s v="TCK-20682"/>
    <d v="2026-02-15T07:07:00"/>
    <x v="2"/>
    <s v="Bilal Chaudhry"/>
    <s v="Karachi"/>
    <s v="Chat"/>
    <s v="General Inquiry"/>
    <s v="High"/>
    <n v="8"/>
    <s v="Open"/>
    <s v="Missing Resolve Date"/>
    <s v="No"/>
    <m/>
    <s v="Not Specified"/>
    <s v=""/>
  </r>
  <r>
    <s v="TCK-23079"/>
    <d v="2026-08-19T08:50:00"/>
    <x v="1"/>
    <s v="Zara Hussain"/>
    <s v="Rawalpindi"/>
    <s v="Portal"/>
    <s v="General Inquiry"/>
    <s v="High"/>
    <n v="8"/>
    <s v="Closed"/>
    <d v="2026-08-19T12:58:00"/>
    <s v="Yes"/>
    <m/>
    <s v="Escalated To Senior Agent"/>
    <n v="4.1333333333604969"/>
  </r>
  <r>
    <s v="TCK-21711"/>
    <d v="2026-02-16T10:07:00"/>
    <x v="3"/>
    <s v="Talha Nadeem"/>
    <s v="Karachi"/>
    <s v="Chat"/>
    <s v="Account Access"/>
    <s v="Low"/>
    <n v="48"/>
    <s v="Resolved"/>
    <d v="2026-02-16T13:15:00"/>
    <s v="No"/>
    <n v="5"/>
    <s v="Repeat Issue From Same Customer"/>
    <n v="3.1333333334187046"/>
  </r>
  <r>
    <s v="TCK-20464"/>
    <d v="2026-08-23T21:53:00"/>
    <x v="0"/>
    <s v="Sadia Anwar"/>
    <s v="Peshawar"/>
    <s v="Email"/>
    <s v="Account Access"/>
    <s v="Low"/>
    <n v="48"/>
    <s v="Open"/>
    <s v="Missing Resolve Date"/>
    <s v="No"/>
    <m/>
    <s v="Awaiting Customer Response"/>
    <s v=""/>
  </r>
  <r>
    <s v="TCK-20619"/>
    <d v="2026-08-16T13:03:00"/>
    <x v="3"/>
    <s v="Iqra Basit"/>
    <s v="Peshawar"/>
    <s v="Portal"/>
    <s v="Account Access"/>
    <s v="Medium"/>
    <n v="24"/>
    <s v="Resolved"/>
    <d v="2026-08-17T04:04:00"/>
    <s v="No"/>
    <m/>
    <s v="Not Specified"/>
    <n v="15.016666666720994"/>
  </r>
  <r>
    <s v="TCK-22838"/>
    <d v="2026-04-05T15:58:00"/>
    <x v="3"/>
    <s v="Talha Nadeem"/>
    <s v="Multan"/>
    <s v="Email"/>
    <s v="Refund Request"/>
    <s v="Medium"/>
    <n v="24"/>
    <s v="In Progress"/>
    <s v="Missing Resolve Date"/>
    <s v="No"/>
    <m/>
    <s v="Resolved On First Contact"/>
    <s v=""/>
  </r>
  <r>
    <s v="TCK-21128"/>
    <d v="2026-05-28T08:03:00"/>
    <x v="3"/>
    <s v="Iqra Basit"/>
    <s v="Peshawar"/>
    <s v="Portal"/>
    <s v="Delivery Delay"/>
    <s v="High"/>
    <n v="8"/>
    <s v="Escalated"/>
    <s v="Missing Resolve Date"/>
    <s v="Yes"/>
    <m/>
    <s v="Not Specified"/>
    <s v=""/>
  </r>
  <r>
    <s v="TCK-22063"/>
    <d v="2026-03-29T03:31:00"/>
    <x v="1"/>
    <s v="Ayaan Khalid"/>
    <s v="Islamabad"/>
    <s v="Portal"/>
    <s v="Technical Issue"/>
    <s v="High"/>
    <n v="8"/>
    <s v="Open"/>
    <s v="Missing Resolve Date"/>
    <s v="No"/>
    <m/>
    <s v="Not Specified"/>
    <s v=""/>
  </r>
  <r>
    <s v="TCK-22064"/>
    <d v="2026-08-23T04:50:00"/>
    <x v="3"/>
    <s v="Iqra Basit"/>
    <s v="Islamabad"/>
    <s v="Portal"/>
    <s v="Billing Issue"/>
    <s v="High"/>
    <n v="8"/>
    <s v="In Progress"/>
    <s v="Missing Resolve Date"/>
    <s v="No"/>
    <m/>
    <s v="Awaiting Customer Response"/>
    <s v=""/>
  </r>
  <r>
    <s v="TCK-23153"/>
    <d v="2026-05-29T06:08:00"/>
    <x v="3"/>
    <s v="Talha Nadeem"/>
    <s v="Karachi"/>
    <s v="Email"/>
    <s v="Billing Issue"/>
    <s v="Low"/>
    <n v="48"/>
    <s v="Resolved"/>
    <d v="2026-06-02T21:24:00"/>
    <s v="Yes"/>
    <n v="1"/>
    <s v="Not Specified"/>
    <n v="111.26666666666279"/>
  </r>
  <r>
    <s v="TCK-22955"/>
    <d v="2026-05-15T22:48:00"/>
    <x v="1"/>
    <s v="Ayaan Khalid"/>
    <s v="Peshawar"/>
    <s v="Portal"/>
    <s v="Delivery Delay"/>
    <s v="Low"/>
    <n v="48"/>
    <s v="In Progress"/>
    <s v="Missing Resolve Date"/>
    <s v="No"/>
    <m/>
    <s v="Resolved On First Contact"/>
    <s v=""/>
  </r>
  <r>
    <s v="TCK-20078"/>
    <d v="2026-06-03T02:01:00"/>
    <x v="2"/>
    <s v="Bilal Chaudhry"/>
    <s v="Peshawar"/>
    <s v="Phone"/>
    <s v="Delivery Delay"/>
    <s v="Medium"/>
    <n v="24"/>
    <s v="Re-Opened"/>
    <d v="2026-06-03T19:34:00"/>
    <s v="No"/>
    <m/>
    <s v="Awaiting Customer Response"/>
    <n v="17.550000000104774"/>
  </r>
  <r>
    <s v="TCK-23045"/>
    <d v="2026-07-11T22:39:00"/>
    <x v="1"/>
    <s v="Zara Hussain"/>
    <s v="Faisalabad"/>
    <s v="Chat"/>
    <s v="General Inquiry"/>
    <s v="High"/>
    <n v="8"/>
    <s v="Resolved"/>
    <d v="2026-07-12T14:00:00"/>
    <s v="No"/>
    <n v="3"/>
    <s v="Resolved On First Contact"/>
    <n v="15.350000000093132"/>
  </r>
  <r>
    <s v="TCK-20509"/>
    <d v="2026-04-13T16:36:00"/>
    <x v="0"/>
    <s v="Rehan Qureshi"/>
    <s v="Peshawar"/>
    <s v="Portal"/>
    <s v="Delivery Delay"/>
    <s v="High"/>
    <n v="8"/>
    <s v="Resolved"/>
    <d v="2026-04-13T21:04:00"/>
    <s v="No"/>
    <n v="1"/>
    <s v="Not Specified"/>
    <n v="4.4666666667326353"/>
  </r>
  <r>
    <s v="TCK-22046"/>
    <d v="2026-03-21T19:34:00"/>
    <x v="2"/>
    <s v="Mahnoor Aslam"/>
    <s v="Rawalpindi"/>
    <s v="Email"/>
    <s v="Account Access"/>
    <s v="Low"/>
    <n v="48"/>
    <s v="In Progress"/>
    <s v="Missing Resolve Date"/>
    <s v="No"/>
    <m/>
    <s v="Not Specified"/>
    <s v=""/>
  </r>
  <r>
    <s v="TCK-20631"/>
    <d v="2026-05-10T10:21:00"/>
    <x v="3"/>
    <s v="Talha Nadeem"/>
    <s v="Islamabad"/>
    <s v="Email"/>
    <s v="Refund Request"/>
    <s v="Critical"/>
    <n v="4"/>
    <s v="Open"/>
    <s v="Missing Resolve Date"/>
    <s v="No"/>
    <m/>
    <s v="Escalated To Senior Agent"/>
    <s v=""/>
  </r>
  <r>
    <s v="TCK-21475"/>
    <d v="2026-07-26T15:10:00"/>
    <x v="1"/>
    <s v="Ayaan Khalid"/>
    <s v="Multan"/>
    <s v="Email"/>
    <s v="Refund Request"/>
    <s v="Low"/>
    <n v="48"/>
    <s v="Resolved"/>
    <d v="2026-07-28T03:23:00"/>
    <s v="No"/>
    <n v="4"/>
    <s v="Technical Issue Resolved Remotely"/>
    <n v="36.216666666674428"/>
  </r>
  <r>
    <s v="TCK-22462"/>
    <d v="2026-05-29T10:12:00"/>
    <x v="0"/>
    <s v="Rehan Qureshi"/>
    <s v="Peshawar"/>
    <s v="Chat"/>
    <s v="Account Access"/>
    <s v="Low"/>
    <n v="48"/>
    <s v="Closed"/>
    <d v="2026-05-30T03:46:00"/>
    <s v="No"/>
    <n v="5"/>
    <s v="Resolved On First Contact"/>
    <n v="17.566666666651145"/>
  </r>
  <r>
    <s v="TCK-22398"/>
    <d v="2026-04-09T22:46:00"/>
    <x v="3"/>
    <s v="Talha Nadeem"/>
    <s v="Faisalabad"/>
    <s v="Chat"/>
    <s v="Technical Issue"/>
    <s v="Medium"/>
    <n v="24"/>
    <s v="Escalated"/>
    <s v="Missing Resolve Date"/>
    <s v="Yes"/>
    <m/>
    <s v="Technical Issue Resolved Remotely"/>
    <s v=""/>
  </r>
  <r>
    <s v="TCK-20552"/>
    <d v="2026-05-14T18:14:00"/>
    <x v="1"/>
    <s v="Zara Hussain"/>
    <s v="Rawalpindi"/>
    <s v="Email"/>
    <s v="Billing Issue"/>
    <s v="Low"/>
    <n v="48"/>
    <s v="In Progress"/>
    <s v="Missing Resolve Date"/>
    <s v="No"/>
    <m/>
    <s v="Not Specified"/>
    <s v=""/>
  </r>
  <r>
    <s v="TCK-20013"/>
    <d v="2026-01-08T04:16:00"/>
    <x v="2"/>
    <s v="Mahnoor Aslam"/>
    <s v="Faisalabad"/>
    <s v="Phone"/>
    <s v="Account Access"/>
    <s v="High"/>
    <n v="8"/>
    <s v="Closed"/>
    <d v="2026-01-08T06:59:00"/>
    <s v="No"/>
    <n v="5"/>
    <s v="Awaiting Customer Response"/>
    <n v="2.716666666790843"/>
  </r>
  <r>
    <s v="TCK-21415"/>
    <d v="2026-06-26T21:22:00"/>
    <x v="3"/>
    <s v="Iqra Basit"/>
    <s v="Islamabad"/>
    <s v="Phone"/>
    <s v="Refund Request"/>
    <s v="Medium"/>
    <n v="24"/>
    <s v="Resolved"/>
    <d v="2026-06-27T05:45:00"/>
    <s v="No"/>
    <n v="1"/>
    <s v="Not Specified"/>
    <n v="8.3833333334187046"/>
  </r>
  <r>
    <s v="TCK-21157"/>
    <d v="2026-02-19T01:57:00"/>
    <x v="1"/>
    <s v="Zara Hussain"/>
    <s v="Lahore"/>
    <s v="Email"/>
    <s v="Refund Request"/>
    <s v="Medium"/>
    <n v="24"/>
    <s v="Closed"/>
    <d v="2026-02-19T07:25:00"/>
    <s v="No"/>
    <m/>
    <s v="Customer Satisfied With Resolution"/>
    <n v="5.4666666666744277"/>
  </r>
  <r>
    <s v="TCK-20586"/>
    <d v="2026-07-13T10:47:00"/>
    <x v="2"/>
    <s v="Bilal Chaudhry"/>
    <s v="Lahore"/>
    <s v="Phone"/>
    <s v="General Inquiry"/>
    <s v="Medium"/>
    <n v="24"/>
    <s v="Resolved"/>
    <d v="2026-07-14T17:09:00"/>
    <s v="No"/>
    <n v="3"/>
    <s v="Not Specified"/>
    <n v="30.366666666639503"/>
  </r>
  <r>
    <s v="TCK-21913"/>
    <d v="2026-08-12T03:26:00"/>
    <x v="0"/>
    <s v="Rehan Qureshi"/>
    <s v="Multan"/>
    <s v="Email"/>
    <s v="Billing Issue"/>
    <s v="Medium"/>
    <n v="24"/>
    <s v="Closed"/>
    <d v="2026-08-13T16:16:00"/>
    <s v="No"/>
    <n v="4"/>
    <s v="Customer Requested Refund"/>
    <n v="36.833333333255723"/>
  </r>
  <r>
    <s v="TCK-23040"/>
    <d v="2026-06-05T11:28:00"/>
    <x v="1"/>
    <s v="Zara Hussain"/>
    <s v="Faisalabad"/>
    <s v="Chat"/>
    <s v="Delivery Delay"/>
    <s v="Medium"/>
    <n v="24"/>
    <s v="Closed"/>
    <d v="2026-06-05T15:50:00"/>
    <s v="No"/>
    <n v="2"/>
    <s v="Customer Requested Refund"/>
    <n v="4.3666666665812954"/>
  </r>
  <r>
    <s v="TCK-23084"/>
    <d v="2026-01-27T21:41:00"/>
    <x v="1"/>
    <s v="Ayaan Khalid"/>
    <s v="Peshawar"/>
    <s v="Chat"/>
    <s v="Refund Request"/>
    <s v="Medium"/>
    <n v="24"/>
    <s v="Closed"/>
    <d v="2026-01-28T12:52:00"/>
    <s v="No"/>
    <n v="2"/>
    <s v="Customer Requested Refund"/>
    <n v="15.183333333407063"/>
  </r>
  <r>
    <s v="TCK-21268"/>
    <d v="2026-05-15T03:49:00"/>
    <x v="3"/>
    <s v="Iqra Basit"/>
    <s v="Peshawar"/>
    <s v="Email"/>
    <s v="Delivery Delay"/>
    <s v="High"/>
    <n v="8"/>
    <s v="Resolved"/>
    <d v="2026-05-15T05:40:00"/>
    <s v="No"/>
    <n v="1"/>
    <s v="Resolved On First Contact"/>
    <n v="1.8499999999185093"/>
  </r>
  <r>
    <s v="TCK-21934"/>
    <d v="2026-07-13T10:23:00"/>
    <x v="0"/>
    <s v="Rehan Qureshi"/>
    <s v="Lahore"/>
    <s v="Portal"/>
    <s v="Technical Issue"/>
    <s v="Critical"/>
    <n v="4"/>
    <s v="In Progress"/>
    <s v="Missing Resolve Date"/>
    <s v="No"/>
    <m/>
    <s v="Customer Satisfied With Resolution"/>
    <s v=""/>
  </r>
  <r>
    <s v="TCK-21620"/>
    <d v="2026-07-03T22:27:00"/>
    <x v="1"/>
    <s v="Zara Hussain"/>
    <s v="Multan"/>
    <s v="Email"/>
    <s v="Technical Issue"/>
    <s v="Critical"/>
    <n v="4"/>
    <s v="Closed"/>
    <s v="Missing Resolve Date"/>
    <s v="No"/>
    <n v="2"/>
    <s v="Resolved On First Contact"/>
    <s v=""/>
  </r>
  <r>
    <s v="TCK-22278"/>
    <d v="2026-04-10T06:45:00"/>
    <x v="2"/>
    <s v="Bilal Chaudhry"/>
    <s v="Islamabad"/>
    <s v="Email"/>
    <s v="Refund Request"/>
    <s v="High"/>
    <n v="8"/>
    <s v="Closed"/>
    <d v="2026-04-10T09:15:00"/>
    <s v="No"/>
    <n v="4"/>
    <s v="Resolved On First Contact"/>
    <n v="2.4999999999417923"/>
  </r>
  <r>
    <s v="TCK-21288"/>
    <d v="2026-03-19T08:49:00"/>
    <x v="0"/>
    <s v="Sadia Anwar"/>
    <s v="Islamabad"/>
    <s v="Email"/>
    <s v="Refund Request"/>
    <s v="Low"/>
    <n v="48"/>
    <s v="Closed"/>
    <d v="2026-03-20T06:13:00"/>
    <s v="No"/>
    <n v="3"/>
    <s v="Required Follow-Up Call"/>
    <n v="21.400000000081491"/>
  </r>
  <r>
    <s v="TCK-22761"/>
    <d v="2026-04-30T07:08:00"/>
    <x v="3"/>
    <s v="Iqra Basit"/>
    <s v="Karachi"/>
    <s v="Email"/>
    <s v="General Inquiry"/>
    <s v="High"/>
    <n v="8"/>
    <s v="Resolved"/>
    <d v="2026-04-30T08:54:00"/>
    <s v="Yes"/>
    <n v="2"/>
    <s v="Resolved On First Contact"/>
    <n v="1.7666666666627862"/>
  </r>
  <r>
    <s v="TCK-22083"/>
    <d v="2026-06-27T17:42:00"/>
    <x v="0"/>
    <s v="Rehan Qureshi"/>
    <s v="Rawalpindi"/>
    <s v="Phone"/>
    <s v="Technical Issue"/>
    <s v="Low"/>
    <n v="48"/>
    <s v="In Progress"/>
    <s v="Missing Resolve Date"/>
    <s v="No"/>
    <m/>
    <s v="Not Specified"/>
    <s v=""/>
  </r>
  <r>
    <s v="TCK-20700"/>
    <d v="2026-05-30T00:14:00"/>
    <x v="3"/>
    <s v="Iqra Basit"/>
    <s v="Peshawar"/>
    <s v="Email"/>
    <s v="Refund Request"/>
    <s v="Low"/>
    <n v="48"/>
    <s v="Resolved"/>
    <d v="2026-05-31T08:39:00"/>
    <s v="No"/>
    <m/>
    <s v="Repeat Issue From Same Customer"/>
    <n v="32.416666666686069"/>
  </r>
  <r>
    <s v="TCK-20933"/>
    <d v="2026-05-21T08:32:00"/>
    <x v="2"/>
    <s v="Bilal Chaudhry"/>
    <s v="Rawalpindi"/>
    <s v="Phone"/>
    <s v="Technical Issue"/>
    <s v="High"/>
    <n v="8"/>
    <s v="Closed"/>
    <d v="2026-05-21T14:50:00"/>
    <s v="No"/>
    <n v="3"/>
    <s v="Repeat Issue From Same Customer"/>
    <n v="6.2999999999301508"/>
  </r>
  <r>
    <s v="TCK-22152"/>
    <d v="2026-05-17T11:55:00"/>
    <x v="1"/>
    <s v="Ayaan Khalid"/>
    <s v="Islamabad"/>
    <s v="Portal"/>
    <s v="Technical Issue"/>
    <s v="Low"/>
    <n v="48"/>
    <s v="Resolved"/>
    <s v="Missing Resolve Date"/>
    <s v="No"/>
    <n v="3"/>
    <s v="Customer Requested Refund"/>
    <s v=""/>
  </r>
  <r>
    <s v="TCK-22901"/>
    <d v="2026-03-07T04:25:00"/>
    <x v="2"/>
    <s v="Mahnoor Aslam"/>
    <s v="Lahore"/>
    <s v="Portal"/>
    <s v="Technical Issue"/>
    <s v="Low"/>
    <n v="48"/>
    <s v="Resolved"/>
    <d v="2026-03-08T16:54:00"/>
    <s v="No"/>
    <m/>
    <s v="Not Specified"/>
    <n v="36.483333333337214"/>
  </r>
  <r>
    <s v="TCK-21514"/>
    <d v="2026-07-14T10:48:00"/>
    <x v="2"/>
    <s v="Mahnoor Aslam"/>
    <s v="Islamabad"/>
    <s v="Email"/>
    <s v="Refund Request"/>
    <s v="Medium"/>
    <n v="24"/>
    <s v="Closed"/>
    <d v="2026-07-14T18:24:00"/>
    <s v="No"/>
    <n v="5"/>
    <s v="Escalated To Senior Agent"/>
    <n v="7.6000000001513399"/>
  </r>
  <r>
    <s v="TCK-21552"/>
    <d v="2026-01-16T20:38:00"/>
    <x v="1"/>
    <s v="Zara Hussain"/>
    <s v="Peshawar"/>
    <s v="Chat"/>
    <s v="Account Access"/>
    <s v="High"/>
    <n v="8"/>
    <s v="Resolved"/>
    <d v="2026-01-17T09:42:00"/>
    <s v="No"/>
    <m/>
    <s v="Not Specified"/>
    <n v="13.066666666651145"/>
  </r>
  <r>
    <s v="TCK-20548"/>
    <d v="2026-05-31T11:28:00"/>
    <x v="0"/>
    <s v="Rehan Qureshi"/>
    <s v="Faisalabad"/>
    <s v="Phone"/>
    <s v="General Inquiry"/>
    <s v="High"/>
    <n v="8"/>
    <s v="Resolved"/>
    <d v="2026-05-31T23:55:00"/>
    <s v="No"/>
    <n v="5"/>
    <s v="Resolved On First Contact"/>
    <n v="12.450000000069849"/>
  </r>
  <r>
    <s v="TCK-21439"/>
    <d v="2026-07-04T19:40:00"/>
    <x v="0"/>
    <s v="Sadia Anwar"/>
    <s v="Peshawar"/>
    <s v="Portal"/>
    <s v="General Inquiry"/>
    <s v="Medium"/>
    <n v="24"/>
    <s v="Escalated"/>
    <s v="Missing Resolve Date"/>
    <s v="Yes"/>
    <m/>
    <s v="Escalated To Senior Agent"/>
    <s v=""/>
  </r>
  <r>
    <s v="TCK-20359"/>
    <d v="2026-04-24T10:53:00"/>
    <x v="2"/>
    <s v="Bilal Chaudhry"/>
    <s v="Multan"/>
    <s v="Phone"/>
    <s v="Billing Issue"/>
    <s v="Critical"/>
    <n v="4"/>
    <s v="Escalated"/>
    <s v="Missing Resolve Date"/>
    <s v="Yes"/>
    <m/>
    <s v="Repeat Issue From Same Customer"/>
    <s v=""/>
  </r>
  <r>
    <s v="TCK-22760"/>
    <d v="2026-04-18T16:07:00"/>
    <x v="3"/>
    <s v="Talha Nadeem"/>
    <s v="Islamabad"/>
    <s v="Phone"/>
    <s v="General Inquiry"/>
    <s v="Low"/>
    <n v="48"/>
    <s v="Resolved"/>
    <d v="2026-04-19T09:56:00"/>
    <s v="No"/>
    <m/>
    <s v="Customer Requested Refund"/>
    <n v="17.81666666676756"/>
  </r>
  <r>
    <s v="TCK-22891"/>
    <d v="2026-06-25T10:51:00"/>
    <x v="1"/>
    <s v="Zara Hussain"/>
    <s v="Lahore"/>
    <s v="Portal"/>
    <s v="Billing Issue"/>
    <s v="Medium"/>
    <n v="24"/>
    <s v="Re-Opened"/>
    <d v="2026-06-25T20:33:00"/>
    <s v="No"/>
    <m/>
    <s v="Not Specified"/>
    <n v="9.7000000000116415"/>
  </r>
  <r>
    <s v="TCK-21156"/>
    <d v="2026-07-30T12:43:00"/>
    <x v="2"/>
    <s v="Bilal Chaudhry"/>
    <s v="Rawalpindi"/>
    <s v="Phone"/>
    <s v="Refund Request"/>
    <s v="Critical"/>
    <n v="4"/>
    <s v="Closed"/>
    <d v="2026-07-30T21:36:00"/>
    <s v="No"/>
    <m/>
    <s v="Customer Requested Refund"/>
    <n v="8.8833333333022892"/>
  </r>
  <r>
    <s v="TCK-21167"/>
    <d v="2026-06-04T23:33:00"/>
    <x v="2"/>
    <s v="Mahnoor Aslam"/>
    <s v="Islamabad"/>
    <s v="Chat"/>
    <s v="Technical Issue"/>
    <s v="Medium"/>
    <n v="24"/>
    <s v="Resolved"/>
    <d v="2026-06-05T02:48:00"/>
    <s v="No"/>
    <n v="5"/>
    <s v="Escalated To Senior Agent"/>
    <n v="3.2500000001164153"/>
  </r>
  <r>
    <s v="TCK-22026"/>
    <d v="2026-07-07T20:02:00"/>
    <x v="3"/>
    <s v="Talha Nadeem"/>
    <s v="Faisalabad"/>
    <s v="Chat"/>
    <s v="Delivery Delay"/>
    <s v="Critical"/>
    <n v="4"/>
    <s v="Open"/>
    <s v="Missing Resolve Date"/>
    <s v="No"/>
    <m/>
    <s v="Customer Requested Refund"/>
    <s v=""/>
  </r>
  <r>
    <s v="TCK-20618"/>
    <d v="2026-08-09T08:06:00"/>
    <x v="0"/>
    <s v="Rehan Qureshi"/>
    <s v="Peshawar"/>
    <s v="Email"/>
    <s v="Technical Issue"/>
    <s v="Low"/>
    <n v="48"/>
    <s v="Resolved"/>
    <d v="2026-08-10T05:55:00"/>
    <s v="No"/>
    <m/>
    <s v="Technical Issue Resolved Remotely"/>
    <n v="21.816666666709352"/>
  </r>
  <r>
    <s v="TCK-20059"/>
    <d v="2026-07-29T02:41:00"/>
    <x v="0"/>
    <s v="Rehan Qureshi"/>
    <s v="Peshawar"/>
    <s v="Phone"/>
    <s v="Account Access"/>
    <s v="High"/>
    <n v="8"/>
    <s v="Closed"/>
    <d v="2026-07-29T07:18:00"/>
    <s v="No"/>
    <n v="5"/>
    <s v="Escalated To Senior Agent"/>
    <n v="4.6166666666977108"/>
  </r>
  <r>
    <s v="TCK-21039"/>
    <d v="2026-06-04T09:50:00"/>
    <x v="1"/>
    <s v="Zara Hussain"/>
    <s v="Karachi"/>
    <s v="Email"/>
    <s v="Delivery Delay"/>
    <s v="Low"/>
    <n v="48"/>
    <s v="Open"/>
    <s v="Missing Resolve Date"/>
    <s v="No"/>
    <m/>
    <s v="Required Follow-Up Call"/>
    <s v=""/>
  </r>
  <r>
    <s v="TCK-22777"/>
    <d v="2026-04-09T01:35:00"/>
    <x v="0"/>
    <s v="Rehan Qureshi"/>
    <s v="Lahore"/>
    <s v="Portal"/>
    <s v="Refund Request"/>
    <s v="Medium"/>
    <n v="24"/>
    <s v="Resolved"/>
    <d v="2026-04-09T10:33:00"/>
    <s v="No"/>
    <n v="5"/>
    <s v="Customer Requested Refund"/>
    <n v="8.9666666667326353"/>
  </r>
  <r>
    <s v="TCK-22771"/>
    <d v="2026-03-06T06:12:00"/>
    <x v="1"/>
    <s v="Ayaan Khalid"/>
    <s v="Lahore"/>
    <s v="Email"/>
    <s v="Account Access"/>
    <s v="Low"/>
    <n v="48"/>
    <s v="Resolved"/>
    <d v="2026-03-07T20:58:00"/>
    <s v="No"/>
    <n v="5"/>
    <s v="Not Specified"/>
    <n v="38.766666666779201"/>
  </r>
  <r>
    <s v="TCK-21793"/>
    <d v="2026-03-20T05:51:00"/>
    <x v="1"/>
    <s v="Zara Hussain"/>
    <s v="Karachi"/>
    <s v="Portal"/>
    <s v="Billing Issue"/>
    <s v="Low"/>
    <n v="48"/>
    <s v="Closed"/>
    <d v="2026-03-25T13:22:00"/>
    <s v="Yes"/>
    <n v="5"/>
    <s v="Not Specified"/>
    <n v="127.51666666654637"/>
  </r>
  <r>
    <s v="TCK-20887"/>
    <d v="2026-08-08T20:58:00"/>
    <x v="0"/>
    <s v="Sadia Anwar"/>
    <s v="Rawalpindi"/>
    <s v="Portal"/>
    <s v="Delivery Delay"/>
    <s v="Low"/>
    <n v="48"/>
    <s v="Closed"/>
    <d v="2026-08-09T14:19:00"/>
    <s v="No"/>
    <n v="2"/>
    <s v="Customer Requested Refund"/>
    <n v="17.349999999976717"/>
  </r>
  <r>
    <s v="TCK-21099"/>
    <d v="2026-03-26T01:13:00"/>
    <x v="2"/>
    <s v="Mahnoor Aslam"/>
    <s v="Faisalabad"/>
    <s v="Portal"/>
    <s v="Refund Request"/>
    <s v="Low"/>
    <n v="48"/>
    <s v="Open"/>
    <s v="Missing Resolve Date"/>
    <s v="No"/>
    <m/>
    <s v="Resolved On First Contact"/>
    <s v=""/>
  </r>
  <r>
    <s v="TCK-20761"/>
    <d v="2026-03-31T08:10:00"/>
    <x v="3"/>
    <s v="Iqra Basit"/>
    <s v="Rawalpindi"/>
    <s v="Chat"/>
    <s v="Account Access"/>
    <s v="High"/>
    <n v="8"/>
    <s v="Escalated"/>
    <s v="Missing Resolve Date"/>
    <s v="Yes"/>
    <m/>
    <s v="Not Specified"/>
    <s v=""/>
  </r>
  <r>
    <s v="TCK-20203"/>
    <d v="2026-03-11T07:56:00"/>
    <x v="1"/>
    <s v="Ayaan Khalid"/>
    <s v="Faisalabad"/>
    <s v="Portal"/>
    <s v="Delivery Delay"/>
    <s v="Low"/>
    <n v="48"/>
    <s v="Closed"/>
    <d v="2026-03-15T15:01:00"/>
    <s v="No"/>
    <n v="4"/>
    <s v="Not Specified"/>
    <n v="103.08333333337214"/>
  </r>
  <r>
    <s v="TCK-22611"/>
    <d v="2026-02-05T12:32:00"/>
    <x v="3"/>
    <s v="Talha Nadeem"/>
    <s v="Faisalabad"/>
    <s v="Phone"/>
    <s v="Delivery Delay"/>
    <s v="Low"/>
    <n v="48"/>
    <s v="In Progress"/>
    <s v="Missing Resolve Date"/>
    <s v="No"/>
    <m/>
    <s v="Escalated To Senior Agent"/>
    <s v=""/>
  </r>
  <r>
    <s v="TCK-22041"/>
    <d v="2026-07-13T04:48:00"/>
    <x v="2"/>
    <s v="Bilal Chaudhry"/>
    <s v="Multan"/>
    <s v="Phone"/>
    <s v="General Inquiry"/>
    <s v="Low"/>
    <n v="48"/>
    <s v="Closed"/>
    <d v="2026-07-13T19:23:00"/>
    <s v="No"/>
    <n v="5"/>
    <s v="Customer Requested Refund"/>
    <n v="14.583333333372138"/>
  </r>
  <r>
    <s v="TCK-20970"/>
    <d v="2026-03-24T14:12:00"/>
    <x v="0"/>
    <s v="Sadia Anwar"/>
    <s v="Multan"/>
    <s v="Phone"/>
    <s v="Billing Issue"/>
    <s v="Low"/>
    <n v="48"/>
    <s v="Resolved"/>
    <d v="2026-03-25T13:46:00"/>
    <s v="No"/>
    <n v="3"/>
    <s v="Customer Satisfied With Resolution"/>
    <n v="23.566666666651145"/>
  </r>
  <r>
    <s v="TCK-20515"/>
    <d v="2026-08-19T17:27:00"/>
    <x v="1"/>
    <s v="Zara Hussain"/>
    <s v="Islamabad"/>
    <s v="Email"/>
    <s v="Delivery Delay"/>
    <s v="High"/>
    <n v="8"/>
    <s v="In Progress"/>
    <s v="Missing Resolve Date"/>
    <s v="No"/>
    <m/>
    <s v="Technical Issue Resolved Remotely"/>
    <s v=""/>
  </r>
  <r>
    <s v="TCK-21486"/>
    <d v="2026-02-11T23:55:00"/>
    <x v="1"/>
    <s v="Zara Hussain"/>
    <s v="Lahore"/>
    <s v="Email"/>
    <s v="Refund Request"/>
    <s v="Medium"/>
    <n v="24"/>
    <s v="Closed"/>
    <d v="2026-02-12T08:20:00"/>
    <s v="No"/>
    <n v="5"/>
    <s v="Escalated To Senior Agent"/>
    <n v="8.4166666665114462"/>
  </r>
  <r>
    <s v="TCK-20012"/>
    <d v="2026-01-09T10:51:00"/>
    <x v="0"/>
    <s v="Rehan Qureshi"/>
    <s v="Faisalabad"/>
    <s v="Portal"/>
    <s v="General Inquiry"/>
    <s v="High"/>
    <n v="8"/>
    <s v="Resolved"/>
    <d v="2026-01-09T11:47:00"/>
    <s v="No"/>
    <n v="5"/>
    <s v="Technical Issue Resolved Remotely"/>
    <n v="0.93333333340706304"/>
  </r>
  <r>
    <s v="TCK-22296"/>
    <d v="2026-03-25T16:27:00"/>
    <x v="1"/>
    <s v="Ayaan Khalid"/>
    <s v="Karachi"/>
    <s v="Phone"/>
    <s v="Delivery Delay"/>
    <s v="Medium"/>
    <n v="24"/>
    <s v="Closed"/>
    <d v="2026-03-26T02:49:00"/>
    <s v="No"/>
    <n v="3"/>
    <s v="Required Follow-Up Call"/>
    <n v="10.366666666581295"/>
  </r>
  <r>
    <s v="TCK-22658"/>
    <d v="2026-05-05T22:53:00"/>
    <x v="1"/>
    <s v="Ayaan Khalid"/>
    <s v="Multan"/>
    <s v="Chat"/>
    <s v="Delivery Delay"/>
    <s v="Low"/>
    <n v="48"/>
    <s v="Escalated"/>
    <s v="Missing Resolve Date"/>
    <s v="Yes"/>
    <m/>
    <s v="Not Specified"/>
    <s v=""/>
  </r>
  <r>
    <s v="TCK-21262"/>
    <d v="2026-06-12T00:53:00"/>
    <x v="1"/>
    <s v="Ayaan Khalid"/>
    <s v="Multan"/>
    <s v="Chat"/>
    <s v="Technical Issue"/>
    <s v="Low"/>
    <n v="48"/>
    <s v="In Progress"/>
    <s v="Missing Resolve Date"/>
    <s v="No"/>
    <m/>
    <s v="Technical Issue Resolved Remotely"/>
    <s v=""/>
  </r>
  <r>
    <s v="TCK-20911"/>
    <d v="2026-02-07T08:53:00"/>
    <x v="1"/>
    <s v="Ayaan Khalid"/>
    <s v="Peshawar"/>
    <s v="Email"/>
    <s v="Technical Issue"/>
    <s v="Low"/>
    <n v="48"/>
    <s v="Escalated"/>
    <s v="Missing Resolve Date"/>
    <s v="Yes"/>
    <m/>
    <s v="Resolved On First Contact"/>
    <s v=""/>
  </r>
  <r>
    <s v="TCK-22257"/>
    <d v="2026-04-11T22:45:00"/>
    <x v="3"/>
    <s v="Talha Nadeem"/>
    <s v="Lahore"/>
    <s v="Email"/>
    <s v="Refund Request"/>
    <s v="Medium"/>
    <n v="24"/>
    <s v="Closed"/>
    <d v="2026-04-12T14:50:00"/>
    <s v="No"/>
    <n v="4"/>
    <s v="Resolved On First Contact"/>
    <n v="16.083333333372138"/>
  </r>
  <r>
    <s v="TCK-21640"/>
    <d v="2026-01-15T02:37:00"/>
    <x v="3"/>
    <s v="Talha Nadeem"/>
    <s v="Peshawar"/>
    <s v="Email"/>
    <s v="Technical Issue"/>
    <s v="Medium"/>
    <n v="24"/>
    <s v="Closed"/>
    <d v="2026-01-15T20:34:00"/>
    <s v="No"/>
    <n v="1"/>
    <s v="Resolved On First Contact"/>
    <n v="17.950000000011642"/>
  </r>
  <r>
    <s v="TCK-22345"/>
    <d v="2026-05-15T02:54:00"/>
    <x v="2"/>
    <s v="Mahnoor Aslam"/>
    <s v="Peshawar"/>
    <s v="Email"/>
    <s v="Delivery Delay"/>
    <s v="Low"/>
    <n v="48"/>
    <s v="Resolved"/>
    <d v="2026-05-16T07:50:00"/>
    <s v="No"/>
    <n v="3"/>
    <s v="Resolved On First Contact"/>
    <n v="28.933333333348855"/>
  </r>
  <r>
    <s v="TCK-20987"/>
    <d v="2026-04-06T07:20:00"/>
    <x v="1"/>
    <s v="Zara Hussain"/>
    <s v="Lahore"/>
    <s v="Portal"/>
    <s v="Billing Issue"/>
    <s v="Critical"/>
    <n v="4"/>
    <s v="Resolved"/>
    <d v="2026-04-06T17:30:00"/>
    <s v="No"/>
    <n v="4"/>
    <s v="Awaiting Customer Response"/>
    <n v="10.166666666627862"/>
  </r>
  <r>
    <s v="TCK-20713"/>
    <d v="2026-01-06T13:02:00"/>
    <x v="3"/>
    <s v="Iqra Basit"/>
    <s v="Lahore"/>
    <s v="Chat"/>
    <s v="Delivery Delay"/>
    <s v="Critical"/>
    <n v="4"/>
    <s v="Resolved"/>
    <d v="2026-01-06T14:34:00"/>
    <s v="No"/>
    <m/>
    <s v="Awaiting Customer Response"/>
    <n v="1.5333333332673647"/>
  </r>
  <r>
    <s v="TCK-22970"/>
    <d v="2026-01-10T12:17:00"/>
    <x v="3"/>
    <s v="Talha Nadeem"/>
    <s v="Karachi"/>
    <s v="Chat"/>
    <s v="General Inquiry"/>
    <s v="High"/>
    <n v="8"/>
    <s v="Closed"/>
    <d v="2026-01-10T17:19:00"/>
    <s v="No"/>
    <m/>
    <s v="Awaiting Customer Response"/>
    <n v="5.0333333333255723"/>
  </r>
  <r>
    <s v="TCK-22268"/>
    <d v="2026-01-05T20:13:00"/>
    <x v="1"/>
    <s v="Zara Hussain"/>
    <s v="Peshawar"/>
    <s v="Portal"/>
    <s v="Refund Request"/>
    <s v="Medium"/>
    <n v="24"/>
    <s v="Resolved"/>
    <d v="2026-01-06T13:35:00"/>
    <s v="No"/>
    <n v="2"/>
    <s v="Customer Satisfied With Resolution"/>
    <n v="17.366666666523088"/>
  </r>
  <r>
    <s v="TCK-22989"/>
    <d v="2026-08-13T06:44:00"/>
    <x v="0"/>
    <s v="Sadia Anwar"/>
    <s v="Lahore"/>
    <s v="Portal"/>
    <s v="General Inquiry"/>
    <s v="Medium"/>
    <n v="24"/>
    <s v="Resolved"/>
    <d v="2026-08-13T11:56:00"/>
    <s v="No"/>
    <m/>
    <s v="Awaiting Customer Response"/>
    <n v="5.2000000000116415"/>
  </r>
  <r>
    <s v="TCK-21314"/>
    <d v="2026-02-11T06:26:00"/>
    <x v="1"/>
    <s v="Ayaan Khalid"/>
    <s v="Multan"/>
    <s v="Chat"/>
    <s v="Billing Issue"/>
    <s v="Medium"/>
    <n v="24"/>
    <s v="Resolved"/>
    <d v="2026-02-11T08:33:00"/>
    <s v="No"/>
    <m/>
    <s v="Required Follow-Up Call"/>
    <n v="2.1166666665812954"/>
  </r>
  <r>
    <s v="TCK-20927"/>
    <d v="2026-08-07T15:09:00"/>
    <x v="3"/>
    <s v="Talha Nadeem"/>
    <s v="Islamabad"/>
    <s v="Chat"/>
    <s v="General Inquiry"/>
    <s v="High"/>
    <n v="8"/>
    <s v="Resolved"/>
    <d v="2026-08-07T16:07:00"/>
    <s v="No"/>
    <m/>
    <s v="Escalated To Senior Agent"/>
    <n v="0.96666666667442769"/>
  </r>
  <r>
    <s v="TCK-20289"/>
    <d v="2026-07-01T11:32:00"/>
    <x v="1"/>
    <s v="Ayaan Khalid"/>
    <s v="Peshawar"/>
    <s v="Chat"/>
    <s v="Billing Issue"/>
    <s v="Low"/>
    <n v="48"/>
    <s v="Resolved"/>
    <d v="2026-07-02T07:23:00"/>
    <s v="No"/>
    <n v="1"/>
    <s v="Escalated To Senior Agent"/>
    <n v="19.849999999918509"/>
  </r>
  <r>
    <s v="TCK-21348"/>
    <d v="2026-03-03T11:18:00"/>
    <x v="2"/>
    <s v="Bilal Chaudhry"/>
    <s v="Peshawar"/>
    <s v="Email"/>
    <s v="General Inquiry"/>
    <s v="Low"/>
    <n v="48"/>
    <s v="Resolved"/>
    <d v="2026-03-05T20:50:00"/>
    <s v="No"/>
    <n v="5"/>
    <s v="Escalated To Senior Agent"/>
    <n v="57.533333333325572"/>
  </r>
  <r>
    <s v="TCK-20217"/>
    <d v="2026-04-16T09:41:00"/>
    <x v="2"/>
    <s v="Bilal Chaudhry"/>
    <s v="Peshawar"/>
    <s v="Phone"/>
    <s v="Technical Issue"/>
    <s v="High"/>
    <n v="8"/>
    <s v="Resolved"/>
    <d v="2026-04-16T16:42:00"/>
    <s v="No"/>
    <n v="5"/>
    <s v="Not Specified"/>
    <n v="7.0166666666627862"/>
  </r>
  <r>
    <s v="TCK-21929"/>
    <d v="2026-05-26T20:32:00"/>
    <x v="1"/>
    <s v="Zara Hussain"/>
    <s v="Faisalabad"/>
    <s v="Portal"/>
    <s v="Technical Issue"/>
    <s v="Medium"/>
    <n v="24"/>
    <s v="Escalated"/>
    <s v="Missing Resolve Date"/>
    <s v="Yes"/>
    <m/>
    <s v="Repeat Issue From Same Customer"/>
    <s v=""/>
  </r>
  <r>
    <s v="TCK-22247"/>
    <d v="2026-04-28T09:55:00"/>
    <x v="3"/>
    <s v="Iqra Basit"/>
    <s v="Faisalabad"/>
    <s v="Email"/>
    <s v="Account Access"/>
    <s v="Low"/>
    <n v="48"/>
    <s v="Closed"/>
    <d v="2026-04-28T14:45:00"/>
    <s v="No"/>
    <m/>
    <s v="Customer Satisfied With Resolution"/>
    <n v="4.8333333333721384"/>
  </r>
  <r>
    <s v="TCK-20475"/>
    <d v="2026-08-19T00:14:00"/>
    <x v="0"/>
    <s v="Rehan Qureshi"/>
    <s v="Islamabad"/>
    <s v="Phone"/>
    <s v="Account Access"/>
    <s v="Low"/>
    <n v="48"/>
    <s v="Open"/>
    <s v="Missing Resolve Date"/>
    <s v="No"/>
    <m/>
    <s v="Customer Satisfied With Resolution"/>
    <s v=""/>
  </r>
  <r>
    <s v="TCK-22766"/>
    <d v="2026-03-22T06:29:00"/>
    <x v="1"/>
    <s v="Ayaan Khalid"/>
    <s v="Lahore"/>
    <s v="Phone"/>
    <s v="General Inquiry"/>
    <s v="High"/>
    <n v="8"/>
    <s v="Open"/>
    <s v="Missing Resolve Date"/>
    <s v="Yes"/>
    <m/>
    <s v="Technical Issue Resolved Remotely"/>
    <s v=""/>
  </r>
  <r>
    <s v="TCK-20617"/>
    <d v="2026-03-04T00:03:00"/>
    <x v="2"/>
    <s v="Mahnoor Aslam"/>
    <s v="Lahore"/>
    <s v="Portal"/>
    <s v="Delivery Delay"/>
    <s v="Critical"/>
    <n v="4"/>
    <s v="Resolved"/>
    <d v="2026-03-04T01:00:00"/>
    <s v="No"/>
    <m/>
    <s v="Resolved On First Contact"/>
    <n v="0.94999999995343387"/>
  </r>
  <r>
    <s v="TCK-21244"/>
    <d v="2026-08-06T13:53:00"/>
    <x v="3"/>
    <s v="Iqra Basit"/>
    <s v="Lahore"/>
    <s v="Phone"/>
    <s v="Billing Issue"/>
    <s v="Critical"/>
    <n v="4"/>
    <s v="Escalated"/>
    <s v="Missing Resolve Date"/>
    <s v="Yes"/>
    <m/>
    <s v="Escalated To Senior Agent"/>
    <s v=""/>
  </r>
  <r>
    <s v="TCK-22053"/>
    <d v="2026-07-16T14:54:00"/>
    <x v="0"/>
    <s v="Sadia Anwar"/>
    <s v="Peshawar"/>
    <s v="Email"/>
    <s v="Technical Issue"/>
    <s v="Low"/>
    <n v="48"/>
    <s v="Closed"/>
    <d v="2026-07-17T11:06:00"/>
    <s v="No"/>
    <n v="5"/>
    <s v="Repeat Issue From Same Customer"/>
    <n v="20.200000000011642"/>
  </r>
  <r>
    <s v="TCK-22139"/>
    <d v="2026-05-27T13:22:00"/>
    <x v="3"/>
    <s v="Talha Nadeem"/>
    <s v="Peshawar"/>
    <s v="Phone"/>
    <s v="Delivery Delay"/>
    <s v="Critical"/>
    <n v="4"/>
    <s v="Resolved"/>
    <d v="2026-05-27T18:08:00"/>
    <s v="No"/>
    <n v="3"/>
    <s v="Escalated To Senior Agent"/>
    <n v="4.7666666668374091"/>
  </r>
  <r>
    <s v="TCK-20352"/>
    <d v="2026-02-15T01:27:00"/>
    <x v="0"/>
    <s v="Sadia Anwar"/>
    <s v="Faisalabad"/>
    <s v="Portal"/>
    <s v="Account Access"/>
    <s v="High"/>
    <n v="8"/>
    <s v="Resolved"/>
    <d v="2026-02-15T03:24:00"/>
    <s v="No"/>
    <m/>
    <s v="Resolved On First Contact"/>
    <n v="1.9500000000698492"/>
  </r>
  <r>
    <s v="TCK-22831"/>
    <d v="2026-08-02T03:14:00"/>
    <x v="3"/>
    <s v="Talha Nadeem"/>
    <s v="Peshawar"/>
    <s v="Portal"/>
    <s v="Technical Issue"/>
    <s v="Medium"/>
    <n v="24"/>
    <s v="Resolved"/>
    <d v="2026-08-02T15:48:00"/>
    <s v="No"/>
    <n v="5"/>
    <s v="Not Specified"/>
    <n v="12.566666666592937"/>
  </r>
  <r>
    <s v="TCK-21587"/>
    <d v="2026-04-25T00:37:00"/>
    <x v="2"/>
    <s v="Mahnoor Aslam"/>
    <s v="Faisalabad"/>
    <s v="Portal"/>
    <s v="Billing Issue"/>
    <s v="Medium"/>
    <n v="24"/>
    <s v="Resolved"/>
    <s v="Missing Resolve Date"/>
    <s v="No"/>
    <m/>
    <s v="Required Follow-Up Call"/>
    <s v=""/>
  </r>
  <r>
    <s v="TCK-22735"/>
    <d v="2026-08-20T07:46:00"/>
    <x v="2"/>
    <s v="Bilal Chaudhry"/>
    <s v="Faisalabad"/>
    <s v="Chat"/>
    <s v="Delivery Delay"/>
    <s v="Low"/>
    <n v="48"/>
    <s v="Re-Opened"/>
    <d v="2026-08-21T03:29:00"/>
    <s v="No"/>
    <m/>
    <s v="Resolved On First Contact"/>
    <n v="19.716666666674428"/>
  </r>
  <r>
    <s v="TCK-20978"/>
    <d v="2026-03-15T13:52:00"/>
    <x v="2"/>
    <s v="Bilal Chaudhry"/>
    <s v="Multan"/>
    <s v="Phone"/>
    <s v="General Inquiry"/>
    <s v="High"/>
    <n v="8"/>
    <s v="Resolved"/>
    <d v="2026-03-15T16:08:00"/>
    <s v="No"/>
    <n v="1"/>
    <s v="Not Specified"/>
    <n v="2.2666666667209938"/>
  </r>
  <r>
    <s v="TCK-21833"/>
    <d v="2026-03-01T12:11:00"/>
    <x v="3"/>
    <s v="Talha Nadeem"/>
    <s v="Karachi"/>
    <s v="Email"/>
    <s v="Account Access"/>
    <s v="Medium"/>
    <n v="24"/>
    <s v="Resolved"/>
    <d v="2026-03-01T22:43:00"/>
    <s v="No"/>
    <m/>
    <s v="Customer Satisfied With Resolution"/>
    <n v="10.533333333267365"/>
  </r>
  <r>
    <s v="TCK-20484"/>
    <d v="2026-06-27T00:27:00"/>
    <x v="0"/>
    <s v="Sadia Anwar"/>
    <s v="Lahore"/>
    <s v="Phone"/>
    <s v="Delivery Delay"/>
    <s v="Low"/>
    <n v="48"/>
    <s v="In Progress"/>
    <s v="Missing Resolve Date"/>
    <s v="No"/>
    <m/>
    <s v="Not Specified"/>
    <s v=""/>
  </r>
  <r>
    <s v="TCK-20006"/>
    <d v="2026-03-25T15:33:00"/>
    <x v="0"/>
    <s v="Sadia Anwar"/>
    <s v="Faisalabad"/>
    <s v="Email"/>
    <s v="Account Access"/>
    <s v="High"/>
    <n v="8"/>
    <s v="Escalated"/>
    <s v="Missing Resolve Date"/>
    <s v="Yes"/>
    <m/>
    <s v="Technical Issue Resolved Remotely"/>
    <s v=""/>
  </r>
  <r>
    <s v="TCK-20070"/>
    <d v="2026-07-05T12:09:00"/>
    <x v="2"/>
    <s v="Mahnoor Aslam"/>
    <s v="Faisalabad"/>
    <s v="Chat"/>
    <s v="Account Access"/>
    <s v="High"/>
    <n v="8"/>
    <s v="Open"/>
    <s v="Missing Resolve Date"/>
    <s v="No"/>
    <m/>
    <s v="Required Follow-Up Call"/>
    <s v=""/>
  </r>
  <r>
    <s v="TCK-21679"/>
    <d v="2026-04-22T00:01:00"/>
    <x v="2"/>
    <s v="Mahnoor Aslam"/>
    <s v="Lahore"/>
    <s v="Email"/>
    <s v="General Inquiry"/>
    <s v="Critical"/>
    <n v="4"/>
    <s v="Re-Opened"/>
    <d v="2026-04-22T01:41:00"/>
    <s v="No"/>
    <m/>
    <s v="Not Specified"/>
    <n v="1.6666666666860692"/>
  </r>
  <r>
    <s v="TCK-20131"/>
    <d v="2026-04-10T04:45:00"/>
    <x v="1"/>
    <s v="Ayaan Khalid"/>
    <s v="Multan"/>
    <s v="Chat"/>
    <s v="Refund Request"/>
    <s v="Medium"/>
    <n v="24"/>
    <s v="Resolved"/>
    <d v="2026-04-10T19:57:00"/>
    <s v="No"/>
    <n v="3"/>
    <s v="Technical Issue Resolved Remotely"/>
    <n v="15.200000000128057"/>
  </r>
  <r>
    <s v="TCK-23156"/>
    <d v="2026-06-19T23:06:00"/>
    <x v="0"/>
    <s v="Sadia Anwar"/>
    <s v="Lahore"/>
    <s v="Chat"/>
    <s v="Technical Issue"/>
    <s v="High"/>
    <n v="8"/>
    <s v="Resolved"/>
    <d v="2026-06-19T23:55:00"/>
    <s v="No"/>
    <n v="5"/>
    <s v="Technical Issue Resolved Remotely"/>
    <n v="0.81666666670935228"/>
  </r>
  <r>
    <s v="TCK-22939"/>
    <d v="2026-01-16T11:45:00"/>
    <x v="1"/>
    <s v="Ayaan Khalid"/>
    <s v="Lahore"/>
    <s v="Phone"/>
    <s v="Technical Issue"/>
    <s v="Low"/>
    <n v="48"/>
    <s v="Resolved"/>
    <d v="2026-01-19T04:32:00"/>
    <s v="No"/>
    <n v="5"/>
    <s v="Customer Requested Refund"/>
    <n v="64.783333333209157"/>
  </r>
  <r>
    <s v="TCK-22802"/>
    <d v="2026-05-16T11:08:00"/>
    <x v="1"/>
    <s v="Zara Hussain"/>
    <s v="Multan"/>
    <s v="Chat"/>
    <s v="Delivery Delay"/>
    <s v="Low"/>
    <n v="48"/>
    <s v="Closed"/>
    <d v="2026-05-16T12:50:00"/>
    <s v="No"/>
    <m/>
    <s v="Repeat Issue From Same Customer"/>
    <n v="1.6999999999534339"/>
  </r>
  <r>
    <s v="TCK-20490"/>
    <d v="2026-05-16T06:54:00"/>
    <x v="1"/>
    <s v="Ayaan Khalid"/>
    <s v="Islamabad"/>
    <s v="Email"/>
    <s v="Billing Issue"/>
    <s v="Low"/>
    <n v="48"/>
    <s v="Open"/>
    <s v="Missing Resolve Date"/>
    <s v="No"/>
    <m/>
    <s v="Repeat Issue From Same Customer"/>
    <s v=""/>
  </r>
  <r>
    <s v="TCK-20505"/>
    <d v="2026-08-15T17:28:00"/>
    <x v="2"/>
    <s v="Mahnoor Aslam"/>
    <s v="Faisalabad"/>
    <s v="Portal"/>
    <s v="Technical Issue"/>
    <s v="Low"/>
    <n v="48"/>
    <s v="Closed"/>
    <d v="2026-08-16T15:32:00"/>
    <s v="No"/>
    <n v="4"/>
    <s v="Resolved On First Contact"/>
    <n v="22.066666666651145"/>
  </r>
  <r>
    <s v="TCK-20643"/>
    <d v="2026-03-08T18:45:00"/>
    <x v="0"/>
    <s v="Sadia Anwar"/>
    <s v="Rawalpindi"/>
    <s v="Chat"/>
    <s v="Refund Request"/>
    <s v="High"/>
    <n v="8"/>
    <s v="Closed"/>
    <d v="2026-03-08T21:06:00"/>
    <s v="No"/>
    <n v="5"/>
    <s v="Awaiting Customer Response"/>
    <n v="2.3499999999767169"/>
  </r>
  <r>
    <s v="TCK-22014"/>
    <d v="2026-05-24T15:28:00"/>
    <x v="0"/>
    <s v="Rehan Qureshi"/>
    <s v="Islamabad"/>
    <s v="Phone"/>
    <s v="Account Access"/>
    <s v="High"/>
    <n v="8"/>
    <s v="Escalated"/>
    <s v="Missing Resolve Date"/>
    <s v="Yes"/>
    <m/>
    <s v="Not Specified"/>
    <s v=""/>
  </r>
  <r>
    <s v="TCK-22609"/>
    <d v="2026-02-24T08:31:00"/>
    <x v="2"/>
    <s v="Mahnoor Aslam"/>
    <s v="Multan"/>
    <s v="Phone"/>
    <s v="Billing Issue"/>
    <s v="Medium"/>
    <n v="24"/>
    <s v="Resolved"/>
    <d v="2026-02-24T21:14:00"/>
    <s v="No"/>
    <n v="4"/>
    <s v="Required Follow-Up Call"/>
    <n v="12.716666666732635"/>
  </r>
  <r>
    <s v="TCK-20820"/>
    <d v="2026-02-07T11:48:00"/>
    <x v="2"/>
    <s v="Mahnoor Aslam"/>
    <s v="Rawalpindi"/>
    <s v="Email"/>
    <s v="Technical Issue"/>
    <s v="Medium"/>
    <n v="24"/>
    <s v="Open"/>
    <s v="Missing Resolve Date"/>
    <s v="No"/>
    <m/>
    <s v="Customer Requested Refund"/>
    <s v=""/>
  </r>
  <r>
    <s v="TCK-21212"/>
    <d v="2026-08-17T07:48:00"/>
    <x v="1"/>
    <s v="Zara Hussain"/>
    <s v="Islamabad"/>
    <s v="Portal"/>
    <s v="General Inquiry"/>
    <s v="High"/>
    <n v="8"/>
    <s v="Resolved"/>
    <d v="2026-08-17T11:19:00"/>
    <s v="No"/>
    <n v="5"/>
    <s v="Repeat Issue From Same Customer"/>
    <n v="3.5166666667792015"/>
  </r>
  <r>
    <s v="TCK-22434"/>
    <d v="2026-07-31T00:42:00"/>
    <x v="0"/>
    <s v="Rehan Qureshi"/>
    <s v="Lahore"/>
    <s v="Email"/>
    <s v="Refund Request"/>
    <s v="Medium"/>
    <n v="24"/>
    <s v="Escalated"/>
    <s v="Missing Resolve Date"/>
    <s v="Yes"/>
    <m/>
    <s v="Awaiting Customer Response"/>
    <s v=""/>
  </r>
  <r>
    <s v="TCK-23007"/>
    <d v="2026-02-09T01:32:00"/>
    <x v="0"/>
    <s v="Rehan Qureshi"/>
    <s v="Multan"/>
    <s v="Chat"/>
    <s v="Delivery Delay"/>
    <s v="Medium"/>
    <n v="24"/>
    <s v="Escalated"/>
    <s v="Missing Resolve Date"/>
    <s v="Yes"/>
    <m/>
    <s v="Not Specified"/>
    <s v=""/>
  </r>
  <r>
    <s v="TCK-22978"/>
    <d v="2026-01-11T12:07:00"/>
    <x v="2"/>
    <s v="Bilal Chaudhry"/>
    <s v="Karachi"/>
    <s v="Portal"/>
    <s v="Delivery Delay"/>
    <s v="Medium"/>
    <n v="24"/>
    <s v="Escalated"/>
    <s v="Missing Resolve Date"/>
    <s v="Yes"/>
    <m/>
    <s v="Awaiting Customer Response"/>
    <s v=""/>
  </r>
  <r>
    <s v="TCK-21416"/>
    <d v="2026-01-05T13:01:00"/>
    <x v="0"/>
    <s v="Sadia Anwar"/>
    <s v="Lahore"/>
    <s v="Phone"/>
    <s v="Billing Issue"/>
    <s v="Critical"/>
    <n v="4"/>
    <s v="Re-Opened"/>
    <d v="2026-01-05T16:24:00"/>
    <s v="No"/>
    <m/>
    <s v="Customer Requested Refund"/>
    <n v="3.3833333333604969"/>
  </r>
  <r>
    <s v="TCK-20271"/>
    <d v="2026-05-25T04:12:00"/>
    <x v="3"/>
    <s v="Talha Nadeem"/>
    <s v="Multan"/>
    <s v="Email"/>
    <s v="Technical Issue"/>
    <s v="Medium"/>
    <n v="24"/>
    <s v="Closed"/>
    <d v="2026-05-25T07:32:00"/>
    <s v="No"/>
    <n v="5"/>
    <s v="Customer Requested Refund"/>
    <n v="3.3333333331975155"/>
  </r>
  <r>
    <s v="TCK-21979"/>
    <d v="2026-04-03T07:31:00"/>
    <x v="1"/>
    <s v="Ayaan Khalid"/>
    <s v="Rawalpindi"/>
    <s v="Chat"/>
    <s v="Account Access"/>
    <s v="Low"/>
    <n v="48"/>
    <s v="Escalated"/>
    <s v="Missing Resolve Date"/>
    <s v="Yes"/>
    <m/>
    <s v="Repeat Issue From Same Customer"/>
    <s v=""/>
  </r>
  <r>
    <s v="TCK-21595"/>
    <d v="2026-05-31T21:28:00"/>
    <x v="3"/>
    <s v="Iqra Basit"/>
    <s v="Multan"/>
    <s v="Portal"/>
    <s v="Refund Request"/>
    <s v="High"/>
    <n v="8"/>
    <s v="Resolved"/>
    <d v="2026-06-01T03:09:00"/>
    <s v="No"/>
    <m/>
    <s v="Not Specified"/>
    <n v="5.6833333333488554"/>
  </r>
  <r>
    <s v="TCK-22163"/>
    <d v="2026-07-25T23:53:00"/>
    <x v="3"/>
    <s v="Talha Nadeem"/>
    <s v="Islamabad"/>
    <s v="Portal"/>
    <s v="General Inquiry"/>
    <s v="Medium"/>
    <n v="24"/>
    <s v="Resolved"/>
    <d v="2026-07-26T19:39:00"/>
    <s v="No"/>
    <n v="5"/>
    <s v="Not Specified"/>
    <n v="19.766666666662786"/>
  </r>
  <r>
    <s v="TCK-22055"/>
    <d v="2026-04-20T21:48:00"/>
    <x v="0"/>
    <s v="Rehan Qureshi"/>
    <s v="Faisalabad"/>
    <s v="Portal"/>
    <s v="Delivery Delay"/>
    <s v="High"/>
    <n v="8"/>
    <s v="Open"/>
    <s v="Missing Resolve Date"/>
    <s v="No"/>
    <m/>
    <s v="Customer Requested Refund"/>
    <s v=""/>
  </r>
  <r>
    <s v="TCK-20508"/>
    <d v="2026-01-19T06:48:00"/>
    <x v="0"/>
    <s v="Sadia Anwar"/>
    <s v="Faisalabad"/>
    <s v="Email"/>
    <s v="General Inquiry"/>
    <s v="Critical"/>
    <n v="4"/>
    <s v="Open"/>
    <s v="Missing Resolve Date"/>
    <s v="No"/>
    <m/>
    <s v="Customer Satisfied With Resolution"/>
    <s v=""/>
  </r>
  <r>
    <s v="TCK-22625"/>
    <d v="2026-02-09T18:52:00"/>
    <x v="3"/>
    <s v="Iqra Basit"/>
    <s v="Peshawar"/>
    <s v="Portal"/>
    <s v="Delivery Delay"/>
    <s v="High"/>
    <n v="8"/>
    <s v="Closed"/>
    <d v="2026-02-10T00:51:00"/>
    <s v="No"/>
    <n v="5"/>
    <s v="Customer Requested Refund"/>
    <n v="5.9833333332790062"/>
  </r>
  <r>
    <s v="TCK-20394"/>
    <d v="2026-04-20T16:44:00"/>
    <x v="2"/>
    <s v="Bilal Chaudhry"/>
    <s v="Peshawar"/>
    <s v="Chat"/>
    <s v="Billing Issue"/>
    <s v="Low"/>
    <n v="48"/>
    <s v="Escalated"/>
    <s v="Missing Resolve Date"/>
    <s v="Yes"/>
    <m/>
    <s v="Not Specified"/>
    <s v=""/>
  </r>
  <r>
    <s v="TCK-21150"/>
    <d v="2026-07-28T21:36:00"/>
    <x v="1"/>
    <s v="Ayaan Khalid"/>
    <s v="Peshawar"/>
    <s v="Portal"/>
    <s v="Delivery Delay"/>
    <s v="Low"/>
    <n v="48"/>
    <s v="Escalated"/>
    <s v="Missing Resolve Date"/>
    <s v="Yes"/>
    <m/>
    <s v="Technical Issue Resolved Remotely"/>
    <s v=""/>
  </r>
  <r>
    <s v="TCK-22858"/>
    <d v="2026-02-07T13:10:00"/>
    <x v="0"/>
    <s v="Rehan Qureshi"/>
    <s v="Karachi"/>
    <s v="Portal"/>
    <s v="General Inquiry"/>
    <s v="Medium"/>
    <n v="24"/>
    <s v="Closed"/>
    <d v="2026-02-08T04:02:00"/>
    <s v="No"/>
    <n v="5"/>
    <s v="Awaiting Customer Response"/>
    <n v="14.866666666755918"/>
  </r>
  <r>
    <s v="TCK-21257"/>
    <d v="2026-02-09T05:06:00"/>
    <x v="2"/>
    <s v="Mahnoor Aslam"/>
    <s v="Rawalpindi"/>
    <s v="Portal"/>
    <s v="Delivery Delay"/>
    <s v="Low"/>
    <n v="48"/>
    <s v="Escalated"/>
    <s v="Missing Resolve Date"/>
    <s v="Yes"/>
    <m/>
    <s v="Customer Requested Refund"/>
    <s v=""/>
  </r>
  <r>
    <s v="TCK-22896"/>
    <d v="2026-07-23T17:45:00"/>
    <x v="3"/>
    <s v="Iqra Basit"/>
    <s v="Peshawar"/>
    <s v="Chat"/>
    <s v="General Inquiry"/>
    <s v="Critical"/>
    <n v="4"/>
    <s v="Open"/>
    <s v="Missing Resolve Date"/>
    <s v="No"/>
    <m/>
    <s v="Not Specified"/>
    <s v=""/>
  </r>
  <r>
    <s v="TCK-21165"/>
    <d v="2026-02-04T18:40:00"/>
    <x v="2"/>
    <s v="Bilal Chaudhry"/>
    <s v="Karachi"/>
    <s v="Phone"/>
    <s v="Delivery Delay"/>
    <s v="Medium"/>
    <n v="24"/>
    <s v="In Progress"/>
    <s v="Missing Resolve Date"/>
    <s v="No"/>
    <m/>
    <s v="Customer Satisfied With Resolution"/>
    <s v=""/>
  </r>
  <r>
    <s v="TCK-22411"/>
    <d v="2026-07-03T13:55:00"/>
    <x v="0"/>
    <s v="Sadia Anwar"/>
    <s v="Islamabad"/>
    <s v="Portal"/>
    <s v="Billing Issue"/>
    <s v="High"/>
    <n v="8"/>
    <s v="Resolved"/>
    <d v="2026-07-03T17:10:00"/>
    <s v="No"/>
    <n v="1"/>
    <s v="Customer Satisfied With Resolution"/>
    <n v="3.2500000001164153"/>
  </r>
  <r>
    <s v="TCK-21266"/>
    <d v="2026-07-07T16:08:00"/>
    <x v="0"/>
    <s v="Sadia Anwar"/>
    <s v="Karachi"/>
    <s v="Portal"/>
    <s v="Account Access"/>
    <s v="Medium"/>
    <n v="24"/>
    <s v="Resolved"/>
    <d v="2026-07-08T04:22:00"/>
    <s v="No"/>
    <n v="1"/>
    <s v="Repeat Issue From Same Customer"/>
    <n v="12.233333333220799"/>
  </r>
  <r>
    <s v="TCK-21431"/>
    <d v="2026-05-23T01:34:00"/>
    <x v="0"/>
    <s v="Sadia Anwar"/>
    <s v="Faisalabad"/>
    <s v="Chat"/>
    <s v="Technical Issue"/>
    <s v="Low"/>
    <n v="48"/>
    <s v="In Progress"/>
    <s v="Missing Resolve Date"/>
    <s v="Yes"/>
    <m/>
    <s v="Not Specified"/>
    <s v=""/>
  </r>
  <r>
    <s v="TCK-23121"/>
    <d v="2026-04-06T15:57:00"/>
    <x v="0"/>
    <s v="Rehan Qureshi"/>
    <s v="Faisalabad"/>
    <s v="Email"/>
    <s v="Technical Issue"/>
    <s v="Low"/>
    <n v="48"/>
    <s v="In Progress"/>
    <s v="Missing Resolve Date"/>
    <s v="No"/>
    <m/>
    <s v="Technical Issue Resolved Remotely"/>
    <s v=""/>
  </r>
  <r>
    <s v="TCK-21625"/>
    <d v="2026-06-26T20:06:00"/>
    <x v="3"/>
    <s v="Talha Nadeem"/>
    <s v="Peshawar"/>
    <s v="Email"/>
    <s v="Refund Request"/>
    <s v="Low"/>
    <n v="48"/>
    <s v="Closed"/>
    <d v="2026-06-27T14:47:00"/>
    <s v="No"/>
    <n v="4"/>
    <s v="Customer Satisfied With Resolution"/>
    <n v="18.683333333290648"/>
  </r>
  <r>
    <s v="TCK-22633"/>
    <d v="2026-06-09T15:07:00"/>
    <x v="1"/>
    <s v="Ayaan Khalid"/>
    <s v="Islamabad"/>
    <s v="Email"/>
    <s v="Technical Issue"/>
    <s v="Low"/>
    <n v="48"/>
    <s v="Resolved"/>
    <d v="2026-06-13T22:19:00"/>
    <s v="No"/>
    <n v="4"/>
    <s v="Escalated To Senior Agent"/>
    <n v="103.19999999989523"/>
  </r>
  <r>
    <s v="TCK-21787"/>
    <d v="2026-06-18T03:48:00"/>
    <x v="2"/>
    <s v="Mahnoor Aslam"/>
    <s v="Rawalpindi"/>
    <s v="Email"/>
    <s v="General Inquiry"/>
    <s v="High"/>
    <n v="8"/>
    <s v="Closed"/>
    <d v="2026-06-19T00:29:00"/>
    <s v="No"/>
    <n v="5"/>
    <s v="Customer Satisfied With Resolution"/>
    <n v="20.683333333348855"/>
  </r>
  <r>
    <s v="TCK-23107"/>
    <d v="2026-07-30T04:43:00"/>
    <x v="0"/>
    <s v="Rehan Qureshi"/>
    <s v="Multan"/>
    <s v="Portal"/>
    <s v="Account Access"/>
    <s v="Medium"/>
    <n v="24"/>
    <s v="Closed"/>
    <d v="2026-07-30T05:27:00"/>
    <s v="No"/>
    <n v="4"/>
    <s v="Customer Requested Refund"/>
    <n v="0.73333333327900618"/>
  </r>
  <r>
    <s v="TCK-22639"/>
    <d v="2026-05-17T11:18:00"/>
    <x v="0"/>
    <s v="Rehan Qureshi"/>
    <s v="Multan"/>
    <s v="Email"/>
    <s v="Billing Issue"/>
    <s v="Low"/>
    <n v="48"/>
    <s v="Open"/>
    <s v="Missing Resolve Date"/>
    <s v="No"/>
    <m/>
    <s v="Repeat Issue From Same Customer"/>
    <s v=""/>
  </r>
  <r>
    <s v="TCK-22123"/>
    <d v="2026-06-11T21:23:00"/>
    <x v="3"/>
    <s v="Iqra Basit"/>
    <s v="Islamabad"/>
    <s v="Portal"/>
    <s v="Refund Request"/>
    <s v="Medium"/>
    <n v="24"/>
    <s v="Escalated"/>
    <s v="Missing Resolve Date"/>
    <s v="Yes"/>
    <m/>
    <s v="Customer Requested Refund"/>
    <s v=""/>
  </r>
  <r>
    <s v="TCK-20671"/>
    <d v="2026-05-17T01:51:00"/>
    <x v="1"/>
    <s v="Zara Hussain"/>
    <s v="Karachi"/>
    <s v="Email"/>
    <s v="Billing Issue"/>
    <s v="Low"/>
    <n v="48"/>
    <s v="In Progress"/>
    <s v="Missing Resolve Date"/>
    <s v="No"/>
    <m/>
    <s v="Not Specified"/>
    <s v=""/>
  </r>
  <r>
    <s v="TCK-21233"/>
    <d v="2026-04-24T04:57:00"/>
    <x v="0"/>
    <s v="Rehan Qureshi"/>
    <s v="Rawalpindi"/>
    <s v="Email"/>
    <s v="Account Access"/>
    <s v="Low"/>
    <n v="48"/>
    <s v="Resolved"/>
    <d v="2026-04-25T06:57:00"/>
    <s v="No"/>
    <n v="2"/>
    <s v="Resolved On First Contact"/>
    <n v="25.999999999883585"/>
  </r>
  <r>
    <s v="TCK-20979"/>
    <d v="2026-05-06T04:05:00"/>
    <x v="2"/>
    <s v="Mahnoor Aslam"/>
    <s v="Rawalpindi"/>
    <s v="Portal"/>
    <s v="General Inquiry"/>
    <s v="Low"/>
    <n v="48"/>
    <s v="Re-Opened"/>
    <d v="2026-05-06T11:05:00"/>
    <s v="No"/>
    <m/>
    <s v="Customer Requested Refund"/>
    <n v="6.9999999999417923"/>
  </r>
  <r>
    <s v="TCK-21299"/>
    <d v="2026-07-14T18:59:00"/>
    <x v="1"/>
    <s v="Ayaan Khalid"/>
    <s v="Islamabad"/>
    <s v="Email"/>
    <s v="Billing Issue"/>
    <s v="High"/>
    <n v="8"/>
    <s v="In Progress"/>
    <s v="Missing Resolve Date"/>
    <s v="Yes"/>
    <m/>
    <s v="Not Specified"/>
    <s v=""/>
  </r>
  <r>
    <s v="TCK-21875"/>
    <d v="2026-02-20T13:43:00"/>
    <x v="2"/>
    <s v="Bilal Chaudhry"/>
    <s v="Peshawar"/>
    <s v="Portal"/>
    <s v="Refund Request"/>
    <s v="High"/>
    <n v="8"/>
    <s v="Resolved"/>
    <d v="2026-02-20T18:53:00"/>
    <s v="No"/>
    <n v="4"/>
    <s v="Customer Satisfied With Resolution"/>
    <n v="5.1666666667442769"/>
  </r>
  <r>
    <s v="TCK-21437"/>
    <d v="2026-07-06T04:25:00"/>
    <x v="0"/>
    <s v="Sadia Anwar"/>
    <s v="Lahore"/>
    <s v="Portal"/>
    <s v="Billing Issue"/>
    <s v="Low"/>
    <n v="48"/>
    <s v="Resolved"/>
    <d v="2026-07-07T13:21:00"/>
    <s v="No"/>
    <n v="5"/>
    <s v="Escalated To Senior Agent"/>
    <n v="32.933333333290648"/>
  </r>
  <r>
    <s v="TCK-22647"/>
    <d v="2026-06-09T03:28:00"/>
    <x v="2"/>
    <s v="Bilal Chaudhry"/>
    <s v="Lahore"/>
    <s v="Chat"/>
    <s v="Account Access"/>
    <s v="Low"/>
    <n v="48"/>
    <s v="Open"/>
    <s v="Missing Resolve Date"/>
    <s v="No"/>
    <m/>
    <s v="Resolved On First Contact"/>
    <s v=""/>
  </r>
  <r>
    <s v="TCK-22874"/>
    <d v="2026-04-19T00:33:00"/>
    <x v="2"/>
    <s v="Bilal Chaudhry"/>
    <s v="Karachi"/>
    <s v="Email"/>
    <s v="Delivery Delay"/>
    <s v="Medium"/>
    <n v="24"/>
    <s v="Resolved"/>
    <d v="2026-04-19T18:17:00"/>
    <s v="No"/>
    <m/>
    <s v="Repeat Issue From Same Customer"/>
    <n v="17.733333333337214"/>
  </r>
  <r>
    <s v="TCK-21216"/>
    <d v="2026-07-09T13:35:00"/>
    <x v="0"/>
    <s v="Rehan Qureshi"/>
    <s v="Faisalabad"/>
    <s v="Chat"/>
    <s v="Account Access"/>
    <s v="High"/>
    <n v="8"/>
    <s v="Closed"/>
    <d v="2026-07-09T14:16:00"/>
    <s v="No"/>
    <m/>
    <s v="Required Follow-Up Call"/>
    <n v="0.6833333334652707"/>
  </r>
  <r>
    <s v="TCK-20332"/>
    <d v="2026-07-22T16:13:00"/>
    <x v="1"/>
    <s v="Ayaan Khalid"/>
    <s v="Peshawar"/>
    <s v="Email"/>
    <s v="Account Access"/>
    <s v="High"/>
    <n v="8"/>
    <s v="Closed"/>
    <d v="2026-07-22T18:08:00"/>
    <s v="No"/>
    <n v="2"/>
    <s v="Not Specified"/>
    <n v="1.9166666668024845"/>
  </r>
  <r>
    <s v="TCK-22932"/>
    <d v="2026-07-13T19:53:00"/>
    <x v="1"/>
    <s v="Zara Hussain"/>
    <s v="Peshawar"/>
    <s v="Email"/>
    <s v="Technical Issue"/>
    <s v="Low"/>
    <n v="48"/>
    <s v="Re-Opened"/>
    <d v="2026-07-14T16:41:00"/>
    <s v="No"/>
    <m/>
    <s v="Not Specified"/>
    <n v="20.800000000046566"/>
  </r>
  <r>
    <s v="TCK-21255"/>
    <d v="2026-05-24T08:14:00"/>
    <x v="2"/>
    <s v="Mahnoor Aslam"/>
    <s v="Multan"/>
    <s v="Portal"/>
    <s v="General Inquiry"/>
    <s v="High"/>
    <n v="8"/>
    <s v="Closed"/>
    <d v="2026-05-24T17:50:00"/>
    <s v="No"/>
    <n v="5"/>
    <s v="Technical Issue Resolved Remotely"/>
    <n v="9.6000000000349246"/>
  </r>
  <r>
    <s v="TCK-21043"/>
    <d v="2026-06-12T07:57:00"/>
    <x v="3"/>
    <s v="Iqra Basit"/>
    <s v="Rawalpindi"/>
    <s v="Phone"/>
    <s v="Account Access"/>
    <s v="High"/>
    <n v="8"/>
    <s v="Closed"/>
    <d v="2026-06-13T00:45:00"/>
    <s v="No"/>
    <m/>
    <s v="Required Follow-Up Call"/>
    <n v="16.799999999930151"/>
  </r>
  <r>
    <s v="TCK-22712"/>
    <d v="2026-02-14T13:38:00"/>
    <x v="3"/>
    <s v="Talha Nadeem"/>
    <s v="Lahore"/>
    <s v="Portal"/>
    <s v="Refund Request"/>
    <s v="Medium"/>
    <n v="24"/>
    <s v="Resolved"/>
    <d v="2026-02-15T10:11:00"/>
    <s v="No"/>
    <m/>
    <s v="Awaiting Customer Response"/>
    <n v="20.549999999930151"/>
  </r>
  <r>
    <s v="TCK-20762"/>
    <d v="2026-08-05T02:39:00"/>
    <x v="2"/>
    <s v="Bilal Chaudhry"/>
    <s v="Karachi"/>
    <s v="Phone"/>
    <s v="Account Access"/>
    <s v="Low"/>
    <n v="48"/>
    <s v="Closed"/>
    <d v="2026-08-06T06:57:00"/>
    <s v="No"/>
    <m/>
    <s v="Technical Issue Resolved Remotely"/>
    <n v="28.299999999871943"/>
  </r>
  <r>
    <s v="TCK-23082"/>
    <d v="2026-05-24T00:13:00"/>
    <x v="1"/>
    <s v="Ayaan Khalid"/>
    <s v="Rawalpindi"/>
    <s v="Email"/>
    <s v="General Inquiry"/>
    <s v="Medium"/>
    <n v="24"/>
    <s v="Open"/>
    <s v="Missing Resolve Date"/>
    <s v="No"/>
    <m/>
    <s v="Technical Issue Resolved Remotely"/>
    <s v=""/>
  </r>
  <r>
    <s v="TCK-22169"/>
    <d v="2026-08-30T11:12:00"/>
    <x v="1"/>
    <s v="Ayaan Khalid"/>
    <s v="Rawalpindi"/>
    <s v="Phone"/>
    <s v="Delivery Delay"/>
    <s v="Low"/>
    <n v="48"/>
    <s v="Closed"/>
    <d v="2026-09-04T16:52:00"/>
    <s v="No"/>
    <n v="1"/>
    <s v="Technical Issue Resolved Remotely"/>
    <n v="125.66666666662786"/>
  </r>
  <r>
    <s v="TCK-20910"/>
    <d v="2026-05-26T21:56:00"/>
    <x v="0"/>
    <s v="Sadia Anwar"/>
    <s v="Faisalabad"/>
    <s v="Chat"/>
    <s v="Technical Issue"/>
    <s v="High"/>
    <n v="8"/>
    <s v="Re-Opened"/>
    <d v="2026-05-26T23:52:00"/>
    <s v="No"/>
    <m/>
    <s v="Customer Satisfied With Resolution"/>
    <n v="1.9333333331742324"/>
  </r>
  <r>
    <s v="TCK-20686"/>
    <d v="2026-08-19T13:29:00"/>
    <x v="3"/>
    <s v="Iqra Basit"/>
    <s v="Multan"/>
    <s v="Phone"/>
    <s v="Delivery Delay"/>
    <s v="High"/>
    <n v="8"/>
    <s v="Closed"/>
    <d v="2026-08-19T15:34:00"/>
    <s v="No"/>
    <n v="3"/>
    <s v="Required Follow-Up Call"/>
    <n v="2.0833333333139308"/>
  </r>
  <r>
    <s v="TCK-20056"/>
    <d v="2026-02-07T11:19:00"/>
    <x v="3"/>
    <s v="Talha Nadeem"/>
    <s v="Karachi"/>
    <s v="Chat"/>
    <s v="General Inquiry"/>
    <s v="Low"/>
    <n v="48"/>
    <s v="Resolved"/>
    <d v="2026-02-08T22:56:00"/>
    <s v="No"/>
    <n v="5"/>
    <s v="Technical Issue Resolved Remotely"/>
    <n v="35.616666666639503"/>
  </r>
  <r>
    <s v="TCK-22324"/>
    <d v="2026-02-07T08:14:00"/>
    <x v="2"/>
    <s v="Bilal Chaudhry"/>
    <s v="Islamabad"/>
    <s v="Email"/>
    <s v="Technical Issue"/>
    <s v="Low"/>
    <n v="48"/>
    <s v="Escalated"/>
    <s v="Missing Resolve Date"/>
    <s v="Yes"/>
    <m/>
    <s v="Technical Issue Resolved Remotely"/>
    <s v=""/>
  </r>
  <r>
    <s v="TCK-20672"/>
    <d v="2026-03-12T06:11:00"/>
    <x v="3"/>
    <s v="Iqra Basit"/>
    <s v="Faisalabad"/>
    <s v="Phone"/>
    <s v="Refund Request"/>
    <s v="Low"/>
    <n v="48"/>
    <s v="Escalated"/>
    <s v="Missing Resolve Date"/>
    <s v="Yes"/>
    <m/>
    <s v="Resolved On First Contact"/>
    <s v=""/>
  </r>
  <r>
    <s v="TCK-21798"/>
    <d v="2026-06-26T16:35:00"/>
    <x v="0"/>
    <s v="Rehan Qureshi"/>
    <s v="Faisalabad"/>
    <s v="Chat"/>
    <s v="Refund Request"/>
    <s v="Medium"/>
    <n v="24"/>
    <s v="Resolved"/>
    <d v="2026-06-27T00:05:00"/>
    <s v="No"/>
    <n v="4"/>
    <s v="Not Specified"/>
    <n v="7.5"/>
  </r>
  <r>
    <s v="TCK-22662"/>
    <d v="2026-07-19T08:11:00"/>
    <x v="0"/>
    <s v="Rehan Qureshi"/>
    <s v="Multan"/>
    <s v="Chat"/>
    <s v="General Inquiry"/>
    <s v="Medium"/>
    <n v="24"/>
    <s v="Resolved"/>
    <d v="2026-07-19T19:49:00"/>
    <s v="No"/>
    <n v="3"/>
    <s v="Required Follow-Up Call"/>
    <n v="11.633333333360497"/>
  </r>
  <r>
    <s v="TCK-22966"/>
    <d v="2026-04-16T21:41:00"/>
    <x v="2"/>
    <s v="Bilal Chaudhry"/>
    <s v="Rawalpindi"/>
    <s v="Portal"/>
    <s v="Refund Request"/>
    <s v="Medium"/>
    <n v="24"/>
    <s v="In Progress"/>
    <s v="Missing Resolve Date"/>
    <s v="Yes"/>
    <m/>
    <s v="Customer Requested Refund"/>
    <s v=""/>
  </r>
  <r>
    <s v="TCK-20518"/>
    <d v="2026-07-18T09:22:00"/>
    <x v="1"/>
    <s v="Ayaan Khalid"/>
    <s v="Peshawar"/>
    <s v="Email"/>
    <s v="Billing Issue"/>
    <s v="Low"/>
    <n v="48"/>
    <s v="In Progress"/>
    <s v="Missing Resolve Date"/>
    <s v="Yes"/>
    <m/>
    <s v="Repeat Issue From Same Customer"/>
    <s v=""/>
  </r>
  <r>
    <s v="TCK-21352"/>
    <d v="2026-02-21T03:16:00"/>
    <x v="2"/>
    <s v="Bilal Chaudhry"/>
    <s v="Islamabad"/>
    <s v="Phone"/>
    <s v="Refund Request"/>
    <s v="High"/>
    <n v="8"/>
    <s v="Resolved"/>
    <d v="2026-02-21T06:57:00"/>
    <s v="No"/>
    <n v="4"/>
    <s v="Awaiting Customer Response"/>
    <n v="3.6833333332906477"/>
  </r>
  <r>
    <s v="TCK-22630"/>
    <d v="2026-03-22T14:34:00"/>
    <x v="3"/>
    <s v="Talha Nadeem"/>
    <s v="Multan"/>
    <s v="Phone"/>
    <s v="Billing Issue"/>
    <s v="High"/>
    <n v="8"/>
    <s v="Closed"/>
    <d v="2026-03-22T15:09:00"/>
    <s v="No"/>
    <m/>
    <s v="Awaiting Customer Response"/>
    <n v="0.58333333331393078"/>
  </r>
  <r>
    <s v="TCK-22618"/>
    <d v="2026-05-20T14:06:00"/>
    <x v="2"/>
    <s v="Bilal Chaudhry"/>
    <s v="Faisalabad"/>
    <s v="Chat"/>
    <s v="Delivery Delay"/>
    <s v="High"/>
    <n v="8"/>
    <s v="Resolved"/>
    <d v="2026-05-20T15:38:00"/>
    <s v="Yes"/>
    <n v="5"/>
    <s v="Not Specified"/>
    <n v="1.5333333332673647"/>
  </r>
  <r>
    <s v="TCK-20415"/>
    <d v="2026-01-25T18:12:00"/>
    <x v="0"/>
    <s v="Sadia Anwar"/>
    <s v="Faisalabad"/>
    <s v="Portal"/>
    <s v="Refund Request"/>
    <s v="Low"/>
    <n v="48"/>
    <s v="Resolved"/>
    <d v="2026-01-27T01:04:00"/>
    <s v="No"/>
    <n v="2"/>
    <s v="Resolved On First Contact"/>
    <n v="30.866666666697711"/>
  </r>
  <r>
    <s v="TCK-20964"/>
    <d v="2026-08-08T09:26:00"/>
    <x v="3"/>
    <s v="Iqra Basit"/>
    <s v="Multan"/>
    <s v="Portal"/>
    <s v="Billing Issue"/>
    <s v="High"/>
    <n v="8"/>
    <s v="Resolved"/>
    <d v="2026-08-08T13:26:00"/>
    <s v="No"/>
    <n v="4"/>
    <s v="Escalated To Senior Agent"/>
    <n v="3.9999999999417923"/>
  </r>
  <r>
    <s v="TCK-22174"/>
    <d v="2026-07-05T16:28:00"/>
    <x v="0"/>
    <s v="Sadia Anwar"/>
    <s v="Lahore"/>
    <s v="Phone"/>
    <s v="Technical Issue"/>
    <s v="High"/>
    <n v="8"/>
    <s v="Resolved"/>
    <d v="2026-07-05T21:09:00"/>
    <s v="No"/>
    <m/>
    <s v="Not Specified"/>
    <n v="4.6833333332324401"/>
  </r>
  <r>
    <s v="TCK-23111"/>
    <d v="2026-06-28T04:58:00"/>
    <x v="3"/>
    <s v="Iqra Basit"/>
    <s v="Faisalabad"/>
    <s v="Portal"/>
    <s v="Billing Issue"/>
    <s v="Medium"/>
    <n v="24"/>
    <s v="In Progress"/>
    <s v="Missing Resolve Date"/>
    <s v="No"/>
    <m/>
    <s v="Required Follow-Up Call"/>
    <s v=""/>
  </r>
  <r>
    <s v="TCK-20626"/>
    <d v="2026-05-30T20:19:00"/>
    <x v="0"/>
    <s v="Sadia Anwar"/>
    <s v="Islamabad"/>
    <s v="Portal"/>
    <s v="Refund Request"/>
    <s v="Low"/>
    <n v="48"/>
    <s v="Closed"/>
    <d v="2026-05-31T01:36:00"/>
    <s v="No"/>
    <n v="3"/>
    <s v="Customer Requested Refund"/>
    <n v="5.2833333332673647"/>
  </r>
  <r>
    <s v="TCK-22975"/>
    <d v="2026-03-13T02:13:00"/>
    <x v="3"/>
    <s v="Iqra Basit"/>
    <s v="Faisalabad"/>
    <s v="Chat"/>
    <s v="Billing Issue"/>
    <s v="Critical"/>
    <n v="4"/>
    <s v="Closed"/>
    <d v="2026-03-13T03:36:00"/>
    <s v="No"/>
    <n v="1"/>
    <s v="Awaiting Customer Response"/>
    <n v="1.3833333333022892"/>
  </r>
  <r>
    <s v="TCK-20521"/>
    <d v="2026-05-24T04:29:00"/>
    <x v="3"/>
    <s v="Talha Nadeem"/>
    <s v="Islamabad"/>
    <s v="Chat"/>
    <s v="Billing Issue"/>
    <s v="Low"/>
    <n v="48"/>
    <s v="Closed"/>
    <d v="2026-05-29T20:38:00"/>
    <s v="Yes"/>
    <n v="5"/>
    <s v="Awaiting Customer Response"/>
    <n v="136.15000000008149"/>
  </r>
  <r>
    <s v="TCK-22319"/>
    <d v="2026-02-11T16:20:00"/>
    <x v="1"/>
    <s v="Ayaan Khalid"/>
    <s v="Lahore"/>
    <s v="Chat"/>
    <s v="Delivery Delay"/>
    <s v="Low"/>
    <n v="48"/>
    <s v="Resolved"/>
    <d v="2026-02-11T21:27:00"/>
    <s v="No"/>
    <m/>
    <s v="Customer Satisfied With Resolution"/>
    <n v="5.1166666667559184"/>
  </r>
  <r>
    <s v="TCK-23024"/>
    <d v="2026-03-24T06:54:00"/>
    <x v="0"/>
    <s v="Rehan Qureshi"/>
    <s v="Faisalabad"/>
    <s v="Email"/>
    <s v="Technical Issue"/>
    <s v="Critical"/>
    <n v="4"/>
    <s v="Resolved"/>
    <d v="2026-03-24T18:06:00"/>
    <s v="No"/>
    <n v="2"/>
    <s v="Not Specified"/>
    <n v="11.200000000011642"/>
  </r>
  <r>
    <s v="TCK-21566"/>
    <d v="2026-01-03T05:28:00"/>
    <x v="0"/>
    <s v="Sadia Anwar"/>
    <s v="Lahore"/>
    <s v="Portal"/>
    <s v="Account Access"/>
    <s v="Medium"/>
    <n v="24"/>
    <s v="In Progress"/>
    <s v="Missing Resolve Date"/>
    <s v="No"/>
    <m/>
    <s v="Technical Issue Resolved Remotely"/>
    <s v=""/>
  </r>
  <r>
    <s v="TCK-21374"/>
    <d v="2026-08-25T22:47:00"/>
    <x v="2"/>
    <s v="Mahnoor Aslam"/>
    <s v="Rawalpindi"/>
    <s v="Email"/>
    <s v="Refund Request"/>
    <s v="Low"/>
    <n v="48"/>
    <s v="Resolved"/>
    <d v="2026-08-26T11:51:00"/>
    <s v="No"/>
    <n v="5"/>
    <s v="Escalated To Senior Agent"/>
    <n v="13.066666666651145"/>
  </r>
  <r>
    <s v="TCK-20038"/>
    <d v="2026-02-27T07:11:00"/>
    <x v="3"/>
    <s v="Talha Nadeem"/>
    <s v="Peshawar"/>
    <s v="Phone"/>
    <s v="Delivery Delay"/>
    <s v="Low"/>
    <n v="48"/>
    <s v="Escalated"/>
    <s v="Missing Resolve Date"/>
    <s v="Yes"/>
    <m/>
    <s v="Escalated To Senior Agent"/>
    <s v=""/>
  </r>
  <r>
    <s v="TCK-20327"/>
    <d v="2026-07-12T06:11:00"/>
    <x v="1"/>
    <s v="Ayaan Khalid"/>
    <s v="Islamabad"/>
    <s v="Chat"/>
    <s v="Delivery Delay"/>
    <s v="Low"/>
    <n v="48"/>
    <s v="Resolved"/>
    <d v="2026-07-13T16:44:00"/>
    <s v="No"/>
    <n v="4"/>
    <s v="Customer Requested Refund"/>
    <n v="34.549999999988358"/>
  </r>
  <r>
    <s v="TCK-20375"/>
    <d v="2026-07-25T10:30:00"/>
    <x v="1"/>
    <s v="Zara Hussain"/>
    <s v="Islamabad"/>
    <s v="Portal"/>
    <s v="Delivery Delay"/>
    <s v="Low"/>
    <n v="48"/>
    <s v="Resolved"/>
    <d v="2026-07-26T23:33:00"/>
    <s v="No"/>
    <n v="4"/>
    <s v="Not Specified"/>
    <n v="37.049999999930151"/>
  </r>
  <r>
    <s v="TCK-21366"/>
    <d v="2026-04-22T02:16:00"/>
    <x v="1"/>
    <s v="Ayaan Khalid"/>
    <s v="Rawalpindi"/>
    <s v="Chat"/>
    <s v="Delivery Delay"/>
    <s v="Medium"/>
    <n v="24"/>
    <s v="In Progress"/>
    <s v="Missing Resolve Date"/>
    <s v="No"/>
    <m/>
    <s v="Resolved On First Contact"/>
    <s v=""/>
  </r>
  <r>
    <s v="TCK-20932"/>
    <d v="2026-03-23T15:05:00"/>
    <x v="0"/>
    <s v="Rehan Qureshi"/>
    <s v="Karachi"/>
    <s v="Phone"/>
    <s v="General Inquiry"/>
    <s v="Low"/>
    <n v="48"/>
    <s v="Closed"/>
    <d v="2026-03-24T20:01:00"/>
    <s v="No"/>
    <n v="2"/>
    <s v="Not Specified"/>
    <n v="28.933333333348855"/>
  </r>
  <r>
    <s v="TCK-20454"/>
    <d v="2026-08-09T07:05:00"/>
    <x v="0"/>
    <s v="Rehan Qureshi"/>
    <s v="Faisalabad"/>
    <s v="Portal"/>
    <s v="Account Access"/>
    <s v="Low"/>
    <n v="48"/>
    <s v="Closed"/>
    <d v="2026-08-09T12:18:00"/>
    <s v="No"/>
    <n v="5"/>
    <s v="Not Specified"/>
    <n v="5.2166666665580124"/>
  </r>
  <r>
    <s v="TCK-22037"/>
    <d v="2026-06-20T22:48:00"/>
    <x v="3"/>
    <s v="Talha Nadeem"/>
    <s v="Peshawar"/>
    <s v="Phone"/>
    <s v="Delivery Delay"/>
    <s v="Critical"/>
    <n v="4"/>
    <s v="Escalated"/>
    <s v="Missing Resolve Date"/>
    <s v="Yes"/>
    <m/>
    <s v="Not Specified"/>
    <s v=""/>
  </r>
  <r>
    <s v="TCK-20766"/>
    <d v="2026-05-13T10:00:00"/>
    <x v="3"/>
    <s v="Talha Nadeem"/>
    <s v="Multan"/>
    <s v="Phone"/>
    <s v="Account Access"/>
    <s v="Low"/>
    <n v="48"/>
    <s v="Closed"/>
    <d v="2026-05-14T15:15:00"/>
    <s v="No"/>
    <n v="4"/>
    <s v="Repeat Issue From Same Customer"/>
    <n v="29.25"/>
  </r>
  <r>
    <s v="TCK-22584"/>
    <d v="2026-03-27T20:56:00"/>
    <x v="1"/>
    <s v="Zara Hussain"/>
    <s v="Lahore"/>
    <s v="Portal"/>
    <s v="General Inquiry"/>
    <s v="Low"/>
    <n v="48"/>
    <s v="Escalated"/>
    <s v="Missing Resolve Date"/>
    <s v="Yes"/>
    <m/>
    <s v="Escalated To Senior Agent"/>
    <s v=""/>
  </r>
  <r>
    <s v="TCK-22927"/>
    <d v="2026-05-05T04:09:00"/>
    <x v="1"/>
    <s v="Zara Hussain"/>
    <s v="Karachi"/>
    <s v="Portal"/>
    <s v="General Inquiry"/>
    <s v="Medium"/>
    <n v="24"/>
    <s v="Closed"/>
    <d v="2026-05-05T13:46:00"/>
    <s v="No"/>
    <n v="4"/>
    <s v="Customer Requested Refund"/>
    <n v="9.6166666665812954"/>
  </r>
  <r>
    <s v="TCK-21914"/>
    <d v="2026-03-13T14:25:00"/>
    <x v="1"/>
    <s v="Zara Hussain"/>
    <s v="Multan"/>
    <s v="Email"/>
    <s v="Delivery Delay"/>
    <s v="Low"/>
    <n v="48"/>
    <s v="In Progress"/>
    <s v="Missing Resolve Date"/>
    <s v="Yes"/>
    <m/>
    <s v="Awaiting Customer Response"/>
    <s v=""/>
  </r>
  <r>
    <s v="TCK-21500"/>
    <d v="2026-08-06T06:53:00"/>
    <x v="3"/>
    <s v="Iqra Basit"/>
    <s v="Lahore"/>
    <s v="Chat"/>
    <s v="Refund Request"/>
    <s v="Low"/>
    <n v="48"/>
    <s v="Closed"/>
    <d v="2026-08-10T09:15:00"/>
    <s v="Yes"/>
    <m/>
    <s v="Not Specified"/>
    <n v="98.366666666523088"/>
  </r>
  <r>
    <s v="TCK-22910"/>
    <d v="2026-07-20T01:56:00"/>
    <x v="2"/>
    <s v="Bilal Chaudhry"/>
    <s v="Karachi"/>
    <s v="Chat"/>
    <s v="Technical Issue"/>
    <s v="Low"/>
    <n v="48"/>
    <s v="Resolved"/>
    <d v="2026-07-21T10:48:00"/>
    <s v="No"/>
    <n v="5"/>
    <s v="Resolved On First Contact"/>
    <n v="32.866666666581295"/>
  </r>
  <r>
    <s v="TCK-21399"/>
    <d v="2026-07-08T09:36:00"/>
    <x v="3"/>
    <s v="Iqra Basit"/>
    <s v="Multan"/>
    <s v="Portal"/>
    <s v="Refund Request"/>
    <s v="High"/>
    <n v="8"/>
    <s v="In Progress"/>
    <s v="Missing Resolve Date"/>
    <s v="Yes"/>
    <m/>
    <s v="Awaiting Customer Response"/>
    <s v=""/>
  </r>
  <r>
    <s v="TCK-21508"/>
    <d v="2026-04-20T14:15:00"/>
    <x v="1"/>
    <s v="Ayaan Khalid"/>
    <s v="Lahore"/>
    <s v="Portal"/>
    <s v="Account Access"/>
    <s v="Medium"/>
    <n v="24"/>
    <s v="Open"/>
    <s v="Missing Resolve Date"/>
    <s v="No"/>
    <m/>
    <s v="Customer Requested Refund"/>
    <s v=""/>
  </r>
  <r>
    <s v="TCK-20784"/>
    <d v="2026-08-03T04:36:00"/>
    <x v="2"/>
    <s v="Mahnoor Aslam"/>
    <s v="Faisalabad"/>
    <s v="Portal"/>
    <s v="Technical Issue"/>
    <s v="Low"/>
    <n v="48"/>
    <s v="Closed"/>
    <s v="Missing Resolve Date"/>
    <s v="No"/>
    <m/>
    <s v="Not Specified"/>
    <s v=""/>
  </r>
  <r>
    <s v="TCK-21781"/>
    <d v="2026-07-02T19:29:00"/>
    <x v="1"/>
    <s v="Ayaan Khalid"/>
    <s v="Lahore"/>
    <s v="Chat"/>
    <s v="General Inquiry"/>
    <s v="Medium"/>
    <n v="24"/>
    <s v="Closed"/>
    <d v="2026-07-03T10:24:00"/>
    <s v="No"/>
    <m/>
    <s v="Required Follow-Up Call"/>
    <n v="14.916666666744277"/>
  </r>
  <r>
    <s v="TCK-22239"/>
    <d v="2026-07-16T03:08:00"/>
    <x v="0"/>
    <s v="Sadia Anwar"/>
    <s v="Lahore"/>
    <s v="Email"/>
    <s v="Billing Issue"/>
    <s v="Medium"/>
    <n v="24"/>
    <s v="In Progress"/>
    <s v="Missing Resolve Date"/>
    <s v="No"/>
    <m/>
    <s v="Required Follow-Up Call"/>
    <s v=""/>
  </r>
  <r>
    <s v="TCK-21505"/>
    <d v="2026-06-13T12:13:00"/>
    <x v="2"/>
    <s v="Mahnoor Aslam"/>
    <s v="Peshawar"/>
    <s v="Email"/>
    <s v="Delivery Delay"/>
    <s v="Low"/>
    <n v="48"/>
    <s v="Resolved"/>
    <d v="2026-06-14T13:48:00"/>
    <s v="No"/>
    <n v="5"/>
    <s v="Resolved On First Contact"/>
    <n v="25.583333333255723"/>
  </r>
  <r>
    <s v="TCK-21250"/>
    <d v="2026-02-27T15:33:00"/>
    <x v="1"/>
    <s v="Zara Hussain"/>
    <s v="Lahore"/>
    <s v="Chat"/>
    <s v="Technical Issue"/>
    <s v="Medium"/>
    <n v="24"/>
    <s v="Resolved"/>
    <d v="2026-03-02T13:38:00"/>
    <s v="No"/>
    <m/>
    <s v="Resolved On First Contact"/>
    <n v="70.083333333372138"/>
  </r>
  <r>
    <s v="TCK-22875"/>
    <d v="2026-07-16T09:14:00"/>
    <x v="1"/>
    <s v="Zara Hussain"/>
    <s v="Multan"/>
    <s v="Email"/>
    <s v="Billing Issue"/>
    <s v="Medium"/>
    <n v="24"/>
    <s v="Resolved"/>
    <d v="2026-07-16T23:08:00"/>
    <s v="No"/>
    <n v="2"/>
    <s v="Resolved On First Contact"/>
    <n v="13.899999999906868"/>
  </r>
  <r>
    <s v="TCK-20383"/>
    <d v="2026-07-09T05:38:00"/>
    <x v="3"/>
    <s v="Talha Nadeem"/>
    <s v="Peshawar"/>
    <s v="Portal"/>
    <s v="Account Access"/>
    <s v="Medium"/>
    <n v="24"/>
    <s v="Escalated"/>
    <s v="Missing Resolve Date"/>
    <s v="Yes"/>
    <m/>
    <s v="Customer Requested Refund"/>
    <s v=""/>
  </r>
  <r>
    <s v="TCK-21089"/>
    <d v="2026-04-10T18:11:00"/>
    <x v="0"/>
    <s v="Sadia Anwar"/>
    <s v="Rawalpindi"/>
    <s v="Email"/>
    <s v="Account Access"/>
    <s v="Low"/>
    <n v="48"/>
    <s v="Escalated"/>
    <s v="Missing Resolve Date"/>
    <s v="Yes"/>
    <m/>
    <s v="Technical Issue Resolved Remotely"/>
    <s v=""/>
  </r>
  <r>
    <s v="TCK-21898"/>
    <d v="2026-07-28T05:07:00"/>
    <x v="0"/>
    <s v="Rehan Qureshi"/>
    <s v="Multan"/>
    <s v="Email"/>
    <s v="Billing Issue"/>
    <s v="Critical"/>
    <n v="4"/>
    <s v="Resolved"/>
    <d v="2026-07-28T05:53:00"/>
    <s v="No"/>
    <n v="5"/>
    <s v="Customer Requested Refund"/>
    <n v="0.76666666672099382"/>
  </r>
  <r>
    <s v="TCK-22637"/>
    <d v="2026-01-10T11:14:00"/>
    <x v="1"/>
    <s v="Ayaan Khalid"/>
    <s v="Multan"/>
    <s v="Chat"/>
    <s v="Refund Request"/>
    <s v="Critical"/>
    <n v="4"/>
    <s v="Escalated"/>
    <s v="Missing Resolve Date"/>
    <s v="Yes"/>
    <m/>
    <s v="Awaiting Customer Response"/>
    <s v=""/>
  </r>
  <r>
    <s v="TCK-23090"/>
    <d v="2026-04-05T23:03:00"/>
    <x v="1"/>
    <s v="Zara Hussain"/>
    <s v="Rawalpindi"/>
    <s v="Phone"/>
    <s v="Billing Issue"/>
    <s v="High"/>
    <n v="8"/>
    <s v="Closed"/>
    <d v="2026-04-06T01:10:00"/>
    <s v="Yes"/>
    <n v="4"/>
    <s v="Customer Requested Refund"/>
    <n v="2.1166666665812954"/>
  </r>
  <r>
    <s v="TCK-21383"/>
    <d v="2026-08-11T14:28:00"/>
    <x v="1"/>
    <s v="Zara Hussain"/>
    <s v="Karachi"/>
    <s v="Chat"/>
    <s v="Billing Issue"/>
    <s v="Low"/>
    <n v="48"/>
    <s v="Resolved"/>
    <s v="Missing Resolve Date"/>
    <s v="No"/>
    <n v="3"/>
    <s v="Resolved On First Contact"/>
    <s v=""/>
  </r>
  <r>
    <s v="TCK-23112"/>
    <d v="2026-07-06T07:29:00"/>
    <x v="3"/>
    <s v="Talha Nadeem"/>
    <s v="Multan"/>
    <s v="Email"/>
    <s v="General Inquiry"/>
    <s v="Critical"/>
    <n v="4"/>
    <s v="Closed"/>
    <d v="2026-07-06T10:11:00"/>
    <s v="No"/>
    <n v="4"/>
    <s v="Not Specified"/>
    <n v="2.7000000000698492"/>
  </r>
  <r>
    <s v="TCK-20265"/>
    <d v="2026-04-06T10:33:00"/>
    <x v="3"/>
    <s v="Talha Nadeem"/>
    <s v="Faisalabad"/>
    <s v="Email"/>
    <s v="Account Access"/>
    <s v="High"/>
    <n v="8"/>
    <s v="Open"/>
    <s v="Missing Resolve Date"/>
    <s v="No"/>
    <m/>
    <s v="Customer Requested Refund"/>
    <s v=""/>
  </r>
  <r>
    <s v="TCK-22614"/>
    <d v="2026-08-08T14:34:00"/>
    <x v="1"/>
    <s v="Zara Hussain"/>
    <s v="Multan"/>
    <s v="Chat"/>
    <s v="General Inquiry"/>
    <s v="Medium"/>
    <n v="24"/>
    <s v="Resolved"/>
    <d v="2026-08-08T19:01:00"/>
    <s v="No"/>
    <m/>
    <s v="Required Follow-Up Call"/>
    <n v="4.4500000000116415"/>
  </r>
  <r>
    <s v="TCK-21630"/>
    <d v="2026-01-09T14:23:00"/>
    <x v="2"/>
    <s v="Bilal Chaudhry"/>
    <s v="Islamabad"/>
    <s v="Phone"/>
    <s v="Refund Request"/>
    <s v="Medium"/>
    <n v="24"/>
    <s v="Resolved"/>
    <d v="2026-01-09T15:29:00"/>
    <s v="No"/>
    <n v="3"/>
    <s v="Repeat Issue From Same Customer"/>
    <n v="1.0999999999185093"/>
  </r>
  <r>
    <s v="TCK-22861"/>
    <d v="2026-04-05T12:57:00"/>
    <x v="1"/>
    <s v="Zara Hussain"/>
    <s v="Multan"/>
    <s v="Email"/>
    <s v="General Inquiry"/>
    <s v="Low"/>
    <n v="48"/>
    <s v="Resolved"/>
    <d v="2026-04-06T08:27:00"/>
    <s v="No"/>
    <m/>
    <s v="Customer Requested Refund"/>
    <n v="19.5"/>
  </r>
  <r>
    <s v="TCK-21692"/>
    <d v="2026-04-10T09:04:00"/>
    <x v="0"/>
    <s v="Sadia Anwar"/>
    <s v="Lahore"/>
    <s v="Chat"/>
    <s v="Account Access"/>
    <s v="Medium"/>
    <n v="24"/>
    <s v="Re-Opened"/>
    <d v="2026-04-12T17:10:00"/>
    <s v="No"/>
    <m/>
    <s v="Not Specified"/>
    <n v="56.100000000034925"/>
  </r>
  <r>
    <s v="TCK-21222"/>
    <d v="2026-06-27T01:18:00"/>
    <x v="3"/>
    <s v="Iqra Basit"/>
    <s v="Lahore"/>
    <s v="Email"/>
    <s v="Delivery Delay"/>
    <s v="Low"/>
    <n v="48"/>
    <s v="In Progress"/>
    <s v="Missing Resolve Date"/>
    <s v="No"/>
    <m/>
    <s v="Awaiting Customer Response"/>
    <s v=""/>
  </r>
  <r>
    <s v="TCK-20613"/>
    <d v="2026-05-13T15:04:00"/>
    <x v="0"/>
    <s v="Sadia Anwar"/>
    <s v="Rawalpindi"/>
    <s v="Phone"/>
    <s v="Technical Issue"/>
    <s v="Low"/>
    <n v="48"/>
    <s v="Resolved"/>
    <d v="2026-05-13T19:53:00"/>
    <s v="No"/>
    <n v="4"/>
    <s v="Customer Satisfied With Resolution"/>
    <n v="4.8166666666511446"/>
  </r>
  <r>
    <s v="TCK-22703"/>
    <d v="2026-07-05T14:19:00"/>
    <x v="3"/>
    <s v="Iqra Basit"/>
    <s v="Peshawar"/>
    <s v="Phone"/>
    <s v="General Inquiry"/>
    <s v="Medium"/>
    <n v="24"/>
    <s v="Closed"/>
    <d v="2026-07-06T03:43:00"/>
    <s v="No"/>
    <n v="1"/>
    <s v="Required Follow-Up Call"/>
    <n v="13.400000000023283"/>
  </r>
  <r>
    <s v="TCK-22612"/>
    <d v="2026-01-17T07:16:00"/>
    <x v="2"/>
    <s v="Bilal Chaudhry"/>
    <s v="Peshawar"/>
    <s v="Portal"/>
    <s v="Account Access"/>
    <s v="Low"/>
    <n v="48"/>
    <s v="Resolved"/>
    <d v="2026-01-18T17:22:00"/>
    <s v="No"/>
    <m/>
    <s v="Customer Satisfied With Resolution"/>
    <n v="34.100000000093132"/>
  </r>
  <r>
    <s v="TCK-20663"/>
    <d v="2026-05-28T00:56:00"/>
    <x v="0"/>
    <s v="Sadia Anwar"/>
    <s v="Peshawar"/>
    <s v="Email"/>
    <s v="Billing Issue"/>
    <s v="High"/>
    <n v="8"/>
    <s v="Resolved"/>
    <d v="2026-05-28T03:14:00"/>
    <s v="No"/>
    <m/>
    <s v="Technical Issue Resolved Remotely"/>
    <n v="2.2999999999883585"/>
  </r>
  <r>
    <s v="TCK-22667"/>
    <d v="2026-01-11T23:52:00"/>
    <x v="1"/>
    <s v="Ayaan Khalid"/>
    <s v="Multan"/>
    <s v="Chat"/>
    <s v="General Inquiry"/>
    <s v="Medium"/>
    <n v="24"/>
    <s v="Resolved"/>
    <d v="2026-01-12T20:37:00"/>
    <s v="No"/>
    <n v="4"/>
    <s v="Technical Issue Resolved Remotely"/>
    <n v="20.750000000058208"/>
  </r>
  <r>
    <s v="TCK-22340"/>
    <d v="2026-07-15T19:12:00"/>
    <x v="0"/>
    <s v="Sadia Anwar"/>
    <s v="Karachi"/>
    <s v="Email"/>
    <s v="Technical Issue"/>
    <s v="High"/>
    <n v="8"/>
    <s v="In Progress"/>
    <s v="Missing Resolve Date"/>
    <s v="No"/>
    <m/>
    <s v="Customer Requested Refund"/>
    <s v=""/>
  </r>
  <r>
    <s v="TCK-22819"/>
    <d v="2026-05-22T13:12:00"/>
    <x v="3"/>
    <s v="Talha Nadeem"/>
    <s v="Peshawar"/>
    <s v="Portal"/>
    <s v="Delivery Delay"/>
    <s v="Critical"/>
    <n v="4"/>
    <s v="Resolved"/>
    <d v="2026-05-22T16:39:00"/>
    <s v="No"/>
    <m/>
    <s v="Resolved On First Contact"/>
    <n v="3.4499999998952262"/>
  </r>
  <r>
    <s v="TCK-22573"/>
    <d v="2026-07-17T15:25:00"/>
    <x v="2"/>
    <s v="Mahnoor Aslam"/>
    <s v="Islamabad"/>
    <s v="Portal"/>
    <s v="Billing Issue"/>
    <s v="High"/>
    <n v="8"/>
    <s v="Closed"/>
    <d v="2026-07-17T16:20:00"/>
    <s v="No"/>
    <n v="2"/>
    <s v="Not Specified"/>
    <n v="0.91666666668606922"/>
  </r>
  <r>
    <s v="TCK-22107"/>
    <d v="2026-03-18T22:44:00"/>
    <x v="0"/>
    <s v="Rehan Qureshi"/>
    <s v="Peshawar"/>
    <s v="Phone"/>
    <s v="Technical Issue"/>
    <s v="Critical"/>
    <n v="4"/>
    <s v="Resolved"/>
    <d v="2026-03-19T00:42:00"/>
    <s v="No"/>
    <n v="5"/>
    <s v="Repeat Issue From Same Customer"/>
    <n v="1.96666666661622"/>
  </r>
  <r>
    <s v="TCK-20485"/>
    <d v="2026-01-08T21:45:00"/>
    <x v="2"/>
    <s v="Mahnoor Aslam"/>
    <s v="Peshawar"/>
    <s v="Email"/>
    <s v="Billing Issue"/>
    <s v="Low"/>
    <n v="48"/>
    <s v="Resolved"/>
    <s v="Missing Resolve Date"/>
    <s v="No"/>
    <n v="4"/>
    <s v="Technical Issue Resolved Remotely"/>
    <s v=""/>
  </r>
  <r>
    <s v="TCK-22409"/>
    <d v="2026-07-20T15:16:00"/>
    <x v="0"/>
    <s v="Rehan Qureshi"/>
    <s v="Rawalpindi"/>
    <s v="Email"/>
    <s v="Delivery Delay"/>
    <s v="Medium"/>
    <n v="24"/>
    <s v="Escalated"/>
    <s v="Missing Resolve Date"/>
    <s v="Yes"/>
    <m/>
    <s v="Escalated To Senior Agent"/>
    <s v=""/>
  </r>
  <r>
    <s v="TCK-21476"/>
    <d v="2026-02-22T13:13:00"/>
    <x v="0"/>
    <s v="Rehan Qureshi"/>
    <s v="Lahore"/>
    <s v="Portal"/>
    <s v="Technical Issue"/>
    <s v="Medium"/>
    <n v="24"/>
    <s v="Resolved"/>
    <d v="2026-02-22T22:24:00"/>
    <s v="No"/>
    <n v="5"/>
    <s v="Technical Issue Resolved Remotely"/>
    <n v="9.183333333407063"/>
  </r>
  <r>
    <s v="TCK-22908"/>
    <d v="2026-03-05T11:37:00"/>
    <x v="0"/>
    <s v="Sadia Anwar"/>
    <s v="Rawalpindi"/>
    <s v="Portal"/>
    <s v="Refund Request"/>
    <s v="Low"/>
    <n v="48"/>
    <s v="In Progress"/>
    <s v="Missing Resolve Date"/>
    <s v="Yes"/>
    <m/>
    <s v="Repeat Issue From Same Customer"/>
    <s v=""/>
  </r>
  <r>
    <s v="TCK-20695"/>
    <d v="2026-04-20T13:06:00"/>
    <x v="0"/>
    <s v="Rehan Qureshi"/>
    <s v="Rawalpindi"/>
    <s v="Phone"/>
    <s v="General Inquiry"/>
    <s v="Medium"/>
    <n v="24"/>
    <s v="Escalated"/>
    <s v="Missing Resolve Date"/>
    <s v="Yes"/>
    <m/>
    <s v="Resolved On First Contact"/>
    <s v=""/>
  </r>
  <r>
    <s v="TCK-22839"/>
    <d v="2026-08-23T15:29:00"/>
    <x v="3"/>
    <s v="Talha Nadeem"/>
    <s v="Multan"/>
    <s v="Phone"/>
    <s v="Refund Request"/>
    <s v="High"/>
    <n v="8"/>
    <s v="Open"/>
    <s v="Missing Resolve Date"/>
    <s v="No"/>
    <m/>
    <s v="Customer Requested Refund"/>
    <s v=""/>
  </r>
  <r>
    <s v="TCK-22528"/>
    <d v="2026-08-08T16:43:00"/>
    <x v="3"/>
    <s v="Iqra Basit"/>
    <s v="Karachi"/>
    <s v="Chat"/>
    <s v="Delivery Delay"/>
    <s v="Medium"/>
    <n v="24"/>
    <s v="Closed"/>
    <d v="2026-08-11T14:30:00"/>
    <s v="No"/>
    <n v="5"/>
    <s v="Awaiting Customer Response"/>
    <n v="69.783333333267365"/>
  </r>
  <r>
    <s v="TCK-21763"/>
    <d v="2026-03-11T15:29:00"/>
    <x v="2"/>
    <s v="Mahnoor Aslam"/>
    <s v="Peshawar"/>
    <s v="Chat"/>
    <s v="Billing Issue"/>
    <s v="Low"/>
    <n v="48"/>
    <s v="Closed"/>
    <d v="2026-03-15T22:34:00"/>
    <s v="No"/>
    <n v="1"/>
    <s v="Awaiting Customer Response"/>
    <n v="103.08333333337214"/>
  </r>
  <r>
    <s v="TCK-23008"/>
    <d v="2026-06-09T04:34:00"/>
    <x v="2"/>
    <s v="Bilal Chaudhry"/>
    <s v="Multan"/>
    <s v="Chat"/>
    <s v="Technical Issue"/>
    <s v="Medium"/>
    <n v="24"/>
    <s v="Resolved"/>
    <d v="2026-06-09T20:07:00"/>
    <s v="No"/>
    <n v="2"/>
    <s v="Not Specified"/>
    <n v="15.549999999871943"/>
  </r>
  <r>
    <s v="TCK-20840"/>
    <d v="2026-01-23T13:42:00"/>
    <x v="1"/>
    <s v="Zara Hussain"/>
    <s v="Peshawar"/>
    <s v="Phone"/>
    <s v="Delivery Delay"/>
    <s v="Medium"/>
    <n v="24"/>
    <s v="Closed"/>
    <d v="2026-01-23T16:05:00"/>
    <s v="No"/>
    <n v="4"/>
    <s v="Awaiting Customer Response"/>
    <n v="2.3833333334187046"/>
  </r>
  <r>
    <s v="TCK-22755"/>
    <d v="2026-05-07T16:48:00"/>
    <x v="0"/>
    <s v="Sadia Anwar"/>
    <s v="Rawalpindi"/>
    <s v="Portal"/>
    <s v="Delivery Delay"/>
    <s v="High"/>
    <n v="8"/>
    <s v="Resolved"/>
    <d v="2026-05-07T17:58:00"/>
    <s v="No"/>
    <m/>
    <s v="Resolved On First Contact"/>
    <n v="1.1666666668024845"/>
  </r>
  <r>
    <s v="TCK-22178"/>
    <d v="2026-02-20T17:08:00"/>
    <x v="3"/>
    <s v="Talha Nadeem"/>
    <s v="Karachi"/>
    <s v="Phone"/>
    <s v="General Inquiry"/>
    <s v="High"/>
    <n v="8"/>
    <s v="In Progress"/>
    <s v="Missing Resolve Date"/>
    <s v="No"/>
    <m/>
    <s v="Escalated To Senior Agent"/>
    <s v=""/>
  </r>
  <r>
    <s v="TCK-20715"/>
    <d v="2026-05-17T02:20:00"/>
    <x v="1"/>
    <s v="Zara Hussain"/>
    <s v="Faisalabad"/>
    <s v="Chat"/>
    <s v="Delivery Delay"/>
    <s v="High"/>
    <n v="8"/>
    <s v="Resolved"/>
    <d v="2026-05-17T06:59:00"/>
    <s v="No"/>
    <n v="4"/>
    <s v="Not Specified"/>
    <n v="4.6500000001396984"/>
  </r>
  <r>
    <s v="TCK-22322"/>
    <d v="2026-03-13T19:44:00"/>
    <x v="2"/>
    <s v="Bilal Chaudhry"/>
    <s v="Karachi"/>
    <s v="Chat"/>
    <s v="Billing Issue"/>
    <s v="Medium"/>
    <n v="24"/>
    <s v="Closed"/>
    <d v="2026-03-14T13:18:00"/>
    <s v="No"/>
    <m/>
    <s v="Escalated To Senior Agent"/>
    <n v="17.566666666651145"/>
  </r>
  <r>
    <s v="TCK-20690"/>
    <d v="2026-03-12T02:50:00"/>
    <x v="1"/>
    <s v="Zara Hussain"/>
    <s v="Peshawar"/>
    <s v="Email"/>
    <s v="Account Access"/>
    <s v="Medium"/>
    <n v="24"/>
    <s v="Open"/>
    <s v="Missing Resolve Date"/>
    <s v="Yes"/>
    <m/>
    <s v="Not Specified"/>
    <s v=""/>
  </r>
  <r>
    <s v="TCK-20814"/>
    <d v="2026-03-29T23:18:00"/>
    <x v="3"/>
    <s v="Iqra Basit"/>
    <s v="Karachi"/>
    <s v="Email"/>
    <s v="Billing Issue"/>
    <s v="Critical"/>
    <n v="4"/>
    <s v="Resolved"/>
    <d v="2026-03-30T04:30:00"/>
    <s v="No"/>
    <n v="4"/>
    <s v="Repeat Issue From Same Customer"/>
    <n v="5.2000000000116415"/>
  </r>
  <r>
    <s v="TCK-20027"/>
    <d v="2026-08-16T05:20:00"/>
    <x v="1"/>
    <s v="Zara Hussain"/>
    <s v="Multan"/>
    <s v="Phone"/>
    <s v="Account Access"/>
    <s v="Medium"/>
    <n v="24"/>
    <s v="Re-Opened"/>
    <d v="2026-08-16T06:08:00"/>
    <s v="No"/>
    <m/>
    <s v="Escalated To Senior Agent"/>
    <n v="0.80000000016298145"/>
  </r>
  <r>
    <s v="TCK-20279"/>
    <d v="2026-08-24T07:55:00"/>
    <x v="3"/>
    <s v="Iqra Basit"/>
    <s v="Multan"/>
    <s v="Phone"/>
    <s v="General Inquiry"/>
    <s v="Low"/>
    <n v="48"/>
    <s v="Open"/>
    <s v="Missing Resolve Date"/>
    <s v="No"/>
    <m/>
    <s v="Repeat Issue From Same Customer"/>
    <s v=""/>
  </r>
  <r>
    <s v="TCK-21777"/>
    <d v="2026-05-02T11:38:00"/>
    <x v="1"/>
    <s v="Zara Hussain"/>
    <s v="Multan"/>
    <s v="Portal"/>
    <s v="General Inquiry"/>
    <s v="Low"/>
    <n v="48"/>
    <s v="In Progress"/>
    <s v="Missing Resolve Date"/>
    <s v="No"/>
    <m/>
    <s v="Awaiting Customer Response"/>
    <s v=""/>
  </r>
  <r>
    <s v="TCK-21375"/>
    <d v="2026-07-26T08:13:00"/>
    <x v="0"/>
    <s v="Rehan Qureshi"/>
    <s v="Karachi"/>
    <s v="Phone"/>
    <s v="Technical Issue"/>
    <s v="Low"/>
    <n v="48"/>
    <s v="Resolved"/>
    <d v="2026-07-26T23:28:00"/>
    <s v="No"/>
    <n v="5"/>
    <s v="Required Follow-Up Call"/>
    <n v="15.249999999941792"/>
  </r>
  <r>
    <s v="TCK-21339"/>
    <d v="2026-04-16T05:41:00"/>
    <x v="2"/>
    <s v="Mahnoor Aslam"/>
    <s v="Islamabad"/>
    <s v="Email"/>
    <s v="Account Access"/>
    <s v="Medium"/>
    <n v="24"/>
    <s v="Closed"/>
    <d v="2026-04-17T02:17:00"/>
    <s v="No"/>
    <n v="2"/>
    <s v="Escalated To Senior Agent"/>
    <n v="20.599999999918509"/>
  </r>
  <r>
    <s v="TCK-22613"/>
    <d v="2026-07-13T10:11:00"/>
    <x v="0"/>
    <s v="Sadia Anwar"/>
    <s v="Faisalabad"/>
    <s v="Phone"/>
    <s v="Refund Request"/>
    <s v="High"/>
    <n v="8"/>
    <s v="Resolved"/>
    <d v="2026-07-14T03:32:00"/>
    <s v="No"/>
    <n v="5"/>
    <s v="Escalated To Senior Agent"/>
    <n v="17.349999999976717"/>
  </r>
  <r>
    <s v="TCK-22269"/>
    <d v="2026-06-16T13:50:00"/>
    <x v="3"/>
    <s v="Talha Nadeem"/>
    <s v="Lahore"/>
    <s v="Portal"/>
    <s v="Account Access"/>
    <s v="Medium"/>
    <n v="24"/>
    <s v="Escalated"/>
    <s v="Missing Resolve Date"/>
    <s v="Yes"/>
    <m/>
    <s v="Resolved On First Contact"/>
    <s v=""/>
  </r>
  <r>
    <s v="TCK-22720"/>
    <d v="2026-06-19T07:56:00"/>
    <x v="2"/>
    <s v="Bilal Chaudhry"/>
    <s v="Rawalpindi"/>
    <s v="Chat"/>
    <s v="Account Access"/>
    <s v="Critical"/>
    <n v="4"/>
    <s v="Closed"/>
    <d v="2026-06-19T09:34:00"/>
    <s v="No"/>
    <n v="1"/>
    <s v="Not Specified"/>
    <n v="1.6333333332440816"/>
  </r>
  <r>
    <s v="TCK-20799"/>
    <d v="2026-01-08T04:08:00"/>
    <x v="2"/>
    <s v="Mahnoor Aslam"/>
    <s v="Peshawar"/>
    <s v="Phone"/>
    <s v="Delivery Delay"/>
    <s v="Medium"/>
    <n v="24"/>
    <s v="Closed"/>
    <d v="2026-01-08T15:09:00"/>
    <s v="No"/>
    <m/>
    <s v="Customer Requested Refund"/>
    <n v="11.016666666604578"/>
  </r>
  <r>
    <s v="TCK-21704"/>
    <d v="2026-08-30T03:39:00"/>
    <x v="1"/>
    <s v="Ayaan Khalid"/>
    <s v="Faisalabad"/>
    <s v="Phone"/>
    <s v="Technical Issue"/>
    <s v="Medium"/>
    <n v="24"/>
    <s v="In Progress"/>
    <s v="Missing Resolve Date"/>
    <s v="No"/>
    <m/>
    <s v="Not Specified"/>
    <s v=""/>
  </r>
  <r>
    <s v="TCK-22305"/>
    <d v="2026-06-14T00:44:00"/>
    <x v="3"/>
    <s v="Iqra Basit"/>
    <s v="Islamabad"/>
    <s v="Email"/>
    <s v="General Inquiry"/>
    <s v="High"/>
    <n v="8"/>
    <s v="Escalated"/>
    <s v="Missing Resolve Date"/>
    <s v="Yes"/>
    <m/>
    <s v="Escalated To Senior Agent"/>
    <s v=""/>
  </r>
  <r>
    <s v="TCK-22068"/>
    <d v="2026-06-15T21:50:00"/>
    <x v="3"/>
    <s v="Talha Nadeem"/>
    <s v="Rawalpindi"/>
    <s v="Phone"/>
    <s v="Billing Issue"/>
    <s v="Low"/>
    <n v="48"/>
    <s v="Closed"/>
    <d v="2026-06-16T08:21:00"/>
    <s v="No"/>
    <n v="5"/>
    <s v="Not Specified"/>
    <n v="10.516666666720994"/>
  </r>
  <r>
    <s v="TCK-22562"/>
    <d v="2026-05-16T07:38:00"/>
    <x v="0"/>
    <s v="Sadia Anwar"/>
    <s v="Karachi"/>
    <s v="Chat"/>
    <s v="Billing Issue"/>
    <s v="Low"/>
    <n v="48"/>
    <s v="Resolved"/>
    <d v="2026-05-16T18:56:00"/>
    <s v="No"/>
    <m/>
    <s v="Escalated To Senior Agent"/>
    <n v="11.299999999988358"/>
  </r>
  <r>
    <s v="TCK-21489"/>
    <d v="2026-07-22T18:31:00"/>
    <x v="1"/>
    <s v="Ayaan Khalid"/>
    <s v="Lahore"/>
    <s v="Portal"/>
    <s v="Delivery Delay"/>
    <s v="Critical"/>
    <n v="4"/>
    <s v="Closed"/>
    <d v="2026-07-22T19:32:00"/>
    <s v="No"/>
    <n v="1"/>
    <s v="Repeat Issue From Same Customer"/>
    <n v="1.0166666666627862"/>
  </r>
  <r>
    <s v="TCK-22100"/>
    <d v="2026-08-18T07:43:00"/>
    <x v="0"/>
    <s v="Rehan Qureshi"/>
    <s v="Peshawar"/>
    <s v="Email"/>
    <s v="Billing Issue"/>
    <s v="Low"/>
    <n v="48"/>
    <s v="Escalated"/>
    <s v="Missing Resolve Date"/>
    <s v="Yes"/>
    <m/>
    <s v="Awaiting Customer Response"/>
    <s v=""/>
  </r>
  <r>
    <s v="TCK-20547"/>
    <d v="2026-05-14T06:47:00"/>
    <x v="3"/>
    <s v="Talha Nadeem"/>
    <s v="Islamabad"/>
    <s v="Email"/>
    <s v="Delivery Delay"/>
    <s v="Low"/>
    <n v="48"/>
    <s v="Open"/>
    <s v="Missing Resolve Date"/>
    <s v="No"/>
    <m/>
    <s v="Not Specified"/>
    <s v=""/>
  </r>
  <r>
    <s v="TCK-21026"/>
    <d v="2026-05-31T20:11:00"/>
    <x v="3"/>
    <s v="Iqra Basit"/>
    <s v="Faisalabad"/>
    <s v="Email"/>
    <s v="Technical Issue"/>
    <s v="Low"/>
    <n v="48"/>
    <s v="Resolved"/>
    <d v="2026-06-02T09:28:00"/>
    <s v="No"/>
    <n v="4"/>
    <s v="Not Specified"/>
    <n v="37.283333333325572"/>
  </r>
  <r>
    <s v="TCK-22738"/>
    <d v="2026-01-28T17:47:00"/>
    <x v="0"/>
    <s v="Rehan Qureshi"/>
    <s v="Lahore"/>
    <s v="Portal"/>
    <s v="General Inquiry"/>
    <s v="Medium"/>
    <n v="24"/>
    <s v="Resolved"/>
    <d v="2026-01-29T12:04:00"/>
    <s v="No"/>
    <n v="5"/>
    <s v="Technical Issue Resolved Remotely"/>
    <n v="18.28333333338378"/>
  </r>
  <r>
    <s v="TCK-22570"/>
    <d v="2026-02-19T07:49:00"/>
    <x v="2"/>
    <s v="Mahnoor Aslam"/>
    <s v="Rawalpindi"/>
    <s v="Email"/>
    <s v="General Inquiry"/>
    <s v="High"/>
    <n v="8"/>
    <s v="Resolved"/>
    <d v="2026-02-19T09:09:00"/>
    <s v="No"/>
    <n v="5"/>
    <s v="Technical Issue Resolved Remotely"/>
    <n v="1.3333333333139308"/>
  </r>
  <r>
    <s v="TCK-23064"/>
    <d v="2026-06-28T11:27:00"/>
    <x v="2"/>
    <s v="Mahnoor Aslam"/>
    <s v="Faisalabad"/>
    <s v="Portal"/>
    <s v="Account Access"/>
    <s v="Critical"/>
    <n v="4"/>
    <s v="Resolved"/>
    <d v="2026-06-28T14:23:00"/>
    <s v="No"/>
    <n v="4"/>
    <s v="Not Specified"/>
    <n v="2.9333333334652707"/>
  </r>
  <r>
    <s v="TCK-21702"/>
    <d v="2026-04-04T23:06:00"/>
    <x v="3"/>
    <s v="Talha Nadeem"/>
    <s v="Multan"/>
    <s v="Chat"/>
    <s v="Refund Request"/>
    <s v="Medium"/>
    <n v="24"/>
    <s v="Resolved"/>
    <d v="2026-04-06T02:53:00"/>
    <s v="No"/>
    <n v="5"/>
    <s v="Not Specified"/>
    <n v="27.783333333267365"/>
  </r>
  <r>
    <s v="TCK-21434"/>
    <d v="2026-06-11T02:40:00"/>
    <x v="0"/>
    <s v="Rehan Qureshi"/>
    <s v="Karachi"/>
    <s v="Portal"/>
    <s v="Account Access"/>
    <s v="Medium"/>
    <n v="24"/>
    <s v="Resolved"/>
    <d v="2026-06-11T21:39:00"/>
    <s v="No"/>
    <n v="5"/>
    <s v="Escalated To Senior Agent"/>
    <n v="18.983333333395422"/>
  </r>
  <r>
    <s v="TCK-21948"/>
    <d v="2026-02-18T06:14:00"/>
    <x v="1"/>
    <s v="Ayaan Khalid"/>
    <s v="Multan"/>
    <s v="Portal"/>
    <s v="Refund Request"/>
    <s v="High"/>
    <n v="8"/>
    <s v="Closed"/>
    <d v="2026-02-18T10:04:00"/>
    <s v="No"/>
    <n v="1"/>
    <s v="Escalated To Senior Agent"/>
    <n v="3.8333333332557231"/>
  </r>
  <r>
    <s v="TCK-21768"/>
    <d v="2026-02-18T13:35:00"/>
    <x v="3"/>
    <s v="Iqra Basit"/>
    <s v="Karachi"/>
    <s v="Email"/>
    <s v="Refund Request"/>
    <s v="Low"/>
    <n v="48"/>
    <s v="Closed"/>
    <d v="2026-02-21T00:29:00"/>
    <s v="No"/>
    <n v="4"/>
    <s v="Escalated To Senior Agent"/>
    <n v="58.900000000081491"/>
  </r>
  <r>
    <s v="TCK-20347"/>
    <d v="2026-06-18T23:56:00"/>
    <x v="2"/>
    <s v="Mahnoor Aslam"/>
    <s v="Multan"/>
    <s v="Phone"/>
    <s v="Billing Issue"/>
    <s v="Low"/>
    <n v="48"/>
    <s v="Closed"/>
    <d v="2026-06-22T10:42:00"/>
    <s v="No"/>
    <n v="5"/>
    <s v="Repeat Issue From Same Customer"/>
    <n v="82.766666666662786"/>
  </r>
  <r>
    <s v="TCK-20190"/>
    <d v="2026-02-20T17:13:00"/>
    <x v="0"/>
    <s v="Rehan Qureshi"/>
    <s v="Islamabad"/>
    <s v="Email"/>
    <s v="General Inquiry"/>
    <s v="High"/>
    <n v="8"/>
    <s v="Resolved"/>
    <d v="2026-02-20T18:38:00"/>
    <s v="No"/>
    <n v="5"/>
    <s v="Required Follow-Up Call"/>
    <n v="1.4166666665696539"/>
  </r>
  <r>
    <s v="TCK-23108"/>
    <d v="2026-03-18T17:04:00"/>
    <x v="1"/>
    <s v="Zara Hussain"/>
    <s v="Islamabad"/>
    <s v="Portal"/>
    <s v="Technical Issue"/>
    <s v="Medium"/>
    <n v="24"/>
    <s v="Resolved"/>
    <d v="2026-03-21T05:10:00"/>
    <s v="No"/>
    <n v="5"/>
    <s v="Technical Issue Resolved Remotely"/>
    <n v="60.10000000015134"/>
  </r>
  <r>
    <s v="TCK-20662"/>
    <d v="2026-05-21T00:22:00"/>
    <x v="1"/>
    <s v="Ayaan Khalid"/>
    <s v="Karachi"/>
    <s v="Email"/>
    <s v="Billing Issue"/>
    <s v="Low"/>
    <n v="48"/>
    <s v="Closed"/>
    <d v="2026-05-21T14:44:00"/>
    <s v="No"/>
    <n v="5"/>
    <s v="Escalated To Senior Agent"/>
    <n v="14.366666666697711"/>
  </r>
  <r>
    <s v="TCK-20049"/>
    <d v="2026-07-22T12:14:00"/>
    <x v="1"/>
    <s v="Ayaan Khalid"/>
    <s v="Karachi"/>
    <s v="Email"/>
    <s v="Technical Issue"/>
    <s v="Critical"/>
    <n v="4"/>
    <s v="Closed"/>
    <d v="2026-07-22T19:15:00"/>
    <s v="No"/>
    <n v="5"/>
    <s v="Not Specified"/>
    <n v="7.0166666666627862"/>
  </r>
  <r>
    <s v="TCK-22643"/>
    <d v="2026-05-07T02:51:00"/>
    <x v="3"/>
    <s v="Talha Nadeem"/>
    <s v="Faisalabad"/>
    <s v="Email"/>
    <s v="Technical Issue"/>
    <s v="Medium"/>
    <n v="24"/>
    <s v="Closed"/>
    <d v="2026-05-07T07:52:00"/>
    <s v="No"/>
    <n v="1"/>
    <s v="Not Specified"/>
    <n v="5.0166666666045785"/>
  </r>
  <r>
    <s v="TCK-20062"/>
    <d v="2026-04-27T09:13:00"/>
    <x v="0"/>
    <s v="Sadia Anwar"/>
    <s v="Peshawar"/>
    <s v="Chat"/>
    <s v="Technical Issue"/>
    <s v="High"/>
    <n v="8"/>
    <s v="Resolved"/>
    <d v="2026-04-28T06:39:00"/>
    <s v="No"/>
    <n v="5"/>
    <s v="Escalated To Senior Agent"/>
    <n v="21.433333333348855"/>
  </r>
  <r>
    <s v="TCK-22960"/>
    <d v="2026-03-27T23:03:00"/>
    <x v="1"/>
    <s v="Zara Hussain"/>
    <s v="Peshawar"/>
    <s v="Phone"/>
    <s v="Refund Request"/>
    <s v="Medium"/>
    <n v="24"/>
    <s v="In Progress"/>
    <s v="Missing Resolve Date"/>
    <s v="Yes"/>
    <m/>
    <s v="Not Specified"/>
    <s v=""/>
  </r>
  <r>
    <s v="TCK-20402"/>
    <d v="2026-07-04T16:00:00"/>
    <x v="1"/>
    <s v="Zara Hussain"/>
    <s v="Multan"/>
    <s v="Chat"/>
    <s v="Technical Issue"/>
    <s v="Medium"/>
    <n v="24"/>
    <s v="Closed"/>
    <d v="2026-07-05T04:03:00"/>
    <s v="No"/>
    <n v="5"/>
    <s v="Not Specified"/>
    <n v="12.049999999988358"/>
  </r>
  <r>
    <s v="TCK-22359"/>
    <d v="2026-05-20T03:44:00"/>
    <x v="0"/>
    <s v="Sadia Anwar"/>
    <s v="Karachi"/>
    <s v="Chat"/>
    <s v="General Inquiry"/>
    <s v="Critical"/>
    <n v="4"/>
    <s v="Resolved"/>
    <d v="2026-05-20T04:55:00"/>
    <s v="No"/>
    <n v="2"/>
    <s v="Escalated To Senior Agent"/>
    <n v="1.1833333333488554"/>
  </r>
  <r>
    <s v="TCK-20997"/>
    <d v="2026-05-16T22:15:00"/>
    <x v="1"/>
    <s v="Zara Hussain"/>
    <s v="Rawalpindi"/>
    <s v="Phone"/>
    <s v="Refund Request"/>
    <s v="Low"/>
    <n v="48"/>
    <s v="Escalated"/>
    <s v="Missing Resolve Date"/>
    <s v="Yes"/>
    <m/>
    <s v="Technical Issue Resolved Remotely"/>
    <s v=""/>
  </r>
  <r>
    <s v="TCK-20531"/>
    <d v="2026-08-13T17:03:00"/>
    <x v="0"/>
    <s v="Rehan Qureshi"/>
    <s v="Faisalabad"/>
    <s v="Chat"/>
    <s v="Refund Request"/>
    <s v="High"/>
    <n v="8"/>
    <s v="Resolved"/>
    <d v="2026-08-13T23:26:00"/>
    <s v="No"/>
    <m/>
    <s v="Resolved On First Contact"/>
    <n v="6.3833333333604969"/>
  </r>
  <r>
    <s v="TCK-21744"/>
    <d v="2026-07-13T00:40:00"/>
    <x v="1"/>
    <s v="Zara Hussain"/>
    <s v="Lahore"/>
    <s v="Chat"/>
    <s v="General Inquiry"/>
    <s v="Medium"/>
    <n v="24"/>
    <s v="Resolved"/>
    <d v="2026-07-13T16:36:00"/>
    <s v="No"/>
    <n v="4"/>
    <s v="Customer Satisfied With Resolution"/>
    <n v="15.93333333323244"/>
  </r>
  <r>
    <s v="TCK-22788"/>
    <d v="2026-07-18T08:23:00"/>
    <x v="2"/>
    <s v="Bilal Chaudhry"/>
    <s v="Islamabad"/>
    <s v="Chat"/>
    <s v="Refund Request"/>
    <s v="Medium"/>
    <n v="24"/>
    <s v="Closed"/>
    <d v="2026-07-18T21:36:00"/>
    <s v="No"/>
    <n v="5"/>
    <s v="Customer Satisfied With Resolution"/>
    <n v="13.21666666661622"/>
  </r>
  <r>
    <s v="TCK-20328"/>
    <d v="2026-07-18T04:52:00"/>
    <x v="0"/>
    <s v="Rehan Qureshi"/>
    <s v="Multan"/>
    <s v="Portal"/>
    <s v="Billing Issue"/>
    <s v="Low"/>
    <n v="48"/>
    <s v="Escalated"/>
    <s v="Missing Resolve Date"/>
    <s v="Yes"/>
    <m/>
    <s v="Customer Requested Refund"/>
    <s v=""/>
  </r>
  <r>
    <s v="TCK-21662"/>
    <d v="2026-07-18T21:02:00"/>
    <x v="0"/>
    <s v="Rehan Qureshi"/>
    <s v="Karachi"/>
    <s v="Portal"/>
    <s v="Technical Issue"/>
    <s v="Low"/>
    <n v="48"/>
    <s v="Closed"/>
    <d v="2026-07-20T03:06:00"/>
    <s v="No"/>
    <n v="1"/>
    <s v="Technical Issue Resolved Remotely"/>
    <n v="30.066666666709352"/>
  </r>
  <r>
    <s v="TCK-20750"/>
    <d v="2026-08-09T17:20:00"/>
    <x v="0"/>
    <s v="Rehan Qureshi"/>
    <s v="Multan"/>
    <s v="Phone"/>
    <s v="Technical Issue"/>
    <s v="Low"/>
    <n v="48"/>
    <s v="Resolved"/>
    <d v="2026-08-10T13:08:00"/>
    <s v="No"/>
    <n v="5"/>
    <s v="Repeat Issue From Same Customer"/>
    <n v="19.800000000104774"/>
  </r>
  <r>
    <s v="TCK-22007"/>
    <d v="2026-07-28T18:14:00"/>
    <x v="0"/>
    <s v="Sadia Anwar"/>
    <s v="Peshawar"/>
    <s v="Phone"/>
    <s v="Billing Issue"/>
    <s v="High"/>
    <n v="8"/>
    <s v="In Progress"/>
    <s v="Missing Resolve Date"/>
    <s v="No"/>
    <m/>
    <s v="Customer Requested Refund"/>
    <s v=""/>
  </r>
  <r>
    <s v="TCK-20604"/>
    <d v="2026-01-27T10:38:00"/>
    <x v="0"/>
    <s v="Sadia Anwar"/>
    <s v="Karachi"/>
    <s v="Email"/>
    <s v="Refund Request"/>
    <s v="High"/>
    <n v="8"/>
    <s v="Escalated"/>
    <s v="Missing Resolve Date"/>
    <s v="Yes"/>
    <m/>
    <s v="Escalated To Senior Agent"/>
    <s v=""/>
  </r>
  <r>
    <s v="TCK-22972"/>
    <d v="2026-05-14T15:48:00"/>
    <x v="0"/>
    <s v="Rehan Qureshi"/>
    <s v="Rawalpindi"/>
    <s v="Chat"/>
    <s v="Account Access"/>
    <s v="Medium"/>
    <n v="24"/>
    <s v="Resolved"/>
    <d v="2026-05-14T23:12:00"/>
    <s v="No"/>
    <m/>
    <s v="Required Follow-Up Call"/>
    <n v="7.4000000000232831"/>
  </r>
  <r>
    <s v="TCK-23094"/>
    <d v="2026-03-12T14:21:00"/>
    <x v="0"/>
    <s v="Rehan Qureshi"/>
    <s v="Islamabad"/>
    <s v="Phone"/>
    <s v="Billing Issue"/>
    <s v="Low"/>
    <n v="48"/>
    <s v="Resolved"/>
    <d v="2026-03-14T03:14:00"/>
    <s v="No"/>
    <n v="4"/>
    <s v="Not Specified"/>
    <n v="36.883333333418705"/>
  </r>
  <r>
    <s v="TCK-22920"/>
    <d v="2026-06-25T16:28:00"/>
    <x v="2"/>
    <s v="Bilal Chaudhry"/>
    <s v="Rawalpindi"/>
    <s v="Portal"/>
    <s v="Technical Issue"/>
    <s v="Medium"/>
    <n v="24"/>
    <s v="Resolved"/>
    <d v="2026-06-27T01:06:00"/>
    <s v="No"/>
    <n v="3"/>
    <s v="Technical Issue Resolved Remotely"/>
    <n v="32.633333333185874"/>
  </r>
  <r>
    <s v="TCK-21921"/>
    <d v="2026-07-07T15:12:00"/>
    <x v="3"/>
    <s v="Iqra Basit"/>
    <s v="Karachi"/>
    <s v="Portal"/>
    <s v="Delivery Delay"/>
    <s v="High"/>
    <n v="8"/>
    <s v="Resolved"/>
    <d v="2026-07-07T21:12:00"/>
    <s v="No"/>
    <n v="5"/>
    <s v="Escalated To Senior Agent"/>
    <n v="6"/>
  </r>
  <r>
    <s v="TCK-20432"/>
    <d v="2026-08-21T04:42:00"/>
    <x v="0"/>
    <s v="Sadia Anwar"/>
    <s v="Multan"/>
    <s v="Email"/>
    <s v="General Inquiry"/>
    <s v="High"/>
    <n v="8"/>
    <s v="Resolved"/>
    <d v="2026-08-21T08:21:00"/>
    <s v="No"/>
    <n v="5"/>
    <s v="Customer Satisfied With Resolution"/>
    <n v="3.6500000000232831"/>
  </r>
  <r>
    <s v="TCK-20658"/>
    <d v="2026-08-23T10:00:00"/>
    <x v="1"/>
    <s v="Ayaan Khalid"/>
    <s v="Karachi"/>
    <s v="Phone"/>
    <s v="Account Access"/>
    <s v="Medium"/>
    <n v="24"/>
    <s v="Resolved"/>
    <d v="2026-08-24T02:13:00"/>
    <s v="No"/>
    <n v="4"/>
    <s v="Customer Requested Refund"/>
    <n v="16.216666666790843"/>
  </r>
  <r>
    <s v="TCK-21943"/>
    <d v="2026-05-14T02:10:00"/>
    <x v="0"/>
    <s v="Sadia Anwar"/>
    <s v="Multan"/>
    <s v="Chat"/>
    <s v="Billing Issue"/>
    <s v="High"/>
    <n v="8"/>
    <s v="Closed"/>
    <d v="2026-05-14T08:01:00"/>
    <s v="No"/>
    <m/>
    <s v="Not Specified"/>
    <n v="5.8499999998603016"/>
  </r>
  <r>
    <s v="TCK-20778"/>
    <d v="2026-07-29T12:57:00"/>
    <x v="3"/>
    <s v="Iqra Basit"/>
    <s v="Peshawar"/>
    <s v="Portal"/>
    <s v="Technical Issue"/>
    <s v="Low"/>
    <n v="48"/>
    <s v="Resolved"/>
    <d v="2026-07-30T21:59:00"/>
    <s v="No"/>
    <m/>
    <s v="Escalated To Senior Agent"/>
    <n v="33.033333333441988"/>
  </r>
  <r>
    <s v="TCK-23166"/>
    <d v="2026-08-24T20:26:00"/>
    <x v="3"/>
    <s v="Iqra Basit"/>
    <s v="Islamabad"/>
    <s v="Phone"/>
    <s v="Billing Issue"/>
    <s v="Medium"/>
    <n v="24"/>
    <s v="Closed"/>
    <d v="2026-08-25T15:16:00"/>
    <s v="No"/>
    <n v="1"/>
    <s v="Resolved On First Contact"/>
    <n v="18.833333333255723"/>
  </r>
  <r>
    <s v="TCK-21218"/>
    <d v="2026-05-22T14:17:00"/>
    <x v="0"/>
    <s v="Rehan Qureshi"/>
    <s v="Islamabad"/>
    <s v="Chat"/>
    <s v="Technical Issue"/>
    <s v="Low"/>
    <n v="48"/>
    <s v="In Progress"/>
    <s v="Missing Resolve Date"/>
    <s v="Yes"/>
    <m/>
    <s v="Awaiting Customer Response"/>
    <s v=""/>
  </r>
  <r>
    <s v="TCK-23005"/>
    <d v="2026-04-28T17:04:00"/>
    <x v="2"/>
    <s v="Bilal Chaudhry"/>
    <s v="Islamabad"/>
    <s v="Portal"/>
    <s v="Account Access"/>
    <s v="Medium"/>
    <n v="24"/>
    <s v="Resolved"/>
    <d v="2026-04-29T02:24:00"/>
    <s v="No"/>
    <n v="1"/>
    <s v="Not Specified"/>
    <n v="9.3333333333721384"/>
  </r>
  <r>
    <s v="TCK-21227"/>
    <d v="2026-07-14T14:45:00"/>
    <x v="3"/>
    <s v="Talha Nadeem"/>
    <s v="Islamabad"/>
    <s v="Portal"/>
    <s v="Account Access"/>
    <s v="Medium"/>
    <n v="24"/>
    <s v="Closed"/>
    <d v="2026-07-15T11:10:00"/>
    <s v="No"/>
    <m/>
    <s v="Awaiting Customer Response"/>
    <n v="20.416666666686069"/>
  </r>
  <r>
    <s v="TCK-22004"/>
    <d v="2026-01-22T16:29:00"/>
    <x v="1"/>
    <s v="Ayaan Khalid"/>
    <s v="Peshawar"/>
    <s v="Chat"/>
    <s v="Refund Request"/>
    <s v="Medium"/>
    <n v="24"/>
    <s v="Closed"/>
    <d v="2026-01-23T04:54:00"/>
    <s v="Yes"/>
    <n v="4"/>
    <s v="Not Specified"/>
    <n v="12.416666666802485"/>
  </r>
  <r>
    <s v="TCK-22822"/>
    <d v="2026-01-26T07:32:00"/>
    <x v="0"/>
    <s v="Rehan Qureshi"/>
    <s v="Karachi"/>
    <s v="Email"/>
    <s v="Refund Request"/>
    <s v="Medium"/>
    <n v="24"/>
    <s v="Closed"/>
    <d v="2026-01-27T02:02:00"/>
    <s v="No"/>
    <n v="4"/>
    <s v="Customer Satisfied With Resolution"/>
    <n v="18.500000000058208"/>
  </r>
  <r>
    <s v="TCK-20045"/>
    <d v="2026-04-30T05:57:00"/>
    <x v="3"/>
    <s v="Iqra Basit"/>
    <s v="Peshawar"/>
    <s v="Email"/>
    <s v="Account Access"/>
    <s v="Medium"/>
    <n v="24"/>
    <s v="Resolved"/>
    <d v="2026-04-30T20:26:00"/>
    <s v="Yes"/>
    <m/>
    <s v="Required Follow-Up Call"/>
    <n v="14.483333333395422"/>
  </r>
  <r>
    <s v="TCK-22653"/>
    <d v="2026-05-01T19:46:00"/>
    <x v="0"/>
    <s v="Rehan Qureshi"/>
    <s v="Multan"/>
    <s v="Portal"/>
    <s v="Refund Request"/>
    <s v="Medium"/>
    <n v="24"/>
    <s v="Resolved"/>
    <d v="2026-05-03T20:55:00"/>
    <s v="No"/>
    <m/>
    <s v="Not Specified"/>
    <n v="49.150000000081491"/>
  </r>
  <r>
    <s v="TCK-20869"/>
    <d v="2026-05-08T21:58:00"/>
    <x v="1"/>
    <s v="Ayaan Khalid"/>
    <s v="Lahore"/>
    <s v="Portal"/>
    <s v="Refund Request"/>
    <s v="High"/>
    <n v="8"/>
    <s v="Resolved"/>
    <d v="2026-05-09T02:36:00"/>
    <s v="No"/>
    <n v="5"/>
    <s v="Not Specified"/>
    <n v="4.6333333332440816"/>
  </r>
  <r>
    <s v="TCK-20124"/>
    <d v="2026-08-05T19:13:00"/>
    <x v="1"/>
    <s v="Zara Hussain"/>
    <s v="Faisalabad"/>
    <s v="Portal"/>
    <s v="Account Access"/>
    <s v="Critical"/>
    <n v="4"/>
    <s v="Closed"/>
    <d v="2026-08-05T20:23:00"/>
    <s v="No"/>
    <m/>
    <s v="Escalated To Senior Agent"/>
    <n v="1.1666666668024845"/>
  </r>
  <r>
    <s v="TCK-21421"/>
    <d v="2026-05-09T11:28:00"/>
    <x v="1"/>
    <s v="Zara Hussain"/>
    <s v="Karachi"/>
    <s v="Chat"/>
    <s v="Technical Issue"/>
    <s v="Low"/>
    <n v="48"/>
    <s v="Escalated"/>
    <s v="Missing Resolve Date"/>
    <s v="Yes"/>
    <m/>
    <s v="Resolved On First Contact"/>
    <s v=""/>
  </r>
  <r>
    <s v="TCK-20414"/>
    <d v="2026-07-26T13:19:00"/>
    <x v="0"/>
    <s v="Rehan Qureshi"/>
    <s v="Multan"/>
    <s v="Phone"/>
    <s v="Account Access"/>
    <s v="Low"/>
    <n v="48"/>
    <s v="Closed"/>
    <d v="2026-07-28T00:11:00"/>
    <s v="No"/>
    <m/>
    <s v="Not Specified"/>
    <n v="34.866666666814126"/>
  </r>
  <r>
    <s v="TCK-20526"/>
    <d v="2026-01-30T05:01:00"/>
    <x v="2"/>
    <s v="Mahnoor Aslam"/>
    <s v="Karachi"/>
    <s v="Email"/>
    <s v="Delivery Delay"/>
    <s v="Medium"/>
    <n v="24"/>
    <s v="Resolved"/>
    <d v="2026-01-30T23:05:00"/>
    <s v="No"/>
    <n v="1"/>
    <s v="Escalated To Senior Agent"/>
    <n v="18.066666666709352"/>
  </r>
  <r>
    <s v="TCK-21042"/>
    <d v="2026-04-23T06:14:00"/>
    <x v="1"/>
    <s v="Zara Hussain"/>
    <s v="Faisalabad"/>
    <s v="Email"/>
    <s v="Billing Issue"/>
    <s v="Low"/>
    <n v="48"/>
    <s v="Closed"/>
    <d v="2026-04-27T21:08:00"/>
    <s v="No"/>
    <m/>
    <s v="Awaiting Customer Response"/>
    <n v="110.90000000002328"/>
  </r>
  <r>
    <s v="TCK-23060"/>
    <d v="2026-01-31T22:53:00"/>
    <x v="0"/>
    <s v="Rehan Qureshi"/>
    <s v="Karachi"/>
    <s v="Email"/>
    <s v="Delivery Delay"/>
    <s v="Low"/>
    <n v="48"/>
    <s v="In Progress"/>
    <s v="Missing Resolve Date"/>
    <s v="Yes"/>
    <m/>
    <s v="Not Specified"/>
    <s v=""/>
  </r>
  <r>
    <s v="TCK-21747"/>
    <d v="2026-06-07T19:28:00"/>
    <x v="3"/>
    <s v="Iqra Basit"/>
    <s v="Islamabad"/>
    <s v="Email"/>
    <s v="Billing Issue"/>
    <s v="Medium"/>
    <n v="24"/>
    <s v="Resolved"/>
    <d v="2026-06-08T13:43:00"/>
    <s v="No"/>
    <n v="3"/>
    <s v="Not Specified"/>
    <n v="18.249999999941792"/>
  </r>
  <r>
    <s v="TCK-20211"/>
    <d v="2026-06-01T14:23:00"/>
    <x v="0"/>
    <s v="Rehan Qureshi"/>
    <s v="Islamabad"/>
    <s v="Email"/>
    <s v="Account Access"/>
    <s v="Medium"/>
    <n v="24"/>
    <s v="Escalated"/>
    <s v="Missing Resolve Date"/>
    <s v="Yes"/>
    <m/>
    <s v="Not Specified"/>
    <s v=""/>
  </r>
  <r>
    <s v="TCK-22722"/>
    <d v="2026-06-12T07:02:00"/>
    <x v="2"/>
    <s v="Mahnoor Aslam"/>
    <s v="Peshawar"/>
    <s v="Phone"/>
    <s v="Refund Request"/>
    <s v="High"/>
    <n v="8"/>
    <s v="Resolved"/>
    <d v="2026-06-12T09:41:00"/>
    <s v="No"/>
    <n v="2"/>
    <s v="Customer Requested Refund"/>
    <n v="2.6499999999068677"/>
  </r>
  <r>
    <s v="TCK-20497"/>
    <d v="2026-02-06T10:31:00"/>
    <x v="3"/>
    <s v="Iqra Basit"/>
    <s v="Karachi"/>
    <s v="Phone"/>
    <s v="Refund Request"/>
    <s v="Low"/>
    <n v="48"/>
    <s v="Escalated"/>
    <s v="Missing Resolve Date"/>
    <s v="Yes"/>
    <m/>
    <s v="Technical Issue Resolved Remotely"/>
    <s v=""/>
  </r>
  <r>
    <s v="TCK-21313"/>
    <d v="2026-02-03T11:05:00"/>
    <x v="2"/>
    <s v="Mahnoor Aslam"/>
    <s v="Islamabad"/>
    <s v="Portal"/>
    <s v="Account Access"/>
    <s v="Low"/>
    <n v="48"/>
    <s v="Closed"/>
    <d v="2026-02-03T17:11:00"/>
    <s v="No"/>
    <m/>
    <s v="Customer Satisfied With Resolution"/>
    <n v="6.0999999999767169"/>
  </r>
  <r>
    <s v="TCK-20771"/>
    <d v="2026-05-29T03:30:00"/>
    <x v="2"/>
    <s v="Bilal Chaudhry"/>
    <s v="Lahore"/>
    <s v="Email"/>
    <s v="Billing Issue"/>
    <s v="Medium"/>
    <n v="24"/>
    <s v="Resolved"/>
    <d v="2026-05-30T00:51:00"/>
    <s v="No"/>
    <m/>
    <s v="Customer Satisfied With Resolution"/>
    <n v="21.349999999918509"/>
  </r>
  <r>
    <s v="TCK-20876"/>
    <d v="2026-07-19T20:33:00"/>
    <x v="0"/>
    <s v="Sadia Anwar"/>
    <s v="Rawalpindi"/>
    <s v="Chat"/>
    <s v="Billing Issue"/>
    <s v="High"/>
    <n v="8"/>
    <s v="Re-Opened"/>
    <d v="2026-07-20T02:41:00"/>
    <s v="No"/>
    <m/>
    <s v="Technical Issue Resolved Remotely"/>
    <n v="6.1333333334187046"/>
  </r>
  <r>
    <s v="TCK-21479"/>
    <d v="2026-06-19T03:51:00"/>
    <x v="3"/>
    <s v="Iqra Basit"/>
    <s v="Lahore"/>
    <s v="Chat"/>
    <s v="Account Access"/>
    <s v="Low"/>
    <n v="48"/>
    <s v="In Progress"/>
    <s v="Missing Resolve Date"/>
    <s v="No"/>
    <m/>
    <s v="Not Specified"/>
    <s v=""/>
  </r>
  <r>
    <s v="TCK-22987"/>
    <d v="2026-02-28T01:35:00"/>
    <x v="2"/>
    <s v="Mahnoor Aslam"/>
    <s v="Rawalpindi"/>
    <s v="Chat"/>
    <s v="General Inquiry"/>
    <s v="Medium"/>
    <n v="24"/>
    <s v="Resolved"/>
    <d v="2026-03-02T18:08:00"/>
    <s v="No"/>
    <m/>
    <s v="Not Specified"/>
    <n v="64.550000000162981"/>
  </r>
  <r>
    <s v="TCK-22533"/>
    <d v="2026-06-09T07:32:00"/>
    <x v="3"/>
    <s v="Talha Nadeem"/>
    <s v="Multan"/>
    <s v="Phone"/>
    <s v="Technical Issue"/>
    <s v="Medium"/>
    <n v="24"/>
    <s v="In Progress"/>
    <s v="Missing Resolve Date"/>
    <s v="No"/>
    <m/>
    <s v="Not Specified"/>
    <s v=""/>
  </r>
  <r>
    <s v="TCK-21613"/>
    <d v="2026-05-15T08:42:00"/>
    <x v="0"/>
    <s v="Sadia Anwar"/>
    <s v="Lahore"/>
    <s v="Email"/>
    <s v="Technical Issue"/>
    <s v="Critical"/>
    <n v="4"/>
    <s v="Resolved"/>
    <d v="2026-05-15T17:26:00"/>
    <s v="No"/>
    <n v="5"/>
    <s v="Resolved On First Contact"/>
    <n v="8.7333333333372138"/>
  </r>
  <r>
    <s v="TCK-21519"/>
    <d v="2026-03-08T12:34:00"/>
    <x v="2"/>
    <s v="Bilal Chaudhry"/>
    <s v="Islamabad"/>
    <s v="Portal"/>
    <s v="Refund Request"/>
    <s v="High"/>
    <n v="8"/>
    <s v="Resolved"/>
    <d v="2026-03-08T14:00:00"/>
    <s v="No"/>
    <n v="5"/>
    <s v="Awaiting Customer Response"/>
    <n v="1.4333333334652707"/>
  </r>
  <r>
    <s v="TCK-21641"/>
    <d v="2026-08-10T00:21:00"/>
    <x v="0"/>
    <s v="Rehan Qureshi"/>
    <s v="Multan"/>
    <s v="Email"/>
    <s v="Account Access"/>
    <s v="Low"/>
    <n v="48"/>
    <s v="Closed"/>
    <d v="2026-08-10T03:41:00"/>
    <s v="No"/>
    <n v="5"/>
    <s v="Required Follow-Up Call"/>
    <n v="3.3333333333721384"/>
  </r>
  <r>
    <s v="TCK-21198"/>
    <d v="2026-08-16T12:45:00"/>
    <x v="2"/>
    <s v="Bilal Chaudhry"/>
    <s v="Rawalpindi"/>
    <s v="Chat"/>
    <s v="Refund Request"/>
    <s v="Critical"/>
    <n v="4"/>
    <s v="Re-Opened"/>
    <d v="2026-08-16T15:00:00"/>
    <s v="No"/>
    <m/>
    <s v="Technical Issue Resolved Remotely"/>
    <n v="2.25"/>
  </r>
  <r>
    <s v="TCK-23047"/>
    <d v="2026-05-16T23:33:00"/>
    <x v="1"/>
    <s v="Ayaan Khalid"/>
    <s v="Karachi"/>
    <s v="Email"/>
    <s v="Account Access"/>
    <s v="Low"/>
    <n v="48"/>
    <s v="Closed"/>
    <d v="2026-05-18T06:58:00"/>
    <s v="No"/>
    <n v="4"/>
    <s v="Required Follow-Up Call"/>
    <n v="31.416666666744277"/>
  </r>
  <r>
    <s v="TCK-22881"/>
    <d v="2026-05-07T22:38:00"/>
    <x v="1"/>
    <s v="Ayaan Khalid"/>
    <s v="Multan"/>
    <s v="Email"/>
    <s v="Technical Issue"/>
    <s v="Medium"/>
    <n v="24"/>
    <s v="Open"/>
    <s v="Missing Resolve Date"/>
    <s v="No"/>
    <m/>
    <s v="Not Specified"/>
    <s v=""/>
  </r>
  <r>
    <s v="TCK-20877"/>
    <d v="2026-04-02T09:12:00"/>
    <x v="3"/>
    <s v="Iqra Basit"/>
    <s v="Faisalabad"/>
    <s v="Email"/>
    <s v="Billing Issue"/>
    <s v="Medium"/>
    <n v="24"/>
    <s v="Closed"/>
    <d v="2026-04-03T02:08:00"/>
    <s v="No"/>
    <n v="5"/>
    <s v="Technical Issue Resolved Remotely"/>
    <n v="16.933333333348855"/>
  </r>
  <r>
    <s v="TCK-23002"/>
    <d v="2026-08-03T09:20:00"/>
    <x v="2"/>
    <s v="Bilal Chaudhry"/>
    <s v="Lahore"/>
    <s v="Chat"/>
    <s v="Delivery Delay"/>
    <s v="Medium"/>
    <n v="24"/>
    <s v="Resolved"/>
    <d v="2026-08-05T12:09:00"/>
    <s v="No"/>
    <n v="2"/>
    <s v="Resolved On First Contact"/>
    <n v="50.816666666592937"/>
  </r>
  <r>
    <s v="TCK-21560"/>
    <d v="2026-08-29T02:22:00"/>
    <x v="3"/>
    <s v="Talha Nadeem"/>
    <s v="Rawalpindi"/>
    <s v="Chat"/>
    <s v="Technical Issue"/>
    <s v="Low"/>
    <n v="48"/>
    <s v="Resolved"/>
    <d v="2026-08-30T14:40:00"/>
    <s v="No"/>
    <n v="3"/>
    <s v="Resolved On First Contact"/>
    <n v="36.299999999930151"/>
  </r>
  <r>
    <s v="TCK-20995"/>
    <d v="2026-07-07T12:06:00"/>
    <x v="3"/>
    <s v="Talha Nadeem"/>
    <s v="Faisalabad"/>
    <s v="Chat"/>
    <s v="Billing Issue"/>
    <s v="Low"/>
    <n v="48"/>
    <s v="Closed"/>
    <d v="2026-07-09T05:29:00"/>
    <s v="No"/>
    <m/>
    <s v="Required Follow-Up Call"/>
    <n v="41.383333333418705"/>
  </r>
  <r>
    <s v="TCK-20596"/>
    <d v="2026-08-08T05:37:00"/>
    <x v="1"/>
    <s v="Ayaan Khalid"/>
    <s v="Rawalpindi"/>
    <s v="Chat"/>
    <s v="Technical Issue"/>
    <s v="Medium"/>
    <n v="24"/>
    <s v="Resolved"/>
    <d v="2026-08-08T14:55:00"/>
    <s v="No"/>
    <n v="5"/>
    <s v="Awaiting Customer Response"/>
    <n v="9.3000000001047738"/>
  </r>
  <r>
    <s v="TCK-20177"/>
    <d v="2026-04-26T15:01:00"/>
    <x v="2"/>
    <s v="Bilal Chaudhry"/>
    <s v="Rawalpindi"/>
    <s v="Chat"/>
    <s v="Refund Request"/>
    <s v="High"/>
    <n v="8"/>
    <s v="In Progress"/>
    <s v="Missing Resolve Date"/>
    <s v="No"/>
    <m/>
    <s v="Technical Issue Resolved Remotely"/>
    <s v=""/>
  </r>
  <r>
    <s v="TCK-20360"/>
    <d v="2026-04-03T07:47:00"/>
    <x v="3"/>
    <s v="Talha Nadeem"/>
    <s v="Karachi"/>
    <s v="Phone"/>
    <s v="Technical Issue"/>
    <s v="High"/>
    <n v="8"/>
    <s v="Resolved"/>
    <d v="2026-04-03T09:23:00"/>
    <s v="Yes"/>
    <n v="2"/>
    <s v="Technical Issue Resolved Remotely"/>
    <n v="1.5999999999767169"/>
  </r>
  <r>
    <s v="TCK-22800"/>
    <d v="2026-05-31T16:16:00"/>
    <x v="0"/>
    <s v="Rehan Qureshi"/>
    <s v="Lahore"/>
    <s v="Phone"/>
    <s v="Delivery Delay"/>
    <s v="Medium"/>
    <n v="24"/>
    <s v="Resolved"/>
    <d v="2026-05-31T23:23:00"/>
    <s v="No"/>
    <m/>
    <s v="Awaiting Customer Response"/>
    <n v="7.1166666668141261"/>
  </r>
  <r>
    <s v="TCK-22067"/>
    <d v="2026-06-25T06:52:00"/>
    <x v="1"/>
    <s v="Ayaan Khalid"/>
    <s v="Faisalabad"/>
    <s v="Phone"/>
    <s v="Technical Issue"/>
    <s v="Low"/>
    <n v="48"/>
    <s v="Resolved"/>
    <d v="2026-06-26T07:45:00"/>
    <s v="No"/>
    <n v="4"/>
    <s v="Repeat Issue From Same Customer"/>
    <n v="24.883333333244082"/>
  </r>
  <r>
    <s v="TCK-21094"/>
    <d v="2026-04-20T18:56:00"/>
    <x v="0"/>
    <s v="Sadia Anwar"/>
    <s v="Multan"/>
    <s v="Email"/>
    <s v="Delivery Delay"/>
    <s v="Low"/>
    <n v="48"/>
    <s v="Open"/>
    <s v="Missing Resolve Date"/>
    <s v="No"/>
    <m/>
    <s v="Awaiting Customer Response"/>
    <s v=""/>
  </r>
  <r>
    <s v="TCK-21045"/>
    <d v="2026-07-28T00:15:00"/>
    <x v="0"/>
    <s v="Rehan Qureshi"/>
    <s v="Peshawar"/>
    <s v="Portal"/>
    <s v="Account Access"/>
    <s v="Critical"/>
    <n v="4"/>
    <s v="Escalated"/>
    <s v="Missing Resolve Date"/>
    <s v="Yes"/>
    <m/>
    <s v="Resolved On First Contact"/>
    <s v=""/>
  </r>
  <r>
    <s v="TCK-22281"/>
    <d v="2026-05-10T15:33:00"/>
    <x v="2"/>
    <s v="Mahnoor Aslam"/>
    <s v="Faisalabad"/>
    <s v="Email"/>
    <s v="Technical Issue"/>
    <s v="Critical"/>
    <n v="4"/>
    <s v="Resolved"/>
    <d v="2026-05-10T16:08:00"/>
    <s v="No"/>
    <n v="1"/>
    <s v="Awaiting Customer Response"/>
    <n v="0.58333333331393078"/>
  </r>
  <r>
    <s v="TCK-21579"/>
    <d v="2026-08-04T08:29:00"/>
    <x v="0"/>
    <s v="Sadia Anwar"/>
    <s v="Multan"/>
    <s v="Phone"/>
    <s v="General Inquiry"/>
    <s v="Low"/>
    <n v="48"/>
    <s v="Closed"/>
    <d v="2026-08-05T12:02:00"/>
    <s v="No"/>
    <n v="2"/>
    <s v="Not Specified"/>
    <n v="27.549999999871943"/>
  </r>
  <r>
    <s v="TCK-21196"/>
    <d v="2026-02-05T14:28:00"/>
    <x v="3"/>
    <s v="Talha Nadeem"/>
    <s v="Peshawar"/>
    <s v="Portal"/>
    <s v="Delivery Delay"/>
    <s v="Low"/>
    <n v="48"/>
    <s v="Resolved"/>
    <d v="2026-02-11T06:25:00"/>
    <s v="No"/>
    <m/>
    <s v="Required Follow-Up Call"/>
    <n v="135.94999999995343"/>
  </r>
  <r>
    <s v="TCK-22998"/>
    <d v="2026-07-23T22:20:00"/>
    <x v="1"/>
    <s v="Ayaan Khalid"/>
    <s v="Rawalpindi"/>
    <s v="Email"/>
    <s v="Billing Issue"/>
    <s v="Medium"/>
    <n v="24"/>
    <s v="Resolved"/>
    <d v="2026-07-24T13:32:00"/>
    <s v="No"/>
    <n v="4"/>
    <s v="Awaiting Customer Response"/>
    <n v="15.199999999953434"/>
  </r>
  <r>
    <s v="TCK-21245"/>
    <d v="2026-02-19T18:30:00"/>
    <x v="2"/>
    <s v="Mahnoor Aslam"/>
    <s v="Karachi"/>
    <s v="Portal"/>
    <s v="Refund Request"/>
    <s v="Low"/>
    <n v="48"/>
    <s v="Escalated"/>
    <s v="Missing Resolve Date"/>
    <s v="Yes"/>
    <m/>
    <s v="Not Specified"/>
    <s v=""/>
  </r>
  <r>
    <s v="TCK-22287"/>
    <d v="2026-06-29T17:51:00"/>
    <x v="1"/>
    <s v="Ayaan Khalid"/>
    <s v="Lahore"/>
    <s v="Email"/>
    <s v="Technical Issue"/>
    <s v="Low"/>
    <n v="48"/>
    <s v="In Progress"/>
    <s v="Missing Resolve Date"/>
    <s v="No"/>
    <m/>
    <s v="Required Follow-Up Call"/>
    <s v=""/>
  </r>
  <r>
    <s v="TCK-20697"/>
    <d v="2026-06-03T08:01:00"/>
    <x v="2"/>
    <s v="Mahnoor Aslam"/>
    <s v="Karachi"/>
    <s v="Email"/>
    <s v="Refund Request"/>
    <s v="Medium"/>
    <n v="24"/>
    <s v="Escalated"/>
    <s v="Missing Resolve Date"/>
    <s v="Yes"/>
    <m/>
    <s v="Customer Requested Refund"/>
    <s v=""/>
  </r>
  <r>
    <s v="TCK-21866"/>
    <d v="2026-07-03T14:16:00"/>
    <x v="3"/>
    <s v="Iqra Basit"/>
    <s v="Lahore"/>
    <s v="Email"/>
    <s v="Billing Issue"/>
    <s v="High"/>
    <n v="8"/>
    <s v="In Progress"/>
    <s v="Missing Resolve Date"/>
    <s v="No"/>
    <m/>
    <s v="Required Follow-Up Call"/>
    <s v=""/>
  </r>
  <r>
    <s v="TCK-21286"/>
    <d v="2026-04-25T22:07:00"/>
    <x v="3"/>
    <s v="Iqra Basit"/>
    <s v="Peshawar"/>
    <s v="Phone"/>
    <s v="Refund Request"/>
    <s v="High"/>
    <n v="8"/>
    <s v="Resolved"/>
    <d v="2026-04-25T23:57:00"/>
    <s v="No"/>
    <n v="2"/>
    <s v="Required Follow-Up Call"/>
    <n v="1.8333333333721384"/>
  </r>
  <r>
    <s v="TCK-21108"/>
    <d v="2026-03-04T02:03:00"/>
    <x v="2"/>
    <s v="Bilal Chaudhry"/>
    <s v="Karachi"/>
    <s v="Portal"/>
    <s v="Billing Issue"/>
    <s v="Medium"/>
    <n v="24"/>
    <s v="Closed"/>
    <d v="2026-03-04T06:39:00"/>
    <s v="No"/>
    <n v="4"/>
    <s v="Customer Satisfied With Resolution"/>
    <n v="4.5999999999767169"/>
  </r>
  <r>
    <s v="TCK-21450"/>
    <d v="2026-07-14T23:49:00"/>
    <x v="2"/>
    <s v="Mahnoor Aslam"/>
    <s v="Peshawar"/>
    <s v="Phone"/>
    <s v="Delivery Delay"/>
    <s v="High"/>
    <n v="8"/>
    <s v="In Progress"/>
    <s v="Missing Resolve Date"/>
    <s v="No"/>
    <m/>
    <s v="Customer Requested Refund"/>
    <s v=""/>
  </r>
  <r>
    <s v="TCK-21590"/>
    <d v="2026-07-14T10:22:00"/>
    <x v="1"/>
    <s v="Ayaan Khalid"/>
    <s v="Multan"/>
    <s v="Phone"/>
    <s v="Billing Issue"/>
    <s v="High"/>
    <n v="8"/>
    <s v="Closed"/>
    <d v="2026-07-14T14:49:00"/>
    <s v="No"/>
    <n v="2"/>
    <s v="Not Specified"/>
    <n v="4.4500000000116415"/>
  </r>
  <r>
    <s v="TCK-20095"/>
    <d v="2026-05-23T21:17:00"/>
    <x v="2"/>
    <s v="Bilal Chaudhry"/>
    <s v="Lahore"/>
    <s v="Phone"/>
    <s v="Technical Issue"/>
    <s v="High"/>
    <n v="8"/>
    <s v="Closed"/>
    <d v="2026-05-23T23:03:00"/>
    <s v="No"/>
    <n v="3"/>
    <s v="Not Specified"/>
    <n v="1.7666666666627862"/>
  </r>
  <r>
    <s v="TCK-20052"/>
    <d v="2026-03-11T22:53:00"/>
    <x v="3"/>
    <s v="Talha Nadeem"/>
    <s v="Karachi"/>
    <s v="Email"/>
    <s v="Technical Issue"/>
    <s v="Low"/>
    <n v="48"/>
    <s v="Escalated"/>
    <s v="Missing Resolve Date"/>
    <s v="Yes"/>
    <m/>
    <s v="Customer Requested Refund"/>
    <s v=""/>
  </r>
  <r>
    <s v="TCK-23054"/>
    <d v="2026-05-10T03:43:00"/>
    <x v="0"/>
    <s v="Sadia Anwar"/>
    <s v="Faisalabad"/>
    <s v="Email"/>
    <s v="General Inquiry"/>
    <s v="Medium"/>
    <n v="24"/>
    <s v="Open"/>
    <s v="Missing Resolve Date"/>
    <s v="No"/>
    <m/>
    <s v="Not Specified"/>
    <s v=""/>
  </r>
  <r>
    <s v="TCK-20011"/>
    <d v="2026-06-24T19:02:00"/>
    <x v="0"/>
    <s v="Rehan Qureshi"/>
    <s v="Lahore"/>
    <s v="Email"/>
    <s v="Billing Issue"/>
    <s v="Critical"/>
    <n v="4"/>
    <s v="Resolved"/>
    <d v="2026-06-24T20:15:00"/>
    <s v="No"/>
    <m/>
    <s v="Awaiting Customer Response"/>
    <n v="1.21666666661622"/>
  </r>
  <r>
    <s v="TCK-20928"/>
    <d v="2026-07-12T09:23:00"/>
    <x v="1"/>
    <s v="Zara Hussain"/>
    <s v="Karachi"/>
    <s v="Phone"/>
    <s v="Delivery Delay"/>
    <s v="Low"/>
    <n v="48"/>
    <s v="Escalated"/>
    <s v="Missing Resolve Date"/>
    <s v="Yes"/>
    <m/>
    <s v="Customer Requested Refund"/>
    <s v=""/>
  </r>
  <r>
    <s v="TCK-22466"/>
    <d v="2026-06-15T22:31:00"/>
    <x v="1"/>
    <s v="Ayaan Khalid"/>
    <s v="Lahore"/>
    <s v="Email"/>
    <s v="Technical Issue"/>
    <s v="Medium"/>
    <n v="24"/>
    <s v="Resolved"/>
    <d v="2026-06-17T12:22:00"/>
    <s v="No"/>
    <m/>
    <s v="Customer Requested Refund"/>
    <n v="37.849999999918509"/>
  </r>
  <r>
    <s v="TCK-23182"/>
    <d v="2026-01-14T22:39:00"/>
    <x v="0"/>
    <s v="Rehan Qureshi"/>
    <s v="Faisalabad"/>
    <s v="Chat"/>
    <s v="Technical Issue"/>
    <s v="Low"/>
    <n v="48"/>
    <s v="Resolved"/>
    <d v="2026-01-15T13:06:00"/>
    <s v="No"/>
    <n v="5"/>
    <s v="Customer Satisfied With Resolution"/>
    <n v="14.449999999953434"/>
  </r>
  <r>
    <s v="TCK-20606"/>
    <d v="2026-03-15T14:22:00"/>
    <x v="2"/>
    <s v="Mahnoor Aslam"/>
    <s v="Peshawar"/>
    <s v="Chat"/>
    <s v="Delivery Delay"/>
    <s v="Low"/>
    <n v="48"/>
    <s v="Escalated"/>
    <s v="Missing Resolve Date"/>
    <s v="Yes"/>
    <m/>
    <s v="Repeat Issue From Same Customer"/>
    <s v=""/>
  </r>
  <r>
    <s v="TCK-22890"/>
    <d v="2026-02-02T11:42:00"/>
    <x v="1"/>
    <s v="Zara Hussain"/>
    <s v="Multan"/>
    <s v="Email"/>
    <s v="General Inquiry"/>
    <s v="Medium"/>
    <n v="24"/>
    <s v="In Progress"/>
    <s v="Missing Resolve Date"/>
    <s v="No"/>
    <m/>
    <s v="Repeat Issue From Same Customer"/>
    <s v=""/>
  </r>
  <r>
    <s v="TCK-22933"/>
    <d v="2026-01-18T09:48:00"/>
    <x v="3"/>
    <s v="Talha Nadeem"/>
    <s v="Karachi"/>
    <s v="Portal"/>
    <s v="Refund Request"/>
    <s v="High"/>
    <n v="8"/>
    <s v="Closed"/>
    <d v="2026-01-19T02:14:00"/>
    <s v="No"/>
    <n v="4"/>
    <s v="Required Follow-Up Call"/>
    <n v="16.433333333290648"/>
  </r>
  <r>
    <s v="TCK-20109"/>
    <d v="2026-07-27T12:35:00"/>
    <x v="1"/>
    <s v="Ayaan Khalid"/>
    <s v="Peshawar"/>
    <s v="Chat"/>
    <s v="Billing Issue"/>
    <s v="Low"/>
    <n v="48"/>
    <s v="Resolved"/>
    <d v="2026-07-28T02:55:00"/>
    <s v="No"/>
    <m/>
    <s v="Awaiting Customer Response"/>
    <n v="14.333333333430346"/>
  </r>
  <r>
    <s v="TCK-22747"/>
    <d v="2026-01-26T07:05:00"/>
    <x v="1"/>
    <s v="Zara Hussain"/>
    <s v="Faisalabad"/>
    <s v="Chat"/>
    <s v="Refund Request"/>
    <s v="Medium"/>
    <n v="24"/>
    <s v="Re-Opened"/>
    <d v="2026-01-26T17:30:00"/>
    <s v="No"/>
    <m/>
    <s v="Customer Requested Refund"/>
    <n v="10.416666666569654"/>
  </r>
  <r>
    <s v="TCK-22162"/>
    <d v="2026-08-16T06:41:00"/>
    <x v="0"/>
    <s v="Sadia Anwar"/>
    <s v="Lahore"/>
    <s v="Email"/>
    <s v="General Inquiry"/>
    <s v="Medium"/>
    <n v="24"/>
    <s v="Open"/>
    <s v="Missing Resolve Date"/>
    <s v="No"/>
    <m/>
    <s v="Not Specified"/>
    <s v=""/>
  </r>
  <r>
    <s v="TCK-21306"/>
    <d v="2026-02-21T01:40:00"/>
    <x v="1"/>
    <s v="Zara Hussain"/>
    <s v="Karachi"/>
    <s v="Email"/>
    <s v="Delivery Delay"/>
    <s v="Medium"/>
    <n v="24"/>
    <s v="Escalated"/>
    <s v="Missing Resolve Date"/>
    <s v="Yes"/>
    <m/>
    <s v="Technical Issue Resolved Remotely"/>
    <s v=""/>
  </r>
  <r>
    <s v="TCK-21068"/>
    <d v="2026-06-13T23:01:00"/>
    <x v="2"/>
    <s v="Mahnoor Aslam"/>
    <s v="Islamabad"/>
    <s v="Chat"/>
    <s v="Billing Issue"/>
    <s v="Medium"/>
    <n v="24"/>
    <s v="Resolved"/>
    <d v="2026-06-14T18:09:00"/>
    <s v="No"/>
    <n v="4"/>
    <s v="Required Follow-Up Call"/>
    <n v="19.133333333360497"/>
  </r>
  <r>
    <s v="TCK-21855"/>
    <d v="2026-05-31T09:22:00"/>
    <x v="3"/>
    <s v="Talha Nadeem"/>
    <s v="Karachi"/>
    <s v="Chat"/>
    <s v="Delivery Delay"/>
    <s v="Medium"/>
    <n v="24"/>
    <s v="Resolved"/>
    <d v="2026-06-01T02:28:00"/>
    <s v="No"/>
    <n v="2"/>
    <s v="Technical Issue Resolved Remotely"/>
    <n v="17.100000000034925"/>
  </r>
  <r>
    <s v="TCK-21129"/>
    <d v="2026-03-23T20:46:00"/>
    <x v="0"/>
    <s v="Rehan Qureshi"/>
    <s v="Lahore"/>
    <s v="Email"/>
    <s v="General Inquiry"/>
    <s v="Medium"/>
    <n v="24"/>
    <s v="Open"/>
    <s v="Missing Resolve Date"/>
    <s v="No"/>
    <m/>
    <s v="Customer Requested Refund"/>
    <s v=""/>
  </r>
  <r>
    <s v="TCK-20333"/>
    <d v="2026-02-12T02:41:00"/>
    <x v="1"/>
    <s v="Ayaan Khalid"/>
    <s v="Islamabad"/>
    <s v="Portal"/>
    <s v="General Inquiry"/>
    <s v="Critical"/>
    <n v="4"/>
    <s v="Resolved"/>
    <d v="2026-02-12T05:09:00"/>
    <s v="No"/>
    <n v="4"/>
    <s v="Technical Issue Resolved Remotely"/>
    <n v="2.4666666666744277"/>
  </r>
  <r>
    <s v="TCK-21633"/>
    <d v="2026-08-11T12:33:00"/>
    <x v="1"/>
    <s v="Ayaan Khalid"/>
    <s v="Multan"/>
    <s v="Email"/>
    <s v="Billing Issue"/>
    <s v="Low"/>
    <n v="48"/>
    <s v="Closed"/>
    <d v="2026-08-12T18:57:00"/>
    <s v="No"/>
    <n v="3"/>
    <s v="Repeat Issue From Same Customer"/>
    <n v="30.399999999906868"/>
  </r>
  <r>
    <s v="TCK-22843"/>
    <d v="2026-01-03T13:36:00"/>
    <x v="0"/>
    <s v="Sadia Anwar"/>
    <s v="Faisalabad"/>
    <s v="Portal"/>
    <s v="General Inquiry"/>
    <s v="Critical"/>
    <n v="4"/>
    <s v="Resolved"/>
    <d v="2026-01-03T15:42:00"/>
    <s v="No"/>
    <m/>
    <s v="Customer Satisfied With Resolution"/>
    <n v="2.1000000000349246"/>
  </r>
  <r>
    <s v="TCK-21369"/>
    <d v="2026-02-08T16:30:00"/>
    <x v="1"/>
    <s v="Zara Hussain"/>
    <s v="Rawalpindi"/>
    <s v="Email"/>
    <s v="Account Access"/>
    <s v="Critical"/>
    <n v="4"/>
    <s v="Resolved"/>
    <d v="2026-02-09T00:54:00"/>
    <s v="No"/>
    <m/>
    <s v="Required Follow-Up Call"/>
    <n v="8.3999999999650754"/>
  </r>
  <r>
    <s v="TCK-22347"/>
    <d v="2026-05-25T07:46:00"/>
    <x v="3"/>
    <s v="Talha Nadeem"/>
    <s v="Islamabad"/>
    <s v="Chat"/>
    <s v="Refund Request"/>
    <s v="Critical"/>
    <n v="4"/>
    <s v="Resolved"/>
    <d v="2026-05-25T16:19:00"/>
    <s v="No"/>
    <m/>
    <s v="Resolved On First Contact"/>
    <n v="8.5499999999301508"/>
  </r>
  <r>
    <s v="TCK-23034"/>
    <d v="2026-04-14T18:12:00"/>
    <x v="3"/>
    <s v="Iqra Basit"/>
    <s v="Karachi"/>
    <s v="Email"/>
    <s v="Delivery Delay"/>
    <s v="Low"/>
    <n v="48"/>
    <s v="Resolved"/>
    <d v="2026-04-19T23:58:00"/>
    <s v="No"/>
    <n v="4"/>
    <s v="Repeat Issue From Same Customer"/>
    <n v="125.7666666667792"/>
  </r>
  <r>
    <s v="TCK-22385"/>
    <d v="2026-04-06T20:42:00"/>
    <x v="3"/>
    <s v="Iqra Basit"/>
    <s v="Rawalpindi"/>
    <s v="Phone"/>
    <s v="General Inquiry"/>
    <s v="High"/>
    <n v="8"/>
    <s v="In Progress"/>
    <s v="Missing Resolve Date"/>
    <s v="No"/>
    <m/>
    <s v="Technical Issue Resolved Remotely"/>
    <s v=""/>
  </r>
  <r>
    <s v="TCK-21296"/>
    <d v="2026-03-29T02:41:00"/>
    <x v="3"/>
    <s v="Talha Nadeem"/>
    <s v="Multan"/>
    <s v="Chat"/>
    <s v="General Inquiry"/>
    <s v="Low"/>
    <n v="48"/>
    <s v="Resolved"/>
    <d v="2026-04-01T19:09:00"/>
    <s v="No"/>
    <n v="4"/>
    <s v="Customer Satisfied With Resolution"/>
    <n v="88.466666666732635"/>
  </r>
  <r>
    <s v="TCK-21326"/>
    <d v="2026-07-11T07:03:00"/>
    <x v="3"/>
    <s v="Talha Nadeem"/>
    <s v="Peshawar"/>
    <s v="Phone"/>
    <s v="Account Access"/>
    <s v="Medium"/>
    <n v="24"/>
    <s v="Re-Opened"/>
    <d v="2026-07-11T16:34:00"/>
    <s v="No"/>
    <m/>
    <s v="Awaiting Customer Response"/>
    <n v="9.5166666667792015"/>
  </r>
  <r>
    <s v="TCK-22308"/>
    <d v="2026-07-20T07:00:00"/>
    <x v="3"/>
    <s v="Iqra Basit"/>
    <s v="Lahore"/>
    <s v="Chat"/>
    <s v="Refund Request"/>
    <s v="Medium"/>
    <n v="24"/>
    <s v="Re-Opened"/>
    <d v="2026-07-21T13:06:00"/>
    <s v="No"/>
    <m/>
    <s v="Not Specified"/>
    <n v="30.099999999976717"/>
  </r>
  <r>
    <s v="TCK-21267"/>
    <d v="2026-02-19T04:04:00"/>
    <x v="3"/>
    <s v="Talha Nadeem"/>
    <s v="Karachi"/>
    <s v="Email"/>
    <s v="General Inquiry"/>
    <s v="Medium"/>
    <n v="24"/>
    <s v="Resolved"/>
    <d v="2026-02-19T19:09:00"/>
    <s v="No"/>
    <m/>
    <s v="Not Specified"/>
    <n v="15.083333333430346"/>
  </r>
  <r>
    <s v="TCK-22836"/>
    <d v="2026-03-11T19:11:00"/>
    <x v="1"/>
    <s v="Zara Hussain"/>
    <s v="Islamabad"/>
    <s v="Portal"/>
    <s v="Refund Request"/>
    <s v="Low"/>
    <n v="48"/>
    <s v="Resolved"/>
    <d v="2026-03-13T00:23:00"/>
    <s v="No"/>
    <m/>
    <s v="Repeat Issue From Same Customer"/>
    <n v="29.200000000011642"/>
  </r>
  <r>
    <s v="TCK-21801"/>
    <d v="2026-08-20T11:38:00"/>
    <x v="3"/>
    <s v="Talha Nadeem"/>
    <s v="Peshawar"/>
    <s v="Phone"/>
    <s v="Account Access"/>
    <s v="Medium"/>
    <n v="24"/>
    <s v="Resolved"/>
    <d v="2026-08-20T13:15:00"/>
    <s v="No"/>
    <n v="5"/>
    <s v="Resolved On First Contact"/>
    <n v="1.6166666666977108"/>
  </r>
  <r>
    <s v="TCK-20536"/>
    <d v="2026-08-19T05:25:00"/>
    <x v="1"/>
    <s v="Zara Hussain"/>
    <s v="Islamabad"/>
    <s v="Chat"/>
    <s v="Account Access"/>
    <s v="Medium"/>
    <n v="24"/>
    <s v="Open"/>
    <s v="Missing Resolve Date"/>
    <s v="No"/>
    <m/>
    <s v="Customer Satisfied With Resolution"/>
    <s v=""/>
  </r>
  <r>
    <s v="TCK-22894"/>
    <d v="2026-01-09T12:49:00"/>
    <x v="0"/>
    <s v="Sadia Anwar"/>
    <s v="Multan"/>
    <s v="Portal"/>
    <s v="Delivery Delay"/>
    <s v="Medium"/>
    <n v="24"/>
    <s v="Closed"/>
    <d v="2026-01-09T22:27:00"/>
    <s v="No"/>
    <n v="2"/>
    <s v="Not Specified"/>
    <n v="9.6333333333022892"/>
  </r>
  <r>
    <s v="TCK-22119"/>
    <d v="2026-03-02T18:56:00"/>
    <x v="3"/>
    <s v="Iqra Basit"/>
    <s v="Multan"/>
    <s v="Portal"/>
    <s v="Delivery Delay"/>
    <s v="Critical"/>
    <n v="4"/>
    <s v="Escalated"/>
    <s v="Missing Resolve Date"/>
    <s v="Yes"/>
    <m/>
    <s v="Required Follow-Up Call"/>
    <s v=""/>
  </r>
  <r>
    <s v="TCK-21126"/>
    <d v="2026-03-19T22:41:00"/>
    <x v="3"/>
    <s v="Talha Nadeem"/>
    <s v="Lahore"/>
    <s v="Email"/>
    <s v="Technical Issue"/>
    <s v="High"/>
    <n v="8"/>
    <s v="Closed"/>
    <d v="2026-03-20T00:56:00"/>
    <s v="No"/>
    <m/>
    <s v="Technical Issue Resolved Remotely"/>
    <n v="2.25"/>
  </r>
  <r>
    <s v="TCK-20669"/>
    <d v="2026-04-21T06:18:00"/>
    <x v="3"/>
    <s v="Talha Nadeem"/>
    <s v="Islamabad"/>
    <s v="Phone"/>
    <s v="Technical Issue"/>
    <s v="Medium"/>
    <n v="24"/>
    <s v="Resolved"/>
    <d v="2026-04-22T08:49:00"/>
    <s v="No"/>
    <n v="3"/>
    <s v="Escalated To Senior Agent"/>
    <n v="26.516666666662786"/>
  </r>
  <r>
    <s v="TCK-21204"/>
    <d v="2026-08-22T21:58:00"/>
    <x v="0"/>
    <s v="Sadia Anwar"/>
    <s v="Peshawar"/>
    <s v="Chat"/>
    <s v="General Inquiry"/>
    <s v="High"/>
    <n v="8"/>
    <s v="Closed"/>
    <d v="2026-08-23T00:40:00"/>
    <s v="No"/>
    <n v="5"/>
    <s v="Awaiting Customer Response"/>
    <n v="2.7000000000698492"/>
  </r>
  <r>
    <s v="TCK-23161"/>
    <d v="2026-02-24T06:20:00"/>
    <x v="3"/>
    <s v="Iqra Basit"/>
    <s v="Multan"/>
    <s v="Email"/>
    <s v="General Inquiry"/>
    <s v="Medium"/>
    <n v="24"/>
    <s v="Resolved"/>
    <d v="2026-02-24T22:35:00"/>
    <s v="No"/>
    <m/>
    <s v="Customer Satisfied With Resolution"/>
    <n v="16.249999999883585"/>
  </r>
  <r>
    <s v="TCK-20857"/>
    <d v="2026-02-05T02:21:00"/>
    <x v="3"/>
    <s v="Iqra Basit"/>
    <s v="Peshawar"/>
    <s v="Email"/>
    <s v="Technical Issue"/>
    <s v="Critical"/>
    <n v="4"/>
    <s v="Resolved"/>
    <d v="2026-02-05T03:48:00"/>
    <s v="Yes"/>
    <n v="3"/>
    <s v="Awaiting Customer Response"/>
    <n v="1.4500000000116415"/>
  </r>
  <r>
    <s v="TCK-20422"/>
    <d v="2026-02-28T13:47:00"/>
    <x v="3"/>
    <s v="Iqra Basit"/>
    <s v="Rawalpindi"/>
    <s v="Email"/>
    <s v="Account Access"/>
    <s v="Low"/>
    <n v="48"/>
    <s v="In Progress"/>
    <s v="Missing Resolve Date"/>
    <s v="No"/>
    <m/>
    <s v="Customer Requested Refund"/>
    <s v=""/>
  </r>
  <r>
    <s v="TCK-20787"/>
    <d v="2026-05-23T02:03:00"/>
    <x v="2"/>
    <s v="Mahnoor Aslam"/>
    <s v="Faisalabad"/>
    <s v="Chat"/>
    <s v="General Inquiry"/>
    <s v="Medium"/>
    <n v="24"/>
    <s v="Open"/>
    <s v="Missing Resolve Date"/>
    <s v="No"/>
    <m/>
    <s v="Awaiting Customer Response"/>
    <s v=""/>
  </r>
  <r>
    <s v="TCK-23160"/>
    <d v="2026-08-20T11:48:00"/>
    <x v="0"/>
    <s v="Sadia Anwar"/>
    <s v="Islamabad"/>
    <s v="Email"/>
    <s v="Delivery Delay"/>
    <s v="Critical"/>
    <n v="4"/>
    <s v="Open"/>
    <s v="Missing Resolve Date"/>
    <s v="No"/>
    <m/>
    <s v="Escalated To Senior Agent"/>
    <s v=""/>
  </r>
  <r>
    <s v="TCK-20118"/>
    <d v="2026-06-14T06:17:00"/>
    <x v="2"/>
    <s v="Mahnoor Aslam"/>
    <s v="Multan"/>
    <s v="Chat"/>
    <s v="Technical Issue"/>
    <s v="Medium"/>
    <n v="24"/>
    <s v="Closed"/>
    <d v="2026-06-14T15:07:00"/>
    <s v="No"/>
    <n v="4"/>
    <s v="Required Follow-Up Call"/>
    <n v="8.8333333333139308"/>
  </r>
  <r>
    <s v="TCK-20791"/>
    <d v="2026-06-13T10:10:00"/>
    <x v="2"/>
    <s v="Bilal Chaudhry"/>
    <s v="Multan"/>
    <s v="Chat"/>
    <s v="Billing Issue"/>
    <s v="Low"/>
    <n v="48"/>
    <s v="Resolved"/>
    <d v="2026-06-13T17:03:00"/>
    <s v="No"/>
    <n v="4"/>
    <s v="Customer Satisfied With Resolution"/>
    <n v="6.8833333334187046"/>
  </r>
  <r>
    <s v="TCK-20998"/>
    <d v="2026-08-12T04:51:00"/>
    <x v="2"/>
    <s v="Bilal Chaudhry"/>
    <s v="Peshawar"/>
    <s v="Email"/>
    <s v="Refund Request"/>
    <s v="Low"/>
    <n v="48"/>
    <s v="Escalated"/>
    <s v="Missing Resolve Date"/>
    <s v="Yes"/>
    <m/>
    <s v="Awaiting Customer Response"/>
    <s v=""/>
  </r>
  <r>
    <s v="TCK-20691"/>
    <d v="2026-02-18T09:49:00"/>
    <x v="3"/>
    <s v="Talha Nadeem"/>
    <s v="Islamabad"/>
    <s v="Chat"/>
    <s v="Billing Issue"/>
    <s v="Medium"/>
    <n v="24"/>
    <s v="Resolved"/>
    <d v="2026-02-18T16:52:00"/>
    <s v="No"/>
    <n v="5"/>
    <s v="Technical Issue Resolved Remotely"/>
    <n v="7.0499999999301508"/>
  </r>
  <r>
    <s v="TCK-23098"/>
    <d v="2026-07-07T13:25:00"/>
    <x v="3"/>
    <s v="Talha Nadeem"/>
    <s v="Islamabad"/>
    <s v="Phone"/>
    <s v="Technical Issue"/>
    <s v="Medium"/>
    <n v="24"/>
    <s v="Resolved"/>
    <d v="2026-07-08T03:29:00"/>
    <s v="No"/>
    <n v="3"/>
    <s v="Not Specified"/>
    <n v="14.066666666592937"/>
  </r>
  <r>
    <s v="TCK-20051"/>
    <d v="2026-03-03T01:06:00"/>
    <x v="1"/>
    <s v="Zara Hussain"/>
    <s v="Lahore"/>
    <s v="Portal"/>
    <s v="General Inquiry"/>
    <s v="Medium"/>
    <n v="24"/>
    <s v="Escalated"/>
    <s v="Missing Resolve Date"/>
    <s v="Yes"/>
    <m/>
    <s v="Customer Requested Refund"/>
    <s v=""/>
  </r>
  <r>
    <s v="TCK-22742"/>
    <d v="2026-02-26T21:58:00"/>
    <x v="2"/>
    <s v="Mahnoor Aslam"/>
    <s v="Multan"/>
    <s v="Chat"/>
    <s v="Refund Request"/>
    <s v="High"/>
    <n v="8"/>
    <s v="Resolved"/>
    <d v="2026-02-26T23:12:00"/>
    <s v="No"/>
    <n v="5"/>
    <s v="Escalated To Senior Agent"/>
    <n v="1.2333333333372138"/>
  </r>
  <r>
    <s v="TCK-22821"/>
    <d v="2026-05-16T23:06:00"/>
    <x v="1"/>
    <s v="Zara Hussain"/>
    <s v="Peshawar"/>
    <s v="Email"/>
    <s v="Account Access"/>
    <s v="Low"/>
    <n v="48"/>
    <s v="Closed"/>
    <d v="2026-05-17T21:22:00"/>
    <s v="No"/>
    <m/>
    <s v="Customer Satisfied With Resolution"/>
    <n v="22.266666666604578"/>
  </r>
  <r>
    <s v="TCK-22207"/>
    <d v="2026-02-08T09:02:00"/>
    <x v="3"/>
    <s v="Iqra Basit"/>
    <s v="Lahore"/>
    <s v="Portal"/>
    <s v="Refund Request"/>
    <s v="Critical"/>
    <n v="4"/>
    <s v="Closed"/>
    <d v="2026-02-08T12:34:00"/>
    <s v="No"/>
    <n v="5"/>
    <s v="Not Specified"/>
    <n v="3.5333333333255723"/>
  </r>
  <r>
    <s v="TCK-21682"/>
    <d v="2026-08-06T00:04:00"/>
    <x v="3"/>
    <s v="Iqra Basit"/>
    <s v="Faisalabad"/>
    <s v="Phone"/>
    <s v="General Inquiry"/>
    <s v="High"/>
    <n v="8"/>
    <s v="In Progress"/>
    <s v="Missing Resolve Date"/>
    <s v="No"/>
    <m/>
    <s v="Technical Issue Resolved Remotely"/>
    <s v=""/>
  </r>
  <r>
    <s v="TCK-21867"/>
    <d v="2026-07-28T18:57:00"/>
    <x v="1"/>
    <s v="Ayaan Khalid"/>
    <s v="Islamabad"/>
    <s v="Portal"/>
    <s v="Refund Request"/>
    <s v="Low"/>
    <n v="48"/>
    <s v="Escalated"/>
    <s v="Missing Resolve Date"/>
    <s v="Yes"/>
    <m/>
    <s v="Not Specified"/>
    <s v=""/>
  </r>
  <r>
    <s v="TCK-21112"/>
    <d v="2026-08-09T19:10:00"/>
    <x v="1"/>
    <s v="Ayaan Khalid"/>
    <s v="Lahore"/>
    <s v="Portal"/>
    <s v="Technical Issue"/>
    <s v="Low"/>
    <n v="48"/>
    <s v="Resolved"/>
    <d v="2026-08-14T12:32:00"/>
    <s v="No"/>
    <m/>
    <s v="Escalated To Senior Agent"/>
    <n v="113.36666666669771"/>
  </r>
  <r>
    <s v="TCK-22033"/>
    <d v="2026-05-02T18:46:00"/>
    <x v="2"/>
    <s v="Mahnoor Aslam"/>
    <s v="Karachi"/>
    <s v="Chat"/>
    <s v="Delivery Delay"/>
    <s v="Low"/>
    <n v="48"/>
    <s v="Open"/>
    <s v="Missing Resolve Date"/>
    <s v="No"/>
    <m/>
    <s v="Not Specified"/>
    <s v=""/>
  </r>
  <r>
    <s v="TCK-21561"/>
    <d v="2026-04-05T06:14:00"/>
    <x v="0"/>
    <s v="Rehan Qureshi"/>
    <s v="Faisalabad"/>
    <s v="Chat"/>
    <s v="General Inquiry"/>
    <s v="Medium"/>
    <n v="24"/>
    <s v="Resolved"/>
    <d v="2026-04-08T03:42:00"/>
    <s v="Yes"/>
    <n v="5"/>
    <s v="Resolved On First Contact"/>
    <n v="69.46666666661622"/>
  </r>
  <r>
    <s v="TCK-21463"/>
    <d v="2026-06-17T02:18:00"/>
    <x v="1"/>
    <s v="Zara Hussain"/>
    <s v="Multan"/>
    <s v="Phone"/>
    <s v="General Inquiry"/>
    <s v="High"/>
    <n v="8"/>
    <s v="Closed"/>
    <s v="Missing Resolve Date"/>
    <s v="No"/>
    <n v="3"/>
    <s v="Resolved On First Contact"/>
    <s v=""/>
  </r>
  <r>
    <s v="TCK-22216"/>
    <d v="2026-01-10T01:56:00"/>
    <x v="0"/>
    <s v="Sadia Anwar"/>
    <s v="Faisalabad"/>
    <s v="Portal"/>
    <s v="Technical Issue"/>
    <s v="High"/>
    <n v="8"/>
    <s v="Escalated"/>
    <s v="Missing Resolve Date"/>
    <s v="Yes"/>
    <m/>
    <s v="Awaiting Customer Response"/>
    <s v=""/>
  </r>
  <r>
    <s v="TCK-22367"/>
    <d v="2026-02-17T16:44:00"/>
    <x v="2"/>
    <s v="Bilal Chaudhry"/>
    <s v="Peshawar"/>
    <s v="Phone"/>
    <s v="General Inquiry"/>
    <s v="Medium"/>
    <n v="24"/>
    <s v="Closed"/>
    <d v="2026-02-17T19:50:00"/>
    <s v="No"/>
    <m/>
    <s v="Escalated To Senior Agent"/>
    <n v="3.0999999999767169"/>
  </r>
  <r>
    <s v="TCK-20082"/>
    <d v="2026-04-08T20:27:00"/>
    <x v="1"/>
    <s v="Ayaan Khalid"/>
    <s v="Karachi"/>
    <s v="Phone"/>
    <s v="General Inquiry"/>
    <s v="Low"/>
    <n v="48"/>
    <s v="Closed"/>
    <d v="2026-04-10T14:11:00"/>
    <s v="No"/>
    <n v="1"/>
    <s v="Customer Requested Refund"/>
    <n v="41.733333333337214"/>
  </r>
  <r>
    <s v="TCK-20340"/>
    <d v="2026-03-06T16:54:00"/>
    <x v="3"/>
    <s v="Talha Nadeem"/>
    <s v="Islamabad"/>
    <s v="Email"/>
    <s v="Delivery Delay"/>
    <s v="Medium"/>
    <n v="24"/>
    <s v="Resolved"/>
    <d v="2026-03-07T07:06:00"/>
    <s v="No"/>
    <m/>
    <s v="Required Follow-Up Call"/>
    <n v="14.199999999837019"/>
  </r>
  <r>
    <s v="TCK-22928"/>
    <d v="2026-04-10T18:59:00"/>
    <x v="3"/>
    <s v="Iqra Basit"/>
    <s v="Karachi"/>
    <s v="Chat"/>
    <s v="Account Access"/>
    <s v="Low"/>
    <n v="48"/>
    <s v="In Progress"/>
    <s v="Missing Resolve Date"/>
    <s v="Yes"/>
    <m/>
    <s v="Not Specified"/>
    <s v=""/>
  </r>
  <r>
    <s v="TCK-22353"/>
    <d v="2026-03-09T20:30:00"/>
    <x v="1"/>
    <s v="Ayaan Khalid"/>
    <s v="Faisalabad"/>
    <s v="Email"/>
    <s v="Refund Request"/>
    <s v="High"/>
    <n v="8"/>
    <s v="Resolved"/>
    <s v="Missing Resolve Date"/>
    <s v="No"/>
    <n v="2"/>
    <s v="Customer Requested Refund"/>
    <s v=""/>
  </r>
  <r>
    <s v="TCK-22848"/>
    <d v="2026-08-11T23:30:00"/>
    <x v="3"/>
    <s v="Talha Nadeem"/>
    <s v="Multan"/>
    <s v="Chat"/>
    <s v="Account Access"/>
    <s v="Critical"/>
    <n v="4"/>
    <s v="Re-Opened"/>
    <d v="2026-08-12T00:59:00"/>
    <s v="No"/>
    <m/>
    <s v="Awaiting Customer Response"/>
    <n v="1.4833333334536292"/>
  </r>
  <r>
    <s v="TCK-21116"/>
    <d v="2026-02-04T01:13:00"/>
    <x v="0"/>
    <s v="Sadia Anwar"/>
    <s v="Peshawar"/>
    <s v="Email"/>
    <s v="Billing Issue"/>
    <s v="Critical"/>
    <n v="4"/>
    <s v="Resolved"/>
    <d v="2026-02-04T11:08:00"/>
    <s v="Yes"/>
    <n v="1"/>
    <s v="Technical Issue Resolved Remotely"/>
    <n v="9.9166666666860692"/>
  </r>
  <r>
    <s v="TCK-21404"/>
    <d v="2026-07-11T16:26:00"/>
    <x v="0"/>
    <s v="Sadia Anwar"/>
    <s v="Karachi"/>
    <s v="Phone"/>
    <s v="Technical Issue"/>
    <s v="Low"/>
    <n v="48"/>
    <s v="In Progress"/>
    <s v="Missing Resolve Date"/>
    <s v="No"/>
    <m/>
    <s v="Not Specified"/>
    <s v=""/>
  </r>
  <r>
    <s v="TCK-20780"/>
    <d v="2026-07-27T03:23:00"/>
    <x v="3"/>
    <s v="Talha Nadeem"/>
    <s v="Rawalpindi"/>
    <s v="Email"/>
    <s v="Account Access"/>
    <s v="Low"/>
    <n v="48"/>
    <s v="Escalated"/>
    <s v="Missing Resolve Date"/>
    <s v="Yes"/>
    <m/>
    <s v="Not Specified"/>
    <s v=""/>
  </r>
  <r>
    <s v="TCK-23138"/>
    <d v="2026-08-06T03:12:00"/>
    <x v="3"/>
    <s v="Talha Nadeem"/>
    <s v="Islamabad"/>
    <s v="Email"/>
    <s v="Refund Request"/>
    <s v="High"/>
    <n v="8"/>
    <s v="Closed"/>
    <d v="2026-08-06T08:02:00"/>
    <s v="No"/>
    <m/>
    <s v="Customer Requested Refund"/>
    <n v="4.8333333333721384"/>
  </r>
  <r>
    <s v="TCK-20134"/>
    <d v="2026-06-11T13:08:00"/>
    <x v="0"/>
    <s v="Rehan Qureshi"/>
    <s v="Peshawar"/>
    <s v="Portal"/>
    <s v="Account Access"/>
    <s v="Low"/>
    <n v="48"/>
    <s v="Closed"/>
    <d v="2026-06-11T19:59:00"/>
    <s v="Yes"/>
    <n v="5"/>
    <s v="Required Follow-Up Call"/>
    <n v="6.8499999999767169"/>
  </r>
  <r>
    <s v="TCK-22977"/>
    <d v="2026-03-06T16:36:00"/>
    <x v="3"/>
    <s v="Talha Nadeem"/>
    <s v="Rawalpindi"/>
    <s v="Portal"/>
    <s v="General Inquiry"/>
    <s v="Medium"/>
    <n v="24"/>
    <s v="In Progress"/>
    <s v="Missing Resolve Date"/>
    <s v="Yes"/>
    <m/>
    <s v="Customer Requested Refund"/>
    <s v=""/>
  </r>
  <r>
    <s v="TCK-21187"/>
    <d v="2026-01-13T23:14:00"/>
    <x v="2"/>
    <s v="Mahnoor Aslam"/>
    <s v="Multan"/>
    <s v="Email"/>
    <s v="Billing Issue"/>
    <s v="Low"/>
    <n v="48"/>
    <s v="Open"/>
    <s v="Missing Resolve Date"/>
    <s v="No"/>
    <m/>
    <s v="Not Specified"/>
    <s v=""/>
  </r>
  <r>
    <s v="TCK-22302"/>
    <d v="2026-08-11T12:28:00"/>
    <x v="2"/>
    <s v="Bilal Chaudhry"/>
    <s v="Peshawar"/>
    <s v="Chat"/>
    <s v="Billing Issue"/>
    <s v="Low"/>
    <n v="48"/>
    <s v="Closed"/>
    <d v="2026-08-11T14:17:00"/>
    <s v="No"/>
    <n v="5"/>
    <s v="Customer Requested Refund"/>
    <n v="1.8166666666511446"/>
  </r>
  <r>
    <s v="TCK-20899"/>
    <d v="2026-08-19T02:00:00"/>
    <x v="3"/>
    <s v="Iqra Basit"/>
    <s v="Peshawar"/>
    <s v="Portal"/>
    <s v="Delivery Delay"/>
    <s v="Low"/>
    <n v="48"/>
    <s v="Resolved"/>
    <d v="2026-08-20T00:52:00"/>
    <s v="No"/>
    <m/>
    <s v="Awaiting Customer Response"/>
    <n v="22.866666666639503"/>
  </r>
  <r>
    <s v="TCK-21426"/>
    <d v="2026-02-13T13:32:00"/>
    <x v="1"/>
    <s v="Zara Hussain"/>
    <s v="Islamabad"/>
    <s v="Phone"/>
    <s v="Refund Request"/>
    <s v="Medium"/>
    <n v="24"/>
    <s v="Resolved"/>
    <d v="2026-02-13T15:55:00"/>
    <s v="No"/>
    <m/>
    <s v="Customer Satisfied With Resolution"/>
    <n v="2.3833333334187046"/>
  </r>
  <r>
    <s v="TCK-21298"/>
    <d v="2026-04-04T17:22:00"/>
    <x v="3"/>
    <s v="Talha Nadeem"/>
    <s v="Multan"/>
    <s v="Phone"/>
    <s v="Delivery Delay"/>
    <s v="Medium"/>
    <n v="24"/>
    <s v="Re-Opened"/>
    <d v="2026-04-07T01:19:00"/>
    <s v="No"/>
    <m/>
    <s v="Not Specified"/>
    <n v="55.949999999895226"/>
  </r>
  <r>
    <s v="TCK-22170"/>
    <d v="2026-08-13T02:25:00"/>
    <x v="3"/>
    <s v="Iqra Basit"/>
    <s v="Rawalpindi"/>
    <s v="Phone"/>
    <s v="General Inquiry"/>
    <s v="Critical"/>
    <n v="4"/>
    <s v="Closed"/>
    <d v="2026-08-13T05:05:00"/>
    <s v="No"/>
    <n v="1"/>
    <s v="Customer Requested Refund"/>
    <n v="2.6666666666278616"/>
  </r>
  <r>
    <s v="TCK-21388"/>
    <d v="2026-02-16T14:42:00"/>
    <x v="0"/>
    <s v="Sadia Anwar"/>
    <s v="Islamabad"/>
    <s v="Portal"/>
    <s v="Technical Issue"/>
    <s v="High"/>
    <n v="8"/>
    <s v="Closed"/>
    <d v="2026-02-16T21:42:00"/>
    <s v="No"/>
    <n v="1"/>
    <s v="Awaiting Customer Response"/>
    <n v="6.9999999999417923"/>
  </r>
  <r>
    <s v="TCK-22393"/>
    <d v="2026-07-03T05:02:00"/>
    <x v="2"/>
    <s v="Mahnoor Aslam"/>
    <s v="Lahore"/>
    <s v="Email"/>
    <s v="Delivery Delay"/>
    <s v="Medium"/>
    <n v="24"/>
    <s v="Closed"/>
    <d v="2026-07-03T21:24:00"/>
    <s v="No"/>
    <n v="5"/>
    <s v="Technical Issue Resolved Remotely"/>
    <n v="16.366666666755918"/>
  </r>
  <r>
    <s v="TCK-22151"/>
    <d v="2026-03-04T23:41:00"/>
    <x v="1"/>
    <s v="Ayaan Khalid"/>
    <s v="Lahore"/>
    <s v="Chat"/>
    <s v="Billing Issue"/>
    <s v="High"/>
    <n v="8"/>
    <s v="Resolved"/>
    <s v="Missing Resolve Date"/>
    <s v="No"/>
    <n v="4"/>
    <s v="Customer Requested Refund"/>
    <s v=""/>
  </r>
  <r>
    <s v="TCK-20992"/>
    <d v="2026-02-24T04:49:00"/>
    <x v="3"/>
    <s v="Talha Nadeem"/>
    <s v="Lahore"/>
    <s v="Portal"/>
    <s v="Refund Request"/>
    <s v="Low"/>
    <n v="48"/>
    <s v="Closed"/>
    <d v="2026-02-25T15:56:00"/>
    <s v="No"/>
    <n v="4"/>
    <s v="Escalated To Senior Agent"/>
    <n v="35.116666666755918"/>
  </r>
  <r>
    <s v="TCK-20366"/>
    <d v="2026-04-26T04:42:00"/>
    <x v="0"/>
    <s v="Sadia Anwar"/>
    <s v="Peshawar"/>
    <s v="Email"/>
    <s v="Refund Request"/>
    <s v="Low"/>
    <n v="48"/>
    <s v="Re-Opened"/>
    <d v="2026-04-26T22:57:00"/>
    <s v="No"/>
    <m/>
    <s v="Technical Issue Resolved Remotely"/>
    <n v="18.250000000116415"/>
  </r>
  <r>
    <s v="TCK-22661"/>
    <d v="2026-02-09T18:00:00"/>
    <x v="3"/>
    <s v="Talha Nadeem"/>
    <s v="Karachi"/>
    <s v="Phone"/>
    <s v="Refund Request"/>
    <s v="Medium"/>
    <n v="24"/>
    <s v="Open"/>
    <s v="Missing Resolve Date"/>
    <s v="No"/>
    <m/>
    <s v="Awaiting Customer Response"/>
    <s v=""/>
  </r>
  <r>
    <s v="TCK-20779"/>
    <d v="2026-01-20T22:43:00"/>
    <x v="3"/>
    <s v="Iqra Basit"/>
    <s v="Peshawar"/>
    <s v="Phone"/>
    <s v="General Inquiry"/>
    <s v="High"/>
    <n v="8"/>
    <s v="In Progress"/>
    <s v="Missing Resolve Date"/>
    <s v="No"/>
    <m/>
    <s v="Escalated To Senior Agent"/>
    <s v=""/>
  </r>
  <r>
    <s v="TCK-23015"/>
    <d v="2026-05-12T05:45:00"/>
    <x v="3"/>
    <s v="Talha Nadeem"/>
    <s v="Multan"/>
    <s v="Portal"/>
    <s v="Delivery Delay"/>
    <s v="Medium"/>
    <n v="24"/>
    <s v="Resolved"/>
    <s v="Missing Resolve Date"/>
    <s v="No"/>
    <m/>
    <s v="Escalated To Senior Agent"/>
    <s v=""/>
  </r>
  <r>
    <s v="TCK-20161"/>
    <d v="2026-02-19T16:19:00"/>
    <x v="0"/>
    <s v="Sadia Anwar"/>
    <s v="Islamabad"/>
    <s v="Email"/>
    <s v="Account Access"/>
    <s v="Low"/>
    <n v="48"/>
    <s v="Resolved"/>
    <d v="2026-02-23T10:08:00"/>
    <s v="No"/>
    <m/>
    <s v="Resolved On First Contact"/>
    <n v="89.81666666676756"/>
  </r>
  <r>
    <s v="TCK-20872"/>
    <d v="2026-01-22T00:18:00"/>
    <x v="1"/>
    <s v="Zara Hussain"/>
    <s v="Multan"/>
    <s v="Email"/>
    <s v="General Inquiry"/>
    <s v="Medium"/>
    <n v="24"/>
    <s v="Resolved"/>
    <d v="2026-01-22T08:49:00"/>
    <s v="No"/>
    <m/>
    <s v="Not Specified"/>
    <n v="8.5166666666627862"/>
  </r>
  <r>
    <s v="TCK-20947"/>
    <d v="2026-04-06T21:31:00"/>
    <x v="2"/>
    <s v="Bilal Chaudhry"/>
    <s v="Lahore"/>
    <s v="Email"/>
    <s v="General Inquiry"/>
    <s v="High"/>
    <n v="8"/>
    <s v="Resolved"/>
    <d v="2026-04-07T03:37:00"/>
    <s v="No"/>
    <n v="1"/>
    <s v="Repeat Issue From Same Customer"/>
    <n v="6.0999999999767169"/>
  </r>
  <r>
    <s v="TCK-21499"/>
    <d v="2026-01-03T02:49:00"/>
    <x v="1"/>
    <s v="Zara Hussain"/>
    <s v="Lahore"/>
    <s v="Portal"/>
    <s v="Account Access"/>
    <s v="Medium"/>
    <n v="24"/>
    <s v="Resolved"/>
    <d v="2026-01-05T01:40:00"/>
    <s v="Yes"/>
    <n v="2"/>
    <s v="Resolved On First Contact"/>
    <n v="46.850000000093132"/>
  </r>
  <r>
    <s v="TCK-22161"/>
    <d v="2026-08-05T15:20:00"/>
    <x v="0"/>
    <s v="Rehan Qureshi"/>
    <s v="Peshawar"/>
    <s v="Chat"/>
    <s v="General Inquiry"/>
    <s v="Low"/>
    <n v="48"/>
    <s v="Resolved"/>
    <d v="2026-08-10T01:40:00"/>
    <s v="No"/>
    <m/>
    <s v="Awaiting Customer Response"/>
    <n v="106.33333333331393"/>
  </r>
  <r>
    <s v="TCK-21725"/>
    <d v="2026-04-24T04:54:00"/>
    <x v="1"/>
    <s v="Ayaan Khalid"/>
    <s v="Multan"/>
    <s v="Portal"/>
    <s v="Refund Request"/>
    <s v="Critical"/>
    <n v="4"/>
    <s v="Closed"/>
    <d v="2026-04-24T05:38:00"/>
    <s v="No"/>
    <m/>
    <s v="Technical Issue Resolved Remotely"/>
    <n v="0.73333333327900618"/>
  </r>
  <r>
    <s v="TCK-22905"/>
    <d v="2026-06-23T21:48:00"/>
    <x v="2"/>
    <s v="Mahnoor Aslam"/>
    <s v="Multan"/>
    <s v="Portal"/>
    <s v="Technical Issue"/>
    <s v="Critical"/>
    <n v="4"/>
    <s v="Resolved"/>
    <d v="2026-06-23T23:24:00"/>
    <s v="No"/>
    <m/>
    <s v="Customer Satisfied With Resolution"/>
    <n v="1.5999999999767169"/>
  </r>
  <r>
    <s v="TCK-20086"/>
    <d v="2026-08-16T14:02:00"/>
    <x v="1"/>
    <s v="Zara Hussain"/>
    <s v="Multan"/>
    <s v="Portal"/>
    <s v="Account Access"/>
    <s v="High"/>
    <n v="8"/>
    <s v="Closed"/>
    <d v="2026-08-16T18:29:00"/>
    <s v="No"/>
    <m/>
    <s v="Customer Satisfied With Resolution"/>
    <n v="4.4500000000116415"/>
  </r>
  <r>
    <s v="TCK-20628"/>
    <d v="2026-03-06T12:02:00"/>
    <x v="1"/>
    <s v="Ayaan Khalid"/>
    <s v="Karachi"/>
    <s v="Email"/>
    <s v="Refund Request"/>
    <s v="High"/>
    <n v="8"/>
    <s v="Escalated"/>
    <s v="Missing Resolve Date"/>
    <s v="Yes"/>
    <m/>
    <s v="Required Follow-Up Call"/>
    <s v=""/>
  </r>
  <r>
    <s v="TCK-21646"/>
    <d v="2026-02-08T21:59:00"/>
    <x v="0"/>
    <s v="Rehan Qureshi"/>
    <s v="Peshawar"/>
    <s v="Phone"/>
    <s v="General Inquiry"/>
    <s v="High"/>
    <n v="8"/>
    <s v="Closed"/>
    <d v="2026-02-09T04:42:00"/>
    <s v="No"/>
    <m/>
    <s v="Repeat Issue From Same Customer"/>
    <n v="6.7166666665580124"/>
  </r>
  <r>
    <s v="TCK-22537"/>
    <d v="2026-06-12T19:01:00"/>
    <x v="2"/>
    <s v="Bilal Chaudhry"/>
    <s v="Faisalabad"/>
    <s v="Chat"/>
    <s v="Billing Issue"/>
    <s v="High"/>
    <n v="8"/>
    <s v="Escalated"/>
    <s v="Missing Resolve Date"/>
    <s v="Yes"/>
    <m/>
    <s v="Escalated To Senior Agent"/>
    <s v=""/>
  </r>
  <r>
    <s v="TCK-21272"/>
    <d v="2026-08-23T03:00:00"/>
    <x v="2"/>
    <s v="Bilal Chaudhry"/>
    <s v="Multan"/>
    <s v="Portal"/>
    <s v="Delivery Delay"/>
    <s v="Medium"/>
    <n v="24"/>
    <s v="Re-Opened"/>
    <d v="2026-08-23T05:28:00"/>
    <s v="No"/>
    <m/>
    <s v="Technical Issue Resolved Remotely"/>
    <n v="2.4666666666744277"/>
  </r>
  <r>
    <s v="TCK-23181"/>
    <d v="2026-07-07T22:46:00"/>
    <x v="0"/>
    <s v="Sadia Anwar"/>
    <s v="Peshawar"/>
    <s v="Phone"/>
    <s v="Billing Issue"/>
    <s v="Medium"/>
    <n v="24"/>
    <s v="Closed"/>
    <d v="2026-07-08T19:03:00"/>
    <s v="No"/>
    <n v="5"/>
    <s v="Escalated To Senior Agent"/>
    <n v="20.283333333267365"/>
  </r>
  <r>
    <s v="TCK-20502"/>
    <d v="2026-04-27T03:30:00"/>
    <x v="1"/>
    <s v="Ayaan Khalid"/>
    <s v="Faisalabad"/>
    <s v="Chat"/>
    <s v="General Inquiry"/>
    <s v="Low"/>
    <n v="48"/>
    <s v="Resolved"/>
    <d v="2026-04-28T20:48:00"/>
    <s v="No"/>
    <m/>
    <s v="Awaiting Customer Response"/>
    <n v="41.299999999988358"/>
  </r>
  <r>
    <s v="TCK-22047"/>
    <d v="2026-08-13T20:13:00"/>
    <x v="0"/>
    <s v="Sadia Anwar"/>
    <s v="Faisalabad"/>
    <s v="Chat"/>
    <s v="Delivery Delay"/>
    <s v="Critical"/>
    <n v="4"/>
    <s v="Closed"/>
    <d v="2026-08-13T22:21:00"/>
    <s v="No"/>
    <m/>
    <s v="Resolved On First Contact"/>
    <n v="2.1333333333022892"/>
  </r>
  <r>
    <s v="TCK-20250"/>
    <d v="2026-01-18T14:15:00"/>
    <x v="2"/>
    <s v="Mahnoor Aslam"/>
    <s v="Multan"/>
    <s v="Chat"/>
    <s v="Billing Issue"/>
    <s v="High"/>
    <n v="8"/>
    <s v="Open"/>
    <s v="Missing Resolve Date"/>
    <s v="No"/>
    <m/>
    <s v="Awaiting Customer Response"/>
    <s v=""/>
  </r>
  <r>
    <s v="TCK-21044"/>
    <d v="2026-07-14T21:40:00"/>
    <x v="3"/>
    <s v="Talha Nadeem"/>
    <s v="Lahore"/>
    <s v="Portal"/>
    <s v="Account Access"/>
    <s v="Low"/>
    <n v="48"/>
    <s v="Closed"/>
    <d v="2026-07-18T17:10:00"/>
    <s v="No"/>
    <n v="2"/>
    <s v="Resolved On First Contact"/>
    <n v="91.5"/>
  </r>
  <r>
    <s v="TCK-20002"/>
    <d v="2026-02-27T01:24:00"/>
    <x v="1"/>
    <s v="Zara Hussain"/>
    <s v="Peshawar"/>
    <s v="Phone"/>
    <s v="Refund Request"/>
    <s v="Medium"/>
    <n v="24"/>
    <s v="Escalated"/>
    <s v="Missing Resolve Date"/>
    <s v="Yes"/>
    <m/>
    <s v="Not Specified"/>
    <s v=""/>
  </r>
  <r>
    <s v="TCK-22365"/>
    <d v="2026-06-17T19:01:00"/>
    <x v="2"/>
    <s v="Mahnoor Aslam"/>
    <s v="Islamabad"/>
    <s v="Phone"/>
    <s v="Account Access"/>
    <s v="Medium"/>
    <n v="24"/>
    <s v="Resolved"/>
    <d v="2026-06-18T12:51:00"/>
    <s v="No"/>
    <n v="3"/>
    <s v="Resolved On First Contact"/>
    <n v="17.833333333313931"/>
  </r>
  <r>
    <s v="TCK-20063"/>
    <d v="2026-02-28T18:03:00"/>
    <x v="3"/>
    <s v="Iqra Basit"/>
    <s v="Lahore"/>
    <s v="Portal"/>
    <s v="Billing Issue"/>
    <s v="Low"/>
    <n v="48"/>
    <s v="Open"/>
    <s v="Missing Resolve Date"/>
    <s v="No"/>
    <m/>
    <s v="Not Specified"/>
    <s v=""/>
  </r>
  <r>
    <s v="TCK-22935"/>
    <d v="2026-05-06T08:10:00"/>
    <x v="3"/>
    <s v="Iqra Basit"/>
    <s v="Lahore"/>
    <s v="Phone"/>
    <s v="Delivery Delay"/>
    <s v="Low"/>
    <n v="48"/>
    <s v="In Progress"/>
    <s v="Missing Resolve Date"/>
    <s v="No"/>
    <m/>
    <s v="Required Follow-Up Call"/>
    <s v=""/>
  </r>
  <r>
    <s v="TCK-22605"/>
    <d v="2026-05-09T13:31:00"/>
    <x v="3"/>
    <s v="Talha Nadeem"/>
    <s v="Peshawar"/>
    <s v="Phone"/>
    <s v="General Inquiry"/>
    <s v="Medium"/>
    <n v="24"/>
    <s v="Resolved"/>
    <d v="2026-05-10T09:58:00"/>
    <s v="No"/>
    <m/>
    <s v="Not Specified"/>
    <n v="20.449999999953434"/>
  </r>
  <r>
    <s v="TCK-21359"/>
    <d v="2026-05-26T13:51:00"/>
    <x v="0"/>
    <s v="Rehan Qureshi"/>
    <s v="Peshawar"/>
    <s v="Phone"/>
    <s v="General Inquiry"/>
    <s v="Low"/>
    <n v="48"/>
    <s v="In Progress"/>
    <s v="Missing Resolve Date"/>
    <s v="Yes"/>
    <m/>
    <s v="Not Specified"/>
    <s v=""/>
  </r>
  <r>
    <s v="TCK-20236"/>
    <d v="2026-06-02T18:21:00"/>
    <x v="1"/>
    <s v="Zara Hussain"/>
    <s v="Peshawar"/>
    <s v="Phone"/>
    <s v="Account Access"/>
    <s v="Low"/>
    <n v="48"/>
    <s v="In Progress"/>
    <s v="Missing Resolve Date"/>
    <s v="No"/>
    <m/>
    <s v="Escalated To Senior Agent"/>
    <s v=""/>
  </r>
  <r>
    <s v="TCK-22774"/>
    <d v="2026-05-31T14:26:00"/>
    <x v="1"/>
    <s v="Ayaan Khalid"/>
    <s v="Lahore"/>
    <s v="Email"/>
    <s v="General Inquiry"/>
    <s v="High"/>
    <n v="8"/>
    <s v="Closed"/>
    <d v="2026-05-31T16:47:00"/>
    <s v="No"/>
    <m/>
    <s v="Required Follow-Up Call"/>
    <n v="2.3499999999767169"/>
  </r>
  <r>
    <s v="TCK-20804"/>
    <d v="2026-02-04T17:32:00"/>
    <x v="2"/>
    <s v="Bilal Chaudhry"/>
    <s v="Multan"/>
    <s v="Portal"/>
    <s v="Delivery Delay"/>
    <s v="Medium"/>
    <n v="24"/>
    <s v="Resolved"/>
    <d v="2026-02-05T01:42:00"/>
    <s v="No"/>
    <n v="5"/>
    <s v="Resolved On First Contact"/>
    <n v="8.1666666665696539"/>
  </r>
  <r>
    <s v="TCK-21660"/>
    <d v="2026-04-19T23:33:00"/>
    <x v="0"/>
    <s v="Rehan Qureshi"/>
    <s v="Multan"/>
    <s v="Chat"/>
    <s v="General Inquiry"/>
    <s v="Low"/>
    <n v="48"/>
    <s v="Resolved"/>
    <d v="2026-04-21T05:16:00"/>
    <s v="No"/>
    <n v="4"/>
    <s v="Not Specified"/>
    <n v="29.716666666790843"/>
  </r>
  <r>
    <s v="TCK-22739"/>
    <d v="2026-06-11T06:00:00"/>
    <x v="0"/>
    <s v="Rehan Qureshi"/>
    <s v="Karachi"/>
    <s v="Chat"/>
    <s v="Refund Request"/>
    <s v="Medium"/>
    <n v="24"/>
    <s v="Closed"/>
    <d v="2026-06-11T06:37:00"/>
    <s v="No"/>
    <m/>
    <s v="Required Follow-Up Call"/>
    <n v="0.61666666658129543"/>
  </r>
  <r>
    <s v="TCK-20651"/>
    <d v="2026-01-02T08:34:00"/>
    <x v="2"/>
    <s v="Mahnoor Aslam"/>
    <s v="Lahore"/>
    <s v="Phone"/>
    <s v="General Inquiry"/>
    <s v="High"/>
    <n v="8"/>
    <s v="Resolved"/>
    <d v="2026-01-02T13:16:00"/>
    <s v="No"/>
    <n v="5"/>
    <s v="Technical Issue Resolved Remotely"/>
    <n v="4.6999999999534339"/>
  </r>
  <r>
    <s v="TCK-22922"/>
    <d v="2026-02-12T02:15:00"/>
    <x v="3"/>
    <s v="Talha Nadeem"/>
    <s v="Rawalpindi"/>
    <s v="Chat"/>
    <s v="General Inquiry"/>
    <s v="Medium"/>
    <n v="24"/>
    <s v="Resolved"/>
    <d v="2026-02-12T13:34:00"/>
    <s v="Yes"/>
    <n v="5"/>
    <s v="Escalated To Senior Agent"/>
    <n v="11.316666666709352"/>
  </r>
  <r>
    <s v="TCK-21238"/>
    <d v="2026-03-19T10:18:00"/>
    <x v="1"/>
    <s v="Ayaan Khalid"/>
    <s v="Faisalabad"/>
    <s v="Phone"/>
    <s v="Account Access"/>
    <s v="Low"/>
    <n v="48"/>
    <s v="Re-Opened"/>
    <d v="2026-03-19T21:16:00"/>
    <s v="No"/>
    <m/>
    <s v="Awaiting Customer Response"/>
    <n v="10.96666666661622"/>
  </r>
  <r>
    <s v="TCK-20239"/>
    <d v="2026-03-11T04:41:00"/>
    <x v="1"/>
    <s v="Ayaan Khalid"/>
    <s v="Peshawar"/>
    <s v="Email"/>
    <s v="Delivery Delay"/>
    <s v="Low"/>
    <n v="48"/>
    <s v="Escalated"/>
    <s v="Missing Resolve Date"/>
    <s v="Yes"/>
    <m/>
    <s v="Repeat Issue From Same Customer"/>
    <s v=""/>
  </r>
  <r>
    <s v="TCK-21881"/>
    <d v="2026-02-25T20:04:00"/>
    <x v="2"/>
    <s v="Bilal Chaudhry"/>
    <s v="Lahore"/>
    <s v="Phone"/>
    <s v="Billing Issue"/>
    <s v="Low"/>
    <n v="48"/>
    <s v="Closed"/>
    <d v="2026-03-02T21:49:00"/>
    <s v="No"/>
    <n v="4"/>
    <s v="Escalated To Senior Agent"/>
    <n v="121.75000000011642"/>
  </r>
  <r>
    <s v="TCK-20842"/>
    <d v="2026-07-15T13:57:00"/>
    <x v="2"/>
    <s v="Bilal Chaudhry"/>
    <s v="Rawalpindi"/>
    <s v="Phone"/>
    <s v="Refund Request"/>
    <s v="Medium"/>
    <n v="24"/>
    <s v="Resolved"/>
    <d v="2026-07-16T06:35:00"/>
    <s v="No"/>
    <n v="5"/>
    <s v="Required Follow-Up Call"/>
    <n v="16.633333333244082"/>
  </r>
  <r>
    <s v="TCK-22273"/>
    <d v="2026-04-20T12:14:00"/>
    <x v="0"/>
    <s v="Rehan Qureshi"/>
    <s v="Faisalabad"/>
    <s v="Portal"/>
    <s v="Refund Request"/>
    <s v="Critical"/>
    <n v="4"/>
    <s v="Resolved"/>
    <d v="2026-04-20T14:15:00"/>
    <s v="No"/>
    <n v="5"/>
    <s v="Customer Requested Refund"/>
    <n v="2.0166666666045785"/>
  </r>
  <r>
    <s v="TCK-22425"/>
    <d v="2026-03-30T00:19:00"/>
    <x v="1"/>
    <s v="Ayaan Khalid"/>
    <s v="Karachi"/>
    <s v="Phone"/>
    <s v="Billing Issue"/>
    <s v="Low"/>
    <n v="48"/>
    <s v="Escalated"/>
    <s v="Missing Resolve Date"/>
    <s v="Yes"/>
    <m/>
    <s v="Escalated To Senior Agent"/>
    <s v=""/>
  </r>
  <r>
    <s v="TCK-20990"/>
    <d v="2026-06-17T10:13:00"/>
    <x v="3"/>
    <s v="Talha Nadeem"/>
    <s v="Rawalpindi"/>
    <s v="Portal"/>
    <s v="Billing Issue"/>
    <s v="High"/>
    <n v="8"/>
    <s v="Closed"/>
    <d v="2026-06-17T21:38:00"/>
    <s v="No"/>
    <n v="5"/>
    <s v="Escalated To Senior Agent"/>
    <n v="11.416666666686069"/>
  </r>
  <r>
    <s v="TCK-22727"/>
    <d v="2026-01-29T17:26:00"/>
    <x v="1"/>
    <s v="Zara Hussain"/>
    <s v="Karachi"/>
    <s v="Email"/>
    <s v="Billing Issue"/>
    <s v="High"/>
    <n v="8"/>
    <s v="Resolved"/>
    <d v="2026-01-29T18:35:00"/>
    <s v="No"/>
    <n v="5"/>
    <s v="Customer Requested Refund"/>
    <n v="1.1499999999068677"/>
  </r>
  <r>
    <s v="TCK-22380"/>
    <d v="2026-06-14T11:58:00"/>
    <x v="0"/>
    <s v="Rehan Qureshi"/>
    <s v="Lahore"/>
    <s v="Chat"/>
    <s v="Technical Issue"/>
    <s v="High"/>
    <n v="8"/>
    <s v="Resolved"/>
    <s v="Missing Resolve Date"/>
    <s v="No"/>
    <m/>
    <s v="Not Specified"/>
    <s v=""/>
  </r>
  <r>
    <s v="TCK-22923"/>
    <d v="2026-05-25T09:59:00"/>
    <x v="1"/>
    <s v="Ayaan Khalid"/>
    <s v="Lahore"/>
    <s v="Email"/>
    <s v="Account Access"/>
    <s v="Low"/>
    <n v="48"/>
    <s v="Escalated"/>
    <s v="Missing Resolve Date"/>
    <s v="Yes"/>
    <m/>
    <s v="Not Specified"/>
    <s v=""/>
  </r>
  <r>
    <s v="TCK-22264"/>
    <d v="2026-03-30T08:52:00"/>
    <x v="1"/>
    <s v="Ayaan Khalid"/>
    <s v="Faisalabad"/>
    <s v="Phone"/>
    <s v="General Inquiry"/>
    <s v="High"/>
    <n v="8"/>
    <s v="Resolved"/>
    <d v="2026-03-30T14:07:00"/>
    <s v="No"/>
    <n v="5"/>
    <s v="Awaiting Customer Response"/>
    <n v="5.25"/>
  </r>
  <r>
    <s v="TCK-23142"/>
    <d v="2026-03-08T20:28:00"/>
    <x v="0"/>
    <s v="Sadia Anwar"/>
    <s v="Multan"/>
    <s v="Phone"/>
    <s v="General Inquiry"/>
    <s v="Medium"/>
    <n v="24"/>
    <s v="Closed"/>
    <d v="2026-03-09T15:28:00"/>
    <s v="No"/>
    <m/>
    <s v="Customer Satisfied With Resolution"/>
    <n v="18.999999999941792"/>
  </r>
  <r>
    <s v="TCK-21901"/>
    <d v="2026-08-24T06:09:00"/>
    <x v="2"/>
    <s v="Mahnoor Aslam"/>
    <s v="Islamabad"/>
    <s v="Portal"/>
    <s v="Account Access"/>
    <s v="Low"/>
    <n v="48"/>
    <s v="Closed"/>
    <d v="2026-08-25T06:15:00"/>
    <s v="No"/>
    <m/>
    <s v="Not Specified"/>
    <n v="24.099999999976717"/>
  </r>
  <r>
    <s v="TCK-21609"/>
    <d v="2026-02-22T19:28:00"/>
    <x v="1"/>
    <s v="Ayaan Khalid"/>
    <s v="Faisalabad"/>
    <s v="Portal"/>
    <s v="Technical Issue"/>
    <s v="Medium"/>
    <n v="24"/>
    <s v="Escalated"/>
    <s v="Missing Resolve Date"/>
    <s v="Yes"/>
    <m/>
    <s v="Technical Issue Resolved Remotely"/>
    <s v=""/>
  </r>
  <r>
    <s v="TCK-22066"/>
    <d v="2026-01-05T18:13:00"/>
    <x v="2"/>
    <s v="Mahnoor Aslam"/>
    <s v="Karachi"/>
    <s v="Phone"/>
    <s v="Technical Issue"/>
    <s v="Medium"/>
    <n v="24"/>
    <s v="Closed"/>
    <d v="2026-01-05T20:23:00"/>
    <s v="No"/>
    <n v="5"/>
    <s v="Required Follow-Up Call"/>
    <n v="2.1666666667442769"/>
  </r>
  <r>
    <s v="TCK-21713"/>
    <d v="2026-03-11T15:04:00"/>
    <x v="0"/>
    <s v="Rehan Qureshi"/>
    <s v="Karachi"/>
    <s v="Portal"/>
    <s v="Technical Issue"/>
    <s v="Medium"/>
    <n v="24"/>
    <s v="Resolved"/>
    <d v="2026-03-11T17:14:00"/>
    <s v="No"/>
    <n v="5"/>
    <s v="Technical Issue Resolved Remotely"/>
    <n v="2.1666666665696539"/>
  </r>
  <r>
    <s v="TCK-21070"/>
    <d v="2026-06-22T16:53:00"/>
    <x v="1"/>
    <s v="Ayaan Khalid"/>
    <s v="Peshawar"/>
    <s v="Portal"/>
    <s v="General Inquiry"/>
    <s v="Medium"/>
    <n v="24"/>
    <s v="Escalated"/>
    <s v="Missing Resolve Date"/>
    <s v="Yes"/>
    <m/>
    <s v="Resolved On First Contact"/>
    <s v=""/>
  </r>
  <r>
    <s v="TCK-20384"/>
    <d v="2026-07-28T05:49:00"/>
    <x v="0"/>
    <s v="Rehan Qureshi"/>
    <s v="Karachi"/>
    <s v="Portal"/>
    <s v="Account Access"/>
    <s v="Medium"/>
    <n v="24"/>
    <s v="Closed"/>
    <d v="2026-07-28T23:55:00"/>
    <s v="No"/>
    <n v="4"/>
    <s v="Not Specified"/>
    <n v="18.10000000015134"/>
  </r>
  <r>
    <s v="TCK-21340"/>
    <d v="2026-03-08T18:23:00"/>
    <x v="3"/>
    <s v="Iqra Basit"/>
    <s v="Islamabad"/>
    <s v="Portal"/>
    <s v="Billing Issue"/>
    <s v="Medium"/>
    <n v="24"/>
    <s v="Resolved"/>
    <d v="2026-03-10T13:13:00"/>
    <s v="No"/>
    <n v="2"/>
    <s v="Not Specified"/>
    <n v="42.833333333255723"/>
  </r>
  <r>
    <s v="TCK-21882"/>
    <d v="2026-02-11T01:08:00"/>
    <x v="2"/>
    <s v="Mahnoor Aslam"/>
    <s v="Islamabad"/>
    <s v="Email"/>
    <s v="Technical Issue"/>
    <s v="High"/>
    <n v="8"/>
    <s v="Open"/>
    <s v="Missing Resolve Date"/>
    <s v="No"/>
    <m/>
    <s v="Escalated To Senior Agent"/>
    <s v=""/>
  </r>
  <r>
    <s v="TCK-20380"/>
    <d v="2026-08-20T00:45:00"/>
    <x v="0"/>
    <s v="Sadia Anwar"/>
    <s v="Multan"/>
    <s v="Email"/>
    <s v="Delivery Delay"/>
    <s v="High"/>
    <n v="8"/>
    <s v="In Progress"/>
    <s v="Missing Resolve Date"/>
    <s v="No"/>
    <m/>
    <s v="Technical Issue Resolved Remotely"/>
    <s v=""/>
  </r>
  <r>
    <s v="TCK-20325"/>
    <d v="2026-04-27T07:49:00"/>
    <x v="0"/>
    <s v="Sadia Anwar"/>
    <s v="Multan"/>
    <s v="Email"/>
    <s v="Delivery Delay"/>
    <s v="High"/>
    <n v="8"/>
    <s v="Resolved"/>
    <d v="2026-04-27T14:56:00"/>
    <s v="No"/>
    <n v="2"/>
    <s v="Resolved On First Contact"/>
    <n v="7.1166666666395031"/>
  </r>
  <r>
    <s v="TCK-20591"/>
    <d v="2026-04-06T02:28:00"/>
    <x v="2"/>
    <s v="Mahnoor Aslam"/>
    <s v="Islamabad"/>
    <s v="Portal"/>
    <s v="General Inquiry"/>
    <s v="Medium"/>
    <n v="24"/>
    <s v="Escalated"/>
    <s v="Missing Resolve Date"/>
    <s v="Yes"/>
    <m/>
    <s v="Required Follow-Up Call"/>
    <s v=""/>
  </r>
  <r>
    <s v="TCK-22554"/>
    <d v="2026-08-30T02:47:00"/>
    <x v="1"/>
    <s v="Ayaan Khalid"/>
    <s v="Multan"/>
    <s v="Email"/>
    <s v="Delivery Delay"/>
    <s v="Medium"/>
    <n v="24"/>
    <s v="Closed"/>
    <d v="2026-08-30T08:36:00"/>
    <s v="No"/>
    <n v="3"/>
    <s v="Technical Issue Resolved Remotely"/>
    <n v="5.816666666592937"/>
  </r>
  <r>
    <s v="TCK-22384"/>
    <d v="2026-03-24T23:41:00"/>
    <x v="2"/>
    <s v="Mahnoor Aslam"/>
    <s v="Islamabad"/>
    <s v="Chat"/>
    <s v="Delivery Delay"/>
    <s v="Medium"/>
    <n v="24"/>
    <s v="Resolved"/>
    <d v="2026-03-25T03:30:00"/>
    <s v="No"/>
    <n v="4"/>
    <s v="Escalated To Senior Agent"/>
    <n v="3.8166666667093523"/>
  </r>
  <r>
    <s v="TCK-21706"/>
    <d v="2026-08-12T04:52:00"/>
    <x v="2"/>
    <s v="Mahnoor Aslam"/>
    <s v="Peshawar"/>
    <s v="Chat"/>
    <s v="General Inquiry"/>
    <s v="Low"/>
    <n v="48"/>
    <s v="Resolved"/>
    <d v="2026-08-13T19:00:00"/>
    <s v="No"/>
    <n v="5"/>
    <s v="Repeat Issue From Same Customer"/>
    <n v="38.133333333302289"/>
  </r>
  <r>
    <s v="TCK-22335"/>
    <d v="2026-05-24T16:10:00"/>
    <x v="0"/>
    <s v="Sadia Anwar"/>
    <s v="Islamabad"/>
    <s v="Portal"/>
    <s v="Delivery Delay"/>
    <s v="Medium"/>
    <n v="24"/>
    <s v="Escalated"/>
    <s v="Missing Resolve Date"/>
    <s v="Yes"/>
    <m/>
    <s v="Not Specified"/>
    <s v=""/>
  </r>
  <r>
    <s v="TCK-23136"/>
    <d v="2026-06-01T08:03:00"/>
    <x v="3"/>
    <s v="Iqra Basit"/>
    <s v="Lahore"/>
    <s v="Phone"/>
    <s v="Technical Issue"/>
    <s v="High"/>
    <n v="8"/>
    <s v="Resolved"/>
    <d v="2026-06-01T21:41:00"/>
    <s v="No"/>
    <m/>
    <s v="Repeat Issue From Same Customer"/>
    <n v="13.633333333244082"/>
  </r>
  <r>
    <s v="TCK-20189"/>
    <d v="2026-06-26T14:47:00"/>
    <x v="1"/>
    <s v="Zara Hussain"/>
    <s v="Lahore"/>
    <s v="Chat"/>
    <s v="Delivery Delay"/>
    <s v="Low"/>
    <n v="48"/>
    <s v="Closed"/>
    <d v="2026-06-28T01:09:00"/>
    <s v="No"/>
    <n v="5"/>
    <s v="Required Follow-Up Call"/>
    <n v="34.366666666755918"/>
  </r>
  <r>
    <s v="TCK-21710"/>
    <d v="2026-03-05T01:55:00"/>
    <x v="0"/>
    <s v="Rehan Qureshi"/>
    <s v="Islamabad"/>
    <s v="Chat"/>
    <s v="Delivery Delay"/>
    <s v="Low"/>
    <n v="48"/>
    <s v="In Progress"/>
    <s v="Missing Resolve Date"/>
    <s v="No"/>
    <m/>
    <s v="Resolved On First Contact"/>
    <s v=""/>
  </r>
  <r>
    <s v="TCK-20403"/>
    <d v="2026-04-12T15:03:00"/>
    <x v="3"/>
    <s v="Talha Nadeem"/>
    <s v="Karachi"/>
    <s v="Chat"/>
    <s v="General Inquiry"/>
    <s v="Low"/>
    <n v="48"/>
    <s v="Resolved"/>
    <d v="2026-04-13T22:54:00"/>
    <s v="No"/>
    <m/>
    <s v="Technical Issue Resolved Remotely"/>
    <n v="31.850000000093132"/>
  </r>
  <r>
    <s v="TCK-21892"/>
    <d v="2026-07-20T14:30:00"/>
    <x v="3"/>
    <s v="Iqra Basit"/>
    <s v="Multan"/>
    <s v="Chat"/>
    <s v="Billing Issue"/>
    <s v="Critical"/>
    <n v="4"/>
    <s v="Open"/>
    <s v="Missing Resolve Date"/>
    <s v="Yes"/>
    <m/>
    <s v="Resolved On First Contact"/>
    <s v=""/>
  </r>
  <r>
    <s v="TCK-22751"/>
    <d v="2026-04-09T12:18:00"/>
    <x v="3"/>
    <s v="Iqra Basit"/>
    <s v="Peshawar"/>
    <s v="Portal"/>
    <s v="Technical Issue"/>
    <s v="Medium"/>
    <n v="24"/>
    <s v="Closed"/>
    <d v="2026-04-09T16:02:00"/>
    <s v="No"/>
    <n v="4"/>
    <s v="Repeat Issue From Same Customer"/>
    <n v="3.7333333334536292"/>
  </r>
  <r>
    <s v="TCK-20426"/>
    <d v="2026-08-23T08:52:00"/>
    <x v="3"/>
    <s v="Iqra Basit"/>
    <s v="Islamabad"/>
    <s v="Portal"/>
    <s v="Refund Request"/>
    <s v="Medium"/>
    <n v="24"/>
    <s v="Resolved"/>
    <d v="2026-08-25T17:04:00"/>
    <s v="No"/>
    <n v="3"/>
    <s v="Escalated To Senior Agent"/>
    <n v="56.200000000011642"/>
  </r>
  <r>
    <s v="TCK-23197"/>
    <d v="2026-01-17T17:33:00"/>
    <x v="1"/>
    <s v="Ayaan Khalid"/>
    <s v="Peshawar"/>
    <s v="Email"/>
    <s v="General Inquiry"/>
    <s v="Low"/>
    <n v="48"/>
    <s v="Resolved"/>
    <d v="2026-01-17T23:16:00"/>
    <s v="No"/>
    <m/>
    <s v="Required Follow-Up Call"/>
    <n v="5.716666666790843"/>
  </r>
  <r>
    <s v="TCK-22497"/>
    <d v="2026-07-17T13:12:00"/>
    <x v="1"/>
    <s v="Zara Hussain"/>
    <s v="Lahore"/>
    <s v="Phone"/>
    <s v="Technical Issue"/>
    <s v="High"/>
    <n v="8"/>
    <s v="Escalated"/>
    <s v="Missing Resolve Date"/>
    <s v="Yes"/>
    <m/>
    <s v="Resolved On First Contact"/>
    <s v=""/>
  </r>
  <r>
    <s v="TCK-20661"/>
    <d v="2026-06-03T18:16:00"/>
    <x v="3"/>
    <s v="Talha Nadeem"/>
    <s v="Multan"/>
    <s v="Chat"/>
    <s v="Refund Request"/>
    <s v="Medium"/>
    <n v="24"/>
    <s v="Closed"/>
    <d v="2026-06-06T10:59:00"/>
    <s v="No"/>
    <m/>
    <s v="Technical Issue Resolved Remotely"/>
    <n v="64.716666666674428"/>
  </r>
  <r>
    <s v="TCK-20337"/>
    <d v="2026-07-22T00:30:00"/>
    <x v="1"/>
    <s v="Ayaan Khalid"/>
    <s v="Peshawar"/>
    <s v="Phone"/>
    <s v="Account Access"/>
    <s v="High"/>
    <n v="8"/>
    <s v="Resolved"/>
    <d v="2026-07-22T01:57:00"/>
    <s v="No"/>
    <m/>
    <s v="Required Follow-Up Call"/>
    <n v="1.4500000000116415"/>
  </r>
  <r>
    <s v="TCK-22680"/>
    <d v="2026-04-04T23:09:00"/>
    <x v="1"/>
    <s v="Ayaan Khalid"/>
    <s v="Islamabad"/>
    <s v="Chat"/>
    <s v="General Inquiry"/>
    <s v="Low"/>
    <n v="48"/>
    <s v="Resolved"/>
    <d v="2026-04-06T04:34:00"/>
    <s v="No"/>
    <n v="5"/>
    <s v="Awaiting Customer Response"/>
    <n v="29.416666666686069"/>
  </r>
  <r>
    <s v="TCK-23101"/>
    <d v="2026-06-02T18:39:00"/>
    <x v="2"/>
    <s v="Bilal Chaudhry"/>
    <s v="Rawalpindi"/>
    <s v="Phone"/>
    <s v="Refund Request"/>
    <s v="Low"/>
    <n v="48"/>
    <s v="Escalated"/>
    <s v="Missing Resolve Date"/>
    <s v="Yes"/>
    <m/>
    <s v="Not Specified"/>
    <s v=""/>
  </r>
  <r>
    <s v="TCK-21559"/>
    <d v="2026-05-02T23:13:00"/>
    <x v="3"/>
    <s v="Iqra Basit"/>
    <s v="Rawalpindi"/>
    <s v="Phone"/>
    <s v="Billing Issue"/>
    <s v="Medium"/>
    <n v="24"/>
    <s v="Resolved"/>
    <d v="2026-05-04T15:43:00"/>
    <s v="No"/>
    <n v="1"/>
    <s v="Not Specified"/>
    <n v="40.5"/>
  </r>
  <r>
    <s v="TCK-20471"/>
    <d v="2026-01-11T22:04:00"/>
    <x v="1"/>
    <s v="Ayaan Khalid"/>
    <s v="Islamabad"/>
    <s v="Portal"/>
    <s v="Technical Issue"/>
    <s v="Low"/>
    <n v="48"/>
    <s v="Closed"/>
    <d v="2026-01-12T13:54:00"/>
    <s v="No"/>
    <m/>
    <s v="Repeat Issue From Same Customer"/>
    <n v="15.833333333430346"/>
  </r>
  <r>
    <s v="TCK-22531"/>
    <d v="2026-06-12T22:08:00"/>
    <x v="3"/>
    <s v="Iqra Basit"/>
    <s v="Multan"/>
    <s v="Phone"/>
    <s v="Refund Request"/>
    <s v="High"/>
    <n v="8"/>
    <s v="Closed"/>
    <d v="2026-06-13T03:30:00"/>
    <s v="No"/>
    <m/>
    <s v="Customer Satisfied With Resolution"/>
    <n v="5.3666666666977108"/>
  </r>
  <r>
    <s v="TCK-21951"/>
    <d v="2026-08-05T20:38:00"/>
    <x v="2"/>
    <s v="Mahnoor Aslam"/>
    <s v="Islamabad"/>
    <s v="Email"/>
    <s v="Delivery Delay"/>
    <s v="Low"/>
    <n v="48"/>
    <s v="Re-Opened"/>
    <s v="Missing Resolve Date"/>
    <s v="No"/>
    <m/>
    <s v="Escalated To Senior Agent"/>
    <s v=""/>
  </r>
  <r>
    <s v="TCK-20153"/>
    <d v="2026-01-13T04:43:00"/>
    <x v="0"/>
    <s v="Sadia Anwar"/>
    <s v="Multan"/>
    <s v="Portal"/>
    <s v="Delivery Delay"/>
    <s v="Critical"/>
    <n v="4"/>
    <s v="Escalated"/>
    <s v="Missing Resolve Date"/>
    <s v="Yes"/>
    <m/>
    <s v="Customer Requested Refund"/>
    <s v=""/>
  </r>
  <r>
    <s v="TCK-21832"/>
    <d v="2026-01-25T21:37:00"/>
    <x v="2"/>
    <s v="Mahnoor Aslam"/>
    <s v="Faisalabad"/>
    <s v="Phone"/>
    <s v="General Inquiry"/>
    <s v="Critical"/>
    <n v="4"/>
    <s v="Closed"/>
    <d v="2026-01-26T01:03:00"/>
    <s v="No"/>
    <n v="4"/>
    <s v="Repeat Issue From Same Customer"/>
    <n v="3.4333333333488554"/>
  </r>
  <r>
    <s v="TCK-20819"/>
    <d v="2026-04-04T17:17:00"/>
    <x v="3"/>
    <s v="Iqra Basit"/>
    <s v="Rawalpindi"/>
    <s v="Email"/>
    <s v="Refund Request"/>
    <s v="Medium"/>
    <n v="24"/>
    <s v="In Progress"/>
    <s v="Missing Resolve Date"/>
    <s v="No"/>
    <m/>
    <s v="Required Follow-Up Call"/>
    <s v=""/>
  </r>
  <r>
    <s v="TCK-21354"/>
    <d v="2026-04-02T00:39:00"/>
    <x v="0"/>
    <s v="Sadia Anwar"/>
    <s v="Peshawar"/>
    <s v="Email"/>
    <s v="General Inquiry"/>
    <s v="Low"/>
    <n v="48"/>
    <s v="Resolved"/>
    <d v="2026-04-02T19:46:00"/>
    <s v="No"/>
    <n v="5"/>
    <s v="Customer Satisfied With Resolution"/>
    <n v="19.116666666639503"/>
  </r>
  <r>
    <s v="TCK-22693"/>
    <d v="2026-08-23T14:04:00"/>
    <x v="2"/>
    <s v="Mahnoor Aslam"/>
    <s v="Karachi"/>
    <s v="Portal"/>
    <s v="General Inquiry"/>
    <s v="Critical"/>
    <n v="4"/>
    <s v="Closed"/>
    <d v="2026-08-23T15:57:00"/>
    <s v="No"/>
    <m/>
    <s v="Technical Issue Resolved Remotely"/>
    <n v="1.8833333333604969"/>
  </r>
  <r>
    <s v="TCK-20308"/>
    <d v="2026-03-14T23:22:00"/>
    <x v="2"/>
    <s v="Mahnoor Aslam"/>
    <s v="Multan"/>
    <s v="Phone"/>
    <s v="Refund Request"/>
    <s v="Medium"/>
    <n v="24"/>
    <s v="Resolved"/>
    <d v="2026-03-15T20:51:00"/>
    <s v="No"/>
    <n v="2"/>
    <s v="Resolved On First Contact"/>
    <n v="21.483333333337214"/>
  </r>
  <r>
    <s v="TCK-21531"/>
    <d v="2026-05-20T21:21:00"/>
    <x v="1"/>
    <s v="Ayaan Khalid"/>
    <s v="Rawalpindi"/>
    <s v="Portal"/>
    <s v="Delivery Delay"/>
    <s v="High"/>
    <n v="8"/>
    <s v="Resolved"/>
    <d v="2026-05-21T03:50:00"/>
    <s v="No"/>
    <n v="5"/>
    <s v="Not Specified"/>
    <n v="6.4833333333372138"/>
  </r>
  <r>
    <s v="TCK-22127"/>
    <d v="2026-02-19T10:40:00"/>
    <x v="2"/>
    <s v="Bilal Chaudhry"/>
    <s v="Lahore"/>
    <s v="Email"/>
    <s v="Delivery Delay"/>
    <s v="Low"/>
    <n v="48"/>
    <s v="Closed"/>
    <d v="2026-02-24T15:03:00"/>
    <s v="No"/>
    <n v="5"/>
    <s v="Resolved On First Contact"/>
    <n v="124.38333333330229"/>
  </r>
  <r>
    <s v="TCK-20047"/>
    <d v="2026-04-01T04:20:00"/>
    <x v="3"/>
    <s v="Iqra Basit"/>
    <s v="Rawalpindi"/>
    <s v="Phone"/>
    <s v="Refund Request"/>
    <s v="High"/>
    <n v="8"/>
    <s v="Re-Opened"/>
    <d v="2026-04-01T08:10:00"/>
    <s v="No"/>
    <m/>
    <s v="Awaiting Customer Response"/>
    <n v="3.8333333334303461"/>
  </r>
  <r>
    <s v="TCK-20870"/>
    <d v="2026-07-31T02:54:00"/>
    <x v="0"/>
    <s v="Sadia Anwar"/>
    <s v="Rawalpindi"/>
    <s v="Chat"/>
    <s v="Delivery Delay"/>
    <s v="Low"/>
    <n v="48"/>
    <s v="Escalated"/>
    <s v="Missing Resolve Date"/>
    <s v="Yes"/>
    <m/>
    <s v="Technical Issue Resolved Remotely"/>
    <s v=""/>
  </r>
  <r>
    <s v="TCK-21137"/>
    <d v="2026-01-13T06:14:00"/>
    <x v="3"/>
    <s v="Iqra Basit"/>
    <s v="Multan"/>
    <s v="Chat"/>
    <s v="General Inquiry"/>
    <s v="Critical"/>
    <n v="4"/>
    <s v="Resolved"/>
    <d v="2026-01-13T07:03:00"/>
    <s v="No"/>
    <n v="4"/>
    <s v="Required Follow-Up Call"/>
    <n v="0.8166666665347293"/>
  </r>
  <r>
    <s v="TCK-22059"/>
    <d v="2026-05-29T10:00:00"/>
    <x v="3"/>
    <s v="Iqra Basit"/>
    <s v="Karachi"/>
    <s v="Phone"/>
    <s v="Refund Request"/>
    <s v="Medium"/>
    <n v="24"/>
    <s v="Closed"/>
    <d v="2026-05-30T05:24:00"/>
    <s v="No"/>
    <n v="1"/>
    <s v="Customer Requested Refund"/>
    <n v="19.400000000023283"/>
  </r>
  <r>
    <s v="TCK-20949"/>
    <d v="2026-08-17T21:30:00"/>
    <x v="0"/>
    <s v="Rehan Qureshi"/>
    <s v="Karachi"/>
    <s v="Phone"/>
    <s v="Refund Request"/>
    <s v="Medium"/>
    <n v="24"/>
    <s v="Resolved"/>
    <d v="2026-08-18T03:42:00"/>
    <s v="No"/>
    <n v="1"/>
    <s v="Resolved On First Contact"/>
    <n v="6.1999999999534339"/>
  </r>
  <r>
    <s v="TCK-21283"/>
    <d v="2026-02-26T17:55:00"/>
    <x v="0"/>
    <s v="Rehan Qureshi"/>
    <s v="Rawalpindi"/>
    <s v="Email"/>
    <s v="Delivery Delay"/>
    <s v="Low"/>
    <n v="48"/>
    <s v="Closed"/>
    <d v="2026-02-27T03:22:00"/>
    <s v="No"/>
    <m/>
    <s v="Technical Issue Resolved Remotely"/>
    <n v="9.4499999998952262"/>
  </r>
  <r>
    <s v="TCK-21239"/>
    <d v="2026-02-09T11:24:00"/>
    <x v="1"/>
    <s v="Zara Hussain"/>
    <s v="Lahore"/>
    <s v="Email"/>
    <s v="Delivery Delay"/>
    <s v="High"/>
    <n v="8"/>
    <s v="Closed"/>
    <d v="2026-02-09T15:46:00"/>
    <s v="No"/>
    <n v="5"/>
    <s v="Customer Requested Refund"/>
    <n v="4.3666666667559184"/>
  </r>
  <r>
    <s v="TCK-21435"/>
    <d v="2026-06-12T16:14:00"/>
    <x v="0"/>
    <s v="Sadia Anwar"/>
    <s v="Peshawar"/>
    <s v="Portal"/>
    <s v="Account Access"/>
    <s v="High"/>
    <n v="8"/>
    <s v="Closed"/>
    <d v="2026-06-12T18:42:00"/>
    <s v="No"/>
    <m/>
    <s v="Escalated To Senior Agent"/>
    <n v="2.4666666666744277"/>
  </r>
  <r>
    <s v="TCK-22382"/>
    <d v="2026-08-13T04:26:00"/>
    <x v="3"/>
    <s v="Iqra Basit"/>
    <s v="Faisalabad"/>
    <s v="Portal"/>
    <s v="Technical Issue"/>
    <s v="Low"/>
    <n v="48"/>
    <s v="Escalated"/>
    <s v="Missing Resolve Date"/>
    <s v="Yes"/>
    <m/>
    <s v="Not Specified"/>
    <s v=""/>
  </r>
  <r>
    <s v="TCK-20430"/>
    <d v="2026-08-12T12:10:00"/>
    <x v="1"/>
    <s v="Zara Hussain"/>
    <s v="Faisalabad"/>
    <s v="Portal"/>
    <s v="Delivery Delay"/>
    <s v="Low"/>
    <n v="48"/>
    <s v="In Progress"/>
    <s v="Missing Resolve Date"/>
    <s v="No"/>
    <m/>
    <s v="Awaiting Customer Response"/>
    <s v=""/>
  </r>
  <r>
    <s v="TCK-20568"/>
    <d v="2026-05-10T15:06:00"/>
    <x v="2"/>
    <s v="Mahnoor Aslam"/>
    <s v="Rawalpindi"/>
    <s v="Portal"/>
    <s v="Billing Issue"/>
    <s v="High"/>
    <n v="8"/>
    <s v="In Progress"/>
    <s v="Missing Resolve Date"/>
    <s v="No"/>
    <m/>
    <s v="Customer Satisfied With Resolution"/>
    <s v=""/>
  </r>
  <r>
    <s v="TCK-22196"/>
    <d v="2026-05-28T03:16:00"/>
    <x v="0"/>
    <s v="Sadia Anwar"/>
    <s v="Multan"/>
    <s v="Chat"/>
    <s v="General Inquiry"/>
    <s v="Low"/>
    <n v="48"/>
    <s v="Resolved"/>
    <d v="2026-05-29T10:36:00"/>
    <s v="No"/>
    <m/>
    <s v="Escalated To Senior Agent"/>
    <n v="31.333333333313931"/>
  </r>
  <r>
    <s v="TCK-22111"/>
    <d v="2026-07-04T16:28:00"/>
    <x v="2"/>
    <s v="Bilal Chaudhry"/>
    <s v="Faisalabad"/>
    <s v="Chat"/>
    <s v="Billing Issue"/>
    <s v="Medium"/>
    <n v="24"/>
    <s v="Resolved"/>
    <d v="2026-07-05T00:45:00"/>
    <s v="No"/>
    <n v="5"/>
    <s v="Technical Issue Resolved Remotely"/>
    <n v="8.2833333332673647"/>
  </r>
  <r>
    <s v="TCK-23173"/>
    <d v="2026-02-25T22:35:00"/>
    <x v="1"/>
    <s v="Ayaan Khalid"/>
    <s v="Peshawar"/>
    <s v="Phone"/>
    <s v="General Inquiry"/>
    <s v="Medium"/>
    <n v="24"/>
    <s v="Closed"/>
    <d v="2026-02-25T23:28:00"/>
    <s v="No"/>
    <n v="1"/>
    <s v="Not Specified"/>
    <n v="0.88333333341870457"/>
  </r>
  <r>
    <s v="TCK-21923"/>
    <d v="2026-04-19T07:51:00"/>
    <x v="3"/>
    <s v="Iqra Basit"/>
    <s v="Rawalpindi"/>
    <s v="Portal"/>
    <s v="General Inquiry"/>
    <s v="Critical"/>
    <n v="4"/>
    <s v="In Progress"/>
    <s v="Missing Resolve Date"/>
    <s v="No"/>
    <m/>
    <s v="Repeat Issue From Same Customer"/>
    <s v=""/>
  </r>
  <r>
    <s v="TCK-20215"/>
    <d v="2026-04-21T01:05:00"/>
    <x v="3"/>
    <s v="Talha Nadeem"/>
    <s v="Lahore"/>
    <s v="Portal"/>
    <s v="Billing Issue"/>
    <s v="Medium"/>
    <n v="24"/>
    <s v="Resolved"/>
    <d v="2026-04-22T14:30:00"/>
    <s v="No"/>
    <n v="5"/>
    <s v="Resolved On First Contact"/>
    <n v="37.416666666569654"/>
  </r>
  <r>
    <s v="TCK-21716"/>
    <d v="2026-05-14T14:16:00"/>
    <x v="2"/>
    <s v="Mahnoor Aslam"/>
    <s v="Rawalpindi"/>
    <s v="Phone"/>
    <s v="Refund Request"/>
    <s v="Low"/>
    <n v="48"/>
    <s v="Resolved"/>
    <d v="2026-05-19T09:38:00"/>
    <s v="No"/>
    <n v="5"/>
    <s v="Technical Issue Resolved Remotely"/>
    <n v="115.3666666665813"/>
  </r>
  <r>
    <s v="TCK-20988"/>
    <d v="2026-03-20T06:30:00"/>
    <x v="2"/>
    <s v="Mahnoor Aslam"/>
    <s v="Multan"/>
    <s v="Email"/>
    <s v="Refund Request"/>
    <s v="High"/>
    <n v="8"/>
    <s v="Escalated"/>
    <s v="Missing Resolve Date"/>
    <s v="Yes"/>
    <m/>
    <s v="Repeat Issue From Same Customer"/>
    <s v=""/>
  </r>
  <r>
    <s v="TCK-22012"/>
    <d v="2026-05-18T05:51:00"/>
    <x v="3"/>
    <s v="Iqra Basit"/>
    <s v="Lahore"/>
    <s v="Chat"/>
    <s v="Billing Issue"/>
    <s v="Low"/>
    <n v="48"/>
    <s v="Resolved"/>
    <d v="2026-05-19T10:00:00"/>
    <s v="No"/>
    <n v="5"/>
    <s v="Customer Requested Refund"/>
    <n v="28.149999999906868"/>
  </r>
  <r>
    <s v="TCK-21403"/>
    <d v="2026-08-23T16:41:00"/>
    <x v="2"/>
    <s v="Bilal Chaudhry"/>
    <s v="Karachi"/>
    <s v="Portal"/>
    <s v="Account Access"/>
    <s v="Medium"/>
    <n v="24"/>
    <s v="In Progress"/>
    <s v="Missing Resolve Date"/>
    <s v="No"/>
    <m/>
    <s v="Resolved On First Contact"/>
    <s v=""/>
  </r>
  <r>
    <s v="TCK-22869"/>
    <d v="2026-05-11T12:49:00"/>
    <x v="3"/>
    <s v="Iqra Basit"/>
    <s v="Faisalabad"/>
    <s v="Email"/>
    <s v="Delivery Delay"/>
    <s v="Medium"/>
    <n v="24"/>
    <s v="Open"/>
    <s v="Missing Resolve Date"/>
    <s v="No"/>
    <m/>
    <s v="Repeat Issue From Same Customer"/>
    <s v=""/>
  </r>
  <r>
    <s v="TCK-21614"/>
    <d v="2026-01-14T04:48:00"/>
    <x v="1"/>
    <s v="Ayaan Khalid"/>
    <s v="Peshawar"/>
    <s v="Portal"/>
    <s v="Account Access"/>
    <s v="Critical"/>
    <n v="4"/>
    <s v="Resolved"/>
    <d v="2026-01-14T07:08:00"/>
    <s v="No"/>
    <n v="5"/>
    <s v="Not Specified"/>
    <n v="2.3333333334303461"/>
  </r>
  <r>
    <s v="TCK-21495"/>
    <d v="2026-07-04T14:32:00"/>
    <x v="1"/>
    <s v="Zara Hussain"/>
    <s v="Lahore"/>
    <s v="Email"/>
    <s v="Technical Issue"/>
    <s v="Low"/>
    <n v="48"/>
    <s v="Closed"/>
    <d v="2026-07-08T13:03:00"/>
    <s v="No"/>
    <n v="4"/>
    <s v="Customer Satisfied With Resolution"/>
    <n v="94.516666666546371"/>
  </r>
  <r>
    <s v="TCK-20571"/>
    <d v="2026-04-24T08:41:00"/>
    <x v="0"/>
    <s v="Rehan Qureshi"/>
    <s v="Lahore"/>
    <s v="Email"/>
    <s v="Billing Issue"/>
    <s v="Critical"/>
    <n v="4"/>
    <s v="Resolved"/>
    <d v="2026-04-24T11:07:00"/>
    <s v="Yes"/>
    <n v="2"/>
    <s v="Required Follow-Up Call"/>
    <n v="2.4333333332324401"/>
  </r>
  <r>
    <s v="TCK-22118"/>
    <d v="2026-05-31T08:04:00"/>
    <x v="0"/>
    <s v="Sadia Anwar"/>
    <s v="Lahore"/>
    <s v="Portal"/>
    <s v="Account Access"/>
    <s v="Low"/>
    <n v="48"/>
    <s v="In Progress"/>
    <s v="Missing Resolve Date"/>
    <s v="No"/>
    <m/>
    <s v="Awaiting Customer Response"/>
    <s v=""/>
  </r>
  <r>
    <s v="TCK-22706"/>
    <d v="2026-08-01T02:44:00"/>
    <x v="2"/>
    <s v="Bilal Chaudhry"/>
    <s v="Peshawar"/>
    <s v="Chat"/>
    <s v="General Inquiry"/>
    <s v="Critical"/>
    <n v="4"/>
    <s v="Resolved"/>
    <d v="2026-08-01T04:14:00"/>
    <s v="Yes"/>
    <n v="5"/>
    <s v="Technical Issue Resolved Remotely"/>
    <n v="1.5"/>
  </r>
  <r>
    <s v="TCK-20172"/>
    <d v="2026-03-19T10:56:00"/>
    <x v="1"/>
    <s v="Zara Hussain"/>
    <s v="Islamabad"/>
    <s v="Portal"/>
    <s v="Refund Request"/>
    <s v="High"/>
    <n v="8"/>
    <s v="Resolved"/>
    <d v="2026-03-20T03:06:00"/>
    <s v="No"/>
    <n v="1"/>
    <s v="Repeat Issue From Same Customer"/>
    <n v="16.166666666627862"/>
  </r>
  <r>
    <s v="TCK-22052"/>
    <d v="2026-04-17T18:07:00"/>
    <x v="1"/>
    <s v="Zara Hussain"/>
    <s v="Lahore"/>
    <s v="Chat"/>
    <s v="Billing Issue"/>
    <s v="Low"/>
    <n v="48"/>
    <s v="Resolved"/>
    <d v="2026-04-18T07:17:00"/>
    <s v="No"/>
    <n v="5"/>
    <s v="Technical Issue Resolved Remotely"/>
    <n v="13.166666666627862"/>
  </r>
  <r>
    <s v="TCK-23088"/>
    <d v="2026-06-28T17:59:00"/>
    <x v="3"/>
    <s v="Iqra Basit"/>
    <s v="Peshawar"/>
    <s v="Chat"/>
    <s v="General Inquiry"/>
    <s v="Low"/>
    <n v="48"/>
    <s v="Open"/>
    <s v="Missing Resolve Date"/>
    <s v="No"/>
    <m/>
    <s v="Awaiting Customer Response"/>
    <s v=""/>
  </r>
  <r>
    <s v="TCK-20029"/>
    <d v="2026-08-06T13:06:00"/>
    <x v="1"/>
    <s v="Zara Hussain"/>
    <s v="Karachi"/>
    <s v="Portal"/>
    <s v="Account Access"/>
    <s v="High"/>
    <n v="8"/>
    <s v="Closed"/>
    <d v="2026-08-06T19:55:00"/>
    <s v="No"/>
    <n v="4"/>
    <s v="Technical Issue Resolved Remotely"/>
    <n v="6.8166666667093523"/>
  </r>
  <r>
    <s v="TCK-20019"/>
    <d v="2026-03-02T06:48:00"/>
    <x v="0"/>
    <s v="Rehan Qureshi"/>
    <s v="Islamabad"/>
    <s v="Phone"/>
    <s v="Refund Request"/>
    <s v="Low"/>
    <n v="48"/>
    <s v="Resolved"/>
    <d v="2026-03-03T06:42:00"/>
    <s v="No"/>
    <n v="3"/>
    <s v="Awaiting Customer Response"/>
    <n v="23.900000000023283"/>
  </r>
  <r>
    <s v="TCK-22852"/>
    <d v="2026-08-20T20:59:00"/>
    <x v="1"/>
    <s v="Zara Hussain"/>
    <s v="Rawalpindi"/>
    <s v="Chat"/>
    <s v="Technical Issue"/>
    <s v="High"/>
    <n v="8"/>
    <s v="In Progress"/>
    <s v="Missing Resolve Date"/>
    <s v="No"/>
    <m/>
    <s v="Repeat Issue From Same Customer"/>
    <s v=""/>
  </r>
  <r>
    <s v="TCK-22507"/>
    <d v="2026-03-17T14:51:00"/>
    <x v="3"/>
    <s v="Iqra Basit"/>
    <s v="Peshawar"/>
    <s v="Chat"/>
    <s v="Delivery Delay"/>
    <s v="Medium"/>
    <n v="24"/>
    <s v="Resolved"/>
    <d v="2026-03-18T03:19:00"/>
    <s v="No"/>
    <n v="5"/>
    <s v="Not Specified"/>
    <n v="12.46666666661622"/>
  </r>
  <r>
    <s v="TCK-21109"/>
    <d v="2026-08-20T23:06:00"/>
    <x v="0"/>
    <s v="Sadia Anwar"/>
    <s v="Karachi"/>
    <s v="Email"/>
    <s v="Technical Issue"/>
    <s v="Medium"/>
    <n v="24"/>
    <s v="Resolved"/>
    <d v="2026-08-21T20:07:00"/>
    <s v="No"/>
    <m/>
    <s v="Resolved On First Contact"/>
    <n v="21.016666666546371"/>
  </r>
  <r>
    <s v="TCK-20076"/>
    <d v="2026-03-18T14:14:00"/>
    <x v="1"/>
    <s v="Zara Hussain"/>
    <s v="Faisalabad"/>
    <s v="Portal"/>
    <s v="Account Access"/>
    <s v="High"/>
    <n v="8"/>
    <s v="Resolved"/>
    <d v="2026-03-18T16:29:00"/>
    <s v="Yes"/>
    <m/>
    <s v="Customer Satisfied With Resolution"/>
    <n v="2.25"/>
  </r>
  <r>
    <s v="TCK-23133"/>
    <d v="2026-05-01T02:32:00"/>
    <x v="1"/>
    <s v="Zara Hussain"/>
    <s v="Peshawar"/>
    <s v="Portal"/>
    <s v="General Inquiry"/>
    <s v="Medium"/>
    <n v="24"/>
    <s v="Closed"/>
    <d v="2026-05-01T11:28:00"/>
    <s v="No"/>
    <m/>
    <s v="Repeat Issue From Same Customer"/>
    <n v="8.9333333332906477"/>
  </r>
  <r>
    <s v="TCK-20919"/>
    <d v="2026-08-10T08:49:00"/>
    <x v="2"/>
    <s v="Mahnoor Aslam"/>
    <s v="Islamabad"/>
    <s v="Phone"/>
    <s v="Technical Issue"/>
    <s v="High"/>
    <n v="8"/>
    <s v="Closed"/>
    <d v="2026-08-10T15:15:00"/>
    <s v="No"/>
    <m/>
    <s v="Not Specified"/>
    <n v="6.4333333333488554"/>
  </r>
  <r>
    <s v="TCK-21563"/>
    <d v="2026-05-09T11:20:00"/>
    <x v="2"/>
    <s v="Mahnoor Aslam"/>
    <s v="Peshawar"/>
    <s v="Phone"/>
    <s v="General Inquiry"/>
    <s v="High"/>
    <n v="8"/>
    <s v="Closed"/>
    <d v="2026-05-09T16:51:00"/>
    <s v="No"/>
    <n v="2"/>
    <s v="Not Specified"/>
    <n v="5.5166666666627862"/>
  </r>
  <r>
    <s v="TCK-21240"/>
    <d v="2026-05-28T11:13:00"/>
    <x v="2"/>
    <s v="Bilal Chaudhry"/>
    <s v="Lahore"/>
    <s v="Phone"/>
    <s v="Delivery Delay"/>
    <s v="High"/>
    <n v="8"/>
    <s v="Closed"/>
    <d v="2026-05-28T13:31:00"/>
    <s v="No"/>
    <m/>
    <s v="Not Specified"/>
    <n v="2.2999999999883585"/>
  </r>
  <r>
    <s v="TCK-21905"/>
    <d v="2026-04-21T00:23:00"/>
    <x v="2"/>
    <s v="Bilal Chaudhry"/>
    <s v="Multan"/>
    <s v="Chat"/>
    <s v="Delivery Delay"/>
    <s v="Medium"/>
    <n v="24"/>
    <s v="In Progress"/>
    <s v="Missing Resolve Date"/>
    <s v="No"/>
    <m/>
    <s v="Repeat Issue From Same Customer"/>
    <s v=""/>
  </r>
  <r>
    <s v="TCK-22979"/>
    <d v="2026-08-15T02:06:00"/>
    <x v="0"/>
    <s v="Rehan Qureshi"/>
    <s v="Lahore"/>
    <s v="Chat"/>
    <s v="Delivery Delay"/>
    <s v="High"/>
    <n v="8"/>
    <s v="Resolved"/>
    <d v="2026-08-15T08:23:00"/>
    <s v="Yes"/>
    <n v="5"/>
    <s v="Not Specified"/>
    <n v="6.28333333338378"/>
  </r>
  <r>
    <s v="TCK-21720"/>
    <d v="2026-06-13T12:29:00"/>
    <x v="1"/>
    <s v="Ayaan Khalid"/>
    <s v="Faisalabad"/>
    <s v="Phone"/>
    <s v="General Inquiry"/>
    <s v="Low"/>
    <n v="48"/>
    <s v="Open"/>
    <s v="Missing Resolve Date"/>
    <s v="No"/>
    <m/>
    <s v="Resolved On First Contact"/>
    <s v=""/>
  </r>
  <r>
    <s v="TCK-22360"/>
    <d v="2026-01-08T00:41:00"/>
    <x v="2"/>
    <s v="Bilal Chaudhry"/>
    <s v="Lahore"/>
    <s v="Email"/>
    <s v="Delivery Delay"/>
    <s v="Medium"/>
    <n v="24"/>
    <s v="Resolved"/>
    <d v="2026-01-08T02:56:00"/>
    <s v="Yes"/>
    <n v="5"/>
    <s v="Escalated To Senior Agent"/>
    <n v="2.25"/>
  </r>
  <r>
    <s v="TCK-21024"/>
    <d v="2026-03-08T13:08:00"/>
    <x v="0"/>
    <s v="Rehan Qureshi"/>
    <s v="Rawalpindi"/>
    <s v="Email"/>
    <s v="Technical Issue"/>
    <s v="Medium"/>
    <n v="24"/>
    <s v="Resolved"/>
    <d v="2026-03-11T11:42:00"/>
    <s v="No"/>
    <m/>
    <s v="Repeat Issue From Same Customer"/>
    <n v="70.566666666709352"/>
  </r>
  <r>
    <s v="TCK-22251"/>
    <d v="2026-08-16T15:11:00"/>
    <x v="0"/>
    <s v="Rehan Qureshi"/>
    <s v="Lahore"/>
    <s v="Email"/>
    <s v="Refund Request"/>
    <s v="Low"/>
    <n v="48"/>
    <s v="Resolved"/>
    <d v="2026-08-17T06:15:00"/>
    <s v="No"/>
    <n v="4"/>
    <s v="Technical Issue Resolved Remotely"/>
    <n v="15.066666666534729"/>
  </r>
  <r>
    <s v="TCK-21360"/>
    <d v="2026-05-09T11:56:00"/>
    <x v="3"/>
    <s v="Iqra Basit"/>
    <s v="Peshawar"/>
    <s v="Portal"/>
    <s v="General Inquiry"/>
    <s v="High"/>
    <n v="8"/>
    <s v="Re-Opened"/>
    <d v="2026-05-09T17:04:00"/>
    <s v="No"/>
    <m/>
    <s v="Customer Requested Refund"/>
    <n v="5.1333333333022892"/>
  </r>
  <r>
    <s v="TCK-20315"/>
    <d v="2026-06-20T09:05:00"/>
    <x v="2"/>
    <s v="Mahnoor Aslam"/>
    <s v="Lahore"/>
    <s v="Portal"/>
    <s v="General Inquiry"/>
    <s v="Medium"/>
    <n v="24"/>
    <s v="Resolved"/>
    <d v="2026-06-21T02:20:00"/>
    <s v="No"/>
    <m/>
    <s v="Not Specified"/>
    <n v="17.25"/>
  </r>
  <r>
    <s v="TCK-21329"/>
    <d v="2026-07-07T21:20:00"/>
    <x v="0"/>
    <s v="Rehan Qureshi"/>
    <s v="Peshawar"/>
    <s v="Email"/>
    <s v="Delivery Delay"/>
    <s v="Low"/>
    <n v="48"/>
    <s v="Open"/>
    <s v="Missing Resolve Date"/>
    <s v="No"/>
    <m/>
    <s v="Not Specified"/>
    <s v=""/>
  </r>
  <r>
    <s v="TCK-21496"/>
    <d v="2026-03-04T14:42:00"/>
    <x v="1"/>
    <s v="Ayaan Khalid"/>
    <s v="Islamabad"/>
    <s v="Chat"/>
    <s v="Account Access"/>
    <s v="Medium"/>
    <n v="24"/>
    <s v="In Progress"/>
    <s v="Missing Resolve Date"/>
    <s v="No"/>
    <m/>
    <s v="Customer Satisfied With Resolution"/>
    <s v=""/>
  </r>
  <r>
    <s v="TCK-20108"/>
    <d v="2026-08-24T05:50:00"/>
    <x v="1"/>
    <s v="Ayaan Khalid"/>
    <s v="Karachi"/>
    <s v="Phone"/>
    <s v="General Inquiry"/>
    <s v="High"/>
    <n v="8"/>
    <s v="Resolved"/>
    <d v="2026-08-25T00:34:00"/>
    <s v="No"/>
    <m/>
    <s v="Technical Issue Resolved Remotely"/>
    <n v="18.733333333279006"/>
  </r>
  <r>
    <s v="TCK-21446"/>
    <d v="2026-06-08T02:36:00"/>
    <x v="1"/>
    <s v="Ayaan Khalid"/>
    <s v="Peshawar"/>
    <s v="Portal"/>
    <s v="General Inquiry"/>
    <s v="Low"/>
    <n v="48"/>
    <s v="Closed"/>
    <d v="2026-06-12T14:58:00"/>
    <s v="No"/>
    <m/>
    <s v="Customer Requested Refund"/>
    <n v="108.36666666681413"/>
  </r>
  <r>
    <s v="TCK-20528"/>
    <d v="2026-07-31T07:28:00"/>
    <x v="3"/>
    <s v="Iqra Basit"/>
    <s v="Faisalabad"/>
    <s v="Portal"/>
    <s v="General Inquiry"/>
    <s v="Low"/>
    <n v="48"/>
    <s v="Open"/>
    <s v="Missing Resolve Date"/>
    <s v="No"/>
    <m/>
    <s v="Customer Requested Refund"/>
    <s v=""/>
  </r>
  <r>
    <s v="TCK-22218"/>
    <d v="2026-08-08T08:12:00"/>
    <x v="3"/>
    <s v="Talha Nadeem"/>
    <s v="Peshawar"/>
    <s v="Portal"/>
    <s v="Billing Issue"/>
    <s v="High"/>
    <n v="8"/>
    <s v="Closed"/>
    <d v="2026-08-08T14:03:00"/>
    <s v="No"/>
    <n v="1"/>
    <s v="Resolved On First Contact"/>
    <n v="5.8500000000349246"/>
  </r>
  <r>
    <s v="TCK-21461"/>
    <d v="2026-04-04T20:05:00"/>
    <x v="2"/>
    <s v="Bilal Chaudhry"/>
    <s v="Karachi"/>
    <s v="Phone"/>
    <s v="General Inquiry"/>
    <s v="Critical"/>
    <n v="4"/>
    <s v="In Progress"/>
    <s v="Missing Resolve Date"/>
    <s v="No"/>
    <m/>
    <s v="Technical Issue Resolved Remotely"/>
    <s v=""/>
  </r>
  <r>
    <s v="TCK-20331"/>
    <d v="2026-08-13T11:52:00"/>
    <x v="1"/>
    <s v="Ayaan Khalid"/>
    <s v="Faisalabad"/>
    <s v="Email"/>
    <s v="Refund Request"/>
    <s v="High"/>
    <n v="8"/>
    <s v="Closed"/>
    <d v="2026-08-13T17:01:00"/>
    <s v="No"/>
    <n v="1"/>
    <s v="Required Follow-Up Call"/>
    <n v="5.1500000000232831"/>
  </r>
  <r>
    <s v="TCK-21562"/>
    <d v="2026-08-16T09:50:00"/>
    <x v="2"/>
    <s v="Mahnoor Aslam"/>
    <s v="Islamabad"/>
    <s v="Phone"/>
    <s v="Refund Request"/>
    <s v="Medium"/>
    <n v="24"/>
    <s v="Closed"/>
    <d v="2026-08-17T22:12:00"/>
    <s v="Yes"/>
    <n v="5"/>
    <s v="Resolved On First Contact"/>
    <n v="36.366666666814126"/>
  </r>
  <r>
    <s v="TCK-20879"/>
    <d v="2026-07-02T19:38:00"/>
    <x v="3"/>
    <s v="Talha Nadeem"/>
    <s v="Peshawar"/>
    <s v="Phone"/>
    <s v="Refund Request"/>
    <s v="Medium"/>
    <n v="24"/>
    <s v="Closed"/>
    <d v="2026-07-03T16:01:00"/>
    <s v="No"/>
    <n v="5"/>
    <s v="Customer Requested Refund"/>
    <n v="20.383333333244082"/>
  </r>
  <r>
    <s v="TCK-20545"/>
    <d v="2026-04-22T02:18:00"/>
    <x v="0"/>
    <s v="Sadia Anwar"/>
    <s v="Karachi"/>
    <s v="Email"/>
    <s v="Delivery Delay"/>
    <s v="Medium"/>
    <n v="24"/>
    <s v="Resolved"/>
    <d v="2026-04-22T16:24:00"/>
    <s v="No"/>
    <n v="5"/>
    <s v="Awaiting Customer Response"/>
    <n v="14.100000000034925"/>
  </r>
  <r>
    <s v="TCK-20034"/>
    <d v="2026-07-22T00:17:00"/>
    <x v="0"/>
    <s v="Rehan Qureshi"/>
    <s v="Faisalabad"/>
    <s v="Chat"/>
    <s v="General Inquiry"/>
    <s v="High"/>
    <n v="8"/>
    <s v="Resolved"/>
    <d v="2026-07-22T06:02:00"/>
    <s v="No"/>
    <n v="1"/>
    <s v="Customer Requested Refund"/>
    <n v="5.7499999998835847"/>
  </r>
  <r>
    <s v="TCK-22062"/>
    <d v="2026-07-15T20:49:00"/>
    <x v="2"/>
    <s v="Bilal Chaudhry"/>
    <s v="Faisalabad"/>
    <s v="Portal"/>
    <s v="Account Access"/>
    <s v="Low"/>
    <n v="48"/>
    <s v="Escalated"/>
    <s v="Missing Resolve Date"/>
    <s v="Yes"/>
    <m/>
    <s v="Repeat Issue From Same Customer"/>
    <s v=""/>
  </r>
  <r>
    <s v="TCK-22117"/>
    <d v="2026-08-03T05:47:00"/>
    <x v="3"/>
    <s v="Iqra Basit"/>
    <s v="Lahore"/>
    <s v="Email"/>
    <s v="General Inquiry"/>
    <s v="Low"/>
    <n v="48"/>
    <s v="Resolved"/>
    <d v="2026-08-04T01:33:00"/>
    <s v="No"/>
    <m/>
    <s v="Required Follow-Up Call"/>
    <n v="19.766666666662786"/>
  </r>
  <r>
    <s v="TCK-20474"/>
    <d v="2026-01-22T18:42:00"/>
    <x v="1"/>
    <s v="Zara Hussain"/>
    <s v="Peshawar"/>
    <s v="Portal"/>
    <s v="Account Access"/>
    <s v="High"/>
    <n v="8"/>
    <s v="Closed"/>
    <d v="2026-01-22T19:48:00"/>
    <s v="No"/>
    <m/>
    <s v="Awaiting Customer Response"/>
    <n v="1.0999999999185093"/>
  </r>
  <r>
    <s v="TCK-21743"/>
    <d v="2026-07-27T15:36:00"/>
    <x v="1"/>
    <s v="Ayaan Khalid"/>
    <s v="Faisalabad"/>
    <s v="Portal"/>
    <s v="Technical Issue"/>
    <s v="High"/>
    <n v="8"/>
    <s v="Closed"/>
    <d v="2026-07-27T20:07:00"/>
    <s v="No"/>
    <m/>
    <s v="Resolved On First Contact"/>
    <n v="4.5166666665463708"/>
  </r>
  <r>
    <s v="TCK-20632"/>
    <d v="2026-04-07T12:44:00"/>
    <x v="1"/>
    <s v="Zara Hussain"/>
    <s v="Faisalabad"/>
    <s v="Portal"/>
    <s v="Billing Issue"/>
    <s v="Medium"/>
    <n v="24"/>
    <s v="Resolved"/>
    <d v="2026-04-08T09:15:00"/>
    <s v="No"/>
    <n v="4"/>
    <s v="Required Follow-Up Call"/>
    <n v="20.516666666662786"/>
  </r>
  <r>
    <s v="TCK-21644"/>
    <d v="2026-07-14T23:58:00"/>
    <x v="1"/>
    <s v="Ayaan Khalid"/>
    <s v="Karachi"/>
    <s v="Phone"/>
    <s v="Billing Issue"/>
    <s v="Low"/>
    <n v="48"/>
    <s v="Resolved"/>
    <d v="2026-07-15T18:41:00"/>
    <s v="No"/>
    <m/>
    <s v="Escalated To Senior Agent"/>
    <n v="18.716666666558012"/>
  </r>
  <r>
    <s v="TCK-22884"/>
    <d v="2026-01-17T15:18:00"/>
    <x v="0"/>
    <s v="Sadia Anwar"/>
    <s v="Peshawar"/>
    <s v="Chat"/>
    <s v="Billing Issue"/>
    <s v="Critical"/>
    <n v="4"/>
    <s v="Resolved"/>
    <d v="2026-01-17T20:36:00"/>
    <s v="No"/>
    <n v="4"/>
    <s v="Technical Issue Resolved Remotely"/>
    <n v="5.2999999999883585"/>
  </r>
  <r>
    <s v="TCK-22804"/>
    <d v="2026-04-28T06:41:00"/>
    <x v="2"/>
    <s v="Mahnoor Aslam"/>
    <s v="Karachi"/>
    <s v="Phone"/>
    <s v="General Inquiry"/>
    <s v="High"/>
    <n v="8"/>
    <s v="Escalated"/>
    <s v="Missing Resolve Date"/>
    <s v="Yes"/>
    <m/>
    <s v="Customer Satisfied With Resolution"/>
    <s v=""/>
  </r>
  <r>
    <s v="TCK-22654"/>
    <d v="2026-04-24T06:53:00"/>
    <x v="1"/>
    <s v="Zara Hussain"/>
    <s v="Peshawar"/>
    <s v="Phone"/>
    <s v="Billing Issue"/>
    <s v="Low"/>
    <n v="48"/>
    <s v="Closed"/>
    <d v="2026-04-24T12:06:00"/>
    <s v="No"/>
    <n v="4"/>
    <s v="Not Specified"/>
    <n v="5.2166666665580124"/>
  </r>
  <r>
    <s v="TCK-22407"/>
    <d v="2026-05-11T05:49:00"/>
    <x v="0"/>
    <s v="Sadia Anwar"/>
    <s v="Faisalabad"/>
    <s v="Email"/>
    <s v="Account Access"/>
    <s v="Low"/>
    <n v="48"/>
    <s v="Escalated"/>
    <s v="Missing Resolve Date"/>
    <s v="Yes"/>
    <m/>
    <s v="Resolved On First Contact"/>
    <s v=""/>
  </r>
  <r>
    <s v="TCK-23071"/>
    <d v="2026-06-18T10:09:00"/>
    <x v="0"/>
    <s v="Rehan Qureshi"/>
    <s v="Islamabad"/>
    <s v="Phone"/>
    <s v="Refund Request"/>
    <s v="Low"/>
    <n v="48"/>
    <s v="Closed"/>
    <d v="2026-06-19T06:07:00"/>
    <s v="No"/>
    <n v="5"/>
    <s v="Not Specified"/>
    <n v="19.96666666661622"/>
  </r>
  <r>
    <s v="TCK-20708"/>
    <d v="2026-08-19T04:16:00"/>
    <x v="3"/>
    <s v="Iqra Basit"/>
    <s v="Lahore"/>
    <s v="Email"/>
    <s v="General Inquiry"/>
    <s v="Medium"/>
    <n v="24"/>
    <s v="Resolved"/>
    <d v="2026-08-19T06:20:00"/>
    <s v="No"/>
    <n v="4"/>
    <s v="Not Specified"/>
    <n v="2.0666666667675599"/>
  </r>
  <r>
    <s v="TCK-20931"/>
    <d v="2026-04-19T11:03:00"/>
    <x v="1"/>
    <s v="Zara Hussain"/>
    <s v="Faisalabad"/>
    <s v="Phone"/>
    <s v="Refund Request"/>
    <s v="Low"/>
    <n v="48"/>
    <s v="Resolved"/>
    <d v="2026-04-20T20:41:00"/>
    <s v="No"/>
    <n v="4"/>
    <s v="Customer Satisfied With Resolution"/>
    <n v="33.633333333302289"/>
  </r>
  <r>
    <s v="TCK-20252"/>
    <d v="2026-03-13T03:07:00"/>
    <x v="1"/>
    <s v="Ayaan Khalid"/>
    <s v="Rawalpindi"/>
    <s v="Chat"/>
    <s v="Billing Issue"/>
    <s v="Critical"/>
    <n v="4"/>
    <s v="Open"/>
    <s v="Missing Resolve Date"/>
    <s v="No"/>
    <m/>
    <s v="Customer Requested Refund"/>
    <s v=""/>
  </r>
  <r>
    <s v="TCK-23198"/>
    <d v="2026-05-16T10:01:00"/>
    <x v="0"/>
    <s v="Rehan Qureshi"/>
    <s v="Peshawar"/>
    <s v="Portal"/>
    <s v="Refund Request"/>
    <s v="Low"/>
    <n v="48"/>
    <s v="Open"/>
    <s v="Missing Resolve Date"/>
    <s v="No"/>
    <m/>
    <s v="Customer Satisfied With Resolution"/>
    <s v=""/>
  </r>
  <r>
    <s v="TCK-21754"/>
    <d v="2026-05-23T05:10:00"/>
    <x v="2"/>
    <s v="Bilal Chaudhry"/>
    <s v="Peshawar"/>
    <s v="Chat"/>
    <s v="Account Access"/>
    <s v="High"/>
    <n v="8"/>
    <s v="Closed"/>
    <d v="2026-05-23T06:06:00"/>
    <s v="No"/>
    <m/>
    <s v="Not Specified"/>
    <n v="0.93333333323244005"/>
  </r>
  <r>
    <s v="TCK-22479"/>
    <d v="2026-04-19T13:05:00"/>
    <x v="2"/>
    <s v="Bilal Chaudhry"/>
    <s v="Peshawar"/>
    <s v="Phone"/>
    <s v="Technical Issue"/>
    <s v="Low"/>
    <n v="48"/>
    <s v="Closed"/>
    <d v="2026-04-20T11:44:00"/>
    <s v="No"/>
    <m/>
    <s v="Technical Issue Resolved Remotely"/>
    <n v="22.649999999965075"/>
  </r>
  <r>
    <s v="TCK-22940"/>
    <d v="2026-05-21T02:59:00"/>
    <x v="3"/>
    <s v="Iqra Basit"/>
    <s v="Peshawar"/>
    <s v="Email"/>
    <s v="Refund Request"/>
    <s v="High"/>
    <n v="8"/>
    <s v="In Progress"/>
    <s v="Missing Resolve Date"/>
    <s v="No"/>
    <m/>
    <s v="Not Specified"/>
    <s v=""/>
  </r>
  <r>
    <s v="TCK-20537"/>
    <d v="2026-05-15T20:19:00"/>
    <x v="2"/>
    <s v="Mahnoor Aslam"/>
    <s v="Peshawar"/>
    <s v="Chat"/>
    <s v="Account Access"/>
    <s v="Low"/>
    <n v="48"/>
    <s v="In Progress"/>
    <s v="Missing Resolve Date"/>
    <s v="No"/>
    <m/>
    <s v="Customer Satisfied With Resolution"/>
    <s v=""/>
  </r>
  <r>
    <s v="TCK-22087"/>
    <d v="2026-06-25T16:07:00"/>
    <x v="0"/>
    <s v="Rehan Qureshi"/>
    <s v="Islamabad"/>
    <s v="Email"/>
    <s v="Delivery Delay"/>
    <s v="High"/>
    <n v="8"/>
    <s v="Resolved"/>
    <d v="2026-06-25T19:03:00"/>
    <s v="No"/>
    <n v="3"/>
    <s v="Awaiting Customer Response"/>
    <n v="2.9333333332906477"/>
  </r>
  <r>
    <s v="TCK-21958"/>
    <d v="2026-07-31T12:29:00"/>
    <x v="0"/>
    <s v="Rehan Qureshi"/>
    <s v="Lahore"/>
    <s v="Phone"/>
    <s v="Delivery Delay"/>
    <s v="Low"/>
    <n v="48"/>
    <s v="Resolved"/>
    <d v="2026-07-31T16:11:00"/>
    <s v="No"/>
    <m/>
    <s v="Not Specified"/>
    <n v="3.7000000000116415"/>
  </r>
  <r>
    <s v="TCK-21597"/>
    <d v="2026-02-02T08:13:00"/>
    <x v="3"/>
    <s v="Talha Nadeem"/>
    <s v="Multan"/>
    <s v="Phone"/>
    <s v="General Inquiry"/>
    <s v="Low"/>
    <n v="48"/>
    <s v="In Progress"/>
    <s v="Missing Resolve Date"/>
    <s v="No"/>
    <m/>
    <s v="Technical Issue Resolved Remotely"/>
    <s v=""/>
  </r>
  <r>
    <s v="TCK-20893"/>
    <d v="2026-06-04T09:14:00"/>
    <x v="1"/>
    <s v="Ayaan Khalid"/>
    <s v="Rawalpindi"/>
    <s v="Portal"/>
    <s v="Delivery Delay"/>
    <s v="Critical"/>
    <n v="4"/>
    <s v="Resolved"/>
    <d v="2026-06-04T11:46:00"/>
    <s v="No"/>
    <n v="1"/>
    <s v="Not Specified"/>
    <n v="2.533333333209157"/>
  </r>
  <r>
    <s v="TCK-22396"/>
    <d v="2026-06-07T22:56:00"/>
    <x v="3"/>
    <s v="Talha Nadeem"/>
    <s v="Rawalpindi"/>
    <s v="Portal"/>
    <s v="Delivery Delay"/>
    <s v="Medium"/>
    <n v="24"/>
    <s v="Closed"/>
    <d v="2026-06-08T06:29:00"/>
    <s v="No"/>
    <n v="5"/>
    <s v="Not Specified"/>
    <n v="7.5499999999883585"/>
  </r>
  <r>
    <s v="TCK-21215"/>
    <d v="2026-03-05T22:07:00"/>
    <x v="0"/>
    <s v="Sadia Anwar"/>
    <s v="Karachi"/>
    <s v="Phone"/>
    <s v="Refund Request"/>
    <s v="High"/>
    <n v="8"/>
    <s v="Resolved"/>
    <d v="2026-03-06T05:15:00"/>
    <s v="No"/>
    <n v="5"/>
    <s v="Awaiting Customer Response"/>
    <n v="7.1333333333604969"/>
  </r>
  <r>
    <s v="TCK-22214"/>
    <d v="2026-03-17T02:34:00"/>
    <x v="2"/>
    <s v="Mahnoor Aslam"/>
    <s v="Rawalpindi"/>
    <s v="Chat"/>
    <s v="Billing Issue"/>
    <s v="Critical"/>
    <n v="4"/>
    <s v="Resolved"/>
    <d v="2026-03-17T05:08:00"/>
    <s v="No"/>
    <n v="5"/>
    <s v="Customer Satisfied With Resolution"/>
    <n v="2.5666666666511446"/>
  </r>
  <r>
    <s v="TCK-21537"/>
    <d v="2026-02-04T11:00:00"/>
    <x v="0"/>
    <s v="Sadia Anwar"/>
    <s v="Multan"/>
    <s v="Portal"/>
    <s v="Delivery Delay"/>
    <s v="Critical"/>
    <n v="4"/>
    <s v="Closed"/>
    <d v="2026-02-04T11:44:00"/>
    <s v="No"/>
    <n v="5"/>
    <s v="Customer Satisfied With Resolution"/>
    <n v="0.73333333327900618"/>
  </r>
  <r>
    <s v="TCK-21903"/>
    <d v="2026-01-30T06:47:00"/>
    <x v="0"/>
    <s v="Rehan Qureshi"/>
    <s v="Karachi"/>
    <s v="Email"/>
    <s v="Refund Request"/>
    <s v="Critical"/>
    <n v="4"/>
    <s v="Resolved"/>
    <d v="2026-01-30T14:23:00"/>
    <s v="No"/>
    <n v="1"/>
    <s v="Not Specified"/>
    <n v="7.6000000001513399"/>
  </r>
  <r>
    <s v="TCK-20977"/>
    <d v="2026-08-06T11:27:00"/>
    <x v="0"/>
    <s v="Rehan Qureshi"/>
    <s v="Karachi"/>
    <s v="Phone"/>
    <s v="Delivery Delay"/>
    <s v="Medium"/>
    <n v="24"/>
    <s v="Re-Opened"/>
    <d v="2026-08-08T03:03:00"/>
    <s v="No"/>
    <m/>
    <s v="Resolved On First Contact"/>
    <n v="39.600000000034925"/>
  </r>
  <r>
    <s v="TCK-21357"/>
    <d v="2026-06-17T01:13:00"/>
    <x v="2"/>
    <s v="Mahnoor Aslam"/>
    <s v="Islamabad"/>
    <s v="Portal"/>
    <s v="Billing Issue"/>
    <s v="Low"/>
    <n v="48"/>
    <s v="Resolved"/>
    <d v="2026-06-21T06:54:00"/>
    <s v="No"/>
    <m/>
    <s v="Customer Requested Refund"/>
    <n v="101.68333333334886"/>
  </r>
  <r>
    <s v="TCK-21376"/>
    <d v="2026-05-31T11:29:00"/>
    <x v="2"/>
    <s v="Mahnoor Aslam"/>
    <s v="Multan"/>
    <s v="Chat"/>
    <s v="Billing Issue"/>
    <s v="Medium"/>
    <n v="24"/>
    <s v="Resolved"/>
    <d v="2026-05-31T23:28:00"/>
    <s v="No"/>
    <n v="5"/>
    <s v="Awaiting Customer Response"/>
    <n v="11.983333333279006"/>
  </r>
  <r>
    <s v="TCK-20683"/>
    <d v="2026-07-20T06:01:00"/>
    <x v="2"/>
    <s v="Mahnoor Aslam"/>
    <s v="Multan"/>
    <s v="Portal"/>
    <s v="Refund Request"/>
    <s v="High"/>
    <n v="8"/>
    <s v="Open"/>
    <s v="Missing Resolve Date"/>
    <s v="No"/>
    <m/>
    <s v="Customer Requested Refund"/>
    <s v=""/>
  </r>
  <r>
    <s v="TCK-20370"/>
    <d v="2026-07-23T07:14:00"/>
    <x v="2"/>
    <s v="Bilal Chaudhry"/>
    <s v="Rawalpindi"/>
    <s v="Portal"/>
    <s v="General Inquiry"/>
    <s v="Low"/>
    <n v="48"/>
    <s v="Resolved"/>
    <d v="2026-07-23T12:03:00"/>
    <s v="No"/>
    <m/>
    <s v="Awaiting Customer Response"/>
    <n v="4.8166666666511446"/>
  </r>
  <r>
    <s v="TCK-23069"/>
    <d v="2026-04-10T12:30:00"/>
    <x v="1"/>
    <s v="Ayaan Khalid"/>
    <s v="Lahore"/>
    <s v="Phone"/>
    <s v="Billing Issue"/>
    <s v="High"/>
    <n v="8"/>
    <s v="Resolved"/>
    <d v="2026-04-10T14:59:00"/>
    <s v="No"/>
    <n v="5"/>
    <s v="Customer Satisfied With Resolution"/>
    <n v="2.4833333332207985"/>
  </r>
  <r>
    <s v="TCK-22018"/>
    <d v="2026-03-25T22:34:00"/>
    <x v="2"/>
    <s v="Bilal Chaudhry"/>
    <s v="Lahore"/>
    <s v="Email"/>
    <s v="Account Access"/>
    <s v="Medium"/>
    <n v="24"/>
    <s v="Closed"/>
    <d v="2026-03-27T08:59:00"/>
    <s v="No"/>
    <n v="5"/>
    <s v="Resolved On First Contact"/>
    <n v="34.416666666569654"/>
  </r>
  <r>
    <s v="TCK-22300"/>
    <d v="2026-05-13T11:40:00"/>
    <x v="0"/>
    <s v="Rehan Qureshi"/>
    <s v="Rawalpindi"/>
    <s v="Portal"/>
    <s v="Technical Issue"/>
    <s v="Low"/>
    <n v="48"/>
    <s v="Resolved"/>
    <d v="2026-05-13T13:04:00"/>
    <s v="No"/>
    <n v="3"/>
    <s v="Customer Satisfied With Resolution"/>
    <n v="1.4000000000232831"/>
  </r>
  <r>
    <s v="TCK-22572"/>
    <d v="2026-05-22T17:38:00"/>
    <x v="1"/>
    <s v="Zara Hussain"/>
    <s v="Lahore"/>
    <s v="Phone"/>
    <s v="General Inquiry"/>
    <s v="Medium"/>
    <n v="24"/>
    <s v="Escalated"/>
    <s v="Missing Resolve Date"/>
    <s v="Yes"/>
    <m/>
    <s v="Repeat Issue From Same Customer"/>
    <s v=""/>
  </r>
  <r>
    <s v="TCK-21407"/>
    <d v="2026-03-30T02:34:00"/>
    <x v="1"/>
    <s v="Ayaan Khalid"/>
    <s v="Faisalabad"/>
    <s v="Phone"/>
    <s v="Account Access"/>
    <s v="High"/>
    <n v="8"/>
    <s v="Resolved"/>
    <d v="2026-03-30T05:48:00"/>
    <s v="No"/>
    <m/>
    <s v="Escalated To Senior Agent"/>
    <n v="3.2333333333954215"/>
  </r>
  <r>
    <s v="TCK-21285"/>
    <d v="2026-07-22T16:00:00"/>
    <x v="1"/>
    <s v="Ayaan Khalid"/>
    <s v="Multan"/>
    <s v="Email"/>
    <s v="General Inquiry"/>
    <s v="Medium"/>
    <n v="24"/>
    <s v="Resolved"/>
    <d v="2026-07-23T00:42:00"/>
    <s v="No"/>
    <m/>
    <s v="Customer Satisfied With Resolution"/>
    <n v="8.7000000000698492"/>
  </r>
  <r>
    <s v="TCK-21234"/>
    <d v="2026-03-21T23:29:00"/>
    <x v="2"/>
    <s v="Bilal Chaudhry"/>
    <s v="Karachi"/>
    <s v="Portal"/>
    <s v="Account Access"/>
    <s v="Low"/>
    <n v="48"/>
    <s v="In Progress"/>
    <s v="Missing Resolve Date"/>
    <s v="No"/>
    <m/>
    <s v="Not Specified"/>
    <s v=""/>
  </r>
  <r>
    <s v="TCK-22893"/>
    <d v="2026-07-07T09:48:00"/>
    <x v="3"/>
    <s v="Talha Nadeem"/>
    <s v="Karachi"/>
    <s v="Chat"/>
    <s v="Account Access"/>
    <s v="Critical"/>
    <n v="4"/>
    <s v="In Progress"/>
    <s v="Missing Resolve Date"/>
    <s v="No"/>
    <m/>
    <s v="Not Specified"/>
    <s v=""/>
  </r>
  <r>
    <s v="TCK-21336"/>
    <d v="2026-07-14T04:03:00"/>
    <x v="0"/>
    <s v="Rehan Qureshi"/>
    <s v="Karachi"/>
    <s v="Portal"/>
    <s v="Technical Issue"/>
    <s v="Medium"/>
    <n v="24"/>
    <s v="Resolved"/>
    <s v="Missing Resolve Date"/>
    <s v="No"/>
    <m/>
    <s v="Repeat Issue From Same Customer"/>
    <s v=""/>
  </r>
  <r>
    <s v="TCK-20775"/>
    <d v="2026-04-25T15:19:00"/>
    <x v="0"/>
    <s v="Sadia Anwar"/>
    <s v="Multan"/>
    <s v="Email"/>
    <s v="Technical Issue"/>
    <s v="Medium"/>
    <n v="24"/>
    <s v="Re-Opened"/>
    <d v="2026-04-26T08:43:00"/>
    <s v="No"/>
    <m/>
    <s v="Awaiting Customer Response"/>
    <n v="17.399999999965075"/>
  </r>
  <r>
    <s v="TCK-21386"/>
    <d v="2026-08-12T07:23:00"/>
    <x v="0"/>
    <s v="Sadia Anwar"/>
    <s v="Multan"/>
    <s v="Email"/>
    <s v="Billing Issue"/>
    <s v="Low"/>
    <n v="48"/>
    <s v="Re-Opened"/>
    <d v="2026-08-12T15:21:00"/>
    <s v="No"/>
    <m/>
    <s v="Escalated To Senior Agent"/>
    <n v="7.96666666661622"/>
  </r>
  <r>
    <s v="TCK-22181"/>
    <d v="2026-01-20T23:53:00"/>
    <x v="0"/>
    <s v="Sadia Anwar"/>
    <s v="Lahore"/>
    <s v="Portal"/>
    <s v="Billing Issue"/>
    <s v="Critical"/>
    <n v="4"/>
    <s v="Escalated"/>
    <s v="Missing Resolve Date"/>
    <s v="Yes"/>
    <m/>
    <s v="Required Follow-Up Call"/>
    <s v=""/>
  </r>
  <r>
    <s v="TCK-20512"/>
    <d v="2026-02-12T17:06:00"/>
    <x v="3"/>
    <s v="Talha Nadeem"/>
    <s v="Peshawar"/>
    <s v="Portal"/>
    <s v="Billing Issue"/>
    <s v="High"/>
    <n v="8"/>
    <s v="Resolved"/>
    <d v="2026-02-12T20:54:00"/>
    <s v="No"/>
    <n v="4"/>
    <s v="Resolved On First Contact"/>
    <n v="3.7999999999883585"/>
  </r>
  <r>
    <s v="TCK-20144"/>
    <d v="2026-03-25T03:44:00"/>
    <x v="2"/>
    <s v="Mahnoor Aslam"/>
    <s v="Lahore"/>
    <s v="Email"/>
    <s v="Refund Request"/>
    <s v="Medium"/>
    <n v="24"/>
    <s v="Resolved"/>
    <d v="2026-03-25T08:59:00"/>
    <s v="No"/>
    <n v="3"/>
    <s v="Required Follow-Up Call"/>
    <n v="5.25"/>
  </r>
  <r>
    <s v="TCK-20253"/>
    <d v="2026-01-30T09:05:00"/>
    <x v="3"/>
    <s v="Iqra Basit"/>
    <s v="Peshawar"/>
    <s v="Chat"/>
    <s v="Delivery Delay"/>
    <s v="Low"/>
    <n v="48"/>
    <s v="Resolved"/>
    <d v="2026-01-31T07:09:00"/>
    <s v="Yes"/>
    <n v="4"/>
    <s v="Repeat Issue From Same Customer"/>
    <n v="22.066666666825768"/>
  </r>
  <r>
    <s v="TCK-22714"/>
    <d v="2026-04-08T01:42:00"/>
    <x v="3"/>
    <s v="Talha Nadeem"/>
    <s v="Karachi"/>
    <s v="Phone"/>
    <s v="Account Access"/>
    <s v="High"/>
    <n v="8"/>
    <s v="Resolved"/>
    <d v="2026-04-08T08:10:00"/>
    <s v="No"/>
    <m/>
    <s v="Not Specified"/>
    <n v="6.466666666790843"/>
  </r>
  <r>
    <s v="TCK-21786"/>
    <d v="2026-01-12T19:33:00"/>
    <x v="2"/>
    <s v="Mahnoor Aslam"/>
    <s v="Lahore"/>
    <s v="Portal"/>
    <s v="Billing Issue"/>
    <s v="High"/>
    <n v="8"/>
    <s v="Resolved"/>
    <d v="2026-01-12T23:51:00"/>
    <s v="No"/>
    <n v="2"/>
    <s v="Customer Satisfied With Resolution"/>
    <n v="4.3000000000465661"/>
  </r>
  <r>
    <s v="TCK-22440"/>
    <d v="2026-01-21T12:31:00"/>
    <x v="0"/>
    <s v="Sadia Anwar"/>
    <s v="Lahore"/>
    <s v="Phone"/>
    <s v="Billing Issue"/>
    <s v="Medium"/>
    <n v="24"/>
    <s v="Resolved"/>
    <d v="2026-01-24T07:30:00"/>
    <s v="No"/>
    <n v="4"/>
    <s v="Not Specified"/>
    <n v="66.983333333395422"/>
  </r>
  <r>
    <s v="TCK-20197"/>
    <d v="2026-04-21T15:16:00"/>
    <x v="1"/>
    <s v="Zara Hussain"/>
    <s v="Peshawar"/>
    <s v="Phone"/>
    <s v="Technical Issue"/>
    <s v="High"/>
    <n v="8"/>
    <s v="Closed"/>
    <d v="2026-04-21T19:15:00"/>
    <s v="No"/>
    <n v="4"/>
    <s v="Resolved On First Contact"/>
    <n v="3.9833333333954215"/>
  </r>
  <r>
    <s v="TCK-21712"/>
    <d v="2026-04-09T13:22:00"/>
    <x v="3"/>
    <s v="Talha Nadeem"/>
    <s v="Lahore"/>
    <s v="Phone"/>
    <s v="General Inquiry"/>
    <s v="Low"/>
    <n v="48"/>
    <s v="Resolved"/>
    <d v="2026-04-10T18:39:00"/>
    <s v="No"/>
    <n v="3"/>
    <s v="Customer Requested Refund"/>
    <n v="29.283333333441988"/>
  </r>
  <r>
    <s v="TCK-23189"/>
    <d v="2026-03-07T17:56:00"/>
    <x v="3"/>
    <s v="Talha Nadeem"/>
    <s v="Karachi"/>
    <s v="Portal"/>
    <s v="Billing Issue"/>
    <s v="Low"/>
    <n v="48"/>
    <s v="Closed"/>
    <d v="2026-03-08T11:00:00"/>
    <s v="No"/>
    <n v="3"/>
    <s v="Awaiting Customer Response"/>
    <n v="17.06666666676756"/>
  </r>
  <r>
    <s v="TCK-20897"/>
    <d v="2026-02-02T01:07:00"/>
    <x v="2"/>
    <s v="Bilal Chaudhry"/>
    <s v="Islamabad"/>
    <s v="Portal"/>
    <s v="Account Access"/>
    <s v="Low"/>
    <n v="48"/>
    <s v="Resolved"/>
    <d v="2026-02-07T07:33:00"/>
    <s v="No"/>
    <n v="5"/>
    <s v="Technical Issue Resolved Remotely"/>
    <n v="126.43333333334886"/>
  </r>
  <r>
    <s v="TCK-22493"/>
    <d v="2026-01-21T03:28:00"/>
    <x v="3"/>
    <s v="Iqra Basit"/>
    <s v="Peshawar"/>
    <s v="Phone"/>
    <s v="Account Access"/>
    <s v="High"/>
    <n v="8"/>
    <s v="In Progress"/>
    <s v="Missing Resolve Date"/>
    <s v="No"/>
    <m/>
    <s v="Escalated To Senior Agent"/>
    <s v=""/>
  </r>
  <r>
    <s v="TCK-22963"/>
    <d v="2026-03-01T13:11:00"/>
    <x v="2"/>
    <s v="Bilal Chaudhry"/>
    <s v="Multan"/>
    <s v="Chat"/>
    <s v="Delivery Delay"/>
    <s v="Medium"/>
    <n v="24"/>
    <s v="Escalated"/>
    <s v="Missing Resolve Date"/>
    <s v="Yes"/>
    <m/>
    <s v="Technical Issue Resolved Remotely"/>
    <s v=""/>
  </r>
  <r>
    <s v="TCK-20579"/>
    <d v="2026-05-01T23:36:00"/>
    <x v="3"/>
    <s v="Iqra Basit"/>
    <s v="Peshawar"/>
    <s v="Portal"/>
    <s v="Billing Issue"/>
    <s v="Medium"/>
    <n v="24"/>
    <s v="Open"/>
    <s v="Missing Resolve Date"/>
    <s v="No"/>
    <m/>
    <s v="Escalated To Senior Agent"/>
    <s v=""/>
  </r>
  <r>
    <s v="TCK-21284"/>
    <d v="2026-05-05T15:17:00"/>
    <x v="3"/>
    <s v="Talha Nadeem"/>
    <s v="Multan"/>
    <s v="Phone"/>
    <s v="Account Access"/>
    <s v="Low"/>
    <n v="48"/>
    <s v="Closed"/>
    <d v="2026-05-06T23:43:00"/>
    <s v="No"/>
    <m/>
    <s v="Escalated To Senior Agent"/>
    <n v="32.43333333323244"/>
  </r>
  <r>
    <s v="TCK-20860"/>
    <d v="2026-06-26T00:50:00"/>
    <x v="2"/>
    <s v="Bilal Chaudhry"/>
    <s v="Karachi"/>
    <s v="Email"/>
    <s v="Refund Request"/>
    <s v="Critical"/>
    <n v="4"/>
    <s v="Resolved"/>
    <d v="2026-06-26T09:36:00"/>
    <s v="No"/>
    <m/>
    <s v="Awaiting Customer Response"/>
    <n v="8.7666666667792015"/>
  </r>
  <r>
    <s v="TCK-21694"/>
    <d v="2026-01-29T21:15:00"/>
    <x v="0"/>
    <s v="Sadia Anwar"/>
    <s v="Islamabad"/>
    <s v="Portal"/>
    <s v="Account Access"/>
    <s v="Medium"/>
    <n v="24"/>
    <s v="Closed"/>
    <d v="2026-01-30T04:53:00"/>
    <s v="No"/>
    <m/>
    <s v="Customer Satisfied With Resolution"/>
    <n v="7.6333333334187046"/>
  </r>
  <r>
    <s v="TCK-21790"/>
    <d v="2026-02-12T21:42:00"/>
    <x v="3"/>
    <s v="Talha Nadeem"/>
    <s v="Peshawar"/>
    <s v="Email"/>
    <s v="Refund Request"/>
    <s v="Medium"/>
    <n v="24"/>
    <s v="Escalated"/>
    <s v="Missing Resolve Date"/>
    <s v="Yes"/>
    <m/>
    <s v="Repeat Issue From Same Customer"/>
    <s v=""/>
  </r>
  <r>
    <s v="TCK-22403"/>
    <d v="2026-06-15T04:03:00"/>
    <x v="3"/>
    <s v="Talha Nadeem"/>
    <s v="Karachi"/>
    <s v="Phone"/>
    <s v="General Inquiry"/>
    <s v="High"/>
    <n v="8"/>
    <s v="In Progress"/>
    <s v="Missing Resolve Date"/>
    <s v="No"/>
    <m/>
    <s v="Awaiting Customer Response"/>
    <s v=""/>
  </r>
  <r>
    <s v="TCK-22543"/>
    <d v="2026-02-18T15:30:00"/>
    <x v="1"/>
    <s v="Zara Hussain"/>
    <s v="Karachi"/>
    <s v="Phone"/>
    <s v="Delivery Delay"/>
    <s v="High"/>
    <n v="8"/>
    <s v="Closed"/>
    <d v="2026-02-18T19:12:00"/>
    <s v="No"/>
    <m/>
    <s v="Not Specified"/>
    <n v="3.7000000000116415"/>
  </r>
  <r>
    <s v="TCK-21605"/>
    <d v="2026-01-29T15:09:00"/>
    <x v="0"/>
    <s v="Sadia Anwar"/>
    <s v="Rawalpindi"/>
    <s v="Phone"/>
    <s v="Technical Issue"/>
    <s v="Critical"/>
    <n v="4"/>
    <s v="Escalated"/>
    <s v="Missing Resolve Date"/>
    <s v="Yes"/>
    <m/>
    <s v="Awaiting Customer Response"/>
    <s v=""/>
  </r>
  <r>
    <s v="TCK-23106"/>
    <d v="2026-03-14T07:36:00"/>
    <x v="0"/>
    <s v="Sadia Anwar"/>
    <s v="Multan"/>
    <s v="Chat"/>
    <s v="Refund Request"/>
    <s v="Low"/>
    <n v="48"/>
    <s v="Escalated"/>
    <s v="Missing Resolve Date"/>
    <s v="Yes"/>
    <m/>
    <s v="Not Specified"/>
    <s v=""/>
  </r>
  <r>
    <s v="TCK-21253"/>
    <d v="2026-08-27T14:24:00"/>
    <x v="2"/>
    <s v="Mahnoor Aslam"/>
    <s v="Peshawar"/>
    <s v="Phone"/>
    <s v="Refund Request"/>
    <s v="Low"/>
    <n v="48"/>
    <s v="Open"/>
    <s v="Missing Resolve Date"/>
    <s v="No"/>
    <m/>
    <s v="Escalated To Senior Agent"/>
    <s v=""/>
  </r>
  <r>
    <s v="TCK-22574"/>
    <d v="2026-02-20T10:18:00"/>
    <x v="1"/>
    <s v="Ayaan Khalid"/>
    <s v="Islamabad"/>
    <s v="Email"/>
    <s v="Billing Issue"/>
    <s v="High"/>
    <n v="8"/>
    <s v="Resolved"/>
    <d v="2026-02-20T13:54:00"/>
    <s v="No"/>
    <n v="5"/>
    <s v="Awaiting Customer Response"/>
    <n v="3.6000000000349246"/>
  </r>
  <r>
    <s v="TCK-20088"/>
    <d v="2026-05-01T12:43:00"/>
    <x v="2"/>
    <s v="Bilal Chaudhry"/>
    <s v="Rawalpindi"/>
    <s v="Phone"/>
    <s v="Account Access"/>
    <s v="Low"/>
    <n v="48"/>
    <s v="Resolved"/>
    <d v="2026-05-06T15:55:00"/>
    <s v="No"/>
    <m/>
    <s v="Required Follow-Up Call"/>
    <n v="123.19999999995343"/>
  </r>
  <r>
    <s v="TCK-21114"/>
    <d v="2026-01-29T21:52:00"/>
    <x v="3"/>
    <s v="Talha Nadeem"/>
    <s v="Islamabad"/>
    <s v="Portal"/>
    <s v="Billing Issue"/>
    <s v="Medium"/>
    <n v="24"/>
    <s v="Resolved"/>
    <d v="2026-01-29T23:41:00"/>
    <s v="No"/>
    <n v="4"/>
    <s v="Escalated To Senior Agent"/>
    <n v="1.8166666666511446"/>
  </r>
  <r>
    <s v="TCK-22634"/>
    <d v="2026-01-05T20:35:00"/>
    <x v="1"/>
    <s v="Ayaan Khalid"/>
    <s v="Multan"/>
    <s v="Chat"/>
    <s v="Refund Request"/>
    <s v="Low"/>
    <n v="48"/>
    <s v="Resolved"/>
    <d v="2026-01-06T09:18:00"/>
    <s v="Yes"/>
    <m/>
    <s v="Awaiting Customer Response"/>
    <n v="12.716666666558012"/>
  </r>
  <r>
    <s v="TCK-21242"/>
    <d v="2026-06-27T03:38:00"/>
    <x v="0"/>
    <s v="Sadia Anwar"/>
    <s v="Rawalpindi"/>
    <s v="Chat"/>
    <s v="Refund Request"/>
    <s v="High"/>
    <n v="8"/>
    <s v="Resolved"/>
    <d v="2026-06-27T04:21:00"/>
    <s v="No"/>
    <n v="5"/>
    <s v="Customer Satisfied With Resolution"/>
    <n v="0.71666666673263535"/>
  </r>
  <r>
    <s v="TCK-20954"/>
    <d v="2026-06-09T05:13:00"/>
    <x v="2"/>
    <s v="Mahnoor Aslam"/>
    <s v="Multan"/>
    <s v="Chat"/>
    <s v="Technical Issue"/>
    <s v="Medium"/>
    <n v="24"/>
    <s v="Escalated"/>
    <s v="Missing Resolve Date"/>
    <s v="Yes"/>
    <m/>
    <s v="Resolved On First Contact"/>
    <s v=""/>
  </r>
  <r>
    <s v="TCK-22944"/>
    <d v="2026-01-06T16:20:00"/>
    <x v="3"/>
    <s v="Iqra Basit"/>
    <s v="Islamabad"/>
    <s v="Portal"/>
    <s v="General Inquiry"/>
    <s v="Low"/>
    <n v="48"/>
    <s v="In Progress"/>
    <s v="Missing Resolve Date"/>
    <s v="No"/>
    <m/>
    <s v="Not Specified"/>
    <s v=""/>
  </r>
  <r>
    <s v="TCK-20196"/>
    <d v="2026-01-17T22:17:00"/>
    <x v="2"/>
    <s v="Bilal Chaudhry"/>
    <s v="Faisalabad"/>
    <s v="Email"/>
    <s v="Account Access"/>
    <s v="High"/>
    <n v="8"/>
    <s v="Closed"/>
    <d v="2026-01-18T07:10:00"/>
    <s v="No"/>
    <n v="3"/>
    <s v="Customer Satisfied With Resolution"/>
    <n v="8.8833333333022892"/>
  </r>
  <r>
    <s v="TCK-22203"/>
    <d v="2026-03-03T03:26:00"/>
    <x v="2"/>
    <s v="Mahnoor Aslam"/>
    <s v="Rawalpindi"/>
    <s v="Chat"/>
    <s v="Refund Request"/>
    <s v="Medium"/>
    <n v="24"/>
    <s v="Closed"/>
    <d v="2026-03-04T13:26:00"/>
    <s v="No"/>
    <n v="4"/>
    <s v="Escalated To Senior Agent"/>
    <n v="33.999999999941792"/>
  </r>
  <r>
    <s v="TCK-22659"/>
    <d v="2026-04-07T05:10:00"/>
    <x v="1"/>
    <s v="Zara Hussain"/>
    <s v="Karachi"/>
    <s v="Email"/>
    <s v="Technical Issue"/>
    <s v="Medium"/>
    <n v="24"/>
    <s v="Closed"/>
    <d v="2026-04-08T00:01:00"/>
    <s v="No"/>
    <m/>
    <s v="Not Specified"/>
    <n v="18.849999999976717"/>
  </r>
  <r>
    <s v="TCK-22873"/>
    <d v="2026-01-03T17:10:00"/>
    <x v="2"/>
    <s v="Bilal Chaudhry"/>
    <s v="Islamabad"/>
    <s v="Chat"/>
    <s v="Delivery Delay"/>
    <s v="Medium"/>
    <n v="24"/>
    <s v="Closed"/>
    <d v="2026-01-06T16:35:00"/>
    <s v="No"/>
    <m/>
    <s v="Required Follow-Up Call"/>
    <n v="71.416666666511446"/>
  </r>
  <r>
    <s v="TCK-20015"/>
    <d v="2026-05-01T01:21:00"/>
    <x v="1"/>
    <s v="Ayaan Khalid"/>
    <s v="Rawalpindi"/>
    <s v="Email"/>
    <s v="Account Access"/>
    <s v="Medium"/>
    <n v="24"/>
    <s v="Escalated"/>
    <s v="Missing Resolve Date"/>
    <s v="Yes"/>
    <m/>
    <s v="Customer Requested Refund"/>
    <s v=""/>
  </r>
  <r>
    <s v="TCK-21820"/>
    <d v="2026-03-08T22:13:00"/>
    <x v="3"/>
    <s v="Iqra Basit"/>
    <s v="Karachi"/>
    <s v="Phone"/>
    <s v="Billing Issue"/>
    <s v="Low"/>
    <n v="48"/>
    <s v="Resolved"/>
    <d v="2026-03-11T13:53:00"/>
    <s v="No"/>
    <n v="5"/>
    <s v="Repeat Issue From Same Customer"/>
    <n v="63.666666666744277"/>
  </r>
  <r>
    <s v="TCK-21203"/>
    <d v="2026-02-20T12:45:00"/>
    <x v="1"/>
    <s v="Zara Hussain"/>
    <s v="Islamabad"/>
    <s v="Phone"/>
    <s v="Delivery Delay"/>
    <s v="High"/>
    <n v="8"/>
    <s v="In Progress"/>
    <s v="Missing Resolve Date"/>
    <s v="No"/>
    <m/>
    <s v="Not Specified"/>
    <s v=""/>
  </r>
  <r>
    <s v="TCK-23057"/>
    <d v="2026-07-06T13:55:00"/>
    <x v="2"/>
    <s v="Bilal Chaudhry"/>
    <s v="Rawalpindi"/>
    <s v="Portal"/>
    <s v="Refund Request"/>
    <s v="High"/>
    <n v="8"/>
    <s v="Resolved"/>
    <d v="2026-07-06T16:40:00"/>
    <s v="No"/>
    <m/>
    <s v="Customer Satisfied With Resolution"/>
    <n v="2.7500000000582077"/>
  </r>
  <r>
    <s v="TCK-21950"/>
    <d v="2026-01-30T00:52:00"/>
    <x v="0"/>
    <s v="Sadia Anwar"/>
    <s v="Rawalpindi"/>
    <s v="Email"/>
    <s v="Account Access"/>
    <s v="High"/>
    <n v="8"/>
    <s v="Closed"/>
    <d v="2026-01-30T02:29:00"/>
    <s v="No"/>
    <n v="5"/>
    <s v="Resolved On First Contact"/>
    <n v="1.6166666666977108"/>
  </r>
  <r>
    <s v="TCK-22309"/>
    <d v="2026-03-25T07:37:00"/>
    <x v="1"/>
    <s v="Zara Hussain"/>
    <s v="Faisalabad"/>
    <s v="Portal"/>
    <s v="Account Access"/>
    <s v="Medium"/>
    <n v="24"/>
    <s v="In Progress"/>
    <s v="Missing Resolve Date"/>
    <s v="No"/>
    <m/>
    <s v="Not Specified"/>
    <s v=""/>
  </r>
  <r>
    <s v="TCK-21057"/>
    <d v="2026-08-22T06:18:00"/>
    <x v="2"/>
    <s v="Bilal Chaudhry"/>
    <s v="Lahore"/>
    <s v="Email"/>
    <s v="Delivery Delay"/>
    <s v="Medium"/>
    <n v="24"/>
    <s v="Closed"/>
    <d v="2026-08-23T01:56:00"/>
    <s v="No"/>
    <n v="4"/>
    <s v="Customer Satisfied With Resolution"/>
    <n v="19.633333333418705"/>
  </r>
  <r>
    <s v="TCK-20848"/>
    <d v="2026-02-25T05:59:00"/>
    <x v="2"/>
    <s v="Bilal Chaudhry"/>
    <s v="Multan"/>
    <s v="Portal"/>
    <s v="Refund Request"/>
    <s v="Medium"/>
    <n v="24"/>
    <s v="Resolved"/>
    <d v="2026-02-26T00:25:00"/>
    <s v="No"/>
    <n v="4"/>
    <s v="Technical Issue Resolved Remotely"/>
    <n v="18.433333333348855"/>
  </r>
  <r>
    <s v="TCK-20096"/>
    <d v="2026-08-25T16:17:00"/>
    <x v="0"/>
    <s v="Rehan Qureshi"/>
    <s v="Faisalabad"/>
    <s v="Phone"/>
    <s v="Account Access"/>
    <s v="Medium"/>
    <n v="24"/>
    <s v="Resolved"/>
    <d v="2026-08-26T00:14:00"/>
    <s v="No"/>
    <n v="5"/>
    <s v="Awaiting Customer Response"/>
    <n v="7.9500000000698492"/>
  </r>
  <r>
    <s v="TCK-22417"/>
    <d v="2026-07-23T22:43:00"/>
    <x v="3"/>
    <s v="Talha Nadeem"/>
    <s v="Peshawar"/>
    <s v="Phone"/>
    <s v="Delivery Delay"/>
    <s v="High"/>
    <n v="8"/>
    <s v="Closed"/>
    <d v="2026-07-24T00:46:00"/>
    <s v="No"/>
    <n v="4"/>
    <s v="Not Specified"/>
    <n v="2.0500000000465661"/>
  </r>
  <r>
    <s v="TCK-20176"/>
    <d v="2026-08-14T20:25:00"/>
    <x v="2"/>
    <s v="Bilal Chaudhry"/>
    <s v="Lahore"/>
    <s v="Portal"/>
    <s v="Technical Issue"/>
    <s v="Low"/>
    <n v="48"/>
    <s v="Resolved"/>
    <d v="2026-08-15T23:20:00"/>
    <s v="Yes"/>
    <n v="4"/>
    <s v="Required Follow-Up Call"/>
    <n v="26.916666666569654"/>
  </r>
  <r>
    <s v="TCK-22304"/>
    <d v="2026-05-16T01:35:00"/>
    <x v="1"/>
    <s v="Ayaan Khalid"/>
    <s v="Rawalpindi"/>
    <s v="Chat"/>
    <s v="Account Access"/>
    <s v="Medium"/>
    <n v="24"/>
    <s v="Closed"/>
    <d v="2026-05-16T19:23:00"/>
    <s v="No"/>
    <n v="5"/>
    <s v="Repeat Issue From Same Customer"/>
    <n v="17.800000000046566"/>
  </r>
  <r>
    <s v="TCK-22983"/>
    <d v="2026-01-11T03:08:00"/>
    <x v="1"/>
    <s v="Zara Hussain"/>
    <s v="Lahore"/>
    <s v="Portal"/>
    <s v="Delivery Delay"/>
    <s v="Low"/>
    <n v="48"/>
    <s v="In Progress"/>
    <s v="Missing Resolve Date"/>
    <s v="No"/>
    <m/>
    <s v="Required Follow-Up Call"/>
    <s v=""/>
  </r>
  <r>
    <s v="TCK-20605"/>
    <d v="2026-04-10T00:40:00"/>
    <x v="2"/>
    <s v="Mahnoor Aslam"/>
    <s v="Lahore"/>
    <s v="Phone"/>
    <s v="Refund Request"/>
    <s v="Low"/>
    <n v="48"/>
    <s v="Closed"/>
    <d v="2026-04-10T09:59:00"/>
    <s v="Yes"/>
    <n v="2"/>
    <s v="Escalated To Senior Agent"/>
    <n v="9.3166666666511446"/>
  </r>
  <r>
    <s v="TCK-20102"/>
    <d v="2026-06-01T12:17:00"/>
    <x v="0"/>
    <s v="Sadia Anwar"/>
    <s v="Rawalpindi"/>
    <s v="Chat"/>
    <s v="Refund Request"/>
    <s v="Medium"/>
    <n v="24"/>
    <s v="Re-Opened"/>
    <d v="2026-06-01T14:55:00"/>
    <s v="Yes"/>
    <m/>
    <s v="Awaiting Customer Response"/>
    <n v="2.6333333333604969"/>
  </r>
  <r>
    <s v="TCK-20237"/>
    <d v="2026-01-30T23:40:00"/>
    <x v="0"/>
    <s v="Rehan Qureshi"/>
    <s v="Islamabad"/>
    <s v="Phone"/>
    <s v="General Inquiry"/>
    <s v="High"/>
    <n v="8"/>
    <s v="Open"/>
    <s v="Missing Resolve Date"/>
    <s v="No"/>
    <m/>
    <s v="Awaiting Customer Response"/>
    <s v=""/>
  </r>
  <r>
    <s v="TCK-22880"/>
    <d v="2026-08-19T07:26:00"/>
    <x v="0"/>
    <s v="Rehan Qureshi"/>
    <s v="Rawalpindi"/>
    <s v="Email"/>
    <s v="Delivery Delay"/>
    <s v="Low"/>
    <n v="48"/>
    <s v="Escalated"/>
    <s v="Missing Resolve Date"/>
    <s v="Yes"/>
    <m/>
    <s v="Repeat Issue From Same Customer"/>
    <s v=""/>
  </r>
  <r>
    <s v="TCK-20907"/>
    <d v="2026-07-11T13:42:00"/>
    <x v="1"/>
    <s v="Zara Hussain"/>
    <s v="Karachi"/>
    <s v="Chat"/>
    <s v="General Inquiry"/>
    <s v="Critical"/>
    <n v="4"/>
    <s v="Resolved"/>
    <d v="2026-07-11T15:21:00"/>
    <s v="No"/>
    <n v="5"/>
    <s v="Not Specified"/>
    <n v="1.6499999999650754"/>
  </r>
  <r>
    <s v="TCK-21621"/>
    <d v="2026-08-12T11:59:00"/>
    <x v="3"/>
    <s v="Talha Nadeem"/>
    <s v="Faisalabad"/>
    <s v="Portal"/>
    <s v="Account Access"/>
    <s v="High"/>
    <n v="8"/>
    <s v="Closed"/>
    <d v="2026-08-13T04:09:00"/>
    <s v="No"/>
    <m/>
    <s v="Customer Requested Refund"/>
    <n v="16.166666666802485"/>
  </r>
  <r>
    <s v="TCK-20401"/>
    <d v="2026-08-20T20:00:00"/>
    <x v="3"/>
    <s v="Iqra Basit"/>
    <s v="Lahore"/>
    <s v="Email"/>
    <s v="Billing Issue"/>
    <s v="Medium"/>
    <n v="24"/>
    <s v="Resolved"/>
    <d v="2026-08-21T08:48:00"/>
    <s v="No"/>
    <m/>
    <s v="Escalated To Senior Agent"/>
    <n v="12.799999999988358"/>
  </r>
  <r>
    <s v="TCK-23145"/>
    <d v="2026-08-09T06:22:00"/>
    <x v="0"/>
    <s v="Sadia Anwar"/>
    <s v="Multan"/>
    <s v="Email"/>
    <s v="Refund Request"/>
    <s v="Medium"/>
    <n v="24"/>
    <s v="Closed"/>
    <d v="2026-08-09T10:40:00"/>
    <s v="No"/>
    <n v="4"/>
    <s v="Customer Satisfied With Resolution"/>
    <n v="4.3000000000465661"/>
  </r>
  <r>
    <s v="TCK-22729"/>
    <d v="2026-02-15T00:31:00"/>
    <x v="1"/>
    <s v="Zara Hussain"/>
    <s v="Peshawar"/>
    <s v="Chat"/>
    <s v="Billing Issue"/>
    <s v="Medium"/>
    <n v="24"/>
    <s v="Escalated"/>
    <s v="Missing Resolve Date"/>
    <s v="Yes"/>
    <m/>
    <s v="Not Specified"/>
    <s v=""/>
  </r>
  <r>
    <s v="TCK-21307"/>
    <d v="2026-01-15T05:05:00"/>
    <x v="2"/>
    <s v="Mahnoor Aslam"/>
    <s v="Peshawar"/>
    <s v="Portal"/>
    <s v="General Inquiry"/>
    <s v="Medium"/>
    <n v="24"/>
    <s v="Escalated"/>
    <s v="Missing Resolve Date"/>
    <s v="Yes"/>
    <m/>
    <s v="Technical Issue Resolved Remotely"/>
    <s v=""/>
  </r>
  <r>
    <s v="TCK-22391"/>
    <d v="2026-06-10T21:09:00"/>
    <x v="2"/>
    <s v="Mahnoor Aslam"/>
    <s v="Karachi"/>
    <s v="Chat"/>
    <s v="Delivery Delay"/>
    <s v="Medium"/>
    <n v="24"/>
    <s v="Escalated"/>
    <s v="Missing Resolve Date"/>
    <s v="Yes"/>
    <m/>
    <s v="Customer Satisfied With Resolution"/>
    <s v=""/>
  </r>
  <r>
    <s v="TCK-22177"/>
    <d v="2026-01-06T05:53:00"/>
    <x v="1"/>
    <s v="Ayaan Khalid"/>
    <s v="Islamabad"/>
    <s v="Portal"/>
    <s v="Refund Request"/>
    <s v="High"/>
    <n v="8"/>
    <s v="Re-Opened"/>
    <d v="2026-01-06T09:39:00"/>
    <s v="No"/>
    <m/>
    <s v="Resolved On First Contact"/>
    <n v="3.7666666667209938"/>
  </r>
  <r>
    <s v="TCK-22877"/>
    <d v="2026-05-02T21:57:00"/>
    <x v="1"/>
    <s v="Ayaan Khalid"/>
    <s v="Karachi"/>
    <s v="Email"/>
    <s v="Billing Issue"/>
    <s v="High"/>
    <n v="8"/>
    <s v="Resolved"/>
    <d v="2026-05-03T07:16:00"/>
    <s v="No"/>
    <m/>
    <s v="Repeat Issue From Same Customer"/>
    <n v="9.3166666666511446"/>
  </r>
  <r>
    <s v="TCK-21019"/>
    <d v="2026-02-27T17:56:00"/>
    <x v="0"/>
    <s v="Sadia Anwar"/>
    <s v="Rawalpindi"/>
    <s v="Portal"/>
    <s v="Technical Issue"/>
    <s v="Medium"/>
    <n v="24"/>
    <s v="Closed"/>
    <d v="2026-02-27T21:22:00"/>
    <s v="No"/>
    <n v="4"/>
    <s v="Resolved On First Contact"/>
    <n v="3.4333333333488554"/>
  </r>
  <r>
    <s v="TCK-22914"/>
    <d v="2026-04-18T18:32:00"/>
    <x v="0"/>
    <s v="Rehan Qureshi"/>
    <s v="Peshawar"/>
    <s v="Phone"/>
    <s v="Technical Issue"/>
    <s v="Medium"/>
    <n v="24"/>
    <s v="Resolved"/>
    <d v="2026-04-18T19:46:00"/>
    <s v="No"/>
    <m/>
    <s v="Resolved On First Contact"/>
    <n v="1.2333333333372138"/>
  </r>
  <r>
    <s v="TCK-21629"/>
    <d v="2026-08-23T00:21:00"/>
    <x v="0"/>
    <s v="Sadia Anwar"/>
    <s v="Islamabad"/>
    <s v="Portal"/>
    <s v="Refund Request"/>
    <s v="Low"/>
    <n v="48"/>
    <s v="In Progress"/>
    <s v="Missing Resolve Date"/>
    <s v="No"/>
    <m/>
    <s v="Customer Requested Refund"/>
    <s v=""/>
  </r>
  <r>
    <s v="TCK-22853"/>
    <d v="2026-06-15T23:56:00"/>
    <x v="1"/>
    <s v="Zara Hussain"/>
    <s v="Rawalpindi"/>
    <s v="Email"/>
    <s v="Refund Request"/>
    <s v="Low"/>
    <n v="48"/>
    <s v="Resolved"/>
    <d v="2026-06-16T19:01:00"/>
    <s v="No"/>
    <n v="3"/>
    <s v="Required Follow-Up Call"/>
    <n v="19.083333333372138"/>
  </r>
  <r>
    <s v="TCK-22315"/>
    <d v="2026-07-14T18:21:00"/>
    <x v="0"/>
    <s v="Sadia Anwar"/>
    <s v="Lahore"/>
    <s v="Portal"/>
    <s v="General Inquiry"/>
    <s v="Critical"/>
    <n v="4"/>
    <s v="Resolved"/>
    <d v="2026-07-14T19:33:00"/>
    <s v="No"/>
    <n v="5"/>
    <s v="Escalated To Senior Agent"/>
    <n v="1.2000000000698492"/>
  </r>
  <r>
    <s v="TCK-20687"/>
    <d v="2026-06-03T17:40:00"/>
    <x v="2"/>
    <s v="Mahnoor Aslam"/>
    <s v="Peshawar"/>
    <s v="Chat"/>
    <s v="Billing Issue"/>
    <s v="Low"/>
    <n v="48"/>
    <s v="Closed"/>
    <d v="2026-06-06T21:14:00"/>
    <s v="No"/>
    <n v="5"/>
    <s v="Customer Requested Refund"/>
    <n v="75.56666666676756"/>
  </r>
  <r>
    <s v="TCK-22429"/>
    <d v="2026-01-29T06:02:00"/>
    <x v="2"/>
    <s v="Mahnoor Aslam"/>
    <s v="Rawalpindi"/>
    <s v="Portal"/>
    <s v="Delivery Delay"/>
    <s v="Medium"/>
    <n v="24"/>
    <s v="Resolved"/>
    <d v="2026-01-29T12:58:00"/>
    <s v="No"/>
    <m/>
    <s v="Customer Requested Refund"/>
    <n v="6.933333333407063"/>
  </r>
  <r>
    <s v="TCK-20711"/>
    <d v="2026-08-21T20:26:00"/>
    <x v="3"/>
    <s v="Talha Nadeem"/>
    <s v="Peshawar"/>
    <s v="Chat"/>
    <s v="General Inquiry"/>
    <s v="High"/>
    <n v="8"/>
    <s v="Resolved"/>
    <s v="Missing Resolve Date"/>
    <s v="No"/>
    <n v="2"/>
    <s v="Customer Requested Refund"/>
    <s v=""/>
  </r>
  <r>
    <s v="TCK-20068"/>
    <d v="2026-07-10T21:50:00"/>
    <x v="0"/>
    <s v="Rehan Qureshi"/>
    <s v="Rawalpindi"/>
    <s v="Portal"/>
    <s v="Technical Issue"/>
    <s v="Medium"/>
    <n v="24"/>
    <s v="Escalated"/>
    <s v="Missing Resolve Date"/>
    <s v="Yes"/>
    <m/>
    <s v="Escalated To Senior Agent"/>
    <s v=""/>
  </r>
  <r>
    <s v="TCK-22235"/>
    <d v="2026-03-21T16:04:00"/>
    <x v="0"/>
    <s v="Rehan Qureshi"/>
    <s v="Faisalabad"/>
    <s v="Email"/>
    <s v="General Inquiry"/>
    <s v="Critical"/>
    <n v="4"/>
    <s v="Re-Opened"/>
    <d v="2026-03-22T03:38:00"/>
    <s v="No"/>
    <m/>
    <s v="Not Specified"/>
    <n v="11.566666666651145"/>
  </r>
  <r>
    <s v="TCK-22862"/>
    <d v="2026-04-02T06:58:00"/>
    <x v="0"/>
    <s v="Rehan Qureshi"/>
    <s v="Lahore"/>
    <s v="Chat"/>
    <s v="Refund Request"/>
    <s v="Medium"/>
    <n v="24"/>
    <s v="Closed"/>
    <s v="Missing Resolve Date"/>
    <s v="Yes"/>
    <n v="5"/>
    <s v="Escalated To Senior Agent"/>
    <s v=""/>
  </r>
  <r>
    <s v="TCK-20709"/>
    <d v="2026-06-05T15:20:00"/>
    <x v="3"/>
    <s v="Talha Nadeem"/>
    <s v="Faisalabad"/>
    <s v="Portal"/>
    <s v="Account Access"/>
    <s v="Medium"/>
    <n v="24"/>
    <s v="Resolved"/>
    <d v="2026-06-05T19:56:00"/>
    <s v="No"/>
    <n v="2"/>
    <s v="Technical Issue Resolved Remotely"/>
    <n v="4.5999999999767169"/>
  </r>
  <r>
    <s v="TCK-21927"/>
    <d v="2026-06-16T08:59:00"/>
    <x v="2"/>
    <s v="Mahnoor Aslam"/>
    <s v="Faisalabad"/>
    <s v="Phone"/>
    <s v="Refund Request"/>
    <s v="Medium"/>
    <n v="24"/>
    <s v="In Progress"/>
    <s v="Missing Resolve Date"/>
    <s v="No"/>
    <m/>
    <s v="Escalated To Senior Agent"/>
    <s v=""/>
  </r>
  <r>
    <s v="TCK-20975"/>
    <d v="2026-06-06T12:02:00"/>
    <x v="0"/>
    <s v="Sadia Anwar"/>
    <s v="Rawalpindi"/>
    <s v="Chat"/>
    <s v="Refund Request"/>
    <s v="Medium"/>
    <n v="24"/>
    <s v="Resolved"/>
    <d v="2026-06-07T16:50:00"/>
    <s v="No"/>
    <m/>
    <s v="Awaiting Customer Response"/>
    <n v="28.800000000104774"/>
  </r>
  <r>
    <s v="TCK-22764"/>
    <d v="2026-04-30T12:58:00"/>
    <x v="3"/>
    <s v="Iqra Basit"/>
    <s v="Rawalpindi"/>
    <s v="Chat"/>
    <s v="General Inquiry"/>
    <s v="Critical"/>
    <n v="4"/>
    <s v="Open"/>
    <s v="Missing Resolve Date"/>
    <s v="No"/>
    <m/>
    <s v="Customer Requested Refund"/>
    <s v=""/>
  </r>
  <r>
    <s v="TCK-20206"/>
    <d v="2026-04-06T16:31:00"/>
    <x v="0"/>
    <s v="Rehan Qureshi"/>
    <s v="Multan"/>
    <s v="Phone"/>
    <s v="Technical Issue"/>
    <s v="Low"/>
    <n v="48"/>
    <s v="Escalated"/>
    <s v="Missing Resolve Date"/>
    <s v="Yes"/>
    <m/>
    <s v="Escalated To Senior Agent"/>
    <s v=""/>
  </r>
  <r>
    <s v="TCK-21178"/>
    <d v="2026-02-11T10:35:00"/>
    <x v="2"/>
    <s v="Mahnoor Aslam"/>
    <s v="Peshawar"/>
    <s v="Phone"/>
    <s v="Technical Issue"/>
    <s v="High"/>
    <n v="8"/>
    <s v="Escalated"/>
    <s v="Missing Resolve Date"/>
    <s v="Yes"/>
    <m/>
    <s v="Customer Requested Refund"/>
    <s v=""/>
  </r>
  <r>
    <s v="TCK-22219"/>
    <d v="2026-06-13T15:47:00"/>
    <x v="2"/>
    <s v="Mahnoor Aslam"/>
    <s v="Karachi"/>
    <s v="Chat"/>
    <s v="Delivery Delay"/>
    <s v="Critical"/>
    <n v="4"/>
    <s v="Resolved"/>
    <d v="2026-06-13T18:08:00"/>
    <s v="No"/>
    <n v="2"/>
    <s v="Not Specified"/>
    <n v="2.3500000001513399"/>
  </r>
  <r>
    <s v="TCK-21504"/>
    <d v="2026-08-22T16:54:00"/>
    <x v="1"/>
    <s v="Zara Hussain"/>
    <s v="Rawalpindi"/>
    <s v="Phone"/>
    <s v="Refund Request"/>
    <s v="Medium"/>
    <n v="24"/>
    <s v="Escalated"/>
    <s v="Missing Resolve Date"/>
    <s v="Yes"/>
    <m/>
    <s v="Awaiting Customer Response"/>
    <s v=""/>
  </r>
  <r>
    <s v="TCK-20065"/>
    <d v="2026-05-20T13:13:00"/>
    <x v="1"/>
    <s v="Zara Hussain"/>
    <s v="Faisalabad"/>
    <s v="Phone"/>
    <s v="Refund Request"/>
    <s v="Low"/>
    <n v="48"/>
    <s v="Open"/>
    <s v="Missing Resolve Date"/>
    <s v="No"/>
    <m/>
    <s v="Not Specified"/>
    <s v=""/>
  </r>
  <r>
    <s v="TCK-21270"/>
    <d v="2026-05-30T00:10:00"/>
    <x v="0"/>
    <s v="Sadia Anwar"/>
    <s v="Lahore"/>
    <s v="Phone"/>
    <s v="Refund Request"/>
    <s v="Low"/>
    <n v="48"/>
    <s v="Closed"/>
    <d v="2026-05-31T00:59:00"/>
    <s v="No"/>
    <n v="1"/>
    <s v="Repeat Issue From Same Customer"/>
    <n v="24.816666666709352"/>
  </r>
  <r>
    <s v="TCK-22954"/>
    <d v="2026-02-23T08:28:00"/>
    <x v="3"/>
    <s v="Iqra Basit"/>
    <s v="Multan"/>
    <s v="Chat"/>
    <s v="Account Access"/>
    <s v="High"/>
    <n v="8"/>
    <s v="In Progress"/>
    <s v="Missing Resolve Date"/>
    <s v="No"/>
    <m/>
    <s v="Repeat Issue From Same Customer"/>
    <s v=""/>
  </r>
  <r>
    <s v="TCK-22793"/>
    <d v="2026-01-24T13:29:00"/>
    <x v="0"/>
    <s v="Rehan Qureshi"/>
    <s v="Multan"/>
    <s v="Email"/>
    <s v="Account Access"/>
    <s v="Low"/>
    <n v="48"/>
    <s v="In Progress"/>
    <s v="Missing Resolve Date"/>
    <s v="No"/>
    <m/>
    <s v="Required Follow-Up Call"/>
    <s v=""/>
  </r>
  <r>
    <s v="TCK-21491"/>
    <d v="2026-04-27T04:16:00"/>
    <x v="1"/>
    <s v="Zara Hussain"/>
    <s v="Peshawar"/>
    <s v="Phone"/>
    <s v="Account Access"/>
    <s v="Low"/>
    <n v="48"/>
    <s v="Closed"/>
    <d v="2026-05-03T03:33:00"/>
    <s v="No"/>
    <m/>
    <s v="Customer Requested Refund"/>
    <n v="143.28333333344199"/>
  </r>
  <r>
    <s v="TCK-22421"/>
    <d v="2026-08-27T03:27:00"/>
    <x v="1"/>
    <s v="Ayaan Khalid"/>
    <s v="Faisalabad"/>
    <s v="Email"/>
    <s v="Billing Issue"/>
    <s v="Medium"/>
    <n v="24"/>
    <s v="Closed"/>
    <d v="2026-08-27T05:24:00"/>
    <s v="No"/>
    <n v="3"/>
    <s v="Repeat Issue From Same Customer"/>
    <n v="1.9499999998952262"/>
  </r>
  <r>
    <s v="TCK-22476"/>
    <d v="2026-04-24T20:31:00"/>
    <x v="0"/>
    <s v="Sadia Anwar"/>
    <s v="Multan"/>
    <s v="Portal"/>
    <s v="Technical Issue"/>
    <s v="High"/>
    <n v="8"/>
    <s v="Escalated"/>
    <s v="Missing Resolve Date"/>
    <s v="Yes"/>
    <m/>
    <s v="Technical Issue Resolved Remotely"/>
    <s v=""/>
  </r>
  <r>
    <s v="TCK-22681"/>
    <d v="2026-07-03T16:17:00"/>
    <x v="2"/>
    <s v="Bilal Chaudhry"/>
    <s v="Peshawar"/>
    <s v="Email"/>
    <s v="General Inquiry"/>
    <s v="Low"/>
    <n v="48"/>
    <s v="Resolved"/>
    <d v="2026-07-03T21:18:00"/>
    <s v="No"/>
    <m/>
    <s v="Repeat Issue From Same Customer"/>
    <n v="5.0166666666045785"/>
  </r>
  <r>
    <s v="TCK-20185"/>
    <d v="2026-07-18T20:50:00"/>
    <x v="3"/>
    <s v="Talha Nadeem"/>
    <s v="Rawalpindi"/>
    <s v="Phone"/>
    <s v="Account Access"/>
    <s v="High"/>
    <n v="8"/>
    <s v="Closed"/>
    <d v="2026-07-18T22:30:00"/>
    <s v="No"/>
    <n v="4"/>
    <s v="Awaiting Customer Response"/>
    <n v="1.6666666666860692"/>
  </r>
  <r>
    <s v="TCK-20477"/>
    <d v="2026-02-16T18:24:00"/>
    <x v="1"/>
    <s v="Ayaan Khalid"/>
    <s v="Islamabad"/>
    <s v="Chat"/>
    <s v="Billing Issue"/>
    <s v="Medium"/>
    <n v="24"/>
    <s v="Closed"/>
    <d v="2026-02-17T03:00:00"/>
    <s v="No"/>
    <m/>
    <s v="Not Specified"/>
    <n v="8.5999999999185093"/>
  </r>
  <r>
    <s v="TCK-22571"/>
    <d v="2026-01-19T18:33:00"/>
    <x v="1"/>
    <s v="Zara Hussain"/>
    <s v="Karachi"/>
    <s v="Phone"/>
    <s v="Technical Issue"/>
    <s v="Low"/>
    <n v="48"/>
    <s v="Resolved"/>
    <d v="2026-01-19T23:30:00"/>
    <s v="No"/>
    <n v="2"/>
    <s v="Awaiting Customer Response"/>
    <n v="4.9499999998952262"/>
  </r>
  <r>
    <s v="TCK-20884"/>
    <d v="2026-06-22T23:35:00"/>
    <x v="0"/>
    <s v="Sadia Anwar"/>
    <s v="Lahore"/>
    <s v="Chat"/>
    <s v="Refund Request"/>
    <s v="High"/>
    <n v="8"/>
    <s v="Closed"/>
    <d v="2026-06-23T04:59:00"/>
    <s v="No"/>
    <n v="4"/>
    <s v="Not Specified"/>
    <n v="5.3999999999650754"/>
  </r>
  <r>
    <s v="TCK-22981"/>
    <d v="2026-01-21T00:06:00"/>
    <x v="0"/>
    <s v="Rehan Qureshi"/>
    <s v="Peshawar"/>
    <s v="Email"/>
    <s v="Delivery Delay"/>
    <s v="Medium"/>
    <n v="24"/>
    <s v="In Progress"/>
    <s v="Missing Resolve Date"/>
    <s v="No"/>
    <m/>
    <s v="Escalated To Senior Agent"/>
    <s v=""/>
  </r>
  <r>
    <s v="TCK-21036"/>
    <d v="2026-05-18T05:49:00"/>
    <x v="1"/>
    <s v="Zara Hussain"/>
    <s v="Karachi"/>
    <s v="Portal"/>
    <s v="Billing Issue"/>
    <s v="High"/>
    <n v="8"/>
    <s v="Closed"/>
    <s v="Missing Resolve Date"/>
    <s v="No"/>
    <m/>
    <s v="Not Specified"/>
    <s v=""/>
  </r>
  <r>
    <s v="TCK-21482"/>
    <d v="2026-02-20T01:05:00"/>
    <x v="1"/>
    <s v="Zara Hussain"/>
    <s v="Faisalabad"/>
    <s v="Email"/>
    <s v="Account Access"/>
    <s v="High"/>
    <n v="8"/>
    <s v="Resolved"/>
    <d v="2026-02-20T04:56:00"/>
    <s v="No"/>
    <m/>
    <s v="Customer Satisfied With Resolution"/>
    <n v="3.8499999999767169"/>
  </r>
  <r>
    <s v="TCK-20865"/>
    <d v="2026-06-29T04:32:00"/>
    <x v="2"/>
    <s v="Bilal Chaudhry"/>
    <s v="Islamabad"/>
    <s v="Email"/>
    <s v="Refund Request"/>
    <s v="Low"/>
    <n v="48"/>
    <s v="Resolved"/>
    <d v="2026-06-29T19:16:00"/>
    <s v="No"/>
    <n v="2"/>
    <s v="Awaiting Customer Response"/>
    <n v="14.733333333337214"/>
  </r>
  <r>
    <s v="TCK-22299"/>
    <d v="2026-07-23T16:38:00"/>
    <x v="2"/>
    <s v="Bilal Chaudhry"/>
    <s v="Karachi"/>
    <s v="Phone"/>
    <s v="Delivery Delay"/>
    <s v="Medium"/>
    <n v="24"/>
    <s v="Closed"/>
    <d v="2026-07-24T22:50:00"/>
    <s v="No"/>
    <m/>
    <s v="Escalated To Senior Agent"/>
    <n v="30.199999999953434"/>
  </r>
  <r>
    <s v="TCK-22721"/>
    <d v="2026-06-04T15:09:00"/>
    <x v="1"/>
    <s v="Zara Hussain"/>
    <s v="Islamabad"/>
    <s v="Portal"/>
    <s v="Delivery Delay"/>
    <s v="Low"/>
    <n v="48"/>
    <s v="Resolved"/>
    <d v="2026-06-09T17:14:00"/>
    <s v="No"/>
    <m/>
    <s v="Resolved On First Contact"/>
    <n v="122.08333333331393"/>
  </r>
  <r>
    <s v="TCK-20489"/>
    <d v="2026-08-20T07:48:00"/>
    <x v="3"/>
    <s v="Iqra Basit"/>
    <s v="Peshawar"/>
    <s v="Phone"/>
    <s v="General Inquiry"/>
    <s v="Medium"/>
    <n v="24"/>
    <s v="Closed"/>
    <d v="2026-08-22T06:44:00"/>
    <s v="No"/>
    <n v="1"/>
    <s v="Awaiting Customer Response"/>
    <n v="46.933333333348855"/>
  </r>
  <r>
    <s v="TCK-21291"/>
    <d v="2026-06-19T23:48:00"/>
    <x v="1"/>
    <s v="Zara Hussain"/>
    <s v="Multan"/>
    <s v="Portal"/>
    <s v="Account Access"/>
    <s v="Medium"/>
    <n v="24"/>
    <s v="Closed"/>
    <d v="2026-06-20T12:12:00"/>
    <s v="No"/>
    <n v="2"/>
    <s v="Resolved On First Contact"/>
    <n v="12.399999999906868"/>
  </r>
  <r>
    <s v="TCK-22342"/>
    <d v="2026-08-07T12:23:00"/>
    <x v="1"/>
    <s v="Zara Hussain"/>
    <s v="Lahore"/>
    <s v="Email"/>
    <s v="General Inquiry"/>
    <s v="High"/>
    <n v="8"/>
    <s v="Open"/>
    <s v="Missing Resolve Date"/>
    <s v="No"/>
    <m/>
    <s v="Customer Satisfied With Resolution"/>
    <s v=""/>
  </r>
  <r>
    <s v="TCK-21648"/>
    <d v="2026-05-03T01:23:00"/>
    <x v="1"/>
    <s v="Ayaan Khalid"/>
    <s v="Karachi"/>
    <s v="Portal"/>
    <s v="Billing Issue"/>
    <s v="High"/>
    <n v="8"/>
    <s v="Open"/>
    <s v="Missing Resolve Date"/>
    <s v="Yes"/>
    <m/>
    <s v="Customer Satisfied With Resolution"/>
    <s v=""/>
  </r>
  <r>
    <s v="TCK-22473"/>
    <d v="2026-02-04T03:06:00"/>
    <x v="1"/>
    <s v="Ayaan Khalid"/>
    <s v="Rawalpindi"/>
    <s v="Portal"/>
    <s v="Refund Request"/>
    <s v="Low"/>
    <n v="48"/>
    <s v="In Progress"/>
    <s v="Missing Resolve Date"/>
    <s v="No"/>
    <m/>
    <s v="Resolved On First Contact"/>
    <s v=""/>
  </r>
  <r>
    <s v="TCK-22336"/>
    <d v="2026-06-19T00:58:00"/>
    <x v="1"/>
    <s v="Ayaan Khalid"/>
    <s v="Peshawar"/>
    <s v="Portal"/>
    <s v="Billing Issue"/>
    <s v="Medium"/>
    <n v="24"/>
    <s v="Closed"/>
    <d v="2026-06-19T12:24:00"/>
    <s v="No"/>
    <n v="1"/>
    <s v="Not Specified"/>
    <n v="11.433333333407063"/>
  </r>
  <r>
    <s v="TCK-22668"/>
    <d v="2026-02-13T08:01:00"/>
    <x v="1"/>
    <s v="Zara Hussain"/>
    <s v="Peshawar"/>
    <s v="Chat"/>
    <s v="General Inquiry"/>
    <s v="Critical"/>
    <n v="4"/>
    <s v="Resolved"/>
    <d v="2026-02-13T10:22:00"/>
    <s v="No"/>
    <n v="5"/>
    <s v="Required Follow-Up Call"/>
    <n v="2.3499999999767169"/>
  </r>
  <r>
    <s v="TCK-22272"/>
    <d v="2026-03-16T18:40:00"/>
    <x v="3"/>
    <s v="Iqra Basit"/>
    <s v="Multan"/>
    <s v="Chat"/>
    <s v="Billing Issue"/>
    <s v="Low"/>
    <n v="48"/>
    <s v="Escalated"/>
    <s v="Missing Resolve Date"/>
    <s v="Yes"/>
    <m/>
    <s v="Not Specified"/>
    <s v=""/>
  </r>
  <r>
    <s v="TCK-20272"/>
    <d v="2026-02-08T00:12:00"/>
    <x v="1"/>
    <s v="Zara Hussain"/>
    <s v="Multan"/>
    <s v="Email"/>
    <s v="Account Access"/>
    <s v="Medium"/>
    <n v="24"/>
    <s v="Escalated"/>
    <s v="Missing Resolve Date"/>
    <s v="Yes"/>
    <m/>
    <s v="Not Specified"/>
    <s v=""/>
  </r>
  <r>
    <s v="TCK-21564"/>
    <d v="2026-01-25T23:18:00"/>
    <x v="0"/>
    <s v="Rehan Qureshi"/>
    <s v="Faisalabad"/>
    <s v="Chat"/>
    <s v="Technical Issue"/>
    <s v="High"/>
    <n v="8"/>
    <s v="Resolved"/>
    <d v="2026-01-26T04:55:00"/>
    <s v="No"/>
    <m/>
    <s v="Customer Satisfied With Resolution"/>
    <n v="5.6166666666395031"/>
  </r>
  <r>
    <s v="TCK-22451"/>
    <d v="2026-01-30T12:11:00"/>
    <x v="0"/>
    <s v="Rehan Qureshi"/>
    <s v="Peshawar"/>
    <s v="Email"/>
    <s v="Refund Request"/>
    <s v="Medium"/>
    <n v="24"/>
    <s v="Open"/>
    <s v="Missing Resolve Date"/>
    <s v="No"/>
    <m/>
    <s v="Customer Satisfied With Resolution"/>
    <s v=""/>
  </r>
  <r>
    <s v="TCK-22726"/>
    <d v="2026-04-16T08:35:00"/>
    <x v="1"/>
    <s v="Zara Hussain"/>
    <s v="Peshawar"/>
    <s v="Portal"/>
    <s v="Account Access"/>
    <s v="High"/>
    <n v="8"/>
    <s v="Resolved"/>
    <d v="2026-04-16T09:14:00"/>
    <s v="No"/>
    <m/>
    <s v="Escalated To Senior Agent"/>
    <n v="0.65000000002328306"/>
  </r>
  <r>
    <s v="TCK-21075"/>
    <d v="2026-07-19T03:25:00"/>
    <x v="3"/>
    <s v="Talha Nadeem"/>
    <s v="Karachi"/>
    <s v="Phone"/>
    <s v="Account Access"/>
    <s v="Medium"/>
    <n v="24"/>
    <s v="In Progress"/>
    <s v="Missing Resolve Date"/>
    <s v="No"/>
    <m/>
    <s v="Awaiting Customer Response"/>
    <s v=""/>
  </r>
  <r>
    <s v="TCK-22311"/>
    <d v="2026-08-29T18:47:00"/>
    <x v="1"/>
    <s v="Zara Hussain"/>
    <s v="Lahore"/>
    <s v="Email"/>
    <s v="Delivery Delay"/>
    <s v="High"/>
    <n v="8"/>
    <s v="Resolved"/>
    <d v="2026-08-30T17:07:00"/>
    <s v="No"/>
    <n v="1"/>
    <s v="Escalated To Senior Agent"/>
    <n v="22.333333333313931"/>
  </r>
  <r>
    <s v="TCK-22303"/>
    <d v="2026-05-06T01:20:00"/>
    <x v="0"/>
    <s v="Rehan Qureshi"/>
    <s v="Karachi"/>
    <s v="Email"/>
    <s v="Billing Issue"/>
    <s v="Low"/>
    <n v="48"/>
    <s v="Closed"/>
    <d v="2026-05-07T15:52:00"/>
    <s v="No"/>
    <m/>
    <s v="Required Follow-Up Call"/>
    <n v="38.53333333338378"/>
  </r>
  <r>
    <s v="TCK-23028"/>
    <d v="2026-03-21T00:37:00"/>
    <x v="3"/>
    <s v="Talha Nadeem"/>
    <s v="Lahore"/>
    <s v="Chat"/>
    <s v="Technical Issue"/>
    <s v="Medium"/>
    <n v="24"/>
    <s v="Resolved"/>
    <d v="2026-03-22T15:23:00"/>
    <s v="No"/>
    <n v="5"/>
    <s v="Escalated To Senior Agent"/>
    <n v="38.766666666779201"/>
  </r>
  <r>
    <s v="TCK-20564"/>
    <d v="2026-02-25T16:10:00"/>
    <x v="0"/>
    <s v="Rehan Qureshi"/>
    <s v="Lahore"/>
    <s v="Email"/>
    <s v="Billing Issue"/>
    <s v="High"/>
    <n v="8"/>
    <s v="Resolved"/>
    <d v="2026-02-25T17:19:00"/>
    <s v="No"/>
    <n v="1"/>
    <s v="Not Specified"/>
    <n v="1.1500000000814907"/>
  </r>
  <r>
    <s v="TCK-23186"/>
    <d v="2026-02-28T22:54:00"/>
    <x v="2"/>
    <s v="Mahnoor Aslam"/>
    <s v="Multan"/>
    <s v="Portal"/>
    <s v="Refund Request"/>
    <s v="High"/>
    <n v="8"/>
    <s v="Resolved"/>
    <d v="2026-03-01T04:25:00"/>
    <s v="No"/>
    <n v="5"/>
    <s v="Not Specified"/>
    <n v="5.5166666666627862"/>
  </r>
  <r>
    <s v="TCK-20620"/>
    <d v="2026-06-23T09:05:00"/>
    <x v="2"/>
    <s v="Mahnoor Aslam"/>
    <s v="Karachi"/>
    <s v="Chat"/>
    <s v="General Inquiry"/>
    <s v="Medium"/>
    <n v="24"/>
    <s v="Resolved"/>
    <d v="2026-06-24T23:24:00"/>
    <s v="No"/>
    <m/>
    <s v="Not Specified"/>
    <n v="38.316666666709352"/>
  </r>
  <r>
    <s v="TCK-21887"/>
    <d v="2026-05-11T21:32:00"/>
    <x v="0"/>
    <s v="Sadia Anwar"/>
    <s v="Peshawar"/>
    <s v="Portal"/>
    <s v="Technical Issue"/>
    <s v="Low"/>
    <n v="48"/>
    <s v="Resolved"/>
    <d v="2026-05-13T15:47:00"/>
    <s v="Yes"/>
    <n v="5"/>
    <s v="Technical Issue Resolved Remotely"/>
    <n v="42.249999999941792"/>
  </r>
  <r>
    <s v="TCK-23083"/>
    <d v="2026-06-24T01:00:00"/>
    <x v="0"/>
    <s v="Rehan Qureshi"/>
    <s v="Faisalabad"/>
    <s v="Portal"/>
    <s v="Technical Issue"/>
    <s v="Medium"/>
    <n v="24"/>
    <s v="Resolved"/>
    <d v="2026-06-24T10:50:00"/>
    <s v="Yes"/>
    <n v="5"/>
    <s v="Not Specified"/>
    <n v="9.8333333334303461"/>
  </r>
  <r>
    <s v="TCK-21835"/>
    <d v="2026-01-18T08:41:00"/>
    <x v="3"/>
    <s v="Talha Nadeem"/>
    <s v="Karachi"/>
    <s v="Chat"/>
    <s v="Billing Issue"/>
    <s v="Low"/>
    <n v="48"/>
    <s v="Re-Opened"/>
    <d v="2026-01-20T02:56:00"/>
    <s v="No"/>
    <m/>
    <s v="Not Specified"/>
    <n v="42.249999999941792"/>
  </r>
  <r>
    <s v="TCK-20406"/>
    <d v="2026-04-14T21:40:00"/>
    <x v="2"/>
    <s v="Bilal Chaudhry"/>
    <s v="Peshawar"/>
    <s v="Portal"/>
    <s v="Technical Issue"/>
    <s v="Low"/>
    <n v="48"/>
    <s v="Resolved"/>
    <d v="2026-04-15T06:39:00"/>
    <s v="No"/>
    <m/>
    <s v="Technical Issue Resolved Remotely"/>
    <n v="8.9833333332790062"/>
  </r>
  <r>
    <s v="TCK-21871"/>
    <d v="2026-02-05T11:06:00"/>
    <x v="3"/>
    <s v="Iqra Basit"/>
    <s v="Islamabad"/>
    <s v="Portal"/>
    <s v="Technical Issue"/>
    <s v="High"/>
    <n v="8"/>
    <s v="Resolved"/>
    <d v="2026-02-05T19:54:00"/>
    <s v="No"/>
    <n v="2"/>
    <s v="Not Specified"/>
    <n v="8.8000000000465661"/>
  </r>
  <r>
    <s v="TCK-20303"/>
    <d v="2026-01-28T16:39:00"/>
    <x v="1"/>
    <s v="Zara Hussain"/>
    <s v="Karachi"/>
    <s v="Portal"/>
    <s v="General Inquiry"/>
    <s v="Low"/>
    <n v="48"/>
    <s v="Closed"/>
    <d v="2026-02-01T19:22:00"/>
    <s v="No"/>
    <n v="5"/>
    <s v="Required Follow-Up Call"/>
    <n v="98.71666666661622"/>
  </r>
  <r>
    <s v="TCK-21054"/>
    <d v="2026-04-02T21:04:00"/>
    <x v="3"/>
    <s v="Talha Nadeem"/>
    <s v="Faisalabad"/>
    <s v="Email"/>
    <s v="Refund Request"/>
    <s v="Critical"/>
    <n v="4"/>
    <s v="Closed"/>
    <d v="2026-04-03T00:33:00"/>
    <s v="No"/>
    <n v="5"/>
    <s v="Awaiting Customer Response"/>
    <n v="3.4833333333372138"/>
  </r>
  <r>
    <s v="TCK-21816"/>
    <d v="2026-03-04T21:15:00"/>
    <x v="1"/>
    <s v="Ayaan Khalid"/>
    <s v="Peshawar"/>
    <s v="Email"/>
    <s v="General Inquiry"/>
    <s v="Low"/>
    <n v="48"/>
    <s v="Closed"/>
    <d v="2026-03-08T01:22:00"/>
    <s v="No"/>
    <n v="5"/>
    <s v="Repeat Issue From Same Customer"/>
    <n v="76.116666666639503"/>
  </r>
  <r>
    <s v="TCK-21728"/>
    <d v="2026-03-31T11:23:00"/>
    <x v="1"/>
    <s v="Zara Hussain"/>
    <s v="Islamabad"/>
    <s v="Phone"/>
    <s v="Billing Issue"/>
    <s v="Medium"/>
    <n v="24"/>
    <s v="Open"/>
    <s v="Missing Resolve Date"/>
    <s v="Yes"/>
    <m/>
    <s v="Required Follow-Up Call"/>
    <s v=""/>
  </r>
  <r>
    <s v="TCK-21228"/>
    <d v="2026-05-14T07:37:00"/>
    <x v="3"/>
    <s v="Talha Nadeem"/>
    <s v="Islamabad"/>
    <s v="Email"/>
    <s v="Delivery Delay"/>
    <s v="Medium"/>
    <n v="24"/>
    <s v="Escalated"/>
    <s v="Missing Resolve Date"/>
    <s v="Yes"/>
    <m/>
    <s v="Not Specified"/>
    <s v=""/>
  </r>
  <r>
    <s v="TCK-21860"/>
    <d v="2026-05-07T12:58:00"/>
    <x v="1"/>
    <s v="Ayaan Khalid"/>
    <s v="Peshawar"/>
    <s v="Chat"/>
    <s v="General Inquiry"/>
    <s v="High"/>
    <n v="8"/>
    <s v="Resolved"/>
    <d v="2026-05-07T14:05:00"/>
    <s v="No"/>
    <n v="4"/>
    <s v="Technical Issue Resolved Remotely"/>
    <n v="1.1166666666395031"/>
  </r>
  <r>
    <s v="TCK-22593"/>
    <d v="2026-08-08T15:08:00"/>
    <x v="2"/>
    <s v="Bilal Chaudhry"/>
    <s v="Karachi"/>
    <s v="Email"/>
    <s v="Billing Issue"/>
    <s v="Low"/>
    <n v="48"/>
    <s v="Escalated"/>
    <s v="Missing Resolve Date"/>
    <s v="Yes"/>
    <m/>
    <s v="Customer Requested Refund"/>
    <s v=""/>
  </r>
  <r>
    <s v="TCK-22841"/>
    <d v="2026-07-14T00:00:00"/>
    <x v="3"/>
    <s v="Talha Nadeem"/>
    <s v="Faisalabad"/>
    <s v="Portal"/>
    <s v="Delivery Delay"/>
    <s v="Medium"/>
    <n v="24"/>
    <s v="Resolved"/>
    <d v="2026-07-14T08:05:00"/>
    <s v="No"/>
    <n v="5"/>
    <s v="Resolved On First Contact"/>
    <n v="8.0833333333139308"/>
  </r>
  <r>
    <s v="TCK-21807"/>
    <d v="2026-01-12T12:53:00"/>
    <x v="3"/>
    <s v="Talha Nadeem"/>
    <s v="Faisalabad"/>
    <s v="Portal"/>
    <s v="Technical Issue"/>
    <s v="High"/>
    <n v="8"/>
    <s v="Resolved"/>
    <s v="Missing Resolve Date"/>
    <s v="No"/>
    <n v="4"/>
    <s v="Technical Issue Resolved Remotely"/>
    <s v=""/>
  </r>
  <r>
    <s v="TCK-20901"/>
    <d v="2026-08-25T09:47:00"/>
    <x v="3"/>
    <s v="Iqra Basit"/>
    <s v="Karachi"/>
    <s v="Portal"/>
    <s v="General Inquiry"/>
    <s v="Low"/>
    <n v="48"/>
    <s v="Escalated"/>
    <s v="Missing Resolve Date"/>
    <s v="Yes"/>
    <m/>
    <s v="Customer Requested Refund"/>
    <s v=""/>
  </r>
  <r>
    <s v="TCK-21246"/>
    <d v="2026-06-07T11:40:00"/>
    <x v="0"/>
    <s v="Sadia Anwar"/>
    <s v="Lahore"/>
    <s v="Portal"/>
    <s v="General Inquiry"/>
    <s v="Medium"/>
    <n v="24"/>
    <s v="Resolved"/>
    <d v="2026-06-08T06:00:00"/>
    <s v="No"/>
    <n v="5"/>
    <s v="Required Follow-Up Call"/>
    <n v="18.333333333372138"/>
  </r>
  <r>
    <s v="TCK-23176"/>
    <d v="2026-07-15T13:47:00"/>
    <x v="2"/>
    <s v="Mahnoor Aslam"/>
    <s v="Karachi"/>
    <s v="Email"/>
    <s v="General Inquiry"/>
    <s v="Critical"/>
    <n v="4"/>
    <s v="In Progress"/>
    <s v="Missing Resolve Date"/>
    <s v="No"/>
    <m/>
    <s v="Required Follow-Up Call"/>
    <s v=""/>
  </r>
  <r>
    <s v="TCK-21492"/>
    <d v="2026-01-25T21:49:00"/>
    <x v="1"/>
    <s v="Ayaan Khalid"/>
    <s v="Faisalabad"/>
    <s v="Phone"/>
    <s v="Refund Request"/>
    <s v="Critical"/>
    <n v="4"/>
    <s v="Resolved"/>
    <d v="2026-01-26T01:15:00"/>
    <s v="No"/>
    <n v="5"/>
    <s v="Escalated To Senior Agent"/>
    <n v="3.4333333333488554"/>
  </r>
  <r>
    <s v="TCK-22091"/>
    <d v="2026-05-11T06:11:00"/>
    <x v="3"/>
    <s v="Talha Nadeem"/>
    <s v="Faisalabad"/>
    <s v="Phone"/>
    <s v="Refund Request"/>
    <s v="Medium"/>
    <n v="24"/>
    <s v="Resolved"/>
    <d v="2026-05-11T22:43:00"/>
    <s v="No"/>
    <m/>
    <s v="Escalated To Senior Agent"/>
    <n v="16.533333333267365"/>
  </r>
  <r>
    <s v="TCK-21544"/>
    <d v="2026-08-14T10:57:00"/>
    <x v="0"/>
    <s v="Rehan Qureshi"/>
    <s v="Islamabad"/>
    <s v="Chat"/>
    <s v="Refund Request"/>
    <s v="Low"/>
    <n v="48"/>
    <s v="Resolved"/>
    <d v="2026-08-17T02:49:00"/>
    <s v="No"/>
    <m/>
    <s v="Required Follow-Up Call"/>
    <n v="63.866666666523088"/>
  </r>
  <r>
    <s v="TCK-22003"/>
    <d v="2026-08-22T18:55:00"/>
    <x v="0"/>
    <s v="Rehan Qureshi"/>
    <s v="Faisalabad"/>
    <s v="Chat"/>
    <s v="Billing Issue"/>
    <s v="Critical"/>
    <n v="4"/>
    <s v="Escalated"/>
    <s v="Missing Resolve Date"/>
    <s v="Yes"/>
    <m/>
    <s v="Escalated To Senior Agent"/>
    <s v=""/>
  </r>
  <r>
    <s v="TCK-22435"/>
    <d v="2026-05-24T06:45:00"/>
    <x v="3"/>
    <s v="Talha Nadeem"/>
    <s v="Faisalabad"/>
    <s v="Phone"/>
    <s v="Billing Issue"/>
    <s v="High"/>
    <n v="8"/>
    <s v="Resolved"/>
    <d v="2026-05-24T17:58:00"/>
    <s v="No"/>
    <n v="4"/>
    <s v="Customer Requested Refund"/>
    <n v="11.216666666732635"/>
  </r>
  <r>
    <s v="TCK-20813"/>
    <d v="2026-05-10T15:33:00"/>
    <x v="2"/>
    <s v="Bilal Chaudhry"/>
    <s v="Islamabad"/>
    <s v="Email"/>
    <s v="Technical Issue"/>
    <s v="Low"/>
    <n v="48"/>
    <s v="Resolved"/>
    <d v="2026-05-14T11:03:00"/>
    <s v="No"/>
    <m/>
    <s v="Customer Requested Refund"/>
    <n v="91.5"/>
  </r>
  <r>
    <s v="TCK-20563"/>
    <d v="2026-08-17T03:51:00"/>
    <x v="0"/>
    <s v="Rehan Qureshi"/>
    <s v="Peshawar"/>
    <s v="Chat"/>
    <s v="Refund Request"/>
    <s v="High"/>
    <n v="8"/>
    <s v="Escalated"/>
    <s v="Missing Resolve Date"/>
    <s v="Yes"/>
    <m/>
    <s v="Required Follow-Up Call"/>
    <s v=""/>
  </r>
  <r>
    <s v="TCK-22195"/>
    <d v="2026-08-20T11:19:00"/>
    <x v="0"/>
    <s v="Sadia Anwar"/>
    <s v="Islamabad"/>
    <s v="Email"/>
    <s v="Technical Issue"/>
    <s v="Medium"/>
    <n v="24"/>
    <s v="Resolved"/>
    <d v="2026-08-22T18:06:00"/>
    <s v="No"/>
    <n v="3"/>
    <s v="Not Specified"/>
    <n v="54.783333333267365"/>
  </r>
  <r>
    <s v="TCK-21205"/>
    <d v="2026-06-27T00:05:00"/>
    <x v="2"/>
    <s v="Mahnoor Aslam"/>
    <s v="Karachi"/>
    <s v="Email"/>
    <s v="Technical Issue"/>
    <s v="Critical"/>
    <n v="4"/>
    <s v="Escalated"/>
    <s v="Missing Resolve Date"/>
    <s v="Yes"/>
    <m/>
    <s v="Customer Requested Refund"/>
    <s v=""/>
  </r>
  <r>
    <s v="TCK-23124"/>
    <d v="2026-07-11T00:56:00"/>
    <x v="2"/>
    <s v="Mahnoor Aslam"/>
    <s v="Islamabad"/>
    <s v="Email"/>
    <s v="Delivery Delay"/>
    <s v="Low"/>
    <n v="48"/>
    <s v="Resolved"/>
    <d v="2026-07-11T20:28:00"/>
    <s v="No"/>
    <n v="4"/>
    <s v="Required Follow-Up Call"/>
    <n v="19.533333333267365"/>
  </r>
  <r>
    <s v="TCK-20744"/>
    <d v="2026-07-18T08:08:00"/>
    <x v="2"/>
    <s v="Bilal Chaudhry"/>
    <s v="Rawalpindi"/>
    <s v="Chat"/>
    <s v="Technical Issue"/>
    <s v="High"/>
    <n v="8"/>
    <s v="Escalated"/>
    <s v="Missing Resolve Date"/>
    <s v="Yes"/>
    <m/>
    <s v="Escalated To Senior Agent"/>
    <s v=""/>
  </r>
  <r>
    <s v="TCK-21869"/>
    <d v="2026-04-13T17:06:00"/>
    <x v="0"/>
    <s v="Rehan Qureshi"/>
    <s v="Karachi"/>
    <s v="Chat"/>
    <s v="Billing Issue"/>
    <s v="Medium"/>
    <n v="24"/>
    <s v="Closed"/>
    <d v="2026-04-13T18:33:00"/>
    <s v="No"/>
    <m/>
    <s v="Customer Requested Refund"/>
    <n v="1.4500000000116415"/>
  </r>
  <r>
    <s v="TCK-21661"/>
    <d v="2026-01-30T00:52:00"/>
    <x v="1"/>
    <s v="Ayaan Khalid"/>
    <s v="Karachi"/>
    <s v="Phone"/>
    <s v="Account Access"/>
    <s v="Medium"/>
    <n v="24"/>
    <s v="Resolved"/>
    <d v="2026-01-31T15:14:00"/>
    <s v="No"/>
    <n v="5"/>
    <s v="Repeat Issue From Same Customer"/>
    <n v="38.366666666697711"/>
  </r>
  <r>
    <s v="TCK-20276"/>
    <d v="2026-07-17T02:44:00"/>
    <x v="3"/>
    <s v="Iqra Basit"/>
    <s v="Rawalpindi"/>
    <s v="Email"/>
    <s v="Refund Request"/>
    <s v="High"/>
    <n v="8"/>
    <s v="Resolved"/>
    <d v="2026-07-17T05:39:00"/>
    <s v="No"/>
    <n v="2"/>
    <s v="Awaiting Customer Response"/>
    <n v="2.9166666667442769"/>
  </r>
  <r>
    <s v="TCK-21806"/>
    <d v="2026-03-03T05:50:00"/>
    <x v="3"/>
    <s v="Iqra Basit"/>
    <s v="Rawalpindi"/>
    <s v="Email"/>
    <s v="Billing Issue"/>
    <s v="Critical"/>
    <n v="4"/>
    <s v="Resolved"/>
    <d v="2026-03-03T08:42:00"/>
    <s v="No"/>
    <m/>
    <s v="Technical Issue Resolved Remotely"/>
    <n v="2.8666666667559184"/>
  </r>
  <r>
    <s v="TCK-20684"/>
    <d v="2026-03-05T16:54:00"/>
    <x v="1"/>
    <s v="Ayaan Khalid"/>
    <s v="Rawalpindi"/>
    <s v="Portal"/>
    <s v="Account Access"/>
    <s v="Low"/>
    <n v="48"/>
    <s v="Open"/>
    <s v="Missing Resolve Date"/>
    <s v="No"/>
    <m/>
    <s v="Resolved On First Contact"/>
    <s v=""/>
  </r>
  <r>
    <s v="TCK-20278"/>
    <d v="2026-07-11T16:07:00"/>
    <x v="2"/>
    <s v="Mahnoor Aslam"/>
    <s v="Faisalabad"/>
    <s v="Chat"/>
    <s v="Technical Issue"/>
    <s v="High"/>
    <n v="8"/>
    <s v="Resolved"/>
    <s v="Missing Resolve Date"/>
    <s v="No"/>
    <n v="5"/>
    <s v="Not Specified"/>
    <s v=""/>
  </r>
  <r>
    <s v="TCK-21829"/>
    <d v="2026-06-29T08:19:00"/>
    <x v="2"/>
    <s v="Mahnoor Aslam"/>
    <s v="Islamabad"/>
    <s v="Portal"/>
    <s v="Refund Request"/>
    <s v="Low"/>
    <n v="48"/>
    <s v="Resolved"/>
    <d v="2026-06-29T09:53:00"/>
    <s v="No"/>
    <n v="5"/>
    <s v="Customer Requested Refund"/>
    <n v="1.5666666667093523"/>
  </r>
  <r>
    <s v="TCK-20923"/>
    <d v="2026-07-29T10:00:00"/>
    <x v="2"/>
    <s v="Mahnoor Aslam"/>
    <s v="Karachi"/>
    <s v="Phone"/>
    <s v="Billing Issue"/>
    <s v="Medium"/>
    <n v="24"/>
    <s v="Resolved"/>
    <d v="2026-07-29T23:45:00"/>
    <s v="No"/>
    <n v="5"/>
    <s v="Awaiting Customer Response"/>
    <n v="13.750000000116415"/>
  </r>
  <r>
    <s v="TCK-23162"/>
    <d v="2026-03-08T20:15:00"/>
    <x v="1"/>
    <s v="Ayaan Khalid"/>
    <s v="Karachi"/>
    <s v="Email"/>
    <s v="Billing Issue"/>
    <s v="Critical"/>
    <n v="4"/>
    <s v="Open"/>
    <s v="Missing Resolve Date"/>
    <s v="No"/>
    <m/>
    <s v="Resolved On First Contact"/>
    <s v=""/>
  </r>
  <r>
    <s v="TCK-22641"/>
    <d v="2026-06-22T09:09:00"/>
    <x v="2"/>
    <s v="Bilal Chaudhry"/>
    <s v="Rawalpindi"/>
    <s v="Email"/>
    <s v="Refund Request"/>
    <s v="Low"/>
    <n v="48"/>
    <s v="Escalated"/>
    <s v="Missing Resolve Date"/>
    <s v="Yes"/>
    <m/>
    <s v="Technical Issue Resolved Remotely"/>
    <s v=""/>
  </r>
  <r>
    <s v="TCK-21525"/>
    <d v="2026-04-17T00:08:00"/>
    <x v="3"/>
    <s v="Talha Nadeem"/>
    <s v="Rawalpindi"/>
    <s v="Portal"/>
    <s v="Technical Issue"/>
    <s v="Medium"/>
    <n v="24"/>
    <s v="In Progress"/>
    <s v="Missing Resolve Date"/>
    <s v="Yes"/>
    <m/>
    <s v="Resolved On First Contact"/>
    <s v=""/>
  </r>
  <r>
    <s v="TCK-20048"/>
    <d v="2026-08-04T05:00:00"/>
    <x v="1"/>
    <s v="Zara Hussain"/>
    <s v="Islamabad"/>
    <s v="Email"/>
    <s v="Billing Issue"/>
    <s v="Low"/>
    <n v="48"/>
    <s v="Resolved"/>
    <d v="2026-08-05T18:48:00"/>
    <s v="No"/>
    <n v="4"/>
    <s v="Resolved On First Contact"/>
    <n v="37.799999999930151"/>
  </r>
  <r>
    <s v="TCK-22700"/>
    <d v="2026-08-08T01:44:00"/>
    <x v="2"/>
    <s v="Bilal Chaudhry"/>
    <s v="Peshawar"/>
    <s v="Email"/>
    <s v="Technical Issue"/>
    <s v="Low"/>
    <n v="48"/>
    <s v="Closed"/>
    <d v="2026-08-09T14:51:00"/>
    <s v="No"/>
    <n v="2"/>
    <s v="Repeat Issue From Same Customer"/>
    <n v="37.116666666639503"/>
  </r>
  <r>
    <s v="TCK-23043"/>
    <d v="2026-05-11T10:59:00"/>
    <x v="0"/>
    <s v="Sadia Anwar"/>
    <s v="Islamabad"/>
    <s v="Chat"/>
    <s v="Technical Issue"/>
    <s v="High"/>
    <n v="8"/>
    <s v="Closed"/>
    <d v="2026-05-12T08:31:00"/>
    <s v="No"/>
    <m/>
    <s v="Escalated To Senior Agent"/>
    <n v="21.533333333325572"/>
  </r>
  <r>
    <s v="TCK-20648"/>
    <d v="2026-03-22T14:32:00"/>
    <x v="0"/>
    <s v="Rehan Qureshi"/>
    <s v="Multan"/>
    <s v="Chat"/>
    <s v="General Inquiry"/>
    <s v="Critical"/>
    <n v="4"/>
    <s v="Resolved"/>
    <d v="2026-03-22T15:18:00"/>
    <s v="No"/>
    <n v="5"/>
    <s v="Customer Satisfied With Resolution"/>
    <n v="0.76666666654637083"/>
  </r>
  <r>
    <s v="TCK-22078"/>
    <d v="2026-02-02T00:43:00"/>
    <x v="3"/>
    <s v="Talha Nadeem"/>
    <s v="Multan"/>
    <s v="Email"/>
    <s v="General Inquiry"/>
    <s v="High"/>
    <n v="8"/>
    <s v="Resolved"/>
    <d v="2026-02-02T06:26:00"/>
    <s v="Yes"/>
    <n v="5"/>
    <s v="Not Specified"/>
    <n v="5.71666666661622"/>
  </r>
  <r>
    <s v="TCK-22900"/>
    <d v="2026-02-19T14:35:00"/>
    <x v="0"/>
    <s v="Rehan Qureshi"/>
    <s v="Islamabad"/>
    <s v="Phone"/>
    <s v="Account Access"/>
    <s v="High"/>
    <n v="8"/>
    <s v="Closed"/>
    <d v="2026-02-20T10:22:00"/>
    <s v="No"/>
    <m/>
    <s v="Not Specified"/>
    <n v="19.783333333209157"/>
  </r>
  <r>
    <s v="TCK-21888"/>
    <d v="2026-05-12T01:43:00"/>
    <x v="2"/>
    <s v="Mahnoor Aslam"/>
    <s v="Faisalabad"/>
    <s v="Portal"/>
    <s v="Delivery Delay"/>
    <s v="Medium"/>
    <n v="24"/>
    <s v="Resolved"/>
    <d v="2026-05-12T06:15:00"/>
    <s v="No"/>
    <m/>
    <s v="Customer Requested Refund"/>
    <n v="4.5333333332673647"/>
  </r>
  <r>
    <s v="TCK-21854"/>
    <d v="2026-03-16T02:42:00"/>
    <x v="1"/>
    <s v="Ayaan Khalid"/>
    <s v="Multan"/>
    <s v="Email"/>
    <s v="General Inquiry"/>
    <s v="High"/>
    <n v="8"/>
    <s v="In Progress"/>
    <s v="Missing Resolve Date"/>
    <s v="No"/>
    <m/>
    <s v="Not Specified"/>
    <s v=""/>
  </r>
  <r>
    <s v="TCK-20996"/>
    <d v="2026-04-18T13:43:00"/>
    <x v="1"/>
    <s v="Ayaan Khalid"/>
    <s v="Multan"/>
    <s v="Chat"/>
    <s v="Account Access"/>
    <s v="High"/>
    <n v="8"/>
    <s v="Closed"/>
    <d v="2026-04-19T10:18:00"/>
    <s v="No"/>
    <n v="5"/>
    <s v="Required Follow-Up Call"/>
    <n v="20.583333333372138"/>
  </r>
  <r>
    <s v="TCK-20466"/>
    <d v="2026-01-13T00:39:00"/>
    <x v="3"/>
    <s v="Iqra Basit"/>
    <s v="Rawalpindi"/>
    <s v="Email"/>
    <s v="Delivery Delay"/>
    <s v="Medium"/>
    <n v="24"/>
    <s v="Re-Opened"/>
    <d v="2026-01-13T04:28:00"/>
    <s v="No"/>
    <m/>
    <s v="Escalated To Senior Agent"/>
    <n v="3.8166666667093523"/>
  </r>
  <r>
    <s v="TCK-20506"/>
    <d v="2026-04-13T18:31:00"/>
    <x v="2"/>
    <s v="Mahnoor Aslam"/>
    <s v="Faisalabad"/>
    <s v="Portal"/>
    <s v="Delivery Delay"/>
    <s v="Critical"/>
    <n v="4"/>
    <s v="Escalated"/>
    <s v="Missing Resolve Date"/>
    <s v="Yes"/>
    <m/>
    <s v="Resolved On First Contact"/>
    <s v=""/>
  </r>
  <r>
    <s v="TCK-22337"/>
    <d v="2026-04-11T07:00:00"/>
    <x v="2"/>
    <s v="Bilal Chaudhry"/>
    <s v="Karachi"/>
    <s v="Portal"/>
    <s v="Technical Issue"/>
    <s v="Critical"/>
    <n v="4"/>
    <s v="Resolved"/>
    <d v="2026-04-11T08:01:00"/>
    <s v="Yes"/>
    <n v="3"/>
    <s v="Awaiting Customer Response"/>
    <n v="1.0166666666627862"/>
  </r>
  <r>
    <s v="TCK-22465"/>
    <d v="2026-03-12T04:03:00"/>
    <x v="2"/>
    <s v="Mahnoor Aslam"/>
    <s v="Multan"/>
    <s v="Phone"/>
    <s v="General Inquiry"/>
    <s v="Low"/>
    <n v="48"/>
    <s v="In Progress"/>
    <s v="Missing Resolve Date"/>
    <s v="No"/>
    <m/>
    <s v="Customer Requested Refund"/>
    <s v=""/>
  </r>
  <r>
    <s v="TCK-20429"/>
    <d v="2026-05-12T01:28:00"/>
    <x v="3"/>
    <s v="Iqra Basit"/>
    <s v="Lahore"/>
    <s v="Chat"/>
    <s v="Delivery Delay"/>
    <s v="Low"/>
    <n v="48"/>
    <s v="Resolved"/>
    <d v="2026-05-13T00:45:00"/>
    <s v="No"/>
    <m/>
    <s v="Resolved On First Contact"/>
    <n v="23.283333333267365"/>
  </r>
  <r>
    <s v="TCK-22206"/>
    <d v="2026-01-17T02:40:00"/>
    <x v="2"/>
    <s v="Mahnoor Aslam"/>
    <s v="Faisalabad"/>
    <s v="Chat"/>
    <s v="Technical Issue"/>
    <s v="Low"/>
    <n v="48"/>
    <s v="Escalated"/>
    <s v="Missing Resolve Date"/>
    <s v="Yes"/>
    <m/>
    <s v="Escalated To Senior Agent"/>
    <s v=""/>
  </r>
  <r>
    <s v="TCK-22240"/>
    <d v="2026-08-17T04:27:00"/>
    <x v="2"/>
    <s v="Mahnoor Aslam"/>
    <s v="Islamabad"/>
    <s v="Email"/>
    <s v="Billing Issue"/>
    <s v="High"/>
    <n v="8"/>
    <s v="Resolved"/>
    <d v="2026-08-17T14:49:00"/>
    <s v="No"/>
    <m/>
    <s v="Not Specified"/>
    <n v="10.366666666581295"/>
  </r>
  <r>
    <s v="TCK-21890"/>
    <d v="2026-05-24T17:08:00"/>
    <x v="3"/>
    <s v="Talha Nadeem"/>
    <s v="Rawalpindi"/>
    <s v="Portal"/>
    <s v="Billing Issue"/>
    <s v="Low"/>
    <n v="48"/>
    <s v="Resolved"/>
    <d v="2026-05-25T12:17:00"/>
    <s v="No"/>
    <n v="4"/>
    <s v="Technical Issue Resolved Remotely"/>
    <n v="19.150000000081491"/>
  </r>
  <r>
    <s v="TCK-21522"/>
    <d v="2026-06-12T17:59:00"/>
    <x v="1"/>
    <s v="Zara Hussain"/>
    <s v="Karachi"/>
    <s v="Portal"/>
    <s v="Refund Request"/>
    <s v="Medium"/>
    <n v="24"/>
    <s v="Resolved"/>
    <d v="2026-06-13T10:54:00"/>
    <s v="No"/>
    <n v="2"/>
    <s v="Repeat Issue From Same Customer"/>
    <n v="16.916666666802485"/>
  </r>
  <r>
    <s v="TCK-20208"/>
    <d v="2026-02-25T13:37:00"/>
    <x v="3"/>
    <s v="Talha Nadeem"/>
    <s v="Peshawar"/>
    <s v="Portal"/>
    <s v="General Inquiry"/>
    <s v="Medium"/>
    <n v="24"/>
    <s v="Resolved"/>
    <d v="2026-02-25T15:19:00"/>
    <s v="No"/>
    <m/>
    <s v="Resolved On First Contact"/>
    <n v="1.6999999999534339"/>
  </r>
  <r>
    <s v="TCK-22645"/>
    <d v="2026-03-09T03:45:00"/>
    <x v="2"/>
    <s v="Mahnoor Aslam"/>
    <s v="Faisalabad"/>
    <s v="Phone"/>
    <s v="General Inquiry"/>
    <s v="Medium"/>
    <n v="24"/>
    <s v="Resolved"/>
    <d v="2026-03-09T17:54:00"/>
    <s v="No"/>
    <m/>
    <s v="Awaiting Customer Response"/>
    <n v="14.150000000023283"/>
  </r>
  <r>
    <s v="TCK-22071"/>
    <d v="2026-01-24T11:18:00"/>
    <x v="1"/>
    <s v="Ayaan Khalid"/>
    <s v="Rawalpindi"/>
    <s v="Email"/>
    <s v="Technical Issue"/>
    <s v="Medium"/>
    <n v="24"/>
    <s v="Resolved"/>
    <d v="2026-01-24T13:09:00"/>
    <s v="Yes"/>
    <m/>
    <s v="Customer Requested Refund"/>
    <n v="1.8500000000931323"/>
  </r>
  <r>
    <s v="TCK-22676"/>
    <d v="2026-03-03T21:57:00"/>
    <x v="3"/>
    <s v="Iqra Basit"/>
    <s v="Islamabad"/>
    <s v="Phone"/>
    <s v="Refund Request"/>
    <s v="Critical"/>
    <n v="4"/>
    <s v="Closed"/>
    <d v="2026-03-04T00:40:00"/>
    <s v="No"/>
    <n v="3"/>
    <s v="Not Specified"/>
    <n v="2.716666666790843"/>
  </r>
  <r>
    <s v="TCK-23110"/>
    <d v="2026-04-08T20:52:00"/>
    <x v="1"/>
    <s v="Ayaan Khalid"/>
    <s v="Lahore"/>
    <s v="Email"/>
    <s v="Technical Issue"/>
    <s v="Medium"/>
    <n v="24"/>
    <s v="Escalated"/>
    <s v="Missing Resolve Date"/>
    <s v="Yes"/>
    <m/>
    <s v="Technical Issue Resolved Remotely"/>
    <s v=""/>
  </r>
  <r>
    <s v="TCK-21738"/>
    <d v="2026-04-21T22:26:00"/>
    <x v="1"/>
    <s v="Zara Hussain"/>
    <s v="Islamabad"/>
    <s v="Email"/>
    <s v="Delivery Delay"/>
    <s v="High"/>
    <n v="8"/>
    <s v="Resolved"/>
    <d v="2026-04-22T00:01:00"/>
    <s v="No"/>
    <m/>
    <s v="Customer Requested Refund"/>
    <n v="1.5833333334303461"/>
  </r>
  <r>
    <s v="TCK-21884"/>
    <d v="2026-03-08T13:10:00"/>
    <x v="1"/>
    <s v="Zara Hussain"/>
    <s v="Islamabad"/>
    <s v="Portal"/>
    <s v="Refund Request"/>
    <s v="Low"/>
    <n v="48"/>
    <s v="Resolved"/>
    <d v="2026-03-11T03:42:00"/>
    <s v="No"/>
    <n v="4"/>
    <s v="Technical Issue Resolved Remotely"/>
    <n v="62.53333333338378"/>
  </r>
  <r>
    <s v="TCK-20386"/>
    <d v="2026-04-01T17:50:00"/>
    <x v="3"/>
    <s v="Talha Nadeem"/>
    <s v="Rawalpindi"/>
    <s v="Email"/>
    <s v="Account Access"/>
    <s v="Medium"/>
    <n v="24"/>
    <s v="In Progress"/>
    <s v="Missing Resolve Date"/>
    <s v="No"/>
    <m/>
    <s v="Awaiting Customer Response"/>
    <s v=""/>
  </r>
  <r>
    <s v="TCK-20999"/>
    <d v="2026-03-31T15:06:00"/>
    <x v="1"/>
    <s v="Zara Hussain"/>
    <s v="Lahore"/>
    <s v="Phone"/>
    <s v="Technical Issue"/>
    <s v="High"/>
    <n v="8"/>
    <s v="Closed"/>
    <d v="2026-03-31T21:40:00"/>
    <s v="No"/>
    <n v="1"/>
    <s v="Awaiting Customer Response"/>
    <n v="6.5666666667675599"/>
  </r>
  <r>
    <s v="TCK-22580"/>
    <d v="2026-07-24T12:48:00"/>
    <x v="2"/>
    <s v="Bilal Chaudhry"/>
    <s v="Faisalabad"/>
    <s v="Phone"/>
    <s v="Refund Request"/>
    <s v="Medium"/>
    <n v="24"/>
    <s v="Resolved"/>
    <d v="2026-07-24T18:03:00"/>
    <s v="No"/>
    <n v="2"/>
    <s v="Awaiting Customer Response"/>
    <n v="5.25"/>
  </r>
  <r>
    <s v="TCK-22535"/>
    <d v="2026-08-01T19:04:00"/>
    <x v="1"/>
    <s v="Zara Hussain"/>
    <s v="Faisalabad"/>
    <s v="Email"/>
    <s v="Delivery Delay"/>
    <s v="Low"/>
    <n v="48"/>
    <s v="Resolved"/>
    <d v="2026-08-02T01:38:00"/>
    <s v="No"/>
    <n v="4"/>
    <s v="Required Follow-Up Call"/>
    <n v="6.5666666667675599"/>
  </r>
  <r>
    <s v="TCK-22984"/>
    <d v="2026-02-06T05:40:00"/>
    <x v="1"/>
    <s v="Ayaan Khalid"/>
    <s v="Rawalpindi"/>
    <s v="Email"/>
    <s v="Delivery Delay"/>
    <s v="Low"/>
    <n v="48"/>
    <s v="Resolved"/>
    <d v="2026-02-07T16:23:00"/>
    <s v="No"/>
    <m/>
    <s v="Not Specified"/>
    <n v="34.716666666674428"/>
  </r>
  <r>
    <s v="TCK-22148"/>
    <d v="2026-06-19T23:20:00"/>
    <x v="0"/>
    <s v="Sadia Anwar"/>
    <s v="Peshawar"/>
    <s v="Chat"/>
    <s v="General Inquiry"/>
    <s v="High"/>
    <n v="8"/>
    <s v="Resolved"/>
    <d v="2026-06-20T04:40:00"/>
    <s v="No"/>
    <n v="4"/>
    <s v="Escalated To Senior Agent"/>
    <n v="5.3333333334303461"/>
  </r>
  <r>
    <s v="TCK-22323"/>
    <d v="2026-01-04T17:57:00"/>
    <x v="3"/>
    <s v="Iqra Basit"/>
    <s v="Rawalpindi"/>
    <s v="Email"/>
    <s v="Account Access"/>
    <s v="Low"/>
    <n v="48"/>
    <s v="Resolved"/>
    <d v="2026-01-06T06:11:00"/>
    <s v="No"/>
    <m/>
    <s v="Customer Requested Refund"/>
    <n v="36.233333333395422"/>
  </r>
  <r>
    <s v="TCK-22550"/>
    <d v="2026-04-06T16:43:00"/>
    <x v="2"/>
    <s v="Bilal Chaudhry"/>
    <s v="Faisalabad"/>
    <s v="Phone"/>
    <s v="General Inquiry"/>
    <s v="Medium"/>
    <n v="24"/>
    <s v="Re-Opened"/>
    <d v="2026-04-06T19:57:00"/>
    <s v="No"/>
    <m/>
    <s v="Awaiting Customer Response"/>
    <n v="3.2333333333954215"/>
  </r>
  <r>
    <s v="TCK-20582"/>
    <d v="2026-06-09T18:01:00"/>
    <x v="3"/>
    <s v="Iqra Basit"/>
    <s v="Rawalpindi"/>
    <s v="Portal"/>
    <s v="General Inquiry"/>
    <s v="Low"/>
    <n v="48"/>
    <s v="Open"/>
    <s v="Missing Resolve Date"/>
    <s v="No"/>
    <m/>
    <s v="Resolved On First Contact"/>
    <s v=""/>
  </r>
  <r>
    <s v="TCK-21144"/>
    <d v="2026-05-07T00:08:00"/>
    <x v="1"/>
    <s v="Zara Hussain"/>
    <s v="Karachi"/>
    <s v="Email"/>
    <s v="Account Access"/>
    <s v="High"/>
    <n v="8"/>
    <s v="Open"/>
    <s v="Missing Resolve Date"/>
    <s v="No"/>
    <m/>
    <s v="Awaiting Customer Response"/>
    <s v=""/>
  </r>
  <r>
    <s v="TCK-20119"/>
    <d v="2026-01-15T12:10:00"/>
    <x v="2"/>
    <s v="Bilal Chaudhry"/>
    <s v="Karachi"/>
    <s v="Portal"/>
    <s v="General Inquiry"/>
    <s v="Low"/>
    <n v="48"/>
    <s v="Resolved"/>
    <d v="2026-01-16T01:13:00"/>
    <s v="No"/>
    <m/>
    <s v="Escalated To Senior Agent"/>
    <n v="13.049999999930151"/>
  </r>
  <r>
    <s v="TCK-20245"/>
    <d v="2026-08-16T23:21:00"/>
    <x v="1"/>
    <s v="Ayaan Khalid"/>
    <s v="Peshawar"/>
    <s v="Portal"/>
    <s v="Billing Issue"/>
    <s v="Critical"/>
    <n v="4"/>
    <s v="Re-Opened"/>
    <d v="2026-08-16T23:54:00"/>
    <s v="Yes"/>
    <m/>
    <s v="Not Specified"/>
    <n v="0.55000000004656613"/>
  </r>
  <r>
    <s v="TCK-22837"/>
    <d v="2026-03-02T23:54:00"/>
    <x v="3"/>
    <s v="Iqra Basit"/>
    <s v="Peshawar"/>
    <s v="Chat"/>
    <s v="Refund Request"/>
    <s v="High"/>
    <n v="8"/>
    <s v="Resolved"/>
    <d v="2026-03-03T05:31:00"/>
    <s v="No"/>
    <m/>
    <s v="Awaiting Customer Response"/>
    <n v="5.6166666666395031"/>
  </r>
  <r>
    <s v="TCK-21736"/>
    <d v="2026-04-28T10:34:00"/>
    <x v="2"/>
    <s v="Bilal Chaudhry"/>
    <s v="Peshawar"/>
    <s v="Phone"/>
    <s v="Billing Issue"/>
    <s v="Low"/>
    <n v="48"/>
    <s v="Closed"/>
    <d v="2026-04-29T21:50:00"/>
    <s v="No"/>
    <n v="5"/>
    <s v="Awaiting Customer Response"/>
    <n v="35.266666666546371"/>
  </r>
  <r>
    <s v="TCK-21140"/>
    <d v="2026-02-09T12:23:00"/>
    <x v="3"/>
    <s v="Iqra Basit"/>
    <s v="Multan"/>
    <s v="Email"/>
    <s v="Technical Issue"/>
    <s v="High"/>
    <n v="8"/>
    <s v="Closed"/>
    <d v="2026-02-09T18:05:00"/>
    <s v="Yes"/>
    <n v="5"/>
    <s v="Awaiting Customer Response"/>
    <n v="5.6999999998952262"/>
  </r>
  <r>
    <s v="TCK-22368"/>
    <d v="2026-01-20T08:36:00"/>
    <x v="2"/>
    <s v="Mahnoor Aslam"/>
    <s v="Faisalabad"/>
    <s v="Portal"/>
    <s v="Refund Request"/>
    <s v="Low"/>
    <n v="48"/>
    <s v="Closed"/>
    <d v="2026-01-23T12:33:00"/>
    <s v="No"/>
    <n v="2"/>
    <s v="Awaiting Customer Response"/>
    <n v="75.950000000128057"/>
  </r>
  <r>
    <s v="TCK-21226"/>
    <d v="2026-04-04T23:17:00"/>
    <x v="0"/>
    <s v="Rehan Qureshi"/>
    <s v="Lahore"/>
    <s v="Email"/>
    <s v="Refund Request"/>
    <s v="Low"/>
    <n v="48"/>
    <s v="Resolved"/>
    <d v="2026-04-06T16:36:00"/>
    <s v="Yes"/>
    <n v="1"/>
    <s v="Awaiting Customer Response"/>
    <n v="41.316666666709352"/>
  </r>
  <r>
    <s v="TCK-23023"/>
    <d v="2026-06-14T22:00:00"/>
    <x v="1"/>
    <s v="Zara Hussain"/>
    <s v="Multan"/>
    <s v="Portal"/>
    <s v="Refund Request"/>
    <s v="Low"/>
    <n v="48"/>
    <s v="Escalated"/>
    <s v="Missing Resolve Date"/>
    <s v="Yes"/>
    <m/>
    <s v="Not Specified"/>
    <s v=""/>
  </r>
  <r>
    <s v="TCK-23059"/>
    <d v="2026-03-26T16:53:00"/>
    <x v="0"/>
    <s v="Rehan Qureshi"/>
    <s v="Peshawar"/>
    <s v="Portal"/>
    <s v="Billing Issue"/>
    <s v="Critical"/>
    <n v="4"/>
    <s v="Open"/>
    <s v="Missing Resolve Date"/>
    <s v="No"/>
    <m/>
    <s v="Resolved On First Contact"/>
    <s v=""/>
  </r>
  <r>
    <s v="TCK-21932"/>
    <d v="2026-08-02T09:53:00"/>
    <x v="2"/>
    <s v="Mahnoor Aslam"/>
    <s v="Rawalpindi"/>
    <s v="Chat"/>
    <s v="General Inquiry"/>
    <s v="High"/>
    <n v="8"/>
    <s v="Closed"/>
    <d v="2026-08-02T10:51:00"/>
    <s v="No"/>
    <n v="4"/>
    <s v="Technical Issue Resolved Remotely"/>
    <n v="0.96666666649980471"/>
  </r>
  <r>
    <s v="TCK-22446"/>
    <d v="2026-03-03T21:34:00"/>
    <x v="1"/>
    <s v="Ayaan Khalid"/>
    <s v="Islamabad"/>
    <s v="Chat"/>
    <s v="General Inquiry"/>
    <s v="Critical"/>
    <n v="4"/>
    <s v="Resolved"/>
    <d v="2026-03-04T00:54:00"/>
    <s v="No"/>
    <n v="5"/>
    <s v="Customer Satisfied With Resolution"/>
    <n v="3.3333333333721384"/>
  </r>
  <r>
    <s v="TCK-22606"/>
    <d v="2026-03-05T00:30:00"/>
    <x v="2"/>
    <s v="Mahnoor Aslam"/>
    <s v="Peshawar"/>
    <s v="Portal"/>
    <s v="Billing Issue"/>
    <s v="Medium"/>
    <n v="24"/>
    <s v="Closed"/>
    <d v="2026-03-05T14:23:00"/>
    <s v="No"/>
    <m/>
    <s v="Required Follow-Up Call"/>
    <n v="13.883333333360497"/>
  </r>
  <r>
    <s v="TCK-20866"/>
    <d v="2026-07-04T04:24:00"/>
    <x v="1"/>
    <s v="Zara Hussain"/>
    <s v="Rawalpindi"/>
    <s v="Portal"/>
    <s v="Refund Request"/>
    <s v="High"/>
    <n v="8"/>
    <s v="Resolved"/>
    <d v="2026-07-04T08:29:00"/>
    <s v="No"/>
    <n v="2"/>
    <s v="Technical Issue Resolved Remotely"/>
    <n v="4.0833333333721384"/>
  </r>
  <r>
    <s v="TCK-21460"/>
    <d v="2026-03-29T12:28:00"/>
    <x v="1"/>
    <s v="Ayaan Khalid"/>
    <s v="Islamabad"/>
    <s v="Chat"/>
    <s v="Billing Issue"/>
    <s v="Low"/>
    <n v="48"/>
    <s v="Closed"/>
    <d v="2026-03-30T06:04:00"/>
    <s v="No"/>
    <n v="2"/>
    <s v="Technical Issue Resolved Remotely"/>
    <n v="17.600000000093132"/>
  </r>
  <r>
    <s v="TCK-22617"/>
    <d v="2026-04-07T16:36:00"/>
    <x v="3"/>
    <s v="Iqra Basit"/>
    <s v="Peshawar"/>
    <s v="Portal"/>
    <s v="General Inquiry"/>
    <s v="Medium"/>
    <n v="24"/>
    <s v="Open"/>
    <s v="Missing Resolve Date"/>
    <s v="No"/>
    <m/>
    <s v="Resolved On First Contact"/>
    <s v=""/>
  </r>
  <r>
    <s v="TCK-21634"/>
    <d v="2026-05-23T11:53:00"/>
    <x v="2"/>
    <s v="Mahnoor Aslam"/>
    <s v="Multan"/>
    <s v="Chat"/>
    <s v="Technical Issue"/>
    <s v="High"/>
    <n v="8"/>
    <s v="Closed"/>
    <d v="2026-05-23T18:15:00"/>
    <s v="No"/>
    <m/>
    <s v="Technical Issue Resolved Remotely"/>
    <n v="6.3666666666395031"/>
  </r>
  <r>
    <s v="TCK-21935"/>
    <d v="2026-03-20T15:36:00"/>
    <x v="2"/>
    <s v="Bilal Chaudhry"/>
    <s v="Rawalpindi"/>
    <s v="Chat"/>
    <s v="Billing Issue"/>
    <s v="Low"/>
    <n v="48"/>
    <s v="Closed"/>
    <d v="2026-03-26T05:23:00"/>
    <s v="No"/>
    <m/>
    <s v="Customer Satisfied With Resolution"/>
    <n v="133.78333333338378"/>
  </r>
  <r>
    <s v="TCK-20770"/>
    <d v="2026-08-18T21:11:00"/>
    <x v="3"/>
    <s v="Talha Nadeem"/>
    <s v="Multan"/>
    <s v="Email"/>
    <s v="Delivery Delay"/>
    <s v="Low"/>
    <n v="48"/>
    <s v="In Progress"/>
    <s v="Missing Resolve Date"/>
    <s v="No"/>
    <m/>
    <s v="Awaiting Customer Response"/>
    <s v=""/>
  </r>
  <r>
    <s v="TCK-20225"/>
    <d v="2026-06-19T20:11:00"/>
    <x v="3"/>
    <s v="Iqra Basit"/>
    <s v="Peshawar"/>
    <s v="Email"/>
    <s v="Refund Request"/>
    <s v="Critical"/>
    <n v="4"/>
    <s v="In Progress"/>
    <s v="Missing Resolve Date"/>
    <s v="No"/>
    <m/>
    <s v="Required Follow-Up Call"/>
    <s v=""/>
  </r>
  <r>
    <s v="TCK-22334"/>
    <d v="2026-03-26T03:07:00"/>
    <x v="3"/>
    <s v="Talha Nadeem"/>
    <s v="Islamabad"/>
    <s v="Email"/>
    <s v="General Inquiry"/>
    <s v="High"/>
    <n v="8"/>
    <s v="Open"/>
    <s v="Missing Resolve Date"/>
    <s v="No"/>
    <m/>
    <s v="Customer Requested Refund"/>
    <s v=""/>
  </r>
  <r>
    <s v="TCK-22559"/>
    <d v="2026-01-02T12:40:00"/>
    <x v="3"/>
    <s v="Iqra Basit"/>
    <s v="Faisalabad"/>
    <s v="Portal"/>
    <s v="Billing Issue"/>
    <s v="Medium"/>
    <n v="24"/>
    <s v="Closed"/>
    <d v="2026-01-03T00:03:00"/>
    <s v="No"/>
    <m/>
    <s v="Not Specified"/>
    <n v="11.383333333244082"/>
  </r>
  <r>
    <s v="TCK-22144"/>
    <d v="2026-01-24T05:59:00"/>
    <x v="2"/>
    <s v="Bilal Chaudhry"/>
    <s v="Multan"/>
    <s v="Portal"/>
    <s v="Delivery Delay"/>
    <s v="Critical"/>
    <n v="4"/>
    <s v="Open"/>
    <s v="Missing Resolve Date"/>
    <s v="No"/>
    <m/>
    <s v="Resolved On First Contact"/>
    <s v=""/>
  </r>
  <r>
    <s v="TCK-23163"/>
    <d v="2026-07-18T19:22:00"/>
    <x v="1"/>
    <s v="Zara Hussain"/>
    <s v="Lahore"/>
    <s v="Phone"/>
    <s v="Account Access"/>
    <s v="Medium"/>
    <n v="24"/>
    <s v="Re-Opened"/>
    <d v="2026-07-18T23:32:00"/>
    <s v="No"/>
    <m/>
    <s v="Required Follow-Up Call"/>
    <n v="4.1666666668024845"/>
  </r>
  <r>
    <s v="TCK-22626"/>
    <d v="2026-02-17T07:11:00"/>
    <x v="0"/>
    <s v="Sadia Anwar"/>
    <s v="Multan"/>
    <s v="Portal"/>
    <s v="General Inquiry"/>
    <s v="High"/>
    <n v="8"/>
    <s v="Resolved"/>
    <d v="2026-02-17T12:07:00"/>
    <s v="No"/>
    <m/>
    <s v="Escalated To Senior Agent"/>
    <n v="4.9333333333488554"/>
  </r>
  <r>
    <s v="TCK-20827"/>
    <d v="2026-02-19T11:52:00"/>
    <x v="0"/>
    <s v="Sadia Anwar"/>
    <s v="Faisalabad"/>
    <s v="Chat"/>
    <s v="Account Access"/>
    <s v="Low"/>
    <n v="48"/>
    <s v="Closed"/>
    <s v="Missing Resolve Date"/>
    <s v="No"/>
    <m/>
    <s v="Customer Requested Refund"/>
    <s v=""/>
  </r>
  <r>
    <s v="TCK-21235"/>
    <d v="2026-04-18T21:15:00"/>
    <x v="0"/>
    <s v="Rehan Qureshi"/>
    <s v="Rawalpindi"/>
    <s v="Chat"/>
    <s v="Refund Request"/>
    <s v="High"/>
    <n v="8"/>
    <s v="Resolved"/>
    <d v="2026-04-19T04:02:00"/>
    <s v="No"/>
    <n v="2"/>
    <s v="Technical Issue Resolved Remotely"/>
    <n v="6.7833333334419876"/>
  </r>
  <r>
    <s v="TCK-23192"/>
    <d v="2026-06-29T12:06:00"/>
    <x v="1"/>
    <s v="Zara Hussain"/>
    <s v="Multan"/>
    <s v="Chat"/>
    <s v="General Inquiry"/>
    <s v="Medium"/>
    <n v="24"/>
    <s v="Resolved"/>
    <d v="2026-06-29T18:16:00"/>
    <s v="No"/>
    <n v="4"/>
    <s v="Not Specified"/>
    <n v="6.1666666666860692"/>
  </r>
  <r>
    <s v="TCK-20221"/>
    <d v="2026-03-11T00:53:00"/>
    <x v="0"/>
    <s v="Rehan Qureshi"/>
    <s v="Karachi"/>
    <s v="Email"/>
    <s v="Refund Request"/>
    <s v="Low"/>
    <n v="48"/>
    <s v="Resolved"/>
    <d v="2026-03-16T12:14:00"/>
    <s v="No"/>
    <m/>
    <s v="Not Specified"/>
    <n v="131.34999999997672"/>
  </r>
  <r>
    <s v="TCK-20726"/>
    <d v="2026-07-22T10:00:00"/>
    <x v="3"/>
    <s v="Talha Nadeem"/>
    <s v="Islamabad"/>
    <s v="Chat"/>
    <s v="General Inquiry"/>
    <s v="High"/>
    <n v="8"/>
    <s v="Open"/>
    <s v="Missing Resolve Date"/>
    <s v="No"/>
    <m/>
    <s v="Escalated To Senior Agent"/>
    <s v=""/>
  </r>
  <r>
    <s v="TCK-21328"/>
    <d v="2026-06-06T12:56:00"/>
    <x v="1"/>
    <s v="Ayaan Khalid"/>
    <s v="Faisalabad"/>
    <s v="Phone"/>
    <s v="General Inquiry"/>
    <s v="Medium"/>
    <n v="24"/>
    <s v="Resolved"/>
    <d v="2026-06-07T00:02:00"/>
    <s v="No"/>
    <m/>
    <s v="Customer Satisfied With Resolution"/>
    <n v="11.099999999860302"/>
  </r>
  <r>
    <s v="TCK-21705"/>
    <d v="2026-08-28T03:52:00"/>
    <x v="0"/>
    <s v="Sadia Anwar"/>
    <s v="Karachi"/>
    <s v="Portal"/>
    <s v="General Inquiry"/>
    <s v="Low"/>
    <n v="48"/>
    <s v="Open"/>
    <s v="Missing Resolve Date"/>
    <s v="No"/>
    <m/>
    <s v="Required Follow-Up Call"/>
    <s v=""/>
  </r>
  <r>
    <s v="TCK-21852"/>
    <d v="2026-03-05T06:39:00"/>
    <x v="2"/>
    <s v="Bilal Chaudhry"/>
    <s v="Lahore"/>
    <s v="Chat"/>
    <s v="General Inquiry"/>
    <s v="Low"/>
    <n v="48"/>
    <s v="Resolved"/>
    <d v="2026-03-05T09:16:00"/>
    <s v="No"/>
    <m/>
    <s v="Required Follow-Up Call"/>
    <n v="2.6166666666395031"/>
  </r>
  <r>
    <s v="TCK-22909"/>
    <d v="2026-08-23T06:25:00"/>
    <x v="1"/>
    <s v="Zara Hussain"/>
    <s v="Faisalabad"/>
    <s v="Chat"/>
    <s v="General Inquiry"/>
    <s v="High"/>
    <n v="8"/>
    <s v="Resolved"/>
    <d v="2026-08-24T02:55:00"/>
    <s v="No"/>
    <n v="5"/>
    <s v="Required Follow-Up Call"/>
    <n v="20.500000000116415"/>
  </r>
  <r>
    <s v="TCK-20640"/>
    <d v="2026-02-12T16:41:00"/>
    <x v="1"/>
    <s v="Ayaan Khalid"/>
    <s v="Islamabad"/>
    <s v="Chat"/>
    <s v="Billing Issue"/>
    <s v="High"/>
    <n v="8"/>
    <s v="In Progress"/>
    <s v="Missing Resolve Date"/>
    <s v="Yes"/>
    <m/>
    <s v="Awaiting Customer Response"/>
    <s v=""/>
  </r>
  <r>
    <s v="TCK-23140"/>
    <d v="2026-06-21T06:15:00"/>
    <x v="0"/>
    <s v="Rehan Qureshi"/>
    <s v="Islamabad"/>
    <s v="Phone"/>
    <s v="General Inquiry"/>
    <s v="Low"/>
    <n v="48"/>
    <s v="Resolved"/>
    <d v="2026-06-26T15:19:00"/>
    <s v="No"/>
    <n v="5"/>
    <s v="Escalated To Senior Agent"/>
    <n v="129.06666666670935"/>
  </r>
  <r>
    <s v="TCK-20248"/>
    <d v="2026-05-29T21:27:00"/>
    <x v="2"/>
    <s v="Bilal Chaudhry"/>
    <s v="Faisalabad"/>
    <s v="Phone"/>
    <s v="Account Access"/>
    <s v="Low"/>
    <n v="48"/>
    <s v="Closed"/>
    <d v="2026-06-01T11:33:00"/>
    <s v="No"/>
    <m/>
    <s v="Escalated To Senior Agent"/>
    <n v="62.099999999860302"/>
  </r>
  <r>
    <s v="TCK-20043"/>
    <d v="2026-04-05T05:45:00"/>
    <x v="3"/>
    <s v="Iqra Basit"/>
    <s v="Multan"/>
    <s v="Chat"/>
    <s v="Billing Issue"/>
    <s v="Medium"/>
    <n v="24"/>
    <s v="Closed"/>
    <d v="2026-04-05T14:47:00"/>
    <s v="No"/>
    <n v="2"/>
    <s v="Customer Satisfied With Resolution"/>
    <n v="9.0333333332673647"/>
  </r>
  <r>
    <s v="TCK-22241"/>
    <d v="2026-03-30T14:29:00"/>
    <x v="3"/>
    <s v="Iqra Basit"/>
    <s v="Faisalabad"/>
    <s v="Chat"/>
    <s v="Technical Issue"/>
    <s v="Low"/>
    <n v="48"/>
    <s v="Resolved"/>
    <d v="2026-03-31T20:01:00"/>
    <s v="No"/>
    <m/>
    <s v="Awaiting Customer Response"/>
    <n v="29.533333333209157"/>
  </r>
  <r>
    <s v="TCK-22224"/>
    <d v="2026-03-01T20:41:00"/>
    <x v="1"/>
    <s v="Zara Hussain"/>
    <s v="Peshawar"/>
    <s v="Portal"/>
    <s v="Technical Issue"/>
    <s v="Medium"/>
    <n v="24"/>
    <s v="Escalated"/>
    <s v="Missing Resolve Date"/>
    <s v="Yes"/>
    <m/>
    <s v="Technical Issue Resolved Remotely"/>
    <s v=""/>
  </r>
  <r>
    <s v="TCK-20751"/>
    <d v="2026-01-12T15:28:00"/>
    <x v="2"/>
    <s v="Mahnoor Aslam"/>
    <s v="Islamabad"/>
    <s v="Portal"/>
    <s v="Technical Issue"/>
    <s v="Medium"/>
    <n v="24"/>
    <s v="Open"/>
    <s v="Missing Resolve Date"/>
    <s v="No"/>
    <m/>
    <s v="Repeat Issue From Same Customer"/>
    <s v=""/>
  </r>
  <r>
    <s v="TCK-20824"/>
    <d v="2026-03-10T00:59:00"/>
    <x v="1"/>
    <s v="Ayaan Khalid"/>
    <s v="Peshawar"/>
    <s v="Chat"/>
    <s v="Billing Issue"/>
    <s v="High"/>
    <n v="8"/>
    <s v="In Progress"/>
    <s v="Missing Resolve Date"/>
    <s v="No"/>
    <m/>
    <s v="Not Specified"/>
    <s v=""/>
  </r>
  <r>
    <s v="TCK-20238"/>
    <d v="2026-07-10T23:42:00"/>
    <x v="2"/>
    <s v="Mahnoor Aslam"/>
    <s v="Multan"/>
    <s v="Phone"/>
    <s v="Technical Issue"/>
    <s v="High"/>
    <n v="8"/>
    <s v="Resolved"/>
    <d v="2026-07-11T05:02:00"/>
    <s v="Yes"/>
    <n v="4"/>
    <s v="Customer Satisfied With Resolution"/>
    <n v="5.3333333332557231"/>
  </r>
  <r>
    <s v="TCK-21719"/>
    <d v="2026-08-13T10:48:00"/>
    <x v="2"/>
    <s v="Bilal Chaudhry"/>
    <s v="Karachi"/>
    <s v="Email"/>
    <s v="Refund Request"/>
    <s v="Medium"/>
    <n v="24"/>
    <s v="Resolved"/>
    <d v="2026-08-14T02:29:00"/>
    <s v="No"/>
    <m/>
    <s v="Awaiting Customer Response"/>
    <n v="15.683333333465271"/>
  </r>
  <r>
    <s v="TCK-20106"/>
    <d v="2026-07-28T08:34:00"/>
    <x v="2"/>
    <s v="Bilal Chaudhry"/>
    <s v="Rawalpindi"/>
    <s v="Email"/>
    <s v="Billing Issue"/>
    <s v="High"/>
    <n v="8"/>
    <s v="Resolved"/>
    <d v="2026-07-28T11:21:00"/>
    <s v="No"/>
    <n v="1"/>
    <s v="Not Specified"/>
    <n v="2.7833333333255723"/>
  </r>
  <r>
    <s v="TCK-20112"/>
    <d v="2026-04-17T20:19:00"/>
    <x v="3"/>
    <s v="Iqra Basit"/>
    <s v="Islamabad"/>
    <s v="Email"/>
    <s v="Account Access"/>
    <s v="Medium"/>
    <n v="24"/>
    <s v="Closed"/>
    <d v="2026-04-18T14:17:00"/>
    <s v="No"/>
    <n v="5"/>
    <s v="Not Specified"/>
    <n v="17.966666666558012"/>
  </r>
  <r>
    <s v="TCK-21984"/>
    <d v="2026-03-31T02:35:00"/>
    <x v="0"/>
    <s v="Sadia Anwar"/>
    <s v="Peshawar"/>
    <s v="Chat"/>
    <s v="Technical Issue"/>
    <s v="High"/>
    <n v="8"/>
    <s v="Closed"/>
    <d v="2026-03-31T05:33:00"/>
    <s v="No"/>
    <n v="5"/>
    <s v="Resolved On First Contact"/>
    <n v="2.9666666665580124"/>
  </r>
  <r>
    <s v="TCK-22481"/>
    <d v="2026-08-14T12:05:00"/>
    <x v="2"/>
    <s v="Bilal Chaudhry"/>
    <s v="Karachi"/>
    <s v="Phone"/>
    <s v="Refund Request"/>
    <s v="Medium"/>
    <n v="24"/>
    <s v="Resolved"/>
    <d v="2026-08-16T15:35:00"/>
    <s v="No"/>
    <m/>
    <s v="Customer Satisfied With Resolution"/>
    <n v="51.500000000058208"/>
  </r>
  <r>
    <s v="TCK-21812"/>
    <d v="2026-04-18T22:02:00"/>
    <x v="0"/>
    <s v="Rehan Qureshi"/>
    <s v="Rawalpindi"/>
    <s v="Portal"/>
    <s v="Billing Issue"/>
    <s v="Low"/>
    <n v="48"/>
    <s v="Resolved"/>
    <d v="2026-04-20T04:05:00"/>
    <s v="No"/>
    <n v="3"/>
    <s v="Not Specified"/>
    <n v="30.049999999988358"/>
  </r>
  <r>
    <s v="TCK-22452"/>
    <d v="2026-07-10T18:56:00"/>
    <x v="1"/>
    <s v="Zara Hussain"/>
    <s v="Rawalpindi"/>
    <s v="Chat"/>
    <s v="General Inquiry"/>
    <s v="Low"/>
    <n v="48"/>
    <s v="Closed"/>
    <d v="2026-07-11T06:41:00"/>
    <s v="No"/>
    <m/>
    <s v="Required Follow-Up Call"/>
    <n v="11.749999999883585"/>
  </r>
  <r>
    <s v="TCK-21688"/>
    <d v="2026-01-12T07:46:00"/>
    <x v="0"/>
    <s v="Sadia Anwar"/>
    <s v="Peshawar"/>
    <s v="Email"/>
    <s v="Refund Request"/>
    <s v="Low"/>
    <n v="48"/>
    <s v="Closed"/>
    <d v="2026-01-12T10:35:00"/>
    <s v="No"/>
    <m/>
    <s v="Required Follow-Up Call"/>
    <n v="2.816666666592937"/>
  </r>
  <r>
    <s v="TCK-20890"/>
    <d v="2026-04-13T09:05:00"/>
    <x v="1"/>
    <s v="Ayaan Khalid"/>
    <s v="Faisalabad"/>
    <s v="Portal"/>
    <s v="Account Access"/>
    <s v="Critical"/>
    <n v="4"/>
    <s v="Escalated"/>
    <s v="Missing Resolve Date"/>
    <s v="Yes"/>
    <m/>
    <s v="Customer Satisfied With Resolution"/>
    <s v=""/>
  </r>
  <r>
    <s v="TCK-21612"/>
    <d v="2026-05-20T11:51:00"/>
    <x v="3"/>
    <s v="Talha Nadeem"/>
    <s v="Lahore"/>
    <s v="Chat"/>
    <s v="Delivery Delay"/>
    <s v="High"/>
    <n v="8"/>
    <s v="Resolved"/>
    <d v="2026-05-20T12:35:00"/>
    <s v="No"/>
    <m/>
    <s v="Customer Satisfied With Resolution"/>
    <n v="0.73333333327900618"/>
  </r>
  <r>
    <s v="TCK-21667"/>
    <d v="2026-06-27T22:00:00"/>
    <x v="0"/>
    <s v="Rehan Qureshi"/>
    <s v="Multan"/>
    <s v="Email"/>
    <s v="Refund Request"/>
    <s v="High"/>
    <n v="8"/>
    <s v="Closed"/>
    <d v="2026-06-28T00:48:00"/>
    <s v="No"/>
    <n v="1"/>
    <s v="Required Follow-Up Call"/>
    <n v="2.8000000000465661"/>
  </r>
  <r>
    <s v="TCK-20442"/>
    <d v="2026-07-03T12:07:00"/>
    <x v="0"/>
    <s v="Sadia Anwar"/>
    <s v="Multan"/>
    <s v="Chat"/>
    <s v="Refund Request"/>
    <s v="Low"/>
    <n v="48"/>
    <s v="Resolved"/>
    <d v="2026-07-06T22:02:00"/>
    <s v="Yes"/>
    <n v="4"/>
    <s v="Repeat Issue From Same Customer"/>
    <n v="81.916666666686069"/>
  </r>
  <r>
    <s v="TCK-21279"/>
    <d v="2026-02-16T14:49:00"/>
    <x v="1"/>
    <s v="Zara Hussain"/>
    <s v="Karachi"/>
    <s v="Chat"/>
    <s v="Technical Issue"/>
    <s v="Low"/>
    <n v="48"/>
    <s v="Closed"/>
    <d v="2026-02-17T23:15:00"/>
    <s v="No"/>
    <n v="3"/>
    <s v="Required Follow-Up Call"/>
    <n v="32.433333333407063"/>
  </r>
  <r>
    <s v="TCK-21804"/>
    <d v="2026-07-17T09:32:00"/>
    <x v="0"/>
    <s v="Sadia Anwar"/>
    <s v="Islamabad"/>
    <s v="Chat"/>
    <s v="Refund Request"/>
    <s v="Critical"/>
    <n v="4"/>
    <s v="Closed"/>
    <d v="2026-07-17T12:25:00"/>
    <s v="No"/>
    <n v="5"/>
    <s v="Not Specified"/>
    <n v="2.8833333333022892"/>
  </r>
  <r>
    <s v="TCK-21277"/>
    <d v="2026-06-15T15:52:00"/>
    <x v="0"/>
    <s v="Sadia Anwar"/>
    <s v="Multan"/>
    <s v="Portal"/>
    <s v="Delivery Delay"/>
    <s v="Critical"/>
    <n v="4"/>
    <s v="In Progress"/>
    <s v="Missing Resolve Date"/>
    <s v="No"/>
    <m/>
    <s v="Resolved On First Contact"/>
    <s v=""/>
  </r>
  <r>
    <s v="TCK-20855"/>
    <d v="2026-08-28T01:23:00"/>
    <x v="3"/>
    <s v="Iqra Basit"/>
    <s v="Peshawar"/>
    <s v="Phone"/>
    <s v="General Inquiry"/>
    <s v="High"/>
    <n v="8"/>
    <s v="Closed"/>
    <d v="2026-08-28T04:00:00"/>
    <s v="No"/>
    <n v="5"/>
    <s v="Repeat Issue From Same Customer"/>
    <n v="2.6166666666395031"/>
  </r>
  <r>
    <s v="TCK-20431"/>
    <d v="2026-07-31T16:48:00"/>
    <x v="1"/>
    <s v="Zara Hussain"/>
    <s v="Peshawar"/>
    <s v="Email"/>
    <s v="General Inquiry"/>
    <s v="High"/>
    <n v="8"/>
    <s v="Closed"/>
    <d v="2026-07-31T17:36:00"/>
    <s v="No"/>
    <m/>
    <s v="Technical Issue Resolved Remotely"/>
    <n v="0.79999999998835847"/>
  </r>
  <r>
    <s v="TCK-21849"/>
    <d v="2026-04-28T07:43:00"/>
    <x v="3"/>
    <s v="Talha Nadeem"/>
    <s v="Multan"/>
    <s v="Chat"/>
    <s v="General Inquiry"/>
    <s v="Medium"/>
    <n v="24"/>
    <s v="Escalated"/>
    <s v="Missing Resolve Date"/>
    <s v="Yes"/>
    <m/>
    <s v="Not Specified"/>
    <s v=""/>
  </r>
  <r>
    <s v="TCK-20342"/>
    <d v="2026-06-12T13:42:00"/>
    <x v="1"/>
    <s v="Ayaan Khalid"/>
    <s v="Islamabad"/>
    <s v="Email"/>
    <s v="Refund Request"/>
    <s v="Critical"/>
    <n v="4"/>
    <s v="Resolved"/>
    <d v="2026-06-12T14:57:00"/>
    <s v="No"/>
    <n v="1"/>
    <s v="Customer Requested Refund"/>
    <n v="1.2500000000582077"/>
  </r>
  <r>
    <s v="TCK-22518"/>
    <d v="2026-04-29T05:13:00"/>
    <x v="1"/>
    <s v="Ayaan Khalid"/>
    <s v="Islamabad"/>
    <s v="Portal"/>
    <s v="General Inquiry"/>
    <s v="Medium"/>
    <n v="24"/>
    <s v="Resolved"/>
    <d v="2026-05-02T05:06:00"/>
    <s v="Yes"/>
    <n v="1"/>
    <s v="Technical Issue Resolved Remotely"/>
    <n v="71.883333333302289"/>
  </r>
  <r>
    <s v="TCK-21031"/>
    <d v="2026-04-07T15:42:00"/>
    <x v="3"/>
    <s v="Talha Nadeem"/>
    <s v="Multan"/>
    <s v="Email"/>
    <s v="Refund Request"/>
    <s v="Medium"/>
    <n v="24"/>
    <s v="Resolved"/>
    <d v="2026-04-08T01:40:00"/>
    <s v="No"/>
    <m/>
    <s v="Awaiting Customer Response"/>
    <n v="9.9666666666744277"/>
  </r>
  <r>
    <s v="TCK-22961"/>
    <d v="2026-03-12T10:31:00"/>
    <x v="3"/>
    <s v="Talha Nadeem"/>
    <s v="Rawalpindi"/>
    <s v="Phone"/>
    <s v="Account Access"/>
    <s v="Critical"/>
    <n v="4"/>
    <s v="Escalated"/>
    <s v="Missing Resolve Date"/>
    <s v="Yes"/>
    <m/>
    <s v="Required Follow-Up Call"/>
    <s v=""/>
  </r>
  <r>
    <s v="TCK-20171"/>
    <d v="2026-03-01T18:21:00"/>
    <x v="3"/>
    <s v="Iqra Basit"/>
    <s v="Lahore"/>
    <s v="Email"/>
    <s v="Delivery Delay"/>
    <s v="Medium"/>
    <n v="24"/>
    <s v="Closed"/>
    <d v="2026-03-03T13:59:00"/>
    <s v="No"/>
    <n v="5"/>
    <s v="Required Follow-Up Call"/>
    <n v="43.633333333418705"/>
  </r>
  <r>
    <s v="TCK-20405"/>
    <d v="2026-03-15T03:40:00"/>
    <x v="0"/>
    <s v="Sadia Anwar"/>
    <s v="Karachi"/>
    <s v="Email"/>
    <s v="Technical Issue"/>
    <s v="Low"/>
    <n v="48"/>
    <s v="Open"/>
    <s v="Missing Resolve Date"/>
    <s v="No"/>
    <m/>
    <s v="Required Follow-Up Call"/>
    <s v=""/>
  </r>
  <r>
    <s v="TCK-21433"/>
    <d v="2026-08-23T23:44:00"/>
    <x v="3"/>
    <s v="Talha Nadeem"/>
    <s v="Faisalabad"/>
    <s v="Chat"/>
    <s v="Billing Issue"/>
    <s v="Medium"/>
    <n v="24"/>
    <s v="Open"/>
    <s v="Missing Resolve Date"/>
    <s v="No"/>
    <m/>
    <s v="Customer Satisfied With Resolution"/>
    <s v=""/>
  </r>
  <r>
    <s v="TCK-22768"/>
    <d v="2026-06-29T00:49:00"/>
    <x v="0"/>
    <s v="Sadia Anwar"/>
    <s v="Peshawar"/>
    <s v="Phone"/>
    <s v="General Inquiry"/>
    <s v="Medium"/>
    <n v="24"/>
    <s v="Resolved"/>
    <d v="2026-06-29T09:40:00"/>
    <s v="No"/>
    <m/>
    <s v="Awaiting Customer Response"/>
    <n v="8.8500000000349246"/>
  </r>
  <r>
    <s v="TCK-22175"/>
    <d v="2026-01-20T16:18:00"/>
    <x v="1"/>
    <s v="Ayaan Khalid"/>
    <s v="Faisalabad"/>
    <s v="Email"/>
    <s v="Refund Request"/>
    <s v="Medium"/>
    <n v="24"/>
    <s v="Open"/>
    <s v="Missing Resolve Date"/>
    <s v="Yes"/>
    <m/>
    <s v="Customer Satisfied With Resolution"/>
    <s v=""/>
  </r>
  <r>
    <s v="TCK-21038"/>
    <d v="2026-01-11T03:25:00"/>
    <x v="1"/>
    <s v="Ayaan Khalid"/>
    <s v="Rawalpindi"/>
    <s v="Phone"/>
    <s v="Delivery Delay"/>
    <s v="Medium"/>
    <n v="24"/>
    <s v="Open"/>
    <s v="Missing Resolve Date"/>
    <s v="No"/>
    <m/>
    <s v="Repeat Issue From Same Customer"/>
    <s v=""/>
  </r>
  <r>
    <s v="TCK-20173"/>
    <d v="2026-06-04T19:15:00"/>
    <x v="1"/>
    <s v="Zara Hussain"/>
    <s v="Lahore"/>
    <s v="Chat"/>
    <s v="General Inquiry"/>
    <s v="Medium"/>
    <n v="24"/>
    <s v="Resolved"/>
    <d v="2026-06-06T10:09:00"/>
    <s v="No"/>
    <n v="3"/>
    <s v="Resolved On First Contact"/>
    <n v="38.900000000023283"/>
  </r>
  <r>
    <s v="TCK-20164"/>
    <d v="2026-06-09T11:46:00"/>
    <x v="1"/>
    <s v="Ayaan Khalid"/>
    <s v="Lahore"/>
    <s v="Portal"/>
    <s v="Refund Request"/>
    <s v="Low"/>
    <n v="48"/>
    <s v="Resolved"/>
    <d v="2026-06-12T22:49:00"/>
    <s v="No"/>
    <n v="5"/>
    <s v="Technical Issue Resolved Remotely"/>
    <n v="83.050000000046566"/>
  </r>
  <r>
    <s v="TCK-20222"/>
    <d v="2026-05-01T15:28:00"/>
    <x v="0"/>
    <s v="Rehan Qureshi"/>
    <s v="Islamabad"/>
    <s v="Portal"/>
    <s v="Technical Issue"/>
    <s v="Low"/>
    <n v="48"/>
    <s v="Closed"/>
    <d v="2026-05-02T07:44:00"/>
    <s v="No"/>
    <n v="5"/>
    <s v="Awaiting Customer Response"/>
    <n v="16.266666666779201"/>
  </r>
  <r>
    <s v="TCK-21989"/>
    <d v="2026-08-25T23:55:00"/>
    <x v="3"/>
    <s v="Iqra Basit"/>
    <s v="Islamabad"/>
    <s v="Chat"/>
    <s v="Billing Issue"/>
    <s v="High"/>
    <n v="8"/>
    <s v="In Progress"/>
    <s v="Missing Resolve Date"/>
    <s v="No"/>
    <m/>
    <s v="Escalated To Senior Agent"/>
    <s v=""/>
  </r>
  <r>
    <s v="TCK-21464"/>
    <d v="2026-05-20T10:31:00"/>
    <x v="2"/>
    <s v="Bilal Chaudhry"/>
    <s v="Lahore"/>
    <s v="Portal"/>
    <s v="Account Access"/>
    <s v="High"/>
    <n v="8"/>
    <s v="Escalated"/>
    <s v="Missing Resolve Date"/>
    <s v="Yes"/>
    <m/>
    <s v="Customer Requested Refund"/>
    <s v=""/>
  </r>
  <r>
    <s v="TCK-20983"/>
    <d v="2026-01-03T18:27:00"/>
    <x v="2"/>
    <s v="Mahnoor Aslam"/>
    <s v="Rawalpindi"/>
    <s v="Email"/>
    <s v="Delivery Delay"/>
    <s v="Medium"/>
    <n v="24"/>
    <s v="Resolved"/>
    <d v="2026-01-04T11:24:00"/>
    <s v="No"/>
    <n v="1"/>
    <s v="Required Follow-Up Call"/>
    <n v="16.949999999895226"/>
  </r>
  <r>
    <s v="TCK-23151"/>
    <d v="2026-03-30T06:02:00"/>
    <x v="1"/>
    <s v="Ayaan Khalid"/>
    <s v="Rawalpindi"/>
    <s v="Portal"/>
    <s v="General Inquiry"/>
    <s v="Low"/>
    <n v="48"/>
    <s v="In Progress"/>
    <s v="Missing Resolve Date"/>
    <s v="No"/>
    <m/>
    <s v="Not Specified"/>
    <s v=""/>
  </r>
  <r>
    <s v="TCK-22660"/>
    <d v="2026-05-16T13:06:00"/>
    <x v="3"/>
    <s v="Talha Nadeem"/>
    <s v="Multan"/>
    <s v="Email"/>
    <s v="Delivery Delay"/>
    <s v="High"/>
    <n v="8"/>
    <s v="Closed"/>
    <d v="2026-05-16T14:52:00"/>
    <s v="No"/>
    <m/>
    <s v="Required Follow-Up Call"/>
    <n v="1.7666666666627862"/>
  </r>
  <r>
    <s v="TCK-21009"/>
    <d v="2026-01-02T20:42:00"/>
    <x v="1"/>
    <s v="Zara Hussain"/>
    <s v="Peshawar"/>
    <s v="Portal"/>
    <s v="Account Access"/>
    <s v="Medium"/>
    <n v="24"/>
    <s v="Resolved"/>
    <d v="2026-01-03T01:14:00"/>
    <s v="No"/>
    <m/>
    <s v="Resolved On First Contact"/>
    <n v="4.5333333332673647"/>
  </r>
  <r>
    <s v="TCK-22855"/>
    <d v="2026-04-09T22:44:00"/>
    <x v="3"/>
    <s v="Iqra Basit"/>
    <s v="Peshawar"/>
    <s v="Email"/>
    <s v="Billing Issue"/>
    <s v="Medium"/>
    <n v="24"/>
    <s v="Resolved"/>
    <d v="2026-04-10T13:57:00"/>
    <s v="No"/>
    <m/>
    <s v="Resolved On First Contact"/>
    <n v="15.216666666674428"/>
  </r>
  <r>
    <s v="TCK-23006"/>
    <d v="2026-04-28T16:41:00"/>
    <x v="0"/>
    <s v="Sadia Anwar"/>
    <s v="Multan"/>
    <s v="Portal"/>
    <s v="Refund Request"/>
    <s v="High"/>
    <n v="8"/>
    <s v="Resolved"/>
    <d v="2026-04-28T18:59:00"/>
    <s v="No"/>
    <n v="4"/>
    <s v="Customer Satisfied With Resolution"/>
    <n v="2.2999999999883585"/>
  </r>
  <r>
    <s v="TCK-22143"/>
    <d v="2026-07-27T12:17:00"/>
    <x v="3"/>
    <s v="Talha Nadeem"/>
    <s v="Rawalpindi"/>
    <s v="Chat"/>
    <s v="Account Access"/>
    <s v="Medium"/>
    <n v="24"/>
    <s v="In Progress"/>
    <s v="Missing Resolve Date"/>
    <s v="No"/>
    <m/>
    <s v="Repeat Issue From Same Customer"/>
    <s v=""/>
  </r>
  <r>
    <s v="TCK-22503"/>
    <d v="2026-08-19T21:00:00"/>
    <x v="0"/>
    <s v="Sadia Anwar"/>
    <s v="Faisalabad"/>
    <s v="Chat"/>
    <s v="Billing Issue"/>
    <s v="Low"/>
    <n v="48"/>
    <s v="Resolved"/>
    <d v="2026-08-21T01:57:00"/>
    <s v="No"/>
    <n v="3"/>
    <s v="Escalated To Senior Agent"/>
    <n v="28.950000000069849"/>
  </r>
  <r>
    <s v="TCK-22320"/>
    <d v="2026-04-22T15:29:00"/>
    <x v="1"/>
    <s v="Ayaan Khalid"/>
    <s v="Karachi"/>
    <s v="Phone"/>
    <s v="Delivery Delay"/>
    <s v="Low"/>
    <n v="48"/>
    <s v="Escalated"/>
    <s v="Missing Resolve Date"/>
    <s v="Yes"/>
    <m/>
    <s v="Escalated To Senior Agent"/>
    <s v=""/>
  </r>
  <r>
    <s v="TCK-20138"/>
    <d v="2026-07-20T12:46:00"/>
    <x v="1"/>
    <s v="Zara Hussain"/>
    <s v="Karachi"/>
    <s v="Chat"/>
    <s v="Delivery Delay"/>
    <s v="High"/>
    <n v="8"/>
    <s v="Resolved"/>
    <d v="2026-07-20T13:52:00"/>
    <s v="No"/>
    <n v="4"/>
    <s v="Awaiting Customer Response"/>
    <n v="1.0999999999185093"/>
  </r>
  <r>
    <s v="TCK-22950"/>
    <d v="2026-07-29T04:36:00"/>
    <x v="1"/>
    <s v="Zara Hussain"/>
    <s v="Multan"/>
    <s v="Portal"/>
    <s v="Account Access"/>
    <s v="Low"/>
    <n v="48"/>
    <s v="In Progress"/>
    <s v="Missing Resolve Date"/>
    <s v="No"/>
    <m/>
    <s v="Awaiting Customer Response"/>
    <s v=""/>
  </r>
  <r>
    <s v="TCK-22750"/>
    <d v="2026-05-08T00:45:00"/>
    <x v="1"/>
    <s v="Zara Hussain"/>
    <s v="Karachi"/>
    <s v="Portal"/>
    <s v="Refund Request"/>
    <s v="Medium"/>
    <n v="24"/>
    <s v="Closed"/>
    <d v="2026-05-08T13:51:00"/>
    <s v="Yes"/>
    <m/>
    <s v="Customer Requested Refund"/>
    <n v="13.099999999918509"/>
  </r>
  <r>
    <s v="TCK-20395"/>
    <d v="2026-01-09T10:19:00"/>
    <x v="1"/>
    <s v="Ayaan Khalid"/>
    <s v="Rawalpindi"/>
    <s v="Phone"/>
    <s v="Technical Issue"/>
    <s v="Low"/>
    <n v="48"/>
    <s v="Resolved"/>
    <d v="2026-01-10T11:13:00"/>
    <s v="No"/>
    <n v="5"/>
    <s v="Repeat Issue From Same Customer"/>
    <n v="24.900000000139698"/>
  </r>
  <r>
    <s v="TCK-22199"/>
    <d v="2026-04-21T17:44:00"/>
    <x v="1"/>
    <s v="Ayaan Khalid"/>
    <s v="Rawalpindi"/>
    <s v="Email"/>
    <s v="Technical Issue"/>
    <s v="Low"/>
    <n v="48"/>
    <s v="Escalated"/>
    <s v="Missing Resolve Date"/>
    <s v="Yes"/>
    <m/>
    <s v="Escalated To Senior Agent"/>
    <s v=""/>
  </r>
  <r>
    <s v="TCK-22959"/>
    <d v="2026-01-04T19:49:00"/>
    <x v="1"/>
    <s v="Zara Hussain"/>
    <s v="Islamabad"/>
    <s v="Email"/>
    <s v="Technical Issue"/>
    <s v="Medium"/>
    <n v="24"/>
    <s v="Closed"/>
    <d v="2026-01-05T06:48:00"/>
    <s v="No"/>
    <m/>
    <s v="Customer Requested Refund"/>
    <n v="10.983333333337214"/>
  </r>
  <r>
    <s v="TCK-22234"/>
    <d v="2026-06-11T01:20:00"/>
    <x v="1"/>
    <s v="Ayaan Khalid"/>
    <s v="Faisalabad"/>
    <s v="Phone"/>
    <s v="Technical Issue"/>
    <s v="Medium"/>
    <n v="24"/>
    <s v="Closed"/>
    <s v="Missing Resolve Date"/>
    <s v="No"/>
    <n v="4"/>
    <s v="Technical Issue Resolved Remotely"/>
    <s v=""/>
  </r>
  <r>
    <s v="TCK-22288"/>
    <d v="2026-01-20T03:44:00"/>
    <x v="0"/>
    <s v="Rehan Qureshi"/>
    <s v="Lahore"/>
    <s v="Email"/>
    <s v="Refund Request"/>
    <s v="Medium"/>
    <n v="24"/>
    <s v="Resolved"/>
    <d v="2026-01-21T00:10:00"/>
    <s v="No"/>
    <m/>
    <s v="Resolved On First Contact"/>
    <n v="20.433333333407063"/>
  </r>
  <r>
    <s v="TCK-21753"/>
    <d v="2026-01-11T06:38:00"/>
    <x v="0"/>
    <s v="Rehan Qureshi"/>
    <s v="Islamabad"/>
    <s v="Phone"/>
    <s v="Delivery Delay"/>
    <s v="High"/>
    <n v="8"/>
    <s v="Open"/>
    <s v="Missing Resolve Date"/>
    <s v="Yes"/>
    <m/>
    <s v="Technical Issue Resolved Remotely"/>
    <s v=""/>
  </r>
  <r>
    <s v="TCK-21281"/>
    <d v="2026-04-17T16:42:00"/>
    <x v="1"/>
    <s v="Ayaan Khalid"/>
    <s v="Karachi"/>
    <s v="Phone"/>
    <s v="General Inquiry"/>
    <s v="Critical"/>
    <n v="4"/>
    <s v="Resolved"/>
    <d v="2026-04-17T17:49:00"/>
    <s v="No"/>
    <m/>
    <s v="Customer Requested Refund"/>
    <n v="1.1166666666395031"/>
  </r>
  <r>
    <s v="TCK-20487"/>
    <d v="2026-07-15T13:13:00"/>
    <x v="3"/>
    <s v="Iqra Basit"/>
    <s v="Lahore"/>
    <s v="Phone"/>
    <s v="Billing Issue"/>
    <s v="Medium"/>
    <n v="24"/>
    <s v="Resolved"/>
    <d v="2026-07-15T22:59:00"/>
    <s v="No"/>
    <m/>
    <s v="Repeat Issue From Same Customer"/>
    <n v="9.7666666667209938"/>
  </r>
  <r>
    <s v="TCK-20450"/>
    <d v="2026-04-12T00:51:00"/>
    <x v="2"/>
    <s v="Mahnoor Aslam"/>
    <s v="Karachi"/>
    <s v="Portal"/>
    <s v="Account Access"/>
    <s v="Medium"/>
    <n v="24"/>
    <s v="Escalated"/>
    <s v="Missing Resolve Date"/>
    <s v="Yes"/>
    <m/>
    <s v="Awaiting Customer Response"/>
    <s v=""/>
  </r>
  <r>
    <s v="TCK-20734"/>
    <d v="2026-06-03T16:33:00"/>
    <x v="3"/>
    <s v="Talha Nadeem"/>
    <s v="Peshawar"/>
    <s v="Chat"/>
    <s v="Technical Issue"/>
    <s v="Medium"/>
    <n v="24"/>
    <s v="Resolved"/>
    <d v="2026-06-03T18:56:00"/>
    <s v="No"/>
    <m/>
    <s v="Resolved On First Contact"/>
    <n v="2.3833333334187046"/>
  </r>
  <r>
    <s v="TCK-20785"/>
    <d v="2026-06-26T05:56:00"/>
    <x v="0"/>
    <s v="Rehan Qureshi"/>
    <s v="Lahore"/>
    <s v="Chat"/>
    <s v="Technical Issue"/>
    <s v="Low"/>
    <n v="48"/>
    <s v="Resolved"/>
    <d v="2026-06-26T22:54:00"/>
    <s v="No"/>
    <n v="5"/>
    <s v="Repeat Issue From Same Customer"/>
    <n v="16.966666666790843"/>
  </r>
  <r>
    <s v="TCK-21021"/>
    <d v="2026-03-26T21:55:00"/>
    <x v="0"/>
    <s v="Sadia Anwar"/>
    <s v="Peshawar"/>
    <s v="Email"/>
    <s v="General Inquiry"/>
    <s v="Medium"/>
    <n v="24"/>
    <s v="In Progress"/>
    <s v="Missing Resolve Date"/>
    <s v="No"/>
    <m/>
    <s v="Technical Issue Resolved Remotely"/>
    <s v=""/>
  </r>
  <r>
    <s v="TCK-22536"/>
    <d v="2026-01-02T12:14:00"/>
    <x v="0"/>
    <s v="Rehan Qureshi"/>
    <s v="Faisalabad"/>
    <s v="Chat"/>
    <s v="Technical Issue"/>
    <s v="Medium"/>
    <n v="24"/>
    <s v="Resolved"/>
    <d v="2026-01-02T17:30:00"/>
    <s v="No"/>
    <n v="2"/>
    <s v="Not Specified"/>
    <n v="5.2666666665463708"/>
  </r>
  <r>
    <s v="TCK-20129"/>
    <d v="2026-03-23T16:43:00"/>
    <x v="2"/>
    <s v="Bilal Chaudhry"/>
    <s v="Karachi"/>
    <s v="Portal"/>
    <s v="Delivery Delay"/>
    <s v="High"/>
    <n v="8"/>
    <s v="Escalated"/>
    <s v="Missing Resolve Date"/>
    <s v="Yes"/>
    <m/>
    <s v="Awaiting Customer Response"/>
    <s v=""/>
  </r>
  <r>
    <s v="TCK-21168"/>
    <d v="2026-03-13T12:47:00"/>
    <x v="2"/>
    <s v="Mahnoor Aslam"/>
    <s v="Lahore"/>
    <s v="Phone"/>
    <s v="Technical Issue"/>
    <s v="Medium"/>
    <n v="24"/>
    <s v="Resolved"/>
    <d v="2026-03-13T15:58:00"/>
    <s v="No"/>
    <m/>
    <s v="Technical Issue Resolved Remotely"/>
    <n v="3.183333333407063"/>
  </r>
  <r>
    <s v="TCK-20123"/>
    <d v="2026-08-25T22:50:00"/>
    <x v="3"/>
    <s v="Iqra Basit"/>
    <s v="Peshawar"/>
    <s v="Chat"/>
    <s v="Account Access"/>
    <s v="High"/>
    <n v="8"/>
    <s v="Resolved"/>
    <d v="2026-08-26T00:14:00"/>
    <s v="No"/>
    <n v="5"/>
    <s v="Not Specified"/>
    <n v="1.4000000000232831"/>
  </r>
  <r>
    <s v="TCK-21264"/>
    <d v="2026-08-24T11:50:00"/>
    <x v="3"/>
    <s v="Talha Nadeem"/>
    <s v="Peshawar"/>
    <s v="Email"/>
    <s v="Account Access"/>
    <s v="Low"/>
    <n v="48"/>
    <s v="Closed"/>
    <d v="2026-08-25T22:57:00"/>
    <s v="No"/>
    <m/>
    <s v="Repeat Issue From Same Customer"/>
    <n v="35.116666666755918"/>
  </r>
  <r>
    <s v="TCK-20961"/>
    <d v="2026-02-14T08:12:00"/>
    <x v="1"/>
    <s v="Zara Hussain"/>
    <s v="Faisalabad"/>
    <s v="Chat"/>
    <s v="Technical Issue"/>
    <s v="Low"/>
    <n v="48"/>
    <s v="Resolved"/>
    <d v="2026-02-14T13:16:00"/>
    <s v="No"/>
    <n v="5"/>
    <s v="Repeat Issue From Same Customer"/>
    <n v="5.066666666592937"/>
  </r>
  <r>
    <s v="TCK-21945"/>
    <d v="2026-07-04T08:00:00"/>
    <x v="3"/>
    <s v="Talha Nadeem"/>
    <s v="Faisalabad"/>
    <s v="Email"/>
    <s v="Refund Request"/>
    <s v="Medium"/>
    <n v="24"/>
    <s v="Resolved"/>
    <d v="2026-07-05T02:33:00"/>
    <s v="No"/>
    <n v="2"/>
    <s v="Required Follow-Up Call"/>
    <n v="18.549999999871943"/>
  </r>
  <r>
    <s v="TCK-22282"/>
    <d v="2026-01-09T12:34:00"/>
    <x v="3"/>
    <s v="Talha Nadeem"/>
    <s v="Lahore"/>
    <s v="Chat"/>
    <s v="Refund Request"/>
    <s v="Medium"/>
    <n v="24"/>
    <s v="Closed"/>
    <d v="2026-01-10T02:48:00"/>
    <s v="Yes"/>
    <m/>
    <s v="Required Follow-Up Call"/>
    <n v="14.233333333453629"/>
  </r>
  <r>
    <s v="TCK-20178"/>
    <d v="2026-05-30T18:22:00"/>
    <x v="1"/>
    <s v="Zara Hussain"/>
    <s v="Lahore"/>
    <s v="Email"/>
    <s v="Account Access"/>
    <s v="Medium"/>
    <n v="24"/>
    <s v="Escalated"/>
    <s v="Missing Resolve Date"/>
    <s v="Yes"/>
    <m/>
    <s v="Resolved On First Contact"/>
    <s v=""/>
  </r>
  <r>
    <s v="TCK-20650"/>
    <d v="2026-07-01T15:40:00"/>
    <x v="2"/>
    <s v="Mahnoor Aslam"/>
    <s v="Karachi"/>
    <s v="Chat"/>
    <s v="Refund Request"/>
    <s v="High"/>
    <n v="8"/>
    <s v="Resolved"/>
    <d v="2026-07-01T21:58:00"/>
    <s v="No"/>
    <m/>
    <s v="Escalated To Senior Agent"/>
    <n v="6.2999999999301508"/>
  </r>
  <r>
    <s v="TCK-20798"/>
    <d v="2026-01-23T21:26:00"/>
    <x v="2"/>
    <s v="Bilal Chaudhry"/>
    <s v="Peshawar"/>
    <s v="Chat"/>
    <s v="Delivery Delay"/>
    <s v="Medium"/>
    <n v="24"/>
    <s v="Resolved"/>
    <d v="2026-01-24T13:40:00"/>
    <s v="No"/>
    <m/>
    <s v="Repeat Issue From Same Customer"/>
    <n v="16.233333333337214"/>
  </r>
  <r>
    <s v="TCK-21032"/>
    <d v="2026-02-03T09:12:00"/>
    <x v="2"/>
    <s v="Mahnoor Aslam"/>
    <s v="Multan"/>
    <s v="Chat"/>
    <s v="Delivery Delay"/>
    <s v="High"/>
    <n v="8"/>
    <s v="Closed"/>
    <d v="2026-02-03T10:48:00"/>
    <s v="No"/>
    <n v="5"/>
    <s v="Not Specified"/>
    <n v="1.5999999999767169"/>
  </r>
  <r>
    <s v="TCK-20461"/>
    <d v="2026-07-02T07:22:00"/>
    <x v="0"/>
    <s v="Rehan Qureshi"/>
    <s v="Multan"/>
    <s v="Chat"/>
    <s v="Refund Request"/>
    <s v="Medium"/>
    <n v="24"/>
    <s v="Closed"/>
    <d v="2026-07-02T14:44:00"/>
    <s v="No"/>
    <m/>
    <s v="Technical Issue Resolved Remotely"/>
    <n v="7.3666666667559184"/>
  </r>
  <r>
    <s v="TCK-20269"/>
    <d v="2026-06-22T22:00:00"/>
    <x v="3"/>
    <s v="Iqra Basit"/>
    <s v="Karachi"/>
    <s v="Portal"/>
    <s v="Technical Issue"/>
    <s v="Medium"/>
    <n v="24"/>
    <s v="Closed"/>
    <d v="2026-06-23T06:54:00"/>
    <s v="No"/>
    <m/>
    <s v="Repeat Issue From Same Customer"/>
    <n v="8.9000000000232831"/>
  </r>
  <r>
    <s v="TCK-22539"/>
    <d v="2026-08-19T04:44:00"/>
    <x v="2"/>
    <s v="Mahnoor Aslam"/>
    <s v="Lahore"/>
    <s v="Portal"/>
    <s v="Delivery Delay"/>
    <s v="Low"/>
    <n v="48"/>
    <s v="Closed"/>
    <s v="Missing Resolve Date"/>
    <s v="No"/>
    <m/>
    <s v="Not Specified"/>
    <s v=""/>
  </r>
  <r>
    <s v="TCK-21275"/>
    <d v="2026-03-22T11:15:00"/>
    <x v="3"/>
    <s v="Iqra Basit"/>
    <s v="Islamabad"/>
    <s v="Email"/>
    <s v="Refund Request"/>
    <s v="Low"/>
    <n v="48"/>
    <s v="Resolved"/>
    <d v="2026-03-24T02:43:00"/>
    <s v="No"/>
    <m/>
    <s v="Escalated To Senior Agent"/>
    <n v="39.46666666661622"/>
  </r>
  <r>
    <s v="TCK-20411"/>
    <d v="2026-01-26T12:00:00"/>
    <x v="2"/>
    <s v="Bilal Chaudhry"/>
    <s v="Faisalabad"/>
    <s v="Email"/>
    <s v="Account Access"/>
    <s v="High"/>
    <n v="8"/>
    <s v="Open"/>
    <s v="Missing Resolve Date"/>
    <s v="No"/>
    <m/>
    <s v="Escalated To Senior Agent"/>
    <s v=""/>
  </r>
  <r>
    <s v="TCK-23035"/>
    <d v="2026-05-08T01:34:00"/>
    <x v="3"/>
    <s v="Iqra Basit"/>
    <s v="Lahore"/>
    <s v="Chat"/>
    <s v="Account Access"/>
    <s v="Medium"/>
    <n v="24"/>
    <s v="Escalated"/>
    <s v="Missing Resolve Date"/>
    <s v="Yes"/>
    <m/>
    <s v="Resolved On First Contact"/>
    <s v=""/>
  </r>
  <r>
    <s v="TCK-20841"/>
    <d v="2026-08-18T00:06:00"/>
    <x v="2"/>
    <s v="Mahnoor Aslam"/>
    <s v="Multan"/>
    <s v="Email"/>
    <s v="Refund Request"/>
    <s v="High"/>
    <n v="8"/>
    <s v="Open"/>
    <s v="Missing Resolve Date"/>
    <s v="No"/>
    <m/>
    <s v="Awaiting Customer Response"/>
    <s v=""/>
  </r>
  <r>
    <s v="TCK-20558"/>
    <d v="2026-08-18T15:55:00"/>
    <x v="3"/>
    <s v="Talha Nadeem"/>
    <s v="Lahore"/>
    <s v="Portal"/>
    <s v="Billing Issue"/>
    <s v="Critical"/>
    <n v="4"/>
    <s v="Resolved"/>
    <d v="2026-08-18T19:27:00"/>
    <s v="No"/>
    <m/>
    <s v="Escalated To Senior Agent"/>
    <n v="3.5333333333255723"/>
  </r>
  <r>
    <s v="TCK-20009"/>
    <d v="2026-07-05T01:41:00"/>
    <x v="1"/>
    <s v="Ayaan Khalid"/>
    <s v="Multan"/>
    <s v="Phone"/>
    <s v="Technical Issue"/>
    <s v="Low"/>
    <n v="48"/>
    <s v="Closed"/>
    <d v="2026-07-06T14:04:00"/>
    <s v="No"/>
    <m/>
    <s v="Required Follow-Up Call"/>
    <n v="36.383333333185874"/>
  </r>
  <r>
    <s v="TCK-23070"/>
    <d v="2026-04-14T15:12:00"/>
    <x v="1"/>
    <s v="Zara Hussain"/>
    <s v="Faisalabad"/>
    <s v="Email"/>
    <s v="General Inquiry"/>
    <s v="Medium"/>
    <n v="24"/>
    <s v="Resolved"/>
    <d v="2026-04-14T23:11:00"/>
    <s v="No"/>
    <n v="5"/>
    <s v="Resolved On First Contact"/>
    <n v="7.9833333333372138"/>
  </r>
  <r>
    <s v="TCK-22254"/>
    <d v="2026-02-28T15:24:00"/>
    <x v="3"/>
    <s v="Iqra Basit"/>
    <s v="Karachi"/>
    <s v="Portal"/>
    <s v="General Inquiry"/>
    <s v="Low"/>
    <n v="48"/>
    <s v="Escalated"/>
    <s v="Missing Resolve Date"/>
    <s v="Yes"/>
    <m/>
    <s v="Escalated To Senior Agent"/>
    <s v=""/>
  </r>
  <r>
    <s v="TCK-22820"/>
    <d v="2026-05-20T05:04:00"/>
    <x v="0"/>
    <s v="Sadia Anwar"/>
    <s v="Islamabad"/>
    <s v="Email"/>
    <s v="Refund Request"/>
    <s v="High"/>
    <n v="8"/>
    <s v="Resolved"/>
    <d v="2026-05-20T05:40:00"/>
    <s v="No"/>
    <n v="5"/>
    <s v="Awaiting Customer Response"/>
    <n v="0.6000000000349246"/>
  </r>
  <r>
    <s v="TCK-21417"/>
    <d v="2026-03-14T19:15:00"/>
    <x v="1"/>
    <s v="Ayaan Khalid"/>
    <s v="Multan"/>
    <s v="Phone"/>
    <s v="Refund Request"/>
    <s v="Low"/>
    <n v="48"/>
    <s v="In Progress"/>
    <s v="Missing Resolve Date"/>
    <s v="No"/>
    <m/>
    <s v="Technical Issue Resolved Remotely"/>
    <s v=""/>
  </r>
  <r>
    <s v="TCK-21093"/>
    <d v="2026-02-22T20:39:00"/>
    <x v="3"/>
    <s v="Talha Nadeem"/>
    <s v="Multan"/>
    <s v="Phone"/>
    <s v="Billing Issue"/>
    <s v="Medium"/>
    <n v="24"/>
    <s v="Re-Opened"/>
    <d v="2026-02-25T20:09:00"/>
    <s v="No"/>
    <m/>
    <s v="Repeat Issue From Same Customer"/>
    <n v="71.499999999941792"/>
  </r>
  <r>
    <s v="TCK-22358"/>
    <d v="2026-02-13T16:24:00"/>
    <x v="3"/>
    <s v="Iqra Basit"/>
    <s v="Lahore"/>
    <s v="Portal"/>
    <s v="Account Access"/>
    <s v="Critical"/>
    <n v="4"/>
    <s v="Re-Opened"/>
    <d v="2026-02-13T19:03:00"/>
    <s v="No"/>
    <m/>
    <s v="Customer Requested Refund"/>
    <n v="2.6499999999068677"/>
  </r>
  <r>
    <s v="TCK-21035"/>
    <d v="2026-02-19T06:51:00"/>
    <x v="1"/>
    <s v="Zara Hussain"/>
    <s v="Peshawar"/>
    <s v="Portal"/>
    <s v="Technical Issue"/>
    <s v="Critical"/>
    <n v="4"/>
    <s v="Resolved"/>
    <d v="2026-02-19T08:47:00"/>
    <s v="No"/>
    <n v="4"/>
    <s v="Not Specified"/>
    <n v="1.9333333333488554"/>
  </r>
  <r>
    <s v="TCK-21615"/>
    <d v="2026-05-19T05:53:00"/>
    <x v="3"/>
    <s v="Talha Nadeem"/>
    <s v="Faisalabad"/>
    <s v="Email"/>
    <s v="Billing Issue"/>
    <s v="Medium"/>
    <n v="24"/>
    <s v="Closed"/>
    <d v="2026-05-19T21:09:00"/>
    <s v="No"/>
    <n v="5"/>
    <s v="Resolved On First Contact"/>
    <n v="15.266666666662786"/>
  </r>
  <r>
    <s v="TCK-21480"/>
    <d v="2026-08-09T10:22:00"/>
    <x v="1"/>
    <s v="Ayaan Khalid"/>
    <s v="Multan"/>
    <s v="Chat"/>
    <s v="Refund Request"/>
    <s v="Low"/>
    <n v="48"/>
    <s v="Escalated"/>
    <s v="Missing Resolve Date"/>
    <s v="Yes"/>
    <m/>
    <s v="Awaiting Customer Response"/>
    <s v=""/>
  </r>
  <r>
    <s v="TCK-22872"/>
    <d v="2026-08-05T20:16:00"/>
    <x v="1"/>
    <s v="Ayaan Khalid"/>
    <s v="Islamabad"/>
    <s v="Email"/>
    <s v="General Inquiry"/>
    <s v="Low"/>
    <n v="48"/>
    <s v="Closed"/>
    <d v="2026-08-10T00:22:00"/>
    <s v="Yes"/>
    <n v="5"/>
    <s v="Repeat Issue From Same Customer"/>
    <n v="100.09999999991851"/>
  </r>
  <r>
    <s v="TCK-20729"/>
    <d v="2026-07-21T08:16:00"/>
    <x v="1"/>
    <s v="Zara Hussain"/>
    <s v="Karachi"/>
    <s v="Portal"/>
    <s v="Account Access"/>
    <s v="Medium"/>
    <n v="24"/>
    <s v="Resolved"/>
    <d v="2026-07-22T00:32:00"/>
    <s v="No"/>
    <n v="1"/>
    <s v="Escalated To Senior Agent"/>
    <n v="16.266666666604578"/>
  </r>
  <r>
    <s v="TCK-22684"/>
    <d v="2026-01-26T05:39:00"/>
    <x v="3"/>
    <s v="Iqra Basit"/>
    <s v="Faisalabad"/>
    <s v="Chat"/>
    <s v="Delivery Delay"/>
    <s v="Low"/>
    <n v="48"/>
    <s v="Resolved"/>
    <d v="2026-01-27T16:34:00"/>
    <s v="No"/>
    <n v="4"/>
    <s v="Customer Satisfied With Resolution"/>
    <n v="34.916666666627862"/>
  </r>
  <r>
    <s v="TCK-22230"/>
    <d v="2026-08-03T22:12:00"/>
    <x v="1"/>
    <s v="Zara Hussain"/>
    <s v="Peshawar"/>
    <s v="Phone"/>
    <s v="General Inquiry"/>
    <s v="Low"/>
    <n v="48"/>
    <s v="Closed"/>
    <d v="2026-08-04T15:38:00"/>
    <s v="No"/>
    <n v="5"/>
    <s v="Not Specified"/>
    <n v="17.43333333323244"/>
  </r>
  <r>
    <s v="TCK-22134"/>
    <d v="2026-06-19T14:21:00"/>
    <x v="2"/>
    <s v="Bilal Chaudhry"/>
    <s v="Multan"/>
    <s v="Email"/>
    <s v="Billing Issue"/>
    <s v="Medium"/>
    <n v="24"/>
    <s v="Open"/>
    <s v="Missing Resolve Date"/>
    <s v="No"/>
    <m/>
    <s v="Customer Requested Refund"/>
    <s v=""/>
  </r>
  <r>
    <s v="TCK-22390"/>
    <d v="2026-01-21T09:02:00"/>
    <x v="3"/>
    <s v="Iqra Basit"/>
    <s v="Lahore"/>
    <s v="Chat"/>
    <s v="General Inquiry"/>
    <s v="High"/>
    <n v="8"/>
    <s v="Closed"/>
    <d v="2026-01-21T12:48:00"/>
    <s v="No"/>
    <n v="5"/>
    <s v="Not Specified"/>
    <n v="3.7666666667209938"/>
  </r>
  <r>
    <s v="TCK-21576"/>
    <d v="2026-03-14T03:48:00"/>
    <x v="0"/>
    <s v="Sadia Anwar"/>
    <s v="Faisalabad"/>
    <s v="Chat"/>
    <s v="Technical Issue"/>
    <s v="Low"/>
    <n v="48"/>
    <s v="Resolved"/>
    <d v="2026-03-14T09:37:00"/>
    <s v="No"/>
    <n v="4"/>
    <s v="Required Follow-Up Call"/>
    <n v="5.816666666592937"/>
  </r>
  <r>
    <s v="TCK-20935"/>
    <d v="2026-07-07T15:26:00"/>
    <x v="3"/>
    <s v="Iqra Basit"/>
    <s v="Peshawar"/>
    <s v="Phone"/>
    <s v="General Inquiry"/>
    <s v="Medium"/>
    <n v="24"/>
    <s v="Resolved"/>
    <d v="2026-07-10T06:02:00"/>
    <s v="No"/>
    <m/>
    <s v="Resolved On First Contact"/>
    <n v="62.599999999918509"/>
  </r>
  <r>
    <s v="TCK-20693"/>
    <d v="2026-07-17T16:01:00"/>
    <x v="3"/>
    <s v="Iqra Basit"/>
    <s v="Rawalpindi"/>
    <s v="Phone"/>
    <s v="Refund Request"/>
    <s v="Medium"/>
    <n v="24"/>
    <s v="Resolved"/>
    <d v="2026-07-18T03:28:00"/>
    <s v="No"/>
    <n v="4"/>
    <s v="Not Specified"/>
    <n v="11.449999999953434"/>
  </r>
  <r>
    <s v="TCK-20894"/>
    <d v="2026-03-29T04:20:00"/>
    <x v="2"/>
    <s v="Bilal Chaudhry"/>
    <s v="Peshawar"/>
    <s v="Phone"/>
    <s v="Account Access"/>
    <s v="Medium"/>
    <n v="24"/>
    <s v="Closed"/>
    <d v="2026-03-29T15:54:00"/>
    <s v="No"/>
    <n v="5"/>
    <s v="Awaiting Customer Response"/>
    <n v="11.566666666651145"/>
  </r>
  <r>
    <s v="TCK-22231"/>
    <d v="2026-07-16T17:04:00"/>
    <x v="2"/>
    <s v="Mahnoor Aslam"/>
    <s v="Peshawar"/>
    <s v="Portal"/>
    <s v="Delivery Delay"/>
    <s v="High"/>
    <n v="8"/>
    <s v="Open"/>
    <s v="Missing Resolve Date"/>
    <s v="No"/>
    <m/>
    <s v="Technical Issue Resolved Remotely"/>
    <s v=""/>
  </r>
  <r>
    <s v="TCK-22168"/>
    <d v="2026-04-08T06:57:00"/>
    <x v="1"/>
    <s v="Ayaan Khalid"/>
    <s v="Rawalpindi"/>
    <s v="Chat"/>
    <s v="Account Access"/>
    <s v="Low"/>
    <n v="48"/>
    <s v="In Progress"/>
    <s v="Missing Resolve Date"/>
    <s v="No"/>
    <m/>
    <s v="Not Specified"/>
    <s v=""/>
  </r>
  <r>
    <s v="TCK-23058"/>
    <d v="2026-03-04T05:33:00"/>
    <x v="3"/>
    <s v="Iqra Basit"/>
    <s v="Islamabad"/>
    <s v="Portal"/>
    <s v="Technical Issue"/>
    <s v="Medium"/>
    <n v="24"/>
    <s v="Closed"/>
    <d v="2026-03-05T00:38:00"/>
    <s v="No"/>
    <n v="4"/>
    <s v="Technical Issue Resolved Remotely"/>
    <n v="19.083333333372138"/>
  </r>
  <r>
    <s v="TCK-23132"/>
    <d v="2026-05-13T08:43:00"/>
    <x v="2"/>
    <s v="Bilal Chaudhry"/>
    <s v="Faisalabad"/>
    <s v="Phone"/>
    <s v="Refund Request"/>
    <s v="Medium"/>
    <n v="24"/>
    <s v="Resolved"/>
    <d v="2026-05-14T01:14:00"/>
    <s v="No"/>
    <n v="5"/>
    <s v="Required Follow-Up Call"/>
    <n v="16.516666666720994"/>
  </r>
  <r>
    <s v="TCK-21990"/>
    <d v="2026-01-30T02:34:00"/>
    <x v="1"/>
    <s v="Ayaan Khalid"/>
    <s v="Islamabad"/>
    <s v="Phone"/>
    <s v="General Inquiry"/>
    <s v="Critical"/>
    <n v="4"/>
    <s v="In Progress"/>
    <s v="Missing Resolve Date"/>
    <s v="No"/>
    <m/>
    <s v="Repeat Issue From Same Customer"/>
    <s v=""/>
  </r>
  <r>
    <s v="TCK-21671"/>
    <d v="2026-06-27T02:17:00"/>
    <x v="3"/>
    <s v="Talha Nadeem"/>
    <s v="Peshawar"/>
    <s v="Phone"/>
    <s v="Billing Issue"/>
    <s v="Medium"/>
    <n v="24"/>
    <s v="Escalated"/>
    <s v="Missing Resolve Date"/>
    <s v="Yes"/>
    <m/>
    <s v="Customer Satisfied With Resolution"/>
    <s v=""/>
  </r>
  <r>
    <s v="TCK-20580"/>
    <d v="2026-07-14T16:07:00"/>
    <x v="2"/>
    <s v="Bilal Chaudhry"/>
    <s v="Rawalpindi"/>
    <s v="Phone"/>
    <s v="Account Access"/>
    <s v="High"/>
    <n v="8"/>
    <s v="Closed"/>
    <d v="2026-07-14T18:02:00"/>
    <s v="No"/>
    <n v="4"/>
    <s v="Resolved On First Contact"/>
    <n v="1.9166666666278616"/>
  </r>
  <r>
    <s v="TCK-20418"/>
    <d v="2026-01-20T11:21:00"/>
    <x v="0"/>
    <s v="Rehan Qureshi"/>
    <s v="Islamabad"/>
    <s v="Email"/>
    <s v="Technical Issue"/>
    <s v="Medium"/>
    <n v="24"/>
    <s v="Resolved"/>
    <d v="2026-01-20T12:27:00"/>
    <s v="No"/>
    <m/>
    <s v="Repeat Issue From Same Customer"/>
    <n v="1.1000000000931323"/>
  </r>
  <r>
    <s v="TCK-22487"/>
    <d v="2026-04-03T16:16:00"/>
    <x v="3"/>
    <s v="Iqra Basit"/>
    <s v="Karachi"/>
    <s v="Email"/>
    <s v="Technical Issue"/>
    <s v="Critical"/>
    <n v="4"/>
    <s v="Closed"/>
    <d v="2026-04-03T18:17:00"/>
    <s v="No"/>
    <n v="5"/>
    <s v="Not Specified"/>
    <n v="2.0166666667792015"/>
  </r>
  <r>
    <s v="TCK-22586"/>
    <d v="2026-05-30T06:57:00"/>
    <x v="3"/>
    <s v="Iqra Basit"/>
    <s v="Multan"/>
    <s v="Phone"/>
    <s v="Refund Request"/>
    <s v="Low"/>
    <n v="48"/>
    <s v="Closed"/>
    <d v="2026-05-30T14:44:00"/>
    <s v="No"/>
    <n v="4"/>
    <s v="Escalated To Senior Agent"/>
    <n v="7.78333333338378"/>
  </r>
  <r>
    <s v="TCK-21528"/>
    <d v="2026-06-25T02:19:00"/>
    <x v="1"/>
    <s v="Zara Hussain"/>
    <s v="Islamabad"/>
    <s v="Email"/>
    <s v="Technical Issue"/>
    <s v="High"/>
    <n v="8"/>
    <s v="Closed"/>
    <s v="Missing Resolve Date"/>
    <s v="No"/>
    <n v="5"/>
    <s v="Resolved On First Contact"/>
    <s v=""/>
  </r>
  <r>
    <s v="TCK-20355"/>
    <d v="2026-02-01T05:33:00"/>
    <x v="1"/>
    <s v="Zara Hussain"/>
    <s v="Multan"/>
    <s v="Portal"/>
    <s v="General Inquiry"/>
    <s v="Medium"/>
    <n v="24"/>
    <s v="Resolved"/>
    <d v="2026-02-03T16:43:00"/>
    <s v="No"/>
    <n v="5"/>
    <s v="Not Specified"/>
    <n v="59.166666666744277"/>
  </r>
  <r>
    <s v="TCK-22027"/>
    <d v="2026-03-27T03:34:00"/>
    <x v="0"/>
    <s v="Rehan Qureshi"/>
    <s v="Islamabad"/>
    <s v="Email"/>
    <s v="Account Access"/>
    <s v="Low"/>
    <n v="48"/>
    <s v="Resolved"/>
    <d v="2026-03-28T19:33:00"/>
    <s v="No"/>
    <m/>
    <s v="Not Specified"/>
    <n v="39.983333333395422"/>
  </r>
  <r>
    <s v="TCK-21311"/>
    <d v="2026-01-25T17:50:00"/>
    <x v="0"/>
    <s v="Sadia Anwar"/>
    <s v="Faisalabad"/>
    <s v="Chat"/>
    <s v="Account Access"/>
    <s v="Critical"/>
    <n v="4"/>
    <s v="Resolved"/>
    <d v="2026-01-26T01:34:00"/>
    <s v="No"/>
    <n v="3"/>
    <s v="Required Follow-Up Call"/>
    <n v="7.7333333333954215"/>
  </r>
  <r>
    <s v="TCK-21251"/>
    <d v="2026-05-21T12:34:00"/>
    <x v="1"/>
    <s v="Ayaan Khalid"/>
    <s v="Lahore"/>
    <s v="Chat"/>
    <s v="General Inquiry"/>
    <s v="High"/>
    <n v="8"/>
    <s v="Resolved"/>
    <d v="2026-05-21T18:42:00"/>
    <s v="No"/>
    <n v="4"/>
    <s v="Resolved On First Contact"/>
    <n v="6.1333333334187046"/>
  </r>
  <r>
    <s v="TCK-22478"/>
    <d v="2026-03-28T21:36:00"/>
    <x v="1"/>
    <s v="Ayaan Khalid"/>
    <s v="Karachi"/>
    <s v="Chat"/>
    <s v="Refund Request"/>
    <s v="High"/>
    <n v="8"/>
    <s v="Resolved"/>
    <d v="2026-03-29T13:34:00"/>
    <s v="No"/>
    <n v="4"/>
    <s v="Resolved On First Contact"/>
    <n v="15.966666666674428"/>
  </r>
  <r>
    <s v="TCK-20583"/>
    <d v="2026-04-08T20:31:00"/>
    <x v="1"/>
    <s v="Zara Hussain"/>
    <s v="Lahore"/>
    <s v="Email"/>
    <s v="Billing Issue"/>
    <s v="Low"/>
    <n v="48"/>
    <s v="Resolved"/>
    <s v="Missing Resolve Date"/>
    <s v="No"/>
    <n v="1"/>
    <s v="Not Specified"/>
    <s v=""/>
  </r>
  <r>
    <s v="TCK-22784"/>
    <d v="2026-08-27T04:16:00"/>
    <x v="1"/>
    <s v="Zara Hussain"/>
    <s v="Islamabad"/>
    <s v="Chat"/>
    <s v="General Inquiry"/>
    <s v="Low"/>
    <n v="48"/>
    <s v="Resolved"/>
    <s v="Missing Resolve Date"/>
    <s v="No"/>
    <m/>
    <s v="Awaiting Customer Response"/>
    <s v=""/>
  </r>
  <r>
    <s v="TCK-21598"/>
    <d v="2026-04-12T14:39:00"/>
    <x v="0"/>
    <s v="Sadia Anwar"/>
    <s v="Karachi"/>
    <s v="Chat"/>
    <s v="Billing Issue"/>
    <s v="Critical"/>
    <n v="4"/>
    <s v="Resolved"/>
    <d v="2026-04-12T17:35:00"/>
    <s v="No"/>
    <n v="1"/>
    <s v="Resolved On First Contact"/>
    <n v="2.9333333332906477"/>
  </r>
  <r>
    <s v="TCK-20301"/>
    <d v="2026-04-25T02:25:00"/>
    <x v="3"/>
    <s v="Talha Nadeem"/>
    <s v="Lahore"/>
    <s v="Portal"/>
    <s v="Refund Request"/>
    <s v="Low"/>
    <n v="48"/>
    <s v="Closed"/>
    <d v="2026-04-29T03:56:00"/>
    <s v="No"/>
    <n v="4"/>
    <s v="Not Specified"/>
    <n v="97.516666666720994"/>
  </r>
  <r>
    <s v="TCK-20376"/>
    <d v="2026-07-03T13:59:00"/>
    <x v="1"/>
    <s v="Ayaan Khalid"/>
    <s v="Faisalabad"/>
    <s v="Chat"/>
    <s v="Technical Issue"/>
    <s v="High"/>
    <n v="8"/>
    <s v="Resolved"/>
    <d v="2026-07-03T18:37:00"/>
    <s v="No"/>
    <n v="4"/>
    <s v="Customer Requested Refund"/>
    <n v="4.6333333332440816"/>
  </r>
  <r>
    <s v="TCK-22362"/>
    <d v="2026-06-25T16:21:00"/>
    <x v="3"/>
    <s v="Talha Nadeem"/>
    <s v="Islamabad"/>
    <s v="Chat"/>
    <s v="Delivery Delay"/>
    <s v="Low"/>
    <n v="48"/>
    <s v="Open"/>
    <s v="Missing Resolve Date"/>
    <s v="No"/>
    <m/>
    <s v="Not Specified"/>
    <s v=""/>
  </r>
  <r>
    <s v="TCK-21955"/>
    <d v="2026-03-07T19:43:00"/>
    <x v="3"/>
    <s v="Iqra Basit"/>
    <s v="Karachi"/>
    <s v="Phone"/>
    <s v="Refund Request"/>
    <s v="Medium"/>
    <n v="24"/>
    <s v="Resolved"/>
    <d v="2026-03-08T05:06:00"/>
    <s v="No"/>
    <n v="4"/>
    <s v="Not Specified"/>
    <n v="9.3833333333604969"/>
  </r>
  <r>
    <s v="TCK-20077"/>
    <d v="2026-05-17T18:32:00"/>
    <x v="2"/>
    <s v="Bilal Chaudhry"/>
    <s v="Peshawar"/>
    <s v="Phone"/>
    <s v="Refund Request"/>
    <s v="Medium"/>
    <n v="24"/>
    <s v="Escalated"/>
    <s v="Missing Resolve Date"/>
    <s v="Yes"/>
    <m/>
    <s v="Repeat Issue From Same Customer"/>
    <s v=""/>
  </r>
  <r>
    <s v="TCK-22190"/>
    <d v="2026-02-26T23:46:00"/>
    <x v="0"/>
    <s v="Rehan Qureshi"/>
    <s v="Lahore"/>
    <s v="Email"/>
    <s v="Delivery Delay"/>
    <s v="Medium"/>
    <n v="24"/>
    <s v="Open"/>
    <s v="Missing Resolve Date"/>
    <s v="Yes"/>
    <m/>
    <s v="Technical Issue Resolved Remotely"/>
    <s v=""/>
  </r>
  <r>
    <s v="TCK-20115"/>
    <d v="2026-04-27T09:03:00"/>
    <x v="3"/>
    <s v="Iqra Basit"/>
    <s v="Faisalabad"/>
    <s v="Portal"/>
    <s v="Refund Request"/>
    <s v="Low"/>
    <n v="48"/>
    <s v="Resolved"/>
    <d v="2026-04-27T19:15:00"/>
    <s v="No"/>
    <n v="4"/>
    <s v="Resolved On First Contact"/>
    <n v="10.200000000069849"/>
  </r>
  <r>
    <s v="TCK-23003"/>
    <d v="2026-04-12T06:40:00"/>
    <x v="0"/>
    <s v="Sadia Anwar"/>
    <s v="Faisalabad"/>
    <s v="Email"/>
    <s v="Billing Issue"/>
    <s v="High"/>
    <n v="8"/>
    <s v="Resolved"/>
    <d v="2026-04-12T16:47:00"/>
    <s v="No"/>
    <m/>
    <s v="Not Specified"/>
    <n v="10.116666666639503"/>
  </r>
  <r>
    <s v="TCK-21327"/>
    <d v="2026-04-28T06:28:00"/>
    <x v="2"/>
    <s v="Mahnoor Aslam"/>
    <s v="Faisalabad"/>
    <s v="Phone"/>
    <s v="Billing Issue"/>
    <s v="High"/>
    <n v="8"/>
    <s v="Closed"/>
    <s v="Missing Resolve Date"/>
    <s v="No"/>
    <m/>
    <s v="Customer Satisfied With Resolution"/>
    <s v=""/>
  </r>
  <r>
    <s v="TCK-20723"/>
    <d v="2026-01-02T16:55:00"/>
    <x v="1"/>
    <s v="Zara Hussain"/>
    <s v="Peshawar"/>
    <s v="Portal"/>
    <s v="Delivery Delay"/>
    <s v="High"/>
    <n v="8"/>
    <s v="Escalated"/>
    <s v="Missing Resolve Date"/>
    <s v="Yes"/>
    <m/>
    <s v="Customer Satisfied With Resolution"/>
    <s v=""/>
  </r>
  <r>
    <s v="TCK-23104"/>
    <d v="2026-02-24T21:19:00"/>
    <x v="0"/>
    <s v="Sadia Anwar"/>
    <s v="Karachi"/>
    <s v="Email"/>
    <s v="General Inquiry"/>
    <s v="Low"/>
    <n v="48"/>
    <s v="Open"/>
    <s v="Missing Resolve Date"/>
    <s v="No"/>
    <m/>
    <s v="Technical Issue Resolved Remotely"/>
    <s v=""/>
  </r>
  <r>
    <s v="TCK-22227"/>
    <d v="2026-07-12T03:33:00"/>
    <x v="2"/>
    <s v="Bilal Chaudhry"/>
    <s v="Rawalpindi"/>
    <s v="Phone"/>
    <s v="Account Access"/>
    <s v="High"/>
    <n v="8"/>
    <s v="Open"/>
    <s v="Missing Resolve Date"/>
    <s v="No"/>
    <m/>
    <s v="Not Specified"/>
    <s v=""/>
  </r>
  <r>
    <s v="TCK-22886"/>
    <d v="2026-01-19T01:06:00"/>
    <x v="2"/>
    <s v="Bilal Chaudhry"/>
    <s v="Faisalabad"/>
    <s v="Email"/>
    <s v="Billing Issue"/>
    <s v="High"/>
    <n v="8"/>
    <s v="In Progress"/>
    <s v="Missing Resolve Date"/>
    <s v="No"/>
    <m/>
    <s v="Required Follow-Up Call"/>
    <s v=""/>
  </r>
  <r>
    <s v="TCK-20057"/>
    <d v="2026-06-16T19:05:00"/>
    <x v="0"/>
    <s v="Sadia Anwar"/>
    <s v="Lahore"/>
    <s v="Email"/>
    <s v="Delivery Delay"/>
    <s v="High"/>
    <n v="8"/>
    <s v="Open"/>
    <s v="Missing Resolve Date"/>
    <s v="No"/>
    <m/>
    <s v="Repeat Issue From Same Customer"/>
    <s v=""/>
  </r>
  <r>
    <s v="TCK-22773"/>
    <d v="2026-05-06T12:38:00"/>
    <x v="2"/>
    <s v="Mahnoor Aslam"/>
    <s v="Faisalabad"/>
    <s v="Phone"/>
    <s v="Refund Request"/>
    <s v="Low"/>
    <n v="48"/>
    <s v="In Progress"/>
    <s v="Missing Resolve Date"/>
    <s v="No"/>
    <m/>
    <s v="Technical Issue Resolved Remotely"/>
    <s v=""/>
  </r>
  <r>
    <s v="TCK-22122"/>
    <d v="2026-08-15T13:41:00"/>
    <x v="1"/>
    <s v="Ayaan Khalid"/>
    <s v="Lahore"/>
    <s v="Phone"/>
    <s v="Billing Issue"/>
    <s v="Medium"/>
    <n v="24"/>
    <s v="Closed"/>
    <d v="2026-08-16T07:00:00"/>
    <s v="No"/>
    <n v="1"/>
    <s v="Awaiting Customer Response"/>
    <n v="17.316666666534729"/>
  </r>
  <r>
    <s v="TCK-20323"/>
    <d v="2026-04-15T12:33:00"/>
    <x v="3"/>
    <s v="Iqra Basit"/>
    <s v="Multan"/>
    <s v="Email"/>
    <s v="Refund Request"/>
    <s v="Low"/>
    <n v="48"/>
    <s v="Resolved"/>
    <d v="2026-04-16T12:28:00"/>
    <s v="No"/>
    <n v="4"/>
    <s v="Escalated To Senior Agent"/>
    <n v="23.916666666569654"/>
  </r>
  <r>
    <s v="TCK-22581"/>
    <d v="2026-08-21T04:52:00"/>
    <x v="0"/>
    <s v="Sadia Anwar"/>
    <s v="Lahore"/>
    <s v="Email"/>
    <s v="Billing Issue"/>
    <s v="Medium"/>
    <n v="24"/>
    <s v="Resolved"/>
    <d v="2026-08-21T13:39:00"/>
    <s v="No"/>
    <m/>
    <s v="Repeat Issue From Same Customer"/>
    <n v="8.7833333333255723"/>
  </r>
  <r>
    <s v="TCK-21785"/>
    <d v="2026-06-12T11:18:00"/>
    <x v="0"/>
    <s v="Sadia Anwar"/>
    <s v="Faisalabad"/>
    <s v="Email"/>
    <s v="Technical Issue"/>
    <s v="Medium"/>
    <n v="24"/>
    <s v="In Progress"/>
    <s v="Missing Resolve Date"/>
    <s v="Yes"/>
    <m/>
    <s v="Customer Requested Refund"/>
    <s v=""/>
  </r>
  <r>
    <s v="TCK-20091"/>
    <d v="2026-08-04T17:24:00"/>
    <x v="2"/>
    <s v="Mahnoor Aslam"/>
    <s v="Rawalpindi"/>
    <s v="Portal"/>
    <s v="Account Access"/>
    <s v="Medium"/>
    <n v="24"/>
    <s v="Resolved"/>
    <d v="2026-08-04T19:18:00"/>
    <s v="No"/>
    <n v="4"/>
    <s v="Escalated To Senior Agent"/>
    <n v="1.9000000000814907"/>
  </r>
  <r>
    <s v="TCK-20773"/>
    <d v="2026-08-04T04:56:00"/>
    <x v="2"/>
    <s v="Bilal Chaudhry"/>
    <s v="Rawalpindi"/>
    <s v="Email"/>
    <s v="Delivery Delay"/>
    <s v="Low"/>
    <n v="48"/>
    <s v="Closed"/>
    <d v="2026-08-07T04:42:00"/>
    <s v="No"/>
    <m/>
    <s v="Repeat Issue From Same Customer"/>
    <n v="71.766666666604578"/>
  </r>
  <r>
    <s v="TCK-22453"/>
    <d v="2026-03-18T05:04:00"/>
    <x v="2"/>
    <s v="Mahnoor Aslam"/>
    <s v="Faisalabad"/>
    <s v="Chat"/>
    <s v="Billing Issue"/>
    <s v="High"/>
    <n v="8"/>
    <s v="In Progress"/>
    <s v="Missing Resolve Date"/>
    <s v="No"/>
    <m/>
    <s v="Not Specified"/>
    <s v=""/>
  </r>
  <r>
    <s v="TCK-20530"/>
    <d v="2026-01-12T00:23:00"/>
    <x v="1"/>
    <s v="Zara Hussain"/>
    <s v="Islamabad"/>
    <s v="Chat"/>
    <s v="Refund Request"/>
    <s v="Critical"/>
    <n v="4"/>
    <s v="Resolved"/>
    <d v="2026-01-12T02:43:00"/>
    <s v="No"/>
    <n v="4"/>
    <s v="Awaiting Customer Response"/>
    <n v="2.3333333332557231"/>
  </r>
  <r>
    <s v="TCK-20659"/>
    <d v="2026-01-20T17:35:00"/>
    <x v="2"/>
    <s v="Mahnoor Aslam"/>
    <s v="Peshawar"/>
    <s v="Email"/>
    <s v="Account Access"/>
    <s v="Low"/>
    <n v="48"/>
    <s v="Closed"/>
    <d v="2026-01-25T10:14:00"/>
    <s v="No"/>
    <n v="5"/>
    <s v="Not Specified"/>
    <n v="112.64999999996508"/>
  </r>
  <r>
    <s v="TCK-21586"/>
    <d v="2026-04-17T15:42:00"/>
    <x v="0"/>
    <s v="Sadia Anwar"/>
    <s v="Rawalpindi"/>
    <s v="Phone"/>
    <s v="Technical Issue"/>
    <s v="Medium"/>
    <n v="24"/>
    <s v="Closed"/>
    <d v="2026-04-17T20:04:00"/>
    <s v="No"/>
    <n v="2"/>
    <s v="Repeat Issue From Same Customer"/>
    <n v="4.3666666665812954"/>
  </r>
  <r>
    <s v="TCK-22856"/>
    <d v="2026-05-03T18:27:00"/>
    <x v="3"/>
    <s v="Iqra Basit"/>
    <s v="Peshawar"/>
    <s v="Phone"/>
    <s v="Refund Request"/>
    <s v="Low"/>
    <n v="48"/>
    <s v="Escalated"/>
    <s v="Missing Resolve Date"/>
    <s v="Yes"/>
    <m/>
    <s v="Awaiting Customer Response"/>
    <s v=""/>
  </r>
  <r>
    <s v="TCK-23075"/>
    <d v="2026-08-04T13:16:00"/>
    <x v="0"/>
    <s v="Sadia Anwar"/>
    <s v="Rawalpindi"/>
    <s v="Chat"/>
    <s v="Refund Request"/>
    <s v="Medium"/>
    <n v="24"/>
    <s v="Resolved"/>
    <d v="2026-08-05T06:31:00"/>
    <s v="No"/>
    <m/>
    <s v="Customer Requested Refund"/>
    <n v="17.25"/>
  </r>
  <r>
    <s v="TCK-21697"/>
    <d v="2026-01-28T06:25:00"/>
    <x v="2"/>
    <s v="Bilal Chaudhry"/>
    <s v="Islamabad"/>
    <s v="Phone"/>
    <s v="Refund Request"/>
    <s v="Medium"/>
    <n v="24"/>
    <s v="Resolved"/>
    <d v="2026-01-28T13:01:00"/>
    <s v="No"/>
    <m/>
    <s v="Escalated To Senior Agent"/>
    <n v="6.6000000000349246"/>
  </r>
  <r>
    <s v="TCK-21802"/>
    <d v="2026-02-09T17:31:00"/>
    <x v="2"/>
    <s v="Bilal Chaudhry"/>
    <s v="Lahore"/>
    <s v="Email"/>
    <s v="Account Access"/>
    <s v="Medium"/>
    <n v="24"/>
    <s v="Resolved"/>
    <d v="2026-02-09T19:28:00"/>
    <s v="No"/>
    <n v="2"/>
    <s v="Escalated To Senior Agent"/>
    <n v="1.9500000000698492"/>
  </r>
  <r>
    <s v="TCK-20747"/>
    <d v="2026-02-01T00:21:00"/>
    <x v="1"/>
    <s v="Ayaan Khalid"/>
    <s v="Peshawar"/>
    <s v="Email"/>
    <s v="Account Access"/>
    <s v="Low"/>
    <n v="48"/>
    <s v="Resolved"/>
    <d v="2026-02-01T17:01:00"/>
    <s v="No"/>
    <n v="4"/>
    <s v="Technical Issue Resolved Remotely"/>
    <n v="16.666666666686069"/>
  </r>
  <r>
    <s v="TCK-21456"/>
    <d v="2026-04-11T05:36:00"/>
    <x v="1"/>
    <s v="Zara Hussain"/>
    <s v="Peshawar"/>
    <s v="Email"/>
    <s v="General Inquiry"/>
    <s v="Medium"/>
    <n v="24"/>
    <s v="Resolved"/>
    <d v="2026-04-12T01:52:00"/>
    <s v="No"/>
    <n v="1"/>
    <s v="Not Specified"/>
    <n v="20.266666666720994"/>
  </r>
  <r>
    <s v="TCK-22371"/>
    <d v="2026-05-20T18:50:00"/>
    <x v="2"/>
    <s v="Mahnoor Aslam"/>
    <s v="Islamabad"/>
    <s v="Phone"/>
    <s v="Refund Request"/>
    <s v="Low"/>
    <n v="48"/>
    <s v="Resolved"/>
    <d v="2026-05-21T01:01:00"/>
    <s v="Yes"/>
    <n v="2"/>
    <s v="Required Follow-Up Call"/>
    <n v="6.183333333407063"/>
  </r>
  <r>
    <s v="TCK-21177"/>
    <d v="2026-01-20T23:19:00"/>
    <x v="2"/>
    <s v="Mahnoor Aslam"/>
    <s v="Peshawar"/>
    <s v="Chat"/>
    <s v="Refund Request"/>
    <s v="Low"/>
    <n v="48"/>
    <s v="Resolved"/>
    <s v="Missing Resolve Date"/>
    <s v="No"/>
    <n v="2"/>
    <s v="Escalated To Senior Agent"/>
    <s v=""/>
  </r>
  <r>
    <s v="TCK-20621"/>
    <d v="2026-08-30T02:11:00"/>
    <x v="2"/>
    <s v="Bilal Chaudhry"/>
    <s v="Faisalabad"/>
    <s v="Email"/>
    <s v="Delivery Delay"/>
    <s v="Low"/>
    <n v="48"/>
    <s v="Closed"/>
    <d v="2026-08-30T14:08:00"/>
    <s v="Yes"/>
    <m/>
    <s v="Customer Satisfied With Resolution"/>
    <n v="11.950000000011642"/>
  </r>
  <r>
    <s v="TCK-20069"/>
    <d v="2026-05-27T07:06:00"/>
    <x v="1"/>
    <s v="Zara Hussain"/>
    <s v="Peshawar"/>
    <s v="Phone"/>
    <s v="Account Access"/>
    <s v="High"/>
    <n v="8"/>
    <s v="In Progress"/>
    <s v="Missing Resolve Date"/>
    <s v="No"/>
    <m/>
    <s v="Escalated To Senior Agent"/>
    <s v=""/>
  </r>
  <r>
    <s v="TCK-22061"/>
    <d v="2026-06-03T13:09:00"/>
    <x v="1"/>
    <s v="Ayaan Khalid"/>
    <s v="Karachi"/>
    <s v="Phone"/>
    <s v="Billing Issue"/>
    <s v="High"/>
    <n v="8"/>
    <s v="Resolved"/>
    <d v="2026-06-03T15:35:00"/>
    <s v="No"/>
    <n v="4"/>
    <s v="Technical Issue Resolved Remotely"/>
    <n v="2.4333333332324401"/>
  </r>
  <r>
    <s v="TCK-20105"/>
    <d v="2026-02-24T03:41:00"/>
    <x v="1"/>
    <s v="Zara Hussain"/>
    <s v="Islamabad"/>
    <s v="Email"/>
    <s v="Refund Request"/>
    <s v="Low"/>
    <n v="48"/>
    <s v="Resolved"/>
    <d v="2026-02-24T04:34:00"/>
    <s v="No"/>
    <n v="5"/>
    <s v="Technical Issue Resolved Remotely"/>
    <n v="0.88333333341870457"/>
  </r>
  <r>
    <s v="TCK-20100"/>
    <d v="2026-06-16T20:34:00"/>
    <x v="3"/>
    <s v="Talha Nadeem"/>
    <s v="Peshawar"/>
    <s v="Phone"/>
    <s v="Technical Issue"/>
    <s v="High"/>
    <n v="8"/>
    <s v="Open"/>
    <s v="Missing Resolve Date"/>
    <s v="No"/>
    <m/>
    <s v="Required Follow-Up Call"/>
    <s v=""/>
  </r>
  <r>
    <s v="TCK-20825"/>
    <d v="2026-04-25T08:12:00"/>
    <x v="0"/>
    <s v="Sadia Anwar"/>
    <s v="Karachi"/>
    <s v="Chat"/>
    <s v="Technical Issue"/>
    <s v="Critical"/>
    <n v="4"/>
    <s v="Resolved"/>
    <d v="2026-04-25T09:02:00"/>
    <s v="No"/>
    <m/>
    <s v="Not Specified"/>
    <n v="0.83333333325572312"/>
  </r>
  <r>
    <s v="TCK-22370"/>
    <d v="2026-01-20T22:47:00"/>
    <x v="3"/>
    <s v="Iqra Basit"/>
    <s v="Peshawar"/>
    <s v="Portal"/>
    <s v="Account Access"/>
    <s v="Medium"/>
    <n v="24"/>
    <s v="Escalated"/>
    <s v="Missing Resolve Date"/>
    <s v="Yes"/>
    <m/>
    <s v="Repeat Issue From Same Customer"/>
    <s v=""/>
  </r>
  <r>
    <s v="TCK-23010"/>
    <d v="2026-07-29T12:22:00"/>
    <x v="3"/>
    <s v="Talha Nadeem"/>
    <s v="Multan"/>
    <s v="Email"/>
    <s v="Refund Request"/>
    <s v="Critical"/>
    <n v="4"/>
    <s v="Resolved"/>
    <d v="2026-07-29T13:06:00"/>
    <s v="No"/>
    <n v="1"/>
    <s v="Resolved On First Contact"/>
    <n v="0.73333333327900618"/>
  </r>
  <r>
    <s v="TCK-22752"/>
    <d v="2026-08-11T21:26:00"/>
    <x v="1"/>
    <s v="Ayaan Khalid"/>
    <s v="Rawalpindi"/>
    <s v="Chat"/>
    <s v="Technical Issue"/>
    <s v="Medium"/>
    <n v="24"/>
    <s v="In Progress"/>
    <s v="Missing Resolve Date"/>
    <s v="No"/>
    <m/>
    <s v="Required Follow-Up Call"/>
    <s v=""/>
  </r>
  <r>
    <s v="TCK-21877"/>
    <d v="2026-05-18T22:29:00"/>
    <x v="0"/>
    <s v="Rehan Qureshi"/>
    <s v="Faisalabad"/>
    <s v="Chat"/>
    <s v="General Inquiry"/>
    <s v="Medium"/>
    <n v="24"/>
    <s v="Resolved"/>
    <d v="2026-05-21T12:33:00"/>
    <s v="No"/>
    <n v="3"/>
    <s v="Escalated To Senior Agent"/>
    <n v="62.06666666676756"/>
  </r>
  <r>
    <s v="TCK-21649"/>
    <d v="2026-01-23T14:00:00"/>
    <x v="0"/>
    <s v="Sadia Anwar"/>
    <s v="Karachi"/>
    <s v="Chat"/>
    <s v="General Inquiry"/>
    <s v="Medium"/>
    <n v="24"/>
    <s v="Closed"/>
    <d v="2026-01-24T23:54:00"/>
    <s v="No"/>
    <n v="2"/>
    <s v="Required Follow-Up Call"/>
    <n v="33.899999999965075"/>
  </r>
  <r>
    <s v="TCK-22718"/>
    <d v="2026-03-26T15:53:00"/>
    <x v="1"/>
    <s v="Zara Hussain"/>
    <s v="Faisalabad"/>
    <s v="Chat"/>
    <s v="General Inquiry"/>
    <s v="Low"/>
    <n v="48"/>
    <s v="Resolved"/>
    <d v="2026-03-27T12:11:00"/>
    <s v="No"/>
    <n v="2"/>
    <s v="Customer Satisfied With Resolution"/>
    <n v="20.299999999988358"/>
  </r>
  <r>
    <s v="TCK-20742"/>
    <d v="2026-08-04T22:16:00"/>
    <x v="1"/>
    <s v="Ayaan Khalid"/>
    <s v="Rawalpindi"/>
    <s v="Phone"/>
    <s v="Account Access"/>
    <s v="Critical"/>
    <n v="4"/>
    <s v="Resolved"/>
    <d v="2026-08-05T08:37:00"/>
    <s v="No"/>
    <n v="5"/>
    <s v="Technical Issue Resolved Remotely"/>
    <n v="10.350000000034925"/>
  </r>
  <r>
    <s v="TCK-22375"/>
    <d v="2026-02-02T08:35:00"/>
    <x v="2"/>
    <s v="Mahnoor Aslam"/>
    <s v="Rawalpindi"/>
    <s v="Chat"/>
    <s v="Delivery Delay"/>
    <s v="Medium"/>
    <n v="24"/>
    <s v="Resolved"/>
    <d v="2026-02-02T10:35:00"/>
    <s v="No"/>
    <n v="2"/>
    <s v="Not Specified"/>
    <n v="1.9999999998835847"/>
  </r>
  <r>
    <s v="TCK-22655"/>
    <d v="2026-07-23T16:39:00"/>
    <x v="0"/>
    <s v="Rehan Qureshi"/>
    <s v="Lahore"/>
    <s v="Email"/>
    <s v="Account Access"/>
    <s v="High"/>
    <n v="8"/>
    <s v="Closed"/>
    <d v="2026-07-23T19:23:00"/>
    <s v="No"/>
    <n v="2"/>
    <s v="Customer Satisfied With Resolution"/>
    <n v="2.7333333333372138"/>
  </r>
  <r>
    <s v="TCK-22674"/>
    <d v="2026-01-16T03:42:00"/>
    <x v="3"/>
    <s v="Iqra Basit"/>
    <s v="Multan"/>
    <s v="Portal"/>
    <s v="Billing Issue"/>
    <s v="Low"/>
    <n v="48"/>
    <s v="Closed"/>
    <d v="2026-01-17T12:06:00"/>
    <s v="No"/>
    <n v="1"/>
    <s v="Not Specified"/>
    <n v="32.399999999965075"/>
  </r>
  <r>
    <s v="TCK-21164"/>
    <d v="2026-03-30T07:25:00"/>
    <x v="0"/>
    <s v="Rehan Qureshi"/>
    <s v="Faisalabad"/>
    <s v="Email"/>
    <s v="Refund Request"/>
    <s v="Medium"/>
    <n v="24"/>
    <s v="Resolved"/>
    <d v="2026-03-30T11:48:00"/>
    <s v="Yes"/>
    <n v="3"/>
    <s v="Escalated To Senior Agent"/>
    <n v="4.3833333333022892"/>
  </r>
  <r>
    <s v="TCK-21047"/>
    <d v="2026-01-28T13:04:00"/>
    <x v="0"/>
    <s v="Sadia Anwar"/>
    <s v="Multan"/>
    <s v="Chat"/>
    <s v="Billing Issue"/>
    <s v="Low"/>
    <n v="48"/>
    <s v="Escalated"/>
    <s v="Missing Resolve Date"/>
    <s v="Yes"/>
    <m/>
    <s v="Escalated To Senior Agent"/>
    <s v=""/>
  </r>
  <r>
    <s v="TCK-21084"/>
    <d v="2026-06-04T21:43:00"/>
    <x v="2"/>
    <s v="Mahnoor Aslam"/>
    <s v="Islamabad"/>
    <s v="Email"/>
    <s v="Delivery Delay"/>
    <s v="High"/>
    <n v="8"/>
    <s v="Closed"/>
    <d v="2026-06-04T22:17:00"/>
    <s v="No"/>
    <n v="3"/>
    <s v="Customer Satisfied With Resolution"/>
    <n v="0.56666666659293696"/>
  </r>
  <r>
    <s v="TCK-23155"/>
    <d v="2026-08-12T06:40:00"/>
    <x v="3"/>
    <s v="Talha Nadeem"/>
    <s v="Multan"/>
    <s v="Chat"/>
    <s v="Technical Issue"/>
    <s v="Low"/>
    <n v="48"/>
    <s v="Closed"/>
    <d v="2026-08-14T00:52:00"/>
    <s v="No"/>
    <n v="4"/>
    <s v="Escalated To Senior Agent"/>
    <n v="42.199999999953434"/>
  </r>
  <r>
    <s v="TCK-21808"/>
    <d v="2026-07-01T20:53:00"/>
    <x v="3"/>
    <s v="Talha Nadeem"/>
    <s v="Faisalabad"/>
    <s v="Email"/>
    <s v="Technical Issue"/>
    <s v="Medium"/>
    <n v="24"/>
    <s v="Resolved"/>
    <d v="2026-07-04T08:54:00"/>
    <s v="No"/>
    <m/>
    <s v="Technical Issue Resolved Remotely"/>
    <n v="60.016666666720994"/>
  </r>
  <r>
    <s v="TCK-22678"/>
    <d v="2026-08-11T17:41:00"/>
    <x v="1"/>
    <s v="Ayaan Khalid"/>
    <s v="Karachi"/>
    <s v="Phone"/>
    <s v="Refund Request"/>
    <s v="Critical"/>
    <n v="4"/>
    <s v="Resolved"/>
    <d v="2026-08-11T18:57:00"/>
    <s v="No"/>
    <n v="3"/>
    <s v="Customer Satisfied With Resolution"/>
    <n v="1.2666666666045785"/>
  </r>
  <r>
    <s v="TCK-20888"/>
    <d v="2026-01-07T21:27:00"/>
    <x v="3"/>
    <s v="Iqra Basit"/>
    <s v="Faisalabad"/>
    <s v="Phone"/>
    <s v="General Inquiry"/>
    <s v="Medium"/>
    <n v="24"/>
    <s v="In Progress"/>
    <s v="Missing Resolve Date"/>
    <s v="No"/>
    <m/>
    <s v="Not Specified"/>
    <s v=""/>
  </r>
  <r>
    <s v="TCK-22516"/>
    <d v="2026-07-01T06:01:00"/>
    <x v="3"/>
    <s v="Iqra Basit"/>
    <s v="Peshawar"/>
    <s v="Portal"/>
    <s v="General Inquiry"/>
    <s v="Medium"/>
    <n v="24"/>
    <s v="In Progress"/>
    <s v="Missing Resolve Date"/>
    <s v="No"/>
    <m/>
    <s v="Customer Requested Refund"/>
    <s v=""/>
  </r>
  <r>
    <s v="TCK-21356"/>
    <d v="2026-04-16T03:25:00"/>
    <x v="2"/>
    <s v="Mahnoor Aslam"/>
    <s v="Islamabad"/>
    <s v="Email"/>
    <s v="Billing Issue"/>
    <s v="High"/>
    <n v="8"/>
    <s v="Closed"/>
    <d v="2026-04-16T06:39:00"/>
    <s v="No"/>
    <n v="2"/>
    <s v="Customer Requested Refund"/>
    <n v="3.2333333333954215"/>
  </r>
  <r>
    <s v="TCK-22595"/>
    <d v="2026-05-03T20:48:00"/>
    <x v="3"/>
    <s v="Talha Nadeem"/>
    <s v="Islamabad"/>
    <s v="Email"/>
    <s v="Refund Request"/>
    <s v="Medium"/>
    <n v="24"/>
    <s v="Resolved"/>
    <d v="2026-05-04T00:17:00"/>
    <s v="No"/>
    <m/>
    <s v="Technical Issue Resolved Remotely"/>
    <n v="3.4833333333372138"/>
  </r>
  <r>
    <s v="TCK-21518"/>
    <d v="2026-06-10T16:40:00"/>
    <x v="3"/>
    <s v="Iqra Basit"/>
    <s v="Rawalpindi"/>
    <s v="Phone"/>
    <s v="Account Access"/>
    <s v="High"/>
    <n v="8"/>
    <s v="Resolved"/>
    <d v="2026-06-11T01:51:00"/>
    <s v="No"/>
    <n v="5"/>
    <s v="Customer Requested Refund"/>
    <n v="9.1833333332324401"/>
  </r>
  <r>
    <s v="TCK-22982"/>
    <d v="2026-07-11T19:00:00"/>
    <x v="2"/>
    <s v="Mahnoor Aslam"/>
    <s v="Multan"/>
    <s v="Portal"/>
    <s v="Billing Issue"/>
    <s v="Medium"/>
    <n v="24"/>
    <s v="Resolved"/>
    <d v="2026-07-14T10:52:00"/>
    <s v="No"/>
    <n v="5"/>
    <s v="Not Specified"/>
    <n v="63.866666666697711"/>
  </r>
  <r>
    <s v="TCK-22976"/>
    <d v="2026-02-02T13:40:00"/>
    <x v="3"/>
    <s v="Talha Nadeem"/>
    <s v="Rawalpindi"/>
    <s v="Portal"/>
    <s v="Delivery Delay"/>
    <s v="Medium"/>
    <n v="24"/>
    <s v="Resolved"/>
    <d v="2026-02-05T05:49:00"/>
    <s v="No"/>
    <m/>
    <s v="Not Specified"/>
    <n v="64.149999999906868"/>
  </r>
  <r>
    <s v="TCK-20111"/>
    <d v="2026-01-08T23:15:00"/>
    <x v="3"/>
    <s v="Iqra Basit"/>
    <s v="Karachi"/>
    <s v="Phone"/>
    <s v="Billing Issue"/>
    <s v="Low"/>
    <n v="48"/>
    <s v="Open"/>
    <s v="Missing Resolve Date"/>
    <s v="No"/>
    <m/>
    <s v="Not Specified"/>
    <s v=""/>
  </r>
  <r>
    <s v="TCK-22737"/>
    <d v="2026-01-08T04:10:00"/>
    <x v="2"/>
    <s v="Mahnoor Aslam"/>
    <s v="Lahore"/>
    <s v="Chat"/>
    <s v="Account Access"/>
    <s v="Medium"/>
    <n v="24"/>
    <s v="Resolved"/>
    <d v="2026-01-08T20:45:00"/>
    <s v="No"/>
    <m/>
    <s v="Customer Requested Refund"/>
    <n v="16.583333333430346"/>
  </r>
  <r>
    <s v="TCK-20636"/>
    <d v="2026-05-02T20:57:00"/>
    <x v="2"/>
    <s v="Bilal Chaudhry"/>
    <s v="Lahore"/>
    <s v="Portal"/>
    <s v="Account Access"/>
    <s v="High"/>
    <n v="8"/>
    <s v="Resolved"/>
    <d v="2026-05-03T03:15:00"/>
    <s v="No"/>
    <n v="5"/>
    <s v="Technical Issue Resolved Remotely"/>
    <n v="6.2999999999301508"/>
  </r>
  <r>
    <s v="TCK-21748"/>
    <d v="2026-01-03T20:12:00"/>
    <x v="1"/>
    <s v="Ayaan Khalid"/>
    <s v="Rawalpindi"/>
    <s v="Chat"/>
    <s v="Account Access"/>
    <s v="Medium"/>
    <n v="24"/>
    <s v="Resolved"/>
    <d v="2026-01-04T01:18:00"/>
    <s v="No"/>
    <n v="5"/>
    <s v="Required Follow-Up Call"/>
    <n v="5.1000000000349246"/>
  </r>
  <r>
    <s v="TCK-20915"/>
    <d v="2026-06-16T01:52:00"/>
    <x v="0"/>
    <s v="Rehan Qureshi"/>
    <s v="Karachi"/>
    <s v="Portal"/>
    <s v="Billing Issue"/>
    <s v="Low"/>
    <n v="48"/>
    <s v="In Progress"/>
    <s v="Missing Resolve Date"/>
    <s v="No"/>
    <m/>
    <s v="Repeat Issue From Same Customer"/>
    <s v=""/>
  </r>
  <r>
    <s v="TCK-20956"/>
    <d v="2026-04-13T00:08:00"/>
    <x v="2"/>
    <s v="Mahnoor Aslam"/>
    <s v="Faisalabad"/>
    <s v="Chat"/>
    <s v="Delivery Delay"/>
    <s v="Medium"/>
    <n v="24"/>
    <s v="In Progress"/>
    <s v="Missing Resolve Date"/>
    <s v="No"/>
    <m/>
    <s v="Required Follow-Up Call"/>
    <s v=""/>
  </r>
  <r>
    <s v="TCK-21337"/>
    <d v="2026-03-05T05:13:00"/>
    <x v="2"/>
    <s v="Bilal Chaudhry"/>
    <s v="Faisalabad"/>
    <s v="Chat"/>
    <s v="Billing Issue"/>
    <s v="High"/>
    <n v="8"/>
    <s v="In Progress"/>
    <s v="Missing Resolve Date"/>
    <s v="No"/>
    <m/>
    <s v="Customer Satisfied With Resolution"/>
    <s v=""/>
  </r>
  <r>
    <s v="TCK-23113"/>
    <d v="2026-01-10T15:50:00"/>
    <x v="2"/>
    <s v="Mahnoor Aslam"/>
    <s v="Rawalpindi"/>
    <s v="Chat"/>
    <s v="Delivery Delay"/>
    <s v="Low"/>
    <n v="48"/>
    <s v="Re-Opened"/>
    <d v="2026-01-11T23:25:00"/>
    <s v="No"/>
    <m/>
    <s v="Resolved On First Contact"/>
    <n v="31.583333333430346"/>
  </r>
  <r>
    <s v="TCK-21981"/>
    <d v="2026-01-24T04:12:00"/>
    <x v="2"/>
    <s v="Bilal Chaudhry"/>
    <s v="Islamabad"/>
    <s v="Chat"/>
    <s v="Delivery Delay"/>
    <s v="High"/>
    <n v="8"/>
    <s v="Resolved"/>
    <d v="2026-01-24T16:26:00"/>
    <s v="No"/>
    <m/>
    <s v="Required Follow-Up Call"/>
    <n v="12.233333333220799"/>
  </r>
  <r>
    <s v="TCK-20541"/>
    <d v="2026-02-27T16:00:00"/>
    <x v="0"/>
    <s v="Rehan Qureshi"/>
    <s v="Islamabad"/>
    <s v="Portal"/>
    <s v="Technical Issue"/>
    <s v="Low"/>
    <n v="48"/>
    <s v="Closed"/>
    <d v="2026-03-03T16:54:00"/>
    <s v="No"/>
    <n v="4"/>
    <s v="Customer Requested Refund"/>
    <n v="96.900000000139698"/>
  </r>
  <r>
    <s v="TCK-20419"/>
    <d v="2026-08-26T03:26:00"/>
    <x v="2"/>
    <s v="Bilal Chaudhry"/>
    <s v="Lahore"/>
    <s v="Email"/>
    <s v="Billing Issue"/>
    <s v="Medium"/>
    <n v="24"/>
    <s v="Resolved"/>
    <s v="Missing Resolve Date"/>
    <s v="No"/>
    <m/>
    <s v="Customer Satisfied With Resolution"/>
    <s v=""/>
  </r>
  <r>
    <s v="TCK-20553"/>
    <d v="2026-05-24T20:42:00"/>
    <x v="0"/>
    <s v="Sadia Anwar"/>
    <s v="Lahore"/>
    <s v="Portal"/>
    <s v="Delivery Delay"/>
    <s v="Medium"/>
    <n v="24"/>
    <s v="Resolved"/>
    <d v="2026-05-25T17:57:00"/>
    <s v="No"/>
    <m/>
    <s v="Awaiting Customer Response"/>
    <n v="21.249999999941792"/>
  </r>
  <r>
    <s v="TCK-21546"/>
    <d v="2026-01-12T20:15:00"/>
    <x v="0"/>
    <s v="Sadia Anwar"/>
    <s v="Islamabad"/>
    <s v="Phone"/>
    <s v="Technical Issue"/>
    <s v="Low"/>
    <n v="48"/>
    <s v="Open"/>
    <s v="Missing Resolve Date"/>
    <s v="No"/>
    <m/>
    <s v="Resolved On First Contact"/>
    <s v=""/>
  </r>
  <r>
    <s v="TCK-22274"/>
    <d v="2026-01-07T00:57:00"/>
    <x v="0"/>
    <s v="Sadia Anwar"/>
    <s v="Rawalpindi"/>
    <s v="Phone"/>
    <s v="Account Access"/>
    <s v="Medium"/>
    <n v="24"/>
    <s v="Re-Opened"/>
    <d v="2026-01-07T22:29:00"/>
    <s v="No"/>
    <m/>
    <s v="Not Specified"/>
    <n v="21.533333333325572"/>
  </r>
  <r>
    <s v="TCK-23131"/>
    <d v="2026-05-10T21:17:00"/>
    <x v="3"/>
    <s v="Iqra Basit"/>
    <s v="Peshawar"/>
    <s v="Portal"/>
    <s v="Technical Issue"/>
    <s v="Low"/>
    <n v="48"/>
    <s v="Closed"/>
    <d v="2026-05-16T06:42:00"/>
    <s v="No"/>
    <n v="3"/>
    <s v="Required Follow-Up Call"/>
    <n v="129.41666666662786"/>
  </r>
  <r>
    <s v="TCK-21361"/>
    <d v="2026-06-30T11:08:00"/>
    <x v="3"/>
    <s v="Talha Nadeem"/>
    <s v="Rawalpindi"/>
    <s v="Chat"/>
    <s v="General Inquiry"/>
    <s v="Medium"/>
    <n v="24"/>
    <s v="Resolved"/>
    <d v="2026-06-30T12:09:00"/>
    <s v="No"/>
    <n v="5"/>
    <s v="Escalated To Senior Agent"/>
    <n v="1.0166666666627862"/>
  </r>
  <r>
    <s v="TCK-21066"/>
    <d v="2026-02-03T21:34:00"/>
    <x v="0"/>
    <s v="Sadia Anwar"/>
    <s v="Karachi"/>
    <s v="Email"/>
    <s v="Billing Issue"/>
    <s v="High"/>
    <n v="8"/>
    <s v="Open"/>
    <s v="Missing Resolve Date"/>
    <s v="No"/>
    <m/>
    <s v="Customer Requested Refund"/>
    <s v=""/>
  </r>
  <r>
    <s v="TCK-21029"/>
    <d v="2026-03-09T04:02:00"/>
    <x v="0"/>
    <s v="Rehan Qureshi"/>
    <s v="Islamabad"/>
    <s v="Phone"/>
    <s v="Refund Request"/>
    <s v="High"/>
    <n v="8"/>
    <s v="Closed"/>
    <d v="2026-03-09T23:00:00"/>
    <s v="No"/>
    <n v="1"/>
    <s v="Awaiting Customer Response"/>
    <n v="18.966666666674428"/>
  </r>
  <r>
    <s v="TCK-22710"/>
    <d v="2026-03-23T08:38:00"/>
    <x v="3"/>
    <s v="Iqra Basit"/>
    <s v="Rawalpindi"/>
    <s v="Chat"/>
    <s v="Refund Request"/>
    <s v="High"/>
    <n v="8"/>
    <s v="Escalated"/>
    <s v="Missing Resolve Date"/>
    <s v="Yes"/>
    <m/>
    <s v="Customer Satisfied With Resolution"/>
    <s v=""/>
  </r>
  <r>
    <s v="TCK-22628"/>
    <d v="2026-06-04T13:10:00"/>
    <x v="2"/>
    <s v="Bilal Chaudhry"/>
    <s v="Rawalpindi"/>
    <s v="Email"/>
    <s v="Refund Request"/>
    <s v="Low"/>
    <n v="48"/>
    <s v="Open"/>
    <s v="Missing Resolve Date"/>
    <s v="No"/>
    <m/>
    <s v="Not Specified"/>
    <s v=""/>
  </r>
  <r>
    <s v="TCK-23139"/>
    <d v="2026-06-16T19:32:00"/>
    <x v="1"/>
    <s v="Ayaan Khalid"/>
    <s v="Faisalabad"/>
    <s v="Chat"/>
    <s v="Account Access"/>
    <s v="High"/>
    <n v="8"/>
    <s v="Resolved"/>
    <d v="2026-06-17T07:52:00"/>
    <s v="No"/>
    <n v="5"/>
    <s v="Technical Issue Resolved Remotely"/>
    <n v="12.333333333372138"/>
  </r>
  <r>
    <s v="TCK-21124"/>
    <d v="2026-02-18T16:20:00"/>
    <x v="1"/>
    <s v="Zara Hussain"/>
    <s v="Islamabad"/>
    <s v="Email"/>
    <s v="Technical Issue"/>
    <s v="Critical"/>
    <n v="4"/>
    <s v="In Progress"/>
    <s v="Missing Resolve Date"/>
    <s v="No"/>
    <m/>
    <s v="Customer Requested Refund"/>
    <s v=""/>
  </r>
  <r>
    <s v="TCK-21740"/>
    <d v="2026-01-23T23:53:00"/>
    <x v="0"/>
    <s v="Sadia Anwar"/>
    <s v="Faisalabad"/>
    <s v="Phone"/>
    <s v="Delivery Delay"/>
    <s v="Critical"/>
    <n v="4"/>
    <s v="Open"/>
    <s v="Missing Resolve Date"/>
    <s v="No"/>
    <m/>
    <s v="Customer Requested Refund"/>
    <s v=""/>
  </r>
  <r>
    <s v="TCK-21826"/>
    <d v="2026-05-12T19:03:00"/>
    <x v="1"/>
    <s v="Zara Hussain"/>
    <s v="Peshawar"/>
    <s v="Phone"/>
    <s v="Technical Issue"/>
    <s v="Medium"/>
    <n v="24"/>
    <s v="Open"/>
    <s v="Missing Resolve Date"/>
    <s v="No"/>
    <m/>
    <s v="Required Follow-Up Call"/>
    <s v=""/>
  </r>
  <r>
    <s v="TCK-20885"/>
    <d v="2026-04-16T07:29:00"/>
    <x v="3"/>
    <s v="Talha Nadeem"/>
    <s v="Multan"/>
    <s v="Chat"/>
    <s v="Account Access"/>
    <s v="Critical"/>
    <n v="4"/>
    <s v="Open"/>
    <s v="Missing Resolve Date"/>
    <s v="No"/>
    <m/>
    <s v="Required Follow-Up Call"/>
    <s v=""/>
  </r>
  <r>
    <s v="TCK-22485"/>
    <d v="2026-02-21T17:59:00"/>
    <x v="2"/>
    <s v="Mahnoor Aslam"/>
    <s v="Multan"/>
    <s v="Chat"/>
    <s v="Technical Issue"/>
    <s v="Medium"/>
    <n v="24"/>
    <s v="Resolved"/>
    <s v="Missing Resolve Date"/>
    <s v="No"/>
    <m/>
    <s v="Escalated To Senior Agent"/>
    <s v=""/>
  </r>
  <r>
    <s v="TCK-21651"/>
    <d v="2026-04-11T01:07:00"/>
    <x v="3"/>
    <s v="Iqra Basit"/>
    <s v="Lahore"/>
    <s v="Portal"/>
    <s v="Delivery Delay"/>
    <s v="Medium"/>
    <n v="24"/>
    <s v="Resolved"/>
    <d v="2026-04-11T04:38:00"/>
    <s v="No"/>
    <n v="4"/>
    <s v="Technical Issue Resolved Remotely"/>
    <n v="3.5166666667792015"/>
  </r>
  <r>
    <s v="TCK-21280"/>
    <d v="2026-08-01T13:24:00"/>
    <x v="3"/>
    <s v="Iqra Basit"/>
    <s v="Faisalabad"/>
    <s v="Email"/>
    <s v="Account Access"/>
    <s v="Medium"/>
    <n v="24"/>
    <s v="Closed"/>
    <d v="2026-08-03T14:35:00"/>
    <s v="No"/>
    <m/>
    <s v="Repeat Issue From Same Customer"/>
    <n v="49.183333333348855"/>
  </r>
  <r>
    <s v="TCK-21086"/>
    <d v="2026-02-14T03:16:00"/>
    <x v="3"/>
    <s v="Iqra Basit"/>
    <s v="Karachi"/>
    <s v="Chat"/>
    <s v="Technical Issue"/>
    <s v="Low"/>
    <n v="48"/>
    <s v="Escalated"/>
    <s v="Missing Resolve Date"/>
    <s v="Yes"/>
    <m/>
    <s v="Not Specified"/>
    <s v=""/>
  </r>
  <r>
    <s v="TCK-23068"/>
    <d v="2026-03-30T01:44:00"/>
    <x v="3"/>
    <s v="Talha Nadeem"/>
    <s v="Lahore"/>
    <s v="Portal"/>
    <s v="Billing Issue"/>
    <s v="Critical"/>
    <n v="4"/>
    <s v="Resolved"/>
    <d v="2026-03-30T02:26:00"/>
    <s v="No"/>
    <m/>
    <s v="Not Specified"/>
    <n v="0.70000000001164153"/>
  </r>
  <r>
    <s v="TCK-20895"/>
    <d v="2026-04-05T01:35:00"/>
    <x v="2"/>
    <s v="Bilal Chaudhry"/>
    <s v="Peshawar"/>
    <s v="Chat"/>
    <s v="Refund Request"/>
    <s v="Low"/>
    <n v="48"/>
    <s v="Resolved"/>
    <d v="2026-04-06T13:31:00"/>
    <s v="No"/>
    <n v="4"/>
    <s v="Repeat Issue From Same Customer"/>
    <n v="35.933333333465271"/>
  </r>
  <r>
    <s v="TCK-22705"/>
    <d v="2026-04-14T00:47:00"/>
    <x v="2"/>
    <s v="Mahnoor Aslam"/>
    <s v="Faisalabad"/>
    <s v="Chat"/>
    <s v="Billing Issue"/>
    <s v="High"/>
    <n v="8"/>
    <s v="Escalated"/>
    <s v="Missing Resolve Date"/>
    <s v="Yes"/>
    <m/>
    <s v="Not Specified"/>
    <s v=""/>
  </r>
  <r>
    <s v="TCK-20705"/>
    <d v="2026-07-06T01:46:00"/>
    <x v="2"/>
    <s v="Mahnoor Aslam"/>
    <s v="Rawalpindi"/>
    <s v="Portal"/>
    <s v="Billing Issue"/>
    <s v="Medium"/>
    <n v="24"/>
    <s v="Closed"/>
    <d v="2026-07-07T08:45:00"/>
    <s v="No"/>
    <n v="4"/>
    <s v="Escalated To Senior Agent"/>
    <n v="30.983333333395422"/>
  </r>
  <r>
    <s v="TCK-23032"/>
    <d v="2026-06-17T03:25:00"/>
    <x v="1"/>
    <s v="Ayaan Khalid"/>
    <s v="Faisalabad"/>
    <s v="Phone"/>
    <s v="Billing Issue"/>
    <s v="Critical"/>
    <n v="4"/>
    <s v="Escalated"/>
    <s v="Missing Resolve Date"/>
    <s v="Yes"/>
    <m/>
    <s v="Not Specified"/>
    <s v=""/>
  </r>
  <r>
    <s v="TCK-20539"/>
    <d v="2026-08-22T19:22:00"/>
    <x v="2"/>
    <s v="Mahnoor Aslam"/>
    <s v="Lahore"/>
    <s v="Chat"/>
    <s v="Account Access"/>
    <s v="Low"/>
    <n v="48"/>
    <s v="Escalated"/>
    <s v="Missing Resolve Date"/>
    <s v="Yes"/>
    <m/>
    <s v="Awaiting Customer Response"/>
    <s v=""/>
  </r>
  <r>
    <s v="TCK-20989"/>
    <d v="2026-05-30T00:43:00"/>
    <x v="1"/>
    <s v="Zara Hussain"/>
    <s v="Lahore"/>
    <s v="Email"/>
    <s v="Refund Request"/>
    <s v="High"/>
    <n v="8"/>
    <s v="Resolved"/>
    <d v="2026-05-30T13:49:00"/>
    <s v="No"/>
    <m/>
    <s v="Resolved On First Contact"/>
    <n v="13.099999999918509"/>
  </r>
  <r>
    <s v="TCK-22292"/>
    <d v="2026-05-31T03:04:00"/>
    <x v="2"/>
    <s v="Mahnoor Aslam"/>
    <s v="Lahore"/>
    <s v="Portal"/>
    <s v="Technical Issue"/>
    <s v="Low"/>
    <n v="48"/>
    <s v="In Progress"/>
    <s v="Missing Resolve Date"/>
    <s v="No"/>
    <m/>
    <s v="Technical Issue Resolved Remotely"/>
    <s v=""/>
  </r>
  <r>
    <s v="TCK-21260"/>
    <d v="2026-01-01T09:10:00"/>
    <x v="0"/>
    <s v="Rehan Qureshi"/>
    <s v="Lahore"/>
    <s v="Chat"/>
    <s v="General Inquiry"/>
    <s v="Medium"/>
    <n v="24"/>
    <s v="Re-Opened"/>
    <d v="2026-01-01T22:03:00"/>
    <s v="No"/>
    <m/>
    <s v="Resolved On First Contact"/>
    <n v="12.883333333244082"/>
  </r>
  <r>
    <s v="TCK-22957"/>
    <d v="2026-05-30T18:55:00"/>
    <x v="2"/>
    <s v="Bilal Chaudhry"/>
    <s v="Peshawar"/>
    <s v="Email"/>
    <s v="Account Access"/>
    <s v="Medium"/>
    <n v="24"/>
    <s v="Re-Opened"/>
    <d v="2026-05-30T20:47:00"/>
    <s v="No"/>
    <m/>
    <s v="Customer Satisfied With Resolution"/>
    <n v="1.8666666666395031"/>
  </r>
  <r>
    <s v="TCK-22615"/>
    <d v="2026-05-01T23:10:00"/>
    <x v="0"/>
    <s v="Sadia Anwar"/>
    <s v="Islamabad"/>
    <s v="Chat"/>
    <s v="Technical Issue"/>
    <s v="Low"/>
    <n v="48"/>
    <s v="Open"/>
    <s v="Missing Resolve Date"/>
    <s v="No"/>
    <m/>
    <s v="Not Specified"/>
    <s v=""/>
  </r>
  <r>
    <s v="TCK-20965"/>
    <d v="2026-04-21T17:38:00"/>
    <x v="1"/>
    <s v="Ayaan Khalid"/>
    <s v="Rawalpindi"/>
    <s v="Chat"/>
    <s v="Account Access"/>
    <s v="High"/>
    <n v="8"/>
    <s v="Resolved"/>
    <d v="2026-04-22T02:30:00"/>
    <s v="No"/>
    <m/>
    <s v="Escalated To Senior Agent"/>
    <n v="8.8666666665812954"/>
  </r>
  <r>
    <s v="TCK-21087"/>
    <d v="2026-03-28T19:36:00"/>
    <x v="2"/>
    <s v="Mahnoor Aslam"/>
    <s v="Faisalabad"/>
    <s v="Chat"/>
    <s v="Account Access"/>
    <s v="High"/>
    <n v="8"/>
    <s v="Resolved"/>
    <d v="2026-03-29T08:00:00"/>
    <s v="No"/>
    <n v="5"/>
    <s v="Required Follow-Up Call"/>
    <n v="12.400000000081491"/>
  </r>
  <r>
    <s v="TCK-21548"/>
    <d v="2026-02-15T03:27:00"/>
    <x v="2"/>
    <s v="Bilal Chaudhry"/>
    <s v="Islamabad"/>
    <s v="Phone"/>
    <s v="Billing Issue"/>
    <s v="High"/>
    <n v="8"/>
    <s v="In Progress"/>
    <s v="Missing Resolve Date"/>
    <s v="No"/>
    <m/>
    <s v="Not Specified"/>
    <s v=""/>
  </r>
  <r>
    <s v="TCK-22924"/>
    <d v="2026-01-10T16:12:00"/>
    <x v="2"/>
    <s v="Bilal Chaudhry"/>
    <s v="Lahore"/>
    <s v="Phone"/>
    <s v="Billing Issue"/>
    <s v="Medium"/>
    <n v="24"/>
    <s v="Resolved"/>
    <d v="2026-01-11T00:21:00"/>
    <s v="No"/>
    <n v="5"/>
    <s v="Technical Issue Resolved Remotely"/>
    <n v="8.1499999998486601"/>
  </r>
  <r>
    <s v="TCK-20556"/>
    <d v="2026-08-13T06:05:00"/>
    <x v="0"/>
    <s v="Sadia Anwar"/>
    <s v="Islamabad"/>
    <s v="Portal"/>
    <s v="Technical Issue"/>
    <s v="Medium"/>
    <n v="24"/>
    <s v="Closed"/>
    <d v="2026-08-13T12:15:00"/>
    <s v="No"/>
    <n v="3"/>
    <s v="Not Specified"/>
    <n v="6.1666666666860692"/>
  </r>
  <r>
    <s v="TCK-20575"/>
    <d v="2026-08-30T14:53:00"/>
    <x v="2"/>
    <s v="Bilal Chaudhry"/>
    <s v="Rawalpindi"/>
    <s v="Portal"/>
    <s v="Refund Request"/>
    <s v="Low"/>
    <n v="48"/>
    <s v="Resolved"/>
    <d v="2026-08-31T13:33:00"/>
    <s v="No"/>
    <n v="4"/>
    <s v="Resolved On First Contact"/>
    <n v="22.666666666686069"/>
  </r>
  <r>
    <s v="TCK-21580"/>
    <d v="2026-03-17T23:10:00"/>
    <x v="1"/>
    <s v="Ayaan Khalid"/>
    <s v="Karachi"/>
    <s v="Portal"/>
    <s v="Technical Issue"/>
    <s v="Medium"/>
    <n v="24"/>
    <s v="Closed"/>
    <d v="2026-03-19T09:14:00"/>
    <s v="No"/>
    <n v="3"/>
    <s v="Not Specified"/>
    <n v="34.066666666651145"/>
  </r>
  <r>
    <s v="TCK-22354"/>
    <d v="2026-08-08T07:18:00"/>
    <x v="2"/>
    <s v="Bilal Chaudhry"/>
    <s v="Karachi"/>
    <s v="Email"/>
    <s v="Billing Issue"/>
    <s v="High"/>
    <n v="8"/>
    <s v="Resolved"/>
    <d v="2026-08-08T10:44:00"/>
    <s v="No"/>
    <n v="1"/>
    <s v="Awaiting Customer Response"/>
    <n v="3.4333333333488554"/>
  </r>
  <r>
    <s v="TCK-22864"/>
    <d v="2026-01-28T23:34:00"/>
    <x v="0"/>
    <s v="Sadia Anwar"/>
    <s v="Peshawar"/>
    <s v="Email"/>
    <s v="Account Access"/>
    <s v="Medium"/>
    <n v="24"/>
    <s v="Open"/>
    <s v="Missing Resolve Date"/>
    <s v="No"/>
    <m/>
    <s v="Resolved On First Contact"/>
    <s v=""/>
  </r>
  <r>
    <s v="TCK-20584"/>
    <d v="2026-08-01T14:40:00"/>
    <x v="2"/>
    <s v="Mahnoor Aslam"/>
    <s v="Faisalabad"/>
    <s v="Chat"/>
    <s v="Refund Request"/>
    <s v="Low"/>
    <n v="48"/>
    <s v="Resolved"/>
    <d v="2026-08-05T17:22:00"/>
    <s v="No"/>
    <m/>
    <s v="Technical Issue Resolved Remotely"/>
    <n v="98.700000000069849"/>
  </r>
  <r>
    <s v="TCK-22782"/>
    <d v="2026-04-09T00:47:00"/>
    <x v="0"/>
    <s v="Sadia Anwar"/>
    <s v="Karachi"/>
    <s v="Chat"/>
    <s v="Technical Issue"/>
    <s v="Low"/>
    <n v="48"/>
    <s v="Resolved"/>
    <d v="2026-04-14T01:36:00"/>
    <s v="No"/>
    <m/>
    <s v="Required Follow-Up Call"/>
    <n v="120.81666666670935"/>
  </r>
  <r>
    <s v="TCK-20116"/>
    <d v="2026-05-22T06:58:00"/>
    <x v="2"/>
    <s v="Mahnoor Aslam"/>
    <s v="Rawalpindi"/>
    <s v="Email"/>
    <s v="Billing Issue"/>
    <s v="Low"/>
    <n v="48"/>
    <s v="Resolved"/>
    <d v="2026-05-22T21:55:00"/>
    <s v="No"/>
    <m/>
    <s v="Customer Requested Refund"/>
    <n v="14.950000000011642"/>
  </r>
  <r>
    <s v="TCK-20121"/>
    <d v="2026-05-15T04:53:00"/>
    <x v="0"/>
    <s v="Sadia Anwar"/>
    <s v="Multan"/>
    <s v="Chat"/>
    <s v="Refund Request"/>
    <s v="Medium"/>
    <n v="24"/>
    <s v="Closed"/>
    <d v="2026-05-16T00:32:00"/>
    <s v="No"/>
    <n v="4"/>
    <s v="Resolved On First Contact"/>
    <n v="19.649999999965075"/>
  </r>
  <r>
    <s v="TCK-21707"/>
    <d v="2026-01-14T11:57:00"/>
    <x v="3"/>
    <s v="Iqra Basit"/>
    <s v="Rawalpindi"/>
    <s v="Chat"/>
    <s v="Delivery Delay"/>
    <s v="Medium"/>
    <n v="24"/>
    <s v="Resolved"/>
    <d v="2026-01-15T00:24:00"/>
    <s v="No"/>
    <n v="1"/>
    <s v="Required Follow-Up Call"/>
    <n v="12.450000000069849"/>
  </r>
  <r>
    <s v="TCK-23030"/>
    <d v="2026-04-23T08:08:00"/>
    <x v="2"/>
    <s v="Mahnoor Aslam"/>
    <s v="Faisalabad"/>
    <s v="Portal"/>
    <s v="Billing Issue"/>
    <s v="Low"/>
    <n v="48"/>
    <s v="Resolved"/>
    <d v="2026-04-27T13:50:00"/>
    <s v="No"/>
    <m/>
    <s v="Escalated To Senior Agent"/>
    <n v="101.70000000006985"/>
  </r>
  <r>
    <s v="TCK-22664"/>
    <d v="2026-06-22T06:21:00"/>
    <x v="2"/>
    <s v="Mahnoor Aslam"/>
    <s v="Islamabad"/>
    <s v="Portal"/>
    <s v="Technical Issue"/>
    <s v="Medium"/>
    <n v="24"/>
    <s v="Resolved"/>
    <d v="2026-06-24T05:54:00"/>
    <s v="No"/>
    <n v="5"/>
    <s v="Technical Issue Resolved Remotely"/>
    <n v="47.550000000104774"/>
  </r>
  <r>
    <s v="TCK-20769"/>
    <d v="2026-06-02T16:35:00"/>
    <x v="2"/>
    <s v="Bilal Chaudhry"/>
    <s v="Rawalpindi"/>
    <s v="Portal"/>
    <s v="Account Access"/>
    <s v="High"/>
    <n v="8"/>
    <s v="Re-Opened"/>
    <d v="2026-06-02T17:06:00"/>
    <s v="No"/>
    <m/>
    <s v="Required Follow-Up Call"/>
    <n v="0.51666666677920148"/>
  </r>
  <r>
    <s v="TCK-21151"/>
    <d v="2026-02-06T14:31:00"/>
    <x v="3"/>
    <s v="Iqra Basit"/>
    <s v="Lahore"/>
    <s v="Email"/>
    <s v="Technical Issue"/>
    <s v="Low"/>
    <n v="48"/>
    <s v="Closed"/>
    <d v="2026-02-07T11:07:00"/>
    <s v="No"/>
    <n v="4"/>
    <s v="Not Specified"/>
    <n v="20.599999999918509"/>
  </r>
  <r>
    <s v="TCK-21077"/>
    <d v="2026-05-06T15:22:00"/>
    <x v="2"/>
    <s v="Mahnoor Aslam"/>
    <s v="Karachi"/>
    <s v="Chat"/>
    <s v="Delivery Delay"/>
    <s v="High"/>
    <n v="8"/>
    <s v="Closed"/>
    <d v="2026-05-07T11:03:00"/>
    <s v="No"/>
    <n v="5"/>
    <s v="Not Specified"/>
    <n v="19.683333333407063"/>
  </r>
  <r>
    <s v="TCK-22926"/>
    <d v="2026-08-15T03:37:00"/>
    <x v="1"/>
    <s v="Zara Hussain"/>
    <s v="Multan"/>
    <s v="Chat"/>
    <s v="General Inquiry"/>
    <s v="Medium"/>
    <n v="24"/>
    <s v="Closed"/>
    <d v="2026-08-15T09:50:00"/>
    <s v="No"/>
    <m/>
    <s v="Required Follow-Up Call"/>
    <n v="6.2166666666744277"/>
  </r>
  <r>
    <s v="TCK-22542"/>
    <d v="2026-05-23T07:22:00"/>
    <x v="2"/>
    <s v="Mahnoor Aslam"/>
    <s v="Rawalpindi"/>
    <s v="Email"/>
    <s v="Refund Request"/>
    <s v="Medium"/>
    <n v="24"/>
    <s v="Closed"/>
    <d v="2026-05-24T02:15:00"/>
    <s v="No"/>
    <n v="3"/>
    <s v="Awaiting Customer Response"/>
    <n v="18.883333333418705"/>
  </r>
  <r>
    <s v="TCK-22850"/>
    <d v="2026-07-16T11:35:00"/>
    <x v="3"/>
    <s v="Talha Nadeem"/>
    <s v="Islamabad"/>
    <s v="Phone"/>
    <s v="Delivery Delay"/>
    <s v="Low"/>
    <n v="48"/>
    <s v="Closed"/>
    <d v="2026-07-17T10:11:00"/>
    <s v="No"/>
    <m/>
    <s v="Not Specified"/>
    <n v="22.599999999976717"/>
  </r>
  <r>
    <s v="TCK-22279"/>
    <d v="2026-06-09T10:38:00"/>
    <x v="1"/>
    <s v="Ayaan Khalid"/>
    <s v="Islamabad"/>
    <s v="Phone"/>
    <s v="General Inquiry"/>
    <s v="Low"/>
    <n v="48"/>
    <s v="Open"/>
    <s v="Missing Resolve Date"/>
    <s v="Yes"/>
    <m/>
    <s v="Not Specified"/>
    <s v=""/>
  </r>
  <r>
    <s v="TCK-22295"/>
    <d v="2026-05-10T12:37:00"/>
    <x v="1"/>
    <s v="Zara Hussain"/>
    <s v="Peshawar"/>
    <s v="Email"/>
    <s v="Account Access"/>
    <s v="Medium"/>
    <n v="24"/>
    <s v="Closed"/>
    <d v="2026-05-10T18:48:00"/>
    <s v="No"/>
    <m/>
    <s v="Technical Issue Resolved Remotely"/>
    <n v="6.183333333407063"/>
  </r>
  <r>
    <s v="TCK-22696"/>
    <d v="2026-06-14T06:22:00"/>
    <x v="3"/>
    <s v="Iqra Basit"/>
    <s v="Faisalabad"/>
    <s v="Chat"/>
    <s v="Delivery Delay"/>
    <s v="Low"/>
    <n v="48"/>
    <s v="In Progress"/>
    <s v="Missing Resolve Date"/>
    <s v="No"/>
    <m/>
    <s v="Not Specified"/>
    <s v=""/>
  </r>
  <r>
    <s v="TCK-21186"/>
    <d v="2026-03-22T20:48:00"/>
    <x v="0"/>
    <s v="Rehan Qureshi"/>
    <s v="Rawalpindi"/>
    <s v="Chat"/>
    <s v="Delivery Delay"/>
    <s v="Medium"/>
    <n v="24"/>
    <s v="Re-Opened"/>
    <d v="2026-03-22T22:35:00"/>
    <s v="No"/>
    <m/>
    <s v="Repeat Issue From Same Customer"/>
    <n v="1.783333333209157"/>
  </r>
  <r>
    <s v="TCK-22372"/>
    <d v="2026-05-02T23:49:00"/>
    <x v="2"/>
    <s v="Bilal Chaudhry"/>
    <s v="Rawalpindi"/>
    <s v="Portal"/>
    <s v="Account Access"/>
    <s v="Critical"/>
    <n v="4"/>
    <s v="Escalated"/>
    <s v="Missing Resolve Date"/>
    <s v="Yes"/>
    <m/>
    <s v="Not Specified"/>
    <s v=""/>
  </r>
  <r>
    <s v="TCK-22439"/>
    <d v="2026-05-09T07:24:00"/>
    <x v="1"/>
    <s v="Ayaan Khalid"/>
    <s v="Multan"/>
    <s v="Phone"/>
    <s v="Refund Request"/>
    <s v="Medium"/>
    <n v="24"/>
    <s v="Resolved"/>
    <d v="2026-05-09T13:42:00"/>
    <s v="Yes"/>
    <n v="1"/>
    <s v="Not Specified"/>
    <n v="6.2999999999301508"/>
  </r>
  <r>
    <s v="TCK-23165"/>
    <d v="2026-07-21T19:15:00"/>
    <x v="1"/>
    <s v="Ayaan Khalid"/>
    <s v="Rawalpindi"/>
    <s v="Email"/>
    <s v="Technical Issue"/>
    <s v="Critical"/>
    <n v="4"/>
    <s v="Resolved"/>
    <d v="2026-07-22T02:54:00"/>
    <s v="No"/>
    <n v="5"/>
    <s v="Not Specified"/>
    <n v="7.6499999999650754"/>
  </r>
  <r>
    <s v="TCK-20952"/>
    <d v="2026-07-11T14:49:00"/>
    <x v="2"/>
    <s v="Bilal Chaudhry"/>
    <s v="Rawalpindi"/>
    <s v="Email"/>
    <s v="General Inquiry"/>
    <s v="Medium"/>
    <n v="24"/>
    <s v="Resolved"/>
    <d v="2026-07-14T02:37:00"/>
    <s v="No"/>
    <n v="4"/>
    <s v="Not Specified"/>
    <n v="59.800000000046566"/>
  </r>
  <r>
    <s v="TCK-20191"/>
    <d v="2026-07-11T06:24:00"/>
    <x v="0"/>
    <s v="Rehan Qureshi"/>
    <s v="Faisalabad"/>
    <s v="Email"/>
    <s v="General Inquiry"/>
    <s v="Low"/>
    <n v="48"/>
    <s v="Closed"/>
    <d v="2026-07-13T23:26:00"/>
    <s v="No"/>
    <m/>
    <s v="Resolved On First Contact"/>
    <n v="65.033333333325572"/>
  </r>
  <r>
    <s v="TCK-21049"/>
    <d v="2026-08-03T22:29:00"/>
    <x v="2"/>
    <s v="Mahnoor Aslam"/>
    <s v="Lahore"/>
    <s v="Chat"/>
    <s v="General Inquiry"/>
    <s v="Low"/>
    <n v="48"/>
    <s v="Escalated"/>
    <s v="Missing Resolve Date"/>
    <s v="Yes"/>
    <m/>
    <s v="Awaiting Customer Response"/>
    <s v=""/>
  </r>
  <r>
    <s v="TCK-20625"/>
    <d v="2026-08-30T23:31:00"/>
    <x v="1"/>
    <s v="Zara Hussain"/>
    <s v="Peshawar"/>
    <s v="Email"/>
    <s v="Delivery Delay"/>
    <s v="Low"/>
    <n v="48"/>
    <s v="Closed"/>
    <d v="2026-09-01T04:36:00"/>
    <s v="No"/>
    <n v="5"/>
    <s v="Resolved On First Contact"/>
    <n v="29.083333333313931"/>
  </r>
  <r>
    <s v="TCK-22791"/>
    <d v="2026-06-10T07:14:00"/>
    <x v="1"/>
    <s v="Ayaan Khalid"/>
    <s v="Islamabad"/>
    <s v="Phone"/>
    <s v="Account Access"/>
    <s v="High"/>
    <n v="8"/>
    <s v="Resolved"/>
    <d v="2026-06-11T05:02:00"/>
    <s v="No"/>
    <n v="4"/>
    <s v="Customer Requested Refund"/>
    <n v="21.799999999988358"/>
  </r>
  <r>
    <s v="TCK-21856"/>
    <d v="2026-02-20T07:44:00"/>
    <x v="0"/>
    <s v="Sadia Anwar"/>
    <s v="Peshawar"/>
    <s v="Email"/>
    <s v="Refund Request"/>
    <s v="Low"/>
    <n v="48"/>
    <s v="Closed"/>
    <d v="2026-02-20T23:51:00"/>
    <s v="No"/>
    <n v="1"/>
    <s v="Repeat Issue From Same Customer"/>
    <n v="16.116666666639503"/>
  </r>
  <r>
    <s v="TCK-22373"/>
    <d v="2026-03-13T05:33:00"/>
    <x v="0"/>
    <s v="Rehan Qureshi"/>
    <s v="Karachi"/>
    <s v="Chat"/>
    <s v="Delivery Delay"/>
    <s v="Medium"/>
    <n v="24"/>
    <s v="Closed"/>
    <d v="2026-03-13T13:11:00"/>
    <s v="No"/>
    <m/>
    <s v="Resolved On First Contact"/>
    <n v="7.6333333334187046"/>
  </r>
  <r>
    <s v="TCK-20832"/>
    <d v="2026-01-14T05:29:00"/>
    <x v="1"/>
    <s v="Zara Hussain"/>
    <s v="Lahore"/>
    <s v="Portal"/>
    <s v="General Inquiry"/>
    <s v="Low"/>
    <n v="48"/>
    <s v="Resolved"/>
    <d v="2026-01-14T09:21:00"/>
    <s v="No"/>
    <m/>
    <s v="Technical Issue Resolved Remotely"/>
    <n v="3.8666666665230878"/>
  </r>
  <r>
    <s v="TCK-22951"/>
    <d v="2026-07-21T21:56:00"/>
    <x v="3"/>
    <s v="Talha Nadeem"/>
    <s v="Karachi"/>
    <s v="Phone"/>
    <s v="Refund Request"/>
    <s v="High"/>
    <n v="8"/>
    <s v="Resolved"/>
    <d v="2026-07-22T01:57:00"/>
    <s v="No"/>
    <n v="5"/>
    <s v="Not Specified"/>
    <n v="4.0166666666627862"/>
  </r>
  <r>
    <s v="TCK-20081"/>
    <d v="2026-08-25T23:15:00"/>
    <x v="2"/>
    <s v="Mahnoor Aslam"/>
    <s v="Lahore"/>
    <s v="Portal"/>
    <s v="Technical Issue"/>
    <s v="Low"/>
    <n v="48"/>
    <s v="Escalated"/>
    <s v="Missing Resolve Date"/>
    <s v="Yes"/>
    <m/>
    <s v="Escalated To Senior Agent"/>
    <s v=""/>
  </r>
  <r>
    <s v="TCK-20499"/>
    <d v="2026-03-18T12:15:00"/>
    <x v="1"/>
    <s v="Zara Hussain"/>
    <s v="Rawalpindi"/>
    <s v="Portal"/>
    <s v="Delivery Delay"/>
    <s v="Medium"/>
    <n v="24"/>
    <s v="Resolved"/>
    <d v="2026-03-20T01:10:00"/>
    <s v="No"/>
    <n v="1"/>
    <s v="Not Specified"/>
    <n v="36.916666666686069"/>
  </r>
  <r>
    <s v="TCK-21607"/>
    <d v="2026-03-08T05:19:00"/>
    <x v="0"/>
    <s v="Rehan Qureshi"/>
    <s v="Islamabad"/>
    <s v="Portal"/>
    <s v="General Inquiry"/>
    <s v="High"/>
    <n v="8"/>
    <s v="Resolved"/>
    <d v="2026-03-08T06:41:00"/>
    <s v="No"/>
    <n v="5"/>
    <s v="Customer Satisfied With Resolution"/>
    <n v="1.3666666665812954"/>
  </r>
  <r>
    <s v="TCK-20148"/>
    <d v="2026-08-27T09:01:00"/>
    <x v="1"/>
    <s v="Ayaan Khalid"/>
    <s v="Lahore"/>
    <s v="Chat"/>
    <s v="Delivery Delay"/>
    <s v="Medium"/>
    <n v="24"/>
    <s v="Closed"/>
    <d v="2026-08-27T13:03:00"/>
    <s v="Yes"/>
    <m/>
    <s v="Repeat Issue From Same Customer"/>
    <n v="4.033333333209157"/>
  </r>
  <r>
    <s v="TCK-20538"/>
    <d v="2026-07-13T05:13:00"/>
    <x v="1"/>
    <s v="Zara Hussain"/>
    <s v="Karachi"/>
    <s v="Portal"/>
    <s v="Billing Issue"/>
    <s v="Low"/>
    <n v="48"/>
    <s v="In Progress"/>
    <s v="Missing Resolve Date"/>
    <s v="No"/>
    <m/>
    <s v="Customer Requested Refund"/>
    <s v=""/>
  </r>
  <r>
    <s v="TCK-20677"/>
    <d v="2026-04-01T04:25:00"/>
    <x v="1"/>
    <s v="Zara Hussain"/>
    <s v="Multan"/>
    <s v="Email"/>
    <s v="Refund Request"/>
    <s v="Medium"/>
    <n v="24"/>
    <s v="Resolved"/>
    <d v="2026-04-01T15:50:00"/>
    <s v="No"/>
    <n v="1"/>
    <s v="Awaiting Customer Response"/>
    <n v="11.416666666511446"/>
  </r>
  <r>
    <s v="TCK-21051"/>
    <d v="2026-04-21T21:48:00"/>
    <x v="1"/>
    <s v="Zara Hussain"/>
    <s v="Multan"/>
    <s v="Phone"/>
    <s v="General Inquiry"/>
    <s v="Medium"/>
    <n v="24"/>
    <s v="Closed"/>
    <d v="2026-04-22T17:16:00"/>
    <s v="No"/>
    <n v="3"/>
    <s v="Required Follow-Up Call"/>
    <n v="19.466666666732635"/>
  </r>
  <r>
    <s v="TCK-22867"/>
    <d v="2026-01-04T23:16:00"/>
    <x v="3"/>
    <s v="Iqra Basit"/>
    <s v="Multan"/>
    <s v="Phone"/>
    <s v="Account Access"/>
    <s v="Medium"/>
    <n v="24"/>
    <s v="Resolved"/>
    <d v="2026-01-06T23:58:00"/>
    <s v="No"/>
    <n v="3"/>
    <s v="Technical Issue Resolved Remotely"/>
    <n v="48.700000000011642"/>
  </r>
  <r>
    <s v="TCK-22561"/>
    <d v="2026-03-11T08:26:00"/>
    <x v="0"/>
    <s v="Rehan Qureshi"/>
    <s v="Rawalpindi"/>
    <s v="Email"/>
    <s v="Billing Issue"/>
    <s v="Medium"/>
    <n v="24"/>
    <s v="Open"/>
    <s v="Missing Resolve Date"/>
    <s v="No"/>
    <m/>
    <s v="Required Follow-Up Call"/>
    <s v=""/>
  </r>
  <r>
    <s v="TCK-21414"/>
    <d v="2026-06-15T10:32:00"/>
    <x v="0"/>
    <s v="Rehan Qureshi"/>
    <s v="Karachi"/>
    <s v="Portal"/>
    <s v="Billing Issue"/>
    <s v="Medium"/>
    <n v="24"/>
    <s v="Closed"/>
    <d v="2026-06-18T09:13:00"/>
    <s v="No"/>
    <m/>
    <s v="Technical Issue Resolved Remotely"/>
    <n v="70.683333333407063"/>
  </r>
  <r>
    <s v="TCK-21611"/>
    <d v="2026-07-01T22:32:00"/>
    <x v="0"/>
    <s v="Rehan Qureshi"/>
    <s v="Islamabad"/>
    <s v="Email"/>
    <s v="Billing Issue"/>
    <s v="Medium"/>
    <n v="24"/>
    <s v="Resolved"/>
    <d v="2026-07-02T08:35:00"/>
    <s v="No"/>
    <n v="5"/>
    <s v="Required Follow-Up Call"/>
    <n v="10.050000000104774"/>
  </r>
  <r>
    <s v="TCK-21575"/>
    <d v="2026-08-05T20:52:00"/>
    <x v="3"/>
    <s v="Iqra Basit"/>
    <s v="Rawalpindi"/>
    <s v="Email"/>
    <s v="Refund Request"/>
    <s v="Medium"/>
    <n v="24"/>
    <s v="In Progress"/>
    <s v="Missing Resolve Date"/>
    <s v="No"/>
    <m/>
    <s v="Escalated To Senior Agent"/>
    <s v=""/>
  </r>
  <r>
    <s v="TCK-22125"/>
    <d v="2026-07-21T08:17:00"/>
    <x v="3"/>
    <s v="Talha Nadeem"/>
    <s v="Faisalabad"/>
    <s v="Portal"/>
    <s v="Refund Request"/>
    <s v="Low"/>
    <n v="48"/>
    <s v="Closed"/>
    <d v="2026-07-21T12:51:00"/>
    <s v="No"/>
    <m/>
    <s v="Not Specified"/>
    <n v="4.5666666667093523"/>
  </r>
  <r>
    <s v="TCK-20083"/>
    <d v="2026-04-15T22:03:00"/>
    <x v="1"/>
    <s v="Ayaan Khalid"/>
    <s v="Multan"/>
    <s v="Portal"/>
    <s v="Account Access"/>
    <s v="Low"/>
    <n v="48"/>
    <s v="Resolved"/>
    <d v="2026-04-17T14:09:00"/>
    <s v="No"/>
    <n v="5"/>
    <s v="Not Specified"/>
    <n v="40.100000000093132"/>
  </r>
  <r>
    <s v="TCK-22878"/>
    <d v="2026-02-17T00:43:00"/>
    <x v="1"/>
    <s v="Zara Hussain"/>
    <s v="Peshawar"/>
    <s v="Chat"/>
    <s v="Billing Issue"/>
    <s v="Low"/>
    <n v="48"/>
    <s v="In Progress"/>
    <s v="Missing Resolve Date"/>
    <s v="Yes"/>
    <m/>
    <s v="Not Specified"/>
    <s v=""/>
  </r>
  <r>
    <s v="TCK-20364"/>
    <d v="2026-07-30T12:06:00"/>
    <x v="3"/>
    <s v="Iqra Basit"/>
    <s v="Karachi"/>
    <s v="Portal"/>
    <s v="Technical Issue"/>
    <s v="Medium"/>
    <n v="24"/>
    <s v="Closed"/>
    <d v="2026-07-31T04:30:00"/>
    <s v="No"/>
    <m/>
    <s v="Required Follow-Up Call"/>
    <n v="16.400000000023283"/>
  </r>
  <r>
    <s v="TCK-21190"/>
    <d v="2026-04-02T09:11:00"/>
    <x v="0"/>
    <s v="Rehan Qureshi"/>
    <s v="Islamabad"/>
    <s v="Email"/>
    <s v="Refund Request"/>
    <s v="Medium"/>
    <n v="24"/>
    <s v="In Progress"/>
    <s v="Missing Resolve Date"/>
    <s v="No"/>
    <m/>
    <s v="Escalated To Senior Agent"/>
    <s v=""/>
  </r>
  <r>
    <s v="TCK-22246"/>
    <d v="2026-01-24T01:21:00"/>
    <x v="2"/>
    <s v="Mahnoor Aslam"/>
    <s v="Karachi"/>
    <s v="Portal"/>
    <s v="Delivery Delay"/>
    <s v="High"/>
    <n v="8"/>
    <s v="Resolved"/>
    <d v="2026-01-24T06:29:00"/>
    <s v="No"/>
    <m/>
    <s v="Resolved On First Contact"/>
    <n v="5.1333333333022892"/>
  </r>
  <r>
    <s v="TCK-20071"/>
    <d v="2026-02-26T06:17:00"/>
    <x v="1"/>
    <s v="Ayaan Khalid"/>
    <s v="Peshawar"/>
    <s v="Email"/>
    <s v="Delivery Delay"/>
    <s v="Medium"/>
    <n v="24"/>
    <s v="Resolved"/>
    <d v="2026-02-27T09:37:00"/>
    <s v="Yes"/>
    <n v="3"/>
    <s v="Not Specified"/>
    <n v="27.333333333197515"/>
  </r>
  <r>
    <s v="TCK-22034"/>
    <d v="2026-07-21T01:16:00"/>
    <x v="3"/>
    <s v="Talha Nadeem"/>
    <s v="Peshawar"/>
    <s v="Email"/>
    <s v="Account Access"/>
    <s v="Medium"/>
    <n v="24"/>
    <s v="Re-Opened"/>
    <d v="2026-07-21T15:18:00"/>
    <s v="No"/>
    <m/>
    <s v="Technical Issue Resolved Remotely"/>
    <n v="14.033333333325572"/>
  </r>
  <r>
    <s v="TCK-21956"/>
    <d v="2026-07-16T20:04:00"/>
    <x v="1"/>
    <s v="Zara Hussain"/>
    <s v="Islamabad"/>
    <s v="Email"/>
    <s v="Refund Request"/>
    <s v="Medium"/>
    <n v="24"/>
    <s v="Open"/>
    <s v="Missing Resolve Date"/>
    <s v="No"/>
    <m/>
    <s v="Escalated To Senior Agent"/>
    <s v=""/>
  </r>
  <r>
    <s v="TCK-20816"/>
    <d v="2026-02-28T08:56:00"/>
    <x v="0"/>
    <s v="Sadia Anwar"/>
    <s v="Peshawar"/>
    <s v="Chat"/>
    <s v="Refund Request"/>
    <s v="Medium"/>
    <n v="24"/>
    <s v="Closed"/>
    <s v="Missing Resolve Date"/>
    <s v="No"/>
    <n v="4"/>
    <s v="Customer Satisfied With Resolution"/>
    <s v=""/>
  </r>
  <r>
    <s v="TCK-20608"/>
    <d v="2026-07-06T01:37:00"/>
    <x v="2"/>
    <s v="Bilal Chaudhry"/>
    <s v="Lahore"/>
    <s v="Email"/>
    <s v="Billing Issue"/>
    <s v="High"/>
    <n v="8"/>
    <s v="Closed"/>
    <d v="2026-07-06T04:57:00"/>
    <s v="No"/>
    <n v="4"/>
    <s v="Required Follow-Up Call"/>
    <n v="3.3333333333721384"/>
  </r>
  <r>
    <s v="TCK-20170"/>
    <d v="2026-03-02T01:05:00"/>
    <x v="1"/>
    <s v="Zara Hussain"/>
    <s v="Peshawar"/>
    <s v="Phone"/>
    <s v="Technical Issue"/>
    <s v="Low"/>
    <n v="48"/>
    <s v="In Progress"/>
    <s v="Missing Resolve Date"/>
    <s v="No"/>
    <m/>
    <s v="Not Specified"/>
    <s v=""/>
  </r>
  <r>
    <s v="TCK-20959"/>
    <d v="2026-07-22T03:08:00"/>
    <x v="0"/>
    <s v="Rehan Qureshi"/>
    <s v="Lahore"/>
    <s v="Chat"/>
    <s v="Technical Issue"/>
    <s v="High"/>
    <n v="8"/>
    <s v="Resolved"/>
    <d v="2026-07-22T15:50:00"/>
    <s v="Yes"/>
    <n v="5"/>
    <s v="Repeat Issue From Same Customer"/>
    <n v="12.699999999837019"/>
  </r>
  <r>
    <s v="TCK-20679"/>
    <d v="2026-07-26T23:10:00"/>
    <x v="3"/>
    <s v="Talha Nadeem"/>
    <s v="Rawalpindi"/>
    <s v="Email"/>
    <s v="Billing Issue"/>
    <s v="High"/>
    <n v="8"/>
    <s v="Closed"/>
    <d v="2026-07-27T02:03:00"/>
    <s v="No"/>
    <m/>
    <s v="Required Follow-Up Call"/>
    <n v="2.8833333333022892"/>
  </r>
  <r>
    <s v="TCK-22733"/>
    <d v="2026-06-17T10:39:00"/>
    <x v="0"/>
    <s v="Rehan Qureshi"/>
    <s v="Peshawar"/>
    <s v="Phone"/>
    <s v="Technical Issue"/>
    <s v="Medium"/>
    <n v="24"/>
    <s v="Closed"/>
    <s v="Missing Resolve Date"/>
    <s v="No"/>
    <n v="1"/>
    <s v="Resolved On First Contact"/>
    <s v=""/>
  </r>
  <r>
    <s v="TCK-22916"/>
    <d v="2026-06-25T23:33:00"/>
    <x v="2"/>
    <s v="Bilal Chaudhry"/>
    <s v="Islamabad"/>
    <s v="Chat"/>
    <s v="Delivery Delay"/>
    <s v="Medium"/>
    <n v="24"/>
    <s v="Resolved"/>
    <d v="2026-06-26T15:03:00"/>
    <s v="No"/>
    <m/>
    <s v="Customer Requested Refund"/>
    <n v="15.500000000058208"/>
  </r>
  <r>
    <s v="TCK-21259"/>
    <d v="2026-03-22T16:32:00"/>
    <x v="1"/>
    <s v="Zara Hussain"/>
    <s v="Karachi"/>
    <s v="Phone"/>
    <s v="Billing Issue"/>
    <s v="High"/>
    <n v="8"/>
    <s v="Escalated"/>
    <s v="Missing Resolve Date"/>
    <s v="Yes"/>
    <m/>
    <s v="Resolved On First Contact"/>
    <s v=""/>
  </r>
  <r>
    <s v="TCK-22104"/>
    <d v="2026-07-24T03:41:00"/>
    <x v="3"/>
    <s v="Talha Nadeem"/>
    <s v="Karachi"/>
    <s v="Portal"/>
    <s v="Technical Issue"/>
    <s v="Low"/>
    <n v="48"/>
    <s v="Closed"/>
    <d v="2026-07-25T11:53:00"/>
    <s v="No"/>
    <m/>
    <s v="Required Follow-Up Call"/>
    <n v="32.200000000011642"/>
  </r>
  <r>
    <s v="TCK-21946"/>
    <d v="2026-08-17T09:02:00"/>
    <x v="3"/>
    <s v="Iqra Basit"/>
    <s v="Lahore"/>
    <s v="Chat"/>
    <s v="Delivery Delay"/>
    <s v="Low"/>
    <n v="48"/>
    <s v="Escalated"/>
    <s v="Missing Resolve Date"/>
    <s v="Yes"/>
    <m/>
    <s v="Technical Issue Resolved Remotely"/>
    <s v=""/>
  </r>
  <r>
    <s v="TCK-22221"/>
    <d v="2026-08-14T08:40:00"/>
    <x v="3"/>
    <s v="Iqra Basit"/>
    <s v="Multan"/>
    <s v="Chat"/>
    <s v="Refund Request"/>
    <s v="Medium"/>
    <n v="24"/>
    <s v="Resolved"/>
    <d v="2026-08-14T21:00:00"/>
    <s v="Yes"/>
    <m/>
    <s v="Customer Satisfied With Resolution"/>
    <n v="12.333333333372138"/>
  </r>
  <r>
    <s v="TCK-22502"/>
    <d v="2026-02-17T02:38:00"/>
    <x v="3"/>
    <s v="Iqra Basit"/>
    <s v="Karachi"/>
    <s v="Phone"/>
    <s v="Account Access"/>
    <s v="High"/>
    <n v="8"/>
    <s v="Resolved"/>
    <d v="2026-02-17T08:22:00"/>
    <s v="No"/>
    <n v="2"/>
    <s v="Awaiting Customer Response"/>
    <n v="5.7333333333372138"/>
  </r>
  <r>
    <s v="TCK-20392"/>
    <d v="2026-06-05T08:51:00"/>
    <x v="3"/>
    <s v="Iqra Basit"/>
    <s v="Karachi"/>
    <s v="Email"/>
    <s v="Account Access"/>
    <s v="Critical"/>
    <n v="4"/>
    <s v="Closed"/>
    <d v="2026-06-05T11:33:00"/>
    <s v="No"/>
    <n v="5"/>
    <s v="Repeat Issue From Same Customer"/>
    <n v="2.6999999998952262"/>
  </r>
  <r>
    <s v="TCK-22220"/>
    <d v="2026-08-28T16:52:00"/>
    <x v="1"/>
    <s v="Zara Hussain"/>
    <s v="Faisalabad"/>
    <s v="Chat"/>
    <s v="Account Access"/>
    <s v="High"/>
    <n v="8"/>
    <s v="Resolved"/>
    <d v="2026-08-28T23:32:00"/>
    <s v="No"/>
    <m/>
    <s v="Required Follow-Up Call"/>
    <n v="6.6666666667442769"/>
  </r>
  <r>
    <s v="TCK-22197"/>
    <d v="2026-07-04T14:10:00"/>
    <x v="3"/>
    <s v="Iqra Basit"/>
    <s v="Lahore"/>
    <s v="Portal"/>
    <s v="Refund Request"/>
    <s v="Medium"/>
    <n v="24"/>
    <s v="Escalated"/>
    <s v="Missing Resolve Date"/>
    <s v="Yes"/>
    <m/>
    <s v="Customer Satisfied With Resolution"/>
    <s v=""/>
  </r>
  <r>
    <s v="TCK-22058"/>
    <d v="2026-01-24T00:12:00"/>
    <x v="2"/>
    <s v="Bilal Chaudhry"/>
    <s v="Faisalabad"/>
    <s v="Email"/>
    <s v="Delivery Delay"/>
    <s v="Medium"/>
    <n v="24"/>
    <s v="Open"/>
    <s v="Missing Resolve Date"/>
    <s v="Yes"/>
    <m/>
    <s v="Not Specified"/>
    <s v=""/>
  </r>
  <r>
    <s v="TCK-22225"/>
    <d v="2026-02-01T07:17:00"/>
    <x v="1"/>
    <s v="Zara Hussain"/>
    <s v="Rawalpindi"/>
    <s v="Portal"/>
    <s v="Delivery Delay"/>
    <s v="Low"/>
    <n v="48"/>
    <s v="Resolved"/>
    <d v="2026-02-03T02:14:00"/>
    <s v="No"/>
    <n v="5"/>
    <s v="Technical Issue Resolved Remotely"/>
    <n v="42.949999999953434"/>
  </r>
  <r>
    <s v="TCK-22186"/>
    <d v="2026-03-11T21:55:00"/>
    <x v="0"/>
    <s v="Sadia Anwar"/>
    <s v="Peshawar"/>
    <s v="Phone"/>
    <s v="Refund Request"/>
    <s v="High"/>
    <n v="8"/>
    <s v="Open"/>
    <s v="Missing Resolve Date"/>
    <s v="No"/>
    <m/>
    <s v="Technical Issue Resolved Remotely"/>
    <s v=""/>
  </r>
  <r>
    <s v="TCK-20540"/>
    <d v="2026-05-17T04:33:00"/>
    <x v="1"/>
    <s v="Ayaan Khalid"/>
    <s v="Islamabad"/>
    <s v="Phone"/>
    <s v="Account Access"/>
    <s v="Medium"/>
    <n v="24"/>
    <s v="Resolved"/>
    <d v="2026-05-18T01:15:00"/>
    <s v="Yes"/>
    <m/>
    <s v="Customer Requested Refund"/>
    <n v="20.700000000069849"/>
  </r>
  <r>
    <s v="TCK-20675"/>
    <d v="2026-05-15T16:21:00"/>
    <x v="1"/>
    <s v="Ayaan Khalid"/>
    <s v="Peshawar"/>
    <s v="Phone"/>
    <s v="Delivery Delay"/>
    <s v="High"/>
    <n v="8"/>
    <s v="Escalated"/>
    <s v="Missing Resolve Date"/>
    <s v="Yes"/>
    <m/>
    <s v="Customer Requested Refund"/>
    <s v=""/>
  </r>
  <r>
    <s v="TCK-20321"/>
    <d v="2026-07-12T09:21:00"/>
    <x v="1"/>
    <s v="Zara Hussain"/>
    <s v="Islamabad"/>
    <s v="Chat"/>
    <s v="General Inquiry"/>
    <s v="Medium"/>
    <n v="24"/>
    <s v="Closed"/>
    <d v="2026-07-12T16:47:00"/>
    <s v="No"/>
    <m/>
    <s v="Not Specified"/>
    <n v="7.4333333334652707"/>
  </r>
  <r>
    <s v="TCK-23072"/>
    <d v="2026-04-25T18:38:00"/>
    <x v="2"/>
    <s v="Bilal Chaudhry"/>
    <s v="Rawalpindi"/>
    <s v="Chat"/>
    <s v="Technical Issue"/>
    <s v="Low"/>
    <n v="48"/>
    <s v="Closed"/>
    <s v="Missing Resolve Date"/>
    <s v="No"/>
    <m/>
    <s v="Escalated To Senior Agent"/>
    <s v=""/>
  </r>
  <r>
    <s v="TCK-20758"/>
    <d v="2026-01-28T17:18:00"/>
    <x v="0"/>
    <s v="Sadia Anwar"/>
    <s v="Islamabad"/>
    <s v="Chat"/>
    <s v="Technical Issue"/>
    <s v="High"/>
    <n v="8"/>
    <s v="In Progress"/>
    <s v="Missing Resolve Date"/>
    <s v="No"/>
    <m/>
    <s v="Customer Requested Refund"/>
    <s v=""/>
  </r>
  <r>
    <s v="TCK-21686"/>
    <d v="2026-04-10T00:18:00"/>
    <x v="1"/>
    <s v="Zara Hussain"/>
    <s v="Karachi"/>
    <s v="Chat"/>
    <s v="Technical Issue"/>
    <s v="High"/>
    <n v="8"/>
    <s v="Re-Opened"/>
    <d v="2026-04-10T01:25:00"/>
    <s v="No"/>
    <m/>
    <s v="Required Follow-Up Call"/>
    <n v="1.1166666668141261"/>
  </r>
  <r>
    <s v="TCK-21821"/>
    <d v="2026-03-29T18:20:00"/>
    <x v="1"/>
    <s v="Zara Hussain"/>
    <s v="Lahore"/>
    <s v="Phone"/>
    <s v="General Inquiry"/>
    <s v="Medium"/>
    <n v="24"/>
    <s v="Resolved"/>
    <s v="Missing Resolve Date"/>
    <s v="No"/>
    <n v="4"/>
    <s v="Not Specified"/>
    <s v=""/>
  </r>
  <r>
    <s v="TCK-21902"/>
    <d v="2026-08-17T00:57:00"/>
    <x v="2"/>
    <s v="Mahnoor Aslam"/>
    <s v="Lahore"/>
    <s v="Email"/>
    <s v="General Inquiry"/>
    <s v="High"/>
    <n v="8"/>
    <s v="Escalated"/>
    <s v="Missing Resolve Date"/>
    <s v="Yes"/>
    <m/>
    <s v="Customer Requested Refund"/>
    <s v=""/>
  </r>
  <r>
    <s v="TCK-22501"/>
    <d v="2026-03-12T04:27:00"/>
    <x v="0"/>
    <s v="Sadia Anwar"/>
    <s v="Faisalabad"/>
    <s v="Email"/>
    <s v="General Inquiry"/>
    <s v="Medium"/>
    <n v="24"/>
    <s v="Open"/>
    <s v="Missing Resolve Date"/>
    <s v="No"/>
    <m/>
    <s v="Customer Requested Refund"/>
    <s v=""/>
  </r>
  <r>
    <s v="TCK-21459"/>
    <d v="2026-08-02T20:59:00"/>
    <x v="2"/>
    <s v="Mahnoor Aslam"/>
    <s v="Karachi"/>
    <s v="Phone"/>
    <s v="Technical Issue"/>
    <s v="Low"/>
    <n v="48"/>
    <s v="Resolved"/>
    <d v="2026-08-05T20:28:00"/>
    <s v="No"/>
    <n v="4"/>
    <s v="Repeat Issue From Same Customer"/>
    <n v="71.483333333395422"/>
  </r>
  <r>
    <s v="TCK-20610"/>
    <d v="2026-08-01T01:28:00"/>
    <x v="2"/>
    <s v="Bilal Chaudhry"/>
    <s v="Islamabad"/>
    <s v="Phone"/>
    <s v="General Inquiry"/>
    <s v="Medium"/>
    <n v="24"/>
    <s v="Resolved"/>
    <d v="2026-08-01T13:50:00"/>
    <s v="No"/>
    <n v="5"/>
    <s v="Not Specified"/>
    <n v="12.366666666639503"/>
  </r>
  <r>
    <s v="TCK-22996"/>
    <d v="2026-05-31T13:50:00"/>
    <x v="2"/>
    <s v="Bilal Chaudhry"/>
    <s v="Multan"/>
    <s v="Portal"/>
    <s v="General Inquiry"/>
    <s v="High"/>
    <n v="8"/>
    <s v="Escalated"/>
    <s v="Missing Resolve Date"/>
    <s v="Yes"/>
    <m/>
    <s v="Required Follow-Up Call"/>
    <s v=""/>
  </r>
  <r>
    <s v="TCK-22607"/>
    <d v="2026-04-23T11:28:00"/>
    <x v="3"/>
    <s v="Iqra Basit"/>
    <s v="Faisalabad"/>
    <s v="Portal"/>
    <s v="Refund Request"/>
    <s v="High"/>
    <n v="8"/>
    <s v="Resolved"/>
    <d v="2026-04-23T17:29:00"/>
    <s v="No"/>
    <n v="5"/>
    <s v="Not Specified"/>
    <n v="6.0166666667209938"/>
  </r>
  <r>
    <s v="TCK-20158"/>
    <d v="2026-05-03T17:12:00"/>
    <x v="3"/>
    <s v="Talha Nadeem"/>
    <s v="Rawalpindi"/>
    <s v="Email"/>
    <s v="Refund Request"/>
    <s v="High"/>
    <n v="8"/>
    <s v="Escalated"/>
    <s v="Missing Resolve Date"/>
    <s v="Yes"/>
    <m/>
    <s v="Not Specified"/>
    <s v=""/>
  </r>
  <r>
    <s v="TCK-20113"/>
    <d v="2026-05-20T00:53:00"/>
    <x v="0"/>
    <s v="Sadia Anwar"/>
    <s v="Lahore"/>
    <s v="Portal"/>
    <s v="Account Access"/>
    <s v="High"/>
    <n v="8"/>
    <s v="Escalated"/>
    <s v="Missing Resolve Date"/>
    <s v="Yes"/>
    <m/>
    <s v="Customer Requested Refund"/>
    <s v=""/>
  </r>
  <r>
    <s v="TCK-23199"/>
    <d v="2026-03-30T11:47:00"/>
    <x v="1"/>
    <s v="Zara Hussain"/>
    <s v="Karachi"/>
    <s v="Chat"/>
    <s v="Account Access"/>
    <s v="Medium"/>
    <n v="24"/>
    <s v="Closed"/>
    <d v="2026-03-30T17:47:00"/>
    <s v="No"/>
    <m/>
    <s v="Resolved On First Contact"/>
    <n v="6"/>
  </r>
  <r>
    <s v="TCK-22120"/>
    <d v="2026-07-13T11:54:00"/>
    <x v="3"/>
    <s v="Iqra Basit"/>
    <s v="Karachi"/>
    <s v="Phone"/>
    <s v="Delivery Delay"/>
    <s v="Medium"/>
    <n v="24"/>
    <s v="Closed"/>
    <d v="2026-07-14T03:55:00"/>
    <s v="No"/>
    <m/>
    <s v="Resolved On First Contact"/>
    <n v="16.016666666662786"/>
  </r>
  <r>
    <s v="TCK-22690"/>
    <d v="2026-04-25T16:42:00"/>
    <x v="2"/>
    <s v="Bilal Chaudhry"/>
    <s v="Peshawar"/>
    <s v="Portal"/>
    <s v="Account Access"/>
    <s v="Medium"/>
    <n v="24"/>
    <s v="Closed"/>
    <d v="2026-04-26T23:33:00"/>
    <s v="No"/>
    <m/>
    <s v="Customer Satisfied With Resolution"/>
    <n v="30.849999999976717"/>
  </r>
  <r>
    <s v="TCK-22649"/>
    <d v="2026-04-13T12:33:00"/>
    <x v="1"/>
    <s v="Zara Hussain"/>
    <s v="Karachi"/>
    <s v="Phone"/>
    <s v="Account Access"/>
    <s v="Medium"/>
    <n v="24"/>
    <s v="Resolved"/>
    <d v="2026-04-15T03:50:00"/>
    <s v="No"/>
    <n v="5"/>
    <s v="Customer Satisfied With Resolution"/>
    <n v="39.283333333209157"/>
  </r>
  <r>
    <s v="TCK-20322"/>
    <d v="2026-03-06T03:49:00"/>
    <x v="3"/>
    <s v="Talha Nadeem"/>
    <s v="Multan"/>
    <s v="Chat"/>
    <s v="Technical Issue"/>
    <s v="Medium"/>
    <n v="24"/>
    <s v="Escalated"/>
    <s v="Missing Resolve Date"/>
    <s v="Yes"/>
    <m/>
    <s v="Resolved On First Contact"/>
    <s v=""/>
  </r>
  <r>
    <s v="TCK-23089"/>
    <d v="2026-03-22T18:51:00"/>
    <x v="0"/>
    <s v="Sadia Anwar"/>
    <s v="Multan"/>
    <s v="Chat"/>
    <s v="Delivery Delay"/>
    <s v="High"/>
    <n v="8"/>
    <s v="In Progress"/>
    <s v="Missing Resolve Date"/>
    <s v="No"/>
    <m/>
    <s v="Awaiting Customer Response"/>
    <s v=""/>
  </r>
  <r>
    <s v="TCK-21133"/>
    <d v="2026-02-26T19:07:00"/>
    <x v="2"/>
    <s v="Bilal Chaudhry"/>
    <s v="Faisalabad"/>
    <s v="Email"/>
    <s v="General Inquiry"/>
    <s v="Low"/>
    <n v="48"/>
    <s v="Escalated"/>
    <s v="Missing Resolve Date"/>
    <s v="Yes"/>
    <m/>
    <s v="Required Follow-Up Call"/>
    <s v=""/>
  </r>
  <r>
    <s v="TCK-20101"/>
    <d v="2026-06-21T05:35:00"/>
    <x v="0"/>
    <s v="Sadia Anwar"/>
    <s v="Multan"/>
    <s v="Chat"/>
    <s v="Refund Request"/>
    <s v="Medium"/>
    <n v="24"/>
    <s v="Resolved"/>
    <d v="2026-06-21T21:50:00"/>
    <s v="No"/>
    <n v="2"/>
    <s v="Customer Requested Refund"/>
    <n v="16.249999999883585"/>
  </r>
  <r>
    <s v="TCK-22980"/>
    <d v="2026-08-01T14:37:00"/>
    <x v="0"/>
    <s v="Sadia Anwar"/>
    <s v="Peshawar"/>
    <s v="Email"/>
    <s v="General Inquiry"/>
    <s v="Medium"/>
    <n v="24"/>
    <s v="Resolved"/>
    <d v="2026-08-01T18:11:00"/>
    <s v="No"/>
    <n v="3"/>
    <s v="Repeat Issue From Same Customer"/>
    <n v="3.5666666667675599"/>
  </r>
  <r>
    <s v="TCK-20199"/>
    <d v="2026-04-30T21:02:00"/>
    <x v="0"/>
    <s v="Sadia Anwar"/>
    <s v="Multan"/>
    <s v="Chat"/>
    <s v="General Inquiry"/>
    <s v="Low"/>
    <n v="48"/>
    <s v="Closed"/>
    <d v="2026-05-04T17:42:00"/>
    <s v="No"/>
    <m/>
    <s v="Required Follow-Up Call"/>
    <n v="92.666666666802485"/>
  </r>
  <r>
    <s v="TCK-21079"/>
    <d v="2026-02-21T23:44:00"/>
    <x v="0"/>
    <s v="Rehan Qureshi"/>
    <s v="Multan"/>
    <s v="Chat"/>
    <s v="Delivery Delay"/>
    <s v="Critical"/>
    <n v="4"/>
    <s v="Resolved"/>
    <d v="2026-02-22T03:12:00"/>
    <s v="No"/>
    <m/>
    <s v="Escalated To Senior Agent"/>
    <n v="3.46666666661622"/>
  </r>
  <r>
    <s v="TCK-21709"/>
    <d v="2026-02-05T08:54:00"/>
    <x v="2"/>
    <s v="Mahnoor Aslam"/>
    <s v="Peshawar"/>
    <s v="Phone"/>
    <s v="Billing Issue"/>
    <s v="Low"/>
    <n v="48"/>
    <s v="Resolved"/>
    <d v="2026-02-07T02:04:00"/>
    <s v="No"/>
    <m/>
    <s v="Resolved On First Contact"/>
    <n v="41.166666666569654"/>
  </r>
  <r>
    <s v="TCK-20498"/>
    <d v="2026-01-19T00:21:00"/>
    <x v="2"/>
    <s v="Mahnoor Aslam"/>
    <s v="Multan"/>
    <s v="Email"/>
    <s v="Billing Issue"/>
    <s v="High"/>
    <n v="8"/>
    <s v="Resolved"/>
    <d v="2026-01-19T00:56:00"/>
    <s v="No"/>
    <n v="1"/>
    <s v="Customer Satisfied With Resolution"/>
    <n v="0.58333333348855376"/>
  </r>
  <r>
    <s v="TCK-22713"/>
    <d v="2026-06-21T20:04:00"/>
    <x v="0"/>
    <s v="Sadia Anwar"/>
    <s v="Rawalpindi"/>
    <s v="Email"/>
    <s v="Account Access"/>
    <s v="Medium"/>
    <n v="24"/>
    <s v="Resolved"/>
    <d v="2026-06-23T04:52:00"/>
    <s v="No"/>
    <m/>
    <s v="Customer Satisfied With Resolution"/>
    <n v="32.800000000046566"/>
  </r>
  <r>
    <s v="TCK-20807"/>
    <d v="2026-08-27T22:53:00"/>
    <x v="1"/>
    <s v="Ayaan Khalid"/>
    <s v="Lahore"/>
    <s v="Phone"/>
    <s v="Technical Issue"/>
    <s v="Low"/>
    <n v="48"/>
    <s v="Resolved"/>
    <d v="2026-08-28T15:52:00"/>
    <s v="No"/>
    <n v="1"/>
    <s v="Required Follow-Up Call"/>
    <n v="16.983333333337214"/>
  </r>
  <r>
    <s v="TCK-21844"/>
    <d v="2026-03-09T20:41:00"/>
    <x v="3"/>
    <s v="Talha Nadeem"/>
    <s v="Islamabad"/>
    <s v="Portal"/>
    <s v="Billing Issue"/>
    <s v="Medium"/>
    <n v="24"/>
    <s v="Closed"/>
    <d v="2026-03-11T06:35:00"/>
    <s v="No"/>
    <m/>
    <s v="Escalated To Senior Agent"/>
    <n v="33.899999999965075"/>
  </r>
  <r>
    <s v="TCK-22598"/>
    <d v="2026-07-11T23:33:00"/>
    <x v="2"/>
    <s v="Bilal Chaudhry"/>
    <s v="Islamabad"/>
    <s v="Portal"/>
    <s v="Delivery Delay"/>
    <s v="High"/>
    <n v="8"/>
    <s v="Resolved"/>
    <d v="2026-07-12T22:57:00"/>
    <s v="Yes"/>
    <n v="5"/>
    <s v="Not Specified"/>
    <n v="23.400000000139698"/>
  </r>
  <r>
    <s v="TCK-20349"/>
    <d v="2026-01-18T07:00:00"/>
    <x v="3"/>
    <s v="Talha Nadeem"/>
    <s v="Lahore"/>
    <s v="Phone"/>
    <s v="Technical Issue"/>
    <s v="Critical"/>
    <n v="4"/>
    <s v="Resolved"/>
    <d v="2026-01-18T14:28:00"/>
    <s v="No"/>
    <n v="3"/>
    <s v="Required Follow-Up Call"/>
    <n v="7.4666666667326353"/>
  </r>
  <r>
    <s v="TCK-21372"/>
    <d v="2026-01-07T21:26:00"/>
    <x v="3"/>
    <s v="Iqra Basit"/>
    <s v="Peshawar"/>
    <s v="Phone"/>
    <s v="Delivery Delay"/>
    <s v="High"/>
    <n v="8"/>
    <s v="In Progress"/>
    <s v="Missing Resolve Date"/>
    <s v="No"/>
    <m/>
    <s v="Not Specified"/>
    <s v=""/>
  </r>
  <r>
    <s v="TCK-20169"/>
    <d v="2026-06-20T20:45:00"/>
    <x v="0"/>
    <s v="Sadia Anwar"/>
    <s v="Peshawar"/>
    <s v="Email"/>
    <s v="Delivery Delay"/>
    <s v="Low"/>
    <n v="48"/>
    <s v="Closed"/>
    <d v="2026-06-22T13:59:00"/>
    <s v="No"/>
    <m/>
    <s v="Repeat Issue From Same Customer"/>
    <n v="41.233333333279006"/>
  </r>
  <r>
    <s v="TCK-22245"/>
    <d v="2026-06-09T00:57:00"/>
    <x v="2"/>
    <s v="Bilal Chaudhry"/>
    <s v="Karachi"/>
    <s v="Portal"/>
    <s v="Refund Request"/>
    <s v="Low"/>
    <n v="48"/>
    <s v="In Progress"/>
    <s v="Missing Resolve Date"/>
    <s v="Yes"/>
    <m/>
    <s v="Required Follow-Up Call"/>
    <s v=""/>
  </r>
  <r>
    <s v="TCK-22582"/>
    <d v="2026-08-21T05:21:00"/>
    <x v="0"/>
    <s v="Rehan Qureshi"/>
    <s v="Peshawar"/>
    <s v="Phone"/>
    <s v="General Inquiry"/>
    <s v="Medium"/>
    <n v="24"/>
    <s v="Closed"/>
    <d v="2026-08-22T21:33:00"/>
    <s v="No"/>
    <n v="5"/>
    <s v="Awaiting Customer Response"/>
    <n v="40.200000000069849"/>
  </r>
  <r>
    <s v="TCK-20201"/>
    <d v="2026-02-08T16:42:00"/>
    <x v="2"/>
    <s v="Bilal Chaudhry"/>
    <s v="Lahore"/>
    <s v="Chat"/>
    <s v="Technical Issue"/>
    <s v="High"/>
    <n v="8"/>
    <s v="Resolved"/>
    <d v="2026-02-08T22:46:00"/>
    <s v="No"/>
    <m/>
    <s v="Technical Issue Resolved Remotely"/>
    <n v="6.0666666667093523"/>
  </r>
  <r>
    <s v="TCK-21899"/>
    <d v="2026-01-15T19:02:00"/>
    <x v="0"/>
    <s v="Rehan Qureshi"/>
    <s v="Lahore"/>
    <s v="Chat"/>
    <s v="Billing Issue"/>
    <s v="Low"/>
    <n v="48"/>
    <s v="Resolved"/>
    <d v="2026-01-19T15:39:00"/>
    <s v="No"/>
    <n v="1"/>
    <s v="Resolved On First Contact"/>
    <n v="92.616666666639503"/>
  </r>
  <r>
    <s v="TCK-21733"/>
    <d v="2026-07-04T20:08:00"/>
    <x v="0"/>
    <s v="Rehan Qureshi"/>
    <s v="Islamabad"/>
    <s v="Portal"/>
    <s v="General Inquiry"/>
    <s v="High"/>
    <n v="8"/>
    <s v="Closed"/>
    <d v="2026-07-04T23:26:00"/>
    <s v="No"/>
    <m/>
    <s v="Technical Issue Resolved Remotely"/>
    <n v="3.3000000001047738"/>
  </r>
  <r>
    <s v="TCK-21347"/>
    <d v="2026-07-09T00:01:00"/>
    <x v="0"/>
    <s v="Rehan Qureshi"/>
    <s v="Rawalpindi"/>
    <s v="Phone"/>
    <s v="General Inquiry"/>
    <s v="Low"/>
    <n v="48"/>
    <s v="Escalated"/>
    <s v="Missing Resolve Date"/>
    <s v="Yes"/>
    <m/>
    <s v="Not Specified"/>
    <s v=""/>
  </r>
  <r>
    <s v="TCK-22663"/>
    <d v="2026-07-03T09:06:00"/>
    <x v="3"/>
    <s v="Iqra Basit"/>
    <s v="Karachi"/>
    <s v="Portal"/>
    <s v="Refund Request"/>
    <s v="Medium"/>
    <n v="24"/>
    <s v="Resolved"/>
    <d v="2026-07-03T21:03:00"/>
    <s v="No"/>
    <m/>
    <s v="Technical Issue Resolved Remotely"/>
    <n v="11.950000000011642"/>
  </r>
  <r>
    <s v="TCK-22035"/>
    <d v="2026-03-28T01:30:00"/>
    <x v="0"/>
    <s v="Rehan Qureshi"/>
    <s v="Lahore"/>
    <s v="Portal"/>
    <s v="Refund Request"/>
    <s v="Medium"/>
    <n v="24"/>
    <s v="Closed"/>
    <d v="2026-03-28T08:05:00"/>
    <s v="No"/>
    <m/>
    <s v="Customer Requested Refund"/>
    <n v="6.5833333333139308"/>
  </r>
  <r>
    <s v="TCK-20849"/>
    <d v="2026-05-31T15:16:00"/>
    <x v="3"/>
    <s v="Iqra Basit"/>
    <s v="Islamabad"/>
    <s v="Email"/>
    <s v="Refund Request"/>
    <s v="High"/>
    <n v="8"/>
    <s v="In Progress"/>
    <s v="Missing Resolve Date"/>
    <s v="No"/>
    <m/>
    <s v="Awaiting Customer Response"/>
    <s v=""/>
  </r>
  <r>
    <s v="TCK-21225"/>
    <d v="2026-07-22T03:28:00"/>
    <x v="2"/>
    <s v="Mahnoor Aslam"/>
    <s v="Multan"/>
    <s v="Phone"/>
    <s v="Account Access"/>
    <s v="Medium"/>
    <n v="24"/>
    <s v="Closed"/>
    <d v="2026-07-22T22:54:00"/>
    <s v="No"/>
    <n v="1"/>
    <s v="Technical Issue Resolved Remotely"/>
    <n v="19.433333333465271"/>
  </r>
  <r>
    <s v="TCK-21938"/>
    <d v="2026-05-20T15:09:00"/>
    <x v="3"/>
    <s v="Iqra Basit"/>
    <s v="Islamabad"/>
    <s v="Email"/>
    <s v="Account Access"/>
    <s v="High"/>
    <n v="8"/>
    <s v="Closed"/>
    <d v="2026-05-20T20:27:00"/>
    <s v="No"/>
    <n v="4"/>
    <s v="Awaiting Customer Response"/>
    <n v="5.2999999999883585"/>
  </r>
  <r>
    <s v="TCK-20399"/>
    <d v="2026-01-02T15:04:00"/>
    <x v="2"/>
    <s v="Mahnoor Aslam"/>
    <s v="Multan"/>
    <s v="Email"/>
    <s v="Billing Issue"/>
    <s v="Low"/>
    <n v="48"/>
    <s v="Open"/>
    <s v="Missing Resolve Date"/>
    <s v="No"/>
    <m/>
    <s v="Repeat Issue From Same Customer"/>
    <s v=""/>
  </r>
  <r>
    <s v="TCK-21772"/>
    <d v="2026-07-13T15:05:00"/>
    <x v="3"/>
    <s v="Iqra Basit"/>
    <s v="Islamabad"/>
    <s v="Email"/>
    <s v="Billing Issue"/>
    <s v="High"/>
    <n v="8"/>
    <s v="Resolved"/>
    <d v="2026-07-14T04:00:00"/>
    <s v="No"/>
    <n v="5"/>
    <s v="Customer Requested Refund"/>
    <n v="12.916666666686069"/>
  </r>
  <r>
    <s v="TCK-22619"/>
    <d v="2026-01-14T17:46:00"/>
    <x v="2"/>
    <s v="Mahnoor Aslam"/>
    <s v="Lahore"/>
    <s v="Chat"/>
    <s v="Technical Issue"/>
    <s v="Low"/>
    <n v="48"/>
    <s v="Resolved"/>
    <d v="2026-01-15T13:28:00"/>
    <s v="No"/>
    <n v="2"/>
    <s v="Escalated To Senior Agent"/>
    <n v="19.700000000128057"/>
  </r>
  <r>
    <s v="TCK-21584"/>
    <d v="2026-04-25T10:32:00"/>
    <x v="0"/>
    <s v="Sadia Anwar"/>
    <s v="Not Specified"/>
    <s v="Phone"/>
    <s v="Technical Issue"/>
    <s v="Medium"/>
    <n v="24"/>
    <s v="Resolved"/>
    <d v="2026-04-25T18:01:00"/>
    <s v="No"/>
    <n v="5"/>
    <s v="Customer Satisfied With Resolution"/>
    <n v="7.4833333334536292"/>
  </r>
  <r>
    <s v="TCK-21462"/>
    <d v="2026-05-01T17:46:00"/>
    <x v="1"/>
    <s v="Zara Hussain"/>
    <s v="Multan"/>
    <s v="Chat"/>
    <s v="Refund Request"/>
    <s v="Medium"/>
    <n v="24"/>
    <s v="Resolved"/>
    <d v="2026-05-02T07:01:00"/>
    <s v="No"/>
    <n v="2"/>
    <s v="Customer Requested Refund"/>
    <n v="13.250000000058208"/>
  </r>
  <r>
    <s v="TCK-20293"/>
    <d v="2026-04-03T02:56:00"/>
    <x v="1"/>
    <s v="Zara Hussain"/>
    <s v="Karachi"/>
    <s v="Chat"/>
    <s v="Account Access"/>
    <s v="Low"/>
    <n v="48"/>
    <s v="Closed"/>
    <d v="2026-04-05T13:08:00"/>
    <s v="No"/>
    <n v="3"/>
    <s v="Awaiting Customer Response"/>
    <n v="58.200000000069849"/>
  </r>
  <r>
    <s v="TCK-21334"/>
    <d v="2026-05-31T14:03:00"/>
    <x v="0"/>
    <s v="Sadia Anwar"/>
    <s v="Faisalabad"/>
    <s v="Chat"/>
    <s v="Account Access"/>
    <s v="Medium"/>
    <n v="24"/>
    <s v="Re-Opened"/>
    <s v="Missing Resolve Date"/>
    <s v="No"/>
    <m/>
    <s v="Not Specified"/>
    <s v=""/>
  </r>
  <r>
    <s v="TCK-22730"/>
    <d v="2026-03-02T10:16:00"/>
    <x v="3"/>
    <s v="Talha Nadeem"/>
    <s v="Faisalabad"/>
    <s v="Chat"/>
    <s v="Delivery Delay"/>
    <s v="Medium"/>
    <n v="24"/>
    <s v="Open"/>
    <s v="Missing Resolve Date"/>
    <s v="No"/>
    <m/>
    <s v="Customer Requested Refund"/>
    <s v=""/>
  </r>
  <r>
    <s v="TCK-22249"/>
    <d v="2026-06-17T06:19:00"/>
    <x v="2"/>
    <s v="Mahnoor Aslam"/>
    <s v="Multan"/>
    <s v="Portal"/>
    <s v="Billing Issue"/>
    <s v="Medium"/>
    <n v="24"/>
    <s v="Closed"/>
    <d v="2026-06-18T01:55:00"/>
    <s v="No"/>
    <m/>
    <s v="Resolved On First Contact"/>
    <n v="19.599999999976717"/>
  </r>
  <r>
    <s v="TCK-20593"/>
    <d v="2026-04-21T10:22:00"/>
    <x v="0"/>
    <s v="Rehan Qureshi"/>
    <s v="Peshawar"/>
    <s v="Chat"/>
    <s v="Refund Request"/>
    <s v="High"/>
    <n v="8"/>
    <s v="Resolved"/>
    <d v="2026-04-21T16:12:00"/>
    <s v="No"/>
    <n v="1"/>
    <s v="Not Specified"/>
    <n v="5.8333333334885538"/>
  </r>
  <r>
    <s v="TCK-21241"/>
    <d v="2026-03-17T05:37:00"/>
    <x v="2"/>
    <s v="Mahnoor Aslam"/>
    <s v="Rawalpindi"/>
    <s v="Phone"/>
    <s v="Technical Issue"/>
    <s v="Medium"/>
    <n v="24"/>
    <s v="Closed"/>
    <s v="Missing Resolve Date"/>
    <s v="No"/>
    <n v="4"/>
    <s v="Awaiting Customer Response"/>
    <s v=""/>
  </r>
  <r>
    <s v="TCK-22687"/>
    <d v="2026-08-01T09:54:00"/>
    <x v="2"/>
    <s v="Bilal Chaudhry"/>
    <s v="Multan"/>
    <s v="Portal"/>
    <s v="General Inquiry"/>
    <s v="High"/>
    <n v="8"/>
    <s v="Resolved"/>
    <d v="2026-08-02T07:54:00"/>
    <s v="No"/>
    <n v="4"/>
    <s v="Repeat Issue From Same Customer"/>
    <n v="22.000000000116415"/>
  </r>
  <r>
    <s v="TCK-20692"/>
    <d v="2026-01-28T00:31:00"/>
    <x v="2"/>
    <s v="Bilal Chaudhry"/>
    <s v="Peshawar"/>
    <s v="Phone"/>
    <s v="Account Access"/>
    <s v="High"/>
    <n v="8"/>
    <s v="Resolved"/>
    <d v="2026-01-28T06:13:00"/>
    <s v="No"/>
    <m/>
    <s v="Escalated To Senior Agent"/>
    <n v="5.7000000000698492"/>
  </r>
  <r>
    <s v="TCK-20891"/>
    <d v="2026-08-28T17:10:00"/>
    <x v="2"/>
    <s v="Bilal Chaudhry"/>
    <s v="Lahore"/>
    <s v="Email"/>
    <s v="General Inquiry"/>
    <s v="High"/>
    <n v="8"/>
    <s v="Resolved"/>
    <d v="2026-08-29T05:15:00"/>
    <s v="No"/>
    <n v="2"/>
    <s v="Required Follow-Up Call"/>
    <n v="12.083333333255723"/>
  </r>
  <r>
    <s v="TCK-21353"/>
    <d v="2026-02-15T08:03:00"/>
    <x v="1"/>
    <s v="Ayaan Khalid"/>
    <s v="Peshawar"/>
    <s v="Email"/>
    <s v="Refund Request"/>
    <s v="Low"/>
    <n v="48"/>
    <s v="Resolved"/>
    <d v="2026-02-16T18:54:00"/>
    <s v="No"/>
    <n v="5"/>
    <s v="Awaiting Customer Response"/>
    <n v="34.849999999918509"/>
  </r>
  <r>
    <s v="TCK-22823"/>
    <d v="2026-04-03T15:08:00"/>
    <x v="0"/>
    <s v="Sadia Anwar"/>
    <s v="Lahore"/>
    <s v="Phone"/>
    <s v="Technical Issue"/>
    <s v="Medium"/>
    <n v="24"/>
    <s v="Resolved"/>
    <d v="2026-04-04T05:35:00"/>
    <s v="No"/>
    <n v="5"/>
    <s v="Escalated To Senior Agent"/>
    <n v="14.449999999953434"/>
  </r>
  <r>
    <s v="TCK-20410"/>
    <d v="2026-05-20T10:32:00"/>
    <x v="1"/>
    <s v="Ayaan Khalid"/>
    <s v="Rawalpindi"/>
    <s v="Portal"/>
    <s v="Delivery Delay"/>
    <s v="Low"/>
    <n v="48"/>
    <s v="Resolved"/>
    <d v="2026-05-23T02:09:00"/>
    <s v="No"/>
    <n v="2"/>
    <s v="Repeat Issue From Same Customer"/>
    <n v="63.616666666755918"/>
  </r>
  <r>
    <s v="TCK-20373"/>
    <d v="2026-04-09T01:05:00"/>
    <x v="1"/>
    <s v="Zara Hussain"/>
    <s v="Peshawar"/>
    <s v="Phone"/>
    <s v="Technical Issue"/>
    <s v="Critical"/>
    <n v="4"/>
    <s v="Resolved"/>
    <d v="2026-04-09T04:21:00"/>
    <s v="No"/>
    <m/>
    <s v="Awaiting Customer Response"/>
    <n v="3.2666666666627862"/>
  </r>
  <r>
    <s v="TCK-22994"/>
    <d v="2026-06-06T07:26:00"/>
    <x v="1"/>
    <s v="Ayaan Khalid"/>
    <s v="Peshawar"/>
    <s v="Phone"/>
    <s v="Billing Issue"/>
    <s v="Low"/>
    <n v="48"/>
    <s v="Resolved"/>
    <d v="2026-06-07T12:50:00"/>
    <s v="No"/>
    <m/>
    <s v="Resolved On First Contact"/>
    <n v="29.399999999965075"/>
  </r>
  <r>
    <s v="TCK-22640"/>
    <d v="2026-05-23T22:20:00"/>
    <x v="0"/>
    <s v="Sadia Anwar"/>
    <s v="Karachi"/>
    <s v="Portal"/>
    <s v="Account Access"/>
    <s v="Medium"/>
    <n v="24"/>
    <s v="Resolved"/>
    <d v="2026-05-24T04:28:00"/>
    <s v="No"/>
    <n v="4"/>
    <s v="Awaiting Customer Response"/>
    <n v="6.1333333334187046"/>
  </r>
  <r>
    <s v="TCK-20397"/>
    <d v="2026-03-25T23:51:00"/>
    <x v="0"/>
    <s v="Sadia Anwar"/>
    <s v="Multan"/>
    <s v="Chat"/>
    <s v="Billing Issue"/>
    <s v="Medium"/>
    <n v="24"/>
    <s v="Resolved"/>
    <d v="2026-03-27T09:21:00"/>
    <s v="No"/>
    <n v="3"/>
    <s v="Not Specified"/>
    <n v="33.499999999883585"/>
  </r>
  <r>
    <s v="TCK-22913"/>
    <d v="2026-01-08T01:59:00"/>
    <x v="0"/>
    <s v="Rehan Qureshi"/>
    <s v="Lahore"/>
    <s v="Phone"/>
    <s v="Delivery Delay"/>
    <s v="Medium"/>
    <n v="24"/>
    <s v="Closed"/>
    <d v="2026-01-08T17:36:00"/>
    <s v="No"/>
    <n v="2"/>
    <s v="Escalated To Senior Agent"/>
    <n v="15.616666666581295"/>
  </r>
  <r>
    <s v="TCK-22116"/>
    <d v="2026-07-17T05:34:00"/>
    <x v="0"/>
    <s v="Rehan Qureshi"/>
    <s v="Islamabad"/>
    <s v="Email"/>
    <s v="Refund Request"/>
    <s v="Medium"/>
    <n v="24"/>
    <s v="In Progress"/>
    <s v="Missing Resolve Date"/>
    <s v="No"/>
    <m/>
    <s v="Technical Issue Resolved Remotely"/>
    <s v=""/>
  </r>
  <r>
    <s v="TCK-21080"/>
    <d v="2026-06-11T22:12:00"/>
    <x v="1"/>
    <s v="Ayaan Khalid"/>
    <s v="Karachi"/>
    <s v="Chat"/>
    <s v="Technical Issue"/>
    <s v="High"/>
    <n v="8"/>
    <s v="Closed"/>
    <d v="2026-06-12T05:07:00"/>
    <s v="No"/>
    <n v="4"/>
    <s v="Customer Requested Refund"/>
    <n v="6.9166666665114462"/>
  </r>
  <r>
    <s v="TCK-21916"/>
    <d v="2026-01-27T07:24:00"/>
    <x v="2"/>
    <s v="Bilal Chaudhry"/>
    <s v="Islamabad"/>
    <s v="Email"/>
    <s v="Account Access"/>
    <s v="Low"/>
    <n v="48"/>
    <s v="Escalated"/>
    <s v="Missing Resolve Date"/>
    <s v="Yes"/>
    <m/>
    <s v="Customer Requested Refund"/>
    <s v=""/>
  </r>
  <r>
    <s v="TCK-21628"/>
    <d v="2026-07-31T18:09:00"/>
    <x v="2"/>
    <s v="Bilal Chaudhry"/>
    <s v="Multan"/>
    <s v="Portal"/>
    <s v="Billing Issue"/>
    <s v="Low"/>
    <n v="48"/>
    <s v="Re-Opened"/>
    <d v="2026-08-01T14:00:00"/>
    <s v="No"/>
    <m/>
    <s v="Not Specified"/>
    <n v="19.850000000093132"/>
  </r>
  <r>
    <s v="TCK-21037"/>
    <d v="2026-02-22T16:34:00"/>
    <x v="2"/>
    <s v="Mahnoor Aslam"/>
    <s v="Lahore"/>
    <s v="Phone"/>
    <s v="General Inquiry"/>
    <s v="High"/>
    <n v="8"/>
    <s v="Closed"/>
    <d v="2026-02-22T23:32:00"/>
    <s v="No"/>
    <n v="5"/>
    <s v="Required Follow-Up Call"/>
    <n v="6.9666666666744277"/>
  </r>
  <r>
    <s v="TCK-20182"/>
    <d v="2026-06-19T03:09:00"/>
    <x v="3"/>
    <s v="Iqra Basit"/>
    <s v="Rawalpindi"/>
    <s v="Chat"/>
    <s v="General Inquiry"/>
    <s v="High"/>
    <n v="8"/>
    <s v="Resolved"/>
    <d v="2026-06-19T07:52:00"/>
    <s v="No"/>
    <m/>
    <s v="Not Specified"/>
    <n v="4.7166666666744277"/>
  </r>
  <r>
    <s v="TCK-20577"/>
    <d v="2026-08-12T20:01:00"/>
    <x v="0"/>
    <s v="Sadia Anwar"/>
    <s v="Peshawar"/>
    <s v="Chat"/>
    <s v="General Inquiry"/>
    <s v="Medium"/>
    <n v="24"/>
    <s v="Open"/>
    <s v="Missing Resolve Date"/>
    <s v="No"/>
    <m/>
    <s v="Repeat Issue From Same Customer"/>
    <s v=""/>
  </r>
  <r>
    <s v="TCK-22849"/>
    <d v="2026-08-22T05:52:00"/>
    <x v="3"/>
    <s v="Talha Nadeem"/>
    <s v="Multan"/>
    <s v="Email"/>
    <s v="Account Access"/>
    <s v="Medium"/>
    <n v="24"/>
    <s v="Resolved"/>
    <s v="Missing Resolve Date"/>
    <s v="No"/>
    <n v="4"/>
    <s v="Technical Issue Resolved Remotely"/>
    <s v=""/>
  </r>
  <r>
    <s v="TCK-22746"/>
    <d v="2026-02-24T00:43:00"/>
    <x v="0"/>
    <s v="Sadia Anwar"/>
    <s v="Multan"/>
    <s v="Chat"/>
    <s v="Billing Issue"/>
    <s v="Medium"/>
    <n v="24"/>
    <s v="Resolved"/>
    <s v="Missing Resolve Date"/>
    <s v="No"/>
    <m/>
    <s v="Customer Requested Refund"/>
    <s v=""/>
  </r>
  <r>
    <s v="TCK-23073"/>
    <d v="2026-05-27T15:32:00"/>
    <x v="3"/>
    <s v="Iqra Basit"/>
    <s v="Karachi"/>
    <s v="Portal"/>
    <s v="Billing Issue"/>
    <s v="Critical"/>
    <n v="4"/>
    <s v="Closed"/>
    <d v="2026-05-27T16:24:00"/>
    <s v="No"/>
    <n v="5"/>
    <s v="Awaiting Customer Response"/>
    <n v="0.86666666669771075"/>
  </r>
  <r>
    <s v="TCK-20033"/>
    <d v="2026-06-22T13:57:00"/>
    <x v="1"/>
    <s v="Ayaan Khalid"/>
    <s v="Peshawar"/>
    <s v="Chat"/>
    <s v="Delivery Delay"/>
    <s v="Critical"/>
    <n v="4"/>
    <s v="Escalated"/>
    <s v="Missing Resolve Date"/>
    <s v="Yes"/>
    <m/>
    <s v="Awaiting Customer Response"/>
    <s v=""/>
  </r>
  <r>
    <s v="TCK-20130"/>
    <d v="2026-08-25T16:38:00"/>
    <x v="3"/>
    <s v="Iqra Basit"/>
    <s v="Islamabad"/>
    <s v="Email"/>
    <s v="Technical Issue"/>
    <s v="Low"/>
    <n v="48"/>
    <s v="Closed"/>
    <d v="2026-08-26T22:50:00"/>
    <s v="No"/>
    <m/>
    <s v="Not Specified"/>
    <n v="30.199999999953434"/>
  </r>
  <r>
    <s v="TCK-21145"/>
    <d v="2026-03-15T12:39:00"/>
    <x v="2"/>
    <s v="Bilal Chaudhry"/>
    <s v="Faisalabad"/>
    <s v="Phone"/>
    <s v="General Inquiry"/>
    <s v="High"/>
    <n v="8"/>
    <s v="Resolved"/>
    <s v="Missing Resolve Date"/>
    <s v="No"/>
    <n v="5"/>
    <s v="Escalated To Senior Agent"/>
    <s v=""/>
  </r>
  <r>
    <s v="TCK-22930"/>
    <d v="2026-01-05T00:01:00"/>
    <x v="2"/>
    <s v="Mahnoor Aslam"/>
    <s v="Rawalpindi"/>
    <s v="Portal"/>
    <s v="Refund Request"/>
    <s v="Low"/>
    <n v="48"/>
    <s v="Closed"/>
    <d v="2026-01-07T12:50:00"/>
    <s v="No"/>
    <n v="4"/>
    <s v="Escalated To Senior Agent"/>
    <n v="60.816666666534729"/>
  </r>
  <r>
    <s v="TCK-20569"/>
    <d v="2026-01-18T13:20:00"/>
    <x v="3"/>
    <s v="Talha Nadeem"/>
    <s v="Islamabad"/>
    <s v="Email"/>
    <s v="General Inquiry"/>
    <s v="High"/>
    <n v="8"/>
    <s v="Open"/>
    <s v="Missing Resolve Date"/>
    <s v="No"/>
    <m/>
    <s v="Customer Satisfied With Resolution"/>
    <s v=""/>
  </r>
  <r>
    <s v="TCK-21303"/>
    <d v="2026-01-26T23:10:00"/>
    <x v="3"/>
    <s v="Talha Nadeem"/>
    <s v="Rawalpindi"/>
    <s v="Email"/>
    <s v="General Inquiry"/>
    <s v="Medium"/>
    <n v="24"/>
    <s v="Escalated"/>
    <s v="Missing Resolve Date"/>
    <s v="Yes"/>
    <m/>
    <s v="Customer Satisfied With Resolution"/>
    <s v=""/>
  </r>
  <r>
    <s v="TCK-22277"/>
    <d v="2026-08-29T02:18:00"/>
    <x v="1"/>
    <s v="Zara Hussain"/>
    <s v="Rawalpindi"/>
    <s v="Phone"/>
    <s v="Refund Request"/>
    <s v="Critical"/>
    <n v="4"/>
    <s v="Resolved"/>
    <d v="2026-08-29T03:46:00"/>
    <s v="No"/>
    <m/>
    <s v="Technical Issue Resolved Remotely"/>
    <n v="1.4666666667326353"/>
  </r>
  <r>
    <s v="TCK-21101"/>
    <d v="2026-08-23T17:18:00"/>
    <x v="2"/>
    <s v="Mahnoor Aslam"/>
    <s v="Lahore"/>
    <s v="Chat"/>
    <s v="Account Access"/>
    <s v="Medium"/>
    <n v="24"/>
    <s v="Open"/>
    <s v="Missing Resolve Date"/>
    <s v="No"/>
    <m/>
    <s v="Technical Issue Resolved Remotely"/>
    <s v=""/>
  </r>
  <r>
    <s v="TCK-22949"/>
    <d v="2026-07-28T14:57:00"/>
    <x v="3"/>
    <s v="Talha Nadeem"/>
    <s v="Multan"/>
    <s v="Email"/>
    <s v="General Inquiry"/>
    <s v="Low"/>
    <n v="48"/>
    <s v="In Progress"/>
    <s v="Missing Resolve Date"/>
    <s v="No"/>
    <m/>
    <s v="Awaiting Customer Response"/>
    <s v=""/>
  </r>
  <r>
    <s v="TCK-21745"/>
    <d v="2026-01-15T18:03:00"/>
    <x v="3"/>
    <s v="Iqra Basit"/>
    <s v="Multan"/>
    <s v="Chat"/>
    <s v="Account Access"/>
    <s v="Medium"/>
    <n v="24"/>
    <s v="Closed"/>
    <d v="2026-01-16T10:31:00"/>
    <s v="No"/>
    <m/>
    <s v="Technical Issue Resolved Remotely"/>
    <n v="16.466666666732635"/>
  </r>
  <r>
    <s v="TCK-22522"/>
    <d v="2026-05-21T03:19:00"/>
    <x v="2"/>
    <s v="Mahnoor Aslam"/>
    <s v="Karachi"/>
    <s v="Phone"/>
    <s v="Billing Issue"/>
    <s v="Critical"/>
    <n v="4"/>
    <s v="Resolved"/>
    <d v="2026-05-21T03:54:00"/>
    <s v="No"/>
    <n v="2"/>
    <s v="Awaiting Customer Response"/>
    <n v="0.58333333331393078"/>
  </r>
  <r>
    <s v="TCK-21699"/>
    <d v="2026-08-20T16:21:00"/>
    <x v="0"/>
    <s v="Rehan Qureshi"/>
    <s v="Multan"/>
    <s v="Email"/>
    <s v="Refund Request"/>
    <s v="Low"/>
    <n v="48"/>
    <s v="Resolved"/>
    <d v="2026-08-21T21:34:00"/>
    <s v="No"/>
    <m/>
    <s v="Not Specified"/>
    <n v="29.216666666558012"/>
  </r>
  <r>
    <s v="TCK-21533"/>
    <d v="2026-07-08T17:21:00"/>
    <x v="1"/>
    <s v="Zara Hussain"/>
    <s v="Islamabad"/>
    <s v="Email"/>
    <s v="Technical Issue"/>
    <s v="Low"/>
    <n v="48"/>
    <s v="Open"/>
    <s v="Missing Resolve Date"/>
    <s v="No"/>
    <m/>
    <s v="Repeat Issue From Same Customer"/>
    <s v=""/>
  </r>
  <r>
    <s v="TCK-21104"/>
    <d v="2026-08-22T11:35:00"/>
    <x v="1"/>
    <s v="Ayaan Khalid"/>
    <s v="Peshawar"/>
    <s v="Phone"/>
    <s v="Refund Request"/>
    <s v="Low"/>
    <n v="48"/>
    <s v="Resolved"/>
    <d v="2026-08-25T08:50:00"/>
    <s v="No"/>
    <n v="1"/>
    <s v="Not Specified"/>
    <n v="69.249999999941792"/>
  </r>
  <r>
    <s v="TCK-20722"/>
    <d v="2026-02-03T15:18:00"/>
    <x v="3"/>
    <s v="Iqra Basit"/>
    <s v="Rawalpindi"/>
    <s v="Phone"/>
    <s v="Billing Issue"/>
    <s v="Medium"/>
    <n v="24"/>
    <s v="Closed"/>
    <d v="2026-02-04T22:22:00"/>
    <s v="Yes"/>
    <n v="4"/>
    <s v="Customer Satisfied With Resolution"/>
    <n v="31.066666666651145"/>
  </r>
  <r>
    <s v="TCK-21635"/>
    <d v="2026-07-16T07:13:00"/>
    <x v="3"/>
    <s v="Talha Nadeem"/>
    <s v="Faisalabad"/>
    <s v="Chat"/>
    <s v="Refund Request"/>
    <s v="Low"/>
    <n v="48"/>
    <s v="Escalated"/>
    <s v="Missing Resolve Date"/>
    <s v="Yes"/>
    <m/>
    <s v="Technical Issue Resolved Remotely"/>
    <s v=""/>
  </r>
  <r>
    <s v="TCK-21000"/>
    <d v="2026-08-01T02:00:00"/>
    <x v="1"/>
    <s v="Zara Hussain"/>
    <s v="Faisalabad"/>
    <s v="Phone"/>
    <s v="General Inquiry"/>
    <s v="Low"/>
    <n v="48"/>
    <s v="Resolved"/>
    <d v="2026-08-01T18:48:00"/>
    <s v="No"/>
    <n v="3"/>
    <s v="Resolved On First Contact"/>
    <n v="16.799999999930151"/>
  </r>
  <r>
    <s v="TCK-22973"/>
    <d v="2026-08-24T12:27:00"/>
    <x v="3"/>
    <s v="Talha Nadeem"/>
    <s v="Faisalabad"/>
    <s v="Portal"/>
    <s v="General Inquiry"/>
    <s v="Medium"/>
    <n v="24"/>
    <s v="Closed"/>
    <d v="2026-08-25T05:51:00"/>
    <s v="No"/>
    <n v="4"/>
    <s v="Not Specified"/>
    <n v="17.399999999965075"/>
  </r>
  <r>
    <s v="TCK-20097"/>
    <d v="2026-04-22T02:42:00"/>
    <x v="3"/>
    <s v="Iqra Basit"/>
    <s v="Multan"/>
    <s v="Portal"/>
    <s v="Delivery Delay"/>
    <s v="Low"/>
    <n v="48"/>
    <s v="Resolved"/>
    <d v="2026-04-22T14:32:00"/>
    <s v="No"/>
    <n v="2"/>
    <s v="Repeat Issue From Same Customer"/>
    <n v="11.833333333313931"/>
  </r>
  <r>
    <s v="TCK-22991"/>
    <d v="2026-03-06T13:06:00"/>
    <x v="2"/>
    <s v="Mahnoor Aslam"/>
    <s v="Faisalabad"/>
    <s v="Email"/>
    <s v="Refund Request"/>
    <s v="High"/>
    <n v="8"/>
    <s v="Escalated"/>
    <s v="Missing Resolve Date"/>
    <s v="Yes"/>
    <m/>
    <s v="Customer Requested Refund"/>
    <s v=""/>
  </r>
  <r>
    <s v="TCK-21088"/>
    <d v="2026-04-09T07:40:00"/>
    <x v="2"/>
    <s v="Mahnoor Aslam"/>
    <s v="Karachi"/>
    <s v="Phone"/>
    <s v="Billing Issue"/>
    <s v="Medium"/>
    <n v="24"/>
    <s v="Open"/>
    <s v="Missing Resolve Date"/>
    <s v="No"/>
    <m/>
    <s v="Repeat Issue From Same Customer"/>
    <s v=""/>
  </r>
  <r>
    <s v="TCK-20175"/>
    <d v="2026-05-26T06:21:00"/>
    <x v="1"/>
    <s v="Ayaan Khalid"/>
    <s v="Rawalpindi"/>
    <s v="Portal"/>
    <s v="Delivery Delay"/>
    <s v="Low"/>
    <n v="48"/>
    <s v="Escalated"/>
    <s v="Missing Resolve Date"/>
    <s v="Yes"/>
    <m/>
    <s v="Awaiting Customer Response"/>
    <s v=""/>
  </r>
  <r>
    <s v="TCK-21700"/>
    <d v="2026-06-19T19:11:00"/>
    <x v="1"/>
    <s v="Zara Hussain"/>
    <s v="Islamabad"/>
    <s v="Chat"/>
    <s v="General Inquiry"/>
    <s v="Low"/>
    <n v="48"/>
    <s v="Closed"/>
    <d v="2026-06-21T13:37:00"/>
    <s v="Yes"/>
    <n v="2"/>
    <s v="Repeat Issue From Same Customer"/>
    <n v="42.433333333348855"/>
  </r>
  <r>
    <s v="TCK-22121"/>
    <d v="2026-06-04T00:18:00"/>
    <x v="1"/>
    <s v="Zara Hussain"/>
    <s v="Lahore"/>
    <s v="Portal"/>
    <s v="Refund Request"/>
    <s v="Medium"/>
    <n v="24"/>
    <s v="Closed"/>
    <d v="2026-06-04T04:52:00"/>
    <s v="No"/>
    <m/>
    <s v="Technical Issue Resolved Remotely"/>
    <n v="4.5666666667093523"/>
  </r>
  <r>
    <s v="TCK-23159"/>
    <d v="2026-03-12T17:48:00"/>
    <x v="3"/>
    <s v="Iqra Basit"/>
    <s v="Karachi"/>
    <s v="Phone"/>
    <s v="Account Access"/>
    <s v="High"/>
    <n v="8"/>
    <s v="Resolved"/>
    <d v="2026-03-13T16:47:00"/>
    <s v="No"/>
    <m/>
    <s v="Not Specified"/>
    <n v="22.983333333337214"/>
  </r>
  <r>
    <s v="TCK-22243"/>
    <d v="2026-04-01T02:42:00"/>
    <x v="3"/>
    <s v="Iqra Basit"/>
    <s v="Rawalpindi"/>
    <s v="Chat"/>
    <s v="Refund Request"/>
    <s v="Low"/>
    <n v="48"/>
    <s v="Escalated"/>
    <s v="Missing Resolve Date"/>
    <s v="Yes"/>
    <m/>
    <s v="Technical Issue Resolved Remotely"/>
    <s v=""/>
  </r>
  <r>
    <s v="TCK-20358"/>
    <d v="2026-02-05T02:51:00"/>
    <x v="3"/>
    <s v="Iqra Basit"/>
    <s v="Peshawar"/>
    <s v="Portal"/>
    <s v="Refund Request"/>
    <s v="Medium"/>
    <n v="24"/>
    <s v="Open"/>
    <s v="Missing Resolve Date"/>
    <s v="No"/>
    <m/>
    <s v="Not Specified"/>
    <s v=""/>
  </r>
  <r>
    <s v="TCK-20543"/>
    <d v="2026-08-18T02:30:00"/>
    <x v="1"/>
    <s v="Zara Hussain"/>
    <s v="Karachi"/>
    <s v="Chat"/>
    <s v="Refund Request"/>
    <s v="Low"/>
    <n v="48"/>
    <s v="In Progress"/>
    <s v="Missing Resolve Date"/>
    <s v="No"/>
    <m/>
    <s v="Customer Satisfied With Resolution"/>
    <s v=""/>
  </r>
  <r>
    <s v="TCK-20674"/>
    <d v="2026-04-11T00:32:00"/>
    <x v="3"/>
    <s v="Talha Nadeem"/>
    <s v="Karachi"/>
    <s v="Chat"/>
    <s v="Delivery Delay"/>
    <s v="Medium"/>
    <n v="24"/>
    <s v="Re-Opened"/>
    <d v="2026-04-11T14:28:00"/>
    <s v="No"/>
    <m/>
    <s v="Not Specified"/>
    <n v="13.933333333348855"/>
  </r>
  <r>
    <s v="TCK-23048"/>
    <d v="2026-05-11T03:00:00"/>
    <x v="2"/>
    <s v="Mahnoor Aslam"/>
    <s v="Islamabad"/>
    <s v="Email"/>
    <s v="Delivery Delay"/>
    <s v="Low"/>
    <n v="48"/>
    <s v="Escalated"/>
    <s v="Missing Resolve Date"/>
    <s v="Yes"/>
    <m/>
    <s v="Escalated To Senior Agent"/>
    <s v=""/>
  </r>
  <r>
    <s v="TCK-23063"/>
    <d v="2026-05-31T04:24:00"/>
    <x v="0"/>
    <s v="Rehan Qureshi"/>
    <s v="Karachi"/>
    <s v="Portal"/>
    <s v="Technical Issue"/>
    <s v="High"/>
    <n v="8"/>
    <s v="Closed"/>
    <d v="2026-05-31T21:43:00"/>
    <s v="No"/>
    <n v="5"/>
    <s v="Customer Requested Refund"/>
    <n v="17.316666666709352"/>
  </r>
  <r>
    <s v="TCK-21730"/>
    <d v="2026-05-04T13:15:00"/>
    <x v="2"/>
    <s v="Bilal Chaudhry"/>
    <s v="Karachi"/>
    <s v="Chat"/>
    <s v="General Inquiry"/>
    <s v="Medium"/>
    <n v="24"/>
    <s v="Open"/>
    <s v="Missing Resolve Date"/>
    <s v="No"/>
    <m/>
    <s v="Not Specified"/>
    <s v=""/>
  </r>
  <r>
    <s v="TCK-21465"/>
    <d v="2026-02-14T09:29:00"/>
    <x v="3"/>
    <s v="Talha Nadeem"/>
    <s v="Peshawar"/>
    <s v="Phone"/>
    <s v="Delivery Delay"/>
    <s v="High"/>
    <n v="8"/>
    <s v="Resolved"/>
    <d v="2026-02-14T12:21:00"/>
    <s v="No"/>
    <n v="4"/>
    <s v="Customer Requested Refund"/>
    <n v="2.8666666665812954"/>
  </r>
  <r>
    <s v="TCK-21392"/>
    <d v="2026-01-05T05:39:00"/>
    <x v="3"/>
    <s v="Talha Nadeem"/>
    <s v="Multan"/>
    <s v="Portal"/>
    <s v="General Inquiry"/>
    <s v="Medium"/>
    <n v="24"/>
    <s v="Escalated"/>
    <s v="Missing Resolve Date"/>
    <s v="Yes"/>
    <m/>
    <s v="Not Specified"/>
    <s v=""/>
  </r>
  <r>
    <s v="TCK-22564"/>
    <d v="2026-06-10T12:46:00"/>
    <x v="0"/>
    <s v="Rehan Qureshi"/>
    <s v="Rawalpindi"/>
    <s v="Chat"/>
    <s v="Technical Issue"/>
    <s v="High"/>
    <n v="8"/>
    <s v="Resolved"/>
    <d v="2026-06-10T17:46:00"/>
    <s v="No"/>
    <n v="5"/>
    <s v="Awaiting Customer Response"/>
    <n v="4.9999999998835847"/>
  </r>
  <r>
    <s v="TCK-22147"/>
    <d v="2026-02-17T07:50:00"/>
    <x v="2"/>
    <s v="Bilal Chaudhry"/>
    <s v="Rawalpindi"/>
    <s v="Portal"/>
    <s v="Billing Issue"/>
    <s v="High"/>
    <n v="8"/>
    <s v="Resolved"/>
    <d v="2026-02-17T13:05:00"/>
    <s v="No"/>
    <m/>
    <s v="Not Specified"/>
    <n v="5.25"/>
  </r>
  <r>
    <s v="TCK-22472"/>
    <d v="2026-01-27T20:50:00"/>
    <x v="2"/>
    <s v="Mahnoor Aslam"/>
    <s v="Faisalabad"/>
    <s v="Phone"/>
    <s v="Delivery Delay"/>
    <s v="Low"/>
    <n v="48"/>
    <s v="In Progress"/>
    <s v="Missing Resolve Date"/>
    <s v="No"/>
    <m/>
    <s v="Escalated To Senior Agent"/>
    <s v=""/>
  </r>
  <r>
    <s v="TCK-21065"/>
    <d v="2026-08-24T21:41:00"/>
    <x v="2"/>
    <s v="Mahnoor Aslam"/>
    <s v="Islamabad"/>
    <s v="Portal"/>
    <s v="Refund Request"/>
    <s v="Medium"/>
    <n v="24"/>
    <s v="Closed"/>
    <d v="2026-08-25T00:15:00"/>
    <s v="No"/>
    <n v="5"/>
    <s v="Resolved On First Contact"/>
    <n v="2.5666666666511446"/>
  </r>
  <r>
    <s v="TCK-22847"/>
    <d v="2026-04-06T09:49:00"/>
    <x v="1"/>
    <s v="Ayaan Khalid"/>
    <s v="Faisalabad"/>
    <s v="Chat"/>
    <s v="Billing Issue"/>
    <s v="Low"/>
    <n v="48"/>
    <s v="Escalated"/>
    <s v="Missing Resolve Date"/>
    <s v="Yes"/>
    <m/>
    <s v="Escalated To Senior Agent"/>
    <s v=""/>
  </r>
  <r>
    <s v="TCK-20645"/>
    <d v="2026-08-30T16:58:00"/>
    <x v="3"/>
    <s v="Iqra Basit"/>
    <s v="Faisalabad"/>
    <s v="Chat"/>
    <s v="Refund Request"/>
    <s v="Low"/>
    <n v="48"/>
    <s v="Resolved"/>
    <d v="2026-09-04T19:19:00"/>
    <s v="No"/>
    <n v="5"/>
    <s v="Technical Issue Resolved Remotely"/>
    <n v="122.34999999997672"/>
  </r>
  <r>
    <s v="TCK-20230"/>
    <d v="2026-06-29T17:31:00"/>
    <x v="3"/>
    <s v="Iqra Basit"/>
    <s v="Rawalpindi"/>
    <s v="Email"/>
    <s v="Billing Issue"/>
    <s v="Medium"/>
    <n v="24"/>
    <s v="Resolved"/>
    <s v="Missing Resolve Date"/>
    <s v="No"/>
    <m/>
    <s v="Customer Requested Refund"/>
    <s v=""/>
  </r>
  <r>
    <s v="TCK-20420"/>
    <d v="2026-06-18T03:01:00"/>
    <x v="3"/>
    <s v="Iqra Basit"/>
    <s v="Lahore"/>
    <s v="Chat"/>
    <s v="Delivery Delay"/>
    <s v="High"/>
    <n v="8"/>
    <s v="Closed"/>
    <d v="2026-06-18T05:36:00"/>
    <s v="No"/>
    <m/>
    <s v="Technical Issue Resolved Remotely"/>
    <n v="2.5833333331975155"/>
  </r>
  <r>
    <s v="TCK-22038"/>
    <d v="2026-07-13T05:12:00"/>
    <x v="2"/>
    <s v="Mahnoor Aslam"/>
    <s v="Karachi"/>
    <s v="Email"/>
    <s v="Billing Issue"/>
    <s v="Low"/>
    <n v="48"/>
    <s v="Resolved"/>
    <d v="2026-07-13T21:45:00"/>
    <s v="No"/>
    <m/>
    <s v="Required Follow-Up Call"/>
    <n v="16.549999999988358"/>
  </r>
  <r>
    <s v="TCK-21780"/>
    <d v="2026-04-30T22:09:00"/>
    <x v="1"/>
    <s v="Ayaan Khalid"/>
    <s v="Rawalpindi"/>
    <s v="Chat"/>
    <s v="General Inquiry"/>
    <s v="Critical"/>
    <n v="4"/>
    <s v="Escalated"/>
    <s v="Missing Resolve Date"/>
    <s v="Yes"/>
    <m/>
    <s v="Customer Requested Refund"/>
    <s v=""/>
  </r>
  <r>
    <s v="TCK-22902"/>
    <d v="2026-07-29T11:44:00"/>
    <x v="3"/>
    <s v="Talha Nadeem"/>
    <s v="Peshawar"/>
    <s v="Chat"/>
    <s v="Refund Request"/>
    <s v="Low"/>
    <n v="48"/>
    <s v="Resolved"/>
    <d v="2026-08-01T04:17:00"/>
    <s v="No"/>
    <m/>
    <s v="Technical Issue Resolved Remotely"/>
    <n v="64.549999999988358"/>
  </r>
  <r>
    <s v="TCK-21425"/>
    <d v="2026-05-29T05:15:00"/>
    <x v="2"/>
    <s v="Bilal Chaudhry"/>
    <s v="Islamabad"/>
    <s v="Phone"/>
    <s v="General Inquiry"/>
    <s v="Low"/>
    <n v="48"/>
    <s v="Resolved"/>
    <d v="2026-05-29T12:15:00"/>
    <s v="No"/>
    <n v="4"/>
    <s v="Not Specified"/>
    <n v="6.9999999999417923"/>
  </r>
  <r>
    <s v="TCK-21013"/>
    <d v="2026-01-28T15:37:00"/>
    <x v="1"/>
    <s v="Ayaan Khalid"/>
    <s v="Karachi"/>
    <s v="Phone"/>
    <s v="Account Access"/>
    <s v="Medium"/>
    <n v="24"/>
    <s v="Closed"/>
    <d v="2026-01-31T10:56:00"/>
    <s v="No"/>
    <m/>
    <s v="Not Specified"/>
    <n v="67.31666666676756"/>
  </r>
  <r>
    <s v="TCK-21201"/>
    <d v="2026-07-26T05:23:00"/>
    <x v="0"/>
    <s v="Sadia Anwar"/>
    <s v="Peshawar"/>
    <s v="Phone"/>
    <s v="Account Access"/>
    <s v="Low"/>
    <n v="48"/>
    <s v="Resolved"/>
    <d v="2026-07-26T16:34:00"/>
    <s v="No"/>
    <n v="1"/>
    <s v="Technical Issue Resolved Remotely"/>
    <n v="11.183333333290648"/>
  </r>
  <r>
    <s v="TCK-22293"/>
    <d v="2026-03-09T16:50:00"/>
    <x v="3"/>
    <s v="Talha Nadeem"/>
    <s v="Rawalpindi"/>
    <s v="Email"/>
    <s v="Account Access"/>
    <s v="Medium"/>
    <n v="24"/>
    <s v="In Progress"/>
    <s v="Missing Resolve Date"/>
    <s v="No"/>
    <m/>
    <s v="Escalated To Senior Agent"/>
    <s v=""/>
  </r>
  <r>
    <s v="TCK-21604"/>
    <d v="2026-04-28T06:58:00"/>
    <x v="3"/>
    <s v="Talha Nadeem"/>
    <s v="Rawalpindi"/>
    <s v="Chat"/>
    <s v="Account Access"/>
    <s v="Low"/>
    <n v="48"/>
    <s v="Escalated"/>
    <s v="Missing Resolve Date"/>
    <s v="Yes"/>
    <m/>
    <s v="Customer Satisfied With Resolution"/>
    <s v=""/>
  </r>
  <r>
    <s v="TCK-22137"/>
    <d v="2026-04-16T18:52:00"/>
    <x v="3"/>
    <s v="Talha Nadeem"/>
    <s v="Rawalpindi"/>
    <s v="Chat"/>
    <s v="Technical Issue"/>
    <s v="Low"/>
    <n v="48"/>
    <s v="Resolved"/>
    <d v="2026-04-18T08:37:00"/>
    <s v="Yes"/>
    <n v="2"/>
    <s v="Customer Satisfied With Resolution"/>
    <n v="37.749999999941792"/>
  </r>
  <r>
    <s v="TCK-20433"/>
    <d v="2026-03-14T23:11:00"/>
    <x v="0"/>
    <s v="Rehan Qureshi"/>
    <s v="Islamabad"/>
    <s v="Phone"/>
    <s v="Refund Request"/>
    <s v="High"/>
    <n v="8"/>
    <s v="Resolved"/>
    <d v="2026-03-15T05:30:00"/>
    <s v="Yes"/>
    <n v="2"/>
    <s v="Technical Issue Resolved Remotely"/>
    <n v="6.3166666666511446"/>
  </r>
  <r>
    <s v="TCK-21067"/>
    <d v="2026-01-08T15:02:00"/>
    <x v="3"/>
    <s v="Iqra Basit"/>
    <s v="Peshawar"/>
    <s v="Portal"/>
    <s v="Account Access"/>
    <s v="Medium"/>
    <n v="24"/>
    <s v="Escalated"/>
    <s v="Missing Resolve Date"/>
    <s v="Yes"/>
    <m/>
    <s v="Not Specified"/>
    <s v=""/>
  </r>
  <r>
    <s v="TCK-21278"/>
    <d v="2026-08-09T02:57:00"/>
    <x v="2"/>
    <s v="Bilal Chaudhry"/>
    <s v="Multan"/>
    <s v="Email"/>
    <s v="Refund Request"/>
    <s v="Medium"/>
    <n v="24"/>
    <s v="In Progress"/>
    <s v="Missing Resolve Date"/>
    <s v="No"/>
    <m/>
    <s v="Customer Satisfied With Resolution"/>
    <s v=""/>
  </r>
  <r>
    <s v="TCK-21149"/>
    <d v="2026-01-11T16:37:00"/>
    <x v="1"/>
    <s v="Zara Hussain"/>
    <s v="Peshawar"/>
    <s v="Portal"/>
    <s v="Technical Issue"/>
    <s v="Low"/>
    <n v="48"/>
    <s v="In Progress"/>
    <s v="Missing Resolve Date"/>
    <s v="No"/>
    <m/>
    <s v="Not Specified"/>
    <s v=""/>
  </r>
  <r>
    <s v="TCK-22868"/>
    <d v="2026-07-24T12:43:00"/>
    <x v="2"/>
    <s v="Bilal Chaudhry"/>
    <s v="Peshawar"/>
    <s v="Email"/>
    <s v="Technical Issue"/>
    <s v="Medium"/>
    <n v="24"/>
    <s v="In Progress"/>
    <s v="Missing Resolve Date"/>
    <s v="No"/>
    <m/>
    <s v="Not Specified"/>
    <s v=""/>
  </r>
  <r>
    <s v="TCK-20155"/>
    <d v="2026-07-24T00:16:00"/>
    <x v="3"/>
    <s v="Talha Nadeem"/>
    <s v="Karachi"/>
    <s v="Phone"/>
    <s v="General Inquiry"/>
    <s v="High"/>
    <n v="8"/>
    <s v="Closed"/>
    <d v="2026-07-24T03:18:00"/>
    <s v="No"/>
    <n v="4"/>
    <s v="Repeat Issue From Same Customer"/>
    <n v="3.0333333332673647"/>
  </r>
  <r>
    <s v="TCK-20759"/>
    <d v="2026-02-18T20:39:00"/>
    <x v="2"/>
    <s v="Bilal Chaudhry"/>
    <s v="Peshawar"/>
    <s v="Chat"/>
    <s v="Account Access"/>
    <s v="Medium"/>
    <n v="24"/>
    <s v="Closed"/>
    <d v="2026-02-19T10:17:00"/>
    <s v="No"/>
    <n v="2"/>
    <s v="Technical Issue Resolved Remotely"/>
    <n v="13.633333333244082"/>
  </r>
  <r>
    <s v="TCK-23109"/>
    <d v="2026-05-03T10:22:00"/>
    <x v="0"/>
    <s v="Rehan Qureshi"/>
    <s v="Lahore"/>
    <s v="Portal"/>
    <s v="Delivery Delay"/>
    <s v="Medium"/>
    <n v="24"/>
    <s v="In Progress"/>
    <s v="Missing Resolve Date"/>
    <s v="No"/>
    <m/>
    <s v="Customer Requested Refund"/>
    <s v=""/>
  </r>
  <r>
    <s v="TCK-20792"/>
    <d v="2026-08-06T22:59:00"/>
    <x v="2"/>
    <s v="Mahnoor Aslam"/>
    <s v="Karachi"/>
    <s v="Chat"/>
    <s v="Delivery Delay"/>
    <s v="High"/>
    <n v="8"/>
    <s v="Resolved"/>
    <d v="2026-08-07T03:02:00"/>
    <s v="No"/>
    <n v="3"/>
    <s v="Not Specified"/>
    <n v="4.0499999999301508"/>
  </r>
  <r>
    <s v="TCK-21368"/>
    <d v="2026-05-29T06:00:00"/>
    <x v="2"/>
    <s v="Mahnoor Aslam"/>
    <s v="Rawalpindi"/>
    <s v="Email"/>
    <s v="General Inquiry"/>
    <s v="Critical"/>
    <n v="4"/>
    <s v="Open"/>
    <s v="Missing Resolve Date"/>
    <s v="No"/>
    <m/>
    <s v="Resolved On First Contact"/>
    <s v=""/>
  </r>
  <r>
    <s v="TCK-21988"/>
    <d v="2026-05-24T20:47:00"/>
    <x v="3"/>
    <s v="Iqra Basit"/>
    <s v="Karachi"/>
    <s v="Portal"/>
    <s v="Account Access"/>
    <s v="Medium"/>
    <n v="24"/>
    <s v="Resolved"/>
    <d v="2026-05-25T14:13:00"/>
    <s v="No"/>
    <n v="4"/>
    <s v="Required Follow-Up Call"/>
    <n v="17.433333333407063"/>
  </r>
  <r>
    <s v="TCK-21490"/>
    <d v="2026-04-06T23:06:00"/>
    <x v="2"/>
    <s v="Mahnoor Aslam"/>
    <s v="Karachi"/>
    <s v="Portal"/>
    <s v="Billing Issue"/>
    <s v="High"/>
    <n v="8"/>
    <s v="Resolved"/>
    <d v="2026-04-07T02:48:00"/>
    <s v="No"/>
    <n v="3"/>
    <s v="Technical Issue Resolved Remotely"/>
    <n v="3.7000000000116415"/>
  </r>
  <r>
    <s v="TCK-20207"/>
    <d v="2026-03-14T15:16:00"/>
    <x v="0"/>
    <s v="Rehan Qureshi"/>
    <s v="Peshawar"/>
    <s v="Portal"/>
    <s v="Account Access"/>
    <s v="Medium"/>
    <n v="24"/>
    <s v="Closed"/>
    <s v="Missing Resolve Date"/>
    <s v="No"/>
    <m/>
    <s v="Required Follow-Up Call"/>
    <s v=""/>
  </r>
  <r>
    <s v="TCK-22999"/>
    <d v="2026-07-30T22:29:00"/>
    <x v="1"/>
    <s v="Zara Hussain"/>
    <s v="Islamabad"/>
    <s v="Phone"/>
    <s v="Delivery Delay"/>
    <s v="Low"/>
    <n v="48"/>
    <s v="Open"/>
    <s v="Missing Resolve Date"/>
    <s v="No"/>
    <m/>
    <s v="Technical Issue Resolved Remotely"/>
    <s v=""/>
  </r>
  <r>
    <s v="TCK-22419"/>
    <d v="2026-05-03T17:21:00"/>
    <x v="3"/>
    <s v="Iqra Basit"/>
    <s v="Karachi"/>
    <s v="Email"/>
    <s v="Billing Issue"/>
    <s v="Critical"/>
    <n v="4"/>
    <s v="Closed"/>
    <d v="2026-05-03T17:55:00"/>
    <s v="No"/>
    <m/>
    <s v="Escalated To Senior Agent"/>
    <n v="0.56666666676755995"/>
  </r>
  <r>
    <s v="TCK-22699"/>
    <d v="2026-08-24T01:17:00"/>
    <x v="1"/>
    <s v="Zara Hussain"/>
    <s v="Faisalabad"/>
    <s v="Email"/>
    <s v="Technical Issue"/>
    <s v="Medium"/>
    <n v="24"/>
    <s v="Resolved"/>
    <d v="2026-08-24T11:37:00"/>
    <s v="No"/>
    <n v="1"/>
    <s v="Customer Satisfied With Resolution"/>
    <n v="10.333333333313931"/>
  </r>
  <r>
    <s v="TCK-20756"/>
    <d v="2026-04-05T15:17:00"/>
    <x v="1"/>
    <s v="Zara Hussain"/>
    <s v="Rawalpindi"/>
    <s v="Email"/>
    <s v="Account Access"/>
    <s v="Medium"/>
    <n v="24"/>
    <s v="In Progress"/>
    <s v="Missing Resolve Date"/>
    <s v="No"/>
    <m/>
    <s v="Customer Satisfied With Resolution"/>
    <s v=""/>
  </r>
  <r>
    <s v="TCK-21675"/>
    <d v="2026-07-20T16:46:00"/>
    <x v="3"/>
    <s v="Iqra Basit"/>
    <s v="Islamabad"/>
    <s v="Phone"/>
    <s v="General Inquiry"/>
    <s v="High"/>
    <n v="8"/>
    <s v="In Progress"/>
    <s v="Missing Resolve Date"/>
    <s v="No"/>
    <m/>
    <s v="Resolved On First Contact"/>
    <s v=""/>
  </r>
  <r>
    <s v="TCK-21893"/>
    <d v="2026-07-25T00:24:00"/>
    <x v="0"/>
    <s v="Rehan Qureshi"/>
    <s v="Peshawar"/>
    <s v="Email"/>
    <s v="Delivery Delay"/>
    <s v="Critical"/>
    <n v="4"/>
    <s v="Closed"/>
    <d v="2026-07-25T01:29:00"/>
    <s v="No"/>
    <m/>
    <s v="Technical Issue Resolved Remotely"/>
    <n v="1.0833333331975155"/>
  </r>
  <r>
    <s v="TCK-21182"/>
    <d v="2026-05-02T00:30:00"/>
    <x v="0"/>
    <s v="Sadia Anwar"/>
    <s v="Rawalpindi"/>
    <s v="Phone"/>
    <s v="Billing Issue"/>
    <s v="Medium"/>
    <n v="24"/>
    <s v="Re-Opened"/>
    <d v="2026-05-02T03:35:00"/>
    <s v="No"/>
    <m/>
    <s v="Not Specified"/>
    <n v="3.0833333332557231"/>
  </r>
  <r>
    <s v="TCK-22623"/>
    <d v="2026-06-09T07:25:00"/>
    <x v="1"/>
    <s v="Zara Hussain"/>
    <s v="Lahore"/>
    <s v="Email"/>
    <s v="General Inquiry"/>
    <s v="Medium"/>
    <n v="24"/>
    <s v="Re-Opened"/>
    <d v="2026-06-09T12:19:00"/>
    <s v="No"/>
    <m/>
    <s v="Awaiting Customer Response"/>
    <n v="4.8999999999068677"/>
  </r>
  <r>
    <s v="TCK-20790"/>
    <d v="2026-02-08T10:11:00"/>
    <x v="2"/>
    <s v="Bilal Chaudhry"/>
    <s v="Faisalabad"/>
    <s v="Chat"/>
    <s v="Delivery Delay"/>
    <s v="Critical"/>
    <n v="4"/>
    <s v="Resolved"/>
    <d v="2026-02-08T12:56:00"/>
    <s v="No"/>
    <n v="5"/>
    <s v="Customer Requested Refund"/>
    <n v="2.7500000000582077"/>
  </r>
  <r>
    <s v="TCK-22530"/>
    <d v="2026-08-24T14:06:00"/>
    <x v="1"/>
    <s v="Ayaan Khalid"/>
    <s v="Faisalabad"/>
    <s v="Chat"/>
    <s v="Technical Issue"/>
    <s v="Medium"/>
    <n v="24"/>
    <s v="Resolved"/>
    <d v="2026-08-24T22:33:00"/>
    <s v="No"/>
    <n v="4"/>
    <s v="Not Specified"/>
    <n v="8.4499999999534339"/>
  </r>
  <r>
    <s v="TCK-22140"/>
    <d v="2026-06-20T00:31:00"/>
    <x v="2"/>
    <s v="Mahnoor Aslam"/>
    <s v="Karachi"/>
    <s v="Email"/>
    <s v="Technical Issue"/>
    <s v="Medium"/>
    <n v="24"/>
    <s v="Closed"/>
    <d v="2026-06-20T08:34:00"/>
    <s v="No"/>
    <n v="4"/>
    <s v="Customer Requested Refund"/>
    <n v="8.0500000000465661"/>
  </r>
  <r>
    <s v="TCK-20240"/>
    <d v="2026-01-12T22:24:00"/>
    <x v="2"/>
    <s v="Bilal Chaudhry"/>
    <s v="Lahore"/>
    <s v="Phone"/>
    <s v="Account Access"/>
    <s v="High"/>
    <n v="8"/>
    <s v="Closed"/>
    <d v="2026-01-13T01:25:00"/>
    <s v="No"/>
    <m/>
    <s v="Technical Issue Resolved Remotely"/>
    <n v="3.0166666667209938"/>
  </r>
  <r>
    <s v="TCK-22387"/>
    <d v="2026-05-25T15:04:00"/>
    <x v="3"/>
    <s v="Iqra Basit"/>
    <s v="Lahore"/>
    <s v="Chat"/>
    <s v="Delivery Delay"/>
    <s v="Low"/>
    <n v="48"/>
    <s v="Open"/>
    <s v="Missing Resolve Date"/>
    <s v="No"/>
    <m/>
    <s v="Required Follow-Up Call"/>
    <s v=""/>
  </r>
  <r>
    <s v="TCK-20566"/>
    <d v="2026-06-16T08:37:00"/>
    <x v="0"/>
    <s v="Sadia Anwar"/>
    <s v="Rawalpindi"/>
    <s v="Phone"/>
    <s v="Billing Issue"/>
    <s v="Medium"/>
    <n v="24"/>
    <s v="In Progress"/>
    <s v="Missing Resolve Date"/>
    <s v="No"/>
    <m/>
    <s v="Not Specified"/>
    <s v=""/>
  </r>
  <r>
    <s v="TCK-21221"/>
    <d v="2026-08-14T19:21:00"/>
    <x v="0"/>
    <s v="Rehan Qureshi"/>
    <s v="Lahore"/>
    <s v="Email"/>
    <s v="Technical Issue"/>
    <s v="Low"/>
    <n v="48"/>
    <s v="In Progress"/>
    <s v="Missing Resolve Date"/>
    <s v="No"/>
    <m/>
    <s v="Not Specified"/>
    <s v=""/>
  </r>
  <r>
    <s v="TCK-23158"/>
    <d v="2026-08-16T04:37:00"/>
    <x v="1"/>
    <s v="Ayaan Khalid"/>
    <s v="Rawalpindi"/>
    <s v="Email"/>
    <s v="Technical Issue"/>
    <s v="Low"/>
    <n v="48"/>
    <s v="Escalated"/>
    <s v="Missing Resolve Date"/>
    <s v="Yes"/>
    <m/>
    <s v="Customer Requested Refund"/>
    <s v=""/>
  </r>
  <r>
    <s v="TCK-22469"/>
    <d v="2026-02-12T18:37:00"/>
    <x v="2"/>
    <s v="Bilal Chaudhry"/>
    <s v="Rawalpindi"/>
    <s v="Portal"/>
    <s v="Delivery Delay"/>
    <s v="Medium"/>
    <n v="24"/>
    <s v="In Progress"/>
    <s v="Missing Resolve Date"/>
    <s v="No"/>
    <m/>
    <s v="Awaiting Customer Response"/>
    <s v=""/>
  </r>
  <r>
    <s v="TCK-22551"/>
    <d v="2026-06-18T01:26:00"/>
    <x v="0"/>
    <s v="Rehan Qureshi"/>
    <s v="Lahore"/>
    <s v="Email"/>
    <s v="Delivery Delay"/>
    <s v="High"/>
    <n v="8"/>
    <s v="In Progress"/>
    <s v="Missing Resolve Date"/>
    <s v="No"/>
    <m/>
    <s v="Repeat Issue From Same Customer"/>
    <s v=""/>
  </r>
  <r>
    <s v="TCK-22275"/>
    <d v="2026-05-12T21:30:00"/>
    <x v="2"/>
    <s v="Mahnoor Aslam"/>
    <s v="Karachi"/>
    <s v="Email"/>
    <s v="General Inquiry"/>
    <s v="Medium"/>
    <n v="24"/>
    <s v="Closed"/>
    <d v="2026-05-13T17:39:00"/>
    <s v="No"/>
    <n v="5"/>
    <s v="Customer Requested Refund"/>
    <n v="20.150000000023283"/>
  </r>
  <r>
    <s v="TCK-22937"/>
    <d v="2026-03-31T00:07:00"/>
    <x v="3"/>
    <s v="Iqra Basit"/>
    <s v="Lahore"/>
    <s v="Portal"/>
    <s v="Technical Issue"/>
    <s v="Low"/>
    <n v="48"/>
    <s v="Resolved"/>
    <d v="2026-03-31T21:33:00"/>
    <s v="No"/>
    <m/>
    <s v="Not Specified"/>
    <n v="21.433333333348855"/>
  </r>
  <r>
    <s v="TCK-20549"/>
    <d v="2026-02-11T05:29:00"/>
    <x v="3"/>
    <s v="Talha Nadeem"/>
    <s v="Karachi"/>
    <s v="Email"/>
    <s v="Billing Issue"/>
    <s v="High"/>
    <n v="8"/>
    <s v="Closed"/>
    <d v="2026-02-11T07:24:00"/>
    <s v="No"/>
    <m/>
    <s v="Repeat Issue From Same Customer"/>
    <n v="1.9166666666278616"/>
  </r>
  <r>
    <s v="TCK-20532"/>
    <d v="2026-07-23T02:25:00"/>
    <x v="2"/>
    <s v="Bilal Chaudhry"/>
    <s v="Karachi"/>
    <s v="Phone"/>
    <s v="Delivery Delay"/>
    <s v="Low"/>
    <n v="48"/>
    <s v="Closed"/>
    <d v="2026-07-23T07:58:00"/>
    <s v="No"/>
    <m/>
    <s v="Not Specified"/>
    <n v="5.5499999999301508"/>
  </r>
  <r>
    <s v="TCK-20944"/>
    <d v="2026-07-26T22:20:00"/>
    <x v="0"/>
    <s v="Sadia Anwar"/>
    <s v="Multan"/>
    <s v="Email"/>
    <s v="Technical Issue"/>
    <s v="Low"/>
    <n v="48"/>
    <s v="Resolved"/>
    <d v="2026-07-30T22:13:00"/>
    <s v="No"/>
    <m/>
    <s v="Required Follow-Up Call"/>
    <n v="95.883333333302289"/>
  </r>
  <r>
    <s v="TCK-21367"/>
    <d v="2026-07-14T14:44:00"/>
    <x v="2"/>
    <s v="Bilal Chaudhry"/>
    <s v="Islamabad"/>
    <s v="Phone"/>
    <s v="Account Access"/>
    <s v="Low"/>
    <n v="48"/>
    <s v="Closed"/>
    <d v="2026-07-15T19:00:00"/>
    <s v="No"/>
    <m/>
    <s v="Customer Satisfied With Resolution"/>
    <n v="28.266666666604578"/>
  </r>
  <r>
    <s v="TCK-21300"/>
    <d v="2026-01-04T05:18:00"/>
    <x v="3"/>
    <s v="Iqra Basit"/>
    <s v="Lahore"/>
    <s v="Portal"/>
    <s v="Delivery Delay"/>
    <s v="High"/>
    <n v="8"/>
    <s v="Escalated"/>
    <s v="Missing Resolve Date"/>
    <s v="Yes"/>
    <m/>
    <s v="Awaiting Customer Response"/>
    <s v=""/>
  </r>
  <r>
    <s v="TCK-21876"/>
    <d v="2026-05-18T19:37:00"/>
    <x v="1"/>
    <s v="Ayaan Khalid"/>
    <s v="Karachi"/>
    <s v="Phone"/>
    <s v="Delivery Delay"/>
    <s v="Medium"/>
    <n v="24"/>
    <s v="Resolved"/>
    <d v="2026-05-19T13:05:00"/>
    <s v="No"/>
    <n v="2"/>
    <s v="Customer Satisfied With Resolution"/>
    <n v="17.466666666674428"/>
  </r>
  <r>
    <s v="TCK-20714"/>
    <d v="2026-07-28T18:12:00"/>
    <x v="3"/>
    <s v="Iqra Basit"/>
    <s v="Multan"/>
    <s v="Chat"/>
    <s v="Technical Issue"/>
    <s v="Medium"/>
    <n v="24"/>
    <s v="Re-Opened"/>
    <d v="2026-07-29T09:20:00"/>
    <s v="No"/>
    <m/>
    <s v="Technical Issue Resolved Remotely"/>
    <n v="15.133333333418705"/>
  </r>
  <r>
    <s v="TCK-21448"/>
    <d v="2026-03-01T16:34:00"/>
    <x v="2"/>
    <s v="Bilal Chaudhry"/>
    <s v="Faisalabad"/>
    <s v="Phone"/>
    <s v="Billing Issue"/>
    <s v="Low"/>
    <n v="48"/>
    <s v="Closed"/>
    <d v="2026-03-04T19:11:00"/>
    <s v="No"/>
    <m/>
    <s v="Technical Issue Resolved Remotely"/>
    <n v="74.616666666639503"/>
  </r>
  <r>
    <s v="TCK-20533"/>
    <d v="2026-05-07T04:30:00"/>
    <x v="1"/>
    <s v="Zara Hussain"/>
    <s v="Karachi"/>
    <s v="Portal"/>
    <s v="Billing Issue"/>
    <s v="Medium"/>
    <n v="24"/>
    <s v="Re-Opened"/>
    <d v="2026-05-07T08:49:00"/>
    <s v="No"/>
    <m/>
    <s v="Customer Requested Refund"/>
    <n v="4.316666666592937"/>
  </r>
  <r>
    <s v="TCK-21554"/>
    <d v="2026-08-02T08:45:00"/>
    <x v="2"/>
    <s v="Bilal Chaudhry"/>
    <s v="Multan"/>
    <s v="Portal"/>
    <s v="General Inquiry"/>
    <s v="Medium"/>
    <n v="24"/>
    <s v="Resolved"/>
    <d v="2026-08-03T02:07:00"/>
    <s v="No"/>
    <m/>
    <s v="Resolved On First Contact"/>
    <n v="17.366666666523088"/>
  </r>
  <r>
    <s v="TCK-22876"/>
    <d v="2026-05-18T11:38:00"/>
    <x v="2"/>
    <s v="Mahnoor Aslam"/>
    <s v="Islamabad"/>
    <s v="Chat"/>
    <s v="General Inquiry"/>
    <s v="Medium"/>
    <n v="24"/>
    <s v="Closed"/>
    <d v="2026-05-18T16:55:00"/>
    <s v="No"/>
    <m/>
    <s v="Required Follow-Up Call"/>
    <n v="5.2833333332673647"/>
  </r>
  <r>
    <s v="TCK-21122"/>
    <d v="2026-02-24T03:54:00"/>
    <x v="0"/>
    <s v="Sadia Anwar"/>
    <s v="Karachi"/>
    <s v="Portal"/>
    <s v="Account Access"/>
    <s v="Medium"/>
    <n v="24"/>
    <s v="Escalated"/>
    <s v="Missing Resolve Date"/>
    <s v="Yes"/>
    <m/>
    <s v="Required Follow-Up Call"/>
    <s v=""/>
  </r>
  <r>
    <s v="TCK-21735"/>
    <d v="2026-05-24T16:44:00"/>
    <x v="3"/>
    <s v="Iqra Basit"/>
    <s v="Lahore"/>
    <s v="Phone"/>
    <s v="Billing Issue"/>
    <s v="Medium"/>
    <n v="24"/>
    <s v="In Progress"/>
    <s v="Missing Resolve Date"/>
    <s v="No"/>
    <m/>
    <s v="Customer Satisfied With Resolution"/>
    <s v=""/>
  </r>
  <r>
    <s v="TCK-20720"/>
    <d v="2026-01-18T18:47:00"/>
    <x v="2"/>
    <s v="Mahnoor Aslam"/>
    <s v="Multan"/>
    <s v="Phone"/>
    <s v="Account Access"/>
    <s v="Medium"/>
    <n v="24"/>
    <s v="Closed"/>
    <d v="2026-01-18T22:51:00"/>
    <s v="No"/>
    <m/>
    <s v="Resolved On First Contact"/>
    <n v="4.0666666666511446"/>
  </r>
  <r>
    <s v="TCK-21623"/>
    <d v="2026-04-14T21:37:00"/>
    <x v="0"/>
    <s v="Rehan Qureshi"/>
    <s v="Karachi"/>
    <s v="Chat"/>
    <s v="Refund Request"/>
    <s v="Low"/>
    <n v="48"/>
    <s v="Resolved"/>
    <d v="2026-04-15T05:46:00"/>
    <s v="No"/>
    <m/>
    <s v="Escalated To Senior Agent"/>
    <n v="8.1500000000232831"/>
  </r>
  <r>
    <s v="TCK-21755"/>
    <d v="2026-03-09T23:32:00"/>
    <x v="1"/>
    <s v="Zara Hussain"/>
    <s v="Peshawar"/>
    <s v="Portal"/>
    <s v="Account Access"/>
    <s v="High"/>
    <n v="8"/>
    <s v="Closed"/>
    <d v="2026-03-10T20:40:00"/>
    <s v="No"/>
    <n v="5"/>
    <s v="Awaiting Customer Response"/>
    <n v="21.133333333244082"/>
  </r>
  <r>
    <s v="TCK-20179"/>
    <d v="2026-02-16T19:15:00"/>
    <x v="3"/>
    <s v="Iqra Basit"/>
    <s v="Lahore"/>
    <s v="Portal"/>
    <s v="Account Access"/>
    <s v="Low"/>
    <n v="48"/>
    <s v="Closed"/>
    <d v="2026-02-17T00:50:00"/>
    <s v="No"/>
    <m/>
    <s v="Required Follow-Up Call"/>
    <n v="5.5833333331975155"/>
  </r>
  <r>
    <s v="TCK-20871"/>
    <d v="2026-06-08T02:18:00"/>
    <x v="0"/>
    <s v="Rehan Qureshi"/>
    <s v="Faisalabad"/>
    <s v="Portal"/>
    <s v="Billing Issue"/>
    <s v="Low"/>
    <n v="48"/>
    <s v="Closed"/>
    <d v="2026-06-12T13:53:00"/>
    <s v="No"/>
    <n v="4"/>
    <s v="Not Specified"/>
    <n v="107.58333333337214"/>
  </r>
  <r>
    <s v="TCK-20727"/>
    <d v="2026-01-08T13:43:00"/>
    <x v="1"/>
    <s v="Ayaan Khalid"/>
    <s v="Karachi"/>
    <s v="Phone"/>
    <s v="Delivery Delay"/>
    <s v="Low"/>
    <n v="48"/>
    <s v="Resolved"/>
    <d v="2026-01-09T20:44:00"/>
    <s v="No"/>
    <m/>
    <s v="Repeat Issue From Same Customer"/>
    <n v="31.016666666662786"/>
  </r>
  <r>
    <s v="TCK-22326"/>
    <d v="2026-01-07T00:41:00"/>
    <x v="3"/>
    <s v="Iqra Basit"/>
    <s v="Multan"/>
    <s v="Email"/>
    <s v="General Inquiry"/>
    <s v="High"/>
    <n v="8"/>
    <s v="Resolved"/>
    <d v="2026-01-07T04:41:00"/>
    <s v="No"/>
    <n v="5"/>
    <s v="Not Specified"/>
    <n v="4.0000000001164153"/>
  </r>
  <r>
    <s v="TCK-20439"/>
    <d v="2026-01-20T15:13:00"/>
    <x v="1"/>
    <s v="Zara Hussain"/>
    <s v="Karachi"/>
    <s v="Portal"/>
    <s v="Delivery Delay"/>
    <s v="High"/>
    <n v="8"/>
    <s v="In Progress"/>
    <s v="Missing Resolve Date"/>
    <s v="No"/>
    <m/>
    <s v="Technical Issue Resolved Remotely"/>
    <s v=""/>
  </r>
  <r>
    <s v="TCK-20361"/>
    <d v="2026-07-14T07:37:00"/>
    <x v="0"/>
    <s v="Rehan Qureshi"/>
    <s v="Peshawar"/>
    <s v="Phone"/>
    <s v="Refund Request"/>
    <s v="Low"/>
    <n v="48"/>
    <s v="Resolved"/>
    <d v="2026-07-15T03:32:00"/>
    <s v="No"/>
    <n v="5"/>
    <s v="Resolved On First Contact"/>
    <n v="19.916666666627862"/>
  </r>
  <r>
    <s v="TCK-20147"/>
    <d v="2026-04-28T08:31:00"/>
    <x v="0"/>
    <s v="Sadia Anwar"/>
    <s v="Lahore"/>
    <s v="Portal"/>
    <s v="Account Access"/>
    <s v="Low"/>
    <n v="48"/>
    <s v="In Progress"/>
    <s v="Missing Resolve Date"/>
    <s v="No"/>
    <m/>
    <s v="Technical Issue Resolved Remotely"/>
    <s v=""/>
  </r>
  <r>
    <s v="TCK-20280"/>
    <d v="2026-05-14T18:05:00"/>
    <x v="3"/>
    <s v="Talha Nadeem"/>
    <s v="Karachi"/>
    <s v="Portal"/>
    <s v="General Inquiry"/>
    <s v="Critical"/>
    <n v="4"/>
    <s v="Escalated"/>
    <s v="Missing Resolve Date"/>
    <s v="Yes"/>
    <m/>
    <s v="Escalated To Senior Agent"/>
    <s v=""/>
  </r>
  <r>
    <s v="TCK-23184"/>
    <d v="2026-01-23T11:25:00"/>
    <x v="1"/>
    <s v="Ayaan Khalid"/>
    <s v="Islamabad"/>
    <s v="Email"/>
    <s v="Billing Issue"/>
    <s v="Medium"/>
    <n v="24"/>
    <s v="Resolved"/>
    <d v="2026-01-24T08:52:00"/>
    <s v="No"/>
    <n v="3"/>
    <s v="Required Follow-Up Call"/>
    <n v="21.449999999895226"/>
  </r>
  <r>
    <s v="TCK-21302"/>
    <d v="2026-01-13T03:17:00"/>
    <x v="1"/>
    <s v="Ayaan Khalid"/>
    <s v="Peshawar"/>
    <s v="Email"/>
    <s v="Refund Request"/>
    <s v="Low"/>
    <n v="48"/>
    <s v="Closed"/>
    <d v="2026-01-14T04:24:00"/>
    <s v="No"/>
    <n v="5"/>
    <s v="Customer Satisfied With Resolution"/>
    <n v="25.116666666639503"/>
  </r>
  <r>
    <s v="TCK-21440"/>
    <d v="2026-03-27T21:59:00"/>
    <x v="3"/>
    <s v="Talha Nadeem"/>
    <s v="Karachi"/>
    <s v="Chat"/>
    <s v="Account Access"/>
    <s v="High"/>
    <n v="8"/>
    <s v="Escalated"/>
    <s v="Missing Resolve Date"/>
    <s v="Yes"/>
    <m/>
    <s v="Customer Requested Refund"/>
    <s v=""/>
  </r>
  <r>
    <s v="TCK-23085"/>
    <d v="2026-04-04T11:39:00"/>
    <x v="2"/>
    <s v="Mahnoor Aslam"/>
    <s v="Lahore"/>
    <s v="Chat"/>
    <s v="General Inquiry"/>
    <s v="Medium"/>
    <n v="24"/>
    <s v="Escalated"/>
    <s v="Missing Resolve Date"/>
    <s v="Yes"/>
    <m/>
    <s v="Customer Requested Refund"/>
    <s v=""/>
  </r>
  <r>
    <s v="TCK-21377"/>
    <d v="2026-08-24T02:53:00"/>
    <x v="0"/>
    <s v="Rehan Qureshi"/>
    <s v="Multan"/>
    <s v="Portal"/>
    <s v="Technical Issue"/>
    <s v="Low"/>
    <n v="48"/>
    <s v="Closed"/>
    <d v="2026-08-25T03:05:00"/>
    <s v="No"/>
    <n v="5"/>
    <s v="Customer Satisfied With Resolution"/>
    <n v="24.199999999953434"/>
  </r>
  <r>
    <s v="TCK-22483"/>
    <d v="2026-03-10T15:29:00"/>
    <x v="3"/>
    <s v="Talha Nadeem"/>
    <s v="Lahore"/>
    <s v="Portal"/>
    <s v="General Inquiry"/>
    <s v="Low"/>
    <n v="48"/>
    <s v="Escalated"/>
    <s v="Missing Resolve Date"/>
    <s v="Yes"/>
    <m/>
    <s v="Required Follow-Up Call"/>
    <s v=""/>
  </r>
  <r>
    <s v="TCK-22757"/>
    <d v="2026-04-09T00:33:00"/>
    <x v="3"/>
    <s v="Iqra Basit"/>
    <s v="Islamabad"/>
    <s v="Chat"/>
    <s v="General Inquiry"/>
    <s v="Critical"/>
    <n v="4"/>
    <s v="Resolved"/>
    <d v="2026-04-09T02:02:00"/>
    <s v="No"/>
    <m/>
    <s v="Technical Issue Resolved Remotely"/>
    <n v="1.4833333332790062"/>
  </r>
  <r>
    <s v="TCK-21073"/>
    <d v="2026-01-13T11:19:00"/>
    <x v="1"/>
    <s v="Zara Hussain"/>
    <s v="Islamabad"/>
    <s v="Phone"/>
    <s v="Delivery Delay"/>
    <s v="High"/>
    <n v="8"/>
    <s v="Closed"/>
    <d v="2026-01-13T12:26:00"/>
    <s v="Yes"/>
    <n v="1"/>
    <s v="Not Specified"/>
    <n v="1.1166666666395031"/>
  </r>
  <r>
    <s v="TCK-22636"/>
    <d v="2026-06-26T17:24:00"/>
    <x v="2"/>
    <s v="Bilal Chaudhry"/>
    <s v="Islamabad"/>
    <s v="Chat"/>
    <s v="Refund Request"/>
    <s v="Low"/>
    <n v="48"/>
    <s v="Resolved"/>
    <d v="2026-06-27T13:03:00"/>
    <s v="No"/>
    <n v="5"/>
    <s v="Resolved On First Contact"/>
    <n v="19.649999999965075"/>
  </r>
  <r>
    <s v="TCK-20371"/>
    <d v="2026-06-17T20:50:00"/>
    <x v="1"/>
    <s v="Ayaan Khalid"/>
    <s v="Multan"/>
    <s v="Portal"/>
    <s v="General Inquiry"/>
    <s v="High"/>
    <n v="8"/>
    <s v="Closed"/>
    <d v="2026-06-17T21:54:00"/>
    <s v="Yes"/>
    <m/>
    <s v="Technical Issue Resolved Remotely"/>
    <n v="1.0666666666511446"/>
  </r>
  <r>
    <s v="TCK-22461"/>
    <d v="2026-01-27T14:10:00"/>
    <x v="0"/>
    <s v="Rehan Qureshi"/>
    <s v="Rawalpindi"/>
    <s v="Phone"/>
    <s v="General Inquiry"/>
    <s v="Low"/>
    <n v="48"/>
    <s v="Escalated"/>
    <s v="Missing Resolve Date"/>
    <s v="Yes"/>
    <m/>
    <s v="Repeat Issue From Same Customer"/>
    <s v=""/>
  </r>
  <r>
    <s v="TCK-21330"/>
    <d v="2026-05-17T19:16:00"/>
    <x v="0"/>
    <s v="Rehan Qureshi"/>
    <s v="Multan"/>
    <s v="Chat"/>
    <s v="Account Access"/>
    <s v="High"/>
    <n v="8"/>
    <s v="Open"/>
    <s v="Missing Resolve Date"/>
    <s v="No"/>
    <m/>
    <s v="Resolved On First Contact"/>
    <s v=""/>
  </r>
  <r>
    <s v="TCK-20689"/>
    <d v="2026-06-10T17:26:00"/>
    <x v="3"/>
    <s v="Talha Nadeem"/>
    <s v="Islamabad"/>
    <s v="Chat"/>
    <s v="Account Access"/>
    <s v="High"/>
    <n v="8"/>
    <s v="In Progress"/>
    <s v="Missing Resolve Date"/>
    <s v="No"/>
    <m/>
    <s v="Customer Satisfied With Resolution"/>
    <s v=""/>
  </r>
  <r>
    <s v="TCK-21295"/>
    <d v="2026-04-11T14:29:00"/>
    <x v="3"/>
    <s v="Iqra Basit"/>
    <s v="Multan"/>
    <s v="Phone"/>
    <s v="Refund Request"/>
    <s v="Low"/>
    <n v="48"/>
    <s v="Closed"/>
    <d v="2026-04-12T22:29:00"/>
    <s v="No"/>
    <m/>
    <s v="Customer Requested Refund"/>
    <n v="31.999999999883585"/>
  </r>
  <r>
    <s v="TCK-21317"/>
    <d v="2026-07-07T06:13:00"/>
    <x v="2"/>
    <s v="Bilal Chaudhry"/>
    <s v="Lahore"/>
    <s v="Chat"/>
    <s v="Technical Issue"/>
    <s v="Low"/>
    <n v="48"/>
    <s v="Resolved"/>
    <d v="2026-07-08T06:08:00"/>
    <s v="No"/>
    <n v="4"/>
    <s v="Required Follow-Up Call"/>
    <n v="23.916666666744277"/>
  </r>
  <r>
    <s v="TCK-20733"/>
    <d v="2026-03-23T15:04:00"/>
    <x v="1"/>
    <s v="Zara Hussain"/>
    <s v="Islamabad"/>
    <s v="Phone"/>
    <s v="Account Access"/>
    <s v="Low"/>
    <n v="48"/>
    <s v="Open"/>
    <s v="Missing Resolve Date"/>
    <s v="No"/>
    <m/>
    <s v="Customer Satisfied With Resolution"/>
    <s v=""/>
  </r>
  <r>
    <s v="TCK-21762"/>
    <d v="2026-02-22T23:51:00"/>
    <x v="2"/>
    <s v="Bilal Chaudhry"/>
    <s v="Rawalpindi"/>
    <s v="Email"/>
    <s v="Account Access"/>
    <s v="Medium"/>
    <n v="24"/>
    <s v="Resolved"/>
    <d v="2026-02-23T05:34:00"/>
    <s v="No"/>
    <n v="5"/>
    <s v="Resolved On First Contact"/>
    <n v="5.71666666661622"/>
  </r>
  <r>
    <s v="TCK-21986"/>
    <d v="2026-06-24T14:24:00"/>
    <x v="0"/>
    <s v="Rehan Qureshi"/>
    <s v="Karachi"/>
    <s v="Phone"/>
    <s v="Refund Request"/>
    <s v="Low"/>
    <n v="48"/>
    <s v="Closed"/>
    <d v="2026-06-25T00:59:00"/>
    <s v="No"/>
    <n v="4"/>
    <s v="Required Follow-Up Call"/>
    <n v="10.583333333430346"/>
  </r>
  <r>
    <s v="TCK-20445"/>
    <d v="2026-07-03T15:02:00"/>
    <x v="0"/>
    <s v="Rehan Qureshi"/>
    <s v="Rawalpindi"/>
    <s v="Portal"/>
    <s v="Billing Issue"/>
    <s v="High"/>
    <n v="8"/>
    <s v="Escalated"/>
    <s v="Missing Resolve Date"/>
    <s v="Yes"/>
    <m/>
    <s v="Resolved On First Contact"/>
    <s v=""/>
  </r>
  <r>
    <s v="TCK-22587"/>
    <d v="2026-07-26T06:10:00"/>
    <x v="0"/>
    <s v="Sadia Anwar"/>
    <s v="Islamabad"/>
    <s v="Portal"/>
    <s v="Technical Issue"/>
    <s v="Critical"/>
    <n v="4"/>
    <s v="Resolved"/>
    <d v="2026-07-26T08:32:00"/>
    <s v="No"/>
    <m/>
    <s v="Customer Requested Refund"/>
    <n v="2.3666666666977108"/>
  </r>
  <r>
    <s v="TCK-21493"/>
    <d v="2026-08-06T02:18:00"/>
    <x v="1"/>
    <s v="Ayaan Khalid"/>
    <s v="Faisalabad"/>
    <s v="Chat"/>
    <s v="General Inquiry"/>
    <s v="Medium"/>
    <n v="24"/>
    <s v="Closed"/>
    <d v="2026-08-06T11:01:00"/>
    <s v="No"/>
    <n v="5"/>
    <s v="Customer Satisfied With Resolution"/>
    <n v="8.71666666661622"/>
  </r>
  <r>
    <s v="TCK-22698"/>
    <d v="2026-06-10T10:39:00"/>
    <x v="2"/>
    <s v="Bilal Chaudhry"/>
    <s v="Karachi"/>
    <s v="Portal"/>
    <s v="Account Access"/>
    <s v="Low"/>
    <n v="48"/>
    <s v="Resolved"/>
    <d v="2026-06-10T18:44:00"/>
    <s v="No"/>
    <m/>
    <s v="Not Specified"/>
    <n v="8.0833333333139308"/>
  </r>
  <r>
    <s v="TCK-22456"/>
    <d v="2026-01-21T22:17:00"/>
    <x v="0"/>
    <s v="Rehan Qureshi"/>
    <s v="Multan"/>
    <s v="Chat"/>
    <s v="Refund Request"/>
    <s v="High"/>
    <n v="8"/>
    <s v="Open"/>
    <s v="Missing Resolve Date"/>
    <s v="No"/>
    <m/>
    <s v="Resolved On First Contact"/>
    <s v=""/>
  </r>
  <r>
    <s v="TCK-20212"/>
    <d v="2026-04-19T23:40:00"/>
    <x v="1"/>
    <s v="Ayaan Khalid"/>
    <s v="Rawalpindi"/>
    <s v="Chat"/>
    <s v="Account Access"/>
    <s v="Low"/>
    <n v="48"/>
    <s v="Resolved"/>
    <d v="2026-04-21T03:27:00"/>
    <s v="No"/>
    <n v="5"/>
    <s v="Required Follow-Up Call"/>
    <n v="27.783333333441988"/>
  </r>
  <r>
    <s v="TCK-22449"/>
    <d v="2026-05-14T02:08:00"/>
    <x v="0"/>
    <s v="Rehan Qureshi"/>
    <s v="Multan"/>
    <s v="Portal"/>
    <s v="Account Access"/>
    <s v="Low"/>
    <n v="48"/>
    <s v="Resolved"/>
    <d v="2026-05-14T14:40:00"/>
    <s v="No"/>
    <m/>
    <s v="Awaiting Customer Response"/>
    <n v="12.533333333325572"/>
  </r>
  <r>
    <s v="TCK-21668"/>
    <d v="2026-06-25T05:13:00"/>
    <x v="1"/>
    <s v="Ayaan Khalid"/>
    <s v="Peshawar"/>
    <s v="Chat"/>
    <s v="Technical Issue"/>
    <s v="High"/>
    <n v="8"/>
    <s v="Open"/>
    <s v="Missing Resolve Date"/>
    <s v="No"/>
    <m/>
    <s v="Not Specified"/>
    <s v=""/>
  </r>
  <r>
    <s v="TCK-22805"/>
    <d v="2026-02-22T17:49:00"/>
    <x v="1"/>
    <s v="Zara Hussain"/>
    <s v="Rawalpindi"/>
    <s v="Portal"/>
    <s v="Billing Issue"/>
    <s v="Medium"/>
    <n v="24"/>
    <s v="In Progress"/>
    <s v="Missing Resolve Date"/>
    <s v="No"/>
    <m/>
    <s v="Repeat Issue From Same Customer"/>
    <s v=""/>
  </r>
  <r>
    <s v="TCK-21650"/>
    <d v="2026-07-19T12:23:00"/>
    <x v="0"/>
    <s v="Sadia Anwar"/>
    <s v="Faisalabad"/>
    <s v="Email"/>
    <s v="Refund Request"/>
    <s v="High"/>
    <n v="8"/>
    <s v="Resolved"/>
    <d v="2026-07-19T15:18:00"/>
    <s v="No"/>
    <m/>
    <s v="Repeat Issue From Same Customer"/>
    <n v="2.9166666665696539"/>
  </r>
  <r>
    <s v="TCK-21803"/>
    <d v="2026-07-11T00:32:00"/>
    <x v="0"/>
    <s v="Sadia Anwar"/>
    <s v="Karachi"/>
    <s v="Chat"/>
    <s v="Account Access"/>
    <s v="Low"/>
    <n v="48"/>
    <s v="Resolved"/>
    <d v="2026-07-11T21:53:00"/>
    <s v="No"/>
    <n v="2"/>
    <s v="Not Specified"/>
    <n v="21.350000000093132"/>
  </r>
  <r>
    <s v="TCK-22770"/>
    <d v="2026-01-22T14:55:00"/>
    <x v="2"/>
    <s v="Bilal Chaudhry"/>
    <s v="Islamabad"/>
    <s v="Portal"/>
    <s v="Account Access"/>
    <s v="Low"/>
    <n v="48"/>
    <s v="Resolved"/>
    <d v="2026-01-23T03:53:00"/>
    <s v="No"/>
    <n v="5"/>
    <s v="Required Follow-Up Call"/>
    <n v="12.966666666674428"/>
  </r>
  <r>
    <s v="TCK-22827"/>
    <d v="2026-04-18T17:23:00"/>
    <x v="3"/>
    <s v="Talha Nadeem"/>
    <s v="Lahore"/>
    <s v="Email"/>
    <s v="Account Access"/>
    <s v="Medium"/>
    <n v="24"/>
    <s v="In Progress"/>
    <s v="Missing Resolve Date"/>
    <s v="No"/>
    <m/>
    <s v="Resolved On First Contact"/>
    <s v=""/>
  </r>
  <r>
    <s v="TCK-22413"/>
    <d v="2026-08-15T19:38:00"/>
    <x v="2"/>
    <s v="Bilal Chaudhry"/>
    <s v="Peshawar"/>
    <s v="Chat"/>
    <s v="General Inquiry"/>
    <s v="Medium"/>
    <n v="24"/>
    <s v="Open"/>
    <s v="Missing Resolve Date"/>
    <s v="No"/>
    <m/>
    <s v="Customer Requested Refund"/>
    <s v=""/>
  </r>
  <r>
    <s v="TCK-22492"/>
    <d v="2026-07-02T11:47:00"/>
    <x v="2"/>
    <s v="Bilal Chaudhry"/>
    <s v="Islamabad"/>
    <s v="Chat"/>
    <s v="General Inquiry"/>
    <s v="Medium"/>
    <n v="24"/>
    <s v="Closed"/>
    <d v="2026-07-03T04:19:00"/>
    <s v="Yes"/>
    <n v="2"/>
    <s v="Repeat Issue From Same Customer"/>
    <n v="16.533333333267365"/>
  </r>
  <r>
    <s v="TCK-20273"/>
    <d v="2026-04-17T02:13:00"/>
    <x v="1"/>
    <s v="Zara Hussain"/>
    <s v="Rawalpindi"/>
    <s v="Chat"/>
    <s v="Refund Request"/>
    <s v="Medium"/>
    <n v="24"/>
    <s v="Resolved"/>
    <d v="2026-04-17T13:52:00"/>
    <s v="No"/>
    <m/>
    <s v="Repeat Issue From Same Customer"/>
    <n v="11.649999999906868"/>
  </r>
  <r>
    <s v="TCK-20020"/>
    <d v="2026-04-07T19:46:00"/>
    <x v="0"/>
    <s v="Sadia Anwar"/>
    <s v="Islamabad"/>
    <s v="Portal"/>
    <s v="Account Access"/>
    <s v="Medium"/>
    <n v="24"/>
    <s v="Closed"/>
    <d v="2026-04-08T00:50:00"/>
    <s v="No"/>
    <n v="5"/>
    <s v="Resolved On First Contact"/>
    <n v="5.066666666592937"/>
  </r>
  <r>
    <s v="TCK-23076"/>
    <d v="2026-01-19T01:07:00"/>
    <x v="2"/>
    <s v="Bilal Chaudhry"/>
    <s v="Karachi"/>
    <s v="Email"/>
    <s v="General Inquiry"/>
    <s v="Medium"/>
    <n v="24"/>
    <s v="Resolved"/>
    <d v="2026-01-19T09:38:00"/>
    <s v="No"/>
    <n v="5"/>
    <s v="Awaiting Customer Response"/>
    <n v="8.5166666666627862"/>
  </r>
  <r>
    <s v="TCK-21696"/>
    <d v="2026-03-24T06:10:00"/>
    <x v="2"/>
    <s v="Bilal Chaudhry"/>
    <s v="Lahore"/>
    <s v="Portal"/>
    <s v="General Inquiry"/>
    <s v="Medium"/>
    <n v="24"/>
    <s v="Resolved"/>
    <d v="2026-03-24T12:41:00"/>
    <s v="Yes"/>
    <m/>
    <s v="Required Follow-Up Call"/>
    <n v="6.5166666666045785"/>
  </r>
  <r>
    <s v="TCK-20570"/>
    <d v="2026-01-05T14:12:00"/>
    <x v="1"/>
    <s v="Zara Hussain"/>
    <s v="Multan"/>
    <s v="Email"/>
    <s v="Refund Request"/>
    <s v="Medium"/>
    <n v="24"/>
    <s v="Resolved"/>
    <d v="2026-01-07T11:56:00"/>
    <s v="No"/>
    <n v="1"/>
    <s v="Resolved On First Contact"/>
    <n v="45.733333333279006"/>
  </r>
  <r>
    <s v="TCK-21953"/>
    <d v="2026-06-09T00:43:00"/>
    <x v="1"/>
    <s v="Zara Hussain"/>
    <s v="Karachi"/>
    <s v="Email"/>
    <s v="Billing Issue"/>
    <s v="Low"/>
    <n v="48"/>
    <s v="Open"/>
    <s v="Missing Resolve Date"/>
    <s v="No"/>
    <m/>
    <s v="Required Follow-Up Call"/>
    <s v=""/>
  </r>
  <r>
    <s v="TCK-22069"/>
    <d v="2026-07-06T02:27:00"/>
    <x v="1"/>
    <s v="Ayaan Khalid"/>
    <s v="Faisalabad"/>
    <s v="Email"/>
    <s v="Delivery Delay"/>
    <s v="Low"/>
    <n v="48"/>
    <s v="Resolved"/>
    <d v="2026-07-06T13:38:00"/>
    <s v="No"/>
    <n v="3"/>
    <s v="Awaiting Customer Response"/>
    <n v="11.183333333465271"/>
  </r>
  <r>
    <s v="TCK-21828"/>
    <d v="2026-08-27T23:33:00"/>
    <x v="3"/>
    <s v="Iqra Basit"/>
    <s v="Peshawar"/>
    <s v="Phone"/>
    <s v="Account Access"/>
    <s v="Medium"/>
    <n v="24"/>
    <s v="Resolved"/>
    <d v="2026-08-28T03:30:00"/>
    <s v="No"/>
    <m/>
    <s v="Not Specified"/>
    <n v="3.9500000001280569"/>
  </r>
  <r>
    <s v="TCK-21517"/>
    <d v="2026-07-01T18:51:00"/>
    <x v="3"/>
    <s v="Iqra Basit"/>
    <s v="Islamabad"/>
    <s v="Chat"/>
    <s v="Delivery Delay"/>
    <s v="Low"/>
    <n v="48"/>
    <s v="Resolved"/>
    <d v="2026-07-04T13:50:00"/>
    <s v="No"/>
    <m/>
    <s v="Resolved On First Contact"/>
    <n v="66.983333333395422"/>
  </r>
  <r>
    <s v="TCK-22590"/>
    <d v="2026-01-22T00:55:00"/>
    <x v="2"/>
    <s v="Bilal Chaudhry"/>
    <s v="Multan"/>
    <s v="Chat"/>
    <s v="Refund Request"/>
    <s v="Medium"/>
    <n v="24"/>
    <s v="Resolved"/>
    <d v="2026-01-22T11:18:00"/>
    <s v="Yes"/>
    <n v="5"/>
    <s v="Escalated To Senior Agent"/>
    <n v="10.383333333302289"/>
  </r>
  <r>
    <s v="TCK-22029"/>
    <d v="2026-08-17T13:45:00"/>
    <x v="2"/>
    <s v="Mahnoor Aslam"/>
    <s v="Peshawar"/>
    <s v="Portal"/>
    <s v="Account Access"/>
    <s v="High"/>
    <n v="8"/>
    <s v="Open"/>
    <s v="Missing Resolve Date"/>
    <s v="No"/>
    <m/>
    <s v="Resolved On First Contact"/>
    <s v=""/>
  </r>
  <r>
    <s v="TCK-21681"/>
    <d v="2026-03-01T03:53:00"/>
    <x v="0"/>
    <s v="Rehan Qureshi"/>
    <s v="Islamabad"/>
    <s v="Portal"/>
    <s v="Delivery Delay"/>
    <s v="Critical"/>
    <n v="4"/>
    <s v="Closed"/>
    <d v="2026-03-01T12:17:00"/>
    <s v="No"/>
    <n v="4"/>
    <s v="Awaiting Customer Response"/>
    <n v="8.3999999999650754"/>
  </r>
  <r>
    <s v="TCK-22642"/>
    <d v="2026-07-14T05:21:00"/>
    <x v="2"/>
    <s v="Bilal Chaudhry"/>
    <s v="Faisalabad"/>
    <s v="Chat"/>
    <s v="Delivery Delay"/>
    <s v="High"/>
    <n v="8"/>
    <s v="Open"/>
    <s v="Missing Resolve Date"/>
    <s v="No"/>
    <m/>
    <s v="Customer Requested Refund"/>
    <s v=""/>
  </r>
  <r>
    <s v="TCK-20187"/>
    <d v="2026-02-23T10:41:00"/>
    <x v="0"/>
    <s v="Rehan Qureshi"/>
    <s v="Peshawar"/>
    <s v="Chat"/>
    <s v="Technical Issue"/>
    <s v="Low"/>
    <n v="48"/>
    <s v="Resolved"/>
    <d v="2026-02-24T18:09:00"/>
    <s v="No"/>
    <n v="2"/>
    <s v="Resolved On First Contact"/>
    <n v="31.466666666558012"/>
  </r>
  <r>
    <s v="TCK-21870"/>
    <d v="2026-01-23T16:39:00"/>
    <x v="2"/>
    <s v="Mahnoor Aslam"/>
    <s v="Rawalpindi"/>
    <s v="Phone"/>
    <s v="Billing Issue"/>
    <s v="High"/>
    <n v="8"/>
    <s v="Resolved"/>
    <d v="2026-01-23T20:48:00"/>
    <s v="No"/>
    <n v="4"/>
    <s v="Escalated To Senior Agent"/>
    <n v="4.1500000000814907"/>
  </r>
  <r>
    <s v="TCK-20463"/>
    <d v="2026-05-07T15:14:00"/>
    <x v="1"/>
    <s v="Zara Hussain"/>
    <s v="Rawalpindi"/>
    <s v="Portal"/>
    <s v="Technical Issue"/>
    <s v="High"/>
    <n v="8"/>
    <s v="Resolved"/>
    <d v="2026-05-07T20:41:00"/>
    <s v="No"/>
    <n v="4"/>
    <s v="Resolved On First Contact"/>
    <n v="5.4499999999534339"/>
  </r>
  <r>
    <s v="TCK-23062"/>
    <d v="2026-07-06T02:20:00"/>
    <x v="2"/>
    <s v="Mahnoor Aslam"/>
    <s v="Karachi"/>
    <s v="Email"/>
    <s v="Billing Issue"/>
    <s v="Medium"/>
    <n v="24"/>
    <s v="Closed"/>
    <d v="2026-07-06T03:46:00"/>
    <s v="Yes"/>
    <n v="4"/>
    <s v="Customer Satisfied With Resolution"/>
    <n v="1.4333333334652707"/>
  </r>
  <r>
    <s v="TCK-21796"/>
    <d v="2026-07-02T04:28:00"/>
    <x v="0"/>
    <s v="Sadia Anwar"/>
    <s v="Rawalpindi"/>
    <s v="Email"/>
    <s v="Account Access"/>
    <s v="High"/>
    <n v="8"/>
    <s v="In Progress"/>
    <s v="Missing Resolve Date"/>
    <s v="No"/>
    <m/>
    <s v="Customer Satisfied With Resolution"/>
    <s v=""/>
  </r>
  <r>
    <s v="TCK-23052"/>
    <d v="2026-08-02T02:18:00"/>
    <x v="1"/>
    <s v="Zara Hussain"/>
    <s v="Islamabad"/>
    <s v="Email"/>
    <s v="Delivery Delay"/>
    <s v="Low"/>
    <n v="48"/>
    <s v="Resolved"/>
    <d v="2026-08-06T21:45:00"/>
    <s v="No"/>
    <n v="3"/>
    <s v="Resolved On First Contact"/>
    <n v="115.45000000001164"/>
  </r>
  <r>
    <s v="TCK-21971"/>
    <d v="2026-02-11T07:29:00"/>
    <x v="0"/>
    <s v="Rehan Qureshi"/>
    <s v="Faisalabad"/>
    <s v="Chat"/>
    <s v="Technical Issue"/>
    <s v="Medium"/>
    <n v="24"/>
    <s v="Resolved"/>
    <d v="2026-02-12T01:30:00"/>
    <s v="No"/>
    <m/>
    <s v="Required Follow-Up Call"/>
    <n v="18.016666666720994"/>
  </r>
  <r>
    <s v="TCK-21252"/>
    <d v="2026-05-03T19:33:00"/>
    <x v="2"/>
    <s v="Bilal Chaudhry"/>
    <s v="Islamabad"/>
    <s v="Phone"/>
    <s v="Delivery Delay"/>
    <s v="Low"/>
    <n v="48"/>
    <s v="Closed"/>
    <d v="2026-05-05T07:18:00"/>
    <s v="No"/>
    <m/>
    <s v="Awaiting Customer Response"/>
    <n v="35.750000000058208"/>
  </r>
  <r>
    <s v="TCK-22629"/>
    <d v="2026-07-10T08:09:00"/>
    <x v="1"/>
    <s v="Zara Hussain"/>
    <s v="Karachi"/>
    <s v="Phone"/>
    <s v="Technical Issue"/>
    <s v="High"/>
    <n v="8"/>
    <s v="In Progress"/>
    <s v="Missing Resolve Date"/>
    <s v="No"/>
    <m/>
    <s v="Not Specified"/>
    <s v=""/>
  </r>
  <r>
    <s v="TCK-22154"/>
    <d v="2026-07-05T15:54:00"/>
    <x v="0"/>
    <s v="Sadia Anwar"/>
    <s v="Lahore"/>
    <s v="Chat"/>
    <s v="Technical Issue"/>
    <s v="Low"/>
    <n v="48"/>
    <s v="Open"/>
    <s v="Missing Resolve Date"/>
    <s v="No"/>
    <m/>
    <s v="Not Specified"/>
    <s v=""/>
  </r>
  <r>
    <s v="TCK-20594"/>
    <d v="2026-01-20T09:47:00"/>
    <x v="2"/>
    <s v="Bilal Chaudhry"/>
    <s v="Faisalabad"/>
    <s v="Phone"/>
    <s v="Refund Request"/>
    <s v="Medium"/>
    <n v="24"/>
    <s v="Resolved"/>
    <d v="2026-01-21T02:29:00"/>
    <s v="No"/>
    <n v="4"/>
    <s v="Required Follow-Up Call"/>
    <n v="16.700000000128057"/>
  </r>
  <r>
    <s v="TCK-20026"/>
    <d v="2026-03-31T05:15:00"/>
    <x v="1"/>
    <s v="Zara Hussain"/>
    <s v="Faisalabad"/>
    <s v="Phone"/>
    <s v="Delivery Delay"/>
    <s v="High"/>
    <n v="8"/>
    <s v="Re-Opened"/>
    <d v="2026-03-31T14:25:00"/>
    <s v="No"/>
    <m/>
    <s v="Resolved On First Contact"/>
    <n v="9.1666666666860692"/>
  </r>
  <r>
    <s v="TCK-23049"/>
    <d v="2026-06-04T01:23:00"/>
    <x v="0"/>
    <s v="Rehan Qureshi"/>
    <s v="Lahore"/>
    <s v="Email"/>
    <s v="Account Access"/>
    <s v="Low"/>
    <n v="48"/>
    <s v="Resolved"/>
    <d v="2026-06-04T19:40:00"/>
    <s v="No"/>
    <n v="1"/>
    <s v="Resolved On First Contact"/>
    <n v="18.28333333338378"/>
  </r>
  <r>
    <s v="TCK-20903"/>
    <d v="2026-01-30T19:02:00"/>
    <x v="2"/>
    <s v="Mahnoor Aslam"/>
    <s v="Rawalpindi"/>
    <s v="Email"/>
    <s v="Refund Request"/>
    <s v="Critical"/>
    <n v="4"/>
    <s v="Resolved"/>
    <d v="2026-01-30T19:33:00"/>
    <s v="No"/>
    <m/>
    <s v="Not Specified"/>
    <n v="0.5166666666045785"/>
  </r>
  <r>
    <s v="TCK-23152"/>
    <d v="2026-01-12T22:36:00"/>
    <x v="2"/>
    <s v="Mahnoor Aslam"/>
    <s v="Islamabad"/>
    <s v="Phone"/>
    <s v="General Inquiry"/>
    <s v="Low"/>
    <n v="48"/>
    <s v="Closed"/>
    <d v="2026-01-13T22:53:00"/>
    <s v="No"/>
    <n v="5"/>
    <s v="Escalated To Senior Agent"/>
    <n v="24.28333333338378"/>
  </r>
  <r>
    <s v="TCK-21469"/>
    <d v="2026-04-08T15:56:00"/>
    <x v="1"/>
    <s v="Zara Hussain"/>
    <s v="Rawalpindi"/>
    <s v="Chat"/>
    <s v="General Inquiry"/>
    <s v="Medium"/>
    <n v="24"/>
    <s v="In Progress"/>
    <s v="Missing Resolve Date"/>
    <s v="No"/>
    <m/>
    <s v="Repeat Issue From Same Customer"/>
    <s v=""/>
  </r>
  <r>
    <s v="TCK-22567"/>
    <d v="2026-05-22T04:27:00"/>
    <x v="2"/>
    <s v="Mahnoor Aslam"/>
    <s v="Multan"/>
    <s v="Chat"/>
    <s v="Refund Request"/>
    <s v="High"/>
    <n v="8"/>
    <s v="Closed"/>
    <d v="2026-05-22T09:43:00"/>
    <s v="No"/>
    <n v="5"/>
    <s v="Customer Requested Refund"/>
    <n v="5.2666666667209938"/>
  </r>
  <r>
    <s v="TCK-21309"/>
    <d v="2026-03-01T16:01:00"/>
    <x v="0"/>
    <s v="Rehan Qureshi"/>
    <s v="Islamabad"/>
    <s v="Portal"/>
    <s v="Refund Request"/>
    <s v="High"/>
    <n v="8"/>
    <s v="Open"/>
    <s v="Missing Resolve Date"/>
    <s v="No"/>
    <m/>
    <s v="Escalated To Senior Agent"/>
    <s v=""/>
  </r>
  <r>
    <s v="TCK-22754"/>
    <d v="2026-08-06T06:30:00"/>
    <x v="2"/>
    <s v="Mahnoor Aslam"/>
    <s v="Islamabad"/>
    <s v="Chat"/>
    <s v="General Inquiry"/>
    <s v="Medium"/>
    <n v="24"/>
    <s v="Closed"/>
    <d v="2026-08-08T16:32:00"/>
    <s v="No"/>
    <m/>
    <s v="Customer Satisfied With Resolution"/>
    <n v="58.033333333209157"/>
  </r>
  <r>
    <s v="TCK-22099"/>
    <d v="2026-05-20T08:11:00"/>
    <x v="3"/>
    <s v="Talha Nadeem"/>
    <s v="Peshawar"/>
    <s v="Email"/>
    <s v="Delivery Delay"/>
    <s v="Low"/>
    <n v="48"/>
    <s v="Open"/>
    <s v="Missing Resolve Date"/>
    <s v="No"/>
    <m/>
    <s v="Not Specified"/>
    <s v=""/>
  </r>
  <r>
    <s v="TCK-21558"/>
    <d v="2026-03-15T00:47:00"/>
    <x v="0"/>
    <s v="Rehan Qureshi"/>
    <s v="Peshawar"/>
    <s v="Portal"/>
    <s v="Refund Request"/>
    <s v="Low"/>
    <n v="48"/>
    <s v="Closed"/>
    <d v="2026-03-20T23:06:00"/>
    <s v="Yes"/>
    <n v="1"/>
    <s v="Customer Satisfied With Resolution"/>
    <n v="142.31666666676756"/>
  </r>
  <r>
    <s v="TCK-22947"/>
    <d v="2026-08-30T01:56:00"/>
    <x v="1"/>
    <s v="Zara Hussain"/>
    <s v="Rawalpindi"/>
    <s v="Phone"/>
    <s v="General Inquiry"/>
    <s v="Critical"/>
    <n v="4"/>
    <s v="Closed"/>
    <d v="2026-08-30T08:26:00"/>
    <s v="No"/>
    <n v="5"/>
    <s v="Technical Issue Resolved Remotely"/>
    <n v="6.5000000000582077"/>
  </r>
  <r>
    <s v="TCK-21797"/>
    <d v="2026-02-12T23:02:00"/>
    <x v="2"/>
    <s v="Mahnoor Aslam"/>
    <s v="Karachi"/>
    <s v="Portal"/>
    <s v="Account Access"/>
    <s v="Critical"/>
    <n v="4"/>
    <s v="Resolved"/>
    <d v="2026-02-13T01:51:00"/>
    <s v="No"/>
    <n v="4"/>
    <s v="Required Follow-Up Call"/>
    <n v="2.816666666592937"/>
  </r>
  <r>
    <s v="TCK-22829"/>
    <d v="2026-04-17T04:04:00"/>
    <x v="1"/>
    <s v="Ayaan Khalid"/>
    <s v="Rawalpindi"/>
    <s v="Email"/>
    <s v="Account Access"/>
    <s v="Medium"/>
    <n v="24"/>
    <s v="Resolved"/>
    <d v="2026-04-19T00:01:00"/>
    <s v="No"/>
    <m/>
    <s v="Awaiting Customer Response"/>
    <n v="43.950000000069849"/>
  </r>
  <r>
    <s v="TCK-20797"/>
    <d v="2026-04-02T01:25:00"/>
    <x v="0"/>
    <s v="Rehan Qureshi"/>
    <s v="Rawalpindi"/>
    <s v="Email"/>
    <s v="General Inquiry"/>
    <s v="Medium"/>
    <n v="24"/>
    <s v="Re-Opened"/>
    <d v="2026-04-04T10:30:00"/>
    <s v="No"/>
    <m/>
    <s v="Technical Issue Resolved Remotely"/>
    <n v="57.083333333255723"/>
  </r>
  <r>
    <s v="TCK-21100"/>
    <d v="2026-01-29T23:15:00"/>
    <x v="1"/>
    <s v="Zara Hussain"/>
    <s v="Karachi"/>
    <s v="Chat"/>
    <s v="Delivery Delay"/>
    <s v="High"/>
    <n v="8"/>
    <s v="Closed"/>
    <d v="2026-01-30T16:21:00"/>
    <s v="No"/>
    <m/>
    <s v="Not Specified"/>
    <n v="17.100000000034925"/>
  </r>
  <r>
    <s v="TCK-21819"/>
    <d v="2026-01-27T09:27:00"/>
    <x v="0"/>
    <s v="Sadia Anwar"/>
    <s v="Lahore"/>
    <s v="Email"/>
    <s v="Account Access"/>
    <s v="Medium"/>
    <n v="24"/>
    <s v="Closed"/>
    <d v="2026-01-29T23:20:00"/>
    <s v="No"/>
    <n v="5"/>
    <s v="Not Specified"/>
    <n v="61.883333333185874"/>
  </r>
  <r>
    <s v="TCK-21209"/>
    <d v="2026-02-13T11:28:00"/>
    <x v="0"/>
    <s v="Sadia Anwar"/>
    <s v="Peshawar"/>
    <s v="Phone"/>
    <s v="Billing Issue"/>
    <s v="High"/>
    <n v="8"/>
    <s v="Closed"/>
    <d v="2026-02-13T13:02:00"/>
    <s v="No"/>
    <m/>
    <s v="Technical Issue Resolved Remotely"/>
    <n v="1.5666666667093523"/>
  </r>
  <r>
    <s v="TCK-22906"/>
    <d v="2026-03-03T02:15:00"/>
    <x v="1"/>
    <s v="Ayaan Khalid"/>
    <s v="Karachi"/>
    <s v="Email"/>
    <s v="Billing Issue"/>
    <s v="Medium"/>
    <n v="24"/>
    <s v="Closed"/>
    <d v="2026-03-05T14:56:00"/>
    <s v="No"/>
    <m/>
    <s v="Not Specified"/>
    <n v="60.683333333290648"/>
  </r>
  <r>
    <s v="TCK-20369"/>
    <d v="2026-01-04T22:38:00"/>
    <x v="2"/>
    <s v="Bilal Chaudhry"/>
    <s v="Lahore"/>
    <s v="Email"/>
    <s v="Technical Issue"/>
    <s v="Medium"/>
    <n v="24"/>
    <s v="Resolved"/>
    <d v="2026-01-05T03:44:00"/>
    <s v="No"/>
    <n v="5"/>
    <s v="Repeat Issue From Same Customer"/>
    <n v="5.0999999998603016"/>
  </r>
  <r>
    <s v="TCK-20856"/>
    <d v="2026-06-25T03:34:00"/>
    <x v="2"/>
    <s v="Mahnoor Aslam"/>
    <s v="Faisalabad"/>
    <s v="Email"/>
    <s v="Delivery Delay"/>
    <s v="Low"/>
    <n v="48"/>
    <s v="In Progress"/>
    <s v="Missing Resolve Date"/>
    <s v="Yes"/>
    <m/>
    <s v="Customer Requested Refund"/>
    <s v=""/>
  </r>
  <r>
    <s v="TCK-20994"/>
    <d v="2026-02-10T16:31:00"/>
    <x v="0"/>
    <s v="Rehan Qureshi"/>
    <s v="Karachi"/>
    <s v="Phone"/>
    <s v="Delivery Delay"/>
    <s v="Medium"/>
    <n v="24"/>
    <s v="Resolved"/>
    <d v="2026-02-10T22:59:00"/>
    <s v="No"/>
    <n v="5"/>
    <s v="Required Follow-Up Call"/>
    <n v="6.46666666661622"/>
  </r>
  <r>
    <s v="TCK-23143"/>
    <d v="2026-03-10T17:19:00"/>
    <x v="2"/>
    <s v="Mahnoor Aslam"/>
    <s v="Rawalpindi"/>
    <s v="Portal"/>
    <s v="Billing Issue"/>
    <s v="Critical"/>
    <n v="4"/>
    <s v="Resolved"/>
    <d v="2026-03-10T20:16:00"/>
    <s v="No"/>
    <n v="3"/>
    <s v="Technical Issue Resolved Remotely"/>
    <n v="2.9500000000116415"/>
  </r>
  <r>
    <s v="TCK-22488"/>
    <d v="2026-06-22T22:20:00"/>
    <x v="2"/>
    <s v="Mahnoor Aslam"/>
    <s v="Peshawar"/>
    <s v="Chat"/>
    <s v="Account Access"/>
    <s v="Medium"/>
    <n v="24"/>
    <s v="Open"/>
    <s v="Missing Resolve Date"/>
    <s v="No"/>
    <m/>
    <s v="Repeat Issue From Same Customer"/>
    <s v=""/>
  </r>
  <r>
    <s v="TCK-20473"/>
    <d v="2026-06-19T10:30:00"/>
    <x v="1"/>
    <s v="Zara Hussain"/>
    <s v="Faisalabad"/>
    <s v="Phone"/>
    <s v="Refund Request"/>
    <s v="Medium"/>
    <n v="24"/>
    <s v="Escalated"/>
    <s v="Missing Resolve Date"/>
    <s v="Yes"/>
    <m/>
    <s v="Customer Requested Refund"/>
    <s v=""/>
  </r>
  <r>
    <s v="TCK-21861"/>
    <d v="2026-06-12T03:43:00"/>
    <x v="1"/>
    <s v="Zara Hussain"/>
    <s v="Faisalabad"/>
    <s v="Phone"/>
    <s v="Refund Request"/>
    <s v="Medium"/>
    <n v="24"/>
    <s v="Resolved"/>
    <d v="2026-06-12T23:08:00"/>
    <s v="No"/>
    <m/>
    <s v="Resolved On First Contact"/>
    <n v="19.416666666569654"/>
  </r>
  <r>
    <s v="TCK-21467"/>
    <d v="2026-08-05T06:20:00"/>
    <x v="3"/>
    <s v="Talha Nadeem"/>
    <s v="Islamabad"/>
    <s v="Portal"/>
    <s v="Delivery Delay"/>
    <s v="Low"/>
    <n v="48"/>
    <s v="Escalated"/>
    <s v="Missing Resolve Date"/>
    <s v="Yes"/>
    <m/>
    <s v="Customer Requested Refund"/>
    <s v=""/>
  </r>
  <r>
    <s v="TCK-22085"/>
    <d v="2026-06-06T12:05:00"/>
    <x v="1"/>
    <s v="Zara Hussain"/>
    <s v="Multan"/>
    <s v="Chat"/>
    <s v="Billing Issue"/>
    <s v="High"/>
    <n v="8"/>
    <s v="Resolved"/>
    <d v="2026-06-06T14:29:00"/>
    <s v="No"/>
    <n v="4"/>
    <s v="Resolved On First Contact"/>
    <n v="2.4000000001396984"/>
  </r>
  <r>
    <s v="TCK-21438"/>
    <d v="2026-04-06T22:06:00"/>
    <x v="0"/>
    <s v="Sadia Anwar"/>
    <s v="Lahore"/>
    <s v="Email"/>
    <s v="Account Access"/>
    <s v="Critical"/>
    <n v="4"/>
    <s v="Closed"/>
    <d v="2026-04-06T23:59:00"/>
    <s v="No"/>
    <n v="1"/>
    <s v="Awaiting Customer Response"/>
    <n v="1.8833333333604969"/>
  </r>
  <r>
    <s v="TCK-20270"/>
    <d v="2026-02-08T13:06:00"/>
    <x v="0"/>
    <s v="Rehan Qureshi"/>
    <s v="Islamabad"/>
    <s v="Chat"/>
    <s v="Technical Issue"/>
    <s v="High"/>
    <n v="8"/>
    <s v="Resolved"/>
    <d v="2026-02-08T17:17:00"/>
    <s v="No"/>
    <n v="5"/>
    <s v="Resolved On First Contact"/>
    <n v="4.1833333333488554"/>
  </r>
  <r>
    <s v="TCK-20637"/>
    <d v="2026-04-27T13:39:00"/>
    <x v="3"/>
    <s v="Talha Nadeem"/>
    <s v="Islamabad"/>
    <s v="Email"/>
    <s v="General Inquiry"/>
    <s v="Medium"/>
    <n v="24"/>
    <s v="Resolved"/>
    <d v="2026-04-28T07:33:00"/>
    <s v="No"/>
    <n v="2"/>
    <s v="Customer Requested Refund"/>
    <n v="17.900000000023283"/>
  </r>
  <r>
    <s v="TCK-20808"/>
    <d v="2026-04-21T14:26:00"/>
    <x v="0"/>
    <s v="Rehan Qureshi"/>
    <s v="Karachi"/>
    <s v="Email"/>
    <s v="Technical Issue"/>
    <s v="Low"/>
    <n v="48"/>
    <s v="Resolved"/>
    <s v="Missing Resolve Date"/>
    <s v="No"/>
    <m/>
    <s v="Resolved On First Contact"/>
    <s v=""/>
  </r>
  <r>
    <s v="TCK-22602"/>
    <d v="2026-06-30T03:15:00"/>
    <x v="2"/>
    <s v="Mahnoor Aslam"/>
    <s v="Faisalabad"/>
    <s v="Email"/>
    <s v="Technical Issue"/>
    <s v="Low"/>
    <n v="48"/>
    <s v="Escalated"/>
    <s v="Missing Resolve Date"/>
    <s v="Yes"/>
    <m/>
    <s v="Customer Requested Refund"/>
    <s v=""/>
  </r>
  <r>
    <s v="TCK-21325"/>
    <d v="2026-01-12T15:35:00"/>
    <x v="1"/>
    <s v="Ayaan Khalid"/>
    <s v="Karachi"/>
    <s v="Portal"/>
    <s v="General Inquiry"/>
    <s v="High"/>
    <n v="8"/>
    <s v="In Progress"/>
    <s v="Missing Resolve Date"/>
    <s v="No"/>
    <m/>
    <s v="Escalated To Senior Agent"/>
    <s v=""/>
  </r>
  <r>
    <s v="TCK-22333"/>
    <d v="2026-06-01T20:25:00"/>
    <x v="3"/>
    <s v="Iqra Basit"/>
    <s v="Peshawar"/>
    <s v="Chat"/>
    <s v="Billing Issue"/>
    <s v="Critical"/>
    <n v="4"/>
    <s v="Resolved"/>
    <d v="2026-06-02T04:26:00"/>
    <s v="No"/>
    <m/>
    <s v="Technical Issue Resolved Remotely"/>
    <n v="8.0166666666045785"/>
  </r>
  <r>
    <s v="TCK-21232"/>
    <d v="2026-08-19T23:42:00"/>
    <x v="0"/>
    <s v="Rehan Qureshi"/>
    <s v="Multan"/>
    <s v="Chat"/>
    <s v="Refund Request"/>
    <s v="Low"/>
    <n v="48"/>
    <s v="Closed"/>
    <d v="2026-08-21T00:44:00"/>
    <s v="No"/>
    <m/>
    <s v="Repeat Issue From Same Customer"/>
    <n v="25.033333333209157"/>
  </r>
  <r>
    <s v="TCK-22115"/>
    <d v="2026-04-15T18:27:00"/>
    <x v="2"/>
    <s v="Bilal Chaudhry"/>
    <s v="Multan"/>
    <s v="Chat"/>
    <s v="Account Access"/>
    <s v="Low"/>
    <n v="48"/>
    <s v="Resolved"/>
    <d v="2026-04-17T06:10:00"/>
    <s v="No"/>
    <n v="2"/>
    <s v="Customer Requested Refund"/>
    <n v="35.71666666661622"/>
  </r>
  <r>
    <s v="TCK-21332"/>
    <d v="2026-05-06T07:58:00"/>
    <x v="2"/>
    <s v="Bilal Chaudhry"/>
    <s v="Rawalpindi"/>
    <s v="Phone"/>
    <s v="Account Access"/>
    <s v="Medium"/>
    <n v="24"/>
    <s v="Resolved"/>
    <d v="2026-05-09T00:10:00"/>
    <s v="No"/>
    <n v="2"/>
    <s v="Awaiting Customer Response"/>
    <n v="64.200000000069849"/>
  </r>
  <r>
    <s v="TCK-20776"/>
    <d v="2026-07-10T17:19:00"/>
    <x v="1"/>
    <s v="Zara Hussain"/>
    <s v="Peshawar"/>
    <s v="Chat"/>
    <s v="Refund Request"/>
    <s v="High"/>
    <n v="8"/>
    <s v="Resolved"/>
    <s v="Missing Resolve Date"/>
    <s v="No"/>
    <n v="1"/>
    <s v="Technical Issue Resolved Remotely"/>
    <s v=""/>
  </r>
  <r>
    <s v="TCK-20921"/>
    <d v="2026-08-07T11:51:00"/>
    <x v="2"/>
    <s v="Bilal Chaudhry"/>
    <s v="Rawalpindi"/>
    <s v="Email"/>
    <s v="General Inquiry"/>
    <s v="Low"/>
    <n v="48"/>
    <s v="Escalated"/>
    <s v="Missing Resolve Date"/>
    <s v="Yes"/>
    <m/>
    <s v="Awaiting Customer Response"/>
    <s v=""/>
  </r>
  <r>
    <s v="TCK-20356"/>
    <d v="2026-04-18T08:48:00"/>
    <x v="2"/>
    <s v="Mahnoor Aslam"/>
    <s v="Lahore"/>
    <s v="Portal"/>
    <s v="Delivery Delay"/>
    <s v="Low"/>
    <n v="48"/>
    <s v="Open"/>
    <s v="Missing Resolve Date"/>
    <s v="No"/>
    <m/>
    <s v="Not Specified"/>
    <s v=""/>
  </r>
  <r>
    <s v="TCK-22002"/>
    <d v="2026-05-24T07:56:00"/>
    <x v="1"/>
    <s v="Zara Hussain"/>
    <s v="Peshawar"/>
    <s v="Email"/>
    <s v="Delivery Delay"/>
    <s v="Medium"/>
    <n v="24"/>
    <s v="Resolved"/>
    <d v="2026-05-26T03:53:00"/>
    <s v="No"/>
    <m/>
    <s v="Not Specified"/>
    <n v="43.950000000069849"/>
  </r>
  <r>
    <s v="TCK-22798"/>
    <d v="2026-03-30T08:50:00"/>
    <x v="1"/>
    <s v="Ayaan Khalid"/>
    <s v="Faisalabad"/>
    <s v="Phone"/>
    <s v="General Inquiry"/>
    <s v="Low"/>
    <n v="48"/>
    <s v="In Progress"/>
    <s v="Missing Resolve Date"/>
    <s v="No"/>
    <m/>
    <s v="Not Specified"/>
    <s v=""/>
  </r>
  <r>
    <s v="TCK-20378"/>
    <d v="2026-03-01T08:43:00"/>
    <x v="2"/>
    <s v="Bilal Chaudhry"/>
    <s v="Peshawar"/>
    <s v="Email"/>
    <s v="General Inquiry"/>
    <s v="High"/>
    <n v="8"/>
    <s v="Closed"/>
    <d v="2026-03-01T15:36:00"/>
    <s v="No"/>
    <n v="3"/>
    <s v="Repeat Issue From Same Customer"/>
    <n v="6.8833333334187046"/>
  </r>
  <r>
    <s v="TCK-21342"/>
    <d v="2026-04-27T17:06:00"/>
    <x v="3"/>
    <s v="Talha Nadeem"/>
    <s v="Faisalabad"/>
    <s v="Phone"/>
    <s v="Account Access"/>
    <s v="High"/>
    <n v="8"/>
    <s v="Open"/>
    <s v="Missing Resolve Date"/>
    <s v="No"/>
    <m/>
    <s v="Technical Issue Resolved Remotely"/>
    <s v=""/>
  </r>
  <r>
    <s v="TCK-21016"/>
    <d v="2026-01-27T17:49:00"/>
    <x v="2"/>
    <s v="Bilal Chaudhry"/>
    <s v="Islamabad"/>
    <s v="Portal"/>
    <s v="Account Access"/>
    <s v="Medium"/>
    <n v="24"/>
    <s v="Re-Opened"/>
    <d v="2026-01-29T10:00:00"/>
    <s v="No"/>
    <m/>
    <s v="Awaiting Customer Response"/>
    <n v="40.183333333348855"/>
  </r>
  <r>
    <s v="TCK-20941"/>
    <d v="2026-01-21T09:12:00"/>
    <x v="0"/>
    <s v="Rehan Qureshi"/>
    <s v="Karachi"/>
    <s v="Chat"/>
    <s v="Billing Issue"/>
    <s v="Medium"/>
    <n v="24"/>
    <s v="Escalated"/>
    <s v="Missing Resolve Date"/>
    <s v="Yes"/>
    <m/>
    <s v="Not Specified"/>
    <s v=""/>
  </r>
  <r>
    <s v="TCK-21341"/>
    <d v="2026-02-27T07:40:00"/>
    <x v="2"/>
    <s v="Mahnoor Aslam"/>
    <s v="Rawalpindi"/>
    <s v="Portal"/>
    <s v="Refund Request"/>
    <s v="Medium"/>
    <n v="24"/>
    <s v="Resolved"/>
    <d v="2026-02-28T01:00:00"/>
    <s v="No"/>
    <m/>
    <s v="Not Specified"/>
    <n v="17.333333333255723"/>
  </r>
  <r>
    <s v="TCK-21859"/>
    <d v="2026-03-05T02:00:00"/>
    <x v="3"/>
    <s v="Iqra Basit"/>
    <s v="Faisalabad"/>
    <s v="Portal"/>
    <s v="Technical Issue"/>
    <s v="Medium"/>
    <n v="24"/>
    <s v="Resolved"/>
    <d v="2026-03-05T09:24:00"/>
    <s v="No"/>
    <m/>
    <s v="Customer Requested Refund"/>
    <n v="7.4000000000232831"/>
  </r>
  <r>
    <s v="TCK-22280"/>
    <d v="2026-01-27T12:50:00"/>
    <x v="1"/>
    <s v="Zara Hussain"/>
    <s v="Peshawar"/>
    <s v="Phone"/>
    <s v="General Inquiry"/>
    <s v="Low"/>
    <n v="48"/>
    <s v="Resolved"/>
    <d v="2026-01-28T22:12:00"/>
    <s v="No"/>
    <m/>
    <s v="Awaiting Customer Response"/>
    <n v="33.366666666814126"/>
  </r>
  <r>
    <s v="TCK-22558"/>
    <d v="2026-02-16T12:27:00"/>
    <x v="0"/>
    <s v="Rehan Qureshi"/>
    <s v="Multan"/>
    <s v="Email"/>
    <s v="Billing Issue"/>
    <s v="Medium"/>
    <n v="24"/>
    <s v="Resolved"/>
    <d v="2026-02-16T14:27:00"/>
    <s v="No"/>
    <m/>
    <s v="Not Specified"/>
    <n v="1.9999999998835847"/>
  </r>
  <r>
    <s v="TCK-22840"/>
    <d v="2026-08-07T09:57:00"/>
    <x v="1"/>
    <s v="Zara Hussain"/>
    <s v="Multan"/>
    <s v="Phone"/>
    <s v="General Inquiry"/>
    <s v="Low"/>
    <n v="48"/>
    <s v="Closed"/>
    <d v="2026-08-08T03:33:00"/>
    <s v="No"/>
    <n v="4"/>
    <s v="Not Specified"/>
    <n v="17.600000000093132"/>
  </r>
  <r>
    <s v="TCK-21115"/>
    <d v="2026-04-17T02:06:00"/>
    <x v="1"/>
    <s v="Zara Hussain"/>
    <s v="Rawalpindi"/>
    <s v="Portal"/>
    <s v="Billing Issue"/>
    <s v="Medium"/>
    <n v="24"/>
    <s v="Resolved"/>
    <d v="2026-04-17T04:09:00"/>
    <s v="No"/>
    <m/>
    <s v="Awaiting Customer Response"/>
    <n v="2.0500000000465661"/>
  </r>
  <r>
    <s v="TCK-20971"/>
    <d v="2026-05-15T01:32:00"/>
    <x v="3"/>
    <s v="Talha Nadeem"/>
    <s v="Peshawar"/>
    <s v="Portal"/>
    <s v="Technical Issue"/>
    <s v="High"/>
    <n v="8"/>
    <s v="Escalated"/>
    <s v="Missing Resolve Date"/>
    <s v="Yes"/>
    <m/>
    <s v="Technical Issue Resolved Remotely"/>
    <s v=""/>
  </r>
  <r>
    <s v="TCK-22622"/>
    <d v="2026-04-30T23:22:00"/>
    <x v="0"/>
    <s v="Sadia Anwar"/>
    <s v="Lahore"/>
    <s v="Portal"/>
    <s v="Delivery Delay"/>
    <s v="Medium"/>
    <n v="24"/>
    <s v="Closed"/>
    <d v="2026-05-01T16:35:00"/>
    <s v="No"/>
    <n v="2"/>
    <s v="Not Specified"/>
    <n v="17.216666666558012"/>
  </r>
  <r>
    <s v="TCK-22159"/>
    <d v="2026-06-26T17:44:00"/>
    <x v="1"/>
    <s v="Ayaan Khalid"/>
    <s v="Peshawar"/>
    <s v="Email"/>
    <s v="Technical Issue"/>
    <s v="High"/>
    <n v="8"/>
    <s v="Resolved"/>
    <d v="2026-06-26T19:21:00"/>
    <s v="No"/>
    <n v="1"/>
    <s v="Customer Satisfied With Resolution"/>
    <n v="1.6166666666977108"/>
  </r>
  <r>
    <s v="TCK-22200"/>
    <d v="2026-01-06T21:33:00"/>
    <x v="0"/>
    <s v="Sadia Anwar"/>
    <s v="Multan"/>
    <s v="Chat"/>
    <s v="Billing Issue"/>
    <s v="High"/>
    <n v="8"/>
    <s v="In Progress"/>
    <s v="Missing Resolve Date"/>
    <s v="No"/>
    <m/>
    <s v="Required Follow-Up Call"/>
    <s v=""/>
  </r>
  <r>
    <s v="TCK-21673"/>
    <d v="2026-04-03T08:15:00"/>
    <x v="3"/>
    <s v="Talha Nadeem"/>
    <s v="Faisalabad"/>
    <s v="Portal"/>
    <s v="Account Access"/>
    <s v="Critical"/>
    <n v="4"/>
    <s v="Closed"/>
    <d v="2026-04-03T10:49:00"/>
    <s v="Yes"/>
    <m/>
    <s v="Customer Satisfied With Resolution"/>
    <n v="2.5666666666511446"/>
  </r>
  <r>
    <s v="TCK-20765"/>
    <d v="2026-08-28T18:41:00"/>
    <x v="1"/>
    <s v="Zara Hussain"/>
    <s v="Faisalabad"/>
    <s v="Email"/>
    <s v="Delivery Delay"/>
    <s v="Low"/>
    <n v="48"/>
    <s v="Closed"/>
    <d v="2026-08-29T23:11:00"/>
    <s v="No"/>
    <m/>
    <s v="Customer Satisfied With Resolution"/>
    <n v="28.5"/>
  </r>
  <r>
    <s v="TCK-22709"/>
    <d v="2026-04-21T21:31:00"/>
    <x v="3"/>
    <s v="Iqra Basit"/>
    <s v="Faisalabad"/>
    <s v="Email"/>
    <s v="General Inquiry"/>
    <s v="Low"/>
    <n v="48"/>
    <s v="Resolved"/>
    <d v="2026-04-22T01:24:00"/>
    <s v="No"/>
    <m/>
    <s v="Customer Requested Refund"/>
    <n v="3.8833333334187046"/>
  </r>
  <r>
    <s v="TCK-21652"/>
    <d v="2026-08-30T11:19:00"/>
    <x v="3"/>
    <s v="Talha Nadeem"/>
    <s v="Multan"/>
    <s v="Chat"/>
    <s v="Delivery Delay"/>
    <s v="Medium"/>
    <n v="24"/>
    <s v="Open"/>
    <s v="Missing Resolve Date"/>
    <s v="No"/>
    <m/>
    <s v="Escalated To Senior Agent"/>
    <s v=""/>
  </r>
  <r>
    <s v="TCK-21756"/>
    <d v="2026-07-05T11:52:00"/>
    <x v="2"/>
    <s v="Mahnoor Aslam"/>
    <s v="Multan"/>
    <s v="Chat"/>
    <s v="Billing Issue"/>
    <s v="High"/>
    <n v="8"/>
    <s v="Resolved"/>
    <d v="2026-07-06T10:20:00"/>
    <s v="No"/>
    <m/>
    <s v="Awaiting Customer Response"/>
    <n v="22.466666666732635"/>
  </r>
  <r>
    <s v="TCK-20090"/>
    <d v="2026-03-07T12:47:00"/>
    <x v="1"/>
    <s v="Zara Hussain"/>
    <s v="Islamabad"/>
    <s v="Phone"/>
    <s v="Technical Issue"/>
    <s v="Medium"/>
    <n v="24"/>
    <s v="Open"/>
    <s v="Missing Resolve Date"/>
    <s v="Yes"/>
    <m/>
    <s v="Escalated To Senior Agent"/>
    <s v=""/>
  </r>
  <r>
    <s v="TCK-21695"/>
    <d v="2026-04-11T17:20:00"/>
    <x v="0"/>
    <s v="Sadia Anwar"/>
    <s v="Karachi"/>
    <s v="Phone"/>
    <s v="Billing Issue"/>
    <s v="Medium"/>
    <n v="24"/>
    <s v="Closed"/>
    <d v="2026-04-11T21:43:00"/>
    <s v="Yes"/>
    <n v="5"/>
    <s v="Repeat Issue From Same Customer"/>
    <n v="4.3833333334769122"/>
  </r>
  <r>
    <s v="TCK-21381"/>
    <d v="2026-01-07T19:28:00"/>
    <x v="0"/>
    <s v="Sadia Anwar"/>
    <s v="Multan"/>
    <s v="Portal"/>
    <s v="Refund Request"/>
    <s v="Medium"/>
    <n v="24"/>
    <s v="Closed"/>
    <d v="2026-01-08T00:18:00"/>
    <s v="No"/>
    <n v="5"/>
    <s v="Required Follow-Up Call"/>
    <n v="4.8333333331975155"/>
  </r>
  <r>
    <s v="TCK-21082"/>
    <d v="2026-06-20T03:26:00"/>
    <x v="2"/>
    <s v="Mahnoor Aslam"/>
    <s v="Faisalabad"/>
    <s v="Portal"/>
    <s v="Account Access"/>
    <s v="Low"/>
    <n v="48"/>
    <s v="Closed"/>
    <d v="2026-06-21T11:21:00"/>
    <s v="No"/>
    <n v="5"/>
    <s v="Resolved On First Contact"/>
    <n v="31.916666666627862"/>
  </r>
  <r>
    <s v="TCK-20523"/>
    <d v="2026-02-20T06:56:00"/>
    <x v="1"/>
    <s v="Zara Hussain"/>
    <s v="Peshawar"/>
    <s v="Portal"/>
    <s v="General Inquiry"/>
    <s v="Critical"/>
    <n v="4"/>
    <s v="Open"/>
    <s v="Missing Resolve Date"/>
    <s v="No"/>
    <m/>
    <s v="Required Follow-Up Call"/>
    <s v=""/>
  </r>
  <r>
    <s v="TCK-21406"/>
    <d v="2026-07-24T16:19:00"/>
    <x v="3"/>
    <s v="Talha Nadeem"/>
    <s v="Peshawar"/>
    <s v="Chat"/>
    <s v="Account Access"/>
    <s v="Medium"/>
    <n v="24"/>
    <s v="In Progress"/>
    <s v="Missing Resolve Date"/>
    <s v="No"/>
    <m/>
    <s v="Customer Requested Refund"/>
    <s v=""/>
  </r>
  <r>
    <s v="TCK-22995"/>
    <d v="2026-02-21T16:45:00"/>
    <x v="1"/>
    <s v="Ayaan Khalid"/>
    <s v="Faisalabad"/>
    <s v="Phone"/>
    <s v="Delivery Delay"/>
    <s v="High"/>
    <n v="8"/>
    <s v="Resolved"/>
    <d v="2026-02-21T19:37:00"/>
    <s v="No"/>
    <n v="5"/>
    <s v="Technical Issue Resolved Remotely"/>
    <n v="2.8666666667559184"/>
  </r>
  <r>
    <s v="TCK-22882"/>
    <d v="2026-03-07T14:15:00"/>
    <x v="1"/>
    <s v="Zara Hussain"/>
    <s v="Lahore"/>
    <s v="Email"/>
    <s v="Delivery Delay"/>
    <s v="High"/>
    <n v="8"/>
    <s v="Open"/>
    <s v="Missing Resolve Date"/>
    <s v="No"/>
    <m/>
    <s v="Awaiting Customer Response"/>
    <s v=""/>
  </r>
  <r>
    <s v="TCK-22545"/>
    <d v="2026-05-12T11:06:00"/>
    <x v="1"/>
    <s v="Ayaan Khalid"/>
    <s v="Rawalpindi"/>
    <s v="Chat"/>
    <s v="Billing Issue"/>
    <s v="Medium"/>
    <n v="24"/>
    <s v="Closed"/>
    <d v="2026-05-13T05:59:00"/>
    <s v="No"/>
    <m/>
    <s v="Awaiting Customer Response"/>
    <n v="18.883333333244082"/>
  </r>
  <r>
    <s v="TCK-21041"/>
    <d v="2026-05-06T15:07:00"/>
    <x v="2"/>
    <s v="Mahnoor Aslam"/>
    <s v="Multan"/>
    <s v="Chat"/>
    <s v="Technical Issue"/>
    <s v="High"/>
    <n v="8"/>
    <s v="Closed"/>
    <d v="2026-05-06T19:16:00"/>
    <s v="No"/>
    <n v="3"/>
    <s v="Awaiting Customer Response"/>
    <n v="4.1499999999068677"/>
  </r>
  <r>
    <s v="TCK-22165"/>
    <d v="2026-02-04T12:34:00"/>
    <x v="0"/>
    <s v="Sadia Anwar"/>
    <s v="Rawalpindi"/>
    <s v="Phone"/>
    <s v="Delivery Delay"/>
    <s v="High"/>
    <n v="8"/>
    <s v="Escalated"/>
    <s v="Missing Resolve Date"/>
    <s v="Yes"/>
    <m/>
    <s v="Customer Requested Refund"/>
    <s v=""/>
  </r>
  <r>
    <s v="TCK-21582"/>
    <d v="2026-04-06T06:49:00"/>
    <x v="0"/>
    <s v="Rehan Qureshi"/>
    <s v="Peshawar"/>
    <s v="Email"/>
    <s v="Billing Issue"/>
    <s v="Medium"/>
    <n v="24"/>
    <s v="Open"/>
    <s v="Missing Resolve Date"/>
    <s v="No"/>
    <m/>
    <s v="Customer Requested Refund"/>
    <s v=""/>
  </r>
  <r>
    <s v="TCK-22097"/>
    <d v="2026-07-11T11:12:00"/>
    <x v="3"/>
    <s v="Iqra Basit"/>
    <s v="Lahore"/>
    <s v="Portal"/>
    <s v="General Inquiry"/>
    <s v="Low"/>
    <n v="48"/>
    <s v="Open"/>
    <s v="Missing Resolve Date"/>
    <s v="No"/>
    <m/>
    <s v="Required Follow-Up Call"/>
    <s v=""/>
  </r>
  <r>
    <s v="TCK-21474"/>
    <d v="2026-02-05T06:44:00"/>
    <x v="3"/>
    <s v="Iqra Basit"/>
    <s v="Rawalpindi"/>
    <s v="Phone"/>
    <s v="Technical Issue"/>
    <s v="Medium"/>
    <n v="24"/>
    <s v="Open"/>
    <s v="Missing Resolve Date"/>
    <s v="Yes"/>
    <m/>
    <s v="Not Specified"/>
    <s v=""/>
  </r>
  <r>
    <s v="TCK-22321"/>
    <d v="2026-05-07T04:00:00"/>
    <x v="1"/>
    <s v="Ayaan Khalid"/>
    <s v="Rawalpindi"/>
    <s v="Chat"/>
    <s v="Account Access"/>
    <s v="Medium"/>
    <n v="24"/>
    <s v="Resolved"/>
    <d v="2026-05-07T14:30:00"/>
    <s v="No"/>
    <m/>
    <s v="Escalated To Senior Agent"/>
    <n v="10.5"/>
  </r>
  <r>
    <s v="TCK-21276"/>
    <d v="2026-02-11T11:19:00"/>
    <x v="1"/>
    <s v="Zara Hussain"/>
    <s v="Multan"/>
    <s v="Email"/>
    <s v="Account Access"/>
    <s v="High"/>
    <n v="8"/>
    <s v="Resolved"/>
    <d v="2026-02-12T08:19:00"/>
    <s v="No"/>
    <m/>
    <s v="Repeat Issue From Same Customer"/>
    <n v="21"/>
  </r>
  <r>
    <s v="TCK-21050"/>
    <d v="2026-04-18T01:00:00"/>
    <x v="3"/>
    <s v="Talha Nadeem"/>
    <s v="Multan"/>
    <s v="Chat"/>
    <s v="Delivery Delay"/>
    <s v="Low"/>
    <n v="48"/>
    <s v="Resolved"/>
    <d v="2026-04-18T19:57:00"/>
    <s v="No"/>
    <n v="4"/>
    <s v="Resolved On First Contact"/>
    <n v="18.950000000128057"/>
  </r>
  <r>
    <s v="TCK-22672"/>
    <d v="2026-05-11T20:31:00"/>
    <x v="1"/>
    <s v="Ayaan Khalid"/>
    <s v="Multan"/>
    <s v="Portal"/>
    <s v="Account Access"/>
    <s v="Low"/>
    <n v="48"/>
    <s v="Resolved"/>
    <d v="2026-05-13T10:44:00"/>
    <s v="No"/>
    <n v="4"/>
    <s v="Technical Issue Resolved Remotely"/>
    <n v="38.216666666732635"/>
  </r>
  <r>
    <s v="TCK-20609"/>
    <d v="2026-01-28T02:12:00"/>
    <x v="2"/>
    <s v="Bilal Chaudhry"/>
    <s v="Lahore"/>
    <s v="Portal"/>
    <s v="Refund Request"/>
    <s v="High"/>
    <n v="8"/>
    <s v="Resolved"/>
    <s v="Missing Resolve Date"/>
    <s v="No"/>
    <n v="5"/>
    <s v="Customer Satisfied With Resolution"/>
    <s v=""/>
  </r>
  <r>
    <s v="TCK-20525"/>
    <d v="2026-04-24T18:04:00"/>
    <x v="2"/>
    <s v="Bilal Chaudhry"/>
    <s v="Rawalpindi"/>
    <s v="Portal"/>
    <s v="Billing Issue"/>
    <s v="High"/>
    <n v="8"/>
    <s v="Closed"/>
    <d v="2026-04-24T20:53:00"/>
    <s v="No"/>
    <m/>
    <s v="Escalated To Senior Agent"/>
    <n v="2.816666666592937"/>
  </r>
  <r>
    <s v="TCK-20460"/>
    <d v="2026-05-09T10:51:00"/>
    <x v="3"/>
    <s v="Iqra Basit"/>
    <s v="Multan"/>
    <s v="Email"/>
    <s v="Billing Issue"/>
    <s v="Critical"/>
    <n v="4"/>
    <s v="Escalated"/>
    <s v="Missing Resolve Date"/>
    <s v="Yes"/>
    <m/>
    <s v="Required Follow-Up Call"/>
    <s v=""/>
  </r>
  <r>
    <s v="TCK-21163"/>
    <d v="2026-07-13T17:29:00"/>
    <x v="3"/>
    <s v="Iqra Basit"/>
    <s v="Peshawar"/>
    <s v="Email"/>
    <s v="Refund Request"/>
    <s v="Medium"/>
    <n v="24"/>
    <s v="Resolved"/>
    <d v="2026-07-14T00:40:00"/>
    <s v="No"/>
    <n v="5"/>
    <s v="Not Specified"/>
    <n v="7.1833333333488554"/>
  </r>
  <r>
    <s v="TCK-22707"/>
    <d v="2026-03-13T20:22:00"/>
    <x v="0"/>
    <s v="Sadia Anwar"/>
    <s v="Multan"/>
    <s v="Portal"/>
    <s v="Account Access"/>
    <s v="High"/>
    <n v="8"/>
    <s v="Open"/>
    <s v="Missing Resolve Date"/>
    <s v="No"/>
    <m/>
    <s v="Resolved On First Contact"/>
    <s v=""/>
  </r>
  <r>
    <s v="TCK-21961"/>
    <d v="2026-05-19T23:05:00"/>
    <x v="1"/>
    <s v="Ayaan Khalid"/>
    <s v="Not Specified"/>
    <s v="Chat"/>
    <s v="Delivery Delay"/>
    <s v="Low"/>
    <n v="48"/>
    <s v="Closed"/>
    <d v="2026-05-20T14:54:00"/>
    <s v="No"/>
    <m/>
    <s v="Not Specified"/>
    <n v="15.816666666709352"/>
  </r>
  <r>
    <s v="TCK-21213"/>
    <d v="2026-02-18T23:44:00"/>
    <x v="0"/>
    <s v="Rehan Qureshi"/>
    <s v="Rawalpindi"/>
    <s v="Portal"/>
    <s v="Billing Issue"/>
    <s v="Medium"/>
    <n v="24"/>
    <s v="Escalated"/>
    <s v="Missing Resolve Date"/>
    <s v="Yes"/>
    <m/>
    <s v="Customer Satisfied With Resolution"/>
    <s v=""/>
  </r>
  <r>
    <s v="TCK-21674"/>
    <d v="2026-05-16T13:27:00"/>
    <x v="1"/>
    <s v="Zara Hussain"/>
    <s v="Peshawar"/>
    <s v="Portal"/>
    <s v="Account Access"/>
    <s v="High"/>
    <n v="8"/>
    <s v="Closed"/>
    <d v="2026-05-16T15:55:00"/>
    <s v="No"/>
    <n v="4"/>
    <s v="Resolved On First Contact"/>
    <n v="2.4666666666744277"/>
  </r>
  <r>
    <s v="TCK-21843"/>
    <d v="2026-06-15T18:43:00"/>
    <x v="3"/>
    <s v="Iqra Basit"/>
    <s v="Peshawar"/>
    <s v="Portal"/>
    <s v="Billing Issue"/>
    <s v="Critical"/>
    <n v="4"/>
    <s v="Closed"/>
    <s v="Missing Resolve Date"/>
    <s v="No"/>
    <n v="3"/>
    <s v="Awaiting Customer Response"/>
    <s v=""/>
  </r>
  <r>
    <s v="TCK-20710"/>
    <d v="2026-07-10T10:54:00"/>
    <x v="2"/>
    <s v="Mahnoor Aslam"/>
    <s v="Lahore"/>
    <s v="Phone"/>
    <s v="General Inquiry"/>
    <s v="Medium"/>
    <n v="24"/>
    <s v="Closed"/>
    <d v="2026-07-10T11:31:00"/>
    <s v="No"/>
    <m/>
    <s v="Escalated To Senior Agent"/>
    <n v="0.61666666658129543"/>
  </r>
  <r>
    <s v="TCK-21794"/>
    <d v="2026-03-21T00:03:00"/>
    <x v="0"/>
    <s v="Sadia Anwar"/>
    <s v="Multan"/>
    <s v="Email"/>
    <s v="Refund Request"/>
    <s v="High"/>
    <n v="8"/>
    <s v="Re-Opened"/>
    <d v="2026-03-21T09:50:00"/>
    <s v="Yes"/>
    <m/>
    <s v="Awaiting Customer Response"/>
    <n v="9.7833333332673647"/>
  </r>
  <r>
    <s v="TCK-22297"/>
    <d v="2026-01-26T02:21:00"/>
    <x v="2"/>
    <s v="Mahnoor Aslam"/>
    <s v="Faisalabad"/>
    <s v="Phone"/>
    <s v="Technical Issue"/>
    <s v="High"/>
    <n v="8"/>
    <s v="Escalated"/>
    <s v="Missing Resolve Date"/>
    <s v="Yes"/>
    <m/>
    <s v="Escalated To Senior Agent"/>
    <s v=""/>
  </r>
  <r>
    <s v="TCK-22173"/>
    <d v="2026-05-07T01:49:00"/>
    <x v="3"/>
    <s v="Talha Nadeem"/>
    <s v="Multan"/>
    <s v="Email"/>
    <s v="Refund Request"/>
    <s v="Medium"/>
    <n v="24"/>
    <s v="Resolved"/>
    <d v="2026-05-07T06:20:00"/>
    <s v="No"/>
    <m/>
    <s v="Customer Satisfied With Resolution"/>
    <n v="4.5166666667209938"/>
  </r>
  <r>
    <s v="TCK-21795"/>
    <d v="2026-08-22T23:57:00"/>
    <x v="2"/>
    <s v="Bilal Chaudhry"/>
    <s v="Rawalpindi"/>
    <s v="Portal"/>
    <s v="Account Access"/>
    <s v="Medium"/>
    <n v="24"/>
    <s v="Re-Opened"/>
    <d v="2026-08-23T08:36:00"/>
    <s v="No"/>
    <m/>
    <s v="Required Follow-Up Call"/>
    <n v="8.6499999999068677"/>
  </r>
  <r>
    <s v="TCK-21174"/>
    <d v="2026-07-02T21:46:00"/>
    <x v="0"/>
    <s v="Sadia Anwar"/>
    <s v="Islamabad"/>
    <s v="Chat"/>
    <s v="Account Access"/>
    <s v="Medium"/>
    <n v="24"/>
    <s v="Re-Opened"/>
    <d v="2026-07-03T17:52:00"/>
    <s v="No"/>
    <m/>
    <s v="Escalated To Senior Agent"/>
    <n v="20.099999999860302"/>
  </r>
  <r>
    <s v="TCK-21947"/>
    <d v="2026-05-01T18:21:00"/>
    <x v="2"/>
    <s v="Bilal Chaudhry"/>
    <s v="Peshawar"/>
    <s v="Chat"/>
    <s v="Account Access"/>
    <s v="High"/>
    <n v="8"/>
    <s v="Re-Opened"/>
    <d v="2026-05-01T18:57:00"/>
    <s v="No"/>
    <m/>
    <s v="Not Specified"/>
    <n v="0.6000000000349246"/>
  </r>
  <r>
    <s v="TCK-20962"/>
    <d v="2026-06-14T08:39:00"/>
    <x v="2"/>
    <s v="Bilal Chaudhry"/>
    <s v="Faisalabad"/>
    <s v="Chat"/>
    <s v="Refund Request"/>
    <s v="Low"/>
    <n v="48"/>
    <s v="Resolved"/>
    <d v="2026-06-16T00:02:00"/>
    <s v="No"/>
    <m/>
    <s v="Not Specified"/>
    <n v="39.383333333185874"/>
  </r>
  <r>
    <s v="TCK-22513"/>
    <d v="2026-02-18T02:01:00"/>
    <x v="1"/>
    <s v="Ayaan Khalid"/>
    <s v="Rawalpindi"/>
    <s v="Chat"/>
    <s v="Refund Request"/>
    <s v="Low"/>
    <n v="48"/>
    <s v="Resolved"/>
    <d v="2026-02-19T11:35:00"/>
    <s v="No"/>
    <m/>
    <s v="Not Specified"/>
    <n v="33.56666666676756"/>
  </r>
  <r>
    <s v="TCK-22389"/>
    <d v="2026-06-21T05:25:00"/>
    <x v="1"/>
    <s v="Ayaan Khalid"/>
    <s v="Peshawar"/>
    <s v="Phone"/>
    <s v="Delivery Delay"/>
    <s v="Critical"/>
    <n v="4"/>
    <s v="Escalated"/>
    <s v="Missing Resolve Date"/>
    <s v="Yes"/>
    <m/>
    <s v="Customer Satisfied With Resolution"/>
    <s v=""/>
  </r>
  <r>
    <s v="TCK-22130"/>
    <d v="2026-07-20T04:02:00"/>
    <x v="2"/>
    <s v="Bilal Chaudhry"/>
    <s v="Rawalpindi"/>
    <s v="Chat"/>
    <s v="Billing Issue"/>
    <s v="High"/>
    <n v="8"/>
    <s v="In Progress"/>
    <s v="Missing Resolve Date"/>
    <s v="No"/>
    <m/>
    <s v="Repeat Issue From Same Customer"/>
    <s v=""/>
  </r>
  <r>
    <s v="TCK-20228"/>
    <d v="2026-01-07T15:06:00"/>
    <x v="1"/>
    <s v="Zara Hussain"/>
    <s v="Islamabad"/>
    <s v="Portal"/>
    <s v="Refund Request"/>
    <s v="Medium"/>
    <n v="24"/>
    <s v="In Progress"/>
    <s v="Missing Resolve Date"/>
    <s v="No"/>
    <m/>
    <s v="Escalated To Senior Agent"/>
    <s v=""/>
  </r>
  <r>
    <s v="TCK-23092"/>
    <d v="2026-07-04T15:51:00"/>
    <x v="2"/>
    <s v="Bilal Chaudhry"/>
    <s v="Rawalpindi"/>
    <s v="Phone"/>
    <s v="General Inquiry"/>
    <s v="Medium"/>
    <n v="24"/>
    <s v="Resolved"/>
    <d v="2026-07-05T09:12:00"/>
    <s v="No"/>
    <n v="5"/>
    <s v="Technical Issue Resolved Remotely"/>
    <n v="17.349999999976717"/>
  </r>
  <r>
    <s v="TCK-21639"/>
    <d v="2026-08-15T23:18:00"/>
    <x v="2"/>
    <s v="Mahnoor Aslam"/>
    <s v="Islamabad"/>
    <s v="Phone"/>
    <s v="Account Access"/>
    <s v="High"/>
    <n v="8"/>
    <s v="Resolved"/>
    <d v="2026-08-16T03:35:00"/>
    <s v="No"/>
    <n v="3"/>
    <s v="Escalated To Senior Agent"/>
    <n v="4.2833333333255723"/>
  </r>
  <r>
    <s v="TCK-23027"/>
    <d v="2026-08-18T10:19:00"/>
    <x v="0"/>
    <s v="Rehan Qureshi"/>
    <s v="Rawalpindi"/>
    <s v="Phone"/>
    <s v="Billing Issue"/>
    <s v="Low"/>
    <n v="48"/>
    <s v="Resolved"/>
    <d v="2026-08-22T07:54:00"/>
    <s v="No"/>
    <n v="5"/>
    <s v="Technical Issue Resolved Remotely"/>
    <n v="93.583333333488554"/>
  </r>
  <r>
    <s v="TCK-20441"/>
    <d v="2026-03-06T01:48:00"/>
    <x v="1"/>
    <s v="Zara Hussain"/>
    <s v="Rawalpindi"/>
    <s v="Portal"/>
    <s v="Account Access"/>
    <s v="Low"/>
    <n v="48"/>
    <s v="Resolved"/>
    <d v="2026-03-11T03:05:00"/>
    <s v="Yes"/>
    <n v="2"/>
    <s v="Not Specified"/>
    <n v="121.28333333332557"/>
  </r>
  <r>
    <s v="TCK-20036"/>
    <d v="2026-07-07T17:31:00"/>
    <x v="1"/>
    <s v="Zara Hussain"/>
    <s v="Islamabad"/>
    <s v="Phone"/>
    <s v="Account Access"/>
    <s v="Medium"/>
    <n v="24"/>
    <s v="Closed"/>
    <d v="2026-07-09T21:56:00"/>
    <s v="No"/>
    <m/>
    <s v="Repeat Issue From Same Customer"/>
    <n v="52.416666666744277"/>
  </r>
  <r>
    <s v="TCK-21619"/>
    <d v="2026-07-11T19:14:00"/>
    <x v="0"/>
    <s v="Rehan Qureshi"/>
    <s v="Rawalpindi"/>
    <s v="Portal"/>
    <s v="Refund Request"/>
    <s v="High"/>
    <n v="8"/>
    <s v="Resolved"/>
    <d v="2026-07-12T07:43:00"/>
    <s v="No"/>
    <m/>
    <s v="Repeat Issue From Same Customer"/>
    <n v="12.483333333337214"/>
  </r>
  <r>
    <s v="TCK-22527"/>
    <d v="2026-05-17T07:20:00"/>
    <x v="0"/>
    <s v="Sadia Anwar"/>
    <s v="Rawalpindi"/>
    <s v="Email"/>
    <s v="General Inquiry"/>
    <s v="Low"/>
    <n v="48"/>
    <s v="Resolved"/>
    <d v="2026-05-18T09:26:00"/>
    <s v="No"/>
    <n v="5"/>
    <s v="Resolved On First Contact"/>
    <n v="26.100000000034925"/>
  </r>
  <r>
    <s v="TCK-21690"/>
    <d v="2026-04-04T05:05:00"/>
    <x v="3"/>
    <s v="Talha Nadeem"/>
    <s v="Karachi"/>
    <s v="Chat"/>
    <s v="Delivery Delay"/>
    <s v="Medium"/>
    <n v="24"/>
    <s v="Open"/>
    <s v="Missing Resolve Date"/>
    <s v="Yes"/>
    <m/>
    <s v="Awaiting Customer Response"/>
    <s v=""/>
  </r>
  <r>
    <s v="TCK-21799"/>
    <d v="2026-08-12T00:38:00"/>
    <x v="0"/>
    <s v="Rehan Qureshi"/>
    <s v="Karachi"/>
    <s v="Chat"/>
    <s v="Delivery Delay"/>
    <s v="Low"/>
    <n v="48"/>
    <s v="Resolved"/>
    <d v="2026-08-17T13:45:00"/>
    <s v="No"/>
    <n v="2"/>
    <s v="Not Specified"/>
    <n v="133.1166666666395"/>
  </r>
  <r>
    <s v="TCK-22934"/>
    <d v="2026-05-24T11:14:00"/>
    <x v="3"/>
    <s v="Talha Nadeem"/>
    <s v="Multan"/>
    <s v="Phone"/>
    <s v="General Inquiry"/>
    <s v="Low"/>
    <n v="48"/>
    <s v="Closed"/>
    <d v="2026-05-24T22:19:00"/>
    <s v="No"/>
    <m/>
    <s v="Required Follow-Up Call"/>
    <n v="11.083333333313931"/>
  </r>
  <r>
    <s v="TCK-20040"/>
    <d v="2026-03-07T13:03:00"/>
    <x v="3"/>
    <s v="Iqra Basit"/>
    <s v="Rawalpindi"/>
    <s v="Portal"/>
    <s v="Refund Request"/>
    <s v="High"/>
    <n v="8"/>
    <s v="Resolved"/>
    <d v="2026-03-07T18:34:00"/>
    <s v="No"/>
    <m/>
    <s v="Required Follow-Up Call"/>
    <n v="5.5166666666627862"/>
  </r>
  <r>
    <s v="TCK-20665"/>
    <d v="2026-07-08T19:55:00"/>
    <x v="3"/>
    <s v="Talha Nadeem"/>
    <s v="Lahore"/>
    <s v="Portal"/>
    <s v="Account Access"/>
    <s v="Medium"/>
    <n v="24"/>
    <s v="Re-Opened"/>
    <d v="2026-07-09T17:23:00"/>
    <s v="No"/>
    <m/>
    <s v="Technical Issue Resolved Remotely"/>
    <n v="21.466666666790843"/>
  </r>
  <r>
    <s v="TCK-20054"/>
    <d v="2026-04-27T19:39:00"/>
    <x v="3"/>
    <s v="Talha Nadeem"/>
    <s v="Rawalpindi"/>
    <s v="Portal"/>
    <s v="Account Access"/>
    <s v="Medium"/>
    <n v="24"/>
    <s v="Closed"/>
    <d v="2026-04-28T13:46:00"/>
    <s v="No"/>
    <m/>
    <s v="Escalated To Senior Agent"/>
    <n v="18.116666666697711"/>
  </r>
  <r>
    <s v="TCK-21020"/>
    <d v="2026-06-08T04:35:00"/>
    <x v="3"/>
    <s v="Iqra Basit"/>
    <s v="Karachi"/>
    <s v="Phone"/>
    <s v="Account Access"/>
    <s v="Low"/>
    <n v="48"/>
    <s v="Open"/>
    <s v="Missing Resolve Date"/>
    <s v="No"/>
    <m/>
    <s v="Technical Issue Resolved Remotely"/>
    <s v=""/>
  </r>
  <r>
    <s v="TCK-20854"/>
    <d v="2026-02-01T01:38:00"/>
    <x v="0"/>
    <s v="Sadia Anwar"/>
    <s v="Peshawar"/>
    <s v="Portal"/>
    <s v="General Inquiry"/>
    <s v="High"/>
    <n v="8"/>
    <s v="Resolved"/>
    <d v="2026-02-01T18:46:00"/>
    <s v="No"/>
    <n v="3"/>
    <s v="Awaiting Customer Response"/>
    <n v="17.133333333302289"/>
  </r>
  <r>
    <s v="TCK-21095"/>
    <d v="2026-07-06T07:07:00"/>
    <x v="1"/>
    <s v="Zara Hussain"/>
    <s v="Islamabad"/>
    <s v="Portal"/>
    <s v="Delivery Delay"/>
    <s v="High"/>
    <n v="8"/>
    <s v="Closed"/>
    <d v="2026-07-06T09:18:00"/>
    <s v="No"/>
    <n v="1"/>
    <s v="Repeat Issue From Same Customer"/>
    <n v="2.1833333332906477"/>
  </r>
  <r>
    <s v="TCK-21458"/>
    <d v="2026-03-30T13:48:00"/>
    <x v="3"/>
    <s v="Iqra Basit"/>
    <s v="Lahore"/>
    <s v="Phone"/>
    <s v="Delivery Delay"/>
    <s v="High"/>
    <n v="8"/>
    <s v="Resolved"/>
    <d v="2026-03-31T02:37:00"/>
    <s v="No"/>
    <n v="5"/>
    <s v="Required Follow-Up Call"/>
    <n v="12.816666666709352"/>
  </r>
  <r>
    <s v="TCK-22825"/>
    <d v="2026-08-24T21:17:00"/>
    <x v="3"/>
    <s v="Talha Nadeem"/>
    <s v="Faisalabad"/>
    <s v="Chat"/>
    <s v="Technical Issue"/>
    <s v="Medium"/>
    <n v="24"/>
    <s v="Closed"/>
    <d v="2026-08-25T01:18:00"/>
    <s v="No"/>
    <m/>
    <s v="Resolved On First Contact"/>
    <n v="4.0166666666627862"/>
  </r>
  <r>
    <s v="TCK-22808"/>
    <d v="2026-05-08T12:24:00"/>
    <x v="0"/>
    <s v="Sadia Anwar"/>
    <s v="Lahore"/>
    <s v="Email"/>
    <s v="Account Access"/>
    <s v="Low"/>
    <n v="48"/>
    <s v="Resolved"/>
    <d v="2026-05-08T17:47:00"/>
    <s v="No"/>
    <m/>
    <s v="Not Specified"/>
    <n v="5.3833333332440816"/>
  </r>
  <r>
    <s v="TCK-21885"/>
    <d v="2026-08-13T08:05:00"/>
    <x v="0"/>
    <s v="Rehan Qureshi"/>
    <s v="Lahore"/>
    <s v="Chat"/>
    <s v="Technical Issue"/>
    <s v="Low"/>
    <n v="48"/>
    <s v="Resolved"/>
    <d v="2026-08-14T03:56:00"/>
    <s v="No"/>
    <m/>
    <s v="Not Specified"/>
    <n v="19.850000000093132"/>
  </r>
  <r>
    <s v="TCK-22509"/>
    <d v="2026-04-30T09:21:00"/>
    <x v="2"/>
    <s v="Bilal Chaudhry"/>
    <s v="Peshawar"/>
    <s v="Email"/>
    <s v="Billing Issue"/>
    <s v="High"/>
    <n v="8"/>
    <s v="Escalated"/>
    <s v="Missing Resolve Date"/>
    <s v="Yes"/>
    <m/>
    <s v="Technical Issue Resolved Remotely"/>
    <s v=""/>
  </r>
  <r>
    <s v="TCK-20982"/>
    <d v="2026-03-01T02:34:00"/>
    <x v="3"/>
    <s v="Iqra Basit"/>
    <s v="Rawalpindi"/>
    <s v="Portal"/>
    <s v="Account Access"/>
    <s v="Medium"/>
    <n v="24"/>
    <s v="Escalated"/>
    <s v="Missing Resolve Date"/>
    <s v="Yes"/>
    <m/>
    <s v="Customer Satisfied With Resolution"/>
    <s v=""/>
  </r>
  <r>
    <s v="TCK-21214"/>
    <d v="2026-01-24T14:34:00"/>
    <x v="3"/>
    <s v="Iqra Basit"/>
    <s v="Multan"/>
    <s v="Chat"/>
    <s v="Technical Issue"/>
    <s v="Medium"/>
    <n v="24"/>
    <s v="Resolved"/>
    <d v="2026-01-24T16:40:00"/>
    <s v="No"/>
    <m/>
    <s v="Escalated To Senior Agent"/>
    <n v="2.1000000000349246"/>
  </r>
  <r>
    <s v="TCK-21430"/>
    <d v="2026-01-05T08:53:00"/>
    <x v="0"/>
    <s v="Rehan Qureshi"/>
    <s v="Peshawar"/>
    <s v="Portal"/>
    <s v="Account Access"/>
    <s v="Medium"/>
    <n v="24"/>
    <s v="Closed"/>
    <d v="2026-01-05T13:15:00"/>
    <s v="No"/>
    <m/>
    <s v="Required Follow-Up Call"/>
    <n v="4.3666666667559184"/>
  </r>
  <r>
    <s v="TCK-22045"/>
    <d v="2026-01-04T04:56:00"/>
    <x v="1"/>
    <s v="Zara Hussain"/>
    <s v="Karachi"/>
    <s v="Phone"/>
    <s v="Billing Issue"/>
    <s v="High"/>
    <n v="8"/>
    <s v="Re-Opened"/>
    <d v="2026-01-04T11:46:00"/>
    <s v="No"/>
    <m/>
    <s v="Repeat Issue From Same Customer"/>
    <n v="6.8333333332557231"/>
  </r>
  <r>
    <s v="TCK-20391"/>
    <d v="2026-07-05T05:49:00"/>
    <x v="2"/>
    <s v="Mahnoor Aslam"/>
    <s v="Lahore"/>
    <s v="Portal"/>
    <s v="Refund Request"/>
    <s v="Medium"/>
    <n v="24"/>
    <s v="Resolved"/>
    <d v="2026-07-05T19:22:00"/>
    <s v="No"/>
    <m/>
    <s v="Customer Satisfied With Resolution"/>
    <n v="13.549999999988358"/>
  </r>
  <r>
    <s v="TCK-21287"/>
    <d v="2026-08-01T23:31:00"/>
    <x v="3"/>
    <s v="Talha Nadeem"/>
    <s v="Rawalpindi"/>
    <s v="Portal"/>
    <s v="Delivery Delay"/>
    <s v="Low"/>
    <n v="48"/>
    <s v="Closed"/>
    <d v="2026-08-02T07:34:00"/>
    <s v="No"/>
    <n v="5"/>
    <s v="Resolved On First Contact"/>
    <n v="8.0500000000465661"/>
  </r>
  <r>
    <s v="TCK-22599"/>
    <d v="2026-05-12T11:15:00"/>
    <x v="2"/>
    <s v="Bilal Chaudhry"/>
    <s v="Lahore"/>
    <s v="Chat"/>
    <s v="Delivery Delay"/>
    <s v="Low"/>
    <n v="48"/>
    <s v="Resolved"/>
    <d v="2026-05-13T08:49:00"/>
    <s v="Yes"/>
    <n v="5"/>
    <s v="Technical Issue Resolved Remotely"/>
    <n v="21.566666666592937"/>
  </r>
  <r>
    <s v="TCK-20093"/>
    <d v="2026-03-21T20:35:00"/>
    <x v="2"/>
    <s v="Bilal Chaudhry"/>
    <s v="Multan"/>
    <s v="Portal"/>
    <s v="Technical Issue"/>
    <s v="Critical"/>
    <n v="4"/>
    <s v="Closed"/>
    <d v="2026-03-21T23:08:00"/>
    <s v="No"/>
    <m/>
    <s v="Awaiting Customer Response"/>
    <n v="2.5499999999301508"/>
  </r>
  <r>
    <s v="TCK-20565"/>
    <d v="2026-06-17T05:57:00"/>
    <x v="3"/>
    <s v="Iqra Basit"/>
    <s v="Karachi"/>
    <s v="Email"/>
    <s v="Account Access"/>
    <s v="Medium"/>
    <n v="24"/>
    <s v="In Progress"/>
    <s v="Missing Resolve Date"/>
    <s v="No"/>
    <m/>
    <s v="Escalated To Senior Agent"/>
    <s v=""/>
  </r>
  <r>
    <s v="TCK-22412"/>
    <d v="2026-03-06T10:36:00"/>
    <x v="2"/>
    <s v="Mahnoor Aslam"/>
    <s v="Peshawar"/>
    <s v="Portal"/>
    <s v="Technical Issue"/>
    <s v="Critical"/>
    <n v="4"/>
    <s v="In Progress"/>
    <s v="Missing Resolve Date"/>
    <s v="No"/>
    <m/>
    <s v="Required Follow-Up Call"/>
    <s v=""/>
  </r>
  <r>
    <s v="TCK-21853"/>
    <d v="2026-05-12T10:36:00"/>
    <x v="0"/>
    <s v="Rehan Qureshi"/>
    <s v="Rawalpindi"/>
    <s v="Chat"/>
    <s v="Refund Request"/>
    <s v="Low"/>
    <n v="48"/>
    <s v="In Progress"/>
    <s v="Missing Resolve Date"/>
    <s v="No"/>
    <m/>
    <s v="Repeat Issue From Same Customer"/>
    <s v=""/>
  </r>
  <r>
    <s v="TCK-21739"/>
    <d v="2026-03-06T13:03:00"/>
    <x v="2"/>
    <s v="Mahnoor Aslam"/>
    <s v="Karachi"/>
    <s v="Chat"/>
    <s v="Delivery Delay"/>
    <s v="Medium"/>
    <n v="24"/>
    <s v="Closed"/>
    <d v="2026-03-09T06:33:00"/>
    <s v="No"/>
    <n v="2"/>
    <s v="Resolved On First Contact"/>
    <n v="65.500000000116415"/>
  </r>
  <r>
    <s v="TCK-20275"/>
    <d v="2026-01-09T23:26:00"/>
    <x v="2"/>
    <s v="Mahnoor Aslam"/>
    <s v="Rawalpindi"/>
    <s v="Chat"/>
    <s v="Billing Issue"/>
    <s v="High"/>
    <n v="8"/>
    <s v="Resolved"/>
    <d v="2026-01-10T00:01:00"/>
    <s v="No"/>
    <n v="4"/>
    <s v="Required Follow-Up Call"/>
    <n v="0.58333333331393078"/>
  </r>
  <r>
    <s v="TCK-20251"/>
    <d v="2026-01-24T08:21:00"/>
    <x v="2"/>
    <s v="Mahnoor Aslam"/>
    <s v="Karachi"/>
    <s v="Phone"/>
    <s v="Account Access"/>
    <s v="Medium"/>
    <n v="24"/>
    <s v="Resolved"/>
    <d v="2026-01-24T09:51:00"/>
    <s v="No"/>
    <n v="5"/>
    <s v="Customer Requested Refund"/>
    <n v="1.5"/>
  </r>
  <r>
    <s v="TCK-21637"/>
    <d v="2026-01-31T07:50:00"/>
    <x v="0"/>
    <s v="Sadia Anwar"/>
    <s v="Peshawar"/>
    <s v="Email"/>
    <s v="General Inquiry"/>
    <s v="Medium"/>
    <n v="24"/>
    <s v="In Progress"/>
    <s v="Missing Resolve Date"/>
    <s v="No"/>
    <m/>
    <s v="Customer Requested Refund"/>
    <s v=""/>
  </r>
  <r>
    <s v="TCK-21110"/>
    <d v="2026-06-07T01:28:00"/>
    <x v="2"/>
    <s v="Bilal Chaudhry"/>
    <s v="Karachi"/>
    <s v="Chat"/>
    <s v="Account Access"/>
    <s v="Critical"/>
    <n v="4"/>
    <s v="Resolved"/>
    <d v="2026-06-07T08:13:00"/>
    <s v="No"/>
    <n v="5"/>
    <s v="Technical Issue Resolved Remotely"/>
    <n v="6.75"/>
  </r>
  <r>
    <s v="TCK-21765"/>
    <d v="2026-08-10T15:18:00"/>
    <x v="3"/>
    <s v="Talha Nadeem"/>
    <s v="Rawalpindi"/>
    <s v="Phone"/>
    <s v="Refund Request"/>
    <s v="High"/>
    <n v="8"/>
    <s v="Escalated"/>
    <s v="Missing Resolve Date"/>
    <s v="Yes"/>
    <m/>
    <s v="Not Specified"/>
    <s v=""/>
  </r>
  <r>
    <s v="TCK-21693"/>
    <d v="2026-04-01T20:14:00"/>
    <x v="1"/>
    <s v="Zara Hussain"/>
    <s v="Lahore"/>
    <s v="Portal"/>
    <s v="General Inquiry"/>
    <s v="Medium"/>
    <n v="24"/>
    <s v="Resolved"/>
    <d v="2026-04-02T07:07:00"/>
    <s v="No"/>
    <n v="4"/>
    <s v="Repeat Issue From Same Customer"/>
    <n v="10.883333333360497"/>
  </r>
  <r>
    <s v="TCK-23100"/>
    <d v="2026-04-29T04:26:00"/>
    <x v="0"/>
    <s v="Rehan Qureshi"/>
    <s v="Islamabad"/>
    <s v="Email"/>
    <s v="Account Access"/>
    <s v="High"/>
    <n v="8"/>
    <s v="Re-Opened"/>
    <d v="2026-04-29T11:23:00"/>
    <s v="No"/>
    <m/>
    <s v="Not Specified"/>
    <n v="6.9500000001280569"/>
  </r>
  <r>
    <s v="TCK-21689"/>
    <d v="2026-03-28T15:15:00"/>
    <x v="3"/>
    <s v="Iqra Basit"/>
    <s v="Lahore"/>
    <s v="Portal"/>
    <s v="Account Access"/>
    <s v="Low"/>
    <n v="48"/>
    <s v="Open"/>
    <s v="Missing Resolve Date"/>
    <s v="No"/>
    <m/>
    <s v="Escalated To Senior Agent"/>
    <s v=""/>
  </r>
  <r>
    <s v="TCK-22110"/>
    <d v="2026-04-08T10:43:00"/>
    <x v="3"/>
    <s v="Iqra Basit"/>
    <s v="Peshawar"/>
    <s v="Email"/>
    <s v="Account Access"/>
    <s v="Medium"/>
    <n v="24"/>
    <s v="Escalated"/>
    <s v="Missing Resolve Date"/>
    <s v="Yes"/>
    <m/>
    <s v="Resolved On First Contact"/>
    <s v=""/>
  </r>
  <r>
    <s v="TCK-22510"/>
    <d v="2026-05-26T10:08:00"/>
    <x v="1"/>
    <s v="Ayaan Khalid"/>
    <s v="Rawalpindi"/>
    <s v="Portal"/>
    <s v="General Inquiry"/>
    <s v="Low"/>
    <n v="48"/>
    <s v="Escalated"/>
    <s v="Missing Resolve Date"/>
    <s v="Yes"/>
    <m/>
    <s v="Escalated To Senior Agent"/>
    <s v=""/>
  </r>
  <r>
    <s v="TCK-21788"/>
    <d v="2026-08-30T23:18:00"/>
    <x v="0"/>
    <s v="Sadia Anwar"/>
    <s v="Karachi"/>
    <s v="Email"/>
    <s v="Refund Request"/>
    <s v="Low"/>
    <n v="48"/>
    <s v="Closed"/>
    <d v="2026-08-30T23:59:00"/>
    <s v="No"/>
    <n v="4"/>
    <s v="Required Follow-Up Call"/>
    <n v="0.68333333329064772"/>
  </r>
  <r>
    <s v="TCK-21161"/>
    <d v="2026-08-19T00:55:00"/>
    <x v="0"/>
    <s v="Sadia Anwar"/>
    <s v="Faisalabad"/>
    <s v="Portal"/>
    <s v="Refund Request"/>
    <s v="Medium"/>
    <n v="24"/>
    <s v="Open"/>
    <s v="Missing Resolve Date"/>
    <s v="No"/>
    <m/>
    <s v="Not Specified"/>
    <s v=""/>
  </r>
  <r>
    <s v="TCK-21014"/>
    <d v="2026-05-18T18:30:00"/>
    <x v="2"/>
    <s v="Mahnoor Aslam"/>
    <s v="Rawalpindi"/>
    <s v="Portal"/>
    <s v="Technical Issue"/>
    <s v="Low"/>
    <n v="48"/>
    <s v="Re-Opened"/>
    <d v="2026-05-19T07:03:00"/>
    <s v="No"/>
    <m/>
    <s v="Customer Satisfied With Resolution"/>
    <n v="12.549999999871943"/>
  </r>
  <r>
    <s v="TCK-20839"/>
    <d v="2026-04-26T07:53:00"/>
    <x v="3"/>
    <s v="Iqra Basit"/>
    <s v="Peshawar"/>
    <s v="Portal"/>
    <s v="Delivery Delay"/>
    <s v="Medium"/>
    <n v="24"/>
    <s v="Resolved"/>
    <d v="2026-04-26T16:18:00"/>
    <s v="No"/>
    <m/>
    <s v="Escalated To Senior Agent"/>
    <n v="8.4166666666860692"/>
  </r>
  <r>
    <s v="TCK-23099"/>
    <d v="2026-01-13T20:23:00"/>
    <x v="3"/>
    <s v="Iqra Basit"/>
    <s v="Lahore"/>
    <s v="Phone"/>
    <s v="Billing Issue"/>
    <s v="Low"/>
    <n v="48"/>
    <s v="Open"/>
    <s v="Missing Resolve Date"/>
    <s v="No"/>
    <m/>
    <s v="Not Specified"/>
    <s v=""/>
  </r>
  <r>
    <s v="TCK-22283"/>
    <d v="2026-08-17T07:42:00"/>
    <x v="0"/>
    <s v="Rehan Qureshi"/>
    <s v="Karachi"/>
    <s v="Chat"/>
    <s v="Technical Issue"/>
    <s v="High"/>
    <n v="8"/>
    <s v="Open"/>
    <s v="Missing Resolve Date"/>
    <s v="No"/>
    <m/>
    <s v="Not Specified"/>
    <s v=""/>
  </r>
  <r>
    <s v="TCK-20667"/>
    <d v="2026-04-05T15:50:00"/>
    <x v="1"/>
    <s v="Zara Hussain"/>
    <s v="Rawalpindi"/>
    <s v="Email"/>
    <s v="Billing Issue"/>
    <s v="Low"/>
    <n v="48"/>
    <s v="Resolved"/>
    <d v="2026-04-05T20:04:00"/>
    <s v="No"/>
    <n v="5"/>
    <s v="Not Specified"/>
    <n v="4.2333333333372138"/>
  </r>
  <r>
    <s v="TCK-21627"/>
    <d v="2026-08-06T01:26:00"/>
    <x v="0"/>
    <s v="Rehan Qureshi"/>
    <s v="Multan"/>
    <s v="Email"/>
    <s v="Account Access"/>
    <s v="High"/>
    <n v="8"/>
    <s v="Resolved"/>
    <s v="Missing Resolve Date"/>
    <s v="No"/>
    <n v="5"/>
    <s v="Resolved On First Contact"/>
    <s v=""/>
  </r>
  <r>
    <s v="TCK-22691"/>
    <d v="2026-07-29T08:41:00"/>
    <x v="1"/>
    <s v="Zara Hussain"/>
    <s v="Lahore"/>
    <s v="Phone"/>
    <s v="Refund Request"/>
    <s v="High"/>
    <n v="8"/>
    <s v="In Progress"/>
    <s v="Missing Resolve Date"/>
    <s v="No"/>
    <m/>
    <s v="Not Specified"/>
    <s v=""/>
  </r>
  <r>
    <s v="TCK-21638"/>
    <d v="2026-02-25T08:04:00"/>
    <x v="0"/>
    <s v="Rehan Qureshi"/>
    <s v="Islamabad"/>
    <s v="Portal"/>
    <s v="General Inquiry"/>
    <s v="Medium"/>
    <n v="24"/>
    <s v="Closed"/>
    <d v="2026-02-25T12:14:00"/>
    <s v="No"/>
    <n v="5"/>
    <s v="Resolved On First Contact"/>
    <n v="4.1666666668024845"/>
  </r>
  <r>
    <s v="TCK-20703"/>
    <d v="2026-01-18T05:27:00"/>
    <x v="0"/>
    <s v="Rehan Qureshi"/>
    <s v="Peshawar"/>
    <s v="Chat"/>
    <s v="Delivery Delay"/>
    <s v="Medium"/>
    <n v="24"/>
    <s v="Open"/>
    <s v="Missing Resolve Date"/>
    <s v="No"/>
    <m/>
    <s v="Not Specified"/>
    <s v=""/>
  </r>
  <r>
    <s v="TCK-21714"/>
    <d v="2026-06-13T10:56:00"/>
    <x v="1"/>
    <s v="Ayaan Khalid"/>
    <s v="Islamabad"/>
    <s v="Email"/>
    <s v="General Inquiry"/>
    <s v="High"/>
    <n v="8"/>
    <s v="Resolved"/>
    <d v="2026-06-13T14:44:00"/>
    <s v="No"/>
    <n v="3"/>
    <s v="Customer Requested Refund"/>
    <n v="3.7999999999883585"/>
  </r>
  <r>
    <s v="TCK-22265"/>
    <d v="2026-04-14T21:50:00"/>
    <x v="1"/>
    <s v="Zara Hussain"/>
    <s v="Lahore"/>
    <s v="Phone"/>
    <s v="Delivery Delay"/>
    <s v="High"/>
    <n v="8"/>
    <s v="Escalated"/>
    <s v="Missing Resolve Date"/>
    <s v="Yes"/>
    <m/>
    <s v="Repeat Issue From Same Customer"/>
    <s v=""/>
  </r>
  <r>
    <s v="TCK-20929"/>
    <d v="2026-03-05T19:38:00"/>
    <x v="1"/>
    <s v="Zara Hussain"/>
    <s v="Islamabad"/>
    <s v="Phone"/>
    <s v="Account Access"/>
    <s v="Medium"/>
    <n v="24"/>
    <s v="In Progress"/>
    <s v="Missing Resolve Date"/>
    <s v="No"/>
    <m/>
    <s v="Customer Satisfied With Resolution"/>
    <s v=""/>
  </r>
  <r>
    <s v="TCK-20284"/>
    <d v="2026-02-27T08:55:00"/>
    <x v="1"/>
    <s v="Zara Hussain"/>
    <s v="Lahore"/>
    <s v="Phone"/>
    <s v="General Inquiry"/>
    <s v="Low"/>
    <n v="48"/>
    <s v="Resolved"/>
    <d v="2026-02-28T16:14:00"/>
    <s v="No"/>
    <m/>
    <s v="Repeat Issue From Same Customer"/>
    <n v="31.316666666592937"/>
  </r>
  <r>
    <s v="TCK-22505"/>
    <d v="2026-01-30T01:07:00"/>
    <x v="1"/>
    <s v="Zara Hussain"/>
    <s v="Multan"/>
    <s v="Portal"/>
    <s v="Delivery Delay"/>
    <s v="Low"/>
    <n v="48"/>
    <s v="In Progress"/>
    <s v="Missing Resolve Date"/>
    <s v="No"/>
    <m/>
    <s v="Customer Requested Refund"/>
    <s v=""/>
  </r>
  <r>
    <s v="TCK-21878"/>
    <d v="2026-06-29T18:17:00"/>
    <x v="2"/>
    <s v="Mahnoor Aslam"/>
    <s v="Multan"/>
    <s v="Chat"/>
    <s v="Technical Issue"/>
    <s v="Medium"/>
    <n v="24"/>
    <s v="Closed"/>
    <d v="2026-06-30T01:35:00"/>
    <s v="No"/>
    <n v="5"/>
    <s v="Customer Satisfied With Resolution"/>
    <n v="7.2999999998719431"/>
  </r>
  <r>
    <s v="TCK-22198"/>
    <d v="2026-08-06T11:58:00"/>
    <x v="3"/>
    <s v="Talha Nadeem"/>
    <s v="Karachi"/>
    <s v="Phone"/>
    <s v="Account Access"/>
    <s v="Low"/>
    <n v="48"/>
    <s v="Escalated"/>
    <s v="Missing Resolve Date"/>
    <s v="Yes"/>
    <m/>
    <s v="Awaiting Customer Response"/>
    <s v=""/>
  </r>
  <r>
    <s v="TCK-23097"/>
    <d v="2026-07-22T01:24:00"/>
    <x v="3"/>
    <s v="Talha Nadeem"/>
    <s v="Rawalpindi"/>
    <s v="Email"/>
    <s v="General Inquiry"/>
    <s v="High"/>
    <n v="8"/>
    <s v="Closed"/>
    <s v="Missing Resolve Date"/>
    <s v="No"/>
    <n v="5"/>
    <s v="Required Follow-Up Call"/>
    <s v=""/>
  </r>
  <r>
    <s v="TCK-21478"/>
    <d v="2026-08-14T01:32:00"/>
    <x v="3"/>
    <s v="Talha Nadeem"/>
    <s v="Lahore"/>
    <s v="Chat"/>
    <s v="General Inquiry"/>
    <s v="Low"/>
    <n v="48"/>
    <s v="Resolved"/>
    <d v="2026-08-14T13:05:00"/>
    <s v="No"/>
    <n v="5"/>
    <s v="Resolved On First Contact"/>
    <n v="11.550000000104774"/>
  </r>
  <r>
    <s v="TCK-21606"/>
    <d v="2026-05-29T22:33:00"/>
    <x v="0"/>
    <s v="Sadia Anwar"/>
    <s v="Karachi"/>
    <s v="Chat"/>
    <s v="Technical Issue"/>
    <s v="Medium"/>
    <n v="24"/>
    <s v="Open"/>
    <s v="Missing Resolve Date"/>
    <s v="No"/>
    <m/>
    <s v="Not Specified"/>
    <s v=""/>
  </r>
  <r>
    <s v="TCK-23200"/>
    <d v="2026-03-27T09:18:00"/>
    <x v="1"/>
    <s v="Ayaan Khalid"/>
    <s v="Multan"/>
    <s v="Chat"/>
    <s v="Delivery Delay"/>
    <s v="Low"/>
    <n v="48"/>
    <s v="Closed"/>
    <d v="2026-03-27T17:55:00"/>
    <s v="No"/>
    <n v="5"/>
    <s v="Resolved On First Contact"/>
    <n v="8.6166666668141261"/>
  </r>
  <r>
    <s v="TCK-20811"/>
    <d v="2026-06-24T09:37:00"/>
    <x v="0"/>
    <s v="Sadia Anwar"/>
    <s v="Faisalabad"/>
    <s v="Chat"/>
    <s v="Billing Issue"/>
    <s v="Low"/>
    <n v="48"/>
    <s v="Resolved"/>
    <d v="2026-06-25T12:38:00"/>
    <s v="No"/>
    <n v="5"/>
    <s v="Customer Requested Refund"/>
    <n v="27.016666666720994"/>
  </r>
  <r>
    <s v="TCK-21994"/>
    <d v="2026-04-30T19:26:00"/>
    <x v="0"/>
    <s v="Sadia Anwar"/>
    <s v="Islamabad"/>
    <s v="Portal"/>
    <s v="Billing Issue"/>
    <s v="Low"/>
    <n v="48"/>
    <s v="Resolved"/>
    <d v="2026-05-03T07:39:00"/>
    <s v="No"/>
    <n v="4"/>
    <s v="Customer Requested Refund"/>
    <n v="60.216666666674428"/>
  </r>
  <r>
    <s v="TCK-22964"/>
    <d v="2026-02-20T19:52:00"/>
    <x v="0"/>
    <s v="Sadia Anwar"/>
    <s v="Rawalpindi"/>
    <s v="Portal"/>
    <s v="Refund Request"/>
    <s v="Medium"/>
    <n v="24"/>
    <s v="In Progress"/>
    <s v="Missing Resolve Date"/>
    <s v="No"/>
    <m/>
    <s v="Required Follow-Up Call"/>
    <s v=""/>
  </r>
  <r>
    <s v="TCK-21572"/>
    <d v="2026-03-10T23:23:00"/>
    <x v="0"/>
    <s v="Rehan Qureshi"/>
    <s v="Lahore"/>
    <s v="Phone"/>
    <s v="Account Access"/>
    <s v="Medium"/>
    <n v="24"/>
    <s v="Resolved"/>
    <d v="2026-03-11T03:56:00"/>
    <s v="No"/>
    <n v="4"/>
    <s v="Required Follow-Up Call"/>
    <n v="4.5499999999883585"/>
  </r>
  <r>
    <s v="TCK-20103"/>
    <d v="2026-04-26T06:50:00"/>
    <x v="2"/>
    <s v="Mahnoor Aslam"/>
    <s v="Karachi"/>
    <s v="Phone"/>
    <s v="General Inquiry"/>
    <s v="Low"/>
    <n v="48"/>
    <s v="Open"/>
    <s v="Missing Resolve Date"/>
    <s v="No"/>
    <m/>
    <s v="Customer Satisfied With Resolution"/>
    <s v=""/>
  </r>
  <r>
    <s v="TCK-23188"/>
    <d v="2026-07-15T09:55:00"/>
    <x v="3"/>
    <s v="Iqra Basit"/>
    <s v="Lahore"/>
    <s v="Email"/>
    <s v="Billing Issue"/>
    <s v="Medium"/>
    <n v="24"/>
    <s v="Resolved"/>
    <d v="2026-07-16T03:40:00"/>
    <s v="No"/>
    <n v="2"/>
    <s v="Technical Issue Resolved Remotely"/>
    <n v="17.750000000058208"/>
  </r>
  <r>
    <s v="TCK-23056"/>
    <d v="2026-02-10T00:26:00"/>
    <x v="0"/>
    <s v="Sadia Anwar"/>
    <s v="Rawalpindi"/>
    <s v="Phone"/>
    <s v="Refund Request"/>
    <s v="Low"/>
    <n v="48"/>
    <s v="Re-Opened"/>
    <d v="2026-02-15T08:59:00"/>
    <s v="No"/>
    <m/>
    <s v="Resolved On First Contact"/>
    <n v="128.54999999993015"/>
  </r>
  <r>
    <s v="TCK-21471"/>
    <d v="2026-01-10T09:48:00"/>
    <x v="3"/>
    <s v="Iqra Basit"/>
    <s v="Faisalabad"/>
    <s v="Portal"/>
    <s v="Refund Request"/>
    <s v="Low"/>
    <n v="48"/>
    <s v="Closed"/>
    <d v="2026-01-11T09:54:00"/>
    <s v="No"/>
    <m/>
    <s v="Customer Requested Refund"/>
    <n v="24.099999999976717"/>
  </r>
  <r>
    <s v="TCK-20969"/>
    <d v="2026-05-30T06:35:00"/>
    <x v="0"/>
    <s v="Sadia Anwar"/>
    <s v="Multan"/>
    <s v="Email"/>
    <s v="Account Access"/>
    <s v="High"/>
    <n v="8"/>
    <s v="Resolved"/>
    <d v="2026-05-30T12:33:00"/>
    <s v="Yes"/>
    <n v="5"/>
    <s v="Awaiting Customer Response"/>
    <n v="5.9666666667326353"/>
  </r>
  <r>
    <s v="TCK-22015"/>
    <d v="2026-03-21T08:25:00"/>
    <x v="0"/>
    <s v="Rehan Qureshi"/>
    <s v="Peshawar"/>
    <s v="Chat"/>
    <s v="General Inquiry"/>
    <s v="High"/>
    <n v="8"/>
    <s v="Closed"/>
    <d v="2026-03-21T15:20:00"/>
    <s v="No"/>
    <n v="3"/>
    <s v="Customer Requested Refund"/>
    <n v="6.9166666666860692"/>
  </r>
  <r>
    <s v="TCK-22592"/>
    <d v="2026-03-19T18:34:00"/>
    <x v="0"/>
    <s v="Sadia Anwar"/>
    <s v="Lahore"/>
    <s v="Portal"/>
    <s v="Delivery Delay"/>
    <s v="Medium"/>
    <n v="24"/>
    <s v="Resolved"/>
    <d v="2026-03-22T09:30:00"/>
    <s v="No"/>
    <n v="3"/>
    <s v="Resolved On First Contact"/>
    <n v="62.933333333465271"/>
  </r>
  <r>
    <s v="TCK-21192"/>
    <d v="2026-06-16T06:29:00"/>
    <x v="0"/>
    <s v="Sadia Anwar"/>
    <s v="Rawalpindi"/>
    <s v="Email"/>
    <s v="Billing Issue"/>
    <s v="Low"/>
    <n v="48"/>
    <s v="Closed"/>
    <d v="2026-06-20T17:11:00"/>
    <s v="No"/>
    <m/>
    <s v="Resolved On First Contact"/>
    <n v="106.69999999995343"/>
  </r>
  <r>
    <s v="TCK-20914"/>
    <d v="2026-02-12T21:26:00"/>
    <x v="3"/>
    <s v="Talha Nadeem"/>
    <s v="Karachi"/>
    <s v="Portal"/>
    <s v="Delivery Delay"/>
    <s v="Medium"/>
    <n v="24"/>
    <s v="Resolved"/>
    <d v="2026-02-13T08:11:00"/>
    <s v="No"/>
    <m/>
    <s v="Repeat Issue From Same Customer"/>
    <n v="10.749999999941792"/>
  </r>
  <r>
    <s v="TCK-20132"/>
    <d v="2026-06-04T12:51:00"/>
    <x v="0"/>
    <s v="Sadia Anwar"/>
    <s v="Peshawar"/>
    <s v="Portal"/>
    <s v="Delivery Delay"/>
    <s v="Low"/>
    <n v="48"/>
    <s v="Resolved"/>
    <d v="2026-06-10T08:58:00"/>
    <s v="No"/>
    <m/>
    <s v="Customer Satisfied With Resolution"/>
    <n v="140.11666666675592"/>
  </r>
  <r>
    <s v="TCK-20292"/>
    <d v="2026-01-10T00:26:00"/>
    <x v="0"/>
    <s v="Sadia Anwar"/>
    <s v="Karachi"/>
    <s v="Portal"/>
    <s v="Billing Issue"/>
    <s v="Medium"/>
    <n v="24"/>
    <s v="Closed"/>
    <d v="2026-01-10T12:22:00"/>
    <s v="No"/>
    <n v="1"/>
    <s v="Not Specified"/>
    <n v="11.933333333290648"/>
  </r>
  <r>
    <s v="TCK-21911"/>
    <d v="2026-07-19T12:47:00"/>
    <x v="0"/>
    <s v="Rehan Qureshi"/>
    <s v="Faisalabad"/>
    <s v="Portal"/>
    <s v="Billing Issue"/>
    <s v="High"/>
    <n v="8"/>
    <s v="Resolved"/>
    <d v="2026-07-19T18:31:00"/>
    <s v="No"/>
    <n v="5"/>
    <s v="Repeat Issue From Same Customer"/>
    <n v="5.7333333333372138"/>
  </r>
  <r>
    <s v="TCK-20005"/>
    <d v="2026-02-27T12:35:00"/>
    <x v="3"/>
    <s v="Iqra Basit"/>
    <s v="Islamabad"/>
    <s v="Email"/>
    <s v="Account Access"/>
    <s v="Medium"/>
    <n v="24"/>
    <s v="Resolved"/>
    <d v="2026-02-27T18:55:00"/>
    <s v="No"/>
    <m/>
    <s v="Not Specified"/>
    <n v="6.3333333333721384"/>
  </r>
  <r>
    <s v="TCK-21395"/>
    <d v="2026-07-09T00:45:00"/>
    <x v="1"/>
    <s v="Zara Hussain"/>
    <s v="Peshawar"/>
    <s v="Email"/>
    <s v="Account Access"/>
    <s v="Low"/>
    <n v="48"/>
    <s v="Resolved"/>
    <d v="2026-07-10T02:36:00"/>
    <s v="No"/>
    <n v="4"/>
    <s v="Escalated To Senior Agent"/>
    <n v="25.849999999918509"/>
  </r>
  <r>
    <s v="TCK-22095"/>
    <d v="2026-05-09T02:23:00"/>
    <x v="0"/>
    <s v="Rehan Qureshi"/>
    <s v="Islamabad"/>
    <s v="Phone"/>
    <s v="General Inquiry"/>
    <s v="High"/>
    <n v="8"/>
    <s v="Resolved"/>
    <d v="2026-05-09T05:05:00"/>
    <s v="No"/>
    <m/>
    <s v="Required Follow-Up Call"/>
    <n v="2.6999999998952262"/>
  </r>
  <r>
    <s v="TCK-21419"/>
    <d v="2026-03-09T11:51:00"/>
    <x v="1"/>
    <s v="Zara Hussain"/>
    <s v="Karachi"/>
    <s v="Email"/>
    <s v="Delivery Delay"/>
    <s v="Medium"/>
    <n v="24"/>
    <s v="Resolved"/>
    <d v="2026-03-10T04:39:00"/>
    <s v="No"/>
    <n v="4"/>
    <s v="Customer Requested Refund"/>
    <n v="16.799999999930151"/>
  </r>
  <r>
    <s v="TCK-22021"/>
    <d v="2026-03-02T18:52:00"/>
    <x v="0"/>
    <s v="Sadia Anwar"/>
    <s v="Lahore"/>
    <s v="Email"/>
    <s v="Account Access"/>
    <s v="Low"/>
    <n v="48"/>
    <s v="Re-Opened"/>
    <d v="2026-03-03T04:19:00"/>
    <s v="No"/>
    <m/>
    <s v="Required Follow-Up Call"/>
    <n v="9.4499999998952262"/>
  </r>
  <r>
    <s v="TCK-22812"/>
    <d v="2026-02-10T23:09:00"/>
    <x v="2"/>
    <s v="Mahnoor Aslam"/>
    <s v="Karachi"/>
    <s v="Email"/>
    <s v="Refund Request"/>
    <s v="High"/>
    <n v="8"/>
    <s v="Open"/>
    <s v="Missing Resolve Date"/>
    <s v="No"/>
    <m/>
    <s v="Not Specified"/>
    <s v=""/>
  </r>
  <r>
    <s v="TCK-20387"/>
    <d v="2026-02-13T05:42:00"/>
    <x v="1"/>
    <s v="Ayaan Khalid"/>
    <s v="Faisalabad"/>
    <s v="Email"/>
    <s v="Delivery Delay"/>
    <s v="Medium"/>
    <n v="24"/>
    <s v="Closed"/>
    <d v="2026-02-13T18:03:00"/>
    <s v="No"/>
    <n v="5"/>
    <s v="Awaiting Customer Response"/>
    <n v="12.349999999918509"/>
  </r>
  <r>
    <s v="TCK-22781"/>
    <d v="2026-02-15T17:55:00"/>
    <x v="3"/>
    <s v="Iqra Basit"/>
    <s v="Lahore"/>
    <s v="Portal"/>
    <s v="Account Access"/>
    <s v="Medium"/>
    <n v="24"/>
    <s v="Open"/>
    <s v="Missing Resolve Date"/>
    <s v="No"/>
    <m/>
    <s v="Repeat Issue From Same Customer"/>
    <s v=""/>
  </r>
  <r>
    <s v="TCK-22589"/>
    <d v="2026-01-08T00:10:00"/>
    <x v="1"/>
    <s v="Zara Hussain"/>
    <s v="Islamabad"/>
    <s v="Chat"/>
    <s v="General Inquiry"/>
    <s v="High"/>
    <n v="8"/>
    <s v="Re-Opened"/>
    <d v="2026-01-08T02:12:00"/>
    <s v="No"/>
    <m/>
    <s v="Technical Issue Resolved Remotely"/>
    <n v="2.0333333333255723"/>
  </r>
  <r>
    <s v="TCK-21567"/>
    <d v="2026-06-29T21:53:00"/>
    <x v="2"/>
    <s v="Bilal Chaudhry"/>
    <s v="Karachi"/>
    <s v="Email"/>
    <s v="Delivery Delay"/>
    <s v="High"/>
    <n v="8"/>
    <s v="Resolved"/>
    <d v="2026-06-30T02:25:00"/>
    <s v="No"/>
    <n v="5"/>
    <s v="Not Specified"/>
    <n v="4.5333333332673647"/>
  </r>
  <r>
    <s v="TCK-20229"/>
    <d v="2026-07-06T00:38:00"/>
    <x v="2"/>
    <s v="Bilal Chaudhry"/>
    <s v="Faisalabad"/>
    <s v="Phone"/>
    <s v="General Inquiry"/>
    <s v="Low"/>
    <n v="48"/>
    <s v="Re-Opened"/>
    <d v="2026-07-09T03:15:00"/>
    <s v="No"/>
    <m/>
    <s v="Not Specified"/>
    <n v="74.616666666639503"/>
  </r>
  <r>
    <s v="TCK-22084"/>
    <d v="2026-04-13T02:03:00"/>
    <x v="2"/>
    <s v="Mahnoor Aslam"/>
    <s v="Multan"/>
    <s v="Phone"/>
    <s v="Technical Issue"/>
    <s v="Medium"/>
    <n v="24"/>
    <s v="Resolved"/>
    <d v="2026-04-14T09:16:00"/>
    <s v="No"/>
    <m/>
    <s v="Not Specified"/>
    <n v="31.21666666661622"/>
  </r>
  <r>
    <s v="TCK-22150"/>
    <d v="2026-05-27T14:54:00"/>
    <x v="2"/>
    <s v="Mahnoor Aslam"/>
    <s v="Karachi"/>
    <s v="Phone"/>
    <s v="Billing Issue"/>
    <s v="Low"/>
    <n v="48"/>
    <s v="Resolved"/>
    <d v="2026-05-27T21:12:00"/>
    <s v="No"/>
    <n v="4"/>
    <s v="Customer Satisfied With Resolution"/>
    <n v="6.2999999999301508"/>
  </r>
  <r>
    <s v="TCK-21967"/>
    <d v="2026-02-05T17:33:00"/>
    <x v="3"/>
    <s v="Talha Nadeem"/>
    <s v="Rawalpindi"/>
    <s v="Email"/>
    <s v="Billing Issue"/>
    <s v="Low"/>
    <n v="48"/>
    <s v="In Progress"/>
    <s v="Missing Resolve Date"/>
    <s v="No"/>
    <m/>
    <s v="Awaiting Customer Response"/>
    <s v=""/>
  </r>
  <r>
    <s v="TCK-20883"/>
    <d v="2026-03-07T11:45:00"/>
    <x v="2"/>
    <s v="Bilal Chaudhry"/>
    <s v="Islamabad"/>
    <s v="Chat"/>
    <s v="Technical Issue"/>
    <s v="Medium"/>
    <n v="24"/>
    <s v="Closed"/>
    <d v="2026-03-07T22:51:00"/>
    <s v="No"/>
    <n v="4"/>
    <s v="Required Follow-Up Call"/>
    <n v="11.099999999860302"/>
  </r>
  <r>
    <s v="TCK-20718"/>
    <d v="2026-06-12T05:41:00"/>
    <x v="1"/>
    <s v="Zara Hussain"/>
    <s v="Rawalpindi"/>
    <s v="Phone"/>
    <s v="Billing Issue"/>
    <s v="High"/>
    <n v="8"/>
    <s v="Resolved"/>
    <d v="2026-06-12T07:32:00"/>
    <s v="No"/>
    <n v="2"/>
    <s v="Customer Requested Refund"/>
    <n v="1.8499999999185093"/>
  </r>
  <r>
    <s v="TCK-23175"/>
    <d v="2026-08-25T01:17:00"/>
    <x v="0"/>
    <s v="Rehan Qureshi"/>
    <s v="Lahore"/>
    <s v="Phone"/>
    <s v="General Inquiry"/>
    <s v="Low"/>
    <n v="48"/>
    <s v="Re-Opened"/>
    <d v="2026-08-26T19:03:00"/>
    <s v="No"/>
    <m/>
    <s v="Resolved On First Contact"/>
    <n v="41.766666666604578"/>
  </r>
  <r>
    <s v="TCK-21526"/>
    <d v="2026-06-19T03:04:00"/>
    <x v="1"/>
    <s v="Ayaan Khalid"/>
    <s v="Multan"/>
    <s v="Chat"/>
    <s v="Account Access"/>
    <s v="Low"/>
    <n v="48"/>
    <s v="Resolved"/>
    <d v="2026-06-19T20:32:00"/>
    <s v="Yes"/>
    <m/>
    <s v="Customer Satisfied With Resolution"/>
    <n v="17.466666666674428"/>
  </r>
  <r>
    <s v="TCK-21350"/>
    <d v="2026-02-10T15:15:00"/>
    <x v="3"/>
    <s v="Iqra Basit"/>
    <s v="Karachi"/>
    <s v="Portal"/>
    <s v="Account Access"/>
    <s v="Medium"/>
    <n v="24"/>
    <s v="In Progress"/>
    <s v="Missing Resolve Date"/>
    <s v="No"/>
    <m/>
    <s v="Repeat Issue From Same Customer"/>
    <s v=""/>
  </r>
  <r>
    <s v="TCK-20973"/>
    <d v="2026-07-05T05:13:00"/>
    <x v="0"/>
    <s v="Rehan Qureshi"/>
    <s v="Islamabad"/>
    <s v="Chat"/>
    <s v="General Inquiry"/>
    <s v="Low"/>
    <n v="48"/>
    <s v="Re-Opened"/>
    <d v="2026-07-05T22:11:00"/>
    <s v="No"/>
    <m/>
    <s v="Resolved On First Contact"/>
    <n v="16.96666666661622"/>
  </r>
  <r>
    <s v="TCK-23187"/>
    <d v="2026-06-11T19:55:00"/>
    <x v="3"/>
    <s v="Talha Nadeem"/>
    <s v="Multan"/>
    <s v="Email"/>
    <s v="Delivery Delay"/>
    <s v="Low"/>
    <n v="48"/>
    <s v="Closed"/>
    <d v="2026-06-12T01:53:00"/>
    <s v="Yes"/>
    <n v="5"/>
    <s v="Not Specified"/>
    <n v="5.9666666667326353"/>
  </r>
  <r>
    <s v="TCK-21382"/>
    <d v="2026-08-01T09:27:00"/>
    <x v="0"/>
    <s v="Rehan Qureshi"/>
    <s v="Karachi"/>
    <s v="Portal"/>
    <s v="Billing Issue"/>
    <s v="Medium"/>
    <n v="24"/>
    <s v="Resolved"/>
    <d v="2026-08-01T15:50:00"/>
    <s v="No"/>
    <m/>
    <s v="Not Specified"/>
    <n v="6.3833333331858739"/>
  </r>
  <r>
    <s v="TCK-22597"/>
    <d v="2026-06-26T00:31:00"/>
    <x v="0"/>
    <s v="Sadia Anwar"/>
    <s v="Peshawar"/>
    <s v="Phone"/>
    <s v="Refund Request"/>
    <s v="Low"/>
    <n v="48"/>
    <s v="Resolved"/>
    <d v="2026-06-27T01:40:00"/>
    <s v="No"/>
    <n v="5"/>
    <s v="Awaiting Customer Response"/>
    <n v="25.150000000081491"/>
  </r>
  <r>
    <s v="TCK-23021"/>
    <d v="2026-07-06T14:27:00"/>
    <x v="1"/>
    <s v="Ayaan Khalid"/>
    <s v="Islamabad"/>
    <s v="Email"/>
    <s v="Delivery Delay"/>
    <s v="Medium"/>
    <n v="24"/>
    <s v="Closed"/>
    <d v="2026-07-07T09:26:00"/>
    <s v="No"/>
    <n v="3"/>
    <s v="Not Specified"/>
    <n v="18.983333333395422"/>
  </r>
  <r>
    <s v="TCK-21312"/>
    <d v="2026-05-10T00:29:00"/>
    <x v="2"/>
    <s v="Bilal Chaudhry"/>
    <s v="Faisalabad"/>
    <s v="Phone"/>
    <s v="Refund Request"/>
    <s v="High"/>
    <n v="8"/>
    <s v="Resolved"/>
    <d v="2026-05-10T03:58:00"/>
    <s v="No"/>
    <n v="1"/>
    <s v="Required Follow-Up Call"/>
    <n v="3.4833333333372138"/>
  </r>
  <r>
    <s v="TCK-20438"/>
    <d v="2026-07-21T07:05:00"/>
    <x v="3"/>
    <s v="Iqra Basit"/>
    <s v="Karachi"/>
    <s v="Portal"/>
    <s v="Technical Issue"/>
    <s v="Medium"/>
    <n v="24"/>
    <s v="Resolved"/>
    <d v="2026-07-23T21:23:00"/>
    <s v="No"/>
    <m/>
    <s v="Required Follow-Up Call"/>
    <n v="62.299999999988358"/>
  </r>
  <r>
    <s v="TCK-20737"/>
    <d v="2026-02-06T10:22:00"/>
    <x v="2"/>
    <s v="Mahnoor Aslam"/>
    <s v="Peshawar"/>
    <s v="Email"/>
    <s v="General Inquiry"/>
    <s v="Low"/>
    <n v="48"/>
    <s v="Closed"/>
    <d v="2026-02-06T15:25:00"/>
    <s v="No"/>
    <n v="1"/>
    <s v="Repeat Issue From Same Customer"/>
    <n v="5.0500000000465661"/>
  </r>
  <r>
    <s v="TCK-23018"/>
    <d v="2026-05-20T09:54:00"/>
    <x v="1"/>
    <s v="Zara Hussain"/>
    <s v="Rawalpindi"/>
    <s v="Email"/>
    <s v="Billing Issue"/>
    <s v="Medium"/>
    <n v="24"/>
    <s v="Resolved"/>
    <d v="2026-05-21T02:52:00"/>
    <s v="No"/>
    <n v="5"/>
    <s v="Awaiting Customer Response"/>
    <n v="16.96666666661622"/>
  </r>
  <r>
    <s v="TCK-20288"/>
    <d v="2026-02-12T20:26:00"/>
    <x v="3"/>
    <s v="Talha Nadeem"/>
    <s v="Lahore"/>
    <s v="Chat"/>
    <s v="Delivery Delay"/>
    <s v="Medium"/>
    <n v="24"/>
    <s v="Re-Opened"/>
    <d v="2026-02-15T13:36:00"/>
    <s v="No"/>
    <m/>
    <s v="Required Follow-Up Call"/>
    <n v="65.166666666569654"/>
  </r>
  <r>
    <s v="TCK-22226"/>
    <d v="2026-01-22T19:17:00"/>
    <x v="3"/>
    <s v="Talha Nadeem"/>
    <s v="Islamabad"/>
    <s v="Email"/>
    <s v="Delivery Delay"/>
    <s v="High"/>
    <n v="8"/>
    <s v="Closed"/>
    <d v="2026-01-22T23:39:00"/>
    <s v="No"/>
    <m/>
    <s v="Awaiting Customer Response"/>
    <n v="4.3666666667559184"/>
  </r>
  <r>
    <s v="TCK-22725"/>
    <d v="2026-01-29T00:04:00"/>
    <x v="3"/>
    <s v="Talha Nadeem"/>
    <s v="Lahore"/>
    <s v="Phone"/>
    <s v="Account Access"/>
    <s v="Medium"/>
    <n v="24"/>
    <s v="Resolved"/>
    <d v="2026-01-31T06:27:00"/>
    <s v="No"/>
    <n v="4"/>
    <s v="Customer Satisfied With Resolution"/>
    <n v="54.383333333360497"/>
  </r>
  <r>
    <s v="TCK-22575"/>
    <d v="2026-07-18T05:48:00"/>
    <x v="3"/>
    <s v="Iqra Basit"/>
    <s v="Islamabad"/>
    <s v="Portal"/>
    <s v="Technical Issue"/>
    <s v="Medium"/>
    <n v="24"/>
    <s v="Resolved"/>
    <d v="2026-07-18T21:45:00"/>
    <s v="No"/>
    <n v="5"/>
    <s v="Customer Satisfied With Resolution"/>
    <n v="15.949999999953434"/>
  </r>
  <r>
    <s v="TCK-21062"/>
    <d v="2026-04-05T16:57:00"/>
    <x v="2"/>
    <s v="Mahnoor Aslam"/>
    <s v="Faisalabad"/>
    <s v="Email"/>
    <s v="Technical Issue"/>
    <s v="Medium"/>
    <n v="24"/>
    <s v="Resolved"/>
    <d v="2026-04-05T20:56:00"/>
    <s v="No"/>
    <n v="3"/>
    <s v="Not Specified"/>
    <n v="3.9833333332207985"/>
  </r>
  <r>
    <s v="TCK-20319"/>
    <d v="2026-04-07T09:20:00"/>
    <x v="3"/>
    <s v="Iqra Basit"/>
    <s v="Faisalabad"/>
    <s v="Portal"/>
    <s v="Account Access"/>
    <s v="Low"/>
    <n v="48"/>
    <s v="Re-Opened"/>
    <d v="2026-04-08T16:51:00"/>
    <s v="No"/>
    <m/>
    <s v="Escalated To Senior Agent"/>
    <n v="31.516666666546371"/>
  </r>
  <r>
    <s v="TCK-21487"/>
    <d v="2026-04-20T09:05:00"/>
    <x v="3"/>
    <s v="Talha Nadeem"/>
    <s v="Faisalabad"/>
    <s v="Portal"/>
    <s v="Refund Request"/>
    <s v="Medium"/>
    <n v="24"/>
    <s v="Closed"/>
    <s v="Missing Resolve Date"/>
    <s v="No"/>
    <m/>
    <s v="Repeat Issue From Same Customer"/>
    <s v=""/>
  </r>
  <r>
    <s v="TCK-21944"/>
    <d v="2026-03-31T03:21:00"/>
    <x v="3"/>
    <s v="Iqra Basit"/>
    <s v="Karachi"/>
    <s v="Portal"/>
    <s v="Account Access"/>
    <s v="Low"/>
    <n v="48"/>
    <s v="Resolved"/>
    <d v="2026-04-04T23:53:00"/>
    <s v="No"/>
    <n v="4"/>
    <s v="Resolved On First Contact"/>
    <n v="116.53333333338378"/>
  </r>
  <r>
    <s v="TCK-21841"/>
    <d v="2026-06-28T15:19:00"/>
    <x v="3"/>
    <s v="Iqra Basit"/>
    <s v="Multan"/>
    <s v="Chat"/>
    <s v="Account Access"/>
    <s v="Medium"/>
    <n v="24"/>
    <s v="Re-Opened"/>
    <d v="2026-06-28T23:30:00"/>
    <s v="No"/>
    <m/>
    <s v="Repeat Issue From Same Customer"/>
    <n v="8.1833333332906477"/>
  </r>
  <r>
    <s v="TCK-20482"/>
    <d v="2026-07-18T03:06:00"/>
    <x v="3"/>
    <s v="Talha Nadeem"/>
    <s v="Faisalabad"/>
    <s v="Chat"/>
    <s v="General Inquiry"/>
    <s v="Medium"/>
    <n v="24"/>
    <s v="Escalated"/>
    <s v="Missing Resolve Date"/>
    <s v="Yes"/>
    <m/>
    <s v="Awaiting Customer Response"/>
    <s v=""/>
  </r>
  <r>
    <s v="TCK-20478"/>
    <d v="2026-08-20T14:59:00"/>
    <x v="0"/>
    <s v="Sadia Anwar"/>
    <s v="Peshawar"/>
    <s v="Phone"/>
    <s v="Account Access"/>
    <s v="High"/>
    <n v="8"/>
    <s v="Open"/>
    <s v="Missing Resolve Date"/>
    <s v="No"/>
    <m/>
    <s v="Not Specified"/>
    <s v=""/>
  </r>
  <r>
    <s v="TCK-22474"/>
    <d v="2026-04-10T06:13:00"/>
    <x v="0"/>
    <s v="Rehan Qureshi"/>
    <s v="Peshawar"/>
    <s v="Phone"/>
    <s v="General Inquiry"/>
    <s v="High"/>
    <n v="8"/>
    <s v="Closed"/>
    <d v="2026-04-10T06:50:00"/>
    <s v="No"/>
    <n v="4"/>
    <s v="Escalated To Senior Agent"/>
    <n v="0.61666666658129543"/>
  </r>
  <r>
    <s v="TCK-21992"/>
    <d v="2026-03-21T23:47:00"/>
    <x v="2"/>
    <s v="Bilal Chaudhry"/>
    <s v="Karachi"/>
    <s v="Chat"/>
    <s v="Technical Issue"/>
    <s v="High"/>
    <n v="8"/>
    <s v="Resolved"/>
    <d v="2026-03-22T06:12:00"/>
    <s v="No"/>
    <n v="1"/>
    <s v="Awaiting Customer Response"/>
    <n v="6.4166666666278616"/>
  </r>
  <r>
    <s v="TCK-20951"/>
    <d v="2026-04-26T05:17:00"/>
    <x v="3"/>
    <s v="Talha Nadeem"/>
    <s v="Lahore"/>
    <s v="Portal"/>
    <s v="Delivery Delay"/>
    <s v="Critical"/>
    <n v="4"/>
    <s v="Closed"/>
    <d v="2026-04-26T17:04:00"/>
    <s v="No"/>
    <n v="3"/>
    <s v="Escalated To Senior Agent"/>
    <n v="11.783333333325572"/>
  </r>
  <r>
    <s v="TCK-22006"/>
    <d v="2026-06-29T17:35:00"/>
    <x v="3"/>
    <s v="Iqra Basit"/>
    <s v="Rawalpindi"/>
    <s v="Portal"/>
    <s v="Delivery Delay"/>
    <s v="Critical"/>
    <n v="4"/>
    <s v="Resolved"/>
    <d v="2026-06-30T00:23:00"/>
    <s v="No"/>
    <m/>
    <s v="Customer Satisfied With Resolution"/>
    <n v="6.7999999999883585"/>
  </r>
  <r>
    <s v="TCK-20339"/>
    <d v="2026-06-22T17:46:00"/>
    <x v="1"/>
    <s v="Ayaan Khalid"/>
    <s v="Islamabad"/>
    <s v="Phone"/>
    <s v="Refund Request"/>
    <s v="Medium"/>
    <n v="24"/>
    <s v="Escalated"/>
    <s v="Missing Resolve Date"/>
    <s v="Yes"/>
    <m/>
    <s v="Required Follow-Up Call"/>
    <s v=""/>
  </r>
  <r>
    <s v="TCK-20120"/>
    <d v="2026-04-03T02:17:00"/>
    <x v="2"/>
    <s v="Mahnoor Aslam"/>
    <s v="Islamabad"/>
    <s v="Portal"/>
    <s v="Account Access"/>
    <s v="Medium"/>
    <n v="24"/>
    <s v="In Progress"/>
    <s v="Missing Resolve Date"/>
    <s v="No"/>
    <m/>
    <s v="Not Specified"/>
    <s v=""/>
  </r>
  <r>
    <s v="TCK-21408"/>
    <d v="2026-07-25T02:03:00"/>
    <x v="0"/>
    <s v="Rehan Qureshi"/>
    <s v="Peshawar"/>
    <s v="Phone"/>
    <s v="General Inquiry"/>
    <s v="Medium"/>
    <n v="24"/>
    <s v="Resolved"/>
    <d v="2026-07-25T16:15:00"/>
    <s v="No"/>
    <m/>
    <s v="Resolved On First Contact"/>
    <n v="14.200000000011642"/>
  </r>
  <r>
    <s v="TCK-20135"/>
    <d v="2026-08-25T11:22:00"/>
    <x v="0"/>
    <s v="Sadia Anwar"/>
    <s v="Karachi"/>
    <s v="Portal"/>
    <s v="Refund Request"/>
    <s v="Low"/>
    <n v="48"/>
    <s v="Closed"/>
    <d v="2026-08-26T13:08:00"/>
    <s v="No"/>
    <m/>
    <s v="Not Specified"/>
    <n v="25.766666666662786"/>
  </r>
  <r>
    <s v="TCK-20831"/>
    <d v="2026-07-27T02:20:00"/>
    <x v="2"/>
    <s v="Bilal Chaudhry"/>
    <s v="Faisalabad"/>
    <s v="Portal"/>
    <s v="Account Access"/>
    <s v="Low"/>
    <n v="48"/>
    <s v="Escalated"/>
    <s v="Missing Resolve Date"/>
    <s v="Yes"/>
    <m/>
    <s v="Customer Requested Refund"/>
    <s v=""/>
  </r>
  <r>
    <s v="TCK-20416"/>
    <d v="2026-08-12T01:38:00"/>
    <x v="2"/>
    <s v="Mahnoor Aslam"/>
    <s v="Islamabad"/>
    <s v="Email"/>
    <s v="Technical Issue"/>
    <s v="Medium"/>
    <n v="24"/>
    <s v="Resolved"/>
    <d v="2026-08-12T06:32:00"/>
    <s v="No"/>
    <m/>
    <s v="Repeat Issue From Same Customer"/>
    <n v="4.8999999999068677"/>
  </r>
  <r>
    <s v="TCK-22276"/>
    <d v="2026-02-12T03:44:00"/>
    <x v="1"/>
    <s v="Zara Hussain"/>
    <s v="Multan"/>
    <s v="Chat"/>
    <s v="General Inquiry"/>
    <s v="High"/>
    <n v="8"/>
    <s v="Escalated"/>
    <s v="Missing Resolve Date"/>
    <s v="Yes"/>
    <m/>
    <s v="Customer Requested Refund"/>
    <s v=""/>
  </r>
  <r>
    <s v="TCK-20233"/>
    <d v="2026-04-02T16:50:00"/>
    <x v="0"/>
    <s v="Sadia Anwar"/>
    <s v="Faisalabad"/>
    <s v="Email"/>
    <s v="Technical Issue"/>
    <s v="Medium"/>
    <n v="24"/>
    <s v="Closed"/>
    <d v="2026-04-03T06:46:00"/>
    <s v="No"/>
    <n v="5"/>
    <s v="Repeat Issue From Same Customer"/>
    <n v="13.933333333348855"/>
  </r>
  <r>
    <s v="TCK-22904"/>
    <d v="2026-08-19T20:12:00"/>
    <x v="1"/>
    <s v="Zara Hussain"/>
    <s v="Peshawar"/>
    <s v="Phone"/>
    <s v="Delivery Delay"/>
    <s v="Low"/>
    <n v="48"/>
    <s v="In Progress"/>
    <s v="Missing Resolve Date"/>
    <s v="No"/>
    <m/>
    <s v="Awaiting Customer Response"/>
    <s v=""/>
  </r>
  <r>
    <s v="TCK-22496"/>
    <d v="2026-04-02T14:08:00"/>
    <x v="3"/>
    <s v="Iqra Basit"/>
    <s v="Karachi"/>
    <s v="Email"/>
    <s v="Refund Request"/>
    <s v="High"/>
    <n v="8"/>
    <s v="Resolved"/>
    <d v="2026-04-03T10:54:00"/>
    <s v="No"/>
    <n v="5"/>
    <s v="Repeat Issue From Same Customer"/>
    <n v="20.766666666779201"/>
  </r>
  <r>
    <s v="TCK-23120"/>
    <d v="2026-05-23T11:53:00"/>
    <x v="3"/>
    <s v="Talha Nadeem"/>
    <s v="Islamabad"/>
    <s v="Email"/>
    <s v="Billing Issue"/>
    <s v="Low"/>
    <n v="48"/>
    <s v="Closed"/>
    <d v="2026-05-24T19:22:00"/>
    <s v="Yes"/>
    <n v="1"/>
    <s v="Customer Requested Refund"/>
    <n v="31.483333333279006"/>
  </r>
  <r>
    <s v="TCK-20612"/>
    <d v="2026-04-16T08:55:00"/>
    <x v="1"/>
    <s v="Ayaan Khalid"/>
    <s v="Karachi"/>
    <s v="Phone"/>
    <s v="General Inquiry"/>
    <s v="Medium"/>
    <n v="24"/>
    <s v="In Progress"/>
    <s v="Missing Resolve Date"/>
    <s v="No"/>
    <m/>
    <s v="Customer Satisfied With Resolution"/>
    <s v=""/>
  </r>
  <r>
    <s v="TCK-20087"/>
    <d v="2026-05-08T12:25:00"/>
    <x v="3"/>
    <s v="Talha Nadeem"/>
    <s v="Faisalabad"/>
    <s v="Phone"/>
    <s v="Account Access"/>
    <s v="High"/>
    <n v="8"/>
    <s v="In Progress"/>
    <s v="Missing Resolve Date"/>
    <s v="No"/>
    <m/>
    <s v="Required Follow-Up Call"/>
    <s v=""/>
  </r>
  <r>
    <s v="TCK-20311"/>
    <d v="2026-08-18T05:17:00"/>
    <x v="3"/>
    <s v="Iqra Basit"/>
    <s v="Faisalabad"/>
    <s v="Phone"/>
    <s v="General Inquiry"/>
    <s v="High"/>
    <n v="8"/>
    <s v="Resolved"/>
    <d v="2026-08-18T14:21:00"/>
    <s v="No"/>
    <m/>
    <s v="Repeat Issue From Same Customer"/>
    <n v="9.0666666667093523"/>
  </r>
  <r>
    <s v="TCK-21847"/>
    <d v="2026-07-15T14:45:00"/>
    <x v="0"/>
    <s v="Sadia Anwar"/>
    <s v="Peshawar"/>
    <s v="Chat"/>
    <s v="Refund Request"/>
    <s v="Critical"/>
    <n v="4"/>
    <s v="Resolved"/>
    <d v="2026-07-15T21:46:00"/>
    <s v="No"/>
    <n v="3"/>
    <s v="Customer Satisfied With Resolution"/>
    <n v="7.0166666666627862"/>
  </r>
  <r>
    <s v="TCK-21868"/>
    <d v="2026-06-04T20:22:00"/>
    <x v="0"/>
    <s v="Rehan Qureshi"/>
    <s v="Lahore"/>
    <s v="Phone"/>
    <s v="General Inquiry"/>
    <s v="Medium"/>
    <n v="24"/>
    <s v="Closed"/>
    <d v="2026-06-05T06:34:00"/>
    <s v="No"/>
    <n v="5"/>
    <s v="Customer Satisfied With Resolution"/>
    <n v="10.199999999895226"/>
  </r>
  <r>
    <s v="TCK-20344"/>
    <d v="2026-03-01T19:16:00"/>
    <x v="0"/>
    <s v="Sadia Anwar"/>
    <s v="Faisalabad"/>
    <s v="Email"/>
    <s v="General Inquiry"/>
    <s v="High"/>
    <n v="8"/>
    <s v="In Progress"/>
    <s v="Missing Resolve Date"/>
    <s v="No"/>
    <m/>
    <s v="Awaiting Customer Response"/>
    <s v=""/>
  </r>
  <r>
    <s v="TCK-21111"/>
    <d v="2026-06-27T20:58:00"/>
    <x v="3"/>
    <s v="Iqra Basit"/>
    <s v="Karachi"/>
    <s v="Chat"/>
    <s v="General Inquiry"/>
    <s v="Low"/>
    <n v="48"/>
    <s v="Closed"/>
    <d v="2026-07-02T09:06:00"/>
    <s v="No"/>
    <m/>
    <s v="Awaiting Customer Response"/>
    <n v="108.13333333324408"/>
  </r>
  <r>
    <s v="TCK-22050"/>
    <d v="2026-06-07T10:56:00"/>
    <x v="1"/>
    <s v="Ayaan Khalid"/>
    <s v="Rawalpindi"/>
    <s v="Email"/>
    <s v="Account Access"/>
    <s v="Low"/>
    <n v="48"/>
    <s v="Closed"/>
    <d v="2026-06-08T12:10:00"/>
    <s v="No"/>
    <m/>
    <s v="Required Follow-Up Call"/>
    <n v="25.233333333337214"/>
  </r>
  <r>
    <s v="TCK-23038"/>
    <d v="2026-01-28T07:42:00"/>
    <x v="1"/>
    <s v="Zara Hussain"/>
    <s v="Faisalabad"/>
    <s v="Chat"/>
    <s v="Technical Issue"/>
    <s v="Medium"/>
    <n v="24"/>
    <s v="In Progress"/>
    <s v="Missing Resolve Date"/>
    <s v="No"/>
    <m/>
    <s v="Required Follow-Up Call"/>
    <s v=""/>
  </r>
  <r>
    <s v="TCK-20562"/>
    <d v="2026-06-10T18:50:00"/>
    <x v="3"/>
    <s v="Iqra Basit"/>
    <s v="Karachi"/>
    <s v="Portal"/>
    <s v="General Inquiry"/>
    <s v="Critical"/>
    <n v="4"/>
    <s v="In Progress"/>
    <s v="Missing Resolve Date"/>
    <s v="No"/>
    <m/>
    <s v="Resolved On First Contact"/>
    <s v=""/>
  </r>
  <r>
    <s v="TCK-21197"/>
    <d v="2026-07-01T03:11:00"/>
    <x v="2"/>
    <s v="Mahnoor Aslam"/>
    <s v="Lahore"/>
    <s v="Phone"/>
    <s v="Technical Issue"/>
    <s v="Low"/>
    <n v="48"/>
    <s v="Resolved"/>
    <d v="2026-07-02T05:14:00"/>
    <s v="No"/>
    <n v="5"/>
    <s v="Not Specified"/>
    <n v="26.049999999871943"/>
  </r>
  <r>
    <s v="TCK-21132"/>
    <d v="2026-07-05T01:50:00"/>
    <x v="0"/>
    <s v="Sadia Anwar"/>
    <s v="Islamabad"/>
    <s v="Email"/>
    <s v="Refund Request"/>
    <s v="Low"/>
    <n v="48"/>
    <s v="Closed"/>
    <d v="2026-07-07T16:21:00"/>
    <s v="No"/>
    <n v="4"/>
    <s v="Not Specified"/>
    <n v="62.516666666662786"/>
  </r>
  <r>
    <s v="TCK-20917"/>
    <d v="2026-08-25T15:36:00"/>
    <x v="3"/>
    <s v="Talha Nadeem"/>
    <s v="Lahore"/>
    <s v="Chat"/>
    <s v="Billing Issue"/>
    <s v="Medium"/>
    <n v="24"/>
    <s v="Resolved"/>
    <d v="2026-08-25T20:41:00"/>
    <s v="No"/>
    <n v="3"/>
    <s v="Technical Issue Resolved Remotely"/>
    <n v="5.0833333333139308"/>
  </r>
  <r>
    <s v="TCK-20815"/>
    <d v="2026-07-18T01:52:00"/>
    <x v="0"/>
    <s v="Rehan Qureshi"/>
    <s v="Multan"/>
    <s v="Email"/>
    <s v="Billing Issue"/>
    <s v="Low"/>
    <n v="48"/>
    <s v="Closed"/>
    <d v="2026-07-22T15:29:00"/>
    <s v="No"/>
    <m/>
    <s v="Repeat Issue From Same Customer"/>
    <n v="109.61666666669771"/>
  </r>
  <r>
    <s v="TCK-20957"/>
    <d v="2026-01-15T00:03:00"/>
    <x v="1"/>
    <s v="Zara Hussain"/>
    <s v="Peshawar"/>
    <s v="Phone"/>
    <s v="Refund Request"/>
    <s v="Medium"/>
    <n v="24"/>
    <s v="Re-Opened"/>
    <d v="2026-01-15T08:39:00"/>
    <s v="No"/>
    <m/>
    <s v="Repeat Issue From Same Customer"/>
    <n v="8.6000000000931323"/>
  </r>
  <r>
    <s v="TCK-21248"/>
    <d v="2026-04-28T11:06:00"/>
    <x v="1"/>
    <s v="Zara Hussain"/>
    <s v="Faisalabad"/>
    <s v="Portal"/>
    <s v="Technical Issue"/>
    <s v="Medium"/>
    <n v="24"/>
    <s v="Resolved"/>
    <d v="2026-04-28T19:49:00"/>
    <s v="No"/>
    <n v="1"/>
    <s v="Customer Requested Refund"/>
    <n v="8.71666666661622"/>
  </r>
  <r>
    <s v="TCK-20786"/>
    <d v="2026-06-10T12:19:00"/>
    <x v="2"/>
    <s v="Mahnoor Aslam"/>
    <s v="Lahore"/>
    <s v="Phone"/>
    <s v="General Inquiry"/>
    <s v="High"/>
    <n v="8"/>
    <s v="In Progress"/>
    <s v="Missing Resolve Date"/>
    <s v="No"/>
    <m/>
    <s v="Not Specified"/>
    <s v=""/>
  </r>
  <r>
    <s v="TCK-21574"/>
    <d v="2026-03-10T18:46:00"/>
    <x v="1"/>
    <s v="Zara Hussain"/>
    <s v="Karachi"/>
    <s v="Chat"/>
    <s v="Technical Issue"/>
    <s v="High"/>
    <n v="8"/>
    <s v="Resolved"/>
    <d v="2026-03-10T20:49:00"/>
    <s v="No"/>
    <n v="1"/>
    <s v="Technical Issue Resolved Remotely"/>
    <n v="2.0499999998719431"/>
  </r>
  <r>
    <s v="TCK-22351"/>
    <d v="2026-05-22T06:14:00"/>
    <x v="2"/>
    <s v="Mahnoor Aslam"/>
    <s v="Lahore"/>
    <s v="Portal"/>
    <s v="Delivery Delay"/>
    <s v="Low"/>
    <n v="48"/>
    <s v="Closed"/>
    <d v="2026-05-26T18:07:00"/>
    <s v="No"/>
    <m/>
    <s v="Customer Requested Refund"/>
    <n v="107.88333333330229"/>
  </r>
  <r>
    <s v="TCK-22102"/>
    <d v="2026-07-30T08:00:00"/>
    <x v="1"/>
    <s v="Ayaan Khalid"/>
    <s v="Lahore"/>
    <s v="Email"/>
    <s v="Delivery Delay"/>
    <s v="Low"/>
    <n v="48"/>
    <s v="Escalated"/>
    <s v="Missing Resolve Date"/>
    <s v="Yes"/>
    <m/>
    <s v="Technical Issue Resolved Remotely"/>
    <s v=""/>
  </r>
  <r>
    <s v="TCK-22263"/>
    <d v="2026-02-07T07:22:00"/>
    <x v="2"/>
    <s v="Bilal Chaudhry"/>
    <s v="Peshawar"/>
    <s v="Phone"/>
    <s v="Technical Issue"/>
    <s v="Medium"/>
    <n v="24"/>
    <s v="Resolved"/>
    <d v="2026-02-07T16:56:00"/>
    <s v="No"/>
    <n v="4"/>
    <s v="Repeat Issue From Same Customer"/>
    <n v="9.5666666667675599"/>
  </r>
  <r>
    <s v="TCK-20089"/>
    <d v="2026-02-22T03:48:00"/>
    <x v="0"/>
    <s v="Sadia Anwar"/>
    <s v="Peshawar"/>
    <s v="Portal"/>
    <s v="Delivery Delay"/>
    <s v="Medium"/>
    <n v="24"/>
    <s v="Re-Opened"/>
    <d v="2026-02-24T21:54:00"/>
    <s v="No"/>
    <m/>
    <s v="Resolved On First Contact"/>
    <n v="66.099999999976717"/>
  </r>
  <r>
    <s v="TCK-22521"/>
    <d v="2026-03-08T02:23:00"/>
    <x v="1"/>
    <s v="Ayaan Khalid"/>
    <s v="Lahore"/>
    <s v="Email"/>
    <s v="Billing Issue"/>
    <s v="Medium"/>
    <n v="24"/>
    <s v="Resolved"/>
    <d v="2026-03-10T20:01:00"/>
    <s v="No"/>
    <m/>
    <s v="Customer Requested Refund"/>
    <n v="65.633333333185874"/>
  </r>
  <r>
    <s v="TCK-21477"/>
    <d v="2026-01-18T02:31:00"/>
    <x v="1"/>
    <s v="Ayaan Khalid"/>
    <s v="Peshawar"/>
    <s v="Phone"/>
    <s v="Refund Request"/>
    <s v="Critical"/>
    <n v="4"/>
    <s v="Re-Opened"/>
    <d v="2026-01-18T04:00:00"/>
    <s v="No"/>
    <m/>
    <s v="Required Follow-Up Call"/>
    <n v="1.4833333332790062"/>
  </r>
  <r>
    <s v="TCK-22610"/>
    <d v="2026-05-20T21:58:00"/>
    <x v="1"/>
    <s v="Ayaan Khalid"/>
    <s v="Multan"/>
    <s v="Chat"/>
    <s v="Delivery Delay"/>
    <s v="Medium"/>
    <n v="24"/>
    <s v="Escalated"/>
    <s v="Missing Resolve Date"/>
    <s v="Yes"/>
    <m/>
    <s v="Technical Issue Resolved Remotely"/>
    <s v=""/>
  </r>
  <r>
    <s v="TCK-22596"/>
    <d v="2026-06-07T21:25:00"/>
    <x v="2"/>
    <s v="Bilal Chaudhry"/>
    <s v="Peshawar"/>
    <s v="Email"/>
    <s v="Refund Request"/>
    <s v="High"/>
    <n v="8"/>
    <s v="In Progress"/>
    <s v="Missing Resolve Date"/>
    <s v="No"/>
    <m/>
    <s v="Technical Issue Resolved Remotely"/>
    <s v=""/>
  </r>
  <r>
    <s v="TCK-22807"/>
    <d v="2026-07-18T12:24:00"/>
    <x v="2"/>
    <s v="Bilal Chaudhry"/>
    <s v="Lahore"/>
    <s v="Email"/>
    <s v="Refund Request"/>
    <s v="High"/>
    <n v="8"/>
    <s v="Resolved"/>
    <d v="2026-07-18T14:00:00"/>
    <s v="No"/>
    <n v="5"/>
    <s v="Resolved On First Contact"/>
    <n v="1.5999999999767169"/>
  </r>
  <r>
    <s v="TCK-20555"/>
    <d v="2026-03-22T21:18:00"/>
    <x v="2"/>
    <s v="Mahnoor Aslam"/>
    <s v="Faisalabad"/>
    <s v="Chat"/>
    <s v="Billing Issue"/>
    <s v="Medium"/>
    <n v="24"/>
    <s v="Resolved"/>
    <d v="2026-03-23T02:47:00"/>
    <s v="No"/>
    <m/>
    <s v="Not Specified"/>
    <n v="5.4833333333954215"/>
  </r>
  <r>
    <s v="TCK-20757"/>
    <d v="2026-08-29T14:53:00"/>
    <x v="2"/>
    <s v="Mahnoor Aslam"/>
    <s v="Rawalpindi"/>
    <s v="Chat"/>
    <s v="General Inquiry"/>
    <s v="Low"/>
    <n v="48"/>
    <s v="Resolved"/>
    <d v="2026-08-30T16:00:00"/>
    <s v="No"/>
    <m/>
    <s v="Repeat Issue From Same Customer"/>
    <n v="25.116666666639503"/>
  </r>
  <r>
    <s v="TCK-21207"/>
    <d v="2026-02-15T23:40:00"/>
    <x v="1"/>
    <s v="Zara Hussain"/>
    <s v="Lahore"/>
    <s v="Chat"/>
    <s v="Billing Issue"/>
    <s v="High"/>
    <n v="8"/>
    <s v="Resolved"/>
    <d v="2026-02-16T03:33:00"/>
    <s v="Yes"/>
    <n v="5"/>
    <s v="Not Specified"/>
    <n v="3.8833333334187046"/>
  </r>
  <r>
    <s v="TCK-20624"/>
    <d v="2026-04-05T19:14:00"/>
    <x v="0"/>
    <s v="Rehan Qureshi"/>
    <s v="Karachi"/>
    <s v="Chat"/>
    <s v="Refund Request"/>
    <s v="Medium"/>
    <n v="24"/>
    <s v="Escalated"/>
    <s v="Missing Resolve Date"/>
    <s v="Yes"/>
    <m/>
    <s v="Required Follow-Up Call"/>
    <s v=""/>
  </r>
  <r>
    <s v="TCK-20300"/>
    <d v="2026-03-01T07:11:00"/>
    <x v="3"/>
    <s v="Talha Nadeem"/>
    <s v="Peshawar"/>
    <s v="Phone"/>
    <s v="General Inquiry"/>
    <s v="Low"/>
    <n v="48"/>
    <s v="Open"/>
    <s v="Missing Resolve Date"/>
    <s v="No"/>
    <m/>
    <s v="Not Specified"/>
    <s v=""/>
  </r>
  <r>
    <s v="TCK-20740"/>
    <d v="2026-04-29T13:50:00"/>
    <x v="1"/>
    <s v="Zara Hussain"/>
    <s v="Rawalpindi"/>
    <s v="Phone"/>
    <s v="Refund Request"/>
    <s v="High"/>
    <n v="8"/>
    <s v="Escalated"/>
    <s v="Missing Resolve Date"/>
    <s v="Yes"/>
    <m/>
    <s v="Escalated To Senior Agent"/>
    <s v=""/>
  </r>
  <r>
    <s v="TCK-21749"/>
    <d v="2026-02-10T19:48:00"/>
    <x v="2"/>
    <s v="Bilal Chaudhry"/>
    <s v="Peshawar"/>
    <s v="Email"/>
    <s v="General Inquiry"/>
    <s v="High"/>
    <n v="8"/>
    <s v="Closed"/>
    <d v="2026-02-10T21:14:00"/>
    <s v="No"/>
    <n v="1"/>
    <s v="Escalated To Senior Agent"/>
    <n v="1.4333333334652707"/>
  </r>
  <r>
    <s v="TCK-21908"/>
    <d v="2026-03-10T05:26:00"/>
    <x v="0"/>
    <s v="Sadia Anwar"/>
    <s v="Islamabad"/>
    <s v="Email"/>
    <s v="Refund Request"/>
    <s v="Medium"/>
    <n v="24"/>
    <s v="Resolved"/>
    <d v="2026-03-12T13:48:00"/>
    <s v="No"/>
    <n v="5"/>
    <s v="Not Specified"/>
    <n v="56.366666666523088"/>
  </r>
  <r>
    <s v="TCK-21998"/>
    <d v="2026-01-27T05:27:00"/>
    <x v="2"/>
    <s v="Bilal Chaudhry"/>
    <s v="Lahore"/>
    <s v="Portal"/>
    <s v="Refund Request"/>
    <s v="High"/>
    <n v="8"/>
    <s v="Resolved"/>
    <d v="2026-01-27T08:05:00"/>
    <s v="No"/>
    <m/>
    <s v="Customer Satisfied With Resolution"/>
    <n v="2.6333333333604969"/>
  </r>
  <r>
    <s v="TCK-21896"/>
    <d v="2026-05-22T20:13:00"/>
    <x v="0"/>
    <s v="Rehan Qureshi"/>
    <s v="Islamabad"/>
    <s v="Email"/>
    <s v="Delivery Delay"/>
    <s v="Medium"/>
    <n v="24"/>
    <s v="Closed"/>
    <d v="2026-05-23T02:46:00"/>
    <s v="No"/>
    <m/>
    <s v="Customer Satisfied With Resolution"/>
    <n v="6.5499999998719431"/>
  </r>
  <r>
    <s v="TCK-23033"/>
    <d v="2026-02-08T20:49:00"/>
    <x v="2"/>
    <s v="Bilal Chaudhry"/>
    <s v="Multan"/>
    <s v="Portal"/>
    <s v="Refund Request"/>
    <s v="Medium"/>
    <n v="24"/>
    <s v="Resolved"/>
    <d v="2026-02-09T01:26:00"/>
    <s v="No"/>
    <n v="1"/>
    <s v="Escalated To Senior Agent"/>
    <n v="4.6166666666977108"/>
  </r>
  <r>
    <s v="TCK-20764"/>
    <d v="2026-04-25T06:20:00"/>
    <x v="0"/>
    <s v="Sadia Anwar"/>
    <s v="Lahore"/>
    <s v="Portal"/>
    <s v="General Inquiry"/>
    <s v="High"/>
    <n v="8"/>
    <s v="Closed"/>
    <d v="2026-04-25T08:46:00"/>
    <s v="No"/>
    <n v="5"/>
    <s v="Awaiting Customer Response"/>
    <n v="2.4333333332324401"/>
  </r>
  <r>
    <s v="TCK-21452"/>
    <d v="2026-01-22T23:19:00"/>
    <x v="2"/>
    <s v="Bilal Chaudhry"/>
    <s v="Karachi"/>
    <s v="Email"/>
    <s v="Billing Issue"/>
    <s v="High"/>
    <n v="8"/>
    <s v="Closed"/>
    <d v="2026-01-23T14:48:00"/>
    <s v="No"/>
    <m/>
    <s v="Customer Satisfied With Resolution"/>
    <n v="15.483333333337214"/>
  </r>
  <r>
    <s v="TCK-23148"/>
    <d v="2026-01-25T08:43:00"/>
    <x v="3"/>
    <s v="Iqra Basit"/>
    <s v="Rawalpindi"/>
    <s v="Email"/>
    <s v="General Inquiry"/>
    <s v="High"/>
    <n v="8"/>
    <s v="Closed"/>
    <d v="2026-01-25T15:18:00"/>
    <s v="No"/>
    <n v="5"/>
    <s v="Not Specified"/>
    <n v="6.5833333333139308"/>
  </r>
  <r>
    <s v="TCK-20343"/>
    <d v="2026-04-01T23:04:00"/>
    <x v="2"/>
    <s v="Bilal Chaudhry"/>
    <s v="Lahore"/>
    <s v="Portal"/>
    <s v="Billing Issue"/>
    <s v="Medium"/>
    <n v="24"/>
    <s v="Closed"/>
    <d v="2026-04-04T03:49:00"/>
    <s v="No"/>
    <m/>
    <s v="Resolved On First Contact"/>
    <n v="52.750000000116415"/>
  </r>
  <r>
    <s v="TCK-21602"/>
    <d v="2026-05-23T10:18:00"/>
    <x v="1"/>
    <s v="Zara Hussain"/>
    <s v="Islamabad"/>
    <s v="Portal"/>
    <s v="Refund Request"/>
    <s v="Medium"/>
    <n v="24"/>
    <s v="Resolved"/>
    <d v="2026-05-25T00:00:00"/>
    <s v="No"/>
    <n v="4"/>
    <s v="Escalated To Senior Agent"/>
    <n v="37.699999999953434"/>
  </r>
  <r>
    <s v="TCK-21664"/>
    <d v="2026-01-29T16:48:00"/>
    <x v="3"/>
    <s v="Talha Nadeem"/>
    <s v="Multan"/>
    <s v="Portal"/>
    <s v="Delivery Delay"/>
    <s v="Medium"/>
    <n v="24"/>
    <s v="Open"/>
    <s v="Missing Resolve Date"/>
    <s v="No"/>
    <m/>
    <s v="Awaiting Customer Response"/>
    <s v=""/>
  </r>
  <r>
    <s v="TCK-22056"/>
    <d v="2026-07-11T20:11:00"/>
    <x v="1"/>
    <s v="Zara Hussain"/>
    <s v="Lahore"/>
    <s v="Chat"/>
    <s v="Billing Issue"/>
    <s v="Low"/>
    <n v="48"/>
    <s v="Escalated"/>
    <s v="Missing Resolve Date"/>
    <s v="Yes"/>
    <m/>
    <s v="Escalated To Senior Agent"/>
    <s v=""/>
  </r>
  <r>
    <s v="TCK-22898"/>
    <d v="2026-03-23T14:35:00"/>
    <x v="2"/>
    <s v="Mahnoor Aslam"/>
    <s v="Islamabad"/>
    <s v="Chat"/>
    <s v="Refund Request"/>
    <s v="Medium"/>
    <n v="24"/>
    <s v="Resolved"/>
    <d v="2026-03-24T11:47:00"/>
    <s v="No"/>
    <n v="5"/>
    <s v="Customer Requested Refund"/>
    <n v="21.199999999953434"/>
  </r>
  <r>
    <s v="TCK-23168"/>
    <d v="2026-02-16T01:59:00"/>
    <x v="2"/>
    <s v="Mahnoor Aslam"/>
    <s v="Islamabad"/>
    <s v="Portal"/>
    <s v="Account Access"/>
    <s v="Critical"/>
    <n v="4"/>
    <s v="Open"/>
    <s v="Missing Resolve Date"/>
    <s v="No"/>
    <m/>
    <s v="Resolved On First Contact"/>
    <s v=""/>
  </r>
  <r>
    <s v="TCK-22208"/>
    <d v="2026-06-29T19:49:00"/>
    <x v="1"/>
    <s v="Zara Hussain"/>
    <s v="Islamabad"/>
    <s v="Chat"/>
    <s v="Refund Request"/>
    <s v="Low"/>
    <n v="48"/>
    <s v="Resolved"/>
    <d v="2026-07-01T14:19:00"/>
    <s v="No"/>
    <n v="2"/>
    <s v="Not Specified"/>
    <n v="42.500000000058208"/>
  </r>
  <r>
    <s v="TCK-22833"/>
    <d v="2026-06-23T04:10:00"/>
    <x v="3"/>
    <s v="Talha Nadeem"/>
    <s v="Lahore"/>
    <s v="Email"/>
    <s v="Delivery Delay"/>
    <s v="Critical"/>
    <n v="4"/>
    <s v="Closed"/>
    <d v="2026-06-23T05:16:00"/>
    <s v="No"/>
    <n v="4"/>
    <s v="Customer Satisfied With Resolution"/>
    <n v="1.1000000000931323"/>
  </r>
  <r>
    <s v="TCK-20731"/>
    <d v="2026-03-24T15:33:00"/>
    <x v="1"/>
    <s v="Zara Hussain"/>
    <s v="Karachi"/>
    <s v="Email"/>
    <s v="Delivery Delay"/>
    <s v="Critical"/>
    <n v="4"/>
    <s v="Resolved"/>
    <d v="2026-03-25T01:52:00"/>
    <s v="No"/>
    <n v="5"/>
    <s v="Required Follow-Up Call"/>
    <n v="10.316666666592937"/>
  </r>
  <r>
    <s v="TCK-22563"/>
    <d v="2026-01-31T15:15:00"/>
    <x v="0"/>
    <s v="Rehan Qureshi"/>
    <s v="Faisalabad"/>
    <s v="Phone"/>
    <s v="Billing Issue"/>
    <s v="Low"/>
    <n v="48"/>
    <s v="Resolved"/>
    <s v="Missing Resolve Date"/>
    <s v="Yes"/>
    <n v="2"/>
    <s v="Repeat Issue From Same Customer"/>
    <s v=""/>
  </r>
  <r>
    <s v="TCK-22191"/>
    <d v="2026-08-20T15:56:00"/>
    <x v="3"/>
    <s v="Iqra Basit"/>
    <s v="Multan"/>
    <s v="Chat"/>
    <s v="Account Access"/>
    <s v="High"/>
    <n v="8"/>
    <s v="Closed"/>
    <d v="2026-08-20T17:49:00"/>
    <s v="Yes"/>
    <n v="5"/>
    <s v="Not Specified"/>
    <n v="1.8833333331858739"/>
  </r>
  <r>
    <s v="TCK-20104"/>
    <d v="2026-03-05T11:58:00"/>
    <x v="0"/>
    <s v="Sadia Anwar"/>
    <s v="Lahore"/>
    <s v="Email"/>
    <s v="General Inquiry"/>
    <s v="Critical"/>
    <n v="4"/>
    <s v="Closed"/>
    <d v="2026-03-05T19:14:00"/>
    <s v="No"/>
    <m/>
    <s v="Repeat Issue From Same Customer"/>
    <n v="7.2666666666045785"/>
  </r>
  <r>
    <s v="TCK-21085"/>
    <d v="2026-04-06T23:04:00"/>
    <x v="2"/>
    <s v="Bilal Chaudhry"/>
    <s v="Rawalpindi"/>
    <s v="Phone"/>
    <s v="Technical Issue"/>
    <s v="Medium"/>
    <n v="24"/>
    <s v="Resolved"/>
    <d v="2026-04-07T10:24:00"/>
    <s v="No"/>
    <m/>
    <s v="Not Specified"/>
    <n v="11.333333333430346"/>
  </r>
  <r>
    <s v="TCK-21081"/>
    <d v="2026-07-12T11:31:00"/>
    <x v="1"/>
    <s v="Zara Hussain"/>
    <s v="Rawalpindi"/>
    <s v="Chat"/>
    <s v="Delivery Delay"/>
    <s v="High"/>
    <n v="8"/>
    <s v="In Progress"/>
    <s v="Missing Resolve Date"/>
    <s v="No"/>
    <m/>
    <s v="Customer Requested Refund"/>
    <s v=""/>
  </r>
  <r>
    <s v="TCK-23017"/>
    <d v="2026-01-12T11:17:00"/>
    <x v="3"/>
    <s v="Talha Nadeem"/>
    <s v="Islamabad"/>
    <s v="Email"/>
    <s v="Billing Issue"/>
    <s v="Low"/>
    <n v="48"/>
    <s v="Closed"/>
    <d v="2026-01-16T21:08:00"/>
    <s v="No"/>
    <m/>
    <s v="Not Specified"/>
    <n v="105.85000000015134"/>
  </r>
  <r>
    <s v="TCK-22420"/>
    <d v="2026-08-27T08:40:00"/>
    <x v="1"/>
    <s v="Zara Hussain"/>
    <s v="Karachi"/>
    <s v="Phone"/>
    <s v="Account Access"/>
    <s v="Low"/>
    <n v="48"/>
    <s v="Closed"/>
    <d v="2026-08-28T15:33:00"/>
    <s v="Yes"/>
    <n v="2"/>
    <s v="Customer Satisfied With Resolution"/>
    <n v="30.883333333418705"/>
  </r>
  <r>
    <s v="TCK-22049"/>
    <d v="2026-04-21T19:49:00"/>
    <x v="1"/>
    <s v="Ayaan Khalid"/>
    <s v="Peshawar"/>
    <s v="Email"/>
    <s v="Refund Request"/>
    <s v="Medium"/>
    <n v="24"/>
    <s v="Resolved"/>
    <d v="2026-04-22T09:35:00"/>
    <s v="No"/>
    <n v="5"/>
    <s v="Not Specified"/>
    <n v="13.766666666662786"/>
  </r>
  <r>
    <s v="TCK-22030"/>
    <d v="2026-06-14T13:23:00"/>
    <x v="3"/>
    <s v="Talha Nadeem"/>
    <s v="Peshawar"/>
    <s v="Portal"/>
    <s v="Technical Issue"/>
    <s v="Medium"/>
    <n v="24"/>
    <s v="Closed"/>
    <d v="2026-06-16T10:17:00"/>
    <s v="No"/>
    <n v="4"/>
    <s v="Repeat Issue From Same Customer"/>
    <n v="44.900000000023283"/>
  </r>
  <r>
    <s v="TCK-22164"/>
    <d v="2026-04-03T18:13:00"/>
    <x v="2"/>
    <s v="Bilal Chaudhry"/>
    <s v="Rawalpindi"/>
    <s v="Phone"/>
    <s v="Refund Request"/>
    <s v="High"/>
    <n v="8"/>
    <s v="Escalated"/>
    <s v="Missing Resolve Date"/>
    <s v="Yes"/>
    <m/>
    <s v="Technical Issue Resolved Remotely"/>
    <s v=""/>
  </r>
  <r>
    <s v="TCK-21729"/>
    <d v="2026-01-28T01:23:00"/>
    <x v="0"/>
    <s v="Rehan Qureshi"/>
    <s v="Lahore"/>
    <s v="Portal"/>
    <s v="Delivery Delay"/>
    <s v="High"/>
    <n v="8"/>
    <s v="Escalated"/>
    <s v="Missing Resolve Date"/>
    <s v="Yes"/>
    <m/>
    <s v="Customer Satisfied With Resolution"/>
    <s v=""/>
  </r>
  <r>
    <s v="TCK-21413"/>
    <d v="2026-03-17T09:18:00"/>
    <x v="2"/>
    <s v="Mahnoor Aslam"/>
    <s v="Lahore"/>
    <s v="Email"/>
    <s v="Account Access"/>
    <s v="Medium"/>
    <n v="24"/>
    <s v="Closed"/>
    <d v="2026-03-17T18:48:00"/>
    <s v="No"/>
    <n v="2"/>
    <s v="Awaiting Customer Response"/>
    <n v="9.5000000000582077"/>
  </r>
  <r>
    <s v="TCK-22404"/>
    <d v="2026-06-17T04:49:00"/>
    <x v="1"/>
    <s v="Zara Hussain"/>
    <s v="Rawalpindi"/>
    <s v="Portal"/>
    <s v="Delivery Delay"/>
    <s v="Medium"/>
    <n v="24"/>
    <s v="Resolved"/>
    <d v="2026-06-18T00:57:00"/>
    <s v="No"/>
    <m/>
    <s v="Awaiting Customer Response"/>
    <n v="20.133333333302289"/>
  </r>
  <r>
    <s v="TCK-22917"/>
    <d v="2026-08-28T06:01:00"/>
    <x v="2"/>
    <s v="Bilal Chaudhry"/>
    <s v="Peshawar"/>
    <s v="Chat"/>
    <s v="Refund Request"/>
    <s v="Medium"/>
    <n v="24"/>
    <s v="Resolved"/>
    <d v="2026-08-28T16:28:00"/>
    <s v="No"/>
    <m/>
    <s v="Customer Satisfied With Resolution"/>
    <n v="10.450000000011642"/>
  </r>
  <r>
    <s v="TCK-22753"/>
    <d v="2026-08-22T23:18:00"/>
    <x v="0"/>
    <s v="Sadia Anwar"/>
    <s v="Peshawar"/>
    <s v="Phone"/>
    <s v="Refund Request"/>
    <s v="Medium"/>
    <n v="24"/>
    <s v="Resolved"/>
    <d v="2026-08-23T10:07:00"/>
    <s v="No"/>
    <n v="5"/>
    <s v="Awaiting Customer Response"/>
    <n v="10.816666666651145"/>
  </r>
  <r>
    <s v="TCK-21636"/>
    <d v="2026-04-17T10:40:00"/>
    <x v="3"/>
    <s v="Iqra Basit"/>
    <s v="Lahore"/>
    <s v="Chat"/>
    <s v="Account Access"/>
    <s v="Low"/>
    <n v="48"/>
    <s v="Closed"/>
    <d v="2026-04-18T03:56:00"/>
    <s v="No"/>
    <m/>
    <s v="Not Specified"/>
    <n v="17.266666666720994"/>
  </r>
  <r>
    <s v="TCK-22538"/>
    <d v="2026-04-21T23:11:00"/>
    <x v="3"/>
    <s v="Talha Nadeem"/>
    <s v="Lahore"/>
    <s v="Email"/>
    <s v="General Inquiry"/>
    <s v="Low"/>
    <n v="48"/>
    <s v="Closed"/>
    <d v="2026-04-22T17:55:00"/>
    <s v="No"/>
    <n v="5"/>
    <s v="Repeat Issue From Same Customer"/>
    <n v="18.733333333453629"/>
  </r>
  <r>
    <s v="TCK-21751"/>
    <d v="2026-06-05T10:42:00"/>
    <x v="1"/>
    <s v="Ayaan Khalid"/>
    <s v="Islamabad"/>
    <s v="Chat"/>
    <s v="General Inquiry"/>
    <s v="Medium"/>
    <n v="24"/>
    <s v="Resolved"/>
    <d v="2026-06-05T11:41:00"/>
    <s v="Yes"/>
    <n v="1"/>
    <s v="Required Follow-Up Call"/>
    <n v="0.9833333333954215"/>
  </r>
  <r>
    <s v="TCK-22187"/>
    <d v="2026-03-17T12:40:00"/>
    <x v="2"/>
    <s v="Mahnoor Aslam"/>
    <s v="Multan"/>
    <s v="Portal"/>
    <s v="General Inquiry"/>
    <s v="Medium"/>
    <n v="24"/>
    <s v="Resolved"/>
    <d v="2026-03-18T03:56:00"/>
    <s v="No"/>
    <m/>
    <s v="Resolved On First Contact"/>
    <n v="15.266666666662786"/>
  </r>
  <r>
    <s v="TCK-22651"/>
    <d v="2026-06-10T13:31:00"/>
    <x v="1"/>
    <s v="Ayaan Khalid"/>
    <s v="Rawalpindi"/>
    <s v="Chat"/>
    <s v="General Inquiry"/>
    <s v="Critical"/>
    <n v="4"/>
    <s v="Resolved"/>
    <d v="2026-06-11T00:20:00"/>
    <s v="No"/>
    <n v="5"/>
    <s v="Customer Requested Refund"/>
    <n v="10.816666666651145"/>
  </r>
  <r>
    <s v="TCK-20255"/>
    <d v="2026-01-18T18:35:00"/>
    <x v="2"/>
    <s v="Mahnoor Aslam"/>
    <s v="Peshawar"/>
    <s v="Portal"/>
    <s v="Technical Issue"/>
    <s v="Medium"/>
    <n v="24"/>
    <s v="Resolved"/>
    <s v="Missing Resolve Date"/>
    <s v="No"/>
    <n v="5"/>
    <s v="Customer Satisfied With Resolution"/>
    <s v=""/>
  </r>
  <r>
    <s v="TCK-23129"/>
    <d v="2026-01-27T22:24:00"/>
    <x v="3"/>
    <s v="Iqra Basit"/>
    <s v="Peshawar"/>
    <s v="Portal"/>
    <s v="Account Access"/>
    <s v="Low"/>
    <n v="48"/>
    <s v="In Progress"/>
    <s v="Missing Resolve Date"/>
    <s v="No"/>
    <m/>
    <s v="Customer Satisfied With Resolution"/>
    <s v=""/>
  </r>
  <r>
    <s v="TCK-20042"/>
    <d v="2026-05-03T09:31:00"/>
    <x v="1"/>
    <s v="Ayaan Khalid"/>
    <s v="Karachi"/>
    <s v="Portal"/>
    <s v="Refund Request"/>
    <s v="Critical"/>
    <n v="4"/>
    <s v="In Progress"/>
    <s v="Missing Resolve Date"/>
    <s v="No"/>
    <m/>
    <s v="Resolved On First Contact"/>
    <s v=""/>
  </r>
  <r>
    <s v="TCK-21224"/>
    <d v="2026-04-30T13:33:00"/>
    <x v="1"/>
    <s v="Ayaan Khalid"/>
    <s v="Rawalpindi"/>
    <s v="Chat"/>
    <s v="Billing Issue"/>
    <s v="Medium"/>
    <n v="24"/>
    <s v="Resolved"/>
    <d v="2026-05-01T11:01:00"/>
    <s v="No"/>
    <m/>
    <s v="Not Specified"/>
    <n v="21.46666666661622"/>
  </r>
  <r>
    <s v="TCK-20390"/>
    <d v="2026-01-20T15:19:00"/>
    <x v="0"/>
    <s v="Sadia Anwar"/>
    <s v="Rawalpindi"/>
    <s v="Chat"/>
    <s v="Delivery Delay"/>
    <s v="Critical"/>
    <n v="4"/>
    <s v="Resolved"/>
    <d v="2026-01-20T16:54:00"/>
    <s v="No"/>
    <n v="3"/>
    <s v="Repeat Issue From Same Customer"/>
    <n v="1.5833333334303461"/>
  </r>
  <r>
    <s v="TCK-21616"/>
    <d v="2026-08-24T21:12:00"/>
    <x v="1"/>
    <s v="Zara Hussain"/>
    <s v="Multan"/>
    <s v="Portal"/>
    <s v="Account Access"/>
    <s v="Medium"/>
    <n v="24"/>
    <s v="Re-Opened"/>
    <d v="2026-08-25T02:02:00"/>
    <s v="No"/>
    <m/>
    <s v="Customer Requested Refund"/>
    <n v="4.8333333333721384"/>
  </r>
  <r>
    <s v="TCK-21551"/>
    <d v="2026-05-09T17:46:00"/>
    <x v="2"/>
    <s v="Mahnoor Aslam"/>
    <s v="Karachi"/>
    <s v="Portal"/>
    <s v="Refund Request"/>
    <s v="Medium"/>
    <n v="24"/>
    <s v="Resolved"/>
    <d v="2026-05-09T20:04:00"/>
    <s v="No"/>
    <n v="5"/>
    <s v="Resolved On First Contact"/>
    <n v="2.2999999999883585"/>
  </r>
  <r>
    <s v="TCK-20652"/>
    <d v="2026-05-15T17:50:00"/>
    <x v="0"/>
    <s v="Rehan Qureshi"/>
    <s v="Rawalpindi"/>
    <s v="Chat"/>
    <s v="General Inquiry"/>
    <s v="Medium"/>
    <n v="24"/>
    <s v="Closed"/>
    <d v="2026-05-16T05:06:00"/>
    <s v="No"/>
    <n v="5"/>
    <s v="Customer Satisfied With Resolution"/>
    <n v="11.266666666720994"/>
  </r>
  <r>
    <s v="TCK-20282"/>
    <d v="2026-07-27T01:45:00"/>
    <x v="1"/>
    <s v="Zara Hussain"/>
    <s v="Lahore"/>
    <s v="Email"/>
    <s v="Delivery Delay"/>
    <s v="Medium"/>
    <n v="24"/>
    <s v="Closed"/>
    <d v="2026-07-27T15:22:00"/>
    <s v="No"/>
    <n v="1"/>
    <s v="Escalated To Senior Agent"/>
    <n v="13.616666666697711"/>
  </r>
  <r>
    <s v="TCK-20039"/>
    <d v="2026-05-21T07:12:00"/>
    <x v="0"/>
    <s v="Sadia Anwar"/>
    <s v="Rawalpindi"/>
    <s v="Email"/>
    <s v="Account Access"/>
    <s v="Critical"/>
    <n v="4"/>
    <s v="Closed"/>
    <d v="2026-05-21T08:31:00"/>
    <s v="No"/>
    <m/>
    <s v="Customer Requested Refund"/>
    <n v="1.316666666592937"/>
  </r>
  <r>
    <s v="TCK-20953"/>
    <d v="2026-06-18T10:44:00"/>
    <x v="0"/>
    <s v="Sadia Anwar"/>
    <s v="Multan"/>
    <s v="Chat"/>
    <s v="Refund Request"/>
    <s v="Critical"/>
    <n v="4"/>
    <s v="Closed"/>
    <d v="2026-06-18T13:15:00"/>
    <s v="No"/>
    <n v="1"/>
    <s v="Not Specified"/>
    <n v="2.5166666666627862"/>
  </r>
  <r>
    <s v="TCK-23020"/>
    <d v="2026-01-20T10:13:00"/>
    <x v="3"/>
    <s v="Iqra Basit"/>
    <s v="Rawalpindi"/>
    <s v="Phone"/>
    <s v="Billing Issue"/>
    <s v="Low"/>
    <n v="48"/>
    <s v="Closed"/>
    <d v="2026-01-21T18:36:00"/>
    <s v="No"/>
    <m/>
    <s v="Repeat Issue From Same Customer"/>
    <n v="32.383333333418705"/>
  </r>
  <r>
    <s v="TCK-21937"/>
    <d v="2026-07-20T16:31:00"/>
    <x v="3"/>
    <s v="Talha Nadeem"/>
    <s v="Islamabad"/>
    <s v="Chat"/>
    <s v="Billing Issue"/>
    <s v="High"/>
    <n v="8"/>
    <s v="In Progress"/>
    <s v="Missing Resolve Date"/>
    <s v="No"/>
    <m/>
    <s v="Not Specified"/>
    <s v=""/>
  </r>
  <r>
    <s v="TCK-21181"/>
    <d v="2026-04-24T20:41:00"/>
    <x v="3"/>
    <s v="Iqra Basit"/>
    <s v="Faisalabad"/>
    <s v="Portal"/>
    <s v="Technical Issue"/>
    <s v="Low"/>
    <n v="48"/>
    <s v="Re-Opened"/>
    <d v="2026-04-26T12:02:00"/>
    <s v="No"/>
    <m/>
    <s v="Not Specified"/>
    <n v="39.349999999918509"/>
  </r>
  <r>
    <s v="TCK-20513"/>
    <d v="2026-07-20T01:08:00"/>
    <x v="2"/>
    <s v="Bilal Chaudhry"/>
    <s v="Multan"/>
    <s v="Phone"/>
    <s v="Delivery Delay"/>
    <s v="Low"/>
    <n v="48"/>
    <s v="Closed"/>
    <d v="2026-07-20T17:28:00"/>
    <s v="No"/>
    <n v="4"/>
    <s v="Not Specified"/>
    <n v="16.333333333313931"/>
  </r>
  <r>
    <s v="TCK-20425"/>
    <d v="2026-07-28T11:05:00"/>
    <x v="1"/>
    <s v="Ayaan Khalid"/>
    <s v="Karachi"/>
    <s v="Chat"/>
    <s v="Delivery Delay"/>
    <s v="High"/>
    <n v="8"/>
    <s v="Resolved"/>
    <d v="2026-07-28T15:15:00"/>
    <s v="No"/>
    <n v="4"/>
    <s v="Awaiting Customer Response"/>
    <n v="4.1666666666278616"/>
  </r>
  <r>
    <s v="TCK-22540"/>
    <d v="2026-06-30T14:12:00"/>
    <x v="0"/>
    <s v="Sadia Anwar"/>
    <s v="Karachi"/>
    <s v="Phone"/>
    <s v="Refund Request"/>
    <s v="Low"/>
    <n v="48"/>
    <s v="Escalated"/>
    <s v="Missing Resolve Date"/>
    <s v="Yes"/>
    <m/>
    <s v="Escalated To Senior Agent"/>
    <s v=""/>
  </r>
  <r>
    <s v="TCK-22854"/>
    <d v="2026-06-05T14:17:00"/>
    <x v="0"/>
    <s v="Sadia Anwar"/>
    <s v="Lahore"/>
    <s v="Portal"/>
    <s v="Billing Issue"/>
    <s v="Medium"/>
    <n v="24"/>
    <s v="Closed"/>
    <d v="2026-06-07T17:17:00"/>
    <s v="No"/>
    <n v="4"/>
    <s v="Required Follow-Up Call"/>
    <n v="51"/>
  </r>
  <r>
    <s v="TCK-20706"/>
    <d v="2026-07-24T01:39:00"/>
    <x v="2"/>
    <s v="Mahnoor Aslam"/>
    <s v="Lahore"/>
    <s v="Portal"/>
    <s v="Delivery Delay"/>
    <s v="Medium"/>
    <n v="24"/>
    <s v="Open"/>
    <s v="Missing Resolve Date"/>
    <s v="No"/>
    <m/>
    <s v="Resolved On First Contact"/>
    <s v=""/>
  </r>
  <r>
    <s v="TCK-21061"/>
    <d v="2026-01-14T20:11:00"/>
    <x v="1"/>
    <s v="Zara Hussain"/>
    <s v="Rawalpindi"/>
    <s v="Phone"/>
    <s v="Technical Issue"/>
    <s v="Medium"/>
    <n v="24"/>
    <s v="Re-Opened"/>
    <d v="2026-01-15T08:19:00"/>
    <s v="Yes"/>
    <m/>
    <s v="Resolved On First Contact"/>
    <n v="12.133333333418705"/>
  </r>
  <r>
    <s v="TCK-22262"/>
    <d v="2026-05-10T08:51:00"/>
    <x v="1"/>
    <s v="Ayaan Khalid"/>
    <s v="Islamabad"/>
    <s v="Chat"/>
    <s v="Technical Issue"/>
    <s v="Medium"/>
    <n v="24"/>
    <s v="Resolved"/>
    <s v="Missing Resolve Date"/>
    <s v="No"/>
    <m/>
    <s v="Customer Requested Refund"/>
    <s v=""/>
  </r>
  <r>
    <s v="TCK-23122"/>
    <d v="2026-02-17T16:26:00"/>
    <x v="2"/>
    <s v="Bilal Chaudhry"/>
    <s v="Islamabad"/>
    <s v="Email"/>
    <s v="Account Access"/>
    <s v="High"/>
    <n v="8"/>
    <s v="Resolved"/>
    <d v="2026-02-18T09:07:00"/>
    <s v="No"/>
    <n v="3"/>
    <s v="Not Specified"/>
    <n v="16.683333333407063"/>
  </r>
  <r>
    <s v="TCK-20560"/>
    <d v="2026-04-18T13:03:00"/>
    <x v="0"/>
    <s v="Sadia Anwar"/>
    <s v="Islamabad"/>
    <s v="Portal"/>
    <s v="Technical Issue"/>
    <s v="Low"/>
    <n v="48"/>
    <s v="Closed"/>
    <d v="2026-04-20T20:22:00"/>
    <s v="No"/>
    <m/>
    <s v="Resolved On First Contact"/>
    <n v="55.31666666676756"/>
  </r>
  <r>
    <s v="TCK-21734"/>
    <d v="2026-07-07T20:02:00"/>
    <x v="2"/>
    <s v="Bilal Chaudhry"/>
    <s v="Lahore"/>
    <s v="Phone"/>
    <s v="Billing Issue"/>
    <s v="High"/>
    <n v="8"/>
    <s v="Closed"/>
    <d v="2026-07-08T02:03:00"/>
    <s v="No"/>
    <m/>
    <s v="Repeat Issue From Same Customer"/>
    <n v="6.0166666667209938"/>
  </r>
  <r>
    <s v="TCK-20440"/>
    <d v="2026-01-08T18:52:00"/>
    <x v="0"/>
    <s v="Sadia Anwar"/>
    <s v="Islamabad"/>
    <s v="Email"/>
    <s v="Refund Request"/>
    <s v="High"/>
    <n v="8"/>
    <s v="Closed"/>
    <d v="2026-01-09T00:25:00"/>
    <s v="No"/>
    <m/>
    <s v="Required Follow-Up Call"/>
    <n v="5.5499999999301508"/>
  </r>
  <r>
    <s v="TCK-20803"/>
    <d v="2026-01-25T18:33:00"/>
    <x v="3"/>
    <s v="Talha Nadeem"/>
    <s v="Multan"/>
    <s v="Email"/>
    <s v="Technical Issue"/>
    <s v="Low"/>
    <n v="48"/>
    <s v="In Progress"/>
    <s v="Missing Resolve Date"/>
    <s v="No"/>
    <m/>
    <s v="Resolved On First Contact"/>
    <s v=""/>
  </r>
  <r>
    <s v="TCK-21691"/>
    <d v="2026-08-03T03:09:00"/>
    <x v="1"/>
    <s v="Ayaan Khalid"/>
    <s v="Rawalpindi"/>
    <s v="Email"/>
    <s v="Account Access"/>
    <s v="Low"/>
    <n v="48"/>
    <s v="Resolved"/>
    <d v="2026-08-04T21:42:00"/>
    <s v="No"/>
    <n v="2"/>
    <s v="Required Follow-Up Call"/>
    <n v="42.550000000046566"/>
  </r>
  <r>
    <s v="TCK-22313"/>
    <d v="2026-05-15T15:24:00"/>
    <x v="1"/>
    <s v="Zara Hussain"/>
    <s v="Multan"/>
    <s v="Email"/>
    <s v="Refund Request"/>
    <s v="Medium"/>
    <n v="24"/>
    <s v="Resolved"/>
    <d v="2026-05-16T07:40:00"/>
    <s v="No"/>
    <m/>
    <s v="Repeat Issue From Same Customer"/>
    <n v="16.266666666604578"/>
  </r>
  <r>
    <s v="TCK-22464"/>
    <d v="2026-02-22T21:04:00"/>
    <x v="3"/>
    <s v="Iqra Basit"/>
    <s v="Lahore"/>
    <s v="Portal"/>
    <s v="Technical Issue"/>
    <s v="Medium"/>
    <n v="24"/>
    <s v="Resolved"/>
    <d v="2026-02-23T13:17:00"/>
    <s v="No"/>
    <n v="2"/>
    <s v="Required Follow-Up Call"/>
    <n v="16.21666666661622"/>
  </r>
  <r>
    <s v="TCK-20224"/>
    <d v="2026-01-07T03:26:00"/>
    <x v="1"/>
    <s v="Ayaan Khalid"/>
    <s v="Multan"/>
    <s v="Portal"/>
    <s v="Billing Issue"/>
    <s v="High"/>
    <n v="8"/>
    <s v="Resolved"/>
    <d v="2026-01-07T06:10:00"/>
    <s v="No"/>
    <n v="3"/>
    <s v="Technical Issue Resolved Remotely"/>
    <n v="2.7333333333372138"/>
  </r>
  <r>
    <s v="TCK-20704"/>
    <d v="2026-04-02T15:37:00"/>
    <x v="3"/>
    <s v="Iqra Basit"/>
    <s v="Lahore"/>
    <s v="Chat"/>
    <s v="Delivery Delay"/>
    <s v="Low"/>
    <n v="48"/>
    <s v="Closed"/>
    <d v="2026-04-03T19:53:00"/>
    <s v="No"/>
    <n v="5"/>
    <s v="Required Follow-Up Call"/>
    <n v="28.266666666779201"/>
  </r>
  <r>
    <s v="TCK-20725"/>
    <d v="2026-04-05T08:23:00"/>
    <x v="2"/>
    <s v="Mahnoor Aslam"/>
    <s v="Islamabad"/>
    <s v="Email"/>
    <s v="Delivery Delay"/>
    <s v="Medium"/>
    <n v="24"/>
    <s v="Open"/>
    <s v="Missing Resolve Date"/>
    <s v="No"/>
    <m/>
    <s v="Technical Issue Resolved Remotely"/>
    <s v=""/>
  </r>
  <r>
    <s v="TCK-22133"/>
    <d v="2026-05-16T12:16:00"/>
    <x v="0"/>
    <s v="Sadia Anwar"/>
    <s v="Faisalabad"/>
    <s v="Email"/>
    <s v="General Inquiry"/>
    <s v="Medium"/>
    <n v="24"/>
    <s v="Resolved"/>
    <d v="2026-05-16T20:45:00"/>
    <s v="No"/>
    <m/>
    <s v="Escalated To Senior Agent"/>
    <n v="8.4833333333954215"/>
  </r>
  <r>
    <s v="TCK-20945"/>
    <d v="2026-06-30T01:34:00"/>
    <x v="2"/>
    <s v="Bilal Chaudhry"/>
    <s v="Peshawar"/>
    <s v="Email"/>
    <s v="Technical Issue"/>
    <s v="Low"/>
    <n v="48"/>
    <s v="Re-Opened"/>
    <d v="2026-06-30T22:06:00"/>
    <s v="No"/>
    <m/>
    <s v="Required Follow-Up Call"/>
    <n v="20.533333333209157"/>
  </r>
  <r>
    <s v="TCK-20008"/>
    <d v="2026-07-26T18:30:00"/>
    <x v="1"/>
    <s v="Zara Hussain"/>
    <s v="Faisalabad"/>
    <s v="Phone"/>
    <s v="Billing Issue"/>
    <s v="Medium"/>
    <n v="24"/>
    <s v="Resolved"/>
    <d v="2026-07-27T22:05:00"/>
    <s v="No"/>
    <n v="5"/>
    <s v="Not Specified"/>
    <n v="27.583333333313931"/>
  </r>
  <r>
    <s v="TCK-22925"/>
    <d v="2026-07-15T22:10:00"/>
    <x v="2"/>
    <s v="Mahnoor Aslam"/>
    <s v="Faisalabad"/>
    <s v="Chat"/>
    <s v="General Inquiry"/>
    <s v="High"/>
    <n v="8"/>
    <s v="Closed"/>
    <d v="2026-07-16T03:01:00"/>
    <s v="No"/>
    <n v="5"/>
    <s v="Required Follow-Up Call"/>
    <n v="4.8500000000931323"/>
  </r>
  <r>
    <s v="TCK-22828"/>
    <d v="2026-02-26T04:22:00"/>
    <x v="3"/>
    <s v="Talha Nadeem"/>
    <s v="Multan"/>
    <s v="Email"/>
    <s v="Billing Issue"/>
    <s v="Critical"/>
    <n v="4"/>
    <s v="Resolved"/>
    <d v="2026-02-26T05:06:00"/>
    <s v="No"/>
    <n v="4"/>
    <s v="Awaiting Customer Response"/>
    <n v="0.73333333345362917"/>
  </r>
  <r>
    <s v="TCK-22020"/>
    <d v="2026-06-14T11:35:00"/>
    <x v="1"/>
    <s v="Zara Hussain"/>
    <s v="Lahore"/>
    <s v="Portal"/>
    <s v="Account Access"/>
    <s v="Medium"/>
    <n v="24"/>
    <s v="Re-Opened"/>
    <s v="Missing Resolve Date"/>
    <s v="No"/>
    <m/>
    <s v="Technical Issue Resolved Remotely"/>
    <s v=""/>
  </r>
  <r>
    <s v="TCK-22921"/>
    <d v="2026-07-04T13:32:00"/>
    <x v="1"/>
    <s v="Ayaan Khalid"/>
    <s v="Rawalpindi"/>
    <s v="Chat"/>
    <s v="General Inquiry"/>
    <s v="Low"/>
    <n v="48"/>
    <s v="Resolved"/>
    <d v="2026-07-07T15:46:00"/>
    <s v="No"/>
    <m/>
    <s v="Customer Satisfied With Resolution"/>
    <n v="74.233333333453629"/>
  </r>
  <r>
    <s v="TCK-21048"/>
    <d v="2026-03-20T12:32:00"/>
    <x v="0"/>
    <s v="Sadia Anwar"/>
    <s v="Islamabad"/>
    <s v="Portal"/>
    <s v="Account Access"/>
    <s v="High"/>
    <n v="8"/>
    <s v="Resolved"/>
    <d v="2026-03-20T19:13:00"/>
    <s v="Yes"/>
    <n v="4"/>
    <s v="Not Specified"/>
    <n v="6.6833333332906477"/>
  </r>
  <r>
    <s v="TCK-20074"/>
    <d v="2026-06-13T13:12:00"/>
    <x v="1"/>
    <s v="Zara Hussain"/>
    <s v="Faisalabad"/>
    <s v="Portal"/>
    <s v="General Inquiry"/>
    <s v="Medium"/>
    <n v="24"/>
    <s v="Closed"/>
    <d v="2026-06-15T07:41:00"/>
    <s v="No"/>
    <n v="3"/>
    <s v="Resolved On First Contact"/>
    <n v="42.483333333337214"/>
  </r>
  <r>
    <s v="TCK-22565"/>
    <d v="2026-05-16T10:29:00"/>
    <x v="2"/>
    <s v="Mahnoor Aslam"/>
    <s v="Lahore"/>
    <s v="Chat"/>
    <s v="Billing Issue"/>
    <s v="Low"/>
    <n v="48"/>
    <s v="Resolved"/>
    <d v="2026-05-16T21:08:00"/>
    <s v="No"/>
    <n v="1"/>
    <s v="Repeat Issue From Same Customer"/>
    <n v="10.650000000139698"/>
  </r>
  <r>
    <s v="TCK-22865"/>
    <d v="2026-03-03T11:08:00"/>
    <x v="0"/>
    <s v="Rehan Qureshi"/>
    <s v="Multan"/>
    <s v="Portal"/>
    <s v="Technical Issue"/>
    <s v="Low"/>
    <n v="48"/>
    <s v="Resolved"/>
    <d v="2026-03-04T13:28:00"/>
    <s v="No"/>
    <n v="3"/>
    <s v="Technical Issue Resolved Remotely"/>
    <n v="26.333333333430346"/>
  </r>
  <r>
    <s v="TCK-22306"/>
    <d v="2026-04-28T04:18:00"/>
    <x v="2"/>
    <s v="Mahnoor Aslam"/>
    <s v="Multan"/>
    <s v="Email"/>
    <s v="Account Access"/>
    <s v="Medium"/>
    <n v="24"/>
    <s v="Resolved"/>
    <d v="2026-04-28T16:15:00"/>
    <s v="No"/>
    <m/>
    <s v="Required Follow-Up Call"/>
    <n v="11.950000000011642"/>
  </r>
  <r>
    <s v="TCK-21091"/>
    <d v="2026-02-13T16:28:00"/>
    <x v="0"/>
    <s v="Sadia Anwar"/>
    <s v="Multan"/>
    <s v="Portal"/>
    <s v="General Inquiry"/>
    <s v="Medium"/>
    <n v="24"/>
    <s v="Resolved"/>
    <d v="2026-02-14T10:50:00"/>
    <s v="No"/>
    <m/>
    <s v="Not Specified"/>
    <n v="18.366666666639503"/>
  </r>
  <r>
    <s v="TCK-20638"/>
    <d v="2026-08-27T01:41:00"/>
    <x v="2"/>
    <s v="Bilal Chaudhry"/>
    <s v="Faisalabad"/>
    <s v="Email"/>
    <s v="Billing Issue"/>
    <s v="Low"/>
    <n v="48"/>
    <s v="Re-Opened"/>
    <d v="2026-08-27T03:56:00"/>
    <s v="No"/>
    <m/>
    <s v="Customer Requested Refund"/>
    <n v="2.25"/>
  </r>
  <r>
    <s v="TCK-20031"/>
    <d v="2026-04-28T03:58:00"/>
    <x v="0"/>
    <s v="Rehan Qureshi"/>
    <s v="Peshawar"/>
    <s v="Email"/>
    <s v="General Inquiry"/>
    <s v="High"/>
    <n v="8"/>
    <s v="Resolved"/>
    <d v="2026-04-28T23:11:00"/>
    <s v="No"/>
    <n v="1"/>
    <s v="Required Follow-Up Call"/>
    <n v="19.21666666661622"/>
  </r>
  <r>
    <s v="TCK-22454"/>
    <d v="2026-08-01T06:36:00"/>
    <x v="3"/>
    <s v="Talha Nadeem"/>
    <s v="Rawalpindi"/>
    <s v="Chat"/>
    <s v="Account Access"/>
    <s v="High"/>
    <n v="8"/>
    <s v="Open"/>
    <s v="Missing Resolve Date"/>
    <s v="No"/>
    <m/>
    <s v="Customer Requested Refund"/>
    <s v=""/>
  </r>
  <r>
    <s v="TCK-20754"/>
    <d v="2026-05-07T06:03:00"/>
    <x v="0"/>
    <s v="Rehan Qureshi"/>
    <s v="Faisalabad"/>
    <s v="Portal"/>
    <s v="Technical Issue"/>
    <s v="Medium"/>
    <n v="24"/>
    <s v="Resolved"/>
    <d v="2026-05-07T22:39:00"/>
    <s v="No"/>
    <n v="5"/>
    <s v="Customer Requested Refund"/>
    <n v="16.599999999976717"/>
  </r>
  <r>
    <s v="TCK-21351"/>
    <d v="2026-06-26T13:44:00"/>
    <x v="1"/>
    <s v="Zara Hussain"/>
    <s v="Peshawar"/>
    <s v="Portal"/>
    <s v="Refund Request"/>
    <s v="Medium"/>
    <n v="24"/>
    <s v="Open"/>
    <s v="Missing Resolve Date"/>
    <s v="No"/>
    <m/>
    <s v="Awaiting Customer Response"/>
    <s v=""/>
  </r>
  <r>
    <s v="TCK-22952"/>
    <d v="2026-08-21T20:41:00"/>
    <x v="1"/>
    <s v="Zara Hussain"/>
    <s v="Karachi"/>
    <s v="Chat"/>
    <s v="Account Access"/>
    <s v="Medium"/>
    <n v="24"/>
    <s v="Closed"/>
    <d v="2026-08-22T12:08:00"/>
    <s v="No"/>
    <n v="5"/>
    <s v="Technical Issue Resolved Remotely"/>
    <n v="15.450000000069849"/>
  </r>
  <r>
    <s v="TCK-21665"/>
    <d v="2026-06-10T21:41:00"/>
    <x v="0"/>
    <s v="Rehan Qureshi"/>
    <s v="Peshawar"/>
    <s v="Chat"/>
    <s v="Billing Issue"/>
    <s v="Low"/>
    <n v="48"/>
    <s v="Open"/>
    <s v="Missing Resolve Date"/>
    <s v="No"/>
    <m/>
    <s v="Resolved On First Contact"/>
    <s v=""/>
  </r>
  <r>
    <s v="TCK-20967"/>
    <d v="2026-05-08T19:28:00"/>
    <x v="3"/>
    <s v="Talha Nadeem"/>
    <s v="Peshawar"/>
    <s v="Portal"/>
    <s v="Technical Issue"/>
    <s v="Medium"/>
    <n v="24"/>
    <s v="Resolved"/>
    <d v="2026-05-09T10:38:00"/>
    <s v="No"/>
    <m/>
    <s v="Customer Satisfied With Resolution"/>
    <n v="15.166666666686069"/>
  </r>
  <r>
    <s v="TCK-21097"/>
    <d v="2026-03-28T01:00:00"/>
    <x v="1"/>
    <s v="Zara Hussain"/>
    <s v="Peshawar"/>
    <s v="Email"/>
    <s v="Billing Issue"/>
    <s v="Critical"/>
    <n v="4"/>
    <s v="Re-Opened"/>
    <d v="2026-03-28T03:28:00"/>
    <s v="No"/>
    <m/>
    <s v="Escalated To Senior Agent"/>
    <n v="2.4666666666744277"/>
  </r>
  <r>
    <s v="TCK-21200"/>
    <d v="2026-01-22T02:49:00"/>
    <x v="1"/>
    <s v="Zara Hussain"/>
    <s v="Multan"/>
    <s v="Email"/>
    <s v="Delivery Delay"/>
    <s v="Medium"/>
    <n v="24"/>
    <s v="Closed"/>
    <d v="2026-01-24T17:37:00"/>
    <s v="No"/>
    <n v="4"/>
    <s v="Not Specified"/>
    <n v="62.800000000046566"/>
  </r>
  <r>
    <s v="TCK-22971"/>
    <d v="2026-07-08T01:51:00"/>
    <x v="0"/>
    <s v="Sadia Anwar"/>
    <s v="Faisalabad"/>
    <s v="Portal"/>
    <s v="Billing Issue"/>
    <s v="Low"/>
    <n v="48"/>
    <s v="Resolved"/>
    <d v="2026-07-12T02:17:00"/>
    <s v="No"/>
    <m/>
    <s v="Technical Issue Resolved Remotely"/>
    <n v="96.433333333348855"/>
  </r>
  <r>
    <s v="TCK-22008"/>
    <d v="2026-06-29T19:00:00"/>
    <x v="1"/>
    <s v="Ayaan Khalid"/>
    <s v="Faisalabad"/>
    <s v="Email"/>
    <s v="General Inquiry"/>
    <s v="Low"/>
    <n v="48"/>
    <s v="Resolved"/>
    <d v="2026-06-30T17:53:00"/>
    <s v="No"/>
    <n v="5"/>
    <s v="Escalated To Senior Agent"/>
    <n v="22.883333333360497"/>
  </r>
  <r>
    <s v="TCK-21445"/>
    <d v="2026-07-11T14:14:00"/>
    <x v="3"/>
    <s v="Talha Nadeem"/>
    <s v="Peshawar"/>
    <s v="Portal"/>
    <s v="Billing Issue"/>
    <s v="Low"/>
    <n v="48"/>
    <s v="In Progress"/>
    <s v="Missing Resolve Date"/>
    <s v="No"/>
    <m/>
    <s v="Not Specified"/>
    <s v=""/>
  </r>
  <r>
    <s v="TCK-21656"/>
    <d v="2026-05-23T11:20:00"/>
    <x v="0"/>
    <s v="Sadia Anwar"/>
    <s v="Multan"/>
    <s v="Portal"/>
    <s v="Refund Request"/>
    <s v="Medium"/>
    <n v="24"/>
    <s v="Escalated"/>
    <s v="Missing Resolve Date"/>
    <s v="Yes"/>
    <m/>
    <s v="Required Follow-Up Call"/>
    <s v=""/>
  </r>
  <r>
    <s v="TCK-20336"/>
    <d v="2026-04-12T01:22:00"/>
    <x v="0"/>
    <s v="Sadia Anwar"/>
    <s v="Karachi"/>
    <s v="Portal"/>
    <s v="Technical Issue"/>
    <s v="Medium"/>
    <n v="24"/>
    <s v="In Progress"/>
    <s v="Missing Resolve Date"/>
    <s v="No"/>
    <m/>
    <s v="Required Follow-Up Call"/>
    <s v=""/>
  </r>
  <r>
    <s v="TCK-21323"/>
    <d v="2026-06-04T07:51:00"/>
    <x v="2"/>
    <s v="Mahnoor Aslam"/>
    <s v="Multan"/>
    <s v="Phone"/>
    <s v="Account Access"/>
    <s v="Medium"/>
    <n v="24"/>
    <s v="In Progress"/>
    <s v="Missing Resolve Date"/>
    <s v="No"/>
    <m/>
    <s v="Not Specified"/>
    <s v=""/>
  </r>
  <r>
    <s v="TCK-22523"/>
    <d v="2026-08-07T01:23:00"/>
    <x v="0"/>
    <s v="Rehan Qureshi"/>
    <s v="Rawalpindi"/>
    <s v="Email"/>
    <s v="General Inquiry"/>
    <s v="Medium"/>
    <n v="24"/>
    <s v="In Progress"/>
    <s v="Missing Resolve Date"/>
    <s v="No"/>
    <m/>
    <s v="Customer Requested Refund"/>
    <s v=""/>
  </r>
  <r>
    <s v="TCK-20214"/>
    <d v="2026-07-18T18:25:00"/>
    <x v="1"/>
    <s v="Ayaan Khalid"/>
    <s v="Peshawar"/>
    <s v="Phone"/>
    <s v="General Inquiry"/>
    <s v="High"/>
    <n v="8"/>
    <s v="Closed"/>
    <d v="2026-07-18T23:29:00"/>
    <s v="Yes"/>
    <n v="5"/>
    <s v="Customer Requested Refund"/>
    <n v="5.0666666667675599"/>
  </r>
  <r>
    <s v="TCK-20836"/>
    <d v="2026-01-07T18:04:00"/>
    <x v="1"/>
    <s v="Ayaan Khalid"/>
    <s v="Islamabad"/>
    <s v="Portal"/>
    <s v="General Inquiry"/>
    <s v="Medium"/>
    <n v="24"/>
    <s v="Resolved"/>
    <s v="Missing Resolve Date"/>
    <s v="No"/>
    <n v="5"/>
    <s v="Not Specified"/>
    <s v=""/>
  </r>
  <r>
    <s v="TCK-20748"/>
    <d v="2026-06-02T09:43:00"/>
    <x v="2"/>
    <s v="Bilal Chaudhry"/>
    <s v="Islamabad"/>
    <s v="Email"/>
    <s v="Refund Request"/>
    <s v="Low"/>
    <n v="48"/>
    <s v="Escalated"/>
    <s v="Missing Resolve Date"/>
    <s v="Yes"/>
    <m/>
    <s v="Resolved On First Contact"/>
    <s v=""/>
  </r>
  <r>
    <s v="TCK-20641"/>
    <d v="2026-06-09T03:47:00"/>
    <x v="3"/>
    <s v="Talha Nadeem"/>
    <s v="Peshawar"/>
    <s v="Chat"/>
    <s v="Billing Issue"/>
    <s v="High"/>
    <n v="8"/>
    <s v="Resolved"/>
    <d v="2026-06-09T09:56:00"/>
    <s v="No"/>
    <n v="1"/>
    <s v="Resolved On First Contact"/>
    <n v="6.1500000001396984"/>
  </r>
  <r>
    <s v="TCK-22386"/>
    <d v="2026-05-26T14:25:00"/>
    <x v="1"/>
    <s v="Ayaan Khalid"/>
    <s v="Lahore"/>
    <s v="Phone"/>
    <s v="Technical Issue"/>
    <s v="Low"/>
    <n v="48"/>
    <s v="Closed"/>
    <s v="Missing Resolve Date"/>
    <s v="No"/>
    <n v="3"/>
    <s v="Customer Requested Refund"/>
    <s v=""/>
  </r>
  <r>
    <s v="TCK-20194"/>
    <d v="2026-08-13T10:56:00"/>
    <x v="0"/>
    <s v="Rehan Qureshi"/>
    <s v="Rawalpindi"/>
    <s v="Phone"/>
    <s v="Delivery Delay"/>
    <s v="Medium"/>
    <n v="24"/>
    <s v="In Progress"/>
    <s v="Missing Resolve Date"/>
    <s v="No"/>
    <m/>
    <s v="Customer Satisfied With Resolution"/>
    <s v=""/>
  </r>
  <r>
    <s v="TCK-22236"/>
    <d v="2026-07-25T22:52:00"/>
    <x v="2"/>
    <s v="Mahnoor Aslam"/>
    <s v="Faisalabad"/>
    <s v="Portal"/>
    <s v="Delivery Delay"/>
    <s v="High"/>
    <n v="8"/>
    <s v="Resolved"/>
    <d v="2026-07-26T00:51:00"/>
    <s v="Yes"/>
    <n v="5"/>
    <s v="Not Specified"/>
    <n v="1.9833333333372138"/>
  </r>
  <r>
    <s v="TCK-21530"/>
    <d v="2026-04-15T13:32:00"/>
    <x v="3"/>
    <s v="Talha Nadeem"/>
    <s v="Karachi"/>
    <s v="Email"/>
    <s v="Delivery Delay"/>
    <s v="High"/>
    <n v="8"/>
    <s v="Closed"/>
    <d v="2026-04-15T19:48:00"/>
    <s v="No"/>
    <n v="2"/>
    <s v="Not Specified"/>
    <n v="6.2666666666627862"/>
  </r>
  <r>
    <s v="TCK-21506"/>
    <d v="2026-05-12T22:28:00"/>
    <x v="0"/>
    <s v="Rehan Qureshi"/>
    <s v="Rawalpindi"/>
    <s v="Portal"/>
    <s v="Delivery Delay"/>
    <s v="Medium"/>
    <n v="24"/>
    <s v="In Progress"/>
    <s v="Missing Resolve Date"/>
    <s v="No"/>
    <m/>
    <s v="Customer Requested Refund"/>
    <s v=""/>
  </r>
  <r>
    <s v="TCK-22506"/>
    <d v="2026-07-08T17:50:00"/>
    <x v="1"/>
    <s v="Ayaan Khalid"/>
    <s v="Islamabad"/>
    <s v="Chat"/>
    <s v="Technical Issue"/>
    <s v="Medium"/>
    <n v="24"/>
    <s v="Escalated"/>
    <s v="Missing Resolve Date"/>
    <s v="Yes"/>
    <m/>
    <s v="Resolved On First Contact"/>
    <s v=""/>
  </r>
  <r>
    <s v="TCK-21322"/>
    <d v="2026-04-05T01:00:00"/>
    <x v="2"/>
    <s v="Mahnoor Aslam"/>
    <s v="Faisalabad"/>
    <s v="Portal"/>
    <s v="Delivery Delay"/>
    <s v="Low"/>
    <n v="48"/>
    <s v="Resolved"/>
    <d v="2026-04-05T06:12:00"/>
    <s v="No"/>
    <m/>
    <s v="Escalated To Senior Agent"/>
    <n v="5.2000000000116415"/>
  </r>
  <r>
    <s v="TCK-22128"/>
    <d v="2026-04-15T04:38:00"/>
    <x v="2"/>
    <s v="Mahnoor Aslam"/>
    <s v="Lahore"/>
    <s v="Portal"/>
    <s v="Refund Request"/>
    <s v="Medium"/>
    <n v="24"/>
    <s v="Resolved"/>
    <d v="2026-04-15T13:39:00"/>
    <s v="No"/>
    <m/>
    <s v="Technical Issue Resolved Remotely"/>
    <n v="9.0166666665463708"/>
  </r>
  <r>
    <s v="TCK-21027"/>
    <d v="2026-08-11T01:46:00"/>
    <x v="3"/>
    <s v="Iqra Basit"/>
    <s v="Peshawar"/>
    <s v="Portal"/>
    <s v="Account Access"/>
    <s v="Medium"/>
    <n v="24"/>
    <s v="Resolved"/>
    <d v="2026-08-12T17:50:00"/>
    <s v="No"/>
    <n v="5"/>
    <s v="Repeat Issue From Same Customer"/>
    <n v="40.066666666651145"/>
  </r>
  <r>
    <s v="TCK-22514"/>
    <d v="2026-02-01T13:12:00"/>
    <x v="0"/>
    <s v="Sadia Anwar"/>
    <s v="Islamabad"/>
    <s v="Chat"/>
    <s v="Delivery Delay"/>
    <s v="Low"/>
    <n v="48"/>
    <s v="Open"/>
    <s v="Missing Resolve Date"/>
    <s v="No"/>
    <m/>
    <s v="Technical Issue Resolved Remotely"/>
    <s v=""/>
  </r>
  <r>
    <s v="TCK-20735"/>
    <d v="2026-04-19T10:01:00"/>
    <x v="0"/>
    <s v="Sadia Anwar"/>
    <s v="Rawalpindi"/>
    <s v="Phone"/>
    <s v="Delivery Delay"/>
    <s v="Low"/>
    <n v="48"/>
    <s v="Escalated"/>
    <s v="Missing Resolve Date"/>
    <s v="Yes"/>
    <m/>
    <s v="Resolved On First Contact"/>
    <s v=""/>
  </r>
  <r>
    <s v="TCK-20743"/>
    <d v="2026-02-06T17:59:00"/>
    <x v="1"/>
    <s v="Zara Hussain"/>
    <s v="Karachi"/>
    <s v="Email"/>
    <s v="General Inquiry"/>
    <s v="Low"/>
    <n v="48"/>
    <s v="Resolved"/>
    <d v="2026-02-08T22:53:00"/>
    <s v="No"/>
    <n v="1"/>
    <s v="Resolved On First Contact"/>
    <n v="52.900000000081491"/>
  </r>
  <r>
    <s v="TCK-20193"/>
    <d v="2026-03-15T06:48:00"/>
    <x v="0"/>
    <s v="Rehan Qureshi"/>
    <s v="Multan"/>
    <s v="Email"/>
    <s v="Account Access"/>
    <s v="Low"/>
    <n v="48"/>
    <s v="Re-Opened"/>
    <d v="2026-03-19T10:10:00"/>
    <s v="No"/>
    <m/>
    <s v="Required Follow-Up Call"/>
    <n v="99.366666666639503"/>
  </r>
  <r>
    <s v="TCK-20801"/>
    <d v="2026-05-27T07:39:00"/>
    <x v="2"/>
    <s v="Bilal Chaudhry"/>
    <s v="Karachi"/>
    <s v="Portal"/>
    <s v="Refund Request"/>
    <s v="Low"/>
    <n v="48"/>
    <s v="Closed"/>
    <d v="2026-05-27T22:47:00"/>
    <s v="Yes"/>
    <m/>
    <s v="Customer Requested Refund"/>
    <n v="15.133333333418705"/>
  </r>
  <r>
    <s v="TCK-20184"/>
    <d v="2026-02-15T12:48:00"/>
    <x v="3"/>
    <s v="Iqra Basit"/>
    <s v="Peshawar"/>
    <s v="Email"/>
    <s v="Account Access"/>
    <s v="Low"/>
    <n v="48"/>
    <s v="Closed"/>
    <d v="2026-02-21T09:32:00"/>
    <s v="No"/>
    <m/>
    <s v="Technical Issue Resolved Remotely"/>
    <n v="140.73333333333721"/>
  </r>
  <r>
    <s v="TCK-22408"/>
    <d v="2026-01-07T14:43:00"/>
    <x v="2"/>
    <s v="Mahnoor Aslam"/>
    <s v="Peshawar"/>
    <s v="Phone"/>
    <s v="Billing Issue"/>
    <s v="Medium"/>
    <n v="24"/>
    <s v="Resolved"/>
    <d v="2026-01-07T15:58:00"/>
    <s v="No"/>
    <n v="1"/>
    <s v="Customer Requested Refund"/>
    <n v="1.2500000000582077"/>
  </r>
  <r>
    <s v="TCK-20094"/>
    <d v="2026-01-11T22:31:00"/>
    <x v="1"/>
    <s v="Ayaan Khalid"/>
    <s v="Karachi"/>
    <s v="Email"/>
    <s v="Account Access"/>
    <s v="High"/>
    <n v="8"/>
    <s v="Resolved"/>
    <d v="2026-01-12T03:14:00"/>
    <s v="No"/>
    <n v="5"/>
    <s v="Escalated To Senior Agent"/>
    <n v="4.7166666666744277"/>
  </r>
  <r>
    <s v="TCK-22153"/>
    <d v="2026-01-13T21:17:00"/>
    <x v="0"/>
    <s v="Rehan Qureshi"/>
    <s v="Faisalabad"/>
    <s v="Phone"/>
    <s v="General Inquiry"/>
    <s v="Critical"/>
    <n v="4"/>
    <s v="Escalated"/>
    <s v="Missing Resolve Date"/>
    <s v="Yes"/>
    <m/>
    <s v="Technical Issue Resolved Remotely"/>
    <s v=""/>
  </r>
  <r>
    <s v="TCK-20981"/>
    <d v="2026-02-02T13:35:00"/>
    <x v="1"/>
    <s v="Zara Hussain"/>
    <s v="Islamabad"/>
    <s v="Phone"/>
    <s v="Billing Issue"/>
    <s v="Medium"/>
    <n v="24"/>
    <s v="Resolved"/>
    <d v="2026-02-04T01:37:00"/>
    <s v="No"/>
    <n v="5"/>
    <s v="Escalated To Senior Agent"/>
    <n v="36.033333333441988"/>
  </r>
  <r>
    <s v="TCK-20940"/>
    <d v="2026-02-26T17:13:00"/>
    <x v="1"/>
    <s v="Zara Hussain"/>
    <s v="Faisalabad"/>
    <s v="Chat"/>
    <s v="Refund Request"/>
    <s v="Medium"/>
    <n v="24"/>
    <s v="Resolved"/>
    <d v="2026-02-27T04:00:00"/>
    <s v="No"/>
    <m/>
    <s v="Technical Issue Resolved Remotely"/>
    <n v="10.783333333209157"/>
  </r>
  <r>
    <s v="TCK-22911"/>
    <d v="2026-05-21T10:13:00"/>
    <x v="3"/>
    <s v="Iqra Basit"/>
    <s v="Karachi"/>
    <s v="Phone"/>
    <s v="General Inquiry"/>
    <s v="Low"/>
    <n v="48"/>
    <s v="Resolved"/>
    <d v="2026-05-21T13:36:00"/>
    <s v="No"/>
    <n v="2"/>
    <s v="Not Specified"/>
    <n v="3.3833333333604969"/>
  </r>
  <r>
    <s v="TCK-22749"/>
    <d v="2026-01-09T02:11:00"/>
    <x v="3"/>
    <s v="Talha Nadeem"/>
    <s v="Islamabad"/>
    <s v="Portal"/>
    <s v="General Inquiry"/>
    <s v="Low"/>
    <n v="48"/>
    <s v="Escalated"/>
    <s v="Missing Resolve Date"/>
    <s v="Yes"/>
    <m/>
    <s v="Required Follow-Up Call"/>
    <s v=""/>
  </r>
  <r>
    <s v="TCK-22344"/>
    <d v="2026-01-15T13:01:00"/>
    <x v="2"/>
    <s v="Mahnoor Aslam"/>
    <s v="Islamabad"/>
    <s v="Email"/>
    <s v="Technical Issue"/>
    <s v="High"/>
    <n v="8"/>
    <s v="Re-Opened"/>
    <d v="2026-01-15T17:28:00"/>
    <s v="No"/>
    <m/>
    <s v="Repeat Issue From Same Customer"/>
    <n v="4.4500000000116415"/>
  </r>
  <r>
    <s v="TCK-22364"/>
    <d v="2026-04-25T06:30:00"/>
    <x v="3"/>
    <s v="Talha Nadeem"/>
    <s v="Peshawar"/>
    <s v="Phone"/>
    <s v="Billing Issue"/>
    <s v="High"/>
    <n v="8"/>
    <s v="Closed"/>
    <d v="2026-04-26T05:30:00"/>
    <s v="No"/>
    <n v="5"/>
    <s v="Not Specified"/>
    <n v="22.999999999883585"/>
  </r>
  <r>
    <s v="TCK-20846"/>
    <d v="2026-07-12T11:48:00"/>
    <x v="3"/>
    <s v="Iqra Basit"/>
    <s v="Karachi"/>
    <s v="Chat"/>
    <s v="Technical Issue"/>
    <s v="Low"/>
    <n v="48"/>
    <s v="In Progress"/>
    <s v="Missing Resolve Date"/>
    <s v="No"/>
    <m/>
    <s v="Customer Satisfied With Resolution"/>
    <s v=""/>
  </r>
  <r>
    <s v="TCK-22919"/>
    <d v="2026-04-25T01:11:00"/>
    <x v="1"/>
    <s v="Zara Hussain"/>
    <s v="Faisalabad"/>
    <s v="Phone"/>
    <s v="Account Access"/>
    <s v="Low"/>
    <n v="48"/>
    <s v="Escalated"/>
    <s v="Missing Resolve Date"/>
    <s v="Yes"/>
    <m/>
    <s v="Escalated To Senior Agent"/>
    <s v=""/>
  </r>
  <r>
    <s v="TCK-22624"/>
    <d v="2026-04-27T11:58:00"/>
    <x v="0"/>
    <s v="Rehan Qureshi"/>
    <s v="Faisalabad"/>
    <s v="Portal"/>
    <s v="Delivery Delay"/>
    <s v="Medium"/>
    <n v="24"/>
    <s v="In Progress"/>
    <s v="Missing Resolve Date"/>
    <s v="No"/>
    <m/>
    <s v="Resolved On First Contact"/>
    <s v=""/>
  </r>
  <r>
    <s v="TCK-23009"/>
    <d v="2026-07-24T06:36:00"/>
    <x v="2"/>
    <s v="Bilal Chaudhry"/>
    <s v="Faisalabad"/>
    <s v="Email"/>
    <s v="Technical Issue"/>
    <s v="Medium"/>
    <n v="24"/>
    <s v="Resolved"/>
    <d v="2026-07-24T22:58:00"/>
    <s v="No"/>
    <n v="2"/>
    <s v="Repeat Issue From Same Customer"/>
    <n v="16.366666666581295"/>
  </r>
  <r>
    <s v="TCK-21987"/>
    <d v="2026-02-28T08:47:00"/>
    <x v="2"/>
    <s v="Mahnoor Aslam"/>
    <s v="Multan"/>
    <s v="Portal"/>
    <s v="Technical Issue"/>
    <s v="Medium"/>
    <n v="24"/>
    <s v="Escalated"/>
    <s v="Missing Resolve Date"/>
    <s v="Yes"/>
    <m/>
    <s v="Escalated To Senior Agent"/>
    <s v=""/>
  </r>
  <r>
    <s v="TCK-21338"/>
    <d v="2026-04-04T20:09:00"/>
    <x v="2"/>
    <s v="Bilal Chaudhry"/>
    <s v="Multan"/>
    <s v="Portal"/>
    <s v="Delivery Delay"/>
    <s v="Critical"/>
    <n v="4"/>
    <s v="Escalated"/>
    <s v="Missing Resolve Date"/>
    <s v="Yes"/>
    <m/>
    <s v="Not Specified"/>
    <s v=""/>
  </r>
  <r>
    <s v="TCK-22887"/>
    <d v="2026-06-08T19:20:00"/>
    <x v="1"/>
    <s v="Ayaan Khalid"/>
    <s v="Faisalabad"/>
    <s v="Chat"/>
    <s v="Refund Request"/>
    <s v="Medium"/>
    <n v="24"/>
    <s v="Resolved"/>
    <d v="2026-06-11T08:42:00"/>
    <s v="No"/>
    <n v="4"/>
    <s v="Technical Issue Resolved Remotely"/>
    <n v="61.366666666755918"/>
  </r>
  <r>
    <s v="TCK-20256"/>
    <d v="2026-03-28T22:02:00"/>
    <x v="1"/>
    <s v="Ayaan Khalid"/>
    <s v="Faisalabad"/>
    <s v="Phone"/>
    <s v="Technical Issue"/>
    <s v="High"/>
    <n v="8"/>
    <s v="Re-Opened"/>
    <s v="Missing Resolve Date"/>
    <s v="Yes"/>
    <m/>
    <s v="Not Specified"/>
    <s v=""/>
  </r>
  <r>
    <s v="TCK-22089"/>
    <d v="2026-05-19T04:33:00"/>
    <x v="3"/>
    <s v="Talha Nadeem"/>
    <s v="Faisalabad"/>
    <s v="Phone"/>
    <s v="Delivery Delay"/>
    <s v="High"/>
    <n v="8"/>
    <s v="In Progress"/>
    <s v="Missing Resolve Date"/>
    <s v="No"/>
    <m/>
    <s v="Resolved On First Contact"/>
    <s v=""/>
  </r>
  <r>
    <s v="TCK-20046"/>
    <d v="2026-02-27T15:55:00"/>
    <x v="3"/>
    <s v="Talha Nadeem"/>
    <s v="Lahore"/>
    <s v="Phone"/>
    <s v="Billing Issue"/>
    <s v="Low"/>
    <n v="48"/>
    <s v="Closed"/>
    <d v="2026-02-28T08:22:00"/>
    <s v="No"/>
    <n v="5"/>
    <s v="Resolved On First Contact"/>
    <n v="16.450000000011642"/>
  </r>
  <r>
    <s v="TCK-22997"/>
    <d v="2026-06-01T16:13:00"/>
    <x v="1"/>
    <s v="Zara Hussain"/>
    <s v="Peshawar"/>
    <s v="Chat"/>
    <s v="Delivery Delay"/>
    <s v="Medium"/>
    <n v="24"/>
    <s v="Resolved"/>
    <d v="2026-06-02T21:48:00"/>
    <s v="No"/>
    <n v="3"/>
    <s v="Awaiting Customer Response"/>
    <n v="29.583333333372138"/>
  </r>
  <r>
    <s v="TCK-22585"/>
    <d v="2026-02-08T07:37:00"/>
    <x v="3"/>
    <s v="Talha Nadeem"/>
    <s v="Rawalpindi"/>
    <s v="Chat"/>
    <s v="General Inquiry"/>
    <s v="High"/>
    <n v="8"/>
    <s v="In Progress"/>
    <s v="Missing Resolve Date"/>
    <s v="No"/>
    <m/>
    <s v="Technical Issue Resolved Remotely"/>
    <s v=""/>
  </r>
  <r>
    <s v="TCK-21102"/>
    <d v="2026-05-27T09:21:00"/>
    <x v="3"/>
    <s v="Iqra Basit"/>
    <s v="Faisalabad"/>
    <s v="Email"/>
    <s v="Delivery Delay"/>
    <s v="High"/>
    <n v="8"/>
    <s v="Escalated"/>
    <s v="Missing Resolve Date"/>
    <s v="Yes"/>
    <m/>
    <s v="Not Specified"/>
    <s v=""/>
  </r>
  <r>
    <s v="TCK-21282"/>
    <d v="2026-05-13T17:27:00"/>
    <x v="0"/>
    <s v="Sadia Anwar"/>
    <s v="Karachi"/>
    <s v="Phone"/>
    <s v="General Inquiry"/>
    <s v="Medium"/>
    <n v="24"/>
    <s v="Escalated"/>
    <s v="Missing Resolve Date"/>
    <s v="Yes"/>
    <m/>
    <s v="Customer Satisfied With Resolution"/>
    <s v=""/>
  </r>
  <r>
    <s v="TCK-21815"/>
    <d v="2026-07-14T04:24:00"/>
    <x v="0"/>
    <s v="Sadia Anwar"/>
    <s v="Rawalpindi"/>
    <s v="Email"/>
    <s v="Billing Issue"/>
    <s v="High"/>
    <n v="8"/>
    <s v="Closed"/>
    <d v="2026-07-15T02:06:00"/>
    <s v="No"/>
    <n v="4"/>
    <s v="Repeat Issue From Same Customer"/>
    <n v="21.700000000011642"/>
  </r>
  <r>
    <s v="TCK-21676"/>
    <d v="2026-04-01T03:14:00"/>
    <x v="3"/>
    <s v="Talha Nadeem"/>
    <s v="Peshawar"/>
    <s v="Chat"/>
    <s v="General Inquiry"/>
    <s v="High"/>
    <n v="8"/>
    <s v="Closed"/>
    <d v="2026-04-01T09:51:00"/>
    <s v="No"/>
    <n v="5"/>
    <s v="Not Specified"/>
    <n v="6.6166666665812954"/>
  </r>
  <r>
    <s v="TCK-20664"/>
    <d v="2026-02-20T06:45:00"/>
    <x v="3"/>
    <s v="Talha Nadeem"/>
    <s v="Faisalabad"/>
    <s v="Email"/>
    <s v="Billing Issue"/>
    <s v="Critical"/>
    <n v="4"/>
    <s v="Resolved"/>
    <d v="2026-02-20T08:34:00"/>
    <s v="No"/>
    <m/>
    <s v="Technical Issue Resolved Remotely"/>
    <n v="1.8166666666511446"/>
  </r>
  <r>
    <s v="TCK-21568"/>
    <d v="2026-04-04T15:09:00"/>
    <x v="1"/>
    <s v="Zara Hussain"/>
    <s v="Multan"/>
    <s v="Portal"/>
    <s v="General Inquiry"/>
    <s v="Low"/>
    <n v="48"/>
    <s v="Resolved"/>
    <d v="2026-04-06T02:52:00"/>
    <s v="No"/>
    <m/>
    <s v="Escalated To Senior Agent"/>
    <n v="35.71666666661622"/>
  </r>
  <r>
    <s v="TCK-23117"/>
    <d v="2026-05-04T03:51:00"/>
    <x v="0"/>
    <s v="Rehan Qureshi"/>
    <s v="Faisalabad"/>
    <s v="Email"/>
    <s v="General Inquiry"/>
    <s v="Low"/>
    <n v="48"/>
    <s v="In Progress"/>
    <s v="Missing Resolve Date"/>
    <s v="No"/>
    <m/>
    <s v="Customer Requested Refund"/>
    <s v=""/>
  </r>
  <r>
    <s v="TCK-22958"/>
    <d v="2026-06-12T02:18:00"/>
    <x v="1"/>
    <s v="Zara Hussain"/>
    <s v="Islamabad"/>
    <s v="Portal"/>
    <s v="Account Access"/>
    <s v="Medium"/>
    <n v="24"/>
    <s v="Closed"/>
    <d v="2026-06-12T12:23:00"/>
    <s v="No"/>
    <n v="2"/>
    <s v="Customer Satisfied With Resolution"/>
    <n v="10.083333333372138"/>
  </r>
  <r>
    <s v="TCK-22656"/>
    <d v="2026-01-29T01:41:00"/>
    <x v="0"/>
    <s v="Rehan Qureshi"/>
    <s v="Islamabad"/>
    <s v="Email"/>
    <s v="Delivery Delay"/>
    <s v="High"/>
    <n v="8"/>
    <s v="In Progress"/>
    <s v="Missing Resolve Date"/>
    <s v="No"/>
    <m/>
    <s v="Not Specified"/>
    <s v=""/>
  </r>
  <r>
    <s v="TCK-22192"/>
    <d v="2026-01-05T09:57:00"/>
    <x v="3"/>
    <s v="Talha Nadeem"/>
    <s v="Lahore"/>
    <s v="Chat"/>
    <s v="Account Access"/>
    <s v="Low"/>
    <n v="48"/>
    <s v="Open"/>
    <s v="Missing Resolve Date"/>
    <s v="No"/>
    <m/>
    <s v="Repeat Issue From Same Customer"/>
    <s v=""/>
  </r>
  <r>
    <s v="TCK-20966"/>
    <d v="2026-05-28T11:59:00"/>
    <x v="1"/>
    <s v="Ayaan Khalid"/>
    <s v="Karachi"/>
    <s v="Phone"/>
    <s v="General Inquiry"/>
    <s v="Critical"/>
    <n v="4"/>
    <s v="Resolved"/>
    <d v="2026-05-28T14:10:00"/>
    <s v="No"/>
    <n v="5"/>
    <s v="Required Follow-Up Call"/>
    <n v="2.1833333334652707"/>
  </r>
  <r>
    <s v="TCK-21507"/>
    <d v="2026-04-22T18:45:00"/>
    <x v="0"/>
    <s v="Sadia Anwar"/>
    <s v="Faisalabad"/>
    <s v="Portal"/>
    <s v="Delivery Delay"/>
    <s v="High"/>
    <n v="8"/>
    <s v="Closed"/>
    <s v="Missing Resolve Date"/>
    <s v="No"/>
    <n v="4"/>
    <s v="Not Specified"/>
    <s v=""/>
  </r>
  <r>
    <s v="TCK-22943"/>
    <d v="2026-01-02T04:35:00"/>
    <x v="3"/>
    <s v="Talha Nadeem"/>
    <s v="Karachi"/>
    <s v="Phone"/>
    <s v="Refund Request"/>
    <s v="Medium"/>
    <n v="24"/>
    <s v="Closed"/>
    <d v="2026-01-02T19:11:00"/>
    <s v="No"/>
    <n v="5"/>
    <s v="Customer Requested Refund"/>
    <n v="14.600000000093132"/>
  </r>
  <r>
    <s v="TCK-22318"/>
    <d v="2026-05-20T23:17:00"/>
    <x v="1"/>
    <s v="Ayaan Khalid"/>
    <s v="Multan"/>
    <s v="Chat"/>
    <s v="Refund Request"/>
    <s v="High"/>
    <n v="8"/>
    <s v="Open"/>
    <s v="Missing Resolve Date"/>
    <s v="No"/>
    <m/>
    <s v="Required Follow-Up Call"/>
    <s v=""/>
  </r>
  <r>
    <s v="TCK-22475"/>
    <d v="2026-03-06T04:08:00"/>
    <x v="2"/>
    <s v="Bilal Chaudhry"/>
    <s v="Multan"/>
    <s v="Email"/>
    <s v="Delivery Delay"/>
    <s v="Medium"/>
    <n v="24"/>
    <s v="Escalated"/>
    <s v="Missing Resolve Date"/>
    <s v="Yes"/>
    <m/>
    <s v="Required Follow-Up Call"/>
    <s v=""/>
  </r>
  <r>
    <s v="TCK-21840"/>
    <d v="2026-04-07T04:51:00"/>
    <x v="2"/>
    <s v="Bilal Chaudhry"/>
    <s v="Peshawar"/>
    <s v="Chat"/>
    <s v="Refund Request"/>
    <s v="Low"/>
    <n v="48"/>
    <s v="Resolved"/>
    <d v="2026-04-07T16:51:00"/>
    <s v="No"/>
    <m/>
    <s v="Escalated To Senior Agent"/>
    <n v="12"/>
  </r>
  <r>
    <s v="TCK-22406"/>
    <d v="2026-01-27T22:31:00"/>
    <x v="1"/>
    <s v="Zara Hussain"/>
    <s v="Lahore"/>
    <s v="Email"/>
    <s v="General Inquiry"/>
    <s v="Low"/>
    <n v="48"/>
    <s v="Closed"/>
    <d v="2026-01-29T06:42:00"/>
    <s v="No"/>
    <n v="3"/>
    <s v="Customer Satisfied With Resolution"/>
    <n v="32.183333333290648"/>
  </r>
  <r>
    <s v="TCK-23170"/>
    <d v="2026-01-05T23:22:00"/>
    <x v="0"/>
    <s v="Sadia Anwar"/>
    <s v="Rawalpindi"/>
    <s v="Portal"/>
    <s v="Billing Issue"/>
    <s v="Low"/>
    <n v="48"/>
    <s v="Escalated"/>
    <s v="Missing Resolve Date"/>
    <s v="Yes"/>
    <m/>
    <s v="Awaiting Customer Response"/>
    <s v=""/>
  </r>
  <r>
    <s v="TCK-21409"/>
    <d v="2026-06-06T15:53:00"/>
    <x v="0"/>
    <s v="Rehan Qureshi"/>
    <s v="Peshawar"/>
    <s v="Phone"/>
    <s v="Refund Request"/>
    <s v="Medium"/>
    <n v="24"/>
    <s v="Closed"/>
    <s v="Missing Resolve Date"/>
    <s v="No"/>
    <n v="4"/>
    <s v="Not Specified"/>
    <s v=""/>
  </r>
  <r>
    <s v="TCK-21897"/>
    <d v="2026-01-01T22:17:00"/>
    <x v="1"/>
    <s v="Zara Hussain"/>
    <s v="Faisalabad"/>
    <s v="Email"/>
    <s v="Delivery Delay"/>
    <s v="Medium"/>
    <n v="24"/>
    <s v="Escalated"/>
    <s v="Missing Resolve Date"/>
    <s v="Yes"/>
    <m/>
    <s v="Not Specified"/>
    <s v=""/>
  </r>
  <r>
    <s v="TCK-20166"/>
    <d v="2026-07-17T04:53:00"/>
    <x v="0"/>
    <s v="Rehan Qureshi"/>
    <s v="Islamabad"/>
    <s v="Chat"/>
    <s v="Billing Issue"/>
    <s v="Medium"/>
    <n v="24"/>
    <s v="Resolved"/>
    <d v="2026-07-19T08:39:00"/>
    <s v="No"/>
    <m/>
    <s v="Required Follow-Up Call"/>
    <n v="51.766666666720994"/>
  </r>
  <r>
    <s v="TCK-20041"/>
    <d v="2026-03-28T19:53:00"/>
    <x v="0"/>
    <s v="Rehan Qureshi"/>
    <s v="Karachi"/>
    <s v="Phone"/>
    <s v="Delivery Delay"/>
    <s v="High"/>
    <n v="8"/>
    <s v="Closed"/>
    <d v="2026-03-29T02:06:00"/>
    <s v="No"/>
    <n v="1"/>
    <s v="Escalated To Senior Agent"/>
    <n v="6.2166666666744277"/>
  </r>
  <r>
    <s v="TCK-21071"/>
    <d v="2026-06-14T01:31:00"/>
    <x v="2"/>
    <s v="Mahnoor Aslam"/>
    <s v="Peshawar"/>
    <s v="Chat"/>
    <s v="General Inquiry"/>
    <s v="Medium"/>
    <n v="24"/>
    <s v="Resolved"/>
    <d v="2026-06-14T06:46:00"/>
    <s v="No"/>
    <m/>
    <s v="Repeat Issue From Same Customer"/>
    <n v="5.25"/>
  </r>
  <r>
    <s v="TCK-22222"/>
    <d v="2026-04-09T03:29:00"/>
    <x v="3"/>
    <s v="Iqra Basit"/>
    <s v="Lahore"/>
    <s v="Email"/>
    <s v="General Inquiry"/>
    <s v="Medium"/>
    <n v="24"/>
    <s v="Re-Opened"/>
    <d v="2026-04-09T14:24:00"/>
    <s v="No"/>
    <m/>
    <s v="Not Specified"/>
    <n v="10.916666666627862"/>
  </r>
  <r>
    <s v="TCK-22142"/>
    <d v="2026-02-26T06:40:00"/>
    <x v="1"/>
    <s v="Zara Hussain"/>
    <s v="Multan"/>
    <s v="Email"/>
    <s v="Delivery Delay"/>
    <s v="Low"/>
    <n v="48"/>
    <s v="Closed"/>
    <d v="2026-02-27T13:19:00"/>
    <s v="No"/>
    <m/>
    <s v="Not Specified"/>
    <n v="30.64999999984866"/>
  </r>
  <r>
    <s v="TCK-21924"/>
    <d v="2026-04-23T02:16:00"/>
    <x v="0"/>
    <s v="Sadia Anwar"/>
    <s v="Multan"/>
    <s v="Portal"/>
    <s v="Account Access"/>
    <s v="Medium"/>
    <n v="24"/>
    <s v="Escalated"/>
    <s v="Missing Resolve Date"/>
    <s v="Yes"/>
    <m/>
    <s v="Required Follow-Up Call"/>
    <s v=""/>
  </r>
  <r>
    <s v="TCK-20985"/>
    <d v="2026-07-26T11:58:00"/>
    <x v="1"/>
    <s v="Ayaan Khalid"/>
    <s v="Peshawar"/>
    <s v="Chat"/>
    <s v="General Inquiry"/>
    <s v="Low"/>
    <n v="48"/>
    <s v="In Progress"/>
    <s v="Missing Resolve Date"/>
    <s v="No"/>
    <m/>
    <s v="Not Specified"/>
    <s v=""/>
  </r>
  <r>
    <s v="TCK-21889"/>
    <d v="2026-03-25T09:58:00"/>
    <x v="0"/>
    <s v="Rehan Qureshi"/>
    <s v="Faisalabad"/>
    <s v="Email"/>
    <s v="Billing Issue"/>
    <s v="Low"/>
    <n v="48"/>
    <s v="In Progress"/>
    <s v="Missing Resolve Date"/>
    <s v="No"/>
    <m/>
    <s v="Technical Issue Resolved Remotely"/>
    <s v=""/>
  </r>
  <r>
    <s v="TCK-22157"/>
    <d v="2026-05-18T20:55:00"/>
    <x v="3"/>
    <s v="Talha Nadeem"/>
    <s v="Multan"/>
    <s v="Portal"/>
    <s v="Refund Request"/>
    <s v="Low"/>
    <n v="48"/>
    <s v="Resolved"/>
    <d v="2026-05-19T03:06:00"/>
    <s v="No"/>
    <m/>
    <s v="Repeat Issue From Same Customer"/>
    <n v="6.1833333332324401"/>
  </r>
  <r>
    <s v="TCK-21394"/>
    <d v="2026-05-06T21:43:00"/>
    <x v="3"/>
    <s v="Talha Nadeem"/>
    <s v="Peshawar"/>
    <s v="Chat"/>
    <s v="Account Access"/>
    <s v="Medium"/>
    <n v="24"/>
    <s v="Resolved"/>
    <d v="2026-05-07T18:54:00"/>
    <s v="No"/>
    <m/>
    <s v="Resolved On First Contact"/>
    <n v="21.18333333323244"/>
  </r>
  <r>
    <s v="TCK-20152"/>
    <d v="2026-05-05T19:56:00"/>
    <x v="3"/>
    <s v="Talha Nadeem"/>
    <s v="Karachi"/>
    <s v="Phone"/>
    <s v="Refund Request"/>
    <s v="Medium"/>
    <n v="24"/>
    <s v="Closed"/>
    <d v="2026-05-06T06:05:00"/>
    <s v="No"/>
    <n v="3"/>
    <s v="Not Specified"/>
    <n v="10.149999999906868"/>
  </r>
  <r>
    <s v="TCK-23130"/>
    <d v="2026-06-05T20:45:00"/>
    <x v="1"/>
    <s v="Zara Hussain"/>
    <s v="Faisalabad"/>
    <s v="Email"/>
    <s v="Billing Issue"/>
    <s v="Medium"/>
    <n v="24"/>
    <s v="In Progress"/>
    <s v="Missing Resolve Date"/>
    <s v="No"/>
    <m/>
    <s v="Resolved On First Contact"/>
    <s v=""/>
  </r>
  <r>
    <s v="TCK-22369"/>
    <d v="2026-06-29T03:59:00"/>
    <x v="1"/>
    <s v="Ayaan Khalid"/>
    <s v="Faisalabad"/>
    <s v="Chat"/>
    <s v="Technical Issue"/>
    <s v="Critical"/>
    <n v="4"/>
    <s v="Closed"/>
    <d v="2026-06-29T05:43:00"/>
    <s v="No"/>
    <m/>
    <s v="Not Specified"/>
    <n v="1.7333333332207985"/>
  </r>
  <r>
    <s v="TCK-21120"/>
    <d v="2026-03-01T18:22:00"/>
    <x v="1"/>
    <s v="Zara Hussain"/>
    <s v="Islamabad"/>
    <s v="Phone"/>
    <s v="Delivery Delay"/>
    <s v="Critical"/>
    <n v="4"/>
    <s v="Open"/>
    <s v="Missing Resolve Date"/>
    <s v="Yes"/>
    <m/>
    <s v="Not Specified"/>
    <s v=""/>
  </r>
  <r>
    <s v="TCK-20716"/>
    <d v="2026-01-09T11:10:00"/>
    <x v="3"/>
    <s v="Iqra Basit"/>
    <s v="Rawalpindi"/>
    <s v="Portal"/>
    <s v="Account Access"/>
    <s v="Medium"/>
    <n v="24"/>
    <s v="In Progress"/>
    <s v="Missing Resolve Date"/>
    <s v="No"/>
    <m/>
    <s v="Escalated To Senior Agent"/>
    <s v=""/>
  </r>
  <r>
    <s v="TCK-20698"/>
    <d v="2026-06-06T10:15:00"/>
    <x v="0"/>
    <s v="Rehan Qureshi"/>
    <s v="Karachi"/>
    <s v="Portal"/>
    <s v="Account Access"/>
    <s v="Low"/>
    <n v="48"/>
    <s v="Resolved"/>
    <d v="2026-06-11T13:03:00"/>
    <s v="No"/>
    <n v="2"/>
    <s v="Awaiting Customer Response"/>
    <n v="122.79999999987194"/>
  </r>
  <r>
    <s v="TCK-20721"/>
    <d v="2026-03-26T01:44:00"/>
    <x v="3"/>
    <s v="Iqra Basit"/>
    <s v="Lahore"/>
    <s v="Chat"/>
    <s v="General Inquiry"/>
    <s v="Medium"/>
    <n v="24"/>
    <s v="In Progress"/>
    <s v="Missing Resolve Date"/>
    <s v="No"/>
    <m/>
    <s v="Required Follow-Up Call"/>
    <s v=""/>
  </r>
  <r>
    <s v="TCK-20495"/>
    <d v="2026-02-20T23:03:00"/>
    <x v="2"/>
    <s v="Bilal Chaudhry"/>
    <s v="Faisalabad"/>
    <s v="Phone"/>
    <s v="Technical Issue"/>
    <s v="Low"/>
    <n v="48"/>
    <s v="Resolved"/>
    <d v="2026-02-25T01:34:00"/>
    <s v="No"/>
    <n v="4"/>
    <s v="Customer Satisfied With Resolution"/>
    <n v="98.516666666662786"/>
  </r>
  <r>
    <s v="TCK-22024"/>
    <d v="2026-08-08T06:25:00"/>
    <x v="3"/>
    <s v="Iqra Basit"/>
    <s v="Faisalabad"/>
    <s v="Email"/>
    <s v="Delivery Delay"/>
    <s v="High"/>
    <n v="8"/>
    <s v="Resolved"/>
    <d v="2026-08-08T11:32:00"/>
    <s v="No"/>
    <n v="2"/>
    <s v="Awaiting Customer Response"/>
    <n v="5.1166666667559184"/>
  </r>
  <r>
    <s v="TCK-21521"/>
    <d v="2026-06-12T01:41:00"/>
    <x v="2"/>
    <s v="Bilal Chaudhry"/>
    <s v="Rawalpindi"/>
    <s v="Email"/>
    <s v="Delivery Delay"/>
    <s v="Low"/>
    <n v="48"/>
    <s v="Closed"/>
    <d v="2026-06-13T07:29:00"/>
    <s v="Yes"/>
    <m/>
    <s v="Customer Requested Refund"/>
    <n v="29.799999999871943"/>
  </r>
  <r>
    <s v="TCK-22094"/>
    <d v="2026-06-02T23:03:00"/>
    <x v="1"/>
    <s v="Ayaan Khalid"/>
    <s v="Rawalpindi"/>
    <s v="Portal"/>
    <s v="Refund Request"/>
    <s v="Medium"/>
    <n v="24"/>
    <s v="Resolved"/>
    <d v="2026-06-04T09:19:00"/>
    <s v="No"/>
    <m/>
    <s v="Customer Requested Refund"/>
    <n v="34.266666666604578"/>
  </r>
  <r>
    <s v="TCK-20835"/>
    <d v="2026-02-28T01:21:00"/>
    <x v="1"/>
    <s v="Ayaan Khalid"/>
    <s v="Rawalpindi"/>
    <s v="Portal"/>
    <s v="Technical Issue"/>
    <s v="Low"/>
    <n v="48"/>
    <s v="Closed"/>
    <s v="Missing Resolve Date"/>
    <s v="No"/>
    <m/>
    <s v="Resolved On First Contact"/>
    <s v=""/>
  </r>
  <r>
    <s v="TCK-23141"/>
    <d v="2026-05-04T18:02:00"/>
    <x v="0"/>
    <s v="Rehan Qureshi"/>
    <s v="Karachi"/>
    <s v="Portal"/>
    <s v="Technical Issue"/>
    <s v="Low"/>
    <n v="48"/>
    <s v="Escalated"/>
    <s v="Missing Resolve Date"/>
    <s v="Yes"/>
    <m/>
    <s v="Required Follow-Up Call"/>
    <s v=""/>
  </r>
  <r>
    <s v="TCK-22244"/>
    <d v="2026-02-06T19:53:00"/>
    <x v="2"/>
    <s v="Mahnoor Aslam"/>
    <s v="Lahore"/>
    <s v="Portal"/>
    <s v="Refund Request"/>
    <s v="Low"/>
    <n v="48"/>
    <s v="Open"/>
    <s v="Missing Resolve Date"/>
    <s v="No"/>
    <m/>
    <s v="Escalated To Senior Agent"/>
    <s v=""/>
  </r>
  <r>
    <s v="TCK-22500"/>
    <d v="2026-03-15T11:50:00"/>
    <x v="3"/>
    <s v="Talha Nadeem"/>
    <s v="Faisalabad"/>
    <s v="Chat"/>
    <s v="Refund Request"/>
    <s v="Medium"/>
    <n v="24"/>
    <s v="Resolved"/>
    <d v="2026-03-17T12:03:00"/>
    <s v="No"/>
    <n v="3"/>
    <s v="Repeat Issue From Same Customer"/>
    <n v="48.216666666674428"/>
  </r>
  <r>
    <s v="TCK-21503"/>
    <d v="2026-06-29T14:35:00"/>
    <x v="3"/>
    <s v="Talha Nadeem"/>
    <s v="Rawalpindi"/>
    <s v="Portal"/>
    <s v="Refund Request"/>
    <s v="Low"/>
    <n v="48"/>
    <s v="Closed"/>
    <d v="2026-06-30T21:44:00"/>
    <s v="No"/>
    <n v="2"/>
    <s v="Technical Issue Resolved Remotely"/>
    <n v="31.149999999906868"/>
  </r>
  <r>
    <s v="TCK-23065"/>
    <d v="2026-01-29T04:42:00"/>
    <x v="0"/>
    <s v="Sadia Anwar"/>
    <s v="Peshawar"/>
    <s v="Phone"/>
    <s v="General Inquiry"/>
    <s v="Low"/>
    <n v="48"/>
    <s v="Open"/>
    <s v="Missing Resolve Date"/>
    <s v="No"/>
    <m/>
    <s v="Not Specified"/>
    <s v=""/>
  </r>
  <r>
    <s v="TCK-21427"/>
    <d v="2026-03-30T18:42:00"/>
    <x v="2"/>
    <s v="Bilal Chaudhry"/>
    <s v="Peshawar"/>
    <s v="Phone"/>
    <s v="General Inquiry"/>
    <s v="High"/>
    <n v="8"/>
    <s v="Resolved"/>
    <d v="2026-03-31T18:07:00"/>
    <s v="No"/>
    <m/>
    <s v="Not Specified"/>
    <n v="23.416666666686069"/>
  </r>
  <r>
    <s v="TCK-20821"/>
    <d v="2026-05-04T00:10:00"/>
    <x v="3"/>
    <s v="Talha Nadeem"/>
    <s v="Peshawar"/>
    <s v="Chat"/>
    <s v="Delivery Delay"/>
    <s v="High"/>
    <n v="8"/>
    <s v="Resolved"/>
    <d v="2026-05-04T01:34:00"/>
    <s v="No"/>
    <n v="4"/>
    <s v="Not Specified"/>
    <n v="1.4000000000232831"/>
  </r>
  <r>
    <s v="TCK-22310"/>
    <d v="2026-02-01T17:26:00"/>
    <x v="3"/>
    <s v="Talha Nadeem"/>
    <s v="Lahore"/>
    <s v="Chat"/>
    <s v="General Inquiry"/>
    <s v="High"/>
    <n v="8"/>
    <s v="In Progress"/>
    <s v="Missing Resolve Date"/>
    <s v="No"/>
    <m/>
    <s v="Awaiting Customer Response"/>
    <s v=""/>
  </r>
  <r>
    <s v="TCK-21141"/>
    <d v="2026-06-12T01:53:00"/>
    <x v="0"/>
    <s v="Sadia Anwar"/>
    <s v="Peshawar"/>
    <s v="Chat"/>
    <s v="Refund Request"/>
    <s v="Low"/>
    <n v="48"/>
    <s v="Closed"/>
    <d v="2026-06-13T15:37:00"/>
    <s v="No"/>
    <m/>
    <s v="Not Specified"/>
    <n v="37.733333333220799"/>
  </r>
  <r>
    <s v="TCK-22780"/>
    <d v="2026-01-14T15:10:00"/>
    <x v="0"/>
    <s v="Rehan Qureshi"/>
    <s v="Multan"/>
    <s v="Portal"/>
    <s v="Billing Issue"/>
    <s v="High"/>
    <n v="8"/>
    <s v="Escalated"/>
    <s v="Missing Resolve Date"/>
    <s v="Yes"/>
    <m/>
    <s v="Required Follow-Up Call"/>
    <s v=""/>
  </r>
  <r>
    <s v="TCK-22942"/>
    <d v="2026-05-21T03:10:00"/>
    <x v="3"/>
    <s v="Iqra Basit"/>
    <s v="Rawalpindi"/>
    <s v="Chat"/>
    <s v="Delivery Delay"/>
    <s v="Low"/>
    <n v="48"/>
    <s v="Closed"/>
    <d v="2026-05-22T18:34:00"/>
    <s v="No"/>
    <n v="1"/>
    <s v="Resolved On First Contact"/>
    <n v="39.399999999906868"/>
  </r>
  <r>
    <s v="TCK-21170"/>
    <d v="2026-01-03T07:07:00"/>
    <x v="0"/>
    <s v="Sadia Anwar"/>
    <s v="Islamabad"/>
    <s v="Chat"/>
    <s v="General Inquiry"/>
    <s v="Medium"/>
    <n v="24"/>
    <s v="Closed"/>
    <d v="2026-01-03T09:11:00"/>
    <s v="No"/>
    <n v="5"/>
    <s v="Awaiting Customer Response"/>
    <n v="2.0666666667675599"/>
  </r>
  <r>
    <s v="TCK-21918"/>
    <d v="2026-06-10T11:45:00"/>
    <x v="2"/>
    <s v="Mahnoor Aslam"/>
    <s v="Faisalabad"/>
    <s v="Portal"/>
    <s v="General Inquiry"/>
    <s v="Medium"/>
    <n v="24"/>
    <s v="Escalated"/>
    <s v="Missing Resolve Date"/>
    <s v="Yes"/>
    <m/>
    <s v="Resolved On First Contact"/>
    <s v=""/>
  </r>
  <r>
    <s v="TCK-20290"/>
    <d v="2026-03-08T13:11:00"/>
    <x v="1"/>
    <s v="Zara Hussain"/>
    <s v="Peshawar"/>
    <s v="Email"/>
    <s v="General Inquiry"/>
    <s v="Medium"/>
    <n v="24"/>
    <s v="In Progress"/>
    <s v="Missing Resolve Date"/>
    <s v="No"/>
    <m/>
    <s v="Technical Issue Resolved Remotely"/>
    <s v=""/>
  </r>
  <r>
    <s v="TCK-22792"/>
    <d v="2026-03-30T14:44:00"/>
    <x v="2"/>
    <s v="Bilal Chaudhry"/>
    <s v="Lahore"/>
    <s v="Email"/>
    <s v="Delivery Delay"/>
    <s v="Medium"/>
    <n v="24"/>
    <s v="Resolved"/>
    <d v="2026-03-31T04:58:00"/>
    <s v="No"/>
    <m/>
    <s v="Resolved On First Contact"/>
    <n v="14.233333333279006"/>
  </r>
  <r>
    <s v="TCK-21603"/>
    <d v="2026-05-12T12:38:00"/>
    <x v="0"/>
    <s v="Sadia Anwar"/>
    <s v="Islamabad"/>
    <s v="Email"/>
    <s v="Technical Issue"/>
    <s v="High"/>
    <n v="8"/>
    <s v="In Progress"/>
    <s v="Missing Resolve Date"/>
    <s v="No"/>
    <m/>
    <s v="Customer Requested Refund"/>
    <s v=""/>
  </r>
  <r>
    <s v="TCK-23095"/>
    <d v="2026-03-05T22:14:00"/>
    <x v="0"/>
    <s v="Rehan Qureshi"/>
    <s v="Islamabad"/>
    <s v="Chat"/>
    <s v="Refund Request"/>
    <s v="Medium"/>
    <n v="24"/>
    <s v="Resolved"/>
    <d v="2026-03-06T03:54:00"/>
    <s v="No"/>
    <n v="3"/>
    <s v="Awaiting Customer Response"/>
    <n v="5.6666666666278616"/>
  </r>
  <r>
    <s v="TCK-22172"/>
    <d v="2026-04-28T16:37:00"/>
    <x v="1"/>
    <s v="Ayaan Khalid"/>
    <s v="Rawalpindi"/>
    <s v="Phone"/>
    <s v="General Inquiry"/>
    <s v="Critical"/>
    <n v="4"/>
    <s v="In Progress"/>
    <s v="Missing Resolve Date"/>
    <s v="Yes"/>
    <m/>
    <s v="Not Specified"/>
    <s v=""/>
  </r>
  <r>
    <s v="TCK-21294"/>
    <d v="2026-04-24T11:41:00"/>
    <x v="0"/>
    <s v="Sadia Anwar"/>
    <s v="Rawalpindi"/>
    <s v="Phone"/>
    <s v="General Inquiry"/>
    <s v="Low"/>
    <n v="48"/>
    <s v="Resolved"/>
    <d v="2026-04-25T01:06:00"/>
    <s v="No"/>
    <m/>
    <s v="Escalated To Senior Agent"/>
    <n v="13.416666666569654"/>
  </r>
  <r>
    <s v="TCK-22201"/>
    <d v="2026-02-26T01:41:00"/>
    <x v="2"/>
    <s v="Bilal Chaudhry"/>
    <s v="Lahore"/>
    <s v="Portal"/>
    <s v="Refund Request"/>
    <s v="Low"/>
    <n v="48"/>
    <s v="Resolved"/>
    <d v="2026-02-28T12:56:00"/>
    <s v="No"/>
    <m/>
    <s v="Customer Requested Refund"/>
    <n v="59.25"/>
  </r>
  <r>
    <s v="TCK-23103"/>
    <d v="2026-05-31T16:09:00"/>
    <x v="2"/>
    <s v="Bilal Chaudhry"/>
    <s v="Rawalpindi"/>
    <s v="Email"/>
    <s v="General Inquiry"/>
    <s v="Low"/>
    <n v="48"/>
    <s v="In Progress"/>
    <s v="Missing Resolve Date"/>
    <s v="No"/>
    <m/>
    <s v="Escalated To Senior Agent"/>
    <s v=""/>
  </r>
  <r>
    <s v="TCK-22388"/>
    <d v="2026-05-21T20:22:00"/>
    <x v="1"/>
    <s v="Ayaan Khalid"/>
    <s v="Rawalpindi"/>
    <s v="Chat"/>
    <s v="Account Access"/>
    <s v="High"/>
    <n v="8"/>
    <s v="Closed"/>
    <d v="2026-05-22T00:38:00"/>
    <s v="No"/>
    <m/>
    <s v="Not Specified"/>
    <n v="4.2666666666045785"/>
  </r>
  <r>
    <s v="TCK-22671"/>
    <d v="2026-06-07T19:14:00"/>
    <x v="2"/>
    <s v="Bilal Chaudhry"/>
    <s v="Peshawar"/>
    <s v="Chat"/>
    <s v="Refund Request"/>
    <s v="Low"/>
    <n v="48"/>
    <s v="In Progress"/>
    <s v="Missing Resolve Date"/>
    <s v="No"/>
    <m/>
    <s v="Required Follow-Up Call"/>
    <s v=""/>
  </r>
  <r>
    <s v="TCK-20980"/>
    <d v="2026-01-09T13:29:00"/>
    <x v="2"/>
    <s v="Bilal Chaudhry"/>
    <s v="Rawalpindi"/>
    <s v="Phone"/>
    <s v="Refund Request"/>
    <s v="Low"/>
    <n v="48"/>
    <s v="Resolved"/>
    <d v="2026-01-10T15:16:00"/>
    <s v="No"/>
    <m/>
    <s v="Customer Satisfied With Resolution"/>
    <n v="25.78333333338378"/>
  </r>
  <r>
    <s v="TCK-20598"/>
    <d v="2026-04-08T08:18:00"/>
    <x v="1"/>
    <s v="Zara Hussain"/>
    <s v="Karachi"/>
    <s v="Chat"/>
    <s v="General Inquiry"/>
    <s v="High"/>
    <n v="8"/>
    <s v="Closed"/>
    <d v="2026-04-08T12:00:00"/>
    <s v="No"/>
    <n v="5"/>
    <s v="Resolved On First Contact"/>
    <n v="3.7000000000116415"/>
  </r>
  <r>
    <s v="TCK-22669"/>
    <d v="2026-05-21T12:30:00"/>
    <x v="1"/>
    <s v="Zara Hussain"/>
    <s v="Peshawar"/>
    <s v="Phone"/>
    <s v="Delivery Delay"/>
    <s v="Low"/>
    <n v="48"/>
    <s v="Resolved"/>
    <d v="2026-05-22T06:49:00"/>
    <s v="No"/>
    <n v="3"/>
    <s v="Customer Satisfied With Resolution"/>
    <n v="18.316666666651145"/>
  </r>
  <r>
    <s v="TCK-21139"/>
    <d v="2026-07-28T10:48:00"/>
    <x v="0"/>
    <s v="Rehan Qureshi"/>
    <s v="Peshawar"/>
    <s v="Phone"/>
    <s v="General Inquiry"/>
    <s v="High"/>
    <n v="8"/>
    <s v="Resolved"/>
    <d v="2026-07-29T06:58:00"/>
    <s v="No"/>
    <n v="5"/>
    <s v="Technical Issue Resolved Remotely"/>
    <n v="20.166666666744277"/>
  </r>
  <r>
    <s v="TCK-22092"/>
    <d v="2026-01-23T00:41:00"/>
    <x v="0"/>
    <s v="Sadia Anwar"/>
    <s v="Multan"/>
    <s v="Portal"/>
    <s v="Refund Request"/>
    <s v="Critical"/>
    <n v="4"/>
    <s v="Escalated"/>
    <s v="Missing Resolve Date"/>
    <s v="Yes"/>
    <m/>
    <s v="Required Follow-Up Call"/>
    <s v=""/>
  </r>
  <r>
    <s v="TCK-20263"/>
    <d v="2026-03-14T01:18:00"/>
    <x v="2"/>
    <s v="Bilal Chaudhry"/>
    <s v="Peshawar"/>
    <s v="Portal"/>
    <s v="Billing Issue"/>
    <s v="High"/>
    <n v="8"/>
    <s v="Resolved"/>
    <d v="2026-03-14T02:04:00"/>
    <s v="No"/>
    <n v="4"/>
    <s v="Escalated To Senior Agent"/>
    <n v="0.76666666654637083"/>
  </r>
  <r>
    <s v="TCK-21666"/>
    <d v="2026-06-10T14:12:00"/>
    <x v="3"/>
    <s v="Iqra Basit"/>
    <s v="Islamabad"/>
    <s v="Phone"/>
    <s v="Refund Request"/>
    <s v="Low"/>
    <n v="48"/>
    <s v="Closed"/>
    <d v="2026-06-11T03:59:00"/>
    <s v="No"/>
    <n v="5"/>
    <s v="Required Follow-Up Call"/>
    <n v="13.78333333338378"/>
  </r>
  <r>
    <s v="TCK-21131"/>
    <d v="2026-05-10T16:40:00"/>
    <x v="3"/>
    <s v="Talha Nadeem"/>
    <s v="Islamabad"/>
    <s v="Portal"/>
    <s v="Technical Issue"/>
    <s v="Critical"/>
    <n v="4"/>
    <s v="Open"/>
    <s v="Missing Resolve Date"/>
    <s v="No"/>
    <m/>
    <s v="Customer Requested Refund"/>
    <s v=""/>
  </r>
  <r>
    <s v="TCK-22258"/>
    <d v="2026-04-16T11:16:00"/>
    <x v="0"/>
    <s v="Rehan Qureshi"/>
    <s v="Peshawar"/>
    <s v="Portal"/>
    <s v="Account Access"/>
    <s v="Low"/>
    <n v="48"/>
    <s v="Resolved"/>
    <d v="2026-04-16T20:11:00"/>
    <s v="Yes"/>
    <n v="4"/>
    <s v="Resolved On First Contact"/>
    <n v="8.9166666665696539"/>
  </r>
  <r>
    <s v="TCK-22450"/>
    <d v="2026-04-10T15:39:00"/>
    <x v="2"/>
    <s v="Mahnoor Aslam"/>
    <s v="Lahore"/>
    <s v="Portal"/>
    <s v="General Inquiry"/>
    <s v="Low"/>
    <n v="48"/>
    <s v="Escalated"/>
    <s v="Missing Resolve Date"/>
    <s v="Yes"/>
    <m/>
    <s v="Resolved On First Contact"/>
    <s v=""/>
  </r>
  <r>
    <s v="TCK-22988"/>
    <d v="2026-05-19T07:33:00"/>
    <x v="0"/>
    <s v="Rehan Qureshi"/>
    <s v="Faisalabad"/>
    <s v="Email"/>
    <s v="Delivery Delay"/>
    <s v="High"/>
    <n v="8"/>
    <s v="Closed"/>
    <d v="2026-05-19T10:37:00"/>
    <s v="No"/>
    <m/>
    <s v="Awaiting Customer Response"/>
    <n v="3.0666666667093523"/>
  </r>
  <r>
    <s v="TCK-21569"/>
    <d v="2026-07-20T06:34:00"/>
    <x v="3"/>
    <s v="Iqra Basit"/>
    <s v="Peshawar"/>
    <s v="Email"/>
    <s v="Technical Issue"/>
    <s v="High"/>
    <n v="8"/>
    <s v="Resolved"/>
    <d v="2026-07-21T01:27:00"/>
    <s v="No"/>
    <m/>
    <s v="Not Specified"/>
    <n v="18.883333333418705"/>
  </r>
  <r>
    <s v="TCK-21906"/>
    <d v="2026-02-15T20:34:00"/>
    <x v="0"/>
    <s v="Rehan Qureshi"/>
    <s v="Lahore"/>
    <s v="Email"/>
    <s v="Account Access"/>
    <s v="Low"/>
    <n v="48"/>
    <s v="Resolved"/>
    <d v="2026-02-20T00:59:00"/>
    <s v="No"/>
    <m/>
    <s v="Not Specified"/>
    <n v="100.41666666674428"/>
  </r>
  <r>
    <s v="TCK-21271"/>
    <d v="2026-07-29T18:24:00"/>
    <x v="3"/>
    <s v="Talha Nadeem"/>
    <s v="Multan"/>
    <s v="Email"/>
    <s v="General Inquiry"/>
    <s v="Low"/>
    <n v="48"/>
    <s v="Resolved"/>
    <d v="2026-08-02T06:29:00"/>
    <s v="No"/>
    <n v="2"/>
    <s v="Customer Satisfied With Resolution"/>
    <n v="84.083333333255723"/>
  </r>
  <r>
    <s v="TCK-23042"/>
    <d v="2026-06-30T03:26:00"/>
    <x v="1"/>
    <s v="Zara Hussain"/>
    <s v="Islamabad"/>
    <s v="Chat"/>
    <s v="Account Access"/>
    <s v="Medium"/>
    <n v="24"/>
    <s v="Resolved"/>
    <d v="2026-06-30T15:36:00"/>
    <s v="Yes"/>
    <m/>
    <s v="Awaiting Customer Response"/>
    <n v="12.166666666686069"/>
  </r>
  <r>
    <s v="TCK-20685"/>
    <d v="2026-05-21T16:08:00"/>
    <x v="1"/>
    <s v="Ayaan Khalid"/>
    <s v="Peshawar"/>
    <s v="Chat"/>
    <s v="General Inquiry"/>
    <s v="Critical"/>
    <n v="4"/>
    <s v="Escalated"/>
    <s v="Missing Resolve Date"/>
    <s v="Yes"/>
    <m/>
    <s v="Escalated To Senior Agent"/>
    <s v=""/>
  </r>
  <r>
    <s v="TCK-22444"/>
    <d v="2026-02-12T05:57:00"/>
    <x v="2"/>
    <s v="Bilal Chaudhry"/>
    <s v="Rawalpindi"/>
    <s v="Email"/>
    <s v="Billing Issue"/>
    <s v="Critical"/>
    <n v="4"/>
    <s v="Resolved"/>
    <d v="2026-02-12T17:14:00"/>
    <s v="No"/>
    <n v="4"/>
    <s v="Customer Requested Refund"/>
    <n v="11.283333333267365"/>
  </r>
  <r>
    <s v="TCK-20329"/>
    <d v="2026-03-05T14:55:00"/>
    <x v="3"/>
    <s v="Iqra Basit"/>
    <s v="Multan"/>
    <s v="Portal"/>
    <s v="Billing Issue"/>
    <s v="Low"/>
    <n v="48"/>
    <s v="Closed"/>
    <d v="2026-03-11T03:25:00"/>
    <s v="No"/>
    <m/>
    <s v="Resolved On First Contact"/>
    <n v="132.49999999988358"/>
  </r>
  <r>
    <s v="TCK-22242"/>
    <d v="2026-07-22T16:20:00"/>
    <x v="3"/>
    <s v="Iqra Basit"/>
    <s v="Faisalabad"/>
    <s v="Chat"/>
    <s v="Account Access"/>
    <s v="High"/>
    <n v="8"/>
    <s v="In Progress"/>
    <s v="Missing Resolve Date"/>
    <s v="Yes"/>
    <m/>
    <s v="Technical Issue Resolved Remotely"/>
    <s v=""/>
  </r>
  <r>
    <s v="TCK-20918"/>
    <d v="2026-02-28T05:13:00"/>
    <x v="0"/>
    <s v="Rehan Qureshi"/>
    <s v="Karachi"/>
    <s v="Portal"/>
    <s v="Refund Request"/>
    <s v="Medium"/>
    <n v="24"/>
    <s v="Resolved"/>
    <d v="2026-02-28T21:59:00"/>
    <s v="No"/>
    <n v="3"/>
    <s v="Not Specified"/>
    <n v="16.766666666662786"/>
  </r>
  <r>
    <s v="TCK-20476"/>
    <d v="2026-03-05T23:55:00"/>
    <x v="0"/>
    <s v="Sadia Anwar"/>
    <s v="Karachi"/>
    <s v="Chat"/>
    <s v="Technical Issue"/>
    <s v="High"/>
    <n v="8"/>
    <s v="Resolved"/>
    <d v="2026-03-06T00:25:00"/>
    <s v="No"/>
    <m/>
    <s v="Repeat Issue From Same Customer"/>
    <n v="0.49999999988358468"/>
  </r>
  <r>
    <s v="TCK-21993"/>
    <d v="2026-03-15T11:04:00"/>
    <x v="0"/>
    <s v="Sadia Anwar"/>
    <s v="Faisalabad"/>
    <s v="Portal"/>
    <s v="Delivery Delay"/>
    <s v="Low"/>
    <n v="48"/>
    <s v="Closed"/>
    <s v="Missing Resolve Date"/>
    <s v="Yes"/>
    <n v="5"/>
    <s v="Technical Issue Resolved Remotely"/>
    <s v=""/>
  </r>
  <r>
    <s v="TCK-22330"/>
    <d v="2026-07-03T14:54:00"/>
    <x v="0"/>
    <s v="Sadia Anwar"/>
    <s v="Lahore"/>
    <s v="Portal"/>
    <s v="Account Access"/>
    <s v="High"/>
    <n v="8"/>
    <s v="Resolved"/>
    <d v="2026-07-03T16:10:00"/>
    <s v="No"/>
    <m/>
    <s v="Technical Issue Resolved Remotely"/>
    <n v="1.2666666666045785"/>
  </r>
  <r>
    <s v="TCK-21364"/>
    <d v="2026-01-25T06:32:00"/>
    <x v="2"/>
    <s v="Mahnoor Aslam"/>
    <s v="Karachi"/>
    <s v="Portal"/>
    <s v="General Inquiry"/>
    <s v="Medium"/>
    <n v="24"/>
    <s v="Closed"/>
    <d v="2026-01-25T18:45:00"/>
    <s v="Yes"/>
    <m/>
    <s v="Customer Requested Refund"/>
    <n v="12.216666666674428"/>
  </r>
  <r>
    <s v="TCK-20782"/>
    <d v="2026-05-06T18:28:00"/>
    <x v="3"/>
    <s v="Iqra Basit"/>
    <s v="Rawalpindi"/>
    <s v="Phone"/>
    <s v="Billing Issue"/>
    <s v="Medium"/>
    <n v="24"/>
    <s v="Closed"/>
    <d v="2026-05-06T21:36:00"/>
    <s v="No"/>
    <n v="5"/>
    <s v="Customer Satisfied With Resolution"/>
    <n v="3.1333333334187046"/>
  </r>
  <r>
    <s v="TCK-22762"/>
    <d v="2026-02-03T21:02:00"/>
    <x v="2"/>
    <s v="Bilal Chaudhry"/>
    <s v="Multan"/>
    <s v="Chat"/>
    <s v="Account Access"/>
    <s v="Medium"/>
    <n v="24"/>
    <s v="Re-Opened"/>
    <d v="2026-02-04T02:21:00"/>
    <s v="Yes"/>
    <m/>
    <s v="Not Specified"/>
    <n v="5.3166666667093523"/>
  </r>
  <r>
    <s v="TCK-21658"/>
    <d v="2026-04-15T15:57:00"/>
    <x v="3"/>
    <s v="Talha Nadeem"/>
    <s v="Faisalabad"/>
    <s v="Chat"/>
    <s v="Delivery Delay"/>
    <s v="High"/>
    <n v="8"/>
    <s v="Closed"/>
    <d v="2026-04-15T19:56:00"/>
    <s v="No"/>
    <n v="4"/>
    <s v="Technical Issue Resolved Remotely"/>
    <n v="3.9833333333954215"/>
  </r>
  <r>
    <s v="TCK-22603"/>
    <d v="2026-08-20T01:54:00"/>
    <x v="2"/>
    <s v="Mahnoor Aslam"/>
    <s v="Multan"/>
    <s v="Chat"/>
    <s v="Refund Request"/>
    <s v="Critical"/>
    <n v="4"/>
    <s v="In Progress"/>
    <s v="Missing Resolve Date"/>
    <s v="No"/>
    <m/>
    <s v="Resolved On First Contact"/>
    <s v=""/>
  </r>
  <r>
    <s v="TCK-23127"/>
    <d v="2026-06-13T01:34:00"/>
    <x v="1"/>
    <s v="Zara Hussain"/>
    <s v="Multan"/>
    <s v="Chat"/>
    <s v="General Inquiry"/>
    <s v="Medium"/>
    <n v="24"/>
    <s v="Resolved"/>
    <d v="2026-06-15T06:54:00"/>
    <s v="No"/>
    <n v="4"/>
    <s v="Escalated To Senior Agent"/>
    <n v="53.333333333255723"/>
  </r>
  <r>
    <s v="TCK-22005"/>
    <d v="2026-08-14T19:35:00"/>
    <x v="1"/>
    <s v="Zara Hussain"/>
    <s v="Karachi"/>
    <s v="Email"/>
    <s v="Refund Request"/>
    <s v="Critical"/>
    <n v="4"/>
    <s v="Resolved"/>
    <d v="2026-08-14T20:08:00"/>
    <s v="No"/>
    <m/>
    <s v="Customer Satisfied With Resolution"/>
    <n v="0.55000000004656613"/>
  </r>
  <r>
    <s v="TCK-20646"/>
    <d v="2026-07-30T00:42:00"/>
    <x v="3"/>
    <s v="Talha Nadeem"/>
    <s v="Rawalpindi"/>
    <s v="Email"/>
    <s v="Billing Issue"/>
    <s v="Medium"/>
    <n v="24"/>
    <s v="Resolved"/>
    <d v="2026-07-30T17:42:00"/>
    <s v="No"/>
    <m/>
    <s v="Not Specified"/>
    <n v="17.000000000058208"/>
  </r>
  <r>
    <s v="TCK-20368"/>
    <d v="2026-01-31T18:42:00"/>
    <x v="1"/>
    <s v="Ayaan Khalid"/>
    <s v="Peshawar"/>
    <s v="Email"/>
    <s v="General Inquiry"/>
    <s v="Medium"/>
    <n v="24"/>
    <s v="Resolved"/>
    <d v="2026-02-01T04:12:00"/>
    <s v="No"/>
    <n v="3"/>
    <s v="Customer Satisfied With Resolution"/>
    <n v="9.5000000000582077"/>
  </r>
  <r>
    <s v="TCK-21596"/>
    <d v="2026-08-22T06:59:00"/>
    <x v="2"/>
    <s v="Bilal Chaudhry"/>
    <s v="Rawalpindi"/>
    <s v="Phone"/>
    <s v="General Inquiry"/>
    <s v="High"/>
    <n v="8"/>
    <s v="Closed"/>
    <d v="2026-08-22T11:34:00"/>
    <s v="No"/>
    <m/>
    <s v="Customer Satisfied With Resolution"/>
    <n v="4.5833333332557231"/>
  </r>
  <r>
    <s v="TCK-21600"/>
    <d v="2026-05-04T00:24:00"/>
    <x v="2"/>
    <s v="Bilal Chaudhry"/>
    <s v="Peshawar"/>
    <s v="Chat"/>
    <s v="Account Access"/>
    <s v="Medium"/>
    <n v="24"/>
    <s v="Closed"/>
    <d v="2026-05-05T18:35:00"/>
    <s v="No"/>
    <n v="5"/>
    <s v="Escalated To Senior Agent"/>
    <n v="42.18333333323244"/>
  </r>
  <r>
    <s v="TCK-21631"/>
    <d v="2026-08-20T08:22:00"/>
    <x v="3"/>
    <s v="Iqra Basit"/>
    <s v="Rawalpindi"/>
    <s v="Chat"/>
    <s v="Refund Request"/>
    <s v="High"/>
    <n v="8"/>
    <s v="Resolved"/>
    <d v="2026-08-20T13:09:00"/>
    <s v="No"/>
    <n v="5"/>
    <s v="Customer Requested Refund"/>
    <n v="4.78333333338378"/>
  </r>
  <r>
    <s v="TCK-23154"/>
    <d v="2026-01-24T18:20:00"/>
    <x v="2"/>
    <s v="Bilal Chaudhry"/>
    <s v="Karachi"/>
    <s v="Chat"/>
    <s v="Refund Request"/>
    <s v="Medium"/>
    <n v="24"/>
    <s v="Resolved"/>
    <d v="2026-01-25T07:07:00"/>
    <s v="No"/>
    <n v="3"/>
    <s v="Escalated To Senior Agent"/>
    <n v="12.783333333267365"/>
  </r>
  <r>
    <s v="TCK-22546"/>
    <d v="2026-04-22T07:28:00"/>
    <x v="2"/>
    <s v="Bilal Chaudhry"/>
    <s v="Islamabad"/>
    <s v="Phone"/>
    <s v="General Inquiry"/>
    <s v="Medium"/>
    <n v="24"/>
    <s v="Resolved"/>
    <d v="2026-04-23T03:41:00"/>
    <s v="No"/>
    <n v="4"/>
    <s v="Technical Issue Resolved Remotely"/>
    <n v="20.216666666558012"/>
  </r>
  <r>
    <s v="TCK-21003"/>
    <d v="2026-06-22T06:05:00"/>
    <x v="3"/>
    <s v="Talha Nadeem"/>
    <s v="Lahore"/>
    <s v="Phone"/>
    <s v="Billing Issue"/>
    <s v="Critical"/>
    <n v="4"/>
    <s v="Resolved"/>
    <d v="2026-06-22T12:32:00"/>
    <s v="No"/>
    <n v="1"/>
    <s v="Awaiting Customer Response"/>
    <n v="6.4500000000698492"/>
  </r>
  <r>
    <s v="TCK-20655"/>
    <d v="2026-07-17T23:47:00"/>
    <x v="2"/>
    <s v="Bilal Chaudhry"/>
    <s v="Islamabad"/>
    <s v="Chat"/>
    <s v="Technical Issue"/>
    <s v="High"/>
    <n v="8"/>
    <s v="Open"/>
    <s v="Missing Resolve Date"/>
    <s v="No"/>
    <m/>
    <s v="Escalated To Senior Agent"/>
    <s v=""/>
  </r>
  <r>
    <s v="TCK-21389"/>
    <d v="2026-01-18T00:16:00"/>
    <x v="2"/>
    <s v="Mahnoor Aslam"/>
    <s v="Peshawar"/>
    <s v="Chat"/>
    <s v="Technical Issue"/>
    <s v="Low"/>
    <n v="48"/>
    <s v="Closed"/>
    <d v="2026-01-19T12:20:00"/>
    <s v="No"/>
    <m/>
    <s v="Escalated To Senior Agent"/>
    <n v="36.066666666709352"/>
  </r>
  <r>
    <s v="TCK-22250"/>
    <d v="2026-02-18T20:33:00"/>
    <x v="2"/>
    <s v="Bilal Chaudhry"/>
    <s v="Rawalpindi"/>
    <s v="Chat"/>
    <s v="Billing Issue"/>
    <s v="Low"/>
    <n v="48"/>
    <s v="Resolved"/>
    <d v="2026-02-19T03:49:00"/>
    <s v="No"/>
    <n v="5"/>
    <s v="Not Specified"/>
    <n v="7.2666666667792015"/>
  </r>
  <r>
    <s v="TCK-21358"/>
    <d v="2026-07-10T20:09:00"/>
    <x v="2"/>
    <s v="Mahnoor Aslam"/>
    <s v="Lahore"/>
    <s v="Email"/>
    <s v="General Inquiry"/>
    <s v="Low"/>
    <n v="48"/>
    <s v="Escalated"/>
    <s v="Missing Resolve Date"/>
    <s v="Yes"/>
    <m/>
    <s v="Awaiting Customer Response"/>
    <s v=""/>
  </r>
  <r>
    <s v="TCK-20719"/>
    <d v="2026-06-30T20:51:00"/>
    <x v="3"/>
    <s v="Talha Nadeem"/>
    <s v="Lahore"/>
    <s v="Chat"/>
    <s v="Billing Issue"/>
    <s v="High"/>
    <n v="8"/>
    <s v="In Progress"/>
    <s v="Missing Resolve Date"/>
    <s v="No"/>
    <m/>
    <s v="Not Specified"/>
    <s v=""/>
  </r>
  <r>
    <s v="TCK-20585"/>
    <d v="2026-08-15T12:18:00"/>
    <x v="3"/>
    <s v="Talha Nadeem"/>
    <s v="Peshawar"/>
    <s v="Email"/>
    <s v="Technical Issue"/>
    <s v="Medium"/>
    <n v="24"/>
    <s v="Closed"/>
    <d v="2026-08-17T23:52:00"/>
    <s v="No"/>
    <n v="1"/>
    <s v="Required Follow-Up Call"/>
    <n v="59.566666666651145"/>
  </r>
  <r>
    <s v="TCK-21387"/>
    <d v="2026-01-01T19:10:00"/>
    <x v="0"/>
    <s v="Sadia Anwar"/>
    <s v="Faisalabad"/>
    <s v="Email"/>
    <s v="Billing Issue"/>
    <s v="Low"/>
    <n v="48"/>
    <s v="Escalated"/>
    <s v="Missing Resolve Date"/>
    <s v="Yes"/>
    <m/>
    <s v="Escalated To Senior Agent"/>
    <s v=""/>
  </r>
  <r>
    <s v="TCK-21524"/>
    <d v="2026-01-07T19:27:00"/>
    <x v="3"/>
    <s v="Iqra Basit"/>
    <s v="Islamabad"/>
    <s v="Email"/>
    <s v="General Inquiry"/>
    <s v="Medium"/>
    <n v="24"/>
    <s v="Resolved"/>
    <d v="2026-01-08T04:01:00"/>
    <s v="No"/>
    <n v="2"/>
    <s v="Awaiting Customer Response"/>
    <n v="8.5666666666511446"/>
  </r>
  <r>
    <s v="TCK-21970"/>
    <d v="2026-01-26T18:22:00"/>
    <x v="1"/>
    <s v="Zara Hussain"/>
    <s v="Multan"/>
    <s v="Portal"/>
    <s v="Technical Issue"/>
    <s v="Low"/>
    <n v="48"/>
    <s v="Escalated"/>
    <s v="Missing Resolve Date"/>
    <s v="Yes"/>
    <m/>
    <s v="Required Follow-Up Call"/>
    <s v=""/>
  </r>
  <r>
    <s v="TCK-22813"/>
    <d v="2026-07-03T18:23:00"/>
    <x v="0"/>
    <s v="Sadia Anwar"/>
    <s v="Rawalpindi"/>
    <s v="Chat"/>
    <s v="Technical Issue"/>
    <s v="Low"/>
    <n v="48"/>
    <s v="Closed"/>
    <s v="Missing Resolve Date"/>
    <s v="No"/>
    <n v="5"/>
    <s v="Required Follow-Up Call"/>
    <s v=""/>
  </r>
  <r>
    <s v="TCK-20072"/>
    <d v="2026-07-19T02:59:00"/>
    <x v="0"/>
    <s v="Rehan Qureshi"/>
    <s v="Multan"/>
    <s v="Portal"/>
    <s v="General Inquiry"/>
    <s v="Low"/>
    <n v="48"/>
    <s v="Resolved"/>
    <d v="2026-07-19T16:31:00"/>
    <s v="No"/>
    <m/>
    <s v="Repeat Issue From Same Customer"/>
    <n v="13.533333333441988"/>
  </r>
  <r>
    <s v="TCK-20163"/>
    <d v="2026-04-20T20:58:00"/>
    <x v="1"/>
    <s v="Ayaan Khalid"/>
    <s v="Lahore"/>
    <s v="Chat"/>
    <s v="Account Access"/>
    <s v="Medium"/>
    <n v="24"/>
    <s v="Open"/>
    <s v="Missing Resolve Date"/>
    <s v="No"/>
    <m/>
    <s v="Customer Satisfied With Resolution"/>
    <s v=""/>
  </r>
  <r>
    <s v="TCK-22467"/>
    <d v="2026-07-02T04:51:00"/>
    <x v="3"/>
    <s v="Iqra Basit"/>
    <s v="Lahore"/>
    <s v="Phone"/>
    <s v="Account Access"/>
    <s v="Medium"/>
    <n v="24"/>
    <s v="Resolved"/>
    <d v="2026-07-02T10:29:00"/>
    <s v="No"/>
    <m/>
    <s v="Not Specified"/>
    <n v="5.6333333333604969"/>
  </r>
  <r>
    <s v="TCK-22426"/>
    <d v="2026-07-12T10:05:00"/>
    <x v="0"/>
    <s v="Rehan Qureshi"/>
    <s v="Lahore"/>
    <s v="Portal"/>
    <s v="Technical Issue"/>
    <s v="Low"/>
    <n v="48"/>
    <s v="Resolved"/>
    <d v="2026-07-13T01:28:00"/>
    <s v="No"/>
    <n v="5"/>
    <s v="Customer Requested Refund"/>
    <n v="15.383333333360497"/>
  </r>
  <r>
    <s v="TCK-21909"/>
    <d v="2026-05-24T12:47:00"/>
    <x v="2"/>
    <s v="Mahnoor Aslam"/>
    <s v="Peshawar"/>
    <s v="Email"/>
    <s v="Technical Issue"/>
    <s v="Low"/>
    <n v="48"/>
    <s v="Resolved"/>
    <d v="2026-05-25T22:25:00"/>
    <s v="No"/>
    <n v="5"/>
    <s v="Repeat Issue From Same Customer"/>
    <n v="33.633333333476912"/>
  </r>
  <r>
    <s v="TCK-21952"/>
    <d v="2026-08-23T07:55:00"/>
    <x v="3"/>
    <s v="Talha Nadeem"/>
    <s v="Rawalpindi"/>
    <s v="Chat"/>
    <s v="Technical Issue"/>
    <s v="High"/>
    <n v="8"/>
    <s v="In Progress"/>
    <s v="Missing Resolve Date"/>
    <s v="No"/>
    <m/>
    <s v="Not Specified"/>
    <s v=""/>
  </r>
  <r>
    <s v="TCK-20889"/>
    <d v="2026-05-19T02:42:00"/>
    <x v="3"/>
    <s v="Iqra Basit"/>
    <s v="Rawalpindi"/>
    <s v="Portal"/>
    <s v="Refund Request"/>
    <s v="Low"/>
    <n v="48"/>
    <s v="Closed"/>
    <d v="2026-05-19T23:26:00"/>
    <s v="No"/>
    <n v="2"/>
    <s v="Awaiting Customer Response"/>
    <n v="20.733333333337214"/>
  </r>
  <r>
    <s v="TCK-21811"/>
    <d v="2026-04-15T13:07:00"/>
    <x v="2"/>
    <s v="Bilal Chaudhry"/>
    <s v="Rawalpindi"/>
    <s v="Email"/>
    <s v="Refund Request"/>
    <s v="Medium"/>
    <n v="24"/>
    <s v="Closed"/>
    <d v="2026-04-15T20:41:00"/>
    <s v="No"/>
    <n v="4"/>
    <s v="Not Specified"/>
    <n v="7.5666666667093523"/>
  </r>
  <r>
    <s v="TCK-22016"/>
    <d v="2026-03-04T20:46:00"/>
    <x v="2"/>
    <s v="Bilal Chaudhry"/>
    <s v="Islamabad"/>
    <s v="Portal"/>
    <s v="Account Access"/>
    <s v="Critical"/>
    <n v="4"/>
    <s v="Resolved"/>
    <d v="2026-03-04T22:59:00"/>
    <s v="No"/>
    <n v="2"/>
    <s v="Customer Satisfied With Resolution"/>
    <n v="2.2166666667326353"/>
  </r>
  <r>
    <s v="TCK-21701"/>
    <d v="2026-03-17T07:41:00"/>
    <x v="3"/>
    <s v="Iqra Basit"/>
    <s v="Rawalpindi"/>
    <s v="Portal"/>
    <s v="Billing Issue"/>
    <s v="Medium"/>
    <n v="24"/>
    <s v="Escalated"/>
    <s v="Missing Resolve Date"/>
    <s v="Yes"/>
    <m/>
    <s v="Customer Satisfied With Resolution"/>
    <s v=""/>
  </r>
  <r>
    <s v="TCK-22694"/>
    <d v="2026-07-05T08:26:00"/>
    <x v="2"/>
    <s v="Bilal Chaudhry"/>
    <s v="Islamabad"/>
    <s v="Phone"/>
    <s v="Refund Request"/>
    <s v="Medium"/>
    <n v="24"/>
    <s v="In Progress"/>
    <s v="Missing Resolve Date"/>
    <s v="No"/>
    <m/>
    <s v="Required Follow-Up Call"/>
    <s v=""/>
  </r>
  <r>
    <s v="TCK-22993"/>
    <d v="2026-07-18T00:27:00"/>
    <x v="2"/>
    <s v="Mahnoor Aslam"/>
    <s v="Peshawar"/>
    <s v="Portal"/>
    <s v="Delivery Delay"/>
    <s v="High"/>
    <n v="8"/>
    <s v="Resolved"/>
    <d v="2026-07-18T01:51:00"/>
    <s v="No"/>
    <m/>
    <s v="Not Specified"/>
    <n v="1.3999999998486601"/>
  </r>
  <r>
    <s v="TCK-22577"/>
    <d v="2026-02-07T01:46:00"/>
    <x v="2"/>
    <s v="Bilal Chaudhry"/>
    <s v="Faisalabad"/>
    <s v="Email"/>
    <s v="Refund Request"/>
    <s v="Low"/>
    <n v="48"/>
    <s v="Resolved"/>
    <d v="2026-02-07T21:34:00"/>
    <s v="No"/>
    <n v="5"/>
    <s v="Resolved On First Contact"/>
    <n v="19.799999999930151"/>
  </r>
  <r>
    <s v="TCK-20934"/>
    <d v="2026-01-11T18:08:00"/>
    <x v="0"/>
    <s v="Rehan Qureshi"/>
    <s v="Multan"/>
    <s v="Phone"/>
    <s v="Billing Issue"/>
    <s v="Low"/>
    <n v="48"/>
    <s v="Open"/>
    <s v="Missing Resolve Date"/>
    <s v="No"/>
    <m/>
    <s v="Customer Satisfied With Resolution"/>
    <s v=""/>
  </r>
  <r>
    <s v="TCK-22704"/>
    <d v="2026-03-19T20:43:00"/>
    <x v="0"/>
    <s v="Rehan Qureshi"/>
    <s v="Multan"/>
    <s v="Portal"/>
    <s v="Account Access"/>
    <s v="Low"/>
    <n v="48"/>
    <s v="Closed"/>
    <d v="2026-03-23T06:12:00"/>
    <s v="No"/>
    <n v="4"/>
    <s v="Customer Satisfied With Resolution"/>
    <n v="81.483333333337214"/>
  </r>
  <r>
    <s v="TCK-22000"/>
    <d v="2026-05-14T15:54:00"/>
    <x v="3"/>
    <s v="Talha Nadeem"/>
    <s v="Rawalpindi"/>
    <s v="Portal"/>
    <s v="Billing Issue"/>
    <s v="Medium"/>
    <n v="24"/>
    <s v="Resolved"/>
    <d v="2026-05-15T01:22:00"/>
    <s v="No"/>
    <n v="5"/>
    <s v="Resolved On First Contact"/>
    <n v="9.46666666661622"/>
  </r>
  <r>
    <s v="TCK-21571"/>
    <d v="2026-02-27T18:41:00"/>
    <x v="1"/>
    <s v="Ayaan Khalid"/>
    <s v="Faisalabad"/>
    <s v="Email"/>
    <s v="Technical Issue"/>
    <s v="Low"/>
    <n v="48"/>
    <s v="Closed"/>
    <d v="2026-02-27T21:03:00"/>
    <s v="No"/>
    <m/>
    <s v="Customer Satisfied With Resolution"/>
    <n v="2.3666666666977108"/>
  </r>
  <r>
    <s v="TCK-21931"/>
    <d v="2026-05-08T14:42:00"/>
    <x v="1"/>
    <s v="Ayaan Khalid"/>
    <s v="Lahore"/>
    <s v="Portal"/>
    <s v="General Inquiry"/>
    <s v="Medium"/>
    <n v="24"/>
    <s v="Closed"/>
    <d v="2026-05-08T19:12:00"/>
    <s v="Yes"/>
    <n v="5"/>
    <s v="Customer Requested Refund"/>
    <n v="4.5"/>
  </r>
  <r>
    <s v="TCK-22723"/>
    <d v="2026-04-24T16:39:00"/>
    <x v="0"/>
    <s v="Rehan Qureshi"/>
    <s v="Karachi"/>
    <s v="Phone"/>
    <s v="Technical Issue"/>
    <s v="Medium"/>
    <n v="24"/>
    <s v="In Progress"/>
    <s v="Missing Resolve Date"/>
    <s v="No"/>
    <m/>
    <s v="Customer Requested Refund"/>
    <s v=""/>
  </r>
  <r>
    <s v="TCK-22048"/>
    <d v="2026-01-21T15:28:00"/>
    <x v="1"/>
    <s v="Ayaan Khalid"/>
    <s v="Faisalabad"/>
    <s v="Chat"/>
    <s v="Refund Request"/>
    <s v="Medium"/>
    <n v="24"/>
    <s v="Escalated"/>
    <s v="Missing Resolve Date"/>
    <s v="Yes"/>
    <m/>
    <s v="Customer Satisfied With Resolution"/>
    <s v=""/>
  </r>
  <r>
    <s v="TCK-20696"/>
    <d v="2026-04-23T13:52:00"/>
    <x v="2"/>
    <s v="Mahnoor Aslam"/>
    <s v="Lahore"/>
    <s v="Portal"/>
    <s v="Billing Issue"/>
    <s v="Medium"/>
    <n v="24"/>
    <s v="Resolved"/>
    <d v="2026-04-23T17:23:00"/>
    <s v="No"/>
    <n v="4"/>
    <s v="Repeat Issue From Same Customer"/>
    <n v="3.5166666667792015"/>
  </r>
  <r>
    <s v="TCK-20374"/>
    <d v="2026-02-08T10:51:00"/>
    <x v="2"/>
    <s v="Bilal Chaudhry"/>
    <s v="Multan"/>
    <s v="Chat"/>
    <s v="Billing Issue"/>
    <s v="Medium"/>
    <n v="24"/>
    <s v="Closed"/>
    <d v="2026-02-08T14:35:00"/>
    <s v="No"/>
    <n v="5"/>
    <s v="Repeat Issue From Same Customer"/>
    <n v="3.7333333334536292"/>
  </r>
  <r>
    <s v="TCK-22349"/>
    <d v="2026-01-25T03:15:00"/>
    <x v="2"/>
    <s v="Mahnoor Aslam"/>
    <s v="Islamabad"/>
    <s v="Portal"/>
    <s v="Account Access"/>
    <s v="Medium"/>
    <n v="24"/>
    <s v="Escalated"/>
    <s v="Missing Resolve Date"/>
    <s v="Yes"/>
    <m/>
    <s v="Not Specified"/>
    <s v=""/>
  </r>
  <r>
    <s v="TCK-22532"/>
    <d v="2026-04-08T18:10:00"/>
    <x v="1"/>
    <s v="Ayaan Khalid"/>
    <s v="Faisalabad"/>
    <s v="Phone"/>
    <s v="General Inquiry"/>
    <s v="Medium"/>
    <n v="24"/>
    <s v="Open"/>
    <s v="Missing Resolve Date"/>
    <s v="No"/>
    <m/>
    <s v="Repeat Issue From Same Customer"/>
    <s v=""/>
  </r>
  <r>
    <s v="TCK-21113"/>
    <d v="2026-05-22T00:55:00"/>
    <x v="0"/>
    <s v="Rehan Qureshi"/>
    <s v="Peshawar"/>
    <s v="Phone"/>
    <s v="Refund Request"/>
    <s v="Medium"/>
    <n v="24"/>
    <s v="Resolved"/>
    <d v="2026-05-22T04:23:00"/>
    <s v="No"/>
    <m/>
    <s v="Required Follow-Up Call"/>
    <n v="3.46666666661622"/>
  </r>
  <r>
    <s v="TCK-21064"/>
    <d v="2026-06-06T11:37:00"/>
    <x v="1"/>
    <s v="Zara Hussain"/>
    <s v="Rawalpindi"/>
    <s v="Phone"/>
    <s v="Account Access"/>
    <s v="Low"/>
    <n v="48"/>
    <s v="Escalated"/>
    <s v="Missing Resolve Date"/>
    <s v="Yes"/>
    <m/>
    <s v="Not Specified"/>
    <s v=""/>
  </r>
  <r>
    <s v="TCK-20396"/>
    <d v="2026-02-11T04:20:00"/>
    <x v="3"/>
    <s v="Talha Nadeem"/>
    <s v="Peshawar"/>
    <s v="Phone"/>
    <s v="Billing Issue"/>
    <s v="Medium"/>
    <n v="24"/>
    <s v="Re-Opened"/>
    <d v="2026-02-11T23:47:00"/>
    <s v="No"/>
    <m/>
    <s v="Escalated To Senior Agent"/>
    <n v="19.450000000011642"/>
  </r>
  <r>
    <s v="TCK-20600"/>
    <d v="2026-07-01T18:36:00"/>
    <x v="1"/>
    <s v="Zara Hussain"/>
    <s v="Peshawar"/>
    <s v="Phone"/>
    <s v="General Inquiry"/>
    <s v="High"/>
    <n v="8"/>
    <s v="Open"/>
    <s v="Missing Resolve Date"/>
    <s v="No"/>
    <m/>
    <s v="Awaiting Customer Response"/>
    <s v=""/>
  </r>
  <r>
    <s v="TCK-21670"/>
    <d v="2026-03-25T13:54:00"/>
    <x v="3"/>
    <s v="Talha Nadeem"/>
    <s v="Rawalpindi"/>
    <s v="Phone"/>
    <s v="General Inquiry"/>
    <s v="Low"/>
    <n v="48"/>
    <s v="In Progress"/>
    <s v="Missing Resolve Date"/>
    <s v="No"/>
    <m/>
    <s v="Not Specified"/>
    <s v=""/>
  </r>
  <r>
    <s v="TCK-20802"/>
    <d v="2026-07-12T04:03:00"/>
    <x v="2"/>
    <s v="Bilal Chaudhry"/>
    <s v="Islamabad"/>
    <s v="Email"/>
    <s v="Refund Request"/>
    <s v="Low"/>
    <n v="48"/>
    <s v="Resolved"/>
    <d v="2026-07-12T11:23:00"/>
    <s v="No"/>
    <m/>
    <s v="Repeat Issue From Same Customer"/>
    <n v="7.3333333334885538"/>
  </r>
  <r>
    <s v="TCK-22953"/>
    <d v="2026-07-22T05:32:00"/>
    <x v="3"/>
    <s v="Talha Nadeem"/>
    <s v="Karachi"/>
    <s v="Phone"/>
    <s v="Technical Issue"/>
    <s v="Critical"/>
    <n v="4"/>
    <s v="Re-Opened"/>
    <d v="2026-07-22T07:24:00"/>
    <s v="No"/>
    <m/>
    <s v="Not Specified"/>
    <n v="1.8666666666395031"/>
  </r>
  <r>
    <s v="TCK-21236"/>
    <d v="2026-07-25T01:45:00"/>
    <x v="3"/>
    <s v="Iqra Basit"/>
    <s v="Peshawar"/>
    <s v="Chat"/>
    <s v="Account Access"/>
    <s v="High"/>
    <n v="8"/>
    <s v="In Progress"/>
    <s v="Missing Resolve Date"/>
    <s v="No"/>
    <m/>
    <s v="Repeat Issue From Same Customer"/>
    <s v=""/>
  </r>
  <r>
    <s v="TCK-22529"/>
    <d v="2026-04-25T23:00:00"/>
    <x v="2"/>
    <s v="Bilal Chaudhry"/>
    <s v="Karachi"/>
    <s v="Chat"/>
    <s v="Account Access"/>
    <s v="High"/>
    <n v="8"/>
    <s v="Resolved"/>
    <d v="2026-04-26T03:05:00"/>
    <s v="No"/>
    <m/>
    <s v="Repeat Issue From Same Customer"/>
    <n v="4.0833333331975155"/>
  </r>
  <r>
    <s v="TCK-21731"/>
    <d v="2026-06-27T11:12:00"/>
    <x v="0"/>
    <s v="Rehan Qureshi"/>
    <s v="Peshawar"/>
    <s v="Email"/>
    <s v="Technical Issue"/>
    <s v="Medium"/>
    <n v="24"/>
    <s v="Closed"/>
    <d v="2026-06-28T05:03:00"/>
    <s v="No"/>
    <n v="4"/>
    <s v="Required Follow-Up Call"/>
    <n v="17.850000000034925"/>
  </r>
  <r>
    <s v="TCK-23169"/>
    <d v="2026-01-17T19:41:00"/>
    <x v="2"/>
    <s v="Bilal Chaudhry"/>
    <s v="Lahore"/>
    <s v="Email"/>
    <s v="Delivery Delay"/>
    <s v="Low"/>
    <n v="48"/>
    <s v="Open"/>
    <s v="Missing Resolve Date"/>
    <s v="No"/>
    <m/>
    <s v="Customer Satisfied With Resolution"/>
    <s v=""/>
  </r>
  <r>
    <s v="TCK-21800"/>
    <d v="2026-03-03T00:59:00"/>
    <x v="2"/>
    <s v="Mahnoor Aslam"/>
    <s v="Peshawar"/>
    <s v="Email"/>
    <s v="Refund Request"/>
    <s v="Low"/>
    <n v="48"/>
    <s v="Closed"/>
    <d v="2026-03-08T04:12:00"/>
    <s v="No"/>
    <n v="4"/>
    <s v="Awaiting Customer Response"/>
    <n v="123.21666666667443"/>
  </r>
  <r>
    <s v="TCK-20400"/>
    <d v="2026-08-07T02:49:00"/>
    <x v="1"/>
    <s v="Zara Hussain"/>
    <s v="Faisalabad"/>
    <s v="Portal"/>
    <s v="Technical Issue"/>
    <s v="Critical"/>
    <n v="4"/>
    <s v="Open"/>
    <s v="Missing Resolve Date"/>
    <s v="No"/>
    <m/>
    <s v="Not Specified"/>
    <s v=""/>
  </r>
  <r>
    <s v="TCK-20235"/>
    <d v="2026-04-07T04:08:00"/>
    <x v="2"/>
    <s v="Bilal Chaudhry"/>
    <s v="Islamabad"/>
    <s v="Phone"/>
    <s v="Account Access"/>
    <s v="High"/>
    <n v="8"/>
    <s v="Resolved"/>
    <d v="2026-04-07T14:40:00"/>
    <s v="No"/>
    <m/>
    <s v="Not Specified"/>
    <n v="10.533333333267365"/>
  </r>
  <r>
    <s v="TCK-20216"/>
    <d v="2026-01-01T15:41:00"/>
    <x v="3"/>
    <s v="Talha Nadeem"/>
    <s v="Lahore"/>
    <s v="Chat"/>
    <s v="General Inquiry"/>
    <s v="Low"/>
    <n v="48"/>
    <s v="Resolved"/>
    <d v="2026-01-03T10:47:00"/>
    <s v="No"/>
    <n v="5"/>
    <s v="Awaiting Customer Response"/>
    <n v="43.100000000093132"/>
  </r>
  <r>
    <s v="TCK-23012"/>
    <d v="2026-07-16T05:10:00"/>
    <x v="3"/>
    <s v="Talha Nadeem"/>
    <s v="Rawalpindi"/>
    <s v="Chat"/>
    <s v="Account Access"/>
    <s v="High"/>
    <n v="8"/>
    <s v="In Progress"/>
    <s v="Missing Resolve Date"/>
    <s v="No"/>
    <m/>
    <s v="Not Specified"/>
    <s v=""/>
  </r>
  <r>
    <s v="TCK-21834"/>
    <d v="2026-06-14T08:40:00"/>
    <x v="1"/>
    <s v="Ayaan Khalid"/>
    <s v="Islamabad"/>
    <s v="Chat"/>
    <s v="General Inquiry"/>
    <s v="High"/>
    <n v="8"/>
    <s v="Resolved"/>
    <d v="2026-06-15T05:51:00"/>
    <s v="No"/>
    <n v="1"/>
    <s v="Customer Satisfied With Resolution"/>
    <n v="21.183333333407063"/>
  </r>
  <r>
    <s v="TCK-21046"/>
    <d v="2026-05-06T09:40:00"/>
    <x v="3"/>
    <s v="Iqra Basit"/>
    <s v="Faisalabad"/>
    <s v="Phone"/>
    <s v="Billing Issue"/>
    <s v="Medium"/>
    <n v="24"/>
    <s v="Closed"/>
    <d v="2026-05-07T06:11:00"/>
    <s v="No"/>
    <n v="5"/>
    <s v="Required Follow-Up Call"/>
    <n v="20.516666666662786"/>
  </r>
  <r>
    <s v="TCK-22929"/>
    <d v="2026-05-05T05:31:00"/>
    <x v="0"/>
    <s v="Rehan Qureshi"/>
    <s v="Multan"/>
    <s v="Chat"/>
    <s v="Billing Issue"/>
    <s v="High"/>
    <n v="8"/>
    <s v="Resolved"/>
    <d v="2026-05-05T08:29:00"/>
    <s v="No"/>
    <n v="1"/>
    <s v="Customer Satisfied With Resolution"/>
    <n v="2.9666666667326353"/>
  </r>
  <r>
    <s v="TCK-21449"/>
    <d v="2026-06-03T15:09:00"/>
    <x v="0"/>
    <s v="Sadia Anwar"/>
    <s v="Lahore"/>
    <s v="Email"/>
    <s v="Technical Issue"/>
    <s v="Low"/>
    <n v="48"/>
    <s v="Closed"/>
    <d v="2026-06-03T16:35:00"/>
    <s v="No"/>
    <n v="1"/>
    <s v="Required Follow-Up Call"/>
    <n v="1.4333333332906477"/>
  </r>
  <r>
    <s v="TCK-23157"/>
    <d v="2026-01-27T03:57:00"/>
    <x v="0"/>
    <s v="Sadia Anwar"/>
    <s v="Lahore"/>
    <s v="Portal"/>
    <s v="Billing Issue"/>
    <s v="Critical"/>
    <n v="4"/>
    <s v="Re-Opened"/>
    <d v="2026-01-27T06:02:00"/>
    <s v="No"/>
    <m/>
    <s v="Not Specified"/>
    <n v="2.0833333333139308"/>
  </r>
  <r>
    <s v="TCK-22001"/>
    <d v="2026-08-18T11:48:00"/>
    <x v="1"/>
    <s v="Zara Hussain"/>
    <s v="Lahore"/>
    <s v="Portal"/>
    <s v="Refund Request"/>
    <s v="High"/>
    <n v="8"/>
    <s v="Closed"/>
    <d v="2026-08-19T00:27:00"/>
    <s v="Yes"/>
    <m/>
    <s v="Not Specified"/>
    <n v="12.650000000023283"/>
  </r>
  <r>
    <s v="TCK-22458"/>
    <d v="2026-01-02T20:37:00"/>
    <x v="3"/>
    <s v="Talha Nadeem"/>
    <s v="Lahore"/>
    <s v="Email"/>
    <s v="Billing Issue"/>
    <s v="Low"/>
    <n v="48"/>
    <s v="In Progress"/>
    <s v="Missing Resolve Date"/>
    <s v="No"/>
    <m/>
    <s v="Customer Satisfied With Resolution"/>
    <s v=""/>
  </r>
  <r>
    <s v="TCK-20451"/>
    <d v="2026-05-30T20:28:00"/>
    <x v="0"/>
    <s v="Rehan Qureshi"/>
    <s v="Rawalpindi"/>
    <s v="Email"/>
    <s v="General Inquiry"/>
    <s v="High"/>
    <n v="8"/>
    <s v="Closed"/>
    <d v="2026-05-31T00:38:00"/>
    <s v="No"/>
    <n v="4"/>
    <s v="Customer Satisfied With Resolution"/>
    <n v="4.1666666666278616"/>
  </r>
  <r>
    <s v="TCK-21410"/>
    <d v="2026-08-17T00:32:00"/>
    <x v="0"/>
    <s v="Sadia Anwar"/>
    <s v="Multan"/>
    <s v="Chat"/>
    <s v="General Inquiry"/>
    <s v="Low"/>
    <n v="48"/>
    <s v="Resolved"/>
    <d v="2026-08-18T01:37:00"/>
    <s v="No"/>
    <n v="2"/>
    <s v="Escalated To Senior Agent"/>
    <n v="25.083333333372138"/>
  </r>
  <r>
    <s v="TCK-22783"/>
    <d v="2026-08-28T13:48:00"/>
    <x v="1"/>
    <s v="Zara Hussain"/>
    <s v="Rawalpindi"/>
    <s v="Email"/>
    <s v="Technical Issue"/>
    <s v="Medium"/>
    <n v="24"/>
    <s v="Resolved"/>
    <d v="2026-08-29T03:05:00"/>
    <s v="No"/>
    <m/>
    <s v="Resolved On First Contact"/>
    <n v="13.283333333325572"/>
  </r>
  <r>
    <s v="TCK-20793"/>
    <d v="2026-05-20T23:38:00"/>
    <x v="1"/>
    <s v="Ayaan Khalid"/>
    <s v="Peshawar"/>
    <s v="Email"/>
    <s v="Refund Request"/>
    <s v="Critical"/>
    <n v="4"/>
    <s v="In Progress"/>
    <s v="Missing Resolve Date"/>
    <s v="No"/>
    <m/>
    <s v="Not Specified"/>
    <s v=""/>
  </r>
  <r>
    <s v="TCK-21135"/>
    <d v="2026-06-06T08:23:00"/>
    <x v="0"/>
    <s v="Sadia Anwar"/>
    <s v="Faisalabad"/>
    <s v="Phone"/>
    <s v="Refund Request"/>
    <s v="Medium"/>
    <n v="24"/>
    <s v="Resolved"/>
    <d v="2026-06-06T16:44:00"/>
    <s v="No"/>
    <n v="2"/>
    <s v="Awaiting Customer Response"/>
    <n v="8.3499999999767169"/>
  </r>
  <r>
    <s v="TCK-22846"/>
    <d v="2026-04-05T15:50:00"/>
    <x v="0"/>
    <s v="Rehan Qureshi"/>
    <s v="Faisalabad"/>
    <s v="Email"/>
    <s v="Billing Issue"/>
    <s v="Medium"/>
    <n v="24"/>
    <s v="Escalated"/>
    <s v="Missing Resolve Date"/>
    <s v="Yes"/>
    <m/>
    <s v="Not Specified"/>
    <s v=""/>
  </r>
  <r>
    <s v="TCK-22621"/>
    <d v="2026-02-24T04:44:00"/>
    <x v="3"/>
    <s v="Iqra Basit"/>
    <s v="Peshawar"/>
    <s v="Chat"/>
    <s v="Delivery Delay"/>
    <s v="Low"/>
    <n v="48"/>
    <s v="Closed"/>
    <d v="2026-02-25T01:03:00"/>
    <s v="No"/>
    <n v="1"/>
    <s v="Customer Requested Refund"/>
    <n v="20.316666666534729"/>
  </r>
  <r>
    <s v="TCK-22499"/>
    <d v="2026-03-10T16:33:00"/>
    <x v="1"/>
    <s v="Zara Hussain"/>
    <s v="Faisalabad"/>
    <s v="Chat"/>
    <s v="Billing Issue"/>
    <s v="Medium"/>
    <n v="24"/>
    <s v="Resolved"/>
    <d v="2026-03-12T02:04:00"/>
    <s v="No"/>
    <n v="2"/>
    <s v="Escalated To Senior Agent"/>
    <n v="33.516666666604578"/>
  </r>
  <r>
    <s v="TCK-20925"/>
    <d v="2026-03-20T15:36:00"/>
    <x v="3"/>
    <s v="Talha Nadeem"/>
    <s v="Rawalpindi"/>
    <s v="Portal"/>
    <s v="Refund Request"/>
    <s v="Medium"/>
    <n v="24"/>
    <s v="Resolved"/>
    <d v="2026-03-21T08:04:00"/>
    <s v="No"/>
    <n v="5"/>
    <s v="Customer Satisfied With Resolution"/>
    <n v="16.466666666558012"/>
  </r>
  <r>
    <s v="TCK-22229"/>
    <d v="2026-05-29T10:42:00"/>
    <x v="0"/>
    <s v="Rehan Qureshi"/>
    <s v="Peshawar"/>
    <s v="Email"/>
    <s v="Technical Issue"/>
    <s v="Low"/>
    <n v="48"/>
    <s v="Resolved"/>
    <s v="Missing Resolve Date"/>
    <s v="No"/>
    <n v="5"/>
    <s v="Required Follow-Up Call"/>
    <s v=""/>
  </r>
  <r>
    <s v="TCK-20160"/>
    <d v="2026-01-14T17:53:00"/>
    <x v="2"/>
    <s v="Mahnoor Aslam"/>
    <s v="Islamabad"/>
    <s v="Phone"/>
    <s v="Delivery Delay"/>
    <s v="Medium"/>
    <n v="24"/>
    <s v="Resolved"/>
    <d v="2026-01-14T21:39:00"/>
    <s v="No"/>
    <n v="4"/>
    <s v="Awaiting Customer Response"/>
    <n v="3.7666666667209938"/>
  </r>
  <r>
    <s v="TCK-22719"/>
    <d v="2026-06-19T15:28:00"/>
    <x v="2"/>
    <s v="Bilal Chaudhry"/>
    <s v="Karachi"/>
    <s v="Chat"/>
    <s v="Account Access"/>
    <s v="Critical"/>
    <n v="4"/>
    <s v="Closed"/>
    <d v="2026-06-19T16:37:00"/>
    <s v="No"/>
    <n v="1"/>
    <s v="Resolved On First Contact"/>
    <n v="1.1500000000814907"/>
  </r>
  <r>
    <s v="TCK-22504"/>
    <d v="2026-07-20T20:54:00"/>
    <x v="2"/>
    <s v="Mahnoor Aslam"/>
    <s v="Rawalpindi"/>
    <s v="Email"/>
    <s v="General Inquiry"/>
    <s v="High"/>
    <n v="8"/>
    <s v="In Progress"/>
    <s v="Missing Resolve Date"/>
    <s v="No"/>
    <m/>
    <s v="Required Follow-Up Call"/>
    <s v=""/>
  </r>
  <r>
    <s v="TCK-21813"/>
    <d v="2026-03-03T10:04:00"/>
    <x v="3"/>
    <s v="Talha Nadeem"/>
    <s v="Islamabad"/>
    <s v="Phone"/>
    <s v="Delivery Delay"/>
    <s v="Critical"/>
    <n v="4"/>
    <s v="Resolved"/>
    <d v="2026-03-03T12:55:00"/>
    <s v="No"/>
    <m/>
    <s v="Not Specified"/>
    <n v="2.8500000000349246"/>
  </r>
  <r>
    <s v="TCK-22455"/>
    <d v="2026-06-29T10:43:00"/>
    <x v="0"/>
    <s v="Sadia Anwar"/>
    <s v="Faisalabad"/>
    <s v="Chat"/>
    <s v="Technical Issue"/>
    <s v="Low"/>
    <n v="48"/>
    <s v="In Progress"/>
    <s v="Missing Resolve Date"/>
    <s v="No"/>
    <m/>
    <s v="Not Specified"/>
    <s v=""/>
  </r>
  <r>
    <s v="TCK-23066"/>
    <d v="2026-08-25T20:36:00"/>
    <x v="2"/>
    <s v="Mahnoor Aslam"/>
    <s v="Peshawar"/>
    <s v="Portal"/>
    <s v="Technical Issue"/>
    <s v="High"/>
    <n v="8"/>
    <s v="Open"/>
    <s v="Missing Resolve Date"/>
    <s v="No"/>
    <m/>
    <s v="Repeat Issue From Same Customer"/>
    <s v=""/>
  </r>
  <r>
    <s v="TCK-22011"/>
    <d v="2026-01-11T05:13:00"/>
    <x v="0"/>
    <s v="Sadia Anwar"/>
    <s v="Rawalpindi"/>
    <s v="Email"/>
    <s v="Technical Issue"/>
    <s v="Critical"/>
    <n v="4"/>
    <s v="Escalated"/>
    <s v="Missing Resolve Date"/>
    <s v="Yes"/>
    <m/>
    <s v="Escalated To Senior Agent"/>
    <s v=""/>
  </r>
  <r>
    <s v="TCK-22355"/>
    <d v="2026-05-10T20:42:00"/>
    <x v="1"/>
    <s v="Ayaan Khalid"/>
    <s v="Islamabad"/>
    <s v="Phone"/>
    <s v="Account Access"/>
    <s v="Low"/>
    <n v="48"/>
    <s v="Closed"/>
    <d v="2026-05-14T06:02:00"/>
    <s v="No"/>
    <n v="4"/>
    <s v="Technical Issue Resolved Remotely"/>
    <n v="81.333333333197515"/>
  </r>
  <r>
    <s v="TCK-20504"/>
    <d v="2026-01-13T04:48:00"/>
    <x v="0"/>
    <s v="Rehan Qureshi"/>
    <s v="Peshawar"/>
    <s v="Chat"/>
    <s v="Technical Issue"/>
    <s v="Medium"/>
    <n v="24"/>
    <s v="Resolved"/>
    <d v="2026-01-16T02:59:00"/>
    <s v="No"/>
    <m/>
    <s v="Customer Requested Refund"/>
    <n v="70.183333333348855"/>
  </r>
  <r>
    <s v="TCK-22717"/>
    <d v="2026-02-10T14:30:00"/>
    <x v="2"/>
    <s v="Mahnoor Aslam"/>
    <s v="Rawalpindi"/>
    <s v="Phone"/>
    <s v="Refund Request"/>
    <s v="Medium"/>
    <n v="24"/>
    <s v="In Progress"/>
    <s v="Missing Resolve Date"/>
    <s v="No"/>
    <m/>
    <s v="Customer Satisfied With Resolution"/>
    <s v=""/>
  </r>
  <r>
    <s v="TCK-21653"/>
    <d v="2026-04-01T22:09:00"/>
    <x v="3"/>
    <s v="Iqra Basit"/>
    <s v="Peshawar"/>
    <s v="Phone"/>
    <s v="General Inquiry"/>
    <s v="Medium"/>
    <n v="24"/>
    <s v="Escalated"/>
    <s v="Missing Resolve Date"/>
    <s v="Yes"/>
    <m/>
    <s v="Resolved On First Contact"/>
    <s v=""/>
  </r>
  <r>
    <s v="TCK-21718"/>
    <d v="2026-05-22T21:12:00"/>
    <x v="2"/>
    <s v="Mahnoor Aslam"/>
    <s v="Islamabad"/>
    <s v="Email"/>
    <s v="Account Access"/>
    <s v="Medium"/>
    <n v="24"/>
    <s v="Resolved"/>
    <d v="2026-05-23T00:08:00"/>
    <s v="No"/>
    <n v="2"/>
    <s v="Awaiting Customer Response"/>
    <n v="2.9333333334652707"/>
  </r>
  <r>
    <s v="TCK-22076"/>
    <d v="2026-07-12T09:14:00"/>
    <x v="2"/>
    <s v="Mahnoor Aslam"/>
    <s v="Lahore"/>
    <s v="Phone"/>
    <s v="Account Access"/>
    <s v="Low"/>
    <n v="48"/>
    <s v="Escalated"/>
    <s v="Missing Resolve Date"/>
    <s v="Yes"/>
    <m/>
    <s v="Escalated To Senior Agent"/>
    <s v=""/>
  </r>
  <r>
    <s v="TCK-20452"/>
    <d v="2026-04-25T07:19:00"/>
    <x v="1"/>
    <s v="Ayaan Khalid"/>
    <s v="Lahore"/>
    <s v="Portal"/>
    <s v="Delivery Delay"/>
    <s v="High"/>
    <n v="8"/>
    <s v="Resolved"/>
    <d v="2026-04-25T11:07:00"/>
    <s v="No"/>
    <m/>
    <s v="Escalated To Senior Agent"/>
    <n v="3.7999999999883585"/>
  </r>
  <r>
    <s v="TCK-21520"/>
    <d v="2026-01-29T20:36:00"/>
    <x v="3"/>
    <s v="Talha Nadeem"/>
    <s v="Karachi"/>
    <s v="Email"/>
    <s v="Account Access"/>
    <s v="Critical"/>
    <n v="4"/>
    <s v="Resolved"/>
    <d v="2026-01-29T23:29:00"/>
    <s v="No"/>
    <n v="4"/>
    <s v="Resolved On First Contact"/>
    <n v="2.8833333334769122"/>
  </r>
  <r>
    <s v="TCK-21261"/>
    <d v="2026-03-11T01:33:00"/>
    <x v="0"/>
    <s v="Rehan Qureshi"/>
    <s v="Rawalpindi"/>
    <s v="Phone"/>
    <s v="Account Access"/>
    <s v="Low"/>
    <n v="48"/>
    <s v="Resolved"/>
    <d v="2026-03-12T13:25:00"/>
    <s v="No"/>
    <n v="2"/>
    <s v="Technical Issue Resolved Remotely"/>
    <n v="35.866666666755918"/>
  </r>
  <r>
    <s v="TCK-20318"/>
    <d v="2026-03-31T14:17:00"/>
    <x v="3"/>
    <s v="Iqra Basit"/>
    <s v="Peshawar"/>
    <s v="Chat"/>
    <s v="General Inquiry"/>
    <s v="Medium"/>
    <n v="24"/>
    <s v="Open"/>
    <s v="Missing Resolve Date"/>
    <s v="No"/>
    <m/>
    <s v="Technical Issue Resolved Remotely"/>
    <s v=""/>
  </r>
  <r>
    <s v="TCK-22790"/>
    <d v="2026-06-11T12:46:00"/>
    <x v="2"/>
    <s v="Bilal Chaudhry"/>
    <s v="Karachi"/>
    <s v="Phone"/>
    <s v="Delivery Delay"/>
    <s v="Medium"/>
    <n v="24"/>
    <s v="Escalated"/>
    <s v="Missing Resolve Date"/>
    <s v="Yes"/>
    <m/>
    <s v="Not Specified"/>
    <s v=""/>
  </r>
  <r>
    <s v="TCK-22860"/>
    <d v="2026-04-25T04:44:00"/>
    <x v="3"/>
    <s v="Talha Nadeem"/>
    <s v="Peshawar"/>
    <s v="Phone"/>
    <s v="Delivery Delay"/>
    <s v="Medium"/>
    <n v="24"/>
    <s v="Re-Opened"/>
    <d v="2026-04-26T00:10:00"/>
    <s v="No"/>
    <m/>
    <s v="Required Follow-Up Call"/>
    <n v="19.433333333290648"/>
  </r>
  <r>
    <s v="TCK-20717"/>
    <d v="2026-01-24T06:31:00"/>
    <x v="3"/>
    <s v="Talha Nadeem"/>
    <s v="Rawalpindi"/>
    <s v="Portal"/>
    <s v="Technical Issue"/>
    <s v="High"/>
    <n v="8"/>
    <s v="Escalated"/>
    <s v="Missing Resolve Date"/>
    <s v="Yes"/>
    <m/>
    <s v="Customer Requested Refund"/>
    <s v=""/>
  </r>
  <r>
    <s v="TCK-22689"/>
    <d v="2026-03-30T03:10:00"/>
    <x v="0"/>
    <s v="Rehan Qureshi"/>
    <s v="Faisalabad"/>
    <s v="Chat"/>
    <s v="Technical Issue"/>
    <s v="High"/>
    <n v="8"/>
    <s v="Open"/>
    <s v="Missing Resolve Date"/>
    <s v="No"/>
    <m/>
    <s v="Customer Requested Refund"/>
    <s v=""/>
  </r>
  <r>
    <s v="TCK-21539"/>
    <d v="2026-07-21T06:51:00"/>
    <x v="0"/>
    <s v="Rehan Qureshi"/>
    <s v="Lahore"/>
    <s v="Email"/>
    <s v="Technical Issue"/>
    <s v="Medium"/>
    <n v="24"/>
    <s v="Escalated"/>
    <s v="Missing Resolve Date"/>
    <s v="Yes"/>
    <m/>
    <s v="Repeat Issue From Same Customer"/>
    <s v=""/>
  </r>
  <r>
    <s v="TCK-22394"/>
    <d v="2026-02-21T16:29:00"/>
    <x v="3"/>
    <s v="Talha Nadeem"/>
    <s v="Karachi"/>
    <s v="Email"/>
    <s v="Billing Issue"/>
    <s v="Medium"/>
    <n v="24"/>
    <s v="Closed"/>
    <d v="2026-02-22T22:46:00"/>
    <s v="No"/>
    <m/>
    <s v="Awaiting Customer Response"/>
    <n v="30.28333333338378"/>
  </r>
  <r>
    <s v="TCK-22779"/>
    <d v="2026-07-25T09:13:00"/>
    <x v="1"/>
    <s v="Ayaan Khalid"/>
    <s v="Karachi"/>
    <s v="Email"/>
    <s v="Technical Issue"/>
    <s v="High"/>
    <n v="8"/>
    <s v="Escalated"/>
    <s v="Missing Resolve Date"/>
    <s v="Yes"/>
    <m/>
    <s v="Not Specified"/>
    <s v=""/>
  </r>
  <r>
    <s v="TCK-20117"/>
    <d v="2026-07-12T06:44:00"/>
    <x v="2"/>
    <s v="Bilal Chaudhry"/>
    <s v="Multan"/>
    <s v="Portal"/>
    <s v="General Inquiry"/>
    <s v="Medium"/>
    <n v="24"/>
    <s v="Resolved"/>
    <d v="2026-07-12T07:29:00"/>
    <s v="No"/>
    <n v="5"/>
    <s v="Awaiting Customer Response"/>
    <n v="0.75"/>
  </r>
  <r>
    <s v="TCK-20398"/>
    <d v="2026-03-20T17:38:00"/>
    <x v="0"/>
    <s v="Sadia Anwar"/>
    <s v="Karachi"/>
    <s v="Chat"/>
    <s v="General Inquiry"/>
    <s v="Low"/>
    <n v="48"/>
    <s v="Resolved"/>
    <d v="2026-03-22T06:08:00"/>
    <s v="No"/>
    <m/>
    <s v="Required Follow-Up Call"/>
    <n v="36.500000000058208"/>
  </r>
  <r>
    <s v="TCK-20882"/>
    <d v="2026-06-04T11:45:00"/>
    <x v="3"/>
    <s v="Iqra Basit"/>
    <s v="Multan"/>
    <s v="Phone"/>
    <s v="Delivery Delay"/>
    <s v="Medium"/>
    <n v="24"/>
    <s v="In Progress"/>
    <s v="Missing Resolve Date"/>
    <s v="Yes"/>
    <m/>
    <s v="Customer Requested Refund"/>
    <s v=""/>
  </r>
  <r>
    <s v="TCK-21758"/>
    <d v="2026-08-29T11:58:00"/>
    <x v="1"/>
    <s v="Zara Hussain"/>
    <s v="Lahore"/>
    <s v="Phone"/>
    <s v="Billing Issue"/>
    <s v="Critical"/>
    <n v="4"/>
    <s v="Resolved"/>
    <d v="2026-08-29T14:01:00"/>
    <s v="No"/>
    <n v="5"/>
    <s v="Escalated To Senior Agent"/>
    <n v="2.0499999998719431"/>
  </r>
  <r>
    <s v="TCK-20266"/>
    <d v="2026-02-13T14:09:00"/>
    <x v="3"/>
    <s v="Iqra Basit"/>
    <s v="Multan"/>
    <s v="Phone"/>
    <s v="Account Access"/>
    <s v="Critical"/>
    <n v="4"/>
    <s v="In Progress"/>
    <s v="Missing Resolve Date"/>
    <s v="No"/>
    <m/>
    <s v="Resolved On First Contact"/>
    <s v=""/>
  </r>
  <r>
    <s v="TCK-22042"/>
    <d v="2026-04-26T13:17:00"/>
    <x v="1"/>
    <s v="Ayaan Khalid"/>
    <s v="Faisalabad"/>
    <s v="Portal"/>
    <s v="Delivery Delay"/>
    <s v="Medium"/>
    <n v="24"/>
    <s v="Closed"/>
    <d v="2026-04-26T18:42:00"/>
    <s v="No"/>
    <n v="2"/>
    <s v="Repeat Issue From Same Customer"/>
    <n v="5.4166666666860692"/>
  </r>
  <r>
    <s v="TCK-21764"/>
    <d v="2026-06-04T10:14:00"/>
    <x v="1"/>
    <s v="Ayaan Khalid"/>
    <s v="Lahore"/>
    <s v="Email"/>
    <s v="Technical Issue"/>
    <s v="High"/>
    <n v="8"/>
    <s v="Closed"/>
    <d v="2026-06-05T08:37:00"/>
    <s v="No"/>
    <m/>
    <s v="Technical Issue Resolved Remotely"/>
    <n v="22.383333333302289"/>
  </r>
  <r>
    <s v="TCK-20943"/>
    <d v="2026-05-19T22:01:00"/>
    <x v="3"/>
    <s v="Iqra Basit"/>
    <s v="Peshawar"/>
    <s v="Portal"/>
    <s v="Delivery Delay"/>
    <s v="Low"/>
    <n v="48"/>
    <s v="Resolved"/>
    <d v="2026-05-24T04:52:00"/>
    <s v="No"/>
    <m/>
    <s v="Escalated To Senior Agent"/>
    <n v="102.84999999997672"/>
  </r>
  <r>
    <s v="TCK-20843"/>
    <d v="2026-07-28T03:25:00"/>
    <x v="1"/>
    <s v="Ayaan Khalid"/>
    <s v="Rawalpindi"/>
    <s v="Chat"/>
    <s v="Billing Issue"/>
    <s v="Low"/>
    <n v="48"/>
    <s v="In Progress"/>
    <s v="Missing Resolve Date"/>
    <s v="No"/>
    <m/>
    <s v="Not Specified"/>
    <s v=""/>
  </r>
  <r>
    <s v="TCK-23116"/>
    <d v="2026-07-21T05:59:00"/>
    <x v="2"/>
    <s v="Mahnoor Aslam"/>
    <s v="Rawalpindi"/>
    <s v="Phone"/>
    <s v="Account Access"/>
    <s v="Medium"/>
    <n v="24"/>
    <s v="In Progress"/>
    <s v="Missing Resolve Date"/>
    <s v="No"/>
    <m/>
    <s v="Awaiting Customer Response"/>
    <s v=""/>
  </r>
  <r>
    <s v="TCK-21588"/>
    <d v="2026-04-19T12:46:00"/>
    <x v="3"/>
    <s v="Talha Nadeem"/>
    <s v="Karachi"/>
    <s v="Phone"/>
    <s v="Billing Issue"/>
    <s v="Medium"/>
    <n v="24"/>
    <s v="In Progress"/>
    <s v="Missing Resolve Date"/>
    <s v="No"/>
    <m/>
    <s v="Technical Issue Resolved Remotely"/>
    <s v=""/>
  </r>
  <r>
    <s v="TCK-20023"/>
    <d v="2026-07-20T13:17:00"/>
    <x v="2"/>
    <s v="Mahnoor Aslam"/>
    <s v="Rawalpindi"/>
    <s v="Phone"/>
    <s v="Account Access"/>
    <s v="High"/>
    <n v="8"/>
    <s v="Resolved"/>
    <d v="2026-07-20T19:43:00"/>
    <s v="No"/>
    <n v="2"/>
    <s v="Not Specified"/>
    <n v="6.4333333333488554"/>
  </r>
  <r>
    <s v="TCK-21142"/>
    <d v="2026-01-17T09:06:00"/>
    <x v="0"/>
    <s v="Sadia Anwar"/>
    <s v="Peshawar"/>
    <s v="Email"/>
    <s v="General Inquiry"/>
    <s v="Medium"/>
    <n v="24"/>
    <s v="In Progress"/>
    <s v="Missing Resolve Date"/>
    <s v="No"/>
    <m/>
    <s v="Escalated To Senior Agent"/>
    <s v=""/>
  </r>
  <r>
    <s v="TCK-20379"/>
    <d v="2026-08-02T20:02:00"/>
    <x v="2"/>
    <s v="Bilal Chaudhry"/>
    <s v="Karachi"/>
    <s v="Portal"/>
    <s v="General Inquiry"/>
    <s v="Low"/>
    <n v="48"/>
    <s v="Escalated"/>
    <s v="Missing Resolve Date"/>
    <s v="Yes"/>
    <m/>
    <s v="Not Specified"/>
    <s v=""/>
  </r>
  <r>
    <s v="TCK-20099"/>
    <d v="2026-08-20T14:54:00"/>
    <x v="2"/>
    <s v="Bilal Chaudhry"/>
    <s v="Peshawar"/>
    <s v="Phone"/>
    <s v="Billing Issue"/>
    <s v="Medium"/>
    <n v="24"/>
    <s v="Resolved"/>
    <d v="2026-08-20T23:42:00"/>
    <s v="Yes"/>
    <m/>
    <s v="Customer Requested Refund"/>
    <n v="8.8000000000465661"/>
  </r>
  <r>
    <s v="TCK-20546"/>
    <d v="2026-06-23T07:39:00"/>
    <x v="2"/>
    <s v="Bilal Chaudhry"/>
    <s v="Islamabad"/>
    <s v="Email"/>
    <s v="Account Access"/>
    <s v="High"/>
    <n v="8"/>
    <s v="Escalated"/>
    <s v="Missing Resolve Date"/>
    <s v="Yes"/>
    <m/>
    <s v="Repeat Issue From Same Customer"/>
    <s v=""/>
  </r>
  <r>
    <s v="TCK-20285"/>
    <d v="2026-02-12T21:11:00"/>
    <x v="1"/>
    <s v="Zara Hussain"/>
    <s v="Faisalabad"/>
    <s v="Email"/>
    <s v="Billing Issue"/>
    <s v="Low"/>
    <n v="48"/>
    <s v="Escalated"/>
    <s v="Missing Resolve Date"/>
    <s v="Yes"/>
    <m/>
    <s v="Not Specified"/>
    <s v=""/>
  </r>
  <r>
    <s v="TCK-20309"/>
    <d v="2026-03-18T08:44:00"/>
    <x v="2"/>
    <s v="Mahnoor Aslam"/>
    <s v="Rawalpindi"/>
    <s v="Chat"/>
    <s v="Technical Issue"/>
    <s v="Medium"/>
    <n v="24"/>
    <s v="Closed"/>
    <d v="2026-03-20T21:27:00"/>
    <s v="No"/>
    <m/>
    <s v="Resolved On First Contact"/>
    <n v="60.716666666732635"/>
  </r>
  <r>
    <s v="TCK-20421"/>
    <d v="2026-06-30T09:14:00"/>
    <x v="2"/>
    <s v="Mahnoor Aslam"/>
    <s v="Multan"/>
    <s v="Email"/>
    <s v="Refund Request"/>
    <s v="Medium"/>
    <n v="24"/>
    <s v="In Progress"/>
    <s v="Missing Resolve Date"/>
    <s v="No"/>
    <m/>
    <s v="Technical Issue Resolved Remotely"/>
    <s v=""/>
  </r>
  <r>
    <s v="TCK-21401"/>
    <d v="2026-04-02T23:54:00"/>
    <x v="2"/>
    <s v="Bilal Chaudhry"/>
    <s v="Faisalabad"/>
    <s v="Portal"/>
    <s v="General Inquiry"/>
    <s v="Medium"/>
    <n v="24"/>
    <s v="Resolved"/>
    <d v="2026-04-04T16:00:00"/>
    <s v="No"/>
    <n v="4"/>
    <s v="Resolved On First Contact"/>
    <n v="40.099999999918509"/>
  </r>
  <r>
    <s v="TCK-21211"/>
    <d v="2026-01-21T17:37:00"/>
    <x v="1"/>
    <s v="Ayaan Khalid"/>
    <s v="Islamabad"/>
    <s v="Portal"/>
    <s v="General Inquiry"/>
    <s v="Medium"/>
    <n v="24"/>
    <s v="Escalated"/>
    <s v="Missing Resolve Date"/>
    <s v="Yes"/>
    <m/>
    <s v="Repeat Issue From Same Customer"/>
    <s v=""/>
  </r>
  <r>
    <s v="TCK-21557"/>
    <d v="2026-07-29T13:18:00"/>
    <x v="3"/>
    <s v="Talha Nadeem"/>
    <s v="Karachi"/>
    <s v="Portal"/>
    <s v="Account Access"/>
    <s v="Medium"/>
    <n v="24"/>
    <s v="Closed"/>
    <d v="2026-07-31T17:33:00"/>
    <s v="No"/>
    <n v="5"/>
    <s v="Required Follow-Up Call"/>
    <n v="52.249999999883585"/>
  </r>
  <r>
    <s v="TCK-22460"/>
    <d v="2026-08-17T16:22:00"/>
    <x v="3"/>
    <s v="Talha Nadeem"/>
    <s v="Islamabad"/>
    <s v="Portal"/>
    <s v="General Inquiry"/>
    <s v="Low"/>
    <n v="48"/>
    <s v="Resolved"/>
    <d v="2026-08-18T13:59:00"/>
    <s v="No"/>
    <n v="3"/>
    <s v="Customer Requested Refund"/>
    <n v="21.616666666755918"/>
  </r>
  <r>
    <s v="TCK-22057"/>
    <d v="2026-07-19T15:41:00"/>
    <x v="0"/>
    <s v="Sadia Anwar"/>
    <s v="Islamabad"/>
    <s v="Phone"/>
    <s v="General Inquiry"/>
    <s v="Critical"/>
    <n v="4"/>
    <s v="Resolved"/>
    <d v="2026-07-19T16:45:00"/>
    <s v="No"/>
    <n v="4"/>
    <s v="Technical Issue Resolved Remotely"/>
    <n v="1.0666666666511446"/>
  </r>
  <r>
    <s v="TCK-22044"/>
    <d v="2026-03-16T06:58:00"/>
    <x v="2"/>
    <s v="Mahnoor Aslam"/>
    <s v="Islamabad"/>
    <s v="Chat"/>
    <s v="Refund Request"/>
    <s v="Critical"/>
    <n v="4"/>
    <s v="Closed"/>
    <d v="2026-03-16T07:31:00"/>
    <s v="No"/>
    <m/>
    <s v="Required Follow-Up Call"/>
    <n v="0.55000000004656613"/>
  </r>
  <r>
    <s v="TCK-21891"/>
    <d v="2026-02-01T02:35:00"/>
    <x v="2"/>
    <s v="Bilal Chaudhry"/>
    <s v="Islamabad"/>
    <s v="Chat"/>
    <s v="Refund Request"/>
    <s v="High"/>
    <n v="8"/>
    <s v="In Progress"/>
    <s v="Missing Resolve Date"/>
    <s v="No"/>
    <m/>
    <s v="Not Specified"/>
    <s v=""/>
  </r>
  <r>
    <s v="TCK-21468"/>
    <d v="2026-06-25T06:33:00"/>
    <x v="3"/>
    <s v="Talha Nadeem"/>
    <s v="Karachi"/>
    <s v="Portal"/>
    <s v="General Inquiry"/>
    <s v="Medium"/>
    <n v="24"/>
    <s v="Resolved"/>
    <d v="2026-06-26T00:52:00"/>
    <s v="No"/>
    <n v="4"/>
    <s v="Not Specified"/>
    <n v="18.316666666651145"/>
  </r>
  <r>
    <s v="TCK-22480"/>
    <d v="2026-06-07T23:55:00"/>
    <x v="0"/>
    <s v="Rehan Qureshi"/>
    <s v="Islamabad"/>
    <s v="Phone"/>
    <s v="General Inquiry"/>
    <s v="Medium"/>
    <n v="24"/>
    <s v="Open"/>
    <s v="Missing Resolve Date"/>
    <s v="No"/>
    <m/>
    <s v="Awaiting Customer Response"/>
    <s v=""/>
  </r>
  <r>
    <s v="TCK-20312"/>
    <d v="2026-07-12T01:09:00"/>
    <x v="1"/>
    <s v="Ayaan Khalid"/>
    <s v="Lahore"/>
    <s v="Chat"/>
    <s v="Billing Issue"/>
    <s v="High"/>
    <n v="8"/>
    <s v="Resolved"/>
    <d v="2026-07-12T07:09:00"/>
    <s v="No"/>
    <m/>
    <s v="Awaiting Customer Response"/>
    <n v="6"/>
  </r>
  <r>
    <s v="TCK-21779"/>
    <d v="2026-08-29T19:32:00"/>
    <x v="3"/>
    <s v="Talha Nadeem"/>
    <s v="Islamabad"/>
    <s v="Email"/>
    <s v="Delivery Delay"/>
    <s v="Medium"/>
    <n v="24"/>
    <s v="Open"/>
    <s v="Missing Resolve Date"/>
    <s v="No"/>
    <m/>
    <s v="Resolved On First Contact"/>
    <s v=""/>
  </r>
  <r>
    <s v="TCK-22040"/>
    <d v="2026-01-04T02:06:00"/>
    <x v="2"/>
    <s v="Bilal Chaudhry"/>
    <s v="Peshawar"/>
    <s v="Phone"/>
    <s v="General Inquiry"/>
    <s v="Medium"/>
    <n v="24"/>
    <s v="Closed"/>
    <d v="2026-01-04T10:59:00"/>
    <s v="No"/>
    <m/>
    <s v="Not Specified"/>
    <n v="8.8833333333022892"/>
  </r>
  <r>
    <s v="TCK-20873"/>
    <d v="2026-03-13T09:37:00"/>
    <x v="1"/>
    <s v="Zara Hussain"/>
    <s v="Peshawar"/>
    <s v="Portal"/>
    <s v="Billing Issue"/>
    <s v="Medium"/>
    <n v="24"/>
    <s v="In Progress"/>
    <s v="Missing Resolve Date"/>
    <s v="No"/>
    <m/>
    <s v="Not Specified"/>
    <s v=""/>
  </r>
  <r>
    <s v="TCK-22415"/>
    <d v="2026-01-26T14:05:00"/>
    <x v="0"/>
    <s v="Sadia Anwar"/>
    <s v="Faisalabad"/>
    <s v="Portal"/>
    <s v="Billing Issue"/>
    <s v="Medium"/>
    <n v="24"/>
    <s v="Open"/>
    <s v="Missing Resolve Date"/>
    <s v="No"/>
    <m/>
    <s v="Awaiting Customer Response"/>
    <s v=""/>
  </r>
  <r>
    <s v="TCK-21447"/>
    <d v="2026-05-07T06:12:00"/>
    <x v="3"/>
    <s v="Talha Nadeem"/>
    <s v="Multan"/>
    <s v="Chat"/>
    <s v="Technical Issue"/>
    <s v="High"/>
    <n v="8"/>
    <s v="Resolved"/>
    <d v="2026-05-07T11:29:00"/>
    <s v="No"/>
    <n v="4"/>
    <s v="Technical Issue Resolved Remotely"/>
    <n v="5.2833333334419876"/>
  </r>
  <r>
    <s v="TCK-23061"/>
    <d v="2026-03-30T22:32:00"/>
    <x v="2"/>
    <s v="Bilal Chaudhry"/>
    <s v="Multan"/>
    <s v="Portal"/>
    <s v="Technical Issue"/>
    <s v="Critical"/>
    <n v="4"/>
    <s v="Resolved"/>
    <d v="2026-03-31T01:03:00"/>
    <s v="No"/>
    <m/>
    <s v="Resolved On First Contact"/>
    <n v="2.5166666666627862"/>
  </r>
  <r>
    <s v="TCK-21390"/>
    <d v="2026-03-05T07:09:00"/>
    <x v="3"/>
    <s v="Talha Nadeem"/>
    <s v="Peshawar"/>
    <s v="Email"/>
    <s v="Account Access"/>
    <s v="Medium"/>
    <n v="24"/>
    <s v="Escalated"/>
    <s v="Missing Resolve Date"/>
    <s v="Yes"/>
    <m/>
    <s v="Repeat Issue From Same Customer"/>
    <s v=""/>
  </r>
  <r>
    <s v="TCK-23171"/>
    <d v="2026-04-07T05:03:00"/>
    <x v="1"/>
    <s v="Zara Hussain"/>
    <s v="Rawalpindi"/>
    <s v="Email"/>
    <s v="Refund Request"/>
    <s v="High"/>
    <n v="8"/>
    <s v="Resolved"/>
    <d v="2026-04-07T14:56:00"/>
    <s v="No"/>
    <n v="4"/>
    <s v="Not Specified"/>
    <n v="9.8833333332440816"/>
  </r>
  <r>
    <s v="TCK-20913"/>
    <d v="2026-08-30T10:17:00"/>
    <x v="3"/>
    <s v="Talha Nadeem"/>
    <s v="Lahore"/>
    <s v="Email"/>
    <s v="Refund Request"/>
    <s v="Medium"/>
    <n v="24"/>
    <s v="Closed"/>
    <d v="2026-08-30T15:19:00"/>
    <s v="No"/>
    <m/>
    <s v="Technical Issue Resolved Remotely"/>
    <n v="5.0333333333255723"/>
  </r>
  <r>
    <s v="TCK-20878"/>
    <d v="2026-04-17T03:18:00"/>
    <x v="3"/>
    <s v="Iqra Basit"/>
    <s v="Karachi"/>
    <s v="Chat"/>
    <s v="General Inquiry"/>
    <s v="Low"/>
    <n v="48"/>
    <s v="In Progress"/>
    <s v="Missing Resolve Date"/>
    <s v="No"/>
    <m/>
    <s v="Repeat Issue From Same Customer"/>
    <s v=""/>
  </r>
  <r>
    <s v="TCK-21444"/>
    <d v="2026-02-16T05:53:00"/>
    <x v="1"/>
    <s v="Zara Hussain"/>
    <s v="Faisalabad"/>
    <s v="Portal"/>
    <s v="Delivery Delay"/>
    <s v="Low"/>
    <n v="48"/>
    <s v="Resolved"/>
    <d v="2026-02-17T06:16:00"/>
    <s v="No"/>
    <n v="4"/>
    <s v="Required Follow-Up Call"/>
    <n v="24.383333333360497"/>
  </r>
  <r>
    <s v="TCK-21370"/>
    <d v="2026-06-19T04:24:00"/>
    <x v="0"/>
    <s v="Sadia Anwar"/>
    <s v="Karachi"/>
    <s v="Portal"/>
    <s v="Billing Issue"/>
    <s v="Critical"/>
    <n v="4"/>
    <s v="Resolved"/>
    <d v="2026-06-19T05:18:00"/>
    <s v="No"/>
    <n v="4"/>
    <s v="Not Specified"/>
    <n v="0.8999999999650754"/>
  </r>
  <r>
    <s v="TCK-23102"/>
    <d v="2026-08-06T01:21:00"/>
    <x v="3"/>
    <s v="Iqra Basit"/>
    <s v="Lahore"/>
    <s v="Phone"/>
    <s v="General Inquiry"/>
    <s v="High"/>
    <n v="8"/>
    <s v="In Progress"/>
    <s v="Missing Resolve Date"/>
    <s v="Yes"/>
    <m/>
    <s v="Repeat Issue From Same Customer"/>
    <s v=""/>
  </r>
  <r>
    <s v="TCK-22489"/>
    <d v="2026-01-18T13:58:00"/>
    <x v="2"/>
    <s v="Mahnoor Aslam"/>
    <s v="Lahore"/>
    <s v="Phone"/>
    <s v="Account Access"/>
    <s v="Medium"/>
    <n v="24"/>
    <s v="Escalated"/>
    <s v="Missing Resolve Date"/>
    <s v="Yes"/>
    <m/>
    <s v="Resolved On First Contact"/>
    <s v=""/>
  </r>
  <r>
    <s v="TCK-22259"/>
    <d v="2026-07-30T18:57:00"/>
    <x v="2"/>
    <s v="Mahnoor Aslam"/>
    <s v="Islamabad"/>
    <s v="Email"/>
    <s v="Technical Issue"/>
    <s v="High"/>
    <n v="8"/>
    <s v="In Progress"/>
    <s v="Missing Resolve Date"/>
    <s v="No"/>
    <m/>
    <s v="Resolved On First Contact"/>
    <s v=""/>
  </r>
  <r>
    <s v="TCK-20294"/>
    <d v="2026-08-24T06:58:00"/>
    <x v="0"/>
    <s v="Sadia Anwar"/>
    <s v="Lahore"/>
    <s v="Portal"/>
    <s v="Account Access"/>
    <s v="Low"/>
    <n v="48"/>
    <s v="Resolved"/>
    <d v="2026-08-27T14:24:00"/>
    <s v="No"/>
    <n v="1"/>
    <s v="Required Follow-Up Call"/>
    <n v="79.433333333290648"/>
  </r>
  <r>
    <s v="TCK-22756"/>
    <d v="2026-05-09T09:16:00"/>
    <x v="2"/>
    <s v="Mahnoor Aslam"/>
    <s v="Lahore"/>
    <s v="Email"/>
    <s v="General Inquiry"/>
    <s v="High"/>
    <n v="8"/>
    <s v="Resolved"/>
    <d v="2026-05-09T11:15:00"/>
    <s v="No"/>
    <n v="4"/>
    <s v="Resolved On First Contact"/>
    <n v="1.9833333333372138"/>
  </r>
  <r>
    <s v="TCK-20486"/>
    <d v="2026-04-08T10:17:00"/>
    <x v="2"/>
    <s v="Bilal Chaudhry"/>
    <s v="Faisalabad"/>
    <s v="Email"/>
    <s v="Billing Issue"/>
    <s v="High"/>
    <n v="8"/>
    <s v="In Progress"/>
    <s v="Missing Resolve Date"/>
    <s v="No"/>
    <m/>
    <s v="Not Specified"/>
    <s v=""/>
  </r>
  <r>
    <s v="TCK-22520"/>
    <d v="2026-07-17T23:05:00"/>
    <x v="0"/>
    <s v="Rehan Qureshi"/>
    <s v="Karachi"/>
    <s v="Portal"/>
    <s v="Refund Request"/>
    <s v="Low"/>
    <n v="48"/>
    <s v="Closed"/>
    <d v="2026-07-19T09:52:00"/>
    <s v="No"/>
    <n v="2"/>
    <s v="Not Specified"/>
    <n v="34.78333333338378"/>
  </r>
  <r>
    <s v="TCK-21949"/>
    <d v="2026-06-11T13:17:00"/>
    <x v="0"/>
    <s v="Rehan Qureshi"/>
    <s v="Peshawar"/>
    <s v="Chat"/>
    <s v="General Inquiry"/>
    <s v="Medium"/>
    <n v="24"/>
    <s v="Open"/>
    <s v="Missing Resolve Date"/>
    <s v="No"/>
    <m/>
    <s v="Customer Satisfied With Resolution"/>
    <s v=""/>
  </r>
  <r>
    <s v="TCK-22209"/>
    <d v="2026-07-24T00:20:00"/>
    <x v="3"/>
    <s v="Talha Nadeem"/>
    <s v="Rawalpindi"/>
    <s v="Portal"/>
    <s v="Refund Request"/>
    <s v="Medium"/>
    <n v="24"/>
    <s v="Resolved"/>
    <d v="2026-07-24T14:51:00"/>
    <s v="No"/>
    <n v="1"/>
    <s v="Resolved On First Contact"/>
    <n v="14.516666666662786"/>
  </r>
  <r>
    <s v="TCK-22844"/>
    <d v="2026-01-22T00:55:00"/>
    <x v="3"/>
    <s v="Iqra Basit"/>
    <s v="Faisalabad"/>
    <s v="Chat"/>
    <s v="General Inquiry"/>
    <s v="High"/>
    <n v="8"/>
    <s v="Resolved"/>
    <d v="2026-01-22T17:51:00"/>
    <s v="Yes"/>
    <n v="5"/>
    <s v="Customer Satisfied With Resolution"/>
    <n v="16.933333333348855"/>
  </r>
  <r>
    <s v="TCK-21922"/>
    <d v="2026-04-14T00:52:00"/>
    <x v="3"/>
    <s v="Iqra Basit"/>
    <s v="Faisalabad"/>
    <s v="Email"/>
    <s v="Technical Issue"/>
    <s v="High"/>
    <n v="8"/>
    <s v="Open"/>
    <s v="Missing Resolve Date"/>
    <s v="No"/>
    <m/>
    <s v="Not Specified"/>
    <s v=""/>
  </r>
  <r>
    <s v="TCK-21577"/>
    <d v="2026-05-14T06:41:00"/>
    <x v="0"/>
    <s v="Rehan Qureshi"/>
    <s v="Lahore"/>
    <s v="Email"/>
    <s v="Technical Issue"/>
    <s v="Low"/>
    <n v="48"/>
    <s v="Resolved"/>
    <d v="2026-05-15T01:00:00"/>
    <s v="No"/>
    <n v="2"/>
    <s v="Required Follow-Up Call"/>
    <n v="18.316666666651145"/>
  </r>
  <r>
    <s v="TCK-20316"/>
    <d v="2026-06-14T12:39:00"/>
    <x v="2"/>
    <s v="Mahnoor Aslam"/>
    <s v="Karachi"/>
    <s v="Email"/>
    <s v="Account Access"/>
    <s v="Critical"/>
    <n v="4"/>
    <s v="Re-Opened"/>
    <d v="2026-06-14T14:14:00"/>
    <s v="No"/>
    <m/>
    <s v="Customer Satisfied With Resolution"/>
    <n v="1.5833333332557231"/>
  </r>
  <r>
    <s v="TCK-22786"/>
    <d v="2026-07-13T07:02:00"/>
    <x v="2"/>
    <s v="Bilal Chaudhry"/>
    <s v="Rawalpindi"/>
    <s v="Email"/>
    <s v="Delivery Delay"/>
    <s v="Low"/>
    <n v="48"/>
    <s v="Closed"/>
    <d v="2026-07-14T17:18:00"/>
    <s v="Yes"/>
    <m/>
    <s v="Repeat Issue From Same Customer"/>
    <n v="34.266666666604578"/>
  </r>
  <r>
    <s v="TCK-21687"/>
    <d v="2026-05-14T10:10:00"/>
    <x v="0"/>
    <s v="Sadia Anwar"/>
    <s v="Karachi"/>
    <s v="Email"/>
    <s v="General Inquiry"/>
    <s v="Medium"/>
    <n v="24"/>
    <s v="Resolved"/>
    <d v="2026-05-16T17:03:00"/>
    <s v="No"/>
    <n v="5"/>
    <s v="Technical Issue Resolved Remotely"/>
    <n v="54.883333333418705"/>
  </r>
  <r>
    <s v="TCK-21078"/>
    <d v="2026-06-19T13:00:00"/>
    <x v="1"/>
    <s v="Ayaan Khalid"/>
    <s v="Islamabad"/>
    <s v="Portal"/>
    <s v="Technical Issue"/>
    <s v="Medium"/>
    <n v="24"/>
    <s v="Escalated"/>
    <s v="Missing Resolve Date"/>
    <s v="Yes"/>
    <m/>
    <s v="Technical Issue Resolved Remotely"/>
    <s v=""/>
  </r>
  <r>
    <s v="TCK-22082"/>
    <d v="2026-03-15T10:40:00"/>
    <x v="0"/>
    <s v="Rehan Qureshi"/>
    <s v="Multan"/>
    <s v="Portal"/>
    <s v="Delivery Delay"/>
    <s v="Medium"/>
    <n v="24"/>
    <s v="Closed"/>
    <d v="2026-03-15T21:39:00"/>
    <s v="Yes"/>
    <n v="4"/>
    <s v="Awaiting Customer Response"/>
    <n v="10.983333333337214"/>
  </r>
  <r>
    <s v="TCK-22341"/>
    <d v="2026-04-24T22:29:00"/>
    <x v="3"/>
    <s v="Iqra Basit"/>
    <s v="Islamabad"/>
    <s v="Portal"/>
    <s v="Technical Issue"/>
    <s v="Low"/>
    <n v="48"/>
    <s v="In Progress"/>
    <s v="Missing Resolve Date"/>
    <s v="No"/>
    <m/>
    <s v="Escalated To Senior Agent"/>
    <s v=""/>
  </r>
  <r>
    <s v="TCK-22834"/>
    <d v="2026-06-29T10:12:00"/>
    <x v="1"/>
    <s v="Zara Hussain"/>
    <s v="Islamabad"/>
    <s v="Portal"/>
    <s v="Delivery Delay"/>
    <s v="Low"/>
    <n v="48"/>
    <s v="Closed"/>
    <d v="2026-06-30T11:09:00"/>
    <s v="No"/>
    <n v="5"/>
    <s v="Not Specified"/>
    <n v="24.949999999953434"/>
  </r>
  <r>
    <s v="TCK-21542"/>
    <d v="2026-02-07T14:07:00"/>
    <x v="2"/>
    <s v="Bilal Chaudhry"/>
    <s v="Rawalpindi"/>
    <s v="Phone"/>
    <s v="Billing Issue"/>
    <s v="Medium"/>
    <n v="24"/>
    <s v="In Progress"/>
    <s v="Missing Resolve Date"/>
    <s v="No"/>
    <m/>
    <s v="Awaiting Customer Response"/>
    <s v=""/>
  </r>
  <r>
    <s v="TCK-21424"/>
    <d v="2026-06-12T23:52:00"/>
    <x v="0"/>
    <s v="Sadia Anwar"/>
    <s v="Peshawar"/>
    <s v="Chat"/>
    <s v="Delivery Delay"/>
    <s v="Medium"/>
    <n v="24"/>
    <s v="Resolved"/>
    <d v="2026-06-14T18:44:00"/>
    <s v="No"/>
    <m/>
    <s v="Resolved On First Contact"/>
    <n v="42.866666666697711"/>
  </r>
  <r>
    <s v="TCK-20457"/>
    <d v="2026-06-26T20:38:00"/>
    <x v="0"/>
    <s v="Rehan Qureshi"/>
    <s v="Multan"/>
    <s v="Chat"/>
    <s v="Account Access"/>
    <s v="Low"/>
    <n v="48"/>
    <s v="Resolved"/>
    <d v="2026-06-27T08:29:00"/>
    <s v="No"/>
    <n v="4"/>
    <s v="Escalated To Senior Agent"/>
    <n v="11.850000000034925"/>
  </r>
  <r>
    <s v="TCK-20974"/>
    <d v="2026-05-07T07:23:00"/>
    <x v="3"/>
    <s v="Talha Nadeem"/>
    <s v="Multan"/>
    <s v="Chat"/>
    <s v="Refund Request"/>
    <s v="Low"/>
    <n v="48"/>
    <s v="Escalated"/>
    <s v="Missing Resolve Date"/>
    <s v="Yes"/>
    <m/>
    <s v="Repeat Issue From Same Customer"/>
    <s v=""/>
  </r>
  <r>
    <s v="TCK-22167"/>
    <d v="2026-02-25T05:19:00"/>
    <x v="2"/>
    <s v="Bilal Chaudhry"/>
    <s v="Karachi"/>
    <s v="Portal"/>
    <s v="Refund Request"/>
    <s v="Medium"/>
    <n v="24"/>
    <s v="Closed"/>
    <d v="2026-02-25T22:00:00"/>
    <s v="No"/>
    <m/>
    <s v="Required Follow-Up Call"/>
    <n v="16.68333333323244"/>
  </r>
  <r>
    <s v="TCK-20567"/>
    <d v="2026-06-07T00:21:00"/>
    <x v="0"/>
    <s v="Sadia Anwar"/>
    <s v="Multan"/>
    <s v="Email"/>
    <s v="Billing Issue"/>
    <s v="Low"/>
    <n v="48"/>
    <s v="Closed"/>
    <d v="2026-06-07T10:40:00"/>
    <s v="No"/>
    <n v="5"/>
    <s v="Technical Issue Resolved Remotely"/>
    <n v="10.31666666676756"/>
  </r>
  <r>
    <s v="TCK-22433"/>
    <d v="2026-07-18T02:27:00"/>
    <x v="1"/>
    <s v="Zara Hussain"/>
    <s v="Lahore"/>
    <s v="Phone"/>
    <s v="General Inquiry"/>
    <s v="Low"/>
    <n v="48"/>
    <s v="Resolved"/>
    <d v="2026-07-19T21:00:00"/>
    <s v="Yes"/>
    <n v="2"/>
    <s v="Customer Satisfied With Resolution"/>
    <n v="42.550000000046566"/>
  </r>
  <r>
    <s v="TCK-21837"/>
    <d v="2026-04-02T05:54:00"/>
    <x v="1"/>
    <s v="Ayaan Khalid"/>
    <s v="Lahore"/>
    <s v="Phone"/>
    <s v="Technical Issue"/>
    <s v="Low"/>
    <n v="48"/>
    <s v="Open"/>
    <s v="Missing Resolve Date"/>
    <s v="No"/>
    <m/>
    <s v="Customer Requested Refund"/>
    <s v=""/>
  </r>
  <r>
    <s v="TCK-22129"/>
    <d v="2026-06-23T02:11:00"/>
    <x v="2"/>
    <s v="Bilal Chaudhry"/>
    <s v="Lahore"/>
    <s v="Portal"/>
    <s v="Billing Issue"/>
    <s v="Low"/>
    <n v="48"/>
    <s v="In Progress"/>
    <s v="Missing Resolve Date"/>
    <s v="No"/>
    <m/>
    <s v="Resolved On First Contact"/>
    <s v=""/>
  </r>
  <r>
    <s v="TCK-22708"/>
    <d v="2026-04-08T06:03:00"/>
    <x v="2"/>
    <s v="Mahnoor Aslam"/>
    <s v="Karachi"/>
    <s v="Email"/>
    <s v="General Inquiry"/>
    <s v="Low"/>
    <n v="48"/>
    <s v="In Progress"/>
    <s v="Missing Resolve Date"/>
    <s v="No"/>
    <m/>
    <s v="Not Specified"/>
    <s v=""/>
  </r>
  <r>
    <s v="TCK-21055"/>
    <d v="2026-08-06T23:26:00"/>
    <x v="3"/>
    <s v="Iqra Basit"/>
    <s v="Multan"/>
    <s v="Portal"/>
    <s v="General Inquiry"/>
    <s v="Medium"/>
    <n v="24"/>
    <s v="Escalated"/>
    <s v="Missing Resolve Date"/>
    <s v="Yes"/>
    <m/>
    <s v="Required Follow-Up Call"/>
    <s v=""/>
  </r>
  <r>
    <s v="TCK-21292"/>
    <d v="2026-01-29T14:03:00"/>
    <x v="2"/>
    <s v="Mahnoor Aslam"/>
    <s v="Peshawar"/>
    <s v="Portal"/>
    <s v="Billing Issue"/>
    <s v="High"/>
    <n v="8"/>
    <s v="Open"/>
    <s v="Missing Resolve Date"/>
    <s v="No"/>
    <m/>
    <s v="Customer Satisfied With Resolution"/>
    <s v=""/>
  </r>
  <r>
    <s v="TCK-20573"/>
    <d v="2026-08-17T10:43:00"/>
    <x v="2"/>
    <s v="Mahnoor Aslam"/>
    <s v="Lahore"/>
    <s v="Chat"/>
    <s v="Billing Issue"/>
    <s v="Critical"/>
    <n v="4"/>
    <s v="Closed"/>
    <d v="2026-08-17T13:04:00"/>
    <s v="No"/>
    <n v="1"/>
    <s v="Customer Satisfied With Resolution"/>
    <n v="2.3499999999767169"/>
  </r>
  <r>
    <s v="TCK-21457"/>
    <d v="2026-02-07T11:45:00"/>
    <x v="1"/>
    <s v="Zara Hussain"/>
    <s v="Faisalabad"/>
    <s v="Email"/>
    <s v="Delivery Delay"/>
    <s v="Medium"/>
    <n v="24"/>
    <s v="Resolved"/>
    <d v="2026-02-09T22:45:00"/>
    <s v="No"/>
    <n v="1"/>
    <s v="Resolved On First Contact"/>
    <n v="58.999999999883585"/>
  </r>
  <r>
    <s v="TCK-21320"/>
    <d v="2026-04-11T10:39:00"/>
    <x v="0"/>
    <s v="Rehan Qureshi"/>
    <s v="Rawalpindi"/>
    <s v="Phone"/>
    <s v="Billing Issue"/>
    <s v="High"/>
    <n v="8"/>
    <s v="Resolved"/>
    <d v="2026-04-12T00:22:00"/>
    <s v="No"/>
    <n v="5"/>
    <s v="Escalated To Senior Agent"/>
    <n v="13.716666666674428"/>
  </r>
  <r>
    <s v="TCK-20984"/>
    <d v="2026-03-17T14:13:00"/>
    <x v="1"/>
    <s v="Zara Hussain"/>
    <s v="Peshawar"/>
    <s v="Portal"/>
    <s v="General Inquiry"/>
    <s v="Medium"/>
    <n v="24"/>
    <s v="Resolved"/>
    <s v="Missing Resolve Date"/>
    <s v="No"/>
    <n v="5"/>
    <s v="Escalated To Senior Agent"/>
    <s v=""/>
  </r>
  <r>
    <s v="TCK-20589"/>
    <d v="2026-06-05T19:59:00"/>
    <x v="3"/>
    <s v="Iqra Basit"/>
    <s v="Peshawar"/>
    <s v="Phone"/>
    <s v="Refund Request"/>
    <s v="Low"/>
    <n v="48"/>
    <s v="Resolved"/>
    <d v="2026-06-05T20:29:00"/>
    <s v="No"/>
    <n v="1"/>
    <s v="Not Specified"/>
    <n v="0.50000000005820766"/>
  </r>
  <r>
    <s v="TCK-22816"/>
    <d v="2026-04-25T10:07:00"/>
    <x v="2"/>
    <s v="Bilal Chaudhry"/>
    <s v="Faisalabad"/>
    <s v="Phone"/>
    <s v="Technical Issue"/>
    <s v="Low"/>
    <n v="48"/>
    <s v="Closed"/>
    <d v="2026-04-27T03:35:00"/>
    <s v="No"/>
    <m/>
    <s v="Not Specified"/>
    <n v="41.466666666674428"/>
  </r>
  <r>
    <s v="TCK-22009"/>
    <d v="2026-04-28T07:57:00"/>
    <x v="0"/>
    <s v="Rehan Qureshi"/>
    <s v="Islamabad"/>
    <s v="Portal"/>
    <s v="Account Access"/>
    <s v="Medium"/>
    <n v="24"/>
    <s v="Closed"/>
    <d v="2026-04-28T17:34:00"/>
    <s v="No"/>
    <m/>
    <s v="Required Follow-Up Call"/>
    <n v="9.6166666665812954"/>
  </r>
  <r>
    <s v="TCK-22438"/>
    <d v="2026-06-07T13:05:00"/>
    <x v="2"/>
    <s v="Mahnoor Aslam"/>
    <s v="Islamabad"/>
    <s v="Portal"/>
    <s v="Refund Request"/>
    <s v="Medium"/>
    <n v="24"/>
    <s v="Resolved"/>
    <d v="2026-06-10T00:14:00"/>
    <s v="No"/>
    <n v="2"/>
    <s v="Escalated To Senior Agent"/>
    <n v="59.150000000023283"/>
  </r>
  <r>
    <s v="TCK-22769"/>
    <d v="2026-01-03T03:12:00"/>
    <x v="0"/>
    <s v="Sadia Anwar"/>
    <s v="Rawalpindi"/>
    <s v="Portal"/>
    <s v="Account Access"/>
    <s v="Low"/>
    <n v="48"/>
    <s v="Open"/>
    <s v="Missing Resolve Date"/>
    <s v="No"/>
    <m/>
    <s v="Not Specified"/>
    <s v=""/>
  </r>
  <r>
    <s v="TCK-20247"/>
    <d v="2026-04-11T19:06:00"/>
    <x v="1"/>
    <s v="Ayaan Khalid"/>
    <s v="Karachi"/>
    <s v="Portal"/>
    <s v="Account Access"/>
    <s v="High"/>
    <n v="8"/>
    <s v="Escalated"/>
    <s v="Missing Resolve Date"/>
    <s v="Yes"/>
    <m/>
    <s v="Awaiting Customer Response"/>
    <s v=""/>
  </r>
  <r>
    <s v="TCK-21249"/>
    <d v="2026-08-10T15:17:00"/>
    <x v="2"/>
    <s v="Bilal Chaudhry"/>
    <s v="Multan"/>
    <s v="Portal"/>
    <s v="Billing Issue"/>
    <s v="Critical"/>
    <n v="4"/>
    <s v="In Progress"/>
    <s v="Missing Resolve Date"/>
    <s v="Yes"/>
    <m/>
    <s v="Required Follow-Up Call"/>
    <s v=""/>
  </r>
  <r>
    <s v="TCK-20053"/>
    <d v="2026-04-09T15:05:00"/>
    <x v="0"/>
    <s v="Rehan Qureshi"/>
    <s v="Multan"/>
    <s v="Portal"/>
    <s v="Refund Request"/>
    <s v="Low"/>
    <n v="48"/>
    <s v="Closed"/>
    <d v="2026-04-10T22:28:00"/>
    <s v="No"/>
    <m/>
    <s v="Customer Satisfied With Resolution"/>
    <n v="31.383333333476912"/>
  </r>
  <r>
    <s v="TCK-22583"/>
    <d v="2026-05-06T19:17:00"/>
    <x v="3"/>
    <s v="Iqra Basit"/>
    <s v="Karachi"/>
    <s v="Portal"/>
    <s v="Billing Issue"/>
    <s v="Low"/>
    <n v="48"/>
    <s v="Resolved"/>
    <d v="2026-05-07T10:47:00"/>
    <s v="No"/>
    <n v="5"/>
    <s v="Customer Satisfied With Resolution"/>
    <n v="15.500000000058208"/>
  </r>
  <r>
    <s v="TCK-21219"/>
    <d v="2026-02-17T17:01:00"/>
    <x v="3"/>
    <s v="Talha Nadeem"/>
    <s v="Peshawar"/>
    <s v="Chat"/>
    <s v="Account Access"/>
    <s v="Medium"/>
    <n v="24"/>
    <s v="Open"/>
    <s v="Missing Resolve Date"/>
    <s v="No"/>
    <m/>
    <s v="Technical Issue Resolved Remotely"/>
    <s v=""/>
  </r>
  <r>
    <s v="TCK-20362"/>
    <d v="2026-05-16T21:11:00"/>
    <x v="2"/>
    <s v="Bilal Chaudhry"/>
    <s v="Karachi"/>
    <s v="Chat"/>
    <s v="General Inquiry"/>
    <s v="Medium"/>
    <n v="24"/>
    <s v="Closed"/>
    <d v="2026-05-18T23:34:00"/>
    <s v="No"/>
    <m/>
    <s v="Awaiting Customer Response"/>
    <n v="50.383333333244082"/>
  </r>
  <r>
    <s v="TCK-23190"/>
    <d v="2026-05-29T05:28:00"/>
    <x v="2"/>
    <s v="Bilal Chaudhry"/>
    <s v="Rawalpindi"/>
    <s v="Email"/>
    <s v="Account Access"/>
    <s v="Medium"/>
    <n v="24"/>
    <s v="In Progress"/>
    <s v="Missing Resolve Date"/>
    <s v="No"/>
    <m/>
    <s v="Customer Satisfied With Resolution"/>
    <s v=""/>
  </r>
  <r>
    <s v="TCK-21632"/>
    <d v="2026-01-19T10:23:00"/>
    <x v="2"/>
    <s v="Bilal Chaudhry"/>
    <s v="Rawalpindi"/>
    <s v="Phone"/>
    <s v="Account Access"/>
    <s v="Medium"/>
    <n v="24"/>
    <s v="Re-Opened"/>
    <d v="2026-01-21T06:53:00"/>
    <s v="No"/>
    <m/>
    <s v="Customer Requested Refund"/>
    <n v="44.500000000116415"/>
  </r>
  <r>
    <s v="TCK-21936"/>
    <d v="2026-04-28T09:18:00"/>
    <x v="3"/>
    <s v="Iqra Basit"/>
    <s v="Multan"/>
    <s v="Chat"/>
    <s v="Technical Issue"/>
    <s v="High"/>
    <n v="8"/>
    <s v="Resolved"/>
    <d v="2026-04-28T10:28:00"/>
    <s v="No"/>
    <n v="1"/>
    <s v="Awaiting Customer Response"/>
    <n v="1.1666666668024845"/>
  </r>
  <r>
    <s v="TCK-20847"/>
    <d v="2026-06-20T13:34:00"/>
    <x v="1"/>
    <s v="Zara Hussain"/>
    <s v="Lahore"/>
    <s v="Email"/>
    <s v="General Inquiry"/>
    <s v="Medium"/>
    <n v="24"/>
    <s v="In Progress"/>
    <s v="Missing Resolve Date"/>
    <s v="No"/>
    <m/>
    <s v="Awaiting Customer Response"/>
    <s v=""/>
  </r>
  <r>
    <s v="TCK-20449"/>
    <d v="2026-01-05T13:32:00"/>
    <x v="0"/>
    <s v="Rehan Qureshi"/>
    <s v="Faisalabad"/>
    <s v="Portal"/>
    <s v="General Inquiry"/>
    <s v="Medium"/>
    <n v="24"/>
    <s v="Open"/>
    <s v="Missing Resolve Date"/>
    <s v="No"/>
    <m/>
    <s v="Customer Satisfied With Resolution"/>
    <s v=""/>
  </r>
  <r>
    <s v="TCK-21549"/>
    <d v="2026-04-04T19:46:00"/>
    <x v="2"/>
    <s v="Bilal Chaudhry"/>
    <s v="Peshawar"/>
    <s v="Portal"/>
    <s v="Account Access"/>
    <s v="Medium"/>
    <n v="24"/>
    <s v="In Progress"/>
    <s v="Missing Resolve Date"/>
    <s v="No"/>
    <m/>
    <s v="Required Follow-Up Call"/>
    <s v=""/>
  </r>
  <r>
    <s v="TCK-21594"/>
    <d v="2026-01-29T19:04:00"/>
    <x v="1"/>
    <s v="Zara Hussain"/>
    <s v="Karachi"/>
    <s v="Chat"/>
    <s v="Billing Issue"/>
    <s v="Low"/>
    <n v="48"/>
    <s v="In Progress"/>
    <s v="Missing Resolve Date"/>
    <s v="No"/>
    <m/>
    <s v="Resolved On First Contact"/>
    <s v=""/>
  </r>
  <r>
    <s v="TCK-20863"/>
    <d v="2026-07-27T17:03:00"/>
    <x v="2"/>
    <s v="Mahnoor Aslam"/>
    <s v="Karachi"/>
    <s v="Chat"/>
    <s v="General Inquiry"/>
    <s v="High"/>
    <n v="8"/>
    <s v="Closed"/>
    <d v="2026-07-27T23:22:00"/>
    <s v="No"/>
    <m/>
    <s v="Required Follow-Up Call"/>
    <n v="6.3166666666511446"/>
  </r>
  <r>
    <s v="TCK-21256"/>
    <d v="2026-08-03T04:40:00"/>
    <x v="1"/>
    <s v="Ayaan Khalid"/>
    <s v="Multan"/>
    <s v="Phone"/>
    <s v="Technical Issue"/>
    <s v="High"/>
    <n v="8"/>
    <s v="Resolved"/>
    <d v="2026-08-03T07:20:00"/>
    <s v="No"/>
    <n v="1"/>
    <s v="Customer Satisfied With Resolution"/>
    <n v="2.6666666666278616"/>
  </r>
  <r>
    <s v="TCK-21873"/>
    <d v="2026-04-13T06:33:00"/>
    <x v="2"/>
    <s v="Bilal Chaudhry"/>
    <s v="Faisalabad"/>
    <s v="Phone"/>
    <s v="General Inquiry"/>
    <s v="High"/>
    <n v="8"/>
    <s v="Escalated"/>
    <s v="Missing Resolve Date"/>
    <s v="Yes"/>
    <m/>
    <s v="Not Specified"/>
    <s v=""/>
  </r>
  <r>
    <s v="TCK-20480"/>
    <d v="2026-02-21T10:21:00"/>
    <x v="2"/>
    <s v="Mahnoor Aslam"/>
    <s v="Karachi"/>
    <s v="Chat"/>
    <s v="Technical Issue"/>
    <s v="Low"/>
    <n v="48"/>
    <s v="Open"/>
    <s v="Missing Resolve Date"/>
    <s v="No"/>
    <m/>
    <s v="Required Follow-Up Call"/>
    <s v=""/>
  </r>
  <r>
    <s v="TCK-20209"/>
    <d v="2026-06-12T10:46:00"/>
    <x v="1"/>
    <s v="Zara Hussain"/>
    <s v="Rawalpindi"/>
    <s v="Email"/>
    <s v="Account Access"/>
    <s v="Critical"/>
    <n v="4"/>
    <s v="Resolved"/>
    <d v="2026-06-12T12:39:00"/>
    <s v="No"/>
    <n v="4"/>
    <s v="Technical Issue Resolved Remotely"/>
    <n v="1.8833333333604969"/>
  </r>
  <r>
    <s v="TCK-20014"/>
    <d v="2026-07-17T07:07:00"/>
    <x v="0"/>
    <s v="Sadia Anwar"/>
    <s v="Peshawar"/>
    <s v="Chat"/>
    <s v="Delivery Delay"/>
    <s v="High"/>
    <n v="8"/>
    <s v="Closed"/>
    <d v="2026-07-17T07:40:00"/>
    <s v="No"/>
    <n v="5"/>
    <s v="Technical Issue Resolved Remotely"/>
    <n v="0.55000000004656613"/>
  </r>
  <r>
    <s v="TCK-21308"/>
    <d v="2026-01-09T16:36:00"/>
    <x v="0"/>
    <s v="Sadia Anwar"/>
    <s v="Peshawar"/>
    <s v="Email"/>
    <s v="Delivery Delay"/>
    <s v="Critical"/>
    <n v="4"/>
    <s v="In Progress"/>
    <s v="Missing Resolve Date"/>
    <s v="No"/>
    <m/>
    <s v="Technical Issue Resolved Remotely"/>
    <s v=""/>
  </r>
  <r>
    <s v="TCK-21550"/>
    <d v="2026-07-14T18:30:00"/>
    <x v="2"/>
    <s v="Mahnoor Aslam"/>
    <s v="Multan"/>
    <s v="Portal"/>
    <s v="Refund Request"/>
    <s v="Critical"/>
    <n v="4"/>
    <s v="Open"/>
    <s v="Missing Resolve Date"/>
    <s v="No"/>
    <m/>
    <s v="Not Specified"/>
    <s v=""/>
  </r>
  <r>
    <s v="TCK-22103"/>
    <d v="2026-04-27T21:26:00"/>
    <x v="3"/>
    <s v="Iqra Basit"/>
    <s v="Faisalabad"/>
    <s v="Portal"/>
    <s v="Technical Issue"/>
    <s v="High"/>
    <n v="8"/>
    <s v="Closed"/>
    <d v="2026-04-28T03:24:00"/>
    <s v="Yes"/>
    <n v="5"/>
    <s v="Technical Issue Resolved Remotely"/>
    <n v="5.9666666667326353"/>
  </r>
  <r>
    <s v="TCK-22482"/>
    <d v="2026-03-27T10:53:00"/>
    <x v="0"/>
    <s v="Sadia Anwar"/>
    <s v="Rawalpindi"/>
    <s v="Phone"/>
    <s v="Billing Issue"/>
    <s v="High"/>
    <n v="8"/>
    <s v="Open"/>
    <s v="Missing Resolve Date"/>
    <s v="No"/>
    <m/>
    <s v="Technical Issue Resolved Remotely"/>
    <s v=""/>
  </r>
  <r>
    <s v="TCK-20781"/>
    <d v="2026-02-11T12:23:00"/>
    <x v="2"/>
    <s v="Bilal Chaudhry"/>
    <s v="Islamabad"/>
    <s v="Phone"/>
    <s v="Account Access"/>
    <s v="Low"/>
    <n v="48"/>
    <s v="Resolved"/>
    <d v="2026-02-12T02:21:00"/>
    <s v="No"/>
    <n v="3"/>
    <s v="Required Follow-Up Call"/>
    <n v="13.96666666661622"/>
  </r>
  <r>
    <s v="TCK-20377"/>
    <d v="2026-08-04T18:06:00"/>
    <x v="1"/>
    <s v="Zara Hussain"/>
    <s v="Multan"/>
    <s v="Portal"/>
    <s v="Refund Request"/>
    <s v="High"/>
    <n v="8"/>
    <s v="In Progress"/>
    <s v="Missing Resolve Date"/>
    <s v="No"/>
    <m/>
    <s v="Required Follow-Up Call"/>
    <s v=""/>
  </r>
  <r>
    <s v="TCK-20963"/>
    <d v="2026-02-02T09:28:00"/>
    <x v="1"/>
    <s v="Zara Hussain"/>
    <s v="Islamabad"/>
    <s v="Phone"/>
    <s v="Billing Issue"/>
    <s v="Medium"/>
    <n v="24"/>
    <s v="Closed"/>
    <d v="2026-02-03T05:00:00"/>
    <s v="No"/>
    <n v="4"/>
    <s v="Customer Satisfied With Resolution"/>
    <n v="19.533333333441988"/>
  </r>
  <r>
    <s v="TCK-20886"/>
    <d v="2026-04-04T10:39:00"/>
    <x v="1"/>
    <s v="Ayaan Khalid"/>
    <s v="Karachi"/>
    <s v="Chat"/>
    <s v="Technical Issue"/>
    <s v="Low"/>
    <n v="48"/>
    <s v="Resolved"/>
    <d v="2026-04-05T07:06:00"/>
    <s v="No"/>
    <n v="5"/>
    <s v="Required Follow-Up Call"/>
    <n v="20.449999999953434"/>
  </r>
  <r>
    <s v="TCK-22290"/>
    <d v="2026-05-29T10:28:00"/>
    <x v="3"/>
    <s v="Talha Nadeem"/>
    <s v="Multan"/>
    <s v="Portal"/>
    <s v="Account Access"/>
    <s v="High"/>
    <n v="8"/>
    <s v="In Progress"/>
    <s v="Missing Resolve Date"/>
    <s v="Yes"/>
    <m/>
    <s v="Repeat Issue From Same Customer"/>
    <s v=""/>
  </r>
  <r>
    <s v="TCK-21118"/>
    <d v="2026-04-12T19:17:00"/>
    <x v="2"/>
    <s v="Mahnoor Aslam"/>
    <s v="Lahore"/>
    <s v="Portal"/>
    <s v="Billing Issue"/>
    <s v="Medium"/>
    <n v="24"/>
    <s v="Resolved"/>
    <d v="2026-04-14T17:47:00"/>
    <s v="No"/>
    <n v="1"/>
    <s v="Not Specified"/>
    <n v="46.5"/>
  </r>
  <r>
    <s v="TCK-22158"/>
    <d v="2026-08-16T15:12:00"/>
    <x v="0"/>
    <s v="Sadia Anwar"/>
    <s v="Islamabad"/>
    <s v="Portal"/>
    <s v="Account Access"/>
    <s v="Critical"/>
    <n v="4"/>
    <s v="Closed"/>
    <d v="2026-08-16T16:52:00"/>
    <s v="No"/>
    <m/>
    <s v="Awaiting Customer Response"/>
    <n v="1.6666666666860692"/>
  </r>
  <r>
    <s v="TCK-22317"/>
    <d v="2026-08-28T04:42:00"/>
    <x v="3"/>
    <s v="Iqra Basit"/>
    <s v="Peshawar"/>
    <s v="Portal"/>
    <s v="Refund Request"/>
    <s v="Medium"/>
    <n v="24"/>
    <s v="Closed"/>
    <d v="2026-08-28T23:08:00"/>
    <s v="No"/>
    <n v="5"/>
    <s v="Not Specified"/>
    <n v="18.433333333348855"/>
  </r>
  <r>
    <s v="TCK-22631"/>
    <d v="2026-07-07T11:03:00"/>
    <x v="3"/>
    <s v="Iqra Basit"/>
    <s v="Peshawar"/>
    <s v="Portal"/>
    <s v="General Inquiry"/>
    <s v="Medium"/>
    <n v="24"/>
    <s v="Resolved"/>
    <d v="2026-07-07T16:31:00"/>
    <s v="No"/>
    <n v="2"/>
    <s v="Not Specified"/>
    <n v="5.4666666666744277"/>
  </r>
  <r>
    <s v="TCK-20599"/>
    <d v="2026-06-28T09:49:00"/>
    <x v="2"/>
    <s v="Mahnoor Aslam"/>
    <s v="Multan"/>
    <s v="Portal"/>
    <s v="General Inquiry"/>
    <s v="Low"/>
    <n v="48"/>
    <s v="Closed"/>
    <d v="2026-06-29T22:41:00"/>
    <s v="No"/>
    <m/>
    <s v="Resolved On First Contact"/>
    <n v="36.866666666697711"/>
  </r>
  <r>
    <s v="TCK-22215"/>
    <d v="2026-07-19T18:11:00"/>
    <x v="2"/>
    <s v="Bilal Chaudhry"/>
    <s v="Faisalabad"/>
    <s v="Portal"/>
    <s v="General Inquiry"/>
    <s v="High"/>
    <n v="8"/>
    <s v="Resolved"/>
    <d v="2026-07-19T19:20:00"/>
    <s v="No"/>
    <n v="5"/>
    <s v="Technical Issue Resolved Remotely"/>
    <n v="1.1499999999068677"/>
  </r>
  <r>
    <s v="TCK-21199"/>
    <d v="2026-07-31T16:05:00"/>
    <x v="3"/>
    <s v="Talha Nadeem"/>
    <s v="Peshawar"/>
    <s v="Phone"/>
    <s v="Billing Issue"/>
    <s v="Low"/>
    <n v="48"/>
    <s v="Resolved"/>
    <d v="2026-08-01T09:11:00"/>
    <s v="No"/>
    <n v="2"/>
    <s v="Customer Requested Refund"/>
    <n v="17.100000000034925"/>
  </r>
  <r>
    <s v="TCK-22217"/>
    <d v="2026-08-30T23:54:00"/>
    <x v="2"/>
    <s v="Mahnoor Aslam"/>
    <s v="Peshawar"/>
    <s v="Chat"/>
    <s v="Delivery Delay"/>
    <s v="Medium"/>
    <n v="24"/>
    <s v="Resolved"/>
    <d v="2026-08-31T14:39:00"/>
    <s v="No"/>
    <n v="4"/>
    <s v="Repeat Issue From Same Customer"/>
    <n v="14.750000000058208"/>
  </r>
  <r>
    <s v="TCK-23022"/>
    <d v="2026-02-12T21:29:00"/>
    <x v="0"/>
    <s v="Sadia Anwar"/>
    <s v="Rawalpindi"/>
    <s v="Portal"/>
    <s v="Technical Issue"/>
    <s v="Low"/>
    <n v="48"/>
    <s v="Resolved"/>
    <d v="2026-02-13T00:21:00"/>
    <s v="No"/>
    <m/>
    <s v="Customer Satisfied With Resolution"/>
    <n v="2.8666666665812954"/>
  </r>
  <r>
    <s v="TCK-20875"/>
    <d v="2026-02-28T10:58:00"/>
    <x v="3"/>
    <s v="Iqra Basit"/>
    <s v="Multan"/>
    <s v="Portal"/>
    <s v="Technical Issue"/>
    <s v="High"/>
    <n v="8"/>
    <s v="Re-Opened"/>
    <d v="2026-02-28T14:43:00"/>
    <s v="No"/>
    <m/>
    <s v="Not Specified"/>
    <n v="3.75"/>
  </r>
  <r>
    <s v="TCK-23055"/>
    <d v="2026-04-26T14:09:00"/>
    <x v="3"/>
    <s v="Iqra Basit"/>
    <s v="Karachi"/>
    <s v="Portal"/>
    <s v="Delivery Delay"/>
    <s v="Low"/>
    <n v="48"/>
    <s v="Resolved"/>
    <d v="2026-04-28T00:59:00"/>
    <s v="No"/>
    <n v="3"/>
    <s v="Not Specified"/>
    <n v="34.833333333372138"/>
  </r>
  <r>
    <s v="TCK-22379"/>
    <d v="2026-01-04T17:20:00"/>
    <x v="2"/>
    <s v="Mahnoor Aslam"/>
    <s v="Islamabad"/>
    <s v="Phone"/>
    <s v="Technical Issue"/>
    <s v="Critical"/>
    <n v="4"/>
    <s v="Closed"/>
    <d v="2026-01-04T18:17:00"/>
    <s v="No"/>
    <n v="5"/>
    <s v="Required Follow-Up Call"/>
    <n v="0.95000000012805685"/>
  </r>
  <r>
    <s v="TCK-20467"/>
    <d v="2026-04-03T22:21:00"/>
    <x v="1"/>
    <s v="Ayaan Khalid"/>
    <s v="Multan"/>
    <s v="Chat"/>
    <s v="Account Access"/>
    <s v="Low"/>
    <n v="48"/>
    <s v="Closed"/>
    <d v="2026-04-08T17:31:00"/>
    <s v="No"/>
    <m/>
    <s v="Repeat Issue From Same Customer"/>
    <n v="115.16666666662786"/>
  </r>
  <r>
    <s v="TCK-22494"/>
    <d v="2026-05-02T15:41:00"/>
    <x v="2"/>
    <s v="Mahnoor Aslam"/>
    <s v="Multan"/>
    <s v="Chat"/>
    <s v="Technical Issue"/>
    <s v="Low"/>
    <n v="48"/>
    <s v="In Progress"/>
    <s v="Missing Resolve Date"/>
    <s v="Yes"/>
    <m/>
    <s v="Customer Requested Refund"/>
    <s v=""/>
  </r>
  <r>
    <s v="TCK-23119"/>
    <d v="2026-08-10T10:04:00"/>
    <x v="0"/>
    <s v="Sadia Anwar"/>
    <s v="Rawalpindi"/>
    <s v="Phone"/>
    <s v="Account Access"/>
    <s v="High"/>
    <n v="8"/>
    <s v="Resolved"/>
    <d v="2026-08-10T15:40:00"/>
    <s v="No"/>
    <n v="1"/>
    <s v="Not Specified"/>
    <n v="5.6000000000931323"/>
  </r>
  <r>
    <s v="TCK-22903"/>
    <d v="2026-02-14T01:16:00"/>
    <x v="0"/>
    <s v="Rehan Qureshi"/>
    <s v="Multan"/>
    <s v="Portal"/>
    <s v="Billing Issue"/>
    <s v="Medium"/>
    <n v="24"/>
    <s v="Closed"/>
    <d v="2026-02-14T08:45:00"/>
    <s v="Yes"/>
    <n v="5"/>
    <s v="Repeat Issue From Same Customer"/>
    <n v="7.4833333334536292"/>
  </r>
  <r>
    <s v="TCK-21188"/>
    <d v="2026-02-11T13:53:00"/>
    <x v="2"/>
    <s v="Mahnoor Aslam"/>
    <s v="Rawalpindi"/>
    <s v="Phone"/>
    <s v="Billing Issue"/>
    <s v="High"/>
    <n v="8"/>
    <s v="Escalated"/>
    <s v="Missing Resolve Date"/>
    <s v="Yes"/>
    <m/>
    <s v="Escalated To Senior Agent"/>
    <s v=""/>
  </r>
  <r>
    <s v="TCK-21451"/>
    <d v="2026-01-25T14:20:00"/>
    <x v="3"/>
    <s v="Iqra Basit"/>
    <s v="Faisalabad"/>
    <s v="Phone"/>
    <s v="Delivery Delay"/>
    <s v="Low"/>
    <n v="48"/>
    <s v="In Progress"/>
    <s v="Missing Resolve Date"/>
    <s v="Yes"/>
    <m/>
    <s v="Resolved On First Contact"/>
    <s v=""/>
  </r>
  <r>
    <s v="TCK-21333"/>
    <d v="2026-02-14T08:43:00"/>
    <x v="2"/>
    <s v="Mahnoor Aslam"/>
    <s v="Faisalabad"/>
    <s v="Chat"/>
    <s v="General Inquiry"/>
    <s v="Medium"/>
    <n v="24"/>
    <s v="Resolved"/>
    <d v="2026-02-14T16:58:00"/>
    <s v="No"/>
    <m/>
    <s v="Required Follow-Up Call"/>
    <n v="8.25"/>
  </r>
  <r>
    <s v="TCK-22948"/>
    <d v="2026-02-02T20:17:00"/>
    <x v="1"/>
    <s v="Zara Hussain"/>
    <s v="Karachi"/>
    <s v="Email"/>
    <s v="Billing Issue"/>
    <s v="Medium"/>
    <n v="24"/>
    <s v="Resolved"/>
    <d v="2026-02-03T03:38:00"/>
    <s v="No"/>
    <m/>
    <s v="Customer Requested Refund"/>
    <n v="7.3500000000349246"/>
  </r>
  <r>
    <s v="TCK-20200"/>
    <d v="2026-04-20T06:15:00"/>
    <x v="1"/>
    <s v="Zara Hussain"/>
    <s v="Lahore"/>
    <s v="Email"/>
    <s v="General Inquiry"/>
    <s v="High"/>
    <n v="8"/>
    <s v="Closed"/>
    <d v="2026-04-21T04:06:00"/>
    <s v="No"/>
    <n v="5"/>
    <s v="Customer Requested Refund"/>
    <n v="21.849999999976717"/>
  </r>
  <r>
    <s v="TCK-20198"/>
    <d v="2026-08-28T05:27:00"/>
    <x v="0"/>
    <s v="Sadia Anwar"/>
    <s v="Rawalpindi"/>
    <s v="Email"/>
    <s v="General Inquiry"/>
    <s v="High"/>
    <n v="8"/>
    <s v="Resolved"/>
    <d v="2026-08-28T11:14:00"/>
    <s v="No"/>
    <m/>
    <s v="Customer Satisfied With Resolution"/>
    <n v="5.7833333333255723"/>
  </r>
  <r>
    <s v="TCK-20122"/>
    <d v="2026-03-27T23:59:00"/>
    <x v="2"/>
    <s v="Bilal Chaudhry"/>
    <s v="Faisalabad"/>
    <s v="Chat"/>
    <s v="Technical Issue"/>
    <s v="High"/>
    <n v="8"/>
    <s v="Escalated"/>
    <s v="Missing Resolve Date"/>
    <s v="Yes"/>
    <m/>
    <s v="Not Specified"/>
    <s v=""/>
  </r>
  <r>
    <s v="TCK-22968"/>
    <d v="2026-03-22T13:44:00"/>
    <x v="0"/>
    <s v="Rehan Qureshi"/>
    <s v="Rawalpindi"/>
    <s v="Portal"/>
    <s v="Refund Request"/>
    <s v="Low"/>
    <n v="48"/>
    <s v="Resolved"/>
    <d v="2026-03-23T07:55:00"/>
    <s v="No"/>
    <n v="3"/>
    <s v="Resolved On First Contact"/>
    <n v="18.18333333323244"/>
  </r>
  <r>
    <s v="TCK-21230"/>
    <d v="2026-03-30T00:15:00"/>
    <x v="1"/>
    <s v="Ayaan Khalid"/>
    <s v="Lahore"/>
    <s v="Chat"/>
    <s v="Account Access"/>
    <s v="Medium"/>
    <n v="24"/>
    <s v="Resolved"/>
    <d v="2026-03-30T08:31:00"/>
    <s v="No"/>
    <n v="3"/>
    <s v="Customer Requested Refund"/>
    <n v="8.2666666667209938"/>
  </r>
  <r>
    <s v="TCK-22763"/>
    <d v="2026-08-20T08:15:00"/>
    <x v="0"/>
    <s v="Sadia Anwar"/>
    <s v="Multan"/>
    <s v="Portal"/>
    <s v="General Inquiry"/>
    <s v="High"/>
    <n v="8"/>
    <s v="Re-Opened"/>
    <d v="2026-08-21T04:42:00"/>
    <s v="No"/>
    <m/>
    <s v="Not Specified"/>
    <n v="20.449999999953434"/>
  </r>
  <r>
    <s v="TCK-20302"/>
    <d v="2026-03-26T00:24:00"/>
    <x v="0"/>
    <s v="Rehan Qureshi"/>
    <s v="Peshawar"/>
    <s v="Phone"/>
    <s v="Delivery Delay"/>
    <s v="Low"/>
    <n v="48"/>
    <s v="Open"/>
    <s v="Missing Resolve Date"/>
    <s v="No"/>
    <m/>
    <s v="Not Specified"/>
    <s v=""/>
  </r>
  <r>
    <s v="TCK-21770"/>
    <d v="2026-01-26T23:07:00"/>
    <x v="0"/>
    <s v="Rehan Qureshi"/>
    <s v="Faisalabad"/>
    <s v="Phone"/>
    <s v="Refund Request"/>
    <s v="Critical"/>
    <n v="4"/>
    <s v="Resolved"/>
    <d v="2026-01-27T00:24:00"/>
    <s v="No"/>
    <n v="5"/>
    <s v="Repeat Issue From Same Customer"/>
    <n v="1.2833333335001953"/>
  </r>
  <r>
    <s v="TCK-20500"/>
    <d v="2026-06-06T20:34:00"/>
    <x v="0"/>
    <s v="Rehan Qureshi"/>
    <s v="Karachi"/>
    <s v="Portal"/>
    <s v="Refund Request"/>
    <s v="Low"/>
    <n v="48"/>
    <s v="Closed"/>
    <d v="2026-06-07T05:29:00"/>
    <s v="No"/>
    <n v="5"/>
    <s v="Not Specified"/>
    <n v="8.9166666667442769"/>
  </r>
  <r>
    <s v="TCK-22188"/>
    <d v="2026-08-18T10:52:00"/>
    <x v="1"/>
    <s v="Ayaan Khalid"/>
    <s v="Islamabad"/>
    <s v="Phone"/>
    <s v="Account Access"/>
    <s v="Low"/>
    <n v="48"/>
    <s v="Closed"/>
    <d v="2026-08-18T19:05:00"/>
    <s v="No"/>
    <m/>
    <s v="Escalated To Senior Agent"/>
    <n v="8.2166666667326353"/>
  </r>
  <r>
    <s v="TCK-22745"/>
    <d v="2026-05-05T21:35:00"/>
    <x v="1"/>
    <s v="Ayaan Khalid"/>
    <s v="Lahore"/>
    <s v="Phone"/>
    <s v="General Inquiry"/>
    <s v="Medium"/>
    <n v="24"/>
    <s v="In Progress"/>
    <s v="Missing Resolve Date"/>
    <s v="No"/>
    <m/>
    <s v="Resolved On First Contact"/>
    <s v=""/>
  </r>
  <r>
    <s v="TCK-20823"/>
    <d v="2026-04-18T09:41:00"/>
    <x v="1"/>
    <s v="Zara Hussain"/>
    <s v="Lahore"/>
    <s v="Phone"/>
    <s v="Account Access"/>
    <s v="Low"/>
    <n v="48"/>
    <s v="Resolved"/>
    <d v="2026-04-19T01:57:00"/>
    <s v="Yes"/>
    <n v="4"/>
    <s v="Escalated To Senior Agent"/>
    <n v="16.266666666779201"/>
  </r>
  <r>
    <s v="TCK-21512"/>
    <d v="2026-08-22T07:06:00"/>
    <x v="2"/>
    <s v="Bilal Chaudhry"/>
    <s v="Karachi"/>
    <s v="Email"/>
    <s v="Account Access"/>
    <s v="Medium"/>
    <n v="24"/>
    <s v="Resolved"/>
    <d v="2026-08-22T17:57:00"/>
    <s v="No"/>
    <n v="5"/>
    <s v="Customer Requested Refund"/>
    <n v="10.850000000093132"/>
  </r>
  <r>
    <s v="TCK-23080"/>
    <d v="2026-07-26T04:23:00"/>
    <x v="1"/>
    <s v="Ayaan Khalid"/>
    <s v="Karachi"/>
    <s v="Email"/>
    <s v="Account Access"/>
    <s v="Medium"/>
    <n v="24"/>
    <s v="Resolved"/>
    <d v="2026-07-26T11:11:00"/>
    <s v="No"/>
    <n v="2"/>
    <s v="Resolved On First Contact"/>
    <n v="6.7999999999883585"/>
  </r>
  <r>
    <s v="TCK-21959"/>
    <d v="2026-04-05T11:54:00"/>
    <x v="3"/>
    <s v="Talha Nadeem"/>
    <s v="Faisalabad"/>
    <s v="Portal"/>
    <s v="Billing Issue"/>
    <s v="High"/>
    <n v="8"/>
    <s v="Re-Opened"/>
    <d v="2026-04-05T16:03:00"/>
    <s v="No"/>
    <m/>
    <s v="Repeat Issue From Same Customer"/>
    <n v="4.1499999999068677"/>
  </r>
  <r>
    <s v="TCK-22443"/>
    <d v="2026-06-15T00:08:00"/>
    <x v="1"/>
    <s v="Zara Hussain"/>
    <s v="Lahore"/>
    <s v="Phone"/>
    <s v="Delivery Delay"/>
    <s v="Medium"/>
    <n v="24"/>
    <s v="Re-Opened"/>
    <d v="2026-06-15T18:48:00"/>
    <s v="No"/>
    <m/>
    <s v="Customer Satisfied With Resolution"/>
    <n v="18.666666666569654"/>
  </r>
  <r>
    <s v="TCK-20143"/>
    <d v="2026-01-23T10:04:00"/>
    <x v="3"/>
    <s v="Iqra Basit"/>
    <s v="Karachi"/>
    <s v="Phone"/>
    <s v="Billing Issue"/>
    <s v="Low"/>
    <n v="48"/>
    <s v="Closed"/>
    <d v="2026-01-24T11:33:00"/>
    <s v="No"/>
    <n v="5"/>
    <s v="Awaiting Customer Response"/>
    <n v="25.483333333279006"/>
  </r>
  <r>
    <s v="TCK-21940"/>
    <d v="2026-03-18T05:43:00"/>
    <x v="1"/>
    <s v="Zara Hussain"/>
    <s v="Karachi"/>
    <s v="Phone"/>
    <s v="Billing Issue"/>
    <s v="High"/>
    <n v="8"/>
    <s v="Re-Opened"/>
    <d v="2026-03-18T12:36:00"/>
    <s v="No"/>
    <m/>
    <s v="Repeat Issue From Same Customer"/>
    <n v="6.8833333334187046"/>
  </r>
  <r>
    <s v="TCK-20595"/>
    <d v="2026-06-12T19:23:00"/>
    <x v="2"/>
    <s v="Mahnoor Aslam"/>
    <s v="Rawalpindi"/>
    <s v="Email"/>
    <s v="Account Access"/>
    <s v="Medium"/>
    <n v="24"/>
    <s v="Resolved"/>
    <d v="2026-06-13T15:14:00"/>
    <s v="No"/>
    <m/>
    <s v="Customer Satisfied With Resolution"/>
    <n v="19.850000000093132"/>
  </r>
  <r>
    <s v="TCK-20435"/>
    <d v="2026-07-23T11:45:00"/>
    <x v="0"/>
    <s v="Rehan Qureshi"/>
    <s v="Lahore"/>
    <s v="Email"/>
    <s v="Account Access"/>
    <s v="Low"/>
    <n v="48"/>
    <s v="Open"/>
    <s v="Missing Resolve Date"/>
    <s v="No"/>
    <m/>
    <s v="Repeat Issue From Same Customer"/>
    <s v=""/>
  </r>
  <r>
    <s v="TCK-22490"/>
    <d v="2026-07-27T13:49:00"/>
    <x v="1"/>
    <s v="Zara Hussain"/>
    <s v="Rawalpindi"/>
    <s v="Chat"/>
    <s v="Billing Issue"/>
    <s v="Medium"/>
    <n v="24"/>
    <s v="Closed"/>
    <d v="2026-07-28T02:33:00"/>
    <s v="No"/>
    <n v="3"/>
    <s v="Customer Requested Refund"/>
    <n v="12.733333333279006"/>
  </r>
  <r>
    <s v="TCK-21385"/>
    <d v="2026-07-22T13:29:00"/>
    <x v="1"/>
    <s v="Ayaan Khalid"/>
    <s v="Karachi"/>
    <s v="Email"/>
    <s v="Delivery Delay"/>
    <s v="Medium"/>
    <n v="24"/>
    <s v="Escalated"/>
    <s v="Missing Resolve Date"/>
    <s v="Yes"/>
    <m/>
    <s v="Customer Satisfied With Resolution"/>
    <s v=""/>
  </r>
  <r>
    <s v="TCK-21527"/>
    <d v="2026-06-25T08:50:00"/>
    <x v="1"/>
    <s v="Ayaan Khalid"/>
    <s v="Multan"/>
    <s v="Portal"/>
    <s v="Account Access"/>
    <s v="Critical"/>
    <n v="4"/>
    <s v="Open"/>
    <s v="Missing Resolve Date"/>
    <s v="No"/>
    <m/>
    <s v="Required Follow-Up Call"/>
    <s v=""/>
  </r>
  <r>
    <s v="TCK-20133"/>
    <d v="2026-05-26T17:04:00"/>
    <x v="0"/>
    <s v="Sadia Anwar"/>
    <s v="Faisalabad"/>
    <s v="Email"/>
    <s v="Account Access"/>
    <s v="Medium"/>
    <n v="24"/>
    <s v="Resolved"/>
    <d v="2026-05-29T01:28:00"/>
    <s v="No"/>
    <n v="4"/>
    <s v="Repeat Issue From Same Customer"/>
    <n v="56.400000000139698"/>
  </r>
  <r>
    <s v="TCK-20616"/>
    <d v="2026-03-29T06:48:00"/>
    <x v="3"/>
    <s v="Iqra Basit"/>
    <s v="Peshawar"/>
    <s v="Phone"/>
    <s v="Billing Issue"/>
    <s v="Medium"/>
    <n v="24"/>
    <s v="In Progress"/>
    <s v="Missing Resolve Date"/>
    <s v="No"/>
    <m/>
    <s v="Awaiting Customer Response"/>
    <s v=""/>
  </r>
  <r>
    <s v="TCK-20055"/>
    <d v="2026-08-23T06:21:00"/>
    <x v="1"/>
    <s v="Zara Hussain"/>
    <s v="Peshawar"/>
    <s v="Chat"/>
    <s v="Delivery Delay"/>
    <s v="Low"/>
    <n v="48"/>
    <s v="Resolved"/>
    <d v="2026-08-24T09:10:00"/>
    <s v="No"/>
    <n v="2"/>
    <s v="Technical Issue Resolved Remotely"/>
    <n v="26.81666666676756"/>
  </r>
  <r>
    <s v="TCK-20483"/>
    <d v="2026-08-04T03:41:00"/>
    <x v="1"/>
    <s v="Zara Hussain"/>
    <s v="Lahore"/>
    <s v="Phone"/>
    <s v="Technical Issue"/>
    <s v="Medium"/>
    <n v="24"/>
    <s v="Escalated"/>
    <s v="Missing Resolve Date"/>
    <s v="Yes"/>
    <m/>
    <s v="Resolved On First Contact"/>
    <s v=""/>
  </r>
  <r>
    <s v="TCK-20900"/>
    <d v="2026-08-24T07:24:00"/>
    <x v="1"/>
    <s v="Ayaan Khalid"/>
    <s v="Islamabad"/>
    <s v="Chat"/>
    <s v="Refund Request"/>
    <s v="Low"/>
    <n v="48"/>
    <s v="Escalated"/>
    <s v="Missing Resolve Date"/>
    <s v="Yes"/>
    <m/>
    <s v="Escalated To Senior Agent"/>
    <s v=""/>
  </r>
  <r>
    <s v="TCK-22237"/>
    <d v="2026-06-27T22:13:00"/>
    <x v="2"/>
    <s v="Bilal Chaudhry"/>
    <s v="Lahore"/>
    <s v="Portal"/>
    <s v="General Inquiry"/>
    <s v="Low"/>
    <n v="48"/>
    <s v="Resolved"/>
    <d v="2026-06-29T14:24:00"/>
    <s v="No"/>
    <m/>
    <s v="Not Specified"/>
    <n v="40.183333333348855"/>
  </r>
  <r>
    <s v="TCK-22776"/>
    <d v="2026-05-24T06:08:00"/>
    <x v="0"/>
    <s v="Sadia Anwar"/>
    <s v="Rawalpindi"/>
    <s v="Portal"/>
    <s v="Technical Issue"/>
    <s v="Medium"/>
    <n v="24"/>
    <s v="Resolved"/>
    <d v="2026-05-25T10:32:00"/>
    <s v="No"/>
    <m/>
    <s v="Technical Issue Resolved Remotely"/>
    <n v="28.39999999984866"/>
  </r>
  <r>
    <s v="TCK-20926"/>
    <d v="2026-01-24T19:39:00"/>
    <x v="2"/>
    <s v="Bilal Chaudhry"/>
    <s v="Faisalabad"/>
    <s v="Email"/>
    <s v="Delivery Delay"/>
    <s v="Low"/>
    <n v="48"/>
    <s v="Resolved"/>
    <d v="2026-01-25T15:04:00"/>
    <s v="Yes"/>
    <m/>
    <s v="Not Specified"/>
    <n v="19.416666666744277"/>
  </r>
  <r>
    <s v="TCK-20777"/>
    <d v="2026-01-15T12:13:00"/>
    <x v="0"/>
    <s v="Rehan Qureshi"/>
    <s v="Peshawar"/>
    <s v="Email"/>
    <s v="Delivery Delay"/>
    <s v="Medium"/>
    <n v="24"/>
    <s v="Re-Opened"/>
    <d v="2026-01-16T08:33:00"/>
    <s v="No"/>
    <m/>
    <s v="Resolved On First Contact"/>
    <n v="20.333333333255723"/>
  </r>
  <r>
    <s v="TCK-20950"/>
    <d v="2026-02-12T01:06:00"/>
    <x v="3"/>
    <s v="Iqra Basit"/>
    <s v="Karachi"/>
    <s v="Portal"/>
    <s v="Refund Request"/>
    <s v="Medium"/>
    <n v="24"/>
    <s v="Closed"/>
    <d v="2026-02-12T11:01:00"/>
    <s v="No"/>
    <n v="3"/>
    <s v="Awaiting Customer Response"/>
    <n v="9.9166666666860692"/>
  </r>
  <r>
    <s v="TCK-22682"/>
    <d v="2026-08-18T17:22:00"/>
    <x v="2"/>
    <s v="Mahnoor Aslam"/>
    <s v="Karachi"/>
    <s v="Email"/>
    <s v="Delivery Delay"/>
    <s v="Medium"/>
    <n v="24"/>
    <s v="Open"/>
    <s v="Missing Resolve Date"/>
    <s v="No"/>
    <m/>
    <s v="Not Specified"/>
    <s v=""/>
  </r>
  <r>
    <s v="TCK-21344"/>
    <d v="2026-07-03T21:58:00"/>
    <x v="2"/>
    <s v="Bilal Chaudhry"/>
    <s v="Lahore"/>
    <s v="Chat"/>
    <s v="Technical Issue"/>
    <s v="Medium"/>
    <n v="24"/>
    <s v="Resolved"/>
    <d v="2026-07-06T05:59:00"/>
    <s v="No"/>
    <n v="2"/>
    <s v="Not Specified"/>
    <n v="56.016666666604578"/>
  </r>
  <r>
    <s v="TCK-21498"/>
    <d v="2026-02-05T09:58:00"/>
    <x v="3"/>
    <s v="Iqra Basit"/>
    <s v="Rawalpindi"/>
    <s v="Chat"/>
    <s v="Account Access"/>
    <s v="High"/>
    <n v="8"/>
    <s v="Closed"/>
    <d v="2026-02-05T13:40:00"/>
    <s v="No"/>
    <m/>
    <s v="Awaiting Customer Response"/>
    <n v="3.7000000000116415"/>
  </r>
  <r>
    <s v="TCK-22093"/>
    <d v="2026-02-07T14:52:00"/>
    <x v="2"/>
    <s v="Bilal Chaudhry"/>
    <s v="Rawalpindi"/>
    <s v="Phone"/>
    <s v="Delivery Delay"/>
    <s v="Low"/>
    <n v="48"/>
    <s v="Open"/>
    <s v="Missing Resolve Date"/>
    <s v="No"/>
    <m/>
    <s v="Customer Satisfied With Resolution"/>
    <s v=""/>
  </r>
  <r>
    <s v="TCK-21405"/>
    <d v="2026-01-08T17:45:00"/>
    <x v="0"/>
    <s v="Sadia Anwar"/>
    <s v="Lahore"/>
    <s v="Portal"/>
    <s v="General Inquiry"/>
    <s v="Critical"/>
    <n v="4"/>
    <s v="Re-Opened"/>
    <d v="2026-01-08T20:14:00"/>
    <s v="No"/>
    <m/>
    <s v="Technical Issue Resolved Remotely"/>
    <n v="2.4833333332207985"/>
  </r>
  <r>
    <s v="TCK-22132"/>
    <d v="2026-05-28T11:15:00"/>
    <x v="0"/>
    <s v="Rehan Qureshi"/>
    <s v="Islamabad"/>
    <s v="Chat"/>
    <s v="Refund Request"/>
    <s v="High"/>
    <n v="8"/>
    <s v="In Progress"/>
    <s v="Missing Resolve Date"/>
    <s v="No"/>
    <m/>
    <s v="Technical Issue Resolved Remotely"/>
    <s v=""/>
  </r>
  <r>
    <s v="TCK-22025"/>
    <d v="2026-07-03T03:01:00"/>
    <x v="1"/>
    <s v="Zara Hussain"/>
    <s v="Islamabad"/>
    <s v="Phone"/>
    <s v="Account Access"/>
    <s v="Low"/>
    <n v="48"/>
    <s v="Re-Opened"/>
    <d v="2026-07-04T14:45:00"/>
    <s v="No"/>
    <m/>
    <s v="Not Specified"/>
    <n v="35.733333333337214"/>
  </r>
  <r>
    <s v="TCK-21784"/>
    <d v="2026-07-25T08:26:00"/>
    <x v="2"/>
    <s v="Mahnoor Aslam"/>
    <s v="Rawalpindi"/>
    <s v="Chat"/>
    <s v="Refund Request"/>
    <s v="Medium"/>
    <n v="24"/>
    <s v="Resolved"/>
    <d v="2026-07-27T14:40:00"/>
    <s v="No"/>
    <m/>
    <s v="Customer Requested Refund"/>
    <n v="54.233333333220799"/>
  </r>
  <r>
    <s v="TCK-21969"/>
    <d v="2026-06-04T02:21:00"/>
    <x v="3"/>
    <s v="Talha Nadeem"/>
    <s v="Karachi"/>
    <s v="Portal"/>
    <s v="Technical Issue"/>
    <s v="Medium"/>
    <n v="24"/>
    <s v="Closed"/>
    <d v="2026-06-04T05:09:00"/>
    <s v="No"/>
    <n v="3"/>
    <s v="Required Follow-Up Call"/>
    <n v="2.8000000000465661"/>
  </r>
  <r>
    <s v="TCK-22166"/>
    <d v="2026-02-13T07:05:00"/>
    <x v="0"/>
    <s v="Sadia Anwar"/>
    <s v="Islamabad"/>
    <s v="Chat"/>
    <s v="Billing Issue"/>
    <s v="Medium"/>
    <n v="24"/>
    <s v="Resolved"/>
    <d v="2026-02-13T19:08:00"/>
    <s v="No"/>
    <m/>
    <s v="Escalated To Senior Agent"/>
    <n v="12.049999999988358"/>
  </r>
  <r>
    <s v="TCK-20393"/>
    <d v="2026-03-16T07:34:00"/>
    <x v="1"/>
    <s v="Zara Hussain"/>
    <s v="Peshawar"/>
    <s v="Portal"/>
    <s v="Billing Issue"/>
    <s v="High"/>
    <n v="8"/>
    <s v="In Progress"/>
    <s v="Missing Resolve Date"/>
    <s v="No"/>
    <m/>
    <s v="Resolved On First Contact"/>
    <s v=""/>
  </r>
  <r>
    <s v="TCK-22428"/>
    <d v="2026-04-12T20:13:00"/>
    <x v="2"/>
    <s v="Bilal Chaudhry"/>
    <s v="Faisalabad"/>
    <s v="Phone"/>
    <s v="Refund Request"/>
    <s v="Medium"/>
    <n v="24"/>
    <s v="Open"/>
    <s v="Missing Resolve Date"/>
    <s v="No"/>
    <m/>
    <s v="Not Specified"/>
    <s v=""/>
  </r>
  <r>
    <s v="TCK-22424"/>
    <d v="2026-03-31T17:37:00"/>
    <x v="0"/>
    <s v="Rehan Qureshi"/>
    <s v="Multan"/>
    <s v="Phone"/>
    <s v="Delivery Delay"/>
    <s v="Medium"/>
    <n v="24"/>
    <s v="Escalated"/>
    <s v="Missing Resolve Date"/>
    <s v="Yes"/>
    <m/>
    <s v="Not Specified"/>
    <s v=""/>
  </r>
  <r>
    <s v="TCK-22445"/>
    <d v="2026-06-07T06:31:00"/>
    <x v="2"/>
    <s v="Bilal Chaudhry"/>
    <s v="Faisalabad"/>
    <s v="Phone"/>
    <s v="Account Access"/>
    <s v="High"/>
    <n v="8"/>
    <s v="In Progress"/>
    <s v="Missing Resolve Date"/>
    <s v="No"/>
    <m/>
    <s v="Customer Satisfied With Resolution"/>
    <s v=""/>
  </r>
  <r>
    <s v="TCK-23014"/>
    <d v="2026-02-24T05:10:00"/>
    <x v="0"/>
    <s v="Sadia Anwar"/>
    <s v="Faisalabad"/>
    <s v="Chat"/>
    <s v="Billing Issue"/>
    <s v="Low"/>
    <n v="48"/>
    <s v="Escalated"/>
    <s v="Missing Resolve Date"/>
    <s v="Yes"/>
    <m/>
    <s v="Not Specified"/>
    <s v=""/>
  </r>
  <r>
    <s v="TCK-22332"/>
    <d v="2026-04-01T02:53:00"/>
    <x v="0"/>
    <s v="Sadia Anwar"/>
    <s v="Multan"/>
    <s v="Chat"/>
    <s v="Technical Issue"/>
    <s v="High"/>
    <n v="8"/>
    <s v="Escalated"/>
    <s v="Missing Resolve Date"/>
    <s v="Yes"/>
    <m/>
    <s v="Resolved On First Contact"/>
    <s v=""/>
  </r>
  <r>
    <s v="TCK-20274"/>
    <d v="2026-04-27T22:02:00"/>
    <x v="1"/>
    <s v="Zara Hussain"/>
    <s v="Faisalabad"/>
    <s v="Chat"/>
    <s v="Refund Request"/>
    <s v="Low"/>
    <n v="48"/>
    <s v="Closed"/>
    <d v="2026-05-03T16:33:00"/>
    <s v="No"/>
    <n v="5"/>
    <s v="Escalated To Senior Agent"/>
    <n v="138.51666666660458"/>
  </r>
  <r>
    <s v="TCK-20180"/>
    <d v="2026-06-09T16:42:00"/>
    <x v="0"/>
    <s v="Sadia Anwar"/>
    <s v="Multan"/>
    <s v="Portal"/>
    <s v="Refund Request"/>
    <s v="Low"/>
    <n v="48"/>
    <s v="Closed"/>
    <d v="2026-06-10T10:17:00"/>
    <s v="No"/>
    <n v="4"/>
    <s v="Technical Issue Resolved Remotely"/>
    <n v="17.583333333372138"/>
  </r>
  <r>
    <s v="TCK-22711"/>
    <d v="2026-01-15T22:47:00"/>
    <x v="3"/>
    <s v="Talha Nadeem"/>
    <s v="Rawalpindi"/>
    <s v="Chat"/>
    <s v="Account Access"/>
    <s v="Medium"/>
    <n v="24"/>
    <s v="Resolved"/>
    <d v="2026-01-16T18:47:00"/>
    <s v="No"/>
    <m/>
    <s v="Not Specified"/>
    <n v="19.999999999883585"/>
  </r>
  <r>
    <s v="TCK-21004"/>
    <d v="2026-06-21T17:14:00"/>
    <x v="3"/>
    <s v="Iqra Basit"/>
    <s v="Rawalpindi"/>
    <s v="Phone"/>
    <s v="Billing Issue"/>
    <s v="High"/>
    <n v="8"/>
    <s v="Closed"/>
    <d v="2026-06-21T21:35:00"/>
    <s v="No"/>
    <n v="4"/>
    <s v="Required Follow-Up Call"/>
    <n v="4.3500000000349246"/>
  </r>
  <r>
    <s v="TCK-21973"/>
    <d v="2026-03-13T09:48:00"/>
    <x v="1"/>
    <s v="Zara Hussain"/>
    <s v="Karachi"/>
    <s v="Portal"/>
    <s v="General Inquiry"/>
    <s v="Medium"/>
    <n v="24"/>
    <s v="Escalated"/>
    <s v="Missing Resolve Date"/>
    <s v="Yes"/>
    <m/>
    <s v="Technical Issue Resolved Remotely"/>
    <s v=""/>
  </r>
  <r>
    <s v="TCK-20424"/>
    <d v="2026-08-22T04:27:00"/>
    <x v="2"/>
    <s v="Bilal Chaudhry"/>
    <s v="Multan"/>
    <s v="Portal"/>
    <s v="Refund Request"/>
    <s v="High"/>
    <n v="8"/>
    <s v="Resolved"/>
    <d v="2026-08-22T23:35:00"/>
    <s v="No"/>
    <n v="5"/>
    <s v="Required Follow-Up Call"/>
    <n v="19.133333333360497"/>
  </r>
  <r>
    <s v="TCK-21033"/>
    <d v="2026-08-22T11:46:00"/>
    <x v="1"/>
    <s v="Ayaan Khalid"/>
    <s v="Multan"/>
    <s v="Phone"/>
    <s v="Billing Issue"/>
    <s v="Medium"/>
    <n v="24"/>
    <s v="In Progress"/>
    <s v="Missing Resolve Date"/>
    <s v="Yes"/>
    <m/>
    <s v="Resolved On First Contact"/>
    <s v=""/>
  </r>
  <r>
    <s v="TCK-20085"/>
    <d v="2026-04-15T14:23:00"/>
    <x v="1"/>
    <s v="Ayaan Khalid"/>
    <s v="Karachi"/>
    <s v="Chat"/>
    <s v="Delivery Delay"/>
    <s v="Medium"/>
    <n v="24"/>
    <s v="Resolved"/>
    <d v="2026-04-15T15:30:00"/>
    <s v="No"/>
    <m/>
    <s v="Customer Requested Refund"/>
    <n v="1.1166666666395031"/>
  </r>
  <r>
    <s v="TCK-21002"/>
    <d v="2026-06-08T05:05:00"/>
    <x v="2"/>
    <s v="Mahnoor Aslam"/>
    <s v="Multan"/>
    <s v="Email"/>
    <s v="Refund Request"/>
    <s v="Medium"/>
    <n v="24"/>
    <s v="Resolved"/>
    <d v="2026-06-10T11:58:00"/>
    <s v="No"/>
    <n v="2"/>
    <s v="Repeat Issue From Same Customer"/>
    <n v="54.883333333418705"/>
  </r>
  <r>
    <s v="TCK-20783"/>
    <d v="2026-06-26T14:51:00"/>
    <x v="0"/>
    <s v="Rehan Qureshi"/>
    <s v="Multan"/>
    <s v="Chat"/>
    <s v="Delivery Delay"/>
    <s v="High"/>
    <n v="8"/>
    <s v="Open"/>
    <s v="Missing Resolve Date"/>
    <s v="Yes"/>
    <m/>
    <s v="Awaiting Customer Response"/>
    <s v=""/>
  </r>
  <r>
    <s v="TCK-22818"/>
    <d v="2026-04-21T17:34:00"/>
    <x v="2"/>
    <s v="Mahnoor Aslam"/>
    <s v="Multan"/>
    <s v="Chat"/>
    <s v="Billing Issue"/>
    <s v="Low"/>
    <n v="48"/>
    <s v="Resolved"/>
    <s v="Missing Resolve Date"/>
    <s v="No"/>
    <n v="5"/>
    <s v="Not Specified"/>
    <s v=""/>
  </r>
  <r>
    <s v="TCK-21169"/>
    <d v="2026-03-05T16:39:00"/>
    <x v="2"/>
    <s v="Mahnoor Aslam"/>
    <s v="Faisalabad"/>
    <s v="Email"/>
    <s v="General Inquiry"/>
    <s v="Low"/>
    <n v="48"/>
    <s v="Open"/>
    <s v="Missing Resolve Date"/>
    <s v="No"/>
    <m/>
    <s v="Resolved On First Contact"/>
    <s v=""/>
  </r>
  <r>
    <s v="TCK-20030"/>
    <d v="2026-05-26T04:47:00"/>
    <x v="0"/>
    <s v="Rehan Qureshi"/>
    <s v="Lahore"/>
    <s v="Phone"/>
    <s v="Delivery Delay"/>
    <s v="Medium"/>
    <n v="24"/>
    <s v="Resolved"/>
    <d v="2026-05-26T14:17:00"/>
    <s v="No"/>
    <n v="1"/>
    <s v="Repeat Issue From Same Customer"/>
    <n v="9.4999999998835847"/>
  </r>
  <r>
    <s v="TCK-21106"/>
    <d v="2026-07-14T13:44:00"/>
    <x v="0"/>
    <s v="Sadia Anwar"/>
    <s v="Rawalpindi"/>
    <s v="Phone"/>
    <s v="Delivery Delay"/>
    <s v="High"/>
    <n v="8"/>
    <s v="Resolved"/>
    <d v="2026-07-14T15:19:00"/>
    <s v="No"/>
    <n v="2"/>
    <s v="Technical Issue Resolved Remotely"/>
    <n v="1.5833333332557231"/>
  </r>
  <r>
    <s v="TCK-20479"/>
    <d v="2026-06-16T02:22:00"/>
    <x v="1"/>
    <s v="Zara Hussain"/>
    <s v="Rawalpindi"/>
    <s v="Portal"/>
    <s v="Refund Request"/>
    <s v="Medium"/>
    <n v="24"/>
    <s v="In Progress"/>
    <s v="Missing Resolve Date"/>
    <s v="No"/>
    <m/>
    <s v="Technical Issue Resolved Remotely"/>
    <s v=""/>
  </r>
  <r>
    <s v="TCK-20264"/>
    <d v="2026-01-19T05:20:00"/>
    <x v="1"/>
    <s v="Ayaan Khalid"/>
    <s v="Faisalabad"/>
    <s v="Email"/>
    <s v="Delivery Delay"/>
    <s v="High"/>
    <n v="8"/>
    <s v="Re-Opened"/>
    <d v="2026-01-19T06:02:00"/>
    <s v="No"/>
    <m/>
    <s v="Resolved On First Contact"/>
    <n v="0.70000000001164153"/>
  </r>
  <r>
    <s v="TCK-22155"/>
    <d v="2026-08-05T12:19:00"/>
    <x v="2"/>
    <s v="Bilal Chaudhry"/>
    <s v="Peshawar"/>
    <s v="Phone"/>
    <s v="Account Access"/>
    <s v="High"/>
    <n v="8"/>
    <s v="Resolved"/>
    <d v="2026-08-05T15:27:00"/>
    <s v="No"/>
    <n v="3"/>
    <s v="Technical Issue Resolved Remotely"/>
    <n v="3.1333333334187046"/>
  </r>
  <r>
    <s v="TCK-21301"/>
    <d v="2026-01-14T16:06:00"/>
    <x v="2"/>
    <s v="Mahnoor Aslam"/>
    <s v="Peshawar"/>
    <s v="Chat"/>
    <s v="Billing Issue"/>
    <s v="Low"/>
    <n v="48"/>
    <s v="In Progress"/>
    <s v="Missing Resolve Date"/>
    <s v="No"/>
    <m/>
    <s v="Customer Satisfied With Resolution"/>
    <s v=""/>
  </r>
  <r>
    <s v="TCK-20656"/>
    <d v="2026-04-03T08:23:00"/>
    <x v="3"/>
    <s v="Talha Nadeem"/>
    <s v="Multan"/>
    <s v="Portal"/>
    <s v="Technical Issue"/>
    <s v="Medium"/>
    <n v="24"/>
    <s v="Open"/>
    <s v="Missing Resolve Date"/>
    <s v="No"/>
    <m/>
    <s v="Resolved On First Contact"/>
    <s v=""/>
  </r>
  <r>
    <s v="TCK-22985"/>
    <d v="2026-02-03T00:57:00"/>
    <x v="2"/>
    <s v="Bilal Chaudhry"/>
    <s v="Faisalabad"/>
    <s v="Phone"/>
    <s v="Delivery Delay"/>
    <s v="High"/>
    <n v="8"/>
    <s v="Resolved"/>
    <s v="Missing Resolve Date"/>
    <s v="No"/>
    <n v="5"/>
    <s v="Escalated To Senior Agent"/>
    <s v=""/>
  </r>
  <r>
    <s v="TCK-21052"/>
    <d v="2026-05-11T22:13:00"/>
    <x v="3"/>
    <s v="Talha Nadeem"/>
    <s v="Lahore"/>
    <s v="Phone"/>
    <s v="Billing Issue"/>
    <s v="Medium"/>
    <n v="24"/>
    <s v="Resolved"/>
    <d v="2026-05-12T06:15:00"/>
    <s v="Yes"/>
    <m/>
    <s v="Escalated To Senior Agent"/>
    <n v="8.0333333333255723"/>
  </r>
  <r>
    <s v="TCK-20139"/>
    <d v="2026-03-25T15:16:00"/>
    <x v="3"/>
    <s v="Talha Nadeem"/>
    <s v="Multan"/>
    <s v="Email"/>
    <s v="Account Access"/>
    <s v="High"/>
    <n v="8"/>
    <s v="Resolved"/>
    <d v="2026-03-25T20:58:00"/>
    <s v="No"/>
    <n v="3"/>
    <s v="Customer Requested Refund"/>
    <n v="5.7000000000698492"/>
  </r>
  <r>
    <s v="TCK-21809"/>
    <d v="2026-05-17T17:55:00"/>
    <x v="2"/>
    <s v="Bilal Chaudhry"/>
    <s v="Islamabad"/>
    <s v="Chat"/>
    <s v="Delivery Delay"/>
    <s v="High"/>
    <n v="8"/>
    <s v="Resolved"/>
    <d v="2026-05-17T21:06:00"/>
    <s v="No"/>
    <n v="3"/>
    <s v="Resolved On First Contact"/>
    <n v="3.1833333332324401"/>
  </r>
  <r>
    <s v="TCK-21624"/>
    <d v="2026-01-21T09:11:00"/>
    <x v="1"/>
    <s v="Zara Hussain"/>
    <s v="Karachi"/>
    <s v="Phone"/>
    <s v="Technical Issue"/>
    <s v="High"/>
    <n v="8"/>
    <s v="Resolved"/>
    <d v="2026-01-21T11:50:00"/>
    <s v="No"/>
    <n v="4"/>
    <s v="Customer Satisfied With Resolution"/>
    <n v="2.6499999999068677"/>
  </r>
  <r>
    <s v="TCK-20607"/>
    <d v="2026-04-19T01:11:00"/>
    <x v="1"/>
    <s v="Ayaan Khalid"/>
    <s v="Karachi"/>
    <s v="Chat"/>
    <s v="General Inquiry"/>
    <s v="Low"/>
    <n v="48"/>
    <s v="Re-Opened"/>
    <d v="2026-04-20T00:31:00"/>
    <s v="No"/>
    <m/>
    <s v="Awaiting Customer Response"/>
    <n v="23.333333333255723"/>
  </r>
  <r>
    <s v="TCK-20314"/>
    <d v="2026-08-18T20:34:00"/>
    <x v="1"/>
    <s v="Zara Hussain"/>
    <s v="Karachi"/>
    <s v="Phone"/>
    <s v="Refund Request"/>
    <s v="Critical"/>
    <n v="4"/>
    <s v="In Progress"/>
    <s v="Missing Resolve Date"/>
    <s v="No"/>
    <m/>
    <s v="Customer Requested Refund"/>
    <s v=""/>
  </r>
  <r>
    <s v="TCK-21171"/>
    <d v="2026-01-17T21:45:00"/>
    <x v="3"/>
    <s v="Iqra Basit"/>
    <s v="Islamabad"/>
    <s v="Chat"/>
    <s v="Technical Issue"/>
    <s v="Low"/>
    <n v="48"/>
    <s v="Re-Opened"/>
    <d v="2026-01-23T01:26:00"/>
    <s v="No"/>
    <m/>
    <s v="Customer Requested Refund"/>
    <n v="123.68333333329065"/>
  </r>
  <r>
    <s v="TCK-21184"/>
    <d v="2026-05-05T00:19:00"/>
    <x v="1"/>
    <s v="Zara Hussain"/>
    <s v="Islamabad"/>
    <s v="Phone"/>
    <s v="Refund Request"/>
    <s v="Medium"/>
    <n v="24"/>
    <s v="Resolved"/>
    <d v="2026-05-07T17:07:00"/>
    <s v="No"/>
    <m/>
    <s v="Customer Requested Refund"/>
    <n v="64.799999999930151"/>
  </r>
  <r>
    <s v="TCK-21783"/>
    <d v="2026-08-14T16:03:00"/>
    <x v="3"/>
    <s v="Talha Nadeem"/>
    <s v="Rawalpindi"/>
    <s v="Chat"/>
    <s v="Billing Issue"/>
    <s v="Low"/>
    <n v="48"/>
    <s v="Closed"/>
    <d v="2026-08-15T23:54:00"/>
    <s v="No"/>
    <n v="3"/>
    <s v="Not Specified"/>
    <n v="31.850000000093132"/>
  </r>
  <r>
    <s v="TCK-22794"/>
    <d v="2026-07-29T05:03:00"/>
    <x v="0"/>
    <s v="Rehan Qureshi"/>
    <s v="Lahore"/>
    <s v="Email"/>
    <s v="Account Access"/>
    <s v="Low"/>
    <n v="48"/>
    <s v="Resolved"/>
    <d v="2026-07-30T00:06:00"/>
    <s v="No"/>
    <n v="5"/>
    <s v="Not Specified"/>
    <n v="19.049999999930151"/>
  </r>
  <r>
    <s v="TCK-22331"/>
    <d v="2026-04-05T21:53:00"/>
    <x v="2"/>
    <s v="Bilal Chaudhry"/>
    <s v="Peshawar"/>
    <s v="Portal"/>
    <s v="Technical Issue"/>
    <s v="Medium"/>
    <n v="24"/>
    <s v="In Progress"/>
    <s v="Missing Resolve Date"/>
    <s v="No"/>
    <m/>
    <s v="Escalated To Senior Agent"/>
    <s v=""/>
  </r>
  <r>
    <s v="TCK-22432"/>
    <d v="2026-01-02T08:06:00"/>
    <x v="3"/>
    <s v="Iqra Basit"/>
    <s v="Multan"/>
    <s v="Phone"/>
    <s v="General Inquiry"/>
    <s v="Low"/>
    <n v="48"/>
    <s v="Re-Opened"/>
    <d v="2026-01-03T13:22:00"/>
    <s v="No"/>
    <m/>
    <s v="Not Specified"/>
    <n v="29.266666666546371"/>
  </r>
  <r>
    <s v="TCK-21536"/>
    <d v="2026-05-17T23:49:00"/>
    <x v="3"/>
    <s v="Talha Nadeem"/>
    <s v="Faisalabad"/>
    <s v="Chat"/>
    <s v="Delivery Delay"/>
    <s v="Low"/>
    <n v="48"/>
    <s v="Open"/>
    <s v="Missing Resolve Date"/>
    <s v="No"/>
    <m/>
    <s v="Resolved On First Contact"/>
    <s v=""/>
  </r>
  <r>
    <s v="TCK-21845"/>
    <d v="2026-03-08T14:43:00"/>
    <x v="2"/>
    <s v="Bilal Chaudhry"/>
    <s v="Islamabad"/>
    <s v="Email"/>
    <s v="Billing Issue"/>
    <s v="High"/>
    <n v="8"/>
    <s v="Open"/>
    <s v="Missing Resolve Date"/>
    <s v="Yes"/>
    <m/>
    <s v="Resolved On First Contact"/>
    <s v=""/>
  </r>
  <r>
    <s v="TCK-20660"/>
    <d v="2026-05-29T16:52:00"/>
    <x v="3"/>
    <s v="Talha Nadeem"/>
    <s v="Karachi"/>
    <s v="Phone"/>
    <s v="Technical Issue"/>
    <s v="Medium"/>
    <n v="24"/>
    <s v="Escalated"/>
    <s v="Missing Resolve Date"/>
    <s v="Yes"/>
    <m/>
    <s v="Required Follow-Up Call"/>
    <s v=""/>
  </r>
  <r>
    <s v="TCK-22410"/>
    <d v="2026-03-29T15:25:00"/>
    <x v="2"/>
    <s v="Bilal Chaudhry"/>
    <s v="Faisalabad"/>
    <s v="Portal"/>
    <s v="General Inquiry"/>
    <s v="High"/>
    <n v="8"/>
    <s v="Resolved"/>
    <d v="2026-03-29T19:55:00"/>
    <s v="No"/>
    <n v="4"/>
    <s v="Customer Satisfied With Resolution"/>
    <n v="4.5"/>
  </r>
  <r>
    <s v="TCK-20244"/>
    <d v="2026-03-01T22:31:00"/>
    <x v="0"/>
    <s v="Rehan Qureshi"/>
    <s v="Multan"/>
    <s v="Email"/>
    <s v="Billing Issue"/>
    <s v="Medium"/>
    <n v="24"/>
    <s v="In Progress"/>
    <s v="Missing Resolve Date"/>
    <s v="No"/>
    <m/>
    <s v="Escalated To Senior Agent"/>
    <s v=""/>
  </r>
  <r>
    <s v="TCK-22307"/>
    <d v="2026-02-06T05:13:00"/>
    <x v="3"/>
    <s v="Iqra Basit"/>
    <s v="Multan"/>
    <s v="Portal"/>
    <s v="Refund Request"/>
    <s v="Medium"/>
    <n v="24"/>
    <s v="Resolved"/>
    <d v="2026-02-06T08:01:00"/>
    <s v="No"/>
    <m/>
    <s v="Repeat Issue From Same Customer"/>
    <n v="2.7999999998719431"/>
  </r>
  <r>
    <s v="TCK-21824"/>
    <d v="2026-04-07T05:36:00"/>
    <x v="0"/>
    <s v="Sadia Anwar"/>
    <s v="Rawalpindi"/>
    <s v="Portal"/>
    <s v="Delivery Delay"/>
    <s v="Medium"/>
    <n v="24"/>
    <s v="Re-Opened"/>
    <d v="2026-04-07T10:51:00"/>
    <s v="No"/>
    <m/>
    <s v="Customer Requested Refund"/>
    <n v="5.25"/>
  </r>
  <r>
    <s v="TCK-22883"/>
    <d v="2026-03-19T22:18:00"/>
    <x v="3"/>
    <s v="Iqra Basit"/>
    <s v="Karachi"/>
    <s v="Email"/>
    <s v="Billing Issue"/>
    <s v="High"/>
    <n v="8"/>
    <s v="Resolved"/>
    <d v="2026-03-20T03:50:00"/>
    <s v="No"/>
    <n v="5"/>
    <s v="Required Follow-Up Call"/>
    <n v="5.533333333209157"/>
  </r>
  <r>
    <s v="TCK-20507"/>
    <d v="2026-04-18T14:40:00"/>
    <x v="0"/>
    <s v="Rehan Qureshi"/>
    <s v="Multan"/>
    <s v="Phone"/>
    <s v="Delivery Delay"/>
    <s v="Medium"/>
    <n v="24"/>
    <s v="Resolved"/>
    <d v="2026-04-19T03:07:00"/>
    <s v="No"/>
    <n v="4"/>
    <s v="Escalated To Senior Agent"/>
    <n v="12.450000000069849"/>
  </r>
  <r>
    <s v="TCK-22677"/>
    <d v="2026-03-06T20:06:00"/>
    <x v="1"/>
    <s v="Ayaan Khalid"/>
    <s v="Islamabad"/>
    <s v="Phone"/>
    <s v="Refund Request"/>
    <s v="Critical"/>
    <n v="4"/>
    <s v="Resolved"/>
    <d v="2026-03-06T22:44:00"/>
    <s v="Yes"/>
    <n v="4"/>
    <s v="Technical Issue Resolved Remotely"/>
    <n v="2.6333333333604969"/>
  </r>
  <r>
    <s v="TCK-20035"/>
    <d v="2026-04-06T05:04:00"/>
    <x v="2"/>
    <s v="Mahnoor Aslam"/>
    <s v="Rawalpindi"/>
    <s v="Phone"/>
    <s v="Account Access"/>
    <s v="High"/>
    <n v="8"/>
    <s v="Escalated"/>
    <s v="Missing Resolve Date"/>
    <s v="Yes"/>
    <m/>
    <s v="Resolved On First Contact"/>
    <s v=""/>
  </r>
  <r>
    <s v="TCK-21318"/>
    <d v="2026-02-09T01:07:00"/>
    <x v="2"/>
    <s v="Mahnoor Aslam"/>
    <s v="Lahore"/>
    <s v="Phone"/>
    <s v="Refund Request"/>
    <s v="High"/>
    <n v="8"/>
    <s v="Open"/>
    <s v="Missing Resolve Date"/>
    <s v="No"/>
    <m/>
    <s v="Not Specified"/>
    <s v=""/>
  </r>
  <r>
    <s v="TCK-21818"/>
    <d v="2026-02-04T10:12:00"/>
    <x v="2"/>
    <s v="Mahnoor Aslam"/>
    <s v="Islamabad"/>
    <s v="Phone"/>
    <s v="Technical Issue"/>
    <s v="High"/>
    <n v="8"/>
    <s v="Closed"/>
    <d v="2026-02-04T17:01:00"/>
    <s v="No"/>
    <m/>
    <s v="Not Specified"/>
    <n v="6.8166666665347293"/>
  </r>
  <r>
    <s v="TCK-21976"/>
    <d v="2026-02-15T03:53:00"/>
    <x v="3"/>
    <s v="Iqra Basit"/>
    <s v="Peshawar"/>
    <s v="Email"/>
    <s v="Billing Issue"/>
    <s v="Critical"/>
    <n v="4"/>
    <s v="Escalated"/>
    <s v="Missing Resolve Date"/>
    <s v="Yes"/>
    <m/>
    <s v="Awaiting Customer Response"/>
    <s v=""/>
  </r>
  <r>
    <s v="TCK-20372"/>
    <d v="2026-07-22T15:44:00"/>
    <x v="0"/>
    <s v="Sadia Anwar"/>
    <s v="Rawalpindi"/>
    <s v="Chat"/>
    <s v="Delivery Delay"/>
    <s v="High"/>
    <n v="8"/>
    <s v="Resolved"/>
    <d v="2026-07-22T22:34:00"/>
    <s v="No"/>
    <m/>
    <s v="Awaiting Customer Response"/>
    <n v="6.8333333334303461"/>
  </r>
  <r>
    <s v="TCK-20896"/>
    <d v="2026-02-03T07:29:00"/>
    <x v="1"/>
    <s v="Ayaan Khalid"/>
    <s v="Faisalabad"/>
    <s v="Portal"/>
    <s v="Delivery Delay"/>
    <s v="High"/>
    <n v="8"/>
    <s v="Resolved"/>
    <d v="2026-02-03T12:38:00"/>
    <s v="No"/>
    <n v="2"/>
    <s v="Repeat Issue From Same Customer"/>
    <n v="5.1500000000232831"/>
  </r>
  <r>
    <s v="TCK-22863"/>
    <d v="2026-07-31T14:25:00"/>
    <x v="0"/>
    <s v="Sadia Anwar"/>
    <s v="Multan"/>
    <s v="Phone"/>
    <s v="Account Access"/>
    <s v="Low"/>
    <n v="48"/>
    <s v="In Progress"/>
    <s v="Missing Resolve Date"/>
    <s v="No"/>
    <m/>
    <s v="Technical Issue Resolved Remotely"/>
    <s v=""/>
  </r>
  <r>
    <s v="TCK-20574"/>
    <d v="2026-01-17T13:37:00"/>
    <x v="3"/>
    <s v="Talha Nadeem"/>
    <s v="Peshawar"/>
    <s v="Email"/>
    <s v="Refund Request"/>
    <s v="Low"/>
    <n v="48"/>
    <s v="Open"/>
    <s v="Missing Resolve Date"/>
    <s v="No"/>
    <m/>
    <s v="Customer Requested Refund"/>
    <s v=""/>
  </r>
  <r>
    <s v="TCK-21159"/>
    <d v="2026-03-03T20:46:00"/>
    <x v="2"/>
    <s v="Bilal Chaudhry"/>
    <s v="Faisalabad"/>
    <s v="Chat"/>
    <s v="Refund Request"/>
    <s v="Critical"/>
    <n v="4"/>
    <s v="Resolved"/>
    <d v="2026-03-03T23:29:00"/>
    <s v="No"/>
    <m/>
    <s v="Repeat Issue From Same Customer"/>
    <n v="2.716666666790843"/>
  </r>
  <r>
    <s v="TCK-22075"/>
    <d v="2026-01-11T19:23:00"/>
    <x v="1"/>
    <s v="Ayaan Khalid"/>
    <s v="Lahore"/>
    <s v="Phone"/>
    <s v="Delivery Delay"/>
    <s v="Medium"/>
    <n v="24"/>
    <s v="Open"/>
    <s v="Missing Resolve Date"/>
    <s v="No"/>
    <m/>
    <s v="Not Specified"/>
    <s v=""/>
  </r>
  <r>
    <s v="TCK-20712"/>
    <d v="2026-02-21T16:32:00"/>
    <x v="2"/>
    <s v="Mahnoor Aslam"/>
    <s v="Lahore"/>
    <s v="Portal"/>
    <s v="Refund Request"/>
    <s v="Medium"/>
    <n v="24"/>
    <s v="Escalated"/>
    <s v="Missing Resolve Date"/>
    <s v="Yes"/>
    <m/>
    <s v="Customer Requested Refund"/>
    <s v=""/>
  </r>
  <r>
    <s v="TCK-21657"/>
    <d v="2026-05-01T08:21:00"/>
    <x v="1"/>
    <s v="Zara Hussain"/>
    <s v="Peshawar"/>
    <s v="Portal"/>
    <s v="Refund Request"/>
    <s v="Medium"/>
    <n v="24"/>
    <s v="Resolved"/>
    <d v="2026-05-01T19:53:00"/>
    <s v="No"/>
    <m/>
    <s v="Not Specified"/>
    <n v="11.53333333338378"/>
  </r>
  <r>
    <s v="TCK-21618"/>
    <d v="2026-08-24T01:16:00"/>
    <x v="3"/>
    <s v="Iqra Basit"/>
    <s v="Peshawar"/>
    <s v="Phone"/>
    <s v="Technical Issue"/>
    <s v="Low"/>
    <n v="48"/>
    <s v="Resolved"/>
    <d v="2026-08-24T13:02:00"/>
    <s v="No"/>
    <m/>
    <s v="Customer Satisfied With Resolution"/>
    <n v="11.766666666779201"/>
  </r>
  <r>
    <s v="TCK-20064"/>
    <d v="2026-04-22T11:23:00"/>
    <x v="1"/>
    <s v="Zara Hussain"/>
    <s v="Peshawar"/>
    <s v="Chat"/>
    <s v="Technical Issue"/>
    <s v="Medium"/>
    <n v="24"/>
    <s v="Re-Opened"/>
    <d v="2026-04-23T08:54:00"/>
    <s v="No"/>
    <m/>
    <s v="Required Follow-Up Call"/>
    <n v="21.516666666604578"/>
  </r>
  <r>
    <s v="TCK-20581"/>
    <d v="2026-03-15T03:14:00"/>
    <x v="1"/>
    <s v="Ayaan Khalid"/>
    <s v="Faisalabad"/>
    <s v="Portal"/>
    <s v="Refund Request"/>
    <s v="Medium"/>
    <n v="24"/>
    <s v="Escalated"/>
    <s v="Missing Resolve Date"/>
    <s v="Yes"/>
    <m/>
    <s v="Not Specified"/>
    <s v=""/>
  </r>
  <r>
    <s v="TCK-22918"/>
    <d v="2026-04-04T19:04:00"/>
    <x v="0"/>
    <s v="Rehan Qureshi"/>
    <s v="Karachi"/>
    <s v="Chat"/>
    <s v="Account Access"/>
    <s v="Medium"/>
    <n v="24"/>
    <s v="In Progress"/>
    <s v="Missing Resolve Date"/>
    <s v="No"/>
    <m/>
    <s v="Resolved On First Contact"/>
    <s v=""/>
  </r>
  <r>
    <s v="TCK-20559"/>
    <d v="2026-03-08T02:57:00"/>
    <x v="0"/>
    <s v="Rehan Qureshi"/>
    <s v="Faisalabad"/>
    <s v="Phone"/>
    <s v="Billing Issue"/>
    <s v="Medium"/>
    <n v="24"/>
    <s v="Re-Opened"/>
    <d v="2026-03-08T10:40:00"/>
    <s v="No"/>
    <m/>
    <s v="Resolved On First Contact"/>
    <n v="7.7166666666744277"/>
  </r>
  <r>
    <s v="TCK-20668"/>
    <d v="2026-01-04T23:51:00"/>
    <x v="0"/>
    <s v="Sadia Anwar"/>
    <s v="Faisalabad"/>
    <s v="Phone"/>
    <s v="Refund Request"/>
    <s v="Medium"/>
    <n v="24"/>
    <s v="Closed"/>
    <d v="2026-01-05T04:05:00"/>
    <s v="No"/>
    <n v="1"/>
    <s v="Customer Requested Refund"/>
    <n v="4.2333333333372138"/>
  </r>
  <r>
    <s v="TCK-23053"/>
    <d v="2026-05-22T08:40:00"/>
    <x v="2"/>
    <s v="Bilal Chaudhry"/>
    <s v="Karachi"/>
    <s v="Email"/>
    <s v="Billing Issue"/>
    <s v="High"/>
    <n v="8"/>
    <s v="Open"/>
    <s v="Missing Resolve Date"/>
    <s v="No"/>
    <m/>
    <s v="Technical Issue Resolved Remotely"/>
    <s v=""/>
  </r>
  <r>
    <s v="TCK-20755"/>
    <d v="2026-07-10T11:19:00"/>
    <x v="1"/>
    <s v="Zara Hussain"/>
    <s v="Rawalpindi"/>
    <s v="Phone"/>
    <s v="Delivery Delay"/>
    <s v="Medium"/>
    <n v="24"/>
    <s v="Resolved"/>
    <d v="2026-07-10T12:07:00"/>
    <s v="No"/>
    <m/>
    <s v="Customer Requested Refund"/>
    <n v="0.79999999998835847"/>
  </r>
  <r>
    <s v="TCK-20853"/>
    <d v="2026-01-16T17:59:00"/>
    <x v="2"/>
    <s v="Mahnoor Aslam"/>
    <s v="Faisalabad"/>
    <s v="Portal"/>
    <s v="Account Access"/>
    <s v="Low"/>
    <n v="48"/>
    <s v="In Progress"/>
    <s v="Missing Resolve Date"/>
    <s v="No"/>
    <m/>
    <s v="Awaiting Customer Response"/>
    <s v=""/>
  </r>
  <r>
    <s v="TCK-22193"/>
    <d v="2026-05-24T19:42:00"/>
    <x v="0"/>
    <s v="Sadia Anwar"/>
    <s v="Islamabad"/>
    <s v="Email"/>
    <s v="General Inquiry"/>
    <s v="High"/>
    <n v="8"/>
    <s v="Open"/>
    <s v="Missing Resolve Date"/>
    <s v="No"/>
    <m/>
    <s v="Repeat Issue From Same Customer"/>
    <s v=""/>
  </r>
  <r>
    <s v="TCK-22646"/>
    <d v="2026-04-14T07:26:00"/>
    <x v="0"/>
    <s v="Rehan Qureshi"/>
    <s v="Islamabad"/>
    <s v="Phone"/>
    <s v="General Inquiry"/>
    <s v="High"/>
    <n v="8"/>
    <s v="Closed"/>
    <d v="2026-04-14T13:16:00"/>
    <s v="No"/>
    <m/>
    <s v="Required Follow-Up Call"/>
    <n v="5.8333333333139308"/>
  </r>
  <r>
    <s v="TCK-22600"/>
    <d v="2026-06-12T18:47:00"/>
    <x v="1"/>
    <s v="Zara Hussain"/>
    <s v="Multan"/>
    <s v="Email"/>
    <s v="Refund Request"/>
    <s v="Low"/>
    <n v="48"/>
    <s v="Resolved"/>
    <d v="2026-06-13T16:15:00"/>
    <s v="No"/>
    <n v="3"/>
    <s v="Not Specified"/>
    <n v="21.466666666790843"/>
  </r>
  <r>
    <s v="TCK-22131"/>
    <d v="2026-04-02T16:15:00"/>
    <x v="2"/>
    <s v="Mahnoor Aslam"/>
    <s v="Karachi"/>
    <s v="Portal"/>
    <s v="Technical Issue"/>
    <s v="Low"/>
    <n v="48"/>
    <s v="Resolved"/>
    <d v="2026-04-03T17:09:00"/>
    <s v="No"/>
    <n v="3"/>
    <s v="Awaiting Customer Response"/>
    <n v="24.899999999965075"/>
  </r>
  <r>
    <s v="TCK-20745"/>
    <d v="2026-02-26T11:03:00"/>
    <x v="1"/>
    <s v="Zara Hussain"/>
    <s v="Multan"/>
    <s v="Email"/>
    <s v="Account Access"/>
    <s v="High"/>
    <n v="8"/>
    <s v="In Progress"/>
    <s v="Missing Resolve Date"/>
    <s v="No"/>
    <m/>
    <s v="Not Specified"/>
    <s v=""/>
  </r>
  <r>
    <s v="TCK-21669"/>
    <d v="2026-06-12T12:04:00"/>
    <x v="0"/>
    <s v="Rehan Qureshi"/>
    <s v="Multan"/>
    <s v="Portal"/>
    <s v="Billing Issue"/>
    <s v="Low"/>
    <n v="48"/>
    <s v="Open"/>
    <s v="Missing Resolve Date"/>
    <s v="No"/>
    <m/>
    <s v="Customer Requested Refund"/>
    <s v=""/>
  </r>
  <r>
    <s v="TCK-22686"/>
    <d v="2026-03-17T14:40:00"/>
    <x v="3"/>
    <s v="Iqra Basit"/>
    <s v="Faisalabad"/>
    <s v="Portal"/>
    <s v="Delivery Delay"/>
    <s v="Medium"/>
    <n v="24"/>
    <s v="In Progress"/>
    <s v="Missing Resolve Date"/>
    <s v="No"/>
    <m/>
    <s v="Required Follow-Up Call"/>
    <s v=""/>
  </r>
  <r>
    <s v="TCK-22109"/>
    <d v="2026-03-23T05:53:00"/>
    <x v="3"/>
    <s v="Iqra Basit"/>
    <s v="Faisalabad"/>
    <s v="Chat"/>
    <s v="Delivery Delay"/>
    <s v="High"/>
    <n v="8"/>
    <s v="Resolved"/>
    <d v="2026-03-24T03:42:00"/>
    <s v="Yes"/>
    <m/>
    <s v="Not Specified"/>
    <n v="21.816666666709352"/>
  </r>
  <r>
    <s v="TCK-20446"/>
    <d v="2026-08-11T23:03:00"/>
    <x v="1"/>
    <s v="Zara Hussain"/>
    <s v="Karachi"/>
    <s v="Email"/>
    <s v="Refund Request"/>
    <s v="Medium"/>
    <n v="24"/>
    <s v="Resolved"/>
    <d v="2026-08-12T05:04:00"/>
    <s v="No"/>
    <m/>
    <s v="Customer Satisfied With Resolution"/>
    <n v="6.0166666665463708"/>
  </r>
  <r>
    <s v="TCK-20067"/>
    <d v="2026-08-07T08:06:00"/>
    <x v="1"/>
    <s v="Zara Hussain"/>
    <s v="Lahore"/>
    <s v="Phone"/>
    <s v="Technical Issue"/>
    <s v="High"/>
    <n v="8"/>
    <s v="Re-Opened"/>
    <d v="2026-08-07T14:58:00"/>
    <s v="No"/>
    <m/>
    <s v="Awaiting Customer Response"/>
    <n v="6.8666666666977108"/>
  </r>
  <r>
    <s v="TCK-21436"/>
    <d v="2026-01-13T14:23:00"/>
    <x v="1"/>
    <s v="Zara Hussain"/>
    <s v="Islamabad"/>
    <s v="Phone"/>
    <s v="Refund Request"/>
    <s v="Critical"/>
    <n v="4"/>
    <s v="Resolved"/>
    <d v="2026-01-13T20:25:00"/>
    <s v="No"/>
    <m/>
    <s v="Repeat Issue From Same Customer"/>
    <n v="6.0333333332673647"/>
  </r>
  <r>
    <s v="TCK-22588"/>
    <d v="2026-05-13T00:40:00"/>
    <x v="0"/>
    <s v="Rehan Qureshi"/>
    <s v="Islamabad"/>
    <s v="Chat"/>
    <s v="Refund Request"/>
    <s v="Low"/>
    <n v="48"/>
    <s v="Closed"/>
    <d v="2026-05-14T17:45:00"/>
    <s v="No"/>
    <n v="4"/>
    <s v="Technical Issue Resolved Remotely"/>
    <n v="41.083333333313931"/>
  </r>
  <r>
    <s v="TCK-21789"/>
    <d v="2026-01-11T12:55:00"/>
    <x v="1"/>
    <s v="Ayaan Khalid"/>
    <s v="Multan"/>
    <s v="Chat"/>
    <s v="Delivery Delay"/>
    <s v="Medium"/>
    <n v="24"/>
    <s v="Closed"/>
    <d v="2026-01-12T10:09:00"/>
    <s v="No"/>
    <n v="3"/>
    <s v="Resolved On First Contact"/>
    <n v="21.233333333395422"/>
  </r>
  <r>
    <s v="TCK-22352"/>
    <d v="2026-01-02T13:57:00"/>
    <x v="0"/>
    <s v="Sadia Anwar"/>
    <s v="Islamabad"/>
    <s v="Chat"/>
    <s v="Refund Request"/>
    <s v="Low"/>
    <n v="48"/>
    <s v="Resolved"/>
    <d v="2026-01-07T08:39:00"/>
    <s v="No"/>
    <n v="5"/>
    <s v="Customer Satisfied With Resolution"/>
    <n v="114.70000000001164"/>
  </r>
  <r>
    <s v="TCK-20174"/>
    <d v="2026-04-13T09:40:00"/>
    <x v="2"/>
    <s v="Mahnoor Aslam"/>
    <s v="Peshawar"/>
    <s v="Phone"/>
    <s v="Technical Issue"/>
    <s v="Medium"/>
    <n v="24"/>
    <s v="Resolved"/>
    <s v="Missing Resolve Date"/>
    <s v="No"/>
    <n v="2"/>
    <s v="Repeat Issue From Same Customer"/>
    <s v=""/>
  </r>
  <r>
    <s v="TCK-23185"/>
    <d v="2026-06-03T02:58:00"/>
    <x v="0"/>
    <s v="Sadia Anwar"/>
    <s v="Karachi"/>
    <s v="Chat"/>
    <s v="Refund Request"/>
    <s v="Medium"/>
    <n v="24"/>
    <s v="Closed"/>
    <d v="2026-06-04T07:01:00"/>
    <s v="No"/>
    <n v="4"/>
    <s v="Awaiting Customer Response"/>
    <n v="28.049999999930151"/>
  </r>
  <r>
    <s v="TCK-21247"/>
    <d v="2026-07-27T18:59:00"/>
    <x v="3"/>
    <s v="Iqra Basit"/>
    <s v="Multan"/>
    <s v="Phone"/>
    <s v="Billing Issue"/>
    <s v="Low"/>
    <n v="48"/>
    <s v="Closed"/>
    <d v="2026-07-28T04:35:00"/>
    <s v="No"/>
    <n v="3"/>
    <s v="Customer Satisfied With Resolution"/>
    <n v="9.5999999998603016"/>
  </r>
  <r>
    <s v="TCK-20488"/>
    <d v="2026-07-29T00:44:00"/>
    <x v="3"/>
    <s v="Iqra Basit"/>
    <s v="Islamabad"/>
    <s v="Email"/>
    <s v="Technical Issue"/>
    <s v="High"/>
    <n v="8"/>
    <s v="Open"/>
    <s v="Missing Resolve Date"/>
    <s v="Yes"/>
    <m/>
    <s v="Not Specified"/>
    <s v=""/>
  </r>
  <r>
    <s v="TCK-21346"/>
    <d v="2026-05-22T00:08:00"/>
    <x v="1"/>
    <s v="Ayaan Khalid"/>
    <s v="Peshawar"/>
    <s v="Portal"/>
    <s v="Delivery Delay"/>
    <s v="Medium"/>
    <n v="24"/>
    <s v="Escalated"/>
    <s v="Missing Resolve Date"/>
    <s v="Yes"/>
    <m/>
    <s v="Not Specified"/>
    <s v=""/>
  </r>
  <r>
    <s v="TCK-20587"/>
    <d v="2026-06-12T17:45:00"/>
    <x v="3"/>
    <s v="Talha Nadeem"/>
    <s v="Lahore"/>
    <s v="Phone"/>
    <s v="Account Access"/>
    <s v="Medium"/>
    <n v="24"/>
    <s v="Resolved"/>
    <d v="2026-06-13T04:48:00"/>
    <s v="No"/>
    <n v="4"/>
    <s v="Not Specified"/>
    <n v="11.049999999871943"/>
  </r>
  <r>
    <s v="TCK-21684"/>
    <d v="2026-04-04T06:01:00"/>
    <x v="1"/>
    <s v="Ayaan Khalid"/>
    <s v="Faisalabad"/>
    <s v="Phone"/>
    <s v="General Inquiry"/>
    <s v="Medium"/>
    <n v="24"/>
    <s v="Resolved"/>
    <d v="2026-04-04T19:17:00"/>
    <s v="No"/>
    <n v="1"/>
    <s v="Not Specified"/>
    <n v="13.266666666604578"/>
  </r>
  <r>
    <s v="TCK-21578"/>
    <d v="2026-01-02T14:14:00"/>
    <x v="2"/>
    <s v="Bilal Chaudhry"/>
    <s v="Faisalabad"/>
    <s v="Email"/>
    <s v="Refund Request"/>
    <s v="Medium"/>
    <n v="24"/>
    <s v="In Progress"/>
    <s v="Missing Resolve Date"/>
    <s v="No"/>
    <m/>
    <s v="Resolved On First Contact"/>
    <s v=""/>
  </r>
  <r>
    <s v="TCK-22824"/>
    <d v="2026-08-03T01:37:00"/>
    <x v="2"/>
    <s v="Mahnoor Aslam"/>
    <s v="Multan"/>
    <s v="Email"/>
    <s v="General Inquiry"/>
    <s v="Medium"/>
    <n v="24"/>
    <s v="Resolved"/>
    <d v="2026-08-05T05:19:00"/>
    <s v="No"/>
    <n v="5"/>
    <s v="Repeat Issue From Same Customer"/>
    <n v="51.700000000011642"/>
  </r>
  <r>
    <s v="TCK-22081"/>
    <d v="2026-02-14T18:20:00"/>
    <x v="0"/>
    <s v="Rehan Qureshi"/>
    <s v="Karachi"/>
    <s v="Chat"/>
    <s v="Refund Request"/>
    <s v="Medium"/>
    <n v="24"/>
    <s v="Resolved"/>
    <d v="2026-02-14T23:26:00"/>
    <s v="No"/>
    <n v="5"/>
    <s v="Awaiting Customer Response"/>
    <n v="5.1000000000349246"/>
  </r>
  <r>
    <s v="TCK-20788"/>
    <d v="2026-01-19T10:10:00"/>
    <x v="1"/>
    <s v="Ayaan Khalid"/>
    <s v="Multan"/>
    <s v="Portal"/>
    <s v="Refund Request"/>
    <s v="Medium"/>
    <n v="24"/>
    <s v="Resolved"/>
    <s v="Missing Resolve Date"/>
    <s v="No"/>
    <m/>
    <s v="Not Specified"/>
    <s v=""/>
  </r>
  <r>
    <s v="TCK-20195"/>
    <d v="2026-03-02T18:55:00"/>
    <x v="1"/>
    <s v="Zara Hussain"/>
    <s v="Karachi"/>
    <s v="Email"/>
    <s v="Account Access"/>
    <s v="Medium"/>
    <n v="24"/>
    <s v="In Progress"/>
    <s v="Missing Resolve Date"/>
    <s v="No"/>
    <m/>
    <s v="Not Specified"/>
    <s v=""/>
  </r>
  <r>
    <s v="TCK-21523"/>
    <d v="2026-03-22T10:02:00"/>
    <x v="0"/>
    <s v="Sadia Anwar"/>
    <s v="Islamabad"/>
    <s v="Phone"/>
    <s v="Technical Issue"/>
    <s v="Low"/>
    <n v="48"/>
    <s v="Resolved"/>
    <d v="2026-03-24T00:45:00"/>
    <s v="No"/>
    <n v="5"/>
    <s v="Technical Issue Resolved Remotely"/>
    <n v="38.71666666661622"/>
  </r>
  <r>
    <s v="TCK-22366"/>
    <d v="2026-03-13T19:31:00"/>
    <x v="1"/>
    <s v="Ayaan Khalid"/>
    <s v="Rawalpindi"/>
    <s v="Portal"/>
    <s v="General Inquiry"/>
    <s v="Medium"/>
    <n v="24"/>
    <s v="Closed"/>
    <d v="2026-03-14T11:39:00"/>
    <s v="No"/>
    <n v="4"/>
    <s v="Customer Requested Refund"/>
    <n v="16.133333333360497"/>
  </r>
  <r>
    <s v="TCK-22253"/>
    <d v="2026-04-30T23:03:00"/>
    <x v="3"/>
    <s v="Iqra Basit"/>
    <s v="Islamabad"/>
    <s v="Email"/>
    <s v="Billing Issue"/>
    <s v="Low"/>
    <n v="48"/>
    <s v="Resolved"/>
    <d v="2026-05-03T21:09:00"/>
    <s v="No"/>
    <n v="3"/>
    <s v="Customer Requested Refund"/>
    <n v="70.099999999918509"/>
  </r>
  <r>
    <s v="TCK-22541"/>
    <d v="2026-05-08T21:23:00"/>
    <x v="2"/>
    <s v="Bilal Chaudhry"/>
    <s v="Islamabad"/>
    <s v="Portal"/>
    <s v="General Inquiry"/>
    <s v="Low"/>
    <n v="48"/>
    <s v="Resolved"/>
    <d v="2026-05-10T08:50:00"/>
    <s v="No"/>
    <n v="5"/>
    <s v="Customer Satisfied With Resolution"/>
    <n v="35.449999999953434"/>
  </r>
  <r>
    <s v="TCK-22471"/>
    <d v="2026-02-28T21:01:00"/>
    <x v="1"/>
    <s v="Ayaan Khalid"/>
    <s v="Faisalabad"/>
    <s v="Email"/>
    <s v="Delivery Delay"/>
    <s v="High"/>
    <n v="8"/>
    <s v="Resolved"/>
    <d v="2026-03-01T02:29:00"/>
    <s v="Yes"/>
    <n v="5"/>
    <s v="Not Specified"/>
    <n v="5.4666666666744277"/>
  </r>
  <r>
    <s v="TCK-21919"/>
    <d v="2026-06-07T10:14:00"/>
    <x v="3"/>
    <s v="Iqra Basit"/>
    <s v="Islamabad"/>
    <s v="Email"/>
    <s v="Technical Issue"/>
    <s v="Medium"/>
    <n v="24"/>
    <s v="Closed"/>
    <d v="2026-06-07T12:58:00"/>
    <s v="No"/>
    <m/>
    <s v="Not Specified"/>
    <n v="2.7333333333372138"/>
  </r>
  <r>
    <s v="TCK-20018"/>
    <d v="2026-05-16T08:17:00"/>
    <x v="0"/>
    <s v="Rehan Qureshi"/>
    <s v="Faisalabad"/>
    <s v="Portal"/>
    <s v="Technical Issue"/>
    <s v="Medium"/>
    <n v="24"/>
    <s v="Resolved"/>
    <d v="2026-05-16T14:08:00"/>
    <s v="No"/>
    <n v="4"/>
    <s v="Resolved On First Contact"/>
    <n v="5.8500000000349246"/>
  </r>
  <r>
    <s v="TCK-20670"/>
    <d v="2026-03-01T08:27:00"/>
    <x v="1"/>
    <s v="Ayaan Khalid"/>
    <s v="Lahore"/>
    <s v="Portal"/>
    <s v="Delivery Delay"/>
    <s v="Medium"/>
    <n v="24"/>
    <s v="Closed"/>
    <d v="2026-03-02T00:58:00"/>
    <s v="No"/>
    <n v="5"/>
    <s v="Resolved On First Contact"/>
    <n v="16.516666666720994"/>
  </r>
  <r>
    <s v="TCK-20572"/>
    <d v="2026-04-08T06:10:00"/>
    <x v="2"/>
    <s v="Mahnoor Aslam"/>
    <s v="Rawalpindi"/>
    <s v="Email"/>
    <s v="Billing Issue"/>
    <s v="Medium"/>
    <n v="24"/>
    <s v="Closed"/>
    <d v="2026-04-11T04:40:00"/>
    <s v="No"/>
    <n v="4"/>
    <s v="Not Specified"/>
    <n v="70.5"/>
  </r>
  <r>
    <s v="TCK-23004"/>
    <d v="2026-07-15T14:32:00"/>
    <x v="0"/>
    <s v="Sadia Anwar"/>
    <s v="Karachi"/>
    <s v="Phone"/>
    <s v="Billing Issue"/>
    <s v="Medium"/>
    <n v="24"/>
    <s v="Resolved"/>
    <d v="2026-07-16T06:34:00"/>
    <s v="No"/>
    <n v="5"/>
    <s v="Not Specified"/>
    <n v="16.033333333209157"/>
  </r>
  <r>
    <s v="TCK-22350"/>
    <d v="2026-08-12T09:09:00"/>
    <x v="3"/>
    <s v="Talha Nadeem"/>
    <s v="Rawalpindi"/>
    <s v="Email"/>
    <s v="General Inquiry"/>
    <s v="Medium"/>
    <n v="24"/>
    <s v="Escalated"/>
    <s v="Missing Resolve Date"/>
    <s v="Yes"/>
    <m/>
    <s v="Not Specified"/>
    <s v=""/>
  </r>
  <r>
    <s v="TCK-22060"/>
    <d v="2026-07-20T17:17:00"/>
    <x v="3"/>
    <s v="Iqra Basit"/>
    <s v="Peshawar"/>
    <s v="Chat"/>
    <s v="Technical Issue"/>
    <s v="Low"/>
    <n v="48"/>
    <s v="Closed"/>
    <d v="2026-07-23T04:29:00"/>
    <s v="No"/>
    <n v="4"/>
    <s v="Not Specified"/>
    <n v="59.200000000011642"/>
  </r>
  <r>
    <s v="TCK-22627"/>
    <d v="2026-05-31T11:35:00"/>
    <x v="3"/>
    <s v="Iqra Basit"/>
    <s v="Karachi"/>
    <s v="Portal"/>
    <s v="Delivery Delay"/>
    <s v="Medium"/>
    <n v="24"/>
    <s v="Closed"/>
    <d v="2026-06-01T01:36:00"/>
    <s v="No"/>
    <n v="5"/>
    <s v="Resolved On First Contact"/>
    <n v="14.016666666604578"/>
  </r>
  <r>
    <s v="TCK-22556"/>
    <d v="2026-06-30T13:08:00"/>
    <x v="3"/>
    <s v="Iqra Basit"/>
    <s v="Multan"/>
    <s v="Portal"/>
    <s v="Refund Request"/>
    <s v="Medium"/>
    <n v="24"/>
    <s v="Escalated"/>
    <s v="Missing Resolve Date"/>
    <s v="Yes"/>
    <m/>
    <s v="Required Follow-Up Call"/>
    <s v=""/>
  </r>
  <r>
    <s v="TCK-21384"/>
    <d v="2026-01-22T00:36:00"/>
    <x v="3"/>
    <s v="Iqra Basit"/>
    <s v="Islamabad"/>
    <s v="Portal"/>
    <s v="Delivery Delay"/>
    <s v="Low"/>
    <n v="48"/>
    <s v="Escalated"/>
    <s v="Missing Resolve Date"/>
    <s v="Yes"/>
    <m/>
    <s v="Technical Issue Resolved Remotely"/>
    <s v=""/>
  </r>
  <r>
    <s v="TCK-22339"/>
    <d v="2026-08-21T04:12:00"/>
    <x v="1"/>
    <s v="Zara Hussain"/>
    <s v="Multan"/>
    <s v="Phone"/>
    <s v="Refund Request"/>
    <s v="Medium"/>
    <n v="24"/>
    <s v="Re-Opened"/>
    <s v="Missing Resolve Date"/>
    <s v="No"/>
    <m/>
    <s v="Not Specified"/>
    <s v=""/>
  </r>
  <r>
    <s v="TCK-22845"/>
    <d v="2026-05-10T18:47:00"/>
    <x v="2"/>
    <s v="Bilal Chaudhry"/>
    <s v="Lahore"/>
    <s v="Email"/>
    <s v="General Inquiry"/>
    <s v="Medium"/>
    <n v="24"/>
    <s v="Closed"/>
    <d v="2026-05-11T12:09:00"/>
    <s v="No"/>
    <n v="4"/>
    <s v="Technical Issue Resolved Remotely"/>
    <n v="17.366666666697711"/>
  </r>
  <r>
    <s v="TCK-21103"/>
    <d v="2026-03-02T08:08:00"/>
    <x v="1"/>
    <s v="Zara Hussain"/>
    <s v="Karachi"/>
    <s v="Chat"/>
    <s v="Refund Request"/>
    <s v="Critical"/>
    <n v="4"/>
    <s v="Escalated"/>
    <s v="Missing Resolve Date"/>
    <s v="Yes"/>
    <m/>
    <s v="Not Specified"/>
    <s v=""/>
  </r>
  <r>
    <s v="TCK-21172"/>
    <d v="2026-03-06T20:41:00"/>
    <x v="1"/>
    <s v="Zara Hussain"/>
    <s v="Not Specified"/>
    <s v="Portal"/>
    <s v="Account Access"/>
    <s v="Low"/>
    <n v="48"/>
    <s v="Resolved"/>
    <d v="2026-03-10T08:08:00"/>
    <s v="No"/>
    <n v="4"/>
    <s v="Escalated To Senior Agent"/>
    <n v="83.449999999953434"/>
  </r>
  <r>
    <s v="TCK-21121"/>
    <d v="2026-05-23T12:44:00"/>
    <x v="3"/>
    <s v="Iqra Basit"/>
    <s v="Lahore"/>
    <s v="Portal"/>
    <s v="Technical Issue"/>
    <s v="Medium"/>
    <n v="24"/>
    <s v="Closed"/>
    <d v="2026-05-24T00:45:00"/>
    <s v="No"/>
    <n v="3"/>
    <s v="Not Specified"/>
    <n v="12.016666666720994"/>
  </r>
  <r>
    <s v="TCK-20283"/>
    <d v="2026-06-10T11:20:00"/>
    <x v="0"/>
    <s v="Rehan Qureshi"/>
    <s v="Peshawar"/>
    <s v="Phone"/>
    <s v="General Inquiry"/>
    <s v="Medium"/>
    <n v="24"/>
    <s v="Closed"/>
    <d v="2026-06-11T00:00:00"/>
    <s v="No"/>
    <n v="1"/>
    <s v="Resolved On First Contact"/>
    <n v="12.666666666744277"/>
  </r>
  <r>
    <s v="TCK-20150"/>
    <d v="2026-03-18T12:16:00"/>
    <x v="1"/>
    <s v="Ayaan Khalid"/>
    <s v="Peshawar"/>
    <s v="Phone"/>
    <s v="Technical Issue"/>
    <s v="Medium"/>
    <n v="24"/>
    <s v="Resolved"/>
    <d v="2026-03-18T17:10:00"/>
    <s v="No"/>
    <m/>
    <s v="Resolved On First Contact"/>
    <n v="4.9000000000814907"/>
  </r>
  <r>
    <s v="TCK-21534"/>
    <d v="2026-04-06T05:47:00"/>
    <x v="1"/>
    <s v="Ayaan Khalid"/>
    <s v="Faisalabad"/>
    <s v="Phone"/>
    <s v="General Inquiry"/>
    <s v="Medium"/>
    <n v="24"/>
    <s v="Escalated"/>
    <s v="Missing Resolve Date"/>
    <s v="Yes"/>
    <m/>
    <s v="Awaiting Customer Response"/>
    <s v=""/>
  </r>
  <r>
    <s v="TCK-22260"/>
    <d v="2026-08-05T16:41:00"/>
    <x v="2"/>
    <s v="Bilal Chaudhry"/>
    <s v="Islamabad"/>
    <s v="Chat"/>
    <s v="Refund Request"/>
    <s v="Critical"/>
    <n v="4"/>
    <s v="Escalated"/>
    <s v="Missing Resolve Date"/>
    <s v="Yes"/>
    <m/>
    <s v="Customer Requested Refund"/>
    <s v=""/>
  </r>
  <r>
    <s v="TCK-22284"/>
    <d v="2026-04-05T07:50:00"/>
    <x v="2"/>
    <s v="Bilal Chaudhry"/>
    <s v="Peshawar"/>
    <s v="Email"/>
    <s v="Delivery Delay"/>
    <s v="High"/>
    <n v="8"/>
    <s v="Resolved"/>
    <d v="2026-04-05T11:33:00"/>
    <s v="No"/>
    <n v="1"/>
    <s v="Not Specified"/>
    <n v="3.7166666665580124"/>
  </r>
  <r>
    <s v="TCK-20286"/>
    <d v="2026-08-29T00:50:00"/>
    <x v="2"/>
    <s v="Bilal Chaudhry"/>
    <s v="Peshawar"/>
    <s v="Phone"/>
    <s v="Billing Issue"/>
    <s v="Medium"/>
    <n v="24"/>
    <s v="Resolved"/>
    <d v="2026-08-29T18:50:00"/>
    <s v="No"/>
    <n v="2"/>
    <s v="Repeat Issue From Same Customer"/>
    <n v="18"/>
  </r>
  <r>
    <s v="TCK-21678"/>
    <d v="2026-01-17T09:28:00"/>
    <x v="2"/>
    <s v="Mahnoor Aslam"/>
    <s v="Karachi"/>
    <s v="Email"/>
    <s v="Account Access"/>
    <s v="Low"/>
    <n v="48"/>
    <s v="Closed"/>
    <d v="2026-01-18T20:18:00"/>
    <s v="No"/>
    <n v="3"/>
    <s v="Resolved On First Contact"/>
    <n v="34.833333333372138"/>
  </r>
  <r>
    <s v="TCK-22210"/>
    <d v="2026-07-03T16:12:00"/>
    <x v="0"/>
    <s v="Sadia Anwar"/>
    <s v="Karachi"/>
    <s v="Chat"/>
    <s v="Technical Issue"/>
    <s v="High"/>
    <n v="8"/>
    <s v="In Progress"/>
    <s v="Missing Resolve Date"/>
    <s v="No"/>
    <m/>
    <s v="Not Specified"/>
    <s v=""/>
  </r>
  <r>
    <s v="TCK-21626"/>
    <d v="2026-06-21T08:24:00"/>
    <x v="3"/>
    <s v="Iqra Basit"/>
    <s v="Peshawar"/>
    <s v="Portal"/>
    <s v="Technical Issue"/>
    <s v="Critical"/>
    <n v="4"/>
    <s v="Resolved"/>
    <d v="2026-06-21T12:51:00"/>
    <s v="No"/>
    <n v="2"/>
    <s v="Not Specified"/>
    <n v="4.4500000000116415"/>
  </r>
  <r>
    <s v="TCK-20024"/>
    <d v="2026-03-05T02:35:00"/>
    <x v="0"/>
    <s v="Sadia Anwar"/>
    <s v="Multan"/>
    <s v="Phone"/>
    <s v="Delivery Delay"/>
    <s v="Medium"/>
    <n v="24"/>
    <s v="Resolved"/>
    <d v="2026-03-05T21:57:00"/>
    <s v="No"/>
    <n v="4"/>
    <s v="Customer Requested Refund"/>
    <n v="19.366666666581295"/>
  </r>
  <r>
    <s v="TCK-21858"/>
    <d v="2026-05-30T14:40:00"/>
    <x v="2"/>
    <s v="Mahnoor Aslam"/>
    <s v="Karachi"/>
    <s v="Email"/>
    <s v="Billing Issue"/>
    <s v="Critical"/>
    <n v="4"/>
    <s v="Closed"/>
    <d v="2026-05-30T23:33:00"/>
    <s v="No"/>
    <m/>
    <s v="Escalated To Senior Agent"/>
    <n v="8.8833333333022892"/>
  </r>
  <r>
    <s v="TCK-21964"/>
    <d v="2026-06-06T16:39:00"/>
    <x v="2"/>
    <s v="Bilal Chaudhry"/>
    <s v="Karachi"/>
    <s v="Phone"/>
    <s v="Billing Issue"/>
    <s v="Medium"/>
    <n v="24"/>
    <s v="Re-Opened"/>
    <d v="2026-06-06T23:38:00"/>
    <s v="No"/>
    <m/>
    <s v="Customer Requested Refund"/>
    <n v="6.9833333333954215"/>
  </r>
  <r>
    <s v="TCK-21189"/>
    <d v="2026-05-25T16:28:00"/>
    <x v="2"/>
    <s v="Mahnoor Aslam"/>
    <s v="Rawalpindi"/>
    <s v="Phone"/>
    <s v="Account Access"/>
    <s v="High"/>
    <n v="8"/>
    <s v="Closed"/>
    <d v="2026-05-25T19:39:00"/>
    <s v="No"/>
    <n v="5"/>
    <s v="Not Specified"/>
    <n v="3.1833333332324401"/>
  </r>
  <r>
    <s v="TCK-22938"/>
    <d v="2026-07-29T06:34:00"/>
    <x v="3"/>
    <s v="Iqra Basit"/>
    <s v="Islamabad"/>
    <s v="Chat"/>
    <s v="Delivery Delay"/>
    <s v="Low"/>
    <n v="48"/>
    <s v="Escalated"/>
    <s v="Missing Resolve Date"/>
    <s v="Yes"/>
    <m/>
    <s v="Resolved On First Contact"/>
    <s v=""/>
  </r>
  <r>
    <s v="TCK-21428"/>
    <d v="2026-07-07T05:23:00"/>
    <x v="0"/>
    <s v="Sadia Anwar"/>
    <s v="Faisalabad"/>
    <s v="Chat"/>
    <s v="Account Access"/>
    <s v="High"/>
    <n v="8"/>
    <s v="Closed"/>
    <d v="2026-07-07T12:25:00"/>
    <s v="No"/>
    <n v="2"/>
    <s v="Customer Requested Refund"/>
    <n v="7.033333333209157"/>
  </r>
  <r>
    <s v="TCK-22635"/>
    <d v="2026-02-23T06:35:00"/>
    <x v="2"/>
    <s v="Mahnoor Aslam"/>
    <s v="Lahore"/>
    <s v="Chat"/>
    <s v="Billing Issue"/>
    <s v="High"/>
    <n v="8"/>
    <s v="Closed"/>
    <d v="2026-02-23T10:58:00"/>
    <s v="No"/>
    <n v="5"/>
    <s v="Technical Issue Resolved Remotely"/>
    <n v="4.3833333333022892"/>
  </r>
  <r>
    <s v="TCK-21053"/>
    <d v="2026-06-04T02:34:00"/>
    <x v="3"/>
    <s v="Iqra Basit"/>
    <s v="Lahore"/>
    <s v="Email"/>
    <s v="General Inquiry"/>
    <s v="Low"/>
    <n v="48"/>
    <s v="Resolved"/>
    <d v="2026-06-08T19:20:00"/>
    <s v="Yes"/>
    <n v="5"/>
    <s v="Awaiting Customer Response"/>
    <n v="112.76666666666279"/>
  </r>
  <r>
    <s v="TCK-20249"/>
    <d v="2026-05-19T17:18:00"/>
    <x v="3"/>
    <s v="Talha Nadeem"/>
    <s v="Rawalpindi"/>
    <s v="Portal"/>
    <s v="Technical Issue"/>
    <s v="Medium"/>
    <n v="24"/>
    <s v="Closed"/>
    <d v="2026-05-20T09:49:00"/>
    <s v="No"/>
    <n v="1"/>
    <s v="Technical Issue Resolved Remotely"/>
    <n v="16.516666666720994"/>
  </r>
  <r>
    <s v="TCK-21130"/>
    <d v="2026-04-29T01:06:00"/>
    <x v="2"/>
    <s v="Mahnoor Aslam"/>
    <s v="Islamabad"/>
    <s v="Portal"/>
    <s v="Account Access"/>
    <s v="High"/>
    <n v="8"/>
    <s v="Closed"/>
    <d v="2026-04-29T04:17:00"/>
    <s v="No"/>
    <n v="5"/>
    <s v="Customer Requested Refund"/>
    <n v="3.183333333407063"/>
  </r>
  <r>
    <s v="TCK-22830"/>
    <d v="2026-05-21T12:57:00"/>
    <x v="0"/>
    <s v="Sadia Anwar"/>
    <s v="Islamabad"/>
    <s v="Email"/>
    <s v="General Inquiry"/>
    <s v="Medium"/>
    <n v="24"/>
    <s v="Resolved"/>
    <d v="2026-05-22T06:11:00"/>
    <s v="No"/>
    <m/>
    <s v="Awaiting Customer Response"/>
    <n v="17.233333333453629"/>
  </r>
  <r>
    <s v="TCK-22124"/>
    <d v="2026-06-14T16:22:00"/>
    <x v="3"/>
    <s v="Talha Nadeem"/>
    <s v="Peshawar"/>
    <s v="Portal"/>
    <s v="Refund Request"/>
    <s v="Critical"/>
    <n v="4"/>
    <s v="Resolved"/>
    <d v="2026-06-14T19:21:00"/>
    <s v="No"/>
    <n v="5"/>
    <s v="Awaiting Customer Response"/>
    <n v="2.9833333334536292"/>
  </r>
  <r>
    <s v="TCK-22105"/>
    <d v="2026-07-02T16:18:00"/>
    <x v="3"/>
    <s v="Talha Nadeem"/>
    <s v="Lahore"/>
    <s v="Chat"/>
    <s v="Refund Request"/>
    <s v="Medium"/>
    <n v="24"/>
    <s v="Resolved"/>
    <d v="2026-07-04T04:18:00"/>
    <s v="No"/>
    <n v="2"/>
    <s v="Technical Issue Resolved Remotely"/>
    <n v="36"/>
  </r>
  <r>
    <s v="TCK-23177"/>
    <d v="2026-08-08T03:40:00"/>
    <x v="0"/>
    <s v="Rehan Qureshi"/>
    <s v="Multan"/>
    <s v="Email"/>
    <s v="Technical Issue"/>
    <s v="Medium"/>
    <n v="24"/>
    <s v="Resolved"/>
    <d v="2026-08-09T00:46:00"/>
    <s v="No"/>
    <n v="3"/>
    <s v="Customer Satisfied With Resolution"/>
    <n v="21.099999999976717"/>
  </r>
  <r>
    <s v="TCK-23078"/>
    <d v="2026-08-20T17:55:00"/>
    <x v="1"/>
    <s v="Ayaan Khalid"/>
    <s v="Peshawar"/>
    <s v="Portal"/>
    <s v="Delivery Delay"/>
    <s v="Critical"/>
    <n v="4"/>
    <s v="Closed"/>
    <d v="2026-08-20T19:15:00"/>
    <s v="No"/>
    <m/>
    <s v="Customer Requested Refund"/>
    <n v="1.3333333333139308"/>
  </r>
  <r>
    <s v="TCK-22112"/>
    <d v="2026-08-19T09:33:00"/>
    <x v="1"/>
    <s v="Ayaan Khalid"/>
    <s v="Rawalpindi"/>
    <s v="Phone"/>
    <s v="Account Access"/>
    <s v="Low"/>
    <n v="48"/>
    <s v="Resolved"/>
    <d v="2026-08-20T21:24:00"/>
    <s v="No"/>
    <m/>
    <s v="Escalated To Senior Agent"/>
    <n v="35.850000000034925"/>
  </r>
  <r>
    <s v="TCK-22213"/>
    <d v="2026-08-18T18:44:00"/>
    <x v="3"/>
    <s v="Iqra Basit"/>
    <s v="Multan"/>
    <s v="Portal"/>
    <s v="Technical Issue"/>
    <s v="Low"/>
    <n v="48"/>
    <s v="Closed"/>
    <d v="2026-08-20T03:08:00"/>
    <s v="No"/>
    <n v="2"/>
    <s v="Not Specified"/>
    <n v="32.400000000139698"/>
  </r>
  <r>
    <s v="TCK-21501"/>
    <d v="2026-07-07T19:12:00"/>
    <x v="0"/>
    <s v="Rehan Qureshi"/>
    <s v="Islamabad"/>
    <s v="Chat"/>
    <s v="Delivery Delay"/>
    <s v="High"/>
    <n v="8"/>
    <s v="Resolved"/>
    <d v="2026-07-08T02:11:00"/>
    <s v="No"/>
    <m/>
    <s v="Not Specified"/>
    <n v="6.9833333332207985"/>
  </r>
  <r>
    <s v="TCK-22566"/>
    <d v="2026-01-25T06:30:00"/>
    <x v="1"/>
    <s v="Zara Hussain"/>
    <s v="Lahore"/>
    <s v="Portal"/>
    <s v="Delivery Delay"/>
    <s v="High"/>
    <n v="8"/>
    <s v="Resolved"/>
    <d v="2026-01-25T13:25:00"/>
    <s v="No"/>
    <n v="4"/>
    <s v="Customer Requested Refund"/>
    <n v="6.9166666666860692"/>
  </r>
  <r>
    <s v="TCK-23193"/>
    <d v="2026-03-10T09:17:00"/>
    <x v="3"/>
    <s v="Iqra Basit"/>
    <s v="Islamabad"/>
    <s v="Email"/>
    <s v="Delivery Delay"/>
    <s v="Low"/>
    <n v="48"/>
    <s v="Re-Opened"/>
    <d v="2026-03-11T15:37:00"/>
    <s v="No"/>
    <m/>
    <s v="Resolved On First Contact"/>
    <n v="30.333333333197515"/>
  </r>
  <r>
    <s v="TCK-22255"/>
    <d v="2026-08-06T11:37:00"/>
    <x v="1"/>
    <s v="Ayaan Khalid"/>
    <s v="Lahore"/>
    <s v="Phone"/>
    <s v="Account Access"/>
    <s v="High"/>
    <n v="8"/>
    <s v="Closed"/>
    <d v="2026-08-06T16:44:00"/>
    <s v="No"/>
    <n v="3"/>
    <s v="Not Specified"/>
    <n v="5.1166666667559184"/>
  </r>
  <r>
    <s v="TCK-22648"/>
    <d v="2026-06-01T18:34:00"/>
    <x v="1"/>
    <s v="Zara Hussain"/>
    <s v="Lahore"/>
    <s v="Chat"/>
    <s v="Account Access"/>
    <s v="High"/>
    <n v="8"/>
    <s v="Resolved"/>
    <d v="2026-06-01T20:44:00"/>
    <s v="No"/>
    <m/>
    <s v="Repeat Issue From Same Customer"/>
    <n v="2.1666666667442769"/>
  </r>
  <r>
    <s v="TCK-21136"/>
    <d v="2026-04-30T09:33:00"/>
    <x v="0"/>
    <s v="Sadia Anwar"/>
    <s v="Peshawar"/>
    <s v="Portal"/>
    <s v="Technical Issue"/>
    <s v="Low"/>
    <n v="48"/>
    <s v="Closed"/>
    <d v="2026-05-01T00:25:00"/>
    <s v="No"/>
    <m/>
    <s v="Customer Satisfied With Resolution"/>
    <n v="14.866666666581295"/>
  </r>
  <r>
    <s v="TCK-23128"/>
    <d v="2026-08-17T10:24:00"/>
    <x v="3"/>
    <s v="Iqra Basit"/>
    <s v="Islamabad"/>
    <s v="Portal"/>
    <s v="Delivery Delay"/>
    <s v="High"/>
    <n v="8"/>
    <s v="Resolved"/>
    <d v="2026-08-17T15:17:00"/>
    <s v="No"/>
    <m/>
    <s v="Customer Requested Refund"/>
    <n v="4.8833333333604969"/>
  </r>
  <r>
    <s v="TCK-20534"/>
    <d v="2026-07-02T06:18:00"/>
    <x v="2"/>
    <s v="Mahnoor Aslam"/>
    <s v="Karachi"/>
    <s v="Chat"/>
    <s v="Billing Issue"/>
    <s v="Medium"/>
    <n v="24"/>
    <s v="In Progress"/>
    <s v="Missing Resolve Date"/>
    <s v="No"/>
    <m/>
    <s v="Repeat Issue From Same Customer"/>
    <s v=""/>
  </r>
  <r>
    <s v="TCK-21442"/>
    <d v="2026-08-05T05:18:00"/>
    <x v="2"/>
    <s v="Bilal Chaudhry"/>
    <s v="Karachi"/>
    <s v="Chat"/>
    <s v="Technical Issue"/>
    <s v="Medium"/>
    <n v="24"/>
    <s v="Escalated"/>
    <s v="Missing Resolve Date"/>
    <s v="Yes"/>
    <m/>
    <s v="Resolved On First Contact"/>
    <s v=""/>
  </r>
  <r>
    <s v="TCK-21497"/>
    <d v="2026-03-03T07:25:00"/>
    <x v="3"/>
    <s v="Iqra Basit"/>
    <s v="Lahore"/>
    <s v="Phone"/>
    <s v="Delivery Delay"/>
    <s v="High"/>
    <n v="8"/>
    <s v="Resolved"/>
    <d v="2026-03-03T13:13:00"/>
    <s v="No"/>
    <m/>
    <s v="Escalated To Senior Agent"/>
    <n v="5.7999999998719431"/>
  </r>
  <r>
    <s v="TCK-21851"/>
    <d v="2026-02-25T12:55:00"/>
    <x v="2"/>
    <s v="Mahnoor Aslam"/>
    <s v="Lahore"/>
    <s v="Email"/>
    <s v="Delivery Delay"/>
    <s v="High"/>
    <n v="8"/>
    <s v="Closed"/>
    <d v="2026-02-25T18:01:00"/>
    <s v="No"/>
    <m/>
    <s v="Not Specified"/>
    <n v="5.1000000000349246"/>
  </r>
  <r>
    <s v="TCK-23039"/>
    <d v="2026-08-19T23:43:00"/>
    <x v="1"/>
    <s v="Ayaan Khalid"/>
    <s v="Multan"/>
    <s v="Portal"/>
    <s v="Technical Issue"/>
    <s v="Medium"/>
    <n v="24"/>
    <s v="Resolved"/>
    <d v="2026-08-20T18:11:00"/>
    <s v="No"/>
    <m/>
    <s v="Not Specified"/>
    <n v="18.466666666790843"/>
  </r>
  <r>
    <s v="TCK-22266"/>
    <d v="2026-05-23T17:12:00"/>
    <x v="3"/>
    <s v="Talha Nadeem"/>
    <s v="Rawalpindi"/>
    <s v="Portal"/>
    <s v="Technical Issue"/>
    <s v="Low"/>
    <n v="48"/>
    <s v="Resolved"/>
    <d v="2026-05-25T02:56:00"/>
    <s v="Yes"/>
    <n v="5"/>
    <s v="Technical Issue Resolved Remotely"/>
    <n v="33.733333333279006"/>
  </r>
  <r>
    <s v="TCK-20796"/>
    <d v="2026-01-31T02:39:00"/>
    <x v="1"/>
    <s v="Zara Hussain"/>
    <s v="Faisalabad"/>
    <s v="Phone"/>
    <s v="General Inquiry"/>
    <s v="High"/>
    <n v="8"/>
    <s v="Closed"/>
    <d v="2026-01-31T08:26:00"/>
    <s v="No"/>
    <m/>
    <s v="Repeat Issue From Same Customer"/>
    <n v="5.7833333333255723"/>
  </r>
  <r>
    <s v="TCK-22361"/>
    <d v="2026-03-28T08:04:00"/>
    <x v="2"/>
    <s v="Mahnoor Aslam"/>
    <s v="Rawalpindi"/>
    <s v="Phone"/>
    <s v="Technical Issue"/>
    <s v="High"/>
    <n v="8"/>
    <s v="Resolved"/>
    <d v="2026-03-28T11:08:00"/>
    <s v="No"/>
    <n v="1"/>
    <s v="Technical Issue Resolved Remotely"/>
    <n v="3.0666666667093523"/>
  </r>
  <r>
    <s v="TCK-20852"/>
    <d v="2026-07-04T15:50:00"/>
    <x v="0"/>
    <s v="Rehan Qureshi"/>
    <s v="Lahore"/>
    <s v="Phone"/>
    <s v="Refund Request"/>
    <s v="Medium"/>
    <n v="24"/>
    <s v="Resolved"/>
    <d v="2026-07-04T18:22:00"/>
    <s v="No"/>
    <n v="2"/>
    <s v="Resolved On First Contact"/>
    <n v="2.53333333338378"/>
  </r>
  <r>
    <s v="TCK-20227"/>
    <d v="2026-03-05T22:43:00"/>
    <x v="3"/>
    <s v="Iqra Basit"/>
    <s v="Islamabad"/>
    <s v="Phone"/>
    <s v="Delivery Delay"/>
    <s v="Low"/>
    <n v="48"/>
    <s v="Open"/>
    <s v="Missing Resolve Date"/>
    <s v="No"/>
    <m/>
    <s v="Technical Issue Resolved Remotely"/>
    <s v=""/>
  </r>
  <r>
    <s v="TCK-21883"/>
    <d v="2026-06-21T16:05:00"/>
    <x v="1"/>
    <s v="Ayaan Khalid"/>
    <s v="Faisalabad"/>
    <s v="Email"/>
    <s v="Technical Issue"/>
    <s v="Medium"/>
    <n v="24"/>
    <s v="Re-Opened"/>
    <s v="Missing Resolve Date"/>
    <s v="No"/>
    <m/>
    <s v="Not Specified"/>
    <s v=""/>
  </r>
  <r>
    <s v="TCK-22576"/>
    <d v="2026-02-28T07:47:00"/>
    <x v="2"/>
    <s v="Mahnoor Aslam"/>
    <s v="Rawalpindi"/>
    <s v="Phone"/>
    <s v="Delivery Delay"/>
    <s v="Medium"/>
    <n v="24"/>
    <s v="Closed"/>
    <d v="2026-03-01T14:06:00"/>
    <s v="No"/>
    <m/>
    <s v="Required Follow-Up Call"/>
    <n v="30.316666666651145"/>
  </r>
  <r>
    <s v="TCK-21316"/>
    <d v="2026-06-18T04:31:00"/>
    <x v="1"/>
    <s v="Zara Hussain"/>
    <s v="Multan"/>
    <s v="Phone"/>
    <s v="Refund Request"/>
    <s v="Critical"/>
    <n v="4"/>
    <s v="Resolved"/>
    <d v="2026-06-18T13:23:00"/>
    <s v="No"/>
    <m/>
    <s v="Not Specified"/>
    <n v="8.8666666665812954"/>
  </r>
  <r>
    <s v="TCK-21723"/>
    <d v="2026-02-05T06:49:00"/>
    <x v="3"/>
    <s v="Iqra Basit"/>
    <s v="Islamabad"/>
    <s v="Portal"/>
    <s v="Refund Request"/>
    <s v="Medium"/>
    <n v="24"/>
    <s v="Closed"/>
    <d v="2026-02-08T04:44:00"/>
    <s v="No"/>
    <n v="3"/>
    <s v="Customer Requested Refund"/>
    <n v="69.916666666686069"/>
  </r>
  <r>
    <s v="TCK-20527"/>
    <d v="2026-04-28T16:06:00"/>
    <x v="0"/>
    <s v="Sadia Anwar"/>
    <s v="Peshawar"/>
    <s v="Email"/>
    <s v="General Inquiry"/>
    <s v="High"/>
    <n v="8"/>
    <s v="Escalated"/>
    <s v="Missing Resolve Date"/>
    <s v="Yes"/>
    <m/>
    <s v="Required Follow-Up Call"/>
    <s v=""/>
  </r>
  <r>
    <s v="TCK-20557"/>
    <d v="2026-08-14T04:56:00"/>
    <x v="1"/>
    <s v="Zara Hussain"/>
    <s v="Karachi"/>
    <s v="Chat"/>
    <s v="Account Access"/>
    <s v="Medium"/>
    <n v="24"/>
    <s v="Resolved"/>
    <d v="2026-08-15T13:26:00"/>
    <s v="No"/>
    <n v="1"/>
    <s v="Not Specified"/>
    <n v="32.499999999941792"/>
  </r>
  <r>
    <s v="TCK-22732"/>
    <d v="2026-06-04T09:25:00"/>
    <x v="3"/>
    <s v="Iqra Basit"/>
    <s v="Multan"/>
    <s v="Email"/>
    <s v="Technical Issue"/>
    <s v="Critical"/>
    <n v="4"/>
    <s v="Resolved"/>
    <d v="2026-06-04T12:02:00"/>
    <s v="No"/>
    <n v="4"/>
    <s v="Repeat Issue From Same Customer"/>
    <n v="2.6166666666395031"/>
  </r>
  <r>
    <s v="TCK-20137"/>
    <d v="2026-04-20T06:36:00"/>
    <x v="3"/>
    <s v="Iqra Basit"/>
    <s v="Islamabad"/>
    <s v="Phone"/>
    <s v="Delivery Delay"/>
    <s v="High"/>
    <n v="8"/>
    <s v="Open"/>
    <s v="Missing Resolve Date"/>
    <s v="No"/>
    <m/>
    <s v="Customer Requested Refund"/>
    <s v=""/>
  </r>
  <r>
    <s v="TCK-22670"/>
    <d v="2026-03-06T19:09:00"/>
    <x v="3"/>
    <s v="Talha Nadeem"/>
    <s v="Rawalpindi"/>
    <s v="Chat"/>
    <s v="Account Access"/>
    <s v="Low"/>
    <n v="48"/>
    <s v="Closed"/>
    <d v="2026-03-09T06:12:00"/>
    <s v="Yes"/>
    <n v="2"/>
    <s v="Not Specified"/>
    <n v="59.049999999871943"/>
  </r>
  <r>
    <s v="TCK-21839"/>
    <d v="2026-04-04T23:13:00"/>
    <x v="3"/>
    <s v="Talha Nadeem"/>
    <s v="Islamabad"/>
    <s v="Chat"/>
    <s v="General Inquiry"/>
    <s v="Medium"/>
    <n v="24"/>
    <s v="Resolved"/>
    <d v="2026-04-06T19:41:00"/>
    <s v="No"/>
    <m/>
    <s v="Customer Requested Refund"/>
    <n v="44.466666666674428"/>
  </r>
  <r>
    <s v="TCK-20542"/>
    <d v="2026-02-09T08:56:00"/>
    <x v="2"/>
    <s v="Mahnoor Aslam"/>
    <s v="Lahore"/>
    <s v="Phone"/>
    <s v="Refund Request"/>
    <s v="Low"/>
    <n v="48"/>
    <s v="Resolved"/>
    <d v="2026-02-10T16:53:00"/>
    <s v="No"/>
    <m/>
    <s v="Customer Requested Refund"/>
    <n v="31.950000000069849"/>
  </r>
  <r>
    <s v="TCK-21617"/>
    <d v="2026-07-13T16:33:00"/>
    <x v="2"/>
    <s v="Bilal Chaudhry"/>
    <s v="Lahore"/>
    <s v="Phone"/>
    <s v="Technical Issue"/>
    <s v="Medium"/>
    <n v="24"/>
    <s v="Escalated"/>
    <s v="Missing Resolve Date"/>
    <s v="Yes"/>
    <m/>
    <s v="Required Follow-Up Call"/>
    <s v=""/>
  </r>
  <r>
    <s v="TCK-20653"/>
    <d v="2026-02-25T01:54:00"/>
    <x v="0"/>
    <s v="Rehan Qureshi"/>
    <s v="Multan"/>
    <s v="Portal"/>
    <s v="Account Access"/>
    <s v="Medium"/>
    <n v="24"/>
    <s v="Closed"/>
    <d v="2026-02-27T06:25:00"/>
    <s v="No"/>
    <n v="5"/>
    <s v="Resolved On First Contact"/>
    <n v="52.516666666546371"/>
  </r>
  <r>
    <s v="TCK-21420"/>
    <d v="2026-02-28T06:28:00"/>
    <x v="2"/>
    <s v="Bilal Chaudhry"/>
    <s v="Karachi"/>
    <s v="Phone"/>
    <s v="General Inquiry"/>
    <s v="High"/>
    <n v="8"/>
    <s v="Re-Opened"/>
    <d v="2026-02-28T13:19:00"/>
    <s v="No"/>
    <m/>
    <s v="Customer Requested Refund"/>
    <n v="6.8499999999767169"/>
  </r>
  <r>
    <s v="TCK-22796"/>
    <d v="2026-05-08T08:19:00"/>
    <x v="0"/>
    <s v="Sadia Anwar"/>
    <s v="Multan"/>
    <s v="Portal"/>
    <s v="Account Access"/>
    <s v="Low"/>
    <n v="48"/>
    <s v="Resolved"/>
    <d v="2026-05-12T23:40:00"/>
    <s v="No"/>
    <n v="1"/>
    <s v="Resolved On First Contact"/>
    <n v="111.34999999991851"/>
  </r>
  <r>
    <s v="TCK-21023"/>
    <d v="2026-07-11T14:07:00"/>
    <x v="3"/>
    <s v="Talha Nadeem"/>
    <s v="Faisalabad"/>
    <s v="Chat"/>
    <s v="Technical Issue"/>
    <s v="High"/>
    <n v="8"/>
    <s v="Open"/>
    <s v="Missing Resolve Date"/>
    <s v="No"/>
    <m/>
    <s v="Customer Satisfied With Resolution"/>
    <s v=""/>
  </r>
  <r>
    <s v="TCK-22019"/>
    <d v="2026-08-28T09:31:00"/>
    <x v="0"/>
    <s v="Rehan Qureshi"/>
    <s v="Islamabad"/>
    <s v="Chat"/>
    <s v="Account Access"/>
    <s v="Medium"/>
    <n v="24"/>
    <s v="In Progress"/>
    <s v="Missing Resolve Date"/>
    <s v="No"/>
    <m/>
    <s v="Required Follow-Up Call"/>
    <s v=""/>
  </r>
  <r>
    <s v="TCK-20768"/>
    <d v="2026-04-26T08:06:00"/>
    <x v="0"/>
    <s v="Rehan Qureshi"/>
    <s v="Islamabad"/>
    <s v="Phone"/>
    <s v="Refund Request"/>
    <s v="Medium"/>
    <n v="24"/>
    <s v="Re-Opened"/>
    <d v="2026-04-27T03:37:00"/>
    <s v="No"/>
    <m/>
    <s v="Escalated To Senior Agent"/>
    <n v="19.516666666546371"/>
  </r>
  <r>
    <s v="TCK-20829"/>
    <d v="2026-04-13T06:02:00"/>
    <x v="2"/>
    <s v="Mahnoor Aslam"/>
    <s v="Karachi"/>
    <s v="Email"/>
    <s v="Technical Issue"/>
    <s v="Medium"/>
    <n v="24"/>
    <s v="Resolved"/>
    <d v="2026-04-13T11:38:00"/>
    <s v="No"/>
    <n v="5"/>
    <s v="Resolved On First Contact"/>
    <n v="5.6000000000931323"/>
  </r>
  <r>
    <s v="TCK-20834"/>
    <d v="2026-04-30T20:54:00"/>
    <x v="1"/>
    <s v="Ayaan Khalid"/>
    <s v="Faisalabad"/>
    <s v="Chat"/>
    <s v="Delivery Delay"/>
    <s v="Low"/>
    <n v="48"/>
    <s v="Resolved"/>
    <d v="2026-05-02T08:37:00"/>
    <s v="No"/>
    <n v="5"/>
    <s v="Customer Requested Refund"/>
    <n v="35.71666666661622"/>
  </r>
  <r>
    <s v="TCK-23125"/>
    <d v="2026-05-01T00:50:00"/>
    <x v="2"/>
    <s v="Mahnoor Aslam"/>
    <s v="Islamabad"/>
    <s v="Portal"/>
    <s v="General Inquiry"/>
    <s v="High"/>
    <n v="8"/>
    <s v="Resolved"/>
    <d v="2026-05-01T07:01:00"/>
    <s v="No"/>
    <m/>
    <s v="Technical Issue Resolved Remotely"/>
    <n v="6.183333333407063"/>
  </r>
  <r>
    <s v="TCK-20634"/>
    <d v="2026-03-21T09:41:00"/>
    <x v="1"/>
    <s v="Ayaan Khalid"/>
    <s v="Rawalpindi"/>
    <s v="Email"/>
    <s v="General Inquiry"/>
    <s v="Medium"/>
    <n v="24"/>
    <s v="Open"/>
    <s v="Missing Resolve Date"/>
    <s v="No"/>
    <m/>
    <s v="Not Specified"/>
    <s v=""/>
  </r>
  <r>
    <s v="TCK-22376"/>
    <d v="2026-02-09T10:20:00"/>
    <x v="1"/>
    <s v="Zara Hussain"/>
    <s v="Lahore"/>
    <s v="Phone"/>
    <s v="Delivery Delay"/>
    <s v="Medium"/>
    <n v="24"/>
    <s v="Escalated"/>
    <s v="Missing Resolve Date"/>
    <s v="Yes"/>
    <m/>
    <s v="Customer Requested Refund"/>
    <s v=""/>
  </r>
  <r>
    <s v="TCK-22638"/>
    <d v="2026-05-04T06:52:00"/>
    <x v="3"/>
    <s v="Talha Nadeem"/>
    <s v="Faisalabad"/>
    <s v="Portal"/>
    <s v="General Inquiry"/>
    <s v="Low"/>
    <n v="48"/>
    <s v="Closed"/>
    <d v="2026-05-04T21:55:00"/>
    <s v="No"/>
    <n v="5"/>
    <s v="Technical Issue Resolved Remotely"/>
    <n v="15.049999999988358"/>
  </r>
  <r>
    <s v="TCK-21535"/>
    <d v="2026-05-22T20:58:00"/>
    <x v="0"/>
    <s v="Sadia Anwar"/>
    <s v="Islamabad"/>
    <s v="Chat"/>
    <s v="Billing Issue"/>
    <s v="Medium"/>
    <n v="24"/>
    <s v="Resolved"/>
    <d v="2026-05-23T15:32:00"/>
    <s v="No"/>
    <m/>
    <s v="Customer Requested Refund"/>
    <n v="18.566666666592937"/>
  </r>
  <r>
    <s v="TCK-20142"/>
    <d v="2026-02-04T00:53:00"/>
    <x v="3"/>
    <s v="Talha Nadeem"/>
    <s v="Peshawar"/>
    <s v="Portal"/>
    <s v="Delivery Delay"/>
    <s v="Medium"/>
    <n v="24"/>
    <s v="Closed"/>
    <d v="2026-02-04T21:15:00"/>
    <s v="Yes"/>
    <m/>
    <s v="Customer Satisfied With Resolution"/>
    <n v="20.366666666523088"/>
  </r>
  <r>
    <s v="TCK-21349"/>
    <d v="2026-07-06T12:49:00"/>
    <x v="2"/>
    <s v="Mahnoor Aslam"/>
    <s v="Islamabad"/>
    <s v="Phone"/>
    <s v="Technical Issue"/>
    <s v="Medium"/>
    <n v="24"/>
    <s v="Resolved"/>
    <d v="2026-07-06T15:37:00"/>
    <s v="No"/>
    <n v="3"/>
    <s v="Not Specified"/>
    <n v="2.7999999998719431"/>
  </r>
  <r>
    <s v="TCK-23091"/>
    <d v="2026-06-06T04:17:00"/>
    <x v="3"/>
    <s v="Talha Nadeem"/>
    <s v="Multan"/>
    <s v="Phone"/>
    <s v="General Inquiry"/>
    <s v="High"/>
    <n v="8"/>
    <s v="In Progress"/>
    <s v="Missing Resolve Date"/>
    <s v="No"/>
    <m/>
    <s v="Not Specified"/>
    <s v=""/>
  </r>
  <r>
    <s v="TCK-20699"/>
    <d v="2026-01-18T23:06:00"/>
    <x v="3"/>
    <s v="Iqra Basit"/>
    <s v="Karachi"/>
    <s v="Portal"/>
    <s v="General Inquiry"/>
    <s v="Low"/>
    <n v="48"/>
    <s v="In Progress"/>
    <s v="Missing Resolve Date"/>
    <s v="No"/>
    <m/>
    <s v="Not Specified"/>
    <s v=""/>
  </r>
  <r>
    <s v="TCK-21642"/>
    <d v="2026-07-21T10:21:00"/>
    <x v="2"/>
    <s v="Bilal Chaudhry"/>
    <s v="Rawalpindi"/>
    <s v="Phone"/>
    <s v="Account Access"/>
    <s v="High"/>
    <n v="8"/>
    <s v="In Progress"/>
    <s v="Missing Resolve Date"/>
    <s v="No"/>
    <m/>
    <s v="Not Specified"/>
    <s v=""/>
  </r>
  <r>
    <s v="TCK-22785"/>
    <d v="2026-06-19T20:11:00"/>
    <x v="0"/>
    <s v="Sadia Anwar"/>
    <s v="Multan"/>
    <s v="Chat"/>
    <s v="Technical Issue"/>
    <s v="Low"/>
    <n v="48"/>
    <s v="Resolved"/>
    <d v="2026-06-23T00:09:00"/>
    <s v="No"/>
    <m/>
    <s v="Customer Requested Refund"/>
    <n v="75.966666666674428"/>
  </r>
  <r>
    <s v="TCK-22298"/>
    <d v="2026-03-12T15:55:00"/>
    <x v="3"/>
    <s v="Talha Nadeem"/>
    <s v="Karachi"/>
    <s v="Chat"/>
    <s v="General Inquiry"/>
    <s v="Medium"/>
    <n v="24"/>
    <s v="Resolved"/>
    <s v="Missing Resolve Date"/>
    <s v="No"/>
    <m/>
    <s v="Not Specified"/>
    <s v=""/>
  </r>
  <r>
    <s v="TCK-22517"/>
    <d v="2026-07-13T04:20:00"/>
    <x v="2"/>
    <s v="Mahnoor Aslam"/>
    <s v="Lahore"/>
    <s v="Email"/>
    <s v="Refund Request"/>
    <s v="Medium"/>
    <n v="24"/>
    <s v="Resolved"/>
    <d v="2026-07-13T13:49:00"/>
    <s v="Yes"/>
    <n v="5"/>
    <s v="Escalated To Senior Agent"/>
    <n v="9.4833333333372138"/>
  </r>
  <r>
    <s v="TCK-20767"/>
    <d v="2026-08-22T14:55:00"/>
    <x v="0"/>
    <s v="Sadia Anwar"/>
    <s v="Islamabad"/>
    <s v="Chat"/>
    <s v="General Inquiry"/>
    <s v="High"/>
    <n v="8"/>
    <s v="Closed"/>
    <s v="Missing Resolve Date"/>
    <s v="No"/>
    <n v="5"/>
    <s v="Awaiting Customer Response"/>
    <s v=""/>
  </r>
  <r>
    <s v="TCK-21622"/>
    <d v="2026-01-21T14:04:00"/>
    <x v="3"/>
    <s v="Talha Nadeem"/>
    <s v="Rawalpindi"/>
    <s v="Chat"/>
    <s v="Technical Issue"/>
    <s v="Medium"/>
    <n v="24"/>
    <s v="Resolved"/>
    <d v="2026-01-21T20:07:00"/>
    <s v="No"/>
    <n v="4"/>
    <s v="Not Specified"/>
    <n v="6.0499999999883585"/>
  </r>
  <r>
    <s v="TCK-22945"/>
    <d v="2026-04-30T13:46:00"/>
    <x v="1"/>
    <s v="Zara Hussain"/>
    <s v="Islamabad"/>
    <s v="Chat"/>
    <s v="General Inquiry"/>
    <s v="Medium"/>
    <n v="24"/>
    <s v="Closed"/>
    <d v="2026-05-01T03:47:00"/>
    <s v="No"/>
    <n v="4"/>
    <s v="Not Specified"/>
    <n v="14.016666666604578"/>
  </r>
  <r>
    <s v="TCK-21685"/>
    <d v="2026-05-20T04:08:00"/>
    <x v="0"/>
    <s v="Sadia Anwar"/>
    <s v="Karachi"/>
    <s v="Chat"/>
    <s v="Account Access"/>
    <s v="Low"/>
    <n v="48"/>
    <s v="Escalated"/>
    <s v="Missing Resolve Date"/>
    <s v="Yes"/>
    <m/>
    <s v="Escalated To Senior Agent"/>
    <s v=""/>
  </r>
  <r>
    <s v="TCK-22182"/>
    <d v="2026-08-30T06:18:00"/>
    <x v="2"/>
    <s v="Mahnoor Aslam"/>
    <s v="Faisalabad"/>
    <s v="Email"/>
    <s v="Refund Request"/>
    <s v="Low"/>
    <n v="48"/>
    <s v="Resolved"/>
    <d v="2026-08-30T20:40:00"/>
    <s v="No"/>
    <n v="3"/>
    <s v="Technical Issue Resolved Remotely"/>
    <n v="14.366666666697711"/>
  </r>
  <r>
    <s v="TCK-21822"/>
    <d v="2026-06-14T14:46:00"/>
    <x v="3"/>
    <s v="Talha Nadeem"/>
    <s v="Islamabad"/>
    <s v="Chat"/>
    <s v="Technical Issue"/>
    <s v="High"/>
    <n v="8"/>
    <s v="Closed"/>
    <d v="2026-06-14T15:43:00"/>
    <s v="No"/>
    <n v="3"/>
    <s v="Technical Issue Resolved Remotely"/>
    <n v="0.95000000012805685"/>
  </r>
  <r>
    <s v="TCK-20752"/>
    <d v="2026-07-18T08:47:00"/>
    <x v="2"/>
    <s v="Bilal Chaudhry"/>
    <s v="Islamabad"/>
    <s v="Portal"/>
    <s v="Account Access"/>
    <s v="Medium"/>
    <n v="24"/>
    <s v="Escalated"/>
    <s v="Missing Resolve Date"/>
    <s v="Yes"/>
    <m/>
    <s v="Awaiting Customer Response"/>
    <s v=""/>
  </r>
  <r>
    <s v="TCK-22744"/>
    <d v="2026-01-28T12:07:00"/>
    <x v="3"/>
    <s v="Iqra Basit"/>
    <s v="Islamabad"/>
    <s v="Chat"/>
    <s v="General Inquiry"/>
    <s v="Medium"/>
    <n v="24"/>
    <s v="Re-Opened"/>
    <d v="2026-01-29T01:34:00"/>
    <s v="No"/>
    <m/>
    <s v="Not Specified"/>
    <n v="13.450000000011642"/>
  </r>
  <r>
    <s v="TCK-21310"/>
    <d v="2026-03-29T15:37:00"/>
    <x v="2"/>
    <s v="Mahnoor Aslam"/>
    <s v="Islamabad"/>
    <s v="Phone"/>
    <s v="Account Access"/>
    <s v="Low"/>
    <n v="48"/>
    <s v="Closed"/>
    <d v="2026-03-31T09:25:00"/>
    <s v="No"/>
    <m/>
    <s v="Not Specified"/>
    <n v="41.800000000046566"/>
  </r>
  <r>
    <s v="TCK-22806"/>
    <d v="2026-01-13T13:47:00"/>
    <x v="3"/>
    <s v="Talha Nadeem"/>
    <s v="Faisalabad"/>
    <s v="Email"/>
    <s v="Delivery Delay"/>
    <s v="High"/>
    <n v="8"/>
    <s v="Resolved"/>
    <d v="2026-01-13T19:03:00"/>
    <s v="Yes"/>
    <n v="5"/>
    <s v="Not Specified"/>
    <n v="5.2666666665463708"/>
  </r>
  <r>
    <s v="TCK-20073"/>
    <d v="2026-02-13T16:47:00"/>
    <x v="1"/>
    <s v="Zara Hussain"/>
    <s v="Multan"/>
    <s v="Email"/>
    <s v="Billing Issue"/>
    <s v="Medium"/>
    <n v="24"/>
    <s v="Open"/>
    <s v="Missing Resolve Date"/>
    <s v="No"/>
    <m/>
    <s v="Customer Satisfied With Resolution"/>
    <s v=""/>
  </r>
  <r>
    <s v="TCK-22601"/>
    <d v="2026-06-19T22:17:00"/>
    <x v="0"/>
    <s v="Rehan Qureshi"/>
    <s v="Faisalabad"/>
    <s v="Chat"/>
    <s v="Refund Request"/>
    <s v="Medium"/>
    <n v="24"/>
    <s v="Resolved"/>
    <d v="2026-06-20T19:13:00"/>
    <s v="No"/>
    <n v="4"/>
    <s v="Not Specified"/>
    <n v="20.933333333290648"/>
  </r>
  <r>
    <s v="TCK-22065"/>
    <d v="2026-05-06T20:43:00"/>
    <x v="3"/>
    <s v="Iqra Basit"/>
    <s v="Peshawar"/>
    <s v="Email"/>
    <s v="Technical Issue"/>
    <s v="Low"/>
    <n v="48"/>
    <s v="Closed"/>
    <d v="2026-05-07T16:14:00"/>
    <s v="No"/>
    <n v="4"/>
    <s v="Customer Requested Refund"/>
    <n v="19.516666666720994"/>
  </r>
  <r>
    <s v="TCK-21193"/>
    <d v="2026-02-16T02:37:00"/>
    <x v="1"/>
    <s v="Ayaan Khalid"/>
    <s v="Faisalabad"/>
    <s v="Chat"/>
    <s v="Billing Issue"/>
    <s v="Medium"/>
    <n v="24"/>
    <s v="Resolved"/>
    <d v="2026-02-16T05:51:00"/>
    <s v="No"/>
    <m/>
    <s v="Not Specified"/>
    <n v="3.2333333333954215"/>
  </r>
  <r>
    <s v="TCK-21509"/>
    <d v="2026-03-23T01:29:00"/>
    <x v="3"/>
    <s v="Iqra Basit"/>
    <s v="Islamabad"/>
    <s v="Email"/>
    <s v="Billing Issue"/>
    <s v="Low"/>
    <n v="48"/>
    <s v="Escalated"/>
    <s v="Missing Resolve Date"/>
    <s v="Yes"/>
    <m/>
    <s v="Awaiting Customer Response"/>
    <s v=""/>
  </r>
  <r>
    <s v="TCK-22544"/>
    <d v="2026-06-17T11:37:00"/>
    <x v="0"/>
    <s v="Rehan Qureshi"/>
    <s v="Rawalpindi"/>
    <s v="Phone"/>
    <s v="Billing Issue"/>
    <s v="High"/>
    <n v="8"/>
    <s v="Escalated"/>
    <s v="Missing Resolve Date"/>
    <s v="Yes"/>
    <m/>
    <s v="Repeat Issue From Same Customer"/>
    <s v=""/>
  </r>
  <r>
    <s v="TCK-21429"/>
    <d v="2026-01-20T02:45:00"/>
    <x v="0"/>
    <s v="Sadia Anwar"/>
    <s v="Rawalpindi"/>
    <s v="Phone"/>
    <s v="Technical Issue"/>
    <s v="Low"/>
    <n v="48"/>
    <s v="Resolved"/>
    <s v="Missing Resolve Date"/>
    <s v="No"/>
    <n v="4"/>
    <s v="Not Specified"/>
    <s v=""/>
  </r>
  <r>
    <s v="TCK-21335"/>
    <d v="2026-01-15T23:01:00"/>
    <x v="2"/>
    <s v="Mahnoor Aslam"/>
    <s v="Faisalabad"/>
    <s v="Email"/>
    <s v="Billing Issue"/>
    <s v="High"/>
    <n v="8"/>
    <s v="Resolved"/>
    <d v="2026-01-16T19:27:00"/>
    <s v="No"/>
    <n v="4"/>
    <s v="Repeat Issue From Same Customer"/>
    <n v="20.433333333407063"/>
  </r>
  <r>
    <s v="TCK-20092"/>
    <d v="2026-03-28T17:56:00"/>
    <x v="1"/>
    <s v="Zara Hussain"/>
    <s v="Multan"/>
    <s v="Email"/>
    <s v="General Inquiry"/>
    <s v="Medium"/>
    <n v="24"/>
    <s v="Resolved"/>
    <d v="2026-03-29T08:48:00"/>
    <s v="No"/>
    <m/>
    <s v="Customer Requested Refund"/>
    <n v="14.866666666755918"/>
  </r>
  <r>
    <s v="TCK-20611"/>
    <d v="2026-08-12T19:51:00"/>
    <x v="2"/>
    <s v="Bilal Chaudhry"/>
    <s v="Islamabad"/>
    <s v="Chat"/>
    <s v="Account Access"/>
    <s v="High"/>
    <n v="8"/>
    <s v="Resolved"/>
    <d v="2026-08-12T22:53:00"/>
    <s v="No"/>
    <m/>
    <s v="Not Specified"/>
    <n v="3.0333333334419876"/>
  </r>
  <r>
    <s v="TCK-20021"/>
    <d v="2026-06-27T06:47:00"/>
    <x v="1"/>
    <s v="Ayaan Khalid"/>
    <s v="Islamabad"/>
    <s v="Phone"/>
    <s v="General Inquiry"/>
    <s v="Low"/>
    <n v="48"/>
    <s v="Closed"/>
    <d v="2026-06-28T06:16:00"/>
    <s v="No"/>
    <n v="4"/>
    <s v="Customer Requested Refund"/>
    <n v="23.483333333395422"/>
  </r>
  <r>
    <s v="TCK-20310"/>
    <d v="2026-01-02T20:33:00"/>
    <x v="3"/>
    <s v="Iqra Basit"/>
    <s v="Peshawar"/>
    <s v="Chat"/>
    <s v="Refund Request"/>
    <s v="High"/>
    <n v="8"/>
    <s v="Resolved"/>
    <d v="2026-01-02T23:07:00"/>
    <s v="No"/>
    <m/>
    <s v="Not Specified"/>
    <n v="2.5666666666511446"/>
  </r>
  <r>
    <s v="TCK-22343"/>
    <d v="2026-06-28T23:09:00"/>
    <x v="1"/>
    <s v="Ayaan Khalid"/>
    <s v="Peshawar"/>
    <s v="Phone"/>
    <s v="Delivery Delay"/>
    <s v="High"/>
    <n v="8"/>
    <s v="Closed"/>
    <d v="2026-06-28T23:41:00"/>
    <s v="Yes"/>
    <m/>
    <s v="Not Specified"/>
    <n v="0.53333333332557231"/>
  </r>
  <r>
    <s v="TCK-20218"/>
    <d v="2026-05-11T05:30:00"/>
    <x v="2"/>
    <s v="Bilal Chaudhry"/>
    <s v="Faisalabad"/>
    <s v="Portal"/>
    <s v="Delivery Delay"/>
    <s v="Low"/>
    <n v="48"/>
    <s v="Re-Opened"/>
    <d v="2026-05-11T07:27:00"/>
    <s v="No"/>
    <m/>
    <s v="Customer Satisfied With Resolution"/>
    <n v="1.9500000000698492"/>
  </r>
  <r>
    <s v="TCK-20154"/>
    <d v="2026-07-01T09:34:00"/>
    <x v="3"/>
    <s v="Iqra Basit"/>
    <s v="Lahore"/>
    <s v="Portal"/>
    <s v="Delivery Delay"/>
    <s v="Medium"/>
    <n v="24"/>
    <s v="Resolved"/>
    <d v="2026-07-01T12:32:00"/>
    <s v="No"/>
    <n v="5"/>
    <s v="Not Specified"/>
    <n v="2.9666666667326353"/>
  </r>
  <r>
    <s v="TCK-20837"/>
    <d v="2026-06-23T21:22:00"/>
    <x v="1"/>
    <s v="Zara Hussain"/>
    <s v="Karachi"/>
    <s v="Portal"/>
    <s v="Refund Request"/>
    <s v="High"/>
    <n v="8"/>
    <s v="Resolved"/>
    <d v="2026-06-24T03:47:00"/>
    <s v="No"/>
    <n v="5"/>
    <s v="Customer Satisfied With Resolution"/>
    <n v="6.4166666666278616"/>
  </r>
  <r>
    <s v="TCK-23135"/>
    <d v="2026-03-04T12:37:00"/>
    <x v="1"/>
    <s v="Ayaan Khalid"/>
    <s v="Faisalabad"/>
    <s v="Chat"/>
    <s v="Technical Issue"/>
    <s v="Low"/>
    <n v="48"/>
    <s v="Re-Opened"/>
    <d v="2026-03-04T13:49:00"/>
    <s v="No"/>
    <m/>
    <s v="Required Follow-Up Call"/>
    <n v="1.2000000000698492"/>
  </r>
  <r>
    <s v="TCK-21792"/>
    <d v="2026-03-06T04:11:00"/>
    <x v="1"/>
    <s v="Ayaan Khalid"/>
    <s v="Multan"/>
    <s v="Email"/>
    <s v="Refund Request"/>
    <s v="Medium"/>
    <n v="24"/>
    <s v="Open"/>
    <s v="Missing Resolve Date"/>
    <s v="No"/>
    <m/>
    <s v="Customer Satisfied With Resolution"/>
    <s v=""/>
  </r>
  <r>
    <s v="TCK-22815"/>
    <d v="2026-05-29T08:11:00"/>
    <x v="3"/>
    <s v="Talha Nadeem"/>
    <s v="Islamabad"/>
    <s v="Chat"/>
    <s v="Billing Issue"/>
    <s v="Low"/>
    <n v="48"/>
    <s v="Resolved"/>
    <d v="2026-05-29T12:40:00"/>
    <s v="No"/>
    <n v="3"/>
    <s v="Resolved On First Contact"/>
    <n v="4.4833333334536292"/>
  </r>
  <r>
    <s v="TCK-22096"/>
    <d v="2026-07-11T20:59:00"/>
    <x v="2"/>
    <s v="Bilal Chaudhry"/>
    <s v="Multan"/>
    <s v="Phone"/>
    <s v="Technical Issue"/>
    <s v="High"/>
    <n v="8"/>
    <s v="Closed"/>
    <d v="2026-07-12T01:17:00"/>
    <s v="Yes"/>
    <n v="3"/>
    <s v="Escalated To Senior Agent"/>
    <n v="4.3000000000465661"/>
  </r>
  <r>
    <s v="TCK-21939"/>
    <d v="2026-06-29T06:05:00"/>
    <x v="2"/>
    <s v="Bilal Chaudhry"/>
    <s v="Peshawar"/>
    <s v="Phone"/>
    <s v="Account Access"/>
    <s v="Medium"/>
    <n v="24"/>
    <s v="Escalated"/>
    <s v="Missing Resolve Date"/>
    <s v="Yes"/>
    <m/>
    <s v="Required Follow-Up Call"/>
    <s v=""/>
  </r>
  <r>
    <s v="TCK-21373"/>
    <d v="2026-02-19T13:50:00"/>
    <x v="3"/>
    <s v="Talha Nadeem"/>
    <s v="Faisalabad"/>
    <s v="Portal"/>
    <s v="Delivery Delay"/>
    <s v="Medium"/>
    <n v="24"/>
    <s v="Resolved"/>
    <d v="2026-02-19T14:21:00"/>
    <s v="No"/>
    <m/>
    <s v="Resolved On First Contact"/>
    <n v="0.5166666666045785"/>
  </r>
  <r>
    <s v="TCK-22211"/>
    <d v="2026-04-13T15:55:00"/>
    <x v="0"/>
    <s v="Rehan Qureshi"/>
    <s v="Rawalpindi"/>
    <s v="Phone"/>
    <s v="Billing Issue"/>
    <s v="High"/>
    <n v="8"/>
    <s v="Resolved"/>
    <d v="2026-04-13T17:31:00"/>
    <s v="No"/>
    <n v="4"/>
    <s v="Awaiting Customer Response"/>
    <n v="1.5999999999767169"/>
  </r>
  <r>
    <s v="TCK-21930"/>
    <d v="2026-07-12T14:43:00"/>
    <x v="3"/>
    <s v="Talha Nadeem"/>
    <s v="Faisalabad"/>
    <s v="Phone"/>
    <s v="Technical Issue"/>
    <s v="High"/>
    <n v="8"/>
    <s v="Closed"/>
    <d v="2026-07-12T17:41:00"/>
    <s v="No"/>
    <m/>
    <s v="Customer Satisfied With Resolution"/>
    <n v="2.9666666667326353"/>
  </r>
  <r>
    <s v="TCK-20858"/>
    <d v="2026-05-04T09:30:00"/>
    <x v="0"/>
    <s v="Rehan Qureshi"/>
    <s v="Lahore"/>
    <s v="Phone"/>
    <s v="Technical Issue"/>
    <s v="Critical"/>
    <n v="4"/>
    <s v="Resolved"/>
    <d v="2026-05-04T12:45:00"/>
    <s v="No"/>
    <m/>
    <s v="Required Follow-Up Call"/>
    <n v="3.2499999999417923"/>
  </r>
  <r>
    <s v="TCK-22357"/>
    <d v="2026-01-23T11:05:00"/>
    <x v="3"/>
    <s v="Talha Nadeem"/>
    <s v="Faisalabad"/>
    <s v="Phone"/>
    <s v="Account Access"/>
    <s v="Critical"/>
    <n v="4"/>
    <s v="Closed"/>
    <d v="2026-01-23T14:18:00"/>
    <s v="No"/>
    <n v="3"/>
    <s v="Technical Issue Resolved Remotely"/>
    <n v="3.2166666666744277"/>
  </r>
  <r>
    <s v="TCK-20806"/>
    <d v="2026-05-20T13:59:00"/>
    <x v="3"/>
    <s v="Iqra Basit"/>
    <s v="Multan"/>
    <s v="Email"/>
    <s v="Account Access"/>
    <s v="Low"/>
    <n v="48"/>
    <s v="Escalated"/>
    <s v="Missing Resolve Date"/>
    <s v="Yes"/>
    <m/>
    <s v="Not Specified"/>
    <s v=""/>
  </r>
  <r>
    <s v="TCK-22758"/>
    <d v="2026-06-16T02:14:00"/>
    <x v="0"/>
    <s v="Rehan Qureshi"/>
    <s v="Peshawar"/>
    <s v="Phone"/>
    <s v="Billing Issue"/>
    <s v="Low"/>
    <n v="48"/>
    <s v="Resolved"/>
    <d v="2026-06-16T18:36:00"/>
    <s v="No"/>
    <n v="5"/>
    <s v="Customer Requested Refund"/>
    <n v="16.366666666755918"/>
  </r>
  <r>
    <s v="TCK-20232"/>
    <d v="2026-08-06T09:29:00"/>
    <x v="0"/>
    <s v="Sadia Anwar"/>
    <s v="Rawalpindi"/>
    <s v="Portal"/>
    <s v="Account Access"/>
    <s v="Medium"/>
    <n v="24"/>
    <s v="Open"/>
    <s v="Missing Resolve Date"/>
    <s v="No"/>
    <m/>
    <s v="Not Specified"/>
    <s v=""/>
  </r>
  <r>
    <s v="TCK-20304"/>
    <d v="2026-08-30T21:45:00"/>
    <x v="2"/>
    <s v="Mahnoor Aslam"/>
    <s v="Islamabad"/>
    <s v="Chat"/>
    <s v="Refund Request"/>
    <s v="High"/>
    <n v="8"/>
    <s v="Escalated"/>
    <s v="Missing Resolve Date"/>
    <s v="Yes"/>
    <m/>
    <s v="Customer Satisfied With Resolution"/>
    <s v=""/>
  </r>
  <r>
    <s v="TCK-22463"/>
    <d v="2026-03-05T10:25:00"/>
    <x v="1"/>
    <s v="Zara Hussain"/>
    <s v="Multan"/>
    <s v="Portal"/>
    <s v="General Inquiry"/>
    <s v="Medium"/>
    <n v="24"/>
    <s v="Resolved"/>
    <d v="2026-03-06T04:05:00"/>
    <s v="Yes"/>
    <m/>
    <s v="Technical Issue Resolved Remotely"/>
    <n v="17.666666666627862"/>
  </r>
  <r>
    <s v="TCK-20590"/>
    <d v="2026-04-25T18:45:00"/>
    <x v="1"/>
    <s v="Zara Hussain"/>
    <s v="Islamabad"/>
    <s v="Phone"/>
    <s v="Refund Request"/>
    <s v="Low"/>
    <n v="48"/>
    <s v="Closed"/>
    <d v="2026-04-26T22:55:00"/>
    <s v="No"/>
    <n v="5"/>
    <s v="Technical Issue Resolved Remotely"/>
    <n v="28.166666666627862"/>
  </r>
  <r>
    <s v="TCK-22223"/>
    <d v="2026-03-26T00:24:00"/>
    <x v="2"/>
    <s v="Bilal Chaudhry"/>
    <s v="Rawalpindi"/>
    <s v="Chat"/>
    <s v="Technical Issue"/>
    <s v="Critical"/>
    <n v="4"/>
    <s v="Closed"/>
    <d v="2026-03-26T07:07:00"/>
    <s v="No"/>
    <n v="5"/>
    <s v="Required Follow-Up Call"/>
    <n v="6.7166666665580124"/>
  </r>
  <r>
    <s v="TCK-21933"/>
    <d v="2026-03-21T12:26:00"/>
    <x v="1"/>
    <s v="Ayaan Khalid"/>
    <s v="Rawalpindi"/>
    <s v="Portal"/>
    <s v="Technical Issue"/>
    <s v="Low"/>
    <n v="48"/>
    <s v="In Progress"/>
    <s v="Missing Resolve Date"/>
    <s v="No"/>
    <m/>
    <s v="Escalated To Senior Agent"/>
    <s v=""/>
  </r>
  <r>
    <s v="TCK-21985"/>
    <d v="2026-08-27T05:37:00"/>
    <x v="0"/>
    <s v="Sadia Anwar"/>
    <s v="Faisalabad"/>
    <s v="Chat"/>
    <s v="Billing Issue"/>
    <s v="High"/>
    <n v="8"/>
    <s v="Resolved"/>
    <d v="2026-08-27T09:47:00"/>
    <s v="No"/>
    <n v="4"/>
    <s v="Escalated To Senior Agent"/>
    <n v="4.1666666666278616"/>
  </r>
  <r>
    <s v="TCK-20003"/>
    <d v="2026-07-31T13:19:00"/>
    <x v="2"/>
    <s v="Bilal Chaudhry"/>
    <s v="Lahore"/>
    <s v="Portal"/>
    <s v="Account Access"/>
    <s v="High"/>
    <n v="8"/>
    <s v="Resolved"/>
    <d v="2026-07-31T16:57:00"/>
    <s v="No"/>
    <n v="5"/>
    <s v="Technical Issue Resolved Remotely"/>
    <n v="3.6333333334769122"/>
  </r>
  <r>
    <s v="TCK-22248"/>
    <d v="2026-07-02T05:06:00"/>
    <x v="1"/>
    <s v="Ayaan Khalid"/>
    <s v="Rawalpindi"/>
    <s v="Email"/>
    <s v="Billing Issue"/>
    <s v="Medium"/>
    <n v="24"/>
    <s v="Open"/>
    <s v="Missing Resolve Date"/>
    <s v="No"/>
    <m/>
    <s v="Technical Issue Resolved Remotely"/>
    <s v=""/>
  </r>
  <r>
    <s v="TCK-20357"/>
    <d v="2026-04-11T09:05:00"/>
    <x v="2"/>
    <s v="Mahnoor Aslam"/>
    <s v="Karachi"/>
    <s v="Portal"/>
    <s v="Technical Issue"/>
    <s v="Medium"/>
    <n v="24"/>
    <s v="In Progress"/>
    <s v="Missing Resolve Date"/>
    <s v="No"/>
    <m/>
    <s v="Required Follow-Up Call"/>
    <s v=""/>
  </r>
  <r>
    <s v="TCK-21823"/>
    <d v="2026-06-14T09:45:00"/>
    <x v="3"/>
    <s v="Talha Nadeem"/>
    <s v="Multan"/>
    <s v="Chat"/>
    <s v="Refund Request"/>
    <s v="Low"/>
    <n v="48"/>
    <s v="Escalated"/>
    <s v="Missing Resolve Date"/>
    <s v="Yes"/>
    <m/>
    <s v="Customer Satisfied With Resolution"/>
    <s v=""/>
  </r>
  <r>
    <s v="TCK-22956"/>
    <d v="2026-03-02T13:30:00"/>
    <x v="3"/>
    <s v="Iqra Basit"/>
    <s v="Faisalabad"/>
    <s v="Email"/>
    <s v="Technical Issue"/>
    <s v="Critical"/>
    <n v="4"/>
    <s v="Closed"/>
    <d v="2026-03-02T14:50:00"/>
    <s v="No"/>
    <n v="5"/>
    <s v="Escalated To Senior Agent"/>
    <n v="1.3333333333139308"/>
  </r>
  <r>
    <s v="TCK-20363"/>
    <d v="2026-07-19T17:52:00"/>
    <x v="2"/>
    <s v="Mahnoor Aslam"/>
    <s v="Peshawar"/>
    <s v="Portal"/>
    <s v="Billing Issue"/>
    <s v="Low"/>
    <n v="48"/>
    <s v="Resolved"/>
    <d v="2026-07-20T07:36:00"/>
    <s v="No"/>
    <m/>
    <s v="Not Specified"/>
    <n v="13.733333333395422"/>
  </r>
  <r>
    <s v="TCK-21773"/>
    <d v="2026-07-30T08:14:00"/>
    <x v="2"/>
    <s v="Bilal Chaudhry"/>
    <s v="Multan"/>
    <s v="Chat"/>
    <s v="Refund Request"/>
    <s v="Critical"/>
    <n v="4"/>
    <s v="Resolved"/>
    <d v="2026-07-30T13:24:00"/>
    <s v="No"/>
    <n v="3"/>
    <s v="Awaiting Customer Response"/>
    <n v="5.1666666667442769"/>
  </r>
  <r>
    <s v="TCK-21515"/>
    <d v="2026-08-26T14:48:00"/>
    <x v="3"/>
    <s v="Iqra Basit"/>
    <s v="Islamabad"/>
    <s v="Phone"/>
    <s v="Billing Issue"/>
    <s v="Critical"/>
    <n v="4"/>
    <s v="Resolved"/>
    <d v="2026-08-26T15:34:00"/>
    <s v="No"/>
    <n v="3"/>
    <s v="Customer Requested Refund"/>
    <n v="0.76666666654637083"/>
  </r>
  <r>
    <s v="TCK-21412"/>
    <d v="2026-04-24T02:58:00"/>
    <x v="1"/>
    <s v="Ayaan Khalid"/>
    <s v="Karachi"/>
    <s v="Phone"/>
    <s v="Technical Issue"/>
    <s v="Low"/>
    <n v="48"/>
    <s v="Closed"/>
    <d v="2026-04-24T21:30:00"/>
    <s v="No"/>
    <n v="2"/>
    <s v="Technical Issue Resolved Remotely"/>
    <n v="18.533333333325572"/>
  </r>
  <r>
    <s v="TCK-20246"/>
    <d v="2026-03-08T23:50:00"/>
    <x v="0"/>
    <s v="Sadia Anwar"/>
    <s v="Islamabad"/>
    <s v="Chat"/>
    <s v="Billing Issue"/>
    <s v="Medium"/>
    <n v="24"/>
    <s v="Closed"/>
    <d v="2026-03-09T07:27:00"/>
    <s v="No"/>
    <m/>
    <s v="Awaiting Customer Response"/>
    <n v="7.6166666666977108"/>
  </r>
  <r>
    <s v="TCK-21398"/>
    <d v="2026-05-17T11:19:00"/>
    <x v="0"/>
    <s v="Rehan Qureshi"/>
    <s v="Islamabad"/>
    <s v="Email"/>
    <s v="Technical Issue"/>
    <s v="Low"/>
    <n v="48"/>
    <s v="Resolved"/>
    <d v="2026-05-17T17:18:00"/>
    <s v="No"/>
    <n v="3"/>
    <s v="Awaiting Customer Response"/>
    <n v="5.9833333332790062"/>
  </r>
  <r>
    <s v="TCK-20472"/>
    <d v="2026-07-31T21:42:00"/>
    <x v="0"/>
    <s v="Sadia Anwar"/>
    <s v="Islamabad"/>
    <s v="Portal"/>
    <s v="Billing Issue"/>
    <s v="Low"/>
    <n v="48"/>
    <s v="In Progress"/>
    <s v="Missing Resolve Date"/>
    <s v="No"/>
    <m/>
    <s v="Escalated To Senior Agent"/>
    <s v=""/>
  </r>
  <r>
    <s v="TCK-20320"/>
    <d v="2026-07-09T10:45:00"/>
    <x v="2"/>
    <s v="Bilal Chaudhry"/>
    <s v="Rawalpindi"/>
    <s v="Chat"/>
    <s v="Billing Issue"/>
    <s v="Medium"/>
    <n v="24"/>
    <s v="Resolved"/>
    <d v="2026-07-12T02:06:00"/>
    <s v="No"/>
    <n v="1"/>
    <s v="Escalated To Senior Agent"/>
    <n v="63.350000000093132"/>
  </r>
  <r>
    <s v="TCK-20844"/>
    <d v="2026-08-27T23:29:00"/>
    <x v="3"/>
    <s v="Talha Nadeem"/>
    <s v="Karachi"/>
    <s v="Chat"/>
    <s v="Delivery Delay"/>
    <s v="Medium"/>
    <n v="24"/>
    <s v="Resolved"/>
    <d v="2026-08-30T13:15:00"/>
    <s v="No"/>
    <n v="1"/>
    <s v="Required Follow-Up Call"/>
    <n v="61.766666666662786"/>
  </r>
  <r>
    <s v="TCK-22835"/>
    <d v="2026-06-04T20:23:00"/>
    <x v="0"/>
    <s v="Rehan Qureshi"/>
    <s v="Faisalabad"/>
    <s v="Chat"/>
    <s v="Billing Issue"/>
    <s v="Medium"/>
    <n v="24"/>
    <s v="Closed"/>
    <d v="2026-06-05T08:41:00"/>
    <s v="No"/>
    <n v="2"/>
    <s v="Technical Issue Resolved Remotely"/>
    <n v="12.299999999930151"/>
  </r>
  <r>
    <s v="TCK-22397"/>
    <d v="2026-04-11T00:45:00"/>
    <x v="0"/>
    <s v="Sadia Anwar"/>
    <s v="Multan"/>
    <s v="Email"/>
    <s v="Delivery Delay"/>
    <s v="High"/>
    <n v="8"/>
    <s v="Closed"/>
    <d v="2026-04-11T07:56:00"/>
    <s v="No"/>
    <m/>
    <s v="Repeat Issue From Same Customer"/>
    <n v="7.1833333333488554"/>
  </r>
  <r>
    <s v="TCK-20942"/>
    <d v="2026-04-29T08:52:00"/>
    <x v="3"/>
    <s v="Iqra Basit"/>
    <s v="Faisalabad"/>
    <s v="Portal"/>
    <s v="General Inquiry"/>
    <s v="High"/>
    <n v="8"/>
    <s v="Resolved"/>
    <d v="2026-04-30T06:12:00"/>
    <s v="No"/>
    <n v="3"/>
    <s v="Not Specified"/>
    <n v="21.333333333372138"/>
  </r>
  <r>
    <s v="TCK-21105"/>
    <d v="2026-08-28T21:17:00"/>
    <x v="3"/>
    <s v="Iqra Basit"/>
    <s v="Peshawar"/>
    <s v="Portal"/>
    <s v="Technical Issue"/>
    <s v="Medium"/>
    <n v="24"/>
    <s v="Resolved"/>
    <d v="2026-08-30T16:06:00"/>
    <s v="No"/>
    <n v="5"/>
    <s v="Customer Requested Refund"/>
    <n v="42.816666666534729"/>
  </r>
  <r>
    <s v="TCK-21305"/>
    <d v="2026-03-03T17:25:00"/>
    <x v="0"/>
    <s v="Rehan Qureshi"/>
    <s v="Multan"/>
    <s v="Phone"/>
    <s v="General Inquiry"/>
    <s v="High"/>
    <n v="8"/>
    <s v="In Progress"/>
    <s v="Missing Resolve Date"/>
    <s v="Yes"/>
    <m/>
    <s v="Repeat Issue From Same Customer"/>
    <s v=""/>
  </r>
  <r>
    <s v="TCK-20448"/>
    <d v="2026-01-02T07:34:00"/>
    <x v="3"/>
    <s v="Iqra Basit"/>
    <s v="Lahore"/>
    <s v="Portal"/>
    <s v="Account Access"/>
    <s v="Low"/>
    <n v="48"/>
    <s v="Re-Opened"/>
    <d v="2026-01-02T22:23:00"/>
    <s v="No"/>
    <m/>
    <s v="Escalated To Senior Agent"/>
    <n v="14.816666666592937"/>
  </r>
  <r>
    <s v="TCK-21553"/>
    <d v="2026-03-23T01:26:00"/>
    <x v="0"/>
    <s v="Sadia Anwar"/>
    <s v="Lahore"/>
    <s v="Email"/>
    <s v="Account Access"/>
    <s v="High"/>
    <n v="8"/>
    <s v="Escalated"/>
    <s v="Missing Resolve Date"/>
    <s v="Yes"/>
    <m/>
    <s v="Awaiting Customer Response"/>
    <s v=""/>
  </r>
  <r>
    <s v="TCK-22803"/>
    <d v="2026-02-20T16:19:00"/>
    <x v="0"/>
    <s v="Rehan Qureshi"/>
    <s v="Peshawar"/>
    <s v="Chat"/>
    <s v="Delivery Delay"/>
    <s v="Medium"/>
    <n v="24"/>
    <s v="In Progress"/>
    <s v="Missing Resolve Date"/>
    <s v="No"/>
    <m/>
    <s v="Customer Satisfied With Resolution"/>
    <s v=""/>
  </r>
  <r>
    <s v="TCK-20354"/>
    <d v="2026-04-10T01:25:00"/>
    <x v="3"/>
    <s v="Iqra Basit"/>
    <s v="Karachi"/>
    <s v="Phone"/>
    <s v="Refund Request"/>
    <s v="Medium"/>
    <n v="24"/>
    <s v="Closed"/>
    <d v="2026-04-11T12:32:00"/>
    <s v="No"/>
    <n v="5"/>
    <s v="Technical Issue Resolved Remotely"/>
    <n v="35.116666666581295"/>
  </r>
  <r>
    <s v="TCK-22866"/>
    <d v="2026-06-15T23:37:00"/>
    <x v="1"/>
    <s v="Ayaan Khalid"/>
    <s v="Peshawar"/>
    <s v="Phone"/>
    <s v="Account Access"/>
    <s v="Medium"/>
    <n v="24"/>
    <s v="Closed"/>
    <d v="2026-06-16T06:54:00"/>
    <s v="No"/>
    <n v="5"/>
    <s v="Not Specified"/>
    <n v="7.2833333333255723"/>
  </r>
  <r>
    <s v="TCK-20313"/>
    <d v="2026-03-27T19:51:00"/>
    <x v="2"/>
    <s v="Mahnoor Aslam"/>
    <s v="Faisalabad"/>
    <s v="Portal"/>
    <s v="General Inquiry"/>
    <s v="Medium"/>
    <n v="24"/>
    <s v="Resolved"/>
    <d v="2026-03-28T05:03:00"/>
    <s v="No"/>
    <n v="5"/>
    <s v="Escalated To Senior Agent"/>
    <n v="9.2000000001280569"/>
  </r>
  <r>
    <s v="TCK-21722"/>
    <d v="2026-01-11T04:08:00"/>
    <x v="1"/>
    <s v="Zara Hussain"/>
    <s v="Lahore"/>
    <s v="Portal"/>
    <s v="Account Access"/>
    <s v="Low"/>
    <n v="48"/>
    <s v="Escalated"/>
    <s v="Missing Resolve Date"/>
    <s v="Yes"/>
    <m/>
    <s v="Resolved On First Contact"/>
    <s v=""/>
  </r>
  <r>
    <s v="TCK-20818"/>
    <d v="2026-01-09T11:03:00"/>
    <x v="1"/>
    <s v="Zara Hussain"/>
    <s v="Rawalpindi"/>
    <s v="Email"/>
    <s v="Billing Issue"/>
    <s v="High"/>
    <n v="8"/>
    <s v="Escalated"/>
    <s v="Missing Resolve Date"/>
    <s v="Yes"/>
    <m/>
    <s v="Technical Issue Resolved Remotely"/>
    <s v=""/>
  </r>
  <r>
    <s v="TCK-20551"/>
    <d v="2026-06-04T07:53:00"/>
    <x v="1"/>
    <s v="Ayaan Khalid"/>
    <s v="Multan"/>
    <s v="Phone"/>
    <s v="Billing Issue"/>
    <s v="Low"/>
    <n v="48"/>
    <s v="Escalated"/>
    <s v="Missing Resolve Date"/>
    <s v="Yes"/>
    <m/>
    <s v="Repeat Issue From Same Customer"/>
    <s v=""/>
  </r>
  <r>
    <s v="TCK-21742"/>
    <d v="2026-07-08T13:33:00"/>
    <x v="2"/>
    <s v="Bilal Chaudhry"/>
    <s v="Islamabad"/>
    <s v="Email"/>
    <s v="Delivery Delay"/>
    <s v="Low"/>
    <n v="48"/>
    <s v="Resolved"/>
    <d v="2026-07-11T00:23:00"/>
    <s v="No"/>
    <n v="4"/>
    <s v="Customer Requested Refund"/>
    <n v="58.833333333372138"/>
  </r>
  <r>
    <s v="TCK-22285"/>
    <d v="2026-08-11T10:36:00"/>
    <x v="1"/>
    <s v="Zara Hussain"/>
    <s v="Multan"/>
    <s v="Chat"/>
    <s v="Technical Issue"/>
    <s v="High"/>
    <n v="8"/>
    <s v="Resolved"/>
    <d v="2026-08-11T13:36:00"/>
    <s v="No"/>
    <m/>
    <s v="Customer Satisfied With Resolution"/>
    <n v="3"/>
  </r>
  <r>
    <s v="TCK-21659"/>
    <d v="2026-03-13T04:28:00"/>
    <x v="0"/>
    <s v="Rehan Qureshi"/>
    <s v="Karachi"/>
    <s v="Email"/>
    <s v="Billing Issue"/>
    <s v="Low"/>
    <n v="48"/>
    <s v="Closed"/>
    <d v="2026-03-13T22:22:00"/>
    <s v="No"/>
    <n v="3"/>
    <s v="Escalated To Senior Agent"/>
    <n v="17.89999999984866"/>
  </r>
  <r>
    <s v="TCK-23178"/>
    <d v="2026-04-19T03:09:00"/>
    <x v="3"/>
    <s v="Iqra Basit"/>
    <s v="Faisalabad"/>
    <s v="Email"/>
    <s v="Account Access"/>
    <s v="Medium"/>
    <n v="24"/>
    <s v="Closed"/>
    <d v="2026-04-19T07:38:00"/>
    <s v="No"/>
    <m/>
    <s v="Customer Requested Refund"/>
    <n v="4.4833333334536292"/>
  </r>
  <r>
    <s v="TCK-21378"/>
    <d v="2026-05-17T07:23:00"/>
    <x v="0"/>
    <s v="Sadia Anwar"/>
    <s v="Karachi"/>
    <s v="Chat"/>
    <s v="General Inquiry"/>
    <s v="Medium"/>
    <n v="24"/>
    <s v="Open"/>
    <s v="Missing Resolve Date"/>
    <s v="Yes"/>
    <m/>
    <s v="Customer Requested Refund"/>
    <s v=""/>
  </r>
  <r>
    <s v="TCK-22289"/>
    <d v="2026-01-05T06:28:00"/>
    <x v="2"/>
    <s v="Mahnoor Aslam"/>
    <s v="Karachi"/>
    <s v="Email"/>
    <s v="Account Access"/>
    <s v="Critical"/>
    <n v="4"/>
    <s v="Resolved"/>
    <d v="2026-01-05T08:33:00"/>
    <s v="No"/>
    <n v="1"/>
    <s v="Not Specified"/>
    <n v="2.0833333333139308"/>
  </r>
  <r>
    <s v="TCK-22946"/>
    <d v="2026-04-01T04:14:00"/>
    <x v="2"/>
    <s v="Mahnoor Aslam"/>
    <s v="Karachi"/>
    <s v="Portal"/>
    <s v="Technical Issue"/>
    <s v="Critical"/>
    <n v="4"/>
    <s v="In Progress"/>
    <s v="Missing Resolve Date"/>
    <s v="No"/>
    <m/>
    <s v="Resolved On First Contact"/>
    <s v=""/>
  </r>
  <r>
    <s v="TCK-21005"/>
    <d v="2026-05-11T15:14:00"/>
    <x v="2"/>
    <s v="Mahnoor Aslam"/>
    <s v="Peshawar"/>
    <s v="Phone"/>
    <s v="Refund Request"/>
    <s v="Medium"/>
    <n v="24"/>
    <s v="Resolved"/>
    <d v="2026-05-12T10:55:00"/>
    <s v="No"/>
    <n v="2"/>
    <s v="Customer Requested Refund"/>
    <n v="19.68333333323244"/>
  </r>
  <r>
    <s v="TCK-23134"/>
    <d v="2026-04-23T22:39:00"/>
    <x v="1"/>
    <s v="Zara Hussain"/>
    <s v="Karachi"/>
    <s v="Chat"/>
    <s v="Delivery Delay"/>
    <s v="Medium"/>
    <n v="24"/>
    <s v="Closed"/>
    <d v="2026-04-24T12:52:00"/>
    <s v="No"/>
    <m/>
    <s v="Required Follow-Up Call"/>
    <n v="14.216666666732635"/>
  </r>
  <r>
    <s v="TCK-21592"/>
    <d v="2026-01-17T08:22:00"/>
    <x v="0"/>
    <s v="Rehan Qureshi"/>
    <s v="Lahore"/>
    <s v="Chat"/>
    <s v="Refund Request"/>
    <s v="Medium"/>
    <n v="24"/>
    <s v="Resolved"/>
    <d v="2026-01-17T11:01:00"/>
    <s v="No"/>
    <m/>
    <s v="Awaiting Customer Response"/>
    <n v="2.6499999999068677"/>
  </r>
  <r>
    <s v="TCK-20812"/>
    <d v="2026-01-13T02:34:00"/>
    <x v="3"/>
    <s v="Iqra Basit"/>
    <s v="Multan"/>
    <s v="Phone"/>
    <s v="Refund Request"/>
    <s v="Medium"/>
    <n v="24"/>
    <s v="Closed"/>
    <d v="2026-01-13T05:17:00"/>
    <s v="No"/>
    <m/>
    <s v="Awaiting Customer Response"/>
    <n v="2.71666666661622"/>
  </r>
  <r>
    <s v="TCK-21220"/>
    <d v="2026-02-12T13:00:00"/>
    <x v="0"/>
    <s v="Sadia Anwar"/>
    <s v="Lahore"/>
    <s v="Phone"/>
    <s v="Refund Request"/>
    <s v="Low"/>
    <n v="48"/>
    <s v="Closed"/>
    <d v="2026-02-13T20:09:00"/>
    <s v="No"/>
    <m/>
    <s v="Escalated To Senior Agent"/>
    <n v="31.150000000081491"/>
  </r>
  <r>
    <s v="TCK-20210"/>
    <d v="2026-08-04T12:21:00"/>
    <x v="1"/>
    <s v="Ayaan Khalid"/>
    <s v="Islamabad"/>
    <s v="Email"/>
    <s v="Technical Issue"/>
    <s v="Medium"/>
    <n v="24"/>
    <s v="Resolved"/>
    <d v="2026-08-04T17:55:00"/>
    <s v="No"/>
    <n v="1"/>
    <s v="Customer Requested Refund"/>
    <n v="5.5666666668257676"/>
  </r>
  <r>
    <s v="TCK-22548"/>
    <d v="2026-04-19T23:50:00"/>
    <x v="1"/>
    <s v="Zara Hussain"/>
    <s v="Faisalabad"/>
    <s v="Email"/>
    <s v="Account Access"/>
    <s v="Low"/>
    <n v="48"/>
    <s v="In Progress"/>
    <s v="Missing Resolve Date"/>
    <s v="No"/>
    <m/>
    <s v="Not Specified"/>
    <s v=""/>
  </r>
  <r>
    <s v="TCK-23011"/>
    <d v="2026-03-23T10:25:00"/>
    <x v="3"/>
    <s v="Iqra Basit"/>
    <s v="Karachi"/>
    <s v="Chat"/>
    <s v="Delivery Delay"/>
    <s v="Critical"/>
    <n v="4"/>
    <s v="Re-Opened"/>
    <d v="2026-03-23T11:48:00"/>
    <s v="No"/>
    <m/>
    <s v="Awaiting Customer Response"/>
    <n v="1.3833333333022892"/>
  </r>
  <r>
    <s v="TCK-22936"/>
    <d v="2026-01-19T22:23:00"/>
    <x v="3"/>
    <s v="Talha Nadeem"/>
    <s v="Islamabad"/>
    <s v="Email"/>
    <s v="Refund Request"/>
    <s v="High"/>
    <n v="8"/>
    <s v="In Progress"/>
    <s v="Missing Resolve Date"/>
    <s v="No"/>
    <m/>
    <s v="Awaiting Customer Response"/>
    <s v=""/>
  </r>
  <r>
    <s v="TCK-22787"/>
    <d v="2026-08-06T13:25:00"/>
    <x v="0"/>
    <s v="Rehan Qureshi"/>
    <s v="Peshawar"/>
    <s v="Portal"/>
    <s v="Account Access"/>
    <s v="Medium"/>
    <n v="24"/>
    <s v="Resolved"/>
    <d v="2026-08-07T05:19:00"/>
    <s v="No"/>
    <n v="3"/>
    <s v="Repeat Issue From Same Customer"/>
    <n v="15.899999999965075"/>
  </r>
  <r>
    <s v="TCK-20822"/>
    <d v="2026-02-21T07:15:00"/>
    <x v="2"/>
    <s v="Mahnoor Aslam"/>
    <s v="Karachi"/>
    <s v="Email"/>
    <s v="Account Access"/>
    <s v="High"/>
    <n v="8"/>
    <s v="Resolved"/>
    <d v="2026-02-22T02:39:00"/>
    <s v="No"/>
    <m/>
    <s v="Technical Issue Resolved Remotely"/>
    <n v="19.400000000023283"/>
  </r>
  <r>
    <s v="TCK-21570"/>
    <d v="2026-04-12T14:48:00"/>
    <x v="0"/>
    <s v="Rehan Qureshi"/>
    <s v="Islamabad"/>
    <s v="Portal"/>
    <s v="Technical Issue"/>
    <s v="Medium"/>
    <n v="24"/>
    <s v="In Progress"/>
    <s v="Missing Resolve Date"/>
    <s v="No"/>
    <m/>
    <s v="Technical Issue Resolved Remotely"/>
    <s v=""/>
  </r>
  <r>
    <s v="TCK-20306"/>
    <d v="2026-06-27T17:12:00"/>
    <x v="2"/>
    <s v="Mahnoor Aslam"/>
    <s v="Islamabad"/>
    <s v="Email"/>
    <s v="Delivery Delay"/>
    <s v="Critical"/>
    <n v="4"/>
    <s v="Resolved"/>
    <d v="2026-06-27T18:57:00"/>
    <s v="No"/>
    <m/>
    <s v="Technical Issue Resolved Remotely"/>
    <n v="1.7499999999417923"/>
  </r>
  <r>
    <s v="TCK-22620"/>
    <d v="2026-02-01T18:14:00"/>
    <x v="0"/>
    <s v="Sadia Anwar"/>
    <s v="Multan"/>
    <s v="Portal"/>
    <s v="Account Access"/>
    <s v="High"/>
    <n v="8"/>
    <s v="Open"/>
    <s v="Missing Resolve Date"/>
    <s v="No"/>
    <m/>
    <s v="Not Specified"/>
    <s v=""/>
  </r>
  <r>
    <s v="TCK-20183"/>
    <d v="2026-08-23T01:41:00"/>
    <x v="2"/>
    <s v="Mahnoor Aslam"/>
    <s v="Rawalpindi"/>
    <s v="Phone"/>
    <s v="Refund Request"/>
    <s v="Medium"/>
    <n v="24"/>
    <s v="Escalated"/>
    <s v="Missing Resolve Date"/>
    <s v="Yes"/>
    <m/>
    <s v="Not Specified"/>
    <s v=""/>
  </r>
  <r>
    <s v="TCK-20909"/>
    <d v="2026-05-19T22:58:00"/>
    <x v="1"/>
    <s v="Zara Hussain"/>
    <s v="Rawalpindi"/>
    <s v="Chat"/>
    <s v="Billing Issue"/>
    <s v="High"/>
    <n v="8"/>
    <s v="Re-Opened"/>
    <d v="2026-05-20T03:40:00"/>
    <s v="No"/>
    <m/>
    <s v="Required Follow-Up Call"/>
    <n v="4.7000000001280569"/>
  </r>
  <r>
    <s v="TCK-21059"/>
    <d v="2026-06-02T06:05:00"/>
    <x v="2"/>
    <s v="Bilal Chaudhry"/>
    <s v="Rawalpindi"/>
    <s v="Email"/>
    <s v="Technical Issue"/>
    <s v="Medium"/>
    <n v="24"/>
    <s v="Resolved"/>
    <d v="2026-06-04T12:23:00"/>
    <s v="No"/>
    <n v="2"/>
    <s v="Escalated To Senior Agent"/>
    <n v="54.300000000104774"/>
  </r>
  <r>
    <s v="TCK-20795"/>
    <d v="2026-06-30T07:23:00"/>
    <x v="2"/>
    <s v="Bilal Chaudhry"/>
    <s v="Lahore"/>
    <s v="Email"/>
    <s v="Account Access"/>
    <s v="Low"/>
    <n v="48"/>
    <s v="Closed"/>
    <d v="2026-07-01T05:19:00"/>
    <s v="No"/>
    <m/>
    <s v="Repeat Issue From Same Customer"/>
    <n v="21.933333333407063"/>
  </r>
  <r>
    <s v="TCK-20774"/>
    <d v="2026-08-23T13:24:00"/>
    <x v="2"/>
    <s v="Mahnoor Aslam"/>
    <s v="Rawalpindi"/>
    <s v="Portal"/>
    <s v="Delivery Delay"/>
    <s v="Medium"/>
    <n v="24"/>
    <s v="Closed"/>
    <d v="2026-08-23T21:11:00"/>
    <s v="No"/>
    <n v="4"/>
    <s v="Awaiting Customer Response"/>
    <n v="7.78333333338378"/>
  </r>
  <r>
    <s v="TCK-21752"/>
    <d v="2026-04-10T10:38:00"/>
    <x v="1"/>
    <s v="Zara Hussain"/>
    <s v="Rawalpindi"/>
    <s v="Phone"/>
    <s v="Refund Request"/>
    <s v="High"/>
    <n v="8"/>
    <s v="Closed"/>
    <d v="2026-04-11T04:20:00"/>
    <s v="Yes"/>
    <n v="1"/>
    <s v="Resolved On First Contact"/>
    <n v="17.699999999895226"/>
  </r>
  <r>
    <s v="TCK-22301"/>
    <d v="2026-05-22T06:22:00"/>
    <x v="3"/>
    <s v="Talha Nadeem"/>
    <s v="Lahore"/>
    <s v="Chat"/>
    <s v="Billing Issue"/>
    <s v="High"/>
    <n v="8"/>
    <s v="Open"/>
    <s v="Missing Resolve Date"/>
    <s v="No"/>
    <m/>
    <s v="Repeat Issue From Same Customer"/>
    <s v=""/>
  </r>
  <r>
    <s v="TCK-21708"/>
    <d v="2026-04-17T01:32:00"/>
    <x v="1"/>
    <s v="Zara Hussain"/>
    <s v="Peshawar"/>
    <s v="Chat"/>
    <s v="Refund Request"/>
    <s v="Low"/>
    <n v="48"/>
    <s v="Closed"/>
    <d v="2026-04-17T22:09:00"/>
    <s v="No"/>
    <n v="3"/>
    <s v="Repeat Issue From Same Customer"/>
    <n v="20.616666666814126"/>
  </r>
  <r>
    <s v="TCK-20456"/>
    <d v="2026-08-15T11:15:00"/>
    <x v="2"/>
    <s v="Bilal Chaudhry"/>
    <s v="Peshawar"/>
    <s v="Email"/>
    <s v="Refund Request"/>
    <s v="Low"/>
    <n v="48"/>
    <s v="Closed"/>
    <d v="2026-08-15T19:27:00"/>
    <s v="No"/>
    <n v="5"/>
    <s v="Repeat Issue From Same Customer"/>
    <n v="8.2000000000116415"/>
  </r>
  <r>
    <s v="TCK-21191"/>
    <d v="2026-02-07T21:05:00"/>
    <x v="0"/>
    <s v="Rehan Qureshi"/>
    <s v="Faisalabad"/>
    <s v="Portal"/>
    <s v="Account Access"/>
    <s v="Low"/>
    <n v="48"/>
    <s v="Resolved"/>
    <d v="2026-02-08T22:45:00"/>
    <s v="No"/>
    <m/>
    <s v="Awaiting Customer Response"/>
    <n v="25.666666666686069"/>
  </r>
  <r>
    <s v="TCK-21941"/>
    <d v="2026-01-07T18:43:00"/>
    <x v="3"/>
    <s v="Iqra Basit"/>
    <s v="Faisalabad"/>
    <s v="Portal"/>
    <s v="General Inquiry"/>
    <s v="Medium"/>
    <n v="24"/>
    <s v="Resolved"/>
    <d v="2026-01-08T10:26:00"/>
    <s v="No"/>
    <m/>
    <s v="Technical Issue Resolved Remotely"/>
    <n v="15.716666666558012"/>
  </r>
  <r>
    <s v="TCK-23037"/>
    <d v="2026-03-05T05:40:00"/>
    <x v="0"/>
    <s v="Sadia Anwar"/>
    <s v="Multan"/>
    <s v="Portal"/>
    <s v="Delivery Delay"/>
    <s v="Critical"/>
    <n v="4"/>
    <s v="Resolved"/>
    <d v="2026-03-05T06:31:00"/>
    <s v="No"/>
    <m/>
    <s v="Not Specified"/>
    <n v="0.84999999997671694"/>
  </r>
  <r>
    <s v="TCK-21180"/>
    <d v="2026-03-29T02:21:00"/>
    <x v="2"/>
    <s v="Bilal Chaudhry"/>
    <s v="Karachi"/>
    <s v="Chat"/>
    <s v="Technical Issue"/>
    <s v="Low"/>
    <n v="48"/>
    <s v="Closed"/>
    <d v="2026-03-30T00:31:00"/>
    <s v="No"/>
    <n v="4"/>
    <s v="Escalated To Senior Agent"/>
    <n v="22.166666666627862"/>
  </r>
  <r>
    <s v="TCK-21229"/>
    <d v="2026-05-09T10:30:00"/>
    <x v="2"/>
    <s v="Mahnoor Aslam"/>
    <s v="Rawalpindi"/>
    <s v="Phone"/>
    <s v="Technical Issue"/>
    <s v="High"/>
    <n v="8"/>
    <s v="Escalated"/>
    <s v="Missing Resolve Date"/>
    <s v="Yes"/>
    <m/>
    <s v="Customer Satisfied With Resolution"/>
    <s v=""/>
  </r>
  <r>
    <s v="TCK-22557"/>
    <d v="2026-02-26T09:31:00"/>
    <x v="3"/>
    <s v="Talha Nadeem"/>
    <s v="Lahore"/>
    <s v="Email"/>
    <s v="Technical Issue"/>
    <s v="Medium"/>
    <n v="24"/>
    <s v="Resolved"/>
    <d v="2026-02-26T17:45:00"/>
    <s v="No"/>
    <n v="1"/>
    <s v="Resolved On First Contact"/>
    <n v="8.2333333334536292"/>
  </r>
  <r>
    <s v="TCK-22579"/>
    <d v="2026-05-15T09:17:00"/>
    <x v="2"/>
    <s v="Mahnoor Aslam"/>
    <s v="Rawalpindi"/>
    <s v="Email"/>
    <s v="Billing Issue"/>
    <s v="Low"/>
    <n v="48"/>
    <s v="Open"/>
    <s v="Missing Resolve Date"/>
    <s v="No"/>
    <m/>
    <s v="Escalated To Senior Agent"/>
    <s v=""/>
  </r>
  <r>
    <s v="TCK-22036"/>
    <d v="2026-04-30T08:03:00"/>
    <x v="0"/>
    <s v="Sadia Anwar"/>
    <s v="Islamabad"/>
    <s v="Email"/>
    <s v="Account Access"/>
    <s v="High"/>
    <n v="8"/>
    <s v="In Progress"/>
    <s v="Missing Resolve Date"/>
    <s v="Yes"/>
    <m/>
    <s v="Customer Requested Refund"/>
    <s v=""/>
  </r>
  <r>
    <s v="TCK-20810"/>
    <d v="2026-07-20T08:57:00"/>
    <x v="0"/>
    <s v="Rehan Qureshi"/>
    <s v="Lahore"/>
    <s v="Chat"/>
    <s v="Billing Issue"/>
    <s v="Low"/>
    <n v="48"/>
    <s v="Open"/>
    <s v="Missing Resolve Date"/>
    <s v="No"/>
    <m/>
    <s v="Not Specified"/>
    <s v=""/>
  </r>
  <r>
    <s v="TCK-20746"/>
    <d v="2026-03-03T08:41:00"/>
    <x v="2"/>
    <s v="Mahnoor Aslam"/>
    <s v="Rawalpindi"/>
    <s v="Portal"/>
    <s v="General Inquiry"/>
    <s v="Medium"/>
    <n v="24"/>
    <s v="Open"/>
    <s v="Missing Resolve Date"/>
    <s v="No"/>
    <m/>
    <s v="Required Follow-Up Call"/>
    <s v=""/>
  </r>
  <r>
    <s v="TCK-20516"/>
    <d v="2026-06-07T18:10:00"/>
    <x v="3"/>
    <s v="Iqra Basit"/>
    <s v="Peshawar"/>
    <s v="Phone"/>
    <s v="Account Access"/>
    <s v="High"/>
    <n v="8"/>
    <s v="Open"/>
    <s v="Missing Resolve Date"/>
    <s v="No"/>
    <m/>
    <s v="Customer Satisfied With Resolution"/>
    <s v=""/>
  </r>
  <r>
    <s v="TCK-21510"/>
    <d v="2026-07-13T10:55:00"/>
    <x v="2"/>
    <s v="Bilal Chaudhry"/>
    <s v="Peshawar"/>
    <s v="Chat"/>
    <s v="Delivery Delay"/>
    <s v="Low"/>
    <n v="48"/>
    <s v="Re-Opened"/>
    <d v="2026-07-14T03:10:00"/>
    <s v="No"/>
    <m/>
    <s v="Not Specified"/>
    <n v="16.250000000058208"/>
  </r>
  <r>
    <s v="TCK-20642"/>
    <d v="2026-07-31T09:06:00"/>
    <x v="3"/>
    <s v="Iqra Basit"/>
    <s v="Islamabad"/>
    <s v="Phone"/>
    <s v="General Inquiry"/>
    <s v="Critical"/>
    <n v="4"/>
    <s v="Re-Opened"/>
    <d v="2026-07-31T17:29:00"/>
    <s v="No"/>
    <m/>
    <s v="Repeat Issue From Same Customer"/>
    <n v="8.3833333334187046"/>
  </r>
  <r>
    <s v="TCK-22017"/>
    <d v="2026-04-05T00:53:00"/>
    <x v="3"/>
    <s v="Talha Nadeem"/>
    <s v="Islamabad"/>
    <s v="Phone"/>
    <s v="Billing Issue"/>
    <s v="Low"/>
    <n v="48"/>
    <s v="Resolved"/>
    <d v="2026-04-06T19:26:00"/>
    <s v="No"/>
    <n v="5"/>
    <s v="Customer Requested Refund"/>
    <n v="42.549999999871943"/>
  </r>
  <r>
    <s v="TCK-20519"/>
    <d v="2026-03-08T09:08:00"/>
    <x v="0"/>
    <s v="Sadia Anwar"/>
    <s v="Lahore"/>
    <s v="Chat"/>
    <s v="Delivery Delay"/>
    <s v="Critical"/>
    <n v="4"/>
    <s v="Closed"/>
    <d v="2026-03-08T15:50:00"/>
    <s v="No"/>
    <m/>
    <s v="Technical Issue Resolved Remotely"/>
    <n v="6.6999999998370185"/>
  </r>
  <r>
    <s v="TCK-21874"/>
    <d v="2026-06-15T05:27:00"/>
    <x v="3"/>
    <s v="Talha Nadeem"/>
    <s v="Lahore"/>
    <s v="Email"/>
    <s v="Refund Request"/>
    <s v="Low"/>
    <n v="48"/>
    <s v="Resolved"/>
    <d v="2026-06-15T21:36:00"/>
    <s v="No"/>
    <n v="4"/>
    <s v="Escalated To Senior Agent"/>
    <n v="16.150000000081491"/>
  </r>
  <r>
    <s v="TCK-20126"/>
    <d v="2026-02-10T06:15:00"/>
    <x v="3"/>
    <s v="Iqra Basit"/>
    <s v="Rawalpindi"/>
    <s v="Chat"/>
    <s v="Billing Issue"/>
    <s v="Low"/>
    <n v="48"/>
    <s v="Resolved"/>
    <d v="2026-02-11T14:26:00"/>
    <s v="No"/>
    <m/>
    <s v="Technical Issue Resolved Remotely"/>
    <n v="32.183333333465271"/>
  </r>
  <r>
    <s v="TCK-21817"/>
    <d v="2026-02-11T08:39:00"/>
    <x v="2"/>
    <s v="Bilal Chaudhry"/>
    <s v="Islamabad"/>
    <s v="Portal"/>
    <s v="Technical Issue"/>
    <s v="Medium"/>
    <n v="24"/>
    <s v="Re-Opened"/>
    <s v="Missing Resolve Date"/>
    <s v="No"/>
    <m/>
    <s v="Repeat Issue From Same Customer"/>
    <s v=""/>
  </r>
  <r>
    <s v="TCK-20514"/>
    <d v="2026-04-18T16:39:00"/>
    <x v="1"/>
    <s v="Ayaan Khalid"/>
    <s v="Lahore"/>
    <s v="Phone"/>
    <s v="Billing Issue"/>
    <s v="High"/>
    <n v="8"/>
    <s v="Escalated"/>
    <s v="Missing Resolve Date"/>
    <s v="Yes"/>
    <m/>
    <s v="Repeat Issue From Same Customer"/>
    <s v=""/>
  </r>
  <r>
    <s v="TCK-21060"/>
    <d v="2026-05-21T11:25:00"/>
    <x v="1"/>
    <s v="Ayaan Khalid"/>
    <s v="Peshawar"/>
    <s v="Chat"/>
    <s v="Refund Request"/>
    <s v="Low"/>
    <n v="48"/>
    <s v="Resolved"/>
    <d v="2026-05-23T18:48:00"/>
    <s v="No"/>
    <n v="1"/>
    <s v="Required Follow-Up Call"/>
    <n v="55.383333333302289"/>
  </r>
  <r>
    <s v="TCK-20859"/>
    <d v="2026-03-26T05:13:00"/>
    <x v="0"/>
    <s v="Sadia Anwar"/>
    <s v="Peshawar"/>
    <s v="Email"/>
    <s v="Account Access"/>
    <s v="Critical"/>
    <n v="4"/>
    <s v="Escalated"/>
    <s v="Missing Resolve Date"/>
    <s v="Yes"/>
    <m/>
    <s v="Not Specified"/>
    <s v=""/>
  </r>
  <r>
    <s v="TCK-21761"/>
    <d v="2026-06-12T03:07:00"/>
    <x v="3"/>
    <s v="Talha Nadeem"/>
    <s v="Islamabad"/>
    <s v="Chat"/>
    <s v="General Inquiry"/>
    <s v="Medium"/>
    <n v="24"/>
    <s v="Resolved"/>
    <d v="2026-06-12T09:50:00"/>
    <s v="No"/>
    <n v="5"/>
    <s v="Repeat Issue From Same Customer"/>
    <n v="6.7166666665580124"/>
  </r>
  <r>
    <s v="TCK-20162"/>
    <d v="2026-03-26T14:00:00"/>
    <x v="0"/>
    <s v="Rehan Qureshi"/>
    <s v="Multan"/>
    <s v="Portal"/>
    <s v="Delivery Delay"/>
    <s v="High"/>
    <n v="8"/>
    <s v="In Progress"/>
    <s v="Missing Resolve Date"/>
    <s v="No"/>
    <m/>
    <s v="Not Specified"/>
    <s v=""/>
  </r>
  <r>
    <s v="TCK-20517"/>
    <d v="2026-03-26T06:06:00"/>
    <x v="1"/>
    <s v="Zara Hussain"/>
    <s v="Faisalabad"/>
    <s v="Chat"/>
    <s v="General Inquiry"/>
    <s v="High"/>
    <n v="8"/>
    <s v="Escalated"/>
    <s v="Missing Resolve Date"/>
    <s v="Yes"/>
    <m/>
    <s v="Technical Issue Resolved Remotely"/>
    <s v=""/>
  </r>
  <r>
    <s v="TCK-20627"/>
    <d v="2026-06-26T03:22:00"/>
    <x v="0"/>
    <s v="Sadia Anwar"/>
    <s v="Lahore"/>
    <s v="Phone"/>
    <s v="Technical Issue"/>
    <s v="Medium"/>
    <n v="24"/>
    <s v="Resolved"/>
    <d v="2026-06-28T19:45:00"/>
    <s v="No"/>
    <n v="3"/>
    <s v="Customer Satisfied With Resolution"/>
    <n v="64.383333333302289"/>
  </r>
  <r>
    <s v="TCK-22765"/>
    <d v="2026-01-20T15:40:00"/>
    <x v="0"/>
    <s v="Rehan Qureshi"/>
    <s v="Multan"/>
    <s v="Portal"/>
    <s v="Billing Issue"/>
    <s v="Low"/>
    <n v="48"/>
    <s v="Closed"/>
    <s v="Missing Resolve Date"/>
    <s v="No"/>
    <n v="4"/>
    <s v="Required Follow-Up Call"/>
    <s v=""/>
  </r>
  <r>
    <s v="TCK-21297"/>
    <d v="2026-07-11T15:50:00"/>
    <x v="1"/>
    <s v="Zara Hussain"/>
    <s v="Faisalabad"/>
    <s v="Email"/>
    <s v="Refund Request"/>
    <s v="High"/>
    <n v="8"/>
    <s v="Open"/>
    <s v="Missing Resolve Date"/>
    <s v="No"/>
    <m/>
    <s v="Required Follow-Up Call"/>
    <s v=""/>
  </r>
  <r>
    <s v="TCK-20738"/>
    <d v="2026-03-31T02:22:00"/>
    <x v="3"/>
    <s v="Iqra Basit"/>
    <s v="Lahore"/>
    <s v="Chat"/>
    <s v="Billing Issue"/>
    <s v="Medium"/>
    <n v="24"/>
    <s v="Resolved"/>
    <d v="2026-03-31T11:04:00"/>
    <s v="No"/>
    <n v="5"/>
    <s v="Required Follow-Up Call"/>
    <n v="8.6999999998952262"/>
  </r>
  <r>
    <s v="TCK-21258"/>
    <d v="2026-05-25T23:56:00"/>
    <x v="2"/>
    <s v="Mahnoor Aslam"/>
    <s v="Islamabad"/>
    <s v="Chat"/>
    <s v="Technical Issue"/>
    <s v="High"/>
    <n v="8"/>
    <s v="Resolved"/>
    <d v="2026-05-26T06:38:00"/>
    <s v="No"/>
    <m/>
    <s v="Escalated To Senior Agent"/>
    <n v="6.7000000000116415"/>
  </r>
  <r>
    <s v="TCK-20939"/>
    <d v="2026-07-15T02:20:00"/>
    <x v="0"/>
    <s v="Sadia Anwar"/>
    <s v="Multan"/>
    <s v="Phone"/>
    <s v="General Inquiry"/>
    <s v="Medium"/>
    <n v="24"/>
    <s v="Open"/>
    <s v="Missing Resolve Date"/>
    <s v="No"/>
    <m/>
    <s v="Required Follow-Up Call"/>
    <s v=""/>
  </r>
  <r>
    <s v="TCK-23044"/>
    <d v="2026-08-11T03:05:00"/>
    <x v="2"/>
    <s v="Bilal Chaudhry"/>
    <s v="Rawalpindi"/>
    <s v="Phone"/>
    <s v="Billing Issue"/>
    <s v="Low"/>
    <n v="48"/>
    <s v="Resolved"/>
    <d v="2026-08-11T17:30:00"/>
    <s v="No"/>
    <n v="5"/>
    <s v="Technical Issue Resolved Remotely"/>
    <n v="14.416666666686069"/>
  </r>
  <r>
    <s v="TCK-20098"/>
    <d v="2026-05-16T05:29:00"/>
    <x v="0"/>
    <s v="Sadia Anwar"/>
    <s v="Lahore"/>
    <s v="Email"/>
    <s v="Technical Issue"/>
    <s v="High"/>
    <n v="8"/>
    <s v="Resolved"/>
    <d v="2026-05-16T10:45:00"/>
    <s v="No"/>
    <n v="4"/>
    <s v="Repeat Issue From Same Customer"/>
    <n v="5.2666666665463708"/>
  </r>
  <r>
    <s v="TCK-20938"/>
    <d v="2026-03-24T00:10:00"/>
    <x v="2"/>
    <s v="Bilal Chaudhry"/>
    <s v="Multan"/>
    <s v="Portal"/>
    <s v="Billing Issue"/>
    <s v="Medium"/>
    <n v="24"/>
    <s v="Resolved"/>
    <d v="2026-03-24T13:30:00"/>
    <s v="Yes"/>
    <m/>
    <s v="Not Specified"/>
    <n v="13.333333333313931"/>
  </r>
  <r>
    <s v="TCK-23105"/>
    <d v="2026-02-14T06:13:00"/>
    <x v="0"/>
    <s v="Sadia Anwar"/>
    <s v="Faisalabad"/>
    <s v="Chat"/>
    <s v="General Inquiry"/>
    <s v="Medium"/>
    <n v="24"/>
    <s v="Resolved"/>
    <d v="2026-02-14T17:36:00"/>
    <s v="No"/>
    <m/>
    <s v="Not Specified"/>
    <n v="11.383333333244082"/>
  </r>
  <r>
    <s v="TCK-20602"/>
    <d v="2026-05-06T14:25:00"/>
    <x v="2"/>
    <s v="Bilal Chaudhry"/>
    <s v="Rawalpindi"/>
    <s v="Chat"/>
    <s v="Refund Request"/>
    <s v="Critical"/>
    <n v="4"/>
    <s v="Open"/>
    <s v="Missing Resolve Date"/>
    <s v="No"/>
    <m/>
    <s v="Not Specified"/>
    <s v=""/>
  </r>
  <r>
    <s v="TCK-22101"/>
    <d v="2026-04-10T20:43:00"/>
    <x v="1"/>
    <s v="Zara Hussain"/>
    <s v="Faisalabad"/>
    <s v="Email"/>
    <s v="Billing Issue"/>
    <s v="Medium"/>
    <n v="24"/>
    <s v="Resolved"/>
    <d v="2026-04-11T12:33:00"/>
    <s v="No"/>
    <n v="5"/>
    <s v="Resolved On First Contact"/>
    <n v="15.833333333430346"/>
  </r>
  <r>
    <s v="TCK-23087"/>
    <d v="2026-06-06T04:46:00"/>
    <x v="3"/>
    <s v="Iqra Basit"/>
    <s v="Islamabad"/>
    <s v="Phone"/>
    <s v="General Inquiry"/>
    <s v="Medium"/>
    <n v="24"/>
    <s v="Resolved"/>
    <d v="2026-06-06T09:58:00"/>
    <s v="No"/>
    <m/>
    <s v="Customer Satisfied With Resolution"/>
    <n v="5.2000000000116415"/>
  </r>
  <r>
    <s v="TCK-22423"/>
    <d v="2026-03-08T08:58:00"/>
    <x v="2"/>
    <s v="Bilal Chaudhry"/>
    <s v="Islamabad"/>
    <s v="Portal"/>
    <s v="Delivery Delay"/>
    <s v="Low"/>
    <n v="48"/>
    <s v="Closed"/>
    <s v="Missing Resolve Date"/>
    <s v="No"/>
    <m/>
    <s v="Not Specified"/>
    <s v=""/>
  </r>
  <r>
    <s v="TCK-21015"/>
    <d v="2026-08-19T06:41:00"/>
    <x v="0"/>
    <s v="Rehan Qureshi"/>
    <s v="Lahore"/>
    <s v="Portal"/>
    <s v="Account Access"/>
    <s v="Medium"/>
    <n v="24"/>
    <s v="Escalated"/>
    <s v="Missing Resolve Date"/>
    <s v="Yes"/>
    <m/>
    <s v="Not Specified"/>
    <s v=""/>
  </r>
  <r>
    <s v="TCK-22141"/>
    <d v="2026-07-26T01:14:00"/>
    <x v="2"/>
    <s v="Bilal Chaudhry"/>
    <s v="Rawalpindi"/>
    <s v="Chat"/>
    <s v="Technical Issue"/>
    <s v="Low"/>
    <n v="48"/>
    <s v="Resolved"/>
    <d v="2026-07-27T17:46:00"/>
    <s v="No"/>
    <n v="2"/>
    <s v="Repeat Issue From Same Customer"/>
    <n v="40.533333333267365"/>
  </r>
  <r>
    <s v="TCK-20828"/>
    <d v="2026-07-14T00:38:00"/>
    <x v="0"/>
    <s v="Sadia Anwar"/>
    <s v="Lahore"/>
    <s v="Email"/>
    <s v="Delivery Delay"/>
    <s v="Medium"/>
    <n v="24"/>
    <s v="Open"/>
    <s v="Missing Resolve Date"/>
    <s v="Yes"/>
    <m/>
    <s v="Customer Satisfied With Resolution"/>
    <s v=""/>
  </r>
  <r>
    <s v="TCK-22907"/>
    <d v="2026-08-01T09:16:00"/>
    <x v="3"/>
    <s v="Iqra Basit"/>
    <s v="Karachi"/>
    <s v="Email"/>
    <s v="Technical Issue"/>
    <s v="Critical"/>
    <n v="4"/>
    <s v="Closed"/>
    <d v="2026-08-01T09:57:00"/>
    <s v="No"/>
    <n v="5"/>
    <s v="Technical Issue Resolved Remotely"/>
    <n v="0.68333333329064772"/>
  </r>
  <r>
    <s v="TCK-22374"/>
    <d v="2026-06-10T18:06:00"/>
    <x v="1"/>
    <s v="Ayaan Khalid"/>
    <s v="Peshawar"/>
    <s v="Email"/>
    <s v="Technical Issue"/>
    <s v="High"/>
    <n v="8"/>
    <s v="Closed"/>
    <d v="2026-06-10T22:49:00"/>
    <s v="Yes"/>
    <n v="4"/>
    <s v="Technical Issue Resolved Remotely"/>
    <n v="4.7166666666744277"/>
  </r>
  <r>
    <s v="TCK-20469"/>
    <d v="2026-04-12T06:48:00"/>
    <x v="0"/>
    <s v="Sadia Anwar"/>
    <s v="Lahore"/>
    <s v="Portal"/>
    <s v="Refund Request"/>
    <s v="High"/>
    <n v="8"/>
    <s v="Resolved"/>
    <d v="2026-04-12T07:50:00"/>
    <s v="Yes"/>
    <n v="5"/>
    <s v="Repeat Issue From Same Customer"/>
    <n v="1.03333333338378"/>
  </r>
  <r>
    <s v="TCK-21331"/>
    <d v="2026-06-17T19:20:00"/>
    <x v="3"/>
    <s v="Iqra Basit"/>
    <s v="Islamabad"/>
    <s v="Phone"/>
    <s v="General Inquiry"/>
    <s v="Low"/>
    <n v="48"/>
    <s v="Resolved"/>
    <d v="2026-06-19T10:49:00"/>
    <s v="Yes"/>
    <n v="1"/>
    <s v="Customer Requested Refund"/>
    <n v="39.483333333337214"/>
  </r>
  <r>
    <s v="TCK-22797"/>
    <d v="2026-02-18T09:59:00"/>
    <x v="3"/>
    <s v="Iqra Basit"/>
    <s v="Peshawar"/>
    <s v="Phone"/>
    <s v="Technical Issue"/>
    <s v="Critical"/>
    <n v="4"/>
    <s v="In Progress"/>
    <s v="Missing Resolve Date"/>
    <s v="No"/>
    <m/>
    <s v="Customer Requested Refund"/>
    <s v=""/>
  </r>
  <r>
    <s v="TCK-21848"/>
    <d v="2026-06-24T18:21:00"/>
    <x v="1"/>
    <s v="Zara Hussain"/>
    <s v="Karachi"/>
    <s v="Email"/>
    <s v="Account Access"/>
    <s v="Low"/>
    <n v="48"/>
    <s v="Resolved"/>
    <d v="2026-06-25T12:15:00"/>
    <s v="No"/>
    <n v="2"/>
    <s v="Required Follow-Up Call"/>
    <n v="17.900000000023283"/>
  </r>
  <r>
    <s v="TCK-21263"/>
    <d v="2026-05-28T18:57:00"/>
    <x v="2"/>
    <s v="Bilal Chaudhry"/>
    <s v="Karachi"/>
    <s v="Phone"/>
    <s v="Refund Request"/>
    <s v="Low"/>
    <n v="48"/>
    <s v="Closed"/>
    <d v="2026-05-29T15:02:00"/>
    <s v="No"/>
    <n v="5"/>
    <s v="Resolved On First Contact"/>
    <n v="20.083333333313931"/>
  </r>
  <r>
    <s v="TCK-20524"/>
    <d v="2026-01-08T23:40:00"/>
    <x v="1"/>
    <s v="Zara Hussain"/>
    <s v="Karachi"/>
    <s v="Chat"/>
    <s v="Billing Issue"/>
    <s v="Medium"/>
    <n v="24"/>
    <s v="Resolved"/>
    <d v="2026-01-09T01:13:00"/>
    <s v="No"/>
    <n v="2"/>
    <s v="Customer Satisfied With Resolution"/>
    <n v="1.5499999999883585"/>
  </r>
  <r>
    <s v="TCK-23144"/>
    <d v="2026-03-21T07:45:00"/>
    <x v="0"/>
    <s v="Sadia Anwar"/>
    <s v="Islamabad"/>
    <s v="Email"/>
    <s v="General Inquiry"/>
    <s v="Medium"/>
    <n v="24"/>
    <s v="Closed"/>
    <d v="2026-03-21T11:31:00"/>
    <s v="No"/>
    <m/>
    <s v="Resolved On First Contact"/>
    <n v="3.7666666667209938"/>
  </r>
  <r>
    <s v="TCK-23195"/>
    <d v="2026-01-26T23:36:00"/>
    <x v="2"/>
    <s v="Mahnoor Aslam"/>
    <s v="Multan"/>
    <s v="Phone"/>
    <s v="Technical Issue"/>
    <s v="Medium"/>
    <n v="24"/>
    <s v="Closed"/>
    <d v="2026-01-27T06:42:00"/>
    <s v="No"/>
    <m/>
    <s v="Escalated To Senior Agent"/>
    <n v="7.1000000000931323"/>
  </r>
  <r>
    <s v="TCK-21056"/>
    <d v="2026-08-20T10:49:00"/>
    <x v="0"/>
    <s v="Sadia Anwar"/>
    <s v="Faisalabad"/>
    <s v="Phone"/>
    <s v="General Inquiry"/>
    <s v="Low"/>
    <n v="48"/>
    <s v="Resolved"/>
    <d v="2026-08-25T06:49:00"/>
    <s v="No"/>
    <n v="5"/>
    <s v="Awaiting Customer Response"/>
    <n v="116.00000000005821"/>
  </r>
  <r>
    <s v="TCK-22074"/>
    <d v="2026-08-28T22:35:00"/>
    <x v="3"/>
    <s v="Iqra Basit"/>
    <s v="Peshawar"/>
    <s v="Phone"/>
    <s v="Billing Issue"/>
    <s v="Low"/>
    <n v="48"/>
    <s v="Re-Opened"/>
    <d v="2026-09-02T08:41:00"/>
    <s v="No"/>
    <m/>
    <s v="Awaiting Customer Response"/>
    <n v="106.10000000009313"/>
  </r>
  <r>
    <s v="TCK-21143"/>
    <d v="2026-05-10T20:17:00"/>
    <x v="3"/>
    <s v="Iqra Basit"/>
    <s v="Multan"/>
    <s v="Chat"/>
    <s v="Account Access"/>
    <s v="Low"/>
    <n v="48"/>
    <s v="Resolved"/>
    <d v="2026-05-12T09:34:00"/>
    <s v="No"/>
    <m/>
    <s v="Customer Requested Refund"/>
    <n v="37.283333333325572"/>
  </r>
  <r>
    <s v="TCK-21831"/>
    <d v="2026-03-10T11:24:00"/>
    <x v="0"/>
    <s v="Sadia Anwar"/>
    <s v="Lahore"/>
    <s v="Portal"/>
    <s v="Delivery Delay"/>
    <s v="Medium"/>
    <n v="24"/>
    <s v="In Progress"/>
    <s v="Missing Resolve Date"/>
    <s v="No"/>
    <m/>
    <s v="Resolved On First Contact"/>
    <s v=""/>
  </r>
  <r>
    <s v="TCK-20868"/>
    <d v="2026-07-23T08:42:00"/>
    <x v="1"/>
    <s v="Zara Hussain"/>
    <s v="Karachi"/>
    <s v="Email"/>
    <s v="Account Access"/>
    <s v="High"/>
    <n v="8"/>
    <s v="Closed"/>
    <d v="2026-07-24T08:34:00"/>
    <s v="No"/>
    <n v="2"/>
    <s v="Resolved On First Contact"/>
    <n v="23.866666666581295"/>
  </r>
  <r>
    <s v="TCK-21289"/>
    <d v="2026-02-11T16:45:00"/>
    <x v="2"/>
    <s v="Bilal Chaudhry"/>
    <s v="Karachi"/>
    <s v="Chat"/>
    <s v="Technical Issue"/>
    <s v="High"/>
    <n v="8"/>
    <s v="Resolved"/>
    <d v="2026-02-11T23:37:00"/>
    <s v="No"/>
    <m/>
    <s v="Customer Satisfied With Resolution"/>
    <n v="6.8666666666977108"/>
  </r>
  <r>
    <s v="TCK-21319"/>
    <d v="2026-03-12T18:07:00"/>
    <x v="2"/>
    <s v="Mahnoor Aslam"/>
    <s v="Rawalpindi"/>
    <s v="Email"/>
    <s v="Refund Request"/>
    <s v="Medium"/>
    <n v="24"/>
    <s v="Resolved"/>
    <d v="2026-03-13T08:21:00"/>
    <s v="No"/>
    <n v="3"/>
    <s v="Resolved On First Contact"/>
    <n v="14.233333333279006"/>
  </r>
  <r>
    <s v="TCK-21775"/>
    <d v="2026-07-24T05:21:00"/>
    <x v="3"/>
    <s v="Iqra Basit"/>
    <s v="Multan"/>
    <s v="Phone"/>
    <s v="Account Access"/>
    <s v="Medium"/>
    <n v="24"/>
    <s v="Closed"/>
    <d v="2026-07-25T01:07:00"/>
    <s v="No"/>
    <m/>
    <s v="Required Follow-Up Call"/>
    <n v="19.766666666662786"/>
  </r>
  <r>
    <s v="TCK-20107"/>
    <d v="2026-03-30T23:44:00"/>
    <x v="1"/>
    <s v="Ayaan Khalid"/>
    <s v="Peshawar"/>
    <s v="Email"/>
    <s v="Refund Request"/>
    <s v="Medium"/>
    <n v="24"/>
    <s v="In Progress"/>
    <s v="Missing Resolve Date"/>
    <s v="No"/>
    <m/>
    <s v="Not Specified"/>
    <s v=""/>
  </r>
  <r>
    <s v="TCK-20644"/>
    <d v="2026-01-21T11:40:00"/>
    <x v="2"/>
    <s v="Mahnoor Aslam"/>
    <s v="Peshawar"/>
    <s v="Portal"/>
    <s v="Technical Issue"/>
    <s v="Medium"/>
    <n v="24"/>
    <s v="Resolved"/>
    <d v="2026-01-21T12:21:00"/>
    <s v="No"/>
    <n v="3"/>
    <s v="Required Follow-Up Call"/>
    <n v="0.68333333329064772"/>
  </r>
  <r>
    <s v="TCK-22441"/>
    <d v="2026-04-01T17:55:00"/>
    <x v="3"/>
    <s v="Iqra Basit"/>
    <s v="Multan"/>
    <s v="Portal"/>
    <s v="Account Access"/>
    <s v="Low"/>
    <n v="48"/>
    <s v="In Progress"/>
    <s v="Missing Resolve Date"/>
    <s v="No"/>
    <m/>
    <s v="Awaiting Customer Response"/>
    <s v=""/>
  </r>
  <r>
    <s v="TCK-21166"/>
    <d v="2026-07-31T09:21:00"/>
    <x v="2"/>
    <s v="Mahnoor Aslam"/>
    <s v="Islamabad"/>
    <s v="Portal"/>
    <s v="Delivery Delay"/>
    <s v="Low"/>
    <n v="48"/>
    <s v="Closed"/>
    <d v="2026-07-31T12:01:00"/>
    <s v="No"/>
    <m/>
    <s v="Technical Issue Resolved Remotely"/>
    <n v="2.6666666668024845"/>
  </r>
  <r>
    <s v="TCK-20920"/>
    <d v="2026-08-08T10:55:00"/>
    <x v="2"/>
    <s v="Bilal Chaudhry"/>
    <s v="Faisalabad"/>
    <s v="Chat"/>
    <s v="Billing Issue"/>
    <s v="High"/>
    <n v="8"/>
    <s v="In Progress"/>
    <s v="Missing Resolve Date"/>
    <s v="No"/>
    <m/>
    <s v="Required Follow-Up Call"/>
    <s v=""/>
  </r>
  <r>
    <s v="TCK-20145"/>
    <d v="2026-04-22T21:55:00"/>
    <x v="0"/>
    <s v="Sadia Anwar"/>
    <s v="Rawalpindi"/>
    <s v="Portal"/>
    <s v="Refund Request"/>
    <s v="Low"/>
    <n v="48"/>
    <s v="Closed"/>
    <d v="2026-04-24T13:23:00"/>
    <s v="No"/>
    <m/>
    <s v="Technical Issue Resolved Remotely"/>
    <n v="39.46666666661622"/>
  </r>
  <r>
    <s v="TCK-22547"/>
    <d v="2026-02-04T00:50:00"/>
    <x v="0"/>
    <s v="Sadia Anwar"/>
    <s v="Faisalabad"/>
    <s v="Email"/>
    <s v="Delivery Delay"/>
    <s v="Medium"/>
    <n v="24"/>
    <s v="Escalated"/>
    <s v="Missing Resolve Date"/>
    <s v="Yes"/>
    <m/>
    <s v="Not Specified"/>
    <s v=""/>
  </r>
  <r>
    <s v="TCK-20317"/>
    <d v="2026-02-07T06:52:00"/>
    <x v="2"/>
    <s v="Mahnoor Aslam"/>
    <s v="Islamabad"/>
    <s v="Email"/>
    <s v="General Inquiry"/>
    <s v="Medium"/>
    <n v="24"/>
    <s v="Escalated"/>
    <s v="Missing Resolve Date"/>
    <s v="Yes"/>
    <m/>
    <s v="Resolved On First Contact"/>
    <s v=""/>
  </r>
  <r>
    <s v="TCK-22346"/>
    <d v="2026-06-27T21:59:00"/>
    <x v="2"/>
    <s v="Bilal Chaudhry"/>
    <s v="Islamabad"/>
    <s v="Email"/>
    <s v="Refund Request"/>
    <s v="Low"/>
    <n v="48"/>
    <s v="Resolved"/>
    <d v="2026-06-28T11:23:00"/>
    <s v="No"/>
    <m/>
    <s v="Technical Issue Resolved Remotely"/>
    <n v="13.400000000023283"/>
  </r>
  <r>
    <s v="TCK-21791"/>
    <d v="2026-05-03T08:27:00"/>
    <x v="1"/>
    <s v="Ayaan Khalid"/>
    <s v="Islamabad"/>
    <s v="Email"/>
    <s v="Delivery Delay"/>
    <s v="Low"/>
    <n v="48"/>
    <s v="Resolved"/>
    <d v="2026-05-03T20:12:00"/>
    <s v="No"/>
    <m/>
    <s v="Resolved On First Contact"/>
    <n v="11.750000000058208"/>
  </r>
  <r>
    <s v="TCK-22261"/>
    <d v="2026-02-03T07:59:00"/>
    <x v="3"/>
    <s v="Iqra Basit"/>
    <s v="Karachi"/>
    <s v="Portal"/>
    <s v="General Inquiry"/>
    <s v="Critical"/>
    <n v="4"/>
    <s v="Closed"/>
    <d v="2026-02-03T18:00:00"/>
    <s v="No"/>
    <n v="4"/>
    <s v="Repeat Issue From Same Customer"/>
    <n v="10.016666666662786"/>
  </r>
  <r>
    <s v="TCK-22974"/>
    <d v="2026-01-15T10:01:00"/>
    <x v="0"/>
    <s v="Rehan Qureshi"/>
    <s v="Islamabad"/>
    <s v="Email"/>
    <s v="Account Access"/>
    <s v="Low"/>
    <n v="48"/>
    <s v="Escalated"/>
    <s v="Missing Resolve Date"/>
    <s v="Yes"/>
    <m/>
    <s v="Required Follow-Up Call"/>
    <s v=""/>
  </r>
  <r>
    <s v="TCK-22555"/>
    <d v="2026-07-17T15:20:00"/>
    <x v="0"/>
    <s v="Rehan Qureshi"/>
    <s v="Islamabad"/>
    <s v="Email"/>
    <s v="Billing Issue"/>
    <s v="Low"/>
    <n v="48"/>
    <s v="Resolved"/>
    <d v="2026-07-17T17:41:00"/>
    <s v="No"/>
    <n v="4"/>
    <s v="Awaiting Customer Response"/>
    <n v="2.3499999999767169"/>
  </r>
  <r>
    <s v="TCK-20262"/>
    <d v="2026-08-05T11:38:00"/>
    <x v="2"/>
    <s v="Bilal Chaudhry"/>
    <s v="Peshawar"/>
    <s v="Email"/>
    <s v="Refund Request"/>
    <s v="Low"/>
    <n v="48"/>
    <s v="Resolved"/>
    <d v="2026-08-06T06:46:00"/>
    <s v="No"/>
    <n v="5"/>
    <s v="Not Specified"/>
    <n v="19.133333333360497"/>
  </r>
  <r>
    <s v="TCK-22477"/>
    <d v="2026-07-22T08:46:00"/>
    <x v="1"/>
    <s v="Zara Hussain"/>
    <s v="Faisalabad"/>
    <s v="Phone"/>
    <s v="Technical Issue"/>
    <s v="Critical"/>
    <n v="4"/>
    <s v="Escalated"/>
    <s v="Missing Resolve Date"/>
    <s v="Yes"/>
    <m/>
    <s v="Required Follow-Up Call"/>
    <s v=""/>
  </r>
  <r>
    <s v="TCK-22073"/>
    <d v="2026-05-26T12:56:00"/>
    <x v="3"/>
    <s v="Talha Nadeem"/>
    <s v="Peshawar"/>
    <s v="Phone"/>
    <s v="General Inquiry"/>
    <s v="High"/>
    <n v="8"/>
    <s v="In Progress"/>
    <s v="Missing Resolve Date"/>
    <s v="No"/>
    <m/>
    <s v="Resolved On First Contact"/>
    <s v=""/>
  </r>
  <r>
    <s v="TCK-22088"/>
    <d v="2026-08-03T19:07:00"/>
    <x v="3"/>
    <s v="Iqra Basit"/>
    <s v="Faisalabad"/>
    <s v="Chat"/>
    <s v="Account Access"/>
    <s v="High"/>
    <n v="8"/>
    <s v="Resolved"/>
    <d v="2026-08-03T23:17:00"/>
    <s v="No"/>
    <n v="4"/>
    <s v="Repeat Issue From Same Customer"/>
    <n v="4.1666666666278616"/>
  </r>
  <r>
    <s v="TCK-22294"/>
    <d v="2026-06-10T17:23:00"/>
    <x v="1"/>
    <s v="Ayaan Khalid"/>
    <s v="Faisalabad"/>
    <s v="Phone"/>
    <s v="Delivery Delay"/>
    <s v="Low"/>
    <n v="48"/>
    <s v="Re-Opened"/>
    <d v="2026-06-15T13:36:00"/>
    <s v="No"/>
    <m/>
    <s v="Not Specified"/>
    <n v="116.21666666655801"/>
  </r>
  <r>
    <s v="TCK-20025"/>
    <d v="2026-06-03T07:55:00"/>
    <x v="0"/>
    <s v="Rehan Qureshi"/>
    <s v="Faisalabad"/>
    <s v="Portal"/>
    <s v="Technical Issue"/>
    <s v="High"/>
    <n v="8"/>
    <s v="Closed"/>
    <d v="2026-06-03T08:42:00"/>
    <s v="No"/>
    <n v="5"/>
    <s v="Awaiting Customer Response"/>
    <n v="0.78333333344198763"/>
  </r>
  <r>
    <s v="TCK-20993"/>
    <d v="2026-01-23T22:09:00"/>
    <x v="2"/>
    <s v="Bilal Chaudhry"/>
    <s v="Faisalabad"/>
    <s v="Email"/>
    <s v="Billing Issue"/>
    <s v="Low"/>
    <n v="48"/>
    <s v="Closed"/>
    <d v="2026-01-24T19:17:00"/>
    <s v="No"/>
    <m/>
    <s v="Not Specified"/>
    <n v="21.133333333244082"/>
  </r>
  <r>
    <s v="TCK-20326"/>
    <d v="2026-08-06T04:22:00"/>
    <x v="3"/>
    <s v="Talha Nadeem"/>
    <s v="Faisalabad"/>
    <s v="Portal"/>
    <s v="Billing Issue"/>
    <s v="Critical"/>
    <n v="4"/>
    <s v="Resolved"/>
    <d v="2026-08-06T06:31:00"/>
    <s v="No"/>
    <n v="5"/>
    <s v="Required Follow-Up Call"/>
    <n v="2.1500000000232831"/>
  </r>
  <r>
    <s v="TCK-20623"/>
    <d v="2026-03-16T15:09:00"/>
    <x v="0"/>
    <s v="Sadia Anwar"/>
    <s v="Rawalpindi"/>
    <s v="Chat"/>
    <s v="Technical Issue"/>
    <s v="Medium"/>
    <n v="24"/>
    <s v="Open"/>
    <s v="Missing Resolve Date"/>
    <s v="No"/>
    <m/>
    <s v="Escalated To Senior Agent"/>
    <s v=""/>
  </r>
  <r>
    <s v="TCK-22431"/>
    <d v="2026-05-09T12:58:00"/>
    <x v="1"/>
    <s v="Ayaan Khalid"/>
    <s v="Peshawar"/>
    <s v="Chat"/>
    <s v="Account Access"/>
    <s v="Medium"/>
    <n v="24"/>
    <s v="Closed"/>
    <d v="2026-05-10T02:33:00"/>
    <s v="No"/>
    <n v="5"/>
    <s v="Repeat Issue From Same Customer"/>
    <n v="13.583333333255723"/>
  </r>
  <r>
    <s v="TCK-22457"/>
    <d v="2026-08-03T09:35:00"/>
    <x v="0"/>
    <s v="Sadia Anwar"/>
    <s v="Peshawar"/>
    <s v="Chat"/>
    <s v="General Inquiry"/>
    <s v="High"/>
    <n v="8"/>
    <s v="Closed"/>
    <d v="2026-08-03T20:54:00"/>
    <s v="No"/>
    <m/>
    <s v="Resolved On First Contact"/>
    <n v="11.316666666709352"/>
  </r>
  <r>
    <s v="TCK-22448"/>
    <d v="2026-03-04T09:54:00"/>
    <x v="1"/>
    <s v="Zara Hussain"/>
    <s v="Rawalpindi"/>
    <s v="Portal"/>
    <s v="Refund Request"/>
    <s v="Low"/>
    <n v="48"/>
    <s v="Closed"/>
    <d v="2026-03-05T17:51:00"/>
    <s v="No"/>
    <m/>
    <s v="Resolved On First Contact"/>
    <n v="31.950000000069849"/>
  </r>
  <r>
    <s v="TCK-22519"/>
    <d v="2026-04-13T07:30:00"/>
    <x v="0"/>
    <s v="Sadia Anwar"/>
    <s v="Islamabad"/>
    <s v="Email"/>
    <s v="Billing Issue"/>
    <s v="Medium"/>
    <n v="24"/>
    <s v="Closed"/>
    <d v="2026-04-16T00:17:00"/>
    <s v="No"/>
    <m/>
    <s v="Escalated To Senior Agent"/>
    <n v="64.78333333338378"/>
  </r>
  <r>
    <s v="TCK-23147"/>
    <d v="2026-04-18T09:58:00"/>
    <x v="0"/>
    <s v="Sadia Anwar"/>
    <s v="Lahore"/>
    <s v="Email"/>
    <s v="Technical Issue"/>
    <s v="Low"/>
    <n v="48"/>
    <s v="Closed"/>
    <d v="2026-04-19T20:09:00"/>
    <s v="No"/>
    <m/>
    <s v="Resolved On First Contact"/>
    <n v="34.183333333348855"/>
  </r>
  <r>
    <s v="TCK-22135"/>
    <d v="2026-04-25T13:16:00"/>
    <x v="1"/>
    <s v="Ayaan Khalid"/>
    <s v="Rawalpindi"/>
    <s v="Chat"/>
    <s v="Technical Issue"/>
    <s v="Low"/>
    <n v="48"/>
    <s v="Escalated"/>
    <s v="Missing Resolve Date"/>
    <s v="Yes"/>
    <m/>
    <s v="Not Specified"/>
    <s v=""/>
  </r>
  <r>
    <s v="TCK-21655"/>
    <d v="2026-08-07T15:40:00"/>
    <x v="2"/>
    <s v="Bilal Chaudhry"/>
    <s v="Lahore"/>
    <s v="Chat"/>
    <s v="Refund Request"/>
    <s v="Medium"/>
    <n v="24"/>
    <s v="In Progress"/>
    <s v="Missing Resolve Date"/>
    <s v="No"/>
    <m/>
    <s v="Required Follow-Up Call"/>
    <s v=""/>
  </r>
  <r>
    <s v="TCK-20535"/>
    <d v="2026-01-10T15:37:00"/>
    <x v="0"/>
    <s v="Rehan Qureshi"/>
    <s v="Lahore"/>
    <s v="Portal"/>
    <s v="Refund Request"/>
    <s v="Low"/>
    <n v="48"/>
    <s v="Closed"/>
    <d v="2026-01-15T09:52:00"/>
    <s v="No"/>
    <m/>
    <s v="Escalated To Senior Agent"/>
    <n v="114.25000000011642"/>
  </r>
  <r>
    <s v="TCK-23146"/>
    <d v="2026-08-11T16:35:00"/>
    <x v="0"/>
    <s v="Sadia Anwar"/>
    <s v="Multan"/>
    <s v="Email"/>
    <s v="Refund Request"/>
    <s v="Low"/>
    <n v="48"/>
    <s v="Resolved"/>
    <d v="2026-08-11T21:40:00"/>
    <s v="No"/>
    <n v="2"/>
    <s v="Resolved On First Contact"/>
    <n v="5.0833333334885538"/>
  </r>
  <r>
    <s v="TCK-21402"/>
    <d v="2026-02-21T03:53:00"/>
    <x v="1"/>
    <s v="Ayaan Khalid"/>
    <s v="Peshawar"/>
    <s v="Email"/>
    <s v="Refund Request"/>
    <s v="High"/>
    <n v="8"/>
    <s v="Closed"/>
    <s v="Missing Resolve Date"/>
    <s v="No"/>
    <n v="1"/>
    <s v="Customer Requested Refund"/>
    <s v=""/>
  </r>
  <r>
    <s v="TCK-20991"/>
    <d v="2026-08-02T10:22:00"/>
    <x v="3"/>
    <s v="Iqra Basit"/>
    <s v="Islamabad"/>
    <s v="Portal"/>
    <s v="Account Access"/>
    <s v="Medium"/>
    <n v="24"/>
    <s v="Re-Opened"/>
    <d v="2026-08-02T11:35:00"/>
    <s v="No"/>
    <m/>
    <s v="Not Specified"/>
    <n v="1.216666666790843"/>
  </r>
  <r>
    <s v="TCK-22657"/>
    <d v="2026-03-10T17:59:00"/>
    <x v="2"/>
    <s v="Bilal Chaudhry"/>
    <s v="Peshawar"/>
    <s v="Email"/>
    <s v="Delivery Delay"/>
    <s v="Low"/>
    <n v="48"/>
    <s v="Closed"/>
    <d v="2026-03-14T11:48:00"/>
    <s v="No"/>
    <m/>
    <s v="Not Specified"/>
    <n v="89.81666666676756"/>
  </r>
  <r>
    <s v="TCK-20554"/>
    <d v="2026-07-25T04:08:00"/>
    <x v="3"/>
    <s v="Talha Nadeem"/>
    <s v="Lahore"/>
    <s v="Chat"/>
    <s v="Billing Issue"/>
    <s v="High"/>
    <n v="8"/>
    <s v="Closed"/>
    <d v="2026-07-26T03:50:00"/>
    <s v="No"/>
    <n v="4"/>
    <s v="Repeat Issue From Same Customer"/>
    <n v="23.699999999895226"/>
  </r>
  <r>
    <s v="TCK-20330"/>
    <d v="2026-02-07T12:44:00"/>
    <x v="3"/>
    <s v="Iqra Basit"/>
    <s v="Multan"/>
    <s v="Portal"/>
    <s v="Billing Issue"/>
    <s v="Critical"/>
    <n v="4"/>
    <s v="Open"/>
    <s v="Missing Resolve Date"/>
    <s v="Yes"/>
    <m/>
    <s v="Repeat Issue From Same Customer"/>
    <s v=""/>
  </r>
  <r>
    <s v="TCK-22470"/>
    <d v="2026-04-12T05:48:00"/>
    <x v="2"/>
    <s v="Mahnoor Aslam"/>
    <s v="Lahore"/>
    <s v="Portal"/>
    <s v="Account Access"/>
    <s v="Low"/>
    <n v="48"/>
    <s v="Open"/>
    <s v="Missing Resolve Date"/>
    <s v="No"/>
    <m/>
    <s v="Escalated To Senior Agent"/>
    <s v=""/>
  </r>
  <r>
    <s v="TCK-22051"/>
    <d v="2026-02-24T14:35:00"/>
    <x v="2"/>
    <s v="Bilal Chaudhry"/>
    <s v="Lahore"/>
    <s v="Phone"/>
    <s v="Delivery Delay"/>
    <s v="Medium"/>
    <n v="24"/>
    <s v="Closed"/>
    <d v="2026-02-26T21:55:00"/>
    <s v="No"/>
    <n v="5"/>
    <s v="Repeat Issue From Same Customer"/>
    <n v="55.333333333313931"/>
  </r>
  <r>
    <s v="TCK-20241"/>
    <d v="2026-08-10T13:37:00"/>
    <x v="2"/>
    <s v="Bilal Chaudhry"/>
    <s v="Rawalpindi"/>
    <s v="Chat"/>
    <s v="Delivery Delay"/>
    <s v="Medium"/>
    <n v="24"/>
    <s v="In Progress"/>
    <s v="Missing Resolve Date"/>
    <s v="No"/>
    <m/>
    <s v="Repeat Issue From Same Customer"/>
    <s v=""/>
  </r>
  <r>
    <s v="TCK-22202"/>
    <d v="2026-02-26T22:29:00"/>
    <x v="0"/>
    <s v="Rehan Qureshi"/>
    <s v="Rawalpindi"/>
    <s v="Email"/>
    <s v="Account Access"/>
    <s v="High"/>
    <n v="8"/>
    <s v="Closed"/>
    <d v="2026-02-27T00:35:00"/>
    <s v="No"/>
    <n v="1"/>
    <s v="Customer Satisfied With Resolution"/>
    <n v="2.1000000000349246"/>
  </r>
  <r>
    <s v="TCK-20639"/>
    <d v="2026-07-18T11:38:00"/>
    <x v="2"/>
    <s v="Mahnoor Aslam"/>
    <s v="Peshawar"/>
    <s v="Phone"/>
    <s v="Billing Issue"/>
    <s v="Low"/>
    <n v="48"/>
    <s v="Escalated"/>
    <s v="Missing Resolve Date"/>
    <s v="Yes"/>
    <m/>
    <s v="Technical Issue Resolved Remotely"/>
    <s v=""/>
  </r>
  <r>
    <s v="TCK-22232"/>
    <d v="2026-06-19T18:53:00"/>
    <x v="3"/>
    <s v="Talha Nadeem"/>
    <s v="Lahore"/>
    <s v="Portal"/>
    <s v="General Inquiry"/>
    <s v="Low"/>
    <n v="48"/>
    <s v="Escalated"/>
    <s v="Missing Resolve Date"/>
    <s v="Yes"/>
    <m/>
    <s v="Customer Requested Refund"/>
    <s v=""/>
  </r>
  <r>
    <s v="TCK-21379"/>
    <d v="2026-08-08T11:07:00"/>
    <x v="1"/>
    <s v="Zara Hussain"/>
    <s v="Multan"/>
    <s v="Portal"/>
    <s v="Account Access"/>
    <s v="Medium"/>
    <n v="24"/>
    <s v="Resolved"/>
    <d v="2026-08-08T17:07:00"/>
    <s v="No"/>
    <n v="5"/>
    <s v="Escalated To Senior Agent"/>
    <n v="6"/>
  </r>
  <r>
    <s v="TCK-21857"/>
    <d v="2026-01-20T09:07:00"/>
    <x v="0"/>
    <s v="Sadia Anwar"/>
    <s v="Lahore"/>
    <s v="Portal"/>
    <s v="Refund Request"/>
    <s v="Medium"/>
    <n v="24"/>
    <s v="Resolved"/>
    <d v="2026-01-20T17:24:00"/>
    <s v="No"/>
    <n v="3"/>
    <s v="Resolved On First Contact"/>
    <n v="8.2833333332673647"/>
  </r>
  <r>
    <s v="TCK-21760"/>
    <d v="2026-07-28T21:26:00"/>
    <x v="0"/>
    <s v="Sadia Anwar"/>
    <s v="Lahore"/>
    <s v="Portal"/>
    <s v="Delivery Delay"/>
    <s v="Low"/>
    <n v="48"/>
    <s v="Escalated"/>
    <s v="Missing Resolve Date"/>
    <s v="Yes"/>
    <m/>
    <s v="Repeat Issue From Same Customer"/>
    <s v=""/>
  </r>
  <r>
    <s v="TCK-21092"/>
    <d v="2026-03-05T10:31:00"/>
    <x v="1"/>
    <s v="Ayaan Khalid"/>
    <s v="Rawalpindi"/>
    <s v="Phone"/>
    <s v="Delivery Delay"/>
    <s v="High"/>
    <n v="8"/>
    <s v="Closed"/>
    <d v="2026-03-05T17:31:00"/>
    <s v="No"/>
    <n v="3"/>
    <s v="Not Specified"/>
    <n v="6.9999999999417923"/>
  </r>
  <r>
    <s v="TCK-20976"/>
    <d v="2026-06-01T22:23:00"/>
    <x v="2"/>
    <s v="Bilal Chaudhry"/>
    <s v="Multan"/>
    <s v="Portal"/>
    <s v="Refund Request"/>
    <s v="Low"/>
    <n v="48"/>
    <s v="Resolved"/>
    <d v="2026-06-02T01:16:00"/>
    <s v="No"/>
    <m/>
    <s v="Resolved On First Contact"/>
    <n v="2.8833333333022892"/>
  </r>
  <r>
    <s v="TCK-23025"/>
    <d v="2026-02-10T04:33:00"/>
    <x v="3"/>
    <s v="Iqra Basit"/>
    <s v="Faisalabad"/>
    <s v="Chat"/>
    <s v="Refund Request"/>
    <s v="Medium"/>
    <n v="24"/>
    <s v="In Progress"/>
    <s v="Missing Resolve Date"/>
    <s v="No"/>
    <m/>
    <s v="Technical Issue Resolved Remotely"/>
    <s v=""/>
  </r>
  <r>
    <s v="TCK-23001"/>
    <d v="2026-08-12T12:09:00"/>
    <x v="3"/>
    <s v="Iqra Basit"/>
    <s v="Karachi"/>
    <s v="Chat"/>
    <s v="Billing Issue"/>
    <s v="High"/>
    <n v="8"/>
    <s v="Escalated"/>
    <s v="Missing Resolve Date"/>
    <s v="Yes"/>
    <m/>
    <s v="Awaiting Customer Response"/>
    <s v=""/>
  </r>
  <r>
    <s v="TCK-22515"/>
    <d v="2026-07-24T17:43:00"/>
    <x v="1"/>
    <s v="Zara Hussain"/>
    <s v="Faisalabad"/>
    <s v="Portal"/>
    <s v="Technical Issue"/>
    <s v="Low"/>
    <n v="48"/>
    <s v="In Progress"/>
    <s v="Missing Resolve Date"/>
    <s v="No"/>
    <m/>
    <s v="Required Follow-Up Call"/>
    <s v=""/>
  </r>
  <r>
    <s v="TCK-21774"/>
    <d v="2026-08-22T03:22:00"/>
    <x v="1"/>
    <s v="Ayaan Khalid"/>
    <s v="Peshawar"/>
    <s v="Chat"/>
    <s v="Account Access"/>
    <s v="Medium"/>
    <n v="24"/>
    <s v="Resolved"/>
    <d v="2026-08-23T00:00:00"/>
    <s v="No"/>
    <n v="4"/>
    <s v="Customer Requested Refund"/>
    <n v="20.633333333360497"/>
  </r>
  <r>
    <s v="TCK-22070"/>
    <d v="2026-01-25T19:21:00"/>
    <x v="2"/>
    <s v="Bilal Chaudhry"/>
    <s v="Islamabad"/>
    <s v="Chat"/>
    <s v="Delivery Delay"/>
    <s v="Low"/>
    <n v="48"/>
    <s v="Closed"/>
    <d v="2026-01-27T05:52:00"/>
    <s v="No"/>
    <n v="1"/>
    <s v="Repeat Issue From Same Customer"/>
    <n v="34.516666666546371"/>
  </r>
  <r>
    <s v="TCK-22106"/>
    <d v="2026-01-07T03:31:00"/>
    <x v="3"/>
    <s v="Talha Nadeem"/>
    <s v="Rawalpindi"/>
    <s v="Email"/>
    <s v="Account Access"/>
    <s v="High"/>
    <n v="8"/>
    <s v="Resolved"/>
    <s v="Missing Resolve Date"/>
    <s v="No"/>
    <m/>
    <s v="Customer Satisfied With Resolution"/>
    <s v=""/>
  </r>
  <r>
    <s v="TCK-20341"/>
    <d v="2026-08-01T02:26:00"/>
    <x v="0"/>
    <s v="Sadia Anwar"/>
    <s v="Rawalpindi"/>
    <s v="Email"/>
    <s v="Technical Issue"/>
    <s v="Medium"/>
    <n v="24"/>
    <s v="Closed"/>
    <d v="2026-08-03T16:15:00"/>
    <s v="No"/>
    <m/>
    <s v="Escalated To Senior Agent"/>
    <n v="61.816666666651145"/>
  </r>
  <r>
    <s v="TCK-21928"/>
    <d v="2026-07-13T12:30:00"/>
    <x v="3"/>
    <s v="Iqra Basit"/>
    <s v="Islamabad"/>
    <s v="Phone"/>
    <s v="Delivery Delay"/>
    <s v="High"/>
    <n v="8"/>
    <s v="Escalated"/>
    <s v="Missing Resolve Date"/>
    <s v="Yes"/>
    <m/>
    <s v="Not Specified"/>
    <s v=""/>
  </r>
  <r>
    <s v="TCK-20338"/>
    <d v="2026-04-19T10:03:00"/>
    <x v="3"/>
    <s v="Talha Nadeem"/>
    <s v="Rawalpindi"/>
    <s v="Portal"/>
    <s v="Delivery Delay"/>
    <s v="Low"/>
    <n v="48"/>
    <s v="In Progress"/>
    <s v="Missing Resolve Date"/>
    <s v="No"/>
    <m/>
    <s v="Customer Requested Refund"/>
    <s v=""/>
  </r>
  <r>
    <s v="TCK-22859"/>
    <d v="2026-03-01T23:53:00"/>
    <x v="3"/>
    <s v="Iqra Basit"/>
    <s v="Karachi"/>
    <s v="Phone"/>
    <s v="Account Access"/>
    <s v="High"/>
    <n v="8"/>
    <s v="Resolved"/>
    <d v="2026-03-02T02:08:00"/>
    <s v="No"/>
    <n v="1"/>
    <s v="Customer Requested Refund"/>
    <n v="2.25"/>
  </r>
  <r>
    <s v="TCK-20904"/>
    <d v="2026-01-12T07:18:00"/>
    <x v="0"/>
    <s v="Rehan Qureshi"/>
    <s v="Faisalabad"/>
    <s v="Email"/>
    <s v="Refund Request"/>
    <s v="Medium"/>
    <n v="24"/>
    <s v="Closed"/>
    <d v="2026-01-13T03:30:00"/>
    <s v="No"/>
    <n v="1"/>
    <s v="Escalated To Senior Agent"/>
    <n v="20.200000000011642"/>
  </r>
  <r>
    <s v="TCK-20635"/>
    <d v="2026-08-14T06:25:00"/>
    <x v="2"/>
    <s v="Bilal Chaudhry"/>
    <s v="Peshawar"/>
    <s v="Portal"/>
    <s v="Technical Issue"/>
    <s v="Medium"/>
    <n v="24"/>
    <s v="Resolved"/>
    <d v="2026-08-14T21:11:00"/>
    <s v="Yes"/>
    <n v="5"/>
    <s v="Required Follow-Up Call"/>
    <n v="14.766666666779201"/>
  </r>
  <r>
    <s v="TCK-23067"/>
    <d v="2026-01-28T06:40:00"/>
    <x v="0"/>
    <s v="Rehan Qureshi"/>
    <s v="Lahore"/>
    <s v="Phone"/>
    <s v="Technical Issue"/>
    <s v="Medium"/>
    <n v="24"/>
    <s v="Resolved"/>
    <d v="2026-01-28T19:09:00"/>
    <s v="No"/>
    <n v="4"/>
    <s v="Awaiting Customer Response"/>
    <n v="12.483333333337214"/>
  </r>
  <r>
    <s v="TCK-20902"/>
    <d v="2026-08-15T09:56:00"/>
    <x v="1"/>
    <s v="Ayaan Khalid"/>
    <s v="Islamabad"/>
    <s v="Phone"/>
    <s v="Technical Issue"/>
    <s v="High"/>
    <n v="8"/>
    <s v="In Progress"/>
    <s v="Missing Resolve Date"/>
    <s v="No"/>
    <m/>
    <s v="Escalated To Senior Agent"/>
    <s v=""/>
  </r>
  <r>
    <s v="TCK-20066"/>
    <d v="2026-04-30T21:38:00"/>
    <x v="0"/>
    <s v="Rehan Qureshi"/>
    <s v="Rawalpindi"/>
    <s v="Phone"/>
    <s v="Billing Issue"/>
    <s v="Medium"/>
    <n v="24"/>
    <s v="Closed"/>
    <d v="2026-05-01T18:22:00"/>
    <s v="No"/>
    <n v="4"/>
    <s v="Customer Satisfied With Resolution"/>
    <n v="20.733333333337214"/>
  </r>
  <r>
    <s v="TCK-20079"/>
    <d v="2026-05-23T20:59:00"/>
    <x v="0"/>
    <s v="Sadia Anwar"/>
    <s v="Lahore"/>
    <s v="Chat"/>
    <s v="General Inquiry"/>
    <s v="Medium"/>
    <n v="24"/>
    <s v="Resolved"/>
    <d v="2026-05-24T18:11:00"/>
    <s v="No"/>
    <n v="5"/>
    <s v="Technical Issue Resolved Remotely"/>
    <n v="21.200000000128057"/>
  </r>
  <r>
    <s v="TCK-22895"/>
    <d v="2026-05-31T18:31:00"/>
    <x v="3"/>
    <s v="Talha Nadeem"/>
    <s v="Karachi"/>
    <s v="Email"/>
    <s v="General Inquiry"/>
    <s v="Low"/>
    <n v="48"/>
    <s v="Resolved"/>
    <d v="2026-06-02T01:01:00"/>
    <s v="No"/>
    <n v="2"/>
    <s v="Technical Issue Resolved Remotely"/>
    <n v="30.500000000058208"/>
  </r>
  <r>
    <s v="TCK-21185"/>
    <d v="2026-07-21T11:55:00"/>
    <x v="2"/>
    <s v="Bilal Chaudhry"/>
    <s v="Rawalpindi"/>
    <s v="Email"/>
    <s v="General Inquiry"/>
    <s v="Critical"/>
    <n v="4"/>
    <s v="Closed"/>
    <s v="Missing Resolve Date"/>
    <s v="No"/>
    <n v="2"/>
    <s v="Repeat Issue From Same Customer"/>
    <s v=""/>
  </r>
  <r>
    <s v="TCK-22395"/>
    <d v="2026-04-15T19:38:00"/>
    <x v="1"/>
    <s v="Zara Hussain"/>
    <s v="Multan"/>
    <s v="Email"/>
    <s v="Refund Request"/>
    <s v="High"/>
    <n v="8"/>
    <s v="Closed"/>
    <d v="2026-04-15T21:35:00"/>
    <s v="No"/>
    <n v="2"/>
    <s v="Repeat Issue From Same Customer"/>
    <n v="1.9499999998952262"/>
  </r>
  <r>
    <s v="TCK-21962"/>
    <d v="2026-06-29T18:15:00"/>
    <x v="3"/>
    <s v="Talha Nadeem"/>
    <s v="Faisalabad"/>
    <s v="Email"/>
    <s v="General Inquiry"/>
    <s v="Medium"/>
    <n v="24"/>
    <s v="Resolved"/>
    <d v="2026-07-01T09:53:00"/>
    <s v="No"/>
    <n v="3"/>
    <s v="Not Specified"/>
    <n v="39.633333333476912"/>
  </r>
  <r>
    <s v="TCK-21978"/>
    <d v="2026-06-15T17:06:00"/>
    <x v="2"/>
    <s v="Mahnoor Aslam"/>
    <s v="Karachi"/>
    <s v="Email"/>
    <s v="Billing Issue"/>
    <s v="Low"/>
    <n v="48"/>
    <s v="Resolved"/>
    <d v="2026-06-16T17:49:00"/>
    <s v="No"/>
    <m/>
    <s v="Repeat Issue From Same Customer"/>
    <n v="24.716666666558012"/>
  </r>
  <r>
    <s v="TCK-21541"/>
    <d v="2026-04-19T14:58:00"/>
    <x v="2"/>
    <s v="Bilal Chaudhry"/>
    <s v="Multan"/>
    <s v="Portal"/>
    <s v="Refund Request"/>
    <s v="Low"/>
    <n v="48"/>
    <s v="Resolved"/>
    <d v="2026-04-19T17:18:00"/>
    <s v="No"/>
    <n v="2"/>
    <s v="Not Specified"/>
    <n v="2.3333333332557231"/>
  </r>
  <r>
    <s v="TCK-20458"/>
    <d v="2026-03-30T14:30:00"/>
    <x v="1"/>
    <s v="Zara Hussain"/>
    <s v="Faisalabad"/>
    <s v="Phone"/>
    <s v="Billing Issue"/>
    <s v="Medium"/>
    <n v="24"/>
    <s v="Closed"/>
    <d v="2026-03-30T22:51:00"/>
    <s v="No"/>
    <n v="4"/>
    <s v="Awaiting Customer Response"/>
    <n v="8.3499999999767169"/>
  </r>
  <r>
    <s v="TCK-22176"/>
    <d v="2026-01-22T02:47:00"/>
    <x v="3"/>
    <s v="Iqra Basit"/>
    <s v="Peshawar"/>
    <s v="Phone"/>
    <s v="Billing Issue"/>
    <s v="High"/>
    <n v="8"/>
    <s v="Resolved"/>
    <d v="2026-01-22T09:39:00"/>
    <s v="No"/>
    <n v="3"/>
    <s v="Repeat Issue From Same Customer"/>
    <n v="6.8666666666977108"/>
  </r>
  <r>
    <s v="TCK-20862"/>
    <d v="2026-02-01T08:56:00"/>
    <x v="1"/>
    <s v="Ayaan Khalid"/>
    <s v="Karachi"/>
    <s v="Portal"/>
    <s v="General Inquiry"/>
    <s v="Low"/>
    <n v="48"/>
    <s v="Resolved"/>
    <d v="2026-02-02T21:59:00"/>
    <s v="Yes"/>
    <m/>
    <s v="Resolved On First Contact"/>
    <n v="37.050000000104774"/>
  </r>
  <r>
    <s v="TCK-22422"/>
    <d v="2026-03-13T15:06:00"/>
    <x v="1"/>
    <s v="Ayaan Khalid"/>
    <s v="Rawalpindi"/>
    <s v="Phone"/>
    <s v="Account Access"/>
    <s v="Critical"/>
    <n v="4"/>
    <s v="Closed"/>
    <d v="2026-03-13T15:49:00"/>
    <s v="No"/>
    <m/>
    <s v="Repeat Issue From Same Customer"/>
    <n v="0.71666666673263535"/>
  </r>
  <r>
    <s v="TCK-21473"/>
    <d v="2026-02-11T19:50:00"/>
    <x v="2"/>
    <s v="Bilal Chaudhry"/>
    <s v="Rawalpindi"/>
    <s v="Email"/>
    <s v="Delivery Delay"/>
    <s v="Critical"/>
    <n v="4"/>
    <s v="Closed"/>
    <d v="2026-02-12T06:00:00"/>
    <s v="No"/>
    <m/>
    <s v="Awaiting Customer Response"/>
    <n v="10.166666666627862"/>
  </r>
  <r>
    <s v="TCK-21400"/>
    <d v="2026-01-04T07:43:00"/>
    <x v="1"/>
    <s v="Zara Hussain"/>
    <s v="Peshawar"/>
    <s v="Phone"/>
    <s v="General Inquiry"/>
    <s v="Medium"/>
    <n v="24"/>
    <s v="Resolved"/>
    <d v="2026-01-04T23:47:00"/>
    <s v="No"/>
    <n v="1"/>
    <s v="Customer Requested Refund"/>
    <n v="16.066666666651145"/>
  </r>
  <r>
    <s v="TCK-21601"/>
    <d v="2026-08-15T21:33:00"/>
    <x v="2"/>
    <s v="Bilal Chaudhry"/>
    <s v="Peshawar"/>
    <s v="Phone"/>
    <s v="Account Access"/>
    <s v="Medium"/>
    <n v="24"/>
    <s v="Escalated"/>
    <s v="Missing Resolve Date"/>
    <s v="Yes"/>
    <m/>
    <s v="Not Specified"/>
    <s v=""/>
  </r>
  <r>
    <s v="TCK-21123"/>
    <d v="2026-03-23T23:59:00"/>
    <x v="0"/>
    <s v="Sadia Anwar"/>
    <s v="Faisalabad"/>
    <s v="Chat"/>
    <s v="General Inquiry"/>
    <s v="High"/>
    <n v="8"/>
    <s v="Closed"/>
    <d v="2026-03-24T23:51:00"/>
    <s v="No"/>
    <n v="5"/>
    <s v="Awaiting Customer Response"/>
    <n v="23.866666666755918"/>
  </r>
  <r>
    <s v="TCK-20654"/>
    <d v="2026-01-08T21:08:00"/>
    <x v="3"/>
    <s v="Iqra Basit"/>
    <s v="Rawalpindi"/>
    <s v="Portal"/>
    <s v="Billing Issue"/>
    <s v="Medium"/>
    <n v="24"/>
    <s v="Resolved"/>
    <s v="Missing Resolve Date"/>
    <s v="No"/>
    <n v="5"/>
    <s v="Not Specified"/>
    <s v=""/>
  </r>
  <r>
    <s v="TCK-22325"/>
    <d v="2026-05-01T21:26:00"/>
    <x v="0"/>
    <s v="Rehan Qureshi"/>
    <s v="Multan"/>
    <s v="Chat"/>
    <s v="Technical Issue"/>
    <s v="Critical"/>
    <n v="4"/>
    <s v="Closed"/>
    <d v="2026-05-02T04:00:00"/>
    <s v="No"/>
    <n v="1"/>
    <s v="Awaiting Customer Response"/>
    <n v="6.566666666592937"/>
  </r>
  <r>
    <s v="TCK-22826"/>
    <d v="2026-01-14T07:08:00"/>
    <x v="2"/>
    <s v="Bilal Chaudhry"/>
    <s v="Islamabad"/>
    <s v="Phone"/>
    <s v="Account Access"/>
    <s v="High"/>
    <n v="8"/>
    <s v="Resolved"/>
    <d v="2026-01-14T22:13:00"/>
    <s v="No"/>
    <n v="5"/>
    <s v="Not Specified"/>
    <n v="15.083333333255723"/>
  </r>
  <r>
    <s v="TCK-21672"/>
    <d v="2026-06-24T12:16:00"/>
    <x v="2"/>
    <s v="Mahnoor Aslam"/>
    <s v="Islamabad"/>
    <s v="Phone"/>
    <s v="Refund Request"/>
    <s v="Low"/>
    <n v="48"/>
    <s v="Closed"/>
    <d v="2026-06-27T12:58:00"/>
    <s v="No"/>
    <n v="4"/>
    <s v="Customer Satisfied With Resolution"/>
    <n v="72.700000000011642"/>
  </r>
  <r>
    <s v="TCK-23086"/>
    <d v="2026-05-13T23:21:00"/>
    <x v="1"/>
    <s v="Ayaan Khalid"/>
    <s v="Islamabad"/>
    <s v="Chat"/>
    <s v="Billing Issue"/>
    <s v="Critical"/>
    <n v="4"/>
    <s v="Open"/>
    <s v="Missing Resolve Date"/>
    <s v="No"/>
    <m/>
    <s v="Not Specified"/>
    <s v=""/>
  </r>
  <r>
    <s v="TCK-21466"/>
    <d v="2026-06-26T14:34:00"/>
    <x v="1"/>
    <s v="Ayaan Khalid"/>
    <s v="Multan"/>
    <s v="Portal"/>
    <s v="Delivery Delay"/>
    <s v="Medium"/>
    <n v="24"/>
    <s v="Closed"/>
    <d v="2026-06-27T09:00:00"/>
    <s v="No"/>
    <m/>
    <s v="Required Follow-Up Call"/>
    <n v="18.433333333348855"/>
  </r>
  <r>
    <s v="TCK-22316"/>
    <d v="2026-05-04T08:37:00"/>
    <x v="2"/>
    <s v="Mahnoor Aslam"/>
    <s v="Rawalpindi"/>
    <s v="Chat"/>
    <s v="General Inquiry"/>
    <s v="Low"/>
    <n v="48"/>
    <s v="Closed"/>
    <s v="Missing Resolve Date"/>
    <s v="No"/>
    <n v="1"/>
    <s v="Resolved On First Contact"/>
    <s v=""/>
  </r>
  <r>
    <s v="TCK-22378"/>
    <d v="2026-02-20T15:04:00"/>
    <x v="0"/>
    <s v="Rehan Qureshi"/>
    <s v="Islamabad"/>
    <s v="Chat"/>
    <s v="Delivery Delay"/>
    <s v="Medium"/>
    <n v="24"/>
    <s v="Resolved"/>
    <d v="2026-02-20T18:44:00"/>
    <s v="No"/>
    <m/>
    <s v="Repeat Issue From Same Customer"/>
    <n v="3.6666666665696539"/>
  </r>
  <r>
    <s v="TCK-22136"/>
    <d v="2026-08-22T07:15:00"/>
    <x v="3"/>
    <s v="Iqra Basit"/>
    <s v="Peshawar"/>
    <s v="Portal"/>
    <s v="Delivery Delay"/>
    <s v="Low"/>
    <n v="48"/>
    <s v="Resolved"/>
    <d v="2026-08-23T12:39:00"/>
    <s v="No"/>
    <n v="5"/>
    <s v="Resolved On First Contact"/>
    <n v="29.399999999965075"/>
  </r>
  <r>
    <s v="TCK-20010"/>
    <d v="2026-01-04T13:32:00"/>
    <x v="3"/>
    <s v="Talha Nadeem"/>
    <s v="Peshawar"/>
    <s v="Portal"/>
    <s v="Billing Issue"/>
    <s v="Medium"/>
    <n v="24"/>
    <s v="Closed"/>
    <d v="2026-01-04T17:11:00"/>
    <s v="No"/>
    <m/>
    <s v="Repeat Issue From Same Customer"/>
    <n v="3.6500000000232831"/>
  </r>
  <r>
    <s v="TCK-23194"/>
    <d v="2026-08-19T06:57:00"/>
    <x v="3"/>
    <s v="Talha Nadeem"/>
    <s v="Peshawar"/>
    <s v="Chat"/>
    <s v="Technical Issue"/>
    <s v="Medium"/>
    <n v="24"/>
    <s v="In Progress"/>
    <s v="Missing Resolve Date"/>
    <s v="No"/>
    <m/>
    <s v="Resolved On First Contact"/>
    <s v=""/>
  </r>
  <r>
    <s v="TCK-21179"/>
    <d v="2026-03-12T12:59:00"/>
    <x v="2"/>
    <s v="Mahnoor Aslam"/>
    <s v="Rawalpindi"/>
    <s v="Portal"/>
    <s v="Account Access"/>
    <s v="High"/>
    <n v="8"/>
    <s v="In Progress"/>
    <s v="Missing Resolve Date"/>
    <s v="No"/>
    <m/>
    <s v="Required Follow-Up Call"/>
    <s v=""/>
  </r>
  <r>
    <s v="TCK-20678"/>
    <d v="2026-02-25T10:03:00"/>
    <x v="3"/>
    <s v="Iqra Basit"/>
    <s v="Peshawar"/>
    <s v="Phone"/>
    <s v="Technical Issue"/>
    <s v="Low"/>
    <n v="48"/>
    <s v="In Progress"/>
    <s v="Missing Resolve Date"/>
    <s v="No"/>
    <m/>
    <s v="Escalated To Senior Agent"/>
    <s v=""/>
  </r>
  <r>
    <s v="TCK-22552"/>
    <d v="2026-03-26T21:18:00"/>
    <x v="2"/>
    <s v="Bilal Chaudhry"/>
    <s v="Faisalabad"/>
    <s v="Chat"/>
    <s v="Delivery Delay"/>
    <s v="Low"/>
    <n v="48"/>
    <s v="Resolved"/>
    <d v="2026-03-27T07:20:00"/>
    <s v="No"/>
    <n v="2"/>
    <s v="Awaiting Customer Response"/>
    <n v="10.03333333338378"/>
  </r>
  <r>
    <s v="TCK-22870"/>
    <d v="2026-06-23T22:21:00"/>
    <x v="0"/>
    <s v="Sadia Anwar"/>
    <s v="Faisalabad"/>
    <s v="Email"/>
    <s v="Refund Request"/>
    <s v="High"/>
    <n v="8"/>
    <s v="Resolved"/>
    <s v="Missing Resolve Date"/>
    <s v="No"/>
    <m/>
    <s v="Escalated To Senior Agent"/>
    <s v=""/>
  </r>
  <r>
    <s v="TCK-22212"/>
    <d v="2026-06-15T11:11:00"/>
    <x v="2"/>
    <s v="Mahnoor Aslam"/>
    <s v="Peshawar"/>
    <s v="Chat"/>
    <s v="Refund Request"/>
    <s v="High"/>
    <n v="8"/>
    <s v="Resolved"/>
    <d v="2026-06-15T13:55:00"/>
    <s v="No"/>
    <m/>
    <s v="Customer Requested Refund"/>
    <n v="2.7333333333372138"/>
  </r>
  <r>
    <s v="TCK-20930"/>
    <d v="2026-04-16T06:26:00"/>
    <x v="0"/>
    <s v="Rehan Qureshi"/>
    <s v="Peshawar"/>
    <s v="Phone"/>
    <s v="Billing Issue"/>
    <s v="Medium"/>
    <n v="24"/>
    <s v="Escalated"/>
    <s v="Missing Resolve Date"/>
    <s v="Yes"/>
    <m/>
    <s v="Required Follow-Up Call"/>
    <s v=""/>
  </r>
  <r>
    <s v="TCK-21343"/>
    <d v="2026-03-08T11:12:00"/>
    <x v="1"/>
    <s v="Ayaan Khalid"/>
    <s v="Islamabad"/>
    <s v="Email"/>
    <s v="Technical Issue"/>
    <s v="High"/>
    <n v="8"/>
    <s v="Resolved"/>
    <d v="2026-03-08T13:16:00"/>
    <s v="No"/>
    <m/>
    <s v="Required Follow-Up Call"/>
    <n v="2.066666666592937"/>
  </r>
  <r>
    <s v="TCK-22743"/>
    <d v="2026-08-03T13:36:00"/>
    <x v="0"/>
    <s v="Rehan Qureshi"/>
    <s v="Rawalpindi"/>
    <s v="Phone"/>
    <s v="Technical Issue"/>
    <s v="Medium"/>
    <n v="24"/>
    <s v="In Progress"/>
    <s v="Missing Resolve Date"/>
    <s v="No"/>
    <m/>
    <s v="Resolved On First Contact"/>
    <s v=""/>
  </r>
  <r>
    <s v="TCK-22392"/>
    <d v="2026-08-10T06:41:00"/>
    <x v="0"/>
    <s v="Sadia Anwar"/>
    <s v="Multan"/>
    <s v="Portal"/>
    <s v="Technical Issue"/>
    <s v="Medium"/>
    <n v="24"/>
    <s v="Resolved"/>
    <d v="2026-08-10T21:48:00"/>
    <s v="No"/>
    <m/>
    <s v="Required Follow-Up Call"/>
    <n v="15.116666666697711"/>
  </r>
  <r>
    <s v="TCK-22156"/>
    <d v="2026-01-17T10:39:00"/>
    <x v="1"/>
    <s v="Ayaan Khalid"/>
    <s v="Islamabad"/>
    <s v="Phone"/>
    <s v="Account Access"/>
    <s v="Medium"/>
    <n v="24"/>
    <s v="Closed"/>
    <d v="2026-01-18T04:38:00"/>
    <s v="No"/>
    <n v="1"/>
    <s v="Customer Satisfied With Resolution"/>
    <n v="17.983333333453629"/>
  </r>
  <r>
    <s v="TCK-21194"/>
    <d v="2026-08-29T19:14:00"/>
    <x v="2"/>
    <s v="Bilal Chaudhry"/>
    <s v="Faisalabad"/>
    <s v="Phone"/>
    <s v="Refund Request"/>
    <s v="Medium"/>
    <n v="24"/>
    <s v="Resolved"/>
    <d v="2026-08-30T05:47:00"/>
    <s v="No"/>
    <n v="4"/>
    <s v="Repeat Issue From Same Customer"/>
    <n v="10.549999999988358"/>
  </r>
  <r>
    <s v="TCK-22715"/>
    <d v="2026-04-03T01:45:00"/>
    <x v="2"/>
    <s v="Mahnoor Aslam"/>
    <s v="Islamabad"/>
    <s v="Portal"/>
    <s v="Billing Issue"/>
    <s v="Medium"/>
    <n v="24"/>
    <s v="Resolved"/>
    <d v="2026-04-03T17:14:00"/>
    <s v="Yes"/>
    <n v="5"/>
    <s v="Customer Requested Refund"/>
    <n v="15.483333333337214"/>
  </r>
  <r>
    <s v="TCK-22495"/>
    <d v="2026-01-23T16:16:00"/>
    <x v="3"/>
    <s v="Iqra Basit"/>
    <s v="Lahore"/>
    <s v="Portal"/>
    <s v="Delivery Delay"/>
    <s v="Low"/>
    <n v="48"/>
    <s v="Resolved"/>
    <d v="2026-01-24T14:11:00"/>
    <s v="Yes"/>
    <m/>
    <s v="Customer Requested Refund"/>
    <n v="21.916666666686069"/>
  </r>
  <r>
    <s v="TCK-21965"/>
    <d v="2026-06-13T00:43:00"/>
    <x v="1"/>
    <s v="Zara Hussain"/>
    <s v="Peshawar"/>
    <s v="Chat"/>
    <s v="Technical Issue"/>
    <s v="Medium"/>
    <n v="24"/>
    <s v="Resolved"/>
    <d v="2026-06-15T00:30:00"/>
    <s v="No"/>
    <n v="5"/>
    <s v="Customer Satisfied With Resolution"/>
    <n v="47.783333333325572"/>
  </r>
  <r>
    <s v="TCK-22080"/>
    <d v="2026-05-20T05:58:00"/>
    <x v="0"/>
    <s v="Rehan Qureshi"/>
    <s v="Peshawar"/>
    <s v="Phone"/>
    <s v="Delivery Delay"/>
    <s v="Low"/>
    <n v="48"/>
    <s v="Closed"/>
    <d v="2026-05-21T14:27:00"/>
    <s v="No"/>
    <m/>
    <s v="Awaiting Customer Response"/>
    <n v="32.483333333220799"/>
  </r>
  <r>
    <s v="TCK-22381"/>
    <d v="2026-05-25T09:33:00"/>
    <x v="0"/>
    <s v="Rehan Qureshi"/>
    <s v="Lahore"/>
    <s v="Portal"/>
    <s v="General Inquiry"/>
    <s v="Low"/>
    <n v="48"/>
    <s v="In Progress"/>
    <s v="Missing Resolve Date"/>
    <s v="No"/>
    <m/>
    <s v="Not Specified"/>
    <s v=""/>
  </r>
  <r>
    <s v="TCK-21996"/>
    <d v="2026-03-26T14:35:00"/>
    <x v="1"/>
    <s v="Ayaan Khalid"/>
    <s v="Karachi"/>
    <s v="Chat"/>
    <s v="General Inquiry"/>
    <s v="Medium"/>
    <n v="24"/>
    <s v="Open"/>
    <s v="Missing Resolve Date"/>
    <s v="No"/>
    <m/>
    <s v="Escalated To Senior Agent"/>
    <s v=""/>
  </r>
  <r>
    <s v="TCK-22028"/>
    <d v="2026-03-21T09:27:00"/>
    <x v="2"/>
    <s v="Mahnoor Aslam"/>
    <s v="Multan"/>
    <s v="Portal"/>
    <s v="Refund Request"/>
    <s v="Medium"/>
    <n v="24"/>
    <s v="In Progress"/>
    <s v="Missing Resolve Date"/>
    <s v="No"/>
    <m/>
    <s v="Customer Requested Refund"/>
    <s v=""/>
  </r>
  <r>
    <s v="TCK-21732"/>
    <d v="2026-01-19T22:22:00"/>
    <x v="2"/>
    <s v="Mahnoor Aslam"/>
    <s v="Islamabad"/>
    <s v="Email"/>
    <s v="Delivery Delay"/>
    <s v="High"/>
    <n v="8"/>
    <s v="Resolved"/>
    <d v="2026-01-20T00:19:00"/>
    <s v="No"/>
    <n v="4"/>
    <s v="Customer Satisfied With Resolution"/>
    <n v="1.9500000000698492"/>
  </r>
  <r>
    <s v="TCK-20050"/>
    <d v="2026-07-28T06:24:00"/>
    <x v="0"/>
    <s v="Sadia Anwar"/>
    <s v="Lahore"/>
    <s v="Portal"/>
    <s v="Billing Issue"/>
    <s v="High"/>
    <n v="8"/>
    <s v="Closed"/>
    <d v="2026-07-29T00:57:00"/>
    <s v="Yes"/>
    <m/>
    <s v="Not Specified"/>
    <n v="18.549999999871943"/>
  </r>
  <r>
    <s v="TCK-22402"/>
    <d v="2026-01-26T13:32:00"/>
    <x v="0"/>
    <s v="Sadia Anwar"/>
    <s v="Islamabad"/>
    <s v="Email"/>
    <s v="Technical Issue"/>
    <s v="High"/>
    <n v="8"/>
    <s v="Closed"/>
    <d v="2026-01-26T14:48:00"/>
    <s v="No"/>
    <n v="4"/>
    <s v="Customer Satisfied With Resolution"/>
    <n v="1.2666666667792015"/>
  </r>
  <r>
    <s v="TCK-20647"/>
    <d v="2026-05-23T20:43:00"/>
    <x v="2"/>
    <s v="Bilal Chaudhry"/>
    <s v="Lahore"/>
    <s v="Email"/>
    <s v="Refund Request"/>
    <s v="Low"/>
    <n v="48"/>
    <s v="Resolved"/>
    <d v="2026-05-28T13:53:00"/>
    <s v="No"/>
    <n v="4"/>
    <s v="Technical Issue Resolved Remotely"/>
    <n v="113.16666666674428"/>
  </r>
  <r>
    <s v="TCK-20291"/>
    <d v="2026-04-06T21:31:00"/>
    <x v="1"/>
    <s v="Zara Hussain"/>
    <s v="Lahore"/>
    <s v="Chat"/>
    <s v="Account Access"/>
    <s v="Medium"/>
    <n v="24"/>
    <s v="Closed"/>
    <d v="2026-04-08T00:11:00"/>
    <s v="Yes"/>
    <m/>
    <s v="Awaiting Customer Response"/>
    <n v="26.666666666802485"/>
  </r>
  <r>
    <s v="TCK-20335"/>
    <d v="2026-06-29T19:21:00"/>
    <x v="3"/>
    <s v="Iqra Basit"/>
    <s v="Islamabad"/>
    <s v="Email"/>
    <s v="Technical Issue"/>
    <s v="High"/>
    <n v="8"/>
    <s v="Open"/>
    <s v="Missing Resolve Date"/>
    <s v="No"/>
    <m/>
    <s v="Customer Satisfied With Resolution"/>
    <s v=""/>
  </r>
  <r>
    <s v="TCK-21017"/>
    <d v="2026-07-06T01:09:00"/>
    <x v="1"/>
    <s v="Zara Hussain"/>
    <s v="Faisalabad"/>
    <s v="Email"/>
    <s v="Billing Issue"/>
    <s v="Low"/>
    <n v="48"/>
    <s v="In Progress"/>
    <s v="Missing Resolve Date"/>
    <s v="No"/>
    <m/>
    <s v="Not Specified"/>
    <s v=""/>
  </r>
  <r>
    <s v="TCK-21502"/>
    <d v="2026-02-03T20:36:00"/>
    <x v="3"/>
    <s v="Iqra Basit"/>
    <s v="Lahore"/>
    <s v="Portal"/>
    <s v="General Inquiry"/>
    <s v="Low"/>
    <n v="48"/>
    <s v="Closed"/>
    <d v="2026-02-09T15:00:00"/>
    <s v="No"/>
    <m/>
    <s v="Not Specified"/>
    <n v="138.40000000008149"/>
  </r>
  <r>
    <s v="TCK-21210"/>
    <d v="2026-01-11T05:47:00"/>
    <x v="0"/>
    <s v="Rehan Qureshi"/>
    <s v="Rawalpindi"/>
    <s v="Portal"/>
    <s v="General Inquiry"/>
    <s v="High"/>
    <n v="8"/>
    <s v="Resolved"/>
    <d v="2026-01-11T10:53:00"/>
    <s v="No"/>
    <n v="4"/>
    <s v="Not Specified"/>
    <n v="5.1000000000349246"/>
  </r>
  <r>
    <s v="TCK-22179"/>
    <d v="2026-01-08T03:19:00"/>
    <x v="3"/>
    <s v="Talha Nadeem"/>
    <s v="Lahore"/>
    <s v="Chat"/>
    <s v="Technical Issue"/>
    <s v="Medium"/>
    <n v="24"/>
    <s v="Resolved"/>
    <d v="2026-01-09T00:46:00"/>
    <s v="No"/>
    <m/>
    <s v="Awaiting Customer Response"/>
    <n v="21.450000000069849"/>
  </r>
  <r>
    <s v="TCK-20205"/>
    <d v="2026-04-10T21:29:00"/>
    <x v="0"/>
    <s v="Sadia Anwar"/>
    <s v="Faisalabad"/>
    <s v="Portal"/>
    <s v="Delivery Delay"/>
    <s v="High"/>
    <n v="8"/>
    <s v="Escalated"/>
    <s v="Missing Resolve Date"/>
    <s v="Yes"/>
    <m/>
    <s v="Repeat Issue From Same Customer"/>
    <s v=""/>
  </r>
  <r>
    <s v="TCK-20491"/>
    <d v="2026-01-03T04:00:00"/>
    <x v="1"/>
    <s v="Zara Hussain"/>
    <s v="Karachi"/>
    <s v="Phone"/>
    <s v="Refund Request"/>
    <s v="Low"/>
    <n v="48"/>
    <s v="Open"/>
    <s v="Missing Resolve Date"/>
    <s v="Yes"/>
    <m/>
    <s v="Technical Issue Resolved Remotely"/>
    <s v=""/>
  </r>
  <r>
    <s v="TCK-21724"/>
    <d v="2026-05-05T20:23:00"/>
    <x v="3"/>
    <s v="Talha Nadeem"/>
    <s v="Karachi"/>
    <s v="Phone"/>
    <s v="General Inquiry"/>
    <s v="Low"/>
    <n v="48"/>
    <s v="Re-Opened"/>
    <d v="2026-05-07T01:54:00"/>
    <s v="No"/>
    <m/>
    <s v="Customer Satisfied With Resolution"/>
    <n v="29.516666666662786"/>
  </r>
  <r>
    <s v="TCK-23016"/>
    <d v="2026-05-05T13:46:00"/>
    <x v="3"/>
    <s v="Talha Nadeem"/>
    <s v="Islamabad"/>
    <s v="Phone"/>
    <s v="Refund Request"/>
    <s v="Low"/>
    <n v="48"/>
    <s v="Closed"/>
    <d v="2026-05-06T05:15:00"/>
    <s v="No"/>
    <n v="5"/>
    <s v="Escalated To Senior Agent"/>
    <n v="15.483333333337214"/>
  </r>
  <r>
    <s v="TCK-20511"/>
    <d v="2026-04-18T08:38:00"/>
    <x v="2"/>
    <s v="Bilal Chaudhry"/>
    <s v="Lahore"/>
    <s v="Chat"/>
    <s v="Billing Issue"/>
    <s v="Medium"/>
    <n v="24"/>
    <s v="Resolved"/>
    <d v="2026-04-20T23:37:00"/>
    <s v="No"/>
    <n v="5"/>
    <s v="Resolved On First Contact"/>
    <n v="62.983333333279006"/>
  </r>
  <r>
    <s v="TCK-23000"/>
    <d v="2026-05-20T13:17:00"/>
    <x v="0"/>
    <s v="Sadia Anwar"/>
    <s v="Rawalpindi"/>
    <s v="Phone"/>
    <s v="General Inquiry"/>
    <s v="Low"/>
    <n v="48"/>
    <s v="In Progress"/>
    <s v="Missing Resolve Date"/>
    <s v="No"/>
    <m/>
    <s v="Customer Satisfied With Resolution"/>
    <s v=""/>
  </r>
  <r>
    <s v="TCK-20181"/>
    <d v="2026-06-20T21:29:00"/>
    <x v="3"/>
    <s v="Talha Nadeem"/>
    <s v="Rawalpindi"/>
    <s v="Portal"/>
    <s v="Delivery Delay"/>
    <s v="Medium"/>
    <n v="24"/>
    <s v="Closed"/>
    <d v="2026-06-21T06:38:00"/>
    <s v="Yes"/>
    <n v="5"/>
    <s v="Technical Issue Resolved Remotely"/>
    <n v="9.1499999999650754"/>
  </r>
  <r>
    <s v="TCK-21273"/>
    <d v="2026-01-03T00:37:00"/>
    <x v="0"/>
    <s v="Rehan Qureshi"/>
    <s v="Karachi"/>
    <s v="Email"/>
    <s v="Billing Issue"/>
    <s v="Low"/>
    <n v="48"/>
    <s v="Resolved"/>
    <d v="2026-01-03T02:00:00"/>
    <s v="No"/>
    <m/>
    <s v="Customer Satisfied With Resolution"/>
    <n v="1.3833333334769122"/>
  </r>
  <r>
    <s v="TCK-21830"/>
    <d v="2026-05-27T13:55:00"/>
    <x v="3"/>
    <s v="Iqra Basit"/>
    <s v="Faisalabad"/>
    <s v="Chat"/>
    <s v="Account Access"/>
    <s v="Low"/>
    <n v="48"/>
    <s v="In Progress"/>
    <s v="Missing Resolve Date"/>
    <s v="No"/>
    <m/>
    <s v="Required Follow-Up Call"/>
    <s v=""/>
  </r>
  <r>
    <s v="TCK-22666"/>
    <d v="2026-07-29T10:51:00"/>
    <x v="3"/>
    <s v="Talha Nadeem"/>
    <s v="Faisalabad"/>
    <s v="Portal"/>
    <s v="General Inquiry"/>
    <s v="High"/>
    <n v="8"/>
    <s v="Resolved"/>
    <d v="2026-07-29T15:03:00"/>
    <s v="No"/>
    <m/>
    <s v="Resolved On First Contact"/>
    <n v="4.2000000000698492"/>
  </r>
  <r>
    <s v="TCK-21599"/>
    <d v="2026-02-24T09:07:00"/>
    <x v="0"/>
    <s v="Sadia Anwar"/>
    <s v="Multan"/>
    <s v="Portal"/>
    <s v="General Inquiry"/>
    <s v="Medium"/>
    <n v="24"/>
    <s v="Resolved"/>
    <d v="2026-02-24T11:28:00"/>
    <s v="No"/>
    <m/>
    <s v="Customer Satisfied With Resolution"/>
    <n v="2.3499999999767169"/>
  </r>
  <r>
    <s v="TCK-21380"/>
    <d v="2026-04-26T23:45:00"/>
    <x v="0"/>
    <s v="Sadia Anwar"/>
    <s v="Karachi"/>
    <s v="Chat"/>
    <s v="Account Access"/>
    <s v="Low"/>
    <n v="48"/>
    <s v="Resolved"/>
    <d v="2026-04-28T05:43:00"/>
    <s v="No"/>
    <n v="2"/>
    <s v="Escalated To Senior Agent"/>
    <n v="29.966666666558012"/>
  </r>
  <r>
    <s v="TCK-21010"/>
    <d v="2026-01-08T15:13:00"/>
    <x v="1"/>
    <s v="Ayaan Khalid"/>
    <s v="Lahore"/>
    <s v="Phone"/>
    <s v="Account Access"/>
    <s v="Medium"/>
    <n v="24"/>
    <s v="Resolved"/>
    <d v="2026-01-08T16:45:00"/>
    <s v="No"/>
    <n v="2"/>
    <s v="Awaiting Customer Response"/>
    <n v="1.5333333332673647"/>
  </r>
  <r>
    <s v="TCK-20080"/>
    <d v="2026-03-10T09:19:00"/>
    <x v="3"/>
    <s v="Talha Nadeem"/>
    <s v="Multan"/>
    <s v="Portal"/>
    <s v="Account Access"/>
    <s v="Low"/>
    <n v="48"/>
    <s v="In Progress"/>
    <s v="Missing Resolve Date"/>
    <s v="No"/>
    <m/>
    <s v="Escalated To Senior Agent"/>
    <s v=""/>
  </r>
  <r>
    <s v="TCK-20254"/>
    <d v="2026-01-17T01:46:00"/>
    <x v="3"/>
    <s v="Iqra Basit"/>
    <s v="Karachi"/>
    <s v="Phone"/>
    <s v="Account Access"/>
    <s v="Medium"/>
    <n v="24"/>
    <s v="Resolved"/>
    <d v="2026-01-17T09:35:00"/>
    <s v="No"/>
    <m/>
    <s v="Customer Satisfied With Resolution"/>
    <n v="7.8166666666511446"/>
  </r>
  <r>
    <s v="TCK-20615"/>
    <d v="2026-05-08T06:20:00"/>
    <x v="1"/>
    <s v="Ayaan Khalid"/>
    <s v="Lahore"/>
    <s v="Email"/>
    <s v="Billing Issue"/>
    <s v="Critical"/>
    <n v="4"/>
    <s v="In Progress"/>
    <s v="Missing Resolve Date"/>
    <s v="No"/>
    <m/>
    <s v="Required Follow-Up Call"/>
    <s v=""/>
  </r>
  <r>
    <s v="TCK-20958"/>
    <d v="2026-04-24T20:07:00"/>
    <x v="3"/>
    <s v="Iqra Basit"/>
    <s v="Faisalabad"/>
    <s v="Email"/>
    <s v="Refund Request"/>
    <s v="Low"/>
    <n v="48"/>
    <s v="Closed"/>
    <d v="2026-04-26T07:23:00"/>
    <s v="No"/>
    <m/>
    <s v="Awaiting Customer Response"/>
    <n v="35.266666666720994"/>
  </r>
  <r>
    <s v="TCK-23123"/>
    <d v="2026-06-01T06:09:00"/>
    <x v="3"/>
    <s v="Iqra Basit"/>
    <s v="Lahore"/>
    <s v="Phone"/>
    <s v="General Inquiry"/>
    <s v="Critical"/>
    <n v="4"/>
    <s v="Resolved"/>
    <d v="2026-06-01T09:25:00"/>
    <s v="Yes"/>
    <n v="1"/>
    <s v="Customer Satisfied With Resolution"/>
    <n v="3.2666666666627862"/>
  </r>
  <r>
    <s v="TCK-22986"/>
    <d v="2026-07-20T15:56:00"/>
    <x v="3"/>
    <s v="Iqra Basit"/>
    <s v="Rawalpindi"/>
    <s v="Portal"/>
    <s v="Account Access"/>
    <s v="Medium"/>
    <n v="24"/>
    <s v="Resolved"/>
    <d v="2026-07-22T03:08:00"/>
    <s v="No"/>
    <n v="3"/>
    <s v="Awaiting Customer Response"/>
    <n v="35.200000000011642"/>
  </r>
  <r>
    <s v="TCK-21926"/>
    <d v="2026-07-16T18:46:00"/>
    <x v="1"/>
    <s v="Zara Hussain"/>
    <s v="Multan"/>
    <s v="Chat"/>
    <s v="Delivery Delay"/>
    <s v="Low"/>
    <n v="48"/>
    <s v="Closed"/>
    <d v="2026-07-18T00:04:00"/>
    <s v="No"/>
    <n v="2"/>
    <s v="Repeat Issue From Same Customer"/>
    <n v="29.299999999988358"/>
  </r>
  <r>
    <s v="TCK-20629"/>
    <d v="2026-07-03T10:01:00"/>
    <x v="0"/>
    <s v="Rehan Qureshi"/>
    <s v="Multan"/>
    <s v="Portal"/>
    <s v="Technical Issue"/>
    <s v="Low"/>
    <n v="48"/>
    <s v="Closed"/>
    <d v="2026-07-03T11:40:00"/>
    <s v="No"/>
    <m/>
    <s v="Required Follow-Up Call"/>
    <n v="1.6499999999650754"/>
  </r>
  <r>
    <s v="TCK-22560"/>
    <d v="2026-04-23T19:44:00"/>
    <x v="3"/>
    <s v="Talha Nadeem"/>
    <s v="Multan"/>
    <s v="Chat"/>
    <s v="Technical Issue"/>
    <s v="Medium"/>
    <n v="24"/>
    <s v="Closed"/>
    <d v="2026-04-24T11:39:00"/>
    <s v="No"/>
    <n v="2"/>
    <s v="Not Specified"/>
    <n v="15.916666666686069"/>
  </r>
  <r>
    <s v="TCK-22146"/>
    <d v="2026-07-07T20:17:00"/>
    <x v="2"/>
    <s v="Mahnoor Aslam"/>
    <s v="Islamabad"/>
    <s v="Phone"/>
    <s v="Account Access"/>
    <s v="Low"/>
    <n v="48"/>
    <s v="Closed"/>
    <d v="2026-07-08T21:49:00"/>
    <s v="No"/>
    <n v="1"/>
    <s v="Escalated To Senior Agent"/>
    <n v="25.533333333441988"/>
  </r>
  <r>
    <s v="TCK-22734"/>
    <d v="2026-04-09T01:02:00"/>
    <x v="3"/>
    <s v="Talha Nadeem"/>
    <s v="Islamabad"/>
    <s v="Phone"/>
    <s v="Account Access"/>
    <s v="High"/>
    <n v="8"/>
    <s v="In Progress"/>
    <s v="Missing Resolve Date"/>
    <s v="No"/>
    <m/>
    <s v="Required Follow-Up Call"/>
    <s v=""/>
  </r>
  <r>
    <s v="TCK-21583"/>
    <d v="2026-08-22T23:45:00"/>
    <x v="1"/>
    <s v="Ayaan Khalid"/>
    <s v="Islamabad"/>
    <s v="Portal"/>
    <s v="Technical Issue"/>
    <s v="High"/>
    <n v="8"/>
    <s v="Closed"/>
    <d v="2026-08-23T04:19:00"/>
    <s v="No"/>
    <n v="5"/>
    <s v="Not Specified"/>
    <n v="4.5666666665347293"/>
  </r>
  <r>
    <s v="TCK-20749"/>
    <d v="2026-01-05T08:31:00"/>
    <x v="2"/>
    <s v="Mahnoor Aslam"/>
    <s v="Faisalabad"/>
    <s v="Portal"/>
    <s v="Technical Issue"/>
    <s v="Medium"/>
    <n v="24"/>
    <s v="Closed"/>
    <d v="2026-01-06T00:39:00"/>
    <s v="No"/>
    <n v="4"/>
    <s v="Resolved On First Contact"/>
    <n v="16.133333333360497"/>
  </r>
  <r>
    <s v="TCK-21741"/>
    <d v="2026-06-08T08:41:00"/>
    <x v="3"/>
    <s v="Talha Nadeem"/>
    <s v="Multan"/>
    <s v="Chat"/>
    <s v="Refund Request"/>
    <s v="High"/>
    <n v="8"/>
    <s v="Closed"/>
    <d v="2026-06-08T13:30:00"/>
    <s v="No"/>
    <n v="4"/>
    <s v="Customer Requested Refund"/>
    <n v="4.8166666666511446"/>
  </r>
  <r>
    <s v="TCK-21767"/>
    <d v="2026-03-31T10:57:00"/>
    <x v="2"/>
    <s v="Bilal Chaudhry"/>
    <s v="Rawalpindi"/>
    <s v="Email"/>
    <s v="Refund Request"/>
    <s v="Medium"/>
    <n v="24"/>
    <s v="Resolved"/>
    <d v="2026-03-31T14:58:00"/>
    <s v="No"/>
    <m/>
    <s v="Not Specified"/>
    <n v="4.0166666666627862"/>
  </r>
  <r>
    <s v="TCK-20544"/>
    <d v="2026-06-09T21:32:00"/>
    <x v="0"/>
    <s v="Sadia Anwar"/>
    <s v="Faisalabad"/>
    <s v="Portal"/>
    <s v="Technical Issue"/>
    <s v="High"/>
    <n v="8"/>
    <s v="Resolved"/>
    <d v="2026-06-10T16:10:00"/>
    <s v="No"/>
    <n v="5"/>
    <s v="Required Follow-Up Call"/>
    <n v="18.633333333302289"/>
  </r>
  <r>
    <s v="TCK-20520"/>
    <d v="2026-06-20T22:56:00"/>
    <x v="0"/>
    <s v="Sadia Anwar"/>
    <s v="Rawalpindi"/>
    <s v="Portal"/>
    <s v="Technical Issue"/>
    <s v="Low"/>
    <n v="48"/>
    <s v="Resolved"/>
    <d v="2026-06-21T10:55:00"/>
    <s v="No"/>
    <n v="5"/>
    <s v="Not Specified"/>
    <n v="11.983333333279006"/>
  </r>
  <r>
    <s v="TCK-23046"/>
    <d v="2026-06-08T19:48:00"/>
    <x v="2"/>
    <s v="Mahnoor Aslam"/>
    <s v="Multan"/>
    <s v="Phone"/>
    <s v="Delivery Delay"/>
    <s v="High"/>
    <n v="8"/>
    <s v="Resolved"/>
    <d v="2026-06-09T00:24:00"/>
    <s v="No"/>
    <n v="4"/>
    <s v="Required Follow-Up Call"/>
    <n v="4.6000000001513399"/>
  </r>
  <r>
    <s v="TCK-21555"/>
    <d v="2026-06-07T08:31:00"/>
    <x v="1"/>
    <s v="Ayaan Khalid"/>
    <s v="Multan"/>
    <s v="Chat"/>
    <s v="Delivery Delay"/>
    <s v="Medium"/>
    <n v="24"/>
    <s v="Re-Opened"/>
    <d v="2026-06-08T04:59:00"/>
    <s v="No"/>
    <m/>
    <s v="Escalated To Senior Agent"/>
    <n v="20.466666666674428"/>
  </r>
  <r>
    <s v="TCK-21960"/>
    <d v="2026-01-15T17:22:00"/>
    <x v="2"/>
    <s v="Bilal Chaudhry"/>
    <s v="Karachi"/>
    <s v="Portal"/>
    <s v="Delivery Delay"/>
    <s v="Low"/>
    <n v="48"/>
    <s v="Resolved"/>
    <d v="2026-01-16T21:14:00"/>
    <s v="No"/>
    <m/>
    <s v="Customer Satisfied With Resolution"/>
    <n v="27.866666666697711"/>
  </r>
  <r>
    <s v="TCK-21769"/>
    <d v="2026-01-28T09:03:00"/>
    <x v="0"/>
    <s v="Sadia Anwar"/>
    <s v="Karachi"/>
    <s v="Portal"/>
    <s v="Account Access"/>
    <s v="Medium"/>
    <n v="24"/>
    <s v="Closed"/>
    <d v="2026-01-29T15:55:00"/>
    <s v="No"/>
    <m/>
    <s v="Escalated To Senior Agent"/>
    <n v="30.866666666697711"/>
  </r>
  <r>
    <s v="TCK-22149"/>
    <d v="2026-06-03T07:42:00"/>
    <x v="2"/>
    <s v="Mahnoor Aslam"/>
    <s v="Peshawar"/>
    <s v="Phone"/>
    <s v="Account Access"/>
    <s v="Low"/>
    <n v="48"/>
    <s v="Resolved"/>
    <d v="2026-06-04T11:31:00"/>
    <s v="No"/>
    <m/>
    <s v="Escalated To Senior Agent"/>
    <n v="27.816666666709352"/>
  </r>
  <r>
    <s v="TCK-20434"/>
    <d v="2026-05-05T21:46:00"/>
    <x v="3"/>
    <s v="Talha Nadeem"/>
    <s v="Islamabad"/>
    <s v="Portal"/>
    <s v="Billing Issue"/>
    <s v="Low"/>
    <n v="48"/>
    <s v="Closed"/>
    <d v="2026-05-06T13:18:00"/>
    <s v="No"/>
    <m/>
    <s v="Resolved On First Contact"/>
    <n v="15.533333333325572"/>
  </r>
  <r>
    <s v="TCK-21074"/>
    <d v="2026-05-14T09:17:00"/>
    <x v="3"/>
    <s v="Iqra Basit"/>
    <s v="Karachi"/>
    <s v="Phone"/>
    <s v="Billing Issue"/>
    <s v="Critical"/>
    <n v="4"/>
    <s v="Closed"/>
    <d v="2026-05-14T12:33:00"/>
    <s v="No"/>
    <n v="4"/>
    <s v="Repeat Issue From Same Customer"/>
    <n v="3.2666666666627862"/>
  </r>
  <r>
    <s v="TCK-20407"/>
    <d v="2026-06-05T11:56:00"/>
    <x v="2"/>
    <s v="Bilal Chaudhry"/>
    <s v="Multan"/>
    <s v="Phone"/>
    <s v="Technical Issue"/>
    <s v="Low"/>
    <n v="48"/>
    <s v="Re-Opened"/>
    <d v="2026-06-09T21:19:00"/>
    <s v="No"/>
    <m/>
    <s v="Customer Requested Refund"/>
    <n v="105.3833333333605"/>
  </r>
  <r>
    <s v="TCK-22405"/>
    <d v="2026-06-07T09:21:00"/>
    <x v="2"/>
    <s v="Bilal Chaudhry"/>
    <s v="Peshawar"/>
    <s v="Phone"/>
    <s v="Technical Issue"/>
    <s v="Critical"/>
    <n v="4"/>
    <s v="Resolved"/>
    <d v="2026-06-07T12:17:00"/>
    <s v="No"/>
    <n v="3"/>
    <s v="Technical Issue Resolved Remotely"/>
    <n v="2.9333333334652707"/>
  </r>
  <r>
    <s v="TCK-20159"/>
    <d v="2026-03-18T06:39:00"/>
    <x v="1"/>
    <s v="Ayaan Khalid"/>
    <s v="Lahore"/>
    <s v="Chat"/>
    <s v="Delivery Delay"/>
    <s v="Medium"/>
    <n v="24"/>
    <s v="Open"/>
    <s v="Missing Resolve Date"/>
    <s v="No"/>
    <m/>
    <s v="Not Specified"/>
    <s v=""/>
  </r>
  <r>
    <s v="TCK-22399"/>
    <d v="2026-06-20T00:33:00"/>
    <x v="2"/>
    <s v="Mahnoor Aslam"/>
    <s v="Lahore"/>
    <s v="Portal"/>
    <s v="Billing Issue"/>
    <s v="Critical"/>
    <n v="4"/>
    <s v="Open"/>
    <s v="Missing Resolve Date"/>
    <s v="No"/>
    <m/>
    <s v="Customer Requested Refund"/>
    <s v=""/>
  </r>
  <r>
    <s v="TCK-20817"/>
    <d v="2026-03-18T15:46:00"/>
    <x v="2"/>
    <s v="Bilal Chaudhry"/>
    <s v="Multan"/>
    <s v="Portal"/>
    <s v="Billing Issue"/>
    <s v="Medium"/>
    <n v="24"/>
    <s v="Re-Opened"/>
    <d v="2026-03-19T01:27:00"/>
    <s v="No"/>
    <m/>
    <s v="Not Specified"/>
    <n v="9.6833333332906477"/>
  </r>
  <r>
    <s v="TCK-21119"/>
    <d v="2026-06-21T00:11:00"/>
    <x v="3"/>
    <s v="Talha Nadeem"/>
    <s v="Multan"/>
    <s v="Chat"/>
    <s v="Account Access"/>
    <s v="Low"/>
    <n v="48"/>
    <s v="Re-Opened"/>
    <d v="2026-06-22T04:14:00"/>
    <s v="No"/>
    <m/>
    <s v="Required Follow-Up Call"/>
    <n v="28.049999999930151"/>
  </r>
  <r>
    <s v="TCK-21018"/>
    <d v="2026-07-10T01:59:00"/>
    <x v="0"/>
    <s v="Rehan Qureshi"/>
    <s v="Islamabad"/>
    <s v="Portal"/>
    <s v="Technical Issue"/>
    <s v="Critical"/>
    <n v="4"/>
    <s v="Resolved"/>
    <d v="2026-07-10T03:55:00"/>
    <s v="No"/>
    <n v="5"/>
    <s v="Technical Issue Resolved Remotely"/>
    <n v="1.9333333333488554"/>
  </r>
  <r>
    <s v="TCK-20906"/>
    <d v="2026-06-20T14:58:00"/>
    <x v="2"/>
    <s v="Mahnoor Aslam"/>
    <s v="Karachi"/>
    <s v="Portal"/>
    <s v="Delivery Delay"/>
    <s v="Low"/>
    <n v="48"/>
    <s v="Resolved"/>
    <d v="2026-06-22T08:02:00"/>
    <s v="No"/>
    <n v="4"/>
    <s v="Customer Satisfied With Resolution"/>
    <n v="41.066666666592937"/>
  </r>
  <r>
    <s v="TCK-22508"/>
    <d v="2026-04-05T02:27:00"/>
    <x v="2"/>
    <s v="Bilal Chaudhry"/>
    <s v="Rawalpindi"/>
    <s v="Phone"/>
    <s v="Account Access"/>
    <s v="Low"/>
    <n v="48"/>
    <s v="Resolved"/>
    <d v="2026-04-06T09:07:00"/>
    <s v="No"/>
    <n v="5"/>
    <s v="Resolved On First Contact"/>
    <n v="30.666666666744277"/>
  </r>
  <r>
    <s v="TCK-22990"/>
    <d v="2026-01-30T14:39:00"/>
    <x v="2"/>
    <s v="Mahnoor Aslam"/>
    <s v="Rawalpindi"/>
    <s v="Phone"/>
    <s v="Technical Issue"/>
    <s v="Medium"/>
    <n v="24"/>
    <s v="Resolved"/>
    <d v="2026-02-02T04:05:00"/>
    <s v="No"/>
    <n v="4"/>
    <s v="Customer Satisfied With Resolution"/>
    <n v="61.433333333290648"/>
  </r>
  <r>
    <s v="TCK-20413"/>
    <d v="2026-02-06T17:19:00"/>
    <x v="3"/>
    <s v="Talha Nadeem"/>
    <s v="Multan"/>
    <s v="Chat"/>
    <s v="Technical Issue"/>
    <s v="Low"/>
    <n v="48"/>
    <s v="Closed"/>
    <d v="2026-02-11T12:50:00"/>
    <s v="No"/>
    <n v="3"/>
    <s v="Escalated To Senior Agent"/>
    <n v="115.51666666654637"/>
  </r>
  <r>
    <s v="TCK-22772"/>
    <d v="2026-02-13T06:21:00"/>
    <x v="3"/>
    <s v="Iqra Basit"/>
    <s v="Rawalpindi"/>
    <s v="Portal"/>
    <s v="Account Access"/>
    <s v="High"/>
    <n v="8"/>
    <s v="In Progress"/>
    <s v="Missing Resolve Date"/>
    <s v="No"/>
    <m/>
    <s v="Repeat Issue From Same Customer"/>
    <s v=""/>
  </r>
  <r>
    <s v="TCK-21125"/>
    <d v="2026-07-25T03:38:00"/>
    <x v="2"/>
    <s v="Mahnoor Aslam"/>
    <s v="Islamabad"/>
    <s v="Portal"/>
    <s v="Delivery Delay"/>
    <s v="Critical"/>
    <n v="4"/>
    <s v="Escalated"/>
    <s v="Missing Resolve Date"/>
    <s v="Yes"/>
    <m/>
    <s v="Escalated To Senior Agent"/>
    <s v=""/>
  </r>
  <r>
    <s v="TCK-22809"/>
    <d v="2026-08-15T05:00:00"/>
    <x v="2"/>
    <s v="Mahnoor Aslam"/>
    <s v="Islamabad"/>
    <s v="Email"/>
    <s v="Billing Issue"/>
    <s v="Medium"/>
    <n v="24"/>
    <s v="In Progress"/>
    <s v="Missing Resolve Date"/>
    <s v="No"/>
    <m/>
    <s v="Required Follow-Up Call"/>
    <s v=""/>
  </r>
  <r>
    <s v="TCK-22267"/>
    <d v="2026-04-09T14:59:00"/>
    <x v="3"/>
    <s v="Iqra Basit"/>
    <s v="Karachi"/>
    <s v="Phone"/>
    <s v="Refund Request"/>
    <s v="Low"/>
    <n v="48"/>
    <s v="Resolved"/>
    <d v="2026-04-09T16:47:00"/>
    <s v="No"/>
    <n v="4"/>
    <s v="Technical Issue Resolved Remotely"/>
    <n v="1.8000000001047738"/>
  </r>
  <r>
    <s v="TCK-20510"/>
    <d v="2026-05-26T20:57:00"/>
    <x v="3"/>
    <s v="Talha Nadeem"/>
    <s v="Peshawar"/>
    <s v="Email"/>
    <s v="Delivery Delay"/>
    <s v="Low"/>
    <n v="48"/>
    <s v="Escalated"/>
    <s v="Missing Resolve Date"/>
    <s v="Yes"/>
    <m/>
    <s v="Technical Issue Resolved Remotely"/>
    <s v=""/>
  </r>
  <r>
    <s v="TCK-20673"/>
    <d v="2026-01-23T04:00:00"/>
    <x v="0"/>
    <s v="Rehan Qureshi"/>
    <s v="Islamabad"/>
    <s v="Chat"/>
    <s v="Technical Issue"/>
    <s v="Low"/>
    <n v="48"/>
    <s v="Closed"/>
    <d v="2026-01-23T11:50:00"/>
    <s v="No"/>
    <n v="4"/>
    <s v="Not Specified"/>
    <n v="7.8333333333721384"/>
  </r>
  <r>
    <s v="TCK-21069"/>
    <d v="2026-03-22T01:04:00"/>
    <x v="0"/>
    <s v="Sadia Anwar"/>
    <s v="Karachi"/>
    <s v="Chat"/>
    <s v="Technical Issue"/>
    <s v="Medium"/>
    <n v="24"/>
    <s v="Resolved"/>
    <d v="2026-03-22T18:49:00"/>
    <s v="No"/>
    <m/>
    <s v="Required Follow-Up Call"/>
    <n v="17.750000000058208"/>
  </r>
  <r>
    <s v="TCK-21153"/>
    <d v="2026-03-06T03:07:00"/>
    <x v="0"/>
    <s v="Rehan Qureshi"/>
    <s v="Rawalpindi"/>
    <s v="Portal"/>
    <s v="Account Access"/>
    <s v="Low"/>
    <n v="48"/>
    <s v="Resolved"/>
    <d v="2026-03-07T03:23:00"/>
    <s v="No"/>
    <n v="2"/>
    <s v="Customer Satisfied With Resolution"/>
    <n v="24.266666666662786"/>
  </r>
  <r>
    <s v="TCK-22675"/>
    <d v="2026-05-03T09:48:00"/>
    <x v="3"/>
    <s v="Talha Nadeem"/>
    <s v="Peshawar"/>
    <s v="Email"/>
    <s v="Account Access"/>
    <s v="Low"/>
    <n v="48"/>
    <s v="Resolved"/>
    <d v="2026-05-08T11:12:00"/>
    <s v="No"/>
    <n v="5"/>
    <s v="Required Follow-Up Call"/>
    <n v="121.40000000002328"/>
  </r>
  <r>
    <s v="TCK-20468"/>
    <d v="2026-02-01T07:43:00"/>
    <x v="3"/>
    <s v="Iqra Basit"/>
    <s v="Rawalpindi"/>
    <s v="Chat"/>
    <s v="Refund Request"/>
    <s v="Medium"/>
    <n v="24"/>
    <s v="Resolved"/>
    <d v="2026-02-01T18:37:00"/>
    <s v="No"/>
    <n v="4"/>
    <s v="Required Follow-Up Call"/>
    <n v="10.899999999906868"/>
  </r>
  <r>
    <s v="TCK-20186"/>
    <d v="2026-01-21T04:17:00"/>
    <x v="2"/>
    <s v="Mahnoor Aslam"/>
    <s v="Lahore"/>
    <s v="Email"/>
    <s v="Refund Request"/>
    <s v="High"/>
    <n v="8"/>
    <s v="Escalated"/>
    <s v="Missing Resolve Date"/>
    <s v="Yes"/>
    <m/>
    <s v="Resolved On First Contact"/>
    <s v=""/>
  </r>
  <r>
    <s v="TCK-20382"/>
    <d v="2026-05-28T12:34:00"/>
    <x v="0"/>
    <s v="Rehan Qureshi"/>
    <s v="Lahore"/>
    <s v="Chat"/>
    <s v="Refund Request"/>
    <s v="Low"/>
    <n v="48"/>
    <s v="In Progress"/>
    <s v="Missing Resolve Date"/>
    <s v="No"/>
    <m/>
    <s v="Technical Issue Resolved Remotely"/>
    <s v=""/>
  </r>
  <r>
    <s v="TCK-21573"/>
    <d v="2026-02-24T08:54:00"/>
    <x v="2"/>
    <s v="Mahnoor Aslam"/>
    <s v="Peshawar"/>
    <s v="Chat"/>
    <s v="Billing Issue"/>
    <s v="High"/>
    <n v="8"/>
    <s v="Open"/>
    <s v="Missing Resolve Date"/>
    <s v="Yes"/>
    <m/>
    <s v="Technical Issue Resolved Remotely"/>
    <s v=""/>
  </r>
  <r>
    <s v="TCK-21991"/>
    <d v="2026-05-29T19:02:00"/>
    <x v="0"/>
    <s v="Rehan Qureshi"/>
    <s v="Lahore"/>
    <s v="Portal"/>
    <s v="Delivery Delay"/>
    <s v="Critical"/>
    <n v="4"/>
    <s v="Resolved"/>
    <d v="2026-05-30T03:01:00"/>
    <s v="No"/>
    <m/>
    <s v="Repeat Issue From Same Customer"/>
    <n v="7.9833333333372138"/>
  </r>
  <r>
    <s v="TCK-20922"/>
    <d v="2026-06-14T19:20:00"/>
    <x v="2"/>
    <s v="Bilal Chaudhry"/>
    <s v="Lahore"/>
    <s v="Email"/>
    <s v="Technical Issue"/>
    <s v="Medium"/>
    <n v="24"/>
    <s v="In Progress"/>
    <s v="Missing Resolve Date"/>
    <s v="No"/>
    <m/>
    <s v="Not Specified"/>
    <s v=""/>
  </r>
  <r>
    <s v="TCK-20800"/>
    <d v="2026-03-10T15:34:00"/>
    <x v="2"/>
    <s v="Bilal Chaudhry"/>
    <s v="Faisalabad"/>
    <s v="Chat"/>
    <s v="Delivery Delay"/>
    <s v="Medium"/>
    <n v="24"/>
    <s v="Closed"/>
    <d v="2026-03-11T06:15:00"/>
    <s v="No"/>
    <n v="3"/>
    <s v="Technical Issue Resolved Remotely"/>
    <n v="14.683333333348855"/>
  </r>
  <r>
    <s v="TCK-22498"/>
    <d v="2026-02-03T18:13:00"/>
    <x v="3"/>
    <s v="Iqra Basit"/>
    <s v="Multan"/>
    <s v="Chat"/>
    <s v="Account Access"/>
    <s v="Low"/>
    <n v="48"/>
    <s v="In Progress"/>
    <s v="Missing Resolve Date"/>
    <s v="No"/>
    <m/>
    <s v="Resolved On First Contact"/>
    <s v=""/>
  </r>
  <r>
    <s v="TCK-20061"/>
    <d v="2026-04-09T02:43:00"/>
    <x v="1"/>
    <s v="Zara Hussain"/>
    <s v="Rawalpindi"/>
    <s v="Phone"/>
    <s v="Delivery Delay"/>
    <s v="Medium"/>
    <n v="24"/>
    <s v="Resolved"/>
    <d v="2026-04-09T12:53:00"/>
    <s v="No"/>
    <n v="3"/>
    <s v="Customer Requested Refund"/>
    <n v="10.166666666802485"/>
  </r>
  <r>
    <s v="TCK-23074"/>
    <d v="2026-08-21T11:18:00"/>
    <x v="0"/>
    <s v="Sadia Anwar"/>
    <s v="Lahore"/>
    <s v="Chat"/>
    <s v="Delivery Delay"/>
    <s v="Medium"/>
    <n v="24"/>
    <s v="Resolved"/>
    <d v="2026-08-21T18:29:00"/>
    <s v="No"/>
    <m/>
    <s v="Not Specified"/>
    <n v="7.1833333333488554"/>
  </r>
  <r>
    <s v="TCK-21511"/>
    <d v="2026-03-09T10:02:00"/>
    <x v="0"/>
    <s v="Sadia Anwar"/>
    <s v="Multan"/>
    <s v="Chat"/>
    <s v="Account Access"/>
    <s v="Medium"/>
    <n v="24"/>
    <s v="Open"/>
    <s v="Missing Resolve Date"/>
    <s v="Yes"/>
    <m/>
    <s v="Technical Issue Resolved Remotely"/>
    <s v=""/>
  </r>
  <r>
    <s v="TCK-21608"/>
    <d v="2026-07-27T08:23:00"/>
    <x v="3"/>
    <s v="Talha Nadeem"/>
    <s v="Karachi"/>
    <s v="Email"/>
    <s v="General Inquiry"/>
    <s v="Low"/>
    <n v="48"/>
    <s v="Resolved"/>
    <d v="2026-07-27T11:19:00"/>
    <s v="No"/>
    <n v="2"/>
    <s v="Repeat Issue From Same Customer"/>
    <n v="2.9333333332906477"/>
  </r>
  <r>
    <s v="TCK-21315"/>
    <d v="2026-08-21T15:26:00"/>
    <x v="3"/>
    <s v="Iqra Basit"/>
    <s v="Islamabad"/>
    <s v="Phone"/>
    <s v="Billing Issue"/>
    <s v="Low"/>
    <n v="48"/>
    <s v="Resolved"/>
    <d v="2026-08-22T14:54:00"/>
    <s v="No"/>
    <n v="4"/>
    <s v="Escalated To Senior Agent"/>
    <n v="23.466666666674428"/>
  </r>
  <r>
    <s v="TCK-20680"/>
    <d v="2026-04-01T04:23:00"/>
    <x v="3"/>
    <s v="Talha Nadeem"/>
    <s v="Rawalpindi"/>
    <s v="Portal"/>
    <s v="Billing Issue"/>
    <s v="Low"/>
    <n v="48"/>
    <s v="In Progress"/>
    <s v="Missing Resolve Date"/>
    <s v="No"/>
    <m/>
    <s v="Awaiting Customer Response"/>
    <s v=""/>
  </r>
  <r>
    <s v="TCK-22697"/>
    <d v="2026-06-30T20:00:00"/>
    <x v="3"/>
    <s v="Iqra Basit"/>
    <s v="Peshawar"/>
    <s v="Portal"/>
    <s v="General Inquiry"/>
    <s v="Medium"/>
    <n v="24"/>
    <s v="Escalated"/>
    <s v="Missing Resolve Date"/>
    <s v="Yes"/>
    <m/>
    <s v="Required Follow-Up Call"/>
    <s v=""/>
  </r>
  <r>
    <s v="TCK-22685"/>
    <d v="2026-05-06T11:34:00"/>
    <x v="1"/>
    <s v="Ayaan Khalid"/>
    <s v="Karachi"/>
    <s v="Phone"/>
    <s v="Technical Issue"/>
    <s v="Medium"/>
    <n v="24"/>
    <s v="Closed"/>
    <d v="2026-05-06T22:31:00"/>
    <s v="No"/>
    <n v="5"/>
    <s v="Customer Satisfied With Resolution"/>
    <n v="10.950000000069849"/>
  </r>
  <r>
    <s v="TCK-21610"/>
    <d v="2026-02-07T14:32:00"/>
    <x v="2"/>
    <s v="Bilal Chaudhry"/>
    <s v="Islamabad"/>
    <s v="Portal"/>
    <s v="General Inquiry"/>
    <s v="Medium"/>
    <n v="24"/>
    <s v="Resolved"/>
    <d v="2026-02-08T11:02:00"/>
    <s v="No"/>
    <n v="4"/>
    <s v="Customer Requested Refund"/>
    <n v="20.499999999941792"/>
  </r>
  <r>
    <s v="TCK-20305"/>
    <d v="2026-02-24T22:06:00"/>
    <x v="1"/>
    <s v="Ayaan Khalid"/>
    <s v="Faisalabad"/>
    <s v="Chat"/>
    <s v="Account Access"/>
    <s v="Low"/>
    <n v="48"/>
    <s v="Open"/>
    <s v="Missing Resolve Date"/>
    <s v="Yes"/>
    <m/>
    <s v="Not Specified"/>
    <s v=""/>
  </r>
  <r>
    <s v="TCK-20739"/>
    <d v="2026-03-10T07:23:00"/>
    <x v="2"/>
    <s v="Mahnoor Aslam"/>
    <s v="Rawalpindi"/>
    <s v="Phone"/>
    <s v="Technical Issue"/>
    <s v="Low"/>
    <n v="48"/>
    <s v="Open"/>
    <s v="Missing Resolve Date"/>
    <s v="No"/>
    <m/>
    <s v="Escalated To Senior Agent"/>
    <s v=""/>
  </r>
  <r>
    <s v="TCK-21912"/>
    <d v="2026-04-10T23:18:00"/>
    <x v="0"/>
    <s v="Sadia Anwar"/>
    <s v="Islamabad"/>
    <s v="Portal"/>
    <s v="Refund Request"/>
    <s v="Medium"/>
    <n v="24"/>
    <s v="Resolved"/>
    <d v="2026-04-12T14:09:00"/>
    <s v="No"/>
    <m/>
    <s v="Escalated To Senior Agent"/>
    <n v="38.850000000034925"/>
  </r>
  <r>
    <s v="TCK-20428"/>
    <d v="2026-03-20T18:40:00"/>
    <x v="1"/>
    <s v="Ayaan Khalid"/>
    <s v="Karachi"/>
    <s v="Phone"/>
    <s v="Refund Request"/>
    <s v="Low"/>
    <n v="48"/>
    <s v="Closed"/>
    <s v="Missing Resolve Date"/>
    <s v="Yes"/>
    <n v="3"/>
    <s v="Awaiting Customer Response"/>
    <s v=""/>
  </r>
  <r>
    <s v="TCK-21827"/>
    <d v="2026-08-08T09:05:00"/>
    <x v="2"/>
    <s v="Bilal Chaudhry"/>
    <s v="Rawalpindi"/>
    <s v="Phone"/>
    <s v="Account Access"/>
    <s v="Medium"/>
    <n v="24"/>
    <s v="Escalated"/>
    <s v="Missing Resolve Date"/>
    <s v="Yes"/>
    <m/>
    <s v="Not Specified"/>
    <s v=""/>
  </r>
  <r>
    <s v="TCK-21152"/>
    <d v="2026-05-28T12:03:00"/>
    <x v="0"/>
    <s v="Rehan Qureshi"/>
    <s v="Lahore"/>
    <s v="Email"/>
    <s v="Refund Request"/>
    <s v="Medium"/>
    <n v="24"/>
    <s v="In Progress"/>
    <s v="Missing Resolve Date"/>
    <s v="No"/>
    <m/>
    <s v="Customer Satisfied With Resolution"/>
    <s v=""/>
  </r>
  <r>
    <s v="TCK-21532"/>
    <d v="2026-08-16T16:04:00"/>
    <x v="3"/>
    <s v="Talha Nadeem"/>
    <s v="Rawalpindi"/>
    <s v="Portal"/>
    <s v="Refund Request"/>
    <s v="Low"/>
    <n v="48"/>
    <s v="Closed"/>
    <d v="2026-08-17T05:48:00"/>
    <s v="No"/>
    <m/>
    <s v="Resolved On First Contact"/>
    <n v="13.733333333395422"/>
  </r>
  <r>
    <s v="TCK-23029"/>
    <d v="2026-04-11T09:24:00"/>
    <x v="0"/>
    <s v="Rehan Qureshi"/>
    <s v="Multan"/>
    <s v="Portal"/>
    <s v="Delivery Delay"/>
    <s v="Medium"/>
    <n v="24"/>
    <s v="Resolved"/>
    <d v="2026-04-12T05:34:00"/>
    <s v="No"/>
    <m/>
    <s v="Not Specified"/>
    <n v="20.166666666569654"/>
  </r>
  <r>
    <s v="TCK-20649"/>
    <d v="2026-03-13T19:56:00"/>
    <x v="0"/>
    <s v="Sadia Anwar"/>
    <s v="Karachi"/>
    <s v="Email"/>
    <s v="Technical Issue"/>
    <s v="Critical"/>
    <n v="4"/>
    <s v="Resolved"/>
    <d v="2026-03-13T22:22:00"/>
    <s v="No"/>
    <n v="5"/>
    <s v="Required Follow-Up Call"/>
    <n v="2.4333333332324401"/>
  </r>
  <r>
    <s v="TCK-22799"/>
    <d v="2026-06-25T13:41:00"/>
    <x v="2"/>
    <s v="Mahnoor Aslam"/>
    <s v="Islamabad"/>
    <s v="Chat"/>
    <s v="General Inquiry"/>
    <s v="Critical"/>
    <n v="4"/>
    <s v="Open"/>
    <s v="Missing Resolve Date"/>
    <s v="No"/>
    <m/>
    <s v="Escalated To Senior Agent"/>
    <s v=""/>
  </r>
  <r>
    <s v="TCK-22189"/>
    <d v="2026-01-14T04:37:00"/>
    <x v="2"/>
    <s v="Mahnoor Aslam"/>
    <s v="Faisalabad"/>
    <s v="Email"/>
    <s v="Delivery Delay"/>
    <s v="Low"/>
    <n v="48"/>
    <s v="Resolved"/>
    <d v="2026-01-15T05:01:00"/>
    <s v="No"/>
    <n v="1"/>
    <s v="Escalated To Senior Agent"/>
    <n v="24.399999999906868"/>
  </r>
  <r>
    <s v="TCK-21090"/>
    <d v="2026-06-20T07:07:00"/>
    <x v="3"/>
    <s v="Talha Nadeem"/>
    <s v="Rawalpindi"/>
    <s v="Phone"/>
    <s v="Billing Issue"/>
    <s v="Medium"/>
    <n v="24"/>
    <s v="Closed"/>
    <d v="2026-06-22T20:21:00"/>
    <s v="No"/>
    <n v="4"/>
    <s v="Repeat Issue From Same Customer"/>
    <n v="61.233333333337214"/>
  </r>
  <r>
    <s v="TCK-22512"/>
    <d v="2026-08-09T18:11:00"/>
    <x v="1"/>
    <s v="Ayaan Khalid"/>
    <s v="Multan"/>
    <s v="Email"/>
    <s v="General Inquiry"/>
    <s v="Low"/>
    <n v="48"/>
    <s v="Resolved"/>
    <d v="2026-08-10T02:30:00"/>
    <s v="No"/>
    <m/>
    <s v="Repeat Issue From Same Customer"/>
    <n v="8.3166666665347293"/>
  </r>
  <r>
    <s v="TCK-21974"/>
    <d v="2026-04-20T19:42:00"/>
    <x v="0"/>
    <s v="Rehan Qureshi"/>
    <s v="Karachi"/>
    <s v="Portal"/>
    <s v="Billing Issue"/>
    <s v="High"/>
    <n v="8"/>
    <s v="Resolved"/>
    <d v="2026-04-20T22:49:00"/>
    <s v="No"/>
    <n v="3"/>
    <s v="Awaiting Customer Response"/>
    <n v="3.1166666666977108"/>
  </r>
  <r>
    <s v="TCK-21362"/>
    <d v="2026-07-14T20:12:00"/>
    <x v="0"/>
    <s v="Sadia Anwar"/>
    <s v="Multan"/>
    <s v="Email"/>
    <s v="Refund Request"/>
    <s v="Medium"/>
    <n v="24"/>
    <s v="In Progress"/>
    <s v="Missing Resolve Date"/>
    <s v="No"/>
    <m/>
    <s v="Technical Issue Resolved Remotely"/>
    <s v=""/>
  </r>
  <r>
    <s v="TCK-21423"/>
    <d v="2026-01-14T00:58:00"/>
    <x v="0"/>
    <s v="Sadia Anwar"/>
    <s v="Peshawar"/>
    <s v="Chat"/>
    <s v="Delivery Delay"/>
    <s v="Low"/>
    <n v="48"/>
    <s v="Resolved"/>
    <d v="2026-01-15T02:02:00"/>
    <s v="No"/>
    <n v="4"/>
    <s v="Escalated To Senior Agent"/>
    <n v="25.066666666651145"/>
  </r>
  <r>
    <s v="TCK-22233"/>
    <d v="2026-06-04T08:37:00"/>
    <x v="3"/>
    <s v="Talha Nadeem"/>
    <s v="Rawalpindi"/>
    <s v="Phone"/>
    <s v="Delivery Delay"/>
    <s v="Low"/>
    <n v="48"/>
    <s v="Escalated"/>
    <s v="Missing Resolve Date"/>
    <s v="Yes"/>
    <m/>
    <s v="Resolved On First Contact"/>
    <s v=""/>
  </r>
  <r>
    <s v="TCK-20681"/>
    <d v="2026-02-24T07:07:00"/>
    <x v="3"/>
    <s v="Talha Nadeem"/>
    <s v="Multan"/>
    <s v="Chat"/>
    <s v="General Inquiry"/>
    <s v="High"/>
    <n v="8"/>
    <s v="Resolved"/>
    <d v="2026-02-24T11:04:00"/>
    <s v="No"/>
    <m/>
    <s v="Not Specified"/>
    <n v="3.9499999999534339"/>
  </r>
  <r>
    <s v="TCK-22740"/>
    <d v="2026-01-18T13:50:00"/>
    <x v="2"/>
    <s v="Bilal Chaudhry"/>
    <s v="Karachi"/>
    <s v="Portal"/>
    <s v="Technical Issue"/>
    <s v="Low"/>
    <n v="48"/>
    <s v="Resolved"/>
    <d v="2026-01-23T10:35:00"/>
    <s v="No"/>
    <m/>
    <s v="Technical Issue Resolved Remotely"/>
    <n v="116.74999999988358"/>
  </r>
  <r>
    <s v="TCK-22328"/>
    <d v="2026-06-02T06:07:00"/>
    <x v="3"/>
    <s v="Talha Nadeem"/>
    <s v="Rawalpindi"/>
    <s v="Phone"/>
    <s v="Refund Request"/>
    <s v="Medium"/>
    <n v="24"/>
    <s v="Open"/>
    <s v="Missing Resolve Date"/>
    <s v="No"/>
    <m/>
    <s v="Required Follow-Up Call"/>
    <s v=""/>
  </r>
  <r>
    <s v="TCK-21683"/>
    <d v="2026-03-05T20:47:00"/>
    <x v="1"/>
    <s v="Zara Hussain"/>
    <s v="Faisalabad"/>
    <s v="Phone"/>
    <s v="Billing Issue"/>
    <s v="Medium"/>
    <n v="24"/>
    <s v="Escalated"/>
    <s v="Missing Resolve Date"/>
    <s v="Yes"/>
    <m/>
    <s v="Not Specified"/>
    <s v=""/>
  </r>
  <r>
    <s v="TCK-21206"/>
    <d v="2026-02-28T04:39:00"/>
    <x v="1"/>
    <s v="Ayaan Khalid"/>
    <s v="Peshawar"/>
    <s v="Portal"/>
    <s v="Delivery Delay"/>
    <s v="Low"/>
    <n v="48"/>
    <s v="Closed"/>
    <d v="2026-02-28T23:46:00"/>
    <s v="No"/>
    <n v="2"/>
    <s v="Not Specified"/>
    <n v="19.116666666639503"/>
  </r>
  <r>
    <s v="TCK-20597"/>
    <d v="2026-01-17T01:26:00"/>
    <x v="1"/>
    <s v="Zara Hussain"/>
    <s v="Karachi"/>
    <s v="Portal"/>
    <s v="Refund Request"/>
    <s v="Low"/>
    <n v="48"/>
    <s v="Resolved"/>
    <d v="2026-01-17T21:38:00"/>
    <s v="No"/>
    <n v="4"/>
    <s v="Not Specified"/>
    <n v="20.200000000011642"/>
  </r>
  <r>
    <s v="TCK-21698"/>
    <d v="2026-05-20T11:33:00"/>
    <x v="0"/>
    <s v="Rehan Qureshi"/>
    <s v="Lahore"/>
    <s v="Email"/>
    <s v="Billing Issue"/>
    <s v="Low"/>
    <n v="48"/>
    <s v="Closed"/>
    <d v="2026-05-21T13:54:00"/>
    <s v="No"/>
    <n v="5"/>
    <s v="Not Specified"/>
    <n v="26.35000000015134"/>
  </r>
  <r>
    <s v="TCK-22665"/>
    <d v="2026-03-24T06:41:00"/>
    <x v="2"/>
    <s v="Bilal Chaudhry"/>
    <s v="Islamabad"/>
    <s v="Email"/>
    <s v="Delivery Delay"/>
    <s v="Low"/>
    <n v="48"/>
    <s v="Open"/>
    <s v="Missing Resolve Date"/>
    <s v="No"/>
    <m/>
    <s v="Not Specified"/>
    <s v=""/>
  </r>
  <r>
    <s v="TCK-21529"/>
    <d v="2026-04-25T14:20:00"/>
    <x v="0"/>
    <s v="Sadia Anwar"/>
    <s v="Faisalabad"/>
    <s v="Email"/>
    <s v="Technical Issue"/>
    <s v="Medium"/>
    <n v="24"/>
    <s v="In Progress"/>
    <s v="Missing Resolve Date"/>
    <s v="No"/>
    <m/>
    <s v="Not Specified"/>
    <s v=""/>
  </r>
  <r>
    <s v="TCK-20037"/>
    <d v="2026-05-26T12:50:00"/>
    <x v="3"/>
    <s v="Talha Nadeem"/>
    <s v="Rawalpindi"/>
    <s v="Chat"/>
    <s v="Billing Issue"/>
    <s v="Medium"/>
    <n v="24"/>
    <s v="Resolved"/>
    <d v="2026-05-26T20:12:00"/>
    <s v="No"/>
    <m/>
    <s v="Required Follow-Up Call"/>
    <n v="7.3666666667559184"/>
  </r>
  <r>
    <s v="TCK-20851"/>
    <d v="2026-02-17T23:07:00"/>
    <x v="3"/>
    <s v="Talha Nadeem"/>
    <s v="Peshawar"/>
    <s v="Chat"/>
    <s v="Billing Issue"/>
    <s v="Medium"/>
    <n v="24"/>
    <s v="In Progress"/>
    <s v="Missing Resolve Date"/>
    <s v="No"/>
    <m/>
    <s v="Not Specified"/>
    <s v=""/>
  </r>
  <r>
    <s v="TCK-20231"/>
    <d v="2026-01-15T22:31:00"/>
    <x v="2"/>
    <s v="Bilal Chaudhry"/>
    <s v="Islamabad"/>
    <s v="Portal"/>
    <s v="Billing Issue"/>
    <s v="Low"/>
    <n v="48"/>
    <s v="Open"/>
    <s v="Missing Resolve Date"/>
    <s v="No"/>
    <m/>
    <s v="Escalated To Senior Agent"/>
    <s v=""/>
  </r>
  <r>
    <s v="TCK-22072"/>
    <d v="2026-01-04T16:55:00"/>
    <x v="3"/>
    <s v="Talha Nadeem"/>
    <s v="Islamabad"/>
    <s v="Chat"/>
    <s v="Refund Request"/>
    <s v="High"/>
    <n v="8"/>
    <s v="Resolved"/>
    <d v="2026-01-05T00:01:00"/>
    <s v="No"/>
    <n v="5"/>
    <s v="Required Follow-Up Call"/>
    <n v="7.1000000000931323"/>
  </r>
  <r>
    <s v="TCK-20365"/>
    <d v="2026-03-12T20:18:00"/>
    <x v="0"/>
    <s v="Sadia Anwar"/>
    <s v="Rawalpindi"/>
    <s v="Email"/>
    <s v="Technical Issue"/>
    <s v="High"/>
    <n v="8"/>
    <s v="Resolved"/>
    <d v="2026-03-13T02:07:00"/>
    <s v="No"/>
    <m/>
    <s v="Technical Issue Resolved Remotely"/>
    <n v="5.816666666592937"/>
  </r>
  <r>
    <s v="TCK-21107"/>
    <d v="2026-01-15T10:15:00"/>
    <x v="3"/>
    <s v="Iqra Basit"/>
    <s v="Peshawar"/>
    <s v="Chat"/>
    <s v="Billing Issue"/>
    <s v="Medium"/>
    <n v="24"/>
    <s v="Closed"/>
    <d v="2026-01-16T05:38:00"/>
    <s v="No"/>
    <n v="1"/>
    <s v="Awaiting Customer Response"/>
    <n v="19.383333333302289"/>
  </r>
  <r>
    <s v="TCK-20455"/>
    <d v="2026-08-05T20:58:00"/>
    <x v="2"/>
    <s v="Bilal Chaudhry"/>
    <s v="Islamabad"/>
    <s v="Chat"/>
    <s v="Account Access"/>
    <s v="High"/>
    <n v="8"/>
    <s v="Resolved"/>
    <d v="2026-08-06T02:50:00"/>
    <s v="No"/>
    <n v="1"/>
    <s v="Not Specified"/>
    <n v="5.8666666665812954"/>
  </r>
  <r>
    <s v="TCK-21593"/>
    <d v="2026-02-06T12:20:00"/>
    <x v="0"/>
    <s v="Sadia Anwar"/>
    <s v="Islamabad"/>
    <s v="Phone"/>
    <s v="Account Access"/>
    <s v="High"/>
    <n v="8"/>
    <s v="Closed"/>
    <s v="Missing Resolve Date"/>
    <s v="No"/>
    <n v="5"/>
    <s v="Repeat Issue From Same Customer"/>
    <s v=""/>
  </r>
  <r>
    <s v="TCK-20905"/>
    <d v="2026-07-15T03:42:00"/>
    <x v="1"/>
    <s v="Ayaan Khalid"/>
    <s v="Karachi"/>
    <s v="Phone"/>
    <s v="Technical Issue"/>
    <s v="Low"/>
    <n v="48"/>
    <s v="Resolved"/>
    <d v="2026-07-20T19:31:00"/>
    <s v="No"/>
    <m/>
    <s v="Required Follow-Up Call"/>
    <n v="135.81666666670935"/>
  </r>
  <r>
    <s v="TCK-21040"/>
    <d v="2026-01-15T08:28:00"/>
    <x v="0"/>
    <s v="Rehan Qureshi"/>
    <s v="Islamabad"/>
    <s v="Email"/>
    <s v="Technical Issue"/>
    <s v="Medium"/>
    <n v="24"/>
    <s v="Resolved"/>
    <d v="2026-01-18T01:43:00"/>
    <s v="No"/>
    <n v="2"/>
    <s v="Not Specified"/>
    <n v="65.25"/>
  </r>
  <r>
    <s v="TCK-22442"/>
    <d v="2026-07-29T11:19:00"/>
    <x v="3"/>
    <s v="Talha Nadeem"/>
    <s v="Faisalabad"/>
    <s v="Email"/>
    <s v="Account Access"/>
    <s v="Low"/>
    <n v="48"/>
    <s v="Escalated"/>
    <s v="Missing Resolve Date"/>
    <s v="Yes"/>
    <m/>
    <s v="Technical Issue Resolved Remotely"/>
    <s v=""/>
  </r>
  <r>
    <s v="TCK-20864"/>
    <d v="2026-01-26T22:35:00"/>
    <x v="0"/>
    <s v="Rehan Qureshi"/>
    <s v="Lahore"/>
    <s v="Portal"/>
    <s v="Refund Request"/>
    <s v="High"/>
    <n v="8"/>
    <s v="Closed"/>
    <d v="2026-01-26T23:09:00"/>
    <s v="No"/>
    <m/>
    <s v="Customer Satisfied With Resolution"/>
    <n v="0.56666666676755995"/>
  </r>
  <r>
    <s v="TCK-23167"/>
    <d v="2026-01-15T22:22:00"/>
    <x v="3"/>
    <s v="Talha Nadeem"/>
    <s v="Peshawar"/>
    <s v="Phone"/>
    <s v="Technical Issue"/>
    <s v="Low"/>
    <n v="48"/>
    <s v="Closed"/>
    <d v="2026-01-17T12:22:00"/>
    <s v="No"/>
    <n v="3"/>
    <s v="Required Follow-Up Call"/>
    <n v="38.000000000058208"/>
  </r>
  <r>
    <s v="TCK-23050"/>
    <d v="2026-08-13T21:00:00"/>
    <x v="0"/>
    <s v="Rehan Qureshi"/>
    <s v="Faisalabad"/>
    <s v="Phone"/>
    <s v="Delivery Delay"/>
    <s v="Low"/>
    <n v="48"/>
    <s v="Resolved"/>
    <d v="2026-08-16T07:35:00"/>
    <s v="No"/>
    <n v="1"/>
    <s v="Required Follow-Up Call"/>
    <n v="58.583333333255723"/>
  </r>
  <r>
    <s v="TCK-22184"/>
    <d v="2026-08-12T22:30:00"/>
    <x v="3"/>
    <s v="Talha Nadeem"/>
    <s v="Rawalpindi"/>
    <s v="Email"/>
    <s v="General Inquiry"/>
    <s v="High"/>
    <n v="8"/>
    <s v="Escalated"/>
    <s v="Missing Resolve Date"/>
    <s v="Yes"/>
    <m/>
    <s v="Required Follow-Up Call"/>
    <s v=""/>
  </r>
  <r>
    <s v="TCK-20805"/>
    <d v="2026-06-21T04:58:00"/>
    <x v="3"/>
    <s v="Iqra Basit"/>
    <s v="Faisalabad"/>
    <s v="Phone"/>
    <s v="Technical Issue"/>
    <s v="Low"/>
    <n v="48"/>
    <s v="Resolved"/>
    <d v="2026-06-26T10:22:00"/>
    <s v="No"/>
    <n v="5"/>
    <s v="Technical Issue Resolved Remotely"/>
    <n v="125.39999999996508"/>
  </r>
  <r>
    <s v="TCK-21966"/>
    <d v="2026-05-28T07:41:00"/>
    <x v="0"/>
    <s v="Sadia Anwar"/>
    <s v="Multan"/>
    <s v="Email"/>
    <s v="Technical Issue"/>
    <s v="Medium"/>
    <n v="24"/>
    <s v="Resolved"/>
    <d v="2026-05-28T17:41:00"/>
    <s v="No"/>
    <n v="1"/>
    <s v="Not Specified"/>
    <n v="9.9999999999417923"/>
  </r>
  <r>
    <s v="TCK-20223"/>
    <d v="2026-03-28T10:07:00"/>
    <x v="2"/>
    <s v="Mahnoor Aslam"/>
    <s v="Islamabad"/>
    <s v="Email"/>
    <s v="Refund Request"/>
    <s v="Medium"/>
    <n v="24"/>
    <s v="Re-Opened"/>
    <d v="2026-03-29T18:29:00"/>
    <s v="Yes"/>
    <m/>
    <s v="Not Specified"/>
    <n v="32.366666666697711"/>
  </r>
  <r>
    <s v="TCK-22897"/>
    <d v="2026-06-19T10:28:00"/>
    <x v="1"/>
    <s v="Ayaan Khalid"/>
    <s v="Karachi"/>
    <s v="Phone"/>
    <s v="Billing Issue"/>
    <s v="Low"/>
    <n v="48"/>
    <s v="In Progress"/>
    <s v="Missing Resolve Date"/>
    <s v="No"/>
    <m/>
    <s v="Not Specified"/>
    <s v=""/>
  </r>
  <r>
    <s v="TCK-20503"/>
    <d v="2026-06-30T08:20:00"/>
    <x v="3"/>
    <s v="Talha Nadeem"/>
    <s v="Lahore"/>
    <s v="Email"/>
    <s v="Billing Issue"/>
    <s v="High"/>
    <n v="8"/>
    <s v="Closed"/>
    <d v="2026-06-30T10:50:00"/>
    <s v="No"/>
    <m/>
    <s v="Repeat Issue From Same Customer"/>
    <n v="2.5000000001164153"/>
  </r>
  <r>
    <s v="TCK-22447"/>
    <d v="2026-07-25T17:58:00"/>
    <x v="2"/>
    <s v="Mahnoor Aslam"/>
    <s v="Islamabad"/>
    <s v="Portal"/>
    <s v="Billing Issue"/>
    <s v="High"/>
    <n v="8"/>
    <s v="Re-Opened"/>
    <d v="2026-07-25T20:35:00"/>
    <s v="No"/>
    <m/>
    <s v="Repeat Issue From Same Customer"/>
    <n v="2.6166666666395031"/>
  </r>
  <r>
    <s v="TCK-22022"/>
    <d v="2026-02-15T08:03:00"/>
    <x v="2"/>
    <s v="Bilal Chaudhry"/>
    <s v="Karachi"/>
    <s v="Phone"/>
    <s v="Billing Issue"/>
    <s v="High"/>
    <n v="8"/>
    <s v="Resolved"/>
    <d v="2026-02-15T11:44:00"/>
    <s v="No"/>
    <n v="3"/>
    <s v="Technical Issue Resolved Remotely"/>
    <n v="3.6833333332906477"/>
  </r>
  <r>
    <s v="TCK-21977"/>
    <d v="2026-06-24T21:25:00"/>
    <x v="0"/>
    <s v="Sadia Anwar"/>
    <s v="Rawalpindi"/>
    <s v="Email"/>
    <s v="Refund Request"/>
    <s v="Medium"/>
    <n v="24"/>
    <s v="Closed"/>
    <d v="2026-06-25T16:15:00"/>
    <s v="No"/>
    <n v="5"/>
    <s v="Customer Satisfied With Resolution"/>
    <n v="18.833333333430346"/>
  </r>
  <r>
    <s v="TCK-22031"/>
    <d v="2026-01-19T20:55:00"/>
    <x v="2"/>
    <s v="Bilal Chaudhry"/>
    <s v="Lahore"/>
    <s v="Email"/>
    <s v="Refund Request"/>
    <s v="Low"/>
    <n v="48"/>
    <s v="Re-Opened"/>
    <d v="2026-01-20T12:03:00"/>
    <s v="No"/>
    <m/>
    <s v="Resolved On First Contact"/>
    <n v="15.133333333244082"/>
  </r>
  <r>
    <s v="TCK-22741"/>
    <d v="2026-01-10T04:07:00"/>
    <x v="0"/>
    <s v="Sadia Anwar"/>
    <s v="Multan"/>
    <s v="Portal"/>
    <s v="Account Access"/>
    <s v="Low"/>
    <n v="48"/>
    <s v="Re-Opened"/>
    <d v="2026-01-10T19:04:00"/>
    <s v="No"/>
    <m/>
    <s v="Not Specified"/>
    <n v="14.950000000011642"/>
  </r>
  <r>
    <s v="TCK-20916"/>
    <d v="2026-03-05T10:58:00"/>
    <x v="1"/>
    <s v="Zara Hussain"/>
    <s v="Peshawar"/>
    <s v="Portal"/>
    <s v="Technical Issue"/>
    <s v="Medium"/>
    <n v="24"/>
    <s v="In Progress"/>
    <s v="Missing Resolve Date"/>
    <s v="No"/>
    <m/>
    <s v="Technical Issue Resolved Remotely"/>
    <s v=""/>
  </r>
  <r>
    <s v="TCK-21472"/>
    <d v="2026-07-22T20:50:00"/>
    <x v="1"/>
    <s v="Zara Hussain"/>
    <s v="Lahore"/>
    <s v="Portal"/>
    <s v="Technical Issue"/>
    <s v="Medium"/>
    <n v="24"/>
    <s v="Resolved"/>
    <d v="2026-07-24T15:14:00"/>
    <s v="No"/>
    <n v="5"/>
    <s v="Technical Issue Resolved Remotely"/>
    <n v="42.400000000081491"/>
  </r>
  <r>
    <s v="TCK-23149"/>
    <d v="2026-03-28T21:39:00"/>
    <x v="0"/>
    <s v="Sadia Anwar"/>
    <s v="Multan"/>
    <s v="Phone"/>
    <s v="Delivery Delay"/>
    <s v="Medium"/>
    <n v="24"/>
    <s v="Escalated"/>
    <s v="Missing Resolve Date"/>
    <s v="Yes"/>
    <m/>
    <s v="Awaiting Customer Response"/>
    <s v=""/>
  </r>
  <r>
    <s v="TCK-21814"/>
    <d v="2026-07-03T16:15:00"/>
    <x v="3"/>
    <s v="Talha Nadeem"/>
    <s v="Multan"/>
    <s v="Email"/>
    <s v="Delivery Delay"/>
    <s v="Medium"/>
    <n v="24"/>
    <s v="Resolved"/>
    <d v="2026-07-03T17:29:00"/>
    <s v="No"/>
    <n v="5"/>
    <s v="Awaiting Customer Response"/>
    <n v="1.2333333333372138"/>
  </r>
  <r>
    <s v="TCK-22486"/>
    <d v="2026-06-30T16:36:00"/>
    <x v="3"/>
    <s v="Talha Nadeem"/>
    <s v="Peshawar"/>
    <s v="Phone"/>
    <s v="Delivery Delay"/>
    <s v="Medium"/>
    <n v="24"/>
    <s v="Closed"/>
    <d v="2026-07-01T08:01:00"/>
    <s v="No"/>
    <n v="1"/>
    <s v="Resolved On First Contact"/>
    <n v="15.416666666627862"/>
  </r>
  <r>
    <s v="TCK-21034"/>
    <d v="2026-08-17T11:29:00"/>
    <x v="1"/>
    <s v="Ayaan Khalid"/>
    <s v="Multan"/>
    <s v="Portal"/>
    <s v="General Inquiry"/>
    <s v="Low"/>
    <n v="48"/>
    <s v="Closed"/>
    <d v="2026-08-20T00:16:00"/>
    <s v="Yes"/>
    <n v="4"/>
    <s v="Not Specified"/>
    <n v="60.783333333267365"/>
  </r>
  <r>
    <s v="TCK-22969"/>
    <d v="2026-05-05T17:11:00"/>
    <x v="2"/>
    <s v="Bilal Chaudhry"/>
    <s v="Karachi"/>
    <s v="Chat"/>
    <s v="Refund Request"/>
    <s v="Low"/>
    <n v="48"/>
    <s v="Open"/>
    <s v="Missing Resolve Date"/>
    <s v="No"/>
    <m/>
    <s v="Escalated To Senior Agent"/>
    <s v=""/>
  </r>
  <r>
    <s v="TCK-22252"/>
    <d v="2026-04-07T20:51:00"/>
    <x v="3"/>
    <s v="Talha Nadeem"/>
    <s v="Islamabad"/>
    <s v="Phone"/>
    <s v="Account Access"/>
    <s v="Low"/>
    <n v="48"/>
    <s v="Resolved"/>
    <d v="2026-04-08T14:59:00"/>
    <s v="No"/>
    <n v="5"/>
    <s v="Awaiting Customer Response"/>
    <n v="18.133333333244082"/>
  </r>
  <r>
    <s v="TCK-20351"/>
    <d v="2026-03-04T11:40:00"/>
    <x v="1"/>
    <s v="Zara Hussain"/>
    <s v="Peshawar"/>
    <s v="Email"/>
    <s v="Billing Issue"/>
    <s v="Medium"/>
    <n v="24"/>
    <s v="Resolved"/>
    <d v="2026-03-04T16:13:00"/>
    <s v="No"/>
    <m/>
    <s v="Repeat Issue From Same Customer"/>
    <n v="4.5499999999883585"/>
  </r>
  <r>
    <s v="TCK-22652"/>
    <d v="2026-06-22T05:08:00"/>
    <x v="3"/>
    <s v="Iqra Basit"/>
    <s v="Faisalabad"/>
    <s v="Chat"/>
    <s v="Refund Request"/>
    <s v="Critical"/>
    <n v="4"/>
    <s v="Resolved"/>
    <d v="2026-06-22T11:33:00"/>
    <s v="No"/>
    <n v="4"/>
    <s v="Resolved On First Contact"/>
    <n v="6.4166666666278616"/>
  </r>
  <r>
    <s v="TCK-21146"/>
    <d v="2026-06-12T18:10:00"/>
    <x v="1"/>
    <s v="Zara Hussain"/>
    <s v="Karachi"/>
    <s v="Email"/>
    <s v="General Inquiry"/>
    <s v="High"/>
    <n v="8"/>
    <s v="Closed"/>
    <d v="2026-06-13T11:50:00"/>
    <s v="No"/>
    <m/>
    <s v="Customer Requested Refund"/>
    <n v="17.666666666627862"/>
  </r>
  <r>
    <s v="TCK-22526"/>
    <d v="2026-05-17T17:00:00"/>
    <x v="2"/>
    <s v="Mahnoor Aslam"/>
    <s v="Karachi"/>
    <s v="Chat"/>
    <s v="Technical Issue"/>
    <s v="High"/>
    <n v="8"/>
    <s v="Resolved"/>
    <d v="2026-05-17T17:33:00"/>
    <s v="No"/>
    <n v="2"/>
    <s v="Technical Issue Resolved Remotely"/>
    <n v="0.54999999987194315"/>
  </r>
  <r>
    <s v="TCK-20277"/>
    <d v="2026-06-25T00:23:00"/>
    <x v="0"/>
    <s v="Sadia Anwar"/>
    <s v="Lahore"/>
    <s v="Phone"/>
    <s v="Billing Issue"/>
    <s v="Low"/>
    <n v="48"/>
    <s v="Closed"/>
    <d v="2026-06-26T09:36:00"/>
    <s v="No"/>
    <m/>
    <s v="Awaiting Customer Response"/>
    <n v="33.216666666674428"/>
  </r>
  <r>
    <s v="TCK-20522"/>
    <d v="2026-01-30T05:59:00"/>
    <x v="2"/>
    <s v="Mahnoor Aslam"/>
    <s v="Karachi"/>
    <s v="Portal"/>
    <s v="Technical Issue"/>
    <s v="High"/>
    <n v="8"/>
    <s v="Closed"/>
    <d v="2026-01-30T06:31:00"/>
    <s v="No"/>
    <n v="4"/>
    <s v="Escalated To Senior Agent"/>
    <n v="0.53333333332557231"/>
  </r>
  <r>
    <s v="TCK-21968"/>
    <d v="2026-08-07T00:38:00"/>
    <x v="0"/>
    <s v="Rehan Qureshi"/>
    <s v="Islamabad"/>
    <s v="Email"/>
    <s v="Delivery Delay"/>
    <s v="Medium"/>
    <n v="24"/>
    <s v="Closed"/>
    <d v="2026-08-07T15:50:00"/>
    <s v="No"/>
    <n v="4"/>
    <s v="Customer Requested Refund"/>
    <n v="15.199999999953434"/>
  </r>
  <r>
    <s v="TCK-20141"/>
    <d v="2026-03-11T21:36:00"/>
    <x v="3"/>
    <s v="Iqra Basit"/>
    <s v="Faisalabad"/>
    <s v="Chat"/>
    <s v="General Inquiry"/>
    <s v="High"/>
    <n v="8"/>
    <s v="Open"/>
    <s v="Missing Resolve Date"/>
    <s v="No"/>
    <m/>
    <s v="Customer Requested Refund"/>
    <s v=""/>
  </r>
  <r>
    <s v="TCK-21217"/>
    <d v="2026-04-17T15:40:00"/>
    <x v="2"/>
    <s v="Bilal Chaudhry"/>
    <s v="Islamabad"/>
    <s v="Phone"/>
    <s v="Account Access"/>
    <s v="Low"/>
    <n v="48"/>
    <s v="Re-Opened"/>
    <d v="2026-04-18T01:53:00"/>
    <s v="No"/>
    <m/>
    <s v="Escalated To Senior Agent"/>
    <n v="10.21666666661622"/>
  </r>
  <r>
    <s v="TCK-20350"/>
    <d v="2026-06-25T22:42:00"/>
    <x v="2"/>
    <s v="Bilal Chaudhry"/>
    <s v="Peshawar"/>
    <s v="Chat"/>
    <s v="Refund Request"/>
    <s v="Medium"/>
    <n v="24"/>
    <s v="Closed"/>
    <d v="2026-06-26T13:52:00"/>
    <s v="No"/>
    <m/>
    <s v="Resolved On First Contact"/>
    <n v="15.166666666686069"/>
  </r>
  <r>
    <s v="TCK-23031"/>
    <d v="2026-03-12T03:59:00"/>
    <x v="1"/>
    <s v="Zara Hussain"/>
    <s v="Islamabad"/>
    <s v="Chat"/>
    <s v="Refund Request"/>
    <s v="Medium"/>
    <n v="24"/>
    <s v="Closed"/>
    <d v="2026-03-12T19:49:00"/>
    <s v="No"/>
    <n v="5"/>
    <s v="Customer Requested Refund"/>
    <n v="15.833333333255723"/>
  </r>
  <r>
    <s v="TCK-22885"/>
    <d v="2026-07-24T21:00:00"/>
    <x v="2"/>
    <s v="Mahnoor Aslam"/>
    <s v="Lahore"/>
    <s v="Email"/>
    <s v="General Inquiry"/>
    <s v="Low"/>
    <n v="48"/>
    <s v="Resolved"/>
    <d v="2026-07-27T09:17:00"/>
    <s v="Yes"/>
    <n v="5"/>
    <s v="Escalated To Senior Agent"/>
    <n v="60.28333333338378"/>
  </r>
  <r>
    <s v="TCK-22871"/>
    <d v="2026-08-07T21:18:00"/>
    <x v="2"/>
    <s v="Mahnoor Aslam"/>
    <s v="Multan"/>
    <s v="Phone"/>
    <s v="Technical Issue"/>
    <s v="High"/>
    <n v="8"/>
    <s v="Open"/>
    <s v="Missing Resolve Date"/>
    <s v="No"/>
    <m/>
    <s v="Resolved On First Contact"/>
    <s v=""/>
  </r>
  <r>
    <s v="TCK-21879"/>
    <d v="2026-03-27T06:01:00"/>
    <x v="2"/>
    <s v="Bilal Chaudhry"/>
    <s v="Faisalabad"/>
    <s v="Chat"/>
    <s v="Account Access"/>
    <s v="Low"/>
    <n v="48"/>
    <s v="Closed"/>
    <d v="2026-03-29T22:53:00"/>
    <s v="No"/>
    <m/>
    <s v="Required Follow-Up Call"/>
    <n v="64.866666666639503"/>
  </r>
  <r>
    <s v="TCK-20732"/>
    <d v="2026-08-11T18:54:00"/>
    <x v="1"/>
    <s v="Zara Hussain"/>
    <s v="Karachi"/>
    <s v="Phone"/>
    <s v="Technical Issue"/>
    <s v="Medium"/>
    <n v="24"/>
    <s v="In Progress"/>
    <s v="Missing Resolve Date"/>
    <s v="Yes"/>
    <m/>
    <s v="Customer Requested Refund"/>
    <s v=""/>
  </r>
  <r>
    <s v="TCK-21880"/>
    <d v="2026-04-05T03:19:00"/>
    <x v="0"/>
    <s v="Sadia Anwar"/>
    <s v="Faisalabad"/>
    <s v="Email"/>
    <s v="Refund Request"/>
    <s v="High"/>
    <n v="8"/>
    <s v="Closed"/>
    <d v="2026-04-05T14:12:00"/>
    <s v="No"/>
    <n v="2"/>
    <s v="Not Specified"/>
    <n v="10.883333333360497"/>
  </r>
  <r>
    <s v="TCK-20501"/>
    <d v="2026-01-22T23:11:00"/>
    <x v="2"/>
    <s v="Bilal Chaudhry"/>
    <s v="Islamabad"/>
    <s v="Chat"/>
    <s v="Account Access"/>
    <s v="Medium"/>
    <n v="24"/>
    <s v="Resolved"/>
    <d v="2026-01-23T17:58:00"/>
    <s v="Yes"/>
    <n v="4"/>
    <s v="Not Specified"/>
    <n v="18.783333333441988"/>
  </r>
  <r>
    <s v="TCK-20140"/>
    <d v="2026-03-30T11:28:00"/>
    <x v="0"/>
    <s v="Sadia Anwar"/>
    <s v="Peshawar"/>
    <s v="Phone"/>
    <s v="Refund Request"/>
    <s v="Low"/>
    <n v="48"/>
    <s v="In Progress"/>
    <s v="Missing Resolve Date"/>
    <s v="No"/>
    <m/>
    <s v="Customer Satisfied With Resolution"/>
    <s v=""/>
  </r>
  <r>
    <s v="TCK-20880"/>
    <d v="2026-01-01T16:57:00"/>
    <x v="0"/>
    <s v="Rehan Qureshi"/>
    <s v="Karachi"/>
    <s v="Phone"/>
    <s v="Account Access"/>
    <s v="Critical"/>
    <n v="4"/>
    <s v="Resolved"/>
    <d v="2026-01-01T20:22:00"/>
    <s v="No"/>
    <n v="5"/>
    <s v="Not Specified"/>
    <n v="3.4166666666278616"/>
  </r>
  <r>
    <s v="TCK-21422"/>
    <d v="2026-05-09T20:17:00"/>
    <x v="0"/>
    <s v="Rehan Qureshi"/>
    <s v="Peshawar"/>
    <s v="Portal"/>
    <s v="Account Access"/>
    <s v="High"/>
    <n v="8"/>
    <s v="Resolved"/>
    <d v="2026-05-10T03:24:00"/>
    <s v="No"/>
    <n v="4"/>
    <s v="Customer Satisfied With Resolution"/>
    <n v="7.1166666668141261"/>
  </r>
  <r>
    <s v="TCK-22356"/>
    <d v="2026-03-15T11:39:00"/>
    <x v="2"/>
    <s v="Bilal Chaudhry"/>
    <s v="Rawalpindi"/>
    <s v="Chat"/>
    <s v="Billing Issue"/>
    <s v="Low"/>
    <n v="48"/>
    <s v="Resolved"/>
    <d v="2026-03-16T21:51:00"/>
    <s v="No"/>
    <n v="1"/>
    <s v="Resolved On First Contact"/>
    <n v="34.199999999895226"/>
  </r>
  <r>
    <s v="TCK-22716"/>
    <d v="2026-06-06T04:36:00"/>
    <x v="1"/>
    <s v="Ayaan Khalid"/>
    <s v="Lahore"/>
    <s v="Portal"/>
    <s v="Account Access"/>
    <s v="Medium"/>
    <n v="24"/>
    <s v="Resolved"/>
    <d v="2026-06-06T22:59:00"/>
    <s v="No"/>
    <m/>
    <s v="Resolved On First Contact"/>
    <n v="18.383333333360497"/>
  </r>
  <r>
    <s v="TCK-20110"/>
    <d v="2026-03-28T17:10:00"/>
    <x v="0"/>
    <s v="Sadia Anwar"/>
    <s v="Peshawar"/>
    <s v="Email"/>
    <s v="Account Access"/>
    <s v="High"/>
    <n v="8"/>
    <s v="Resolved"/>
    <d v="2026-03-28T23:57:00"/>
    <s v="No"/>
    <n v="2"/>
    <s v="Customer Satisfied With Resolution"/>
    <n v="6.7833333332673647"/>
  </r>
  <r>
    <s v="TCK-21565"/>
    <d v="2026-02-07T13:44:00"/>
    <x v="1"/>
    <s v="Zara Hussain"/>
    <s v="Multan"/>
    <s v="Email"/>
    <s v="Billing Issue"/>
    <s v="High"/>
    <n v="8"/>
    <s v="Open"/>
    <s v="Missing Resolve Date"/>
    <s v="No"/>
    <m/>
    <s v="Not Specified"/>
    <s v=""/>
  </r>
  <r>
    <s v="TCK-22238"/>
    <d v="2026-05-14T23:08:00"/>
    <x v="3"/>
    <s v="Iqra Basit"/>
    <s v="Rawalpindi"/>
    <s v="Email"/>
    <s v="Delivery Delay"/>
    <s v="Medium"/>
    <n v="24"/>
    <s v="Escalated"/>
    <s v="Missing Resolve Date"/>
    <s v="Yes"/>
    <m/>
    <s v="Customer Satisfied With Resolution"/>
    <s v=""/>
  </r>
  <r>
    <s v="TCK-21365"/>
    <d v="2026-01-06T02:18:00"/>
    <x v="3"/>
    <s v="Talha Nadeem"/>
    <s v="Peshawar"/>
    <s v="Portal"/>
    <s v="Technical Issue"/>
    <s v="Critical"/>
    <n v="4"/>
    <s v="Open"/>
    <s v="Missing Resolve Date"/>
    <s v="No"/>
    <m/>
    <s v="Escalated To Senior Agent"/>
    <s v=""/>
  </r>
  <r>
    <s v="TCK-22810"/>
    <d v="2026-05-13T17:02:00"/>
    <x v="3"/>
    <s v="Iqra Basit"/>
    <s v="Lahore"/>
    <s v="Portal"/>
    <s v="Account Access"/>
    <s v="Low"/>
    <n v="48"/>
    <s v="Resolved"/>
    <d v="2026-05-15T02:28:00"/>
    <s v="No"/>
    <n v="5"/>
    <s v="Customer Requested Refund"/>
    <n v="33.433333333348855"/>
  </r>
  <r>
    <s v="TCK-22795"/>
    <d v="2026-03-14T07:30:00"/>
    <x v="3"/>
    <s v="Iqra Basit"/>
    <s v="Multan"/>
    <s v="Chat"/>
    <s v="Refund Request"/>
    <s v="Medium"/>
    <n v="24"/>
    <s v="In Progress"/>
    <s v="Missing Resolve Date"/>
    <s v="No"/>
    <m/>
    <s v="Not Specified"/>
    <s v=""/>
  </r>
  <r>
    <s v="TCK-22126"/>
    <d v="2026-06-30T01:25:00"/>
    <x v="3"/>
    <s v="Talha Nadeem"/>
    <s v="Rawalpindi"/>
    <s v="Phone"/>
    <s v="Technical Issue"/>
    <s v="Medium"/>
    <n v="24"/>
    <s v="Resolved"/>
    <d v="2026-06-30T22:20:00"/>
    <s v="No"/>
    <m/>
    <s v="Resolved On First Contact"/>
    <n v="20.916666666569654"/>
  </r>
  <r>
    <s v="TCK-22459"/>
    <d v="2026-02-27T21:45:00"/>
    <x v="0"/>
    <s v="Rehan Qureshi"/>
    <s v="Islamabad"/>
    <s v="Chat"/>
    <s v="Technical Issue"/>
    <s v="Medium"/>
    <n v="24"/>
    <s v="Resolved"/>
    <d v="2026-02-28T12:55:00"/>
    <s v="No"/>
    <n v="1"/>
    <s v="Resolved On First Contact"/>
    <n v="15.166666666686069"/>
  </r>
  <r>
    <s v="TCK-20267"/>
    <d v="2026-01-19T17:44:00"/>
    <x v="3"/>
    <s v="Talha Nadeem"/>
    <s v="Lahore"/>
    <s v="Portal"/>
    <s v="Delivery Delay"/>
    <s v="Critical"/>
    <n v="4"/>
    <s v="Open"/>
    <s v="Missing Resolve Date"/>
    <s v="No"/>
    <m/>
    <s v="Awaiting Customer Response"/>
    <s v=""/>
  </r>
  <r>
    <s v="TCK-20381"/>
    <d v="2026-04-01T22:21:00"/>
    <x v="0"/>
    <s v="Rehan Qureshi"/>
    <s v="Islamabad"/>
    <s v="Portal"/>
    <s v="Refund Request"/>
    <s v="Medium"/>
    <n v="24"/>
    <s v="Resolved"/>
    <d v="2026-04-04T20:19:00"/>
    <s v="No"/>
    <n v="2"/>
    <s v="Awaiting Customer Response"/>
    <n v="69.966666666674428"/>
  </r>
  <r>
    <s v="TCK-20213"/>
    <d v="2026-08-20T17:28:00"/>
    <x v="2"/>
    <s v="Bilal Chaudhry"/>
    <s v="Rawalpindi"/>
    <s v="Email"/>
    <s v="Delivery Delay"/>
    <s v="Low"/>
    <n v="48"/>
    <s v="Closed"/>
    <d v="2026-08-21T15:11:00"/>
    <s v="No"/>
    <n v="5"/>
    <s v="Resolved On First Contact"/>
    <n v="21.716666666732635"/>
  </r>
  <r>
    <s v="TCK-22842"/>
    <d v="2026-02-22T22:59:00"/>
    <x v="2"/>
    <s v="Bilal Chaudhry"/>
    <s v="Islamabad"/>
    <s v="Portal"/>
    <s v="Account Access"/>
    <s v="Low"/>
    <n v="48"/>
    <s v="Closed"/>
    <d v="2026-02-27T23:40:00"/>
    <s v="No"/>
    <n v="3"/>
    <s v="Repeat Issue From Same Customer"/>
    <n v="120.68333333329065"/>
  </r>
  <r>
    <s v="TCK-22090"/>
    <d v="2026-01-02T16:55:00"/>
    <x v="0"/>
    <s v="Rehan Qureshi"/>
    <s v="Rawalpindi"/>
    <s v="Chat"/>
    <s v="Delivery Delay"/>
    <s v="Medium"/>
    <n v="24"/>
    <s v="Closed"/>
    <d v="2026-01-02T22:18:00"/>
    <s v="No"/>
    <m/>
    <s v="Required Follow-Up Call"/>
    <n v="5.3833333334187046"/>
  </r>
  <r>
    <s v="TCK-22632"/>
    <d v="2026-06-14T13:56:00"/>
    <x v="0"/>
    <s v="Sadia Anwar"/>
    <s v="Faisalabad"/>
    <s v="Chat"/>
    <s v="Technical Issue"/>
    <s v="Medium"/>
    <n v="24"/>
    <s v="Closed"/>
    <d v="2026-06-15T07:01:00"/>
    <s v="No"/>
    <m/>
    <s v="Escalated To Senior Agent"/>
    <n v="17.083333333313931"/>
  </r>
  <r>
    <s v="TCK-23179"/>
    <d v="2026-03-10T19:39:00"/>
    <x v="2"/>
    <s v="Bilal Chaudhry"/>
    <s v="Rawalpindi"/>
    <s v="Chat"/>
    <s v="General Inquiry"/>
    <s v="Low"/>
    <n v="48"/>
    <s v="Open"/>
    <s v="Missing Resolve Date"/>
    <s v="Yes"/>
    <m/>
    <s v="Technical Issue Resolved Remotely"/>
    <s v=""/>
  </r>
  <r>
    <s v="TCK-20657"/>
    <d v="2026-03-20T01:35:00"/>
    <x v="3"/>
    <s v="Iqra Basit"/>
    <s v="Lahore"/>
    <s v="Email"/>
    <s v="Refund Request"/>
    <s v="Medium"/>
    <n v="24"/>
    <s v="Resolved"/>
    <d v="2026-03-20T20:06:00"/>
    <s v="No"/>
    <n v="1"/>
    <s v="Customer Requested Refund"/>
    <n v="18.516666666779201"/>
  </r>
  <r>
    <s v="TCK-21717"/>
    <d v="2026-04-09T19:04:00"/>
    <x v="2"/>
    <s v="Mahnoor Aslam"/>
    <s v="Rawalpindi"/>
    <s v="Chat"/>
    <s v="Account Access"/>
    <s v="Medium"/>
    <n v="24"/>
    <s v="Closed"/>
    <d v="2026-04-10T16:02:00"/>
    <s v="No"/>
    <m/>
    <s v="Technical Issue Resolved Remotely"/>
    <n v="20.966666666732635"/>
  </r>
  <r>
    <s v="TCK-20151"/>
    <d v="2026-06-02T10:13:00"/>
    <x v="1"/>
    <s v="Ayaan Khalid"/>
    <s v="Rawalpindi"/>
    <s v="Chat"/>
    <s v="Delivery Delay"/>
    <s v="High"/>
    <n v="8"/>
    <s v="Closed"/>
    <d v="2026-06-02T14:03:00"/>
    <s v="No"/>
    <n v="4"/>
    <s v="Technical Issue Resolved Remotely"/>
    <n v="3.8333333334303461"/>
  </r>
  <r>
    <s v="TCK-20833"/>
    <d v="2026-04-16T21:28:00"/>
    <x v="3"/>
    <s v="Iqra Basit"/>
    <s v="Karachi"/>
    <s v="Chat"/>
    <s v="Delivery Delay"/>
    <s v="Low"/>
    <n v="48"/>
    <s v="Resolved"/>
    <d v="2026-04-17T00:16:00"/>
    <s v="No"/>
    <n v="1"/>
    <s v="Customer Requested Refund"/>
    <n v="2.8000000000465661"/>
  </r>
  <r>
    <s v="TCK-21441"/>
    <d v="2026-07-04T13:57:00"/>
    <x v="0"/>
    <s v="Rehan Qureshi"/>
    <s v="Peshawar"/>
    <s v="Chat"/>
    <s v="Delivery Delay"/>
    <s v="Medium"/>
    <n v="24"/>
    <s v="Escalated"/>
    <s v="Missing Resolve Date"/>
    <s v="Yes"/>
    <m/>
    <s v="Technical Issue Resolved Remotely"/>
    <s v=""/>
  </r>
  <r>
    <s v="TCK-20022"/>
    <d v="2026-08-13T10:50:00"/>
    <x v="3"/>
    <s v="Iqra Basit"/>
    <s v="Multan"/>
    <s v="Chat"/>
    <s v="Technical Issue"/>
    <s v="Medium"/>
    <n v="24"/>
    <s v="Escalated"/>
    <s v="Missing Resolve Date"/>
    <s v="Yes"/>
    <m/>
    <s v="Escalated To Senior Agent"/>
    <s v=""/>
  </r>
  <r>
    <s v="TCK-22291"/>
    <d v="2026-08-10T04:46:00"/>
    <x v="1"/>
    <s v="Zara Hussain"/>
    <s v="Islamabad"/>
    <s v="Phone"/>
    <s v="Refund Request"/>
    <s v="Medium"/>
    <n v="24"/>
    <s v="Resolved"/>
    <d v="2026-08-13T02:19:00"/>
    <s v="No"/>
    <n v="4"/>
    <s v="Not Specified"/>
    <n v="69.550000000046566"/>
  </r>
  <r>
    <s v="TCK-20060"/>
    <d v="2026-02-04T10:16:00"/>
    <x v="1"/>
    <s v="Ayaan Khalid"/>
    <s v="Islamabad"/>
    <s v="Phone"/>
    <s v="Refund Request"/>
    <s v="High"/>
    <n v="8"/>
    <s v="In Progress"/>
    <s v="Missing Resolve Date"/>
    <s v="No"/>
    <m/>
    <s v="Resolved On First Contact"/>
    <s v=""/>
  </r>
  <r>
    <s v="TCK-20044"/>
    <d v="2026-04-18T00:47:00"/>
    <x v="0"/>
    <s v="Sadia Anwar"/>
    <s v="Rawalpindi"/>
    <s v="Chat"/>
    <s v="General Inquiry"/>
    <s v="Low"/>
    <n v="48"/>
    <s v="Resolved"/>
    <d v="2026-04-18T22:26:00"/>
    <s v="Yes"/>
    <n v="3"/>
    <s v="Repeat Issue From Same Customer"/>
    <n v="21.650000000023283"/>
  </r>
  <r>
    <s v="TCK-20447"/>
    <d v="2026-05-19T11:11:00"/>
    <x v="3"/>
    <s v="Talha Nadeem"/>
    <s v="Peshawar"/>
    <s v="Portal"/>
    <s v="Refund Request"/>
    <s v="Medium"/>
    <n v="24"/>
    <s v="Resolved"/>
    <d v="2026-05-19T23:44:00"/>
    <s v="No"/>
    <m/>
    <s v="Customer Satisfied With Resolution"/>
    <n v="12.550000000046566"/>
  </r>
  <r>
    <s v="TCK-22569"/>
    <d v="2026-06-08T14:45:00"/>
    <x v="3"/>
    <s v="Talha Nadeem"/>
    <s v="Peshawar"/>
    <s v="Phone"/>
    <s v="Refund Request"/>
    <s v="High"/>
    <n v="8"/>
    <s v="Resolved"/>
    <d v="2026-06-08T16:33:00"/>
    <s v="No"/>
    <m/>
    <s v="Required Follow-Up Call"/>
    <n v="1.7999999999301508"/>
  </r>
  <r>
    <s v="TCK-21484"/>
    <d v="2026-05-11T11:32:00"/>
    <x v="3"/>
    <s v="Iqra Basit"/>
    <s v="Lahore"/>
    <s v="Portal"/>
    <s v="Delivery Delay"/>
    <s v="Medium"/>
    <n v="24"/>
    <s v="Closed"/>
    <d v="2026-05-11T12:25:00"/>
    <s v="Yes"/>
    <n v="5"/>
    <s v="Awaiting Customer Response"/>
    <n v="0.88333333324408159"/>
  </r>
  <r>
    <s v="TCK-21025"/>
    <d v="2026-04-17T00:34:00"/>
    <x v="3"/>
    <s v="Talha Nadeem"/>
    <s v="Faisalabad"/>
    <s v="Chat"/>
    <s v="Technical Issue"/>
    <s v="High"/>
    <n v="8"/>
    <s v="Resolved"/>
    <s v="Missing Resolve Date"/>
    <s v="No"/>
    <m/>
    <s v="Customer Requested Refund"/>
    <s v=""/>
  </r>
  <r>
    <s v="TCK-20346"/>
    <d v="2026-03-02T12:18:00"/>
    <x v="0"/>
    <s v="Sadia Anwar"/>
    <s v="Lahore"/>
    <s v="Chat"/>
    <s v="Billing Issue"/>
    <s v="Medium"/>
    <n v="24"/>
    <s v="Closed"/>
    <d v="2026-03-03T04:09:00"/>
    <s v="No"/>
    <n v="2"/>
    <s v="Resolved On First Contact"/>
    <n v="15.85000000015134"/>
  </r>
  <r>
    <s v="TCK-22915"/>
    <d v="2026-08-27T02:22:00"/>
    <x v="3"/>
    <s v="Talha Nadeem"/>
    <s v="Peshawar"/>
    <s v="Chat"/>
    <s v="Technical Issue"/>
    <s v="Low"/>
    <n v="48"/>
    <s v="Resolved"/>
    <d v="2026-08-28T20:12:00"/>
    <s v="No"/>
    <n v="1"/>
    <s v="Not Specified"/>
    <n v="41.833333333313931"/>
  </r>
  <r>
    <s v="TCK-20937"/>
    <d v="2026-08-20T05:55:00"/>
    <x v="2"/>
    <s v="Mahnoor Aslam"/>
    <s v="Peshawar"/>
    <s v="Portal"/>
    <s v="General Inquiry"/>
    <s v="Medium"/>
    <n v="24"/>
    <s v="Resolved"/>
    <d v="2026-08-23T02:55:00"/>
    <s v="No"/>
    <m/>
    <s v="Not Specified"/>
    <n v="69"/>
  </r>
  <r>
    <s v="TCK-20588"/>
    <d v="2026-01-19T00:36:00"/>
    <x v="3"/>
    <s v="Talha Nadeem"/>
    <s v="Karachi"/>
    <s v="Email"/>
    <s v="Refund Request"/>
    <s v="Critical"/>
    <n v="4"/>
    <s v="Re-Opened"/>
    <d v="2026-01-19T03:19:00"/>
    <s v="No"/>
    <m/>
    <s v="Not Specified"/>
    <n v="2.71666666661622"/>
  </r>
  <r>
    <s v="TCK-21591"/>
    <d v="2026-02-06T18:41:00"/>
    <x v="3"/>
    <s v="Talha Nadeem"/>
    <s v="Karachi"/>
    <s v="Portal"/>
    <s v="General Inquiry"/>
    <s v="Low"/>
    <n v="48"/>
    <s v="Re-Opened"/>
    <d v="2026-02-07T17:49:00"/>
    <s v="No"/>
    <m/>
    <s v="Resolved On First Contact"/>
    <n v="23.133333333302289"/>
  </r>
  <r>
    <s v="TCK-21453"/>
    <d v="2026-03-03T16:13:00"/>
    <x v="1"/>
    <s v="Ayaan Khalid"/>
    <s v="Rawalpindi"/>
    <s v="Portal"/>
    <s v="Account Access"/>
    <s v="High"/>
    <n v="8"/>
    <s v="Closed"/>
    <d v="2026-03-03T17:02:00"/>
    <s v="No"/>
    <n v="5"/>
    <s v="Required Follow-Up Call"/>
    <n v="0.81666666670935228"/>
  </r>
  <r>
    <s v="TCK-22889"/>
    <d v="2026-07-26T22:20:00"/>
    <x v="2"/>
    <s v="Bilal Chaudhry"/>
    <s v="Lahore"/>
    <s v="Portal"/>
    <s v="Technical Issue"/>
    <s v="Medium"/>
    <n v="24"/>
    <s v="Open"/>
    <s v="Missing Resolve Date"/>
    <s v="No"/>
    <m/>
    <s v="Technical Issue Resolved Remotely"/>
    <s v=""/>
  </r>
  <r>
    <s v="TCK-22594"/>
    <d v="2026-08-06T15:17:00"/>
    <x v="3"/>
    <s v="Iqra Basit"/>
    <s v="Rawalpindi"/>
    <s v="Email"/>
    <s v="General Inquiry"/>
    <s v="High"/>
    <n v="8"/>
    <s v="Closed"/>
    <d v="2026-08-06T20:27:00"/>
    <s v="Yes"/>
    <n v="5"/>
    <s v="Repeat Issue From Same Customer"/>
    <n v="5.1666666665696539"/>
  </r>
  <r>
    <s v="TCK-20004"/>
    <d v="2026-06-29T22:16:00"/>
    <x v="2"/>
    <s v="Mahnoor Aslam"/>
    <s v="Peshawar"/>
    <s v="Email"/>
    <s v="Refund Request"/>
    <s v="Low"/>
    <n v="48"/>
    <s v="Escalated"/>
    <s v="Missing Resolve Date"/>
    <s v="Yes"/>
    <m/>
    <s v="Required Follow-Up Call"/>
    <s v=""/>
  </r>
  <r>
    <s v="TCK-21975"/>
    <d v="2026-01-24T09:42:00"/>
    <x v="1"/>
    <s v="Zara Hussain"/>
    <s v="Rawalpindi"/>
    <s v="Email"/>
    <s v="Technical Issue"/>
    <s v="High"/>
    <n v="8"/>
    <s v="Resolved"/>
    <d v="2026-01-24T16:00:00"/>
    <s v="No"/>
    <m/>
    <s v="Customer Requested Refund"/>
    <n v="6.2999999999301508"/>
  </r>
  <r>
    <s v="TCK-22039"/>
    <d v="2026-04-06T09:07:00"/>
    <x v="1"/>
    <s v="Zara Hussain"/>
    <s v="Multan"/>
    <s v="Email"/>
    <s v="Refund Request"/>
    <s v="High"/>
    <n v="8"/>
    <s v="Closed"/>
    <d v="2026-04-06T10:40:00"/>
    <s v="No"/>
    <m/>
    <s v="Customer Satisfied With Resolution"/>
    <n v="1.5499999999883585"/>
  </r>
  <r>
    <s v="TCK-22204"/>
    <d v="2026-07-12T16:18:00"/>
    <x v="2"/>
    <s v="Bilal Chaudhry"/>
    <s v="Lahore"/>
    <s v="Phone"/>
    <s v="Account Access"/>
    <s v="Low"/>
    <n v="48"/>
    <s v="Re-Opened"/>
    <d v="2026-07-16T09:53:00"/>
    <s v="No"/>
    <m/>
    <s v="Not Specified"/>
    <n v="89.583333333372138"/>
  </r>
  <r>
    <s v="TCK-20007"/>
    <d v="2026-03-30T14:37:00"/>
    <x v="3"/>
    <s v="Talha Nadeem"/>
    <s v="Rawalpindi"/>
    <s v="Phone"/>
    <s v="General Inquiry"/>
    <s v="High"/>
    <n v="8"/>
    <s v="Resolved"/>
    <d v="2026-03-30T15:26:00"/>
    <s v="No"/>
    <n v="4"/>
    <s v="Not Specified"/>
    <n v="0.81666666670935228"/>
  </r>
  <r>
    <s v="TCK-22086"/>
    <d v="2026-08-24T00:41:00"/>
    <x v="3"/>
    <s v="Iqra Basit"/>
    <s v="Islamabad"/>
    <s v="Email"/>
    <s v="Delivery Delay"/>
    <s v="Medium"/>
    <n v="24"/>
    <s v="Resolved"/>
    <d v="2026-08-24T18:27:00"/>
    <s v="Yes"/>
    <m/>
    <s v="Not Specified"/>
    <n v="17.766666666779201"/>
  </r>
  <r>
    <s v="TCK-20167"/>
    <d v="2026-08-28T15:16:00"/>
    <x v="1"/>
    <s v="Ayaan Khalid"/>
    <s v="Multan"/>
    <s v="Portal"/>
    <s v="Technical Issue"/>
    <s v="Low"/>
    <n v="48"/>
    <s v="Resolved"/>
    <d v="2026-09-01T07:29:00"/>
    <s v="No"/>
    <n v="5"/>
    <s v="Repeat Issue From Same Customer"/>
    <n v="88.21666666661622"/>
  </r>
  <r>
    <s v="TCK-23013"/>
    <d v="2026-06-22T14:19:00"/>
    <x v="0"/>
    <s v="Rehan Qureshi"/>
    <s v="Lahore"/>
    <s v="Chat"/>
    <s v="Refund Request"/>
    <s v="Critical"/>
    <n v="4"/>
    <s v="Re-Opened"/>
    <d v="2026-06-22T16:53:00"/>
    <s v="No"/>
    <m/>
    <s v="Not Specified"/>
    <n v="2.5666666666511446"/>
  </r>
  <r>
    <s v="TCK-20924"/>
    <d v="2026-08-23T15:33:00"/>
    <x v="3"/>
    <s v="Iqra Basit"/>
    <s v="Rawalpindi"/>
    <s v="Phone"/>
    <s v="General Inquiry"/>
    <s v="Low"/>
    <n v="48"/>
    <s v="Closed"/>
    <d v="2026-08-24T03:43:00"/>
    <s v="No"/>
    <n v="5"/>
    <s v="Required Follow-Up Call"/>
    <n v="12.166666666686069"/>
  </r>
  <r>
    <s v="TCK-21237"/>
    <d v="2026-03-30T16:12:00"/>
    <x v="1"/>
    <s v="Zara Hussain"/>
    <s v="Peshawar"/>
    <s v="Phone"/>
    <s v="Billing Issue"/>
    <s v="Low"/>
    <n v="48"/>
    <s v="Closed"/>
    <d v="2026-03-31T20:32:00"/>
    <s v="No"/>
    <n v="4"/>
    <s v="Customer Requested Refund"/>
    <n v="28.333333333313931"/>
  </r>
  <r>
    <s v="TCK-21488"/>
    <d v="2026-07-03T12:17:00"/>
    <x v="2"/>
    <s v="Mahnoor Aslam"/>
    <s v="Karachi"/>
    <s v="Chat"/>
    <s v="Technical Issue"/>
    <s v="Low"/>
    <n v="48"/>
    <s v="Closed"/>
    <d v="2026-07-03T22:58:00"/>
    <s v="No"/>
    <m/>
    <s v="Not Specified"/>
    <n v="10.68333333323244"/>
  </r>
  <r>
    <s v="TCK-20453"/>
    <d v="2026-08-20T18:37:00"/>
    <x v="0"/>
    <s v="Sadia Anwar"/>
    <s v="Lahore"/>
    <s v="Email"/>
    <s v="Technical Issue"/>
    <s v="Medium"/>
    <n v="24"/>
    <s v="Open"/>
    <s v="Missing Resolve Date"/>
    <s v="No"/>
    <m/>
    <s v="Technical Issue Resolved Remotely"/>
    <s v=""/>
  </r>
  <r>
    <s v="TCK-21643"/>
    <d v="2026-04-02T19:31:00"/>
    <x v="0"/>
    <s v="Sadia Anwar"/>
    <s v="Multan"/>
    <s v="Chat"/>
    <s v="Billing Issue"/>
    <s v="Critical"/>
    <n v="4"/>
    <s v="Resolved"/>
    <s v="Missing Resolve Date"/>
    <s v="No"/>
    <m/>
    <s v="Required Follow-Up Call"/>
    <s v=""/>
  </r>
  <r>
    <s v="TCK-20001"/>
    <d v="2026-08-23T23:59:00"/>
    <x v="1"/>
    <s v="Ayaan Khalid"/>
    <s v="Islamabad"/>
    <s v="Chat"/>
    <s v="Refund Request"/>
    <s v="Medium"/>
    <n v="24"/>
    <s v="Re-Opened"/>
    <d v="2026-08-24T08:36:00"/>
    <s v="No"/>
    <m/>
    <s v="Repeat Issue From Same Customer"/>
    <n v="8.6166666666395031"/>
  </r>
  <r>
    <s v="TCK-21411"/>
    <d v="2026-08-15T21:33:00"/>
    <x v="3"/>
    <s v="Talha Nadeem"/>
    <s v="Rawalpindi"/>
    <s v="Email"/>
    <s v="Delivery Delay"/>
    <s v="Medium"/>
    <n v="24"/>
    <s v="Escalated"/>
    <s v="Missing Resolve Date"/>
    <s v="Yes"/>
    <m/>
    <s v="Not Specified"/>
    <s v=""/>
  </r>
  <r>
    <s v="TCK-21345"/>
    <d v="2026-06-06T10:24:00"/>
    <x v="3"/>
    <s v="Talha Nadeem"/>
    <s v="Rawalpindi"/>
    <s v="Phone"/>
    <s v="Delivery Delay"/>
    <s v="Low"/>
    <n v="48"/>
    <s v="Resolved"/>
    <d v="2026-06-08T03:35:00"/>
    <s v="No"/>
    <n v="5"/>
    <s v="Customer Requested Refund"/>
    <n v="41.183333333290648"/>
  </r>
  <r>
    <s v="TCK-22673"/>
    <d v="2026-05-27T16:19:00"/>
    <x v="0"/>
    <s v="Sadia Anwar"/>
    <s v="Peshawar"/>
    <s v="Phone"/>
    <s v="Refund Request"/>
    <s v="Low"/>
    <n v="48"/>
    <s v="Resolved"/>
    <d v="2026-05-28T21:22:00"/>
    <s v="No"/>
    <n v="3"/>
    <s v="Customer Requested Refund"/>
    <n v="29.050000000046566"/>
  </r>
  <r>
    <s v="TCK-22427"/>
    <d v="2026-02-09T11:24:00"/>
    <x v="3"/>
    <s v="Talha Nadeem"/>
    <s v="Islamabad"/>
    <s v="Email"/>
    <s v="Billing Issue"/>
    <s v="Medium"/>
    <n v="24"/>
    <s v="Closed"/>
    <d v="2026-02-09T19:19:00"/>
    <s v="No"/>
    <m/>
    <s v="Customer Satisfied With Resolution"/>
    <n v="7.9166666666278616"/>
  </r>
  <r>
    <s v="TCK-20838"/>
    <d v="2026-05-13T13:37:00"/>
    <x v="1"/>
    <s v="Ayaan Khalid"/>
    <s v="Peshawar"/>
    <s v="Portal"/>
    <s v="Technical Issue"/>
    <s v="Medium"/>
    <n v="24"/>
    <s v="Open"/>
    <s v="Missing Resolve Date"/>
    <s v="No"/>
    <m/>
    <s v="Customer Satisfied With Resolution"/>
    <s v=""/>
  </r>
  <r>
    <s v="TCK-23191"/>
    <d v="2026-07-31T09:06:00"/>
    <x v="2"/>
    <s v="Mahnoor Aslam"/>
    <s v="Karachi"/>
    <s v="Chat"/>
    <s v="Account Access"/>
    <s v="Low"/>
    <n v="48"/>
    <s v="Re-Opened"/>
    <d v="2026-08-01T11:09:00"/>
    <s v="No"/>
    <m/>
    <s v="Escalated To Senior Agent"/>
    <n v="26.050000000046566"/>
  </r>
  <r>
    <s v="TCK-22491"/>
    <d v="2026-01-25T20:40:00"/>
    <x v="3"/>
    <s v="Iqra Basit"/>
    <s v="Lahore"/>
    <s v="Portal"/>
    <s v="Billing Issue"/>
    <s v="Critical"/>
    <n v="4"/>
    <s v="Closed"/>
    <d v="2026-01-26T03:32:00"/>
    <s v="No"/>
    <n v="5"/>
    <s v="Customer Requested Refund"/>
    <n v="6.8666666666977108"/>
  </r>
  <r>
    <s v="TCK-21443"/>
    <d v="2026-01-05T11:02:00"/>
    <x v="3"/>
    <s v="Iqra Basit"/>
    <s v="Multan"/>
    <s v="Email"/>
    <s v="Refund Request"/>
    <s v="Low"/>
    <n v="48"/>
    <s v="Closed"/>
    <d v="2026-01-06T03:20:00"/>
    <s v="No"/>
    <m/>
    <s v="Customer Requested Refund"/>
    <n v="16.300000000046566"/>
  </r>
  <r>
    <s v="TCK-20972"/>
    <d v="2026-08-01T17:23:00"/>
    <x v="1"/>
    <s v="Zara Hussain"/>
    <s v="Peshawar"/>
    <s v="Email"/>
    <s v="Refund Request"/>
    <s v="Low"/>
    <n v="48"/>
    <s v="Resolved"/>
    <d v="2026-08-02T15:46:00"/>
    <s v="No"/>
    <n v="3"/>
    <s v="Repeat Issue From Same Customer"/>
    <n v="22.383333333302289"/>
  </r>
  <r>
    <s v="TCK-20826"/>
    <d v="2026-07-20T12:04:00"/>
    <x v="0"/>
    <s v="Sadia Anwar"/>
    <s v="Peshawar"/>
    <s v="Portal"/>
    <s v="Account Access"/>
    <s v="Low"/>
    <n v="48"/>
    <s v="Escalated"/>
    <s v="Missing Resolve Date"/>
    <s v="Yes"/>
    <m/>
    <s v="Awaiting Customer Response"/>
    <s v=""/>
  </r>
  <r>
    <s v="TCK-23114"/>
    <d v="2026-04-15T03:17:00"/>
    <x v="2"/>
    <s v="Mahnoor Aslam"/>
    <s v="Islamabad"/>
    <s v="Chat"/>
    <s v="Refund Request"/>
    <s v="High"/>
    <n v="8"/>
    <s v="Resolved"/>
    <d v="2026-04-15T08:51:00"/>
    <s v="Yes"/>
    <n v="3"/>
    <s v="Customer Requested Refund"/>
    <n v="5.5666666666511446"/>
  </r>
  <r>
    <s v="TCK-20789"/>
    <d v="2026-06-23T07:09:00"/>
    <x v="3"/>
    <s v="Talha Nadeem"/>
    <s v="Karachi"/>
    <s v="Chat"/>
    <s v="Delivery Delay"/>
    <s v="Medium"/>
    <n v="24"/>
    <s v="Open"/>
    <s v="Missing Resolve Date"/>
    <s v="No"/>
    <m/>
    <s v="Repeat Issue From Same Customer"/>
    <s v=""/>
  </r>
  <r>
    <s v="TCK-21863"/>
    <d v="2026-03-20T02:21:00"/>
    <x v="2"/>
    <s v="Bilal Chaudhry"/>
    <s v="Islamabad"/>
    <s v="Email"/>
    <s v="Delivery Delay"/>
    <s v="High"/>
    <n v="8"/>
    <s v="Resolved"/>
    <d v="2026-03-20T11:39:00"/>
    <s v="No"/>
    <n v="2"/>
    <s v="Required Follow-Up Call"/>
    <n v="9.3000000001047738"/>
  </r>
  <r>
    <s v="TCK-23137"/>
    <d v="2026-08-02T20:28:00"/>
    <x v="2"/>
    <s v="Mahnoor Aslam"/>
    <s v="Islamabad"/>
    <s v="Chat"/>
    <s v="Refund Request"/>
    <s v="Critical"/>
    <n v="4"/>
    <s v="In Progress"/>
    <s v="Missing Resolve Date"/>
    <s v="No"/>
    <m/>
    <s v="Escalated To Senior Agent"/>
    <s v=""/>
  </r>
  <r>
    <s v="TCK-22098"/>
    <d v="2026-08-20T11:45:00"/>
    <x v="0"/>
    <s v="Rehan Qureshi"/>
    <s v="Karachi"/>
    <s v="Email"/>
    <s v="General Inquiry"/>
    <s v="High"/>
    <n v="8"/>
    <s v="Open"/>
    <s v="Missing Resolve Date"/>
    <s v="No"/>
    <m/>
    <s v="Awaiting Customer Response"/>
    <s v=""/>
  </r>
  <r>
    <s v="TCK-22205"/>
    <d v="2026-05-18T07:08:00"/>
    <x v="3"/>
    <s v="Iqra Basit"/>
    <s v="Multan"/>
    <s v="Email"/>
    <s v="Billing Issue"/>
    <s v="Low"/>
    <n v="48"/>
    <s v="Resolved"/>
    <d v="2026-05-23T05:55:00"/>
    <s v="No"/>
    <n v="5"/>
    <s v="Customer Satisfied With Resolution"/>
    <n v="118.78333333338378"/>
  </r>
  <r>
    <s v="TCK-20493"/>
    <d v="2026-08-28T23:59:00"/>
    <x v="0"/>
    <s v="Sadia Anwar"/>
    <s v="Faisalabad"/>
    <s v="Portal"/>
    <s v="Refund Request"/>
    <s v="Medium"/>
    <n v="24"/>
    <s v="Escalated"/>
    <s v="Missing Resolve Date"/>
    <s v="Yes"/>
    <m/>
    <s v="Awaiting Customer Response"/>
    <s v=""/>
  </r>
  <r>
    <s v="TCK-22525"/>
    <d v="2026-06-27T12:06:00"/>
    <x v="2"/>
    <s v="Mahnoor Aslam"/>
    <s v="Lahore"/>
    <s v="Chat"/>
    <s v="Refund Request"/>
    <s v="Medium"/>
    <n v="24"/>
    <s v="Closed"/>
    <d v="2026-06-28T00:06:00"/>
    <s v="No"/>
    <n v="3"/>
    <s v="Required Follow-Up Call"/>
    <n v="12"/>
  </r>
  <r>
    <s v="TCK-21782"/>
    <d v="2026-04-23T10:09:00"/>
    <x v="2"/>
    <s v="Bilal Chaudhry"/>
    <s v="Faisalabad"/>
    <s v="Email"/>
    <s v="Technical Issue"/>
    <s v="High"/>
    <n v="8"/>
    <s v="Escalated"/>
    <s v="Missing Resolve Date"/>
    <s v="Yes"/>
    <m/>
    <s v="Repeat Issue From Same Customer"/>
    <s v=""/>
  </r>
  <r>
    <s v="TCK-21654"/>
    <d v="2026-04-25T02:59:00"/>
    <x v="2"/>
    <s v="Mahnoor Aslam"/>
    <s v="Lahore"/>
    <s v="Portal"/>
    <s v="Technical Issue"/>
    <s v="Low"/>
    <n v="48"/>
    <s v="Closed"/>
    <d v="2026-04-25T21:54:00"/>
    <s v="Yes"/>
    <m/>
    <s v="Required Follow-Up Call"/>
    <n v="18.916666666686069"/>
  </r>
  <r>
    <s v="TCK-21545"/>
    <d v="2026-01-23T15:54:00"/>
    <x v="2"/>
    <s v="Mahnoor Aslam"/>
    <s v="Karachi"/>
    <s v="Phone"/>
    <s v="Refund Request"/>
    <s v="Medium"/>
    <n v="24"/>
    <s v="Resolved"/>
    <d v="2026-01-24T12:23:00"/>
    <s v="No"/>
    <n v="5"/>
    <s v="Awaiting Customer Response"/>
    <n v="20.483333333395422"/>
  </r>
  <r>
    <s v="TCK-20630"/>
    <d v="2026-06-18T02:42:00"/>
    <x v="2"/>
    <s v="Bilal Chaudhry"/>
    <s v="Multan"/>
    <s v="Chat"/>
    <s v="Account Access"/>
    <s v="Medium"/>
    <n v="24"/>
    <s v="Resolved"/>
    <d v="2026-06-18T17:58:00"/>
    <s v="No"/>
    <n v="1"/>
    <s v="Customer Satisfied With Resolution"/>
    <n v="15.266666666662786"/>
  </r>
  <r>
    <s v="TCK-22604"/>
    <d v="2026-07-02T20:16:00"/>
    <x v="0"/>
    <s v="Rehan Qureshi"/>
    <s v="Islamabad"/>
    <s v="Phone"/>
    <s v="Refund Request"/>
    <s v="Medium"/>
    <n v="24"/>
    <s v="Open"/>
    <s v="Missing Resolve Date"/>
    <s v="Yes"/>
    <m/>
    <s v="Technical Issue Resolved Remotely"/>
    <s v=""/>
  </r>
  <r>
    <s v="TCK-22010"/>
    <d v="2026-01-07T09:02:00"/>
    <x v="1"/>
    <s v="Ayaan Khalid"/>
    <s v="Karachi"/>
    <s v="Phone"/>
    <s v="General Inquiry"/>
    <s v="Low"/>
    <n v="48"/>
    <s v="Escalated"/>
    <s v="Missing Resolve Date"/>
    <s v="Yes"/>
    <m/>
    <s v="Customer Requested Refund"/>
    <s v=""/>
  </r>
  <r>
    <s v="TCK-22511"/>
    <d v="2026-06-23T07:26:00"/>
    <x v="2"/>
    <s v="Bilal Chaudhry"/>
    <s v="Not Specified"/>
    <s v="Phone"/>
    <s v="Billing Issue"/>
    <s v="Medium"/>
    <n v="24"/>
    <s v="Resolved"/>
    <s v="Missing Resolve Date"/>
    <s v="No"/>
    <n v="4"/>
    <s v="Not Specified"/>
    <s v=""/>
  </r>
  <r>
    <s v="TCK-22079"/>
    <d v="2026-05-02T20:25:00"/>
    <x v="2"/>
    <s v="Bilal Chaudhry"/>
    <s v="Peshawar"/>
    <s v="Phone"/>
    <s v="Account Access"/>
    <s v="Medium"/>
    <n v="24"/>
    <s v="Resolved"/>
    <d v="2026-05-03T08:54:00"/>
    <s v="Yes"/>
    <n v="5"/>
    <s v="Not Specified"/>
    <n v="12.483333333337214"/>
  </r>
  <r>
    <s v="TCK-21982"/>
    <d v="2026-07-23T10:30:00"/>
    <x v="0"/>
    <s v="Rehan Qureshi"/>
    <s v="Faisalabad"/>
    <s v="Portal"/>
    <s v="Delivery Delay"/>
    <s v="High"/>
    <n v="8"/>
    <s v="Resolved"/>
    <d v="2026-07-23T13:25:00"/>
    <s v="No"/>
    <m/>
    <s v="Customer Requested Refund"/>
    <n v="2.9166666667442769"/>
  </r>
  <r>
    <s v="TCK-21006"/>
    <d v="2026-03-05T08:05:00"/>
    <x v="0"/>
    <s v="Sadia Anwar"/>
    <s v="Faisalabad"/>
    <s v="Email"/>
    <s v="Account Access"/>
    <s v="High"/>
    <n v="8"/>
    <s v="In Progress"/>
    <s v="Missing Resolve Date"/>
    <s v="No"/>
    <m/>
    <s v="Not Specified"/>
    <s v=""/>
  </r>
  <r>
    <s v="TCK-22616"/>
    <d v="2026-01-27T02:55:00"/>
    <x v="3"/>
    <s v="Iqra Basit"/>
    <s v="Peshawar"/>
    <s v="Phone"/>
    <s v="Technical Issue"/>
    <s v="Medium"/>
    <n v="24"/>
    <s v="Resolved"/>
    <d v="2026-01-27T14:28:00"/>
    <s v="No"/>
    <n v="2"/>
    <s v="Repeat Issue From Same Customer"/>
    <n v="11.549999999930151"/>
  </r>
  <r>
    <s v="TCK-21117"/>
    <d v="2026-05-17T15:14:00"/>
    <x v="0"/>
    <s v="Rehan Qureshi"/>
    <s v="Peshawar"/>
    <s v="Chat"/>
    <s v="Billing Issue"/>
    <s v="High"/>
    <n v="8"/>
    <s v="Open"/>
    <s v="Missing Resolve Date"/>
    <s v="No"/>
    <m/>
    <s v="Required Follow-Up Call"/>
    <s v=""/>
  </r>
  <r>
    <s v="TCK-20470"/>
    <d v="2026-04-09T21:05:00"/>
    <x v="1"/>
    <s v="Ayaan Khalid"/>
    <s v="Islamabad"/>
    <s v="Portal"/>
    <s v="Account Access"/>
    <s v="Low"/>
    <n v="48"/>
    <s v="Closed"/>
    <s v="Missing Resolve Date"/>
    <s v="No"/>
    <m/>
    <s v="Not Specified"/>
    <s v=""/>
  </r>
  <r>
    <s v="TCK-20874"/>
    <d v="2026-07-12T13:03:00"/>
    <x v="2"/>
    <s v="Mahnoor Aslam"/>
    <s v="Multan"/>
    <s v="Email"/>
    <s v="Delivery Delay"/>
    <s v="High"/>
    <n v="8"/>
    <s v="Resolved"/>
    <d v="2026-07-12T14:50:00"/>
    <s v="No"/>
    <n v="5"/>
    <s v="Repeat Issue From Same Customer"/>
    <n v="1.78333333338378"/>
  </r>
  <r>
    <s v="TCK-20633"/>
    <d v="2026-04-15T23:45:00"/>
    <x v="1"/>
    <s v="Zara Hussain"/>
    <s v="Karachi"/>
    <s v="Chat"/>
    <s v="General Inquiry"/>
    <s v="Medium"/>
    <n v="24"/>
    <s v="Resolved"/>
    <d v="2026-04-16T06:29:00"/>
    <s v="No"/>
    <n v="1"/>
    <s v="Resolved On First Contact"/>
    <n v="6.7333333332790062"/>
  </r>
  <r>
    <s v="TCK-22400"/>
    <d v="2026-02-10T14:30:00"/>
    <x v="0"/>
    <s v="Sadia Anwar"/>
    <s v="Lahore"/>
    <s v="Phone"/>
    <s v="Technical Issue"/>
    <s v="Low"/>
    <n v="48"/>
    <s v="Open"/>
    <s v="Missing Resolve Date"/>
    <s v="No"/>
    <m/>
    <s v="Required Follow-Up Call"/>
    <s v=""/>
  </r>
  <r>
    <s v="TCK-20234"/>
    <d v="2026-04-12T10:30:00"/>
    <x v="1"/>
    <s v="Zara Hussain"/>
    <s v="Lahore"/>
    <s v="Chat"/>
    <s v="General Inquiry"/>
    <s v="Medium"/>
    <n v="24"/>
    <s v="Closed"/>
    <d v="2026-04-12T11:57:00"/>
    <s v="No"/>
    <n v="4"/>
    <s v="Escalated To Senior Agent"/>
    <n v="1.4500000000116415"/>
  </r>
  <r>
    <s v="TCK-21160"/>
    <d v="2026-01-31T09:55:00"/>
    <x v="0"/>
    <s v="Rehan Qureshi"/>
    <s v="Multan"/>
    <s v="Chat"/>
    <s v="Billing Issue"/>
    <s v="Low"/>
    <n v="48"/>
    <s v="Resolved"/>
    <d v="2026-01-31T22:02:00"/>
    <s v="No"/>
    <n v="5"/>
    <s v="Not Specified"/>
    <n v="12.116666666697711"/>
  </r>
  <r>
    <s v="TCK-21920"/>
    <d v="2026-07-03T12:44:00"/>
    <x v="2"/>
    <s v="Bilal Chaudhry"/>
    <s v="Karachi"/>
    <s v="Phone"/>
    <s v="Account Access"/>
    <s v="Medium"/>
    <n v="24"/>
    <s v="In Progress"/>
    <s v="Missing Resolve Date"/>
    <s v="No"/>
    <m/>
    <s v="Not Specified"/>
    <s v=""/>
  </r>
  <r>
    <s v="TCK-22692"/>
    <d v="2026-02-27T05:15:00"/>
    <x v="1"/>
    <s v="Ayaan Khalid"/>
    <s v="Rawalpindi"/>
    <s v="Chat"/>
    <s v="Refund Request"/>
    <s v="High"/>
    <n v="8"/>
    <s v="Open"/>
    <s v="Missing Resolve Date"/>
    <s v="Yes"/>
    <m/>
    <s v="Technical Issue Resolved Remotely"/>
    <s v=""/>
  </r>
  <r>
    <s v="TCK-22194"/>
    <d v="2026-06-20T04:33:00"/>
    <x v="0"/>
    <s v="Rehan Qureshi"/>
    <s v="Islamabad"/>
    <s v="Chat"/>
    <s v="Account Access"/>
    <s v="Low"/>
    <n v="48"/>
    <s v="Open"/>
    <s v="Missing Resolve Date"/>
    <s v="No"/>
    <m/>
    <s v="Not Specified"/>
    <s v=""/>
  </r>
  <r>
    <s v="TCK-22138"/>
    <d v="2026-08-09T11:12:00"/>
    <x v="2"/>
    <s v="Mahnoor Aslam"/>
    <s v="Karachi"/>
    <s v="Email"/>
    <s v="Account Access"/>
    <s v="Medium"/>
    <n v="24"/>
    <s v="Resolved"/>
    <d v="2026-08-11T23:37:00"/>
    <s v="No"/>
    <n v="5"/>
    <s v="Customer Requested Refund"/>
    <n v="60.416666666627862"/>
  </r>
  <r>
    <s v="TCK-20444"/>
    <d v="2026-07-23T11:28:00"/>
    <x v="2"/>
    <s v="Mahnoor Aslam"/>
    <s v="Rawalpindi"/>
    <s v="Chat"/>
    <s v="Account Access"/>
    <s v="High"/>
    <n v="8"/>
    <s v="Closed"/>
    <d v="2026-07-23T23:08:00"/>
    <s v="No"/>
    <n v="1"/>
    <s v="Not Specified"/>
    <n v="11.666666666627862"/>
  </r>
  <r>
    <s v="TCK-21766"/>
    <d v="2026-04-10T11:26:00"/>
    <x v="1"/>
    <s v="Zara Hussain"/>
    <s v="Rawalpindi"/>
    <s v="Phone"/>
    <s v="Delivery Delay"/>
    <s v="Medium"/>
    <n v="24"/>
    <s v="Re-Opened"/>
    <d v="2026-04-10T20:21:00"/>
    <s v="No"/>
    <m/>
    <s v="Awaiting Customer Response"/>
    <n v="8.9166666665696539"/>
  </r>
  <r>
    <s v="TCK-21485"/>
    <d v="2026-06-06T18:32:00"/>
    <x v="3"/>
    <s v="Iqra Basit"/>
    <s v="Peshawar"/>
    <s v="Email"/>
    <s v="Technical Issue"/>
    <s v="Low"/>
    <n v="48"/>
    <s v="Escalated"/>
    <s v="Missing Resolve Date"/>
    <s v="Yes"/>
    <m/>
    <s v="Customer Requested Refund"/>
    <s v=""/>
  </r>
  <r>
    <s v="TCK-21134"/>
    <d v="2026-05-30T14:27:00"/>
    <x v="0"/>
    <s v="Rehan Qureshi"/>
    <s v="Faisalabad"/>
    <s v="Portal"/>
    <s v="Billing Issue"/>
    <s v="Medium"/>
    <n v="24"/>
    <s v="Resolved"/>
    <d v="2026-05-31T11:28:00"/>
    <s v="No"/>
    <n v="2"/>
    <s v="Technical Issue Resolved Remotely"/>
    <n v="21.016666666720994"/>
  </r>
  <r>
    <s v="TCK-20462"/>
    <d v="2026-03-10T05:21:00"/>
    <x v="1"/>
    <s v="Zara Hussain"/>
    <s v="Islamabad"/>
    <s v="Phone"/>
    <s v="Delivery Delay"/>
    <s v="Medium"/>
    <n v="24"/>
    <s v="Closed"/>
    <d v="2026-03-11T01:24:00"/>
    <s v="No"/>
    <n v="1"/>
    <s v="Technical Issue Resolved Remotely"/>
    <n v="20.050000000046566"/>
  </r>
  <r>
    <s v="TCK-21254"/>
    <d v="2026-05-18T15:54:00"/>
    <x v="1"/>
    <s v="Zara Hussain"/>
    <s v="Islamabad"/>
    <s v="Portal"/>
    <s v="Delivery Delay"/>
    <s v="Low"/>
    <n v="48"/>
    <s v="Resolved"/>
    <d v="2026-05-19T13:44:00"/>
    <s v="No"/>
    <n v="3"/>
    <s v="Technical Issue Resolved Remotely"/>
    <n v="21.833333333430346"/>
  </r>
  <r>
    <s v="TCK-22851"/>
    <d v="2026-08-11T06:03:00"/>
    <x v="3"/>
    <s v="Talha Nadeem"/>
    <s v="Multan"/>
    <s v="Portal"/>
    <s v="Account Access"/>
    <s v="Medium"/>
    <n v="24"/>
    <s v="Open"/>
    <s v="Missing Resolve Date"/>
    <s v="No"/>
    <m/>
    <s v="Escalated To Senior Agent"/>
    <s v=""/>
  </r>
  <r>
    <s v="TCK-21805"/>
    <d v="2026-07-04T07:12:00"/>
    <x v="3"/>
    <s v="Iqra Basit"/>
    <s v="Islamabad"/>
    <s v="Portal"/>
    <s v="Delivery Delay"/>
    <s v="Medium"/>
    <n v="24"/>
    <s v="In Progress"/>
    <s v="Missing Resolve Date"/>
    <s v="Yes"/>
    <m/>
    <s v="Resolved On First Contact"/>
    <s v=""/>
  </r>
  <r>
    <s v="TCK-21011"/>
    <d v="2026-07-13T18:20:00"/>
    <x v="0"/>
    <s v="Sadia Anwar"/>
    <s v="Karachi"/>
    <s v="Chat"/>
    <s v="Billing Issue"/>
    <s v="Medium"/>
    <n v="24"/>
    <s v="Closed"/>
    <d v="2026-07-14T05:05:00"/>
    <s v="No"/>
    <n v="3"/>
    <s v="Customer Requested Refund"/>
    <n v="10.749999999941792"/>
  </r>
  <r>
    <s v="TCK-21483"/>
    <d v="2026-07-16T05:15:00"/>
    <x v="1"/>
    <s v="Ayaan Khalid"/>
    <s v="Multan"/>
    <s v="Phone"/>
    <s v="Technical Issue"/>
    <s v="High"/>
    <n v="8"/>
    <s v="In Progress"/>
    <s v="Missing Resolve Date"/>
    <s v="No"/>
    <m/>
    <s v="Technical Issue Resolved Remotely"/>
    <s v=""/>
  </r>
  <r>
    <s v="TCK-20561"/>
    <d v="2026-02-15T07:54:00"/>
    <x v="1"/>
    <s v="Zara Hussain"/>
    <s v="Islamabad"/>
    <s v="Portal"/>
    <s v="Account Access"/>
    <s v="Medium"/>
    <n v="24"/>
    <s v="Resolved"/>
    <s v="Missing Resolve Date"/>
    <s v="No"/>
    <n v="5"/>
    <s v="Customer Requested Refund"/>
    <s v=""/>
  </r>
  <r>
    <s v="TCK-22759"/>
    <d v="2026-06-21T17:17:00"/>
    <x v="3"/>
    <s v="Iqra Basit"/>
    <s v="Rawalpindi"/>
    <s v="Email"/>
    <s v="Account Access"/>
    <s v="Low"/>
    <n v="48"/>
    <s v="Open"/>
    <s v="Missing Resolve Date"/>
    <s v="No"/>
    <m/>
    <s v="Customer Requested Refund"/>
    <s v=""/>
  </r>
  <r>
    <s v="TCK-22171"/>
    <d v="2026-01-09T14:55:00"/>
    <x v="3"/>
    <s v="Iqra Basit"/>
    <s v="Lahore"/>
    <s v="Portal"/>
    <s v="Technical Issue"/>
    <s v="Low"/>
    <n v="48"/>
    <s v="Re-Opened"/>
    <d v="2026-01-10T19:25:00"/>
    <s v="No"/>
    <m/>
    <s v="Awaiting Customer Response"/>
    <n v="28.5"/>
  </r>
  <r>
    <s v="TCK-21680"/>
    <d v="2026-01-17T18:32:00"/>
    <x v="0"/>
    <s v="Sadia Anwar"/>
    <s v="Faisalabad"/>
    <s v="Portal"/>
    <s v="Technical Issue"/>
    <s v="Medium"/>
    <n v="24"/>
    <s v="Escalated"/>
    <s v="Missing Resolve Date"/>
    <s v="Yes"/>
    <m/>
    <s v="Customer Requested Refund"/>
    <s v=""/>
  </r>
  <r>
    <s v="TCK-23115"/>
    <d v="2026-01-10T05:43:00"/>
    <x v="1"/>
    <s v="Ayaan Khalid"/>
    <s v="Lahore"/>
    <s v="Portal"/>
    <s v="Delivery Delay"/>
    <s v="High"/>
    <n v="8"/>
    <s v="Closed"/>
    <d v="2026-01-10T07:13:00"/>
    <s v="No"/>
    <m/>
    <s v="Repeat Issue From Same Customer"/>
    <n v="1.5"/>
  </r>
  <r>
    <s v="TCK-23172"/>
    <d v="2026-07-13T14:49:00"/>
    <x v="0"/>
    <s v="Sadia Anwar"/>
    <s v="Rawalpindi"/>
    <s v="Phone"/>
    <s v="General Inquiry"/>
    <s v="Low"/>
    <n v="48"/>
    <s v="Escalated"/>
    <s v="Missing Resolve Date"/>
    <s v="Yes"/>
    <m/>
    <s v="Awaiting Customer Response"/>
    <s v=""/>
  </r>
  <r>
    <s v="TCK-20260"/>
    <d v="2026-01-09T03:14:00"/>
    <x v="0"/>
    <s v="Rehan Qureshi"/>
    <s v="Karachi"/>
    <s v="Phone"/>
    <s v="Account Access"/>
    <s v="High"/>
    <n v="8"/>
    <s v="Escalated"/>
    <s v="Missing Resolve Date"/>
    <s v="Yes"/>
    <m/>
    <s v="Repeat Issue From Same Customer"/>
    <s v=""/>
  </r>
  <r>
    <s v="TCK-20016"/>
    <d v="2026-04-11T16:39:00"/>
    <x v="0"/>
    <s v="Sadia Anwar"/>
    <s v="Rawalpindi"/>
    <s v="Chat"/>
    <s v="Billing Issue"/>
    <s v="Low"/>
    <n v="48"/>
    <s v="Escalated"/>
    <s v="Missing Resolve Date"/>
    <s v="Yes"/>
    <m/>
    <s v="Technical Issue Resolved Remotely"/>
    <s v=""/>
  </r>
  <r>
    <s v="TCK-22312"/>
    <d v="2026-04-29T12:20:00"/>
    <x v="1"/>
    <s v="Zara Hussain"/>
    <s v="Rawalpindi"/>
    <s v="Phone"/>
    <s v="Refund Request"/>
    <s v="Medium"/>
    <n v="24"/>
    <s v="Resolved"/>
    <d v="2026-04-29T22:24:00"/>
    <s v="No"/>
    <n v="5"/>
    <s v="Escalated To Senior Agent"/>
    <n v="10.066666666651145"/>
  </r>
  <r>
    <s v="TCK-22383"/>
    <d v="2026-06-27T20:13:00"/>
    <x v="3"/>
    <s v="Iqra Basit"/>
    <s v="Islamabad"/>
    <s v="Phone"/>
    <s v="Billing Issue"/>
    <s v="Medium"/>
    <n v="24"/>
    <s v="Resolved"/>
    <d v="2026-06-28T03:25:00"/>
    <s v="No"/>
    <n v="5"/>
    <s v="Awaiting Customer Response"/>
    <n v="7.1999999998952262"/>
  </r>
  <r>
    <s v="TCK-22270"/>
    <d v="2026-03-16T15:28:00"/>
    <x v="3"/>
    <s v="Iqra Basit"/>
    <s v="Islamabad"/>
    <s v="Phone"/>
    <s v="Technical Issue"/>
    <s v="Low"/>
    <n v="48"/>
    <s v="Closed"/>
    <d v="2026-03-17T07:06:00"/>
    <s v="No"/>
    <m/>
    <s v="Required Follow-Up Call"/>
    <n v="15.633333333302289"/>
  </r>
  <r>
    <s v="TCK-22113"/>
    <d v="2026-05-13T03:04:00"/>
    <x v="2"/>
    <s v="Mahnoor Aslam"/>
    <s v="Rawalpindi"/>
    <s v="Chat"/>
    <s v="General Inquiry"/>
    <s v="Critical"/>
    <n v="4"/>
    <s v="Closed"/>
    <d v="2026-05-13T08:29:00"/>
    <s v="No"/>
    <m/>
    <s v="Technical Issue Resolved Remotely"/>
    <n v="5.4166666666860692"/>
  </r>
  <r>
    <s v="TCK-21455"/>
    <d v="2026-01-07T12:42:00"/>
    <x v="0"/>
    <s v="Rehan Qureshi"/>
    <s v="Karachi"/>
    <s v="Chat"/>
    <s v="Refund Request"/>
    <s v="Low"/>
    <n v="48"/>
    <s v="Escalated"/>
    <s v="Missing Resolve Date"/>
    <s v="Yes"/>
    <m/>
    <s v="Technical Issue Resolved Remotely"/>
    <s v=""/>
  </r>
  <r>
    <s v="TCK-20125"/>
    <d v="2026-05-11T01:08:00"/>
    <x v="2"/>
    <s v="Mahnoor Aslam"/>
    <s v="Multan"/>
    <s v="Portal"/>
    <s v="General Inquiry"/>
    <s v="Low"/>
    <n v="48"/>
    <s v="Resolved"/>
    <d v="2026-05-16T12:26:00"/>
    <s v="No"/>
    <m/>
    <s v="Escalated To Senior Agent"/>
    <n v="131.29999999998836"/>
  </r>
  <r>
    <s v="TCK-20136"/>
    <d v="2026-05-24T15:32:00"/>
    <x v="0"/>
    <s v="Rehan Qureshi"/>
    <s v="Rawalpindi"/>
    <s v="Phone"/>
    <s v="General Inquiry"/>
    <s v="Medium"/>
    <n v="24"/>
    <s v="Re-Opened"/>
    <d v="2026-05-24T17:59:00"/>
    <s v="No"/>
    <m/>
    <s v="Customer Satisfied With Resolution"/>
    <n v="2.4499999999534339"/>
  </r>
  <r>
    <s v="TCK-22789"/>
    <d v="2026-01-24T18:38:00"/>
    <x v="0"/>
    <s v="Sadia Anwar"/>
    <s v="Faisalabad"/>
    <s v="Chat"/>
    <s v="Billing Issue"/>
    <s v="Low"/>
    <n v="48"/>
    <s v="Resolved"/>
    <d v="2026-01-26T05:33:00"/>
    <s v="No"/>
    <n v="4"/>
    <s v="Awaiting Customer Response"/>
    <n v="34.916666666627862"/>
  </r>
  <r>
    <s v="TCK-21864"/>
    <d v="2026-08-22T23:24:00"/>
    <x v="2"/>
    <s v="Mahnoor Aslam"/>
    <s v="Faisalabad"/>
    <s v="Portal"/>
    <s v="Refund Request"/>
    <s v="Low"/>
    <n v="48"/>
    <s v="Escalated"/>
    <s v="Missing Resolve Date"/>
    <s v="Yes"/>
    <m/>
    <s v="Required Follow-Up Call"/>
    <s v=""/>
  </r>
  <r>
    <s v="TCK-20908"/>
    <d v="2026-03-10T10:55:00"/>
    <x v="2"/>
    <s v="Bilal Chaudhry"/>
    <s v="Faisalabad"/>
    <s v="Chat"/>
    <s v="Refund Request"/>
    <s v="High"/>
    <n v="8"/>
    <s v="Closed"/>
    <d v="2026-03-10T13:14:00"/>
    <s v="No"/>
    <n v="5"/>
    <s v="Awaiting Customer Response"/>
    <n v="2.3166666667093523"/>
  </r>
  <r>
    <s v="TCK-20388"/>
    <d v="2026-05-02T20:45:00"/>
    <x v="0"/>
    <s v="Rehan Qureshi"/>
    <s v="Peshawar"/>
    <s v="Phone"/>
    <s v="Account Access"/>
    <s v="Medium"/>
    <n v="24"/>
    <s v="Resolved"/>
    <d v="2026-05-03T16:28:00"/>
    <s v="No"/>
    <m/>
    <s v="Not Specified"/>
    <n v="19.716666666674428"/>
  </r>
  <r>
    <s v="TCK-20367"/>
    <d v="2026-04-29T09:17:00"/>
    <x v="1"/>
    <s v="Zara Hussain"/>
    <s v="Multan"/>
    <s v="Email"/>
    <s v="Delivery Delay"/>
    <s v="Medium"/>
    <n v="24"/>
    <s v="In Progress"/>
    <s v="Missing Resolve Date"/>
    <s v="No"/>
    <m/>
    <s v="Repeat Issue From Same Customer"/>
    <s v=""/>
  </r>
  <r>
    <s v="TCK-21195"/>
    <d v="2026-05-31T15:35:00"/>
    <x v="1"/>
    <s v="Ayaan Khalid"/>
    <s v="Peshawar"/>
    <s v="Phone"/>
    <s v="Account Access"/>
    <s v="Low"/>
    <n v="48"/>
    <s v="Resolved"/>
    <d v="2026-06-03T21:25:00"/>
    <s v="No"/>
    <n v="2"/>
    <s v="Not Specified"/>
    <n v="77.833333333313931"/>
  </r>
  <r>
    <s v="TCK-20622"/>
    <d v="2026-03-20T15:13:00"/>
    <x v="1"/>
    <s v="Ayaan Khalid"/>
    <s v="Multan"/>
    <s v="Chat"/>
    <s v="Account Access"/>
    <s v="Medium"/>
    <n v="24"/>
    <s v="Escalated"/>
    <s v="Missing Resolve Date"/>
    <s v="Yes"/>
    <m/>
    <s v="Not Specified"/>
    <s v=""/>
  </r>
  <r>
    <s v="TCK-22145"/>
    <d v="2026-07-22T03:45:00"/>
    <x v="3"/>
    <s v="Talha Nadeem"/>
    <s v="Islamabad"/>
    <s v="Email"/>
    <s v="General Inquiry"/>
    <s v="Medium"/>
    <n v="24"/>
    <s v="Closed"/>
    <d v="2026-07-23T01:03:00"/>
    <s v="No"/>
    <n v="5"/>
    <s v="Resolved On First Contact"/>
    <n v="21.299999999930151"/>
  </r>
  <r>
    <s v="TCK-21397"/>
    <d v="2026-03-18T01:31:00"/>
    <x v="2"/>
    <s v="Bilal Chaudhry"/>
    <s v="Multan"/>
    <s v="Chat"/>
    <s v="Account Access"/>
    <s v="Low"/>
    <n v="48"/>
    <s v="Resolved"/>
    <d v="2026-03-18T20:07:00"/>
    <s v="No"/>
    <m/>
    <s v="Resolved On First Contact"/>
    <n v="18.599999999860302"/>
  </r>
  <r>
    <s v="TCK-20676"/>
    <d v="2026-03-07T18:25:00"/>
    <x v="0"/>
    <s v="Rehan Qureshi"/>
    <s v="Islamabad"/>
    <s v="Phone"/>
    <s v="Technical Issue"/>
    <s v="Low"/>
    <n v="48"/>
    <s v="Open"/>
    <s v="Missing Resolve Date"/>
    <s v="No"/>
    <m/>
    <s v="Not Specified"/>
    <s v=""/>
  </r>
  <r>
    <s v="TCK-20436"/>
    <d v="2026-04-26T04:10:00"/>
    <x v="2"/>
    <s v="Bilal Chaudhry"/>
    <s v="Peshawar"/>
    <s v="Portal"/>
    <s v="Billing Issue"/>
    <s v="Medium"/>
    <n v="24"/>
    <s v="Closed"/>
    <d v="2026-04-26T18:37:00"/>
    <s v="No"/>
    <n v="5"/>
    <s v="Escalated To Senior Agent"/>
    <n v="14.449999999953434"/>
  </r>
  <r>
    <s v="TCK-22043"/>
    <d v="2026-04-29T12:44:00"/>
    <x v="3"/>
    <s v="Iqra Basit"/>
    <s v="Lahore"/>
    <s v="Email"/>
    <s v="Billing Issue"/>
    <s v="Medium"/>
    <n v="24"/>
    <s v="Resolved"/>
    <d v="2026-04-29T20:04:00"/>
    <s v="No"/>
    <n v="2"/>
    <s v="Awaiting Customer Response"/>
    <n v="7.3333333333139308"/>
  </r>
  <r>
    <s v="TCK-20845"/>
    <d v="2026-03-25T23:45:00"/>
    <x v="1"/>
    <s v="Zara Hussain"/>
    <s v="Multan"/>
    <s v="Portal"/>
    <s v="Billing Issue"/>
    <s v="Low"/>
    <n v="48"/>
    <s v="Closed"/>
    <d v="2026-03-26T19:34:00"/>
    <s v="No"/>
    <m/>
    <s v="Awaiting Customer Response"/>
    <n v="19.816666666651145"/>
  </r>
  <r>
    <s v="TCK-22728"/>
    <d v="2026-02-14T02:26:00"/>
    <x v="2"/>
    <s v="Bilal Chaudhry"/>
    <s v="Islamabad"/>
    <s v="Email"/>
    <s v="Delivery Delay"/>
    <s v="Critical"/>
    <n v="4"/>
    <s v="Resolved"/>
    <d v="2026-02-14T08:20:00"/>
    <s v="Yes"/>
    <n v="5"/>
    <s v="Customer Satisfied With Resolution"/>
    <n v="5.8999999998486601"/>
  </r>
  <r>
    <s v="TCK-20898"/>
    <d v="2026-06-24T16:30:00"/>
    <x v="0"/>
    <s v="Rehan Qureshi"/>
    <s v="Karachi"/>
    <s v="Portal"/>
    <s v="Account Access"/>
    <s v="High"/>
    <n v="8"/>
    <s v="Closed"/>
    <d v="2026-06-25T12:37:00"/>
    <s v="No"/>
    <m/>
    <s v="Escalated To Senior Agent"/>
    <n v="20.116666666581295"/>
  </r>
  <r>
    <s v="TCK-20296"/>
    <d v="2026-08-28T02:55:00"/>
    <x v="0"/>
    <s v="Rehan Qureshi"/>
    <s v="Karachi"/>
    <s v="Chat"/>
    <s v="Technical Issue"/>
    <s v="Medium"/>
    <n v="24"/>
    <s v="Resolved"/>
    <s v="Missing Resolve Date"/>
    <s v="Yes"/>
    <n v="5"/>
    <s v="Awaiting Customer Response"/>
    <s v=""/>
  </r>
  <r>
    <s v="TCK-22327"/>
    <d v="2026-04-27T14:42:00"/>
    <x v="3"/>
    <s v="Talha Nadeem"/>
    <s v="Karachi"/>
    <s v="Phone"/>
    <s v="Account Access"/>
    <s v="Critical"/>
    <n v="4"/>
    <s v="Resolved"/>
    <d v="2026-04-27T17:26:00"/>
    <s v="No"/>
    <n v="2"/>
    <s v="Customer Satisfied With Resolution"/>
    <n v="2.7333333333372138"/>
  </r>
  <r>
    <s v="TCK-20226"/>
    <d v="2026-03-09T14:31:00"/>
    <x v="3"/>
    <s v="Talha Nadeem"/>
    <s v="Karachi"/>
    <s v="Portal"/>
    <s v="Technical Issue"/>
    <s v="Medium"/>
    <n v="24"/>
    <s v="Resolved"/>
    <d v="2026-03-11T06:39:00"/>
    <s v="No"/>
    <n v="3"/>
    <s v="Customer Satisfied With Resolution"/>
    <n v="40.133333333360497"/>
  </r>
  <r>
    <s v="TCK-22568"/>
    <d v="2026-08-06T13:23:00"/>
    <x v="2"/>
    <s v="Bilal Chaudhry"/>
    <s v="Rawalpindi"/>
    <s v="Portal"/>
    <s v="Refund Request"/>
    <s v="High"/>
    <n v="8"/>
    <s v="Resolved"/>
    <d v="2026-08-06T20:34:00"/>
    <s v="No"/>
    <m/>
    <s v="Escalated To Senior Agent"/>
    <n v="7.1833333333488554"/>
  </r>
  <r>
    <s v="TCK-22888"/>
    <d v="2026-02-15T06:06:00"/>
    <x v="3"/>
    <s v="Iqra Basit"/>
    <s v="Peshawar"/>
    <s v="Email"/>
    <s v="Technical Issue"/>
    <s v="Medium"/>
    <n v="24"/>
    <s v="Resolved"/>
    <d v="2026-02-15T23:27:00"/>
    <s v="Yes"/>
    <m/>
    <s v="Technical Issue Resolved Remotely"/>
    <n v="17.349999999976717"/>
  </r>
  <r>
    <s v="TCK-21098"/>
    <d v="2026-05-20T12:13:00"/>
    <x v="2"/>
    <s v="Bilal Chaudhry"/>
    <s v="Faisalabad"/>
    <s v="Portal"/>
    <s v="General Inquiry"/>
    <s v="High"/>
    <n v="8"/>
    <s v="Escalated"/>
    <s v="Missing Resolve Date"/>
    <s v="Yes"/>
    <m/>
    <s v="Not Specified"/>
    <s v=""/>
  </r>
  <r>
    <s v="TCK-22286"/>
    <d v="2026-05-16T20:32:00"/>
    <x v="1"/>
    <s v="Ayaan Khalid"/>
    <s v="Lahore"/>
    <s v="Email"/>
    <s v="Account Access"/>
    <s v="Low"/>
    <n v="48"/>
    <s v="Resolved"/>
    <d v="2026-05-17T21:28:00"/>
    <s v="No"/>
    <m/>
    <s v="Not Specified"/>
    <n v="24.93333333323244"/>
  </r>
  <r>
    <s v="TCK-22879"/>
    <d v="2026-08-03T02:31:00"/>
    <x v="2"/>
    <s v="Bilal Chaudhry"/>
    <s v="Rawalpindi"/>
    <s v="Email"/>
    <s v="Account Access"/>
    <s v="Medium"/>
    <n v="24"/>
    <s v="Closed"/>
    <d v="2026-08-03T03:16:00"/>
    <s v="Yes"/>
    <n v="5"/>
    <s v="Escalated To Senior Agent"/>
    <n v="0.75"/>
  </r>
  <r>
    <s v="TCK-21538"/>
    <d v="2026-07-21T05:19:00"/>
    <x v="0"/>
    <s v="Sadia Anwar"/>
    <s v="Multan"/>
    <s v="Chat"/>
    <s v="Delivery Delay"/>
    <s v="Low"/>
    <n v="48"/>
    <s v="In Progress"/>
    <s v="Missing Resolve Date"/>
    <s v="No"/>
    <m/>
    <s v="Escalated To Senior Agent"/>
    <s v=""/>
  </r>
  <r>
    <s v="TCK-21737"/>
    <d v="2026-02-18T18:01:00"/>
    <x v="2"/>
    <s v="Bilal Chaudhry"/>
    <s v="Rawalpindi"/>
    <s v="Chat"/>
    <s v="Technical Issue"/>
    <s v="Medium"/>
    <n v="24"/>
    <s v="Resolved"/>
    <d v="2026-02-19T10:20:00"/>
    <s v="No"/>
    <n v="1"/>
    <s v="Technical Issue Resolved Remotely"/>
    <n v="16.316666666592937"/>
  </r>
  <r>
    <s v="TCK-20496"/>
    <d v="2026-03-20T23:18:00"/>
    <x v="2"/>
    <s v="Bilal Chaudhry"/>
    <s v="Islamabad"/>
    <s v="Portal"/>
    <s v="Delivery Delay"/>
    <s v="Medium"/>
    <n v="24"/>
    <s v="Escalated"/>
    <s v="Missing Resolve Date"/>
    <s v="Yes"/>
    <m/>
    <s v="Not Specified"/>
    <s v=""/>
  </r>
  <r>
    <s v="TCK-21886"/>
    <d v="2026-06-27T07:09:00"/>
    <x v="3"/>
    <s v="Talha Nadeem"/>
    <s v="Faisalabad"/>
    <s v="Chat"/>
    <s v="Refund Request"/>
    <s v="High"/>
    <n v="8"/>
    <s v="Resolved"/>
    <d v="2026-06-27T13:03:00"/>
    <s v="No"/>
    <m/>
    <s v="Required Follow-Up Call"/>
    <n v="5.8999999998486601"/>
  </r>
  <r>
    <s v="TCK-22832"/>
    <d v="2026-08-23T01:53:00"/>
    <x v="3"/>
    <s v="Iqra Basit"/>
    <s v="Karachi"/>
    <s v="Portal"/>
    <s v="General Inquiry"/>
    <s v="Low"/>
    <n v="48"/>
    <s v="Closed"/>
    <d v="2026-08-24T13:42:00"/>
    <s v="No"/>
    <n v="4"/>
    <s v="Customer Requested Refund"/>
    <n v="35.816666666592937"/>
  </r>
  <r>
    <s v="TCK-21547"/>
    <d v="2026-06-26T23:46:00"/>
    <x v="0"/>
    <s v="Rehan Qureshi"/>
    <s v="Karachi"/>
    <s v="Phone"/>
    <s v="Delivery Delay"/>
    <s v="Medium"/>
    <n v="24"/>
    <s v="Escalated"/>
    <s v="Missing Resolve Date"/>
    <s v="Yes"/>
    <m/>
    <s v="Escalated To Senior Agent"/>
    <s v=""/>
  </r>
  <r>
    <s v="TCK-23196"/>
    <d v="2026-05-06T01:25:00"/>
    <x v="2"/>
    <s v="Mahnoor Aslam"/>
    <s v="Lahore"/>
    <s v="Portal"/>
    <s v="Technical Issue"/>
    <s v="High"/>
    <n v="8"/>
    <s v="Resolved"/>
    <d v="2026-05-06T12:22:00"/>
    <s v="No"/>
    <n v="5"/>
    <s v="Repeat Issue From Same Customer"/>
    <n v="10.949999999895226"/>
  </r>
  <r>
    <s v="TCK-21371"/>
    <d v="2026-02-25T05:56:00"/>
    <x v="0"/>
    <s v="Rehan Qureshi"/>
    <s v="Karachi"/>
    <s v="Phone"/>
    <s v="Refund Request"/>
    <s v="Critical"/>
    <n v="4"/>
    <s v="Resolved"/>
    <d v="2026-02-25T08:02:00"/>
    <s v="No"/>
    <n v="1"/>
    <s v="Technical Issue Resolved Remotely"/>
    <n v="2.1000000000349246"/>
  </r>
  <r>
    <s v="TCK-23041"/>
    <d v="2026-06-10T21:13:00"/>
    <x v="3"/>
    <s v="Iqra Basit"/>
    <s v="Faisalabad"/>
    <s v="Email"/>
    <s v="Account Access"/>
    <s v="High"/>
    <n v="8"/>
    <s v="Escalated"/>
    <s v="Missing Resolve Date"/>
    <s v="Yes"/>
    <m/>
    <s v="Resolved On First Contact"/>
    <s v=""/>
  </r>
  <r>
    <s v="TCK-22228"/>
    <d v="2026-07-11T20:07:00"/>
    <x v="0"/>
    <s v="Sadia Anwar"/>
    <s v="Peshawar"/>
    <s v="Phone"/>
    <s v="Refund Request"/>
    <s v="Medium"/>
    <n v="24"/>
    <s v="Open"/>
    <s v="Missing Resolve Date"/>
    <s v="Yes"/>
    <m/>
    <s v="Required Follow-Up Call"/>
    <s v=""/>
  </r>
  <r>
    <s v="TCK-21393"/>
    <d v="2026-04-01T21:36:00"/>
    <x v="1"/>
    <s v="Zara Hussain"/>
    <s v="Multan"/>
    <s v="Portal"/>
    <s v="Billing Issue"/>
    <s v="Medium"/>
    <n v="24"/>
    <s v="Resolved"/>
    <d v="2026-04-03T00:33:00"/>
    <s v="No"/>
    <m/>
    <s v="Not Specified"/>
    <n v="26.950000000011642"/>
  </r>
  <r>
    <s v="TCK-22962"/>
    <d v="2026-01-17T12:41:00"/>
    <x v="1"/>
    <s v="Ayaan Khalid"/>
    <s v="Lahore"/>
    <s v="Chat"/>
    <s v="Technical Issue"/>
    <s v="Low"/>
    <n v="48"/>
    <s v="Resolved"/>
    <d v="2026-01-22T16:09:00"/>
    <s v="No"/>
    <n v="2"/>
    <s v="Awaiting Customer Response"/>
    <n v="123.46666666679084"/>
  </r>
  <r>
    <s v="TCK-20741"/>
    <d v="2026-02-09T08:07:00"/>
    <x v="0"/>
    <s v="Rehan Qureshi"/>
    <s v="Karachi"/>
    <s v="Phone"/>
    <s v="Technical Issue"/>
    <s v="Low"/>
    <n v="48"/>
    <s v="Resolved"/>
    <d v="2026-02-10T15:53:00"/>
    <s v="No"/>
    <n v="4"/>
    <s v="Not Specified"/>
    <n v="31.766666666837409"/>
  </r>
  <r>
    <s v="TCK-20417"/>
    <d v="2026-07-10T04:24:00"/>
    <x v="2"/>
    <s v="Bilal Chaudhry"/>
    <s v="Lahore"/>
    <s v="Email"/>
    <s v="Account Access"/>
    <s v="Low"/>
    <n v="48"/>
    <s v="Open"/>
    <s v="Missing Resolve Date"/>
    <s v="No"/>
    <m/>
    <s v="Not Specified"/>
    <s v=""/>
  </r>
  <r>
    <s v="TCK-20281"/>
    <d v="2026-01-22T22:22:00"/>
    <x v="1"/>
    <s v="Zara Hussain"/>
    <s v="Rawalpindi"/>
    <s v="Phone"/>
    <s v="Refund Request"/>
    <s v="Low"/>
    <n v="48"/>
    <s v="Re-Opened"/>
    <d v="2026-01-23T08:47:00"/>
    <s v="No"/>
    <m/>
    <s v="Awaiting Customer Response"/>
    <n v="10.416666666744277"/>
  </r>
  <r>
    <s v="TCK-20353"/>
    <d v="2026-05-27T09:21:00"/>
    <x v="3"/>
    <s v="Iqra Basit"/>
    <s v="Lahore"/>
    <s v="Chat"/>
    <s v="Technical Issue"/>
    <s v="High"/>
    <n v="8"/>
    <s v="Closed"/>
    <d v="2026-05-27T11:33:00"/>
    <s v="No"/>
    <m/>
    <s v="Customer Requested Refund"/>
    <n v="2.2000000000116415"/>
  </r>
  <r>
    <s v="TCK-21183"/>
    <d v="2026-01-08T01:37:00"/>
    <x v="1"/>
    <s v="Ayaan Khalid"/>
    <s v="Multan"/>
    <s v="Phone"/>
    <s v="Refund Request"/>
    <s v="Critical"/>
    <n v="4"/>
    <s v="Escalated"/>
    <s v="Missing Resolve Date"/>
    <s v="Yes"/>
    <m/>
    <s v="Technical Issue Resolved Remotely"/>
    <s v=""/>
  </r>
  <r>
    <s v="TCK-20242"/>
    <d v="2026-01-12T12:00:00"/>
    <x v="1"/>
    <s v="Zara Hussain"/>
    <s v="Karachi"/>
    <s v="Chat"/>
    <s v="General Inquiry"/>
    <s v="Medium"/>
    <n v="24"/>
    <s v="Closed"/>
    <s v="Missing Resolve Date"/>
    <s v="No"/>
    <n v="4"/>
    <s v="Repeat Issue From Same Customer"/>
    <s v=""/>
  </r>
  <r>
    <s v="TCK-20409"/>
    <d v="2026-01-22T08:28:00"/>
    <x v="0"/>
    <s v="Rehan Qureshi"/>
    <s v="Multan"/>
    <s v="Email"/>
    <s v="Technical Issue"/>
    <s v="Low"/>
    <n v="48"/>
    <s v="Resolved"/>
    <d v="2026-01-23T20:24:00"/>
    <s v="No"/>
    <n v="5"/>
    <s v="Awaiting Customer Response"/>
    <n v="35.933333333290648"/>
  </r>
  <r>
    <s v="TCK-21842"/>
    <d v="2026-05-15T05:25:00"/>
    <x v="1"/>
    <s v="Zara Hussain"/>
    <s v="Karachi"/>
    <s v="Email"/>
    <s v="Billing Issue"/>
    <s v="Low"/>
    <n v="48"/>
    <s v="Closed"/>
    <s v="Missing Resolve Date"/>
    <s v="No"/>
    <n v="5"/>
    <s v="Technical Issue Resolved Remotely"/>
    <s v=""/>
  </r>
  <r>
    <s v="TCK-22338"/>
    <d v="2026-03-25T21:54:00"/>
    <x v="2"/>
    <s v="Bilal Chaudhry"/>
    <s v="Lahore"/>
    <s v="Portal"/>
    <s v="Delivery Delay"/>
    <s v="Medium"/>
    <n v="24"/>
    <s v="In Progress"/>
    <s v="Missing Resolve Date"/>
    <s v="No"/>
    <m/>
    <s v="Customer Requested Refund"/>
    <s v=""/>
  </r>
  <r>
    <s v="TCK-20257"/>
    <d v="2026-07-25T21:50:00"/>
    <x v="3"/>
    <s v="Talha Nadeem"/>
    <s v="Karachi"/>
    <s v="Chat"/>
    <s v="Delivery Delay"/>
    <s v="Medium"/>
    <n v="24"/>
    <s v="Resolved"/>
    <d v="2026-07-28T03:45:00"/>
    <s v="Yes"/>
    <n v="4"/>
    <s v="Technical Issue Resolved Remotely"/>
    <n v="53.916666666744277"/>
  </r>
  <r>
    <s v="TCK-21776"/>
    <d v="2026-01-08T03:56:00"/>
    <x v="2"/>
    <s v="Mahnoor Aslam"/>
    <s v="Multan"/>
    <s v="Email"/>
    <s v="General Inquiry"/>
    <s v="Critical"/>
    <n v="4"/>
    <s v="Resolved"/>
    <d v="2026-01-08T05:34:00"/>
    <s v="No"/>
    <n v="1"/>
    <s v="Customer Satisfied With Resolution"/>
    <n v="1.6333333332440816"/>
  </r>
  <r>
    <s v="TCK-20881"/>
    <d v="2026-07-20T10:30:00"/>
    <x v="1"/>
    <s v="Ayaan Khalid"/>
    <s v="Peshawar"/>
    <s v="Portal"/>
    <s v="Account Access"/>
    <s v="Low"/>
    <n v="48"/>
    <s v="Closed"/>
    <d v="2026-07-21T02:10:00"/>
    <s v="No"/>
    <n v="5"/>
    <s v="Not Specified"/>
    <n v="15.666666666744277"/>
  </r>
  <r>
    <s v="TCK-21148"/>
    <d v="2026-06-23T07:33:00"/>
    <x v="0"/>
    <s v="Sadia Anwar"/>
    <s v="Multan"/>
    <s v="Phone"/>
    <s v="General Inquiry"/>
    <s v="Low"/>
    <n v="48"/>
    <s v="In Progress"/>
    <s v="Missing Resolve Date"/>
    <s v="No"/>
    <m/>
    <s v="Awaiting Customer Response"/>
    <s v=""/>
  </r>
  <r>
    <s v="TCK-21995"/>
    <d v="2026-06-01T17:39:00"/>
    <x v="3"/>
    <s v="Talha Nadeem"/>
    <s v="Lahore"/>
    <s v="Chat"/>
    <s v="Delivery Delay"/>
    <s v="High"/>
    <n v="8"/>
    <s v="Closed"/>
    <d v="2026-06-01T18:47:00"/>
    <s v="No"/>
    <n v="1"/>
    <s v="Escalated To Senior Agent"/>
    <n v="1.1333333331858739"/>
  </r>
  <r>
    <s v="TCK-20127"/>
    <d v="2026-08-17T02:50:00"/>
    <x v="2"/>
    <s v="Mahnoor Aslam"/>
    <s v="Faisalabad"/>
    <s v="Email"/>
    <s v="Technical Issue"/>
    <s v="Low"/>
    <n v="48"/>
    <s v="In Progress"/>
    <s v="Missing Resolve Date"/>
    <s v="No"/>
    <m/>
    <s v="Escalated To Senior Agent"/>
    <s v=""/>
  </r>
  <r>
    <s v="TCK-22077"/>
    <d v="2026-02-13T20:33:00"/>
    <x v="2"/>
    <s v="Bilal Chaudhry"/>
    <s v="Karachi"/>
    <s v="Chat"/>
    <s v="Delivery Delay"/>
    <s v="High"/>
    <n v="8"/>
    <s v="Resolved"/>
    <d v="2026-02-14T03:33:00"/>
    <s v="No"/>
    <m/>
    <s v="Required Follow-Up Call"/>
    <n v="7.0000000001164153"/>
  </r>
  <r>
    <s v="TCK-22965"/>
    <d v="2026-07-04T02:07:00"/>
    <x v="0"/>
    <s v="Sadia Anwar"/>
    <s v="Lahore"/>
    <s v="Portal"/>
    <s v="Billing Issue"/>
    <s v="Low"/>
    <n v="48"/>
    <s v="Escalated"/>
    <s v="Missing Resolve Date"/>
    <s v="Yes"/>
    <m/>
    <s v="Not Specified"/>
    <s v=""/>
  </r>
  <r>
    <s v="TCK-20753"/>
    <d v="2026-07-12T20:19:00"/>
    <x v="1"/>
    <s v="Zara Hussain"/>
    <s v="Faisalabad"/>
    <s v="Phone"/>
    <s v="Billing Issue"/>
    <s v="Critical"/>
    <n v="4"/>
    <s v="Escalated"/>
    <s v="Missing Resolve Date"/>
    <s v="Yes"/>
    <m/>
    <s v="Not Specified"/>
    <s v=""/>
  </r>
  <r>
    <s v="TCK-21647"/>
    <d v="2026-03-08T07:51:00"/>
    <x v="2"/>
    <s v="Mahnoor Aslam"/>
    <s v="Lahore"/>
    <s v="Chat"/>
    <s v="General Inquiry"/>
    <s v="Low"/>
    <n v="48"/>
    <s v="Escalated"/>
    <s v="Missing Resolve Date"/>
    <s v="Yes"/>
    <m/>
    <s v="Escalated To Senior Agent"/>
    <s v=""/>
  </r>
  <r>
    <s v="TCK-22724"/>
    <d v="2026-07-16T05:34:00"/>
    <x v="2"/>
    <s v="Bilal Chaudhry"/>
    <s v="Islamabad"/>
    <s v="Phone"/>
    <s v="Billing Issue"/>
    <s v="Medium"/>
    <n v="24"/>
    <s v="Closed"/>
    <d v="2026-07-17T02:28:00"/>
    <s v="No"/>
    <m/>
    <s v="Resolved On First Contact"/>
    <n v="20.900000000023283"/>
  </r>
  <r>
    <s v="TCK-20867"/>
    <d v="2026-07-05T10:02:00"/>
    <x v="1"/>
    <s v="Zara Hussain"/>
    <s v="Faisalabad"/>
    <s v="Chat"/>
    <s v="Delivery Delay"/>
    <s v="High"/>
    <n v="8"/>
    <s v="Open"/>
    <s v="Missing Resolve Date"/>
    <s v="No"/>
    <m/>
    <s v="Escalated To Senior Agent"/>
    <s v=""/>
  </r>
  <r>
    <s v="TCK-22701"/>
    <d v="2026-04-28T14:32:00"/>
    <x v="3"/>
    <s v="Iqra Basit"/>
    <s v="Multan"/>
    <s v="Portal"/>
    <s v="Refund Request"/>
    <s v="Medium"/>
    <n v="24"/>
    <s v="Resolved"/>
    <d v="2026-04-29T07:32:00"/>
    <s v="No"/>
    <n v="3"/>
    <s v="Customer Satisfied With Resolution"/>
    <n v="16.999999999883585"/>
  </r>
  <r>
    <s v="TCK-20404"/>
    <d v="2026-02-02T08:37:00"/>
    <x v="1"/>
    <s v="Ayaan Khalid"/>
    <s v="Karachi"/>
    <s v="Portal"/>
    <s v="Technical Issue"/>
    <s v="Low"/>
    <n v="48"/>
    <s v="Resolved"/>
    <d v="2026-02-03T02:13:00"/>
    <s v="No"/>
    <m/>
    <s v="Escalated To Senior Agent"/>
    <n v="17.600000000093132"/>
  </r>
  <r>
    <s v="TCK-20165"/>
    <d v="2026-01-06T03:31:00"/>
    <x v="1"/>
    <s v="Zara Hussain"/>
    <s v="Karachi"/>
    <s v="Portal"/>
    <s v="Billing Issue"/>
    <s v="Critical"/>
    <n v="4"/>
    <s v="Resolved"/>
    <d v="2026-01-06T06:04:00"/>
    <s v="No"/>
    <n v="2"/>
    <s v="Not Specified"/>
    <n v="2.5500000001047738"/>
  </r>
  <r>
    <s v="TCK-21265"/>
    <d v="2026-02-17T23:46:00"/>
    <x v="2"/>
    <s v="Mahnoor Aslam"/>
    <s v="Lahore"/>
    <s v="Email"/>
    <s v="Delivery Delay"/>
    <s v="High"/>
    <n v="8"/>
    <s v="Closed"/>
    <d v="2026-02-18T17:18:00"/>
    <s v="No"/>
    <n v="4"/>
    <s v="Repeat Issue From Same Customer"/>
    <n v="17.53333333338378"/>
  </r>
  <r>
    <s v="TCK-22418"/>
    <d v="2026-07-09T16:31:00"/>
    <x v="1"/>
    <s v="Ayaan Khalid"/>
    <s v="Karachi"/>
    <s v="Email"/>
    <s v="Account Access"/>
    <s v="High"/>
    <n v="8"/>
    <s v="Resolved"/>
    <d v="2026-07-10T01:36:00"/>
    <s v="No"/>
    <n v="4"/>
    <s v="Technical Issue Resolved Remotely"/>
    <n v="9.0833333332557231"/>
  </r>
  <r>
    <s v="TCK-21454"/>
    <d v="2026-05-28T21:26:00"/>
    <x v="3"/>
    <s v="Iqra Basit"/>
    <s v="Faisalabad"/>
    <s v="Email"/>
    <s v="Refund Request"/>
    <s v="Low"/>
    <n v="48"/>
    <s v="Closed"/>
    <d v="2026-05-29T02:00:00"/>
    <s v="No"/>
    <n v="5"/>
    <s v="Required Follow-Up Call"/>
    <n v="4.5666666667093523"/>
  </r>
  <r>
    <s v="TCK-22377"/>
    <d v="2026-04-27T03:10:00"/>
    <x v="2"/>
    <s v="Bilal Chaudhry"/>
    <s v="Karachi"/>
    <s v="Portal"/>
    <s v="Account Access"/>
    <s v="High"/>
    <n v="8"/>
    <s v="In Progress"/>
    <s v="Missing Resolve Date"/>
    <s v="No"/>
    <m/>
    <s v="Escalated To Senior Agent"/>
    <s v=""/>
  </r>
  <r>
    <s v="TCK-22416"/>
    <d v="2026-03-09T02:14:00"/>
    <x v="2"/>
    <s v="Mahnoor Aslam"/>
    <s v="Lahore"/>
    <s v="Email"/>
    <s v="Delivery Delay"/>
    <s v="Low"/>
    <n v="48"/>
    <s v="Closed"/>
    <d v="2026-03-12T01:27:00"/>
    <s v="No"/>
    <n v="4"/>
    <s v="Customer Requested Refund"/>
    <n v="71.216666666732635"/>
  </r>
  <r>
    <s v="TCK-22912"/>
    <d v="2026-03-19T04:33:00"/>
    <x v="3"/>
    <s v="Iqra Basit"/>
    <s v="Rawalpindi"/>
    <s v="Chat"/>
    <s v="Technical Issue"/>
    <s v="Medium"/>
    <n v="24"/>
    <s v="Resolved"/>
    <d v="2026-03-19T06:43:00"/>
    <s v="No"/>
    <n v="4"/>
    <s v="Escalated To Senior Agent"/>
    <n v="2.1666666667442769"/>
  </r>
  <r>
    <s v="TCK-23126"/>
    <d v="2026-03-25T12:16:00"/>
    <x v="0"/>
    <s v="Sadia Anwar"/>
    <s v="Islamabad"/>
    <s v="Email"/>
    <s v="Account Access"/>
    <s v="High"/>
    <n v="8"/>
    <s v="Resolved"/>
    <d v="2026-03-25T22:57:00"/>
    <s v="No"/>
    <n v="1"/>
    <s v="Not Specified"/>
    <n v="10.683333333407063"/>
  </r>
  <r>
    <s v="TCK-20948"/>
    <d v="2026-08-15T00:21:00"/>
    <x v="3"/>
    <s v="Iqra Basit"/>
    <s v="Faisalabad"/>
    <s v="Chat"/>
    <s v="Refund Request"/>
    <s v="Critical"/>
    <n v="4"/>
    <s v="Closed"/>
    <d v="2026-08-15T01:09:00"/>
    <s v="No"/>
    <n v="1"/>
    <s v="Customer Satisfied With Resolution"/>
    <n v="0.80000000016298145"/>
  </r>
  <r>
    <s v="TCK-22767"/>
    <d v="2026-07-06T14:56:00"/>
    <x v="0"/>
    <s v="Rehan Qureshi"/>
    <s v="Lahore"/>
    <s v="Email"/>
    <s v="Delivery Delay"/>
    <s v="Medium"/>
    <n v="24"/>
    <s v="Resolved"/>
    <d v="2026-07-09T10:37:00"/>
    <s v="No"/>
    <n v="5"/>
    <s v="Customer Requested Refund"/>
    <n v="67.683333333407063"/>
  </r>
  <r>
    <s v="TCK-21865"/>
    <d v="2026-06-10T03:55:00"/>
    <x v="3"/>
    <s v="Iqra Basit"/>
    <s v="Rawalpindi"/>
    <s v="Phone"/>
    <s v="Technical Issue"/>
    <s v="Critical"/>
    <n v="4"/>
    <s v="Closed"/>
    <d v="2026-06-10T06:54:00"/>
    <s v="No"/>
    <m/>
    <s v="Required Follow-Up Call"/>
    <n v="2.9833333332790062"/>
  </r>
  <r>
    <s v="TCK-20707"/>
    <d v="2026-03-28T19:12:00"/>
    <x v="2"/>
    <s v="Mahnoor Aslam"/>
    <s v="Rawalpindi"/>
    <s v="Chat"/>
    <s v="Delivery Delay"/>
    <s v="High"/>
    <n v="8"/>
    <s v="In Progress"/>
    <s v="Missing Resolve Date"/>
    <s v="No"/>
    <m/>
    <s v="Escalated To Senior Agent"/>
    <s v=""/>
  </r>
  <r>
    <s v="TCK-20295"/>
    <d v="2026-03-09T03:06:00"/>
    <x v="2"/>
    <s v="Bilal Chaudhry"/>
    <s v="Faisalabad"/>
    <s v="Email"/>
    <s v="Technical Issue"/>
    <s v="High"/>
    <n v="8"/>
    <s v="Resolved"/>
    <d v="2026-03-09T05:40:00"/>
    <s v="No"/>
    <n v="4"/>
    <s v="Not Specified"/>
    <n v="2.5666666666511446"/>
  </r>
  <r>
    <s v="TCK-20192"/>
    <d v="2026-06-27T12:51:00"/>
    <x v="2"/>
    <s v="Mahnoor Aslam"/>
    <s v="Islamabad"/>
    <s v="Phone"/>
    <s v="Account Access"/>
    <s v="High"/>
    <n v="8"/>
    <s v="Resolved"/>
    <d v="2026-06-27T14:13:00"/>
    <s v="No"/>
    <n v="1"/>
    <s v="Customer Requested Refund"/>
    <n v="1.3666666667559184"/>
  </r>
  <r>
    <s v="TCK-20892"/>
    <d v="2026-08-17T20:25:00"/>
    <x v="2"/>
    <s v="Mahnoor Aslam"/>
    <s v="Islamabad"/>
    <s v="Chat"/>
    <s v="Billing Issue"/>
    <s v="High"/>
    <n v="8"/>
    <s v="Resolved"/>
    <d v="2026-08-17T21:16:00"/>
    <s v="No"/>
    <m/>
    <s v="Technical Issue Resolved Remotely"/>
    <n v="0.84999999997671694"/>
  </r>
  <r>
    <s v="TCK-20058"/>
    <d v="2026-08-07T12:45:00"/>
    <x v="3"/>
    <s v="Talha Nadeem"/>
    <s v="Faisalabad"/>
    <s v="Chat"/>
    <s v="General Inquiry"/>
    <s v="High"/>
    <n v="8"/>
    <s v="Re-Opened"/>
    <d v="2026-08-07T17:35:00"/>
    <s v="No"/>
    <m/>
    <s v="Resolved On First Contact"/>
    <n v="4.8333333333721384"/>
  </r>
  <r>
    <s v="TCK-21072"/>
    <d v="2026-06-11T11:46:00"/>
    <x v="3"/>
    <s v="Iqra Basit"/>
    <s v="Lahore"/>
    <s v="Phone"/>
    <s v="Delivery Delay"/>
    <s v="Low"/>
    <n v="48"/>
    <s v="Resolved"/>
    <d v="2026-06-12T06:47:00"/>
    <s v="No"/>
    <n v="3"/>
    <s v="Repeat Issue From Same Customer"/>
    <n v="19.016666666662786"/>
  </r>
  <r>
    <s v="TCK-21850"/>
    <d v="2026-03-07T13:39:00"/>
    <x v="3"/>
    <s v="Iqra Basit"/>
    <s v="Peshawar"/>
    <s v="Chat"/>
    <s v="Delivery Delay"/>
    <s v="Medium"/>
    <n v="24"/>
    <s v="Resolved"/>
    <d v="2026-03-09T10:08:00"/>
    <s v="No"/>
    <n v="5"/>
    <s v="Resolved On First Contact"/>
    <n v="44.483333333395422"/>
  </r>
  <r>
    <s v="TCK-22857"/>
    <d v="2026-01-12T16:05:00"/>
    <x v="3"/>
    <s v="Iqra Basit"/>
    <s v="Peshawar"/>
    <s v="Portal"/>
    <s v="Account Access"/>
    <s v="Low"/>
    <n v="48"/>
    <s v="Closed"/>
    <d v="2026-01-13T23:04:00"/>
    <s v="No"/>
    <n v="3"/>
    <s v="Escalated To Senior Agent"/>
    <n v="30.983333333220799"/>
  </r>
  <r>
    <s v="TCK-20946"/>
    <d v="2026-03-22T05:24:00"/>
    <x v="2"/>
    <s v="Bilal Chaudhry"/>
    <s v="Peshawar"/>
    <s v="Portal"/>
    <s v="Billing Issue"/>
    <s v="Medium"/>
    <n v="24"/>
    <s v="Closed"/>
    <d v="2026-03-22T14:08:00"/>
    <s v="No"/>
    <m/>
    <s v="Escalated To Senior Agent"/>
    <n v="8.7333333333372138"/>
  </r>
  <r>
    <s v="TCK-21750"/>
    <d v="2026-04-28T11:24:00"/>
    <x v="1"/>
    <s v="Zara Hussain"/>
    <s v="Karachi"/>
    <s v="Portal"/>
    <s v="Refund Request"/>
    <s v="Low"/>
    <n v="48"/>
    <s v="Closed"/>
    <d v="2026-04-30T00:45:00"/>
    <s v="No"/>
    <m/>
    <s v="Escalated To Senior Agent"/>
    <n v="37.350000000034925"/>
  </r>
  <r>
    <s v="TCK-20408"/>
    <d v="2026-08-15T05:39:00"/>
    <x v="0"/>
    <s v="Sadia Anwar"/>
    <s v="Lahore"/>
    <s v="Chat"/>
    <s v="Billing Issue"/>
    <s v="Critical"/>
    <n v="4"/>
    <s v="Resolved"/>
    <d v="2026-08-15T07:39:00"/>
    <s v="No"/>
    <n v="5"/>
    <s v="Resolved On First Contact"/>
    <n v="1.9999999998835847"/>
  </r>
  <r>
    <s v="TCK-22967"/>
    <d v="2026-02-25T08:51:00"/>
    <x v="1"/>
    <s v="Ayaan Khalid"/>
    <s v="Peshawar"/>
    <s v="Chat"/>
    <s v="Delivery Delay"/>
    <s v="Medium"/>
    <n v="24"/>
    <s v="Open"/>
    <s v="Missing Resolve Date"/>
    <s v="No"/>
    <m/>
    <s v="Not Specified"/>
    <s v=""/>
  </r>
  <r>
    <s v="TCK-21096"/>
    <d v="2026-01-02T20:16:00"/>
    <x v="1"/>
    <s v="Zara Hussain"/>
    <s v="Karachi"/>
    <s v="Portal"/>
    <s v="Delivery Delay"/>
    <s v="Low"/>
    <n v="48"/>
    <s v="Closed"/>
    <d v="2026-01-03T02:33:00"/>
    <s v="No"/>
    <m/>
    <s v="Awaiting Customer Response"/>
    <n v="6.283333333209157"/>
  </r>
  <r>
    <s v="TCK-23118"/>
    <d v="2026-08-10T22:55:00"/>
    <x v="2"/>
    <s v="Bilal Chaudhry"/>
    <s v="Faisalabad"/>
    <s v="Phone"/>
    <s v="Account Access"/>
    <s v="High"/>
    <n v="8"/>
    <s v="Open"/>
    <s v="Missing Resolve Date"/>
    <s v="No"/>
    <m/>
    <s v="Awaiting Customer Response"/>
    <s v=""/>
  </r>
  <r>
    <s v="TCK-21396"/>
    <d v="2026-05-21T00:49:00"/>
    <x v="0"/>
    <s v="Sadia Anwar"/>
    <s v="Multan"/>
    <s v="Phone"/>
    <s v="Refund Request"/>
    <s v="High"/>
    <n v="8"/>
    <s v="Resolved"/>
    <d v="2026-05-21T05:22:00"/>
    <s v="No"/>
    <m/>
    <s v="Awaiting Customer Response"/>
    <n v="4.5499999999883585"/>
  </r>
  <r>
    <s v="TCK-21900"/>
    <d v="2026-07-19T11:45:00"/>
    <x v="2"/>
    <s v="Mahnoor Aslam"/>
    <s v="Peshawar"/>
    <s v="Email"/>
    <s v="General Inquiry"/>
    <s v="Medium"/>
    <n v="24"/>
    <s v="Escalated"/>
    <s v="Missing Resolve Date"/>
    <s v="Yes"/>
    <m/>
    <s v="Customer Requested Refund"/>
    <s v=""/>
  </r>
  <r>
    <s v="TCK-21208"/>
    <d v="2026-02-26T09:57:00"/>
    <x v="3"/>
    <s v="Talha Nadeem"/>
    <s v="Peshawar"/>
    <s v="Phone"/>
    <s v="Billing Issue"/>
    <s v="Medium"/>
    <n v="24"/>
    <s v="Open"/>
    <s v="Missing Resolve Date"/>
    <s v="No"/>
    <m/>
    <s v="Required Follow-Up Call"/>
    <s v=""/>
  </r>
  <r>
    <s v="TCK-21715"/>
    <d v="2026-04-14T09:18:00"/>
    <x v="2"/>
    <s v="Bilal Chaudhry"/>
    <s v="Peshawar"/>
    <s v="Portal"/>
    <s v="Account Access"/>
    <s v="High"/>
    <n v="8"/>
    <s v="Resolved"/>
    <d v="2026-04-14T10:30:00"/>
    <s v="No"/>
    <n v="1"/>
    <s v="Technical Issue Resolved Remotely"/>
    <n v="1.2000000000698492"/>
  </r>
  <r>
    <s v="TCK-21963"/>
    <d v="2026-03-24T13:49:00"/>
    <x v="2"/>
    <s v="Bilal Chaudhry"/>
    <s v="Islamabad"/>
    <s v="Chat"/>
    <s v="General Inquiry"/>
    <s v="High"/>
    <n v="8"/>
    <s v="Resolved"/>
    <d v="2026-03-24T15:50:00"/>
    <s v="No"/>
    <n v="5"/>
    <s v="Required Follow-Up Call"/>
    <n v="2.0166666666045785"/>
  </r>
  <r>
    <s v="TCK-20287"/>
    <d v="2026-02-10T22:57:00"/>
    <x v="3"/>
    <s v="Iqra Basit"/>
    <s v="Islamabad"/>
    <s v="Phone"/>
    <s v="Account Access"/>
    <s v="Low"/>
    <n v="48"/>
    <s v="Escalated"/>
    <s v="Missing Resolve Date"/>
    <s v="Yes"/>
    <m/>
    <s v="Customer Satisfied With Resolution"/>
    <s v=""/>
  </r>
  <r>
    <s v="TCK-20465"/>
    <d v="2026-08-16T04:48:00"/>
    <x v="1"/>
    <s v="Ayaan Khalid"/>
    <s v="Faisalabad"/>
    <s v="Portal"/>
    <s v="Account Access"/>
    <s v="Medium"/>
    <n v="24"/>
    <s v="Closed"/>
    <d v="2026-08-16T19:41:00"/>
    <s v="No"/>
    <m/>
    <s v="Customer Requested Refund"/>
    <n v="14.883333333476912"/>
  </r>
  <r>
    <s v="TCK-22534"/>
    <d v="2026-07-23T13:18:00"/>
    <x v="0"/>
    <s v="Rehan Qureshi"/>
    <s v="Peshawar"/>
    <s v="Chat"/>
    <s v="General Inquiry"/>
    <s v="High"/>
    <n v="8"/>
    <s v="Resolved"/>
    <d v="2026-07-23T16:15:00"/>
    <s v="No"/>
    <m/>
    <s v="Not Specified"/>
    <n v="2.9500000000116415"/>
  </r>
  <r>
    <s v="TCK-21391"/>
    <d v="2026-03-11T03:01:00"/>
    <x v="1"/>
    <s v="Ayaan Khalid"/>
    <s v="Karachi"/>
    <s v="Chat"/>
    <s v="Billing Issue"/>
    <s v="Medium"/>
    <n v="24"/>
    <s v="Resolved"/>
    <d v="2026-03-11T17:22:00"/>
    <s v="Yes"/>
    <n v="1"/>
    <s v="Resolved On First Contact"/>
    <n v="14.349999999976717"/>
  </r>
  <r>
    <s v="TCK-22437"/>
    <d v="2026-03-01T12:49:00"/>
    <x v="2"/>
    <s v="Bilal Chaudhry"/>
    <s v="Peshawar"/>
    <s v="Email"/>
    <s v="General Inquiry"/>
    <s v="Low"/>
    <n v="48"/>
    <s v="Resolved"/>
    <d v="2026-03-01T18:46:00"/>
    <s v="No"/>
    <m/>
    <s v="Technical Issue Resolved Remotely"/>
    <n v="5.9500000000116415"/>
  </r>
  <r>
    <s v="TCK-22054"/>
    <d v="2026-06-29T14:26:00"/>
    <x v="3"/>
    <s v="Talha Nadeem"/>
    <s v="Faisalabad"/>
    <s v="Chat"/>
    <s v="Refund Request"/>
    <s v="High"/>
    <n v="8"/>
    <s v="Closed"/>
    <d v="2026-06-29T15:35:00"/>
    <s v="No"/>
    <n v="3"/>
    <s v="Technical Issue Resolved Remotely"/>
    <n v="1.1499999999068677"/>
  </r>
  <r>
    <s v="TCK-21645"/>
    <d v="2026-08-29T22:09:00"/>
    <x v="1"/>
    <s v="Ayaan Khalid"/>
    <s v="Multan"/>
    <s v="Chat"/>
    <s v="General Inquiry"/>
    <s v="High"/>
    <n v="8"/>
    <s v="Escalated"/>
    <s v="Missing Resolve Date"/>
    <s v="Yes"/>
    <m/>
    <s v="Not Specified"/>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8" firstHeaderRow="0" firstDataRow="1" firstDataCol="1"/>
  <pivotFields count="15">
    <pivotField dataField="1" showAll="0"/>
    <pivotField numFmtId="14" showAll="0"/>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Count of Ticket_ID" fld="0" subtotal="count" baseField="0" baseItem="0"/>
    <dataField name="Average of Resolution_Hours" fld="14" subtotal="average" baseField="2" baseItem="0" numFmtId="2"/>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O14" firstHeaderRow="1" firstDataRow="3" firstDataCol="1"/>
  <pivotFields count="16">
    <pivotField dataField="1" showAll="0"/>
    <pivotField numFmtId="14" showAll="0"/>
    <pivotField showAll="0"/>
    <pivotField axis="axisRow" showAll="0">
      <items count="9">
        <item x="7"/>
        <item x="3"/>
        <item x="4"/>
        <item x="2"/>
        <item x="0"/>
        <item x="5"/>
        <item x="6"/>
        <item x="1"/>
        <item t="default"/>
      </items>
    </pivotField>
    <pivotField showAll="0"/>
    <pivotField showAll="0"/>
    <pivotField showAll="0"/>
    <pivotField showAll="0"/>
    <pivotField showAll="0"/>
    <pivotField axis="axisCol" showAll="0">
      <items count="7">
        <item x="2"/>
        <item x="4"/>
        <item x="5"/>
        <item x="1"/>
        <item x="3"/>
        <item x="0"/>
        <item t="default"/>
      </items>
    </pivotField>
    <pivotField showAll="0"/>
    <pivotField showAll="0"/>
    <pivotField showAll="0"/>
    <pivotField showAll="0"/>
    <pivotField showAll="0"/>
    <pivotField axis="axisCol" showAll="0">
      <items count="4">
        <item x="1"/>
        <item x="2"/>
        <item x="0"/>
        <item t="default"/>
      </items>
    </pivotField>
  </pivotFields>
  <rowFields count="1">
    <field x="3"/>
  </rowFields>
  <rowItems count="9">
    <i>
      <x/>
    </i>
    <i>
      <x v="1"/>
    </i>
    <i>
      <x v="2"/>
    </i>
    <i>
      <x v="3"/>
    </i>
    <i>
      <x v="4"/>
    </i>
    <i>
      <x v="5"/>
    </i>
    <i>
      <x v="6"/>
    </i>
    <i>
      <x v="7"/>
    </i>
    <i t="grand">
      <x/>
    </i>
  </rowItems>
  <colFields count="2">
    <field x="9"/>
    <field x="15"/>
  </colFields>
  <colItems count="14">
    <i>
      <x/>
      <x/>
    </i>
    <i t="default">
      <x/>
    </i>
    <i>
      <x v="1"/>
      <x/>
    </i>
    <i t="default">
      <x v="1"/>
    </i>
    <i>
      <x v="2"/>
      <x/>
    </i>
    <i t="default">
      <x v="2"/>
    </i>
    <i>
      <x v="3"/>
      <x/>
    </i>
    <i t="default">
      <x v="3"/>
    </i>
    <i>
      <x v="4"/>
      <x/>
    </i>
    <i t="default">
      <x v="4"/>
    </i>
    <i>
      <x v="5"/>
      <x v="1"/>
    </i>
    <i r="1">
      <x v="2"/>
    </i>
    <i t="default">
      <x v="5"/>
    </i>
    <i t="grand">
      <x/>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2" firstHeaderRow="1" firstDataRow="1" firstDataCol="1"/>
  <pivotFields count="16">
    <pivotField dataField="1" showAll="0"/>
    <pivotField numFmtId="14" showAll="0"/>
    <pivotField showAll="0"/>
    <pivotField showAll="0"/>
    <pivotField axis="axisRow" showAll="0">
      <items count="9">
        <item x="4"/>
        <item x="3"/>
        <item x="1"/>
        <item x="0"/>
        <item x="5"/>
        <item x="7"/>
        <item x="2"/>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16">
    <pivotField dataField="1" showAll="0"/>
    <pivotField numFmtId="14" showAll="0"/>
    <pivotField showAll="0"/>
    <pivotField showAll="0"/>
    <pivotField showAll="0"/>
    <pivotField axis="axisRow" showAll="0">
      <items count="7">
        <item x="1"/>
        <item x="0"/>
        <item m="1" x="5"/>
        <item x="3"/>
        <item x="2"/>
        <item m="1" x="4"/>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3"/>
    </i>
    <i>
      <x v="4"/>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0" firstHeaderRow="1" firstDataRow="1" firstDataCol="1"/>
  <pivotFields count="16">
    <pivotField dataField="1" showAll="0"/>
    <pivotField numFmtId="14" showAll="0"/>
    <pivotField showAll="0"/>
    <pivotField showAll="0"/>
    <pivotField showAll="0"/>
    <pivotField showAll="0"/>
    <pivotField axis="axisRow" showAll="0">
      <items count="7">
        <item x="3"/>
        <item x="2"/>
        <item x="4"/>
        <item x="0"/>
        <item x="5"/>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8" firstHeaderRow="0" firstDataRow="1" firstDataCol="1"/>
  <pivotFields count="16">
    <pivotField dataField="1" showAll="0"/>
    <pivotField numFmtId="14"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dataField="1" showAll="0"/>
    <pivotField showAll="0"/>
  </pivotFields>
  <rowFields count="1">
    <field x="7"/>
  </rowFields>
  <rowItems count="5">
    <i>
      <x/>
    </i>
    <i>
      <x v="1"/>
    </i>
    <i>
      <x v="2"/>
    </i>
    <i>
      <x v="3"/>
    </i>
    <i t="grand">
      <x/>
    </i>
  </rowItems>
  <colFields count="1">
    <field x="-2"/>
  </colFields>
  <colItems count="2">
    <i>
      <x/>
    </i>
    <i i="1">
      <x v="1"/>
    </i>
  </colItems>
  <dataFields count="2">
    <dataField name="Count of Ticket_ID" fld="0" subtotal="count" baseField="0" baseItem="0"/>
    <dataField name="Average of Resolution_Hours" fld="14" subtotal="average" baseField="7" baseItem="0" numFmtId="2"/>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35" firstHeaderRow="1" firstDataRow="2" firstDataCol="1"/>
  <pivotFields count="16">
    <pivotField dataField="1" showAll="0"/>
    <pivotField numFmtId="14" showAll="0"/>
    <pivotField showAll="0"/>
    <pivotField showAll="0"/>
    <pivotField showAll="0"/>
    <pivotField showAll="0"/>
    <pivotField axis="axisRow" showAll="0">
      <items count="7">
        <item x="3"/>
        <item x="2"/>
        <item x="4"/>
        <item x="0"/>
        <item x="5"/>
        <item x="1"/>
        <item t="default"/>
      </items>
    </pivotField>
    <pivotField axis="axisRow" showAll="0">
      <items count="5">
        <item x="3"/>
        <item x="2"/>
        <item x="1"/>
        <item x="0"/>
        <item t="default"/>
      </items>
    </pivotField>
    <pivotField showAll="0"/>
    <pivotField showAll="0"/>
    <pivotField showAll="0"/>
    <pivotField showAll="0"/>
    <pivotField showAll="0"/>
    <pivotField showAll="0"/>
    <pivotField showAll="0"/>
    <pivotField axis="axisCol" showAll="0">
      <items count="4">
        <item x="1"/>
        <item x="2"/>
        <item x="0"/>
        <item t="default"/>
      </items>
    </pivotField>
  </pivotFields>
  <rowFields count="2">
    <field x="6"/>
    <field x="7"/>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Fields count="1">
    <field x="15"/>
  </colFields>
  <colItems count="4">
    <i>
      <x/>
    </i>
    <i>
      <x v="1"/>
    </i>
    <i>
      <x v="2"/>
    </i>
    <i t="grand">
      <x/>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76"/>
  <sheetViews>
    <sheetView workbookViewId="0">
      <selection activeCell="C11" sqref="A1:N3276"/>
    </sheetView>
  </sheetViews>
  <sheetFormatPr defaultRowHeight="15" x14ac:dyDescent="0.25"/>
  <cols>
    <col min="1" max="1" width="12" customWidth="1"/>
    <col min="2" max="4" width="18" customWidth="1"/>
    <col min="5" max="6" width="12" customWidth="1"/>
    <col min="7" max="7" width="16" customWidth="1"/>
    <col min="8" max="8" width="10" customWidth="1"/>
    <col min="9" max="9" width="16" customWidth="1"/>
    <col min="10" max="10" width="14" customWidth="1"/>
    <col min="11" max="11" width="18" customWidth="1"/>
    <col min="12" max="12" width="10" customWidth="1"/>
    <col min="13" max="13" width="16.28515625" bestFit="1" customWidth="1"/>
    <col min="14" max="14" width="3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t="s">
        <v>19</v>
      </c>
      <c r="G2" s="2" t="s">
        <v>20</v>
      </c>
      <c r="H2" s="2" t="s">
        <v>21</v>
      </c>
      <c r="I2" s="2">
        <v>24</v>
      </c>
      <c r="J2" s="2" t="s">
        <v>22</v>
      </c>
      <c r="K2" s="2" t="s">
        <v>23</v>
      </c>
      <c r="L2" s="2" t="s">
        <v>24</v>
      </c>
      <c r="M2" s="2"/>
      <c r="N2" s="2" t="s">
        <v>25</v>
      </c>
    </row>
    <row r="3" spans="1:14" x14ac:dyDescent="0.25">
      <c r="A3" s="2" t="s">
        <v>26</v>
      </c>
      <c r="B3" s="2" t="s">
        <v>27</v>
      </c>
      <c r="C3" s="2" t="s">
        <v>28</v>
      </c>
      <c r="D3" s="2" t="s">
        <v>29</v>
      </c>
      <c r="E3" s="2" t="s">
        <v>18</v>
      </c>
      <c r="F3" s="2" t="s">
        <v>30</v>
      </c>
      <c r="G3" s="2" t="s">
        <v>31</v>
      </c>
      <c r="H3" s="2" t="s">
        <v>32</v>
      </c>
      <c r="I3" s="2">
        <v>48</v>
      </c>
      <c r="J3" s="2" t="s">
        <v>33</v>
      </c>
      <c r="K3" s="2"/>
      <c r="L3" s="2" t="s">
        <v>24</v>
      </c>
      <c r="M3" s="2"/>
      <c r="N3" s="2" t="s">
        <v>34</v>
      </c>
    </row>
    <row r="4" spans="1:14" x14ac:dyDescent="0.25">
      <c r="A4" s="2" t="s">
        <v>35</v>
      </c>
      <c r="B4" s="2" t="s">
        <v>36</v>
      </c>
      <c r="C4" s="2" t="s">
        <v>28</v>
      </c>
      <c r="D4" s="2" t="s">
        <v>37</v>
      </c>
      <c r="E4" s="2" t="s">
        <v>38</v>
      </c>
      <c r="F4" s="2" t="s">
        <v>39</v>
      </c>
      <c r="G4" s="2" t="s">
        <v>40</v>
      </c>
      <c r="H4" s="2" t="s">
        <v>21</v>
      </c>
      <c r="I4" s="2">
        <v>24</v>
      </c>
      <c r="J4" s="2" t="s">
        <v>41</v>
      </c>
      <c r="K4" s="2" t="s">
        <v>42</v>
      </c>
      <c r="L4" s="2" t="s">
        <v>24</v>
      </c>
      <c r="M4" s="2">
        <v>4</v>
      </c>
      <c r="N4" s="2" t="s">
        <v>43</v>
      </c>
    </row>
    <row r="5" spans="1:14" x14ac:dyDescent="0.25">
      <c r="A5" s="2" t="s">
        <v>44</v>
      </c>
      <c r="B5" s="2" t="s">
        <v>45</v>
      </c>
      <c r="C5" s="2" t="s">
        <v>28</v>
      </c>
      <c r="D5" s="2" t="s">
        <v>37</v>
      </c>
      <c r="E5" s="2" t="s">
        <v>46</v>
      </c>
      <c r="F5" s="2" t="s">
        <v>47</v>
      </c>
      <c r="G5" s="2" t="s">
        <v>40</v>
      </c>
      <c r="H5" s="2" t="s">
        <v>32</v>
      </c>
      <c r="I5" s="2">
        <v>48</v>
      </c>
      <c r="J5" s="2" t="s">
        <v>48</v>
      </c>
      <c r="K5" s="2" t="s">
        <v>49</v>
      </c>
      <c r="L5" s="2" t="s">
        <v>24</v>
      </c>
      <c r="M5" s="2">
        <v>3</v>
      </c>
      <c r="N5" s="2" t="s">
        <v>50</v>
      </c>
    </row>
    <row r="6" spans="1:14" x14ac:dyDescent="0.25">
      <c r="A6" s="2" t="s">
        <v>51</v>
      </c>
      <c r="B6" s="2" t="s">
        <v>52</v>
      </c>
      <c r="C6" s="2" t="s">
        <v>53</v>
      </c>
      <c r="D6" s="2" t="s">
        <v>54</v>
      </c>
      <c r="E6" s="2" t="s">
        <v>18</v>
      </c>
      <c r="F6" s="2" t="s">
        <v>55</v>
      </c>
      <c r="G6" s="2" t="s">
        <v>40</v>
      </c>
      <c r="H6" s="2" t="s">
        <v>32</v>
      </c>
      <c r="I6" s="2">
        <v>48</v>
      </c>
      <c r="J6" s="2" t="s">
        <v>56</v>
      </c>
      <c r="K6" s="2" t="s">
        <v>57</v>
      </c>
      <c r="L6" s="2" t="s">
        <v>24</v>
      </c>
      <c r="M6" s="2"/>
      <c r="N6" s="2" t="s">
        <v>58</v>
      </c>
    </row>
    <row r="7" spans="1:14" x14ac:dyDescent="0.25">
      <c r="A7" s="2" t="s">
        <v>59</v>
      </c>
      <c r="B7" s="2" t="s">
        <v>60</v>
      </c>
      <c r="C7" s="2" t="s">
        <v>53</v>
      </c>
      <c r="D7" s="2" t="s">
        <v>61</v>
      </c>
      <c r="E7" s="2" t="s">
        <v>38</v>
      </c>
      <c r="F7" s="2" t="s">
        <v>62</v>
      </c>
      <c r="G7" s="2" t="s">
        <v>40</v>
      </c>
      <c r="H7" s="2" t="s">
        <v>21</v>
      </c>
      <c r="I7" s="2">
        <v>24</v>
      </c>
      <c r="J7" s="2" t="s">
        <v>41</v>
      </c>
      <c r="K7" s="2" t="s">
        <v>63</v>
      </c>
      <c r="L7" s="2" t="s">
        <v>24</v>
      </c>
      <c r="M7" s="2"/>
      <c r="N7" s="2" t="s">
        <v>64</v>
      </c>
    </row>
    <row r="8" spans="1:14" x14ac:dyDescent="0.25">
      <c r="A8" s="2" t="s">
        <v>65</v>
      </c>
      <c r="B8" s="2" t="s">
        <v>66</v>
      </c>
      <c r="C8" s="2" t="s">
        <v>67</v>
      </c>
      <c r="D8" s="2" t="s">
        <v>68</v>
      </c>
      <c r="E8" s="2" t="s">
        <v>18</v>
      </c>
      <c r="F8" s="2" t="s">
        <v>69</v>
      </c>
      <c r="G8" s="2" t="s">
        <v>70</v>
      </c>
      <c r="H8" s="2" t="s">
        <v>21</v>
      </c>
      <c r="I8" s="2">
        <v>24</v>
      </c>
      <c r="J8" s="2" t="s">
        <v>22</v>
      </c>
      <c r="K8" s="2" t="s">
        <v>71</v>
      </c>
      <c r="L8" s="2" t="s">
        <v>24</v>
      </c>
      <c r="M8" s="2"/>
      <c r="N8" s="2" t="s">
        <v>25</v>
      </c>
    </row>
    <row r="9" spans="1:14" x14ac:dyDescent="0.25">
      <c r="A9" s="2" t="s">
        <v>72</v>
      </c>
      <c r="B9" s="2" t="s">
        <v>73</v>
      </c>
      <c r="C9" s="2" t="s">
        <v>67</v>
      </c>
      <c r="D9" s="2" t="s">
        <v>68</v>
      </c>
      <c r="E9" s="2" t="s">
        <v>38</v>
      </c>
      <c r="F9" s="2" t="s">
        <v>47</v>
      </c>
      <c r="G9" s="2" t="s">
        <v>20</v>
      </c>
      <c r="H9" s="2" t="s">
        <v>74</v>
      </c>
      <c r="I9" s="2">
        <v>8</v>
      </c>
      <c r="J9" s="2" t="s">
        <v>75</v>
      </c>
      <c r="K9" s="2" t="s">
        <v>76</v>
      </c>
      <c r="L9" s="2" t="s">
        <v>24</v>
      </c>
      <c r="M9" s="2"/>
      <c r="N9" s="2" t="s">
        <v>50</v>
      </c>
    </row>
    <row r="10" spans="1:14" x14ac:dyDescent="0.25">
      <c r="A10" s="2" t="s">
        <v>77</v>
      </c>
      <c r="B10" s="2" t="s">
        <v>78</v>
      </c>
      <c r="C10" s="2" t="s">
        <v>53</v>
      </c>
      <c r="D10" s="2" t="s">
        <v>61</v>
      </c>
      <c r="E10" s="2" t="s">
        <v>79</v>
      </c>
      <c r="F10" s="2" t="s">
        <v>69</v>
      </c>
      <c r="G10" s="2" t="s">
        <v>70</v>
      </c>
      <c r="H10" s="2" t="s">
        <v>80</v>
      </c>
      <c r="I10" s="2">
        <v>4</v>
      </c>
      <c r="J10" s="2" t="s">
        <v>48</v>
      </c>
      <c r="K10" s="2" t="s">
        <v>81</v>
      </c>
      <c r="L10" s="2" t="s">
        <v>24</v>
      </c>
      <c r="M10" s="2">
        <v>5</v>
      </c>
      <c r="N10" s="2" t="s">
        <v>58</v>
      </c>
    </row>
    <row r="11" spans="1:14" x14ac:dyDescent="0.25">
      <c r="A11" s="2" t="s">
        <v>82</v>
      </c>
      <c r="B11" s="2" t="s">
        <v>83</v>
      </c>
      <c r="C11" s="2" t="s">
        <v>16</v>
      </c>
      <c r="D11" s="2" t="s">
        <v>84</v>
      </c>
      <c r="E11" s="2" t="s">
        <v>85</v>
      </c>
      <c r="F11" s="2" t="s">
        <v>69</v>
      </c>
      <c r="G11" s="2" t="s">
        <v>70</v>
      </c>
      <c r="H11" s="2" t="s">
        <v>74</v>
      </c>
      <c r="I11" s="2">
        <v>8</v>
      </c>
      <c r="J11" s="2" t="s">
        <v>41</v>
      </c>
      <c r="K11" s="2" t="s">
        <v>86</v>
      </c>
      <c r="L11" s="2" t="s">
        <v>24</v>
      </c>
      <c r="M11" s="2"/>
      <c r="N11" s="2"/>
    </row>
    <row r="12" spans="1:14" x14ac:dyDescent="0.25">
      <c r="A12" s="2" t="s">
        <v>87</v>
      </c>
      <c r="B12" s="2" t="s">
        <v>88</v>
      </c>
      <c r="C12" s="2" t="s">
        <v>67</v>
      </c>
      <c r="D12" s="2" t="s">
        <v>89</v>
      </c>
      <c r="E12" s="2" t="s">
        <v>90</v>
      </c>
      <c r="F12" s="2" t="s">
        <v>47</v>
      </c>
      <c r="G12" s="2" t="s">
        <v>91</v>
      </c>
      <c r="H12" s="2" t="s">
        <v>32</v>
      </c>
      <c r="I12" s="2">
        <v>48</v>
      </c>
      <c r="J12" s="2" t="s">
        <v>11</v>
      </c>
      <c r="K12" s="2"/>
      <c r="L12" s="2" t="s">
        <v>92</v>
      </c>
      <c r="M12" s="2"/>
      <c r="N12" s="2"/>
    </row>
    <row r="13" spans="1:14" x14ac:dyDescent="0.25">
      <c r="A13" s="2" t="s">
        <v>93</v>
      </c>
      <c r="B13" s="2" t="s">
        <v>94</v>
      </c>
      <c r="C13" s="2" t="s">
        <v>67</v>
      </c>
      <c r="D13" s="2" t="s">
        <v>95</v>
      </c>
      <c r="E13" s="2" t="s">
        <v>46</v>
      </c>
      <c r="F13" s="2" t="s">
        <v>96</v>
      </c>
      <c r="G13" s="2" t="s">
        <v>97</v>
      </c>
      <c r="H13" s="2" t="s">
        <v>32</v>
      </c>
      <c r="I13" s="2">
        <v>48</v>
      </c>
      <c r="J13" s="2" t="s">
        <v>11</v>
      </c>
      <c r="K13" s="2"/>
      <c r="L13" s="2" t="s">
        <v>92</v>
      </c>
      <c r="M13" s="2"/>
      <c r="N13" s="2" t="s">
        <v>64</v>
      </c>
    </row>
    <row r="14" spans="1:14" x14ac:dyDescent="0.25">
      <c r="A14" s="2" t="s">
        <v>98</v>
      </c>
      <c r="B14" s="2" t="s">
        <v>99</v>
      </c>
      <c r="C14" s="2" t="s">
        <v>28</v>
      </c>
      <c r="D14" s="2" t="s">
        <v>100</v>
      </c>
      <c r="E14" s="2" t="s">
        <v>38</v>
      </c>
      <c r="F14" s="2" t="s">
        <v>39</v>
      </c>
      <c r="G14" s="2" t="s">
        <v>101</v>
      </c>
      <c r="H14" s="2" t="s">
        <v>80</v>
      </c>
      <c r="I14" s="2">
        <v>4</v>
      </c>
      <c r="J14" s="2" t="s">
        <v>22</v>
      </c>
      <c r="K14" s="2" t="s">
        <v>102</v>
      </c>
      <c r="L14" s="2" t="s">
        <v>24</v>
      </c>
      <c r="M14" s="2"/>
      <c r="N14" s="2"/>
    </row>
    <row r="15" spans="1:14" x14ac:dyDescent="0.25">
      <c r="A15" s="2" t="s">
        <v>103</v>
      </c>
      <c r="B15" s="2" t="s">
        <v>104</v>
      </c>
      <c r="C15" s="2" t="s">
        <v>16</v>
      </c>
      <c r="D15" s="2" t="s">
        <v>84</v>
      </c>
      <c r="E15" s="2" t="s">
        <v>90</v>
      </c>
      <c r="F15" s="2" t="s">
        <v>47</v>
      </c>
      <c r="G15" s="2" t="s">
        <v>105</v>
      </c>
      <c r="H15" s="2" t="s">
        <v>21</v>
      </c>
      <c r="I15" s="2">
        <v>24</v>
      </c>
      <c r="J15" s="2" t="s">
        <v>106</v>
      </c>
      <c r="K15" s="2" t="s">
        <v>107</v>
      </c>
      <c r="L15" s="2" t="s">
        <v>24</v>
      </c>
      <c r="M15" s="2">
        <v>4</v>
      </c>
      <c r="N15" s="2" t="s">
        <v>50</v>
      </c>
    </row>
    <row r="16" spans="1:14" x14ac:dyDescent="0.25">
      <c r="A16" s="2" t="s">
        <v>108</v>
      </c>
      <c r="B16" s="2" t="s">
        <v>109</v>
      </c>
      <c r="C16" s="2" t="s">
        <v>16</v>
      </c>
      <c r="D16" s="2" t="s">
        <v>84</v>
      </c>
      <c r="E16" s="2" t="s">
        <v>90</v>
      </c>
      <c r="F16" s="2" t="s">
        <v>19</v>
      </c>
      <c r="G16" s="2" t="s">
        <v>110</v>
      </c>
      <c r="H16" s="2" t="s">
        <v>32</v>
      </c>
      <c r="I16" s="2">
        <v>48</v>
      </c>
      <c r="J16" s="2" t="s">
        <v>33</v>
      </c>
      <c r="K16" s="2"/>
      <c r="L16" s="2" t="s">
        <v>24</v>
      </c>
      <c r="M16" s="2"/>
      <c r="N16" s="2" t="s">
        <v>64</v>
      </c>
    </row>
    <row r="17" spans="1:14" x14ac:dyDescent="0.25">
      <c r="A17" s="2" t="s">
        <v>111</v>
      </c>
      <c r="B17" s="2" t="s">
        <v>112</v>
      </c>
      <c r="C17" s="2" t="s">
        <v>53</v>
      </c>
      <c r="D17" s="2" t="s">
        <v>54</v>
      </c>
      <c r="E17" s="2" t="s">
        <v>18</v>
      </c>
      <c r="F17" s="2" t="s">
        <v>113</v>
      </c>
      <c r="G17" s="2" t="s">
        <v>105</v>
      </c>
      <c r="H17" s="2" t="s">
        <v>80</v>
      </c>
      <c r="I17" s="2">
        <v>4</v>
      </c>
      <c r="J17" s="2" t="s">
        <v>22</v>
      </c>
      <c r="K17" s="2" t="s">
        <v>114</v>
      </c>
      <c r="L17" s="2" t="s">
        <v>24</v>
      </c>
      <c r="M17" s="2">
        <v>5</v>
      </c>
      <c r="N17" s="2" t="s">
        <v>43</v>
      </c>
    </row>
    <row r="18" spans="1:14" x14ac:dyDescent="0.25">
      <c r="A18" s="2" t="s">
        <v>115</v>
      </c>
      <c r="B18" s="2" t="s">
        <v>116</v>
      </c>
      <c r="C18" s="2" t="s">
        <v>28</v>
      </c>
      <c r="D18" s="2" t="s">
        <v>100</v>
      </c>
      <c r="E18" s="2" t="s">
        <v>90</v>
      </c>
      <c r="F18" s="2" t="s">
        <v>96</v>
      </c>
      <c r="G18" s="2" t="s">
        <v>40</v>
      </c>
      <c r="H18" s="2" t="s">
        <v>80</v>
      </c>
      <c r="I18" s="2">
        <v>4</v>
      </c>
      <c r="J18" s="2" t="s">
        <v>117</v>
      </c>
      <c r="K18" s="2"/>
      <c r="L18" s="2" t="s">
        <v>24</v>
      </c>
      <c r="M18" s="2"/>
      <c r="N18" s="2" t="s">
        <v>118</v>
      </c>
    </row>
    <row r="19" spans="1:14" x14ac:dyDescent="0.25">
      <c r="A19" s="2" t="s">
        <v>119</v>
      </c>
      <c r="B19" s="2" t="s">
        <v>120</v>
      </c>
      <c r="C19" s="2" t="s">
        <v>16</v>
      </c>
      <c r="D19" s="2" t="s">
        <v>84</v>
      </c>
      <c r="E19" s="2" t="s">
        <v>38</v>
      </c>
      <c r="F19" s="2" t="s">
        <v>30</v>
      </c>
      <c r="G19" s="2" t="s">
        <v>121</v>
      </c>
      <c r="H19" s="2" t="s">
        <v>21</v>
      </c>
      <c r="I19" s="2">
        <v>24</v>
      </c>
      <c r="J19" s="2" t="s">
        <v>22</v>
      </c>
      <c r="K19" s="2" t="s">
        <v>122</v>
      </c>
      <c r="L19" s="2" t="s">
        <v>24</v>
      </c>
      <c r="M19" s="2"/>
      <c r="N19" s="2" t="s">
        <v>58</v>
      </c>
    </row>
    <row r="20" spans="1:14" x14ac:dyDescent="0.25">
      <c r="A20" s="2" t="s">
        <v>123</v>
      </c>
      <c r="B20" s="2" t="s">
        <v>124</v>
      </c>
      <c r="C20" s="2" t="s">
        <v>67</v>
      </c>
      <c r="D20" s="2" t="s">
        <v>68</v>
      </c>
      <c r="E20" s="2" t="s">
        <v>85</v>
      </c>
      <c r="F20" s="2" t="s">
        <v>125</v>
      </c>
      <c r="G20" s="2" t="s">
        <v>126</v>
      </c>
      <c r="H20" s="2" t="s">
        <v>32</v>
      </c>
      <c r="I20" s="2">
        <v>48</v>
      </c>
      <c r="J20" s="2" t="s">
        <v>48</v>
      </c>
      <c r="K20" s="2" t="s">
        <v>127</v>
      </c>
      <c r="L20" s="2" t="s">
        <v>24</v>
      </c>
      <c r="M20" s="2">
        <v>4</v>
      </c>
      <c r="N20" s="2" t="s">
        <v>128</v>
      </c>
    </row>
    <row r="21" spans="1:14" x14ac:dyDescent="0.25">
      <c r="A21" s="2" t="s">
        <v>129</v>
      </c>
      <c r="B21" s="2" t="s">
        <v>130</v>
      </c>
      <c r="C21" s="2" t="s">
        <v>28</v>
      </c>
      <c r="D21" s="2" t="s">
        <v>37</v>
      </c>
      <c r="E21" s="2" t="s">
        <v>46</v>
      </c>
      <c r="F21" s="2" t="s">
        <v>131</v>
      </c>
      <c r="G21" s="2" t="s">
        <v>101</v>
      </c>
      <c r="H21" s="2" t="s">
        <v>21</v>
      </c>
      <c r="I21" s="2">
        <v>24</v>
      </c>
      <c r="J21" s="2" t="s">
        <v>22</v>
      </c>
      <c r="K21" s="2" t="s">
        <v>132</v>
      </c>
      <c r="L21" s="2" t="s">
        <v>24</v>
      </c>
      <c r="M21" s="2">
        <v>3</v>
      </c>
      <c r="N21" s="2" t="s">
        <v>128</v>
      </c>
    </row>
    <row r="22" spans="1:14" x14ac:dyDescent="0.25">
      <c r="A22" s="2" t="s">
        <v>133</v>
      </c>
      <c r="B22" s="2" t="s">
        <v>134</v>
      </c>
      <c r="C22" s="2" t="s">
        <v>28</v>
      </c>
      <c r="D22" s="2" t="s">
        <v>37</v>
      </c>
      <c r="E22" s="2" t="s">
        <v>79</v>
      </c>
      <c r="F22" s="2" t="s">
        <v>125</v>
      </c>
      <c r="G22" s="2" t="s">
        <v>135</v>
      </c>
      <c r="H22" s="2" t="s">
        <v>32</v>
      </c>
      <c r="I22" s="2">
        <v>48</v>
      </c>
      <c r="J22" s="2" t="s">
        <v>48</v>
      </c>
      <c r="K22" s="2" t="s">
        <v>136</v>
      </c>
      <c r="L22" s="2" t="s">
        <v>24</v>
      </c>
      <c r="M22" s="2"/>
      <c r="N22" s="2" t="s">
        <v>64</v>
      </c>
    </row>
    <row r="23" spans="1:14" x14ac:dyDescent="0.25">
      <c r="A23" s="2" t="s">
        <v>137</v>
      </c>
      <c r="B23" s="2" t="s">
        <v>138</v>
      </c>
      <c r="C23" s="2" t="s">
        <v>67</v>
      </c>
      <c r="D23" s="2" t="s">
        <v>68</v>
      </c>
      <c r="E23" s="2" t="s">
        <v>79</v>
      </c>
      <c r="F23" s="2" t="s">
        <v>131</v>
      </c>
      <c r="G23" s="2" t="s">
        <v>139</v>
      </c>
      <c r="H23" s="2" t="s">
        <v>21</v>
      </c>
      <c r="I23" s="2">
        <v>24</v>
      </c>
      <c r="J23" s="2" t="s">
        <v>48</v>
      </c>
      <c r="K23" s="2" t="s">
        <v>140</v>
      </c>
      <c r="L23" s="2" t="s">
        <v>24</v>
      </c>
      <c r="M23" s="2">
        <v>4</v>
      </c>
      <c r="N23" s="2" t="s">
        <v>25</v>
      </c>
    </row>
    <row r="24" spans="1:14" x14ac:dyDescent="0.25">
      <c r="A24" s="2" t="s">
        <v>141</v>
      </c>
      <c r="B24" s="2" t="s">
        <v>142</v>
      </c>
      <c r="C24" s="2" t="s">
        <v>16</v>
      </c>
      <c r="D24" s="2" t="s">
        <v>84</v>
      </c>
      <c r="E24" s="2" t="s">
        <v>38</v>
      </c>
      <c r="F24" s="2" t="s">
        <v>143</v>
      </c>
      <c r="G24" s="2" t="s">
        <v>144</v>
      </c>
      <c r="H24" s="2" t="s">
        <v>32</v>
      </c>
      <c r="I24" s="2">
        <v>48</v>
      </c>
      <c r="J24" s="2" t="s">
        <v>145</v>
      </c>
      <c r="K24" s="2"/>
      <c r="L24" s="2" t="s">
        <v>24</v>
      </c>
      <c r="M24" s="2"/>
      <c r="N24" s="2" t="s">
        <v>118</v>
      </c>
    </row>
    <row r="25" spans="1:14" x14ac:dyDescent="0.25">
      <c r="A25" s="2" t="s">
        <v>146</v>
      </c>
      <c r="B25" s="2" t="s">
        <v>147</v>
      </c>
      <c r="C25" s="2" t="s">
        <v>16</v>
      </c>
      <c r="D25" s="2" t="s">
        <v>17</v>
      </c>
      <c r="E25" s="2" t="s">
        <v>148</v>
      </c>
      <c r="F25" s="2" t="s">
        <v>39</v>
      </c>
      <c r="G25" s="2" t="s">
        <v>139</v>
      </c>
      <c r="H25" s="2" t="s">
        <v>21</v>
      </c>
      <c r="I25" s="2">
        <v>24</v>
      </c>
      <c r="J25" s="2" t="s">
        <v>149</v>
      </c>
      <c r="K25" s="2"/>
      <c r="L25" s="2" t="s">
        <v>24</v>
      </c>
      <c r="M25" s="2"/>
      <c r="N25" s="2" t="s">
        <v>118</v>
      </c>
    </row>
    <row r="26" spans="1:14" x14ac:dyDescent="0.25">
      <c r="A26" s="2" t="s">
        <v>150</v>
      </c>
      <c r="B26" s="2" t="s">
        <v>151</v>
      </c>
      <c r="C26" s="2" t="s">
        <v>28</v>
      </c>
      <c r="D26" s="2" t="s">
        <v>100</v>
      </c>
      <c r="E26" s="2" t="s">
        <v>38</v>
      </c>
      <c r="F26" s="2" t="s">
        <v>47</v>
      </c>
      <c r="G26" s="2" t="s">
        <v>126</v>
      </c>
      <c r="H26" s="2" t="s">
        <v>74</v>
      </c>
      <c r="I26" s="2">
        <v>8</v>
      </c>
      <c r="J26" s="2" t="s">
        <v>106</v>
      </c>
      <c r="K26" s="2" t="s">
        <v>152</v>
      </c>
      <c r="L26" s="2" t="s">
        <v>24</v>
      </c>
      <c r="M26" s="2"/>
      <c r="N26" s="2" t="s">
        <v>58</v>
      </c>
    </row>
    <row r="27" spans="1:14" x14ac:dyDescent="0.25">
      <c r="A27" s="2" t="s">
        <v>153</v>
      </c>
      <c r="B27" s="2" t="s">
        <v>154</v>
      </c>
      <c r="C27" s="2" t="s">
        <v>28</v>
      </c>
      <c r="D27" s="2" t="s">
        <v>37</v>
      </c>
      <c r="E27" s="2" t="s">
        <v>148</v>
      </c>
      <c r="F27" s="2" t="s">
        <v>19</v>
      </c>
      <c r="G27" s="2" t="s">
        <v>121</v>
      </c>
      <c r="H27" s="2" t="s">
        <v>21</v>
      </c>
      <c r="I27" s="2">
        <v>24</v>
      </c>
      <c r="J27" s="2" t="s">
        <v>155</v>
      </c>
      <c r="K27" s="2"/>
      <c r="L27" s="2" t="s">
        <v>24</v>
      </c>
      <c r="M27" s="2"/>
      <c r="N27" s="2" t="s">
        <v>128</v>
      </c>
    </row>
    <row r="28" spans="1:14" x14ac:dyDescent="0.25">
      <c r="A28" s="2" t="s">
        <v>156</v>
      </c>
      <c r="B28" s="2" t="s">
        <v>157</v>
      </c>
      <c r="C28" s="2" t="s">
        <v>67</v>
      </c>
      <c r="D28" s="2" t="s">
        <v>95</v>
      </c>
      <c r="E28" s="2" t="s">
        <v>79</v>
      </c>
      <c r="F28" s="2" t="s">
        <v>30</v>
      </c>
      <c r="G28" s="2" t="s">
        <v>158</v>
      </c>
      <c r="H28" s="2" t="s">
        <v>21</v>
      </c>
      <c r="I28" s="2">
        <v>24</v>
      </c>
      <c r="J28" s="2" t="s">
        <v>75</v>
      </c>
      <c r="K28" s="2" t="s">
        <v>159</v>
      </c>
      <c r="L28" s="2" t="s">
        <v>24</v>
      </c>
      <c r="M28" s="2">
        <v>2</v>
      </c>
      <c r="N28" s="2"/>
    </row>
    <row r="29" spans="1:14" x14ac:dyDescent="0.25">
      <c r="A29" s="2" t="s">
        <v>160</v>
      </c>
      <c r="B29" s="2" t="s">
        <v>161</v>
      </c>
      <c r="C29" s="2" t="s">
        <v>53</v>
      </c>
      <c r="D29" s="2" t="s">
        <v>162</v>
      </c>
      <c r="E29" s="2" t="s">
        <v>85</v>
      </c>
      <c r="F29" s="2" t="s">
        <v>131</v>
      </c>
      <c r="G29" s="2" t="s">
        <v>20</v>
      </c>
      <c r="H29" s="2" t="s">
        <v>21</v>
      </c>
      <c r="I29" s="2">
        <v>24</v>
      </c>
      <c r="J29" s="2" t="s">
        <v>33</v>
      </c>
      <c r="K29" s="2"/>
      <c r="L29" s="2" t="s">
        <v>24</v>
      </c>
      <c r="M29" s="2"/>
      <c r="N29" s="2" t="s">
        <v>64</v>
      </c>
    </row>
    <row r="30" spans="1:14" x14ac:dyDescent="0.25">
      <c r="A30" s="2" t="s">
        <v>163</v>
      </c>
      <c r="B30" s="2" t="s">
        <v>164</v>
      </c>
      <c r="C30" s="2" t="s">
        <v>53</v>
      </c>
      <c r="D30" s="2" t="s">
        <v>61</v>
      </c>
      <c r="E30" s="2" t="s">
        <v>90</v>
      </c>
      <c r="F30" s="2" t="s">
        <v>96</v>
      </c>
      <c r="G30" s="2" t="s">
        <v>101</v>
      </c>
      <c r="H30" s="2" t="s">
        <v>21</v>
      </c>
      <c r="I30" s="2">
        <v>24</v>
      </c>
      <c r="J30" s="2" t="s">
        <v>41</v>
      </c>
      <c r="K30" s="2" t="s">
        <v>165</v>
      </c>
      <c r="L30" s="2" t="s">
        <v>24</v>
      </c>
      <c r="M30" s="2">
        <v>2</v>
      </c>
      <c r="N30" s="2"/>
    </row>
    <row r="31" spans="1:14" x14ac:dyDescent="0.25">
      <c r="A31" s="2" t="s">
        <v>166</v>
      </c>
      <c r="B31" s="2" t="s">
        <v>167</v>
      </c>
      <c r="C31" s="2" t="s">
        <v>28</v>
      </c>
      <c r="D31" s="2" t="s">
        <v>100</v>
      </c>
      <c r="E31" s="2" t="s">
        <v>148</v>
      </c>
      <c r="F31" s="2" t="s">
        <v>47</v>
      </c>
      <c r="G31" s="2" t="s">
        <v>139</v>
      </c>
      <c r="H31" s="2" t="s">
        <v>32</v>
      </c>
      <c r="I31" s="2">
        <v>48</v>
      </c>
      <c r="J31" s="2" t="s">
        <v>22</v>
      </c>
      <c r="K31" s="2" t="s">
        <v>168</v>
      </c>
      <c r="L31" s="2" t="s">
        <v>92</v>
      </c>
      <c r="M31" s="2">
        <v>2</v>
      </c>
      <c r="N31" s="2" t="s">
        <v>128</v>
      </c>
    </row>
    <row r="32" spans="1:14" x14ac:dyDescent="0.25">
      <c r="A32" s="2" t="s">
        <v>169</v>
      </c>
      <c r="B32" s="2" t="s">
        <v>170</v>
      </c>
      <c r="C32" s="2" t="s">
        <v>53</v>
      </c>
      <c r="D32" s="2" t="s">
        <v>54</v>
      </c>
      <c r="E32" s="2" t="s">
        <v>18</v>
      </c>
      <c r="F32" s="2" t="s">
        <v>96</v>
      </c>
      <c r="G32" s="2" t="s">
        <v>70</v>
      </c>
      <c r="H32" s="2" t="s">
        <v>32</v>
      </c>
      <c r="I32" s="2">
        <v>48</v>
      </c>
      <c r="J32" s="2" t="s">
        <v>22</v>
      </c>
      <c r="K32" s="2" t="s">
        <v>171</v>
      </c>
      <c r="L32" s="2" t="s">
        <v>24</v>
      </c>
      <c r="M32" s="2">
        <v>3</v>
      </c>
      <c r="N32" s="2" t="s">
        <v>64</v>
      </c>
    </row>
    <row r="33" spans="1:14" x14ac:dyDescent="0.25">
      <c r="A33" s="2" t="s">
        <v>172</v>
      </c>
      <c r="B33" s="2" t="s">
        <v>173</v>
      </c>
      <c r="C33" s="2" t="s">
        <v>16</v>
      </c>
      <c r="D33" s="2" t="s">
        <v>84</v>
      </c>
      <c r="E33" s="2" t="s">
        <v>46</v>
      </c>
      <c r="F33" s="2" t="s">
        <v>47</v>
      </c>
      <c r="G33" s="2" t="s">
        <v>105</v>
      </c>
      <c r="H33" s="2" t="s">
        <v>21</v>
      </c>
      <c r="I33" s="2">
        <v>24</v>
      </c>
      <c r="J33" s="2" t="s">
        <v>75</v>
      </c>
      <c r="K33" s="2" t="s">
        <v>174</v>
      </c>
      <c r="L33" s="2" t="s">
        <v>24</v>
      </c>
      <c r="M33" s="2"/>
      <c r="N33" s="2" t="s">
        <v>64</v>
      </c>
    </row>
    <row r="34" spans="1:14" x14ac:dyDescent="0.25">
      <c r="A34" s="2" t="s">
        <v>175</v>
      </c>
      <c r="B34" s="2" t="s">
        <v>176</v>
      </c>
      <c r="C34" s="2" t="s">
        <v>28</v>
      </c>
      <c r="D34" s="2" t="s">
        <v>37</v>
      </c>
      <c r="E34" s="2" t="s">
        <v>85</v>
      </c>
      <c r="F34" s="2" t="s">
        <v>47</v>
      </c>
      <c r="G34" s="2" t="s">
        <v>110</v>
      </c>
      <c r="H34" s="2" t="s">
        <v>80</v>
      </c>
      <c r="I34" s="2">
        <v>4</v>
      </c>
      <c r="J34" s="2" t="s">
        <v>11</v>
      </c>
      <c r="K34" s="2"/>
      <c r="L34" s="2" t="s">
        <v>92</v>
      </c>
      <c r="M34" s="2"/>
      <c r="N34" s="2" t="s">
        <v>128</v>
      </c>
    </row>
    <row r="35" spans="1:14" x14ac:dyDescent="0.25">
      <c r="A35" s="2" t="s">
        <v>177</v>
      </c>
      <c r="B35" s="2" t="s">
        <v>178</v>
      </c>
      <c r="C35" s="2" t="s">
        <v>16</v>
      </c>
      <c r="D35" s="2" t="s">
        <v>84</v>
      </c>
      <c r="E35" s="2" t="s">
        <v>85</v>
      </c>
      <c r="F35" s="2" t="s">
        <v>39</v>
      </c>
      <c r="G35" s="2" t="s">
        <v>179</v>
      </c>
      <c r="H35" s="2" t="s">
        <v>32</v>
      </c>
      <c r="I35" s="2">
        <v>48</v>
      </c>
      <c r="J35" s="2" t="s">
        <v>75</v>
      </c>
      <c r="K35" s="2" t="s">
        <v>180</v>
      </c>
      <c r="L35" s="2" t="s">
        <v>24</v>
      </c>
      <c r="M35" s="2">
        <v>2</v>
      </c>
      <c r="N35" s="2" t="s">
        <v>50</v>
      </c>
    </row>
    <row r="36" spans="1:14" x14ac:dyDescent="0.25">
      <c r="A36" s="2" t="s">
        <v>181</v>
      </c>
      <c r="B36" s="2" t="s">
        <v>182</v>
      </c>
      <c r="C36" s="2" t="s">
        <v>16</v>
      </c>
      <c r="D36" s="2" t="s">
        <v>17</v>
      </c>
      <c r="E36" s="2" t="s">
        <v>18</v>
      </c>
      <c r="F36" s="2" t="s">
        <v>69</v>
      </c>
      <c r="G36" s="2" t="s">
        <v>183</v>
      </c>
      <c r="H36" s="2" t="s">
        <v>21</v>
      </c>
      <c r="I36" s="2">
        <v>24</v>
      </c>
      <c r="J36" s="2" t="s">
        <v>75</v>
      </c>
      <c r="K36" s="2" t="s">
        <v>184</v>
      </c>
      <c r="L36" s="2" t="s">
        <v>24</v>
      </c>
      <c r="M36" s="2">
        <v>1</v>
      </c>
      <c r="N36" s="2" t="s">
        <v>58</v>
      </c>
    </row>
    <row r="37" spans="1:14" x14ac:dyDescent="0.25">
      <c r="A37" s="2" t="s">
        <v>185</v>
      </c>
      <c r="B37" s="2" t="s">
        <v>186</v>
      </c>
      <c r="C37" s="2" t="s">
        <v>53</v>
      </c>
      <c r="D37" s="2" t="s">
        <v>61</v>
      </c>
      <c r="E37" s="2" t="s">
        <v>18</v>
      </c>
      <c r="F37" s="2" t="s">
        <v>47</v>
      </c>
      <c r="G37" s="2" t="s">
        <v>121</v>
      </c>
      <c r="H37" s="2" t="s">
        <v>21</v>
      </c>
      <c r="I37" s="2">
        <v>24</v>
      </c>
      <c r="J37" s="2" t="s">
        <v>187</v>
      </c>
      <c r="K37" s="2" t="s">
        <v>188</v>
      </c>
      <c r="L37" s="2" t="s">
        <v>24</v>
      </c>
      <c r="M37" s="2">
        <v>5</v>
      </c>
      <c r="N37" s="2"/>
    </row>
    <row r="38" spans="1:14" x14ac:dyDescent="0.25">
      <c r="A38" s="2" t="s">
        <v>189</v>
      </c>
      <c r="B38" s="2" t="s">
        <v>190</v>
      </c>
      <c r="C38" s="2" t="s">
        <v>16</v>
      </c>
      <c r="D38" s="2" t="s">
        <v>17</v>
      </c>
      <c r="E38" s="2" t="s">
        <v>46</v>
      </c>
      <c r="F38" s="2" t="s">
        <v>19</v>
      </c>
      <c r="G38" s="2" t="s">
        <v>158</v>
      </c>
      <c r="H38" s="2" t="s">
        <v>21</v>
      </c>
      <c r="I38" s="2">
        <v>24</v>
      </c>
      <c r="J38" s="2" t="s">
        <v>191</v>
      </c>
      <c r="K38" s="2"/>
      <c r="L38" s="2" t="s">
        <v>24</v>
      </c>
      <c r="M38" s="2"/>
      <c r="N38" s="2"/>
    </row>
    <row r="39" spans="1:14" x14ac:dyDescent="0.25">
      <c r="A39" s="2" t="s">
        <v>192</v>
      </c>
      <c r="B39" s="2" t="s">
        <v>193</v>
      </c>
      <c r="C39" s="2" t="s">
        <v>16</v>
      </c>
      <c r="D39" s="2" t="s">
        <v>84</v>
      </c>
      <c r="E39" s="2" t="s">
        <v>85</v>
      </c>
      <c r="F39" s="2" t="s">
        <v>113</v>
      </c>
      <c r="G39" s="2" t="s">
        <v>20</v>
      </c>
      <c r="H39" s="2" t="s">
        <v>74</v>
      </c>
      <c r="I39" s="2">
        <v>8</v>
      </c>
      <c r="J39" s="2" t="s">
        <v>187</v>
      </c>
      <c r="K39" s="2" t="s">
        <v>194</v>
      </c>
      <c r="L39" s="2" t="s">
        <v>24</v>
      </c>
      <c r="M39" s="2">
        <v>1</v>
      </c>
      <c r="N39" s="2" t="s">
        <v>34</v>
      </c>
    </row>
    <row r="40" spans="1:14" x14ac:dyDescent="0.25">
      <c r="A40" s="2" t="s">
        <v>195</v>
      </c>
      <c r="B40" s="2" t="s">
        <v>196</v>
      </c>
      <c r="C40" s="2" t="s">
        <v>67</v>
      </c>
      <c r="D40" s="2" t="s">
        <v>68</v>
      </c>
      <c r="E40" s="2" t="s">
        <v>90</v>
      </c>
      <c r="F40" s="2" t="s">
        <v>47</v>
      </c>
      <c r="G40" s="2" t="s">
        <v>31</v>
      </c>
      <c r="H40" s="2" t="s">
        <v>21</v>
      </c>
      <c r="I40" s="2">
        <v>24</v>
      </c>
      <c r="J40" s="2" t="s">
        <v>75</v>
      </c>
      <c r="K40" s="2" t="s">
        <v>197</v>
      </c>
      <c r="L40" s="2" t="s">
        <v>24</v>
      </c>
      <c r="M40" s="2">
        <v>5</v>
      </c>
      <c r="N40" s="2" t="s">
        <v>25</v>
      </c>
    </row>
    <row r="41" spans="1:14" x14ac:dyDescent="0.25">
      <c r="A41" s="2" t="s">
        <v>198</v>
      </c>
      <c r="B41" s="2" t="s">
        <v>199</v>
      </c>
      <c r="C41" s="2" t="s">
        <v>16</v>
      </c>
      <c r="D41" s="2" t="s">
        <v>84</v>
      </c>
      <c r="E41" s="2" t="s">
        <v>148</v>
      </c>
      <c r="F41" s="2" t="s">
        <v>30</v>
      </c>
      <c r="G41" s="2" t="s">
        <v>31</v>
      </c>
      <c r="H41" s="2" t="s">
        <v>74</v>
      </c>
      <c r="I41" s="2">
        <v>8</v>
      </c>
      <c r="J41" s="2" t="s">
        <v>200</v>
      </c>
      <c r="K41" s="2"/>
      <c r="L41" s="2" t="s">
        <v>92</v>
      </c>
      <c r="M41" s="2"/>
      <c r="N41" s="2" t="s">
        <v>43</v>
      </c>
    </row>
    <row r="42" spans="1:14" x14ac:dyDescent="0.25">
      <c r="A42" s="2" t="s">
        <v>201</v>
      </c>
      <c r="B42" s="2" t="s">
        <v>202</v>
      </c>
      <c r="C42" s="2" t="s">
        <v>28</v>
      </c>
      <c r="D42" s="2" t="s">
        <v>100</v>
      </c>
      <c r="E42" s="2" t="s">
        <v>85</v>
      </c>
      <c r="F42" s="2" t="s">
        <v>113</v>
      </c>
      <c r="G42" s="2" t="s">
        <v>110</v>
      </c>
      <c r="H42" s="2" t="s">
        <v>21</v>
      </c>
      <c r="I42" s="2">
        <v>24</v>
      </c>
      <c r="J42" s="2" t="s">
        <v>106</v>
      </c>
      <c r="K42" s="2" t="s">
        <v>203</v>
      </c>
      <c r="L42" s="2" t="s">
        <v>24</v>
      </c>
      <c r="M42" s="2"/>
      <c r="N42" s="2"/>
    </row>
    <row r="43" spans="1:14" x14ac:dyDescent="0.25">
      <c r="A43" s="2" t="s">
        <v>204</v>
      </c>
      <c r="B43" s="2" t="s">
        <v>205</v>
      </c>
      <c r="C43" s="2" t="s">
        <v>28</v>
      </c>
      <c r="D43" s="2" t="s">
        <v>100</v>
      </c>
      <c r="E43" s="2" t="s">
        <v>46</v>
      </c>
      <c r="F43" s="2" t="s">
        <v>113</v>
      </c>
      <c r="G43" s="2" t="s">
        <v>91</v>
      </c>
      <c r="H43" s="2" t="s">
        <v>80</v>
      </c>
      <c r="I43" s="2">
        <v>4</v>
      </c>
      <c r="J43" s="2" t="s">
        <v>11</v>
      </c>
      <c r="K43" s="2"/>
      <c r="L43" s="2" t="s">
        <v>92</v>
      </c>
      <c r="M43" s="2"/>
      <c r="N43" s="2" t="s">
        <v>118</v>
      </c>
    </row>
    <row r="44" spans="1:14" x14ac:dyDescent="0.25">
      <c r="A44" s="2" t="s">
        <v>206</v>
      </c>
      <c r="B44" s="2" t="s">
        <v>207</v>
      </c>
      <c r="C44" s="2" t="s">
        <v>28</v>
      </c>
      <c r="D44" s="2" t="s">
        <v>100</v>
      </c>
      <c r="E44" s="2" t="s">
        <v>46</v>
      </c>
      <c r="F44" s="2" t="s">
        <v>39</v>
      </c>
      <c r="G44" s="2" t="s">
        <v>135</v>
      </c>
      <c r="H44" s="2" t="s">
        <v>21</v>
      </c>
      <c r="I44" s="2">
        <v>24</v>
      </c>
      <c r="J44" s="2" t="s">
        <v>75</v>
      </c>
      <c r="K44" s="2" t="s">
        <v>208</v>
      </c>
      <c r="L44" s="2" t="s">
        <v>24</v>
      </c>
      <c r="M44" s="2">
        <v>3</v>
      </c>
      <c r="N44" s="2" t="s">
        <v>43</v>
      </c>
    </row>
    <row r="45" spans="1:14" x14ac:dyDescent="0.25">
      <c r="A45" s="2" t="s">
        <v>209</v>
      </c>
      <c r="B45" s="2" t="s">
        <v>210</v>
      </c>
      <c r="C45" s="2" t="s">
        <v>28</v>
      </c>
      <c r="D45" s="2" t="s">
        <v>37</v>
      </c>
      <c r="E45" s="2" t="s">
        <v>38</v>
      </c>
      <c r="F45" s="2" t="s">
        <v>113</v>
      </c>
      <c r="G45" s="2" t="s">
        <v>211</v>
      </c>
      <c r="H45" s="2" t="s">
        <v>21</v>
      </c>
      <c r="I45" s="2">
        <v>24</v>
      </c>
      <c r="J45" s="2" t="s">
        <v>187</v>
      </c>
      <c r="K45" s="2" t="s">
        <v>212</v>
      </c>
      <c r="L45" s="2" t="s">
        <v>24</v>
      </c>
      <c r="M45" s="2">
        <v>4</v>
      </c>
      <c r="N45" s="2" t="s">
        <v>128</v>
      </c>
    </row>
    <row r="46" spans="1:14" x14ac:dyDescent="0.25">
      <c r="A46" s="2" t="s">
        <v>213</v>
      </c>
      <c r="B46" s="2" t="s">
        <v>214</v>
      </c>
      <c r="C46" s="2" t="s">
        <v>53</v>
      </c>
      <c r="D46" s="2" t="s">
        <v>61</v>
      </c>
      <c r="E46" s="2" t="s">
        <v>90</v>
      </c>
      <c r="F46" s="2" t="s">
        <v>113</v>
      </c>
      <c r="G46" s="2" t="s">
        <v>144</v>
      </c>
      <c r="H46" s="2" t="s">
        <v>32</v>
      </c>
      <c r="I46" s="2">
        <v>48</v>
      </c>
      <c r="J46" s="2" t="s">
        <v>48</v>
      </c>
      <c r="K46" s="2"/>
      <c r="L46" s="2" t="s">
        <v>24</v>
      </c>
      <c r="M46" s="2">
        <v>4</v>
      </c>
      <c r="N46" s="2" t="s">
        <v>64</v>
      </c>
    </row>
    <row r="47" spans="1:14" x14ac:dyDescent="0.25">
      <c r="A47" s="2" t="s">
        <v>215</v>
      </c>
      <c r="B47" s="2" t="s">
        <v>216</v>
      </c>
      <c r="C47" s="2" t="s">
        <v>16</v>
      </c>
      <c r="D47" s="2" t="s">
        <v>84</v>
      </c>
      <c r="E47" s="2" t="s">
        <v>90</v>
      </c>
      <c r="F47" s="2" t="s">
        <v>113</v>
      </c>
      <c r="G47" s="2" t="s">
        <v>101</v>
      </c>
      <c r="H47" s="2" t="s">
        <v>32</v>
      </c>
      <c r="I47" s="2">
        <v>48</v>
      </c>
      <c r="J47" s="2" t="s">
        <v>22</v>
      </c>
      <c r="K47" s="2" t="s">
        <v>217</v>
      </c>
      <c r="L47" s="2" t="s">
        <v>24</v>
      </c>
      <c r="M47" s="2"/>
      <c r="N47" s="2" t="s">
        <v>118</v>
      </c>
    </row>
    <row r="48" spans="1:14" x14ac:dyDescent="0.25">
      <c r="A48" s="2" t="s">
        <v>218</v>
      </c>
      <c r="B48" s="2" t="s">
        <v>219</v>
      </c>
      <c r="C48" s="2" t="s">
        <v>28</v>
      </c>
      <c r="D48" s="2" t="s">
        <v>220</v>
      </c>
      <c r="E48" s="2" t="s">
        <v>85</v>
      </c>
      <c r="F48" s="2" t="s">
        <v>143</v>
      </c>
      <c r="G48" s="2" t="s">
        <v>70</v>
      </c>
      <c r="H48" s="2" t="s">
        <v>32</v>
      </c>
      <c r="I48" s="2">
        <v>48</v>
      </c>
      <c r="J48" s="2" t="s">
        <v>22</v>
      </c>
      <c r="K48" s="2" t="s">
        <v>221</v>
      </c>
      <c r="L48" s="2" t="s">
        <v>24</v>
      </c>
      <c r="M48" s="2">
        <v>5</v>
      </c>
      <c r="N48" s="2"/>
    </row>
    <row r="49" spans="1:14" x14ac:dyDescent="0.25">
      <c r="A49" s="2" t="s">
        <v>222</v>
      </c>
      <c r="B49" s="2" t="s">
        <v>223</v>
      </c>
      <c r="C49" s="2" t="s">
        <v>28</v>
      </c>
      <c r="D49" s="2" t="s">
        <v>37</v>
      </c>
      <c r="E49" s="2" t="s">
        <v>148</v>
      </c>
      <c r="F49" s="2" t="s">
        <v>55</v>
      </c>
      <c r="G49" s="2" t="s">
        <v>40</v>
      </c>
      <c r="H49" s="2" t="s">
        <v>80</v>
      </c>
      <c r="I49" s="2">
        <v>4</v>
      </c>
      <c r="J49" s="2" t="s">
        <v>106</v>
      </c>
      <c r="K49" s="2" t="s">
        <v>224</v>
      </c>
      <c r="L49" s="2" t="s">
        <v>24</v>
      </c>
      <c r="M49" s="2"/>
      <c r="N49" s="2" t="s">
        <v>25</v>
      </c>
    </row>
    <row r="50" spans="1:14" x14ac:dyDescent="0.25">
      <c r="A50" s="2" t="s">
        <v>225</v>
      </c>
      <c r="B50" s="2" t="s">
        <v>226</v>
      </c>
      <c r="C50" s="2" t="s">
        <v>53</v>
      </c>
      <c r="D50" s="2" t="s">
        <v>54</v>
      </c>
      <c r="E50" s="2" t="s">
        <v>38</v>
      </c>
      <c r="F50" s="2" t="s">
        <v>143</v>
      </c>
      <c r="G50" s="2" t="s">
        <v>91</v>
      </c>
      <c r="H50" s="2" t="s">
        <v>21</v>
      </c>
      <c r="I50" s="2">
        <v>24</v>
      </c>
      <c r="J50" s="2" t="s">
        <v>106</v>
      </c>
      <c r="K50" s="2" t="s">
        <v>227</v>
      </c>
      <c r="L50" s="2" t="s">
        <v>24</v>
      </c>
      <c r="M50" s="2">
        <v>3</v>
      </c>
      <c r="N50" s="2" t="s">
        <v>25</v>
      </c>
    </row>
    <row r="51" spans="1:14" x14ac:dyDescent="0.25">
      <c r="A51" s="2" t="s">
        <v>228</v>
      </c>
      <c r="B51" s="2" t="s">
        <v>229</v>
      </c>
      <c r="C51" s="2" t="s">
        <v>16</v>
      </c>
      <c r="D51" s="2" t="s">
        <v>17</v>
      </c>
      <c r="E51" s="2" t="s">
        <v>148</v>
      </c>
      <c r="F51" s="2" t="s">
        <v>143</v>
      </c>
      <c r="G51" s="2" t="s">
        <v>110</v>
      </c>
      <c r="H51" s="2" t="s">
        <v>32</v>
      </c>
      <c r="I51" s="2">
        <v>48</v>
      </c>
      <c r="J51" s="2" t="s">
        <v>155</v>
      </c>
      <c r="K51" s="2"/>
      <c r="L51" s="2" t="s">
        <v>24</v>
      </c>
      <c r="M51" s="2"/>
      <c r="N51" s="2" t="s">
        <v>58</v>
      </c>
    </row>
    <row r="52" spans="1:14" x14ac:dyDescent="0.25">
      <c r="A52" s="2" t="s">
        <v>230</v>
      </c>
      <c r="B52" s="2" t="s">
        <v>231</v>
      </c>
      <c r="C52" s="2" t="s">
        <v>28</v>
      </c>
      <c r="D52" s="2" t="s">
        <v>37</v>
      </c>
      <c r="E52" s="2" t="s">
        <v>46</v>
      </c>
      <c r="F52" s="2" t="s">
        <v>19</v>
      </c>
      <c r="G52" s="2" t="s">
        <v>91</v>
      </c>
      <c r="H52" s="2" t="s">
        <v>21</v>
      </c>
      <c r="I52" s="2">
        <v>24</v>
      </c>
      <c r="J52" s="2" t="s">
        <v>232</v>
      </c>
      <c r="K52" s="2"/>
      <c r="L52" s="2" t="s">
        <v>92</v>
      </c>
      <c r="M52" s="2"/>
      <c r="N52" s="2" t="s">
        <v>43</v>
      </c>
    </row>
    <row r="53" spans="1:14" x14ac:dyDescent="0.25">
      <c r="A53" s="2" t="s">
        <v>233</v>
      </c>
      <c r="B53" s="2" t="s">
        <v>234</v>
      </c>
      <c r="C53" s="2" t="s">
        <v>67</v>
      </c>
      <c r="D53" s="2" t="s">
        <v>95</v>
      </c>
      <c r="E53" s="2" t="s">
        <v>79</v>
      </c>
      <c r="F53" s="2" t="s">
        <v>96</v>
      </c>
      <c r="G53" s="2" t="s">
        <v>40</v>
      </c>
      <c r="H53" s="2" t="s">
        <v>32</v>
      </c>
      <c r="I53" s="2">
        <v>48</v>
      </c>
      <c r="J53" s="2" t="s">
        <v>22</v>
      </c>
      <c r="K53" s="2" t="s">
        <v>235</v>
      </c>
      <c r="L53" s="2" t="s">
        <v>24</v>
      </c>
      <c r="M53" s="2">
        <v>3</v>
      </c>
      <c r="N53" s="2" t="s">
        <v>58</v>
      </c>
    </row>
    <row r="54" spans="1:14" x14ac:dyDescent="0.25">
      <c r="A54" s="2" t="s">
        <v>236</v>
      </c>
      <c r="B54" s="2" t="s">
        <v>237</v>
      </c>
      <c r="C54" s="2" t="s">
        <v>67</v>
      </c>
      <c r="D54" s="2" t="s">
        <v>68</v>
      </c>
      <c r="E54" s="2" t="s">
        <v>148</v>
      </c>
      <c r="F54" s="2" t="s">
        <v>131</v>
      </c>
      <c r="G54" s="2" t="s">
        <v>126</v>
      </c>
      <c r="H54" s="2" t="s">
        <v>21</v>
      </c>
      <c r="I54" s="2">
        <v>24</v>
      </c>
      <c r="J54" s="2" t="s">
        <v>232</v>
      </c>
      <c r="K54" s="2"/>
      <c r="L54" s="2" t="s">
        <v>92</v>
      </c>
      <c r="M54" s="2"/>
      <c r="N54" s="2" t="s">
        <v>118</v>
      </c>
    </row>
    <row r="55" spans="1:14" x14ac:dyDescent="0.25">
      <c r="A55" s="2" t="s">
        <v>238</v>
      </c>
      <c r="B55" s="2" t="s">
        <v>239</v>
      </c>
      <c r="C55" s="2" t="s">
        <v>16</v>
      </c>
      <c r="D55" s="2" t="s">
        <v>240</v>
      </c>
      <c r="E55" s="2" t="s">
        <v>85</v>
      </c>
      <c r="F55" s="2" t="s">
        <v>131</v>
      </c>
      <c r="G55" s="2" t="s">
        <v>135</v>
      </c>
      <c r="H55" s="2" t="s">
        <v>21</v>
      </c>
      <c r="I55" s="2">
        <v>24</v>
      </c>
      <c r="J55" s="2" t="s">
        <v>41</v>
      </c>
      <c r="K55" s="2" t="s">
        <v>241</v>
      </c>
      <c r="L55" s="2" t="s">
        <v>24</v>
      </c>
      <c r="M55" s="2">
        <v>5</v>
      </c>
      <c r="N55" s="2" t="s">
        <v>128</v>
      </c>
    </row>
    <row r="56" spans="1:14" x14ac:dyDescent="0.25">
      <c r="A56" s="2" t="s">
        <v>242</v>
      </c>
      <c r="B56" s="2" t="s">
        <v>243</v>
      </c>
      <c r="C56" s="2" t="s">
        <v>28</v>
      </c>
      <c r="D56" s="2" t="s">
        <v>37</v>
      </c>
      <c r="E56" s="2" t="s">
        <v>18</v>
      </c>
      <c r="F56" s="2" t="s">
        <v>47</v>
      </c>
      <c r="G56" s="2" t="s">
        <v>211</v>
      </c>
      <c r="H56" s="2" t="s">
        <v>32</v>
      </c>
      <c r="I56" s="2">
        <v>48</v>
      </c>
      <c r="J56" s="2" t="s">
        <v>106</v>
      </c>
      <c r="K56" s="2" t="s">
        <v>244</v>
      </c>
      <c r="L56" s="2" t="s">
        <v>92</v>
      </c>
      <c r="M56" s="2">
        <v>5</v>
      </c>
      <c r="N56" s="2" t="s">
        <v>25</v>
      </c>
    </row>
    <row r="57" spans="1:14" x14ac:dyDescent="0.25">
      <c r="A57" s="2" t="s">
        <v>245</v>
      </c>
      <c r="B57" s="2" t="s">
        <v>246</v>
      </c>
      <c r="C57" s="2" t="s">
        <v>28</v>
      </c>
      <c r="D57" s="2" t="s">
        <v>100</v>
      </c>
      <c r="E57" s="2" t="s">
        <v>18</v>
      </c>
      <c r="F57" s="2" t="s">
        <v>30</v>
      </c>
      <c r="G57" s="2" t="s">
        <v>158</v>
      </c>
      <c r="H57" s="2" t="s">
        <v>21</v>
      </c>
      <c r="I57" s="2">
        <v>24</v>
      </c>
      <c r="J57" s="2" t="s">
        <v>75</v>
      </c>
      <c r="K57" s="2" t="s">
        <v>247</v>
      </c>
      <c r="L57" s="2" t="s">
        <v>24</v>
      </c>
      <c r="M57" s="2">
        <v>3</v>
      </c>
      <c r="N57" s="2" t="s">
        <v>25</v>
      </c>
    </row>
    <row r="58" spans="1:14" x14ac:dyDescent="0.25">
      <c r="A58" s="2" t="s">
        <v>248</v>
      </c>
      <c r="B58" s="2" t="s">
        <v>249</v>
      </c>
      <c r="C58" s="2" t="s">
        <v>53</v>
      </c>
      <c r="D58" s="2" t="s">
        <v>54</v>
      </c>
      <c r="E58" s="2" t="s">
        <v>85</v>
      </c>
      <c r="F58" s="2" t="s">
        <v>131</v>
      </c>
      <c r="G58" s="2" t="s">
        <v>144</v>
      </c>
      <c r="H58" s="2" t="s">
        <v>21</v>
      </c>
      <c r="I58" s="2">
        <v>24</v>
      </c>
      <c r="J58" s="2" t="s">
        <v>75</v>
      </c>
      <c r="K58" s="2" t="s">
        <v>250</v>
      </c>
      <c r="L58" s="2" t="s">
        <v>92</v>
      </c>
      <c r="M58" s="2"/>
      <c r="N58" s="2" t="s">
        <v>64</v>
      </c>
    </row>
    <row r="59" spans="1:14" x14ac:dyDescent="0.25">
      <c r="A59" s="2" t="s">
        <v>251</v>
      </c>
      <c r="B59" s="2" t="s">
        <v>252</v>
      </c>
      <c r="C59" s="2" t="s">
        <v>16</v>
      </c>
      <c r="D59" s="2" t="s">
        <v>84</v>
      </c>
      <c r="E59" s="2" t="s">
        <v>85</v>
      </c>
      <c r="F59" s="2" t="s">
        <v>39</v>
      </c>
      <c r="G59" s="2" t="s">
        <v>139</v>
      </c>
      <c r="H59" s="2" t="s">
        <v>21</v>
      </c>
      <c r="I59" s="2">
        <v>24</v>
      </c>
      <c r="J59" s="2" t="s">
        <v>41</v>
      </c>
      <c r="K59" s="2" t="s">
        <v>253</v>
      </c>
      <c r="L59" s="2" t="s">
        <v>24</v>
      </c>
      <c r="M59" s="2">
        <v>4</v>
      </c>
      <c r="N59" s="2" t="s">
        <v>118</v>
      </c>
    </row>
    <row r="60" spans="1:14" x14ac:dyDescent="0.25">
      <c r="A60" s="2" t="s">
        <v>254</v>
      </c>
      <c r="B60" s="2" t="s">
        <v>255</v>
      </c>
      <c r="C60" s="2" t="s">
        <v>28</v>
      </c>
      <c r="D60" s="2" t="s">
        <v>37</v>
      </c>
      <c r="E60" s="2" t="s">
        <v>85</v>
      </c>
      <c r="F60" s="2" t="s">
        <v>62</v>
      </c>
      <c r="G60" s="2" t="s">
        <v>105</v>
      </c>
      <c r="H60" s="2" t="s">
        <v>74</v>
      </c>
      <c r="I60" s="2">
        <v>8</v>
      </c>
      <c r="J60" s="2" t="s">
        <v>41</v>
      </c>
      <c r="K60" s="2" t="s">
        <v>256</v>
      </c>
      <c r="L60" s="2" t="s">
        <v>24</v>
      </c>
      <c r="M60" s="2">
        <v>3</v>
      </c>
      <c r="N60" s="2" t="s">
        <v>58</v>
      </c>
    </row>
    <row r="61" spans="1:14" x14ac:dyDescent="0.25">
      <c r="A61" s="2" t="s">
        <v>257</v>
      </c>
      <c r="B61" s="2" t="s">
        <v>258</v>
      </c>
      <c r="C61" s="2" t="s">
        <v>53</v>
      </c>
      <c r="D61" s="2" t="s">
        <v>54</v>
      </c>
      <c r="E61" s="2" t="s">
        <v>79</v>
      </c>
      <c r="F61" s="2" t="s">
        <v>39</v>
      </c>
      <c r="G61" s="2" t="s">
        <v>97</v>
      </c>
      <c r="H61" s="2" t="s">
        <v>32</v>
      </c>
      <c r="I61" s="2">
        <v>48</v>
      </c>
      <c r="J61" s="2" t="s">
        <v>41</v>
      </c>
      <c r="K61" s="2" t="s">
        <v>259</v>
      </c>
      <c r="L61" s="2" t="s">
        <v>24</v>
      </c>
      <c r="M61" s="2">
        <v>3</v>
      </c>
      <c r="N61" s="2"/>
    </row>
    <row r="62" spans="1:14" x14ac:dyDescent="0.25">
      <c r="A62" s="2" t="s">
        <v>260</v>
      </c>
      <c r="B62" s="2" t="s">
        <v>261</v>
      </c>
      <c r="C62" s="2" t="s">
        <v>28</v>
      </c>
      <c r="D62" s="2" t="s">
        <v>37</v>
      </c>
      <c r="E62" s="2" t="s">
        <v>46</v>
      </c>
      <c r="F62" s="2" t="s">
        <v>143</v>
      </c>
      <c r="G62" s="2" t="s">
        <v>20</v>
      </c>
      <c r="H62" s="2" t="s">
        <v>21</v>
      </c>
      <c r="I62" s="2">
        <v>24</v>
      </c>
      <c r="J62" s="2" t="s">
        <v>106</v>
      </c>
      <c r="K62" s="2" t="s">
        <v>262</v>
      </c>
      <c r="L62" s="2" t="s">
        <v>24</v>
      </c>
      <c r="M62" s="2"/>
      <c r="N62" s="2" t="s">
        <v>25</v>
      </c>
    </row>
    <row r="63" spans="1:14" x14ac:dyDescent="0.25">
      <c r="A63" s="2" t="s">
        <v>263</v>
      </c>
      <c r="B63" s="2" t="s">
        <v>264</v>
      </c>
      <c r="C63" s="2" t="s">
        <v>16</v>
      </c>
      <c r="D63" s="2" t="s">
        <v>84</v>
      </c>
      <c r="E63" s="2" t="s">
        <v>85</v>
      </c>
      <c r="F63" s="2" t="s">
        <v>39</v>
      </c>
      <c r="G63" s="2" t="s">
        <v>70</v>
      </c>
      <c r="H63" s="2" t="s">
        <v>21</v>
      </c>
      <c r="I63" s="2">
        <v>24</v>
      </c>
      <c r="J63" s="2" t="s">
        <v>145</v>
      </c>
      <c r="K63" s="2"/>
      <c r="L63" s="2" t="s">
        <v>24</v>
      </c>
      <c r="M63" s="2"/>
      <c r="N63" s="2" t="s">
        <v>118</v>
      </c>
    </row>
    <row r="64" spans="1:14" x14ac:dyDescent="0.25">
      <c r="A64" s="2" t="s">
        <v>265</v>
      </c>
      <c r="B64" s="2" t="s">
        <v>266</v>
      </c>
      <c r="C64" s="2" t="s">
        <v>28</v>
      </c>
      <c r="D64" s="2" t="s">
        <v>37</v>
      </c>
      <c r="E64" s="2" t="s">
        <v>79</v>
      </c>
      <c r="F64" s="2" t="s">
        <v>30</v>
      </c>
      <c r="G64" s="2" t="s">
        <v>105</v>
      </c>
      <c r="H64" s="2" t="s">
        <v>21</v>
      </c>
      <c r="I64" s="2">
        <v>24</v>
      </c>
      <c r="J64" s="2" t="s">
        <v>106</v>
      </c>
      <c r="K64" s="2" t="s">
        <v>267</v>
      </c>
      <c r="L64" s="2" t="s">
        <v>24</v>
      </c>
      <c r="M64" s="2">
        <v>1</v>
      </c>
      <c r="N64" s="2"/>
    </row>
    <row r="65" spans="1:14" x14ac:dyDescent="0.25">
      <c r="A65" s="2" t="s">
        <v>268</v>
      </c>
      <c r="B65" s="2" t="s">
        <v>269</v>
      </c>
      <c r="C65" s="2" t="s">
        <v>67</v>
      </c>
      <c r="D65" s="2" t="s">
        <v>68</v>
      </c>
      <c r="E65" s="2" t="s">
        <v>79</v>
      </c>
      <c r="F65" s="2" t="s">
        <v>113</v>
      </c>
      <c r="G65" s="2" t="s">
        <v>139</v>
      </c>
      <c r="H65" s="2" t="s">
        <v>74</v>
      </c>
      <c r="I65" s="2">
        <v>8</v>
      </c>
      <c r="J65" s="2" t="s">
        <v>41</v>
      </c>
      <c r="K65" s="2" t="s">
        <v>270</v>
      </c>
      <c r="L65" s="2" t="s">
        <v>24</v>
      </c>
      <c r="M65" s="2"/>
      <c r="N65" s="2" t="s">
        <v>34</v>
      </c>
    </row>
    <row r="66" spans="1:14" x14ac:dyDescent="0.25">
      <c r="A66" s="2" t="s">
        <v>271</v>
      </c>
      <c r="B66" s="2" t="s">
        <v>272</v>
      </c>
      <c r="C66" s="2" t="s">
        <v>16</v>
      </c>
      <c r="D66" s="2" t="s">
        <v>84</v>
      </c>
      <c r="E66" s="2" t="s">
        <v>90</v>
      </c>
      <c r="F66" s="2" t="s">
        <v>69</v>
      </c>
      <c r="G66" s="2" t="s">
        <v>97</v>
      </c>
      <c r="H66" s="2" t="s">
        <v>74</v>
      </c>
      <c r="I66" s="2">
        <v>8</v>
      </c>
      <c r="J66" s="2" t="s">
        <v>41</v>
      </c>
      <c r="K66" s="2" t="s">
        <v>273</v>
      </c>
      <c r="L66" s="2" t="s">
        <v>24</v>
      </c>
      <c r="M66" s="2">
        <v>4</v>
      </c>
      <c r="N66" s="2" t="s">
        <v>128</v>
      </c>
    </row>
    <row r="67" spans="1:14" x14ac:dyDescent="0.25">
      <c r="A67" s="2" t="s">
        <v>274</v>
      </c>
      <c r="B67" s="2" t="s">
        <v>275</v>
      </c>
      <c r="C67" s="2" t="s">
        <v>16</v>
      </c>
      <c r="D67" s="2" t="s">
        <v>240</v>
      </c>
      <c r="E67" s="2" t="s">
        <v>90</v>
      </c>
      <c r="F67" s="2" t="s">
        <v>19</v>
      </c>
      <c r="G67" s="2" t="s">
        <v>20</v>
      </c>
      <c r="H67" s="2" t="s">
        <v>32</v>
      </c>
      <c r="I67" s="2">
        <v>48</v>
      </c>
      <c r="J67" s="2" t="s">
        <v>187</v>
      </c>
      <c r="K67" s="2" t="s">
        <v>276</v>
      </c>
      <c r="L67" s="2" t="s">
        <v>24</v>
      </c>
      <c r="M67" s="2"/>
      <c r="N67" s="2" t="s">
        <v>34</v>
      </c>
    </row>
    <row r="68" spans="1:14" x14ac:dyDescent="0.25">
      <c r="A68" s="2" t="s">
        <v>277</v>
      </c>
      <c r="B68" s="2" t="s">
        <v>278</v>
      </c>
      <c r="C68" s="2" t="s">
        <v>53</v>
      </c>
      <c r="D68" s="2" t="s">
        <v>61</v>
      </c>
      <c r="E68" s="2" t="s">
        <v>90</v>
      </c>
      <c r="F68" s="2" t="s">
        <v>19</v>
      </c>
      <c r="G68" s="2" t="s">
        <v>31</v>
      </c>
      <c r="H68" s="2" t="s">
        <v>21</v>
      </c>
      <c r="I68" s="2">
        <v>24</v>
      </c>
      <c r="J68" s="2" t="s">
        <v>48</v>
      </c>
      <c r="K68" s="2" t="s">
        <v>279</v>
      </c>
      <c r="L68" s="2" t="s">
        <v>24</v>
      </c>
      <c r="M68" s="2">
        <v>2</v>
      </c>
      <c r="N68" s="2"/>
    </row>
    <row r="69" spans="1:14" x14ac:dyDescent="0.25">
      <c r="A69" s="2" t="s">
        <v>280</v>
      </c>
      <c r="B69" s="2" t="s">
        <v>281</v>
      </c>
      <c r="C69" s="2" t="s">
        <v>28</v>
      </c>
      <c r="D69" s="2" t="s">
        <v>37</v>
      </c>
      <c r="E69" s="2" t="s">
        <v>90</v>
      </c>
      <c r="F69" s="2" t="s">
        <v>96</v>
      </c>
      <c r="G69" s="2" t="s">
        <v>101</v>
      </c>
      <c r="H69" s="2" t="s">
        <v>74</v>
      </c>
      <c r="I69" s="2">
        <v>8</v>
      </c>
      <c r="J69" s="2" t="s">
        <v>149</v>
      </c>
      <c r="K69" s="2"/>
      <c r="L69" s="2" t="s">
        <v>24</v>
      </c>
      <c r="M69" s="2"/>
      <c r="N69" s="2" t="s">
        <v>118</v>
      </c>
    </row>
    <row r="70" spans="1:14" x14ac:dyDescent="0.25">
      <c r="A70" s="2" t="s">
        <v>282</v>
      </c>
      <c r="B70" s="2" t="s">
        <v>283</v>
      </c>
      <c r="C70" s="2" t="s">
        <v>67</v>
      </c>
      <c r="D70" s="2" t="s">
        <v>68</v>
      </c>
      <c r="E70" s="2" t="s">
        <v>148</v>
      </c>
      <c r="F70" s="2" t="s">
        <v>30</v>
      </c>
      <c r="G70" s="2" t="s">
        <v>144</v>
      </c>
      <c r="H70" s="2" t="s">
        <v>21</v>
      </c>
      <c r="I70" s="2">
        <v>24</v>
      </c>
      <c r="J70" s="2" t="s">
        <v>106</v>
      </c>
      <c r="K70" s="2" t="s">
        <v>284</v>
      </c>
      <c r="L70" s="2" t="s">
        <v>24</v>
      </c>
      <c r="M70" s="2">
        <v>4</v>
      </c>
      <c r="N70" s="2" t="s">
        <v>34</v>
      </c>
    </row>
    <row r="71" spans="1:14" x14ac:dyDescent="0.25">
      <c r="A71" s="2" t="s">
        <v>285</v>
      </c>
      <c r="B71" s="2" t="s">
        <v>286</v>
      </c>
      <c r="C71" s="2" t="s">
        <v>67</v>
      </c>
      <c r="D71" s="2" t="s">
        <v>95</v>
      </c>
      <c r="E71" s="2" t="s">
        <v>90</v>
      </c>
      <c r="F71" s="2" t="s">
        <v>62</v>
      </c>
      <c r="G71" s="2" t="s">
        <v>101</v>
      </c>
      <c r="H71" s="2" t="s">
        <v>80</v>
      </c>
      <c r="I71" s="2">
        <v>4</v>
      </c>
      <c r="J71" s="2" t="s">
        <v>287</v>
      </c>
      <c r="K71" s="2"/>
      <c r="L71" s="2" t="s">
        <v>24</v>
      </c>
      <c r="M71" s="2"/>
      <c r="N71" s="2" t="s">
        <v>58</v>
      </c>
    </row>
    <row r="72" spans="1:14" x14ac:dyDescent="0.25">
      <c r="A72" s="2" t="s">
        <v>288</v>
      </c>
      <c r="B72" s="2" t="s">
        <v>289</v>
      </c>
      <c r="C72" s="2" t="s">
        <v>53</v>
      </c>
      <c r="D72" s="2" t="s">
        <v>54</v>
      </c>
      <c r="E72" s="2" t="s">
        <v>85</v>
      </c>
      <c r="F72" s="2" t="s">
        <v>143</v>
      </c>
      <c r="G72" s="2" t="s">
        <v>144</v>
      </c>
      <c r="H72" s="2" t="s">
        <v>32</v>
      </c>
      <c r="I72" s="2">
        <v>48</v>
      </c>
      <c r="J72" s="2" t="s">
        <v>11</v>
      </c>
      <c r="K72" s="2"/>
      <c r="L72" s="2" t="s">
        <v>92</v>
      </c>
      <c r="M72" s="2"/>
      <c r="N72" s="2"/>
    </row>
    <row r="73" spans="1:14" x14ac:dyDescent="0.25">
      <c r="A73" s="2" t="s">
        <v>290</v>
      </c>
      <c r="B73" s="2" t="s">
        <v>291</v>
      </c>
      <c r="C73" s="2" t="s">
        <v>53</v>
      </c>
      <c r="D73" s="2" t="s">
        <v>54</v>
      </c>
      <c r="E73" s="2" t="s">
        <v>18</v>
      </c>
      <c r="F73" s="2" t="s">
        <v>62</v>
      </c>
      <c r="G73" s="2" t="s">
        <v>97</v>
      </c>
      <c r="H73" s="2" t="s">
        <v>21</v>
      </c>
      <c r="I73" s="2">
        <v>24</v>
      </c>
      <c r="J73" s="2" t="s">
        <v>22</v>
      </c>
      <c r="K73" s="2" t="s">
        <v>292</v>
      </c>
      <c r="L73" s="2" t="s">
        <v>24</v>
      </c>
      <c r="M73" s="2">
        <v>2</v>
      </c>
      <c r="N73" s="2" t="s">
        <v>64</v>
      </c>
    </row>
    <row r="74" spans="1:14" x14ac:dyDescent="0.25">
      <c r="A74" s="2" t="s">
        <v>293</v>
      </c>
      <c r="B74" s="2" t="s">
        <v>294</v>
      </c>
      <c r="C74" s="2" t="s">
        <v>67</v>
      </c>
      <c r="D74" s="2" t="s">
        <v>95</v>
      </c>
      <c r="E74" s="2" t="s">
        <v>38</v>
      </c>
      <c r="F74" s="2" t="s">
        <v>30</v>
      </c>
      <c r="G74" s="2" t="s">
        <v>105</v>
      </c>
      <c r="H74" s="2" t="s">
        <v>80</v>
      </c>
      <c r="I74" s="2">
        <v>4</v>
      </c>
      <c r="J74" s="2" t="s">
        <v>22</v>
      </c>
      <c r="K74" s="2"/>
      <c r="L74" s="2" t="s">
        <v>24</v>
      </c>
      <c r="M74" s="2">
        <v>1</v>
      </c>
      <c r="N74" s="2" t="s">
        <v>34</v>
      </c>
    </row>
    <row r="75" spans="1:14" x14ac:dyDescent="0.25">
      <c r="A75" s="2" t="s">
        <v>295</v>
      </c>
      <c r="B75" s="2" t="s">
        <v>296</v>
      </c>
      <c r="C75" s="2" t="s">
        <v>28</v>
      </c>
      <c r="D75" s="2" t="s">
        <v>100</v>
      </c>
      <c r="E75" s="2" t="s">
        <v>79</v>
      </c>
      <c r="F75" s="2" t="s">
        <v>62</v>
      </c>
      <c r="G75" s="2" t="s">
        <v>101</v>
      </c>
      <c r="H75" s="2" t="s">
        <v>32</v>
      </c>
      <c r="I75" s="2">
        <v>48</v>
      </c>
      <c r="J75" s="2" t="s">
        <v>106</v>
      </c>
      <c r="K75" s="2" t="s">
        <v>297</v>
      </c>
      <c r="L75" s="2" t="s">
        <v>24</v>
      </c>
      <c r="M75" s="2"/>
      <c r="N75" s="2" t="s">
        <v>34</v>
      </c>
    </row>
    <row r="76" spans="1:14" x14ac:dyDescent="0.25">
      <c r="A76" s="2" t="s">
        <v>298</v>
      </c>
      <c r="B76" s="2" t="s">
        <v>299</v>
      </c>
      <c r="C76" s="2" t="s">
        <v>16</v>
      </c>
      <c r="D76" s="2" t="s">
        <v>17</v>
      </c>
      <c r="E76" s="2" t="s">
        <v>46</v>
      </c>
      <c r="F76" s="2" t="s">
        <v>131</v>
      </c>
      <c r="G76" s="2" t="s">
        <v>40</v>
      </c>
      <c r="H76" s="2" t="s">
        <v>21</v>
      </c>
      <c r="I76" s="2">
        <v>24</v>
      </c>
      <c r="J76" s="2" t="s">
        <v>187</v>
      </c>
      <c r="K76" s="2" t="s">
        <v>300</v>
      </c>
      <c r="L76" s="2" t="s">
        <v>92</v>
      </c>
      <c r="M76" s="2"/>
      <c r="N76" s="2" t="s">
        <v>118</v>
      </c>
    </row>
    <row r="77" spans="1:14" x14ac:dyDescent="0.25">
      <c r="A77" s="2" t="s">
        <v>301</v>
      </c>
      <c r="B77" s="2" t="s">
        <v>302</v>
      </c>
      <c r="C77" s="2" t="s">
        <v>67</v>
      </c>
      <c r="D77" s="2" t="s">
        <v>95</v>
      </c>
      <c r="E77" s="2" t="s">
        <v>90</v>
      </c>
      <c r="F77" s="2" t="s">
        <v>131</v>
      </c>
      <c r="G77" s="2" t="s">
        <v>179</v>
      </c>
      <c r="H77" s="2" t="s">
        <v>74</v>
      </c>
      <c r="I77" s="2">
        <v>8</v>
      </c>
      <c r="J77" s="2" t="s">
        <v>22</v>
      </c>
      <c r="K77" s="2" t="s">
        <v>303</v>
      </c>
      <c r="L77" s="2" t="s">
        <v>24</v>
      </c>
      <c r="M77" s="2"/>
      <c r="N77" s="2" t="s">
        <v>25</v>
      </c>
    </row>
    <row r="78" spans="1:14" x14ac:dyDescent="0.25">
      <c r="A78" s="2" t="s">
        <v>304</v>
      </c>
      <c r="B78" s="2" t="s">
        <v>305</v>
      </c>
      <c r="C78" s="2" t="s">
        <v>53</v>
      </c>
      <c r="D78" s="2" t="s">
        <v>61</v>
      </c>
      <c r="E78" s="2" t="s">
        <v>79</v>
      </c>
      <c r="F78" s="2" t="s">
        <v>125</v>
      </c>
      <c r="G78" s="2" t="s">
        <v>105</v>
      </c>
      <c r="H78" s="2" t="s">
        <v>32</v>
      </c>
      <c r="I78" s="2">
        <v>48</v>
      </c>
      <c r="J78" s="2" t="s">
        <v>41</v>
      </c>
      <c r="K78" s="2" t="s">
        <v>306</v>
      </c>
      <c r="L78" s="2" t="s">
        <v>24</v>
      </c>
      <c r="M78" s="2">
        <v>5</v>
      </c>
      <c r="N78" s="2" t="s">
        <v>58</v>
      </c>
    </row>
    <row r="79" spans="1:14" x14ac:dyDescent="0.25">
      <c r="A79" s="2" t="s">
        <v>307</v>
      </c>
      <c r="B79" s="2" t="s">
        <v>308</v>
      </c>
      <c r="C79" s="2" t="s">
        <v>67</v>
      </c>
      <c r="D79" s="2" t="s">
        <v>68</v>
      </c>
      <c r="E79" s="2" t="s">
        <v>46</v>
      </c>
      <c r="F79" s="2" t="s">
        <v>30</v>
      </c>
      <c r="G79" s="2" t="s">
        <v>91</v>
      </c>
      <c r="H79" s="2" t="s">
        <v>74</v>
      </c>
      <c r="I79" s="2">
        <v>8</v>
      </c>
      <c r="J79" s="2" t="s">
        <v>48</v>
      </c>
      <c r="K79" s="2" t="s">
        <v>309</v>
      </c>
      <c r="L79" s="2" t="s">
        <v>24</v>
      </c>
      <c r="M79" s="2">
        <v>4</v>
      </c>
      <c r="N79" s="2" t="s">
        <v>34</v>
      </c>
    </row>
    <row r="80" spans="1:14" x14ac:dyDescent="0.25">
      <c r="A80" s="2" t="s">
        <v>310</v>
      </c>
      <c r="B80" s="2" t="s">
        <v>311</v>
      </c>
      <c r="C80" s="2" t="s">
        <v>53</v>
      </c>
      <c r="D80" s="2" t="s">
        <v>54</v>
      </c>
      <c r="E80" s="2" t="s">
        <v>38</v>
      </c>
      <c r="F80" s="2" t="s">
        <v>69</v>
      </c>
      <c r="G80" s="2" t="s">
        <v>101</v>
      </c>
      <c r="H80" s="2" t="s">
        <v>32</v>
      </c>
      <c r="I80" s="2">
        <v>48</v>
      </c>
      <c r="J80" s="2" t="s">
        <v>11</v>
      </c>
      <c r="K80" s="2"/>
      <c r="L80" s="2" t="s">
        <v>92</v>
      </c>
      <c r="M80" s="2"/>
      <c r="N80" s="2"/>
    </row>
    <row r="81" spans="1:14" x14ac:dyDescent="0.25">
      <c r="A81" s="2" t="s">
        <v>312</v>
      </c>
      <c r="B81" s="2" t="s">
        <v>313</v>
      </c>
      <c r="C81" s="2" t="s">
        <v>16</v>
      </c>
      <c r="D81" s="2" t="s">
        <v>17</v>
      </c>
      <c r="E81" s="2" t="s">
        <v>38</v>
      </c>
      <c r="F81" s="2" t="s">
        <v>39</v>
      </c>
      <c r="G81" s="2" t="s">
        <v>20</v>
      </c>
      <c r="H81" s="2" t="s">
        <v>21</v>
      </c>
      <c r="I81" s="2">
        <v>24</v>
      </c>
      <c r="J81" s="2" t="s">
        <v>41</v>
      </c>
      <c r="K81" s="2" t="s">
        <v>314</v>
      </c>
      <c r="L81" s="2" t="s">
        <v>24</v>
      </c>
      <c r="M81" s="2"/>
      <c r="N81" s="2" t="s">
        <v>25</v>
      </c>
    </row>
    <row r="82" spans="1:14" x14ac:dyDescent="0.25">
      <c r="A82" s="2" t="s">
        <v>315</v>
      </c>
      <c r="B82" s="2" t="s">
        <v>316</v>
      </c>
      <c r="C82" s="2" t="s">
        <v>28</v>
      </c>
      <c r="D82" s="2" t="s">
        <v>37</v>
      </c>
      <c r="E82" s="2" t="s">
        <v>90</v>
      </c>
      <c r="F82" s="2" t="s">
        <v>125</v>
      </c>
      <c r="G82" s="2" t="s">
        <v>121</v>
      </c>
      <c r="H82" s="2" t="s">
        <v>32</v>
      </c>
      <c r="I82" s="2">
        <v>48</v>
      </c>
      <c r="J82" s="2" t="s">
        <v>191</v>
      </c>
      <c r="K82" s="2" t="s">
        <v>317</v>
      </c>
      <c r="L82" s="2" t="s">
        <v>24</v>
      </c>
      <c r="M82" s="2"/>
      <c r="N82" s="2" t="s">
        <v>34</v>
      </c>
    </row>
    <row r="83" spans="1:14" x14ac:dyDescent="0.25">
      <c r="A83" s="2" t="s">
        <v>318</v>
      </c>
      <c r="B83" s="2" t="s">
        <v>319</v>
      </c>
      <c r="C83" s="2" t="s">
        <v>16</v>
      </c>
      <c r="D83" s="2" t="s">
        <v>84</v>
      </c>
      <c r="E83" s="2" t="s">
        <v>46</v>
      </c>
      <c r="F83" s="2" t="s">
        <v>125</v>
      </c>
      <c r="G83" s="2" t="s">
        <v>158</v>
      </c>
      <c r="H83" s="2" t="s">
        <v>32</v>
      </c>
      <c r="I83" s="2">
        <v>48</v>
      </c>
      <c r="J83" s="2" t="s">
        <v>187</v>
      </c>
      <c r="K83" s="2" t="s">
        <v>320</v>
      </c>
      <c r="L83" s="2" t="s">
        <v>24</v>
      </c>
      <c r="M83" s="2"/>
      <c r="N83" s="2" t="s">
        <v>128</v>
      </c>
    </row>
    <row r="84" spans="1:14" x14ac:dyDescent="0.25">
      <c r="A84" s="2" t="s">
        <v>321</v>
      </c>
      <c r="B84" s="2" t="s">
        <v>322</v>
      </c>
      <c r="C84" s="2" t="s">
        <v>67</v>
      </c>
      <c r="D84" s="2" t="s">
        <v>68</v>
      </c>
      <c r="E84" s="2" t="s">
        <v>18</v>
      </c>
      <c r="F84" s="2" t="s">
        <v>113</v>
      </c>
      <c r="G84" s="2" t="s">
        <v>20</v>
      </c>
      <c r="H84" s="2" t="s">
        <v>32</v>
      </c>
      <c r="I84" s="2">
        <v>48</v>
      </c>
      <c r="J84" s="2" t="s">
        <v>155</v>
      </c>
      <c r="K84" s="2"/>
      <c r="L84" s="2" t="s">
        <v>24</v>
      </c>
      <c r="M84" s="2"/>
      <c r="N84" s="2"/>
    </row>
    <row r="85" spans="1:14" x14ac:dyDescent="0.25">
      <c r="A85" s="2" t="s">
        <v>323</v>
      </c>
      <c r="B85" s="2" t="s">
        <v>324</v>
      </c>
      <c r="C85" s="2" t="s">
        <v>53</v>
      </c>
      <c r="D85" s="2" t="s">
        <v>61</v>
      </c>
      <c r="E85" s="2" t="s">
        <v>38</v>
      </c>
      <c r="F85" s="2" t="s">
        <v>96</v>
      </c>
      <c r="G85" s="2" t="s">
        <v>183</v>
      </c>
      <c r="H85" s="2" t="s">
        <v>21</v>
      </c>
      <c r="I85" s="2">
        <v>24</v>
      </c>
      <c r="J85" s="2" t="s">
        <v>191</v>
      </c>
      <c r="K85" s="2" t="s">
        <v>325</v>
      </c>
      <c r="L85" s="2" t="s">
        <v>24</v>
      </c>
      <c r="M85" s="2"/>
      <c r="N85" s="2"/>
    </row>
    <row r="86" spans="1:14" x14ac:dyDescent="0.25">
      <c r="A86" s="2" t="s">
        <v>326</v>
      </c>
      <c r="B86" s="2" t="s">
        <v>327</v>
      </c>
      <c r="C86" s="2" t="s">
        <v>53</v>
      </c>
      <c r="D86" s="2" t="s">
        <v>162</v>
      </c>
      <c r="E86" s="2" t="s">
        <v>85</v>
      </c>
      <c r="F86" s="2" t="s">
        <v>96</v>
      </c>
      <c r="G86" s="2" t="s">
        <v>144</v>
      </c>
      <c r="H86" s="2" t="s">
        <v>32</v>
      </c>
      <c r="I86" s="2">
        <v>48</v>
      </c>
      <c r="J86" s="2" t="s">
        <v>75</v>
      </c>
      <c r="K86" s="2" t="s">
        <v>328</v>
      </c>
      <c r="L86" s="2" t="s">
        <v>24</v>
      </c>
      <c r="M86" s="2">
        <v>4</v>
      </c>
      <c r="N86" s="2" t="s">
        <v>128</v>
      </c>
    </row>
    <row r="87" spans="1:14" x14ac:dyDescent="0.25">
      <c r="A87" s="2" t="s">
        <v>329</v>
      </c>
      <c r="B87" s="2" t="s">
        <v>330</v>
      </c>
      <c r="C87" s="2" t="s">
        <v>16</v>
      </c>
      <c r="D87" s="2" t="s">
        <v>84</v>
      </c>
      <c r="E87" s="2" t="s">
        <v>79</v>
      </c>
      <c r="F87" s="2" t="s">
        <v>69</v>
      </c>
      <c r="G87" s="2" t="s">
        <v>70</v>
      </c>
      <c r="H87" s="2" t="s">
        <v>80</v>
      </c>
      <c r="I87" s="2">
        <v>4</v>
      </c>
      <c r="J87" s="2" t="s">
        <v>106</v>
      </c>
      <c r="K87" s="2" t="s">
        <v>331</v>
      </c>
      <c r="L87" s="2" t="s">
        <v>24</v>
      </c>
      <c r="M87" s="2">
        <v>1</v>
      </c>
      <c r="N87" s="2" t="s">
        <v>50</v>
      </c>
    </row>
    <row r="88" spans="1:14" x14ac:dyDescent="0.25">
      <c r="A88" s="2" t="s">
        <v>332</v>
      </c>
      <c r="B88" s="2" t="s">
        <v>333</v>
      </c>
      <c r="C88" s="2" t="s">
        <v>16</v>
      </c>
      <c r="D88" s="2" t="s">
        <v>17</v>
      </c>
      <c r="E88" s="2" t="s">
        <v>79</v>
      </c>
      <c r="F88" s="2" t="s">
        <v>113</v>
      </c>
      <c r="G88" s="2" t="s">
        <v>70</v>
      </c>
      <c r="H88" s="2" t="s">
        <v>80</v>
      </c>
      <c r="I88" s="2">
        <v>4</v>
      </c>
      <c r="J88" s="2" t="s">
        <v>287</v>
      </c>
      <c r="K88" s="2"/>
      <c r="L88" s="2" t="s">
        <v>24</v>
      </c>
      <c r="M88" s="2"/>
      <c r="N88" s="2" t="s">
        <v>118</v>
      </c>
    </row>
    <row r="89" spans="1:14" x14ac:dyDescent="0.25">
      <c r="A89" s="2" t="s">
        <v>334</v>
      </c>
      <c r="B89" s="2" t="s">
        <v>335</v>
      </c>
      <c r="C89" s="2" t="s">
        <v>28</v>
      </c>
      <c r="D89" s="2" t="s">
        <v>100</v>
      </c>
      <c r="E89" s="2" t="s">
        <v>79</v>
      </c>
      <c r="F89" s="2" t="s">
        <v>30</v>
      </c>
      <c r="G89" s="2" t="s">
        <v>121</v>
      </c>
      <c r="H89" s="2" t="s">
        <v>21</v>
      </c>
      <c r="I89" s="2">
        <v>24</v>
      </c>
      <c r="J89" s="2" t="s">
        <v>145</v>
      </c>
      <c r="K89" s="2"/>
      <c r="L89" s="2" t="s">
        <v>24</v>
      </c>
      <c r="M89" s="2"/>
      <c r="N89" s="2"/>
    </row>
    <row r="90" spans="1:14" x14ac:dyDescent="0.25">
      <c r="A90" s="2" t="s">
        <v>336</v>
      </c>
      <c r="B90" s="2" t="s">
        <v>337</v>
      </c>
      <c r="C90" s="2" t="s">
        <v>16</v>
      </c>
      <c r="D90" s="2" t="s">
        <v>84</v>
      </c>
      <c r="E90" s="2" t="s">
        <v>90</v>
      </c>
      <c r="F90" s="2" t="s">
        <v>55</v>
      </c>
      <c r="G90" s="2" t="s">
        <v>179</v>
      </c>
      <c r="H90" s="2" t="s">
        <v>74</v>
      </c>
      <c r="I90" s="2">
        <v>8</v>
      </c>
      <c r="J90" s="2" t="s">
        <v>48</v>
      </c>
      <c r="K90" s="2" t="s">
        <v>338</v>
      </c>
      <c r="L90" s="2" t="s">
        <v>24</v>
      </c>
      <c r="M90" s="2"/>
      <c r="N90" s="2"/>
    </row>
    <row r="91" spans="1:14" x14ac:dyDescent="0.25">
      <c r="A91" s="2" t="s">
        <v>339</v>
      </c>
      <c r="B91" s="2" t="s">
        <v>340</v>
      </c>
      <c r="C91" s="2" t="s">
        <v>28</v>
      </c>
      <c r="D91" s="2" t="s">
        <v>220</v>
      </c>
      <c r="E91" s="2" t="s">
        <v>90</v>
      </c>
      <c r="F91" s="2" t="s">
        <v>131</v>
      </c>
      <c r="G91" s="2" t="s">
        <v>91</v>
      </c>
      <c r="H91" s="2" t="s">
        <v>32</v>
      </c>
      <c r="I91" s="2">
        <v>48</v>
      </c>
      <c r="J91" s="2" t="s">
        <v>155</v>
      </c>
      <c r="K91" s="2"/>
      <c r="L91" s="2" t="s">
        <v>24</v>
      </c>
      <c r="M91" s="2"/>
      <c r="N91" s="2" t="s">
        <v>64</v>
      </c>
    </row>
    <row r="92" spans="1:14" x14ac:dyDescent="0.25">
      <c r="A92" s="2" t="s">
        <v>341</v>
      </c>
      <c r="B92" s="2" t="s">
        <v>342</v>
      </c>
      <c r="C92" s="2" t="s">
        <v>53</v>
      </c>
      <c r="D92" s="2" t="s">
        <v>54</v>
      </c>
      <c r="E92" s="2" t="s">
        <v>38</v>
      </c>
      <c r="F92" s="2" t="s">
        <v>125</v>
      </c>
      <c r="G92" s="2" t="s">
        <v>126</v>
      </c>
      <c r="H92" s="2" t="s">
        <v>21</v>
      </c>
      <c r="I92" s="2">
        <v>24</v>
      </c>
      <c r="J92" s="2" t="s">
        <v>106</v>
      </c>
      <c r="K92" s="2" t="s">
        <v>343</v>
      </c>
      <c r="L92" s="2" t="s">
        <v>24</v>
      </c>
      <c r="M92" s="2">
        <v>5</v>
      </c>
      <c r="N92" s="2" t="s">
        <v>128</v>
      </c>
    </row>
    <row r="93" spans="1:14" x14ac:dyDescent="0.25">
      <c r="A93" s="2" t="s">
        <v>344</v>
      </c>
      <c r="B93" s="2" t="s">
        <v>345</v>
      </c>
      <c r="C93" s="2" t="s">
        <v>53</v>
      </c>
      <c r="D93" s="2" t="s">
        <v>54</v>
      </c>
      <c r="E93" s="2" t="s">
        <v>18</v>
      </c>
      <c r="F93" s="2" t="s">
        <v>143</v>
      </c>
      <c r="G93" s="2" t="s">
        <v>121</v>
      </c>
      <c r="H93" s="2" t="s">
        <v>32</v>
      </c>
      <c r="I93" s="2">
        <v>48</v>
      </c>
      <c r="J93" s="2" t="s">
        <v>75</v>
      </c>
      <c r="K93" s="2" t="s">
        <v>346</v>
      </c>
      <c r="L93" s="2" t="s">
        <v>24</v>
      </c>
      <c r="M93" s="2">
        <v>4</v>
      </c>
      <c r="N93" s="2" t="s">
        <v>25</v>
      </c>
    </row>
    <row r="94" spans="1:14" x14ac:dyDescent="0.25">
      <c r="A94" s="2" t="s">
        <v>347</v>
      </c>
      <c r="B94" s="2" t="s">
        <v>348</v>
      </c>
      <c r="C94" s="2" t="s">
        <v>16</v>
      </c>
      <c r="D94" s="2" t="s">
        <v>17</v>
      </c>
      <c r="E94" s="2" t="s">
        <v>90</v>
      </c>
      <c r="F94" s="2" t="s">
        <v>69</v>
      </c>
      <c r="G94" s="2" t="s">
        <v>211</v>
      </c>
      <c r="H94" s="2" t="s">
        <v>74</v>
      </c>
      <c r="I94" s="2">
        <v>8</v>
      </c>
      <c r="J94" s="2" t="s">
        <v>106</v>
      </c>
      <c r="K94" s="2" t="s">
        <v>349</v>
      </c>
      <c r="L94" s="2" t="s">
        <v>24</v>
      </c>
      <c r="M94" s="2">
        <v>3</v>
      </c>
      <c r="N94" s="2" t="s">
        <v>25</v>
      </c>
    </row>
    <row r="95" spans="1:14" x14ac:dyDescent="0.25">
      <c r="A95" s="2" t="s">
        <v>350</v>
      </c>
      <c r="B95" s="2" t="s">
        <v>351</v>
      </c>
      <c r="C95" s="2" t="s">
        <v>28</v>
      </c>
      <c r="D95" s="2" t="s">
        <v>100</v>
      </c>
      <c r="E95" s="2" t="s">
        <v>38</v>
      </c>
      <c r="F95" s="2" t="s">
        <v>47</v>
      </c>
      <c r="G95" s="2" t="s">
        <v>211</v>
      </c>
      <c r="H95" s="2" t="s">
        <v>74</v>
      </c>
      <c r="I95" s="2">
        <v>8</v>
      </c>
      <c r="J95" s="2" t="s">
        <v>41</v>
      </c>
      <c r="K95" s="2" t="s">
        <v>352</v>
      </c>
      <c r="L95" s="2" t="s">
        <v>24</v>
      </c>
      <c r="M95" s="2">
        <v>4</v>
      </c>
      <c r="N95" s="2" t="s">
        <v>25</v>
      </c>
    </row>
    <row r="96" spans="1:14" x14ac:dyDescent="0.25">
      <c r="A96" s="2" t="s">
        <v>353</v>
      </c>
      <c r="B96" s="2" t="s">
        <v>354</v>
      </c>
      <c r="C96" s="2" t="s">
        <v>16</v>
      </c>
      <c r="D96" s="2" t="s">
        <v>84</v>
      </c>
      <c r="E96" s="2" t="s">
        <v>46</v>
      </c>
      <c r="F96" s="2" t="s">
        <v>125</v>
      </c>
      <c r="G96" s="2" t="s">
        <v>211</v>
      </c>
      <c r="H96" s="2" t="s">
        <v>74</v>
      </c>
      <c r="I96" s="2">
        <v>8</v>
      </c>
      <c r="J96" s="2" t="s">
        <v>48</v>
      </c>
      <c r="K96" s="2" t="s">
        <v>355</v>
      </c>
      <c r="L96" s="2" t="s">
        <v>24</v>
      </c>
      <c r="M96" s="2">
        <v>2</v>
      </c>
      <c r="N96" s="2" t="s">
        <v>58</v>
      </c>
    </row>
    <row r="97" spans="1:14" x14ac:dyDescent="0.25">
      <c r="A97" s="2" t="s">
        <v>356</v>
      </c>
      <c r="B97" s="2" t="s">
        <v>357</v>
      </c>
      <c r="C97" s="2" t="s">
        <v>16</v>
      </c>
      <c r="D97" s="2" t="s">
        <v>84</v>
      </c>
      <c r="E97" s="2" t="s">
        <v>148</v>
      </c>
      <c r="F97" s="2" t="s">
        <v>55</v>
      </c>
      <c r="G97" s="2" t="s">
        <v>40</v>
      </c>
      <c r="H97" s="2" t="s">
        <v>21</v>
      </c>
      <c r="I97" s="2">
        <v>24</v>
      </c>
      <c r="J97" s="2" t="s">
        <v>106</v>
      </c>
      <c r="K97" s="2" t="s">
        <v>358</v>
      </c>
      <c r="L97" s="2" t="s">
        <v>24</v>
      </c>
      <c r="M97" s="2"/>
      <c r="N97" s="2"/>
    </row>
    <row r="98" spans="1:14" x14ac:dyDescent="0.25">
      <c r="A98" s="2" t="s">
        <v>359</v>
      </c>
      <c r="B98" s="2" t="s">
        <v>360</v>
      </c>
      <c r="C98" s="2" t="s">
        <v>16</v>
      </c>
      <c r="D98" s="2" t="s">
        <v>17</v>
      </c>
      <c r="E98" s="2" t="s">
        <v>38</v>
      </c>
      <c r="F98" s="2" t="s">
        <v>39</v>
      </c>
      <c r="G98" s="2" t="s">
        <v>97</v>
      </c>
      <c r="H98" s="2" t="s">
        <v>21</v>
      </c>
      <c r="I98" s="2">
        <v>24</v>
      </c>
      <c r="J98" s="2" t="s">
        <v>41</v>
      </c>
      <c r="K98" s="2"/>
      <c r="L98" s="2" t="s">
        <v>24</v>
      </c>
      <c r="M98" s="2"/>
      <c r="N98" s="2" t="s">
        <v>34</v>
      </c>
    </row>
    <row r="99" spans="1:14" x14ac:dyDescent="0.25">
      <c r="A99" s="2" t="s">
        <v>361</v>
      </c>
      <c r="B99" s="2" t="s">
        <v>362</v>
      </c>
      <c r="C99" s="2" t="s">
        <v>28</v>
      </c>
      <c r="D99" s="2" t="s">
        <v>37</v>
      </c>
      <c r="E99" s="2" t="s">
        <v>148</v>
      </c>
      <c r="F99" s="2" t="s">
        <v>143</v>
      </c>
      <c r="G99" s="2" t="s">
        <v>70</v>
      </c>
      <c r="H99" s="2" t="s">
        <v>32</v>
      </c>
      <c r="I99" s="2">
        <v>48</v>
      </c>
      <c r="J99" s="2" t="s">
        <v>11</v>
      </c>
      <c r="K99" s="2"/>
      <c r="L99" s="2" t="s">
        <v>92</v>
      </c>
      <c r="M99" s="2"/>
      <c r="N99" s="2"/>
    </row>
    <row r="100" spans="1:14" x14ac:dyDescent="0.25">
      <c r="A100" s="2" t="s">
        <v>363</v>
      </c>
      <c r="B100" s="2" t="s">
        <v>364</v>
      </c>
      <c r="C100" s="2" t="s">
        <v>53</v>
      </c>
      <c r="D100" s="2" t="s">
        <v>61</v>
      </c>
      <c r="E100" s="2" t="s">
        <v>90</v>
      </c>
      <c r="F100" s="2" t="s">
        <v>143</v>
      </c>
      <c r="G100" s="2" t="s">
        <v>70</v>
      </c>
      <c r="H100" s="2" t="s">
        <v>74</v>
      </c>
      <c r="I100" s="2">
        <v>8</v>
      </c>
      <c r="J100" s="2" t="s">
        <v>75</v>
      </c>
      <c r="K100" s="2" t="s">
        <v>365</v>
      </c>
      <c r="L100" s="2" t="s">
        <v>24</v>
      </c>
      <c r="M100" s="2">
        <v>2</v>
      </c>
      <c r="N100" s="2"/>
    </row>
    <row r="101" spans="1:14" x14ac:dyDescent="0.25">
      <c r="A101" s="2" t="s">
        <v>366</v>
      </c>
      <c r="B101" s="2" t="s">
        <v>367</v>
      </c>
      <c r="C101" s="2" t="s">
        <v>16</v>
      </c>
      <c r="D101" s="2" t="s">
        <v>84</v>
      </c>
      <c r="E101" s="2" t="s">
        <v>46</v>
      </c>
      <c r="F101" s="2" t="s">
        <v>113</v>
      </c>
      <c r="G101" s="2" t="s">
        <v>97</v>
      </c>
      <c r="H101" s="2" t="s">
        <v>74</v>
      </c>
      <c r="I101" s="2">
        <v>8</v>
      </c>
      <c r="J101" s="2" t="s">
        <v>56</v>
      </c>
      <c r="K101" s="2" t="s">
        <v>368</v>
      </c>
      <c r="L101" s="2" t="s">
        <v>24</v>
      </c>
      <c r="M101" s="2"/>
      <c r="N101" s="2" t="s">
        <v>50</v>
      </c>
    </row>
    <row r="102" spans="1:14" x14ac:dyDescent="0.25">
      <c r="A102" s="2" t="s">
        <v>369</v>
      </c>
      <c r="B102" s="2" t="s">
        <v>370</v>
      </c>
      <c r="C102" s="2" t="s">
        <v>28</v>
      </c>
      <c r="D102" s="2" t="s">
        <v>37</v>
      </c>
      <c r="E102" s="2" t="s">
        <v>18</v>
      </c>
      <c r="F102" s="2" t="s">
        <v>19</v>
      </c>
      <c r="G102" s="2" t="s">
        <v>97</v>
      </c>
      <c r="H102" s="2" t="s">
        <v>21</v>
      </c>
      <c r="I102" s="2">
        <v>24</v>
      </c>
      <c r="J102" s="2" t="s">
        <v>117</v>
      </c>
      <c r="K102" s="2"/>
      <c r="L102" s="2" t="s">
        <v>24</v>
      </c>
      <c r="M102" s="2"/>
      <c r="N102" s="2"/>
    </row>
    <row r="103" spans="1:14" x14ac:dyDescent="0.25">
      <c r="A103" s="2" t="s">
        <v>371</v>
      </c>
      <c r="B103" s="2" t="s">
        <v>372</v>
      </c>
      <c r="C103" s="2" t="s">
        <v>67</v>
      </c>
      <c r="D103" s="2" t="s">
        <v>68</v>
      </c>
      <c r="E103" s="2" t="s">
        <v>38</v>
      </c>
      <c r="F103" s="2" t="s">
        <v>30</v>
      </c>
      <c r="G103" s="2" t="s">
        <v>211</v>
      </c>
      <c r="H103" s="2" t="s">
        <v>80</v>
      </c>
      <c r="I103" s="2">
        <v>4</v>
      </c>
      <c r="J103" s="2" t="s">
        <v>41</v>
      </c>
      <c r="K103" s="2" t="s">
        <v>373</v>
      </c>
      <c r="L103" s="2" t="s">
        <v>24</v>
      </c>
      <c r="M103" s="2"/>
      <c r="N103" s="2" t="s">
        <v>34</v>
      </c>
    </row>
    <row r="104" spans="1:14" x14ac:dyDescent="0.25">
      <c r="A104" s="2" t="s">
        <v>374</v>
      </c>
      <c r="B104" s="2" t="s">
        <v>375</v>
      </c>
      <c r="C104" s="2" t="s">
        <v>28</v>
      </c>
      <c r="D104" s="2" t="s">
        <v>100</v>
      </c>
      <c r="E104" s="2" t="s">
        <v>38</v>
      </c>
      <c r="F104" s="2" t="s">
        <v>55</v>
      </c>
      <c r="G104" s="2" t="s">
        <v>144</v>
      </c>
      <c r="H104" s="2" t="s">
        <v>32</v>
      </c>
      <c r="I104" s="2">
        <v>48</v>
      </c>
      <c r="J104" s="2" t="s">
        <v>200</v>
      </c>
      <c r="K104" s="2"/>
      <c r="L104" s="2" t="s">
        <v>92</v>
      </c>
      <c r="M104" s="2"/>
      <c r="N104" s="2"/>
    </row>
    <row r="105" spans="1:14" x14ac:dyDescent="0.25">
      <c r="A105" s="2" t="s">
        <v>376</v>
      </c>
      <c r="B105" s="2" t="s">
        <v>377</v>
      </c>
      <c r="C105" s="2" t="s">
        <v>67</v>
      </c>
      <c r="D105" s="2" t="s">
        <v>95</v>
      </c>
      <c r="E105" s="2" t="s">
        <v>18</v>
      </c>
      <c r="F105" s="2" t="s">
        <v>30</v>
      </c>
      <c r="G105" s="2" t="s">
        <v>20</v>
      </c>
      <c r="H105" s="2" t="s">
        <v>32</v>
      </c>
      <c r="I105" s="2">
        <v>48</v>
      </c>
      <c r="J105" s="2" t="s">
        <v>287</v>
      </c>
      <c r="K105" s="2"/>
      <c r="L105" s="2" t="s">
        <v>24</v>
      </c>
      <c r="M105" s="2"/>
      <c r="N105" s="2" t="s">
        <v>25</v>
      </c>
    </row>
    <row r="106" spans="1:14" x14ac:dyDescent="0.25">
      <c r="A106" s="2" t="s">
        <v>378</v>
      </c>
      <c r="B106" s="2" t="s">
        <v>379</v>
      </c>
      <c r="C106" s="2" t="s">
        <v>53</v>
      </c>
      <c r="D106" s="2" t="s">
        <v>61</v>
      </c>
      <c r="E106" s="2" t="s">
        <v>18</v>
      </c>
      <c r="F106" s="2" t="s">
        <v>30</v>
      </c>
      <c r="G106" s="2" t="s">
        <v>110</v>
      </c>
      <c r="H106" s="2" t="s">
        <v>74</v>
      </c>
      <c r="I106" s="2">
        <v>8</v>
      </c>
      <c r="J106" s="2" t="s">
        <v>33</v>
      </c>
      <c r="K106" s="2"/>
      <c r="L106" s="2" t="s">
        <v>24</v>
      </c>
      <c r="M106" s="2"/>
      <c r="N106" s="2" t="s">
        <v>58</v>
      </c>
    </row>
    <row r="107" spans="1:14" x14ac:dyDescent="0.25">
      <c r="A107" s="2" t="s">
        <v>380</v>
      </c>
      <c r="B107" s="2" t="s">
        <v>381</v>
      </c>
      <c r="C107" s="2" t="s">
        <v>67</v>
      </c>
      <c r="D107" s="2" t="s">
        <v>95</v>
      </c>
      <c r="E107" s="2" t="s">
        <v>148</v>
      </c>
      <c r="F107" s="2" t="s">
        <v>30</v>
      </c>
      <c r="G107" s="2" t="s">
        <v>97</v>
      </c>
      <c r="H107" s="2" t="s">
        <v>21</v>
      </c>
      <c r="I107" s="2">
        <v>24</v>
      </c>
      <c r="J107" s="2" t="s">
        <v>11</v>
      </c>
      <c r="K107" s="2"/>
      <c r="L107" s="2" t="s">
        <v>92</v>
      </c>
      <c r="M107" s="2"/>
      <c r="N107" s="2" t="s">
        <v>50</v>
      </c>
    </row>
    <row r="108" spans="1:14" x14ac:dyDescent="0.25">
      <c r="A108" s="2" t="s">
        <v>382</v>
      </c>
      <c r="B108" s="2" t="s">
        <v>383</v>
      </c>
      <c r="C108" s="2" t="s">
        <v>53</v>
      </c>
      <c r="D108" s="2" t="s">
        <v>162</v>
      </c>
      <c r="E108" s="2" t="s">
        <v>85</v>
      </c>
      <c r="F108" s="2" t="s">
        <v>55</v>
      </c>
      <c r="G108" s="2" t="s">
        <v>211</v>
      </c>
      <c r="H108" s="2" t="s">
        <v>21</v>
      </c>
      <c r="I108" s="2">
        <v>24</v>
      </c>
      <c r="J108" s="2" t="s">
        <v>187</v>
      </c>
      <c r="K108" s="2" t="s">
        <v>384</v>
      </c>
      <c r="L108" s="2" t="s">
        <v>24</v>
      </c>
      <c r="M108" s="2">
        <v>2</v>
      </c>
      <c r="N108" s="2"/>
    </row>
    <row r="109" spans="1:14" x14ac:dyDescent="0.25">
      <c r="A109" s="2" t="s">
        <v>385</v>
      </c>
      <c r="B109" s="2" t="s">
        <v>386</v>
      </c>
      <c r="C109" s="2" t="s">
        <v>53</v>
      </c>
      <c r="D109" s="2" t="s">
        <v>54</v>
      </c>
      <c r="E109" s="2" t="s">
        <v>148</v>
      </c>
      <c r="F109" s="2" t="s">
        <v>30</v>
      </c>
      <c r="G109" s="2" t="s">
        <v>31</v>
      </c>
      <c r="H109" s="2" t="s">
        <v>74</v>
      </c>
      <c r="I109" s="2">
        <v>8</v>
      </c>
      <c r="J109" s="2" t="s">
        <v>200</v>
      </c>
      <c r="K109" s="2"/>
      <c r="L109" s="2" t="s">
        <v>92</v>
      </c>
      <c r="M109" s="2"/>
      <c r="N109" s="2" t="s">
        <v>58</v>
      </c>
    </row>
    <row r="110" spans="1:14" x14ac:dyDescent="0.25">
      <c r="A110" s="2" t="s">
        <v>387</v>
      </c>
      <c r="B110" s="2" t="s">
        <v>388</v>
      </c>
      <c r="C110" s="2" t="s">
        <v>28</v>
      </c>
      <c r="D110" s="2" t="s">
        <v>37</v>
      </c>
      <c r="E110" s="2" t="s">
        <v>38</v>
      </c>
      <c r="F110" s="2" t="s">
        <v>62</v>
      </c>
      <c r="G110" s="2" t="s">
        <v>158</v>
      </c>
      <c r="H110" s="2" t="s">
        <v>32</v>
      </c>
      <c r="I110" s="2">
        <v>48</v>
      </c>
      <c r="J110" s="2" t="s">
        <v>200</v>
      </c>
      <c r="K110" s="2"/>
      <c r="L110" s="2" t="s">
        <v>92</v>
      </c>
      <c r="M110" s="2"/>
      <c r="N110" s="2" t="s">
        <v>118</v>
      </c>
    </row>
    <row r="111" spans="1:14" x14ac:dyDescent="0.25">
      <c r="A111" s="2" t="s">
        <v>389</v>
      </c>
      <c r="B111" s="2" t="s">
        <v>390</v>
      </c>
      <c r="C111" s="2" t="s">
        <v>67</v>
      </c>
      <c r="D111" s="2" t="s">
        <v>68</v>
      </c>
      <c r="E111" s="2" t="s">
        <v>148</v>
      </c>
      <c r="F111" s="2" t="s">
        <v>19</v>
      </c>
      <c r="G111" s="2" t="s">
        <v>135</v>
      </c>
      <c r="H111" s="2" t="s">
        <v>21</v>
      </c>
      <c r="I111" s="2">
        <v>24</v>
      </c>
      <c r="J111" s="2" t="s">
        <v>191</v>
      </c>
      <c r="K111" s="2" t="s">
        <v>391</v>
      </c>
      <c r="L111" s="2" t="s">
        <v>92</v>
      </c>
      <c r="M111" s="2"/>
      <c r="N111" s="2" t="s">
        <v>128</v>
      </c>
    </row>
    <row r="112" spans="1:14" x14ac:dyDescent="0.25">
      <c r="A112" s="2" t="s">
        <v>392</v>
      </c>
      <c r="B112" s="2" t="s">
        <v>393</v>
      </c>
      <c r="C112" s="2" t="s">
        <v>16</v>
      </c>
      <c r="D112" s="2" t="s">
        <v>84</v>
      </c>
      <c r="E112" s="2" t="s">
        <v>18</v>
      </c>
      <c r="F112" s="2" t="s">
        <v>69</v>
      </c>
      <c r="G112" s="2" t="s">
        <v>97</v>
      </c>
      <c r="H112" s="2" t="s">
        <v>74</v>
      </c>
      <c r="I112" s="2">
        <v>8</v>
      </c>
      <c r="J112" s="2" t="s">
        <v>22</v>
      </c>
      <c r="K112" s="2" t="s">
        <v>394</v>
      </c>
      <c r="L112" s="2" t="s">
        <v>24</v>
      </c>
      <c r="M112" s="2"/>
      <c r="N112" s="2" t="s">
        <v>58</v>
      </c>
    </row>
    <row r="113" spans="1:14" x14ac:dyDescent="0.25">
      <c r="A113" s="2" t="s">
        <v>395</v>
      </c>
      <c r="B113" s="2" t="s">
        <v>396</v>
      </c>
      <c r="C113" s="2" t="s">
        <v>28</v>
      </c>
      <c r="D113" s="2" t="s">
        <v>100</v>
      </c>
      <c r="E113" s="2" t="s">
        <v>148</v>
      </c>
      <c r="F113" s="2" t="s">
        <v>143</v>
      </c>
      <c r="G113" s="2" t="s">
        <v>70</v>
      </c>
      <c r="H113" s="2" t="s">
        <v>32</v>
      </c>
      <c r="I113" s="2">
        <v>48</v>
      </c>
      <c r="J113" s="2" t="s">
        <v>117</v>
      </c>
      <c r="K113" s="2"/>
      <c r="L113" s="2" t="s">
        <v>24</v>
      </c>
      <c r="M113" s="2"/>
      <c r="N113" s="2"/>
    </row>
    <row r="114" spans="1:14" x14ac:dyDescent="0.25">
      <c r="A114" s="2" t="s">
        <v>397</v>
      </c>
      <c r="B114" s="2" t="s">
        <v>398</v>
      </c>
      <c r="C114" s="2" t="s">
        <v>53</v>
      </c>
      <c r="D114" s="2" t="s">
        <v>61</v>
      </c>
      <c r="E114" s="2" t="s">
        <v>18</v>
      </c>
      <c r="F114" s="2" t="s">
        <v>69</v>
      </c>
      <c r="G114" s="2" t="s">
        <v>135</v>
      </c>
      <c r="H114" s="2" t="s">
        <v>32</v>
      </c>
      <c r="I114" s="2">
        <v>48</v>
      </c>
      <c r="J114" s="2" t="s">
        <v>155</v>
      </c>
      <c r="K114" s="2"/>
      <c r="L114" s="2" t="s">
        <v>24</v>
      </c>
      <c r="M114" s="2"/>
      <c r="N114" s="2" t="s">
        <v>118</v>
      </c>
    </row>
    <row r="115" spans="1:14" x14ac:dyDescent="0.25">
      <c r="A115" s="2" t="s">
        <v>399</v>
      </c>
      <c r="B115" s="2" t="s">
        <v>400</v>
      </c>
      <c r="C115" s="2" t="s">
        <v>67</v>
      </c>
      <c r="D115" s="2" t="s">
        <v>68</v>
      </c>
      <c r="E115" s="2" t="s">
        <v>38</v>
      </c>
      <c r="F115" s="2" t="s">
        <v>131</v>
      </c>
      <c r="G115" s="2" t="s">
        <v>126</v>
      </c>
      <c r="H115" s="2" t="s">
        <v>21</v>
      </c>
      <c r="I115" s="2">
        <v>24</v>
      </c>
      <c r="J115" s="2" t="s">
        <v>41</v>
      </c>
      <c r="K115" s="2" t="s">
        <v>401</v>
      </c>
      <c r="L115" s="2" t="s">
        <v>24</v>
      </c>
      <c r="M115" s="2">
        <v>3</v>
      </c>
      <c r="N115" s="2" t="s">
        <v>43</v>
      </c>
    </row>
    <row r="116" spans="1:14" x14ac:dyDescent="0.25">
      <c r="A116" s="2" t="s">
        <v>402</v>
      </c>
      <c r="B116" s="2" t="s">
        <v>403</v>
      </c>
      <c r="C116" s="2" t="s">
        <v>16</v>
      </c>
      <c r="D116" s="2" t="s">
        <v>84</v>
      </c>
      <c r="E116" s="2" t="s">
        <v>46</v>
      </c>
      <c r="F116" s="2" t="s">
        <v>96</v>
      </c>
      <c r="G116" s="2" t="s">
        <v>211</v>
      </c>
      <c r="H116" s="2" t="s">
        <v>74</v>
      </c>
      <c r="I116" s="2">
        <v>8</v>
      </c>
      <c r="J116" s="2" t="s">
        <v>232</v>
      </c>
      <c r="K116" s="2"/>
      <c r="L116" s="2" t="s">
        <v>92</v>
      </c>
      <c r="M116" s="2"/>
      <c r="N116" s="2" t="s">
        <v>34</v>
      </c>
    </row>
    <row r="117" spans="1:14" x14ac:dyDescent="0.25">
      <c r="A117" s="2" t="s">
        <v>404</v>
      </c>
      <c r="B117" s="2" t="s">
        <v>405</v>
      </c>
      <c r="C117" s="2" t="s">
        <v>67</v>
      </c>
      <c r="D117" s="2" t="s">
        <v>68</v>
      </c>
      <c r="E117" s="2" t="s">
        <v>90</v>
      </c>
      <c r="F117" s="2" t="s">
        <v>47</v>
      </c>
      <c r="G117" s="2" t="s">
        <v>97</v>
      </c>
      <c r="H117" s="2" t="s">
        <v>32</v>
      </c>
      <c r="I117" s="2">
        <v>48</v>
      </c>
      <c r="J117" s="2" t="s">
        <v>48</v>
      </c>
      <c r="K117" s="2" t="s">
        <v>406</v>
      </c>
      <c r="L117" s="2" t="s">
        <v>24</v>
      </c>
      <c r="M117" s="2">
        <v>5</v>
      </c>
      <c r="N117" s="2" t="s">
        <v>25</v>
      </c>
    </row>
    <row r="118" spans="1:14" x14ac:dyDescent="0.25">
      <c r="A118" s="2" t="s">
        <v>407</v>
      </c>
      <c r="B118" s="2" t="s">
        <v>408</v>
      </c>
      <c r="C118" s="2" t="s">
        <v>67</v>
      </c>
      <c r="D118" s="2" t="s">
        <v>95</v>
      </c>
      <c r="E118" s="2" t="s">
        <v>90</v>
      </c>
      <c r="F118" s="2" t="s">
        <v>125</v>
      </c>
      <c r="G118" s="2" t="s">
        <v>135</v>
      </c>
      <c r="H118" s="2" t="s">
        <v>74</v>
      </c>
      <c r="I118" s="2">
        <v>8</v>
      </c>
      <c r="J118" s="2" t="s">
        <v>75</v>
      </c>
      <c r="K118" s="2" t="s">
        <v>409</v>
      </c>
      <c r="L118" s="2" t="s">
        <v>24</v>
      </c>
      <c r="M118" s="2">
        <v>5</v>
      </c>
      <c r="N118" s="2" t="s">
        <v>50</v>
      </c>
    </row>
    <row r="119" spans="1:14" x14ac:dyDescent="0.25">
      <c r="A119" s="2" t="s">
        <v>410</v>
      </c>
      <c r="B119" s="2" t="s">
        <v>411</v>
      </c>
      <c r="C119" s="2" t="s">
        <v>28</v>
      </c>
      <c r="D119" s="2" t="s">
        <v>100</v>
      </c>
      <c r="E119" s="2" t="s">
        <v>18</v>
      </c>
      <c r="F119" s="2" t="s">
        <v>19</v>
      </c>
      <c r="G119" s="2" t="s">
        <v>144</v>
      </c>
      <c r="H119" s="2" t="s">
        <v>21</v>
      </c>
      <c r="I119" s="2">
        <v>24</v>
      </c>
      <c r="J119" s="2" t="s">
        <v>200</v>
      </c>
      <c r="K119" s="2"/>
      <c r="L119" s="2" t="s">
        <v>92</v>
      </c>
      <c r="M119" s="2"/>
      <c r="N119" s="2" t="s">
        <v>25</v>
      </c>
    </row>
    <row r="120" spans="1:14" x14ac:dyDescent="0.25">
      <c r="A120" s="2" t="s">
        <v>412</v>
      </c>
      <c r="B120" s="2" t="s">
        <v>413</v>
      </c>
      <c r="C120" s="2" t="s">
        <v>16</v>
      </c>
      <c r="D120" s="2" t="s">
        <v>84</v>
      </c>
      <c r="E120" s="2" t="s">
        <v>148</v>
      </c>
      <c r="F120" s="2" t="s">
        <v>96</v>
      </c>
      <c r="G120" s="2" t="s">
        <v>97</v>
      </c>
      <c r="H120" s="2" t="s">
        <v>32</v>
      </c>
      <c r="I120" s="2">
        <v>48</v>
      </c>
      <c r="J120" s="2" t="s">
        <v>75</v>
      </c>
      <c r="K120" s="2" t="s">
        <v>414</v>
      </c>
      <c r="L120" s="2" t="s">
        <v>24</v>
      </c>
      <c r="M120" s="2">
        <v>4</v>
      </c>
      <c r="N120" s="2" t="s">
        <v>34</v>
      </c>
    </row>
    <row r="121" spans="1:14" x14ac:dyDescent="0.25">
      <c r="A121" s="2" t="s">
        <v>415</v>
      </c>
      <c r="B121" s="2" t="s">
        <v>416</v>
      </c>
      <c r="C121" s="2" t="s">
        <v>67</v>
      </c>
      <c r="D121" s="2" t="s">
        <v>95</v>
      </c>
      <c r="E121" s="2" t="s">
        <v>79</v>
      </c>
      <c r="F121" s="2" t="s">
        <v>131</v>
      </c>
      <c r="G121" s="2" t="s">
        <v>144</v>
      </c>
      <c r="H121" s="2" t="s">
        <v>74</v>
      </c>
      <c r="I121" s="2">
        <v>8</v>
      </c>
      <c r="J121" s="2" t="s">
        <v>56</v>
      </c>
      <c r="K121" s="2" t="s">
        <v>417</v>
      </c>
      <c r="L121" s="2" t="s">
        <v>24</v>
      </c>
      <c r="M121" s="2"/>
      <c r="N121" s="2" t="s">
        <v>58</v>
      </c>
    </row>
    <row r="122" spans="1:14" x14ac:dyDescent="0.25">
      <c r="A122" s="2" t="s">
        <v>418</v>
      </c>
      <c r="B122" s="2" t="s">
        <v>419</v>
      </c>
      <c r="C122" s="2" t="s">
        <v>67</v>
      </c>
      <c r="D122" s="2" t="s">
        <v>68</v>
      </c>
      <c r="E122" s="2" t="s">
        <v>46</v>
      </c>
      <c r="F122" s="2" t="s">
        <v>19</v>
      </c>
      <c r="G122" s="2" t="s">
        <v>70</v>
      </c>
      <c r="H122" s="2" t="s">
        <v>80</v>
      </c>
      <c r="I122" s="2">
        <v>4</v>
      </c>
      <c r="J122" s="2" t="s">
        <v>106</v>
      </c>
      <c r="K122" s="2" t="s">
        <v>420</v>
      </c>
      <c r="L122" s="2" t="s">
        <v>24</v>
      </c>
      <c r="M122" s="2"/>
      <c r="N122" s="2" t="s">
        <v>43</v>
      </c>
    </row>
    <row r="123" spans="1:14" x14ac:dyDescent="0.25">
      <c r="A123" s="2" t="s">
        <v>421</v>
      </c>
      <c r="B123" s="2" t="s">
        <v>422</v>
      </c>
      <c r="C123" s="2" t="s">
        <v>16</v>
      </c>
      <c r="D123" s="2" t="s">
        <v>84</v>
      </c>
      <c r="E123" s="2" t="s">
        <v>38</v>
      </c>
      <c r="F123" s="2" t="s">
        <v>30</v>
      </c>
      <c r="G123" s="2" t="s">
        <v>139</v>
      </c>
      <c r="H123" s="2" t="s">
        <v>32</v>
      </c>
      <c r="I123" s="2">
        <v>48</v>
      </c>
      <c r="J123" s="2" t="s">
        <v>41</v>
      </c>
      <c r="K123" s="2" t="s">
        <v>423</v>
      </c>
      <c r="L123" s="2" t="s">
        <v>24</v>
      </c>
      <c r="M123" s="2">
        <v>5</v>
      </c>
      <c r="N123" s="2" t="s">
        <v>25</v>
      </c>
    </row>
    <row r="124" spans="1:14" x14ac:dyDescent="0.25">
      <c r="A124" s="2" t="s">
        <v>424</v>
      </c>
      <c r="B124" s="2" t="s">
        <v>425</v>
      </c>
      <c r="C124" s="2" t="s">
        <v>67</v>
      </c>
      <c r="D124" s="2" t="s">
        <v>89</v>
      </c>
      <c r="E124" s="2" t="s">
        <v>46</v>
      </c>
      <c r="F124" s="2" t="s">
        <v>62</v>
      </c>
      <c r="G124" s="2" t="s">
        <v>70</v>
      </c>
      <c r="H124" s="2" t="s">
        <v>74</v>
      </c>
      <c r="I124" s="2">
        <v>8</v>
      </c>
      <c r="J124" s="2" t="s">
        <v>287</v>
      </c>
      <c r="K124" s="2"/>
      <c r="L124" s="2" t="s">
        <v>24</v>
      </c>
      <c r="M124" s="2"/>
      <c r="N124" s="2" t="s">
        <v>50</v>
      </c>
    </row>
    <row r="125" spans="1:14" x14ac:dyDescent="0.25">
      <c r="A125" s="2" t="s">
        <v>426</v>
      </c>
      <c r="B125" s="2" t="s">
        <v>427</v>
      </c>
      <c r="C125" s="2" t="s">
        <v>53</v>
      </c>
      <c r="D125" s="2" t="s">
        <v>61</v>
      </c>
      <c r="E125" s="2" t="s">
        <v>38</v>
      </c>
      <c r="F125" s="2" t="s">
        <v>131</v>
      </c>
      <c r="G125" s="2" t="s">
        <v>139</v>
      </c>
      <c r="H125" s="2" t="s">
        <v>32</v>
      </c>
      <c r="I125" s="2">
        <v>48</v>
      </c>
      <c r="J125" s="2" t="s">
        <v>287</v>
      </c>
      <c r="K125" s="2"/>
      <c r="L125" s="2" t="s">
        <v>24</v>
      </c>
      <c r="M125" s="2"/>
      <c r="N125" s="2" t="s">
        <v>34</v>
      </c>
    </row>
    <row r="126" spans="1:14" x14ac:dyDescent="0.25">
      <c r="A126" s="2" t="s">
        <v>428</v>
      </c>
      <c r="B126" s="2" t="s">
        <v>429</v>
      </c>
      <c r="C126" s="2" t="s">
        <v>28</v>
      </c>
      <c r="D126" s="2" t="s">
        <v>100</v>
      </c>
      <c r="E126" s="2" t="s">
        <v>46</v>
      </c>
      <c r="F126" s="2" t="s">
        <v>47</v>
      </c>
      <c r="G126" s="2" t="s">
        <v>183</v>
      </c>
      <c r="H126" s="2" t="s">
        <v>21</v>
      </c>
      <c r="I126" s="2">
        <v>24</v>
      </c>
      <c r="J126" s="2" t="s">
        <v>41</v>
      </c>
      <c r="K126" s="2" t="s">
        <v>430</v>
      </c>
      <c r="L126" s="2" t="s">
        <v>24</v>
      </c>
      <c r="M126" s="2">
        <v>4</v>
      </c>
      <c r="N126" s="2" t="s">
        <v>50</v>
      </c>
    </row>
    <row r="127" spans="1:14" x14ac:dyDescent="0.25">
      <c r="A127" s="2" t="s">
        <v>431</v>
      </c>
      <c r="B127" s="2" t="s">
        <v>432</v>
      </c>
      <c r="C127" s="2" t="s">
        <v>53</v>
      </c>
      <c r="D127" s="2" t="s">
        <v>61</v>
      </c>
      <c r="E127" s="2" t="s">
        <v>79</v>
      </c>
      <c r="F127" s="2" t="s">
        <v>143</v>
      </c>
      <c r="G127" s="2" t="s">
        <v>40</v>
      </c>
      <c r="H127" s="2" t="s">
        <v>74</v>
      </c>
      <c r="I127" s="2">
        <v>8</v>
      </c>
      <c r="J127" s="2" t="s">
        <v>106</v>
      </c>
      <c r="K127" s="2" t="s">
        <v>433</v>
      </c>
      <c r="L127" s="2" t="s">
        <v>24</v>
      </c>
      <c r="M127" s="2">
        <v>4</v>
      </c>
      <c r="N127" s="2"/>
    </row>
    <row r="128" spans="1:14" x14ac:dyDescent="0.25">
      <c r="A128" s="2" t="s">
        <v>434</v>
      </c>
      <c r="B128" s="2" t="s">
        <v>435</v>
      </c>
      <c r="C128" s="2" t="s">
        <v>16</v>
      </c>
      <c r="D128" s="2" t="s">
        <v>17</v>
      </c>
      <c r="E128" s="2" t="s">
        <v>18</v>
      </c>
      <c r="F128" s="2" t="s">
        <v>39</v>
      </c>
      <c r="G128" s="2" t="s">
        <v>110</v>
      </c>
      <c r="H128" s="2" t="s">
        <v>32</v>
      </c>
      <c r="I128" s="2">
        <v>48</v>
      </c>
      <c r="J128" s="2" t="s">
        <v>11</v>
      </c>
      <c r="K128" s="2"/>
      <c r="L128" s="2" t="s">
        <v>92</v>
      </c>
      <c r="M128" s="2"/>
      <c r="N128" s="2" t="s">
        <v>25</v>
      </c>
    </row>
    <row r="129" spans="1:14" x14ac:dyDescent="0.25">
      <c r="A129" s="2" t="s">
        <v>436</v>
      </c>
      <c r="B129" s="2" t="s">
        <v>437</v>
      </c>
      <c r="C129" s="2" t="s">
        <v>16</v>
      </c>
      <c r="D129" s="2" t="s">
        <v>84</v>
      </c>
      <c r="E129" s="2" t="s">
        <v>79</v>
      </c>
      <c r="F129" s="2" t="s">
        <v>69</v>
      </c>
      <c r="G129" s="2" t="s">
        <v>179</v>
      </c>
      <c r="H129" s="2" t="s">
        <v>32</v>
      </c>
      <c r="I129" s="2">
        <v>48</v>
      </c>
      <c r="J129" s="2" t="s">
        <v>75</v>
      </c>
      <c r="K129" s="2" t="s">
        <v>438</v>
      </c>
      <c r="L129" s="2" t="s">
        <v>24</v>
      </c>
      <c r="M129" s="2">
        <v>5</v>
      </c>
      <c r="N129" s="2" t="s">
        <v>25</v>
      </c>
    </row>
    <row r="130" spans="1:14" x14ac:dyDescent="0.25">
      <c r="A130" s="2" t="s">
        <v>439</v>
      </c>
      <c r="B130" s="2" t="s">
        <v>440</v>
      </c>
      <c r="C130" s="2" t="s">
        <v>28</v>
      </c>
      <c r="D130" s="2" t="s">
        <v>37</v>
      </c>
      <c r="E130" s="2" t="s">
        <v>46</v>
      </c>
      <c r="F130" s="2" t="s">
        <v>125</v>
      </c>
      <c r="G130" s="2" t="s">
        <v>144</v>
      </c>
      <c r="H130" s="2" t="s">
        <v>80</v>
      </c>
      <c r="I130" s="2">
        <v>4</v>
      </c>
      <c r="J130" s="2" t="s">
        <v>48</v>
      </c>
      <c r="K130" s="2"/>
      <c r="L130" s="2" t="s">
        <v>24</v>
      </c>
      <c r="M130" s="2"/>
      <c r="N130" s="2" t="s">
        <v>34</v>
      </c>
    </row>
    <row r="131" spans="1:14" x14ac:dyDescent="0.25">
      <c r="A131" s="2" t="s">
        <v>441</v>
      </c>
      <c r="B131" s="2" t="s">
        <v>442</v>
      </c>
      <c r="C131" s="2" t="s">
        <v>28</v>
      </c>
      <c r="D131" s="2" t="s">
        <v>37</v>
      </c>
      <c r="E131" s="2" t="s">
        <v>46</v>
      </c>
      <c r="F131" s="2" t="s">
        <v>113</v>
      </c>
      <c r="G131" s="2" t="s">
        <v>110</v>
      </c>
      <c r="H131" s="2" t="s">
        <v>32</v>
      </c>
      <c r="I131" s="2">
        <v>48</v>
      </c>
      <c r="J131" s="2" t="s">
        <v>106</v>
      </c>
      <c r="K131" s="2" t="s">
        <v>443</v>
      </c>
      <c r="L131" s="2" t="s">
        <v>92</v>
      </c>
      <c r="M131" s="2"/>
      <c r="N131" s="2" t="s">
        <v>50</v>
      </c>
    </row>
    <row r="132" spans="1:14" x14ac:dyDescent="0.25">
      <c r="A132" s="2" t="s">
        <v>444</v>
      </c>
      <c r="B132" s="2" t="s">
        <v>445</v>
      </c>
      <c r="C132" s="2" t="s">
        <v>28</v>
      </c>
      <c r="D132" s="2" t="s">
        <v>100</v>
      </c>
      <c r="E132" s="2" t="s">
        <v>38</v>
      </c>
      <c r="F132" s="2" t="s">
        <v>30</v>
      </c>
      <c r="G132" s="2" t="s">
        <v>110</v>
      </c>
      <c r="H132" s="2" t="s">
        <v>21</v>
      </c>
      <c r="I132" s="2">
        <v>24</v>
      </c>
      <c r="J132" s="2" t="s">
        <v>22</v>
      </c>
      <c r="K132" s="2" t="s">
        <v>446</v>
      </c>
      <c r="L132" s="2" t="s">
        <v>24</v>
      </c>
      <c r="M132" s="2">
        <v>2</v>
      </c>
      <c r="N132" s="2" t="s">
        <v>128</v>
      </c>
    </row>
    <row r="133" spans="1:14" x14ac:dyDescent="0.25">
      <c r="A133" s="2" t="s">
        <v>447</v>
      </c>
      <c r="B133" s="2" t="s">
        <v>448</v>
      </c>
      <c r="C133" s="2" t="s">
        <v>16</v>
      </c>
      <c r="D133" s="2" t="s">
        <v>84</v>
      </c>
      <c r="E133" s="2" t="s">
        <v>85</v>
      </c>
      <c r="F133" s="2" t="s">
        <v>47</v>
      </c>
      <c r="G133" s="2" t="s">
        <v>105</v>
      </c>
      <c r="H133" s="2" t="s">
        <v>21</v>
      </c>
      <c r="I133" s="2">
        <v>24</v>
      </c>
      <c r="J133" s="2" t="s">
        <v>48</v>
      </c>
      <c r="K133" s="2" t="s">
        <v>449</v>
      </c>
      <c r="L133" s="2" t="s">
        <v>24</v>
      </c>
      <c r="M133" s="2">
        <v>4</v>
      </c>
      <c r="N133" s="2" t="s">
        <v>25</v>
      </c>
    </row>
    <row r="134" spans="1:14" x14ac:dyDescent="0.25">
      <c r="A134" s="2" t="s">
        <v>450</v>
      </c>
      <c r="B134" s="2" t="s">
        <v>451</v>
      </c>
      <c r="C134" s="2" t="s">
        <v>16</v>
      </c>
      <c r="D134" s="2" t="s">
        <v>17</v>
      </c>
      <c r="E134" s="2" t="s">
        <v>85</v>
      </c>
      <c r="F134" s="2" t="s">
        <v>96</v>
      </c>
      <c r="G134" s="2" t="s">
        <v>158</v>
      </c>
      <c r="H134" s="2" t="s">
        <v>80</v>
      </c>
      <c r="I134" s="2">
        <v>4</v>
      </c>
      <c r="J134" s="2" t="s">
        <v>187</v>
      </c>
      <c r="K134" s="2" t="s">
        <v>452</v>
      </c>
      <c r="L134" s="2" t="s">
        <v>92</v>
      </c>
      <c r="M134" s="2">
        <v>1</v>
      </c>
      <c r="N134" s="2" t="s">
        <v>118</v>
      </c>
    </row>
    <row r="135" spans="1:14" x14ac:dyDescent="0.25">
      <c r="A135" s="2" t="s">
        <v>453</v>
      </c>
      <c r="B135" s="2" t="s">
        <v>454</v>
      </c>
      <c r="C135" s="2" t="s">
        <v>28</v>
      </c>
      <c r="D135" s="2" t="s">
        <v>37</v>
      </c>
      <c r="E135" s="2" t="s">
        <v>90</v>
      </c>
      <c r="F135" s="2" t="s">
        <v>143</v>
      </c>
      <c r="G135" s="2" t="s">
        <v>110</v>
      </c>
      <c r="H135" s="2" t="s">
        <v>74</v>
      </c>
      <c r="I135" s="2">
        <v>8</v>
      </c>
      <c r="J135" s="2" t="s">
        <v>191</v>
      </c>
      <c r="K135" s="2" t="s">
        <v>455</v>
      </c>
      <c r="L135" s="2" t="s">
        <v>24</v>
      </c>
      <c r="M135" s="2"/>
      <c r="N135" s="2" t="s">
        <v>34</v>
      </c>
    </row>
    <row r="136" spans="1:14" x14ac:dyDescent="0.25">
      <c r="A136" s="2" t="s">
        <v>456</v>
      </c>
      <c r="B136" s="2" t="s">
        <v>457</v>
      </c>
      <c r="C136" s="2" t="s">
        <v>67</v>
      </c>
      <c r="D136" s="2" t="s">
        <v>95</v>
      </c>
      <c r="E136" s="2" t="s">
        <v>85</v>
      </c>
      <c r="F136" s="2" t="s">
        <v>96</v>
      </c>
      <c r="G136" s="2" t="s">
        <v>139</v>
      </c>
      <c r="H136" s="2" t="s">
        <v>21</v>
      </c>
      <c r="I136" s="2">
        <v>24</v>
      </c>
      <c r="J136" s="2" t="s">
        <v>106</v>
      </c>
      <c r="K136" s="2" t="s">
        <v>458</v>
      </c>
      <c r="L136" s="2" t="s">
        <v>24</v>
      </c>
      <c r="M136" s="2">
        <v>5</v>
      </c>
      <c r="N136" s="2" t="s">
        <v>43</v>
      </c>
    </row>
    <row r="137" spans="1:14" x14ac:dyDescent="0.25">
      <c r="A137" s="2" t="s">
        <v>459</v>
      </c>
      <c r="B137" s="2" t="s">
        <v>460</v>
      </c>
      <c r="C137" s="2" t="s">
        <v>67</v>
      </c>
      <c r="D137" s="2" t="s">
        <v>68</v>
      </c>
      <c r="E137" s="2" t="s">
        <v>79</v>
      </c>
      <c r="F137" s="2" t="s">
        <v>69</v>
      </c>
      <c r="G137" s="2" t="s">
        <v>20</v>
      </c>
      <c r="H137" s="2" t="s">
        <v>21</v>
      </c>
      <c r="I137" s="2">
        <v>24</v>
      </c>
      <c r="J137" s="2" t="s">
        <v>155</v>
      </c>
      <c r="K137" s="2"/>
      <c r="L137" s="2" t="s">
        <v>24</v>
      </c>
      <c r="M137" s="2"/>
      <c r="N137" s="2" t="s">
        <v>25</v>
      </c>
    </row>
    <row r="138" spans="1:14" x14ac:dyDescent="0.25">
      <c r="A138" s="2" t="s">
        <v>461</v>
      </c>
      <c r="B138" s="2" t="s">
        <v>462</v>
      </c>
      <c r="C138" s="2" t="s">
        <v>16</v>
      </c>
      <c r="D138" s="2" t="s">
        <v>17</v>
      </c>
      <c r="E138" s="2" t="s">
        <v>38</v>
      </c>
      <c r="F138" s="2" t="s">
        <v>30</v>
      </c>
      <c r="G138" s="2" t="s">
        <v>126</v>
      </c>
      <c r="H138" s="2" t="s">
        <v>21</v>
      </c>
      <c r="I138" s="2">
        <v>24</v>
      </c>
      <c r="J138" s="2" t="s">
        <v>155</v>
      </c>
      <c r="K138" s="2"/>
      <c r="L138" s="2" t="s">
        <v>24</v>
      </c>
      <c r="M138" s="2"/>
      <c r="N138" s="2" t="s">
        <v>25</v>
      </c>
    </row>
    <row r="139" spans="1:14" x14ac:dyDescent="0.25">
      <c r="A139" s="2" t="s">
        <v>463</v>
      </c>
      <c r="B139" s="2" t="s">
        <v>464</v>
      </c>
      <c r="C139" s="2" t="s">
        <v>16</v>
      </c>
      <c r="D139" s="2" t="s">
        <v>84</v>
      </c>
      <c r="E139" s="2" t="s">
        <v>46</v>
      </c>
      <c r="F139" s="2" t="s">
        <v>113</v>
      </c>
      <c r="G139" s="2" t="s">
        <v>31</v>
      </c>
      <c r="H139" s="2" t="s">
        <v>32</v>
      </c>
      <c r="I139" s="2">
        <v>48</v>
      </c>
      <c r="J139" s="2" t="s">
        <v>106</v>
      </c>
      <c r="K139" s="2" t="s">
        <v>465</v>
      </c>
      <c r="L139" s="2" t="s">
        <v>24</v>
      </c>
      <c r="M139" s="2">
        <v>1</v>
      </c>
      <c r="N139" s="2"/>
    </row>
    <row r="140" spans="1:14" x14ac:dyDescent="0.25">
      <c r="A140" s="2" t="s">
        <v>466</v>
      </c>
      <c r="B140" s="2" t="s">
        <v>467</v>
      </c>
      <c r="C140" s="2" t="s">
        <v>67</v>
      </c>
      <c r="D140" s="2" t="s">
        <v>95</v>
      </c>
      <c r="E140" s="2" t="s">
        <v>148</v>
      </c>
      <c r="F140" s="2" t="s">
        <v>131</v>
      </c>
      <c r="G140" s="2" t="s">
        <v>31</v>
      </c>
      <c r="H140" s="2" t="s">
        <v>74</v>
      </c>
      <c r="I140" s="2">
        <v>8</v>
      </c>
      <c r="J140" s="2" t="s">
        <v>149</v>
      </c>
      <c r="K140" s="2"/>
      <c r="L140" s="2" t="s">
        <v>24</v>
      </c>
      <c r="M140" s="2"/>
      <c r="N140" s="2" t="s">
        <v>25</v>
      </c>
    </row>
    <row r="141" spans="1:14" x14ac:dyDescent="0.25">
      <c r="A141" s="2" t="s">
        <v>468</v>
      </c>
      <c r="B141" s="2" t="s">
        <v>469</v>
      </c>
      <c r="C141" s="2" t="s">
        <v>16</v>
      </c>
      <c r="D141" s="2" t="s">
        <v>17</v>
      </c>
      <c r="E141" s="2" t="s">
        <v>38</v>
      </c>
      <c r="F141" s="2" t="s">
        <v>143</v>
      </c>
      <c r="G141" s="2" t="s">
        <v>211</v>
      </c>
      <c r="H141" s="2" t="s">
        <v>74</v>
      </c>
      <c r="I141" s="2">
        <v>8</v>
      </c>
      <c r="J141" s="2" t="s">
        <v>22</v>
      </c>
      <c r="K141" s="2" t="s">
        <v>470</v>
      </c>
      <c r="L141" s="2" t="s">
        <v>24</v>
      </c>
      <c r="M141" s="2"/>
      <c r="N141" s="2" t="s">
        <v>58</v>
      </c>
    </row>
    <row r="142" spans="1:14" x14ac:dyDescent="0.25">
      <c r="A142" s="2" t="s">
        <v>471</v>
      </c>
      <c r="B142" s="2" t="s">
        <v>472</v>
      </c>
      <c r="C142" s="2" t="s">
        <v>53</v>
      </c>
      <c r="D142" s="2" t="s">
        <v>61</v>
      </c>
      <c r="E142" s="2" t="s">
        <v>79</v>
      </c>
      <c r="F142" s="2" t="s">
        <v>62</v>
      </c>
      <c r="G142" s="2" t="s">
        <v>158</v>
      </c>
      <c r="H142" s="2" t="s">
        <v>21</v>
      </c>
      <c r="I142" s="2">
        <v>24</v>
      </c>
      <c r="J142" s="2" t="s">
        <v>11</v>
      </c>
      <c r="K142" s="2"/>
      <c r="L142" s="2" t="s">
        <v>92</v>
      </c>
      <c r="M142" s="2"/>
      <c r="N142" s="2" t="s">
        <v>64</v>
      </c>
    </row>
    <row r="143" spans="1:14" x14ac:dyDescent="0.25">
      <c r="A143" s="2" t="s">
        <v>473</v>
      </c>
      <c r="B143" s="2" t="s">
        <v>474</v>
      </c>
      <c r="C143" s="2" t="s">
        <v>16</v>
      </c>
      <c r="D143" s="2" t="s">
        <v>84</v>
      </c>
      <c r="E143" s="2" t="s">
        <v>46</v>
      </c>
      <c r="F143" s="2" t="s">
        <v>47</v>
      </c>
      <c r="G143" s="2" t="s">
        <v>110</v>
      </c>
      <c r="H143" s="2" t="s">
        <v>74</v>
      </c>
      <c r="I143" s="2">
        <v>8</v>
      </c>
      <c r="J143" s="2" t="s">
        <v>22</v>
      </c>
      <c r="K143" s="2" t="s">
        <v>475</v>
      </c>
      <c r="L143" s="2" t="s">
        <v>24</v>
      </c>
      <c r="M143" s="2"/>
      <c r="N143" s="2" t="s">
        <v>58</v>
      </c>
    </row>
    <row r="144" spans="1:14" x14ac:dyDescent="0.25">
      <c r="A144" s="2" t="s">
        <v>476</v>
      </c>
      <c r="B144" s="2" t="s">
        <v>477</v>
      </c>
      <c r="C144" s="2" t="s">
        <v>67</v>
      </c>
      <c r="D144" s="2" t="s">
        <v>68</v>
      </c>
      <c r="E144" s="2" t="s">
        <v>46</v>
      </c>
      <c r="F144" s="2" t="s">
        <v>113</v>
      </c>
      <c r="G144" s="2" t="s">
        <v>183</v>
      </c>
      <c r="H144" s="2" t="s">
        <v>21</v>
      </c>
      <c r="I144" s="2">
        <v>24</v>
      </c>
      <c r="J144" s="2" t="s">
        <v>22</v>
      </c>
      <c r="K144" s="2" t="s">
        <v>478</v>
      </c>
      <c r="L144" s="2" t="s">
        <v>24</v>
      </c>
      <c r="M144" s="2"/>
      <c r="N144" s="2" t="s">
        <v>58</v>
      </c>
    </row>
    <row r="145" spans="1:14" x14ac:dyDescent="0.25">
      <c r="A145" s="2" t="s">
        <v>479</v>
      </c>
      <c r="B145" s="2" t="s">
        <v>480</v>
      </c>
      <c r="C145" s="2" t="s">
        <v>16</v>
      </c>
      <c r="D145" s="2" t="s">
        <v>17</v>
      </c>
      <c r="E145" s="2" t="s">
        <v>46</v>
      </c>
      <c r="F145" s="2" t="s">
        <v>113</v>
      </c>
      <c r="G145" s="2" t="s">
        <v>105</v>
      </c>
      <c r="H145" s="2" t="s">
        <v>32</v>
      </c>
      <c r="I145" s="2">
        <v>48</v>
      </c>
      <c r="J145" s="2" t="s">
        <v>41</v>
      </c>
      <c r="K145" s="2" t="s">
        <v>481</v>
      </c>
      <c r="L145" s="2" t="s">
        <v>24</v>
      </c>
      <c r="M145" s="2"/>
      <c r="N145" s="2"/>
    </row>
    <row r="146" spans="1:14" x14ac:dyDescent="0.25">
      <c r="A146" s="2" t="s">
        <v>482</v>
      </c>
      <c r="B146" s="2" t="s">
        <v>483</v>
      </c>
      <c r="C146" s="2" t="s">
        <v>53</v>
      </c>
      <c r="D146" s="2" t="s">
        <v>61</v>
      </c>
      <c r="E146" s="2" t="s">
        <v>46</v>
      </c>
      <c r="F146" s="2" t="s">
        <v>55</v>
      </c>
      <c r="G146" s="2" t="s">
        <v>91</v>
      </c>
      <c r="H146" s="2" t="s">
        <v>80</v>
      </c>
      <c r="I146" s="2">
        <v>4</v>
      </c>
      <c r="J146" s="2" t="s">
        <v>117</v>
      </c>
      <c r="K146" s="2"/>
      <c r="L146" s="2" t="s">
        <v>24</v>
      </c>
      <c r="M146" s="2"/>
      <c r="N146" s="2" t="s">
        <v>64</v>
      </c>
    </row>
    <row r="147" spans="1:14" x14ac:dyDescent="0.25">
      <c r="A147" s="2" t="s">
        <v>484</v>
      </c>
      <c r="B147" s="2" t="s">
        <v>485</v>
      </c>
      <c r="C147" s="2" t="s">
        <v>53</v>
      </c>
      <c r="D147" s="2" t="s">
        <v>54</v>
      </c>
      <c r="E147" s="2" t="s">
        <v>90</v>
      </c>
      <c r="F147" s="2" t="s">
        <v>125</v>
      </c>
      <c r="G147" s="2" t="s">
        <v>183</v>
      </c>
      <c r="H147" s="2" t="s">
        <v>21</v>
      </c>
      <c r="I147" s="2">
        <v>24</v>
      </c>
      <c r="J147" s="2" t="s">
        <v>486</v>
      </c>
      <c r="K147" s="2" t="s">
        <v>487</v>
      </c>
      <c r="L147" s="2" t="s">
        <v>24</v>
      </c>
      <c r="M147" s="2"/>
      <c r="N147" s="2" t="s">
        <v>50</v>
      </c>
    </row>
    <row r="148" spans="1:14" x14ac:dyDescent="0.25">
      <c r="A148" s="2" t="s">
        <v>488</v>
      </c>
      <c r="B148" s="2" t="s">
        <v>489</v>
      </c>
      <c r="C148" s="2" t="s">
        <v>53</v>
      </c>
      <c r="D148" s="2" t="s">
        <v>61</v>
      </c>
      <c r="E148" s="2" t="s">
        <v>38</v>
      </c>
      <c r="F148" s="2" t="s">
        <v>55</v>
      </c>
      <c r="G148" s="2" t="s">
        <v>135</v>
      </c>
      <c r="H148" s="2" t="s">
        <v>21</v>
      </c>
      <c r="I148" s="2">
        <v>24</v>
      </c>
      <c r="J148" s="2" t="s">
        <v>22</v>
      </c>
      <c r="K148" s="2" t="s">
        <v>490</v>
      </c>
      <c r="L148" s="2" t="s">
        <v>24</v>
      </c>
      <c r="M148" s="2">
        <v>5</v>
      </c>
      <c r="N148" s="2" t="s">
        <v>118</v>
      </c>
    </row>
    <row r="149" spans="1:14" x14ac:dyDescent="0.25">
      <c r="A149" s="2" t="s">
        <v>484</v>
      </c>
      <c r="B149" s="2" t="s">
        <v>485</v>
      </c>
      <c r="C149" s="2" t="s">
        <v>53</v>
      </c>
      <c r="D149" s="2" t="s">
        <v>54</v>
      </c>
      <c r="E149" s="2" t="s">
        <v>90</v>
      </c>
      <c r="F149" s="2" t="s">
        <v>125</v>
      </c>
      <c r="G149" s="2" t="s">
        <v>183</v>
      </c>
      <c r="H149" s="2" t="s">
        <v>21</v>
      </c>
      <c r="I149" s="2">
        <v>24</v>
      </c>
      <c r="J149" s="2" t="s">
        <v>486</v>
      </c>
      <c r="K149" s="2" t="s">
        <v>487</v>
      </c>
      <c r="L149" s="2" t="s">
        <v>24</v>
      </c>
      <c r="M149" s="2"/>
      <c r="N149" s="2" t="s">
        <v>50</v>
      </c>
    </row>
    <row r="150" spans="1:14" x14ac:dyDescent="0.25">
      <c r="A150" s="2" t="s">
        <v>491</v>
      </c>
      <c r="B150" s="2" t="s">
        <v>492</v>
      </c>
      <c r="C150" s="2" t="s">
        <v>67</v>
      </c>
      <c r="D150" s="2" t="s">
        <v>68</v>
      </c>
      <c r="E150" s="2" t="s">
        <v>90</v>
      </c>
      <c r="F150" s="2" t="s">
        <v>96</v>
      </c>
      <c r="G150" s="2" t="s">
        <v>139</v>
      </c>
      <c r="H150" s="2" t="s">
        <v>32</v>
      </c>
      <c r="I150" s="2">
        <v>48</v>
      </c>
      <c r="J150" s="2" t="s">
        <v>106</v>
      </c>
      <c r="K150" s="2" t="s">
        <v>493</v>
      </c>
      <c r="L150" s="2" t="s">
        <v>24</v>
      </c>
      <c r="M150" s="2">
        <v>4</v>
      </c>
      <c r="N150" s="2"/>
    </row>
    <row r="151" spans="1:14" x14ac:dyDescent="0.25">
      <c r="A151" s="2" t="s">
        <v>494</v>
      </c>
      <c r="B151" s="2" t="s">
        <v>495</v>
      </c>
      <c r="C151" s="2" t="s">
        <v>67</v>
      </c>
      <c r="D151" s="2" t="s">
        <v>95</v>
      </c>
      <c r="E151" s="2" t="s">
        <v>38</v>
      </c>
      <c r="F151" s="2" t="s">
        <v>19</v>
      </c>
      <c r="G151" s="2" t="s">
        <v>105</v>
      </c>
      <c r="H151" s="2" t="s">
        <v>21</v>
      </c>
      <c r="I151" s="2">
        <v>24</v>
      </c>
      <c r="J151" s="2" t="s">
        <v>75</v>
      </c>
      <c r="K151" s="2" t="s">
        <v>496</v>
      </c>
      <c r="L151" s="2" t="s">
        <v>24</v>
      </c>
      <c r="M151" s="2">
        <v>5</v>
      </c>
      <c r="N151" s="2"/>
    </row>
    <row r="152" spans="1:14" x14ac:dyDescent="0.25">
      <c r="A152" s="2" t="s">
        <v>497</v>
      </c>
      <c r="B152" s="2" t="s">
        <v>498</v>
      </c>
      <c r="C152" s="2" t="s">
        <v>28</v>
      </c>
      <c r="D152" s="2" t="s">
        <v>100</v>
      </c>
      <c r="E152" s="2" t="s">
        <v>38</v>
      </c>
      <c r="F152" s="2" t="s">
        <v>47</v>
      </c>
      <c r="G152" s="2" t="s">
        <v>135</v>
      </c>
      <c r="H152" s="2" t="s">
        <v>74</v>
      </c>
      <c r="I152" s="2">
        <v>8</v>
      </c>
      <c r="J152" s="2" t="s">
        <v>117</v>
      </c>
      <c r="K152" s="2"/>
      <c r="L152" s="2" t="s">
        <v>24</v>
      </c>
      <c r="M152" s="2"/>
      <c r="N152" s="2" t="s">
        <v>58</v>
      </c>
    </row>
    <row r="153" spans="1:14" x14ac:dyDescent="0.25">
      <c r="A153" s="2" t="s">
        <v>499</v>
      </c>
      <c r="B153" s="2" t="s">
        <v>500</v>
      </c>
      <c r="C153" s="2" t="s">
        <v>53</v>
      </c>
      <c r="D153" s="2" t="s">
        <v>54</v>
      </c>
      <c r="E153" s="2" t="s">
        <v>79</v>
      </c>
      <c r="F153" s="2" t="s">
        <v>39</v>
      </c>
      <c r="G153" s="2" t="s">
        <v>158</v>
      </c>
      <c r="H153" s="2" t="s">
        <v>32</v>
      </c>
      <c r="I153" s="2">
        <v>48</v>
      </c>
      <c r="J153" s="2" t="s">
        <v>232</v>
      </c>
      <c r="K153" s="2"/>
      <c r="L153" s="2" t="s">
        <v>92</v>
      </c>
      <c r="M153" s="2"/>
      <c r="N153" s="2"/>
    </row>
    <row r="154" spans="1:14" x14ac:dyDescent="0.25">
      <c r="A154" s="2" t="s">
        <v>501</v>
      </c>
      <c r="B154" s="2" t="s">
        <v>502</v>
      </c>
      <c r="C154" s="2" t="s">
        <v>28</v>
      </c>
      <c r="D154" s="2" t="s">
        <v>100</v>
      </c>
      <c r="E154" s="2" t="s">
        <v>85</v>
      </c>
      <c r="F154" s="2" t="s">
        <v>113</v>
      </c>
      <c r="G154" s="2" t="s">
        <v>211</v>
      </c>
      <c r="H154" s="2" t="s">
        <v>32</v>
      </c>
      <c r="I154" s="2">
        <v>48</v>
      </c>
      <c r="J154" s="2" t="s">
        <v>48</v>
      </c>
      <c r="K154" s="2" t="s">
        <v>503</v>
      </c>
      <c r="L154" s="2" t="s">
        <v>24</v>
      </c>
      <c r="M154" s="2"/>
      <c r="N154" s="2" t="s">
        <v>34</v>
      </c>
    </row>
    <row r="155" spans="1:14" x14ac:dyDescent="0.25">
      <c r="A155" s="2" t="s">
        <v>504</v>
      </c>
      <c r="B155" s="2" t="s">
        <v>505</v>
      </c>
      <c r="C155" s="2" t="s">
        <v>53</v>
      </c>
      <c r="D155" s="2" t="s">
        <v>54</v>
      </c>
      <c r="E155" s="2" t="s">
        <v>79</v>
      </c>
      <c r="F155" s="2" t="s">
        <v>125</v>
      </c>
      <c r="G155" s="2" t="s">
        <v>31</v>
      </c>
      <c r="H155" s="2" t="s">
        <v>21</v>
      </c>
      <c r="I155" s="2">
        <v>24</v>
      </c>
      <c r="J155" s="2" t="s">
        <v>117</v>
      </c>
      <c r="K155" s="2"/>
      <c r="L155" s="2" t="s">
        <v>92</v>
      </c>
      <c r="M155" s="2"/>
      <c r="N155" s="2"/>
    </row>
    <row r="156" spans="1:14" x14ac:dyDescent="0.25">
      <c r="A156" s="2" t="s">
        <v>506</v>
      </c>
      <c r="B156" s="2" t="s">
        <v>507</v>
      </c>
      <c r="C156" s="2" t="s">
        <v>28</v>
      </c>
      <c r="D156" s="2" t="s">
        <v>37</v>
      </c>
      <c r="E156" s="2" t="s">
        <v>18</v>
      </c>
      <c r="F156" s="2" t="s">
        <v>125</v>
      </c>
      <c r="G156" s="2" t="s">
        <v>31</v>
      </c>
      <c r="H156" s="2" t="s">
        <v>21</v>
      </c>
      <c r="I156" s="2">
        <v>24</v>
      </c>
      <c r="J156" s="2" t="s">
        <v>56</v>
      </c>
      <c r="K156" s="2" t="s">
        <v>508</v>
      </c>
      <c r="L156" s="2" t="s">
        <v>24</v>
      </c>
      <c r="M156" s="2"/>
      <c r="N156" s="2"/>
    </row>
    <row r="157" spans="1:14" x14ac:dyDescent="0.25">
      <c r="A157" s="2" t="s">
        <v>509</v>
      </c>
      <c r="B157" s="2" t="s">
        <v>510</v>
      </c>
      <c r="C157" s="2" t="s">
        <v>28</v>
      </c>
      <c r="D157" s="2" t="s">
        <v>100</v>
      </c>
      <c r="E157" s="2" t="s">
        <v>79</v>
      </c>
      <c r="F157" s="2" t="s">
        <v>55</v>
      </c>
      <c r="G157" s="2" t="s">
        <v>144</v>
      </c>
      <c r="H157" s="2" t="s">
        <v>80</v>
      </c>
      <c r="I157" s="2">
        <v>4</v>
      </c>
      <c r="J157" s="2" t="s">
        <v>187</v>
      </c>
      <c r="K157" s="2"/>
      <c r="L157" s="2" t="s">
        <v>24</v>
      </c>
      <c r="M157" s="2">
        <v>4</v>
      </c>
      <c r="N157" s="2"/>
    </row>
    <row r="158" spans="1:14" x14ac:dyDescent="0.25">
      <c r="A158" s="2" t="s">
        <v>511</v>
      </c>
      <c r="B158" s="2" t="s">
        <v>512</v>
      </c>
      <c r="C158" s="2" t="s">
        <v>16</v>
      </c>
      <c r="D158" s="2" t="s">
        <v>84</v>
      </c>
      <c r="E158" s="2" t="s">
        <v>18</v>
      </c>
      <c r="F158" s="2" t="s">
        <v>19</v>
      </c>
      <c r="G158" s="2" t="s">
        <v>70</v>
      </c>
      <c r="H158" s="2" t="s">
        <v>74</v>
      </c>
      <c r="I158" s="2">
        <v>8</v>
      </c>
      <c r="J158" s="2" t="s">
        <v>106</v>
      </c>
      <c r="K158" s="2" t="s">
        <v>513</v>
      </c>
      <c r="L158" s="2" t="s">
        <v>24</v>
      </c>
      <c r="M158" s="2"/>
      <c r="N158" s="2" t="s">
        <v>50</v>
      </c>
    </row>
    <row r="159" spans="1:14" x14ac:dyDescent="0.25">
      <c r="A159" s="2" t="s">
        <v>514</v>
      </c>
      <c r="B159" s="2" t="s">
        <v>515</v>
      </c>
      <c r="C159" s="2" t="s">
        <v>16</v>
      </c>
      <c r="D159" s="2" t="s">
        <v>17</v>
      </c>
      <c r="E159" s="2" t="s">
        <v>79</v>
      </c>
      <c r="F159" s="2" t="s">
        <v>30</v>
      </c>
      <c r="G159" s="2" t="s">
        <v>183</v>
      </c>
      <c r="H159" s="2" t="s">
        <v>21</v>
      </c>
      <c r="I159" s="2">
        <v>24</v>
      </c>
      <c r="J159" s="2" t="s">
        <v>22</v>
      </c>
      <c r="K159" s="2" t="s">
        <v>516</v>
      </c>
      <c r="L159" s="2" t="s">
        <v>24</v>
      </c>
      <c r="M159" s="2">
        <v>2</v>
      </c>
      <c r="N159" s="2" t="s">
        <v>43</v>
      </c>
    </row>
    <row r="160" spans="1:14" x14ac:dyDescent="0.25">
      <c r="A160" s="2" t="s">
        <v>517</v>
      </c>
      <c r="B160" s="2" t="s">
        <v>518</v>
      </c>
      <c r="C160" s="2" t="s">
        <v>28</v>
      </c>
      <c r="D160" s="2" t="s">
        <v>100</v>
      </c>
      <c r="E160" s="2" t="s">
        <v>90</v>
      </c>
      <c r="F160" s="2" t="s">
        <v>113</v>
      </c>
      <c r="G160" s="2" t="s">
        <v>97</v>
      </c>
      <c r="H160" s="2" t="s">
        <v>21</v>
      </c>
      <c r="I160" s="2">
        <v>24</v>
      </c>
      <c r="J160" s="2" t="s">
        <v>187</v>
      </c>
      <c r="K160" s="2" t="s">
        <v>519</v>
      </c>
      <c r="L160" s="2" t="s">
        <v>24</v>
      </c>
      <c r="M160" s="2">
        <v>2</v>
      </c>
      <c r="N160" s="2" t="s">
        <v>64</v>
      </c>
    </row>
    <row r="161" spans="1:14" x14ac:dyDescent="0.25">
      <c r="A161" s="2" t="s">
        <v>520</v>
      </c>
      <c r="B161" s="2" t="s">
        <v>521</v>
      </c>
      <c r="C161" s="2" t="s">
        <v>53</v>
      </c>
      <c r="D161" s="2" t="s">
        <v>54</v>
      </c>
      <c r="E161" s="2" t="s">
        <v>148</v>
      </c>
      <c r="F161" s="2" t="s">
        <v>113</v>
      </c>
      <c r="G161" s="2" t="s">
        <v>126</v>
      </c>
      <c r="H161" s="2" t="s">
        <v>74</v>
      </c>
      <c r="I161" s="2">
        <v>8</v>
      </c>
      <c r="J161" s="2" t="s">
        <v>187</v>
      </c>
      <c r="K161" s="2" t="s">
        <v>522</v>
      </c>
      <c r="L161" s="2" t="s">
        <v>24</v>
      </c>
      <c r="M161" s="2"/>
      <c r="N161" s="2" t="s">
        <v>58</v>
      </c>
    </row>
    <row r="162" spans="1:14" x14ac:dyDescent="0.25">
      <c r="A162" s="2" t="s">
        <v>523</v>
      </c>
      <c r="B162" s="2" t="s">
        <v>524</v>
      </c>
      <c r="C162" s="2" t="s">
        <v>67</v>
      </c>
      <c r="D162" s="2" t="s">
        <v>95</v>
      </c>
      <c r="E162" s="2" t="s">
        <v>38</v>
      </c>
      <c r="F162" s="2" t="s">
        <v>19</v>
      </c>
      <c r="G162" s="2" t="s">
        <v>31</v>
      </c>
      <c r="H162" s="2" t="s">
        <v>21</v>
      </c>
      <c r="I162" s="2">
        <v>24</v>
      </c>
      <c r="J162" s="2" t="s">
        <v>187</v>
      </c>
      <c r="K162" s="2" t="s">
        <v>525</v>
      </c>
      <c r="L162" s="2" t="s">
        <v>24</v>
      </c>
      <c r="M162" s="2">
        <v>2</v>
      </c>
      <c r="N162" s="2" t="s">
        <v>58</v>
      </c>
    </row>
    <row r="163" spans="1:14" x14ac:dyDescent="0.25">
      <c r="A163" s="2" t="s">
        <v>526</v>
      </c>
      <c r="B163" s="2" t="s">
        <v>527</v>
      </c>
      <c r="C163" s="2" t="s">
        <v>53</v>
      </c>
      <c r="D163" s="2" t="s">
        <v>61</v>
      </c>
      <c r="E163" s="2" t="s">
        <v>85</v>
      </c>
      <c r="F163" s="2" t="s">
        <v>96</v>
      </c>
      <c r="G163" s="2" t="s">
        <v>211</v>
      </c>
      <c r="H163" s="2" t="s">
        <v>74</v>
      </c>
      <c r="I163" s="2">
        <v>8</v>
      </c>
      <c r="J163" s="2" t="s">
        <v>22</v>
      </c>
      <c r="K163" s="2" t="s">
        <v>528</v>
      </c>
      <c r="L163" s="2" t="s">
        <v>24</v>
      </c>
      <c r="M163" s="2">
        <v>4</v>
      </c>
      <c r="N163" s="2" t="s">
        <v>25</v>
      </c>
    </row>
    <row r="164" spans="1:14" x14ac:dyDescent="0.25">
      <c r="A164" s="2" t="s">
        <v>529</v>
      </c>
      <c r="B164" s="2" t="s">
        <v>530</v>
      </c>
      <c r="C164" s="2" t="s">
        <v>53</v>
      </c>
      <c r="D164" s="2" t="s">
        <v>54</v>
      </c>
      <c r="E164" s="2" t="s">
        <v>79</v>
      </c>
      <c r="F164" s="2" t="s">
        <v>39</v>
      </c>
      <c r="G164" s="2" t="s">
        <v>183</v>
      </c>
      <c r="H164" s="2" t="s">
        <v>32</v>
      </c>
      <c r="I164" s="2">
        <v>48</v>
      </c>
      <c r="J164" s="2" t="s">
        <v>48</v>
      </c>
      <c r="K164" s="2" t="s">
        <v>531</v>
      </c>
      <c r="L164" s="2" t="s">
        <v>24</v>
      </c>
      <c r="M164" s="2"/>
      <c r="N164" s="2" t="s">
        <v>43</v>
      </c>
    </row>
    <row r="165" spans="1:14" x14ac:dyDescent="0.25">
      <c r="A165" s="2" t="s">
        <v>532</v>
      </c>
      <c r="B165" s="2" t="s">
        <v>533</v>
      </c>
      <c r="C165" s="2" t="s">
        <v>53</v>
      </c>
      <c r="D165" s="2" t="s">
        <v>54</v>
      </c>
      <c r="E165" s="2" t="s">
        <v>46</v>
      </c>
      <c r="F165" s="2" t="s">
        <v>55</v>
      </c>
      <c r="G165" s="2" t="s">
        <v>110</v>
      </c>
      <c r="H165" s="2" t="s">
        <v>21</v>
      </c>
      <c r="I165" s="2">
        <v>24</v>
      </c>
      <c r="J165" s="2" t="s">
        <v>41</v>
      </c>
      <c r="K165" s="2" t="s">
        <v>534</v>
      </c>
      <c r="L165" s="2" t="s">
        <v>24</v>
      </c>
      <c r="M165" s="2">
        <v>3</v>
      </c>
      <c r="N165" s="2" t="s">
        <v>34</v>
      </c>
    </row>
    <row r="166" spans="1:14" x14ac:dyDescent="0.25">
      <c r="A166" s="2" t="s">
        <v>535</v>
      </c>
      <c r="B166" s="2" t="s">
        <v>536</v>
      </c>
      <c r="C166" s="2" t="s">
        <v>67</v>
      </c>
      <c r="D166" s="2" t="s">
        <v>68</v>
      </c>
      <c r="E166" s="2" t="s">
        <v>46</v>
      </c>
      <c r="F166" s="2" t="s">
        <v>30</v>
      </c>
      <c r="G166" s="2" t="s">
        <v>20</v>
      </c>
      <c r="H166" s="2" t="s">
        <v>21</v>
      </c>
      <c r="I166" s="2">
        <v>24</v>
      </c>
      <c r="J166" s="2" t="s">
        <v>106</v>
      </c>
      <c r="K166" s="2" t="s">
        <v>537</v>
      </c>
      <c r="L166" s="2" t="s">
        <v>24</v>
      </c>
      <c r="M166" s="2"/>
      <c r="N166" s="2" t="s">
        <v>50</v>
      </c>
    </row>
    <row r="167" spans="1:14" x14ac:dyDescent="0.25">
      <c r="A167" s="2" t="s">
        <v>538</v>
      </c>
      <c r="B167" s="2" t="s">
        <v>539</v>
      </c>
      <c r="C167" s="2" t="s">
        <v>53</v>
      </c>
      <c r="D167" s="2" t="s">
        <v>54</v>
      </c>
      <c r="E167" s="2" t="s">
        <v>79</v>
      </c>
      <c r="F167" s="2" t="s">
        <v>62</v>
      </c>
      <c r="G167" s="2" t="s">
        <v>101</v>
      </c>
      <c r="H167" s="2" t="s">
        <v>21</v>
      </c>
      <c r="I167" s="2">
        <v>24</v>
      </c>
      <c r="J167" s="2" t="s">
        <v>41</v>
      </c>
      <c r="K167" s="2" t="s">
        <v>540</v>
      </c>
      <c r="L167" s="2" t="s">
        <v>24</v>
      </c>
      <c r="M167" s="2">
        <v>3</v>
      </c>
      <c r="N167" s="2" t="s">
        <v>50</v>
      </c>
    </row>
    <row r="168" spans="1:14" x14ac:dyDescent="0.25">
      <c r="A168" s="2" t="s">
        <v>541</v>
      </c>
      <c r="B168" s="2" t="s">
        <v>542</v>
      </c>
      <c r="C168" s="2" t="s">
        <v>16</v>
      </c>
      <c r="D168" s="2" t="s">
        <v>84</v>
      </c>
      <c r="E168" s="2" t="s">
        <v>79</v>
      </c>
      <c r="F168" s="2" t="s">
        <v>69</v>
      </c>
      <c r="G168" s="2" t="s">
        <v>70</v>
      </c>
      <c r="H168" s="2" t="s">
        <v>74</v>
      </c>
      <c r="I168" s="2">
        <v>8</v>
      </c>
      <c r="J168" s="2" t="s">
        <v>22</v>
      </c>
      <c r="K168" s="2" t="s">
        <v>543</v>
      </c>
      <c r="L168" s="2" t="s">
        <v>24</v>
      </c>
      <c r="M168" s="2"/>
      <c r="N168" s="2" t="s">
        <v>50</v>
      </c>
    </row>
    <row r="169" spans="1:14" x14ac:dyDescent="0.25">
      <c r="A169" s="2" t="s">
        <v>544</v>
      </c>
      <c r="B169" s="2" t="s">
        <v>545</v>
      </c>
      <c r="C169" s="2" t="s">
        <v>28</v>
      </c>
      <c r="D169" s="2" t="s">
        <v>100</v>
      </c>
      <c r="E169" s="2" t="s">
        <v>18</v>
      </c>
      <c r="F169" s="2" t="s">
        <v>125</v>
      </c>
      <c r="G169" s="2" t="s">
        <v>144</v>
      </c>
      <c r="H169" s="2" t="s">
        <v>74</v>
      </c>
      <c r="I169" s="2">
        <v>8</v>
      </c>
      <c r="J169" s="2" t="s">
        <v>149</v>
      </c>
      <c r="K169" s="2"/>
      <c r="L169" s="2" t="s">
        <v>24</v>
      </c>
      <c r="M169" s="2"/>
      <c r="N169" s="2" t="s">
        <v>118</v>
      </c>
    </row>
    <row r="170" spans="1:14" x14ac:dyDescent="0.25">
      <c r="A170" s="2" t="s">
        <v>546</v>
      </c>
      <c r="B170" s="2" t="s">
        <v>547</v>
      </c>
      <c r="C170" s="2" t="s">
        <v>28</v>
      </c>
      <c r="D170" s="2" t="s">
        <v>100</v>
      </c>
      <c r="E170" s="2" t="s">
        <v>18</v>
      </c>
      <c r="F170" s="2" t="s">
        <v>30</v>
      </c>
      <c r="G170" s="2" t="s">
        <v>40</v>
      </c>
      <c r="H170" s="2" t="s">
        <v>80</v>
      </c>
      <c r="I170" s="2">
        <v>4</v>
      </c>
      <c r="J170" s="2" t="s">
        <v>41</v>
      </c>
      <c r="K170" s="2" t="s">
        <v>548</v>
      </c>
      <c r="L170" s="2" t="s">
        <v>24</v>
      </c>
      <c r="M170" s="2">
        <v>1</v>
      </c>
      <c r="N170" s="2" t="s">
        <v>43</v>
      </c>
    </row>
    <row r="171" spans="1:14" x14ac:dyDescent="0.25">
      <c r="A171" s="2" t="s">
        <v>549</v>
      </c>
      <c r="B171" s="2" t="s">
        <v>550</v>
      </c>
      <c r="C171" s="2" t="s">
        <v>67</v>
      </c>
      <c r="D171" s="2" t="s">
        <v>95</v>
      </c>
      <c r="E171" s="2" t="s">
        <v>18</v>
      </c>
      <c r="F171" s="2" t="s">
        <v>125</v>
      </c>
      <c r="G171" s="2" t="s">
        <v>158</v>
      </c>
      <c r="H171" s="2" t="s">
        <v>74</v>
      </c>
      <c r="I171" s="2">
        <v>8</v>
      </c>
      <c r="J171" s="2" t="s">
        <v>106</v>
      </c>
      <c r="K171" s="2" t="s">
        <v>551</v>
      </c>
      <c r="L171" s="2" t="s">
        <v>24</v>
      </c>
      <c r="M171" s="2">
        <v>2</v>
      </c>
      <c r="N171" s="2"/>
    </row>
    <row r="172" spans="1:14" x14ac:dyDescent="0.25">
      <c r="A172" s="2" t="s">
        <v>552</v>
      </c>
      <c r="B172" s="2" t="s">
        <v>553</v>
      </c>
      <c r="C172" s="2" t="s">
        <v>28</v>
      </c>
      <c r="D172" s="2" t="s">
        <v>37</v>
      </c>
      <c r="E172" s="2" t="s">
        <v>79</v>
      </c>
      <c r="F172" s="2" t="s">
        <v>19</v>
      </c>
      <c r="G172" s="2" t="s">
        <v>97</v>
      </c>
      <c r="H172" s="2" t="s">
        <v>32</v>
      </c>
      <c r="I172" s="2">
        <v>48</v>
      </c>
      <c r="J172" s="2" t="s">
        <v>41</v>
      </c>
      <c r="K172" s="2" t="s">
        <v>554</v>
      </c>
      <c r="L172" s="2" t="s">
        <v>24</v>
      </c>
      <c r="M172" s="2">
        <v>4</v>
      </c>
      <c r="N172" s="2" t="s">
        <v>34</v>
      </c>
    </row>
    <row r="173" spans="1:14" x14ac:dyDescent="0.25">
      <c r="A173" s="2" t="s">
        <v>555</v>
      </c>
      <c r="B173" s="2" t="s">
        <v>556</v>
      </c>
      <c r="C173" s="2" t="s">
        <v>53</v>
      </c>
      <c r="D173" s="2" t="s">
        <v>61</v>
      </c>
      <c r="E173" s="2" t="s">
        <v>38</v>
      </c>
      <c r="F173" s="2" t="s">
        <v>62</v>
      </c>
      <c r="G173" s="2" t="s">
        <v>31</v>
      </c>
      <c r="H173" s="2" t="s">
        <v>74</v>
      </c>
      <c r="I173" s="2">
        <v>8</v>
      </c>
      <c r="J173" s="2" t="s">
        <v>187</v>
      </c>
      <c r="K173" s="2" t="s">
        <v>557</v>
      </c>
      <c r="L173" s="2" t="s">
        <v>24</v>
      </c>
      <c r="M173" s="2">
        <v>4</v>
      </c>
      <c r="N173" s="2"/>
    </row>
    <row r="174" spans="1:14" x14ac:dyDescent="0.25">
      <c r="A174" s="2" t="s">
        <v>558</v>
      </c>
      <c r="B174" s="2" t="s">
        <v>559</v>
      </c>
      <c r="C174" s="2" t="s">
        <v>67</v>
      </c>
      <c r="D174" s="2" t="s">
        <v>95</v>
      </c>
      <c r="E174" s="2" t="s">
        <v>85</v>
      </c>
      <c r="F174" s="2" t="s">
        <v>30</v>
      </c>
      <c r="G174" s="2" t="s">
        <v>91</v>
      </c>
      <c r="H174" s="2" t="s">
        <v>74</v>
      </c>
      <c r="I174" s="2">
        <v>8</v>
      </c>
      <c r="J174" s="2" t="s">
        <v>106</v>
      </c>
      <c r="K174" s="2" t="s">
        <v>560</v>
      </c>
      <c r="L174" s="2" t="s">
        <v>24</v>
      </c>
      <c r="M174" s="2"/>
      <c r="N174" s="2" t="s">
        <v>128</v>
      </c>
    </row>
    <row r="175" spans="1:14" x14ac:dyDescent="0.25">
      <c r="A175" s="2" t="s">
        <v>561</v>
      </c>
      <c r="B175" s="2" t="s">
        <v>562</v>
      </c>
      <c r="C175" s="2" t="s">
        <v>53</v>
      </c>
      <c r="D175" s="2" t="s">
        <v>61</v>
      </c>
      <c r="E175" s="2" t="s">
        <v>79</v>
      </c>
      <c r="F175" s="2" t="s">
        <v>113</v>
      </c>
      <c r="G175" s="2" t="s">
        <v>139</v>
      </c>
      <c r="H175" s="2" t="s">
        <v>32</v>
      </c>
      <c r="I175" s="2">
        <v>48</v>
      </c>
      <c r="J175" s="2" t="s">
        <v>117</v>
      </c>
      <c r="K175" s="2"/>
      <c r="L175" s="2" t="s">
        <v>92</v>
      </c>
      <c r="M175" s="2"/>
      <c r="N175" s="2" t="s">
        <v>43</v>
      </c>
    </row>
    <row r="176" spans="1:14" x14ac:dyDescent="0.25">
      <c r="A176" s="2" t="s">
        <v>563</v>
      </c>
      <c r="B176" s="2" t="s">
        <v>564</v>
      </c>
      <c r="C176" s="2" t="s">
        <v>67</v>
      </c>
      <c r="D176" s="2" t="s">
        <v>95</v>
      </c>
      <c r="E176" s="2" t="s">
        <v>46</v>
      </c>
      <c r="F176" s="2" t="s">
        <v>96</v>
      </c>
      <c r="G176" s="2" t="s">
        <v>179</v>
      </c>
      <c r="H176" s="2" t="s">
        <v>32</v>
      </c>
      <c r="I176" s="2">
        <v>48</v>
      </c>
      <c r="J176" s="2" t="s">
        <v>191</v>
      </c>
      <c r="K176" s="2" t="s">
        <v>565</v>
      </c>
      <c r="L176" s="2" t="s">
        <v>24</v>
      </c>
      <c r="M176" s="2"/>
      <c r="N176" s="2"/>
    </row>
    <row r="177" spans="1:14" x14ac:dyDescent="0.25">
      <c r="A177" s="2" t="s">
        <v>566</v>
      </c>
      <c r="B177" s="2" t="s">
        <v>567</v>
      </c>
      <c r="C177" s="2" t="s">
        <v>28</v>
      </c>
      <c r="D177" s="2" t="s">
        <v>100</v>
      </c>
      <c r="E177" s="2" t="s">
        <v>148</v>
      </c>
      <c r="F177" s="2" t="s">
        <v>96</v>
      </c>
      <c r="G177" s="2" t="s">
        <v>110</v>
      </c>
      <c r="H177" s="2" t="s">
        <v>32</v>
      </c>
      <c r="I177" s="2">
        <v>48</v>
      </c>
      <c r="J177" s="2" t="s">
        <v>200</v>
      </c>
      <c r="K177" s="2"/>
      <c r="L177" s="2" t="s">
        <v>92</v>
      </c>
      <c r="M177" s="2"/>
      <c r="N177" s="2" t="s">
        <v>50</v>
      </c>
    </row>
    <row r="178" spans="1:14" x14ac:dyDescent="0.25">
      <c r="A178" s="2" t="s">
        <v>568</v>
      </c>
      <c r="B178" s="2" t="s">
        <v>569</v>
      </c>
      <c r="C178" s="2" t="s">
        <v>28</v>
      </c>
      <c r="D178" s="2" t="s">
        <v>100</v>
      </c>
      <c r="E178" s="2" t="s">
        <v>90</v>
      </c>
      <c r="F178" s="2" t="s">
        <v>113</v>
      </c>
      <c r="G178" s="2" t="s">
        <v>110</v>
      </c>
      <c r="H178" s="2" t="s">
        <v>21</v>
      </c>
      <c r="I178" s="2">
        <v>24</v>
      </c>
      <c r="J178" s="2" t="s">
        <v>187</v>
      </c>
      <c r="K178" s="2" t="s">
        <v>570</v>
      </c>
      <c r="L178" s="2" t="s">
        <v>24</v>
      </c>
      <c r="M178" s="2">
        <v>5</v>
      </c>
      <c r="N178" s="2" t="s">
        <v>25</v>
      </c>
    </row>
    <row r="179" spans="1:14" x14ac:dyDescent="0.25">
      <c r="A179" s="2" t="s">
        <v>571</v>
      </c>
      <c r="B179" s="2" t="s">
        <v>572</v>
      </c>
      <c r="C179" s="2" t="s">
        <v>53</v>
      </c>
      <c r="D179" s="2" t="s">
        <v>162</v>
      </c>
      <c r="E179" s="2" t="s">
        <v>38</v>
      </c>
      <c r="F179" s="2" t="s">
        <v>96</v>
      </c>
      <c r="G179" s="2" t="s">
        <v>126</v>
      </c>
      <c r="H179" s="2" t="s">
        <v>74</v>
      </c>
      <c r="I179" s="2">
        <v>8</v>
      </c>
      <c r="J179" s="2" t="s">
        <v>106</v>
      </c>
      <c r="K179" s="2" t="s">
        <v>573</v>
      </c>
      <c r="L179" s="2" t="s">
        <v>24</v>
      </c>
      <c r="M179" s="2">
        <v>5</v>
      </c>
      <c r="N179" s="2" t="s">
        <v>128</v>
      </c>
    </row>
    <row r="180" spans="1:14" x14ac:dyDescent="0.25">
      <c r="A180" s="2" t="s">
        <v>574</v>
      </c>
      <c r="B180" s="2" t="s">
        <v>575</v>
      </c>
      <c r="C180" s="2" t="s">
        <v>28</v>
      </c>
      <c r="D180" s="2" t="s">
        <v>37</v>
      </c>
      <c r="E180" s="2" t="s">
        <v>38</v>
      </c>
      <c r="F180" s="2" t="s">
        <v>47</v>
      </c>
      <c r="G180" s="2" t="s">
        <v>211</v>
      </c>
      <c r="H180" s="2" t="s">
        <v>74</v>
      </c>
      <c r="I180" s="2">
        <v>8</v>
      </c>
      <c r="J180" s="2" t="s">
        <v>106</v>
      </c>
      <c r="K180" s="2" t="s">
        <v>576</v>
      </c>
      <c r="L180" s="2" t="s">
        <v>24</v>
      </c>
      <c r="M180" s="2">
        <v>3</v>
      </c>
      <c r="N180" s="2"/>
    </row>
    <row r="181" spans="1:14" x14ac:dyDescent="0.25">
      <c r="A181" s="2" t="s">
        <v>577</v>
      </c>
      <c r="B181" s="2" t="s">
        <v>578</v>
      </c>
      <c r="C181" s="2" t="s">
        <v>67</v>
      </c>
      <c r="D181" s="2" t="s">
        <v>95</v>
      </c>
      <c r="E181" s="2" t="s">
        <v>90</v>
      </c>
      <c r="F181" s="2" t="s">
        <v>131</v>
      </c>
      <c r="G181" s="2" t="s">
        <v>110</v>
      </c>
      <c r="H181" s="2" t="s">
        <v>32</v>
      </c>
      <c r="I181" s="2">
        <v>48</v>
      </c>
      <c r="J181" s="2" t="s">
        <v>22</v>
      </c>
      <c r="K181" s="2" t="s">
        <v>579</v>
      </c>
      <c r="L181" s="2" t="s">
        <v>24</v>
      </c>
      <c r="M181" s="2"/>
      <c r="N181" s="2" t="s">
        <v>25</v>
      </c>
    </row>
    <row r="182" spans="1:14" x14ac:dyDescent="0.25">
      <c r="A182" s="2" t="s">
        <v>580</v>
      </c>
      <c r="B182" s="2" t="s">
        <v>581</v>
      </c>
      <c r="C182" s="2" t="s">
        <v>53</v>
      </c>
      <c r="D182" s="2" t="s">
        <v>61</v>
      </c>
      <c r="E182" s="2" t="s">
        <v>38</v>
      </c>
      <c r="F182" s="2" t="s">
        <v>131</v>
      </c>
      <c r="G182" s="2" t="s">
        <v>110</v>
      </c>
      <c r="H182" s="2" t="s">
        <v>80</v>
      </c>
      <c r="I182" s="2">
        <v>4</v>
      </c>
      <c r="J182" s="2" t="s">
        <v>22</v>
      </c>
      <c r="K182" s="2" t="s">
        <v>582</v>
      </c>
      <c r="L182" s="2" t="s">
        <v>24</v>
      </c>
      <c r="M182" s="2"/>
      <c r="N182" s="2"/>
    </row>
    <row r="183" spans="1:14" x14ac:dyDescent="0.25">
      <c r="A183" s="2" t="s">
        <v>583</v>
      </c>
      <c r="B183" s="2" t="s">
        <v>584</v>
      </c>
      <c r="C183" s="2" t="s">
        <v>53</v>
      </c>
      <c r="D183" s="2" t="s">
        <v>54</v>
      </c>
      <c r="E183" s="2" t="s">
        <v>79</v>
      </c>
      <c r="F183" s="2" t="s">
        <v>55</v>
      </c>
      <c r="G183" s="2" t="s">
        <v>144</v>
      </c>
      <c r="H183" s="2" t="s">
        <v>21</v>
      </c>
      <c r="I183" s="2">
        <v>24</v>
      </c>
      <c r="J183" s="2" t="s">
        <v>22</v>
      </c>
      <c r="K183" s="2" t="s">
        <v>585</v>
      </c>
      <c r="L183" s="2" t="s">
        <v>24</v>
      </c>
      <c r="M183" s="2">
        <v>5</v>
      </c>
      <c r="N183" s="2" t="s">
        <v>34</v>
      </c>
    </row>
    <row r="184" spans="1:14" x14ac:dyDescent="0.25">
      <c r="A184" s="2" t="s">
        <v>586</v>
      </c>
      <c r="B184" s="2" t="s">
        <v>587</v>
      </c>
      <c r="C184" s="2" t="s">
        <v>16</v>
      </c>
      <c r="D184" s="2" t="s">
        <v>84</v>
      </c>
      <c r="E184" s="2" t="s">
        <v>79</v>
      </c>
      <c r="F184" s="2" t="s">
        <v>47</v>
      </c>
      <c r="G184" s="2" t="s">
        <v>158</v>
      </c>
      <c r="H184" s="2" t="s">
        <v>32</v>
      </c>
      <c r="I184" s="2">
        <v>48</v>
      </c>
      <c r="J184" s="2" t="s">
        <v>75</v>
      </c>
      <c r="K184" s="2" t="s">
        <v>588</v>
      </c>
      <c r="L184" s="2" t="s">
        <v>24</v>
      </c>
      <c r="M184" s="2">
        <v>5</v>
      </c>
      <c r="N184" s="2" t="s">
        <v>25</v>
      </c>
    </row>
    <row r="185" spans="1:14" x14ac:dyDescent="0.25">
      <c r="A185" s="2" t="s">
        <v>589</v>
      </c>
      <c r="B185" s="2" t="s">
        <v>590</v>
      </c>
      <c r="C185" s="2" t="s">
        <v>16</v>
      </c>
      <c r="D185" s="2" t="s">
        <v>17</v>
      </c>
      <c r="E185" s="2" t="s">
        <v>148</v>
      </c>
      <c r="F185" s="2" t="s">
        <v>30</v>
      </c>
      <c r="G185" s="2" t="s">
        <v>97</v>
      </c>
      <c r="H185" s="2" t="s">
        <v>21</v>
      </c>
      <c r="I185" s="2">
        <v>24</v>
      </c>
      <c r="J185" s="2" t="s">
        <v>117</v>
      </c>
      <c r="K185" s="2"/>
      <c r="L185" s="2" t="s">
        <v>24</v>
      </c>
      <c r="M185" s="2"/>
      <c r="N185" s="2" t="s">
        <v>34</v>
      </c>
    </row>
    <row r="186" spans="1:14" x14ac:dyDescent="0.25">
      <c r="A186" s="2" t="s">
        <v>591</v>
      </c>
      <c r="B186" s="2" t="s">
        <v>592</v>
      </c>
      <c r="C186" s="2" t="s">
        <v>67</v>
      </c>
      <c r="D186" s="2" t="s">
        <v>95</v>
      </c>
      <c r="E186" s="2" t="s">
        <v>85</v>
      </c>
      <c r="F186" s="2" t="s">
        <v>131</v>
      </c>
      <c r="G186" s="2" t="s">
        <v>121</v>
      </c>
      <c r="H186" s="2" t="s">
        <v>32</v>
      </c>
      <c r="I186" s="2">
        <v>48</v>
      </c>
      <c r="J186" s="2" t="s">
        <v>287</v>
      </c>
      <c r="K186" s="2"/>
      <c r="L186" s="2" t="s">
        <v>24</v>
      </c>
      <c r="M186" s="2"/>
      <c r="N186" s="2" t="s">
        <v>50</v>
      </c>
    </row>
    <row r="187" spans="1:14" x14ac:dyDescent="0.25">
      <c r="A187" s="2" t="s">
        <v>593</v>
      </c>
      <c r="B187" s="2" t="s">
        <v>594</v>
      </c>
      <c r="C187" s="2" t="s">
        <v>53</v>
      </c>
      <c r="D187" s="2" t="s">
        <v>61</v>
      </c>
      <c r="E187" s="2" t="s">
        <v>90</v>
      </c>
      <c r="F187" s="2" t="s">
        <v>96</v>
      </c>
      <c r="G187" s="2" t="s">
        <v>101</v>
      </c>
      <c r="H187" s="2" t="s">
        <v>80</v>
      </c>
      <c r="I187" s="2">
        <v>4</v>
      </c>
      <c r="J187" s="2" t="s">
        <v>41</v>
      </c>
      <c r="K187" s="2" t="s">
        <v>595</v>
      </c>
      <c r="L187" s="2" t="s">
        <v>24</v>
      </c>
      <c r="M187" s="2"/>
      <c r="N187" s="2"/>
    </row>
    <row r="188" spans="1:14" x14ac:dyDescent="0.25">
      <c r="A188" s="2" t="s">
        <v>596</v>
      </c>
      <c r="B188" s="2" t="s">
        <v>597</v>
      </c>
      <c r="C188" s="2" t="s">
        <v>28</v>
      </c>
      <c r="D188" s="2" t="s">
        <v>220</v>
      </c>
      <c r="E188" s="2" t="s">
        <v>18</v>
      </c>
      <c r="F188" s="2" t="s">
        <v>113</v>
      </c>
      <c r="G188" s="2" t="s">
        <v>121</v>
      </c>
      <c r="H188" s="2" t="s">
        <v>74</v>
      </c>
      <c r="I188" s="2">
        <v>8</v>
      </c>
      <c r="J188" s="2" t="s">
        <v>41</v>
      </c>
      <c r="K188" s="2" t="s">
        <v>598</v>
      </c>
      <c r="L188" s="2" t="s">
        <v>24</v>
      </c>
      <c r="M188" s="2">
        <v>4</v>
      </c>
      <c r="N188" s="2"/>
    </row>
    <row r="189" spans="1:14" x14ac:dyDescent="0.25">
      <c r="A189" s="2" t="s">
        <v>599</v>
      </c>
      <c r="B189" s="2" t="s">
        <v>600</v>
      </c>
      <c r="C189" s="2" t="s">
        <v>67</v>
      </c>
      <c r="D189" s="2" t="s">
        <v>601</v>
      </c>
      <c r="E189" s="2" t="s">
        <v>148</v>
      </c>
      <c r="F189" s="2" t="s">
        <v>96</v>
      </c>
      <c r="G189" s="2" t="s">
        <v>110</v>
      </c>
      <c r="H189" s="2" t="s">
        <v>32</v>
      </c>
      <c r="I189" s="2">
        <v>48</v>
      </c>
      <c r="J189" s="2" t="s">
        <v>48</v>
      </c>
      <c r="K189" s="2" t="s">
        <v>602</v>
      </c>
      <c r="L189" s="2" t="s">
        <v>24</v>
      </c>
      <c r="M189" s="2">
        <v>1</v>
      </c>
      <c r="N189" s="2"/>
    </row>
    <row r="190" spans="1:14" x14ac:dyDescent="0.25">
      <c r="A190" s="2" t="s">
        <v>603</v>
      </c>
      <c r="B190" s="2" t="s">
        <v>604</v>
      </c>
      <c r="C190" s="2" t="s">
        <v>67</v>
      </c>
      <c r="D190" s="2" t="s">
        <v>95</v>
      </c>
      <c r="E190" s="2" t="s">
        <v>18</v>
      </c>
      <c r="F190" s="2" t="s">
        <v>19</v>
      </c>
      <c r="G190" s="2" t="s">
        <v>135</v>
      </c>
      <c r="H190" s="2" t="s">
        <v>21</v>
      </c>
      <c r="I190" s="2">
        <v>24</v>
      </c>
      <c r="J190" s="2" t="s">
        <v>22</v>
      </c>
      <c r="K190" s="2" t="s">
        <v>605</v>
      </c>
      <c r="L190" s="2" t="s">
        <v>24</v>
      </c>
      <c r="M190" s="2">
        <v>5</v>
      </c>
      <c r="N190" s="2" t="s">
        <v>50</v>
      </c>
    </row>
    <row r="191" spans="1:14" x14ac:dyDescent="0.25">
      <c r="A191" s="2" t="s">
        <v>606</v>
      </c>
      <c r="B191" s="2" t="s">
        <v>607</v>
      </c>
      <c r="C191" s="2" t="s">
        <v>28</v>
      </c>
      <c r="D191" s="2" t="s">
        <v>100</v>
      </c>
      <c r="E191" s="2" t="s">
        <v>79</v>
      </c>
      <c r="F191" s="2" t="s">
        <v>125</v>
      </c>
      <c r="G191" s="2" t="s">
        <v>20</v>
      </c>
      <c r="H191" s="2" t="s">
        <v>74</v>
      </c>
      <c r="I191" s="2">
        <v>8</v>
      </c>
      <c r="J191" s="2" t="s">
        <v>106</v>
      </c>
      <c r="K191" s="2" t="s">
        <v>608</v>
      </c>
      <c r="L191" s="2" t="s">
        <v>24</v>
      </c>
      <c r="M191" s="2">
        <v>2</v>
      </c>
      <c r="N191" s="2" t="s">
        <v>43</v>
      </c>
    </row>
    <row r="192" spans="1:14" x14ac:dyDescent="0.25">
      <c r="A192" s="2" t="s">
        <v>609</v>
      </c>
      <c r="B192" s="2" t="s">
        <v>610</v>
      </c>
      <c r="C192" s="2" t="s">
        <v>67</v>
      </c>
      <c r="D192" s="2" t="s">
        <v>68</v>
      </c>
      <c r="E192" s="2" t="s">
        <v>90</v>
      </c>
      <c r="F192" s="2" t="s">
        <v>39</v>
      </c>
      <c r="G192" s="2" t="s">
        <v>40</v>
      </c>
      <c r="H192" s="2" t="s">
        <v>21</v>
      </c>
      <c r="I192" s="2">
        <v>24</v>
      </c>
      <c r="J192" s="2" t="s">
        <v>41</v>
      </c>
      <c r="K192" s="2" t="s">
        <v>611</v>
      </c>
      <c r="L192" s="2" t="s">
        <v>24</v>
      </c>
      <c r="M192" s="2">
        <v>4</v>
      </c>
      <c r="N192" s="2"/>
    </row>
    <row r="193" spans="1:14" x14ac:dyDescent="0.25">
      <c r="A193" s="2" t="s">
        <v>612</v>
      </c>
      <c r="B193" s="2" t="s">
        <v>613</v>
      </c>
      <c r="C193" s="2" t="s">
        <v>28</v>
      </c>
      <c r="D193" s="2" t="s">
        <v>37</v>
      </c>
      <c r="E193" s="2" t="s">
        <v>79</v>
      </c>
      <c r="F193" s="2" t="s">
        <v>113</v>
      </c>
      <c r="G193" s="2" t="s">
        <v>121</v>
      </c>
      <c r="H193" s="2" t="s">
        <v>21</v>
      </c>
      <c r="I193" s="2">
        <v>24</v>
      </c>
      <c r="J193" s="2" t="s">
        <v>75</v>
      </c>
      <c r="K193" s="2" t="s">
        <v>614</v>
      </c>
      <c r="L193" s="2" t="s">
        <v>24</v>
      </c>
      <c r="M193" s="2">
        <v>5</v>
      </c>
      <c r="N193" s="2" t="s">
        <v>34</v>
      </c>
    </row>
    <row r="194" spans="1:14" x14ac:dyDescent="0.25">
      <c r="A194" s="2" t="s">
        <v>615</v>
      </c>
      <c r="B194" s="2" t="s">
        <v>616</v>
      </c>
      <c r="C194" s="2" t="s">
        <v>28</v>
      </c>
      <c r="D194" s="2" t="s">
        <v>37</v>
      </c>
      <c r="E194" s="2" t="s">
        <v>90</v>
      </c>
      <c r="F194" s="2" t="s">
        <v>143</v>
      </c>
      <c r="G194" s="2" t="s">
        <v>105</v>
      </c>
      <c r="H194" s="2" t="s">
        <v>21</v>
      </c>
      <c r="I194" s="2">
        <v>24</v>
      </c>
      <c r="J194" s="2" t="s">
        <v>187</v>
      </c>
      <c r="K194" s="2" t="s">
        <v>617</v>
      </c>
      <c r="L194" s="2" t="s">
        <v>24</v>
      </c>
      <c r="M194" s="2"/>
      <c r="N194" s="2"/>
    </row>
    <row r="195" spans="1:14" x14ac:dyDescent="0.25">
      <c r="A195" s="2" t="s">
        <v>618</v>
      </c>
      <c r="B195" s="2" t="s">
        <v>619</v>
      </c>
      <c r="C195" s="2" t="s">
        <v>28</v>
      </c>
      <c r="D195" s="2" t="s">
        <v>100</v>
      </c>
      <c r="E195" s="2" t="s">
        <v>18</v>
      </c>
      <c r="F195" s="2" t="s">
        <v>30</v>
      </c>
      <c r="G195" s="2" t="s">
        <v>211</v>
      </c>
      <c r="H195" s="2" t="s">
        <v>32</v>
      </c>
      <c r="I195" s="2">
        <v>48</v>
      </c>
      <c r="J195" s="2" t="s">
        <v>106</v>
      </c>
      <c r="K195" s="2" t="s">
        <v>620</v>
      </c>
      <c r="L195" s="2" t="s">
        <v>24</v>
      </c>
      <c r="M195" s="2"/>
      <c r="N195" s="2"/>
    </row>
    <row r="196" spans="1:14" x14ac:dyDescent="0.25">
      <c r="A196" s="2" t="s">
        <v>621</v>
      </c>
      <c r="B196" s="2" t="s">
        <v>622</v>
      </c>
      <c r="C196" s="2" t="s">
        <v>28</v>
      </c>
      <c r="D196" s="2" t="s">
        <v>37</v>
      </c>
      <c r="E196" s="2" t="s">
        <v>46</v>
      </c>
      <c r="F196" s="2" t="s">
        <v>62</v>
      </c>
      <c r="G196" s="2" t="s">
        <v>91</v>
      </c>
      <c r="H196" s="2" t="s">
        <v>32</v>
      </c>
      <c r="I196" s="2">
        <v>48</v>
      </c>
      <c r="J196" s="2" t="s">
        <v>191</v>
      </c>
      <c r="K196" s="2" t="s">
        <v>623</v>
      </c>
      <c r="L196" s="2" t="s">
        <v>24</v>
      </c>
      <c r="M196" s="2"/>
      <c r="N196" s="2"/>
    </row>
    <row r="197" spans="1:14" x14ac:dyDescent="0.25">
      <c r="A197" s="2" t="s">
        <v>624</v>
      </c>
      <c r="B197" s="2" t="s">
        <v>625</v>
      </c>
      <c r="C197" s="2" t="s">
        <v>53</v>
      </c>
      <c r="D197" s="2" t="s">
        <v>61</v>
      </c>
      <c r="E197" s="2" t="s">
        <v>18</v>
      </c>
      <c r="F197" s="2" t="s">
        <v>39</v>
      </c>
      <c r="G197" s="2" t="s">
        <v>91</v>
      </c>
      <c r="H197" s="2" t="s">
        <v>74</v>
      </c>
      <c r="I197" s="2">
        <v>8</v>
      </c>
      <c r="J197" s="2" t="s">
        <v>48</v>
      </c>
      <c r="K197" s="2" t="s">
        <v>626</v>
      </c>
      <c r="L197" s="2" t="s">
        <v>24</v>
      </c>
      <c r="M197" s="2"/>
      <c r="N197" s="2" t="s">
        <v>58</v>
      </c>
    </row>
    <row r="198" spans="1:14" x14ac:dyDescent="0.25">
      <c r="A198" s="2" t="s">
        <v>627</v>
      </c>
      <c r="B198" s="2" t="s">
        <v>628</v>
      </c>
      <c r="C198" s="2" t="s">
        <v>28</v>
      </c>
      <c r="D198" s="2" t="s">
        <v>100</v>
      </c>
      <c r="E198" s="2" t="s">
        <v>90</v>
      </c>
      <c r="F198" s="2" t="s">
        <v>96</v>
      </c>
      <c r="G198" s="2" t="s">
        <v>126</v>
      </c>
      <c r="H198" s="2" t="s">
        <v>21</v>
      </c>
      <c r="I198" s="2">
        <v>24</v>
      </c>
      <c r="J198" s="2" t="s">
        <v>22</v>
      </c>
      <c r="K198" s="2" t="s">
        <v>629</v>
      </c>
      <c r="L198" s="2" t="s">
        <v>92</v>
      </c>
      <c r="M198" s="2">
        <v>5</v>
      </c>
      <c r="N198" s="2" t="s">
        <v>43</v>
      </c>
    </row>
    <row r="199" spans="1:14" x14ac:dyDescent="0.25">
      <c r="A199" s="2" t="s">
        <v>630</v>
      </c>
      <c r="B199" s="2" t="s">
        <v>631</v>
      </c>
      <c r="C199" s="2" t="s">
        <v>16</v>
      </c>
      <c r="D199" s="2" t="s">
        <v>17</v>
      </c>
      <c r="E199" s="2" t="s">
        <v>90</v>
      </c>
      <c r="F199" s="2" t="s">
        <v>55</v>
      </c>
      <c r="G199" s="2" t="s">
        <v>126</v>
      </c>
      <c r="H199" s="2" t="s">
        <v>21</v>
      </c>
      <c r="I199" s="2">
        <v>24</v>
      </c>
      <c r="J199" s="2" t="s">
        <v>22</v>
      </c>
      <c r="K199" s="2" t="s">
        <v>632</v>
      </c>
      <c r="L199" s="2" t="s">
        <v>24</v>
      </c>
      <c r="M199" s="2">
        <v>2</v>
      </c>
      <c r="N199" s="2" t="s">
        <v>64</v>
      </c>
    </row>
    <row r="200" spans="1:14" x14ac:dyDescent="0.25">
      <c r="A200" s="2" t="s">
        <v>633</v>
      </c>
      <c r="B200" s="2" t="s">
        <v>634</v>
      </c>
      <c r="C200" s="2" t="s">
        <v>67</v>
      </c>
      <c r="D200" s="2" t="s">
        <v>95</v>
      </c>
      <c r="E200" s="2" t="s">
        <v>148</v>
      </c>
      <c r="F200" s="2" t="s">
        <v>47</v>
      </c>
      <c r="G200" s="2" t="s">
        <v>144</v>
      </c>
      <c r="H200" s="2" t="s">
        <v>32</v>
      </c>
      <c r="I200" s="2">
        <v>48</v>
      </c>
      <c r="J200" s="2" t="s">
        <v>200</v>
      </c>
      <c r="K200" s="2"/>
      <c r="L200" s="2" t="s">
        <v>92</v>
      </c>
      <c r="M200" s="2"/>
      <c r="N200" s="2" t="s">
        <v>128</v>
      </c>
    </row>
    <row r="201" spans="1:14" x14ac:dyDescent="0.25">
      <c r="A201" s="2" t="s">
        <v>635</v>
      </c>
      <c r="B201" s="2" t="s">
        <v>636</v>
      </c>
      <c r="C201" s="2" t="s">
        <v>16</v>
      </c>
      <c r="D201" s="2" t="s">
        <v>84</v>
      </c>
      <c r="E201" s="2" t="s">
        <v>90</v>
      </c>
      <c r="F201" s="2" t="s">
        <v>30</v>
      </c>
      <c r="G201" s="2" t="s">
        <v>20</v>
      </c>
      <c r="H201" s="2" t="s">
        <v>80</v>
      </c>
      <c r="I201" s="2">
        <v>4</v>
      </c>
      <c r="J201" s="2" t="s">
        <v>22</v>
      </c>
      <c r="K201" s="2" t="s">
        <v>637</v>
      </c>
      <c r="L201" s="2" t="s">
        <v>92</v>
      </c>
      <c r="M201" s="2"/>
      <c r="N201" s="2" t="s">
        <v>50</v>
      </c>
    </row>
    <row r="202" spans="1:14" x14ac:dyDescent="0.25">
      <c r="A202" s="2" t="s">
        <v>638</v>
      </c>
      <c r="B202" s="2" t="s">
        <v>639</v>
      </c>
      <c r="C202" s="2" t="s">
        <v>53</v>
      </c>
      <c r="D202" s="2" t="s">
        <v>61</v>
      </c>
      <c r="E202" s="2" t="s">
        <v>18</v>
      </c>
      <c r="F202" s="2" t="s">
        <v>131</v>
      </c>
      <c r="G202" s="2" t="s">
        <v>110</v>
      </c>
      <c r="H202" s="2" t="s">
        <v>74</v>
      </c>
      <c r="I202" s="2">
        <v>8</v>
      </c>
      <c r="J202" s="2" t="s">
        <v>187</v>
      </c>
      <c r="K202" s="2" t="s">
        <v>640</v>
      </c>
      <c r="L202" s="2" t="s">
        <v>24</v>
      </c>
      <c r="M202" s="2"/>
      <c r="N202" s="2" t="s">
        <v>25</v>
      </c>
    </row>
    <row r="203" spans="1:14" x14ac:dyDescent="0.25">
      <c r="A203" s="2" t="s">
        <v>641</v>
      </c>
      <c r="B203" s="2" t="s">
        <v>642</v>
      </c>
      <c r="C203" s="2" t="s">
        <v>67</v>
      </c>
      <c r="D203" s="2" t="s">
        <v>95</v>
      </c>
      <c r="E203" s="2" t="s">
        <v>38</v>
      </c>
      <c r="F203" s="2" t="s">
        <v>69</v>
      </c>
      <c r="G203" s="2" t="s">
        <v>135</v>
      </c>
      <c r="H203" s="2" t="s">
        <v>32</v>
      </c>
      <c r="I203" s="2">
        <v>48</v>
      </c>
      <c r="J203" s="2" t="s">
        <v>48</v>
      </c>
      <c r="K203" s="2" t="s">
        <v>643</v>
      </c>
      <c r="L203" s="2" t="s">
        <v>24</v>
      </c>
      <c r="M203" s="2">
        <v>5</v>
      </c>
      <c r="N203" s="2" t="s">
        <v>25</v>
      </c>
    </row>
    <row r="204" spans="1:14" x14ac:dyDescent="0.25">
      <c r="A204" s="2" t="s">
        <v>644</v>
      </c>
      <c r="B204" s="2" t="s">
        <v>645</v>
      </c>
      <c r="C204" s="2" t="s">
        <v>16</v>
      </c>
      <c r="D204" s="2" t="s">
        <v>84</v>
      </c>
      <c r="E204" s="2" t="s">
        <v>18</v>
      </c>
      <c r="F204" s="2" t="s">
        <v>69</v>
      </c>
      <c r="G204" s="2" t="s">
        <v>144</v>
      </c>
      <c r="H204" s="2" t="s">
        <v>21</v>
      </c>
      <c r="I204" s="2">
        <v>24</v>
      </c>
      <c r="J204" s="2" t="s">
        <v>41</v>
      </c>
      <c r="K204" s="2" t="s">
        <v>646</v>
      </c>
      <c r="L204" s="2" t="s">
        <v>24</v>
      </c>
      <c r="M204" s="2">
        <v>5</v>
      </c>
      <c r="N204" s="2" t="s">
        <v>25</v>
      </c>
    </row>
    <row r="205" spans="1:14" x14ac:dyDescent="0.25">
      <c r="A205" s="2" t="s">
        <v>647</v>
      </c>
      <c r="B205" s="2" t="s">
        <v>648</v>
      </c>
      <c r="C205" s="2" t="s">
        <v>67</v>
      </c>
      <c r="D205" s="2" t="s">
        <v>95</v>
      </c>
      <c r="E205" s="2" t="s">
        <v>148</v>
      </c>
      <c r="F205" s="2" t="s">
        <v>143</v>
      </c>
      <c r="G205" s="2" t="s">
        <v>110</v>
      </c>
      <c r="H205" s="2" t="s">
        <v>74</v>
      </c>
      <c r="I205" s="2">
        <v>8</v>
      </c>
      <c r="J205" s="2" t="s">
        <v>22</v>
      </c>
      <c r="K205" s="2" t="s">
        <v>649</v>
      </c>
      <c r="L205" s="2" t="s">
        <v>24</v>
      </c>
      <c r="M205" s="2">
        <v>5</v>
      </c>
      <c r="N205" s="2" t="s">
        <v>118</v>
      </c>
    </row>
    <row r="206" spans="1:14" x14ac:dyDescent="0.25">
      <c r="A206" s="2" t="s">
        <v>650</v>
      </c>
      <c r="B206" s="2" t="s">
        <v>651</v>
      </c>
      <c r="C206" s="2" t="s">
        <v>28</v>
      </c>
      <c r="D206" s="2" t="s">
        <v>100</v>
      </c>
      <c r="E206" s="2" t="s">
        <v>85</v>
      </c>
      <c r="F206" s="2" t="s">
        <v>19</v>
      </c>
      <c r="G206" s="2" t="s">
        <v>139</v>
      </c>
      <c r="H206" s="2" t="s">
        <v>74</v>
      </c>
      <c r="I206" s="2">
        <v>8</v>
      </c>
      <c r="J206" s="2" t="s">
        <v>11</v>
      </c>
      <c r="K206" s="2"/>
      <c r="L206" s="2" t="s">
        <v>92</v>
      </c>
      <c r="M206" s="2"/>
      <c r="N206" s="2"/>
    </row>
    <row r="207" spans="1:14" x14ac:dyDescent="0.25">
      <c r="A207" s="2" t="s">
        <v>652</v>
      </c>
      <c r="B207" s="2" t="s">
        <v>653</v>
      </c>
      <c r="C207" s="2" t="s">
        <v>28</v>
      </c>
      <c r="D207" s="2" t="s">
        <v>37</v>
      </c>
      <c r="E207" s="2" t="s">
        <v>38</v>
      </c>
      <c r="F207" s="2" t="s">
        <v>131</v>
      </c>
      <c r="G207" s="2" t="s">
        <v>91</v>
      </c>
      <c r="H207" s="2" t="s">
        <v>21</v>
      </c>
      <c r="I207" s="2">
        <v>24</v>
      </c>
      <c r="J207" s="2" t="s">
        <v>106</v>
      </c>
      <c r="K207" s="2" t="s">
        <v>654</v>
      </c>
      <c r="L207" s="2" t="s">
        <v>24</v>
      </c>
      <c r="M207" s="2"/>
      <c r="N207" s="2" t="s">
        <v>64</v>
      </c>
    </row>
    <row r="208" spans="1:14" x14ac:dyDescent="0.25">
      <c r="A208" s="2" t="s">
        <v>655</v>
      </c>
      <c r="B208" s="2" t="s">
        <v>656</v>
      </c>
      <c r="C208" s="2" t="s">
        <v>28</v>
      </c>
      <c r="D208" s="2" t="s">
        <v>100</v>
      </c>
      <c r="E208" s="2" t="s">
        <v>18</v>
      </c>
      <c r="F208" s="2" t="s">
        <v>113</v>
      </c>
      <c r="G208" s="2" t="s">
        <v>31</v>
      </c>
      <c r="H208" s="2" t="s">
        <v>80</v>
      </c>
      <c r="I208" s="2">
        <v>4</v>
      </c>
      <c r="J208" s="2" t="s">
        <v>106</v>
      </c>
      <c r="K208" s="2" t="s">
        <v>657</v>
      </c>
      <c r="L208" s="2" t="s">
        <v>24</v>
      </c>
      <c r="M208" s="2">
        <v>2</v>
      </c>
      <c r="N208" s="2" t="s">
        <v>34</v>
      </c>
    </row>
    <row r="209" spans="1:14" x14ac:dyDescent="0.25">
      <c r="A209" s="2" t="s">
        <v>658</v>
      </c>
      <c r="B209" s="2" t="s">
        <v>659</v>
      </c>
      <c r="C209" s="2" t="s">
        <v>53</v>
      </c>
      <c r="D209" s="2" t="s">
        <v>61</v>
      </c>
      <c r="E209" s="2" t="s">
        <v>18</v>
      </c>
      <c r="F209" s="2" t="s">
        <v>19</v>
      </c>
      <c r="G209" s="2" t="s">
        <v>139</v>
      </c>
      <c r="H209" s="2" t="s">
        <v>80</v>
      </c>
      <c r="I209" s="2">
        <v>4</v>
      </c>
      <c r="J209" s="2" t="s">
        <v>106</v>
      </c>
      <c r="K209" s="2" t="s">
        <v>660</v>
      </c>
      <c r="L209" s="2" t="s">
        <v>24</v>
      </c>
      <c r="M209" s="2">
        <v>5</v>
      </c>
      <c r="N209" s="2"/>
    </row>
    <row r="210" spans="1:14" x14ac:dyDescent="0.25">
      <c r="A210" s="2" t="s">
        <v>661</v>
      </c>
      <c r="B210" s="2" t="s">
        <v>662</v>
      </c>
      <c r="C210" s="2" t="s">
        <v>67</v>
      </c>
      <c r="D210" s="2" t="s">
        <v>95</v>
      </c>
      <c r="E210" s="2" t="s">
        <v>79</v>
      </c>
      <c r="F210" s="2" t="s">
        <v>47</v>
      </c>
      <c r="G210" s="2" t="s">
        <v>121</v>
      </c>
      <c r="H210" s="2" t="s">
        <v>80</v>
      </c>
      <c r="I210" s="2">
        <v>4</v>
      </c>
      <c r="J210" s="2" t="s">
        <v>155</v>
      </c>
      <c r="K210" s="2"/>
      <c r="L210" s="2" t="s">
        <v>24</v>
      </c>
      <c r="M210" s="2"/>
      <c r="N210" s="2" t="s">
        <v>128</v>
      </c>
    </row>
    <row r="211" spans="1:14" x14ac:dyDescent="0.25">
      <c r="A211" s="2" t="s">
        <v>663</v>
      </c>
      <c r="B211" s="2" t="s">
        <v>664</v>
      </c>
      <c r="C211" s="2" t="s">
        <v>16</v>
      </c>
      <c r="D211" s="2" t="s">
        <v>17</v>
      </c>
      <c r="E211" s="2" t="s">
        <v>18</v>
      </c>
      <c r="F211" s="2" t="s">
        <v>39</v>
      </c>
      <c r="G211" s="2" t="s">
        <v>105</v>
      </c>
      <c r="H211" s="2" t="s">
        <v>74</v>
      </c>
      <c r="I211" s="2">
        <v>8</v>
      </c>
      <c r="J211" s="2" t="s">
        <v>22</v>
      </c>
      <c r="K211" s="2" t="s">
        <v>665</v>
      </c>
      <c r="L211" s="2" t="s">
        <v>24</v>
      </c>
      <c r="M211" s="2"/>
      <c r="N211" s="2"/>
    </row>
    <row r="212" spans="1:14" x14ac:dyDescent="0.25">
      <c r="A212" s="2" t="s">
        <v>666</v>
      </c>
      <c r="B212" s="2" t="s">
        <v>667</v>
      </c>
      <c r="C212" s="2" t="s">
        <v>28</v>
      </c>
      <c r="D212" s="2" t="s">
        <v>37</v>
      </c>
      <c r="E212" s="2" t="s">
        <v>148</v>
      </c>
      <c r="F212" s="2" t="s">
        <v>131</v>
      </c>
      <c r="G212" s="2" t="s">
        <v>144</v>
      </c>
      <c r="H212" s="2" t="s">
        <v>32</v>
      </c>
      <c r="I212" s="2">
        <v>48</v>
      </c>
      <c r="J212" s="2" t="s">
        <v>149</v>
      </c>
      <c r="K212" s="2"/>
      <c r="L212" s="2" t="s">
        <v>24</v>
      </c>
      <c r="M212" s="2"/>
      <c r="N212" s="2" t="s">
        <v>128</v>
      </c>
    </row>
    <row r="213" spans="1:14" x14ac:dyDescent="0.25">
      <c r="A213" s="2" t="s">
        <v>668</v>
      </c>
      <c r="B213" s="2" t="s">
        <v>669</v>
      </c>
      <c r="C213" s="2" t="s">
        <v>16</v>
      </c>
      <c r="D213" s="2" t="s">
        <v>84</v>
      </c>
      <c r="E213" s="2" t="s">
        <v>38</v>
      </c>
      <c r="F213" s="2" t="s">
        <v>30</v>
      </c>
      <c r="G213" s="2" t="s">
        <v>101</v>
      </c>
      <c r="H213" s="2" t="s">
        <v>32</v>
      </c>
      <c r="I213" s="2">
        <v>48</v>
      </c>
      <c r="J213" s="2" t="s">
        <v>11</v>
      </c>
      <c r="K213" s="2"/>
      <c r="L213" s="2" t="s">
        <v>92</v>
      </c>
      <c r="M213" s="2"/>
      <c r="N213" s="2" t="s">
        <v>128</v>
      </c>
    </row>
    <row r="214" spans="1:14" x14ac:dyDescent="0.25">
      <c r="A214" s="2" t="s">
        <v>670</v>
      </c>
      <c r="B214" s="2" t="s">
        <v>671</v>
      </c>
      <c r="C214" s="2" t="s">
        <v>28</v>
      </c>
      <c r="D214" s="2" t="s">
        <v>37</v>
      </c>
      <c r="E214" s="2" t="s">
        <v>85</v>
      </c>
      <c r="F214" s="2" t="s">
        <v>96</v>
      </c>
      <c r="G214" s="2" t="s">
        <v>97</v>
      </c>
      <c r="H214" s="2" t="s">
        <v>32</v>
      </c>
      <c r="I214" s="2">
        <v>48</v>
      </c>
      <c r="J214" s="2" t="s">
        <v>33</v>
      </c>
      <c r="K214" s="2"/>
      <c r="L214" s="2" t="s">
        <v>24</v>
      </c>
      <c r="M214" s="2"/>
      <c r="N214" s="2"/>
    </row>
    <row r="215" spans="1:14" x14ac:dyDescent="0.25">
      <c r="A215" s="2" t="s">
        <v>672</v>
      </c>
      <c r="B215" s="2" t="s">
        <v>673</v>
      </c>
      <c r="C215" s="2" t="s">
        <v>28</v>
      </c>
      <c r="D215" s="2" t="s">
        <v>220</v>
      </c>
      <c r="E215" s="2" t="s">
        <v>18</v>
      </c>
      <c r="F215" s="2" t="s">
        <v>143</v>
      </c>
      <c r="G215" s="2" t="s">
        <v>135</v>
      </c>
      <c r="H215" s="2" t="s">
        <v>21</v>
      </c>
      <c r="I215" s="2">
        <v>24</v>
      </c>
      <c r="J215" s="2" t="s">
        <v>287</v>
      </c>
      <c r="K215" s="2"/>
      <c r="L215" s="2" t="s">
        <v>24</v>
      </c>
      <c r="M215" s="2"/>
      <c r="N215" s="2" t="s">
        <v>25</v>
      </c>
    </row>
    <row r="216" spans="1:14" x14ac:dyDescent="0.25">
      <c r="A216" s="2" t="s">
        <v>674</v>
      </c>
      <c r="B216" s="2" t="s">
        <v>675</v>
      </c>
      <c r="C216" s="2" t="s">
        <v>28</v>
      </c>
      <c r="D216" s="2" t="s">
        <v>37</v>
      </c>
      <c r="E216" s="2" t="s">
        <v>18</v>
      </c>
      <c r="F216" s="2" t="s">
        <v>55</v>
      </c>
      <c r="G216" s="2" t="s">
        <v>183</v>
      </c>
      <c r="H216" s="2" t="s">
        <v>74</v>
      </c>
      <c r="I216" s="2">
        <v>8</v>
      </c>
      <c r="J216" s="2" t="s">
        <v>106</v>
      </c>
      <c r="K216" s="2" t="s">
        <v>676</v>
      </c>
      <c r="L216" s="2" t="s">
        <v>24</v>
      </c>
      <c r="M216" s="2"/>
      <c r="N216" s="2" t="s">
        <v>118</v>
      </c>
    </row>
    <row r="217" spans="1:14" x14ac:dyDescent="0.25">
      <c r="A217" s="2" t="s">
        <v>677</v>
      </c>
      <c r="B217" s="2" t="s">
        <v>678</v>
      </c>
      <c r="C217" s="2" t="s">
        <v>53</v>
      </c>
      <c r="D217" s="2" t="s">
        <v>61</v>
      </c>
      <c r="E217" s="2" t="s">
        <v>38</v>
      </c>
      <c r="F217" s="2" t="s">
        <v>39</v>
      </c>
      <c r="G217" s="2" t="s">
        <v>211</v>
      </c>
      <c r="H217" s="2" t="s">
        <v>74</v>
      </c>
      <c r="I217" s="2">
        <v>8</v>
      </c>
      <c r="J217" s="2" t="s">
        <v>145</v>
      </c>
      <c r="K217" s="2"/>
      <c r="L217" s="2" t="s">
        <v>24</v>
      </c>
      <c r="M217" s="2"/>
      <c r="N217" s="2"/>
    </row>
    <row r="218" spans="1:14" x14ac:dyDescent="0.25">
      <c r="A218" s="2" t="s">
        <v>679</v>
      </c>
      <c r="B218" s="2" t="s">
        <v>680</v>
      </c>
      <c r="C218" s="2" t="s">
        <v>28</v>
      </c>
      <c r="D218" s="2" t="s">
        <v>37</v>
      </c>
      <c r="E218" s="2" t="s">
        <v>148</v>
      </c>
      <c r="F218" s="2" t="s">
        <v>55</v>
      </c>
      <c r="G218" s="2" t="s">
        <v>20</v>
      </c>
      <c r="H218" s="2" t="s">
        <v>74</v>
      </c>
      <c r="I218" s="2">
        <v>8</v>
      </c>
      <c r="J218" s="2" t="s">
        <v>48</v>
      </c>
      <c r="K218" s="2" t="s">
        <v>681</v>
      </c>
      <c r="L218" s="2" t="s">
        <v>92</v>
      </c>
      <c r="M218" s="2"/>
      <c r="N218" s="2" t="s">
        <v>34</v>
      </c>
    </row>
    <row r="219" spans="1:14" x14ac:dyDescent="0.25">
      <c r="A219" s="2" t="s">
        <v>682</v>
      </c>
      <c r="B219" s="2" t="s">
        <v>683</v>
      </c>
      <c r="C219" s="2" t="s">
        <v>67</v>
      </c>
      <c r="D219" s="2" t="s">
        <v>95</v>
      </c>
      <c r="E219" s="2" t="s">
        <v>38</v>
      </c>
      <c r="F219" s="2" t="s">
        <v>39</v>
      </c>
      <c r="G219" s="2" t="s">
        <v>139</v>
      </c>
      <c r="H219" s="2" t="s">
        <v>32</v>
      </c>
      <c r="I219" s="2">
        <v>48</v>
      </c>
      <c r="J219" s="2" t="s">
        <v>22</v>
      </c>
      <c r="K219" s="2" t="s">
        <v>684</v>
      </c>
      <c r="L219" s="2" t="s">
        <v>24</v>
      </c>
      <c r="M219" s="2">
        <v>5</v>
      </c>
      <c r="N219" s="2" t="s">
        <v>64</v>
      </c>
    </row>
    <row r="220" spans="1:14" x14ac:dyDescent="0.25">
      <c r="A220" s="2" t="s">
        <v>685</v>
      </c>
      <c r="B220" s="2" t="s">
        <v>686</v>
      </c>
      <c r="C220" s="2" t="s">
        <v>16</v>
      </c>
      <c r="D220" s="2" t="s">
        <v>84</v>
      </c>
      <c r="E220" s="2" t="s">
        <v>46</v>
      </c>
      <c r="F220" s="2" t="s">
        <v>143</v>
      </c>
      <c r="G220" s="2" t="s">
        <v>139</v>
      </c>
      <c r="H220" s="2" t="s">
        <v>32</v>
      </c>
      <c r="I220" s="2">
        <v>48</v>
      </c>
      <c r="J220" s="2" t="s">
        <v>33</v>
      </c>
      <c r="K220" s="2"/>
      <c r="L220" s="2" t="s">
        <v>24</v>
      </c>
      <c r="M220" s="2"/>
      <c r="N220" s="2" t="s">
        <v>118</v>
      </c>
    </row>
    <row r="221" spans="1:14" x14ac:dyDescent="0.25">
      <c r="A221" s="2" t="s">
        <v>687</v>
      </c>
      <c r="B221" s="2" t="s">
        <v>688</v>
      </c>
      <c r="C221" s="2" t="s">
        <v>67</v>
      </c>
      <c r="D221" s="2" t="s">
        <v>68</v>
      </c>
      <c r="E221" s="2" t="s">
        <v>46</v>
      </c>
      <c r="F221" s="2" t="s">
        <v>55</v>
      </c>
      <c r="G221" s="2" t="s">
        <v>139</v>
      </c>
      <c r="H221" s="2" t="s">
        <v>21</v>
      </c>
      <c r="I221" s="2">
        <v>24</v>
      </c>
      <c r="J221" s="2" t="s">
        <v>106</v>
      </c>
      <c r="K221" s="2" t="s">
        <v>689</v>
      </c>
      <c r="L221" s="2" t="s">
        <v>24</v>
      </c>
      <c r="M221" s="2"/>
      <c r="N221" s="2"/>
    </row>
    <row r="222" spans="1:14" x14ac:dyDescent="0.25">
      <c r="A222" s="2" t="s">
        <v>690</v>
      </c>
      <c r="B222" s="2" t="s">
        <v>691</v>
      </c>
      <c r="C222" s="2" t="s">
        <v>67</v>
      </c>
      <c r="D222" s="2" t="s">
        <v>95</v>
      </c>
      <c r="E222" s="2" t="s">
        <v>90</v>
      </c>
      <c r="F222" s="2" t="s">
        <v>19</v>
      </c>
      <c r="G222" s="2" t="s">
        <v>158</v>
      </c>
      <c r="H222" s="2" t="s">
        <v>21</v>
      </c>
      <c r="I222" s="2">
        <v>24</v>
      </c>
      <c r="J222" s="2" t="s">
        <v>149</v>
      </c>
      <c r="K222" s="2"/>
      <c r="L222" s="2" t="s">
        <v>24</v>
      </c>
      <c r="M222" s="2"/>
      <c r="N222" s="2" t="s">
        <v>43</v>
      </c>
    </row>
    <row r="223" spans="1:14" x14ac:dyDescent="0.25">
      <c r="A223" s="2" t="s">
        <v>692</v>
      </c>
      <c r="B223" s="2" t="s">
        <v>693</v>
      </c>
      <c r="C223" s="2" t="s">
        <v>67</v>
      </c>
      <c r="D223" s="2" t="s">
        <v>68</v>
      </c>
      <c r="E223" s="2" t="s">
        <v>46</v>
      </c>
      <c r="F223" s="2" t="s">
        <v>55</v>
      </c>
      <c r="G223" s="2" t="s">
        <v>97</v>
      </c>
      <c r="H223" s="2" t="s">
        <v>74</v>
      </c>
      <c r="I223" s="2">
        <v>8</v>
      </c>
      <c r="J223" s="2" t="s">
        <v>11</v>
      </c>
      <c r="K223" s="2"/>
      <c r="L223" s="2" t="s">
        <v>92</v>
      </c>
      <c r="M223" s="2"/>
      <c r="N223" s="2"/>
    </row>
    <row r="224" spans="1:14" x14ac:dyDescent="0.25">
      <c r="A224" s="2" t="s">
        <v>694</v>
      </c>
      <c r="B224" s="2" t="s">
        <v>695</v>
      </c>
      <c r="C224" s="2" t="s">
        <v>28</v>
      </c>
      <c r="D224" s="2" t="s">
        <v>100</v>
      </c>
      <c r="E224" s="2" t="s">
        <v>79</v>
      </c>
      <c r="F224" s="2" t="s">
        <v>131</v>
      </c>
      <c r="G224" s="2" t="s">
        <v>70</v>
      </c>
      <c r="H224" s="2" t="s">
        <v>74</v>
      </c>
      <c r="I224" s="2">
        <v>8</v>
      </c>
      <c r="J224" s="2" t="s">
        <v>287</v>
      </c>
      <c r="K224" s="2"/>
      <c r="L224" s="2" t="s">
        <v>24</v>
      </c>
      <c r="M224" s="2"/>
      <c r="N224" s="2"/>
    </row>
    <row r="225" spans="1:14" x14ac:dyDescent="0.25">
      <c r="A225" s="2" t="s">
        <v>696</v>
      </c>
      <c r="B225" s="2" t="s">
        <v>697</v>
      </c>
      <c r="C225" s="2" t="s">
        <v>67</v>
      </c>
      <c r="D225" s="2" t="s">
        <v>68</v>
      </c>
      <c r="E225" s="2" t="s">
        <v>79</v>
      </c>
      <c r="F225" s="2" t="s">
        <v>55</v>
      </c>
      <c r="G225" s="2" t="s">
        <v>135</v>
      </c>
      <c r="H225" s="2" t="s">
        <v>74</v>
      </c>
      <c r="I225" s="2">
        <v>8</v>
      </c>
      <c r="J225" s="2" t="s">
        <v>155</v>
      </c>
      <c r="K225" s="2"/>
      <c r="L225" s="2" t="s">
        <v>24</v>
      </c>
      <c r="M225" s="2"/>
      <c r="N225" s="2" t="s">
        <v>118</v>
      </c>
    </row>
    <row r="226" spans="1:14" x14ac:dyDescent="0.25">
      <c r="A226" s="2" t="s">
        <v>698</v>
      </c>
      <c r="B226" s="2" t="s">
        <v>699</v>
      </c>
      <c r="C226" s="2" t="s">
        <v>67</v>
      </c>
      <c r="D226" s="2" t="s">
        <v>95</v>
      </c>
      <c r="E226" s="2" t="s">
        <v>38</v>
      </c>
      <c r="F226" s="2" t="s">
        <v>30</v>
      </c>
      <c r="G226" s="2" t="s">
        <v>135</v>
      </c>
      <c r="H226" s="2" t="s">
        <v>32</v>
      </c>
      <c r="I226" s="2">
        <v>48</v>
      </c>
      <c r="J226" s="2" t="s">
        <v>106</v>
      </c>
      <c r="K226" s="2" t="s">
        <v>700</v>
      </c>
      <c r="L226" s="2" t="s">
        <v>92</v>
      </c>
      <c r="M226" s="2">
        <v>1</v>
      </c>
      <c r="N226" s="2"/>
    </row>
    <row r="227" spans="1:14" x14ac:dyDescent="0.25">
      <c r="A227" s="2" t="s">
        <v>701</v>
      </c>
      <c r="B227" s="2" t="s">
        <v>702</v>
      </c>
      <c r="C227" s="2" t="s">
        <v>28</v>
      </c>
      <c r="D227" s="2" t="s">
        <v>100</v>
      </c>
      <c r="E227" s="2" t="s">
        <v>46</v>
      </c>
      <c r="F227" s="2" t="s">
        <v>55</v>
      </c>
      <c r="G227" s="2" t="s">
        <v>101</v>
      </c>
      <c r="H227" s="2" t="s">
        <v>32</v>
      </c>
      <c r="I227" s="2">
        <v>48</v>
      </c>
      <c r="J227" s="2" t="s">
        <v>155</v>
      </c>
      <c r="K227" s="2"/>
      <c r="L227" s="2" t="s">
        <v>24</v>
      </c>
      <c r="M227" s="2"/>
      <c r="N227" s="2" t="s">
        <v>43</v>
      </c>
    </row>
    <row r="228" spans="1:14" x14ac:dyDescent="0.25">
      <c r="A228" s="2" t="s">
        <v>703</v>
      </c>
      <c r="B228" s="2" t="s">
        <v>704</v>
      </c>
      <c r="C228" s="2" t="s">
        <v>53</v>
      </c>
      <c r="D228" s="2" t="s">
        <v>61</v>
      </c>
      <c r="E228" s="2" t="s">
        <v>46</v>
      </c>
      <c r="F228" s="2" t="s">
        <v>125</v>
      </c>
      <c r="G228" s="2" t="s">
        <v>126</v>
      </c>
      <c r="H228" s="2" t="s">
        <v>21</v>
      </c>
      <c r="I228" s="2">
        <v>24</v>
      </c>
      <c r="J228" s="2" t="s">
        <v>56</v>
      </c>
      <c r="K228" s="2" t="s">
        <v>705</v>
      </c>
      <c r="L228" s="2" t="s">
        <v>24</v>
      </c>
      <c r="M228" s="2"/>
      <c r="N228" s="2" t="s">
        <v>118</v>
      </c>
    </row>
    <row r="229" spans="1:14" x14ac:dyDescent="0.25">
      <c r="A229" s="2" t="s">
        <v>706</v>
      </c>
      <c r="B229" s="2" t="s">
        <v>707</v>
      </c>
      <c r="C229" s="2" t="s">
        <v>28</v>
      </c>
      <c r="D229" s="2" t="s">
        <v>37</v>
      </c>
      <c r="E229" s="2" t="s">
        <v>85</v>
      </c>
      <c r="F229" s="2" t="s">
        <v>39</v>
      </c>
      <c r="G229" s="2" t="s">
        <v>20</v>
      </c>
      <c r="H229" s="2" t="s">
        <v>74</v>
      </c>
      <c r="I229" s="2">
        <v>8</v>
      </c>
      <c r="J229" s="2" t="s">
        <v>106</v>
      </c>
      <c r="K229" s="2" t="s">
        <v>708</v>
      </c>
      <c r="L229" s="2" t="s">
        <v>24</v>
      </c>
      <c r="M229" s="2">
        <v>3</v>
      </c>
      <c r="N229" s="2" t="s">
        <v>43</v>
      </c>
    </row>
    <row r="230" spans="1:14" x14ac:dyDescent="0.25">
      <c r="A230" s="2" t="s">
        <v>709</v>
      </c>
      <c r="B230" s="2" t="s">
        <v>710</v>
      </c>
      <c r="C230" s="2" t="s">
        <v>16</v>
      </c>
      <c r="D230" s="2" t="s">
        <v>17</v>
      </c>
      <c r="E230" s="2" t="s">
        <v>46</v>
      </c>
      <c r="F230" s="2" t="s">
        <v>131</v>
      </c>
      <c r="G230" s="2" t="s">
        <v>97</v>
      </c>
      <c r="H230" s="2" t="s">
        <v>74</v>
      </c>
      <c r="I230" s="2">
        <v>8</v>
      </c>
      <c r="J230" s="2" t="s">
        <v>41</v>
      </c>
      <c r="K230" s="2" t="s">
        <v>711</v>
      </c>
      <c r="L230" s="2" t="s">
        <v>24</v>
      </c>
      <c r="M230" s="2">
        <v>1</v>
      </c>
      <c r="N230" s="2"/>
    </row>
    <row r="231" spans="1:14" x14ac:dyDescent="0.25">
      <c r="A231" s="2" t="s">
        <v>712</v>
      </c>
      <c r="B231" s="2" t="s">
        <v>713</v>
      </c>
      <c r="C231" s="2" t="s">
        <v>53</v>
      </c>
      <c r="D231" s="2" t="s">
        <v>54</v>
      </c>
      <c r="E231" s="2" t="s">
        <v>148</v>
      </c>
      <c r="F231" s="2" t="s">
        <v>30</v>
      </c>
      <c r="G231" s="2" t="s">
        <v>139</v>
      </c>
      <c r="H231" s="2" t="s">
        <v>32</v>
      </c>
      <c r="I231" s="2">
        <v>48</v>
      </c>
      <c r="J231" s="2" t="s">
        <v>155</v>
      </c>
      <c r="K231" s="2"/>
      <c r="L231" s="2" t="s">
        <v>24</v>
      </c>
      <c r="M231" s="2"/>
      <c r="N231" s="2"/>
    </row>
    <row r="232" spans="1:14" x14ac:dyDescent="0.25">
      <c r="A232" s="2" t="s">
        <v>714</v>
      </c>
      <c r="B232" s="2" t="s">
        <v>715</v>
      </c>
      <c r="C232" s="2" t="s">
        <v>67</v>
      </c>
      <c r="D232" s="2" t="s">
        <v>95</v>
      </c>
      <c r="E232" s="2" t="s">
        <v>79</v>
      </c>
      <c r="F232" s="2" t="s">
        <v>30</v>
      </c>
      <c r="G232" s="2" t="s">
        <v>121</v>
      </c>
      <c r="H232" s="2" t="s">
        <v>80</v>
      </c>
      <c r="I232" s="2">
        <v>4</v>
      </c>
      <c r="J232" s="2" t="s">
        <v>287</v>
      </c>
      <c r="K232" s="2"/>
      <c r="L232" s="2" t="s">
        <v>24</v>
      </c>
      <c r="M232" s="2"/>
      <c r="N232" s="2" t="s">
        <v>34</v>
      </c>
    </row>
    <row r="233" spans="1:14" x14ac:dyDescent="0.25">
      <c r="A233" s="2" t="s">
        <v>716</v>
      </c>
      <c r="B233" s="2" t="s">
        <v>717</v>
      </c>
      <c r="C233" s="2" t="s">
        <v>28</v>
      </c>
      <c r="D233" s="2" t="s">
        <v>100</v>
      </c>
      <c r="E233" s="2" t="s">
        <v>90</v>
      </c>
      <c r="F233" s="2" t="s">
        <v>143</v>
      </c>
      <c r="G233" s="2" t="s">
        <v>110</v>
      </c>
      <c r="H233" s="2" t="s">
        <v>32</v>
      </c>
      <c r="I233" s="2">
        <v>48</v>
      </c>
      <c r="J233" s="2" t="s">
        <v>22</v>
      </c>
      <c r="K233" s="2" t="s">
        <v>718</v>
      </c>
      <c r="L233" s="2" t="s">
        <v>24</v>
      </c>
      <c r="M233" s="2">
        <v>4</v>
      </c>
      <c r="N233" s="2" t="s">
        <v>50</v>
      </c>
    </row>
    <row r="234" spans="1:14" x14ac:dyDescent="0.25">
      <c r="A234" s="2" t="s">
        <v>719</v>
      </c>
      <c r="B234" s="2" t="s">
        <v>720</v>
      </c>
      <c r="C234" s="2" t="s">
        <v>16</v>
      </c>
      <c r="D234" s="2" t="s">
        <v>17</v>
      </c>
      <c r="E234" s="2" t="s">
        <v>46</v>
      </c>
      <c r="F234" s="2" t="s">
        <v>39</v>
      </c>
      <c r="G234" s="2" t="s">
        <v>183</v>
      </c>
      <c r="H234" s="2" t="s">
        <v>32</v>
      </c>
      <c r="I234" s="2">
        <v>48</v>
      </c>
      <c r="J234" s="2" t="s">
        <v>75</v>
      </c>
      <c r="K234" s="2" t="s">
        <v>721</v>
      </c>
      <c r="L234" s="2" t="s">
        <v>24</v>
      </c>
      <c r="M234" s="2">
        <v>5</v>
      </c>
      <c r="N234" s="2" t="s">
        <v>43</v>
      </c>
    </row>
    <row r="235" spans="1:14" x14ac:dyDescent="0.25">
      <c r="A235" s="2" t="s">
        <v>722</v>
      </c>
      <c r="B235" s="2" t="s">
        <v>723</v>
      </c>
      <c r="C235" s="2" t="s">
        <v>67</v>
      </c>
      <c r="D235" s="2" t="s">
        <v>95</v>
      </c>
      <c r="E235" s="2" t="s">
        <v>85</v>
      </c>
      <c r="F235" s="2" t="s">
        <v>62</v>
      </c>
      <c r="G235" s="2" t="s">
        <v>70</v>
      </c>
      <c r="H235" s="2" t="s">
        <v>21</v>
      </c>
      <c r="I235" s="2">
        <v>24</v>
      </c>
      <c r="J235" s="2" t="s">
        <v>232</v>
      </c>
      <c r="K235" s="2"/>
      <c r="L235" s="2" t="s">
        <v>92</v>
      </c>
      <c r="M235" s="2"/>
      <c r="N235" s="2" t="s">
        <v>50</v>
      </c>
    </row>
    <row r="236" spans="1:14" x14ac:dyDescent="0.25">
      <c r="A236" s="2" t="s">
        <v>724</v>
      </c>
      <c r="B236" s="2" t="s">
        <v>725</v>
      </c>
      <c r="C236" s="2" t="s">
        <v>28</v>
      </c>
      <c r="D236" s="2" t="s">
        <v>37</v>
      </c>
      <c r="E236" s="2" t="s">
        <v>148</v>
      </c>
      <c r="F236" s="2" t="s">
        <v>143</v>
      </c>
      <c r="G236" s="2" t="s">
        <v>179</v>
      </c>
      <c r="H236" s="2" t="s">
        <v>32</v>
      </c>
      <c r="I236" s="2">
        <v>48</v>
      </c>
      <c r="J236" s="2" t="s">
        <v>155</v>
      </c>
      <c r="K236" s="2"/>
      <c r="L236" s="2" t="s">
        <v>24</v>
      </c>
      <c r="M236" s="2"/>
      <c r="N236" s="2"/>
    </row>
    <row r="237" spans="1:14" x14ac:dyDescent="0.25">
      <c r="A237" s="2" t="s">
        <v>726</v>
      </c>
      <c r="B237" s="2" t="s">
        <v>727</v>
      </c>
      <c r="C237" s="2" t="s">
        <v>53</v>
      </c>
      <c r="D237" s="2" t="s">
        <v>54</v>
      </c>
      <c r="E237" s="2" t="s">
        <v>85</v>
      </c>
      <c r="F237" s="2" t="s">
        <v>113</v>
      </c>
      <c r="G237" s="2" t="s">
        <v>139</v>
      </c>
      <c r="H237" s="2" t="s">
        <v>74</v>
      </c>
      <c r="I237" s="2">
        <v>8</v>
      </c>
      <c r="J237" s="2" t="s">
        <v>187</v>
      </c>
      <c r="K237" s="2" t="s">
        <v>728</v>
      </c>
      <c r="L237" s="2" t="s">
        <v>24</v>
      </c>
      <c r="M237" s="2">
        <v>5</v>
      </c>
      <c r="N237" s="2" t="s">
        <v>118</v>
      </c>
    </row>
    <row r="238" spans="1:14" x14ac:dyDescent="0.25">
      <c r="A238" s="2" t="s">
        <v>729</v>
      </c>
      <c r="B238" s="2" t="s">
        <v>730</v>
      </c>
      <c r="C238" s="2" t="s">
        <v>67</v>
      </c>
      <c r="D238" s="2" t="s">
        <v>68</v>
      </c>
      <c r="E238" s="2" t="s">
        <v>79</v>
      </c>
      <c r="F238" s="2" t="s">
        <v>125</v>
      </c>
      <c r="G238" s="2" t="s">
        <v>121</v>
      </c>
      <c r="H238" s="2" t="s">
        <v>21</v>
      </c>
      <c r="I238" s="2">
        <v>24</v>
      </c>
      <c r="J238" s="2" t="s">
        <v>41</v>
      </c>
      <c r="K238" s="2" t="s">
        <v>731</v>
      </c>
      <c r="L238" s="2" t="s">
        <v>24</v>
      </c>
      <c r="M238" s="2">
        <v>1</v>
      </c>
      <c r="N238" s="2"/>
    </row>
    <row r="239" spans="1:14" x14ac:dyDescent="0.25">
      <c r="A239" s="2" t="s">
        <v>732</v>
      </c>
      <c r="B239" s="2" t="s">
        <v>733</v>
      </c>
      <c r="C239" s="2" t="s">
        <v>28</v>
      </c>
      <c r="D239" s="2" t="s">
        <v>37</v>
      </c>
      <c r="E239" s="2" t="s">
        <v>18</v>
      </c>
      <c r="F239" s="2" t="s">
        <v>19</v>
      </c>
      <c r="G239" s="2" t="s">
        <v>121</v>
      </c>
      <c r="H239" s="2" t="s">
        <v>21</v>
      </c>
      <c r="I239" s="2">
        <v>24</v>
      </c>
      <c r="J239" s="2" t="s">
        <v>75</v>
      </c>
      <c r="K239" s="2" t="s">
        <v>734</v>
      </c>
      <c r="L239" s="2" t="s">
        <v>24</v>
      </c>
      <c r="M239" s="2"/>
      <c r="N239" s="2" t="s">
        <v>58</v>
      </c>
    </row>
    <row r="240" spans="1:14" x14ac:dyDescent="0.25">
      <c r="A240" s="2" t="s">
        <v>735</v>
      </c>
      <c r="B240" s="2" t="s">
        <v>736</v>
      </c>
      <c r="C240" s="2" t="s">
        <v>53</v>
      </c>
      <c r="D240" s="2" t="s">
        <v>61</v>
      </c>
      <c r="E240" s="2" t="s">
        <v>18</v>
      </c>
      <c r="F240" s="2" t="s">
        <v>69</v>
      </c>
      <c r="G240" s="2" t="s">
        <v>211</v>
      </c>
      <c r="H240" s="2" t="s">
        <v>21</v>
      </c>
      <c r="I240" s="2">
        <v>24</v>
      </c>
      <c r="J240" s="2" t="s">
        <v>22</v>
      </c>
      <c r="K240" s="2" t="s">
        <v>737</v>
      </c>
      <c r="L240" s="2" t="s">
        <v>24</v>
      </c>
      <c r="M240" s="2">
        <v>3</v>
      </c>
      <c r="N240" s="2"/>
    </row>
    <row r="241" spans="1:14" x14ac:dyDescent="0.25">
      <c r="A241" s="2" t="s">
        <v>738</v>
      </c>
      <c r="B241" s="2" t="s">
        <v>739</v>
      </c>
      <c r="C241" s="2" t="s">
        <v>16</v>
      </c>
      <c r="D241" s="2" t="s">
        <v>17</v>
      </c>
      <c r="E241" s="2" t="s">
        <v>90</v>
      </c>
      <c r="F241" s="2" t="s">
        <v>30</v>
      </c>
      <c r="G241" s="2" t="s">
        <v>179</v>
      </c>
      <c r="H241" s="2" t="s">
        <v>21</v>
      </c>
      <c r="I241" s="2">
        <v>24</v>
      </c>
      <c r="J241" s="2" t="s">
        <v>48</v>
      </c>
      <c r="K241" s="2" t="s">
        <v>740</v>
      </c>
      <c r="L241" s="2" t="s">
        <v>24</v>
      </c>
      <c r="M241" s="2">
        <v>4</v>
      </c>
      <c r="N241" s="2" t="s">
        <v>128</v>
      </c>
    </row>
    <row r="242" spans="1:14" x14ac:dyDescent="0.25">
      <c r="A242" s="2" t="s">
        <v>741</v>
      </c>
      <c r="B242" s="2" t="s">
        <v>742</v>
      </c>
      <c r="C242" s="2" t="s">
        <v>28</v>
      </c>
      <c r="D242" s="2" t="s">
        <v>37</v>
      </c>
      <c r="E242" s="2" t="s">
        <v>85</v>
      </c>
      <c r="F242" s="2" t="s">
        <v>39</v>
      </c>
      <c r="G242" s="2" t="s">
        <v>101</v>
      </c>
      <c r="H242" s="2" t="s">
        <v>21</v>
      </c>
      <c r="I242" s="2">
        <v>24</v>
      </c>
      <c r="J242" s="2" t="s">
        <v>187</v>
      </c>
      <c r="K242" s="2" t="s">
        <v>743</v>
      </c>
      <c r="L242" s="2" t="s">
        <v>24</v>
      </c>
      <c r="M242" s="2">
        <v>2</v>
      </c>
      <c r="N242" s="2" t="s">
        <v>128</v>
      </c>
    </row>
    <row r="243" spans="1:14" x14ac:dyDescent="0.25">
      <c r="A243" s="2" t="s">
        <v>744</v>
      </c>
      <c r="B243" s="2" t="s">
        <v>745</v>
      </c>
      <c r="C243" s="2" t="s">
        <v>28</v>
      </c>
      <c r="D243" s="2" t="s">
        <v>100</v>
      </c>
      <c r="E243" s="2" t="s">
        <v>46</v>
      </c>
      <c r="F243" s="2" t="s">
        <v>39</v>
      </c>
      <c r="G243" s="2" t="s">
        <v>158</v>
      </c>
      <c r="H243" s="2" t="s">
        <v>21</v>
      </c>
      <c r="I243" s="2">
        <v>24</v>
      </c>
      <c r="J243" s="2" t="s">
        <v>187</v>
      </c>
      <c r="K243" s="2" t="s">
        <v>746</v>
      </c>
      <c r="L243" s="2" t="s">
        <v>24</v>
      </c>
      <c r="M243" s="2">
        <v>2</v>
      </c>
      <c r="N243" s="2" t="s">
        <v>128</v>
      </c>
    </row>
    <row r="244" spans="1:14" x14ac:dyDescent="0.25">
      <c r="A244" s="2" t="s">
        <v>747</v>
      </c>
      <c r="B244" s="2" t="s">
        <v>748</v>
      </c>
      <c r="C244" s="2" t="s">
        <v>67</v>
      </c>
      <c r="D244" s="2" t="s">
        <v>68</v>
      </c>
      <c r="E244" s="2" t="s">
        <v>46</v>
      </c>
      <c r="F244" s="2" t="s">
        <v>19</v>
      </c>
      <c r="G244" s="2" t="s">
        <v>97</v>
      </c>
      <c r="H244" s="2" t="s">
        <v>74</v>
      </c>
      <c r="I244" s="2">
        <v>8</v>
      </c>
      <c r="J244" s="2" t="s">
        <v>41</v>
      </c>
      <c r="K244" s="2" t="s">
        <v>749</v>
      </c>
      <c r="L244" s="2" t="s">
        <v>24</v>
      </c>
      <c r="M244" s="2">
        <v>1</v>
      </c>
      <c r="N244" s="2" t="s">
        <v>43</v>
      </c>
    </row>
    <row r="245" spans="1:14" x14ac:dyDescent="0.25">
      <c r="A245" s="2" t="s">
        <v>750</v>
      </c>
      <c r="B245" s="2" t="s">
        <v>751</v>
      </c>
      <c r="C245" s="2" t="s">
        <v>16</v>
      </c>
      <c r="D245" s="2" t="s">
        <v>17</v>
      </c>
      <c r="E245" s="2" t="s">
        <v>18</v>
      </c>
      <c r="F245" s="2" t="s">
        <v>47</v>
      </c>
      <c r="G245" s="2" t="s">
        <v>31</v>
      </c>
      <c r="H245" s="2" t="s">
        <v>80</v>
      </c>
      <c r="I245" s="2">
        <v>4</v>
      </c>
      <c r="J245" s="2" t="s">
        <v>117</v>
      </c>
      <c r="K245" s="2"/>
      <c r="L245" s="2" t="s">
        <v>24</v>
      </c>
      <c r="M245" s="2"/>
      <c r="N245" s="2" t="s">
        <v>58</v>
      </c>
    </row>
    <row r="246" spans="1:14" x14ac:dyDescent="0.25">
      <c r="A246" s="2" t="s">
        <v>752</v>
      </c>
      <c r="B246" s="2" t="s">
        <v>753</v>
      </c>
      <c r="C246" s="2" t="s">
        <v>28</v>
      </c>
      <c r="D246" s="2" t="s">
        <v>37</v>
      </c>
      <c r="E246" s="2" t="s">
        <v>90</v>
      </c>
      <c r="F246" s="2" t="s">
        <v>30</v>
      </c>
      <c r="G246" s="2" t="s">
        <v>144</v>
      </c>
      <c r="H246" s="2" t="s">
        <v>80</v>
      </c>
      <c r="I246" s="2">
        <v>4</v>
      </c>
      <c r="J246" s="2" t="s">
        <v>187</v>
      </c>
      <c r="K246" s="2"/>
      <c r="L246" s="2" t="s">
        <v>24</v>
      </c>
      <c r="M246" s="2">
        <v>2</v>
      </c>
      <c r="N246" s="2" t="s">
        <v>43</v>
      </c>
    </row>
    <row r="247" spans="1:14" x14ac:dyDescent="0.25">
      <c r="A247" s="2" t="s">
        <v>754</v>
      </c>
      <c r="B247" s="2" t="s">
        <v>755</v>
      </c>
      <c r="C247" s="2" t="s">
        <v>53</v>
      </c>
      <c r="D247" s="2" t="s">
        <v>61</v>
      </c>
      <c r="E247" s="2" t="s">
        <v>79</v>
      </c>
      <c r="F247" s="2" t="s">
        <v>143</v>
      </c>
      <c r="G247" s="2" t="s">
        <v>121</v>
      </c>
      <c r="H247" s="2" t="s">
        <v>74</v>
      </c>
      <c r="I247" s="2">
        <v>8</v>
      </c>
      <c r="J247" s="2" t="s">
        <v>48</v>
      </c>
      <c r="K247" s="2" t="s">
        <v>756</v>
      </c>
      <c r="L247" s="2" t="s">
        <v>24</v>
      </c>
      <c r="M247" s="2">
        <v>4</v>
      </c>
      <c r="N247" s="2" t="s">
        <v>43</v>
      </c>
    </row>
    <row r="248" spans="1:14" x14ac:dyDescent="0.25">
      <c r="A248" s="2" t="s">
        <v>757</v>
      </c>
      <c r="B248" s="2" t="s">
        <v>758</v>
      </c>
      <c r="C248" s="2" t="s">
        <v>16</v>
      </c>
      <c r="D248" s="2" t="s">
        <v>84</v>
      </c>
      <c r="E248" s="2" t="s">
        <v>79</v>
      </c>
      <c r="F248" s="2" t="s">
        <v>30</v>
      </c>
      <c r="G248" s="2" t="s">
        <v>121</v>
      </c>
      <c r="H248" s="2" t="s">
        <v>32</v>
      </c>
      <c r="I248" s="2">
        <v>48</v>
      </c>
      <c r="J248" s="2" t="s">
        <v>75</v>
      </c>
      <c r="K248" s="2" t="s">
        <v>759</v>
      </c>
      <c r="L248" s="2" t="s">
        <v>24</v>
      </c>
      <c r="M248" s="2">
        <v>3</v>
      </c>
      <c r="N248" s="2" t="s">
        <v>25</v>
      </c>
    </row>
    <row r="249" spans="1:14" x14ac:dyDescent="0.25">
      <c r="A249" s="2" t="s">
        <v>760</v>
      </c>
      <c r="B249" s="2" t="s">
        <v>761</v>
      </c>
      <c r="C249" s="2" t="s">
        <v>67</v>
      </c>
      <c r="D249" s="2" t="s">
        <v>68</v>
      </c>
      <c r="E249" s="2" t="s">
        <v>38</v>
      </c>
      <c r="F249" s="2" t="s">
        <v>30</v>
      </c>
      <c r="G249" s="2" t="s">
        <v>20</v>
      </c>
      <c r="H249" s="2" t="s">
        <v>74</v>
      </c>
      <c r="I249" s="2">
        <v>8</v>
      </c>
      <c r="J249" s="2" t="s">
        <v>106</v>
      </c>
      <c r="K249" s="2" t="s">
        <v>762</v>
      </c>
      <c r="L249" s="2" t="s">
        <v>92</v>
      </c>
      <c r="M249" s="2">
        <v>2</v>
      </c>
      <c r="N249" s="2" t="s">
        <v>43</v>
      </c>
    </row>
    <row r="250" spans="1:14" x14ac:dyDescent="0.25">
      <c r="A250" s="2" t="s">
        <v>763</v>
      </c>
      <c r="B250" s="2" t="s">
        <v>764</v>
      </c>
      <c r="C250" s="2" t="s">
        <v>16</v>
      </c>
      <c r="D250" s="2" t="s">
        <v>765</v>
      </c>
      <c r="E250" s="2" t="s">
        <v>148</v>
      </c>
      <c r="F250" s="2" t="s">
        <v>113</v>
      </c>
      <c r="G250" s="2" t="s">
        <v>144</v>
      </c>
      <c r="H250" s="2" t="s">
        <v>32</v>
      </c>
      <c r="I250" s="2">
        <v>48</v>
      </c>
      <c r="J250" s="2" t="s">
        <v>155</v>
      </c>
      <c r="K250" s="2"/>
      <c r="L250" s="2" t="s">
        <v>24</v>
      </c>
      <c r="M250" s="2"/>
      <c r="N250" s="2"/>
    </row>
    <row r="251" spans="1:14" x14ac:dyDescent="0.25">
      <c r="A251" s="2" t="s">
        <v>766</v>
      </c>
      <c r="B251" s="2" t="s">
        <v>767</v>
      </c>
      <c r="C251" s="2" t="s">
        <v>67</v>
      </c>
      <c r="D251" s="2" t="s">
        <v>68</v>
      </c>
      <c r="E251" s="2" t="s">
        <v>46</v>
      </c>
      <c r="F251" s="2" t="s">
        <v>143</v>
      </c>
      <c r="G251" s="2" t="s">
        <v>158</v>
      </c>
      <c r="H251" s="2" t="s">
        <v>32</v>
      </c>
      <c r="I251" s="2">
        <v>48</v>
      </c>
      <c r="J251" s="2" t="s">
        <v>41</v>
      </c>
      <c r="K251" s="2" t="s">
        <v>768</v>
      </c>
      <c r="L251" s="2" t="s">
        <v>24</v>
      </c>
      <c r="M251" s="2"/>
      <c r="N251" s="2" t="s">
        <v>64</v>
      </c>
    </row>
    <row r="252" spans="1:14" x14ac:dyDescent="0.25">
      <c r="A252" s="2" t="s">
        <v>769</v>
      </c>
      <c r="B252" s="2" t="s">
        <v>770</v>
      </c>
      <c r="C252" s="2" t="s">
        <v>53</v>
      </c>
      <c r="D252" s="2" t="s">
        <v>771</v>
      </c>
      <c r="E252" s="2" t="s">
        <v>148</v>
      </c>
      <c r="F252" s="2" t="s">
        <v>69</v>
      </c>
      <c r="G252" s="2" t="s">
        <v>31</v>
      </c>
      <c r="H252" s="2" t="s">
        <v>74</v>
      </c>
      <c r="I252" s="2">
        <v>8</v>
      </c>
      <c r="J252" s="2" t="s">
        <v>75</v>
      </c>
      <c r="K252" s="2" t="s">
        <v>772</v>
      </c>
      <c r="L252" s="2" t="s">
        <v>24</v>
      </c>
      <c r="M252" s="2">
        <v>3</v>
      </c>
      <c r="N252" s="2" t="s">
        <v>64</v>
      </c>
    </row>
    <row r="253" spans="1:14" x14ac:dyDescent="0.25">
      <c r="A253" s="2" t="s">
        <v>773</v>
      </c>
      <c r="B253" s="2" t="s">
        <v>774</v>
      </c>
      <c r="C253" s="2" t="s">
        <v>28</v>
      </c>
      <c r="D253" s="2" t="s">
        <v>100</v>
      </c>
      <c r="E253" s="2" t="s">
        <v>79</v>
      </c>
      <c r="F253" s="2" t="s">
        <v>131</v>
      </c>
      <c r="G253" s="2" t="s">
        <v>70</v>
      </c>
      <c r="H253" s="2" t="s">
        <v>32</v>
      </c>
      <c r="I253" s="2">
        <v>48</v>
      </c>
      <c r="J253" s="2" t="s">
        <v>106</v>
      </c>
      <c r="K253" s="2"/>
      <c r="L253" s="2" t="s">
        <v>24</v>
      </c>
      <c r="M253" s="2">
        <v>3</v>
      </c>
      <c r="N253" s="2" t="s">
        <v>128</v>
      </c>
    </row>
    <row r="254" spans="1:14" x14ac:dyDescent="0.25">
      <c r="A254" s="2" t="s">
        <v>775</v>
      </c>
      <c r="B254" s="2" t="s">
        <v>776</v>
      </c>
      <c r="C254" s="2" t="s">
        <v>53</v>
      </c>
      <c r="D254" s="2" t="s">
        <v>54</v>
      </c>
      <c r="E254" s="2" t="s">
        <v>18</v>
      </c>
      <c r="F254" s="2" t="s">
        <v>131</v>
      </c>
      <c r="G254" s="2" t="s">
        <v>70</v>
      </c>
      <c r="H254" s="2" t="s">
        <v>32</v>
      </c>
      <c r="I254" s="2">
        <v>48</v>
      </c>
      <c r="J254" s="2" t="s">
        <v>22</v>
      </c>
      <c r="K254" s="2" t="s">
        <v>777</v>
      </c>
      <c r="L254" s="2" t="s">
        <v>24</v>
      </c>
      <c r="M254" s="2"/>
      <c r="N254" s="2"/>
    </row>
    <row r="255" spans="1:14" x14ac:dyDescent="0.25">
      <c r="A255" s="2" t="s">
        <v>778</v>
      </c>
      <c r="B255" s="2" t="s">
        <v>779</v>
      </c>
      <c r="C255" s="2" t="s">
        <v>53</v>
      </c>
      <c r="D255" s="2" t="s">
        <v>54</v>
      </c>
      <c r="E255" s="2" t="s">
        <v>79</v>
      </c>
      <c r="F255" s="2" t="s">
        <v>19</v>
      </c>
      <c r="G255" s="2" t="s">
        <v>158</v>
      </c>
      <c r="H255" s="2" t="s">
        <v>21</v>
      </c>
      <c r="I255" s="2">
        <v>24</v>
      </c>
      <c r="J255" s="2" t="s">
        <v>48</v>
      </c>
      <c r="K255" s="2" t="s">
        <v>780</v>
      </c>
      <c r="L255" s="2" t="s">
        <v>24</v>
      </c>
      <c r="M255" s="2">
        <v>5</v>
      </c>
      <c r="N255" s="2" t="s">
        <v>34</v>
      </c>
    </row>
    <row r="256" spans="1:14" x14ac:dyDescent="0.25">
      <c r="A256" s="2" t="s">
        <v>781</v>
      </c>
      <c r="B256" s="2" t="s">
        <v>782</v>
      </c>
      <c r="C256" s="2" t="s">
        <v>28</v>
      </c>
      <c r="D256" s="2" t="s">
        <v>37</v>
      </c>
      <c r="E256" s="2" t="s">
        <v>46</v>
      </c>
      <c r="F256" s="2" t="s">
        <v>39</v>
      </c>
      <c r="G256" s="2" t="s">
        <v>139</v>
      </c>
      <c r="H256" s="2" t="s">
        <v>74</v>
      </c>
      <c r="I256" s="2">
        <v>8</v>
      </c>
      <c r="J256" s="2" t="s">
        <v>106</v>
      </c>
      <c r="K256" s="2" t="s">
        <v>783</v>
      </c>
      <c r="L256" s="2" t="s">
        <v>24</v>
      </c>
      <c r="M256" s="2"/>
      <c r="N256" s="2"/>
    </row>
    <row r="257" spans="1:14" x14ac:dyDescent="0.25">
      <c r="A257" s="2" t="s">
        <v>784</v>
      </c>
      <c r="B257" s="2" t="s">
        <v>785</v>
      </c>
      <c r="C257" s="2" t="s">
        <v>16</v>
      </c>
      <c r="D257" s="2" t="s">
        <v>17</v>
      </c>
      <c r="E257" s="2" t="s">
        <v>85</v>
      </c>
      <c r="F257" s="2" t="s">
        <v>125</v>
      </c>
      <c r="G257" s="2" t="s">
        <v>105</v>
      </c>
      <c r="H257" s="2" t="s">
        <v>74</v>
      </c>
      <c r="I257" s="2">
        <v>8</v>
      </c>
      <c r="J257" s="2" t="s">
        <v>22</v>
      </c>
      <c r="K257" s="2" t="s">
        <v>786</v>
      </c>
      <c r="L257" s="2" t="s">
        <v>24</v>
      </c>
      <c r="M257" s="2">
        <v>5</v>
      </c>
      <c r="N257" s="2" t="s">
        <v>43</v>
      </c>
    </row>
    <row r="258" spans="1:14" x14ac:dyDescent="0.25">
      <c r="A258" s="2" t="s">
        <v>787</v>
      </c>
      <c r="B258" s="2" t="s">
        <v>788</v>
      </c>
      <c r="C258" s="2" t="s">
        <v>16</v>
      </c>
      <c r="D258" s="2" t="s">
        <v>84</v>
      </c>
      <c r="E258" s="2" t="s">
        <v>46</v>
      </c>
      <c r="F258" s="2" t="s">
        <v>47</v>
      </c>
      <c r="G258" s="2" t="s">
        <v>20</v>
      </c>
      <c r="H258" s="2" t="s">
        <v>21</v>
      </c>
      <c r="I258" s="2">
        <v>24</v>
      </c>
      <c r="J258" s="2" t="s">
        <v>11</v>
      </c>
      <c r="K258" s="2"/>
      <c r="L258" s="2" t="s">
        <v>92</v>
      </c>
      <c r="M258" s="2"/>
      <c r="N258" s="2" t="s">
        <v>34</v>
      </c>
    </row>
    <row r="259" spans="1:14" x14ac:dyDescent="0.25">
      <c r="A259" s="2" t="s">
        <v>789</v>
      </c>
      <c r="B259" s="2" t="s">
        <v>790</v>
      </c>
      <c r="C259" s="2" t="s">
        <v>53</v>
      </c>
      <c r="D259" s="2" t="s">
        <v>61</v>
      </c>
      <c r="E259" s="2" t="s">
        <v>90</v>
      </c>
      <c r="F259" s="2" t="s">
        <v>125</v>
      </c>
      <c r="G259" s="2" t="s">
        <v>179</v>
      </c>
      <c r="H259" s="2" t="s">
        <v>80</v>
      </c>
      <c r="I259" s="2">
        <v>4</v>
      </c>
      <c r="J259" s="2" t="s">
        <v>11</v>
      </c>
      <c r="K259" s="2"/>
      <c r="L259" s="2" t="s">
        <v>92</v>
      </c>
      <c r="M259" s="2"/>
      <c r="N259" s="2" t="s">
        <v>64</v>
      </c>
    </row>
    <row r="260" spans="1:14" x14ac:dyDescent="0.25">
      <c r="A260" s="2" t="s">
        <v>791</v>
      </c>
      <c r="B260" s="2" t="s">
        <v>792</v>
      </c>
      <c r="C260" s="2" t="s">
        <v>67</v>
      </c>
      <c r="D260" s="2" t="s">
        <v>89</v>
      </c>
      <c r="E260" s="2" t="s">
        <v>79</v>
      </c>
      <c r="F260" s="2" t="s">
        <v>69</v>
      </c>
      <c r="G260" s="2" t="s">
        <v>105</v>
      </c>
      <c r="H260" s="2" t="s">
        <v>32</v>
      </c>
      <c r="I260" s="2">
        <v>48</v>
      </c>
      <c r="J260" s="2" t="s">
        <v>41</v>
      </c>
      <c r="K260" s="2" t="s">
        <v>793</v>
      </c>
      <c r="L260" s="2" t="s">
        <v>24</v>
      </c>
      <c r="M260" s="2"/>
      <c r="N260" s="2" t="s">
        <v>128</v>
      </c>
    </row>
    <row r="261" spans="1:14" x14ac:dyDescent="0.25">
      <c r="A261" s="2" t="s">
        <v>794</v>
      </c>
      <c r="B261" s="2" t="s">
        <v>795</v>
      </c>
      <c r="C261" s="2" t="s">
        <v>28</v>
      </c>
      <c r="D261" s="2" t="s">
        <v>37</v>
      </c>
      <c r="E261" s="2" t="s">
        <v>18</v>
      </c>
      <c r="F261" s="2" t="s">
        <v>47</v>
      </c>
      <c r="G261" s="2" t="s">
        <v>135</v>
      </c>
      <c r="H261" s="2" t="s">
        <v>21</v>
      </c>
      <c r="I261" s="2">
        <v>24</v>
      </c>
      <c r="J261" s="2" t="s">
        <v>191</v>
      </c>
      <c r="K261" s="2" t="s">
        <v>796</v>
      </c>
      <c r="L261" s="2" t="s">
        <v>24</v>
      </c>
      <c r="M261" s="2"/>
      <c r="N261" s="2"/>
    </row>
    <row r="262" spans="1:14" x14ac:dyDescent="0.25">
      <c r="A262" s="2" t="s">
        <v>797</v>
      </c>
      <c r="B262" s="2" t="s">
        <v>798</v>
      </c>
      <c r="C262" s="2" t="s">
        <v>53</v>
      </c>
      <c r="D262" s="2" t="s">
        <v>61</v>
      </c>
      <c r="E262" s="2" t="s">
        <v>148</v>
      </c>
      <c r="F262" s="2" t="s">
        <v>113</v>
      </c>
      <c r="G262" s="2" t="s">
        <v>158</v>
      </c>
      <c r="H262" s="2" t="s">
        <v>80</v>
      </c>
      <c r="I262" s="2">
        <v>4</v>
      </c>
      <c r="J262" s="2" t="s">
        <v>75</v>
      </c>
      <c r="K262" s="2" t="s">
        <v>799</v>
      </c>
      <c r="L262" s="2" t="s">
        <v>24</v>
      </c>
      <c r="M262" s="2"/>
      <c r="N262" s="2" t="s">
        <v>128</v>
      </c>
    </row>
    <row r="263" spans="1:14" x14ac:dyDescent="0.25">
      <c r="A263" s="2" t="s">
        <v>800</v>
      </c>
      <c r="B263" s="2" t="s">
        <v>801</v>
      </c>
      <c r="C263" s="2" t="s">
        <v>53</v>
      </c>
      <c r="D263" s="2" t="s">
        <v>54</v>
      </c>
      <c r="E263" s="2" t="s">
        <v>79</v>
      </c>
      <c r="F263" s="2" t="s">
        <v>96</v>
      </c>
      <c r="G263" s="2" t="s">
        <v>31</v>
      </c>
      <c r="H263" s="2" t="s">
        <v>21</v>
      </c>
      <c r="I263" s="2">
        <v>24</v>
      </c>
      <c r="J263" s="2" t="s">
        <v>41</v>
      </c>
      <c r="K263" s="2" t="s">
        <v>802</v>
      </c>
      <c r="L263" s="2" t="s">
        <v>24</v>
      </c>
      <c r="M263" s="2">
        <v>5</v>
      </c>
      <c r="N263" s="2" t="s">
        <v>34</v>
      </c>
    </row>
    <row r="264" spans="1:14" x14ac:dyDescent="0.25">
      <c r="A264" s="2" t="s">
        <v>803</v>
      </c>
      <c r="B264" s="2" t="s">
        <v>804</v>
      </c>
      <c r="C264" s="2" t="s">
        <v>67</v>
      </c>
      <c r="D264" s="2" t="s">
        <v>95</v>
      </c>
      <c r="E264" s="2" t="s">
        <v>85</v>
      </c>
      <c r="F264" s="2" t="s">
        <v>62</v>
      </c>
      <c r="G264" s="2" t="s">
        <v>97</v>
      </c>
      <c r="H264" s="2" t="s">
        <v>80</v>
      </c>
      <c r="I264" s="2">
        <v>4</v>
      </c>
      <c r="J264" s="2" t="s">
        <v>145</v>
      </c>
      <c r="K264" s="2"/>
      <c r="L264" s="2" t="s">
        <v>24</v>
      </c>
      <c r="M264" s="2"/>
      <c r="N264" s="2" t="s">
        <v>128</v>
      </c>
    </row>
    <row r="265" spans="1:14" x14ac:dyDescent="0.25">
      <c r="A265" s="2" t="s">
        <v>805</v>
      </c>
      <c r="B265" s="2" t="s">
        <v>806</v>
      </c>
      <c r="C265" s="2" t="s">
        <v>16</v>
      </c>
      <c r="D265" s="2" t="s">
        <v>765</v>
      </c>
      <c r="E265" s="2" t="s">
        <v>46</v>
      </c>
      <c r="F265" s="2" t="s">
        <v>30</v>
      </c>
      <c r="G265" s="2" t="s">
        <v>70</v>
      </c>
      <c r="H265" s="2" t="s">
        <v>32</v>
      </c>
      <c r="I265" s="2">
        <v>48</v>
      </c>
      <c r="J265" s="2" t="s">
        <v>41</v>
      </c>
      <c r="K265" s="2" t="s">
        <v>807</v>
      </c>
      <c r="L265" s="2" t="s">
        <v>24</v>
      </c>
      <c r="M265" s="2"/>
      <c r="N265" s="2" t="s">
        <v>50</v>
      </c>
    </row>
    <row r="266" spans="1:14" x14ac:dyDescent="0.25">
      <c r="A266" s="2" t="s">
        <v>808</v>
      </c>
      <c r="B266" s="2" t="s">
        <v>809</v>
      </c>
      <c r="C266" s="2" t="s">
        <v>16</v>
      </c>
      <c r="D266" s="2" t="s">
        <v>17</v>
      </c>
      <c r="E266" s="2" t="s">
        <v>46</v>
      </c>
      <c r="F266" s="2" t="s">
        <v>113</v>
      </c>
      <c r="G266" s="2" t="s">
        <v>183</v>
      </c>
      <c r="H266" s="2" t="s">
        <v>74</v>
      </c>
      <c r="I266" s="2">
        <v>8</v>
      </c>
      <c r="J266" s="2" t="s">
        <v>187</v>
      </c>
      <c r="K266" s="2" t="s">
        <v>810</v>
      </c>
      <c r="L266" s="2" t="s">
        <v>24</v>
      </c>
      <c r="M266" s="2">
        <v>5</v>
      </c>
      <c r="N266" s="2" t="s">
        <v>34</v>
      </c>
    </row>
    <row r="267" spans="1:14" x14ac:dyDescent="0.25">
      <c r="A267" s="2" t="s">
        <v>811</v>
      </c>
      <c r="B267" s="2" t="s">
        <v>812</v>
      </c>
      <c r="C267" s="2" t="s">
        <v>28</v>
      </c>
      <c r="D267" s="2" t="s">
        <v>37</v>
      </c>
      <c r="E267" s="2" t="s">
        <v>38</v>
      </c>
      <c r="F267" s="2" t="s">
        <v>143</v>
      </c>
      <c r="G267" s="2" t="s">
        <v>97</v>
      </c>
      <c r="H267" s="2" t="s">
        <v>32</v>
      </c>
      <c r="I267" s="2">
        <v>48</v>
      </c>
      <c r="J267" s="2" t="s">
        <v>287</v>
      </c>
      <c r="K267" s="2"/>
      <c r="L267" s="2" t="s">
        <v>24</v>
      </c>
      <c r="M267" s="2"/>
      <c r="N267" s="2" t="s">
        <v>25</v>
      </c>
    </row>
    <row r="268" spans="1:14" x14ac:dyDescent="0.25">
      <c r="A268" s="2" t="s">
        <v>813</v>
      </c>
      <c r="B268" s="2" t="s">
        <v>814</v>
      </c>
      <c r="C268" s="2" t="s">
        <v>16</v>
      </c>
      <c r="D268" s="2" t="s">
        <v>17</v>
      </c>
      <c r="E268" s="2" t="s">
        <v>18</v>
      </c>
      <c r="F268" s="2" t="s">
        <v>47</v>
      </c>
      <c r="G268" s="2" t="s">
        <v>158</v>
      </c>
      <c r="H268" s="2" t="s">
        <v>21</v>
      </c>
      <c r="I268" s="2">
        <v>24</v>
      </c>
      <c r="J268" s="2" t="s">
        <v>41</v>
      </c>
      <c r="K268" s="2" t="s">
        <v>815</v>
      </c>
      <c r="L268" s="2" t="s">
        <v>24</v>
      </c>
      <c r="M268" s="2">
        <v>5</v>
      </c>
      <c r="N268" s="2" t="s">
        <v>128</v>
      </c>
    </row>
    <row r="269" spans="1:14" x14ac:dyDescent="0.25">
      <c r="A269" s="2" t="s">
        <v>816</v>
      </c>
      <c r="B269" s="2" t="s">
        <v>817</v>
      </c>
      <c r="C269" s="2" t="s">
        <v>28</v>
      </c>
      <c r="D269" s="2" t="s">
        <v>100</v>
      </c>
      <c r="E269" s="2" t="s">
        <v>18</v>
      </c>
      <c r="F269" s="2" t="s">
        <v>19</v>
      </c>
      <c r="G269" s="2" t="s">
        <v>91</v>
      </c>
      <c r="H269" s="2" t="s">
        <v>32</v>
      </c>
      <c r="I269" s="2">
        <v>48</v>
      </c>
      <c r="J269" s="2" t="s">
        <v>22</v>
      </c>
      <c r="K269" s="2" t="s">
        <v>818</v>
      </c>
      <c r="L269" s="2" t="s">
        <v>24</v>
      </c>
      <c r="M269" s="2">
        <v>5</v>
      </c>
      <c r="N269" s="2"/>
    </row>
    <row r="270" spans="1:14" x14ac:dyDescent="0.25">
      <c r="A270" s="2" t="s">
        <v>819</v>
      </c>
      <c r="B270" s="2" t="s">
        <v>820</v>
      </c>
      <c r="C270" s="2" t="s">
        <v>28</v>
      </c>
      <c r="D270" s="2" t="s">
        <v>37</v>
      </c>
      <c r="E270" s="2" t="s">
        <v>38</v>
      </c>
      <c r="F270" s="2" t="s">
        <v>55</v>
      </c>
      <c r="G270" s="2" t="s">
        <v>179</v>
      </c>
      <c r="H270" s="2" t="s">
        <v>32</v>
      </c>
      <c r="I270" s="2">
        <v>48</v>
      </c>
      <c r="J270" s="2" t="s">
        <v>187</v>
      </c>
      <c r="K270" s="2" t="s">
        <v>821</v>
      </c>
      <c r="L270" s="2" t="s">
        <v>92</v>
      </c>
      <c r="M270" s="2">
        <v>5</v>
      </c>
      <c r="N270" s="2"/>
    </row>
    <row r="271" spans="1:14" x14ac:dyDescent="0.25">
      <c r="A271" s="2" t="s">
        <v>822</v>
      </c>
      <c r="B271" s="2" t="s">
        <v>823</v>
      </c>
      <c r="C271" s="2" t="s">
        <v>16</v>
      </c>
      <c r="D271" s="2" t="s">
        <v>84</v>
      </c>
      <c r="E271" s="2" t="s">
        <v>148</v>
      </c>
      <c r="F271" s="2" t="s">
        <v>131</v>
      </c>
      <c r="G271" s="2" t="s">
        <v>101</v>
      </c>
      <c r="H271" s="2" t="s">
        <v>32</v>
      </c>
      <c r="I271" s="2">
        <v>48</v>
      </c>
      <c r="J271" s="2" t="s">
        <v>187</v>
      </c>
      <c r="K271" s="2" t="s">
        <v>824</v>
      </c>
      <c r="L271" s="2" t="s">
        <v>24</v>
      </c>
      <c r="M271" s="2">
        <v>2</v>
      </c>
      <c r="N271" s="2" t="s">
        <v>128</v>
      </c>
    </row>
    <row r="272" spans="1:14" x14ac:dyDescent="0.25">
      <c r="A272" s="2" t="s">
        <v>825</v>
      </c>
      <c r="B272" s="2" t="s">
        <v>826</v>
      </c>
      <c r="C272" s="2" t="s">
        <v>53</v>
      </c>
      <c r="D272" s="2" t="s">
        <v>54</v>
      </c>
      <c r="E272" s="2" t="s">
        <v>85</v>
      </c>
      <c r="F272" s="2" t="s">
        <v>131</v>
      </c>
      <c r="G272" s="2" t="s">
        <v>121</v>
      </c>
      <c r="H272" s="2" t="s">
        <v>32</v>
      </c>
      <c r="I272" s="2">
        <v>48</v>
      </c>
      <c r="J272" s="2" t="s">
        <v>287</v>
      </c>
      <c r="K272" s="2"/>
      <c r="L272" s="2" t="s">
        <v>24</v>
      </c>
      <c r="M272" s="2"/>
      <c r="N272" s="2" t="s">
        <v>43</v>
      </c>
    </row>
    <row r="273" spans="1:14" x14ac:dyDescent="0.25">
      <c r="A273" s="2" t="s">
        <v>827</v>
      </c>
      <c r="B273" s="2" t="s">
        <v>828</v>
      </c>
      <c r="C273" s="2" t="s">
        <v>67</v>
      </c>
      <c r="D273" s="2" t="s">
        <v>68</v>
      </c>
      <c r="E273" s="2" t="s">
        <v>148</v>
      </c>
      <c r="F273" s="2" t="s">
        <v>39</v>
      </c>
      <c r="G273" s="2" t="s">
        <v>139</v>
      </c>
      <c r="H273" s="2" t="s">
        <v>74</v>
      </c>
      <c r="I273" s="2">
        <v>8</v>
      </c>
      <c r="J273" s="2" t="s">
        <v>232</v>
      </c>
      <c r="K273" s="2"/>
      <c r="L273" s="2" t="s">
        <v>92</v>
      </c>
      <c r="M273" s="2"/>
      <c r="N273" s="2"/>
    </row>
    <row r="274" spans="1:14" x14ac:dyDescent="0.25">
      <c r="A274" s="2" t="s">
        <v>829</v>
      </c>
      <c r="B274" s="2" t="s">
        <v>830</v>
      </c>
      <c r="C274" s="2" t="s">
        <v>28</v>
      </c>
      <c r="D274" s="2" t="s">
        <v>100</v>
      </c>
      <c r="E274" s="2" t="s">
        <v>85</v>
      </c>
      <c r="F274" s="2" t="s">
        <v>47</v>
      </c>
      <c r="G274" s="2" t="s">
        <v>126</v>
      </c>
      <c r="H274" s="2" t="s">
        <v>32</v>
      </c>
      <c r="I274" s="2">
        <v>48</v>
      </c>
      <c r="J274" s="2" t="s">
        <v>48</v>
      </c>
      <c r="K274" s="2" t="s">
        <v>831</v>
      </c>
      <c r="L274" s="2" t="s">
        <v>24</v>
      </c>
      <c r="M274" s="2">
        <v>4</v>
      </c>
      <c r="N274" s="2"/>
    </row>
    <row r="275" spans="1:14" x14ac:dyDescent="0.25">
      <c r="A275" s="2" t="s">
        <v>832</v>
      </c>
      <c r="B275" s="2" t="s">
        <v>833</v>
      </c>
      <c r="C275" s="2" t="s">
        <v>67</v>
      </c>
      <c r="D275" s="2" t="s">
        <v>89</v>
      </c>
      <c r="E275" s="2" t="s">
        <v>85</v>
      </c>
      <c r="F275" s="2" t="s">
        <v>69</v>
      </c>
      <c r="G275" s="2" t="s">
        <v>97</v>
      </c>
      <c r="H275" s="2" t="s">
        <v>32</v>
      </c>
      <c r="I275" s="2">
        <v>48</v>
      </c>
      <c r="J275" s="2" t="s">
        <v>149</v>
      </c>
      <c r="K275" s="2"/>
      <c r="L275" s="2" t="s">
        <v>24</v>
      </c>
      <c r="M275" s="2"/>
      <c r="N275" s="2" t="s">
        <v>34</v>
      </c>
    </row>
    <row r="276" spans="1:14" x14ac:dyDescent="0.25">
      <c r="A276" s="2" t="s">
        <v>834</v>
      </c>
      <c r="B276" s="2" t="s">
        <v>835</v>
      </c>
      <c r="C276" s="2" t="s">
        <v>53</v>
      </c>
      <c r="D276" s="2" t="s">
        <v>61</v>
      </c>
      <c r="E276" s="2" t="s">
        <v>90</v>
      </c>
      <c r="F276" s="2" t="s">
        <v>69</v>
      </c>
      <c r="G276" s="2" t="s">
        <v>211</v>
      </c>
      <c r="H276" s="2" t="s">
        <v>32</v>
      </c>
      <c r="I276" s="2">
        <v>48</v>
      </c>
      <c r="J276" s="2" t="s">
        <v>75</v>
      </c>
      <c r="K276" s="2" t="s">
        <v>836</v>
      </c>
      <c r="L276" s="2" t="s">
        <v>24</v>
      </c>
      <c r="M276" s="2">
        <v>5</v>
      </c>
      <c r="N276" s="2" t="s">
        <v>128</v>
      </c>
    </row>
    <row r="277" spans="1:14" x14ac:dyDescent="0.25">
      <c r="A277" s="2" t="s">
        <v>837</v>
      </c>
      <c r="B277" s="2" t="s">
        <v>838</v>
      </c>
      <c r="C277" s="2" t="s">
        <v>16</v>
      </c>
      <c r="D277" s="2" t="s">
        <v>84</v>
      </c>
      <c r="E277" s="2" t="s">
        <v>90</v>
      </c>
      <c r="F277" s="2" t="s">
        <v>125</v>
      </c>
      <c r="G277" s="2" t="s">
        <v>40</v>
      </c>
      <c r="H277" s="2" t="s">
        <v>32</v>
      </c>
      <c r="I277" s="2">
        <v>48</v>
      </c>
      <c r="J277" s="2" t="s">
        <v>22</v>
      </c>
      <c r="K277" s="2" t="s">
        <v>839</v>
      </c>
      <c r="L277" s="2" t="s">
        <v>24</v>
      </c>
      <c r="M277" s="2">
        <v>3</v>
      </c>
      <c r="N277" s="2" t="s">
        <v>58</v>
      </c>
    </row>
    <row r="278" spans="1:14" x14ac:dyDescent="0.25">
      <c r="A278" s="2" t="s">
        <v>840</v>
      </c>
      <c r="B278" s="2" t="s">
        <v>841</v>
      </c>
      <c r="C278" s="2" t="s">
        <v>28</v>
      </c>
      <c r="D278" s="2" t="s">
        <v>37</v>
      </c>
      <c r="E278" s="2" t="s">
        <v>79</v>
      </c>
      <c r="F278" s="2" t="s">
        <v>19</v>
      </c>
      <c r="G278" s="2" t="s">
        <v>101</v>
      </c>
      <c r="H278" s="2" t="s">
        <v>74</v>
      </c>
      <c r="I278" s="2">
        <v>8</v>
      </c>
      <c r="J278" s="2" t="s">
        <v>155</v>
      </c>
      <c r="K278" s="2"/>
      <c r="L278" s="2" t="s">
        <v>24</v>
      </c>
      <c r="M278" s="2"/>
      <c r="N278" s="2" t="s">
        <v>50</v>
      </c>
    </row>
    <row r="279" spans="1:14" x14ac:dyDescent="0.25">
      <c r="A279" s="2" t="s">
        <v>842</v>
      </c>
      <c r="B279" s="2" t="s">
        <v>843</v>
      </c>
      <c r="C279" s="2" t="s">
        <v>28</v>
      </c>
      <c r="D279" s="2" t="s">
        <v>37</v>
      </c>
      <c r="E279" s="2" t="s">
        <v>18</v>
      </c>
      <c r="F279" s="2" t="s">
        <v>143</v>
      </c>
      <c r="G279" s="2" t="s">
        <v>121</v>
      </c>
      <c r="H279" s="2" t="s">
        <v>21</v>
      </c>
      <c r="I279" s="2">
        <v>24</v>
      </c>
      <c r="J279" s="2" t="s">
        <v>75</v>
      </c>
      <c r="K279" s="2" t="s">
        <v>844</v>
      </c>
      <c r="L279" s="2" t="s">
        <v>24</v>
      </c>
      <c r="M279" s="2">
        <v>5</v>
      </c>
      <c r="N279" s="2" t="s">
        <v>34</v>
      </c>
    </row>
    <row r="280" spans="1:14" x14ac:dyDescent="0.25">
      <c r="A280" s="2" t="s">
        <v>845</v>
      </c>
      <c r="B280" s="2" t="s">
        <v>846</v>
      </c>
      <c r="C280" s="2" t="s">
        <v>16</v>
      </c>
      <c r="D280" s="2" t="s">
        <v>17</v>
      </c>
      <c r="E280" s="2" t="s">
        <v>85</v>
      </c>
      <c r="F280" s="2" t="s">
        <v>55</v>
      </c>
      <c r="G280" s="2" t="s">
        <v>211</v>
      </c>
      <c r="H280" s="2" t="s">
        <v>74</v>
      </c>
      <c r="I280" s="2">
        <v>8</v>
      </c>
      <c r="J280" s="2" t="s">
        <v>106</v>
      </c>
      <c r="K280" s="2" t="s">
        <v>847</v>
      </c>
      <c r="L280" s="2" t="s">
        <v>24</v>
      </c>
      <c r="M280" s="2">
        <v>5</v>
      </c>
      <c r="N280" s="2" t="s">
        <v>50</v>
      </c>
    </row>
    <row r="281" spans="1:14" x14ac:dyDescent="0.25">
      <c r="A281" s="2" t="s">
        <v>848</v>
      </c>
      <c r="B281" s="2" t="s">
        <v>849</v>
      </c>
      <c r="C281" s="2" t="s">
        <v>28</v>
      </c>
      <c r="D281" s="2" t="s">
        <v>100</v>
      </c>
      <c r="E281" s="2" t="s">
        <v>38</v>
      </c>
      <c r="F281" s="2" t="s">
        <v>125</v>
      </c>
      <c r="G281" s="2" t="s">
        <v>101</v>
      </c>
      <c r="H281" s="2" t="s">
        <v>21</v>
      </c>
      <c r="I281" s="2">
        <v>24</v>
      </c>
      <c r="J281" s="2" t="s">
        <v>48</v>
      </c>
      <c r="K281" s="2" t="s">
        <v>850</v>
      </c>
      <c r="L281" s="2" t="s">
        <v>24</v>
      </c>
      <c r="M281" s="2">
        <v>3</v>
      </c>
      <c r="N281" s="2" t="s">
        <v>25</v>
      </c>
    </row>
    <row r="282" spans="1:14" x14ac:dyDescent="0.25">
      <c r="A282" s="2" t="s">
        <v>851</v>
      </c>
      <c r="B282" s="2" t="s">
        <v>852</v>
      </c>
      <c r="C282" s="2" t="s">
        <v>28</v>
      </c>
      <c r="D282" s="2" t="s">
        <v>100</v>
      </c>
      <c r="E282" s="2" t="s">
        <v>90</v>
      </c>
      <c r="F282" s="2" t="s">
        <v>62</v>
      </c>
      <c r="G282" s="2" t="s">
        <v>101</v>
      </c>
      <c r="H282" s="2" t="s">
        <v>32</v>
      </c>
      <c r="I282" s="2">
        <v>48</v>
      </c>
      <c r="J282" s="2" t="s">
        <v>200</v>
      </c>
      <c r="K282" s="2"/>
      <c r="L282" s="2" t="s">
        <v>92</v>
      </c>
      <c r="M282" s="2"/>
      <c r="N282" s="2"/>
    </row>
    <row r="283" spans="1:14" x14ac:dyDescent="0.25">
      <c r="A283" s="2" t="s">
        <v>853</v>
      </c>
      <c r="B283" s="2" t="s">
        <v>854</v>
      </c>
      <c r="C283" s="2" t="s">
        <v>28</v>
      </c>
      <c r="D283" s="2" t="s">
        <v>100</v>
      </c>
      <c r="E283" s="2" t="s">
        <v>90</v>
      </c>
      <c r="F283" s="2" t="s">
        <v>96</v>
      </c>
      <c r="G283" s="2" t="s">
        <v>70</v>
      </c>
      <c r="H283" s="2" t="s">
        <v>32</v>
      </c>
      <c r="I283" s="2">
        <v>48</v>
      </c>
      <c r="J283" s="2" t="s">
        <v>155</v>
      </c>
      <c r="K283" s="2"/>
      <c r="L283" s="2" t="s">
        <v>24</v>
      </c>
      <c r="M283" s="2"/>
      <c r="N283" s="2" t="s">
        <v>50</v>
      </c>
    </row>
    <row r="284" spans="1:14" x14ac:dyDescent="0.25">
      <c r="A284" s="2" t="s">
        <v>855</v>
      </c>
      <c r="B284" s="2" t="s">
        <v>856</v>
      </c>
      <c r="C284" s="2" t="s">
        <v>28</v>
      </c>
      <c r="D284" s="2" t="s">
        <v>100</v>
      </c>
      <c r="E284" s="2" t="s">
        <v>46</v>
      </c>
      <c r="F284" s="2" t="s">
        <v>19</v>
      </c>
      <c r="G284" s="2" t="s">
        <v>70</v>
      </c>
      <c r="H284" s="2" t="s">
        <v>32</v>
      </c>
      <c r="I284" s="2">
        <v>48</v>
      </c>
      <c r="J284" s="2" t="s">
        <v>11</v>
      </c>
      <c r="K284" s="2"/>
      <c r="L284" s="2" t="s">
        <v>92</v>
      </c>
      <c r="M284" s="2"/>
      <c r="N284" s="2" t="s">
        <v>43</v>
      </c>
    </row>
    <row r="285" spans="1:14" x14ac:dyDescent="0.25">
      <c r="A285" s="2" t="s">
        <v>857</v>
      </c>
      <c r="B285" s="2" t="s">
        <v>858</v>
      </c>
      <c r="C285" s="2" t="s">
        <v>67</v>
      </c>
      <c r="D285" s="2" t="s">
        <v>95</v>
      </c>
      <c r="E285" s="2" t="s">
        <v>18</v>
      </c>
      <c r="F285" s="2" t="s">
        <v>19</v>
      </c>
      <c r="G285" s="2" t="s">
        <v>121</v>
      </c>
      <c r="H285" s="2" t="s">
        <v>21</v>
      </c>
      <c r="I285" s="2">
        <v>24</v>
      </c>
      <c r="J285" s="2" t="s">
        <v>75</v>
      </c>
      <c r="K285" s="2" t="s">
        <v>859</v>
      </c>
      <c r="L285" s="2" t="s">
        <v>24</v>
      </c>
      <c r="M285" s="2">
        <v>4</v>
      </c>
      <c r="N285" s="2" t="s">
        <v>43</v>
      </c>
    </row>
    <row r="286" spans="1:14" x14ac:dyDescent="0.25">
      <c r="A286" s="2" t="s">
        <v>860</v>
      </c>
      <c r="B286" s="2" t="s">
        <v>861</v>
      </c>
      <c r="C286" s="2" t="s">
        <v>67</v>
      </c>
      <c r="D286" s="2" t="s">
        <v>95</v>
      </c>
      <c r="E286" s="2" t="s">
        <v>46</v>
      </c>
      <c r="F286" s="2" t="s">
        <v>19</v>
      </c>
      <c r="G286" s="2" t="s">
        <v>70</v>
      </c>
      <c r="H286" s="2" t="s">
        <v>21</v>
      </c>
      <c r="I286" s="2">
        <v>24</v>
      </c>
      <c r="J286" s="2" t="s">
        <v>187</v>
      </c>
      <c r="K286" s="2" t="s">
        <v>862</v>
      </c>
      <c r="L286" s="2" t="s">
        <v>24</v>
      </c>
      <c r="M286" s="2">
        <v>1</v>
      </c>
      <c r="N286" s="2" t="s">
        <v>43</v>
      </c>
    </row>
    <row r="287" spans="1:14" x14ac:dyDescent="0.25">
      <c r="A287" s="2" t="s">
        <v>863</v>
      </c>
      <c r="B287" s="2" t="s">
        <v>864</v>
      </c>
      <c r="C287" s="2" t="s">
        <v>53</v>
      </c>
      <c r="D287" s="2" t="s">
        <v>54</v>
      </c>
      <c r="E287" s="2" t="s">
        <v>46</v>
      </c>
      <c r="F287" s="2" t="s">
        <v>143</v>
      </c>
      <c r="G287" s="2" t="s">
        <v>97</v>
      </c>
      <c r="H287" s="2" t="s">
        <v>32</v>
      </c>
      <c r="I287" s="2">
        <v>48</v>
      </c>
      <c r="J287" s="2" t="s">
        <v>22</v>
      </c>
      <c r="K287" s="2" t="s">
        <v>865</v>
      </c>
      <c r="L287" s="2" t="s">
        <v>24</v>
      </c>
      <c r="M287" s="2">
        <v>3</v>
      </c>
      <c r="N287" s="2" t="s">
        <v>43</v>
      </c>
    </row>
    <row r="288" spans="1:14" x14ac:dyDescent="0.25">
      <c r="A288" s="2" t="s">
        <v>866</v>
      </c>
      <c r="B288" s="2" t="s">
        <v>867</v>
      </c>
      <c r="C288" s="2" t="s">
        <v>28</v>
      </c>
      <c r="D288" s="2" t="s">
        <v>37</v>
      </c>
      <c r="E288" s="2" t="s">
        <v>18</v>
      </c>
      <c r="F288" s="2" t="s">
        <v>55</v>
      </c>
      <c r="G288" s="2" t="s">
        <v>179</v>
      </c>
      <c r="H288" s="2" t="s">
        <v>80</v>
      </c>
      <c r="I288" s="2">
        <v>4</v>
      </c>
      <c r="J288" s="2" t="s">
        <v>22</v>
      </c>
      <c r="K288" s="2" t="s">
        <v>868</v>
      </c>
      <c r="L288" s="2" t="s">
        <v>24</v>
      </c>
      <c r="M288" s="2">
        <v>4</v>
      </c>
      <c r="N288" s="2" t="s">
        <v>118</v>
      </c>
    </row>
    <row r="289" spans="1:14" x14ac:dyDescent="0.25">
      <c r="A289" s="2" t="s">
        <v>869</v>
      </c>
      <c r="B289" s="2" t="s">
        <v>870</v>
      </c>
      <c r="C289" s="2" t="s">
        <v>67</v>
      </c>
      <c r="D289" s="2" t="s">
        <v>68</v>
      </c>
      <c r="E289" s="2" t="s">
        <v>18</v>
      </c>
      <c r="F289" s="2" t="s">
        <v>39</v>
      </c>
      <c r="G289" s="2" t="s">
        <v>126</v>
      </c>
      <c r="H289" s="2" t="s">
        <v>80</v>
      </c>
      <c r="I289" s="2">
        <v>4</v>
      </c>
      <c r="J289" s="2" t="s">
        <v>41</v>
      </c>
      <c r="K289" s="2" t="s">
        <v>871</v>
      </c>
      <c r="L289" s="2" t="s">
        <v>24</v>
      </c>
      <c r="M289" s="2"/>
      <c r="N289" s="2" t="s">
        <v>118</v>
      </c>
    </row>
    <row r="290" spans="1:14" x14ac:dyDescent="0.25">
      <c r="A290" s="2" t="s">
        <v>872</v>
      </c>
      <c r="B290" s="2" t="s">
        <v>873</v>
      </c>
      <c r="C290" s="2" t="s">
        <v>67</v>
      </c>
      <c r="D290" s="2" t="s">
        <v>89</v>
      </c>
      <c r="E290" s="2" t="s">
        <v>38</v>
      </c>
      <c r="F290" s="2" t="s">
        <v>39</v>
      </c>
      <c r="G290" s="2" t="s">
        <v>211</v>
      </c>
      <c r="H290" s="2" t="s">
        <v>74</v>
      </c>
      <c r="I290" s="2">
        <v>8</v>
      </c>
      <c r="J290" s="2" t="s">
        <v>75</v>
      </c>
      <c r="K290" s="2" t="s">
        <v>874</v>
      </c>
      <c r="L290" s="2" t="s">
        <v>24</v>
      </c>
      <c r="M290" s="2"/>
      <c r="N290" s="2" t="s">
        <v>118</v>
      </c>
    </row>
    <row r="291" spans="1:14" x14ac:dyDescent="0.25">
      <c r="A291" s="2" t="s">
        <v>875</v>
      </c>
      <c r="B291" s="2" t="s">
        <v>876</v>
      </c>
      <c r="C291" s="2" t="s">
        <v>28</v>
      </c>
      <c r="D291" s="2" t="s">
        <v>37</v>
      </c>
      <c r="E291" s="2" t="s">
        <v>46</v>
      </c>
      <c r="F291" s="2" t="s">
        <v>55</v>
      </c>
      <c r="G291" s="2" t="s">
        <v>121</v>
      </c>
      <c r="H291" s="2" t="s">
        <v>21</v>
      </c>
      <c r="I291" s="2">
        <v>24</v>
      </c>
      <c r="J291" s="2" t="s">
        <v>106</v>
      </c>
      <c r="K291" s="2" t="s">
        <v>877</v>
      </c>
      <c r="L291" s="2" t="s">
        <v>24</v>
      </c>
      <c r="M291" s="2">
        <v>2</v>
      </c>
      <c r="N291" s="2" t="s">
        <v>58</v>
      </c>
    </row>
    <row r="292" spans="1:14" x14ac:dyDescent="0.25">
      <c r="A292" s="2" t="s">
        <v>878</v>
      </c>
      <c r="B292" s="2" t="s">
        <v>879</v>
      </c>
      <c r="C292" s="2" t="s">
        <v>16</v>
      </c>
      <c r="D292" s="2" t="s">
        <v>84</v>
      </c>
      <c r="E292" s="2" t="s">
        <v>18</v>
      </c>
      <c r="F292" s="2" t="s">
        <v>47</v>
      </c>
      <c r="G292" s="2" t="s">
        <v>211</v>
      </c>
      <c r="H292" s="2" t="s">
        <v>21</v>
      </c>
      <c r="I292" s="2">
        <v>24</v>
      </c>
      <c r="J292" s="2" t="s">
        <v>22</v>
      </c>
      <c r="K292" s="2" t="s">
        <v>880</v>
      </c>
      <c r="L292" s="2" t="s">
        <v>24</v>
      </c>
      <c r="M292" s="2"/>
      <c r="N292" s="2" t="s">
        <v>118</v>
      </c>
    </row>
    <row r="293" spans="1:14" x14ac:dyDescent="0.25">
      <c r="A293" s="2" t="s">
        <v>881</v>
      </c>
      <c r="B293" s="2" t="s">
        <v>882</v>
      </c>
      <c r="C293" s="2" t="s">
        <v>28</v>
      </c>
      <c r="D293" s="2" t="s">
        <v>100</v>
      </c>
      <c r="E293" s="2" t="s">
        <v>90</v>
      </c>
      <c r="F293" s="2" t="s">
        <v>62</v>
      </c>
      <c r="G293" s="2" t="s">
        <v>179</v>
      </c>
      <c r="H293" s="2" t="s">
        <v>21</v>
      </c>
      <c r="I293" s="2">
        <v>24</v>
      </c>
      <c r="J293" s="2" t="s">
        <v>22</v>
      </c>
      <c r="K293" s="2" t="s">
        <v>883</v>
      </c>
      <c r="L293" s="2" t="s">
        <v>24</v>
      </c>
      <c r="M293" s="2"/>
      <c r="N293" s="2" t="s">
        <v>25</v>
      </c>
    </row>
    <row r="294" spans="1:14" x14ac:dyDescent="0.25">
      <c r="A294" s="2" t="s">
        <v>884</v>
      </c>
      <c r="B294" s="2" t="s">
        <v>885</v>
      </c>
      <c r="C294" s="2" t="s">
        <v>67</v>
      </c>
      <c r="D294" s="2" t="s">
        <v>95</v>
      </c>
      <c r="E294" s="2" t="s">
        <v>79</v>
      </c>
      <c r="F294" s="2" t="s">
        <v>96</v>
      </c>
      <c r="G294" s="2" t="s">
        <v>20</v>
      </c>
      <c r="H294" s="2" t="s">
        <v>74</v>
      </c>
      <c r="I294" s="2">
        <v>8</v>
      </c>
      <c r="J294" s="2" t="s">
        <v>41</v>
      </c>
      <c r="K294" s="2" t="s">
        <v>886</v>
      </c>
      <c r="L294" s="2" t="s">
        <v>24</v>
      </c>
      <c r="M294" s="2"/>
      <c r="N294" s="2" t="s">
        <v>34</v>
      </c>
    </row>
    <row r="295" spans="1:14" x14ac:dyDescent="0.25">
      <c r="A295" s="2" t="s">
        <v>887</v>
      </c>
      <c r="B295" s="2" t="s">
        <v>888</v>
      </c>
      <c r="C295" s="2" t="s">
        <v>28</v>
      </c>
      <c r="D295" s="2" t="s">
        <v>220</v>
      </c>
      <c r="E295" s="2" t="s">
        <v>46</v>
      </c>
      <c r="F295" s="2" t="s">
        <v>96</v>
      </c>
      <c r="G295" s="2" t="s">
        <v>179</v>
      </c>
      <c r="H295" s="2" t="s">
        <v>32</v>
      </c>
      <c r="I295" s="2">
        <v>48</v>
      </c>
      <c r="J295" s="2" t="s">
        <v>106</v>
      </c>
      <c r="K295" s="2" t="s">
        <v>889</v>
      </c>
      <c r="L295" s="2" t="s">
        <v>24</v>
      </c>
      <c r="M295" s="2">
        <v>1</v>
      </c>
      <c r="N295" s="2" t="s">
        <v>34</v>
      </c>
    </row>
    <row r="296" spans="1:14" x14ac:dyDescent="0.25">
      <c r="A296" s="2" t="s">
        <v>890</v>
      </c>
      <c r="B296" s="2" t="s">
        <v>891</v>
      </c>
      <c r="C296" s="2" t="s">
        <v>53</v>
      </c>
      <c r="D296" s="2" t="s">
        <v>61</v>
      </c>
      <c r="E296" s="2" t="s">
        <v>46</v>
      </c>
      <c r="F296" s="2" t="s">
        <v>143</v>
      </c>
      <c r="G296" s="2" t="s">
        <v>105</v>
      </c>
      <c r="H296" s="2" t="s">
        <v>32</v>
      </c>
      <c r="I296" s="2">
        <v>48</v>
      </c>
      <c r="J296" s="2" t="s">
        <v>106</v>
      </c>
      <c r="K296" s="2" t="s">
        <v>892</v>
      </c>
      <c r="L296" s="2" t="s">
        <v>24</v>
      </c>
      <c r="M296" s="2">
        <v>5</v>
      </c>
      <c r="N296" s="2" t="s">
        <v>34</v>
      </c>
    </row>
    <row r="297" spans="1:14" x14ac:dyDescent="0.25">
      <c r="A297" s="2" t="s">
        <v>893</v>
      </c>
      <c r="B297" s="2" t="s">
        <v>894</v>
      </c>
      <c r="C297" s="2" t="s">
        <v>53</v>
      </c>
      <c r="D297" s="2" t="s">
        <v>61</v>
      </c>
      <c r="E297" s="2" t="s">
        <v>46</v>
      </c>
      <c r="F297" s="2" t="s">
        <v>113</v>
      </c>
      <c r="G297" s="2" t="s">
        <v>144</v>
      </c>
      <c r="H297" s="2" t="s">
        <v>74</v>
      </c>
      <c r="I297" s="2">
        <v>8</v>
      </c>
      <c r="J297" s="2" t="s">
        <v>106</v>
      </c>
      <c r="K297" s="2" t="s">
        <v>895</v>
      </c>
      <c r="L297" s="2" t="s">
        <v>24</v>
      </c>
      <c r="M297" s="2">
        <v>5</v>
      </c>
      <c r="N297" s="2"/>
    </row>
    <row r="298" spans="1:14" x14ac:dyDescent="0.25">
      <c r="A298" s="2" t="s">
        <v>896</v>
      </c>
      <c r="B298" s="2" t="s">
        <v>897</v>
      </c>
      <c r="C298" s="2" t="s">
        <v>28</v>
      </c>
      <c r="D298" s="2" t="s">
        <v>37</v>
      </c>
      <c r="E298" s="2" t="s">
        <v>85</v>
      </c>
      <c r="F298" s="2" t="s">
        <v>47</v>
      </c>
      <c r="G298" s="2" t="s">
        <v>144</v>
      </c>
      <c r="H298" s="2" t="s">
        <v>21</v>
      </c>
      <c r="I298" s="2">
        <v>24</v>
      </c>
      <c r="J298" s="2" t="s">
        <v>11</v>
      </c>
      <c r="K298" s="2"/>
      <c r="L298" s="2" t="s">
        <v>92</v>
      </c>
      <c r="M298" s="2"/>
      <c r="N298" s="2" t="s">
        <v>64</v>
      </c>
    </row>
    <row r="299" spans="1:14" x14ac:dyDescent="0.25">
      <c r="A299" s="2" t="s">
        <v>898</v>
      </c>
      <c r="B299" s="2" t="s">
        <v>899</v>
      </c>
      <c r="C299" s="2" t="s">
        <v>67</v>
      </c>
      <c r="D299" s="2" t="s">
        <v>68</v>
      </c>
      <c r="E299" s="2" t="s">
        <v>85</v>
      </c>
      <c r="F299" s="2" t="s">
        <v>19</v>
      </c>
      <c r="G299" s="2" t="s">
        <v>183</v>
      </c>
      <c r="H299" s="2" t="s">
        <v>32</v>
      </c>
      <c r="I299" s="2">
        <v>48</v>
      </c>
      <c r="J299" s="2" t="s">
        <v>187</v>
      </c>
      <c r="K299" s="2" t="s">
        <v>900</v>
      </c>
      <c r="L299" s="2" t="s">
        <v>24</v>
      </c>
      <c r="M299" s="2"/>
      <c r="N299" s="2" t="s">
        <v>58</v>
      </c>
    </row>
    <row r="300" spans="1:14" x14ac:dyDescent="0.25">
      <c r="A300" s="2" t="s">
        <v>901</v>
      </c>
      <c r="B300" s="2" t="s">
        <v>902</v>
      </c>
      <c r="C300" s="2" t="s">
        <v>16</v>
      </c>
      <c r="D300" s="2" t="s">
        <v>17</v>
      </c>
      <c r="E300" s="2" t="s">
        <v>79</v>
      </c>
      <c r="F300" s="2" t="s">
        <v>69</v>
      </c>
      <c r="G300" s="2" t="s">
        <v>183</v>
      </c>
      <c r="H300" s="2" t="s">
        <v>32</v>
      </c>
      <c r="I300" s="2">
        <v>48</v>
      </c>
      <c r="J300" s="2" t="s">
        <v>33</v>
      </c>
      <c r="K300" s="2"/>
      <c r="L300" s="2" t="s">
        <v>24</v>
      </c>
      <c r="M300" s="2"/>
      <c r="N300" s="2" t="s">
        <v>58</v>
      </c>
    </row>
    <row r="301" spans="1:14" x14ac:dyDescent="0.25">
      <c r="A301" s="2" t="s">
        <v>903</v>
      </c>
      <c r="B301" s="2" t="s">
        <v>904</v>
      </c>
      <c r="C301" s="2" t="s">
        <v>28</v>
      </c>
      <c r="D301" s="2" t="s">
        <v>100</v>
      </c>
      <c r="E301" s="2" t="s">
        <v>18</v>
      </c>
      <c r="F301" s="2" t="s">
        <v>125</v>
      </c>
      <c r="G301" s="2" t="s">
        <v>20</v>
      </c>
      <c r="H301" s="2" t="s">
        <v>74</v>
      </c>
      <c r="I301" s="2">
        <v>8</v>
      </c>
      <c r="J301" s="2" t="s">
        <v>145</v>
      </c>
      <c r="K301" s="2"/>
      <c r="L301" s="2" t="s">
        <v>92</v>
      </c>
      <c r="M301" s="2"/>
      <c r="N301" s="2" t="s">
        <v>50</v>
      </c>
    </row>
    <row r="302" spans="1:14" x14ac:dyDescent="0.25">
      <c r="A302" s="2" t="s">
        <v>905</v>
      </c>
      <c r="B302" s="2" t="s">
        <v>906</v>
      </c>
      <c r="C302" s="2" t="s">
        <v>53</v>
      </c>
      <c r="D302" s="2" t="s">
        <v>54</v>
      </c>
      <c r="E302" s="2" t="s">
        <v>18</v>
      </c>
      <c r="F302" s="2" t="s">
        <v>55</v>
      </c>
      <c r="G302" s="2" t="s">
        <v>101</v>
      </c>
      <c r="H302" s="2" t="s">
        <v>80</v>
      </c>
      <c r="I302" s="2">
        <v>4</v>
      </c>
      <c r="J302" s="2" t="s">
        <v>41</v>
      </c>
      <c r="K302" s="2" t="s">
        <v>907</v>
      </c>
      <c r="L302" s="2" t="s">
        <v>24</v>
      </c>
      <c r="M302" s="2"/>
      <c r="N302" s="2" t="s">
        <v>43</v>
      </c>
    </row>
    <row r="303" spans="1:14" x14ac:dyDescent="0.25">
      <c r="A303" s="2" t="s">
        <v>908</v>
      </c>
      <c r="B303" s="2" t="s">
        <v>909</v>
      </c>
      <c r="C303" s="2" t="s">
        <v>67</v>
      </c>
      <c r="D303" s="2" t="s">
        <v>601</v>
      </c>
      <c r="E303" s="2" t="s">
        <v>18</v>
      </c>
      <c r="F303" s="2" t="s">
        <v>69</v>
      </c>
      <c r="G303" s="2" t="s">
        <v>179</v>
      </c>
      <c r="H303" s="2" t="s">
        <v>80</v>
      </c>
      <c r="I303" s="2">
        <v>4</v>
      </c>
      <c r="J303" s="2" t="s">
        <v>232</v>
      </c>
      <c r="K303" s="2"/>
      <c r="L303" s="2" t="s">
        <v>92</v>
      </c>
      <c r="M303" s="2"/>
      <c r="N303" s="2" t="s">
        <v>34</v>
      </c>
    </row>
    <row r="304" spans="1:14" x14ac:dyDescent="0.25">
      <c r="A304" s="2" t="s">
        <v>910</v>
      </c>
      <c r="B304" s="2" t="s">
        <v>911</v>
      </c>
      <c r="C304" s="2" t="s">
        <v>16</v>
      </c>
      <c r="D304" s="2" t="s">
        <v>84</v>
      </c>
      <c r="E304" s="2" t="s">
        <v>46</v>
      </c>
      <c r="F304" s="2" t="s">
        <v>30</v>
      </c>
      <c r="G304" s="2" t="s">
        <v>70</v>
      </c>
      <c r="H304" s="2" t="s">
        <v>32</v>
      </c>
      <c r="I304" s="2">
        <v>48</v>
      </c>
      <c r="J304" s="2" t="s">
        <v>187</v>
      </c>
      <c r="K304" s="2" t="s">
        <v>912</v>
      </c>
      <c r="L304" s="2" t="s">
        <v>24</v>
      </c>
      <c r="M304" s="2">
        <v>5</v>
      </c>
      <c r="N304" s="2" t="s">
        <v>64</v>
      </c>
    </row>
    <row r="305" spans="1:14" x14ac:dyDescent="0.25">
      <c r="A305" s="2" t="s">
        <v>913</v>
      </c>
      <c r="B305" s="2" t="s">
        <v>914</v>
      </c>
      <c r="C305" s="2" t="s">
        <v>67</v>
      </c>
      <c r="D305" s="2" t="s">
        <v>95</v>
      </c>
      <c r="E305" s="2" t="s">
        <v>46</v>
      </c>
      <c r="F305" s="2" t="s">
        <v>113</v>
      </c>
      <c r="G305" s="2" t="s">
        <v>101</v>
      </c>
      <c r="H305" s="2" t="s">
        <v>80</v>
      </c>
      <c r="I305" s="2">
        <v>4</v>
      </c>
      <c r="J305" s="2" t="s">
        <v>106</v>
      </c>
      <c r="K305" s="2" t="s">
        <v>915</v>
      </c>
      <c r="L305" s="2" t="s">
        <v>24</v>
      </c>
      <c r="M305" s="2">
        <v>3</v>
      </c>
      <c r="N305" s="2" t="s">
        <v>34</v>
      </c>
    </row>
    <row r="306" spans="1:14" x14ac:dyDescent="0.25">
      <c r="A306" s="2" t="s">
        <v>916</v>
      </c>
      <c r="B306" s="2" t="s">
        <v>917</v>
      </c>
      <c r="C306" s="2" t="s">
        <v>16</v>
      </c>
      <c r="D306" s="2" t="s">
        <v>84</v>
      </c>
      <c r="E306" s="2" t="s">
        <v>85</v>
      </c>
      <c r="F306" s="2" t="s">
        <v>131</v>
      </c>
      <c r="G306" s="2" t="s">
        <v>183</v>
      </c>
      <c r="H306" s="2" t="s">
        <v>74</v>
      </c>
      <c r="I306" s="2">
        <v>8</v>
      </c>
      <c r="J306" s="2" t="s">
        <v>22</v>
      </c>
      <c r="K306" s="2" t="s">
        <v>918</v>
      </c>
      <c r="L306" s="2" t="s">
        <v>24</v>
      </c>
      <c r="M306" s="2"/>
      <c r="N306" s="2" t="s">
        <v>43</v>
      </c>
    </row>
    <row r="307" spans="1:14" x14ac:dyDescent="0.25">
      <c r="A307" s="2" t="s">
        <v>919</v>
      </c>
      <c r="B307" s="2" t="s">
        <v>920</v>
      </c>
      <c r="C307" s="2" t="s">
        <v>67</v>
      </c>
      <c r="D307" s="2" t="s">
        <v>95</v>
      </c>
      <c r="E307" s="2" t="s">
        <v>46</v>
      </c>
      <c r="F307" s="2" t="s">
        <v>131</v>
      </c>
      <c r="G307" s="2" t="s">
        <v>144</v>
      </c>
      <c r="H307" s="2" t="s">
        <v>21</v>
      </c>
      <c r="I307" s="2">
        <v>24</v>
      </c>
      <c r="J307" s="2" t="s">
        <v>41</v>
      </c>
      <c r="K307" s="2" t="s">
        <v>921</v>
      </c>
      <c r="L307" s="2" t="s">
        <v>24</v>
      </c>
      <c r="M307" s="2">
        <v>5</v>
      </c>
      <c r="N307" s="2"/>
    </row>
    <row r="308" spans="1:14" x14ac:dyDescent="0.25">
      <c r="A308" s="2" t="s">
        <v>922</v>
      </c>
      <c r="B308" s="2" t="s">
        <v>923</v>
      </c>
      <c r="C308" s="2" t="s">
        <v>53</v>
      </c>
      <c r="D308" s="2" t="s">
        <v>54</v>
      </c>
      <c r="E308" s="2" t="s">
        <v>85</v>
      </c>
      <c r="F308" s="2" t="s">
        <v>131</v>
      </c>
      <c r="G308" s="2" t="s">
        <v>179</v>
      </c>
      <c r="H308" s="2" t="s">
        <v>21</v>
      </c>
      <c r="I308" s="2">
        <v>24</v>
      </c>
      <c r="J308" s="2" t="s">
        <v>106</v>
      </c>
      <c r="K308" s="2"/>
      <c r="L308" s="2" t="s">
        <v>24</v>
      </c>
      <c r="M308" s="2"/>
      <c r="N308" s="2" t="s">
        <v>25</v>
      </c>
    </row>
    <row r="309" spans="1:14" x14ac:dyDescent="0.25">
      <c r="A309" s="2" t="s">
        <v>924</v>
      </c>
      <c r="B309" s="2" t="s">
        <v>925</v>
      </c>
      <c r="C309" s="2" t="s">
        <v>53</v>
      </c>
      <c r="D309" s="2" t="s">
        <v>61</v>
      </c>
      <c r="E309" s="2" t="s">
        <v>85</v>
      </c>
      <c r="F309" s="2" t="s">
        <v>39</v>
      </c>
      <c r="G309" s="2" t="s">
        <v>126</v>
      </c>
      <c r="H309" s="2" t="s">
        <v>32</v>
      </c>
      <c r="I309" s="2">
        <v>48</v>
      </c>
      <c r="J309" s="2" t="s">
        <v>486</v>
      </c>
      <c r="K309" s="2" t="s">
        <v>926</v>
      </c>
      <c r="L309" s="2" t="s">
        <v>24</v>
      </c>
      <c r="M309" s="2"/>
      <c r="N309" s="2" t="s">
        <v>43</v>
      </c>
    </row>
    <row r="310" spans="1:14" x14ac:dyDescent="0.25">
      <c r="A310" s="2" t="s">
        <v>927</v>
      </c>
      <c r="B310" s="2" t="s">
        <v>928</v>
      </c>
      <c r="C310" s="2" t="s">
        <v>53</v>
      </c>
      <c r="D310" s="2" t="s">
        <v>61</v>
      </c>
      <c r="E310" s="2" t="s">
        <v>90</v>
      </c>
      <c r="F310" s="2" t="s">
        <v>69</v>
      </c>
      <c r="G310" s="2" t="s">
        <v>20</v>
      </c>
      <c r="H310" s="2" t="s">
        <v>74</v>
      </c>
      <c r="I310" s="2">
        <v>8</v>
      </c>
      <c r="J310" s="2" t="s">
        <v>106</v>
      </c>
      <c r="K310" s="2" t="s">
        <v>929</v>
      </c>
      <c r="L310" s="2" t="s">
        <v>24</v>
      </c>
      <c r="M310" s="2">
        <v>1</v>
      </c>
      <c r="N310" s="2"/>
    </row>
    <row r="311" spans="1:14" x14ac:dyDescent="0.25">
      <c r="A311" s="2" t="s">
        <v>930</v>
      </c>
      <c r="B311" s="2" t="s">
        <v>931</v>
      </c>
      <c r="C311" s="2" t="s">
        <v>67</v>
      </c>
      <c r="D311" s="2" t="s">
        <v>95</v>
      </c>
      <c r="E311" s="2" t="s">
        <v>38</v>
      </c>
      <c r="F311" s="2" t="s">
        <v>30</v>
      </c>
      <c r="G311" s="2" t="s">
        <v>91</v>
      </c>
      <c r="H311" s="2" t="s">
        <v>21</v>
      </c>
      <c r="I311" s="2">
        <v>24</v>
      </c>
      <c r="J311" s="2" t="s">
        <v>41</v>
      </c>
      <c r="K311" s="2" t="s">
        <v>932</v>
      </c>
      <c r="L311" s="2" t="s">
        <v>24</v>
      </c>
      <c r="M311" s="2"/>
      <c r="N311" s="2" t="s">
        <v>58</v>
      </c>
    </row>
    <row r="312" spans="1:14" x14ac:dyDescent="0.25">
      <c r="A312" s="2" t="s">
        <v>933</v>
      </c>
      <c r="B312" s="2" t="s">
        <v>934</v>
      </c>
      <c r="C312" s="2" t="s">
        <v>16</v>
      </c>
      <c r="D312" s="2" t="s">
        <v>84</v>
      </c>
      <c r="E312" s="2" t="s">
        <v>18</v>
      </c>
      <c r="F312" s="2" t="s">
        <v>69</v>
      </c>
      <c r="G312" s="2" t="s">
        <v>97</v>
      </c>
      <c r="H312" s="2" t="s">
        <v>32</v>
      </c>
      <c r="I312" s="2">
        <v>48</v>
      </c>
      <c r="J312" s="2" t="s">
        <v>117</v>
      </c>
      <c r="K312" s="2"/>
      <c r="L312" s="2" t="s">
        <v>24</v>
      </c>
      <c r="M312" s="2"/>
      <c r="N312" s="2"/>
    </row>
    <row r="313" spans="1:14" x14ac:dyDescent="0.25">
      <c r="A313" s="2" t="s">
        <v>935</v>
      </c>
      <c r="B313" s="2" t="s">
        <v>936</v>
      </c>
      <c r="C313" s="2" t="s">
        <v>16</v>
      </c>
      <c r="D313" s="2" t="s">
        <v>84</v>
      </c>
      <c r="E313" s="2" t="s">
        <v>85</v>
      </c>
      <c r="F313" s="2" t="s">
        <v>30</v>
      </c>
      <c r="G313" s="2" t="s">
        <v>91</v>
      </c>
      <c r="H313" s="2" t="s">
        <v>74</v>
      </c>
      <c r="I313" s="2">
        <v>8</v>
      </c>
      <c r="J313" s="2" t="s">
        <v>200</v>
      </c>
      <c r="K313" s="2"/>
      <c r="L313" s="2" t="s">
        <v>92</v>
      </c>
      <c r="M313" s="2"/>
      <c r="N313" s="2" t="s">
        <v>50</v>
      </c>
    </row>
    <row r="314" spans="1:14" x14ac:dyDescent="0.25">
      <c r="A314" s="2" t="s">
        <v>606</v>
      </c>
      <c r="B314" s="2" t="s">
        <v>607</v>
      </c>
      <c r="C314" s="2" t="s">
        <v>28</v>
      </c>
      <c r="D314" s="2" t="s">
        <v>100</v>
      </c>
      <c r="E314" s="2" t="s">
        <v>79</v>
      </c>
      <c r="F314" s="2" t="s">
        <v>125</v>
      </c>
      <c r="G314" s="2" t="s">
        <v>20</v>
      </c>
      <c r="H314" s="2" t="s">
        <v>74</v>
      </c>
      <c r="I314" s="2">
        <v>8</v>
      </c>
      <c r="J314" s="2" t="s">
        <v>106</v>
      </c>
      <c r="K314" s="2" t="s">
        <v>608</v>
      </c>
      <c r="L314" s="2" t="s">
        <v>24</v>
      </c>
      <c r="M314" s="2">
        <v>2</v>
      </c>
      <c r="N314" s="2" t="s">
        <v>43</v>
      </c>
    </row>
    <row r="315" spans="1:14" x14ac:dyDescent="0.25">
      <c r="A315" s="2" t="s">
        <v>937</v>
      </c>
      <c r="B315" s="2" t="s">
        <v>938</v>
      </c>
      <c r="C315" s="2" t="s">
        <v>53</v>
      </c>
      <c r="D315" s="2" t="s">
        <v>54</v>
      </c>
      <c r="E315" s="2" t="s">
        <v>85</v>
      </c>
      <c r="F315" s="2" t="s">
        <v>62</v>
      </c>
      <c r="G315" s="2" t="s">
        <v>91</v>
      </c>
      <c r="H315" s="2" t="s">
        <v>74</v>
      </c>
      <c r="I315" s="2">
        <v>8</v>
      </c>
      <c r="J315" s="2" t="s">
        <v>145</v>
      </c>
      <c r="K315" s="2"/>
      <c r="L315" s="2" t="s">
        <v>24</v>
      </c>
      <c r="M315" s="2"/>
      <c r="N315" s="2" t="s">
        <v>25</v>
      </c>
    </row>
    <row r="316" spans="1:14" x14ac:dyDescent="0.25">
      <c r="A316" s="2" t="s">
        <v>939</v>
      </c>
      <c r="B316" s="2" t="s">
        <v>940</v>
      </c>
      <c r="C316" s="2" t="s">
        <v>53</v>
      </c>
      <c r="D316" s="2" t="s">
        <v>54</v>
      </c>
      <c r="E316" s="2" t="s">
        <v>18</v>
      </c>
      <c r="F316" s="2" t="s">
        <v>30</v>
      </c>
      <c r="G316" s="2" t="s">
        <v>105</v>
      </c>
      <c r="H316" s="2" t="s">
        <v>80</v>
      </c>
      <c r="I316" s="2">
        <v>4</v>
      </c>
      <c r="J316" s="2" t="s">
        <v>486</v>
      </c>
      <c r="K316" s="2" t="s">
        <v>941</v>
      </c>
      <c r="L316" s="2" t="s">
        <v>24</v>
      </c>
      <c r="M316" s="2"/>
      <c r="N316" s="2"/>
    </row>
    <row r="317" spans="1:14" x14ac:dyDescent="0.25">
      <c r="A317" s="2" t="s">
        <v>942</v>
      </c>
      <c r="B317" s="2" t="s">
        <v>943</v>
      </c>
      <c r="C317" s="2" t="s">
        <v>28</v>
      </c>
      <c r="D317" s="2" t="s">
        <v>100</v>
      </c>
      <c r="E317" s="2" t="s">
        <v>90</v>
      </c>
      <c r="F317" s="2" t="s">
        <v>96</v>
      </c>
      <c r="G317" s="2" t="s">
        <v>158</v>
      </c>
      <c r="H317" s="2" t="s">
        <v>21</v>
      </c>
      <c r="I317" s="2">
        <v>24</v>
      </c>
      <c r="J317" s="2" t="s">
        <v>41</v>
      </c>
      <c r="K317" s="2" t="s">
        <v>944</v>
      </c>
      <c r="L317" s="2" t="s">
        <v>24</v>
      </c>
      <c r="M317" s="2">
        <v>3</v>
      </c>
      <c r="N317" s="2" t="s">
        <v>50</v>
      </c>
    </row>
    <row r="318" spans="1:14" x14ac:dyDescent="0.25">
      <c r="A318" s="2" t="s">
        <v>945</v>
      </c>
      <c r="B318" s="2" t="s">
        <v>946</v>
      </c>
      <c r="C318" s="2" t="s">
        <v>16</v>
      </c>
      <c r="D318" s="2" t="s">
        <v>240</v>
      </c>
      <c r="E318" s="2" t="s">
        <v>18</v>
      </c>
      <c r="F318" s="2" t="s">
        <v>39</v>
      </c>
      <c r="G318" s="2" t="s">
        <v>31</v>
      </c>
      <c r="H318" s="2" t="s">
        <v>74</v>
      </c>
      <c r="I318" s="2">
        <v>8</v>
      </c>
      <c r="J318" s="2" t="s">
        <v>41</v>
      </c>
      <c r="K318" s="2" t="s">
        <v>947</v>
      </c>
      <c r="L318" s="2" t="s">
        <v>24</v>
      </c>
      <c r="M318" s="2">
        <v>5</v>
      </c>
      <c r="N318" s="2" t="s">
        <v>50</v>
      </c>
    </row>
    <row r="319" spans="1:14" x14ac:dyDescent="0.25">
      <c r="A319" s="2" t="s">
        <v>948</v>
      </c>
      <c r="B319" s="2" t="s">
        <v>949</v>
      </c>
      <c r="C319" s="2" t="s">
        <v>28</v>
      </c>
      <c r="D319" s="2" t="s">
        <v>100</v>
      </c>
      <c r="E319" s="2" t="s">
        <v>18</v>
      </c>
      <c r="F319" s="2" t="s">
        <v>113</v>
      </c>
      <c r="G319" s="2" t="s">
        <v>144</v>
      </c>
      <c r="H319" s="2" t="s">
        <v>32</v>
      </c>
      <c r="I319" s="2">
        <v>48</v>
      </c>
      <c r="J319" s="2" t="s">
        <v>41</v>
      </c>
      <c r="K319" s="2" t="s">
        <v>950</v>
      </c>
      <c r="L319" s="2" t="s">
        <v>24</v>
      </c>
      <c r="M319" s="2">
        <v>5</v>
      </c>
      <c r="N319" s="2" t="s">
        <v>128</v>
      </c>
    </row>
    <row r="320" spans="1:14" x14ac:dyDescent="0.25">
      <c r="A320" s="2" t="s">
        <v>951</v>
      </c>
      <c r="B320" s="2" t="s">
        <v>952</v>
      </c>
      <c r="C320" s="2" t="s">
        <v>28</v>
      </c>
      <c r="D320" s="2" t="s">
        <v>37</v>
      </c>
      <c r="E320" s="2" t="s">
        <v>90</v>
      </c>
      <c r="F320" s="2" t="s">
        <v>96</v>
      </c>
      <c r="G320" s="2" t="s">
        <v>126</v>
      </c>
      <c r="H320" s="2" t="s">
        <v>32</v>
      </c>
      <c r="I320" s="2">
        <v>48</v>
      </c>
      <c r="J320" s="2" t="s">
        <v>187</v>
      </c>
      <c r="K320" s="2" t="s">
        <v>953</v>
      </c>
      <c r="L320" s="2" t="s">
        <v>24</v>
      </c>
      <c r="M320" s="2"/>
      <c r="N320" s="2" t="s">
        <v>64</v>
      </c>
    </row>
    <row r="321" spans="1:14" x14ac:dyDescent="0.25">
      <c r="A321" s="2" t="s">
        <v>954</v>
      </c>
      <c r="B321" s="2" t="s">
        <v>955</v>
      </c>
      <c r="C321" s="2" t="s">
        <v>28</v>
      </c>
      <c r="D321" s="2" t="s">
        <v>100</v>
      </c>
      <c r="E321" s="2" t="s">
        <v>79</v>
      </c>
      <c r="F321" s="2" t="s">
        <v>143</v>
      </c>
      <c r="G321" s="2" t="s">
        <v>179</v>
      </c>
      <c r="H321" s="2" t="s">
        <v>32</v>
      </c>
      <c r="I321" s="2">
        <v>48</v>
      </c>
      <c r="J321" s="2" t="s">
        <v>145</v>
      </c>
      <c r="K321" s="2"/>
      <c r="L321" s="2" t="s">
        <v>24</v>
      </c>
      <c r="M321" s="2"/>
      <c r="N321" s="2" t="s">
        <v>64</v>
      </c>
    </row>
    <row r="322" spans="1:14" x14ac:dyDescent="0.25">
      <c r="A322" s="2" t="s">
        <v>956</v>
      </c>
      <c r="B322" s="2" t="s">
        <v>957</v>
      </c>
      <c r="C322" s="2" t="s">
        <v>53</v>
      </c>
      <c r="D322" s="2" t="s">
        <v>54</v>
      </c>
      <c r="E322" s="2" t="s">
        <v>85</v>
      </c>
      <c r="F322" s="2" t="s">
        <v>131</v>
      </c>
      <c r="G322" s="2" t="s">
        <v>144</v>
      </c>
      <c r="H322" s="2" t="s">
        <v>32</v>
      </c>
      <c r="I322" s="2">
        <v>48</v>
      </c>
      <c r="J322" s="2" t="s">
        <v>187</v>
      </c>
      <c r="K322" s="2" t="s">
        <v>958</v>
      </c>
      <c r="L322" s="2" t="s">
        <v>24</v>
      </c>
      <c r="M322" s="2">
        <v>4</v>
      </c>
      <c r="N322" s="2" t="s">
        <v>43</v>
      </c>
    </row>
    <row r="323" spans="1:14" x14ac:dyDescent="0.25">
      <c r="A323" s="2" t="s">
        <v>959</v>
      </c>
      <c r="B323" s="2" t="s">
        <v>960</v>
      </c>
      <c r="C323" s="2" t="s">
        <v>16</v>
      </c>
      <c r="D323" s="2" t="s">
        <v>84</v>
      </c>
      <c r="E323" s="2" t="s">
        <v>148</v>
      </c>
      <c r="F323" s="2" t="s">
        <v>39</v>
      </c>
      <c r="G323" s="2" t="s">
        <v>110</v>
      </c>
      <c r="H323" s="2" t="s">
        <v>74</v>
      </c>
      <c r="I323" s="2">
        <v>8</v>
      </c>
      <c r="J323" s="2" t="s">
        <v>187</v>
      </c>
      <c r="K323" s="2" t="s">
        <v>961</v>
      </c>
      <c r="L323" s="2" t="s">
        <v>24</v>
      </c>
      <c r="M323" s="2">
        <v>5</v>
      </c>
      <c r="N323" s="2" t="s">
        <v>118</v>
      </c>
    </row>
    <row r="324" spans="1:14" x14ac:dyDescent="0.25">
      <c r="A324" s="2" t="s">
        <v>962</v>
      </c>
      <c r="B324" s="2" t="s">
        <v>963</v>
      </c>
      <c r="C324" s="2" t="s">
        <v>16</v>
      </c>
      <c r="D324" s="2" t="s">
        <v>17</v>
      </c>
      <c r="E324" s="2" t="s">
        <v>79</v>
      </c>
      <c r="F324" s="2" t="s">
        <v>69</v>
      </c>
      <c r="G324" s="2" t="s">
        <v>139</v>
      </c>
      <c r="H324" s="2" t="s">
        <v>74</v>
      </c>
      <c r="I324" s="2">
        <v>8</v>
      </c>
      <c r="J324" s="2" t="s">
        <v>200</v>
      </c>
      <c r="K324" s="2"/>
      <c r="L324" s="2" t="s">
        <v>92</v>
      </c>
      <c r="M324" s="2"/>
      <c r="N324" s="2"/>
    </row>
    <row r="325" spans="1:14" x14ac:dyDescent="0.25">
      <c r="A325" s="2" t="s">
        <v>964</v>
      </c>
      <c r="B325" s="2" t="s">
        <v>965</v>
      </c>
      <c r="C325" s="2" t="s">
        <v>53</v>
      </c>
      <c r="D325" s="2" t="s">
        <v>54</v>
      </c>
      <c r="E325" s="2" t="s">
        <v>90</v>
      </c>
      <c r="F325" s="2" t="s">
        <v>113</v>
      </c>
      <c r="G325" s="2" t="s">
        <v>40</v>
      </c>
      <c r="H325" s="2" t="s">
        <v>21</v>
      </c>
      <c r="I325" s="2">
        <v>24</v>
      </c>
      <c r="J325" s="2" t="s">
        <v>22</v>
      </c>
      <c r="K325" s="2" t="s">
        <v>966</v>
      </c>
      <c r="L325" s="2" t="s">
        <v>24</v>
      </c>
      <c r="M325" s="2">
        <v>4</v>
      </c>
      <c r="N325" s="2" t="s">
        <v>25</v>
      </c>
    </row>
    <row r="326" spans="1:14" x14ac:dyDescent="0.25">
      <c r="A326" s="2" t="s">
        <v>967</v>
      </c>
      <c r="B326" s="2" t="s">
        <v>968</v>
      </c>
      <c r="C326" s="2" t="s">
        <v>53</v>
      </c>
      <c r="D326" s="2" t="s">
        <v>54</v>
      </c>
      <c r="E326" s="2" t="s">
        <v>148</v>
      </c>
      <c r="F326" s="2" t="s">
        <v>19</v>
      </c>
      <c r="G326" s="2" t="s">
        <v>31</v>
      </c>
      <c r="H326" s="2" t="s">
        <v>21</v>
      </c>
      <c r="I326" s="2">
        <v>24</v>
      </c>
      <c r="J326" s="2" t="s">
        <v>33</v>
      </c>
      <c r="K326" s="2"/>
      <c r="L326" s="2" t="s">
        <v>24</v>
      </c>
      <c r="M326" s="2"/>
      <c r="N326" s="2" t="s">
        <v>128</v>
      </c>
    </row>
    <row r="327" spans="1:14" x14ac:dyDescent="0.25">
      <c r="A327" s="2" t="s">
        <v>969</v>
      </c>
      <c r="B327" s="2" t="s">
        <v>970</v>
      </c>
      <c r="C327" s="2" t="s">
        <v>28</v>
      </c>
      <c r="D327" s="2" t="s">
        <v>37</v>
      </c>
      <c r="E327" s="2" t="s">
        <v>79</v>
      </c>
      <c r="F327" s="2" t="s">
        <v>55</v>
      </c>
      <c r="G327" s="2" t="s">
        <v>211</v>
      </c>
      <c r="H327" s="2" t="s">
        <v>74</v>
      </c>
      <c r="I327" s="2">
        <v>8</v>
      </c>
      <c r="J327" s="2" t="s">
        <v>106</v>
      </c>
      <c r="K327" s="2" t="s">
        <v>971</v>
      </c>
      <c r="L327" s="2" t="s">
        <v>24</v>
      </c>
      <c r="M327" s="2">
        <v>5</v>
      </c>
      <c r="N327" s="2" t="s">
        <v>64</v>
      </c>
    </row>
    <row r="328" spans="1:14" x14ac:dyDescent="0.25">
      <c r="A328" s="2" t="s">
        <v>972</v>
      </c>
      <c r="B328" s="2" t="s">
        <v>973</v>
      </c>
      <c r="C328" s="2" t="s">
        <v>16</v>
      </c>
      <c r="D328" s="2" t="s">
        <v>17</v>
      </c>
      <c r="E328" s="2" t="s">
        <v>18</v>
      </c>
      <c r="F328" s="2" t="s">
        <v>19</v>
      </c>
      <c r="G328" s="2" t="s">
        <v>158</v>
      </c>
      <c r="H328" s="2" t="s">
        <v>21</v>
      </c>
      <c r="I328" s="2">
        <v>24</v>
      </c>
      <c r="J328" s="2" t="s">
        <v>11</v>
      </c>
      <c r="K328" s="2"/>
      <c r="L328" s="2" t="s">
        <v>92</v>
      </c>
      <c r="M328" s="2"/>
      <c r="N328" s="2" t="s">
        <v>118</v>
      </c>
    </row>
    <row r="329" spans="1:14" x14ac:dyDescent="0.25">
      <c r="A329" s="2" t="s">
        <v>974</v>
      </c>
      <c r="B329" s="2" t="s">
        <v>975</v>
      </c>
      <c r="C329" s="2" t="s">
        <v>16</v>
      </c>
      <c r="D329" s="2" t="s">
        <v>17</v>
      </c>
      <c r="E329" s="2" t="s">
        <v>90</v>
      </c>
      <c r="F329" s="2" t="s">
        <v>39</v>
      </c>
      <c r="G329" s="2" t="s">
        <v>126</v>
      </c>
      <c r="H329" s="2" t="s">
        <v>21</v>
      </c>
      <c r="I329" s="2">
        <v>24</v>
      </c>
      <c r="J329" s="2" t="s">
        <v>200</v>
      </c>
      <c r="K329" s="2"/>
      <c r="L329" s="2" t="s">
        <v>92</v>
      </c>
      <c r="M329" s="2"/>
      <c r="N329" s="2"/>
    </row>
    <row r="330" spans="1:14" x14ac:dyDescent="0.25">
      <c r="A330" s="2" t="s">
        <v>976</v>
      </c>
      <c r="B330" s="2" t="s">
        <v>977</v>
      </c>
      <c r="C330" s="2" t="s">
        <v>53</v>
      </c>
      <c r="D330" s="2" t="s">
        <v>61</v>
      </c>
      <c r="E330" s="2" t="s">
        <v>38</v>
      </c>
      <c r="F330" s="2" t="s">
        <v>131</v>
      </c>
      <c r="G330" s="2" t="s">
        <v>101</v>
      </c>
      <c r="H330" s="2" t="s">
        <v>21</v>
      </c>
      <c r="I330" s="2">
        <v>24</v>
      </c>
      <c r="J330" s="2" t="s">
        <v>11</v>
      </c>
      <c r="K330" s="2"/>
      <c r="L330" s="2" t="s">
        <v>92</v>
      </c>
      <c r="M330" s="2"/>
      <c r="N330" s="2" t="s">
        <v>118</v>
      </c>
    </row>
    <row r="331" spans="1:14" x14ac:dyDescent="0.25">
      <c r="A331" s="2" t="s">
        <v>978</v>
      </c>
      <c r="B331" s="2" t="s">
        <v>979</v>
      </c>
      <c r="C331" s="2" t="s">
        <v>16</v>
      </c>
      <c r="D331" s="2" t="s">
        <v>84</v>
      </c>
      <c r="E331" s="2" t="s">
        <v>18</v>
      </c>
      <c r="F331" s="2" t="s">
        <v>125</v>
      </c>
      <c r="G331" s="2" t="s">
        <v>179</v>
      </c>
      <c r="H331" s="2" t="s">
        <v>80</v>
      </c>
      <c r="I331" s="2">
        <v>4</v>
      </c>
      <c r="J331" s="2" t="s">
        <v>56</v>
      </c>
      <c r="K331" s="2" t="s">
        <v>980</v>
      </c>
      <c r="L331" s="2" t="s">
        <v>24</v>
      </c>
      <c r="M331" s="2"/>
      <c r="N331" s="2" t="s">
        <v>128</v>
      </c>
    </row>
    <row r="332" spans="1:14" x14ac:dyDescent="0.25">
      <c r="A332" s="2" t="s">
        <v>981</v>
      </c>
      <c r="B332" s="2" t="s">
        <v>982</v>
      </c>
      <c r="C332" s="2" t="s">
        <v>67</v>
      </c>
      <c r="D332" s="2" t="s">
        <v>95</v>
      </c>
      <c r="E332" s="2" t="s">
        <v>90</v>
      </c>
      <c r="F332" s="2" t="s">
        <v>19</v>
      </c>
      <c r="G332" s="2" t="s">
        <v>144</v>
      </c>
      <c r="H332" s="2" t="s">
        <v>21</v>
      </c>
      <c r="I332" s="2">
        <v>24</v>
      </c>
      <c r="J332" s="2" t="s">
        <v>187</v>
      </c>
      <c r="K332" s="2" t="s">
        <v>983</v>
      </c>
      <c r="L332" s="2" t="s">
        <v>24</v>
      </c>
      <c r="M332" s="2">
        <v>5</v>
      </c>
      <c r="N332" s="2" t="s">
        <v>128</v>
      </c>
    </row>
    <row r="333" spans="1:14" x14ac:dyDescent="0.25">
      <c r="A333" s="2" t="s">
        <v>984</v>
      </c>
      <c r="B333" s="2" t="s">
        <v>985</v>
      </c>
      <c r="C333" s="2" t="s">
        <v>28</v>
      </c>
      <c r="D333" s="2" t="s">
        <v>100</v>
      </c>
      <c r="E333" s="2" t="s">
        <v>148</v>
      </c>
      <c r="F333" s="2" t="s">
        <v>39</v>
      </c>
      <c r="G333" s="2" t="s">
        <v>139</v>
      </c>
      <c r="H333" s="2" t="s">
        <v>32</v>
      </c>
      <c r="I333" s="2">
        <v>48</v>
      </c>
      <c r="J333" s="2" t="s">
        <v>200</v>
      </c>
      <c r="K333" s="2"/>
      <c r="L333" s="2" t="s">
        <v>92</v>
      </c>
      <c r="M333" s="2"/>
      <c r="N333" s="2" t="s">
        <v>64</v>
      </c>
    </row>
    <row r="334" spans="1:14" x14ac:dyDescent="0.25">
      <c r="A334" s="2" t="s">
        <v>986</v>
      </c>
      <c r="B334" s="2" t="s">
        <v>987</v>
      </c>
      <c r="C334" s="2" t="s">
        <v>67</v>
      </c>
      <c r="D334" s="2" t="s">
        <v>68</v>
      </c>
      <c r="E334" s="2" t="s">
        <v>90</v>
      </c>
      <c r="F334" s="2" t="s">
        <v>55</v>
      </c>
      <c r="G334" s="2" t="s">
        <v>110</v>
      </c>
      <c r="H334" s="2" t="s">
        <v>74</v>
      </c>
      <c r="I334" s="2">
        <v>8</v>
      </c>
      <c r="J334" s="2" t="s">
        <v>22</v>
      </c>
      <c r="K334" s="2" t="s">
        <v>988</v>
      </c>
      <c r="L334" s="2" t="s">
        <v>24</v>
      </c>
      <c r="M334" s="2"/>
      <c r="N334" s="2"/>
    </row>
    <row r="335" spans="1:14" x14ac:dyDescent="0.25">
      <c r="A335" s="2" t="s">
        <v>989</v>
      </c>
      <c r="B335" s="2" t="s">
        <v>990</v>
      </c>
      <c r="C335" s="2" t="s">
        <v>67</v>
      </c>
      <c r="D335" s="2" t="s">
        <v>95</v>
      </c>
      <c r="E335" s="2" t="s">
        <v>79</v>
      </c>
      <c r="F335" s="2" t="s">
        <v>47</v>
      </c>
      <c r="G335" s="2" t="s">
        <v>105</v>
      </c>
      <c r="H335" s="2" t="s">
        <v>21</v>
      </c>
      <c r="I335" s="2">
        <v>24</v>
      </c>
      <c r="J335" s="2" t="s">
        <v>106</v>
      </c>
      <c r="K335" s="2" t="s">
        <v>991</v>
      </c>
      <c r="L335" s="2" t="s">
        <v>24</v>
      </c>
      <c r="M335" s="2">
        <v>5</v>
      </c>
      <c r="N335" s="2"/>
    </row>
    <row r="336" spans="1:14" x14ac:dyDescent="0.25">
      <c r="A336" s="2" t="s">
        <v>992</v>
      </c>
      <c r="B336" s="2" t="s">
        <v>993</v>
      </c>
      <c r="C336" s="2" t="s">
        <v>16</v>
      </c>
      <c r="D336" s="2" t="s">
        <v>17</v>
      </c>
      <c r="E336" s="2" t="s">
        <v>85</v>
      </c>
      <c r="F336" s="2" t="s">
        <v>55</v>
      </c>
      <c r="G336" s="2" t="s">
        <v>97</v>
      </c>
      <c r="H336" s="2" t="s">
        <v>74</v>
      </c>
      <c r="I336" s="2">
        <v>8</v>
      </c>
      <c r="J336" s="2" t="s">
        <v>33</v>
      </c>
      <c r="K336" s="2"/>
      <c r="L336" s="2" t="s">
        <v>24</v>
      </c>
      <c r="M336" s="2"/>
      <c r="N336" s="2" t="s">
        <v>128</v>
      </c>
    </row>
    <row r="337" spans="1:14" x14ac:dyDescent="0.25">
      <c r="A337" s="2" t="s">
        <v>994</v>
      </c>
      <c r="B337" s="2" t="s">
        <v>995</v>
      </c>
      <c r="C337" s="2" t="s">
        <v>16</v>
      </c>
      <c r="D337" s="2" t="s">
        <v>84</v>
      </c>
      <c r="E337" s="2" t="s">
        <v>85</v>
      </c>
      <c r="F337" s="2" t="s">
        <v>143</v>
      </c>
      <c r="G337" s="2" t="s">
        <v>20</v>
      </c>
      <c r="H337" s="2" t="s">
        <v>80</v>
      </c>
      <c r="I337" s="2">
        <v>4</v>
      </c>
      <c r="J337" s="2" t="s">
        <v>145</v>
      </c>
      <c r="K337" s="2"/>
      <c r="L337" s="2" t="s">
        <v>24</v>
      </c>
      <c r="M337" s="2"/>
      <c r="N337" s="2" t="s">
        <v>58</v>
      </c>
    </row>
    <row r="338" spans="1:14" x14ac:dyDescent="0.25">
      <c r="A338" s="2" t="s">
        <v>996</v>
      </c>
      <c r="B338" s="2" t="s">
        <v>997</v>
      </c>
      <c r="C338" s="2" t="s">
        <v>67</v>
      </c>
      <c r="D338" s="2" t="s">
        <v>68</v>
      </c>
      <c r="E338" s="2" t="s">
        <v>46</v>
      </c>
      <c r="F338" s="2" t="s">
        <v>55</v>
      </c>
      <c r="G338" s="2" t="s">
        <v>126</v>
      </c>
      <c r="H338" s="2" t="s">
        <v>74</v>
      </c>
      <c r="I338" s="2">
        <v>8</v>
      </c>
      <c r="J338" s="2" t="s">
        <v>75</v>
      </c>
      <c r="K338" s="2" t="s">
        <v>998</v>
      </c>
      <c r="L338" s="2" t="s">
        <v>24</v>
      </c>
      <c r="M338" s="2">
        <v>5</v>
      </c>
      <c r="N338" s="2" t="s">
        <v>128</v>
      </c>
    </row>
    <row r="339" spans="1:14" x14ac:dyDescent="0.25">
      <c r="A339" s="2" t="s">
        <v>999</v>
      </c>
      <c r="B339" s="2" t="s">
        <v>1000</v>
      </c>
      <c r="C339" s="2" t="s">
        <v>53</v>
      </c>
      <c r="D339" s="2" t="s">
        <v>61</v>
      </c>
      <c r="E339" s="2" t="s">
        <v>46</v>
      </c>
      <c r="F339" s="2" t="s">
        <v>39</v>
      </c>
      <c r="G339" s="2" t="s">
        <v>179</v>
      </c>
      <c r="H339" s="2" t="s">
        <v>32</v>
      </c>
      <c r="I339" s="2">
        <v>48</v>
      </c>
      <c r="J339" s="2" t="s">
        <v>232</v>
      </c>
      <c r="K339" s="2"/>
      <c r="L339" s="2" t="s">
        <v>92</v>
      </c>
      <c r="M339" s="2"/>
      <c r="N339" s="2"/>
    </row>
    <row r="340" spans="1:14" x14ac:dyDescent="0.25">
      <c r="A340" s="2" t="s">
        <v>1001</v>
      </c>
      <c r="B340" s="2" t="s">
        <v>1002</v>
      </c>
      <c r="C340" s="2" t="s">
        <v>28</v>
      </c>
      <c r="D340" s="2" t="s">
        <v>100</v>
      </c>
      <c r="E340" s="2" t="s">
        <v>46</v>
      </c>
      <c r="F340" s="2" t="s">
        <v>131</v>
      </c>
      <c r="G340" s="2" t="s">
        <v>101</v>
      </c>
      <c r="H340" s="2" t="s">
        <v>32</v>
      </c>
      <c r="I340" s="2">
        <v>48</v>
      </c>
      <c r="J340" s="2" t="s">
        <v>11</v>
      </c>
      <c r="K340" s="2"/>
      <c r="L340" s="2" t="s">
        <v>92</v>
      </c>
      <c r="M340" s="2"/>
      <c r="N340" s="2" t="s">
        <v>50</v>
      </c>
    </row>
    <row r="341" spans="1:14" x14ac:dyDescent="0.25">
      <c r="A341" s="2" t="s">
        <v>1003</v>
      </c>
      <c r="B341" s="2" t="s">
        <v>1004</v>
      </c>
      <c r="C341" s="2" t="s">
        <v>16</v>
      </c>
      <c r="D341" s="2" t="s">
        <v>17</v>
      </c>
      <c r="E341" s="2" t="s">
        <v>38</v>
      </c>
      <c r="F341" s="2" t="s">
        <v>131</v>
      </c>
      <c r="G341" s="2" t="s">
        <v>20</v>
      </c>
      <c r="H341" s="2" t="s">
        <v>21</v>
      </c>
      <c r="I341" s="2">
        <v>24</v>
      </c>
      <c r="J341" s="2" t="s">
        <v>48</v>
      </c>
      <c r="K341" s="2" t="s">
        <v>1005</v>
      </c>
      <c r="L341" s="2" t="s">
        <v>24</v>
      </c>
      <c r="M341" s="2">
        <v>5</v>
      </c>
      <c r="N341" s="2" t="s">
        <v>118</v>
      </c>
    </row>
    <row r="342" spans="1:14" x14ac:dyDescent="0.25">
      <c r="A342" s="2" t="s">
        <v>1006</v>
      </c>
      <c r="B342" s="2" t="s">
        <v>1007</v>
      </c>
      <c r="C342" s="2" t="s">
        <v>53</v>
      </c>
      <c r="D342" s="2" t="s">
        <v>54</v>
      </c>
      <c r="E342" s="2" t="s">
        <v>148</v>
      </c>
      <c r="F342" s="2" t="s">
        <v>55</v>
      </c>
      <c r="G342" s="2" t="s">
        <v>97</v>
      </c>
      <c r="H342" s="2" t="s">
        <v>32</v>
      </c>
      <c r="I342" s="2">
        <v>48</v>
      </c>
      <c r="J342" s="2" t="s">
        <v>200</v>
      </c>
      <c r="K342" s="2"/>
      <c r="L342" s="2" t="s">
        <v>92</v>
      </c>
      <c r="M342" s="2"/>
      <c r="N342" s="2" t="s">
        <v>128</v>
      </c>
    </row>
    <row r="343" spans="1:14" x14ac:dyDescent="0.25">
      <c r="A343" s="2" t="s">
        <v>1008</v>
      </c>
      <c r="B343" s="2" t="s">
        <v>1009</v>
      </c>
      <c r="C343" s="2" t="s">
        <v>67</v>
      </c>
      <c r="D343" s="2" t="s">
        <v>68</v>
      </c>
      <c r="E343" s="2" t="s">
        <v>46</v>
      </c>
      <c r="F343" s="2" t="s">
        <v>39</v>
      </c>
      <c r="G343" s="2" t="s">
        <v>20</v>
      </c>
      <c r="H343" s="2" t="s">
        <v>80</v>
      </c>
      <c r="I343" s="2">
        <v>4</v>
      </c>
      <c r="J343" s="2" t="s">
        <v>287</v>
      </c>
      <c r="K343" s="2"/>
      <c r="L343" s="2" t="s">
        <v>24</v>
      </c>
      <c r="M343" s="2"/>
      <c r="N343" s="2"/>
    </row>
    <row r="344" spans="1:14" x14ac:dyDescent="0.25">
      <c r="A344" s="2" t="s">
        <v>1010</v>
      </c>
      <c r="B344" s="2" t="s">
        <v>1011</v>
      </c>
      <c r="C344" s="2" t="s">
        <v>53</v>
      </c>
      <c r="D344" s="2" t="s">
        <v>61</v>
      </c>
      <c r="E344" s="2" t="s">
        <v>38</v>
      </c>
      <c r="F344" s="2" t="s">
        <v>69</v>
      </c>
      <c r="G344" s="2" t="s">
        <v>101</v>
      </c>
      <c r="H344" s="2" t="s">
        <v>21</v>
      </c>
      <c r="I344" s="2">
        <v>24</v>
      </c>
      <c r="J344" s="2" t="s">
        <v>117</v>
      </c>
      <c r="K344" s="2"/>
      <c r="L344" s="2" t="s">
        <v>24</v>
      </c>
      <c r="M344" s="2"/>
      <c r="N344" s="2" t="s">
        <v>58</v>
      </c>
    </row>
    <row r="345" spans="1:14" x14ac:dyDescent="0.25">
      <c r="A345" s="2" t="s">
        <v>1012</v>
      </c>
      <c r="B345" s="2" t="s">
        <v>1013</v>
      </c>
      <c r="C345" s="2" t="s">
        <v>16</v>
      </c>
      <c r="D345" s="2" t="s">
        <v>84</v>
      </c>
      <c r="E345" s="2" t="s">
        <v>79</v>
      </c>
      <c r="F345" s="2" t="s">
        <v>55</v>
      </c>
      <c r="G345" s="2" t="s">
        <v>179</v>
      </c>
      <c r="H345" s="2" t="s">
        <v>74</v>
      </c>
      <c r="I345" s="2">
        <v>8</v>
      </c>
      <c r="J345" s="2" t="s">
        <v>106</v>
      </c>
      <c r="K345" s="2" t="s">
        <v>1014</v>
      </c>
      <c r="L345" s="2" t="s">
        <v>24</v>
      </c>
      <c r="M345" s="2">
        <v>1</v>
      </c>
      <c r="N345" s="2" t="s">
        <v>58</v>
      </c>
    </row>
    <row r="346" spans="1:14" x14ac:dyDescent="0.25">
      <c r="A346" s="2" t="s">
        <v>1015</v>
      </c>
      <c r="B346" s="2" t="s">
        <v>1016</v>
      </c>
      <c r="C346" s="2" t="s">
        <v>16</v>
      </c>
      <c r="D346" s="2" t="s">
        <v>84</v>
      </c>
      <c r="E346" s="2" t="s">
        <v>38</v>
      </c>
      <c r="F346" s="2" t="s">
        <v>47</v>
      </c>
      <c r="G346" s="2" t="s">
        <v>183</v>
      </c>
      <c r="H346" s="2" t="s">
        <v>21</v>
      </c>
      <c r="I346" s="2">
        <v>24</v>
      </c>
      <c r="J346" s="2" t="s">
        <v>106</v>
      </c>
      <c r="K346" s="2" t="s">
        <v>1017</v>
      </c>
      <c r="L346" s="2" t="s">
        <v>24</v>
      </c>
      <c r="M346" s="2">
        <v>1</v>
      </c>
      <c r="N346" s="2" t="s">
        <v>64</v>
      </c>
    </row>
    <row r="347" spans="1:14" x14ac:dyDescent="0.25">
      <c r="A347" s="2" t="s">
        <v>1018</v>
      </c>
      <c r="B347" s="2" t="s">
        <v>1019</v>
      </c>
      <c r="C347" s="2" t="s">
        <v>16</v>
      </c>
      <c r="D347" s="2" t="s">
        <v>84</v>
      </c>
      <c r="E347" s="2" t="s">
        <v>85</v>
      </c>
      <c r="F347" s="2" t="s">
        <v>62</v>
      </c>
      <c r="G347" s="2" t="s">
        <v>31</v>
      </c>
      <c r="H347" s="2" t="s">
        <v>32</v>
      </c>
      <c r="I347" s="2">
        <v>48</v>
      </c>
      <c r="J347" s="2" t="s">
        <v>117</v>
      </c>
      <c r="K347" s="2"/>
      <c r="L347" s="2" t="s">
        <v>92</v>
      </c>
      <c r="M347" s="2"/>
      <c r="N347" s="2"/>
    </row>
    <row r="348" spans="1:14" x14ac:dyDescent="0.25">
      <c r="A348" s="2" t="s">
        <v>1020</v>
      </c>
      <c r="B348" s="2" t="s">
        <v>1021</v>
      </c>
      <c r="C348" s="2" t="s">
        <v>16</v>
      </c>
      <c r="D348" s="2" t="s">
        <v>17</v>
      </c>
      <c r="E348" s="2" t="s">
        <v>85</v>
      </c>
      <c r="F348" s="2" t="s">
        <v>143</v>
      </c>
      <c r="G348" s="2" t="s">
        <v>31</v>
      </c>
      <c r="H348" s="2" t="s">
        <v>32</v>
      </c>
      <c r="I348" s="2">
        <v>48</v>
      </c>
      <c r="J348" s="2" t="s">
        <v>149</v>
      </c>
      <c r="K348" s="2"/>
      <c r="L348" s="2" t="s">
        <v>24</v>
      </c>
      <c r="M348" s="2"/>
      <c r="N348" s="2" t="s">
        <v>50</v>
      </c>
    </row>
    <row r="349" spans="1:14" x14ac:dyDescent="0.25">
      <c r="A349" s="2" t="s">
        <v>1022</v>
      </c>
      <c r="B349" s="2" t="s">
        <v>1023</v>
      </c>
      <c r="C349" s="2" t="s">
        <v>67</v>
      </c>
      <c r="D349" s="2" t="s">
        <v>95</v>
      </c>
      <c r="E349" s="2" t="s">
        <v>46</v>
      </c>
      <c r="F349" s="2" t="s">
        <v>143</v>
      </c>
      <c r="G349" s="2" t="s">
        <v>121</v>
      </c>
      <c r="H349" s="2" t="s">
        <v>32</v>
      </c>
      <c r="I349" s="2">
        <v>48</v>
      </c>
      <c r="J349" s="2" t="s">
        <v>48</v>
      </c>
      <c r="K349" s="2" t="s">
        <v>1024</v>
      </c>
      <c r="L349" s="2" t="s">
        <v>24</v>
      </c>
      <c r="M349" s="2">
        <v>4</v>
      </c>
      <c r="N349" s="2" t="s">
        <v>58</v>
      </c>
    </row>
    <row r="350" spans="1:14" x14ac:dyDescent="0.25">
      <c r="A350" s="2" t="s">
        <v>1025</v>
      </c>
      <c r="B350" s="2" t="s">
        <v>1026</v>
      </c>
      <c r="C350" s="2" t="s">
        <v>28</v>
      </c>
      <c r="D350" s="2" t="s">
        <v>100</v>
      </c>
      <c r="E350" s="2" t="s">
        <v>79</v>
      </c>
      <c r="F350" s="2" t="s">
        <v>19</v>
      </c>
      <c r="G350" s="2" t="s">
        <v>70</v>
      </c>
      <c r="H350" s="2" t="s">
        <v>32</v>
      </c>
      <c r="I350" s="2">
        <v>48</v>
      </c>
      <c r="J350" s="2" t="s">
        <v>41</v>
      </c>
      <c r="K350" s="2" t="s">
        <v>1027</v>
      </c>
      <c r="L350" s="2" t="s">
        <v>24</v>
      </c>
      <c r="M350" s="2">
        <v>4</v>
      </c>
      <c r="N350" s="2" t="s">
        <v>34</v>
      </c>
    </row>
    <row r="351" spans="1:14" x14ac:dyDescent="0.25">
      <c r="A351" s="2" t="s">
        <v>1028</v>
      </c>
      <c r="B351" s="2" t="s">
        <v>1029</v>
      </c>
      <c r="C351" s="2" t="s">
        <v>53</v>
      </c>
      <c r="D351" s="2" t="s">
        <v>54</v>
      </c>
      <c r="E351" s="2" t="s">
        <v>148</v>
      </c>
      <c r="F351" s="2" t="s">
        <v>30</v>
      </c>
      <c r="G351" s="2" t="s">
        <v>211</v>
      </c>
      <c r="H351" s="2" t="s">
        <v>74</v>
      </c>
      <c r="I351" s="2">
        <v>8</v>
      </c>
      <c r="J351" s="2" t="s">
        <v>187</v>
      </c>
      <c r="K351" s="2" t="s">
        <v>1030</v>
      </c>
      <c r="L351" s="2" t="s">
        <v>24</v>
      </c>
      <c r="M351" s="2">
        <v>5</v>
      </c>
      <c r="N351" s="2" t="s">
        <v>58</v>
      </c>
    </row>
    <row r="352" spans="1:14" x14ac:dyDescent="0.25">
      <c r="A352" s="2" t="s">
        <v>1031</v>
      </c>
      <c r="B352" s="2" t="s">
        <v>1032</v>
      </c>
      <c r="C352" s="2" t="s">
        <v>16</v>
      </c>
      <c r="D352" s="2" t="s">
        <v>17</v>
      </c>
      <c r="E352" s="2" t="s">
        <v>90</v>
      </c>
      <c r="F352" s="2" t="s">
        <v>55</v>
      </c>
      <c r="G352" s="2" t="s">
        <v>91</v>
      </c>
      <c r="H352" s="2" t="s">
        <v>21</v>
      </c>
      <c r="I352" s="2">
        <v>24</v>
      </c>
      <c r="J352" s="2" t="s">
        <v>48</v>
      </c>
      <c r="K352" s="2" t="s">
        <v>1033</v>
      </c>
      <c r="L352" s="2" t="s">
        <v>24</v>
      </c>
      <c r="M352" s="2">
        <v>4</v>
      </c>
      <c r="N352" s="2" t="s">
        <v>128</v>
      </c>
    </row>
    <row r="353" spans="1:14" x14ac:dyDescent="0.25">
      <c r="A353" s="2" t="s">
        <v>1034</v>
      </c>
      <c r="B353" s="2" t="s">
        <v>1035</v>
      </c>
      <c r="C353" s="2" t="s">
        <v>16</v>
      </c>
      <c r="D353" s="2" t="s">
        <v>765</v>
      </c>
      <c r="E353" s="2" t="s">
        <v>90</v>
      </c>
      <c r="F353" s="2" t="s">
        <v>19</v>
      </c>
      <c r="G353" s="2" t="s">
        <v>40</v>
      </c>
      <c r="H353" s="2" t="s">
        <v>32</v>
      </c>
      <c r="I353" s="2">
        <v>48</v>
      </c>
      <c r="J353" s="2" t="s">
        <v>33</v>
      </c>
      <c r="K353" s="2"/>
      <c r="L353" s="2" t="s">
        <v>24</v>
      </c>
      <c r="M353" s="2"/>
      <c r="N353" s="2" t="s">
        <v>64</v>
      </c>
    </row>
    <row r="354" spans="1:14" x14ac:dyDescent="0.25">
      <c r="A354" s="2" t="s">
        <v>1036</v>
      </c>
      <c r="B354" s="2" t="s">
        <v>1037</v>
      </c>
      <c r="C354" s="2" t="s">
        <v>67</v>
      </c>
      <c r="D354" s="2" t="s">
        <v>68</v>
      </c>
      <c r="E354" s="2" t="s">
        <v>79</v>
      </c>
      <c r="F354" s="2" t="s">
        <v>131</v>
      </c>
      <c r="G354" s="2" t="s">
        <v>110</v>
      </c>
      <c r="H354" s="2" t="s">
        <v>21</v>
      </c>
      <c r="I354" s="2">
        <v>24</v>
      </c>
      <c r="J354" s="2" t="s">
        <v>200</v>
      </c>
      <c r="K354" s="2"/>
      <c r="L354" s="2" t="s">
        <v>92</v>
      </c>
      <c r="M354" s="2"/>
      <c r="N354" s="2" t="s">
        <v>128</v>
      </c>
    </row>
    <row r="355" spans="1:14" x14ac:dyDescent="0.25">
      <c r="A355" s="2" t="s">
        <v>1038</v>
      </c>
      <c r="B355" s="2" t="s">
        <v>1039</v>
      </c>
      <c r="C355" s="2" t="s">
        <v>28</v>
      </c>
      <c r="D355" s="2" t="s">
        <v>37</v>
      </c>
      <c r="E355" s="2" t="s">
        <v>38</v>
      </c>
      <c r="F355" s="2" t="s">
        <v>143</v>
      </c>
      <c r="G355" s="2" t="s">
        <v>40</v>
      </c>
      <c r="H355" s="2" t="s">
        <v>32</v>
      </c>
      <c r="I355" s="2">
        <v>48</v>
      </c>
      <c r="J355" s="2" t="s">
        <v>117</v>
      </c>
      <c r="K355" s="2"/>
      <c r="L355" s="2" t="s">
        <v>24</v>
      </c>
      <c r="M355" s="2"/>
      <c r="N355" s="2"/>
    </row>
    <row r="356" spans="1:14" x14ac:dyDescent="0.25">
      <c r="A356" s="2" t="s">
        <v>1040</v>
      </c>
      <c r="B356" s="2" t="s">
        <v>1041</v>
      </c>
      <c r="C356" s="2" t="s">
        <v>16</v>
      </c>
      <c r="D356" s="2" t="s">
        <v>17</v>
      </c>
      <c r="E356" s="2" t="s">
        <v>148</v>
      </c>
      <c r="F356" s="2" t="s">
        <v>30</v>
      </c>
      <c r="G356" s="2" t="s">
        <v>91</v>
      </c>
      <c r="H356" s="2" t="s">
        <v>32</v>
      </c>
      <c r="I356" s="2">
        <v>48</v>
      </c>
      <c r="J356" s="2" t="s">
        <v>22</v>
      </c>
      <c r="K356" s="2" t="s">
        <v>1042</v>
      </c>
      <c r="L356" s="2" t="s">
        <v>24</v>
      </c>
      <c r="M356" s="2">
        <v>2</v>
      </c>
      <c r="N356" s="2" t="s">
        <v>43</v>
      </c>
    </row>
    <row r="357" spans="1:14" x14ac:dyDescent="0.25">
      <c r="A357" s="2" t="s">
        <v>1043</v>
      </c>
      <c r="B357" s="2" t="s">
        <v>1044</v>
      </c>
      <c r="C357" s="2" t="s">
        <v>53</v>
      </c>
      <c r="D357" s="2" t="s">
        <v>54</v>
      </c>
      <c r="E357" s="2" t="s">
        <v>148</v>
      </c>
      <c r="F357" s="2" t="s">
        <v>55</v>
      </c>
      <c r="G357" s="2" t="s">
        <v>20</v>
      </c>
      <c r="H357" s="2" t="s">
        <v>32</v>
      </c>
      <c r="I357" s="2">
        <v>48</v>
      </c>
      <c r="J357" s="2" t="s">
        <v>191</v>
      </c>
      <c r="K357" s="2" t="s">
        <v>1045</v>
      </c>
      <c r="L357" s="2" t="s">
        <v>24</v>
      </c>
      <c r="M357" s="2"/>
      <c r="N357" s="2" t="s">
        <v>128</v>
      </c>
    </row>
    <row r="358" spans="1:14" x14ac:dyDescent="0.25">
      <c r="A358" s="2" t="s">
        <v>1046</v>
      </c>
      <c r="B358" s="2" t="s">
        <v>1047</v>
      </c>
      <c r="C358" s="2" t="s">
        <v>28</v>
      </c>
      <c r="D358" s="2" t="s">
        <v>100</v>
      </c>
      <c r="E358" s="2" t="s">
        <v>79</v>
      </c>
      <c r="F358" s="2" t="s">
        <v>19</v>
      </c>
      <c r="G358" s="2" t="s">
        <v>40</v>
      </c>
      <c r="H358" s="2" t="s">
        <v>74</v>
      </c>
      <c r="I358" s="2">
        <v>8</v>
      </c>
      <c r="J358" s="2" t="s">
        <v>117</v>
      </c>
      <c r="K358" s="2"/>
      <c r="L358" s="2" t="s">
        <v>92</v>
      </c>
      <c r="M358" s="2"/>
      <c r="N358" s="2"/>
    </row>
    <row r="359" spans="1:14" x14ac:dyDescent="0.25">
      <c r="A359" s="2" t="s">
        <v>1048</v>
      </c>
      <c r="B359" s="2" t="s">
        <v>1049</v>
      </c>
      <c r="C359" s="2" t="s">
        <v>53</v>
      </c>
      <c r="D359" s="2" t="s">
        <v>61</v>
      </c>
      <c r="E359" s="2" t="s">
        <v>46</v>
      </c>
      <c r="F359" s="2" t="s">
        <v>47</v>
      </c>
      <c r="G359" s="2" t="s">
        <v>121</v>
      </c>
      <c r="H359" s="2" t="s">
        <v>74</v>
      </c>
      <c r="I359" s="2">
        <v>8</v>
      </c>
      <c r="J359" s="2" t="s">
        <v>41</v>
      </c>
      <c r="K359" s="2" t="s">
        <v>1050</v>
      </c>
      <c r="L359" s="2" t="s">
        <v>24</v>
      </c>
      <c r="M359" s="2">
        <v>4</v>
      </c>
      <c r="N359" s="2" t="s">
        <v>58</v>
      </c>
    </row>
    <row r="360" spans="1:14" x14ac:dyDescent="0.25">
      <c r="A360" s="2" t="s">
        <v>1051</v>
      </c>
      <c r="B360" s="2" t="s">
        <v>1052</v>
      </c>
      <c r="C360" s="2" t="s">
        <v>16</v>
      </c>
      <c r="D360" s="2" t="s">
        <v>84</v>
      </c>
      <c r="E360" s="2" t="s">
        <v>18</v>
      </c>
      <c r="F360" s="2" t="s">
        <v>47</v>
      </c>
      <c r="G360" s="2" t="s">
        <v>179</v>
      </c>
      <c r="H360" s="2" t="s">
        <v>32</v>
      </c>
      <c r="I360" s="2">
        <v>48</v>
      </c>
      <c r="J360" s="2" t="s">
        <v>41</v>
      </c>
      <c r="K360" s="2" t="s">
        <v>1053</v>
      </c>
      <c r="L360" s="2" t="s">
        <v>24</v>
      </c>
      <c r="M360" s="2">
        <v>5</v>
      </c>
      <c r="N360" s="2" t="s">
        <v>34</v>
      </c>
    </row>
    <row r="361" spans="1:14" x14ac:dyDescent="0.25">
      <c r="A361" s="2" t="s">
        <v>1054</v>
      </c>
      <c r="B361" s="2" t="s">
        <v>1055</v>
      </c>
      <c r="C361" s="2" t="s">
        <v>53</v>
      </c>
      <c r="D361" s="2" t="s">
        <v>61</v>
      </c>
      <c r="E361" s="2" t="s">
        <v>18</v>
      </c>
      <c r="F361" s="2" t="s">
        <v>62</v>
      </c>
      <c r="G361" s="2" t="s">
        <v>183</v>
      </c>
      <c r="H361" s="2" t="s">
        <v>32</v>
      </c>
      <c r="I361" s="2">
        <v>48</v>
      </c>
      <c r="J361" s="2" t="s">
        <v>33</v>
      </c>
      <c r="K361" s="2"/>
      <c r="L361" s="2" t="s">
        <v>24</v>
      </c>
      <c r="M361" s="2"/>
      <c r="N361" s="2" t="s">
        <v>43</v>
      </c>
    </row>
    <row r="362" spans="1:14" x14ac:dyDescent="0.25">
      <c r="A362" s="2" t="s">
        <v>1056</v>
      </c>
      <c r="B362" s="2" t="s">
        <v>1057</v>
      </c>
      <c r="C362" s="2" t="s">
        <v>53</v>
      </c>
      <c r="D362" s="2" t="s">
        <v>61</v>
      </c>
      <c r="E362" s="2" t="s">
        <v>38</v>
      </c>
      <c r="F362" s="2" t="s">
        <v>30</v>
      </c>
      <c r="G362" s="2" t="s">
        <v>97</v>
      </c>
      <c r="H362" s="2" t="s">
        <v>21</v>
      </c>
      <c r="I362" s="2">
        <v>24</v>
      </c>
      <c r="J362" s="2" t="s">
        <v>22</v>
      </c>
      <c r="K362" s="2" t="s">
        <v>1058</v>
      </c>
      <c r="L362" s="2" t="s">
        <v>24</v>
      </c>
      <c r="M362" s="2"/>
      <c r="N362" s="2" t="s">
        <v>64</v>
      </c>
    </row>
    <row r="363" spans="1:14" x14ac:dyDescent="0.25">
      <c r="A363" s="2" t="s">
        <v>1059</v>
      </c>
      <c r="B363" s="2" t="s">
        <v>1060</v>
      </c>
      <c r="C363" s="2" t="s">
        <v>16</v>
      </c>
      <c r="D363" s="2" t="s">
        <v>17</v>
      </c>
      <c r="E363" s="2" t="s">
        <v>85</v>
      </c>
      <c r="F363" s="2" t="s">
        <v>62</v>
      </c>
      <c r="G363" s="2" t="s">
        <v>139</v>
      </c>
      <c r="H363" s="2" t="s">
        <v>74</v>
      </c>
      <c r="I363" s="2">
        <v>8</v>
      </c>
      <c r="J363" s="2" t="s">
        <v>75</v>
      </c>
      <c r="K363" s="2" t="s">
        <v>1061</v>
      </c>
      <c r="L363" s="2" t="s">
        <v>24</v>
      </c>
      <c r="M363" s="2"/>
      <c r="N363" s="2" t="s">
        <v>25</v>
      </c>
    </row>
    <row r="364" spans="1:14" x14ac:dyDescent="0.25">
      <c r="A364" s="2" t="s">
        <v>1062</v>
      </c>
      <c r="B364" s="2" t="s">
        <v>1063</v>
      </c>
      <c r="C364" s="2" t="s">
        <v>28</v>
      </c>
      <c r="D364" s="2" t="s">
        <v>100</v>
      </c>
      <c r="E364" s="2" t="s">
        <v>46</v>
      </c>
      <c r="F364" s="2" t="s">
        <v>19</v>
      </c>
      <c r="G364" s="2" t="s">
        <v>139</v>
      </c>
      <c r="H364" s="2" t="s">
        <v>74</v>
      </c>
      <c r="I364" s="2">
        <v>8</v>
      </c>
      <c r="J364" s="2" t="s">
        <v>48</v>
      </c>
      <c r="K364" s="2" t="s">
        <v>1064</v>
      </c>
      <c r="L364" s="2" t="s">
        <v>24</v>
      </c>
      <c r="M364" s="2">
        <v>2</v>
      </c>
      <c r="N364" s="2"/>
    </row>
    <row r="365" spans="1:14" x14ac:dyDescent="0.25">
      <c r="A365" s="2" t="s">
        <v>1065</v>
      </c>
      <c r="B365" s="2" t="s">
        <v>1066</v>
      </c>
      <c r="C365" s="2" t="s">
        <v>28</v>
      </c>
      <c r="D365" s="2" t="s">
        <v>37</v>
      </c>
      <c r="E365" s="2" t="s">
        <v>46</v>
      </c>
      <c r="F365" s="2" t="s">
        <v>30</v>
      </c>
      <c r="G365" s="2" t="s">
        <v>70</v>
      </c>
      <c r="H365" s="2" t="s">
        <v>32</v>
      </c>
      <c r="I365" s="2">
        <v>48</v>
      </c>
      <c r="J365" s="2" t="s">
        <v>486</v>
      </c>
      <c r="K365" s="2" t="s">
        <v>1067</v>
      </c>
      <c r="L365" s="2" t="s">
        <v>24</v>
      </c>
      <c r="M365" s="2"/>
      <c r="N365" s="2"/>
    </row>
    <row r="366" spans="1:14" x14ac:dyDescent="0.25">
      <c r="A366" s="2" t="s">
        <v>1068</v>
      </c>
      <c r="B366" s="2" t="s">
        <v>1069</v>
      </c>
      <c r="C366" s="2" t="s">
        <v>53</v>
      </c>
      <c r="D366" s="2" t="s">
        <v>54</v>
      </c>
      <c r="E366" s="2" t="s">
        <v>90</v>
      </c>
      <c r="F366" s="2" t="s">
        <v>55</v>
      </c>
      <c r="G366" s="2" t="s">
        <v>105</v>
      </c>
      <c r="H366" s="2" t="s">
        <v>74</v>
      </c>
      <c r="I366" s="2">
        <v>8</v>
      </c>
      <c r="J366" s="2" t="s">
        <v>48</v>
      </c>
      <c r="K366" s="2" t="s">
        <v>1070</v>
      </c>
      <c r="L366" s="2" t="s">
        <v>24</v>
      </c>
      <c r="M366" s="2">
        <v>5</v>
      </c>
      <c r="N366" s="2" t="s">
        <v>50</v>
      </c>
    </row>
    <row r="367" spans="1:14" x14ac:dyDescent="0.25">
      <c r="A367" s="2" t="s">
        <v>1071</v>
      </c>
      <c r="B367" s="2" t="s">
        <v>1072</v>
      </c>
      <c r="C367" s="2" t="s">
        <v>67</v>
      </c>
      <c r="D367" s="2" t="s">
        <v>68</v>
      </c>
      <c r="E367" s="2" t="s">
        <v>148</v>
      </c>
      <c r="F367" s="2" t="s">
        <v>125</v>
      </c>
      <c r="G367" s="2" t="s">
        <v>139</v>
      </c>
      <c r="H367" s="2" t="s">
        <v>74</v>
      </c>
      <c r="I367" s="2">
        <v>8</v>
      </c>
      <c r="J367" s="2" t="s">
        <v>75</v>
      </c>
      <c r="K367" s="2" t="s">
        <v>1073</v>
      </c>
      <c r="L367" s="2" t="s">
        <v>24</v>
      </c>
      <c r="M367" s="2"/>
      <c r="N367" s="2" t="s">
        <v>25</v>
      </c>
    </row>
    <row r="368" spans="1:14" x14ac:dyDescent="0.25">
      <c r="A368" s="2" t="s">
        <v>1074</v>
      </c>
      <c r="B368" s="2" t="s">
        <v>1075</v>
      </c>
      <c r="C368" s="2" t="s">
        <v>67</v>
      </c>
      <c r="D368" s="2" t="s">
        <v>89</v>
      </c>
      <c r="E368" s="2" t="s">
        <v>18</v>
      </c>
      <c r="F368" s="2" t="s">
        <v>47</v>
      </c>
      <c r="G368" s="2" t="s">
        <v>158</v>
      </c>
      <c r="H368" s="2" t="s">
        <v>21</v>
      </c>
      <c r="I368" s="2">
        <v>24</v>
      </c>
      <c r="J368" s="2" t="s">
        <v>22</v>
      </c>
      <c r="K368" s="2" t="s">
        <v>1076</v>
      </c>
      <c r="L368" s="2" t="s">
        <v>24</v>
      </c>
      <c r="M368" s="2"/>
      <c r="N368" s="2" t="s">
        <v>118</v>
      </c>
    </row>
    <row r="369" spans="1:14" x14ac:dyDescent="0.25">
      <c r="A369" s="2" t="s">
        <v>1077</v>
      </c>
      <c r="B369" s="2" t="s">
        <v>1078</v>
      </c>
      <c r="C369" s="2" t="s">
        <v>53</v>
      </c>
      <c r="D369" s="2" t="s">
        <v>61</v>
      </c>
      <c r="E369" s="2" t="s">
        <v>38</v>
      </c>
      <c r="F369" s="2" t="s">
        <v>113</v>
      </c>
      <c r="G369" s="2" t="s">
        <v>183</v>
      </c>
      <c r="H369" s="2" t="s">
        <v>32</v>
      </c>
      <c r="I369" s="2">
        <v>48</v>
      </c>
      <c r="J369" s="2" t="s">
        <v>75</v>
      </c>
      <c r="K369" s="2" t="s">
        <v>1079</v>
      </c>
      <c r="L369" s="2" t="s">
        <v>24</v>
      </c>
      <c r="M369" s="2"/>
      <c r="N369" s="2" t="s">
        <v>50</v>
      </c>
    </row>
    <row r="370" spans="1:14" x14ac:dyDescent="0.25">
      <c r="A370" s="2" t="s">
        <v>1080</v>
      </c>
      <c r="B370" s="2" t="s">
        <v>1081</v>
      </c>
      <c r="C370" s="2" t="s">
        <v>28</v>
      </c>
      <c r="D370" s="2" t="s">
        <v>100</v>
      </c>
      <c r="E370" s="2" t="s">
        <v>148</v>
      </c>
      <c r="F370" s="2" t="s">
        <v>19</v>
      </c>
      <c r="G370" s="2" t="s">
        <v>105</v>
      </c>
      <c r="H370" s="2" t="s">
        <v>21</v>
      </c>
      <c r="I370" s="2">
        <v>24</v>
      </c>
      <c r="J370" s="2" t="s">
        <v>145</v>
      </c>
      <c r="K370" s="2"/>
      <c r="L370" s="2" t="s">
        <v>24</v>
      </c>
      <c r="M370" s="2"/>
      <c r="N370" s="2" t="s">
        <v>50</v>
      </c>
    </row>
    <row r="371" spans="1:14" x14ac:dyDescent="0.25">
      <c r="A371" s="2" t="s">
        <v>1082</v>
      </c>
      <c r="B371" s="2" t="s">
        <v>1083</v>
      </c>
      <c r="C371" s="2" t="s">
        <v>28</v>
      </c>
      <c r="D371" s="2" t="s">
        <v>100</v>
      </c>
      <c r="E371" s="2" t="s">
        <v>148</v>
      </c>
      <c r="F371" s="2" t="s">
        <v>113</v>
      </c>
      <c r="G371" s="2" t="s">
        <v>126</v>
      </c>
      <c r="H371" s="2" t="s">
        <v>32</v>
      </c>
      <c r="I371" s="2">
        <v>48</v>
      </c>
      <c r="J371" s="2" t="s">
        <v>75</v>
      </c>
      <c r="K371" s="2" t="s">
        <v>1084</v>
      </c>
      <c r="L371" s="2" t="s">
        <v>24</v>
      </c>
      <c r="M371" s="2">
        <v>1</v>
      </c>
      <c r="N371" s="2" t="s">
        <v>50</v>
      </c>
    </row>
    <row r="372" spans="1:14" x14ac:dyDescent="0.25">
      <c r="A372" s="2" t="s">
        <v>1085</v>
      </c>
      <c r="B372" s="2" t="s">
        <v>1086</v>
      </c>
      <c r="C372" s="2" t="s">
        <v>16</v>
      </c>
      <c r="D372" s="2" t="s">
        <v>240</v>
      </c>
      <c r="E372" s="2" t="s">
        <v>85</v>
      </c>
      <c r="F372" s="2" t="s">
        <v>96</v>
      </c>
      <c r="G372" s="2" t="s">
        <v>31</v>
      </c>
      <c r="H372" s="2" t="s">
        <v>74</v>
      </c>
      <c r="I372" s="2">
        <v>8</v>
      </c>
      <c r="J372" s="2" t="s">
        <v>486</v>
      </c>
      <c r="K372" s="2" t="s">
        <v>1087</v>
      </c>
      <c r="L372" s="2" t="s">
        <v>24</v>
      </c>
      <c r="M372" s="2"/>
      <c r="N372" s="2" t="s">
        <v>58</v>
      </c>
    </row>
    <row r="373" spans="1:14" x14ac:dyDescent="0.25">
      <c r="A373" s="2" t="s">
        <v>1088</v>
      </c>
      <c r="B373" s="2" t="s">
        <v>1089</v>
      </c>
      <c r="C373" s="2" t="s">
        <v>67</v>
      </c>
      <c r="D373" s="2" t="s">
        <v>68</v>
      </c>
      <c r="E373" s="2" t="s">
        <v>90</v>
      </c>
      <c r="F373" s="2" t="s">
        <v>69</v>
      </c>
      <c r="G373" s="2" t="s">
        <v>101</v>
      </c>
      <c r="H373" s="2" t="s">
        <v>74</v>
      </c>
      <c r="I373" s="2">
        <v>8</v>
      </c>
      <c r="J373" s="2" t="s">
        <v>75</v>
      </c>
      <c r="K373" s="2" t="s">
        <v>1090</v>
      </c>
      <c r="L373" s="2" t="s">
        <v>24</v>
      </c>
      <c r="M373" s="2">
        <v>3</v>
      </c>
      <c r="N373" s="2" t="s">
        <v>25</v>
      </c>
    </row>
    <row r="374" spans="1:14" x14ac:dyDescent="0.25">
      <c r="A374" s="2" t="s">
        <v>1091</v>
      </c>
      <c r="B374" s="2" t="s">
        <v>1092</v>
      </c>
      <c r="C374" s="2" t="s">
        <v>67</v>
      </c>
      <c r="D374" s="2" t="s">
        <v>95</v>
      </c>
      <c r="E374" s="2" t="s">
        <v>38</v>
      </c>
      <c r="F374" s="2" t="s">
        <v>96</v>
      </c>
      <c r="G374" s="2" t="s">
        <v>20</v>
      </c>
      <c r="H374" s="2" t="s">
        <v>32</v>
      </c>
      <c r="I374" s="2">
        <v>48</v>
      </c>
      <c r="J374" s="2" t="s">
        <v>22</v>
      </c>
      <c r="K374" s="2" t="s">
        <v>1093</v>
      </c>
      <c r="L374" s="2" t="s">
        <v>24</v>
      </c>
      <c r="M374" s="2">
        <v>5</v>
      </c>
      <c r="N374" s="2" t="s">
        <v>50</v>
      </c>
    </row>
    <row r="375" spans="1:14" x14ac:dyDescent="0.25">
      <c r="A375" s="2" t="s">
        <v>1094</v>
      </c>
      <c r="B375" s="2" t="s">
        <v>1095</v>
      </c>
      <c r="C375" s="2" t="s">
        <v>53</v>
      </c>
      <c r="D375" s="2" t="s">
        <v>61</v>
      </c>
      <c r="E375" s="2" t="s">
        <v>79</v>
      </c>
      <c r="F375" s="2" t="s">
        <v>30</v>
      </c>
      <c r="G375" s="2" t="s">
        <v>70</v>
      </c>
      <c r="H375" s="2" t="s">
        <v>32</v>
      </c>
      <c r="I375" s="2">
        <v>48</v>
      </c>
      <c r="J375" s="2" t="s">
        <v>11</v>
      </c>
      <c r="K375" s="2"/>
      <c r="L375" s="2" t="s">
        <v>92</v>
      </c>
      <c r="M375" s="2"/>
      <c r="N375" s="2" t="s">
        <v>50</v>
      </c>
    </row>
    <row r="376" spans="1:14" x14ac:dyDescent="0.25">
      <c r="A376" s="2" t="s">
        <v>1096</v>
      </c>
      <c r="B376" s="2" t="s">
        <v>1097</v>
      </c>
      <c r="C376" s="2" t="s">
        <v>67</v>
      </c>
      <c r="D376" s="2" t="s">
        <v>68</v>
      </c>
      <c r="E376" s="2" t="s">
        <v>85</v>
      </c>
      <c r="F376" s="2" t="s">
        <v>125</v>
      </c>
      <c r="G376" s="2" t="s">
        <v>110</v>
      </c>
      <c r="H376" s="2" t="s">
        <v>32</v>
      </c>
      <c r="I376" s="2">
        <v>48</v>
      </c>
      <c r="J376" s="2" t="s">
        <v>200</v>
      </c>
      <c r="K376" s="2"/>
      <c r="L376" s="2" t="s">
        <v>92</v>
      </c>
      <c r="M376" s="2"/>
      <c r="N376" s="2" t="s">
        <v>43</v>
      </c>
    </row>
    <row r="377" spans="1:14" x14ac:dyDescent="0.25">
      <c r="A377" s="2" t="s">
        <v>1098</v>
      </c>
      <c r="B377" s="2" t="s">
        <v>1099</v>
      </c>
      <c r="C377" s="2" t="s">
        <v>16</v>
      </c>
      <c r="D377" s="2" t="s">
        <v>17</v>
      </c>
      <c r="E377" s="2" t="s">
        <v>85</v>
      </c>
      <c r="F377" s="2" t="s">
        <v>39</v>
      </c>
      <c r="G377" s="2" t="s">
        <v>110</v>
      </c>
      <c r="H377" s="2" t="s">
        <v>21</v>
      </c>
      <c r="I377" s="2">
        <v>24</v>
      </c>
      <c r="J377" s="2" t="s">
        <v>106</v>
      </c>
      <c r="K377" s="2" t="s">
        <v>1100</v>
      </c>
      <c r="L377" s="2" t="s">
        <v>24</v>
      </c>
      <c r="M377" s="2">
        <v>4</v>
      </c>
      <c r="N377" s="2"/>
    </row>
    <row r="378" spans="1:14" x14ac:dyDescent="0.25">
      <c r="A378" s="2" t="s">
        <v>1101</v>
      </c>
      <c r="B378" s="2" t="s">
        <v>253</v>
      </c>
      <c r="C378" s="2" t="s">
        <v>16</v>
      </c>
      <c r="D378" s="2" t="s">
        <v>17</v>
      </c>
      <c r="E378" s="2" t="s">
        <v>90</v>
      </c>
      <c r="F378" s="2" t="s">
        <v>96</v>
      </c>
      <c r="G378" s="2" t="s">
        <v>105</v>
      </c>
      <c r="H378" s="2" t="s">
        <v>21</v>
      </c>
      <c r="I378" s="2">
        <v>24</v>
      </c>
      <c r="J378" s="2" t="s">
        <v>41</v>
      </c>
      <c r="K378" s="2" t="s">
        <v>1102</v>
      </c>
      <c r="L378" s="2" t="s">
        <v>24</v>
      </c>
      <c r="M378" s="2">
        <v>3</v>
      </c>
      <c r="N378" s="2" t="s">
        <v>25</v>
      </c>
    </row>
    <row r="379" spans="1:14" x14ac:dyDescent="0.25">
      <c r="A379" s="2" t="s">
        <v>1103</v>
      </c>
      <c r="B379" s="2" t="s">
        <v>1104</v>
      </c>
      <c r="C379" s="2" t="s">
        <v>53</v>
      </c>
      <c r="D379" s="2" t="s">
        <v>771</v>
      </c>
      <c r="E379" s="2" t="s">
        <v>148</v>
      </c>
      <c r="F379" s="2" t="s">
        <v>47</v>
      </c>
      <c r="G379" s="2" t="s">
        <v>158</v>
      </c>
      <c r="H379" s="2" t="s">
        <v>21</v>
      </c>
      <c r="I379" s="2">
        <v>24</v>
      </c>
      <c r="J379" s="2" t="s">
        <v>117</v>
      </c>
      <c r="K379" s="2"/>
      <c r="L379" s="2" t="s">
        <v>92</v>
      </c>
      <c r="M379" s="2"/>
      <c r="N379" s="2" t="s">
        <v>128</v>
      </c>
    </row>
    <row r="380" spans="1:14" x14ac:dyDescent="0.25">
      <c r="A380" s="2" t="s">
        <v>1105</v>
      </c>
      <c r="B380" s="2" t="s">
        <v>1106</v>
      </c>
      <c r="C380" s="2" t="s">
        <v>28</v>
      </c>
      <c r="D380" s="2" t="s">
        <v>100</v>
      </c>
      <c r="E380" s="2" t="s">
        <v>46</v>
      </c>
      <c r="F380" s="2" t="s">
        <v>30</v>
      </c>
      <c r="G380" s="2" t="s">
        <v>40</v>
      </c>
      <c r="H380" s="2" t="s">
        <v>32</v>
      </c>
      <c r="I380" s="2">
        <v>48</v>
      </c>
      <c r="J380" s="2" t="s">
        <v>155</v>
      </c>
      <c r="K380" s="2"/>
      <c r="L380" s="2" t="s">
        <v>92</v>
      </c>
      <c r="M380" s="2"/>
      <c r="N380" s="2" t="s">
        <v>64</v>
      </c>
    </row>
    <row r="381" spans="1:14" x14ac:dyDescent="0.25">
      <c r="A381" s="2" t="s">
        <v>1107</v>
      </c>
      <c r="B381" s="2" t="s">
        <v>1108</v>
      </c>
      <c r="C381" s="2" t="s">
        <v>53</v>
      </c>
      <c r="D381" s="2" t="s">
        <v>61</v>
      </c>
      <c r="E381" s="2" t="s">
        <v>79</v>
      </c>
      <c r="F381" s="2" t="s">
        <v>69</v>
      </c>
      <c r="G381" s="2" t="s">
        <v>158</v>
      </c>
      <c r="H381" s="2" t="s">
        <v>74</v>
      </c>
      <c r="I381" s="2">
        <v>8</v>
      </c>
      <c r="J381" s="2" t="s">
        <v>22</v>
      </c>
      <c r="K381" s="2" t="s">
        <v>1109</v>
      </c>
      <c r="L381" s="2" t="s">
        <v>24</v>
      </c>
      <c r="M381" s="2">
        <v>4</v>
      </c>
      <c r="N381" s="2" t="s">
        <v>118</v>
      </c>
    </row>
    <row r="382" spans="1:14" x14ac:dyDescent="0.25">
      <c r="A382" s="2" t="s">
        <v>1110</v>
      </c>
      <c r="B382" s="2" t="s">
        <v>1111</v>
      </c>
      <c r="C382" s="2" t="s">
        <v>67</v>
      </c>
      <c r="D382" s="2" t="s">
        <v>95</v>
      </c>
      <c r="E382" s="2" t="s">
        <v>90</v>
      </c>
      <c r="F382" s="2" t="s">
        <v>125</v>
      </c>
      <c r="G382" s="2" t="s">
        <v>179</v>
      </c>
      <c r="H382" s="2" t="s">
        <v>74</v>
      </c>
      <c r="I382" s="2">
        <v>8</v>
      </c>
      <c r="J382" s="2" t="s">
        <v>187</v>
      </c>
      <c r="K382" s="2" t="s">
        <v>1112</v>
      </c>
      <c r="L382" s="2" t="s">
        <v>24</v>
      </c>
      <c r="M382" s="2"/>
      <c r="N382" s="2" t="s">
        <v>118</v>
      </c>
    </row>
    <row r="383" spans="1:14" x14ac:dyDescent="0.25">
      <c r="A383" s="2" t="s">
        <v>1113</v>
      </c>
      <c r="B383" s="2" t="s">
        <v>1114</v>
      </c>
      <c r="C383" s="2" t="s">
        <v>53</v>
      </c>
      <c r="D383" s="2" t="s">
        <v>61</v>
      </c>
      <c r="E383" s="2" t="s">
        <v>85</v>
      </c>
      <c r="F383" s="2" t="s">
        <v>62</v>
      </c>
      <c r="G383" s="2" t="s">
        <v>101</v>
      </c>
      <c r="H383" s="2" t="s">
        <v>74</v>
      </c>
      <c r="I383" s="2">
        <v>8</v>
      </c>
      <c r="J383" s="2" t="s">
        <v>106</v>
      </c>
      <c r="K383" s="2" t="s">
        <v>1115</v>
      </c>
      <c r="L383" s="2" t="s">
        <v>92</v>
      </c>
      <c r="M383" s="2">
        <v>5</v>
      </c>
      <c r="N383" s="2"/>
    </row>
    <row r="384" spans="1:14" x14ac:dyDescent="0.25">
      <c r="A384" s="2" t="s">
        <v>1116</v>
      </c>
      <c r="B384" s="2" t="s">
        <v>1117</v>
      </c>
      <c r="C384" s="2" t="s">
        <v>16</v>
      </c>
      <c r="D384" s="2" t="s">
        <v>84</v>
      </c>
      <c r="E384" s="2" t="s">
        <v>85</v>
      </c>
      <c r="F384" s="2" t="s">
        <v>47</v>
      </c>
      <c r="G384" s="2" t="s">
        <v>110</v>
      </c>
      <c r="H384" s="2" t="s">
        <v>32</v>
      </c>
      <c r="I384" s="2">
        <v>48</v>
      </c>
      <c r="J384" s="2" t="s">
        <v>41</v>
      </c>
      <c r="K384" s="2" t="s">
        <v>1118</v>
      </c>
      <c r="L384" s="2" t="s">
        <v>24</v>
      </c>
      <c r="M384" s="2">
        <v>2</v>
      </c>
      <c r="N384" s="2" t="s">
        <v>43</v>
      </c>
    </row>
    <row r="385" spans="1:14" x14ac:dyDescent="0.25">
      <c r="A385" s="2" t="s">
        <v>1119</v>
      </c>
      <c r="B385" s="2" t="s">
        <v>1120</v>
      </c>
      <c r="C385" s="2" t="s">
        <v>67</v>
      </c>
      <c r="D385" s="2" t="s">
        <v>68</v>
      </c>
      <c r="E385" s="2" t="s">
        <v>90</v>
      </c>
      <c r="F385" s="2" t="s">
        <v>47</v>
      </c>
      <c r="G385" s="2" t="s">
        <v>179</v>
      </c>
      <c r="H385" s="2" t="s">
        <v>74</v>
      </c>
      <c r="I385" s="2">
        <v>8</v>
      </c>
      <c r="J385" s="2" t="s">
        <v>106</v>
      </c>
      <c r="K385" s="2" t="s">
        <v>1121</v>
      </c>
      <c r="L385" s="2" t="s">
        <v>24</v>
      </c>
      <c r="M385" s="2">
        <v>4</v>
      </c>
      <c r="N385" s="2" t="s">
        <v>34</v>
      </c>
    </row>
    <row r="386" spans="1:14" x14ac:dyDescent="0.25">
      <c r="A386" s="2" t="s">
        <v>1122</v>
      </c>
      <c r="B386" s="2" t="s">
        <v>1123</v>
      </c>
      <c r="C386" s="2" t="s">
        <v>16</v>
      </c>
      <c r="D386" s="2" t="s">
        <v>84</v>
      </c>
      <c r="E386" s="2" t="s">
        <v>18</v>
      </c>
      <c r="F386" s="2" t="s">
        <v>113</v>
      </c>
      <c r="G386" s="2" t="s">
        <v>31</v>
      </c>
      <c r="H386" s="2" t="s">
        <v>74</v>
      </c>
      <c r="I386" s="2">
        <v>8</v>
      </c>
      <c r="J386" s="2" t="s">
        <v>106</v>
      </c>
      <c r="K386" s="2" t="s">
        <v>1124</v>
      </c>
      <c r="L386" s="2" t="s">
        <v>24</v>
      </c>
      <c r="M386" s="2"/>
      <c r="N386" s="2"/>
    </row>
    <row r="387" spans="1:14" x14ac:dyDescent="0.25">
      <c r="A387" s="2" t="s">
        <v>1125</v>
      </c>
      <c r="B387" s="2" t="s">
        <v>1126</v>
      </c>
      <c r="C387" s="2" t="s">
        <v>67</v>
      </c>
      <c r="D387" s="2" t="s">
        <v>68</v>
      </c>
      <c r="E387" s="2" t="s">
        <v>85</v>
      </c>
      <c r="F387" s="2" t="s">
        <v>131</v>
      </c>
      <c r="G387" s="2" t="s">
        <v>179</v>
      </c>
      <c r="H387" s="2" t="s">
        <v>21</v>
      </c>
      <c r="I387" s="2">
        <v>24</v>
      </c>
      <c r="J387" s="2" t="s">
        <v>155</v>
      </c>
      <c r="K387" s="2"/>
      <c r="L387" s="2" t="s">
        <v>24</v>
      </c>
      <c r="M387" s="2"/>
      <c r="N387" s="2" t="s">
        <v>25</v>
      </c>
    </row>
    <row r="388" spans="1:14" x14ac:dyDescent="0.25">
      <c r="A388" s="2" t="s">
        <v>1127</v>
      </c>
      <c r="B388" s="2" t="s">
        <v>1128</v>
      </c>
      <c r="C388" s="2" t="s">
        <v>16</v>
      </c>
      <c r="D388" s="2" t="s">
        <v>240</v>
      </c>
      <c r="E388" s="2" t="s">
        <v>79</v>
      </c>
      <c r="F388" s="2" t="s">
        <v>55</v>
      </c>
      <c r="G388" s="2" t="s">
        <v>121</v>
      </c>
      <c r="H388" s="2" t="s">
        <v>32</v>
      </c>
      <c r="I388" s="2">
        <v>48</v>
      </c>
      <c r="J388" s="2" t="s">
        <v>75</v>
      </c>
      <c r="K388" s="2" t="s">
        <v>1129</v>
      </c>
      <c r="L388" s="2" t="s">
        <v>24</v>
      </c>
      <c r="M388" s="2">
        <v>3</v>
      </c>
      <c r="N388" s="2" t="s">
        <v>128</v>
      </c>
    </row>
    <row r="389" spans="1:14" x14ac:dyDescent="0.25">
      <c r="A389" s="2" t="s">
        <v>1130</v>
      </c>
      <c r="B389" s="2" t="s">
        <v>1131</v>
      </c>
      <c r="C389" s="2" t="s">
        <v>67</v>
      </c>
      <c r="D389" s="2" t="s">
        <v>68</v>
      </c>
      <c r="E389" s="2" t="s">
        <v>85</v>
      </c>
      <c r="F389" s="2" t="s">
        <v>96</v>
      </c>
      <c r="G389" s="2" t="s">
        <v>40</v>
      </c>
      <c r="H389" s="2" t="s">
        <v>80</v>
      </c>
      <c r="I389" s="2">
        <v>4</v>
      </c>
      <c r="J389" s="2" t="s">
        <v>48</v>
      </c>
      <c r="K389" s="2" t="s">
        <v>1132</v>
      </c>
      <c r="L389" s="2" t="s">
        <v>24</v>
      </c>
      <c r="M389" s="2">
        <v>1</v>
      </c>
      <c r="N389" s="2" t="s">
        <v>118</v>
      </c>
    </row>
    <row r="390" spans="1:14" x14ac:dyDescent="0.25">
      <c r="A390" s="2" t="s">
        <v>1133</v>
      </c>
      <c r="B390" s="2" t="s">
        <v>1134</v>
      </c>
      <c r="C390" s="2" t="s">
        <v>67</v>
      </c>
      <c r="D390" s="2" t="s">
        <v>95</v>
      </c>
      <c r="E390" s="2" t="s">
        <v>79</v>
      </c>
      <c r="F390" s="2" t="s">
        <v>62</v>
      </c>
      <c r="G390" s="2" t="s">
        <v>179</v>
      </c>
      <c r="H390" s="2" t="s">
        <v>32</v>
      </c>
      <c r="I390" s="2">
        <v>48</v>
      </c>
      <c r="J390" s="2" t="s">
        <v>75</v>
      </c>
      <c r="K390" s="2" t="s">
        <v>1135</v>
      </c>
      <c r="L390" s="2" t="s">
        <v>92</v>
      </c>
      <c r="M390" s="2">
        <v>5</v>
      </c>
      <c r="N390" s="2" t="s">
        <v>118</v>
      </c>
    </row>
    <row r="391" spans="1:14" x14ac:dyDescent="0.25">
      <c r="A391" s="2" t="s">
        <v>1136</v>
      </c>
      <c r="B391" s="2" t="s">
        <v>1137</v>
      </c>
      <c r="C391" s="2" t="s">
        <v>28</v>
      </c>
      <c r="D391" s="2" t="s">
        <v>100</v>
      </c>
      <c r="E391" s="2" t="s">
        <v>18</v>
      </c>
      <c r="F391" s="2" t="s">
        <v>96</v>
      </c>
      <c r="G391" s="2" t="s">
        <v>97</v>
      </c>
      <c r="H391" s="2" t="s">
        <v>32</v>
      </c>
      <c r="I391" s="2">
        <v>48</v>
      </c>
      <c r="J391" s="2" t="s">
        <v>22</v>
      </c>
      <c r="K391" s="2" t="s">
        <v>1138</v>
      </c>
      <c r="L391" s="2" t="s">
        <v>24</v>
      </c>
      <c r="M391" s="2"/>
      <c r="N391" s="2" t="s">
        <v>58</v>
      </c>
    </row>
    <row r="392" spans="1:14" x14ac:dyDescent="0.25">
      <c r="A392" s="2" t="s">
        <v>1139</v>
      </c>
      <c r="B392" s="2" t="s">
        <v>1140</v>
      </c>
      <c r="C392" s="2" t="s">
        <v>16</v>
      </c>
      <c r="D392" s="2" t="s">
        <v>17</v>
      </c>
      <c r="E392" s="2" t="s">
        <v>85</v>
      </c>
      <c r="F392" s="2" t="s">
        <v>30</v>
      </c>
      <c r="G392" s="2" t="s">
        <v>144</v>
      </c>
      <c r="H392" s="2" t="s">
        <v>80</v>
      </c>
      <c r="I392" s="2">
        <v>4</v>
      </c>
      <c r="J392" s="2" t="s">
        <v>41</v>
      </c>
      <c r="K392" s="2" t="s">
        <v>1141</v>
      </c>
      <c r="L392" s="2" t="s">
        <v>24</v>
      </c>
      <c r="M392" s="2">
        <v>2</v>
      </c>
      <c r="N392" s="2"/>
    </row>
    <row r="393" spans="1:14" x14ac:dyDescent="0.25">
      <c r="A393" s="2" t="s">
        <v>1142</v>
      </c>
      <c r="B393" s="2" t="s">
        <v>1143</v>
      </c>
      <c r="C393" s="2" t="s">
        <v>16</v>
      </c>
      <c r="D393" s="2" t="s">
        <v>84</v>
      </c>
      <c r="E393" s="2" t="s">
        <v>18</v>
      </c>
      <c r="F393" s="2" t="s">
        <v>131</v>
      </c>
      <c r="G393" s="2" t="s">
        <v>91</v>
      </c>
      <c r="H393" s="2" t="s">
        <v>21</v>
      </c>
      <c r="I393" s="2">
        <v>24</v>
      </c>
      <c r="J393" s="2" t="s">
        <v>117</v>
      </c>
      <c r="K393" s="2"/>
      <c r="L393" s="2" t="s">
        <v>24</v>
      </c>
      <c r="M393" s="2"/>
      <c r="N393" s="2" t="s">
        <v>50</v>
      </c>
    </row>
    <row r="394" spans="1:14" x14ac:dyDescent="0.25">
      <c r="A394" s="2" t="s">
        <v>1144</v>
      </c>
      <c r="B394" s="2" t="s">
        <v>1145</v>
      </c>
      <c r="C394" s="2" t="s">
        <v>53</v>
      </c>
      <c r="D394" s="2" t="s">
        <v>54</v>
      </c>
      <c r="E394" s="2" t="s">
        <v>148</v>
      </c>
      <c r="F394" s="2" t="s">
        <v>143</v>
      </c>
      <c r="G394" s="2" t="s">
        <v>110</v>
      </c>
      <c r="H394" s="2" t="s">
        <v>32</v>
      </c>
      <c r="I394" s="2">
        <v>48</v>
      </c>
      <c r="J394" s="2" t="s">
        <v>41</v>
      </c>
      <c r="K394" s="2" t="s">
        <v>1146</v>
      </c>
      <c r="L394" s="2" t="s">
        <v>24</v>
      </c>
      <c r="M394" s="2">
        <v>5</v>
      </c>
      <c r="N394" s="2" t="s">
        <v>34</v>
      </c>
    </row>
    <row r="395" spans="1:14" x14ac:dyDescent="0.25">
      <c r="A395" s="2" t="s">
        <v>1147</v>
      </c>
      <c r="B395" s="2" t="s">
        <v>1148</v>
      </c>
      <c r="C395" s="2" t="s">
        <v>67</v>
      </c>
      <c r="D395" s="2" t="s">
        <v>95</v>
      </c>
      <c r="E395" s="2" t="s">
        <v>46</v>
      </c>
      <c r="F395" s="2" t="s">
        <v>125</v>
      </c>
      <c r="G395" s="2" t="s">
        <v>101</v>
      </c>
      <c r="H395" s="2" t="s">
        <v>32</v>
      </c>
      <c r="I395" s="2">
        <v>48</v>
      </c>
      <c r="J395" s="2" t="s">
        <v>232</v>
      </c>
      <c r="K395" s="2"/>
      <c r="L395" s="2" t="s">
        <v>92</v>
      </c>
      <c r="M395" s="2"/>
      <c r="N395" s="2" t="s">
        <v>34</v>
      </c>
    </row>
    <row r="396" spans="1:14" x14ac:dyDescent="0.25">
      <c r="A396" s="2" t="s">
        <v>1149</v>
      </c>
      <c r="B396" s="2" t="s">
        <v>1150</v>
      </c>
      <c r="C396" s="2" t="s">
        <v>28</v>
      </c>
      <c r="D396" s="2" t="s">
        <v>100</v>
      </c>
      <c r="E396" s="2" t="s">
        <v>79</v>
      </c>
      <c r="F396" s="2" t="s">
        <v>39</v>
      </c>
      <c r="G396" s="2" t="s">
        <v>97</v>
      </c>
      <c r="H396" s="2" t="s">
        <v>32</v>
      </c>
      <c r="I396" s="2">
        <v>48</v>
      </c>
      <c r="J396" s="2" t="s">
        <v>22</v>
      </c>
      <c r="K396" s="2" t="s">
        <v>1151</v>
      </c>
      <c r="L396" s="2" t="s">
        <v>24</v>
      </c>
      <c r="M396" s="2">
        <v>4</v>
      </c>
      <c r="N396" s="2" t="s">
        <v>128</v>
      </c>
    </row>
    <row r="397" spans="1:14" x14ac:dyDescent="0.25">
      <c r="A397" s="2" t="s">
        <v>1152</v>
      </c>
      <c r="B397" s="2" t="s">
        <v>1153</v>
      </c>
      <c r="C397" s="2" t="s">
        <v>28</v>
      </c>
      <c r="D397" s="2" t="s">
        <v>37</v>
      </c>
      <c r="E397" s="2" t="s">
        <v>79</v>
      </c>
      <c r="F397" s="2" t="s">
        <v>55</v>
      </c>
      <c r="G397" s="2" t="s">
        <v>101</v>
      </c>
      <c r="H397" s="2" t="s">
        <v>32</v>
      </c>
      <c r="I397" s="2">
        <v>48</v>
      </c>
      <c r="J397" s="2" t="s">
        <v>106</v>
      </c>
      <c r="K397" s="2" t="s">
        <v>1154</v>
      </c>
      <c r="L397" s="2" t="s">
        <v>24</v>
      </c>
      <c r="M397" s="2">
        <v>4</v>
      </c>
      <c r="N397" s="2"/>
    </row>
    <row r="398" spans="1:14" x14ac:dyDescent="0.25">
      <c r="A398" s="2" t="s">
        <v>1155</v>
      </c>
      <c r="B398" s="2" t="s">
        <v>1156</v>
      </c>
      <c r="C398" s="2" t="s">
        <v>28</v>
      </c>
      <c r="D398" s="2" t="s">
        <v>100</v>
      </c>
      <c r="E398" s="2" t="s">
        <v>148</v>
      </c>
      <c r="F398" s="2" t="s">
        <v>96</v>
      </c>
      <c r="G398" s="2" t="s">
        <v>97</v>
      </c>
      <c r="H398" s="2" t="s">
        <v>21</v>
      </c>
      <c r="I398" s="2">
        <v>24</v>
      </c>
      <c r="J398" s="2" t="s">
        <v>117</v>
      </c>
      <c r="K398" s="2"/>
      <c r="L398" s="2" t="s">
        <v>24</v>
      </c>
      <c r="M398" s="2"/>
      <c r="N398" s="2" t="s">
        <v>43</v>
      </c>
    </row>
    <row r="399" spans="1:14" x14ac:dyDescent="0.25">
      <c r="A399" s="2" t="s">
        <v>1157</v>
      </c>
      <c r="B399" s="2" t="s">
        <v>1158</v>
      </c>
      <c r="C399" s="2" t="s">
        <v>16</v>
      </c>
      <c r="D399" s="2" t="s">
        <v>17</v>
      </c>
      <c r="E399" s="2" t="s">
        <v>38</v>
      </c>
      <c r="F399" s="2" t="s">
        <v>113</v>
      </c>
      <c r="G399" s="2" t="s">
        <v>105</v>
      </c>
      <c r="H399" s="2" t="s">
        <v>32</v>
      </c>
      <c r="I399" s="2">
        <v>48</v>
      </c>
      <c r="J399" s="2" t="s">
        <v>187</v>
      </c>
      <c r="K399" s="2" t="s">
        <v>1159</v>
      </c>
      <c r="L399" s="2" t="s">
        <v>24</v>
      </c>
      <c r="M399" s="2">
        <v>2</v>
      </c>
      <c r="N399" s="2"/>
    </row>
    <row r="400" spans="1:14" x14ac:dyDescent="0.25">
      <c r="A400" s="2" t="s">
        <v>1160</v>
      </c>
      <c r="B400" s="2" t="s">
        <v>1161</v>
      </c>
      <c r="C400" s="2" t="s">
        <v>16</v>
      </c>
      <c r="D400" s="2" t="s">
        <v>17</v>
      </c>
      <c r="E400" s="2" t="s">
        <v>85</v>
      </c>
      <c r="F400" s="2" t="s">
        <v>47</v>
      </c>
      <c r="G400" s="2" t="s">
        <v>183</v>
      </c>
      <c r="H400" s="2" t="s">
        <v>32</v>
      </c>
      <c r="I400" s="2">
        <v>48</v>
      </c>
      <c r="J400" s="2" t="s">
        <v>48</v>
      </c>
      <c r="K400" s="2" t="s">
        <v>1162</v>
      </c>
      <c r="L400" s="2" t="s">
        <v>24</v>
      </c>
      <c r="M400" s="2">
        <v>5</v>
      </c>
      <c r="N400" s="2"/>
    </row>
    <row r="401" spans="1:14" x14ac:dyDescent="0.25">
      <c r="A401" s="2" t="s">
        <v>1163</v>
      </c>
      <c r="B401" s="2" t="s">
        <v>1164</v>
      </c>
      <c r="C401" s="2" t="s">
        <v>67</v>
      </c>
      <c r="D401" s="2" t="s">
        <v>95</v>
      </c>
      <c r="E401" s="2" t="s">
        <v>46</v>
      </c>
      <c r="F401" s="2" t="s">
        <v>113</v>
      </c>
      <c r="G401" s="2" t="s">
        <v>101</v>
      </c>
      <c r="H401" s="2" t="s">
        <v>80</v>
      </c>
      <c r="I401" s="2">
        <v>4</v>
      </c>
      <c r="J401" s="2" t="s">
        <v>11</v>
      </c>
      <c r="K401" s="2"/>
      <c r="L401" s="2" t="s">
        <v>92</v>
      </c>
      <c r="M401" s="2"/>
      <c r="N401" s="2"/>
    </row>
    <row r="402" spans="1:14" x14ac:dyDescent="0.25">
      <c r="A402" s="2" t="s">
        <v>1165</v>
      </c>
      <c r="B402" s="2" t="s">
        <v>1166</v>
      </c>
      <c r="C402" s="2" t="s">
        <v>67</v>
      </c>
      <c r="D402" s="2" t="s">
        <v>95</v>
      </c>
      <c r="E402" s="2" t="s">
        <v>90</v>
      </c>
      <c r="F402" s="2" t="s">
        <v>125</v>
      </c>
      <c r="G402" s="2" t="s">
        <v>91</v>
      </c>
      <c r="H402" s="2" t="s">
        <v>32</v>
      </c>
      <c r="I402" s="2">
        <v>48</v>
      </c>
      <c r="J402" s="2" t="s">
        <v>48</v>
      </c>
      <c r="K402" s="2" t="s">
        <v>1167</v>
      </c>
      <c r="L402" s="2" t="s">
        <v>24</v>
      </c>
      <c r="M402" s="2">
        <v>4</v>
      </c>
      <c r="N402" s="2" t="s">
        <v>64</v>
      </c>
    </row>
    <row r="403" spans="1:14" x14ac:dyDescent="0.25">
      <c r="A403" s="2" t="s">
        <v>1168</v>
      </c>
      <c r="B403" s="2" t="s">
        <v>1169</v>
      </c>
      <c r="C403" s="2" t="s">
        <v>28</v>
      </c>
      <c r="D403" s="2" t="s">
        <v>37</v>
      </c>
      <c r="E403" s="2" t="s">
        <v>18</v>
      </c>
      <c r="F403" s="2" t="s">
        <v>47</v>
      </c>
      <c r="G403" s="2" t="s">
        <v>105</v>
      </c>
      <c r="H403" s="2" t="s">
        <v>32</v>
      </c>
      <c r="I403" s="2">
        <v>48</v>
      </c>
      <c r="J403" s="2" t="s">
        <v>11</v>
      </c>
      <c r="K403" s="2"/>
      <c r="L403" s="2" t="s">
        <v>92</v>
      </c>
      <c r="M403" s="2"/>
      <c r="N403" s="2" t="s">
        <v>34</v>
      </c>
    </row>
    <row r="404" spans="1:14" x14ac:dyDescent="0.25">
      <c r="A404" s="2" t="s">
        <v>1170</v>
      </c>
      <c r="B404" s="2" t="s">
        <v>1171</v>
      </c>
      <c r="C404" s="2" t="s">
        <v>28</v>
      </c>
      <c r="D404" s="2" t="s">
        <v>37</v>
      </c>
      <c r="E404" s="2" t="s">
        <v>38</v>
      </c>
      <c r="F404" s="2" t="s">
        <v>47</v>
      </c>
      <c r="G404" s="2" t="s">
        <v>20</v>
      </c>
      <c r="H404" s="2" t="s">
        <v>21</v>
      </c>
      <c r="I404" s="2">
        <v>24</v>
      </c>
      <c r="J404" s="2" t="s">
        <v>187</v>
      </c>
      <c r="K404" s="2" t="s">
        <v>1172</v>
      </c>
      <c r="L404" s="2" t="s">
        <v>24</v>
      </c>
      <c r="M404" s="2">
        <v>4</v>
      </c>
      <c r="N404" s="2" t="s">
        <v>128</v>
      </c>
    </row>
    <row r="405" spans="1:14" x14ac:dyDescent="0.25">
      <c r="A405" s="2" t="s">
        <v>1173</v>
      </c>
      <c r="B405" s="2" t="s">
        <v>1174</v>
      </c>
      <c r="C405" s="2" t="s">
        <v>28</v>
      </c>
      <c r="D405" s="2" t="s">
        <v>37</v>
      </c>
      <c r="E405" s="2" t="s">
        <v>90</v>
      </c>
      <c r="F405" s="2" t="s">
        <v>143</v>
      </c>
      <c r="G405" s="2" t="s">
        <v>126</v>
      </c>
      <c r="H405" s="2" t="s">
        <v>32</v>
      </c>
      <c r="I405" s="2">
        <v>48</v>
      </c>
      <c r="J405" s="2" t="s">
        <v>155</v>
      </c>
      <c r="K405" s="2"/>
      <c r="L405" s="2" t="s">
        <v>92</v>
      </c>
      <c r="M405" s="2"/>
      <c r="N405" s="2" t="s">
        <v>118</v>
      </c>
    </row>
    <row r="406" spans="1:14" x14ac:dyDescent="0.25">
      <c r="A406" s="2" t="s">
        <v>1175</v>
      </c>
      <c r="B406" s="2" t="s">
        <v>1176</v>
      </c>
      <c r="C406" s="2" t="s">
        <v>67</v>
      </c>
      <c r="D406" s="2" t="s">
        <v>68</v>
      </c>
      <c r="E406" s="2" t="s">
        <v>18</v>
      </c>
      <c r="F406" s="2" t="s">
        <v>96</v>
      </c>
      <c r="G406" s="2" t="s">
        <v>110</v>
      </c>
      <c r="H406" s="2" t="s">
        <v>32</v>
      </c>
      <c r="I406" s="2">
        <v>48</v>
      </c>
      <c r="J406" s="2" t="s">
        <v>187</v>
      </c>
      <c r="K406" s="2" t="s">
        <v>1177</v>
      </c>
      <c r="L406" s="2" t="s">
        <v>92</v>
      </c>
      <c r="M406" s="2"/>
      <c r="N406" s="2"/>
    </row>
    <row r="407" spans="1:14" x14ac:dyDescent="0.25">
      <c r="A407" s="2" t="s">
        <v>1178</v>
      </c>
      <c r="B407" s="2" t="s">
        <v>1179</v>
      </c>
      <c r="C407" s="2" t="s">
        <v>53</v>
      </c>
      <c r="D407" s="2" t="s">
        <v>61</v>
      </c>
      <c r="E407" s="2" t="s">
        <v>38</v>
      </c>
      <c r="F407" s="2" t="s">
        <v>96</v>
      </c>
      <c r="G407" s="2" t="s">
        <v>70</v>
      </c>
      <c r="H407" s="2" t="s">
        <v>32</v>
      </c>
      <c r="I407" s="2">
        <v>48</v>
      </c>
      <c r="J407" s="2" t="s">
        <v>106</v>
      </c>
      <c r="K407" s="2" t="s">
        <v>1180</v>
      </c>
      <c r="L407" s="2" t="s">
        <v>24</v>
      </c>
      <c r="M407" s="2">
        <v>5</v>
      </c>
      <c r="N407" s="2" t="s">
        <v>43</v>
      </c>
    </row>
    <row r="408" spans="1:14" x14ac:dyDescent="0.25">
      <c r="A408" s="2" t="s">
        <v>1181</v>
      </c>
      <c r="B408" s="2" t="s">
        <v>1182</v>
      </c>
      <c r="C408" s="2" t="s">
        <v>67</v>
      </c>
      <c r="D408" s="2" t="s">
        <v>68</v>
      </c>
      <c r="E408" s="2" t="s">
        <v>90</v>
      </c>
      <c r="F408" s="2" t="s">
        <v>55</v>
      </c>
      <c r="G408" s="2" t="s">
        <v>158</v>
      </c>
      <c r="H408" s="2" t="s">
        <v>74</v>
      </c>
      <c r="I408" s="2">
        <v>8</v>
      </c>
      <c r="J408" s="2" t="s">
        <v>149</v>
      </c>
      <c r="K408" s="2"/>
      <c r="L408" s="2" t="s">
        <v>92</v>
      </c>
      <c r="M408" s="2"/>
      <c r="N408" s="2" t="s">
        <v>118</v>
      </c>
    </row>
    <row r="409" spans="1:14" x14ac:dyDescent="0.25">
      <c r="A409" s="2" t="s">
        <v>1183</v>
      </c>
      <c r="B409" s="2" t="s">
        <v>1184</v>
      </c>
      <c r="C409" s="2" t="s">
        <v>28</v>
      </c>
      <c r="D409" s="2" t="s">
        <v>100</v>
      </c>
      <c r="E409" s="2" t="s">
        <v>18</v>
      </c>
      <c r="F409" s="2" t="s">
        <v>47</v>
      </c>
      <c r="G409" s="2" t="s">
        <v>139</v>
      </c>
      <c r="H409" s="2" t="s">
        <v>21</v>
      </c>
      <c r="I409" s="2">
        <v>24</v>
      </c>
      <c r="J409" s="2" t="s">
        <v>287</v>
      </c>
      <c r="K409" s="2"/>
      <c r="L409" s="2" t="s">
        <v>24</v>
      </c>
      <c r="M409" s="2"/>
      <c r="N409" s="2" t="s">
        <v>128</v>
      </c>
    </row>
    <row r="410" spans="1:14" x14ac:dyDescent="0.25">
      <c r="A410" s="2" t="s">
        <v>1185</v>
      </c>
      <c r="B410" s="2" t="s">
        <v>1186</v>
      </c>
      <c r="C410" s="2" t="s">
        <v>53</v>
      </c>
      <c r="D410" s="2" t="s">
        <v>54</v>
      </c>
      <c r="E410" s="2" t="s">
        <v>85</v>
      </c>
      <c r="F410" s="2" t="s">
        <v>55</v>
      </c>
      <c r="G410" s="2" t="s">
        <v>70</v>
      </c>
      <c r="H410" s="2" t="s">
        <v>32</v>
      </c>
      <c r="I410" s="2">
        <v>48</v>
      </c>
      <c r="J410" s="2" t="s">
        <v>48</v>
      </c>
      <c r="K410" s="2"/>
      <c r="L410" s="2" t="s">
        <v>24</v>
      </c>
      <c r="M410" s="2"/>
      <c r="N410" s="2"/>
    </row>
    <row r="411" spans="1:14" x14ac:dyDescent="0.25">
      <c r="A411" s="2" t="s">
        <v>1187</v>
      </c>
      <c r="B411" s="2" t="s">
        <v>1188</v>
      </c>
      <c r="C411" s="2" t="s">
        <v>28</v>
      </c>
      <c r="D411" s="2" t="s">
        <v>100</v>
      </c>
      <c r="E411" s="2" t="s">
        <v>18</v>
      </c>
      <c r="F411" s="2" t="s">
        <v>39</v>
      </c>
      <c r="G411" s="2" t="s">
        <v>211</v>
      </c>
      <c r="H411" s="2" t="s">
        <v>21</v>
      </c>
      <c r="I411" s="2">
        <v>24</v>
      </c>
      <c r="J411" s="2" t="s">
        <v>48</v>
      </c>
      <c r="K411" s="2" t="s">
        <v>1189</v>
      </c>
      <c r="L411" s="2" t="s">
        <v>24</v>
      </c>
      <c r="M411" s="2"/>
      <c r="N411" s="2" t="s">
        <v>25</v>
      </c>
    </row>
    <row r="412" spans="1:14" x14ac:dyDescent="0.25">
      <c r="A412" s="2" t="s">
        <v>1190</v>
      </c>
      <c r="B412" s="2" t="s">
        <v>1191</v>
      </c>
      <c r="C412" s="2" t="s">
        <v>16</v>
      </c>
      <c r="D412" s="2" t="s">
        <v>84</v>
      </c>
      <c r="E412" s="2" t="s">
        <v>18</v>
      </c>
      <c r="F412" s="2" t="s">
        <v>30</v>
      </c>
      <c r="G412" s="2" t="s">
        <v>40</v>
      </c>
      <c r="H412" s="2" t="s">
        <v>21</v>
      </c>
      <c r="I412" s="2">
        <v>24</v>
      </c>
      <c r="J412" s="2" t="s">
        <v>155</v>
      </c>
      <c r="K412" s="2"/>
      <c r="L412" s="2" t="s">
        <v>24</v>
      </c>
      <c r="M412" s="2"/>
      <c r="N412" s="2" t="s">
        <v>25</v>
      </c>
    </row>
    <row r="413" spans="1:14" x14ac:dyDescent="0.25">
      <c r="A413" s="2" t="s">
        <v>1192</v>
      </c>
      <c r="B413" s="2" t="s">
        <v>1193</v>
      </c>
      <c r="C413" s="2" t="s">
        <v>53</v>
      </c>
      <c r="D413" s="2" t="s">
        <v>54</v>
      </c>
      <c r="E413" s="2" t="s">
        <v>46</v>
      </c>
      <c r="F413" s="2" t="s">
        <v>30</v>
      </c>
      <c r="G413" s="2" t="s">
        <v>126</v>
      </c>
      <c r="H413" s="2" t="s">
        <v>32</v>
      </c>
      <c r="I413" s="2">
        <v>48</v>
      </c>
      <c r="J413" s="2" t="s">
        <v>22</v>
      </c>
      <c r="K413" s="2" t="s">
        <v>1194</v>
      </c>
      <c r="L413" s="2" t="s">
        <v>24</v>
      </c>
      <c r="M413" s="2">
        <v>5</v>
      </c>
      <c r="N413" s="2" t="s">
        <v>43</v>
      </c>
    </row>
    <row r="414" spans="1:14" x14ac:dyDescent="0.25">
      <c r="A414" s="2" t="s">
        <v>1195</v>
      </c>
      <c r="B414" s="2" t="s">
        <v>1196</v>
      </c>
      <c r="C414" s="2" t="s">
        <v>28</v>
      </c>
      <c r="D414" s="2" t="s">
        <v>37</v>
      </c>
      <c r="E414" s="2" t="s">
        <v>18</v>
      </c>
      <c r="F414" s="2" t="s">
        <v>62</v>
      </c>
      <c r="G414" s="2" t="s">
        <v>144</v>
      </c>
      <c r="H414" s="2" t="s">
        <v>21</v>
      </c>
      <c r="I414" s="2">
        <v>24</v>
      </c>
      <c r="J414" s="2" t="s">
        <v>106</v>
      </c>
      <c r="K414" s="2" t="s">
        <v>1197</v>
      </c>
      <c r="L414" s="2" t="s">
        <v>24</v>
      </c>
      <c r="M414" s="2"/>
      <c r="N414" s="2" t="s">
        <v>43</v>
      </c>
    </row>
    <row r="415" spans="1:14" x14ac:dyDescent="0.25">
      <c r="A415" s="2" t="s">
        <v>1198</v>
      </c>
      <c r="B415" s="2" t="s">
        <v>1199</v>
      </c>
      <c r="C415" s="2" t="s">
        <v>28</v>
      </c>
      <c r="D415" s="2" t="s">
        <v>29</v>
      </c>
      <c r="E415" s="2" t="s">
        <v>90</v>
      </c>
      <c r="F415" s="2" t="s">
        <v>30</v>
      </c>
      <c r="G415" s="2" t="s">
        <v>179</v>
      </c>
      <c r="H415" s="2" t="s">
        <v>21</v>
      </c>
      <c r="I415" s="2">
        <v>24</v>
      </c>
      <c r="J415" s="2" t="s">
        <v>22</v>
      </c>
      <c r="K415" s="2" t="s">
        <v>1200</v>
      </c>
      <c r="L415" s="2" t="s">
        <v>24</v>
      </c>
      <c r="M415" s="2">
        <v>2</v>
      </c>
      <c r="N415" s="2" t="s">
        <v>43</v>
      </c>
    </row>
    <row r="416" spans="1:14" x14ac:dyDescent="0.25">
      <c r="A416" s="2" t="s">
        <v>1201</v>
      </c>
      <c r="B416" s="2" t="s">
        <v>1202</v>
      </c>
      <c r="C416" s="2" t="s">
        <v>67</v>
      </c>
      <c r="D416" s="2" t="s">
        <v>95</v>
      </c>
      <c r="E416" s="2" t="s">
        <v>46</v>
      </c>
      <c r="F416" s="2" t="s">
        <v>47</v>
      </c>
      <c r="G416" s="2" t="s">
        <v>139</v>
      </c>
      <c r="H416" s="2" t="s">
        <v>21</v>
      </c>
      <c r="I416" s="2">
        <v>24</v>
      </c>
      <c r="J416" s="2" t="s">
        <v>232</v>
      </c>
      <c r="K416" s="2"/>
      <c r="L416" s="2" t="s">
        <v>92</v>
      </c>
      <c r="M416" s="2"/>
      <c r="N416" s="2" t="s">
        <v>128</v>
      </c>
    </row>
    <row r="417" spans="1:14" x14ac:dyDescent="0.25">
      <c r="A417" s="2" t="s">
        <v>1203</v>
      </c>
      <c r="B417" s="2" t="s">
        <v>1204</v>
      </c>
      <c r="C417" s="2" t="s">
        <v>16</v>
      </c>
      <c r="D417" s="2" t="s">
        <v>84</v>
      </c>
      <c r="E417" s="2" t="s">
        <v>148</v>
      </c>
      <c r="F417" s="2" t="s">
        <v>19</v>
      </c>
      <c r="G417" s="2" t="s">
        <v>139</v>
      </c>
      <c r="H417" s="2" t="s">
        <v>32</v>
      </c>
      <c r="I417" s="2">
        <v>48</v>
      </c>
      <c r="J417" s="2" t="s">
        <v>11</v>
      </c>
      <c r="K417" s="2"/>
      <c r="L417" s="2" t="s">
        <v>92</v>
      </c>
      <c r="M417" s="2"/>
      <c r="N417" s="2" t="s">
        <v>50</v>
      </c>
    </row>
    <row r="418" spans="1:14" x14ac:dyDescent="0.25">
      <c r="A418" s="2" t="s">
        <v>1205</v>
      </c>
      <c r="B418" s="2" t="s">
        <v>1206</v>
      </c>
      <c r="C418" s="2" t="s">
        <v>16</v>
      </c>
      <c r="D418" s="2" t="s">
        <v>17</v>
      </c>
      <c r="E418" s="2" t="s">
        <v>90</v>
      </c>
      <c r="F418" s="2" t="s">
        <v>30</v>
      </c>
      <c r="G418" s="2" t="s">
        <v>179</v>
      </c>
      <c r="H418" s="2" t="s">
        <v>80</v>
      </c>
      <c r="I418" s="2">
        <v>4</v>
      </c>
      <c r="J418" s="2" t="s">
        <v>106</v>
      </c>
      <c r="K418" s="2" t="s">
        <v>1207</v>
      </c>
      <c r="L418" s="2" t="s">
        <v>24</v>
      </c>
      <c r="M418" s="2">
        <v>5</v>
      </c>
      <c r="N418" s="2" t="s">
        <v>128</v>
      </c>
    </row>
    <row r="419" spans="1:14" x14ac:dyDescent="0.25">
      <c r="A419" s="2" t="s">
        <v>1208</v>
      </c>
      <c r="B419" s="2" t="s">
        <v>1209</v>
      </c>
      <c r="C419" s="2" t="s">
        <v>28</v>
      </c>
      <c r="D419" s="2" t="s">
        <v>100</v>
      </c>
      <c r="E419" s="2" t="s">
        <v>90</v>
      </c>
      <c r="F419" s="2" t="s">
        <v>39</v>
      </c>
      <c r="G419" s="2" t="s">
        <v>110</v>
      </c>
      <c r="H419" s="2" t="s">
        <v>80</v>
      </c>
      <c r="I419" s="2">
        <v>4</v>
      </c>
      <c r="J419" s="2" t="s">
        <v>11</v>
      </c>
      <c r="K419" s="2"/>
      <c r="L419" s="2" t="s">
        <v>92</v>
      </c>
      <c r="M419" s="2"/>
      <c r="N419" s="2" t="s">
        <v>118</v>
      </c>
    </row>
    <row r="420" spans="1:14" x14ac:dyDescent="0.25">
      <c r="A420" s="2" t="s">
        <v>1210</v>
      </c>
      <c r="B420" s="2" t="s">
        <v>1211</v>
      </c>
      <c r="C420" s="2" t="s">
        <v>28</v>
      </c>
      <c r="D420" s="2" t="s">
        <v>37</v>
      </c>
      <c r="E420" s="2" t="s">
        <v>148</v>
      </c>
      <c r="F420" s="2" t="s">
        <v>113</v>
      </c>
      <c r="G420" s="2" t="s">
        <v>40</v>
      </c>
      <c r="H420" s="2" t="s">
        <v>74</v>
      </c>
      <c r="I420" s="2">
        <v>8</v>
      </c>
      <c r="J420" s="2" t="s">
        <v>75</v>
      </c>
      <c r="K420" s="2" t="s">
        <v>1212</v>
      </c>
      <c r="L420" s="2" t="s">
        <v>92</v>
      </c>
      <c r="M420" s="2">
        <v>4</v>
      </c>
      <c r="N420" s="2" t="s">
        <v>128</v>
      </c>
    </row>
    <row r="421" spans="1:14" x14ac:dyDescent="0.25">
      <c r="A421" s="2" t="s">
        <v>1213</v>
      </c>
      <c r="B421" s="2" t="s">
        <v>1214</v>
      </c>
      <c r="C421" s="2" t="s">
        <v>28</v>
      </c>
      <c r="D421" s="2" t="s">
        <v>29</v>
      </c>
      <c r="E421" s="2" t="s">
        <v>38</v>
      </c>
      <c r="F421" s="2" t="s">
        <v>96</v>
      </c>
      <c r="G421" s="2" t="s">
        <v>40</v>
      </c>
      <c r="H421" s="2" t="s">
        <v>32</v>
      </c>
      <c r="I421" s="2">
        <v>48</v>
      </c>
      <c r="J421" s="2" t="s">
        <v>41</v>
      </c>
      <c r="K421" s="2"/>
      <c r="L421" s="2" t="s">
        <v>24</v>
      </c>
      <c r="M421" s="2">
        <v>3</v>
      </c>
      <c r="N421" s="2" t="s">
        <v>43</v>
      </c>
    </row>
    <row r="422" spans="1:14" x14ac:dyDescent="0.25">
      <c r="A422" s="2" t="s">
        <v>1215</v>
      </c>
      <c r="B422" s="2" t="s">
        <v>1216</v>
      </c>
      <c r="C422" s="2" t="s">
        <v>67</v>
      </c>
      <c r="D422" s="2" t="s">
        <v>95</v>
      </c>
      <c r="E422" s="2" t="s">
        <v>90</v>
      </c>
      <c r="F422" s="2" t="s">
        <v>30</v>
      </c>
      <c r="G422" s="2" t="s">
        <v>105</v>
      </c>
      <c r="H422" s="2" t="s">
        <v>80</v>
      </c>
      <c r="I422" s="2">
        <v>4</v>
      </c>
      <c r="J422" s="2" t="s">
        <v>48</v>
      </c>
      <c r="K422" s="2" t="s">
        <v>1217</v>
      </c>
      <c r="L422" s="2" t="s">
        <v>24</v>
      </c>
      <c r="M422" s="2">
        <v>4</v>
      </c>
      <c r="N422" s="2"/>
    </row>
    <row r="423" spans="1:14" x14ac:dyDescent="0.25">
      <c r="A423" s="2" t="s">
        <v>1218</v>
      </c>
      <c r="B423" s="2" t="s">
        <v>1219</v>
      </c>
      <c r="C423" s="2" t="s">
        <v>67</v>
      </c>
      <c r="D423" s="2" t="s">
        <v>95</v>
      </c>
      <c r="E423" s="2" t="s">
        <v>85</v>
      </c>
      <c r="F423" s="2" t="s">
        <v>143</v>
      </c>
      <c r="G423" s="2" t="s">
        <v>139</v>
      </c>
      <c r="H423" s="2" t="s">
        <v>74</v>
      </c>
      <c r="I423" s="2">
        <v>8</v>
      </c>
      <c r="J423" s="2" t="s">
        <v>287</v>
      </c>
      <c r="K423" s="2"/>
      <c r="L423" s="2" t="s">
        <v>24</v>
      </c>
      <c r="M423" s="2"/>
      <c r="N423" s="2" t="s">
        <v>128</v>
      </c>
    </row>
    <row r="424" spans="1:14" x14ac:dyDescent="0.25">
      <c r="A424" s="2" t="s">
        <v>1220</v>
      </c>
      <c r="B424" s="2" t="s">
        <v>1221</v>
      </c>
      <c r="C424" s="2" t="s">
        <v>28</v>
      </c>
      <c r="D424" s="2" t="s">
        <v>37</v>
      </c>
      <c r="E424" s="2" t="s">
        <v>90</v>
      </c>
      <c r="F424" s="2" t="s">
        <v>96</v>
      </c>
      <c r="G424" s="2" t="s">
        <v>20</v>
      </c>
      <c r="H424" s="2" t="s">
        <v>21</v>
      </c>
      <c r="I424" s="2">
        <v>24</v>
      </c>
      <c r="J424" s="2" t="s">
        <v>106</v>
      </c>
      <c r="K424" s="2" t="s">
        <v>1222</v>
      </c>
      <c r="L424" s="2" t="s">
        <v>24</v>
      </c>
      <c r="M424" s="2"/>
      <c r="N424" s="2" t="s">
        <v>25</v>
      </c>
    </row>
    <row r="425" spans="1:14" x14ac:dyDescent="0.25">
      <c r="A425" s="2" t="s">
        <v>1223</v>
      </c>
      <c r="B425" s="2" t="s">
        <v>1224</v>
      </c>
      <c r="C425" s="2" t="s">
        <v>53</v>
      </c>
      <c r="D425" s="2" t="s">
        <v>61</v>
      </c>
      <c r="E425" s="2" t="s">
        <v>79</v>
      </c>
      <c r="F425" s="2" t="s">
        <v>69</v>
      </c>
      <c r="G425" s="2" t="s">
        <v>121</v>
      </c>
      <c r="H425" s="2" t="s">
        <v>21</v>
      </c>
      <c r="I425" s="2">
        <v>24</v>
      </c>
      <c r="J425" s="2" t="s">
        <v>22</v>
      </c>
      <c r="K425" s="2" t="s">
        <v>1225</v>
      </c>
      <c r="L425" s="2" t="s">
        <v>24</v>
      </c>
      <c r="M425" s="2">
        <v>3</v>
      </c>
      <c r="N425" s="2" t="s">
        <v>64</v>
      </c>
    </row>
    <row r="426" spans="1:14" x14ac:dyDescent="0.25">
      <c r="A426" s="2" t="s">
        <v>1226</v>
      </c>
      <c r="B426" s="2" t="s">
        <v>1227</v>
      </c>
      <c r="C426" s="2" t="s">
        <v>28</v>
      </c>
      <c r="D426" s="2" t="s">
        <v>37</v>
      </c>
      <c r="E426" s="2" t="s">
        <v>90</v>
      </c>
      <c r="F426" s="2" t="s">
        <v>19</v>
      </c>
      <c r="G426" s="2" t="s">
        <v>211</v>
      </c>
      <c r="H426" s="2" t="s">
        <v>32</v>
      </c>
      <c r="I426" s="2">
        <v>48</v>
      </c>
      <c r="J426" s="2" t="s">
        <v>22</v>
      </c>
      <c r="K426" s="2" t="s">
        <v>1228</v>
      </c>
      <c r="L426" s="2" t="s">
        <v>24</v>
      </c>
      <c r="M426" s="2"/>
      <c r="N426" s="2" t="s">
        <v>128</v>
      </c>
    </row>
    <row r="427" spans="1:14" x14ac:dyDescent="0.25">
      <c r="A427" s="2" t="s">
        <v>1229</v>
      </c>
      <c r="B427" s="2" t="s">
        <v>1230</v>
      </c>
      <c r="C427" s="2" t="s">
        <v>16</v>
      </c>
      <c r="D427" s="2" t="s">
        <v>84</v>
      </c>
      <c r="E427" s="2" t="s">
        <v>18</v>
      </c>
      <c r="F427" s="2" t="s">
        <v>62</v>
      </c>
      <c r="G427" s="2" t="s">
        <v>183</v>
      </c>
      <c r="H427" s="2" t="s">
        <v>21</v>
      </c>
      <c r="I427" s="2">
        <v>24</v>
      </c>
      <c r="J427" s="2" t="s">
        <v>56</v>
      </c>
      <c r="K427" s="2" t="s">
        <v>1231</v>
      </c>
      <c r="L427" s="2" t="s">
        <v>24</v>
      </c>
      <c r="M427" s="2"/>
      <c r="N427" s="2"/>
    </row>
    <row r="428" spans="1:14" x14ac:dyDescent="0.25">
      <c r="A428" s="2" t="s">
        <v>1232</v>
      </c>
      <c r="B428" s="2" t="s">
        <v>1233</v>
      </c>
      <c r="C428" s="2" t="s">
        <v>67</v>
      </c>
      <c r="D428" s="2" t="s">
        <v>68</v>
      </c>
      <c r="E428" s="2" t="s">
        <v>18</v>
      </c>
      <c r="F428" s="2" t="s">
        <v>30</v>
      </c>
      <c r="G428" s="2" t="s">
        <v>101</v>
      </c>
      <c r="H428" s="2" t="s">
        <v>32</v>
      </c>
      <c r="I428" s="2">
        <v>48</v>
      </c>
      <c r="J428" s="2" t="s">
        <v>149</v>
      </c>
      <c r="K428" s="2"/>
      <c r="L428" s="2" t="s">
        <v>24</v>
      </c>
      <c r="M428" s="2"/>
      <c r="N428" s="2" t="s">
        <v>118</v>
      </c>
    </row>
    <row r="429" spans="1:14" x14ac:dyDescent="0.25">
      <c r="A429" s="2" t="s">
        <v>1234</v>
      </c>
      <c r="B429" s="2" t="s">
        <v>1235</v>
      </c>
      <c r="C429" s="2" t="s">
        <v>16</v>
      </c>
      <c r="D429" s="2" t="s">
        <v>84</v>
      </c>
      <c r="E429" s="2" t="s">
        <v>148</v>
      </c>
      <c r="F429" s="2" t="s">
        <v>69</v>
      </c>
      <c r="G429" s="2" t="s">
        <v>144</v>
      </c>
      <c r="H429" s="2" t="s">
        <v>32</v>
      </c>
      <c r="I429" s="2">
        <v>48</v>
      </c>
      <c r="J429" s="2" t="s">
        <v>106</v>
      </c>
      <c r="K429" s="2" t="s">
        <v>1236</v>
      </c>
      <c r="L429" s="2" t="s">
        <v>24</v>
      </c>
      <c r="M429" s="2">
        <v>4</v>
      </c>
      <c r="N429" s="2" t="s">
        <v>58</v>
      </c>
    </row>
    <row r="430" spans="1:14" x14ac:dyDescent="0.25">
      <c r="A430" s="2" t="s">
        <v>1237</v>
      </c>
      <c r="B430" s="2" t="s">
        <v>1238</v>
      </c>
      <c r="C430" s="2" t="s">
        <v>67</v>
      </c>
      <c r="D430" s="2" t="s">
        <v>68</v>
      </c>
      <c r="E430" s="2" t="s">
        <v>46</v>
      </c>
      <c r="F430" s="2" t="s">
        <v>69</v>
      </c>
      <c r="G430" s="2" t="s">
        <v>211</v>
      </c>
      <c r="H430" s="2" t="s">
        <v>21</v>
      </c>
      <c r="I430" s="2">
        <v>24</v>
      </c>
      <c r="J430" s="2" t="s">
        <v>187</v>
      </c>
      <c r="K430" s="2" t="s">
        <v>1239</v>
      </c>
      <c r="L430" s="2" t="s">
        <v>24</v>
      </c>
      <c r="M430" s="2">
        <v>1</v>
      </c>
      <c r="N430" s="2" t="s">
        <v>25</v>
      </c>
    </row>
    <row r="431" spans="1:14" x14ac:dyDescent="0.25">
      <c r="A431" s="2" t="s">
        <v>1240</v>
      </c>
      <c r="B431" s="2" t="s">
        <v>1241</v>
      </c>
      <c r="C431" s="2" t="s">
        <v>53</v>
      </c>
      <c r="D431" s="2" t="s">
        <v>61</v>
      </c>
      <c r="E431" s="2" t="s">
        <v>46</v>
      </c>
      <c r="F431" s="2" t="s">
        <v>55</v>
      </c>
      <c r="G431" s="2" t="s">
        <v>91</v>
      </c>
      <c r="H431" s="2" t="s">
        <v>32</v>
      </c>
      <c r="I431" s="2">
        <v>48</v>
      </c>
      <c r="J431" s="2" t="s">
        <v>106</v>
      </c>
      <c r="K431" s="2" t="s">
        <v>1242</v>
      </c>
      <c r="L431" s="2" t="s">
        <v>24</v>
      </c>
      <c r="M431" s="2"/>
      <c r="N431" s="2" t="s">
        <v>58</v>
      </c>
    </row>
    <row r="432" spans="1:14" x14ac:dyDescent="0.25">
      <c r="A432" s="2" t="s">
        <v>1243</v>
      </c>
      <c r="B432" s="2" t="s">
        <v>1244</v>
      </c>
      <c r="C432" s="2" t="s">
        <v>16</v>
      </c>
      <c r="D432" s="2" t="s">
        <v>84</v>
      </c>
      <c r="E432" s="2" t="s">
        <v>46</v>
      </c>
      <c r="F432" s="2" t="s">
        <v>19</v>
      </c>
      <c r="G432" s="2" t="s">
        <v>135</v>
      </c>
      <c r="H432" s="2" t="s">
        <v>74</v>
      </c>
      <c r="I432" s="2">
        <v>8</v>
      </c>
      <c r="J432" s="2" t="s">
        <v>22</v>
      </c>
      <c r="K432" s="2" t="s">
        <v>1245</v>
      </c>
      <c r="L432" s="2" t="s">
        <v>24</v>
      </c>
      <c r="M432" s="2"/>
      <c r="N432" s="2" t="s">
        <v>50</v>
      </c>
    </row>
    <row r="433" spans="1:14" x14ac:dyDescent="0.25">
      <c r="A433" s="2" t="s">
        <v>1246</v>
      </c>
      <c r="B433" s="2" t="s">
        <v>1247</v>
      </c>
      <c r="C433" s="2" t="s">
        <v>28</v>
      </c>
      <c r="D433" s="2" t="s">
        <v>100</v>
      </c>
      <c r="E433" s="2" t="s">
        <v>90</v>
      </c>
      <c r="F433" s="2" t="s">
        <v>39</v>
      </c>
      <c r="G433" s="2" t="s">
        <v>105</v>
      </c>
      <c r="H433" s="2" t="s">
        <v>21</v>
      </c>
      <c r="I433" s="2">
        <v>24</v>
      </c>
      <c r="J433" s="2" t="s">
        <v>41</v>
      </c>
      <c r="K433" s="2" t="s">
        <v>1248</v>
      </c>
      <c r="L433" s="2" t="s">
        <v>24</v>
      </c>
      <c r="M433" s="2">
        <v>4</v>
      </c>
      <c r="N433" s="2" t="s">
        <v>50</v>
      </c>
    </row>
    <row r="434" spans="1:14" x14ac:dyDescent="0.25">
      <c r="A434" s="2" t="s">
        <v>1249</v>
      </c>
      <c r="B434" s="2" t="s">
        <v>1250</v>
      </c>
      <c r="C434" s="2" t="s">
        <v>16</v>
      </c>
      <c r="D434" s="2" t="s">
        <v>84</v>
      </c>
      <c r="E434" s="2" t="s">
        <v>38</v>
      </c>
      <c r="F434" s="2" t="s">
        <v>30</v>
      </c>
      <c r="G434" s="2" t="s">
        <v>70</v>
      </c>
      <c r="H434" s="2" t="s">
        <v>74</v>
      </c>
      <c r="I434" s="2">
        <v>8</v>
      </c>
      <c r="J434" s="2" t="s">
        <v>117</v>
      </c>
      <c r="K434" s="2"/>
      <c r="L434" s="2" t="s">
        <v>24</v>
      </c>
      <c r="M434" s="2"/>
      <c r="N434" s="2" t="s">
        <v>128</v>
      </c>
    </row>
    <row r="435" spans="1:14" x14ac:dyDescent="0.25">
      <c r="A435" s="2" t="s">
        <v>1251</v>
      </c>
      <c r="B435" s="2" t="s">
        <v>1252</v>
      </c>
      <c r="C435" s="2" t="s">
        <v>67</v>
      </c>
      <c r="D435" s="2" t="s">
        <v>95</v>
      </c>
      <c r="E435" s="2" t="s">
        <v>46</v>
      </c>
      <c r="F435" s="2" t="s">
        <v>131</v>
      </c>
      <c r="G435" s="2" t="s">
        <v>101</v>
      </c>
      <c r="H435" s="2" t="s">
        <v>80</v>
      </c>
      <c r="I435" s="2">
        <v>4</v>
      </c>
      <c r="J435" s="2" t="s">
        <v>106</v>
      </c>
      <c r="K435" s="2" t="s">
        <v>1253</v>
      </c>
      <c r="L435" s="2" t="s">
        <v>24</v>
      </c>
      <c r="M435" s="2"/>
      <c r="N435" s="2" t="s">
        <v>43</v>
      </c>
    </row>
    <row r="436" spans="1:14" x14ac:dyDescent="0.25">
      <c r="A436" s="2" t="s">
        <v>1254</v>
      </c>
      <c r="B436" s="2" t="s">
        <v>1255</v>
      </c>
      <c r="C436" s="2" t="s">
        <v>53</v>
      </c>
      <c r="D436" s="2" t="s">
        <v>54</v>
      </c>
      <c r="E436" s="2" t="s">
        <v>79</v>
      </c>
      <c r="F436" s="2" t="s">
        <v>55</v>
      </c>
      <c r="G436" s="2" t="s">
        <v>40</v>
      </c>
      <c r="H436" s="2" t="s">
        <v>74</v>
      </c>
      <c r="I436" s="2">
        <v>8</v>
      </c>
      <c r="J436" s="2" t="s">
        <v>75</v>
      </c>
      <c r="K436" s="2" t="s">
        <v>1256</v>
      </c>
      <c r="L436" s="2" t="s">
        <v>24</v>
      </c>
      <c r="M436" s="2">
        <v>2</v>
      </c>
      <c r="N436" s="2"/>
    </row>
    <row r="437" spans="1:14" x14ac:dyDescent="0.25">
      <c r="A437" s="2" t="s">
        <v>1257</v>
      </c>
      <c r="B437" s="2" t="s">
        <v>1258</v>
      </c>
      <c r="C437" s="2" t="s">
        <v>16</v>
      </c>
      <c r="D437" s="2" t="s">
        <v>17</v>
      </c>
      <c r="E437" s="2" t="s">
        <v>46</v>
      </c>
      <c r="F437" s="2" t="s">
        <v>69</v>
      </c>
      <c r="G437" s="2" t="s">
        <v>31</v>
      </c>
      <c r="H437" s="2" t="s">
        <v>80</v>
      </c>
      <c r="I437" s="2">
        <v>4</v>
      </c>
      <c r="J437" s="2" t="s">
        <v>106</v>
      </c>
      <c r="K437" s="2" t="s">
        <v>1259</v>
      </c>
      <c r="L437" s="2" t="s">
        <v>24</v>
      </c>
      <c r="M437" s="2">
        <v>5</v>
      </c>
      <c r="N437" s="2" t="s">
        <v>64</v>
      </c>
    </row>
    <row r="438" spans="1:14" x14ac:dyDescent="0.25">
      <c r="A438" s="2" t="s">
        <v>1260</v>
      </c>
      <c r="B438" s="2" t="s">
        <v>1261</v>
      </c>
      <c r="C438" s="2" t="s">
        <v>53</v>
      </c>
      <c r="D438" s="2" t="s">
        <v>54</v>
      </c>
      <c r="E438" s="2" t="s">
        <v>46</v>
      </c>
      <c r="F438" s="2" t="s">
        <v>30</v>
      </c>
      <c r="G438" s="2" t="s">
        <v>135</v>
      </c>
      <c r="H438" s="2" t="s">
        <v>32</v>
      </c>
      <c r="I438" s="2">
        <v>48</v>
      </c>
      <c r="J438" s="2" t="s">
        <v>22</v>
      </c>
      <c r="K438" s="2"/>
      <c r="L438" s="2" t="s">
        <v>24</v>
      </c>
      <c r="M438" s="2">
        <v>4</v>
      </c>
      <c r="N438" s="2" t="s">
        <v>50</v>
      </c>
    </row>
    <row r="439" spans="1:14" x14ac:dyDescent="0.25">
      <c r="A439" s="2" t="s">
        <v>1262</v>
      </c>
      <c r="B439" s="2" t="s">
        <v>1263</v>
      </c>
      <c r="C439" s="2" t="s">
        <v>16</v>
      </c>
      <c r="D439" s="2" t="s">
        <v>17</v>
      </c>
      <c r="E439" s="2" t="s">
        <v>148</v>
      </c>
      <c r="F439" s="2" t="s">
        <v>30</v>
      </c>
      <c r="G439" s="2" t="s">
        <v>97</v>
      </c>
      <c r="H439" s="2" t="s">
        <v>21</v>
      </c>
      <c r="I439" s="2">
        <v>24</v>
      </c>
      <c r="J439" s="2" t="s">
        <v>200</v>
      </c>
      <c r="K439" s="2"/>
      <c r="L439" s="2" t="s">
        <v>92</v>
      </c>
      <c r="M439" s="2"/>
      <c r="N439" s="2" t="s">
        <v>34</v>
      </c>
    </row>
    <row r="440" spans="1:14" x14ac:dyDescent="0.25">
      <c r="A440" s="2" t="s">
        <v>1264</v>
      </c>
      <c r="B440" s="2" t="s">
        <v>1265</v>
      </c>
      <c r="C440" s="2" t="s">
        <v>16</v>
      </c>
      <c r="D440" s="2" t="s">
        <v>17</v>
      </c>
      <c r="E440" s="2" t="s">
        <v>18</v>
      </c>
      <c r="F440" s="2" t="s">
        <v>47</v>
      </c>
      <c r="G440" s="2" t="s">
        <v>70</v>
      </c>
      <c r="H440" s="2" t="s">
        <v>21</v>
      </c>
      <c r="I440" s="2">
        <v>24</v>
      </c>
      <c r="J440" s="2" t="s">
        <v>41</v>
      </c>
      <c r="K440" s="2" t="s">
        <v>1266</v>
      </c>
      <c r="L440" s="2" t="s">
        <v>24</v>
      </c>
      <c r="M440" s="2">
        <v>5</v>
      </c>
      <c r="N440" s="2" t="s">
        <v>50</v>
      </c>
    </row>
    <row r="441" spans="1:14" x14ac:dyDescent="0.25">
      <c r="A441" s="2" t="s">
        <v>1267</v>
      </c>
      <c r="B441" s="2" t="s">
        <v>1268</v>
      </c>
      <c r="C441" s="2" t="s">
        <v>16</v>
      </c>
      <c r="D441" s="2" t="s">
        <v>84</v>
      </c>
      <c r="E441" s="2" t="s">
        <v>148</v>
      </c>
      <c r="F441" s="2" t="s">
        <v>55</v>
      </c>
      <c r="G441" s="2" t="s">
        <v>158</v>
      </c>
      <c r="H441" s="2" t="s">
        <v>32</v>
      </c>
      <c r="I441" s="2">
        <v>48</v>
      </c>
      <c r="J441" s="2" t="s">
        <v>155</v>
      </c>
      <c r="K441" s="2"/>
      <c r="L441" s="2" t="s">
        <v>92</v>
      </c>
      <c r="M441" s="2"/>
      <c r="N441" s="2" t="s">
        <v>64</v>
      </c>
    </row>
    <row r="442" spans="1:14" x14ac:dyDescent="0.25">
      <c r="A442" s="2" t="s">
        <v>1269</v>
      </c>
      <c r="B442" s="2" t="s">
        <v>1270</v>
      </c>
      <c r="C442" s="2" t="s">
        <v>16</v>
      </c>
      <c r="D442" s="2" t="s">
        <v>17</v>
      </c>
      <c r="E442" s="2" t="s">
        <v>148</v>
      </c>
      <c r="F442" s="2" t="s">
        <v>69</v>
      </c>
      <c r="G442" s="2" t="s">
        <v>105</v>
      </c>
      <c r="H442" s="2" t="s">
        <v>21</v>
      </c>
      <c r="I442" s="2">
        <v>24</v>
      </c>
      <c r="J442" s="2" t="s">
        <v>232</v>
      </c>
      <c r="K442" s="2"/>
      <c r="L442" s="2" t="s">
        <v>92</v>
      </c>
      <c r="M442" s="2"/>
      <c r="N442" s="2" t="s">
        <v>43</v>
      </c>
    </row>
    <row r="443" spans="1:14" x14ac:dyDescent="0.25">
      <c r="A443" s="2" t="s">
        <v>1271</v>
      </c>
      <c r="B443" s="2" t="s">
        <v>1272</v>
      </c>
      <c r="C443" s="2" t="s">
        <v>67</v>
      </c>
      <c r="D443" s="2" t="s">
        <v>95</v>
      </c>
      <c r="E443" s="2" t="s">
        <v>90</v>
      </c>
      <c r="F443" s="2" t="s">
        <v>125</v>
      </c>
      <c r="G443" s="2" t="s">
        <v>121</v>
      </c>
      <c r="H443" s="2" t="s">
        <v>74</v>
      </c>
      <c r="I443" s="2">
        <v>8</v>
      </c>
      <c r="J443" s="2" t="s">
        <v>287</v>
      </c>
      <c r="K443" s="2"/>
      <c r="L443" s="2" t="s">
        <v>24</v>
      </c>
      <c r="M443" s="2"/>
      <c r="N443" s="2" t="s">
        <v>128</v>
      </c>
    </row>
    <row r="444" spans="1:14" x14ac:dyDescent="0.25">
      <c r="A444" s="2" t="s">
        <v>1273</v>
      </c>
      <c r="B444" s="2" t="s">
        <v>1274</v>
      </c>
      <c r="C444" s="2" t="s">
        <v>67</v>
      </c>
      <c r="D444" s="2" t="s">
        <v>68</v>
      </c>
      <c r="E444" s="2" t="s">
        <v>38</v>
      </c>
      <c r="F444" s="2" t="s">
        <v>62</v>
      </c>
      <c r="G444" s="2" t="s">
        <v>101</v>
      </c>
      <c r="H444" s="2" t="s">
        <v>21</v>
      </c>
      <c r="I444" s="2">
        <v>24</v>
      </c>
      <c r="J444" s="2" t="s">
        <v>75</v>
      </c>
      <c r="K444" s="2" t="s">
        <v>1275</v>
      </c>
      <c r="L444" s="2" t="s">
        <v>24</v>
      </c>
      <c r="M444" s="2">
        <v>5</v>
      </c>
      <c r="N444" s="2" t="s">
        <v>118</v>
      </c>
    </row>
    <row r="445" spans="1:14" x14ac:dyDescent="0.25">
      <c r="A445" s="2" t="s">
        <v>1276</v>
      </c>
      <c r="B445" s="2" t="s">
        <v>1277</v>
      </c>
      <c r="C445" s="2" t="s">
        <v>53</v>
      </c>
      <c r="D445" s="2" t="s">
        <v>54</v>
      </c>
      <c r="E445" s="2" t="s">
        <v>46</v>
      </c>
      <c r="F445" s="2" t="s">
        <v>96</v>
      </c>
      <c r="G445" s="2" t="s">
        <v>179</v>
      </c>
      <c r="H445" s="2" t="s">
        <v>32</v>
      </c>
      <c r="I445" s="2">
        <v>48</v>
      </c>
      <c r="J445" s="2" t="s">
        <v>48</v>
      </c>
      <c r="K445" s="2" t="s">
        <v>1278</v>
      </c>
      <c r="L445" s="2" t="s">
        <v>24</v>
      </c>
      <c r="M445" s="2">
        <v>1</v>
      </c>
      <c r="N445" s="2" t="s">
        <v>118</v>
      </c>
    </row>
    <row r="446" spans="1:14" x14ac:dyDescent="0.25">
      <c r="A446" s="2" t="s">
        <v>1279</v>
      </c>
      <c r="B446" s="2" t="s">
        <v>1280</v>
      </c>
      <c r="C446" s="2" t="s">
        <v>53</v>
      </c>
      <c r="D446" s="2" t="s">
        <v>771</v>
      </c>
      <c r="E446" s="2" t="s">
        <v>90</v>
      </c>
      <c r="F446" s="2" t="s">
        <v>39</v>
      </c>
      <c r="G446" s="2" t="s">
        <v>31</v>
      </c>
      <c r="H446" s="2" t="s">
        <v>21</v>
      </c>
      <c r="I446" s="2">
        <v>24</v>
      </c>
      <c r="J446" s="2" t="s">
        <v>106</v>
      </c>
      <c r="K446" s="2" t="s">
        <v>1281</v>
      </c>
      <c r="L446" s="2" t="s">
        <v>24</v>
      </c>
      <c r="M446" s="2">
        <v>2</v>
      </c>
      <c r="N446" s="2"/>
    </row>
    <row r="447" spans="1:14" x14ac:dyDescent="0.25">
      <c r="A447" s="2" t="s">
        <v>1282</v>
      </c>
      <c r="B447" s="2" t="s">
        <v>1283</v>
      </c>
      <c r="C447" s="2" t="s">
        <v>28</v>
      </c>
      <c r="D447" s="2" t="s">
        <v>37</v>
      </c>
      <c r="E447" s="2" t="s">
        <v>46</v>
      </c>
      <c r="F447" s="2" t="s">
        <v>113</v>
      </c>
      <c r="G447" s="2" t="s">
        <v>97</v>
      </c>
      <c r="H447" s="2" t="s">
        <v>21</v>
      </c>
      <c r="I447" s="2">
        <v>24</v>
      </c>
      <c r="J447" s="2" t="s">
        <v>48</v>
      </c>
      <c r="K447" s="2" t="s">
        <v>1284</v>
      </c>
      <c r="L447" s="2" t="s">
        <v>24</v>
      </c>
      <c r="M447" s="2">
        <v>4</v>
      </c>
      <c r="N447" s="2" t="s">
        <v>118</v>
      </c>
    </row>
    <row r="448" spans="1:14" x14ac:dyDescent="0.25">
      <c r="A448" s="2" t="s">
        <v>1285</v>
      </c>
      <c r="B448" s="2" t="s">
        <v>1286</v>
      </c>
      <c r="C448" s="2" t="s">
        <v>16</v>
      </c>
      <c r="D448" s="2" t="s">
        <v>84</v>
      </c>
      <c r="E448" s="2" t="s">
        <v>148</v>
      </c>
      <c r="F448" s="2" t="s">
        <v>55</v>
      </c>
      <c r="G448" s="2" t="s">
        <v>101</v>
      </c>
      <c r="H448" s="2" t="s">
        <v>74</v>
      </c>
      <c r="I448" s="2">
        <v>8</v>
      </c>
      <c r="J448" s="2" t="s">
        <v>106</v>
      </c>
      <c r="K448" s="2" t="s">
        <v>1287</v>
      </c>
      <c r="L448" s="2" t="s">
        <v>24</v>
      </c>
      <c r="M448" s="2"/>
      <c r="N448" s="2" t="s">
        <v>43</v>
      </c>
    </row>
    <row r="449" spans="1:14" x14ac:dyDescent="0.25">
      <c r="A449" s="2" t="s">
        <v>1288</v>
      </c>
      <c r="B449" s="2" t="s">
        <v>1289</v>
      </c>
      <c r="C449" s="2" t="s">
        <v>67</v>
      </c>
      <c r="D449" s="2" t="s">
        <v>95</v>
      </c>
      <c r="E449" s="2" t="s">
        <v>38</v>
      </c>
      <c r="F449" s="2" t="s">
        <v>125</v>
      </c>
      <c r="G449" s="2" t="s">
        <v>211</v>
      </c>
      <c r="H449" s="2" t="s">
        <v>74</v>
      </c>
      <c r="I449" s="2">
        <v>8</v>
      </c>
      <c r="J449" s="2" t="s">
        <v>149</v>
      </c>
      <c r="K449" s="2"/>
      <c r="L449" s="2" t="s">
        <v>24</v>
      </c>
      <c r="M449" s="2"/>
      <c r="N449" s="2" t="s">
        <v>34</v>
      </c>
    </row>
    <row r="450" spans="1:14" x14ac:dyDescent="0.25">
      <c r="A450" s="2" t="s">
        <v>1290</v>
      </c>
      <c r="B450" s="2" t="s">
        <v>1291</v>
      </c>
      <c r="C450" s="2" t="s">
        <v>28</v>
      </c>
      <c r="D450" s="2" t="s">
        <v>37</v>
      </c>
      <c r="E450" s="2" t="s">
        <v>85</v>
      </c>
      <c r="F450" s="2" t="s">
        <v>39</v>
      </c>
      <c r="G450" s="2" t="s">
        <v>126</v>
      </c>
      <c r="H450" s="2" t="s">
        <v>74</v>
      </c>
      <c r="I450" s="2">
        <v>8</v>
      </c>
      <c r="J450" s="2" t="s">
        <v>106</v>
      </c>
      <c r="K450" s="2" t="s">
        <v>1292</v>
      </c>
      <c r="L450" s="2" t="s">
        <v>24</v>
      </c>
      <c r="M450" s="2">
        <v>4</v>
      </c>
      <c r="N450" s="2"/>
    </row>
    <row r="451" spans="1:14" x14ac:dyDescent="0.25">
      <c r="A451" s="2" t="s">
        <v>1293</v>
      </c>
      <c r="B451" s="2" t="s">
        <v>1294</v>
      </c>
      <c r="C451" s="2" t="s">
        <v>53</v>
      </c>
      <c r="D451" s="2" t="s">
        <v>61</v>
      </c>
      <c r="E451" s="2" t="s">
        <v>38</v>
      </c>
      <c r="F451" s="2" t="s">
        <v>62</v>
      </c>
      <c r="G451" s="2" t="s">
        <v>179</v>
      </c>
      <c r="H451" s="2" t="s">
        <v>21</v>
      </c>
      <c r="I451" s="2">
        <v>24</v>
      </c>
      <c r="J451" s="2" t="s">
        <v>187</v>
      </c>
      <c r="K451" s="2" t="s">
        <v>1295</v>
      </c>
      <c r="L451" s="2" t="s">
        <v>24</v>
      </c>
      <c r="M451" s="2"/>
      <c r="N451" s="2" t="s">
        <v>34</v>
      </c>
    </row>
    <row r="452" spans="1:14" x14ac:dyDescent="0.25">
      <c r="A452" s="2" t="s">
        <v>1296</v>
      </c>
      <c r="B452" s="2" t="s">
        <v>1297</v>
      </c>
      <c r="C452" s="2" t="s">
        <v>28</v>
      </c>
      <c r="D452" s="2" t="s">
        <v>37</v>
      </c>
      <c r="E452" s="2" t="s">
        <v>46</v>
      </c>
      <c r="F452" s="2" t="s">
        <v>30</v>
      </c>
      <c r="G452" s="2" t="s">
        <v>139</v>
      </c>
      <c r="H452" s="2" t="s">
        <v>21</v>
      </c>
      <c r="I452" s="2">
        <v>24</v>
      </c>
      <c r="J452" s="2" t="s">
        <v>287</v>
      </c>
      <c r="K452" s="2"/>
      <c r="L452" s="2" t="s">
        <v>92</v>
      </c>
      <c r="M452" s="2"/>
      <c r="N452" s="2"/>
    </row>
    <row r="453" spans="1:14" x14ac:dyDescent="0.25">
      <c r="A453" s="2" t="s">
        <v>1298</v>
      </c>
      <c r="B453" s="2" t="s">
        <v>1299</v>
      </c>
      <c r="C453" s="2" t="s">
        <v>67</v>
      </c>
      <c r="D453" s="2" t="s">
        <v>68</v>
      </c>
      <c r="E453" s="2" t="s">
        <v>38</v>
      </c>
      <c r="F453" s="2" t="s">
        <v>19</v>
      </c>
      <c r="G453" s="2" t="s">
        <v>40</v>
      </c>
      <c r="H453" s="2" t="s">
        <v>80</v>
      </c>
      <c r="I453" s="2">
        <v>4</v>
      </c>
      <c r="J453" s="2" t="s">
        <v>41</v>
      </c>
      <c r="K453" s="2" t="s">
        <v>1300</v>
      </c>
      <c r="L453" s="2" t="s">
        <v>24</v>
      </c>
      <c r="M453" s="2">
        <v>4</v>
      </c>
      <c r="N453" s="2" t="s">
        <v>64</v>
      </c>
    </row>
    <row r="454" spans="1:14" x14ac:dyDescent="0.25">
      <c r="A454" s="2" t="s">
        <v>1301</v>
      </c>
      <c r="B454" s="2" t="s">
        <v>1302</v>
      </c>
      <c r="C454" s="2" t="s">
        <v>28</v>
      </c>
      <c r="D454" s="2" t="s">
        <v>37</v>
      </c>
      <c r="E454" s="2" t="s">
        <v>90</v>
      </c>
      <c r="F454" s="2" t="s">
        <v>113</v>
      </c>
      <c r="G454" s="2" t="s">
        <v>183</v>
      </c>
      <c r="H454" s="2" t="s">
        <v>21</v>
      </c>
      <c r="I454" s="2">
        <v>24</v>
      </c>
      <c r="J454" s="2" t="s">
        <v>191</v>
      </c>
      <c r="K454" s="2" t="s">
        <v>1303</v>
      </c>
      <c r="L454" s="2" t="s">
        <v>24</v>
      </c>
      <c r="M454" s="2"/>
      <c r="N454" s="2" t="s">
        <v>34</v>
      </c>
    </row>
    <row r="455" spans="1:14" x14ac:dyDescent="0.25">
      <c r="A455" s="2" t="s">
        <v>1304</v>
      </c>
      <c r="B455" s="2" t="s">
        <v>1305</v>
      </c>
      <c r="C455" s="2" t="s">
        <v>67</v>
      </c>
      <c r="D455" s="2" t="s">
        <v>68</v>
      </c>
      <c r="E455" s="2" t="s">
        <v>90</v>
      </c>
      <c r="F455" s="2" t="s">
        <v>125</v>
      </c>
      <c r="G455" s="2" t="s">
        <v>20</v>
      </c>
      <c r="H455" s="2" t="s">
        <v>32</v>
      </c>
      <c r="I455" s="2">
        <v>48</v>
      </c>
      <c r="J455" s="2" t="s">
        <v>287</v>
      </c>
      <c r="K455" s="2"/>
      <c r="L455" s="2" t="s">
        <v>24</v>
      </c>
      <c r="M455" s="2"/>
      <c r="N455" s="2" t="s">
        <v>64</v>
      </c>
    </row>
    <row r="456" spans="1:14" x14ac:dyDescent="0.25">
      <c r="A456" s="2" t="s">
        <v>1306</v>
      </c>
      <c r="B456" s="2" t="s">
        <v>1307</v>
      </c>
      <c r="C456" s="2" t="s">
        <v>28</v>
      </c>
      <c r="D456" s="2" t="s">
        <v>37</v>
      </c>
      <c r="E456" s="2" t="s">
        <v>90</v>
      </c>
      <c r="F456" s="2" t="s">
        <v>47</v>
      </c>
      <c r="G456" s="2" t="s">
        <v>20</v>
      </c>
      <c r="H456" s="2" t="s">
        <v>32</v>
      </c>
      <c r="I456" s="2">
        <v>48</v>
      </c>
      <c r="J456" s="2" t="s">
        <v>149</v>
      </c>
      <c r="K456" s="2"/>
      <c r="L456" s="2" t="s">
        <v>24</v>
      </c>
      <c r="M456" s="2"/>
      <c r="N456" s="2" t="s">
        <v>118</v>
      </c>
    </row>
    <row r="457" spans="1:14" x14ac:dyDescent="0.25">
      <c r="A457" s="2" t="s">
        <v>1308</v>
      </c>
      <c r="B457" s="2" t="s">
        <v>1309</v>
      </c>
      <c r="C457" s="2" t="s">
        <v>16</v>
      </c>
      <c r="D457" s="2" t="s">
        <v>17</v>
      </c>
      <c r="E457" s="2" t="s">
        <v>38</v>
      </c>
      <c r="F457" s="2" t="s">
        <v>69</v>
      </c>
      <c r="G457" s="2" t="s">
        <v>31</v>
      </c>
      <c r="H457" s="2" t="s">
        <v>32</v>
      </c>
      <c r="I457" s="2">
        <v>48</v>
      </c>
      <c r="J457" s="2" t="s">
        <v>22</v>
      </c>
      <c r="K457" s="2" t="s">
        <v>1310</v>
      </c>
      <c r="L457" s="2" t="s">
        <v>24</v>
      </c>
      <c r="M457" s="2">
        <v>5</v>
      </c>
      <c r="N457" s="2" t="s">
        <v>25</v>
      </c>
    </row>
    <row r="458" spans="1:14" x14ac:dyDescent="0.25">
      <c r="A458" s="2" t="s">
        <v>1311</v>
      </c>
      <c r="B458" s="2" t="s">
        <v>1312</v>
      </c>
      <c r="C458" s="2" t="s">
        <v>53</v>
      </c>
      <c r="D458" s="2" t="s">
        <v>54</v>
      </c>
      <c r="E458" s="2" t="s">
        <v>79</v>
      </c>
      <c r="F458" s="2" t="s">
        <v>143</v>
      </c>
      <c r="G458" s="2" t="s">
        <v>139</v>
      </c>
      <c r="H458" s="2" t="s">
        <v>21</v>
      </c>
      <c r="I458" s="2">
        <v>24</v>
      </c>
      <c r="J458" s="2" t="s">
        <v>48</v>
      </c>
      <c r="K458" s="2" t="s">
        <v>1313</v>
      </c>
      <c r="L458" s="2" t="s">
        <v>24</v>
      </c>
      <c r="M458" s="2">
        <v>2</v>
      </c>
      <c r="N458" s="2" t="s">
        <v>34</v>
      </c>
    </row>
    <row r="459" spans="1:14" x14ac:dyDescent="0.25">
      <c r="A459" s="2" t="s">
        <v>1314</v>
      </c>
      <c r="B459" s="2" t="s">
        <v>1315</v>
      </c>
      <c r="C459" s="2" t="s">
        <v>16</v>
      </c>
      <c r="D459" s="2" t="s">
        <v>84</v>
      </c>
      <c r="E459" s="2" t="s">
        <v>85</v>
      </c>
      <c r="F459" s="2" t="s">
        <v>113</v>
      </c>
      <c r="G459" s="2" t="s">
        <v>110</v>
      </c>
      <c r="H459" s="2" t="s">
        <v>74</v>
      </c>
      <c r="I459" s="2">
        <v>8</v>
      </c>
      <c r="J459" s="2" t="s">
        <v>41</v>
      </c>
      <c r="K459" s="2" t="s">
        <v>1316</v>
      </c>
      <c r="L459" s="2" t="s">
        <v>24</v>
      </c>
      <c r="M459" s="2">
        <v>5</v>
      </c>
      <c r="N459" s="2" t="s">
        <v>34</v>
      </c>
    </row>
    <row r="460" spans="1:14" x14ac:dyDescent="0.25">
      <c r="A460" s="2" t="s">
        <v>1317</v>
      </c>
      <c r="B460" s="2" t="s">
        <v>1318</v>
      </c>
      <c r="C460" s="2" t="s">
        <v>67</v>
      </c>
      <c r="D460" s="2" t="s">
        <v>95</v>
      </c>
      <c r="E460" s="2" t="s">
        <v>18</v>
      </c>
      <c r="F460" s="2" t="s">
        <v>131</v>
      </c>
      <c r="G460" s="2" t="s">
        <v>183</v>
      </c>
      <c r="H460" s="2" t="s">
        <v>21</v>
      </c>
      <c r="I460" s="2">
        <v>24</v>
      </c>
      <c r="J460" s="2" t="s">
        <v>232</v>
      </c>
      <c r="K460" s="2"/>
      <c r="L460" s="2" t="s">
        <v>92</v>
      </c>
      <c r="M460" s="2"/>
      <c r="N460" s="2" t="s">
        <v>43</v>
      </c>
    </row>
    <row r="461" spans="1:14" x14ac:dyDescent="0.25">
      <c r="A461" s="2" t="s">
        <v>1319</v>
      </c>
      <c r="B461" s="2" t="s">
        <v>1320</v>
      </c>
      <c r="C461" s="2" t="s">
        <v>53</v>
      </c>
      <c r="D461" s="2" t="s">
        <v>61</v>
      </c>
      <c r="E461" s="2" t="s">
        <v>148</v>
      </c>
      <c r="F461" s="2" t="s">
        <v>39</v>
      </c>
      <c r="G461" s="2" t="s">
        <v>91</v>
      </c>
      <c r="H461" s="2" t="s">
        <v>80</v>
      </c>
      <c r="I461" s="2">
        <v>4</v>
      </c>
      <c r="J461" s="2" t="s">
        <v>48</v>
      </c>
      <c r="K461" s="2" t="s">
        <v>1321</v>
      </c>
      <c r="L461" s="2" t="s">
        <v>24</v>
      </c>
      <c r="M461" s="2">
        <v>1</v>
      </c>
      <c r="N461" s="2"/>
    </row>
    <row r="462" spans="1:14" x14ac:dyDescent="0.25">
      <c r="A462" s="2" t="s">
        <v>1322</v>
      </c>
      <c r="B462" s="2" t="s">
        <v>1323</v>
      </c>
      <c r="C462" s="2" t="s">
        <v>53</v>
      </c>
      <c r="D462" s="2" t="s">
        <v>162</v>
      </c>
      <c r="E462" s="2" t="s">
        <v>46</v>
      </c>
      <c r="F462" s="2" t="s">
        <v>125</v>
      </c>
      <c r="G462" s="2" t="s">
        <v>126</v>
      </c>
      <c r="H462" s="2" t="s">
        <v>21</v>
      </c>
      <c r="I462" s="2">
        <v>24</v>
      </c>
      <c r="J462" s="2" t="s">
        <v>48</v>
      </c>
      <c r="K462" s="2" t="s">
        <v>1324</v>
      </c>
      <c r="L462" s="2" t="s">
        <v>24</v>
      </c>
      <c r="M462" s="2"/>
      <c r="N462" s="2" t="s">
        <v>128</v>
      </c>
    </row>
    <row r="463" spans="1:14" x14ac:dyDescent="0.25">
      <c r="A463" s="2" t="s">
        <v>1325</v>
      </c>
      <c r="B463" s="2" t="s">
        <v>1326</v>
      </c>
      <c r="C463" s="2" t="s">
        <v>28</v>
      </c>
      <c r="D463" s="2" t="s">
        <v>100</v>
      </c>
      <c r="E463" s="2" t="s">
        <v>85</v>
      </c>
      <c r="F463" s="2" t="s">
        <v>69</v>
      </c>
      <c r="G463" s="2" t="s">
        <v>70</v>
      </c>
      <c r="H463" s="2" t="s">
        <v>21</v>
      </c>
      <c r="I463" s="2">
        <v>24</v>
      </c>
      <c r="J463" s="2" t="s">
        <v>149</v>
      </c>
      <c r="K463" s="2"/>
      <c r="L463" s="2" t="s">
        <v>24</v>
      </c>
      <c r="M463" s="2"/>
      <c r="N463" s="2"/>
    </row>
    <row r="464" spans="1:14" x14ac:dyDescent="0.25">
      <c r="A464" s="2" t="s">
        <v>1327</v>
      </c>
      <c r="B464" s="2" t="s">
        <v>1328</v>
      </c>
      <c r="C464" s="2" t="s">
        <v>67</v>
      </c>
      <c r="D464" s="2" t="s">
        <v>68</v>
      </c>
      <c r="E464" s="2" t="s">
        <v>79</v>
      </c>
      <c r="F464" s="2" t="s">
        <v>19</v>
      </c>
      <c r="G464" s="2" t="s">
        <v>105</v>
      </c>
      <c r="H464" s="2" t="s">
        <v>74</v>
      </c>
      <c r="I464" s="2">
        <v>8</v>
      </c>
      <c r="J464" s="2" t="s">
        <v>200</v>
      </c>
      <c r="K464" s="2"/>
      <c r="L464" s="2" t="s">
        <v>92</v>
      </c>
      <c r="M464" s="2"/>
      <c r="N464" s="2" t="s">
        <v>34</v>
      </c>
    </row>
    <row r="465" spans="1:14" x14ac:dyDescent="0.25">
      <c r="A465" s="2" t="s">
        <v>1329</v>
      </c>
      <c r="B465" s="2" t="s">
        <v>1330</v>
      </c>
      <c r="C465" s="2" t="s">
        <v>67</v>
      </c>
      <c r="D465" s="2" t="s">
        <v>89</v>
      </c>
      <c r="E465" s="2" t="s">
        <v>148</v>
      </c>
      <c r="F465" s="2" t="s">
        <v>69</v>
      </c>
      <c r="G465" s="2" t="s">
        <v>135</v>
      </c>
      <c r="H465" s="2" t="s">
        <v>32</v>
      </c>
      <c r="I465" s="2">
        <v>48</v>
      </c>
      <c r="J465" s="2" t="s">
        <v>48</v>
      </c>
      <c r="K465" s="2" t="s">
        <v>1331</v>
      </c>
      <c r="L465" s="2" t="s">
        <v>24</v>
      </c>
      <c r="M465" s="2">
        <v>5</v>
      </c>
      <c r="N465" s="2"/>
    </row>
    <row r="466" spans="1:14" x14ac:dyDescent="0.25">
      <c r="A466" s="2" t="s">
        <v>1332</v>
      </c>
      <c r="B466" s="2" t="s">
        <v>1333</v>
      </c>
      <c r="C466" s="2" t="s">
        <v>16</v>
      </c>
      <c r="D466" s="2" t="s">
        <v>84</v>
      </c>
      <c r="E466" s="2" t="s">
        <v>38</v>
      </c>
      <c r="F466" s="2" t="s">
        <v>39</v>
      </c>
      <c r="G466" s="2" t="s">
        <v>135</v>
      </c>
      <c r="H466" s="2" t="s">
        <v>32</v>
      </c>
      <c r="I466" s="2">
        <v>48</v>
      </c>
      <c r="J466" s="2" t="s">
        <v>106</v>
      </c>
      <c r="K466" s="2" t="s">
        <v>1334</v>
      </c>
      <c r="L466" s="2" t="s">
        <v>24</v>
      </c>
      <c r="M466" s="2"/>
      <c r="N466" s="2" t="s">
        <v>34</v>
      </c>
    </row>
    <row r="467" spans="1:14" x14ac:dyDescent="0.25">
      <c r="A467" s="2" t="s">
        <v>1335</v>
      </c>
      <c r="B467" s="2" t="s">
        <v>1336</v>
      </c>
      <c r="C467" s="2" t="s">
        <v>28</v>
      </c>
      <c r="D467" s="2" t="s">
        <v>220</v>
      </c>
      <c r="E467" s="2" t="s">
        <v>18</v>
      </c>
      <c r="F467" s="2" t="s">
        <v>47</v>
      </c>
      <c r="G467" s="2" t="s">
        <v>126</v>
      </c>
      <c r="H467" s="2" t="s">
        <v>80</v>
      </c>
      <c r="I467" s="2">
        <v>4</v>
      </c>
      <c r="J467" s="2" t="s">
        <v>75</v>
      </c>
      <c r="K467" s="2" t="s">
        <v>1337</v>
      </c>
      <c r="L467" s="2" t="s">
        <v>24</v>
      </c>
      <c r="M467" s="2">
        <v>1</v>
      </c>
      <c r="N467" s="2" t="s">
        <v>64</v>
      </c>
    </row>
    <row r="468" spans="1:14" x14ac:dyDescent="0.25">
      <c r="A468" s="2" t="s">
        <v>1338</v>
      </c>
      <c r="B468" s="2" t="s">
        <v>1339</v>
      </c>
      <c r="C468" s="2" t="s">
        <v>16</v>
      </c>
      <c r="D468" s="2" t="s">
        <v>17</v>
      </c>
      <c r="E468" s="2" t="s">
        <v>46</v>
      </c>
      <c r="F468" s="2" t="s">
        <v>143</v>
      </c>
      <c r="G468" s="2" t="s">
        <v>135</v>
      </c>
      <c r="H468" s="2" t="s">
        <v>32</v>
      </c>
      <c r="I468" s="2">
        <v>48</v>
      </c>
      <c r="J468" s="2" t="s">
        <v>232</v>
      </c>
      <c r="K468" s="2"/>
      <c r="L468" s="2" t="s">
        <v>92</v>
      </c>
      <c r="M468" s="2"/>
      <c r="N468" s="2" t="s">
        <v>118</v>
      </c>
    </row>
    <row r="469" spans="1:14" x14ac:dyDescent="0.25">
      <c r="A469" s="2" t="s">
        <v>1340</v>
      </c>
      <c r="B469" s="2" t="s">
        <v>1341</v>
      </c>
      <c r="C469" s="2" t="s">
        <v>67</v>
      </c>
      <c r="D469" s="2" t="s">
        <v>95</v>
      </c>
      <c r="E469" s="2" t="s">
        <v>79</v>
      </c>
      <c r="F469" s="2" t="s">
        <v>19</v>
      </c>
      <c r="G469" s="2" t="s">
        <v>101</v>
      </c>
      <c r="H469" s="2" t="s">
        <v>32</v>
      </c>
      <c r="I469" s="2">
        <v>48</v>
      </c>
      <c r="J469" s="2" t="s">
        <v>287</v>
      </c>
      <c r="K469" s="2"/>
      <c r="L469" s="2" t="s">
        <v>24</v>
      </c>
      <c r="M469" s="2"/>
      <c r="N469" s="2"/>
    </row>
    <row r="470" spans="1:14" x14ac:dyDescent="0.25">
      <c r="A470" s="2" t="s">
        <v>1342</v>
      </c>
      <c r="B470" s="2" t="s">
        <v>1343</v>
      </c>
      <c r="C470" s="2" t="s">
        <v>67</v>
      </c>
      <c r="D470" s="2" t="s">
        <v>68</v>
      </c>
      <c r="E470" s="2" t="s">
        <v>85</v>
      </c>
      <c r="F470" s="2" t="s">
        <v>143</v>
      </c>
      <c r="G470" s="2" t="s">
        <v>70</v>
      </c>
      <c r="H470" s="2" t="s">
        <v>32</v>
      </c>
      <c r="I470" s="2">
        <v>48</v>
      </c>
      <c r="J470" s="2" t="s">
        <v>22</v>
      </c>
      <c r="K470" s="2" t="s">
        <v>1344</v>
      </c>
      <c r="L470" s="2" t="s">
        <v>24</v>
      </c>
      <c r="M470" s="2">
        <v>4</v>
      </c>
      <c r="N470" s="2"/>
    </row>
    <row r="471" spans="1:14" x14ac:dyDescent="0.25">
      <c r="A471" s="2" t="s">
        <v>1345</v>
      </c>
      <c r="B471" s="2" t="s">
        <v>1346</v>
      </c>
      <c r="C471" s="2" t="s">
        <v>16</v>
      </c>
      <c r="D471" s="2" t="s">
        <v>17</v>
      </c>
      <c r="E471" s="2" t="s">
        <v>18</v>
      </c>
      <c r="F471" s="2" t="s">
        <v>55</v>
      </c>
      <c r="G471" s="2" t="s">
        <v>105</v>
      </c>
      <c r="H471" s="2" t="s">
        <v>21</v>
      </c>
      <c r="I471" s="2">
        <v>24</v>
      </c>
      <c r="J471" s="2" t="s">
        <v>106</v>
      </c>
      <c r="K471" s="2" t="s">
        <v>1347</v>
      </c>
      <c r="L471" s="2" t="s">
        <v>24</v>
      </c>
      <c r="M471" s="2">
        <v>5</v>
      </c>
      <c r="N471" s="2" t="s">
        <v>50</v>
      </c>
    </row>
    <row r="472" spans="1:14" x14ac:dyDescent="0.25">
      <c r="A472" s="2" t="s">
        <v>1348</v>
      </c>
      <c r="B472" s="2" t="s">
        <v>1349</v>
      </c>
      <c r="C472" s="2" t="s">
        <v>53</v>
      </c>
      <c r="D472" s="2" t="s">
        <v>54</v>
      </c>
      <c r="E472" s="2" t="s">
        <v>148</v>
      </c>
      <c r="F472" s="2" t="s">
        <v>30</v>
      </c>
      <c r="G472" s="2" t="s">
        <v>211</v>
      </c>
      <c r="H472" s="2" t="s">
        <v>74</v>
      </c>
      <c r="I472" s="2">
        <v>8</v>
      </c>
      <c r="J472" s="2" t="s">
        <v>41</v>
      </c>
      <c r="K472" s="2" t="s">
        <v>1350</v>
      </c>
      <c r="L472" s="2" t="s">
        <v>24</v>
      </c>
      <c r="M472" s="2">
        <v>5</v>
      </c>
      <c r="N472" s="2" t="s">
        <v>50</v>
      </c>
    </row>
    <row r="473" spans="1:14" x14ac:dyDescent="0.25">
      <c r="A473" s="2" t="s">
        <v>1351</v>
      </c>
      <c r="B473" s="2" t="s">
        <v>1352</v>
      </c>
      <c r="C473" s="2" t="s">
        <v>53</v>
      </c>
      <c r="D473" s="2" t="s">
        <v>54</v>
      </c>
      <c r="E473" s="2" t="s">
        <v>85</v>
      </c>
      <c r="F473" s="2" t="s">
        <v>131</v>
      </c>
      <c r="G473" s="2" t="s">
        <v>91</v>
      </c>
      <c r="H473" s="2" t="s">
        <v>80</v>
      </c>
      <c r="I473" s="2">
        <v>4</v>
      </c>
      <c r="J473" s="2" t="s">
        <v>22</v>
      </c>
      <c r="K473" s="2" t="s">
        <v>1353</v>
      </c>
      <c r="L473" s="2" t="s">
        <v>24</v>
      </c>
      <c r="M473" s="2">
        <v>4</v>
      </c>
      <c r="N473" s="2"/>
    </row>
    <row r="474" spans="1:14" x14ac:dyDescent="0.25">
      <c r="A474" s="2" t="s">
        <v>1354</v>
      </c>
      <c r="B474" s="2" t="s">
        <v>1355</v>
      </c>
      <c r="C474" s="2" t="s">
        <v>67</v>
      </c>
      <c r="D474" s="2" t="s">
        <v>89</v>
      </c>
      <c r="E474" s="2" t="s">
        <v>90</v>
      </c>
      <c r="F474" s="2" t="s">
        <v>96</v>
      </c>
      <c r="G474" s="2" t="s">
        <v>110</v>
      </c>
      <c r="H474" s="2" t="s">
        <v>21</v>
      </c>
      <c r="I474" s="2">
        <v>24</v>
      </c>
      <c r="J474" s="2" t="s">
        <v>22</v>
      </c>
      <c r="K474" s="2" t="s">
        <v>1356</v>
      </c>
      <c r="L474" s="2" t="s">
        <v>24</v>
      </c>
      <c r="M474" s="2">
        <v>5</v>
      </c>
      <c r="N474" s="2"/>
    </row>
    <row r="475" spans="1:14" x14ac:dyDescent="0.25">
      <c r="A475" s="2" t="s">
        <v>1357</v>
      </c>
      <c r="B475" s="2" t="s">
        <v>1358</v>
      </c>
      <c r="C475" s="2" t="s">
        <v>16</v>
      </c>
      <c r="D475" s="2" t="s">
        <v>17</v>
      </c>
      <c r="E475" s="2" t="s">
        <v>38</v>
      </c>
      <c r="F475" s="2" t="s">
        <v>131</v>
      </c>
      <c r="G475" s="2" t="s">
        <v>139</v>
      </c>
      <c r="H475" s="2" t="s">
        <v>21</v>
      </c>
      <c r="I475" s="2">
        <v>24</v>
      </c>
      <c r="J475" s="2" t="s">
        <v>22</v>
      </c>
      <c r="K475" s="2" t="s">
        <v>1359</v>
      </c>
      <c r="L475" s="2" t="s">
        <v>24</v>
      </c>
      <c r="M475" s="2">
        <v>5</v>
      </c>
      <c r="N475" s="2" t="s">
        <v>34</v>
      </c>
    </row>
    <row r="476" spans="1:14" x14ac:dyDescent="0.25">
      <c r="A476" s="2" t="s">
        <v>1360</v>
      </c>
      <c r="B476" s="2" t="s">
        <v>1361</v>
      </c>
      <c r="C476" s="2" t="s">
        <v>28</v>
      </c>
      <c r="D476" s="2" t="s">
        <v>100</v>
      </c>
      <c r="E476" s="2" t="s">
        <v>90</v>
      </c>
      <c r="F476" s="2" t="s">
        <v>131</v>
      </c>
      <c r="G476" s="2" t="s">
        <v>158</v>
      </c>
      <c r="H476" s="2" t="s">
        <v>74</v>
      </c>
      <c r="I476" s="2">
        <v>8</v>
      </c>
      <c r="J476" s="2" t="s">
        <v>75</v>
      </c>
      <c r="K476" s="2" t="s">
        <v>1362</v>
      </c>
      <c r="L476" s="2" t="s">
        <v>24</v>
      </c>
      <c r="M476" s="2">
        <v>1</v>
      </c>
      <c r="N476" s="2" t="s">
        <v>34</v>
      </c>
    </row>
    <row r="477" spans="1:14" x14ac:dyDescent="0.25">
      <c r="A477" s="2" t="s">
        <v>1363</v>
      </c>
      <c r="B477" s="2" t="s">
        <v>1364</v>
      </c>
      <c r="C477" s="2" t="s">
        <v>67</v>
      </c>
      <c r="D477" s="2" t="s">
        <v>68</v>
      </c>
      <c r="E477" s="2" t="s">
        <v>38</v>
      </c>
      <c r="F477" s="2" t="s">
        <v>30</v>
      </c>
      <c r="G477" s="2" t="s">
        <v>110</v>
      </c>
      <c r="H477" s="2" t="s">
        <v>32</v>
      </c>
      <c r="I477" s="2">
        <v>48</v>
      </c>
      <c r="J477" s="2" t="s">
        <v>187</v>
      </c>
      <c r="K477" s="2" t="s">
        <v>1365</v>
      </c>
      <c r="L477" s="2" t="s">
        <v>24</v>
      </c>
      <c r="M477" s="2">
        <v>4</v>
      </c>
      <c r="N477" s="2" t="s">
        <v>34</v>
      </c>
    </row>
    <row r="478" spans="1:14" x14ac:dyDescent="0.25">
      <c r="A478" s="2" t="s">
        <v>1366</v>
      </c>
      <c r="B478" s="2" t="s">
        <v>1367</v>
      </c>
      <c r="C478" s="2" t="s">
        <v>53</v>
      </c>
      <c r="D478" s="2" t="s">
        <v>54</v>
      </c>
      <c r="E478" s="2" t="s">
        <v>90</v>
      </c>
      <c r="F478" s="2" t="s">
        <v>113</v>
      </c>
      <c r="G478" s="2" t="s">
        <v>135</v>
      </c>
      <c r="H478" s="2" t="s">
        <v>32</v>
      </c>
      <c r="I478" s="2">
        <v>48</v>
      </c>
      <c r="J478" s="2" t="s">
        <v>75</v>
      </c>
      <c r="K478" s="2" t="s">
        <v>1368</v>
      </c>
      <c r="L478" s="2" t="s">
        <v>24</v>
      </c>
      <c r="M478" s="2">
        <v>5</v>
      </c>
      <c r="N478" s="2" t="s">
        <v>64</v>
      </c>
    </row>
    <row r="479" spans="1:14" x14ac:dyDescent="0.25">
      <c r="A479" s="2" t="s">
        <v>1369</v>
      </c>
      <c r="B479" s="2" t="s">
        <v>1370</v>
      </c>
      <c r="C479" s="2" t="s">
        <v>16</v>
      </c>
      <c r="D479" s="2" t="s">
        <v>17</v>
      </c>
      <c r="E479" s="2" t="s">
        <v>79</v>
      </c>
      <c r="F479" s="2" t="s">
        <v>143</v>
      </c>
      <c r="G479" s="2" t="s">
        <v>105</v>
      </c>
      <c r="H479" s="2" t="s">
        <v>74</v>
      </c>
      <c r="I479" s="2">
        <v>8</v>
      </c>
      <c r="J479" s="2" t="s">
        <v>41</v>
      </c>
      <c r="K479" s="2" t="s">
        <v>1371</v>
      </c>
      <c r="L479" s="2" t="s">
        <v>24</v>
      </c>
      <c r="M479" s="2">
        <v>5</v>
      </c>
      <c r="N479" s="2" t="s">
        <v>25</v>
      </c>
    </row>
    <row r="480" spans="1:14" x14ac:dyDescent="0.25">
      <c r="A480" s="2" t="s">
        <v>1372</v>
      </c>
      <c r="B480" s="2" t="s">
        <v>1373</v>
      </c>
      <c r="C480" s="2" t="s">
        <v>28</v>
      </c>
      <c r="D480" s="2" t="s">
        <v>37</v>
      </c>
      <c r="E480" s="2" t="s">
        <v>79</v>
      </c>
      <c r="F480" s="2" t="s">
        <v>131</v>
      </c>
      <c r="G480" s="2" t="s">
        <v>144</v>
      </c>
      <c r="H480" s="2" t="s">
        <v>21</v>
      </c>
      <c r="I480" s="2">
        <v>24</v>
      </c>
      <c r="J480" s="2" t="s">
        <v>22</v>
      </c>
      <c r="K480" s="2" t="s">
        <v>1374</v>
      </c>
      <c r="L480" s="2" t="s">
        <v>24</v>
      </c>
      <c r="M480" s="2">
        <v>5</v>
      </c>
      <c r="N480" s="2" t="s">
        <v>50</v>
      </c>
    </row>
    <row r="481" spans="1:14" x14ac:dyDescent="0.25">
      <c r="A481" s="2" t="s">
        <v>1375</v>
      </c>
      <c r="B481" s="2" t="s">
        <v>1376</v>
      </c>
      <c r="C481" s="2" t="s">
        <v>28</v>
      </c>
      <c r="D481" s="2" t="s">
        <v>100</v>
      </c>
      <c r="E481" s="2" t="s">
        <v>38</v>
      </c>
      <c r="F481" s="2" t="s">
        <v>19</v>
      </c>
      <c r="G481" s="2" t="s">
        <v>179</v>
      </c>
      <c r="H481" s="2" t="s">
        <v>32</v>
      </c>
      <c r="I481" s="2">
        <v>48</v>
      </c>
      <c r="J481" s="2" t="s">
        <v>187</v>
      </c>
      <c r="K481" s="2" t="s">
        <v>1377</v>
      </c>
      <c r="L481" s="2" t="s">
        <v>24</v>
      </c>
      <c r="M481" s="2">
        <v>5</v>
      </c>
      <c r="N481" s="2" t="s">
        <v>34</v>
      </c>
    </row>
    <row r="482" spans="1:14" x14ac:dyDescent="0.25">
      <c r="A482" s="2" t="s">
        <v>1378</v>
      </c>
      <c r="B482" s="2" t="s">
        <v>1379</v>
      </c>
      <c r="C482" s="2" t="s">
        <v>28</v>
      </c>
      <c r="D482" s="2" t="s">
        <v>100</v>
      </c>
      <c r="E482" s="2" t="s">
        <v>38</v>
      </c>
      <c r="F482" s="2" t="s">
        <v>143</v>
      </c>
      <c r="G482" s="2" t="s">
        <v>144</v>
      </c>
      <c r="H482" s="2" t="s">
        <v>80</v>
      </c>
      <c r="I482" s="2">
        <v>4</v>
      </c>
      <c r="J482" s="2" t="s">
        <v>187</v>
      </c>
      <c r="K482" s="2" t="s">
        <v>1380</v>
      </c>
      <c r="L482" s="2" t="s">
        <v>24</v>
      </c>
      <c r="M482" s="2">
        <v>5</v>
      </c>
      <c r="N482" s="2"/>
    </row>
    <row r="483" spans="1:14" x14ac:dyDescent="0.25">
      <c r="A483" s="2" t="s">
        <v>1381</v>
      </c>
      <c r="B483" s="2" t="s">
        <v>1382</v>
      </c>
      <c r="C483" s="2" t="s">
        <v>67</v>
      </c>
      <c r="D483" s="2" t="s">
        <v>95</v>
      </c>
      <c r="E483" s="2" t="s">
        <v>85</v>
      </c>
      <c r="F483" s="2" t="s">
        <v>19</v>
      </c>
      <c r="G483" s="2" t="s">
        <v>144</v>
      </c>
      <c r="H483" s="2" t="s">
        <v>21</v>
      </c>
      <c r="I483" s="2">
        <v>24</v>
      </c>
      <c r="J483" s="2" t="s">
        <v>187</v>
      </c>
      <c r="K483" s="2" t="s">
        <v>1383</v>
      </c>
      <c r="L483" s="2" t="s">
        <v>24</v>
      </c>
      <c r="M483" s="2">
        <v>1</v>
      </c>
      <c r="N483" s="2"/>
    </row>
    <row r="484" spans="1:14" x14ac:dyDescent="0.25">
      <c r="A484" s="2" t="s">
        <v>1384</v>
      </c>
      <c r="B484" s="2" t="s">
        <v>1385</v>
      </c>
      <c r="C484" s="2" t="s">
        <v>16</v>
      </c>
      <c r="D484" s="2" t="s">
        <v>84</v>
      </c>
      <c r="E484" s="2" t="s">
        <v>46</v>
      </c>
      <c r="F484" s="2" t="s">
        <v>62</v>
      </c>
      <c r="G484" s="2" t="s">
        <v>70</v>
      </c>
      <c r="H484" s="2" t="s">
        <v>74</v>
      </c>
      <c r="I484" s="2">
        <v>8</v>
      </c>
      <c r="J484" s="2" t="s">
        <v>22</v>
      </c>
      <c r="K484" s="2" t="s">
        <v>1386</v>
      </c>
      <c r="L484" s="2" t="s">
        <v>24</v>
      </c>
      <c r="M484" s="2">
        <v>5</v>
      </c>
      <c r="N484" s="2" t="s">
        <v>34</v>
      </c>
    </row>
    <row r="485" spans="1:14" x14ac:dyDescent="0.25">
      <c r="A485" s="2" t="s">
        <v>1387</v>
      </c>
      <c r="B485" s="2" t="s">
        <v>1388</v>
      </c>
      <c r="C485" s="2" t="s">
        <v>28</v>
      </c>
      <c r="D485" s="2" t="s">
        <v>37</v>
      </c>
      <c r="E485" s="2" t="s">
        <v>46</v>
      </c>
      <c r="F485" s="2" t="s">
        <v>69</v>
      </c>
      <c r="G485" s="2" t="s">
        <v>158</v>
      </c>
      <c r="H485" s="2" t="s">
        <v>21</v>
      </c>
      <c r="I485" s="2">
        <v>24</v>
      </c>
      <c r="J485" s="2" t="s">
        <v>155</v>
      </c>
      <c r="K485" s="2"/>
      <c r="L485" s="2" t="s">
        <v>92</v>
      </c>
      <c r="M485" s="2"/>
      <c r="N485" s="2"/>
    </row>
    <row r="486" spans="1:14" x14ac:dyDescent="0.25">
      <c r="A486" s="2" t="s">
        <v>1389</v>
      </c>
      <c r="B486" s="2" t="s">
        <v>1390</v>
      </c>
      <c r="C486" s="2" t="s">
        <v>28</v>
      </c>
      <c r="D486" s="2" t="s">
        <v>37</v>
      </c>
      <c r="E486" s="2" t="s">
        <v>90</v>
      </c>
      <c r="F486" s="2" t="s">
        <v>62</v>
      </c>
      <c r="G486" s="2" t="s">
        <v>31</v>
      </c>
      <c r="H486" s="2" t="s">
        <v>21</v>
      </c>
      <c r="I486" s="2">
        <v>24</v>
      </c>
      <c r="J486" s="2" t="s">
        <v>187</v>
      </c>
      <c r="K486" s="2" t="s">
        <v>1391</v>
      </c>
      <c r="L486" s="2" t="s">
        <v>24</v>
      </c>
      <c r="M486" s="2">
        <v>5</v>
      </c>
      <c r="N486" s="2"/>
    </row>
    <row r="487" spans="1:14" x14ac:dyDescent="0.25">
      <c r="A487" s="2" t="s">
        <v>1392</v>
      </c>
      <c r="B487" s="2" t="s">
        <v>1393</v>
      </c>
      <c r="C487" s="2" t="s">
        <v>16</v>
      </c>
      <c r="D487" s="2" t="s">
        <v>84</v>
      </c>
      <c r="E487" s="2" t="s">
        <v>38</v>
      </c>
      <c r="F487" s="2" t="s">
        <v>39</v>
      </c>
      <c r="G487" s="2" t="s">
        <v>211</v>
      </c>
      <c r="H487" s="2" t="s">
        <v>80</v>
      </c>
      <c r="I487" s="2">
        <v>4</v>
      </c>
      <c r="J487" s="2" t="s">
        <v>106</v>
      </c>
      <c r="K487" s="2" t="s">
        <v>1394</v>
      </c>
      <c r="L487" s="2" t="s">
        <v>24</v>
      </c>
      <c r="M487" s="2">
        <v>2</v>
      </c>
      <c r="N487" s="2" t="s">
        <v>34</v>
      </c>
    </row>
    <row r="488" spans="1:14" x14ac:dyDescent="0.25">
      <c r="A488" s="2" t="s">
        <v>1395</v>
      </c>
      <c r="B488" s="2" t="s">
        <v>1396</v>
      </c>
      <c r="C488" s="2" t="s">
        <v>28</v>
      </c>
      <c r="D488" s="2" t="s">
        <v>37</v>
      </c>
      <c r="E488" s="2" t="s">
        <v>148</v>
      </c>
      <c r="F488" s="2" t="s">
        <v>69</v>
      </c>
      <c r="G488" s="2" t="s">
        <v>110</v>
      </c>
      <c r="H488" s="2" t="s">
        <v>32</v>
      </c>
      <c r="I488" s="2">
        <v>48</v>
      </c>
      <c r="J488" s="2" t="s">
        <v>200</v>
      </c>
      <c r="K488" s="2"/>
      <c r="L488" s="2" t="s">
        <v>92</v>
      </c>
      <c r="M488" s="2"/>
      <c r="N488" s="2" t="s">
        <v>50</v>
      </c>
    </row>
    <row r="489" spans="1:14" x14ac:dyDescent="0.25">
      <c r="A489" s="2" t="s">
        <v>1397</v>
      </c>
      <c r="B489" s="2" t="s">
        <v>1398</v>
      </c>
      <c r="C489" s="2" t="s">
        <v>16</v>
      </c>
      <c r="D489" s="2" t="s">
        <v>17</v>
      </c>
      <c r="E489" s="2" t="s">
        <v>85</v>
      </c>
      <c r="F489" s="2" t="s">
        <v>39</v>
      </c>
      <c r="G489" s="2" t="s">
        <v>110</v>
      </c>
      <c r="H489" s="2" t="s">
        <v>74</v>
      </c>
      <c r="I489" s="2">
        <v>8</v>
      </c>
      <c r="J489" s="2" t="s">
        <v>41</v>
      </c>
      <c r="K489" s="2" t="s">
        <v>1399</v>
      </c>
      <c r="L489" s="2" t="s">
        <v>24</v>
      </c>
      <c r="M489" s="2"/>
      <c r="N489" s="2" t="s">
        <v>43</v>
      </c>
    </row>
    <row r="490" spans="1:14" x14ac:dyDescent="0.25">
      <c r="A490" s="2" t="s">
        <v>1400</v>
      </c>
      <c r="B490" s="2" t="s">
        <v>1401</v>
      </c>
      <c r="C490" s="2" t="s">
        <v>28</v>
      </c>
      <c r="D490" s="2" t="s">
        <v>37</v>
      </c>
      <c r="E490" s="2" t="s">
        <v>18</v>
      </c>
      <c r="F490" s="2" t="s">
        <v>62</v>
      </c>
      <c r="G490" s="2" t="s">
        <v>105</v>
      </c>
      <c r="H490" s="2" t="s">
        <v>21</v>
      </c>
      <c r="I490" s="2">
        <v>24</v>
      </c>
      <c r="J490" s="2" t="s">
        <v>22</v>
      </c>
      <c r="K490" s="2" t="s">
        <v>1402</v>
      </c>
      <c r="L490" s="2" t="s">
        <v>24</v>
      </c>
      <c r="M490" s="2">
        <v>4</v>
      </c>
      <c r="N490" s="2" t="s">
        <v>58</v>
      </c>
    </row>
    <row r="491" spans="1:14" x14ac:dyDescent="0.25">
      <c r="A491" s="2" t="s">
        <v>1403</v>
      </c>
      <c r="B491" s="2" t="s">
        <v>1404</v>
      </c>
      <c r="C491" s="2" t="s">
        <v>53</v>
      </c>
      <c r="D491" s="2" t="s">
        <v>61</v>
      </c>
      <c r="E491" s="2" t="s">
        <v>79</v>
      </c>
      <c r="F491" s="2" t="s">
        <v>39</v>
      </c>
      <c r="G491" s="2" t="s">
        <v>158</v>
      </c>
      <c r="H491" s="2" t="s">
        <v>21</v>
      </c>
      <c r="I491" s="2">
        <v>24</v>
      </c>
      <c r="J491" s="2" t="s">
        <v>48</v>
      </c>
      <c r="K491" s="2" t="s">
        <v>1405</v>
      </c>
      <c r="L491" s="2" t="s">
        <v>24</v>
      </c>
      <c r="M491" s="2">
        <v>5</v>
      </c>
      <c r="N491" s="2" t="s">
        <v>58</v>
      </c>
    </row>
    <row r="492" spans="1:14" x14ac:dyDescent="0.25">
      <c r="A492" s="2" t="s">
        <v>1406</v>
      </c>
      <c r="B492" s="2" t="s">
        <v>1407</v>
      </c>
      <c r="C492" s="2" t="s">
        <v>16</v>
      </c>
      <c r="D492" s="2" t="s">
        <v>17</v>
      </c>
      <c r="E492" s="2" t="s">
        <v>90</v>
      </c>
      <c r="F492" s="2" t="s">
        <v>131</v>
      </c>
      <c r="G492" s="2" t="s">
        <v>179</v>
      </c>
      <c r="H492" s="2" t="s">
        <v>32</v>
      </c>
      <c r="I492" s="2">
        <v>48</v>
      </c>
      <c r="J492" s="2" t="s">
        <v>232</v>
      </c>
      <c r="K492" s="2"/>
      <c r="L492" s="2" t="s">
        <v>92</v>
      </c>
      <c r="M492" s="2"/>
      <c r="N492" s="2" t="s">
        <v>128</v>
      </c>
    </row>
    <row r="493" spans="1:14" x14ac:dyDescent="0.25">
      <c r="A493" s="2" t="s">
        <v>1408</v>
      </c>
      <c r="B493" s="2" t="s">
        <v>1409</v>
      </c>
      <c r="C493" s="2" t="s">
        <v>16</v>
      </c>
      <c r="D493" s="2" t="s">
        <v>17</v>
      </c>
      <c r="E493" s="2" t="s">
        <v>38</v>
      </c>
      <c r="F493" s="2" t="s">
        <v>47</v>
      </c>
      <c r="G493" s="2" t="s">
        <v>144</v>
      </c>
      <c r="H493" s="2" t="s">
        <v>32</v>
      </c>
      <c r="I493" s="2">
        <v>48</v>
      </c>
      <c r="J493" s="2" t="s">
        <v>75</v>
      </c>
      <c r="K493" s="2" t="s">
        <v>1410</v>
      </c>
      <c r="L493" s="2" t="s">
        <v>24</v>
      </c>
      <c r="M493" s="2">
        <v>1</v>
      </c>
      <c r="N493" s="2" t="s">
        <v>50</v>
      </c>
    </row>
    <row r="494" spans="1:14" x14ac:dyDescent="0.25">
      <c r="A494" s="2" t="s">
        <v>1411</v>
      </c>
      <c r="B494" s="2" t="s">
        <v>1412</v>
      </c>
      <c r="C494" s="2" t="s">
        <v>16</v>
      </c>
      <c r="D494" s="2" t="s">
        <v>17</v>
      </c>
      <c r="E494" s="2" t="s">
        <v>90</v>
      </c>
      <c r="F494" s="2" t="s">
        <v>69</v>
      </c>
      <c r="G494" s="2" t="s">
        <v>144</v>
      </c>
      <c r="H494" s="2" t="s">
        <v>32</v>
      </c>
      <c r="I494" s="2">
        <v>48</v>
      </c>
      <c r="J494" s="2" t="s">
        <v>22</v>
      </c>
      <c r="K494" s="2" t="s">
        <v>1413</v>
      </c>
      <c r="L494" s="2" t="s">
        <v>24</v>
      </c>
      <c r="M494" s="2">
        <v>5</v>
      </c>
      <c r="N494" s="2" t="s">
        <v>64</v>
      </c>
    </row>
    <row r="495" spans="1:14" x14ac:dyDescent="0.25">
      <c r="A495" s="2" t="s">
        <v>1414</v>
      </c>
      <c r="B495" s="2" t="s">
        <v>1415</v>
      </c>
      <c r="C495" s="2" t="s">
        <v>16</v>
      </c>
      <c r="D495" s="2" t="s">
        <v>84</v>
      </c>
      <c r="E495" s="2" t="s">
        <v>46</v>
      </c>
      <c r="F495" s="2" t="s">
        <v>69</v>
      </c>
      <c r="G495" s="2" t="s">
        <v>135</v>
      </c>
      <c r="H495" s="2" t="s">
        <v>74</v>
      </c>
      <c r="I495" s="2">
        <v>8</v>
      </c>
      <c r="J495" s="2" t="s">
        <v>155</v>
      </c>
      <c r="K495" s="2"/>
      <c r="L495" s="2" t="s">
        <v>24</v>
      </c>
      <c r="M495" s="2"/>
      <c r="N495" s="2" t="s">
        <v>128</v>
      </c>
    </row>
    <row r="496" spans="1:14" x14ac:dyDescent="0.25">
      <c r="A496" s="2" t="s">
        <v>1416</v>
      </c>
      <c r="B496" s="2" t="s">
        <v>1417</v>
      </c>
      <c r="C496" s="2" t="s">
        <v>16</v>
      </c>
      <c r="D496" s="2" t="s">
        <v>84</v>
      </c>
      <c r="E496" s="2" t="s">
        <v>38</v>
      </c>
      <c r="F496" s="2" t="s">
        <v>30</v>
      </c>
      <c r="G496" s="2" t="s">
        <v>121</v>
      </c>
      <c r="H496" s="2" t="s">
        <v>74</v>
      </c>
      <c r="I496" s="2">
        <v>8</v>
      </c>
      <c r="J496" s="2" t="s">
        <v>232</v>
      </c>
      <c r="K496" s="2"/>
      <c r="L496" s="2" t="s">
        <v>92</v>
      </c>
      <c r="M496" s="2"/>
      <c r="N496" s="2" t="s">
        <v>34</v>
      </c>
    </row>
    <row r="497" spans="1:14" x14ac:dyDescent="0.25">
      <c r="A497" s="2" t="s">
        <v>1418</v>
      </c>
      <c r="B497" s="2" t="s">
        <v>1419</v>
      </c>
      <c r="C497" s="2" t="s">
        <v>16</v>
      </c>
      <c r="D497" s="2" t="s">
        <v>17</v>
      </c>
      <c r="E497" s="2" t="s">
        <v>148</v>
      </c>
      <c r="F497" s="2" t="s">
        <v>62</v>
      </c>
      <c r="G497" s="2" t="s">
        <v>91</v>
      </c>
      <c r="H497" s="2" t="s">
        <v>21</v>
      </c>
      <c r="I497" s="2">
        <v>24</v>
      </c>
      <c r="J497" s="2" t="s">
        <v>22</v>
      </c>
      <c r="K497" s="2" t="s">
        <v>1420</v>
      </c>
      <c r="L497" s="2" t="s">
        <v>24</v>
      </c>
      <c r="M497" s="2"/>
      <c r="N497" s="2" t="s">
        <v>25</v>
      </c>
    </row>
    <row r="498" spans="1:14" x14ac:dyDescent="0.25">
      <c r="A498" s="2" t="s">
        <v>1421</v>
      </c>
      <c r="B498" s="2" t="s">
        <v>1422</v>
      </c>
      <c r="C498" s="2" t="s">
        <v>16</v>
      </c>
      <c r="D498" s="2" t="s">
        <v>17</v>
      </c>
      <c r="E498" s="2" t="s">
        <v>79</v>
      </c>
      <c r="F498" s="2" t="s">
        <v>125</v>
      </c>
      <c r="G498" s="2" t="s">
        <v>179</v>
      </c>
      <c r="H498" s="2" t="s">
        <v>32</v>
      </c>
      <c r="I498" s="2">
        <v>48</v>
      </c>
      <c r="J498" s="2" t="s">
        <v>106</v>
      </c>
      <c r="K498" s="2" t="s">
        <v>1423</v>
      </c>
      <c r="L498" s="2" t="s">
        <v>24</v>
      </c>
      <c r="M498" s="2">
        <v>4</v>
      </c>
      <c r="N498" s="2"/>
    </row>
    <row r="499" spans="1:14" x14ac:dyDescent="0.25">
      <c r="A499" s="2" t="s">
        <v>1424</v>
      </c>
      <c r="B499" s="2" t="s">
        <v>1425</v>
      </c>
      <c r="C499" s="2" t="s">
        <v>53</v>
      </c>
      <c r="D499" s="2" t="s">
        <v>61</v>
      </c>
      <c r="E499" s="2" t="s">
        <v>148</v>
      </c>
      <c r="F499" s="2" t="s">
        <v>47</v>
      </c>
      <c r="G499" s="2" t="s">
        <v>144</v>
      </c>
      <c r="H499" s="2" t="s">
        <v>21</v>
      </c>
      <c r="I499" s="2">
        <v>24</v>
      </c>
      <c r="J499" s="2" t="s">
        <v>106</v>
      </c>
      <c r="K499" s="2" t="s">
        <v>1426</v>
      </c>
      <c r="L499" s="2" t="s">
        <v>24</v>
      </c>
      <c r="M499" s="2">
        <v>3</v>
      </c>
      <c r="N499" s="2" t="s">
        <v>50</v>
      </c>
    </row>
    <row r="500" spans="1:14" x14ac:dyDescent="0.25">
      <c r="A500" s="2" t="s">
        <v>1427</v>
      </c>
      <c r="B500" s="2" t="s">
        <v>1428</v>
      </c>
      <c r="C500" s="2" t="s">
        <v>67</v>
      </c>
      <c r="D500" s="2" t="s">
        <v>68</v>
      </c>
      <c r="E500" s="2" t="s">
        <v>38</v>
      </c>
      <c r="F500" s="2" t="s">
        <v>47</v>
      </c>
      <c r="G500" s="2" t="s">
        <v>101</v>
      </c>
      <c r="H500" s="2" t="s">
        <v>74</v>
      </c>
      <c r="I500" s="2">
        <v>8</v>
      </c>
      <c r="J500" s="2" t="s">
        <v>22</v>
      </c>
      <c r="K500" s="2" t="s">
        <v>1429</v>
      </c>
      <c r="L500" s="2" t="s">
        <v>24</v>
      </c>
      <c r="M500" s="2">
        <v>5</v>
      </c>
      <c r="N500" s="2" t="s">
        <v>34</v>
      </c>
    </row>
    <row r="501" spans="1:14" x14ac:dyDescent="0.25">
      <c r="A501" s="2" t="s">
        <v>1430</v>
      </c>
      <c r="B501" s="2" t="s">
        <v>1431</v>
      </c>
      <c r="C501" s="2" t="s">
        <v>16</v>
      </c>
      <c r="D501" s="2" t="s">
        <v>84</v>
      </c>
      <c r="E501" s="2" t="s">
        <v>90</v>
      </c>
      <c r="F501" s="2" t="s">
        <v>143</v>
      </c>
      <c r="G501" s="2" t="s">
        <v>211</v>
      </c>
      <c r="H501" s="2" t="s">
        <v>74</v>
      </c>
      <c r="I501" s="2">
        <v>8</v>
      </c>
      <c r="J501" s="2" t="s">
        <v>41</v>
      </c>
      <c r="K501" s="2" t="s">
        <v>1432</v>
      </c>
      <c r="L501" s="2" t="s">
        <v>24</v>
      </c>
      <c r="M501" s="2">
        <v>5</v>
      </c>
      <c r="N501" s="2" t="s">
        <v>58</v>
      </c>
    </row>
    <row r="502" spans="1:14" x14ac:dyDescent="0.25">
      <c r="A502" s="2" t="s">
        <v>1433</v>
      </c>
      <c r="B502" s="2" t="s">
        <v>1434</v>
      </c>
      <c r="C502" s="2" t="s">
        <v>28</v>
      </c>
      <c r="D502" s="2" t="s">
        <v>100</v>
      </c>
      <c r="E502" s="2" t="s">
        <v>38</v>
      </c>
      <c r="F502" s="2" t="s">
        <v>69</v>
      </c>
      <c r="G502" s="2" t="s">
        <v>139</v>
      </c>
      <c r="H502" s="2" t="s">
        <v>21</v>
      </c>
      <c r="I502" s="2">
        <v>24</v>
      </c>
      <c r="J502" s="2" t="s">
        <v>22</v>
      </c>
      <c r="K502" s="2" t="s">
        <v>1435</v>
      </c>
      <c r="L502" s="2" t="s">
        <v>24</v>
      </c>
      <c r="M502" s="2">
        <v>4</v>
      </c>
      <c r="N502" s="2" t="s">
        <v>128</v>
      </c>
    </row>
    <row r="503" spans="1:14" x14ac:dyDescent="0.25">
      <c r="A503" s="2" t="s">
        <v>1436</v>
      </c>
      <c r="B503" s="2" t="s">
        <v>1437</v>
      </c>
      <c r="C503" s="2" t="s">
        <v>16</v>
      </c>
      <c r="D503" s="2" t="s">
        <v>84</v>
      </c>
      <c r="E503" s="2" t="s">
        <v>90</v>
      </c>
      <c r="F503" s="2" t="s">
        <v>39</v>
      </c>
      <c r="G503" s="2" t="s">
        <v>179</v>
      </c>
      <c r="H503" s="2" t="s">
        <v>74</v>
      </c>
      <c r="I503" s="2">
        <v>8</v>
      </c>
      <c r="J503" s="2" t="s">
        <v>48</v>
      </c>
      <c r="K503" s="2" t="s">
        <v>1438</v>
      </c>
      <c r="L503" s="2" t="s">
        <v>24</v>
      </c>
      <c r="M503" s="2"/>
      <c r="N503" s="2"/>
    </row>
    <row r="504" spans="1:14" x14ac:dyDescent="0.25">
      <c r="A504" s="2" t="s">
        <v>1439</v>
      </c>
      <c r="B504" s="2" t="s">
        <v>1440</v>
      </c>
      <c r="C504" s="2" t="s">
        <v>67</v>
      </c>
      <c r="D504" s="2" t="s">
        <v>68</v>
      </c>
      <c r="E504" s="2" t="s">
        <v>46</v>
      </c>
      <c r="F504" s="2" t="s">
        <v>47</v>
      </c>
      <c r="G504" s="2" t="s">
        <v>31</v>
      </c>
      <c r="H504" s="2" t="s">
        <v>32</v>
      </c>
      <c r="I504" s="2">
        <v>48</v>
      </c>
      <c r="J504" s="2" t="s">
        <v>22</v>
      </c>
      <c r="K504" s="2" t="s">
        <v>1441</v>
      </c>
      <c r="L504" s="2" t="s">
        <v>24</v>
      </c>
      <c r="M504" s="2"/>
      <c r="N504" s="2" t="s">
        <v>34</v>
      </c>
    </row>
    <row r="505" spans="1:14" x14ac:dyDescent="0.25">
      <c r="A505" s="2" t="s">
        <v>1442</v>
      </c>
      <c r="B505" s="2" t="s">
        <v>1443</v>
      </c>
      <c r="C505" s="2" t="s">
        <v>67</v>
      </c>
      <c r="D505" s="2" t="s">
        <v>601</v>
      </c>
      <c r="E505" s="2" t="s">
        <v>79</v>
      </c>
      <c r="F505" s="2" t="s">
        <v>125</v>
      </c>
      <c r="G505" s="2" t="s">
        <v>179</v>
      </c>
      <c r="H505" s="2" t="s">
        <v>21</v>
      </c>
      <c r="I505" s="2">
        <v>24</v>
      </c>
      <c r="J505" s="2" t="s">
        <v>48</v>
      </c>
      <c r="K505" s="2" t="s">
        <v>1444</v>
      </c>
      <c r="L505" s="2" t="s">
        <v>24</v>
      </c>
      <c r="M505" s="2">
        <v>1</v>
      </c>
      <c r="N505" s="2" t="s">
        <v>43</v>
      </c>
    </row>
    <row r="506" spans="1:14" x14ac:dyDescent="0.25">
      <c r="A506" s="2" t="s">
        <v>1445</v>
      </c>
      <c r="B506" s="2" t="s">
        <v>1446</v>
      </c>
      <c r="C506" s="2" t="s">
        <v>16</v>
      </c>
      <c r="D506" s="2" t="s">
        <v>17</v>
      </c>
      <c r="E506" s="2" t="s">
        <v>79</v>
      </c>
      <c r="F506" s="2" t="s">
        <v>96</v>
      </c>
      <c r="G506" s="2" t="s">
        <v>31</v>
      </c>
      <c r="H506" s="2" t="s">
        <v>32</v>
      </c>
      <c r="I506" s="2">
        <v>48</v>
      </c>
      <c r="J506" s="2" t="s">
        <v>117</v>
      </c>
      <c r="K506" s="2"/>
      <c r="L506" s="2" t="s">
        <v>92</v>
      </c>
      <c r="M506" s="2"/>
      <c r="N506" s="2" t="s">
        <v>118</v>
      </c>
    </row>
    <row r="507" spans="1:14" x14ac:dyDescent="0.25">
      <c r="A507" s="2" t="s">
        <v>1447</v>
      </c>
      <c r="B507" s="2" t="s">
        <v>1448</v>
      </c>
      <c r="C507" s="2" t="s">
        <v>53</v>
      </c>
      <c r="D507" s="2" t="s">
        <v>61</v>
      </c>
      <c r="E507" s="2" t="s">
        <v>79</v>
      </c>
      <c r="F507" s="2" t="s">
        <v>55</v>
      </c>
      <c r="G507" s="2" t="s">
        <v>91</v>
      </c>
      <c r="H507" s="2" t="s">
        <v>21</v>
      </c>
      <c r="I507" s="2">
        <v>24</v>
      </c>
      <c r="J507" s="2" t="s">
        <v>106</v>
      </c>
      <c r="K507" s="2" t="s">
        <v>1449</v>
      </c>
      <c r="L507" s="2" t="s">
        <v>24</v>
      </c>
      <c r="M507" s="2">
        <v>1</v>
      </c>
      <c r="N507" s="2"/>
    </row>
    <row r="508" spans="1:14" x14ac:dyDescent="0.25">
      <c r="A508" s="2" t="s">
        <v>1450</v>
      </c>
      <c r="B508" s="2" t="s">
        <v>1451</v>
      </c>
      <c r="C508" s="2" t="s">
        <v>67</v>
      </c>
      <c r="D508" s="2" t="s">
        <v>95</v>
      </c>
      <c r="E508" s="2" t="s">
        <v>79</v>
      </c>
      <c r="F508" s="2" t="s">
        <v>55</v>
      </c>
      <c r="G508" s="2" t="s">
        <v>139</v>
      </c>
      <c r="H508" s="2" t="s">
        <v>21</v>
      </c>
      <c r="I508" s="2">
        <v>24</v>
      </c>
      <c r="J508" s="2" t="s">
        <v>48</v>
      </c>
      <c r="K508" s="2" t="s">
        <v>1452</v>
      </c>
      <c r="L508" s="2" t="s">
        <v>24</v>
      </c>
      <c r="M508" s="2"/>
      <c r="N508" s="2" t="s">
        <v>118</v>
      </c>
    </row>
    <row r="509" spans="1:14" x14ac:dyDescent="0.25">
      <c r="A509" s="2" t="s">
        <v>1453</v>
      </c>
      <c r="B509" s="2" t="s">
        <v>1454</v>
      </c>
      <c r="C509" s="2" t="s">
        <v>28</v>
      </c>
      <c r="D509" s="2" t="s">
        <v>100</v>
      </c>
      <c r="E509" s="2" t="s">
        <v>46</v>
      </c>
      <c r="F509" s="2" t="s">
        <v>96</v>
      </c>
      <c r="G509" s="2" t="s">
        <v>158</v>
      </c>
      <c r="H509" s="2" t="s">
        <v>21</v>
      </c>
      <c r="I509" s="2">
        <v>24</v>
      </c>
      <c r="J509" s="2" t="s">
        <v>75</v>
      </c>
      <c r="K509" s="2" t="s">
        <v>1455</v>
      </c>
      <c r="L509" s="2" t="s">
        <v>92</v>
      </c>
      <c r="M509" s="2">
        <v>4</v>
      </c>
      <c r="N509" s="2"/>
    </row>
    <row r="510" spans="1:14" x14ac:dyDescent="0.25">
      <c r="A510" s="2" t="s">
        <v>1456</v>
      </c>
      <c r="B510" s="2" t="s">
        <v>1457</v>
      </c>
      <c r="C510" s="2" t="s">
        <v>16</v>
      </c>
      <c r="D510" s="2" t="s">
        <v>17</v>
      </c>
      <c r="E510" s="2" t="s">
        <v>38</v>
      </c>
      <c r="F510" s="2" t="s">
        <v>19</v>
      </c>
      <c r="G510" s="2" t="s">
        <v>110</v>
      </c>
      <c r="H510" s="2" t="s">
        <v>21</v>
      </c>
      <c r="I510" s="2">
        <v>24</v>
      </c>
      <c r="J510" s="2" t="s">
        <v>187</v>
      </c>
      <c r="K510" s="2" t="s">
        <v>1458</v>
      </c>
      <c r="L510" s="2" t="s">
        <v>24</v>
      </c>
      <c r="M510" s="2">
        <v>4</v>
      </c>
      <c r="N510" s="2" t="s">
        <v>58</v>
      </c>
    </row>
    <row r="511" spans="1:14" x14ac:dyDescent="0.25">
      <c r="A511" s="2" t="s">
        <v>1459</v>
      </c>
      <c r="B511" s="2" t="s">
        <v>1460</v>
      </c>
      <c r="C511" s="2" t="s">
        <v>67</v>
      </c>
      <c r="D511" s="2" t="s">
        <v>68</v>
      </c>
      <c r="E511" s="2" t="s">
        <v>46</v>
      </c>
      <c r="F511" s="2" t="s">
        <v>30</v>
      </c>
      <c r="G511" s="2" t="s">
        <v>139</v>
      </c>
      <c r="H511" s="2" t="s">
        <v>21</v>
      </c>
      <c r="I511" s="2">
        <v>24</v>
      </c>
      <c r="J511" s="2" t="s">
        <v>41</v>
      </c>
      <c r="K511" s="2" t="s">
        <v>1461</v>
      </c>
      <c r="L511" s="2" t="s">
        <v>92</v>
      </c>
      <c r="M511" s="2"/>
      <c r="N511" s="2" t="s">
        <v>25</v>
      </c>
    </row>
    <row r="512" spans="1:14" x14ac:dyDescent="0.25">
      <c r="A512" s="2" t="s">
        <v>1462</v>
      </c>
      <c r="B512" s="2" t="s">
        <v>1463</v>
      </c>
      <c r="C512" s="2" t="s">
        <v>16</v>
      </c>
      <c r="D512" s="2" t="s">
        <v>17</v>
      </c>
      <c r="E512" s="2" t="s">
        <v>90</v>
      </c>
      <c r="F512" s="2" t="s">
        <v>131</v>
      </c>
      <c r="G512" s="2" t="s">
        <v>158</v>
      </c>
      <c r="H512" s="2" t="s">
        <v>21</v>
      </c>
      <c r="I512" s="2">
        <v>24</v>
      </c>
      <c r="J512" s="2" t="s">
        <v>106</v>
      </c>
      <c r="K512" s="2" t="s">
        <v>1464</v>
      </c>
      <c r="L512" s="2" t="s">
        <v>24</v>
      </c>
      <c r="M512" s="2"/>
      <c r="N512" s="2"/>
    </row>
    <row r="513" spans="1:14" x14ac:dyDescent="0.25">
      <c r="A513" s="2" t="s">
        <v>1465</v>
      </c>
      <c r="B513" s="2" t="s">
        <v>1466</v>
      </c>
      <c r="C513" s="2" t="s">
        <v>28</v>
      </c>
      <c r="D513" s="2" t="s">
        <v>100</v>
      </c>
      <c r="E513" s="2" t="s">
        <v>18</v>
      </c>
      <c r="F513" s="2" t="s">
        <v>131</v>
      </c>
      <c r="G513" s="2" t="s">
        <v>121</v>
      </c>
      <c r="H513" s="2" t="s">
        <v>74</v>
      </c>
      <c r="I513" s="2">
        <v>8</v>
      </c>
      <c r="J513" s="2" t="s">
        <v>22</v>
      </c>
      <c r="K513" s="2" t="s">
        <v>1467</v>
      </c>
      <c r="L513" s="2" t="s">
        <v>24</v>
      </c>
      <c r="M513" s="2">
        <v>5</v>
      </c>
      <c r="N513" s="2"/>
    </row>
    <row r="514" spans="1:14" x14ac:dyDescent="0.25">
      <c r="A514" s="2" t="s">
        <v>1468</v>
      </c>
      <c r="B514" s="2" t="s">
        <v>1469</v>
      </c>
      <c r="C514" s="2" t="s">
        <v>28</v>
      </c>
      <c r="D514" s="2" t="s">
        <v>37</v>
      </c>
      <c r="E514" s="2" t="s">
        <v>85</v>
      </c>
      <c r="F514" s="2" t="s">
        <v>55</v>
      </c>
      <c r="G514" s="2" t="s">
        <v>139</v>
      </c>
      <c r="H514" s="2" t="s">
        <v>80</v>
      </c>
      <c r="I514" s="2">
        <v>4</v>
      </c>
      <c r="J514" s="2" t="s">
        <v>187</v>
      </c>
      <c r="K514" s="2" t="s">
        <v>1470</v>
      </c>
      <c r="L514" s="2" t="s">
        <v>24</v>
      </c>
      <c r="M514" s="2"/>
      <c r="N514" s="2" t="s">
        <v>34</v>
      </c>
    </row>
    <row r="515" spans="1:14" x14ac:dyDescent="0.25">
      <c r="A515" s="2" t="s">
        <v>1471</v>
      </c>
      <c r="B515" s="2" t="s">
        <v>1472</v>
      </c>
      <c r="C515" s="2" t="s">
        <v>28</v>
      </c>
      <c r="D515" s="2" t="s">
        <v>37</v>
      </c>
      <c r="E515" s="2" t="s">
        <v>38</v>
      </c>
      <c r="F515" s="2" t="s">
        <v>96</v>
      </c>
      <c r="G515" s="2" t="s">
        <v>31</v>
      </c>
      <c r="H515" s="2" t="s">
        <v>32</v>
      </c>
      <c r="I515" s="2">
        <v>48</v>
      </c>
      <c r="J515" s="2" t="s">
        <v>232</v>
      </c>
      <c r="K515" s="2"/>
      <c r="L515" s="2" t="s">
        <v>92</v>
      </c>
      <c r="M515" s="2"/>
      <c r="N515" s="2" t="s">
        <v>43</v>
      </c>
    </row>
    <row r="516" spans="1:14" x14ac:dyDescent="0.25">
      <c r="A516" s="2" t="s">
        <v>1473</v>
      </c>
      <c r="B516" s="2" t="s">
        <v>1474</v>
      </c>
      <c r="C516" s="2" t="s">
        <v>16</v>
      </c>
      <c r="D516" s="2" t="s">
        <v>17</v>
      </c>
      <c r="E516" s="2" t="s">
        <v>90</v>
      </c>
      <c r="F516" s="2" t="s">
        <v>69</v>
      </c>
      <c r="G516" s="2" t="s">
        <v>183</v>
      </c>
      <c r="H516" s="2" t="s">
        <v>32</v>
      </c>
      <c r="I516" s="2">
        <v>48</v>
      </c>
      <c r="J516" s="2" t="s">
        <v>48</v>
      </c>
      <c r="K516" s="2" t="s">
        <v>1475</v>
      </c>
      <c r="L516" s="2" t="s">
        <v>24</v>
      </c>
      <c r="M516" s="2"/>
      <c r="N516" s="2"/>
    </row>
    <row r="517" spans="1:14" x14ac:dyDescent="0.25">
      <c r="A517" s="2" t="s">
        <v>1476</v>
      </c>
      <c r="B517" s="2" t="s">
        <v>1477</v>
      </c>
      <c r="C517" s="2" t="s">
        <v>53</v>
      </c>
      <c r="D517" s="2" t="s">
        <v>54</v>
      </c>
      <c r="E517" s="2" t="s">
        <v>38</v>
      </c>
      <c r="F517" s="2" t="s">
        <v>143</v>
      </c>
      <c r="G517" s="2" t="s">
        <v>97</v>
      </c>
      <c r="H517" s="2" t="s">
        <v>21</v>
      </c>
      <c r="I517" s="2">
        <v>24</v>
      </c>
      <c r="J517" s="2" t="s">
        <v>106</v>
      </c>
      <c r="K517" s="2" t="s">
        <v>1478</v>
      </c>
      <c r="L517" s="2" t="s">
        <v>24</v>
      </c>
      <c r="M517" s="2">
        <v>1</v>
      </c>
      <c r="N517" s="2" t="s">
        <v>34</v>
      </c>
    </row>
    <row r="518" spans="1:14" x14ac:dyDescent="0.25">
      <c r="A518" s="2" t="s">
        <v>1479</v>
      </c>
      <c r="B518" s="2" t="s">
        <v>1480</v>
      </c>
      <c r="C518" s="2" t="s">
        <v>28</v>
      </c>
      <c r="D518" s="2" t="s">
        <v>37</v>
      </c>
      <c r="E518" s="2" t="s">
        <v>85</v>
      </c>
      <c r="F518" s="2" t="s">
        <v>19</v>
      </c>
      <c r="G518" s="2" t="s">
        <v>179</v>
      </c>
      <c r="H518" s="2" t="s">
        <v>32</v>
      </c>
      <c r="I518" s="2">
        <v>48</v>
      </c>
      <c r="J518" s="2" t="s">
        <v>48</v>
      </c>
      <c r="K518" s="2" t="s">
        <v>1481</v>
      </c>
      <c r="L518" s="2" t="s">
        <v>24</v>
      </c>
      <c r="M518" s="2"/>
      <c r="N518" s="2" t="s">
        <v>118</v>
      </c>
    </row>
    <row r="519" spans="1:14" x14ac:dyDescent="0.25">
      <c r="A519" s="2" t="s">
        <v>1482</v>
      </c>
      <c r="B519" s="2" t="s">
        <v>1483</v>
      </c>
      <c r="C519" s="2" t="s">
        <v>16</v>
      </c>
      <c r="D519" s="2" t="s">
        <v>17</v>
      </c>
      <c r="E519" s="2" t="s">
        <v>38</v>
      </c>
      <c r="F519" s="2" t="s">
        <v>143</v>
      </c>
      <c r="G519" s="2" t="s">
        <v>101</v>
      </c>
      <c r="H519" s="2" t="s">
        <v>32</v>
      </c>
      <c r="I519" s="2">
        <v>48</v>
      </c>
      <c r="J519" s="2" t="s">
        <v>149</v>
      </c>
      <c r="K519" s="2"/>
      <c r="L519" s="2" t="s">
        <v>92</v>
      </c>
      <c r="M519" s="2"/>
      <c r="N519" s="2"/>
    </row>
    <row r="520" spans="1:14" x14ac:dyDescent="0.25">
      <c r="A520" s="2" t="s">
        <v>1484</v>
      </c>
      <c r="B520" s="2" t="s">
        <v>1485</v>
      </c>
      <c r="C520" s="2" t="s">
        <v>67</v>
      </c>
      <c r="D520" s="2" t="s">
        <v>68</v>
      </c>
      <c r="E520" s="2" t="s">
        <v>79</v>
      </c>
      <c r="F520" s="2" t="s">
        <v>19</v>
      </c>
      <c r="G520" s="2" t="s">
        <v>179</v>
      </c>
      <c r="H520" s="2" t="s">
        <v>21</v>
      </c>
      <c r="I520" s="2">
        <v>24</v>
      </c>
      <c r="J520" s="2" t="s">
        <v>41</v>
      </c>
      <c r="K520" s="2" t="s">
        <v>1486</v>
      </c>
      <c r="L520" s="2" t="s">
        <v>24</v>
      </c>
      <c r="M520" s="2">
        <v>3</v>
      </c>
      <c r="N520" s="2"/>
    </row>
    <row r="521" spans="1:14" x14ac:dyDescent="0.25">
      <c r="A521" s="2" t="s">
        <v>1487</v>
      </c>
      <c r="B521" s="2" t="s">
        <v>1488</v>
      </c>
      <c r="C521" s="2" t="s">
        <v>16</v>
      </c>
      <c r="D521" s="2" t="s">
        <v>17</v>
      </c>
      <c r="E521" s="2" t="s">
        <v>79</v>
      </c>
      <c r="F521" s="2" t="s">
        <v>30</v>
      </c>
      <c r="G521" s="2" t="s">
        <v>183</v>
      </c>
      <c r="H521" s="2" t="s">
        <v>21</v>
      </c>
      <c r="I521" s="2">
        <v>24</v>
      </c>
      <c r="J521" s="2" t="s">
        <v>232</v>
      </c>
      <c r="K521" s="2"/>
      <c r="L521" s="2" t="s">
        <v>92</v>
      </c>
      <c r="M521" s="2"/>
      <c r="N521" s="2"/>
    </row>
    <row r="522" spans="1:14" x14ac:dyDescent="0.25">
      <c r="A522" s="2" t="s">
        <v>1489</v>
      </c>
      <c r="B522" s="2" t="s">
        <v>1490</v>
      </c>
      <c r="C522" s="2" t="s">
        <v>53</v>
      </c>
      <c r="D522" s="2" t="s">
        <v>54</v>
      </c>
      <c r="E522" s="2" t="s">
        <v>46</v>
      </c>
      <c r="F522" s="2" t="s">
        <v>69</v>
      </c>
      <c r="G522" s="2" t="s">
        <v>110</v>
      </c>
      <c r="H522" s="2" t="s">
        <v>74</v>
      </c>
      <c r="I522" s="2">
        <v>8</v>
      </c>
      <c r="J522" s="2" t="s">
        <v>22</v>
      </c>
      <c r="K522" s="2" t="s">
        <v>1491</v>
      </c>
      <c r="L522" s="2" t="s">
        <v>24</v>
      </c>
      <c r="M522" s="2">
        <v>2</v>
      </c>
      <c r="N522" s="2" t="s">
        <v>128</v>
      </c>
    </row>
    <row r="523" spans="1:14" x14ac:dyDescent="0.25">
      <c r="A523" s="2" t="s">
        <v>1492</v>
      </c>
      <c r="B523" s="2" t="s">
        <v>1493</v>
      </c>
      <c r="C523" s="2" t="s">
        <v>67</v>
      </c>
      <c r="D523" s="2" t="s">
        <v>68</v>
      </c>
      <c r="E523" s="2" t="s">
        <v>38</v>
      </c>
      <c r="F523" s="2" t="s">
        <v>113</v>
      </c>
      <c r="G523" s="2" t="s">
        <v>158</v>
      </c>
      <c r="H523" s="2" t="s">
        <v>32</v>
      </c>
      <c r="I523" s="2">
        <v>48</v>
      </c>
      <c r="J523" s="2" t="s">
        <v>232</v>
      </c>
      <c r="K523" s="2"/>
      <c r="L523" s="2" t="s">
        <v>92</v>
      </c>
      <c r="M523" s="2"/>
      <c r="N523" s="2" t="s">
        <v>50</v>
      </c>
    </row>
    <row r="524" spans="1:14" x14ac:dyDescent="0.25">
      <c r="A524" s="2" t="s">
        <v>1494</v>
      </c>
      <c r="B524" s="2" t="s">
        <v>1495</v>
      </c>
      <c r="C524" s="2" t="s">
        <v>53</v>
      </c>
      <c r="D524" s="2" t="s">
        <v>54</v>
      </c>
      <c r="E524" s="2" t="s">
        <v>79</v>
      </c>
      <c r="F524" s="2" t="s">
        <v>55</v>
      </c>
      <c r="G524" s="2" t="s">
        <v>139</v>
      </c>
      <c r="H524" s="2" t="s">
        <v>32</v>
      </c>
      <c r="I524" s="2">
        <v>48</v>
      </c>
      <c r="J524" s="2" t="s">
        <v>75</v>
      </c>
      <c r="K524" s="2" t="s">
        <v>1496</v>
      </c>
      <c r="L524" s="2" t="s">
        <v>24</v>
      </c>
      <c r="M524" s="2"/>
      <c r="N524" s="2" t="s">
        <v>58</v>
      </c>
    </row>
    <row r="525" spans="1:14" x14ac:dyDescent="0.25">
      <c r="A525" s="2" t="s">
        <v>1497</v>
      </c>
      <c r="B525" s="2" t="s">
        <v>1498</v>
      </c>
      <c r="C525" s="2" t="s">
        <v>53</v>
      </c>
      <c r="D525" s="2" t="s">
        <v>771</v>
      </c>
      <c r="E525" s="2" t="s">
        <v>18</v>
      </c>
      <c r="F525" s="2" t="s">
        <v>30</v>
      </c>
      <c r="G525" s="2" t="s">
        <v>40</v>
      </c>
      <c r="H525" s="2" t="s">
        <v>21</v>
      </c>
      <c r="I525" s="2">
        <v>24</v>
      </c>
      <c r="J525" s="2" t="s">
        <v>22</v>
      </c>
      <c r="K525" s="2" t="s">
        <v>1499</v>
      </c>
      <c r="L525" s="2" t="s">
        <v>24</v>
      </c>
      <c r="M525" s="2"/>
      <c r="N525" s="2" t="s">
        <v>58</v>
      </c>
    </row>
    <row r="526" spans="1:14" x14ac:dyDescent="0.25">
      <c r="A526" s="2" t="s">
        <v>1500</v>
      </c>
      <c r="B526" s="2" t="s">
        <v>1501</v>
      </c>
      <c r="C526" s="2" t="s">
        <v>16</v>
      </c>
      <c r="D526" s="2" t="s">
        <v>84</v>
      </c>
      <c r="E526" s="2" t="s">
        <v>148</v>
      </c>
      <c r="F526" s="2" t="s">
        <v>96</v>
      </c>
      <c r="G526" s="2" t="s">
        <v>179</v>
      </c>
      <c r="H526" s="2" t="s">
        <v>74</v>
      </c>
      <c r="I526" s="2">
        <v>8</v>
      </c>
      <c r="J526" s="2" t="s">
        <v>486</v>
      </c>
      <c r="K526" s="2" t="s">
        <v>1502</v>
      </c>
      <c r="L526" s="2" t="s">
        <v>24</v>
      </c>
      <c r="M526" s="2"/>
      <c r="N526" s="2" t="s">
        <v>50</v>
      </c>
    </row>
    <row r="527" spans="1:14" x14ac:dyDescent="0.25">
      <c r="A527" s="2" t="s">
        <v>1503</v>
      </c>
      <c r="B527" s="2" t="s">
        <v>1504</v>
      </c>
      <c r="C527" s="2" t="s">
        <v>67</v>
      </c>
      <c r="D527" s="2" t="s">
        <v>68</v>
      </c>
      <c r="E527" s="2" t="s">
        <v>18</v>
      </c>
      <c r="F527" s="2" t="s">
        <v>39</v>
      </c>
      <c r="G527" s="2" t="s">
        <v>183</v>
      </c>
      <c r="H527" s="2" t="s">
        <v>32</v>
      </c>
      <c r="I527" s="2">
        <v>48</v>
      </c>
      <c r="J527" s="2" t="s">
        <v>155</v>
      </c>
      <c r="K527" s="2"/>
      <c r="L527" s="2" t="s">
        <v>24</v>
      </c>
      <c r="M527" s="2"/>
      <c r="N527" s="2"/>
    </row>
    <row r="528" spans="1:14" x14ac:dyDescent="0.25">
      <c r="A528" s="2" t="s">
        <v>1505</v>
      </c>
      <c r="B528" s="2" t="s">
        <v>1506</v>
      </c>
      <c r="C528" s="2" t="s">
        <v>53</v>
      </c>
      <c r="D528" s="2" t="s">
        <v>54</v>
      </c>
      <c r="E528" s="2" t="s">
        <v>148</v>
      </c>
      <c r="F528" s="2" t="s">
        <v>62</v>
      </c>
      <c r="G528" s="2" t="s">
        <v>20</v>
      </c>
      <c r="H528" s="2" t="s">
        <v>21</v>
      </c>
      <c r="I528" s="2">
        <v>24</v>
      </c>
      <c r="J528" s="2" t="s">
        <v>22</v>
      </c>
      <c r="K528" s="2" t="s">
        <v>1507</v>
      </c>
      <c r="L528" s="2" t="s">
        <v>24</v>
      </c>
      <c r="M528" s="2"/>
      <c r="N528" s="2"/>
    </row>
    <row r="529" spans="1:14" x14ac:dyDescent="0.25">
      <c r="A529" s="2" t="s">
        <v>1508</v>
      </c>
      <c r="B529" s="2" t="s">
        <v>1509</v>
      </c>
      <c r="C529" s="2" t="s">
        <v>67</v>
      </c>
      <c r="D529" s="2" t="s">
        <v>95</v>
      </c>
      <c r="E529" s="2" t="s">
        <v>90</v>
      </c>
      <c r="F529" s="2" t="s">
        <v>113</v>
      </c>
      <c r="G529" s="2" t="s">
        <v>31</v>
      </c>
      <c r="H529" s="2" t="s">
        <v>21</v>
      </c>
      <c r="I529" s="2">
        <v>24</v>
      </c>
      <c r="J529" s="2" t="s">
        <v>155</v>
      </c>
      <c r="K529" s="2"/>
      <c r="L529" s="2" t="s">
        <v>24</v>
      </c>
      <c r="M529" s="2"/>
      <c r="N529" s="2"/>
    </row>
    <row r="530" spans="1:14" x14ac:dyDescent="0.25">
      <c r="A530" s="2" t="s">
        <v>1510</v>
      </c>
      <c r="B530" s="2" t="s">
        <v>1511</v>
      </c>
      <c r="C530" s="2" t="s">
        <v>16</v>
      </c>
      <c r="D530" s="2" t="s">
        <v>84</v>
      </c>
      <c r="E530" s="2" t="s">
        <v>18</v>
      </c>
      <c r="F530" s="2" t="s">
        <v>143</v>
      </c>
      <c r="G530" s="2" t="s">
        <v>144</v>
      </c>
      <c r="H530" s="2" t="s">
        <v>80</v>
      </c>
      <c r="I530" s="2">
        <v>4</v>
      </c>
      <c r="J530" s="2" t="s">
        <v>41</v>
      </c>
      <c r="K530" s="2" t="s">
        <v>1512</v>
      </c>
      <c r="L530" s="2" t="s">
        <v>24</v>
      </c>
      <c r="M530" s="2">
        <v>5</v>
      </c>
      <c r="N530" s="2" t="s">
        <v>43</v>
      </c>
    </row>
    <row r="531" spans="1:14" x14ac:dyDescent="0.25">
      <c r="A531" s="2" t="s">
        <v>1513</v>
      </c>
      <c r="B531" s="2" t="s">
        <v>1514</v>
      </c>
      <c r="C531" s="2" t="s">
        <v>53</v>
      </c>
      <c r="D531" s="2" t="s">
        <v>61</v>
      </c>
      <c r="E531" s="2" t="s">
        <v>79</v>
      </c>
      <c r="F531" s="2" t="s">
        <v>55</v>
      </c>
      <c r="G531" s="2" t="s">
        <v>121</v>
      </c>
      <c r="H531" s="2" t="s">
        <v>74</v>
      </c>
      <c r="I531" s="2">
        <v>8</v>
      </c>
      <c r="J531" s="2" t="s">
        <v>22</v>
      </c>
      <c r="K531" s="2" t="s">
        <v>1515</v>
      </c>
      <c r="L531" s="2" t="s">
        <v>24</v>
      </c>
      <c r="M531" s="2">
        <v>5</v>
      </c>
      <c r="N531" s="2" t="s">
        <v>118</v>
      </c>
    </row>
    <row r="532" spans="1:14" x14ac:dyDescent="0.25">
      <c r="A532" s="2" t="s">
        <v>1516</v>
      </c>
      <c r="B532" s="2" t="s">
        <v>1517</v>
      </c>
      <c r="C532" s="2" t="s">
        <v>16</v>
      </c>
      <c r="D532" s="2" t="s">
        <v>17</v>
      </c>
      <c r="E532" s="2" t="s">
        <v>90</v>
      </c>
      <c r="F532" s="2" t="s">
        <v>143</v>
      </c>
      <c r="G532" s="2" t="s">
        <v>91</v>
      </c>
      <c r="H532" s="2" t="s">
        <v>32</v>
      </c>
      <c r="I532" s="2">
        <v>48</v>
      </c>
      <c r="J532" s="2" t="s">
        <v>75</v>
      </c>
      <c r="K532" s="2" t="s">
        <v>1518</v>
      </c>
      <c r="L532" s="2" t="s">
        <v>24</v>
      </c>
      <c r="M532" s="2">
        <v>5</v>
      </c>
      <c r="N532" s="2" t="s">
        <v>25</v>
      </c>
    </row>
    <row r="533" spans="1:14" x14ac:dyDescent="0.25">
      <c r="A533" s="2" t="s">
        <v>1519</v>
      </c>
      <c r="B533" s="2" t="s">
        <v>1520</v>
      </c>
      <c r="C533" s="2" t="s">
        <v>53</v>
      </c>
      <c r="D533" s="2" t="s">
        <v>61</v>
      </c>
      <c r="E533" s="2" t="s">
        <v>148</v>
      </c>
      <c r="F533" s="2" t="s">
        <v>62</v>
      </c>
      <c r="G533" s="2" t="s">
        <v>158</v>
      </c>
      <c r="H533" s="2" t="s">
        <v>80</v>
      </c>
      <c r="I533" s="2">
        <v>4</v>
      </c>
      <c r="J533" s="2" t="s">
        <v>56</v>
      </c>
      <c r="K533" s="2" t="s">
        <v>1521</v>
      </c>
      <c r="L533" s="2" t="s">
        <v>24</v>
      </c>
      <c r="M533" s="2"/>
      <c r="N533" s="2" t="s">
        <v>50</v>
      </c>
    </row>
    <row r="534" spans="1:14" x14ac:dyDescent="0.25">
      <c r="A534" s="2" t="s">
        <v>1522</v>
      </c>
      <c r="B534" s="2" t="s">
        <v>1523</v>
      </c>
      <c r="C534" s="2" t="s">
        <v>28</v>
      </c>
      <c r="D534" s="2" t="s">
        <v>100</v>
      </c>
      <c r="E534" s="2" t="s">
        <v>38</v>
      </c>
      <c r="F534" s="2" t="s">
        <v>30</v>
      </c>
      <c r="G534" s="2" t="s">
        <v>183</v>
      </c>
      <c r="H534" s="2" t="s">
        <v>32</v>
      </c>
      <c r="I534" s="2">
        <v>48</v>
      </c>
      <c r="J534" s="2" t="s">
        <v>48</v>
      </c>
      <c r="K534" s="2" t="s">
        <v>1524</v>
      </c>
      <c r="L534" s="2" t="s">
        <v>24</v>
      </c>
      <c r="M534" s="2">
        <v>4</v>
      </c>
      <c r="N534" s="2" t="s">
        <v>25</v>
      </c>
    </row>
    <row r="535" spans="1:14" x14ac:dyDescent="0.25">
      <c r="A535" s="2" t="s">
        <v>1525</v>
      </c>
      <c r="B535" s="2" t="s">
        <v>1526</v>
      </c>
      <c r="C535" s="2" t="s">
        <v>28</v>
      </c>
      <c r="D535" s="2" t="s">
        <v>100</v>
      </c>
      <c r="E535" s="2" t="s">
        <v>90</v>
      </c>
      <c r="F535" s="2" t="s">
        <v>143</v>
      </c>
      <c r="G535" s="2" t="s">
        <v>31</v>
      </c>
      <c r="H535" s="2" t="s">
        <v>21</v>
      </c>
      <c r="I535" s="2">
        <v>24</v>
      </c>
      <c r="J535" s="2" t="s">
        <v>145</v>
      </c>
      <c r="K535" s="2"/>
      <c r="L535" s="2" t="s">
        <v>24</v>
      </c>
      <c r="M535" s="2"/>
      <c r="N535" s="2"/>
    </row>
    <row r="536" spans="1:14" x14ac:dyDescent="0.25">
      <c r="A536" s="2" t="s">
        <v>1527</v>
      </c>
      <c r="B536" s="2" t="s">
        <v>1528</v>
      </c>
      <c r="C536" s="2" t="s">
        <v>67</v>
      </c>
      <c r="D536" s="2" t="s">
        <v>68</v>
      </c>
      <c r="E536" s="2" t="s">
        <v>85</v>
      </c>
      <c r="F536" s="2" t="s">
        <v>143</v>
      </c>
      <c r="G536" s="2" t="s">
        <v>135</v>
      </c>
      <c r="H536" s="2" t="s">
        <v>21</v>
      </c>
      <c r="I536" s="2">
        <v>24</v>
      </c>
      <c r="J536" s="2" t="s">
        <v>75</v>
      </c>
      <c r="K536" s="2" t="s">
        <v>1529</v>
      </c>
      <c r="L536" s="2" t="s">
        <v>24</v>
      </c>
      <c r="M536" s="2">
        <v>5</v>
      </c>
      <c r="N536" s="2" t="s">
        <v>50</v>
      </c>
    </row>
    <row r="537" spans="1:14" x14ac:dyDescent="0.25">
      <c r="A537" s="2" t="s">
        <v>1530</v>
      </c>
      <c r="B537" s="2" t="s">
        <v>1531</v>
      </c>
      <c r="C537" s="2" t="s">
        <v>53</v>
      </c>
      <c r="D537" s="2" t="s">
        <v>61</v>
      </c>
      <c r="E537" s="2" t="s">
        <v>18</v>
      </c>
      <c r="F537" s="2" t="s">
        <v>62</v>
      </c>
      <c r="G537" s="2" t="s">
        <v>97</v>
      </c>
      <c r="H537" s="2" t="s">
        <v>21</v>
      </c>
      <c r="I537" s="2">
        <v>24</v>
      </c>
      <c r="J537" s="2" t="s">
        <v>41</v>
      </c>
      <c r="K537" s="2" t="s">
        <v>1532</v>
      </c>
      <c r="L537" s="2" t="s">
        <v>24</v>
      </c>
      <c r="M537" s="2">
        <v>2</v>
      </c>
      <c r="N537" s="2" t="s">
        <v>43</v>
      </c>
    </row>
    <row r="538" spans="1:14" x14ac:dyDescent="0.25">
      <c r="A538" s="2" t="s">
        <v>1533</v>
      </c>
      <c r="B538" s="2" t="s">
        <v>1534</v>
      </c>
      <c r="C538" s="2" t="s">
        <v>67</v>
      </c>
      <c r="D538" s="2" t="s">
        <v>89</v>
      </c>
      <c r="E538" s="2" t="s">
        <v>148</v>
      </c>
      <c r="F538" s="2" t="s">
        <v>62</v>
      </c>
      <c r="G538" s="2" t="s">
        <v>31</v>
      </c>
      <c r="H538" s="2" t="s">
        <v>32</v>
      </c>
      <c r="I538" s="2">
        <v>48</v>
      </c>
      <c r="J538" s="2" t="s">
        <v>41</v>
      </c>
      <c r="K538" s="2" t="s">
        <v>1535</v>
      </c>
      <c r="L538" s="2" t="s">
        <v>24</v>
      </c>
      <c r="M538" s="2">
        <v>3</v>
      </c>
      <c r="N538" s="2" t="s">
        <v>43</v>
      </c>
    </row>
    <row r="539" spans="1:14" x14ac:dyDescent="0.25">
      <c r="A539" s="2" t="s">
        <v>1536</v>
      </c>
      <c r="B539" s="2" t="s">
        <v>1537</v>
      </c>
      <c r="C539" s="2" t="s">
        <v>67</v>
      </c>
      <c r="D539" s="2" t="s">
        <v>95</v>
      </c>
      <c r="E539" s="2" t="s">
        <v>85</v>
      </c>
      <c r="F539" s="2" t="s">
        <v>62</v>
      </c>
      <c r="G539" s="2" t="s">
        <v>40</v>
      </c>
      <c r="H539" s="2" t="s">
        <v>32</v>
      </c>
      <c r="I539" s="2">
        <v>48</v>
      </c>
      <c r="J539" s="2" t="s">
        <v>48</v>
      </c>
      <c r="K539" s="2" t="s">
        <v>1538</v>
      </c>
      <c r="L539" s="2" t="s">
        <v>24</v>
      </c>
      <c r="M539" s="2"/>
      <c r="N539" s="2" t="s">
        <v>25</v>
      </c>
    </row>
    <row r="540" spans="1:14" x14ac:dyDescent="0.25">
      <c r="A540" s="2" t="s">
        <v>1539</v>
      </c>
      <c r="B540" s="2" t="s">
        <v>1540</v>
      </c>
      <c r="C540" s="2" t="s">
        <v>28</v>
      </c>
      <c r="D540" s="2" t="s">
        <v>100</v>
      </c>
      <c r="E540" s="2" t="s">
        <v>148</v>
      </c>
      <c r="F540" s="2" t="s">
        <v>39</v>
      </c>
      <c r="G540" s="2" t="s">
        <v>144</v>
      </c>
      <c r="H540" s="2" t="s">
        <v>21</v>
      </c>
      <c r="I540" s="2">
        <v>24</v>
      </c>
      <c r="J540" s="2" t="s">
        <v>106</v>
      </c>
      <c r="K540" s="2" t="s">
        <v>1541</v>
      </c>
      <c r="L540" s="2" t="s">
        <v>24</v>
      </c>
      <c r="M540" s="2">
        <v>5</v>
      </c>
      <c r="N540" s="2" t="s">
        <v>118</v>
      </c>
    </row>
    <row r="541" spans="1:14" x14ac:dyDescent="0.25">
      <c r="A541" s="2" t="s">
        <v>1542</v>
      </c>
      <c r="B541" s="2" t="s">
        <v>1543</v>
      </c>
      <c r="C541" s="2" t="s">
        <v>53</v>
      </c>
      <c r="D541" s="2" t="s">
        <v>61</v>
      </c>
      <c r="E541" s="2" t="s">
        <v>148</v>
      </c>
      <c r="F541" s="2" t="s">
        <v>96</v>
      </c>
      <c r="G541" s="2" t="s">
        <v>121</v>
      </c>
      <c r="H541" s="2" t="s">
        <v>74</v>
      </c>
      <c r="I541" s="2">
        <v>8</v>
      </c>
      <c r="J541" s="2" t="s">
        <v>155</v>
      </c>
      <c r="K541" s="2"/>
      <c r="L541" s="2" t="s">
        <v>24</v>
      </c>
      <c r="M541" s="2"/>
      <c r="N541" s="2" t="s">
        <v>50</v>
      </c>
    </row>
    <row r="542" spans="1:14" x14ac:dyDescent="0.25">
      <c r="A542" s="2" t="s">
        <v>1544</v>
      </c>
      <c r="B542" s="2" t="s">
        <v>1545</v>
      </c>
      <c r="C542" s="2" t="s">
        <v>67</v>
      </c>
      <c r="D542" s="2" t="s">
        <v>95</v>
      </c>
      <c r="E542" s="2" t="s">
        <v>38</v>
      </c>
      <c r="F542" s="2" t="s">
        <v>113</v>
      </c>
      <c r="G542" s="2" t="s">
        <v>70</v>
      </c>
      <c r="H542" s="2" t="s">
        <v>74</v>
      </c>
      <c r="I542" s="2">
        <v>8</v>
      </c>
      <c r="J542" s="2" t="s">
        <v>22</v>
      </c>
      <c r="K542" s="2" t="s">
        <v>1546</v>
      </c>
      <c r="L542" s="2" t="s">
        <v>92</v>
      </c>
      <c r="M542" s="2">
        <v>2</v>
      </c>
      <c r="N542" s="2" t="s">
        <v>50</v>
      </c>
    </row>
    <row r="543" spans="1:14" x14ac:dyDescent="0.25">
      <c r="A543" s="2" t="s">
        <v>1547</v>
      </c>
      <c r="B543" s="2" t="s">
        <v>1548</v>
      </c>
      <c r="C543" s="2" t="s">
        <v>16</v>
      </c>
      <c r="D543" s="2" t="s">
        <v>17</v>
      </c>
      <c r="E543" s="2" t="s">
        <v>18</v>
      </c>
      <c r="F543" s="2" t="s">
        <v>125</v>
      </c>
      <c r="G543" s="2" t="s">
        <v>97</v>
      </c>
      <c r="H543" s="2" t="s">
        <v>21</v>
      </c>
      <c r="I543" s="2">
        <v>24</v>
      </c>
      <c r="J543" s="2" t="s">
        <v>41</v>
      </c>
      <c r="K543" s="2" t="s">
        <v>1549</v>
      </c>
      <c r="L543" s="2" t="s">
        <v>24</v>
      </c>
      <c r="M543" s="2"/>
      <c r="N543" s="2" t="s">
        <v>118</v>
      </c>
    </row>
    <row r="544" spans="1:14" x14ac:dyDescent="0.25">
      <c r="A544" s="2" t="s">
        <v>1550</v>
      </c>
      <c r="B544" s="2" t="s">
        <v>1551</v>
      </c>
      <c r="C544" s="2" t="s">
        <v>28</v>
      </c>
      <c r="D544" s="2" t="s">
        <v>100</v>
      </c>
      <c r="E544" s="2" t="s">
        <v>85</v>
      </c>
      <c r="F544" s="2" t="s">
        <v>125</v>
      </c>
      <c r="G544" s="2" t="s">
        <v>70</v>
      </c>
      <c r="H544" s="2" t="s">
        <v>32</v>
      </c>
      <c r="I544" s="2">
        <v>48</v>
      </c>
      <c r="J544" s="2" t="s">
        <v>106</v>
      </c>
      <c r="K544" s="2" t="s">
        <v>1552</v>
      </c>
      <c r="L544" s="2" t="s">
        <v>24</v>
      </c>
      <c r="M544" s="2">
        <v>4</v>
      </c>
      <c r="N544" s="2" t="s">
        <v>64</v>
      </c>
    </row>
    <row r="545" spans="1:14" x14ac:dyDescent="0.25">
      <c r="A545" s="2" t="s">
        <v>1553</v>
      </c>
      <c r="B545" s="2" t="s">
        <v>1554</v>
      </c>
      <c r="C545" s="2" t="s">
        <v>16</v>
      </c>
      <c r="D545" s="2" t="s">
        <v>84</v>
      </c>
      <c r="E545" s="2" t="s">
        <v>90</v>
      </c>
      <c r="F545" s="2" t="s">
        <v>30</v>
      </c>
      <c r="G545" s="2" t="s">
        <v>126</v>
      </c>
      <c r="H545" s="2" t="s">
        <v>32</v>
      </c>
      <c r="I545" s="2">
        <v>48</v>
      </c>
      <c r="J545" s="2" t="s">
        <v>145</v>
      </c>
      <c r="K545" s="2"/>
      <c r="L545" s="2" t="s">
        <v>24</v>
      </c>
      <c r="M545" s="2"/>
      <c r="N545" s="2" t="s">
        <v>118</v>
      </c>
    </row>
    <row r="546" spans="1:14" x14ac:dyDescent="0.25">
      <c r="A546" s="2" t="s">
        <v>1555</v>
      </c>
      <c r="B546" s="2" t="s">
        <v>1556</v>
      </c>
      <c r="C546" s="2" t="s">
        <v>16</v>
      </c>
      <c r="D546" s="2" t="s">
        <v>17</v>
      </c>
      <c r="E546" s="2" t="s">
        <v>46</v>
      </c>
      <c r="F546" s="2" t="s">
        <v>131</v>
      </c>
      <c r="G546" s="2" t="s">
        <v>91</v>
      </c>
      <c r="H546" s="2" t="s">
        <v>80</v>
      </c>
      <c r="I546" s="2">
        <v>4</v>
      </c>
      <c r="J546" s="2" t="s">
        <v>11</v>
      </c>
      <c r="K546" s="2"/>
      <c r="L546" s="2" t="s">
        <v>92</v>
      </c>
      <c r="M546" s="2"/>
      <c r="N546" s="2" t="s">
        <v>43</v>
      </c>
    </row>
    <row r="547" spans="1:14" x14ac:dyDescent="0.25">
      <c r="A547" s="2" t="s">
        <v>1557</v>
      </c>
      <c r="B547" s="2" t="s">
        <v>1558</v>
      </c>
      <c r="C547" s="2" t="s">
        <v>53</v>
      </c>
      <c r="D547" s="2" t="s">
        <v>54</v>
      </c>
      <c r="E547" s="2" t="s">
        <v>85</v>
      </c>
      <c r="F547" s="2" t="s">
        <v>30</v>
      </c>
      <c r="G547" s="2" t="s">
        <v>144</v>
      </c>
      <c r="H547" s="2" t="s">
        <v>80</v>
      </c>
      <c r="I547" s="2">
        <v>4</v>
      </c>
      <c r="J547" s="2" t="s">
        <v>106</v>
      </c>
      <c r="K547" s="2" t="s">
        <v>1559</v>
      </c>
      <c r="L547" s="2" t="s">
        <v>24</v>
      </c>
      <c r="M547" s="2">
        <v>1</v>
      </c>
      <c r="N547" s="2" t="s">
        <v>118</v>
      </c>
    </row>
    <row r="548" spans="1:14" x14ac:dyDescent="0.25">
      <c r="A548" s="2" t="s">
        <v>1560</v>
      </c>
      <c r="B548" s="2" t="s">
        <v>1561</v>
      </c>
      <c r="C548" s="2" t="s">
        <v>16</v>
      </c>
      <c r="D548" s="2" t="s">
        <v>84</v>
      </c>
      <c r="E548" s="2" t="s">
        <v>90</v>
      </c>
      <c r="F548" s="2" t="s">
        <v>113</v>
      </c>
      <c r="G548" s="2" t="s">
        <v>211</v>
      </c>
      <c r="H548" s="2" t="s">
        <v>32</v>
      </c>
      <c r="I548" s="2">
        <v>48</v>
      </c>
      <c r="J548" s="2" t="s">
        <v>187</v>
      </c>
      <c r="K548" s="2" t="s">
        <v>1562</v>
      </c>
      <c r="L548" s="2" t="s">
        <v>24</v>
      </c>
      <c r="M548" s="2">
        <v>2</v>
      </c>
      <c r="N548" s="2"/>
    </row>
    <row r="549" spans="1:14" x14ac:dyDescent="0.25">
      <c r="A549" s="2" t="s">
        <v>1563</v>
      </c>
      <c r="B549" s="2" t="s">
        <v>1564</v>
      </c>
      <c r="C549" s="2" t="s">
        <v>67</v>
      </c>
      <c r="D549" s="2" t="s">
        <v>95</v>
      </c>
      <c r="E549" s="2" t="s">
        <v>46</v>
      </c>
      <c r="F549" s="2" t="s">
        <v>47</v>
      </c>
      <c r="G549" s="2" t="s">
        <v>126</v>
      </c>
      <c r="H549" s="2" t="s">
        <v>32</v>
      </c>
      <c r="I549" s="2">
        <v>48</v>
      </c>
      <c r="J549" s="2" t="s">
        <v>22</v>
      </c>
      <c r="K549" s="2" t="s">
        <v>1565</v>
      </c>
      <c r="L549" s="2" t="s">
        <v>24</v>
      </c>
      <c r="M549" s="2"/>
      <c r="N549" s="2" t="s">
        <v>25</v>
      </c>
    </row>
    <row r="550" spans="1:14" x14ac:dyDescent="0.25">
      <c r="A550" s="2" t="s">
        <v>1566</v>
      </c>
      <c r="B550" s="2" t="s">
        <v>1567</v>
      </c>
      <c r="C550" s="2" t="s">
        <v>28</v>
      </c>
      <c r="D550" s="2" t="s">
        <v>220</v>
      </c>
      <c r="E550" s="2" t="s">
        <v>148</v>
      </c>
      <c r="F550" s="2" t="s">
        <v>143</v>
      </c>
      <c r="G550" s="2" t="s">
        <v>179</v>
      </c>
      <c r="H550" s="2" t="s">
        <v>21</v>
      </c>
      <c r="I550" s="2">
        <v>24</v>
      </c>
      <c r="J550" s="2" t="s">
        <v>41</v>
      </c>
      <c r="K550" s="2" t="s">
        <v>1568</v>
      </c>
      <c r="L550" s="2" t="s">
        <v>24</v>
      </c>
      <c r="M550" s="2">
        <v>4</v>
      </c>
      <c r="N550" s="2" t="s">
        <v>118</v>
      </c>
    </row>
    <row r="551" spans="1:14" x14ac:dyDescent="0.25">
      <c r="A551" s="2" t="s">
        <v>1569</v>
      </c>
      <c r="B551" s="2" t="s">
        <v>1570</v>
      </c>
      <c r="C551" s="2" t="s">
        <v>53</v>
      </c>
      <c r="D551" s="2" t="s">
        <v>54</v>
      </c>
      <c r="E551" s="2" t="s">
        <v>38</v>
      </c>
      <c r="F551" s="2" t="s">
        <v>47</v>
      </c>
      <c r="G551" s="2" t="s">
        <v>158</v>
      </c>
      <c r="H551" s="2" t="s">
        <v>32</v>
      </c>
      <c r="I551" s="2">
        <v>48</v>
      </c>
      <c r="J551" s="2" t="s">
        <v>11</v>
      </c>
      <c r="K551" s="2"/>
      <c r="L551" s="2" t="s">
        <v>92</v>
      </c>
      <c r="M551" s="2"/>
      <c r="N551" s="2"/>
    </row>
    <row r="552" spans="1:14" x14ac:dyDescent="0.25">
      <c r="A552" s="2" t="s">
        <v>1571</v>
      </c>
      <c r="B552" s="2" t="s">
        <v>1572</v>
      </c>
      <c r="C552" s="2" t="s">
        <v>28</v>
      </c>
      <c r="D552" s="2" t="s">
        <v>100</v>
      </c>
      <c r="E552" s="2" t="s">
        <v>18</v>
      </c>
      <c r="F552" s="2" t="s">
        <v>30</v>
      </c>
      <c r="G552" s="2" t="s">
        <v>70</v>
      </c>
      <c r="H552" s="2" t="s">
        <v>32</v>
      </c>
      <c r="I552" s="2">
        <v>48</v>
      </c>
      <c r="J552" s="2" t="s">
        <v>149</v>
      </c>
      <c r="K552" s="2"/>
      <c r="L552" s="2" t="s">
        <v>24</v>
      </c>
      <c r="M552" s="2"/>
      <c r="N552" s="2" t="s">
        <v>25</v>
      </c>
    </row>
    <row r="553" spans="1:14" x14ac:dyDescent="0.25">
      <c r="A553" s="2" t="s">
        <v>1573</v>
      </c>
      <c r="B553" s="2" t="s">
        <v>1574</v>
      </c>
      <c r="C553" s="2" t="s">
        <v>53</v>
      </c>
      <c r="D553" s="2" t="s">
        <v>54</v>
      </c>
      <c r="E553" s="2" t="s">
        <v>38</v>
      </c>
      <c r="F553" s="2" t="s">
        <v>143</v>
      </c>
      <c r="G553" s="2" t="s">
        <v>158</v>
      </c>
      <c r="H553" s="2" t="s">
        <v>21</v>
      </c>
      <c r="I553" s="2">
        <v>24</v>
      </c>
      <c r="J553" s="2" t="s">
        <v>200</v>
      </c>
      <c r="K553" s="2"/>
      <c r="L553" s="2" t="s">
        <v>92</v>
      </c>
      <c r="M553" s="2"/>
      <c r="N553" s="2" t="s">
        <v>128</v>
      </c>
    </row>
    <row r="554" spans="1:14" x14ac:dyDescent="0.25">
      <c r="A554" s="2" t="s">
        <v>1575</v>
      </c>
      <c r="B554" s="2" t="s">
        <v>1576</v>
      </c>
      <c r="C554" s="2" t="s">
        <v>67</v>
      </c>
      <c r="D554" s="2" t="s">
        <v>68</v>
      </c>
      <c r="E554" s="2" t="s">
        <v>18</v>
      </c>
      <c r="F554" s="2" t="s">
        <v>30</v>
      </c>
      <c r="G554" s="2" t="s">
        <v>135</v>
      </c>
      <c r="H554" s="2" t="s">
        <v>74</v>
      </c>
      <c r="I554" s="2">
        <v>8</v>
      </c>
      <c r="J554" s="2" t="s">
        <v>117</v>
      </c>
      <c r="K554" s="2"/>
      <c r="L554" s="2" t="s">
        <v>24</v>
      </c>
      <c r="M554" s="2"/>
      <c r="N554" s="2" t="s">
        <v>25</v>
      </c>
    </row>
    <row r="555" spans="1:14" x14ac:dyDescent="0.25">
      <c r="A555" s="2" t="s">
        <v>1577</v>
      </c>
      <c r="B555" s="2" t="s">
        <v>1578</v>
      </c>
      <c r="C555" s="2" t="s">
        <v>67</v>
      </c>
      <c r="D555" s="2" t="s">
        <v>68</v>
      </c>
      <c r="E555" s="2" t="s">
        <v>46</v>
      </c>
      <c r="F555" s="2" t="s">
        <v>69</v>
      </c>
      <c r="G555" s="2" t="s">
        <v>121</v>
      </c>
      <c r="H555" s="2" t="s">
        <v>74</v>
      </c>
      <c r="I555" s="2">
        <v>8</v>
      </c>
      <c r="J555" s="2" t="s">
        <v>41</v>
      </c>
      <c r="K555" s="2" t="s">
        <v>1579</v>
      </c>
      <c r="L555" s="2" t="s">
        <v>24</v>
      </c>
      <c r="M555" s="2">
        <v>2</v>
      </c>
      <c r="N555" s="2" t="s">
        <v>25</v>
      </c>
    </row>
    <row r="556" spans="1:14" x14ac:dyDescent="0.25">
      <c r="A556" s="2" t="s">
        <v>1580</v>
      </c>
      <c r="B556" s="2" t="s">
        <v>1581</v>
      </c>
      <c r="C556" s="2" t="s">
        <v>53</v>
      </c>
      <c r="D556" s="2" t="s">
        <v>61</v>
      </c>
      <c r="E556" s="2" t="s">
        <v>38</v>
      </c>
      <c r="F556" s="2" t="s">
        <v>55</v>
      </c>
      <c r="G556" s="2" t="s">
        <v>135</v>
      </c>
      <c r="H556" s="2" t="s">
        <v>21</v>
      </c>
      <c r="I556" s="2">
        <v>24</v>
      </c>
      <c r="J556" s="2" t="s">
        <v>187</v>
      </c>
      <c r="K556" s="2" t="s">
        <v>1582</v>
      </c>
      <c r="L556" s="2" t="s">
        <v>24</v>
      </c>
      <c r="M556" s="2">
        <v>4</v>
      </c>
      <c r="N556" s="2" t="s">
        <v>58</v>
      </c>
    </row>
    <row r="557" spans="1:14" x14ac:dyDescent="0.25">
      <c r="A557" s="2" t="s">
        <v>1583</v>
      </c>
      <c r="B557" s="2" t="s">
        <v>1584</v>
      </c>
      <c r="C557" s="2" t="s">
        <v>53</v>
      </c>
      <c r="D557" s="2" t="s">
        <v>54</v>
      </c>
      <c r="E557" s="2" t="s">
        <v>46</v>
      </c>
      <c r="F557" s="2" t="s">
        <v>69</v>
      </c>
      <c r="G557" s="2" t="s">
        <v>97</v>
      </c>
      <c r="H557" s="2" t="s">
        <v>74</v>
      </c>
      <c r="I557" s="2">
        <v>8</v>
      </c>
      <c r="J557" s="2" t="s">
        <v>155</v>
      </c>
      <c r="K557" s="2"/>
      <c r="L557" s="2" t="s">
        <v>24</v>
      </c>
      <c r="M557" s="2"/>
      <c r="N557" s="2" t="s">
        <v>128</v>
      </c>
    </row>
    <row r="558" spans="1:14" x14ac:dyDescent="0.25">
      <c r="A558" s="2" t="s">
        <v>1585</v>
      </c>
      <c r="B558" s="2" t="s">
        <v>1586</v>
      </c>
      <c r="C558" s="2" t="s">
        <v>28</v>
      </c>
      <c r="D558" s="2" t="s">
        <v>100</v>
      </c>
      <c r="E558" s="2" t="s">
        <v>90</v>
      </c>
      <c r="F558" s="2" t="s">
        <v>125</v>
      </c>
      <c r="G558" s="2" t="s">
        <v>135</v>
      </c>
      <c r="H558" s="2" t="s">
        <v>74</v>
      </c>
      <c r="I558" s="2">
        <v>8</v>
      </c>
      <c r="J558" s="2" t="s">
        <v>75</v>
      </c>
      <c r="K558" s="2" t="s">
        <v>1587</v>
      </c>
      <c r="L558" s="2" t="s">
        <v>24</v>
      </c>
      <c r="M558" s="2">
        <v>2</v>
      </c>
      <c r="N558" s="2"/>
    </row>
    <row r="559" spans="1:14" x14ac:dyDescent="0.25">
      <c r="A559" s="2" t="s">
        <v>1588</v>
      </c>
      <c r="B559" s="2" t="s">
        <v>1589</v>
      </c>
      <c r="C559" s="2" t="s">
        <v>53</v>
      </c>
      <c r="D559" s="2" t="s">
        <v>61</v>
      </c>
      <c r="E559" s="2" t="s">
        <v>18</v>
      </c>
      <c r="F559" s="2" t="s">
        <v>113</v>
      </c>
      <c r="G559" s="2" t="s">
        <v>31</v>
      </c>
      <c r="H559" s="2" t="s">
        <v>74</v>
      </c>
      <c r="I559" s="2">
        <v>8</v>
      </c>
      <c r="J559" s="2" t="s">
        <v>75</v>
      </c>
      <c r="K559" s="2" t="s">
        <v>1590</v>
      </c>
      <c r="L559" s="2" t="s">
        <v>24</v>
      </c>
      <c r="M559" s="2">
        <v>3</v>
      </c>
      <c r="N559" s="2"/>
    </row>
    <row r="560" spans="1:14" x14ac:dyDescent="0.25">
      <c r="A560" s="2" t="s">
        <v>1591</v>
      </c>
      <c r="B560" s="2" t="s">
        <v>1592</v>
      </c>
      <c r="C560" s="2" t="s">
        <v>67</v>
      </c>
      <c r="D560" s="2" t="s">
        <v>95</v>
      </c>
      <c r="E560" s="2" t="s">
        <v>38</v>
      </c>
      <c r="F560" s="2" t="s">
        <v>30</v>
      </c>
      <c r="G560" s="2" t="s">
        <v>144</v>
      </c>
      <c r="H560" s="2" t="s">
        <v>32</v>
      </c>
      <c r="I560" s="2">
        <v>48</v>
      </c>
      <c r="J560" s="2" t="s">
        <v>232</v>
      </c>
      <c r="K560" s="2"/>
      <c r="L560" s="2" t="s">
        <v>92</v>
      </c>
      <c r="M560" s="2"/>
      <c r="N560" s="2" t="s">
        <v>128</v>
      </c>
    </row>
    <row r="561" spans="1:14" x14ac:dyDescent="0.25">
      <c r="A561" s="2" t="s">
        <v>1593</v>
      </c>
      <c r="B561" s="2" t="s">
        <v>1594</v>
      </c>
      <c r="C561" s="2" t="s">
        <v>16</v>
      </c>
      <c r="D561" s="2" t="s">
        <v>84</v>
      </c>
      <c r="E561" s="2" t="s">
        <v>85</v>
      </c>
      <c r="F561" s="2" t="s">
        <v>19</v>
      </c>
      <c r="G561" s="2" t="s">
        <v>105</v>
      </c>
      <c r="H561" s="2" t="s">
        <v>21</v>
      </c>
      <c r="I561" s="2">
        <v>24</v>
      </c>
      <c r="J561" s="2" t="s">
        <v>145</v>
      </c>
      <c r="K561" s="2"/>
      <c r="L561" s="2" t="s">
        <v>24</v>
      </c>
      <c r="M561" s="2"/>
      <c r="N561" s="2"/>
    </row>
    <row r="562" spans="1:14" x14ac:dyDescent="0.25">
      <c r="A562" s="2" t="s">
        <v>1595</v>
      </c>
      <c r="B562" s="2" t="s">
        <v>1596</v>
      </c>
      <c r="C562" s="2" t="s">
        <v>16</v>
      </c>
      <c r="D562" s="2" t="s">
        <v>17</v>
      </c>
      <c r="E562" s="2" t="s">
        <v>18</v>
      </c>
      <c r="F562" s="2" t="s">
        <v>143</v>
      </c>
      <c r="G562" s="2" t="s">
        <v>135</v>
      </c>
      <c r="H562" s="2" t="s">
        <v>80</v>
      </c>
      <c r="I562" s="2">
        <v>4</v>
      </c>
      <c r="J562" s="2" t="s">
        <v>41</v>
      </c>
      <c r="K562" s="2" t="s">
        <v>1597</v>
      </c>
      <c r="L562" s="2" t="s">
        <v>24</v>
      </c>
      <c r="M562" s="2"/>
      <c r="N562" s="2" t="s">
        <v>118</v>
      </c>
    </row>
    <row r="563" spans="1:14" x14ac:dyDescent="0.25">
      <c r="A563" s="2" t="s">
        <v>1598</v>
      </c>
      <c r="B563" s="2" t="s">
        <v>1599</v>
      </c>
      <c r="C563" s="2" t="s">
        <v>28</v>
      </c>
      <c r="D563" s="2" t="s">
        <v>37</v>
      </c>
      <c r="E563" s="2" t="s">
        <v>38</v>
      </c>
      <c r="F563" s="2" t="s">
        <v>113</v>
      </c>
      <c r="G563" s="2" t="s">
        <v>101</v>
      </c>
      <c r="H563" s="2" t="s">
        <v>32</v>
      </c>
      <c r="I563" s="2">
        <v>48</v>
      </c>
      <c r="J563" s="2" t="s">
        <v>232</v>
      </c>
      <c r="K563" s="2"/>
      <c r="L563" s="2" t="s">
        <v>92</v>
      </c>
      <c r="M563" s="2"/>
      <c r="N563" s="2" t="s">
        <v>128</v>
      </c>
    </row>
    <row r="564" spans="1:14" x14ac:dyDescent="0.25">
      <c r="A564" s="2" t="s">
        <v>1600</v>
      </c>
      <c r="B564" s="2" t="s">
        <v>1601</v>
      </c>
      <c r="C564" s="2" t="s">
        <v>28</v>
      </c>
      <c r="D564" s="2" t="s">
        <v>100</v>
      </c>
      <c r="E564" s="2" t="s">
        <v>18</v>
      </c>
      <c r="F564" s="2" t="s">
        <v>19</v>
      </c>
      <c r="G564" s="2" t="s">
        <v>31</v>
      </c>
      <c r="H564" s="2" t="s">
        <v>21</v>
      </c>
      <c r="I564" s="2">
        <v>24</v>
      </c>
      <c r="J564" s="2" t="s">
        <v>41</v>
      </c>
      <c r="K564" s="2" t="s">
        <v>1602</v>
      </c>
      <c r="L564" s="2" t="s">
        <v>24</v>
      </c>
      <c r="M564" s="2"/>
      <c r="N564" s="2" t="s">
        <v>128</v>
      </c>
    </row>
    <row r="565" spans="1:14" x14ac:dyDescent="0.25">
      <c r="A565" s="2" t="s">
        <v>1603</v>
      </c>
      <c r="B565" s="2" t="s">
        <v>1604</v>
      </c>
      <c r="C565" s="2" t="s">
        <v>16</v>
      </c>
      <c r="D565" s="2" t="s">
        <v>17</v>
      </c>
      <c r="E565" s="2" t="s">
        <v>85</v>
      </c>
      <c r="F565" s="2" t="s">
        <v>62</v>
      </c>
      <c r="G565" s="2" t="s">
        <v>31</v>
      </c>
      <c r="H565" s="2" t="s">
        <v>32</v>
      </c>
      <c r="I565" s="2">
        <v>48</v>
      </c>
      <c r="J565" s="2" t="s">
        <v>22</v>
      </c>
      <c r="K565" s="2" t="s">
        <v>1605</v>
      </c>
      <c r="L565" s="2" t="s">
        <v>24</v>
      </c>
      <c r="M565" s="2">
        <v>5</v>
      </c>
      <c r="N565" s="2" t="s">
        <v>58</v>
      </c>
    </row>
    <row r="566" spans="1:14" x14ac:dyDescent="0.25">
      <c r="A566" s="2" t="s">
        <v>1606</v>
      </c>
      <c r="B566" s="2" t="s">
        <v>1607</v>
      </c>
      <c r="C566" s="2" t="s">
        <v>53</v>
      </c>
      <c r="D566" s="2" t="s">
        <v>54</v>
      </c>
      <c r="E566" s="2" t="s">
        <v>46</v>
      </c>
      <c r="F566" s="2" t="s">
        <v>96</v>
      </c>
      <c r="G566" s="2" t="s">
        <v>101</v>
      </c>
      <c r="H566" s="2" t="s">
        <v>32</v>
      </c>
      <c r="I566" s="2">
        <v>48</v>
      </c>
      <c r="J566" s="2" t="s">
        <v>11</v>
      </c>
      <c r="K566" s="2"/>
      <c r="L566" s="2" t="s">
        <v>92</v>
      </c>
      <c r="M566" s="2"/>
      <c r="N566" s="2" t="s">
        <v>64</v>
      </c>
    </row>
    <row r="567" spans="1:14" x14ac:dyDescent="0.25">
      <c r="A567" s="2" t="s">
        <v>1608</v>
      </c>
      <c r="B567" s="2" t="s">
        <v>1609</v>
      </c>
      <c r="C567" s="2" t="s">
        <v>28</v>
      </c>
      <c r="D567" s="2" t="s">
        <v>37</v>
      </c>
      <c r="E567" s="2" t="s">
        <v>90</v>
      </c>
      <c r="F567" s="2" t="s">
        <v>30</v>
      </c>
      <c r="G567" s="2" t="s">
        <v>105</v>
      </c>
      <c r="H567" s="2" t="s">
        <v>21</v>
      </c>
      <c r="I567" s="2">
        <v>24</v>
      </c>
      <c r="J567" s="2" t="s">
        <v>117</v>
      </c>
      <c r="K567" s="2"/>
      <c r="L567" s="2" t="s">
        <v>24</v>
      </c>
      <c r="M567" s="2"/>
      <c r="N567" s="2" t="s">
        <v>64</v>
      </c>
    </row>
    <row r="568" spans="1:14" x14ac:dyDescent="0.25">
      <c r="A568" s="2" t="s">
        <v>1610</v>
      </c>
      <c r="B568" s="2" t="s">
        <v>1611</v>
      </c>
      <c r="C568" s="2" t="s">
        <v>67</v>
      </c>
      <c r="D568" s="2" t="s">
        <v>95</v>
      </c>
      <c r="E568" s="2" t="s">
        <v>38</v>
      </c>
      <c r="F568" s="2" t="s">
        <v>47</v>
      </c>
      <c r="G568" s="2" t="s">
        <v>158</v>
      </c>
      <c r="H568" s="2" t="s">
        <v>74</v>
      </c>
      <c r="I568" s="2">
        <v>8</v>
      </c>
      <c r="J568" s="2" t="s">
        <v>48</v>
      </c>
      <c r="K568" s="2" t="s">
        <v>1612</v>
      </c>
      <c r="L568" s="2" t="s">
        <v>24</v>
      </c>
      <c r="M568" s="2">
        <v>4</v>
      </c>
      <c r="N568" s="2" t="s">
        <v>25</v>
      </c>
    </row>
    <row r="569" spans="1:14" x14ac:dyDescent="0.25">
      <c r="A569" s="2" t="s">
        <v>1613</v>
      </c>
      <c r="B569" s="2" t="s">
        <v>1614</v>
      </c>
      <c r="C569" s="2" t="s">
        <v>28</v>
      </c>
      <c r="D569" s="2" t="s">
        <v>100</v>
      </c>
      <c r="E569" s="2" t="s">
        <v>46</v>
      </c>
      <c r="F569" s="2" t="s">
        <v>62</v>
      </c>
      <c r="G569" s="2" t="s">
        <v>179</v>
      </c>
      <c r="H569" s="2" t="s">
        <v>32</v>
      </c>
      <c r="I569" s="2">
        <v>48</v>
      </c>
      <c r="J569" s="2" t="s">
        <v>41</v>
      </c>
      <c r="K569" s="2" t="s">
        <v>1615</v>
      </c>
      <c r="L569" s="2" t="s">
        <v>24</v>
      </c>
      <c r="M569" s="2"/>
      <c r="N569" s="2" t="s">
        <v>118</v>
      </c>
    </row>
    <row r="570" spans="1:14" x14ac:dyDescent="0.25">
      <c r="A570" s="2" t="s">
        <v>1616</v>
      </c>
      <c r="B570" s="2" t="s">
        <v>1617</v>
      </c>
      <c r="C570" s="2" t="s">
        <v>28</v>
      </c>
      <c r="D570" s="2" t="s">
        <v>29</v>
      </c>
      <c r="E570" s="2" t="s">
        <v>85</v>
      </c>
      <c r="F570" s="2" t="s">
        <v>62</v>
      </c>
      <c r="G570" s="2" t="s">
        <v>121</v>
      </c>
      <c r="H570" s="2" t="s">
        <v>21</v>
      </c>
      <c r="I570" s="2">
        <v>24</v>
      </c>
      <c r="J570" s="2" t="s">
        <v>191</v>
      </c>
      <c r="K570" s="2" t="s">
        <v>1618</v>
      </c>
      <c r="L570" s="2" t="s">
        <v>24</v>
      </c>
      <c r="M570" s="2"/>
      <c r="N570" s="2" t="s">
        <v>128</v>
      </c>
    </row>
    <row r="571" spans="1:14" x14ac:dyDescent="0.25">
      <c r="A571" s="2" t="s">
        <v>1619</v>
      </c>
      <c r="B571" s="2" t="s">
        <v>1620</v>
      </c>
      <c r="C571" s="2" t="s">
        <v>16</v>
      </c>
      <c r="D571" s="2" t="s">
        <v>84</v>
      </c>
      <c r="E571" s="2" t="s">
        <v>18</v>
      </c>
      <c r="F571" s="2" t="s">
        <v>19</v>
      </c>
      <c r="G571" s="2" t="s">
        <v>211</v>
      </c>
      <c r="H571" s="2" t="s">
        <v>21</v>
      </c>
      <c r="I571" s="2">
        <v>24</v>
      </c>
      <c r="J571" s="2" t="s">
        <v>145</v>
      </c>
      <c r="K571" s="2"/>
      <c r="L571" s="2" t="s">
        <v>24</v>
      </c>
      <c r="M571" s="2"/>
      <c r="N571" s="2"/>
    </row>
    <row r="572" spans="1:14" x14ac:dyDescent="0.25">
      <c r="A572" s="2" t="s">
        <v>1621</v>
      </c>
      <c r="B572" s="2" t="s">
        <v>1622</v>
      </c>
      <c r="C572" s="2" t="s">
        <v>28</v>
      </c>
      <c r="D572" s="2" t="s">
        <v>37</v>
      </c>
      <c r="E572" s="2" t="s">
        <v>38</v>
      </c>
      <c r="F572" s="2" t="s">
        <v>143</v>
      </c>
      <c r="G572" s="2" t="s">
        <v>101</v>
      </c>
      <c r="H572" s="2" t="s">
        <v>21</v>
      </c>
      <c r="I572" s="2">
        <v>24</v>
      </c>
      <c r="J572" s="2" t="s">
        <v>200</v>
      </c>
      <c r="K572" s="2"/>
      <c r="L572" s="2" t="s">
        <v>92</v>
      </c>
      <c r="M572" s="2"/>
      <c r="N572" s="2" t="s">
        <v>50</v>
      </c>
    </row>
    <row r="573" spans="1:14" x14ac:dyDescent="0.25">
      <c r="A573" s="2" t="s">
        <v>1623</v>
      </c>
      <c r="B573" s="2" t="s">
        <v>1624</v>
      </c>
      <c r="C573" s="2" t="s">
        <v>53</v>
      </c>
      <c r="D573" s="2" t="s">
        <v>54</v>
      </c>
      <c r="E573" s="2" t="s">
        <v>79</v>
      </c>
      <c r="F573" s="2" t="s">
        <v>62</v>
      </c>
      <c r="G573" s="2" t="s">
        <v>135</v>
      </c>
      <c r="H573" s="2" t="s">
        <v>21</v>
      </c>
      <c r="I573" s="2">
        <v>24</v>
      </c>
      <c r="J573" s="2" t="s">
        <v>41</v>
      </c>
      <c r="K573" s="2" t="s">
        <v>1625</v>
      </c>
      <c r="L573" s="2" t="s">
        <v>24</v>
      </c>
      <c r="M573" s="2">
        <v>4</v>
      </c>
      <c r="N573" s="2" t="s">
        <v>25</v>
      </c>
    </row>
    <row r="574" spans="1:14" x14ac:dyDescent="0.25">
      <c r="A574" s="2" t="s">
        <v>1626</v>
      </c>
      <c r="B574" s="2" t="s">
        <v>1627</v>
      </c>
      <c r="C574" s="2" t="s">
        <v>67</v>
      </c>
      <c r="D574" s="2" t="s">
        <v>95</v>
      </c>
      <c r="E574" s="2" t="s">
        <v>38</v>
      </c>
      <c r="F574" s="2" t="s">
        <v>62</v>
      </c>
      <c r="G574" s="2" t="s">
        <v>126</v>
      </c>
      <c r="H574" s="2" t="s">
        <v>21</v>
      </c>
      <c r="I574" s="2">
        <v>24</v>
      </c>
      <c r="J574" s="2" t="s">
        <v>41</v>
      </c>
      <c r="K574" s="2" t="s">
        <v>1628</v>
      </c>
      <c r="L574" s="2" t="s">
        <v>24</v>
      </c>
      <c r="M574" s="2">
        <v>2</v>
      </c>
      <c r="N574" s="2" t="s">
        <v>50</v>
      </c>
    </row>
    <row r="575" spans="1:14" x14ac:dyDescent="0.25">
      <c r="A575" s="2" t="s">
        <v>1629</v>
      </c>
      <c r="B575" s="2" t="s">
        <v>1630</v>
      </c>
      <c r="C575" s="2" t="s">
        <v>16</v>
      </c>
      <c r="D575" s="2" t="s">
        <v>17</v>
      </c>
      <c r="E575" s="2" t="s">
        <v>18</v>
      </c>
      <c r="F575" s="2" t="s">
        <v>143</v>
      </c>
      <c r="G575" s="2" t="s">
        <v>105</v>
      </c>
      <c r="H575" s="2" t="s">
        <v>21</v>
      </c>
      <c r="I575" s="2">
        <v>24</v>
      </c>
      <c r="J575" s="2" t="s">
        <v>287</v>
      </c>
      <c r="K575" s="2"/>
      <c r="L575" s="2" t="s">
        <v>24</v>
      </c>
      <c r="M575" s="2"/>
      <c r="N575" s="2" t="s">
        <v>128</v>
      </c>
    </row>
    <row r="576" spans="1:14" x14ac:dyDescent="0.25">
      <c r="A576" s="2" t="s">
        <v>1631</v>
      </c>
      <c r="B576" s="2" t="s">
        <v>1632</v>
      </c>
      <c r="C576" s="2" t="s">
        <v>28</v>
      </c>
      <c r="D576" s="2" t="s">
        <v>100</v>
      </c>
      <c r="E576" s="2" t="s">
        <v>79</v>
      </c>
      <c r="F576" s="2" t="s">
        <v>47</v>
      </c>
      <c r="G576" s="2" t="s">
        <v>20</v>
      </c>
      <c r="H576" s="2" t="s">
        <v>80</v>
      </c>
      <c r="I576" s="2">
        <v>4</v>
      </c>
      <c r="J576" s="2" t="s">
        <v>106</v>
      </c>
      <c r="K576" s="2" t="s">
        <v>1633</v>
      </c>
      <c r="L576" s="2" t="s">
        <v>24</v>
      </c>
      <c r="M576" s="2">
        <v>4</v>
      </c>
      <c r="N576" s="2" t="s">
        <v>50</v>
      </c>
    </row>
    <row r="577" spans="1:14" x14ac:dyDescent="0.25">
      <c r="A577" s="2" t="s">
        <v>1634</v>
      </c>
      <c r="B577" s="2" t="s">
        <v>1635</v>
      </c>
      <c r="C577" s="2" t="s">
        <v>28</v>
      </c>
      <c r="D577" s="2" t="s">
        <v>100</v>
      </c>
      <c r="E577" s="2" t="s">
        <v>90</v>
      </c>
      <c r="F577" s="2" t="s">
        <v>30</v>
      </c>
      <c r="G577" s="2" t="s">
        <v>40</v>
      </c>
      <c r="H577" s="2" t="s">
        <v>32</v>
      </c>
      <c r="I577" s="2">
        <v>48</v>
      </c>
      <c r="J577" s="2" t="s">
        <v>48</v>
      </c>
      <c r="K577" s="2" t="s">
        <v>1636</v>
      </c>
      <c r="L577" s="2" t="s">
        <v>24</v>
      </c>
      <c r="M577" s="2">
        <v>3</v>
      </c>
      <c r="N577" s="2" t="s">
        <v>64</v>
      </c>
    </row>
    <row r="578" spans="1:14" x14ac:dyDescent="0.25">
      <c r="A578" s="2" t="s">
        <v>1637</v>
      </c>
      <c r="B578" s="2" t="s">
        <v>1638</v>
      </c>
      <c r="C578" s="2" t="s">
        <v>16</v>
      </c>
      <c r="D578" s="2" t="s">
        <v>84</v>
      </c>
      <c r="E578" s="2" t="s">
        <v>85</v>
      </c>
      <c r="F578" s="2" t="s">
        <v>131</v>
      </c>
      <c r="G578" s="2" t="s">
        <v>105</v>
      </c>
      <c r="H578" s="2" t="s">
        <v>80</v>
      </c>
      <c r="I578" s="2">
        <v>4</v>
      </c>
      <c r="J578" s="2" t="s">
        <v>41</v>
      </c>
      <c r="K578" s="2" t="s">
        <v>1639</v>
      </c>
      <c r="L578" s="2" t="s">
        <v>24</v>
      </c>
      <c r="M578" s="2"/>
      <c r="N578" s="2" t="s">
        <v>58</v>
      </c>
    </row>
    <row r="579" spans="1:14" x14ac:dyDescent="0.25">
      <c r="A579" s="2" t="s">
        <v>1640</v>
      </c>
      <c r="B579" s="2" t="s">
        <v>1641</v>
      </c>
      <c r="C579" s="2" t="s">
        <v>28</v>
      </c>
      <c r="D579" s="2" t="s">
        <v>37</v>
      </c>
      <c r="E579" s="2" t="s">
        <v>148</v>
      </c>
      <c r="F579" s="2" t="s">
        <v>143</v>
      </c>
      <c r="G579" s="2" t="s">
        <v>183</v>
      </c>
      <c r="H579" s="2" t="s">
        <v>80</v>
      </c>
      <c r="I579" s="2">
        <v>4</v>
      </c>
      <c r="J579" s="2" t="s">
        <v>41</v>
      </c>
      <c r="K579" s="2" t="s">
        <v>1642</v>
      </c>
      <c r="L579" s="2" t="s">
        <v>24</v>
      </c>
      <c r="M579" s="2"/>
      <c r="N579" s="2" t="s">
        <v>25</v>
      </c>
    </row>
    <row r="580" spans="1:14" x14ac:dyDescent="0.25">
      <c r="A580" s="2" t="s">
        <v>1643</v>
      </c>
      <c r="B580" s="2" t="s">
        <v>1644</v>
      </c>
      <c r="C580" s="2" t="s">
        <v>67</v>
      </c>
      <c r="D580" s="2" t="s">
        <v>95</v>
      </c>
      <c r="E580" s="2" t="s">
        <v>79</v>
      </c>
      <c r="F580" s="2" t="s">
        <v>39</v>
      </c>
      <c r="G580" s="2" t="s">
        <v>110</v>
      </c>
      <c r="H580" s="2" t="s">
        <v>80</v>
      </c>
      <c r="I580" s="2">
        <v>4</v>
      </c>
      <c r="J580" s="2" t="s">
        <v>106</v>
      </c>
      <c r="K580" s="2" t="s">
        <v>1645</v>
      </c>
      <c r="L580" s="2" t="s">
        <v>24</v>
      </c>
      <c r="M580" s="2"/>
      <c r="N580" s="2" t="s">
        <v>43</v>
      </c>
    </row>
    <row r="581" spans="1:14" x14ac:dyDescent="0.25">
      <c r="A581" s="2" t="s">
        <v>1646</v>
      </c>
      <c r="B581" s="2" t="s">
        <v>1647</v>
      </c>
      <c r="C581" s="2" t="s">
        <v>67</v>
      </c>
      <c r="D581" s="2" t="s">
        <v>68</v>
      </c>
      <c r="E581" s="2" t="s">
        <v>38</v>
      </c>
      <c r="F581" s="2" t="s">
        <v>19</v>
      </c>
      <c r="G581" s="2" t="s">
        <v>97</v>
      </c>
      <c r="H581" s="2" t="s">
        <v>32</v>
      </c>
      <c r="I581" s="2">
        <v>48</v>
      </c>
      <c r="J581" s="2" t="s">
        <v>22</v>
      </c>
      <c r="K581" s="2" t="s">
        <v>1648</v>
      </c>
      <c r="L581" s="2" t="s">
        <v>24</v>
      </c>
      <c r="M581" s="2">
        <v>4</v>
      </c>
      <c r="N581" s="2" t="s">
        <v>64</v>
      </c>
    </row>
    <row r="582" spans="1:14" x14ac:dyDescent="0.25">
      <c r="A582" s="2" t="s">
        <v>1649</v>
      </c>
      <c r="B582" s="2" t="s">
        <v>1650</v>
      </c>
      <c r="C582" s="2" t="s">
        <v>67</v>
      </c>
      <c r="D582" s="2" t="s">
        <v>68</v>
      </c>
      <c r="E582" s="2" t="s">
        <v>148</v>
      </c>
      <c r="F582" s="2" t="s">
        <v>125</v>
      </c>
      <c r="G582" s="2" t="s">
        <v>211</v>
      </c>
      <c r="H582" s="2" t="s">
        <v>74</v>
      </c>
      <c r="I582" s="2">
        <v>8</v>
      </c>
      <c r="J582" s="2" t="s">
        <v>117</v>
      </c>
      <c r="K582" s="2"/>
      <c r="L582" s="2" t="s">
        <v>24</v>
      </c>
      <c r="M582" s="2"/>
      <c r="N582" s="2" t="s">
        <v>50</v>
      </c>
    </row>
    <row r="583" spans="1:14" x14ac:dyDescent="0.25">
      <c r="A583" s="2" t="s">
        <v>1651</v>
      </c>
      <c r="B583" s="2" t="s">
        <v>1652</v>
      </c>
      <c r="C583" s="2" t="s">
        <v>67</v>
      </c>
      <c r="D583" s="2" t="s">
        <v>95</v>
      </c>
      <c r="E583" s="2" t="s">
        <v>90</v>
      </c>
      <c r="F583" s="2" t="s">
        <v>62</v>
      </c>
      <c r="G583" s="2" t="s">
        <v>20</v>
      </c>
      <c r="H583" s="2" t="s">
        <v>32</v>
      </c>
      <c r="I583" s="2">
        <v>48</v>
      </c>
      <c r="J583" s="2" t="s">
        <v>106</v>
      </c>
      <c r="K583" s="2" t="s">
        <v>1653</v>
      </c>
      <c r="L583" s="2" t="s">
        <v>24</v>
      </c>
      <c r="M583" s="2">
        <v>4</v>
      </c>
      <c r="N583" s="2" t="s">
        <v>58</v>
      </c>
    </row>
    <row r="584" spans="1:14" x14ac:dyDescent="0.25">
      <c r="A584" s="2" t="s">
        <v>1654</v>
      </c>
      <c r="B584" s="2" t="s">
        <v>1655</v>
      </c>
      <c r="C584" s="2" t="s">
        <v>67</v>
      </c>
      <c r="D584" s="2" t="s">
        <v>95</v>
      </c>
      <c r="E584" s="2" t="s">
        <v>46</v>
      </c>
      <c r="F584" s="2" t="s">
        <v>69</v>
      </c>
      <c r="G584" s="2" t="s">
        <v>139</v>
      </c>
      <c r="H584" s="2" t="s">
        <v>21</v>
      </c>
      <c r="I584" s="2">
        <v>24</v>
      </c>
      <c r="J584" s="2" t="s">
        <v>191</v>
      </c>
      <c r="K584" s="2" t="s">
        <v>1656</v>
      </c>
      <c r="L584" s="2" t="s">
        <v>24</v>
      </c>
      <c r="M584" s="2"/>
      <c r="N584" s="2" t="s">
        <v>118</v>
      </c>
    </row>
    <row r="585" spans="1:14" x14ac:dyDescent="0.25">
      <c r="A585" s="2" t="s">
        <v>1657</v>
      </c>
      <c r="B585" s="2" t="s">
        <v>1658</v>
      </c>
      <c r="C585" s="2" t="s">
        <v>67</v>
      </c>
      <c r="D585" s="2" t="s">
        <v>68</v>
      </c>
      <c r="E585" s="2" t="s">
        <v>18</v>
      </c>
      <c r="F585" s="2" t="s">
        <v>62</v>
      </c>
      <c r="G585" s="2" t="s">
        <v>121</v>
      </c>
      <c r="H585" s="2" t="s">
        <v>21</v>
      </c>
      <c r="I585" s="2">
        <v>24</v>
      </c>
      <c r="J585" s="2" t="s">
        <v>56</v>
      </c>
      <c r="K585" s="2" t="s">
        <v>1659</v>
      </c>
      <c r="L585" s="2" t="s">
        <v>24</v>
      </c>
      <c r="M585" s="2"/>
      <c r="N585" s="2"/>
    </row>
    <row r="586" spans="1:14" x14ac:dyDescent="0.25">
      <c r="A586" s="2" t="s">
        <v>1660</v>
      </c>
      <c r="B586" s="2" t="s">
        <v>1661</v>
      </c>
      <c r="C586" s="2" t="s">
        <v>67</v>
      </c>
      <c r="D586" s="2" t="s">
        <v>95</v>
      </c>
      <c r="E586" s="2" t="s">
        <v>38</v>
      </c>
      <c r="F586" s="2" t="s">
        <v>30</v>
      </c>
      <c r="G586" s="2" t="s">
        <v>211</v>
      </c>
      <c r="H586" s="2" t="s">
        <v>21</v>
      </c>
      <c r="I586" s="2">
        <v>24</v>
      </c>
      <c r="J586" s="2" t="s">
        <v>41</v>
      </c>
      <c r="K586" s="2" t="s">
        <v>1662</v>
      </c>
      <c r="L586" s="2" t="s">
        <v>24</v>
      </c>
      <c r="M586" s="2"/>
      <c r="N586" s="2"/>
    </row>
    <row r="587" spans="1:14" x14ac:dyDescent="0.25">
      <c r="A587" s="2" t="s">
        <v>1663</v>
      </c>
      <c r="B587" s="2" t="s">
        <v>1664</v>
      </c>
      <c r="C587" s="2" t="s">
        <v>28</v>
      </c>
      <c r="D587" s="2" t="s">
        <v>37</v>
      </c>
      <c r="E587" s="2" t="s">
        <v>79</v>
      </c>
      <c r="F587" s="2" t="s">
        <v>131</v>
      </c>
      <c r="G587" s="2" t="s">
        <v>121</v>
      </c>
      <c r="H587" s="2" t="s">
        <v>32</v>
      </c>
      <c r="I587" s="2">
        <v>48</v>
      </c>
      <c r="J587" s="2" t="s">
        <v>22</v>
      </c>
      <c r="K587" s="2" t="s">
        <v>1665</v>
      </c>
      <c r="L587" s="2" t="s">
        <v>24</v>
      </c>
      <c r="M587" s="2"/>
      <c r="N587" s="2" t="s">
        <v>64</v>
      </c>
    </row>
    <row r="588" spans="1:14" x14ac:dyDescent="0.25">
      <c r="A588" s="2" t="s">
        <v>1666</v>
      </c>
      <c r="B588" s="2" t="s">
        <v>1667</v>
      </c>
      <c r="C588" s="2" t="s">
        <v>67</v>
      </c>
      <c r="D588" s="2" t="s">
        <v>95</v>
      </c>
      <c r="E588" s="2" t="s">
        <v>46</v>
      </c>
      <c r="F588" s="2" t="s">
        <v>125</v>
      </c>
      <c r="G588" s="2" t="s">
        <v>91</v>
      </c>
      <c r="H588" s="2" t="s">
        <v>21</v>
      </c>
      <c r="I588" s="2">
        <v>24</v>
      </c>
      <c r="J588" s="2" t="s">
        <v>22</v>
      </c>
      <c r="K588" s="2" t="s">
        <v>1668</v>
      </c>
      <c r="L588" s="2" t="s">
        <v>24</v>
      </c>
      <c r="M588" s="2">
        <v>5</v>
      </c>
      <c r="N588" s="2" t="s">
        <v>43</v>
      </c>
    </row>
    <row r="589" spans="1:14" x14ac:dyDescent="0.25">
      <c r="A589" s="2" t="s">
        <v>1669</v>
      </c>
      <c r="B589" s="2" t="s">
        <v>1670</v>
      </c>
      <c r="C589" s="2" t="s">
        <v>28</v>
      </c>
      <c r="D589" s="2" t="s">
        <v>37</v>
      </c>
      <c r="E589" s="2" t="s">
        <v>79</v>
      </c>
      <c r="F589" s="2" t="s">
        <v>96</v>
      </c>
      <c r="G589" s="2" t="s">
        <v>139</v>
      </c>
      <c r="H589" s="2" t="s">
        <v>21</v>
      </c>
      <c r="I589" s="2">
        <v>24</v>
      </c>
      <c r="J589" s="2" t="s">
        <v>33</v>
      </c>
      <c r="K589" s="2"/>
      <c r="L589" s="2" t="s">
        <v>24</v>
      </c>
      <c r="M589" s="2"/>
      <c r="N589" s="2" t="s">
        <v>58</v>
      </c>
    </row>
    <row r="590" spans="1:14" x14ac:dyDescent="0.25">
      <c r="A590" s="2" t="s">
        <v>1671</v>
      </c>
      <c r="B590" s="2" t="s">
        <v>1672</v>
      </c>
      <c r="C590" s="2" t="s">
        <v>16</v>
      </c>
      <c r="D590" s="2" t="s">
        <v>84</v>
      </c>
      <c r="E590" s="2" t="s">
        <v>90</v>
      </c>
      <c r="F590" s="2" t="s">
        <v>55</v>
      </c>
      <c r="G590" s="2" t="s">
        <v>101</v>
      </c>
      <c r="H590" s="2" t="s">
        <v>21</v>
      </c>
      <c r="I590" s="2">
        <v>24</v>
      </c>
      <c r="J590" s="2" t="s">
        <v>48</v>
      </c>
      <c r="K590" s="2" t="s">
        <v>1673</v>
      </c>
      <c r="L590" s="2" t="s">
        <v>24</v>
      </c>
      <c r="M590" s="2">
        <v>2</v>
      </c>
      <c r="N590" s="2"/>
    </row>
    <row r="591" spans="1:14" x14ac:dyDescent="0.25">
      <c r="A591" s="2" t="s">
        <v>1674</v>
      </c>
      <c r="B591" s="2" t="s">
        <v>1675</v>
      </c>
      <c r="C591" s="2" t="s">
        <v>67</v>
      </c>
      <c r="D591" s="2" t="s">
        <v>68</v>
      </c>
      <c r="E591" s="2" t="s">
        <v>90</v>
      </c>
      <c r="F591" s="2" t="s">
        <v>131</v>
      </c>
      <c r="G591" s="2" t="s">
        <v>97</v>
      </c>
      <c r="H591" s="2" t="s">
        <v>80</v>
      </c>
      <c r="I591" s="2">
        <v>4</v>
      </c>
      <c r="J591" s="2" t="s">
        <v>11</v>
      </c>
      <c r="K591" s="2"/>
      <c r="L591" s="2" t="s">
        <v>92</v>
      </c>
      <c r="M591" s="2"/>
      <c r="N591" s="2" t="s">
        <v>25</v>
      </c>
    </row>
    <row r="592" spans="1:14" x14ac:dyDescent="0.25">
      <c r="A592" s="2" t="s">
        <v>1676</v>
      </c>
      <c r="B592" s="2" t="s">
        <v>1677</v>
      </c>
      <c r="C592" s="2" t="s">
        <v>67</v>
      </c>
      <c r="D592" s="2" t="s">
        <v>95</v>
      </c>
      <c r="E592" s="2" t="s">
        <v>18</v>
      </c>
      <c r="F592" s="2" t="s">
        <v>143</v>
      </c>
      <c r="G592" s="2" t="s">
        <v>144</v>
      </c>
      <c r="H592" s="2" t="s">
        <v>74</v>
      </c>
      <c r="I592" s="2">
        <v>8</v>
      </c>
      <c r="J592" s="2" t="s">
        <v>48</v>
      </c>
      <c r="K592" s="2" t="s">
        <v>1678</v>
      </c>
      <c r="L592" s="2" t="s">
        <v>24</v>
      </c>
      <c r="M592" s="2"/>
      <c r="N592" s="2" t="s">
        <v>50</v>
      </c>
    </row>
    <row r="593" spans="1:14" x14ac:dyDescent="0.25">
      <c r="A593" s="2" t="s">
        <v>1679</v>
      </c>
      <c r="B593" s="2" t="s">
        <v>1680</v>
      </c>
      <c r="C593" s="2" t="s">
        <v>67</v>
      </c>
      <c r="D593" s="2" t="s">
        <v>95</v>
      </c>
      <c r="E593" s="2" t="s">
        <v>79</v>
      </c>
      <c r="F593" s="2" t="s">
        <v>113</v>
      </c>
      <c r="G593" s="2" t="s">
        <v>70</v>
      </c>
      <c r="H593" s="2" t="s">
        <v>21</v>
      </c>
      <c r="I593" s="2">
        <v>24</v>
      </c>
      <c r="J593" s="2" t="s">
        <v>22</v>
      </c>
      <c r="K593" s="2" t="s">
        <v>1681</v>
      </c>
      <c r="L593" s="2" t="s">
        <v>24</v>
      </c>
      <c r="M593" s="2">
        <v>3</v>
      </c>
      <c r="N593" s="2" t="s">
        <v>34</v>
      </c>
    </row>
    <row r="594" spans="1:14" x14ac:dyDescent="0.25">
      <c r="A594" s="2" t="s">
        <v>1682</v>
      </c>
      <c r="B594" s="2" t="s">
        <v>1683</v>
      </c>
      <c r="C594" s="2" t="s">
        <v>16</v>
      </c>
      <c r="D594" s="2" t="s">
        <v>84</v>
      </c>
      <c r="E594" s="2" t="s">
        <v>46</v>
      </c>
      <c r="F594" s="2" t="s">
        <v>96</v>
      </c>
      <c r="G594" s="2" t="s">
        <v>211</v>
      </c>
      <c r="H594" s="2" t="s">
        <v>74</v>
      </c>
      <c r="I594" s="2">
        <v>8</v>
      </c>
      <c r="J594" s="2" t="s">
        <v>187</v>
      </c>
      <c r="K594" s="2" t="s">
        <v>1684</v>
      </c>
      <c r="L594" s="2" t="s">
        <v>24</v>
      </c>
      <c r="M594" s="2">
        <v>5</v>
      </c>
      <c r="N594" s="2" t="s">
        <v>118</v>
      </c>
    </row>
    <row r="595" spans="1:14" x14ac:dyDescent="0.25">
      <c r="A595" s="2" t="s">
        <v>1685</v>
      </c>
      <c r="B595" s="2" t="s">
        <v>1686</v>
      </c>
      <c r="C595" s="2" t="s">
        <v>67</v>
      </c>
      <c r="D595" s="2" t="s">
        <v>68</v>
      </c>
      <c r="E595" s="2" t="s">
        <v>90</v>
      </c>
      <c r="F595" s="2" t="s">
        <v>143</v>
      </c>
      <c r="G595" s="2" t="s">
        <v>105</v>
      </c>
      <c r="H595" s="2" t="s">
        <v>21</v>
      </c>
      <c r="I595" s="2">
        <v>24</v>
      </c>
      <c r="J595" s="2" t="s">
        <v>106</v>
      </c>
      <c r="K595" s="2" t="s">
        <v>1687</v>
      </c>
      <c r="L595" s="2" t="s">
        <v>24</v>
      </c>
      <c r="M595" s="2"/>
      <c r="N595" s="2" t="s">
        <v>58</v>
      </c>
    </row>
    <row r="596" spans="1:14" x14ac:dyDescent="0.25">
      <c r="A596" s="2" t="s">
        <v>1688</v>
      </c>
      <c r="B596" s="2" t="s">
        <v>1689</v>
      </c>
      <c r="C596" s="2" t="s">
        <v>67</v>
      </c>
      <c r="D596" s="2" t="s">
        <v>68</v>
      </c>
      <c r="E596" s="2" t="s">
        <v>46</v>
      </c>
      <c r="F596" s="2" t="s">
        <v>19</v>
      </c>
      <c r="G596" s="2" t="s">
        <v>70</v>
      </c>
      <c r="H596" s="2" t="s">
        <v>80</v>
      </c>
      <c r="I596" s="2">
        <v>4</v>
      </c>
      <c r="J596" s="2" t="s">
        <v>22</v>
      </c>
      <c r="K596" s="2" t="s">
        <v>1690</v>
      </c>
      <c r="L596" s="2" t="s">
        <v>92</v>
      </c>
      <c r="M596" s="2">
        <v>3</v>
      </c>
      <c r="N596" s="2" t="s">
        <v>118</v>
      </c>
    </row>
    <row r="597" spans="1:14" x14ac:dyDescent="0.25">
      <c r="A597" s="2" t="s">
        <v>1691</v>
      </c>
      <c r="B597" s="2" t="s">
        <v>1692</v>
      </c>
      <c r="C597" s="2" t="s">
        <v>67</v>
      </c>
      <c r="D597" s="2" t="s">
        <v>68</v>
      </c>
      <c r="E597" s="2" t="s">
        <v>148</v>
      </c>
      <c r="F597" s="2" t="s">
        <v>143</v>
      </c>
      <c r="G597" s="2" t="s">
        <v>139</v>
      </c>
      <c r="H597" s="2" t="s">
        <v>32</v>
      </c>
      <c r="I597" s="2">
        <v>48</v>
      </c>
      <c r="J597" s="2" t="s">
        <v>149</v>
      </c>
      <c r="K597" s="2"/>
      <c r="L597" s="2" t="s">
        <v>24</v>
      </c>
      <c r="M597" s="2"/>
      <c r="N597" s="2" t="s">
        <v>128</v>
      </c>
    </row>
    <row r="598" spans="1:14" x14ac:dyDescent="0.25">
      <c r="A598" s="2" t="s">
        <v>1693</v>
      </c>
      <c r="B598" s="2" t="s">
        <v>1694</v>
      </c>
      <c r="C598" s="2" t="s">
        <v>53</v>
      </c>
      <c r="D598" s="2" t="s">
        <v>54</v>
      </c>
      <c r="E598" s="2" t="s">
        <v>85</v>
      </c>
      <c r="F598" s="2" t="s">
        <v>62</v>
      </c>
      <c r="G598" s="2" t="s">
        <v>20</v>
      </c>
      <c r="H598" s="2" t="s">
        <v>21</v>
      </c>
      <c r="I598" s="2">
        <v>24</v>
      </c>
      <c r="J598" s="2" t="s">
        <v>145</v>
      </c>
      <c r="K598" s="2"/>
      <c r="L598" s="2" t="s">
        <v>24</v>
      </c>
      <c r="M598" s="2"/>
      <c r="N598" s="2" t="s">
        <v>118</v>
      </c>
    </row>
    <row r="599" spans="1:14" x14ac:dyDescent="0.25">
      <c r="A599" s="2" t="s">
        <v>1695</v>
      </c>
      <c r="B599" s="2" t="s">
        <v>235</v>
      </c>
      <c r="C599" s="2" t="s">
        <v>16</v>
      </c>
      <c r="D599" s="2" t="s">
        <v>84</v>
      </c>
      <c r="E599" s="2" t="s">
        <v>79</v>
      </c>
      <c r="F599" s="2" t="s">
        <v>30</v>
      </c>
      <c r="G599" s="2" t="s">
        <v>126</v>
      </c>
      <c r="H599" s="2" t="s">
        <v>80</v>
      </c>
      <c r="I599" s="2">
        <v>4</v>
      </c>
      <c r="J599" s="2" t="s">
        <v>33</v>
      </c>
      <c r="K599" s="2"/>
      <c r="L599" s="2" t="s">
        <v>24</v>
      </c>
      <c r="M599" s="2"/>
      <c r="N599" s="2" t="s">
        <v>34</v>
      </c>
    </row>
    <row r="600" spans="1:14" x14ac:dyDescent="0.25">
      <c r="A600" s="2" t="s">
        <v>1696</v>
      </c>
      <c r="B600" s="2" t="s">
        <v>1697</v>
      </c>
      <c r="C600" s="2" t="s">
        <v>53</v>
      </c>
      <c r="D600" s="2" t="s">
        <v>54</v>
      </c>
      <c r="E600" s="2" t="s">
        <v>90</v>
      </c>
      <c r="F600" s="2" t="s">
        <v>62</v>
      </c>
      <c r="G600" s="2" t="s">
        <v>144</v>
      </c>
      <c r="H600" s="2" t="s">
        <v>21</v>
      </c>
      <c r="I600" s="2">
        <v>24</v>
      </c>
      <c r="J600" s="2" t="s">
        <v>75</v>
      </c>
      <c r="K600" s="2" t="s">
        <v>1698</v>
      </c>
      <c r="L600" s="2" t="s">
        <v>24</v>
      </c>
      <c r="M600" s="2">
        <v>4</v>
      </c>
      <c r="N600" s="2" t="s">
        <v>25</v>
      </c>
    </row>
    <row r="601" spans="1:14" x14ac:dyDescent="0.25">
      <c r="A601" s="2" t="s">
        <v>1699</v>
      </c>
      <c r="B601" s="2" t="s">
        <v>1700</v>
      </c>
      <c r="C601" s="2" t="s">
        <v>53</v>
      </c>
      <c r="D601" s="2" t="s">
        <v>61</v>
      </c>
      <c r="E601" s="2" t="s">
        <v>90</v>
      </c>
      <c r="F601" s="2" t="s">
        <v>96</v>
      </c>
      <c r="G601" s="2" t="s">
        <v>135</v>
      </c>
      <c r="H601" s="2" t="s">
        <v>32</v>
      </c>
      <c r="I601" s="2">
        <v>48</v>
      </c>
      <c r="J601" s="2" t="s">
        <v>106</v>
      </c>
      <c r="K601" s="2" t="s">
        <v>1701</v>
      </c>
      <c r="L601" s="2" t="s">
        <v>24</v>
      </c>
      <c r="M601" s="2">
        <v>4</v>
      </c>
      <c r="N601" s="2" t="s">
        <v>58</v>
      </c>
    </row>
    <row r="602" spans="1:14" x14ac:dyDescent="0.25">
      <c r="A602" s="2" t="s">
        <v>1702</v>
      </c>
      <c r="B602" s="2" t="s">
        <v>1703</v>
      </c>
      <c r="C602" s="2" t="s">
        <v>53</v>
      </c>
      <c r="D602" s="2" t="s">
        <v>61</v>
      </c>
      <c r="E602" s="2" t="s">
        <v>46</v>
      </c>
      <c r="F602" s="2" t="s">
        <v>19</v>
      </c>
      <c r="G602" s="2" t="s">
        <v>110</v>
      </c>
      <c r="H602" s="2" t="s">
        <v>32</v>
      </c>
      <c r="I602" s="2">
        <v>48</v>
      </c>
      <c r="J602" s="2" t="s">
        <v>232</v>
      </c>
      <c r="K602" s="2"/>
      <c r="L602" s="2" t="s">
        <v>92</v>
      </c>
      <c r="M602" s="2"/>
      <c r="N602" s="2" t="s">
        <v>118</v>
      </c>
    </row>
    <row r="603" spans="1:14" x14ac:dyDescent="0.25">
      <c r="A603" s="2" t="s">
        <v>1704</v>
      </c>
      <c r="B603" s="2" t="s">
        <v>1705</v>
      </c>
      <c r="C603" s="2" t="s">
        <v>67</v>
      </c>
      <c r="D603" s="2" t="s">
        <v>95</v>
      </c>
      <c r="E603" s="2" t="s">
        <v>79</v>
      </c>
      <c r="F603" s="2" t="s">
        <v>62</v>
      </c>
      <c r="G603" s="2" t="s">
        <v>135</v>
      </c>
      <c r="H603" s="2" t="s">
        <v>21</v>
      </c>
      <c r="I603" s="2">
        <v>24</v>
      </c>
      <c r="J603" s="2" t="s">
        <v>106</v>
      </c>
      <c r="K603" s="2" t="s">
        <v>1706</v>
      </c>
      <c r="L603" s="2" t="s">
        <v>24</v>
      </c>
      <c r="M603" s="2">
        <v>5</v>
      </c>
      <c r="N603" s="2" t="s">
        <v>50</v>
      </c>
    </row>
    <row r="604" spans="1:14" x14ac:dyDescent="0.25">
      <c r="A604" s="2" t="s">
        <v>1707</v>
      </c>
      <c r="B604" s="2" t="s">
        <v>1708</v>
      </c>
      <c r="C604" s="2" t="s">
        <v>67</v>
      </c>
      <c r="D604" s="2" t="s">
        <v>95</v>
      </c>
      <c r="E604" s="2" t="s">
        <v>79</v>
      </c>
      <c r="F604" s="2" t="s">
        <v>69</v>
      </c>
      <c r="G604" s="2" t="s">
        <v>70</v>
      </c>
      <c r="H604" s="2" t="s">
        <v>21</v>
      </c>
      <c r="I604" s="2">
        <v>24</v>
      </c>
      <c r="J604" s="2" t="s">
        <v>106</v>
      </c>
      <c r="K604" s="2" t="s">
        <v>1709</v>
      </c>
      <c r="L604" s="2" t="s">
        <v>24</v>
      </c>
      <c r="M604" s="2">
        <v>3</v>
      </c>
      <c r="N604" s="2"/>
    </row>
    <row r="605" spans="1:14" x14ac:dyDescent="0.25">
      <c r="A605" s="2" t="s">
        <v>1710</v>
      </c>
      <c r="B605" s="2" t="s">
        <v>1711</v>
      </c>
      <c r="C605" s="2" t="s">
        <v>28</v>
      </c>
      <c r="D605" s="2" t="s">
        <v>37</v>
      </c>
      <c r="E605" s="2" t="s">
        <v>18</v>
      </c>
      <c r="F605" s="2" t="s">
        <v>47</v>
      </c>
      <c r="G605" s="2" t="s">
        <v>105</v>
      </c>
      <c r="H605" s="2" t="s">
        <v>21</v>
      </c>
      <c r="I605" s="2">
        <v>24</v>
      </c>
      <c r="J605" s="2" t="s">
        <v>232</v>
      </c>
      <c r="K605" s="2"/>
      <c r="L605" s="2" t="s">
        <v>92</v>
      </c>
      <c r="M605" s="2"/>
      <c r="N605" s="2" t="s">
        <v>128</v>
      </c>
    </row>
    <row r="606" spans="1:14" x14ac:dyDescent="0.25">
      <c r="A606" s="2" t="s">
        <v>1712</v>
      </c>
      <c r="B606" s="2" t="s">
        <v>1713</v>
      </c>
      <c r="C606" s="2" t="s">
        <v>53</v>
      </c>
      <c r="D606" s="2" t="s">
        <v>54</v>
      </c>
      <c r="E606" s="2" t="s">
        <v>90</v>
      </c>
      <c r="F606" s="2" t="s">
        <v>39</v>
      </c>
      <c r="G606" s="2" t="s">
        <v>121</v>
      </c>
      <c r="H606" s="2" t="s">
        <v>74</v>
      </c>
      <c r="I606" s="2">
        <v>8</v>
      </c>
      <c r="J606" s="2" t="s">
        <v>106</v>
      </c>
      <c r="K606" s="2" t="s">
        <v>1714</v>
      </c>
      <c r="L606" s="2" t="s">
        <v>24</v>
      </c>
      <c r="M606" s="2">
        <v>5</v>
      </c>
      <c r="N606" s="2" t="s">
        <v>34</v>
      </c>
    </row>
    <row r="607" spans="1:14" x14ac:dyDescent="0.25">
      <c r="A607" s="2" t="s">
        <v>1715</v>
      </c>
      <c r="B607" s="2" t="s">
        <v>1716</v>
      </c>
      <c r="C607" s="2" t="s">
        <v>28</v>
      </c>
      <c r="D607" s="2" t="s">
        <v>37</v>
      </c>
      <c r="E607" s="2" t="s">
        <v>46</v>
      </c>
      <c r="F607" s="2" t="s">
        <v>143</v>
      </c>
      <c r="G607" s="2" t="s">
        <v>183</v>
      </c>
      <c r="H607" s="2" t="s">
        <v>32</v>
      </c>
      <c r="I607" s="2">
        <v>48</v>
      </c>
      <c r="J607" s="2" t="s">
        <v>187</v>
      </c>
      <c r="K607" s="2" t="s">
        <v>1717</v>
      </c>
      <c r="L607" s="2" t="s">
        <v>24</v>
      </c>
      <c r="M607" s="2"/>
      <c r="N607" s="2" t="s">
        <v>58</v>
      </c>
    </row>
    <row r="608" spans="1:14" x14ac:dyDescent="0.25">
      <c r="A608" s="2" t="s">
        <v>1718</v>
      </c>
      <c r="B608" s="2" t="s">
        <v>1719</v>
      </c>
      <c r="C608" s="2" t="s">
        <v>67</v>
      </c>
      <c r="D608" s="2" t="s">
        <v>68</v>
      </c>
      <c r="E608" s="2" t="s">
        <v>18</v>
      </c>
      <c r="F608" s="2" t="s">
        <v>131</v>
      </c>
      <c r="G608" s="2" t="s">
        <v>110</v>
      </c>
      <c r="H608" s="2" t="s">
        <v>80</v>
      </c>
      <c r="I608" s="2">
        <v>4</v>
      </c>
      <c r="J608" s="2" t="s">
        <v>187</v>
      </c>
      <c r="K608" s="2" t="s">
        <v>1720</v>
      </c>
      <c r="L608" s="2" t="s">
        <v>24</v>
      </c>
      <c r="M608" s="2">
        <v>5</v>
      </c>
      <c r="N608" s="2"/>
    </row>
    <row r="609" spans="1:14" x14ac:dyDescent="0.25">
      <c r="A609" s="2" t="s">
        <v>1721</v>
      </c>
      <c r="B609" s="2" t="s">
        <v>1722</v>
      </c>
      <c r="C609" s="2" t="s">
        <v>67</v>
      </c>
      <c r="D609" s="2" t="s">
        <v>68</v>
      </c>
      <c r="E609" s="2" t="s">
        <v>85</v>
      </c>
      <c r="F609" s="2" t="s">
        <v>69</v>
      </c>
      <c r="G609" s="2" t="s">
        <v>20</v>
      </c>
      <c r="H609" s="2" t="s">
        <v>74</v>
      </c>
      <c r="I609" s="2">
        <v>8</v>
      </c>
      <c r="J609" s="2" t="s">
        <v>149</v>
      </c>
      <c r="K609" s="2"/>
      <c r="L609" s="2" t="s">
        <v>24</v>
      </c>
      <c r="M609" s="2"/>
      <c r="N609" s="2" t="s">
        <v>50</v>
      </c>
    </row>
    <row r="610" spans="1:14" x14ac:dyDescent="0.25">
      <c r="A610" s="2" t="s">
        <v>1723</v>
      </c>
      <c r="B610" s="2" t="s">
        <v>1724</v>
      </c>
      <c r="C610" s="2" t="s">
        <v>28</v>
      </c>
      <c r="D610" s="2" t="s">
        <v>100</v>
      </c>
      <c r="E610" s="2" t="s">
        <v>79</v>
      </c>
      <c r="F610" s="2" t="s">
        <v>131</v>
      </c>
      <c r="G610" s="2" t="s">
        <v>121</v>
      </c>
      <c r="H610" s="2" t="s">
        <v>32</v>
      </c>
      <c r="I610" s="2">
        <v>48</v>
      </c>
      <c r="J610" s="2" t="s">
        <v>11</v>
      </c>
      <c r="K610" s="2"/>
      <c r="L610" s="2" t="s">
        <v>92</v>
      </c>
      <c r="M610" s="2"/>
      <c r="N610" s="2"/>
    </row>
    <row r="611" spans="1:14" x14ac:dyDescent="0.25">
      <c r="A611" s="2" t="s">
        <v>1725</v>
      </c>
      <c r="B611" s="2" t="s">
        <v>1726</v>
      </c>
      <c r="C611" s="2" t="s">
        <v>28</v>
      </c>
      <c r="D611" s="2" t="s">
        <v>100</v>
      </c>
      <c r="E611" s="2" t="s">
        <v>18</v>
      </c>
      <c r="F611" s="2" t="s">
        <v>47</v>
      </c>
      <c r="G611" s="2" t="s">
        <v>144</v>
      </c>
      <c r="H611" s="2" t="s">
        <v>32</v>
      </c>
      <c r="I611" s="2">
        <v>48</v>
      </c>
      <c r="J611" s="2" t="s">
        <v>22</v>
      </c>
      <c r="K611" s="2" t="s">
        <v>1727</v>
      </c>
      <c r="L611" s="2" t="s">
        <v>24</v>
      </c>
      <c r="M611" s="2"/>
      <c r="N611" s="2" t="s">
        <v>34</v>
      </c>
    </row>
    <row r="612" spans="1:14" x14ac:dyDescent="0.25">
      <c r="A612" s="2" t="s">
        <v>1728</v>
      </c>
      <c r="B612" s="2" t="s">
        <v>1729</v>
      </c>
      <c r="C612" s="2" t="s">
        <v>53</v>
      </c>
      <c r="D612" s="2" t="s">
        <v>54</v>
      </c>
      <c r="E612" s="2" t="s">
        <v>38</v>
      </c>
      <c r="F612" s="2" t="s">
        <v>96</v>
      </c>
      <c r="G612" s="2" t="s">
        <v>126</v>
      </c>
      <c r="H612" s="2" t="s">
        <v>32</v>
      </c>
      <c r="I612" s="2">
        <v>48</v>
      </c>
      <c r="J612" s="2" t="s">
        <v>33</v>
      </c>
      <c r="K612" s="2"/>
      <c r="L612" s="2" t="s">
        <v>24</v>
      </c>
      <c r="M612" s="2"/>
      <c r="N612" s="2"/>
    </row>
    <row r="613" spans="1:14" x14ac:dyDescent="0.25">
      <c r="A613" s="2" t="s">
        <v>1730</v>
      </c>
      <c r="B613" s="2" t="s">
        <v>1731</v>
      </c>
      <c r="C613" s="2" t="s">
        <v>16</v>
      </c>
      <c r="D613" s="2" t="s">
        <v>17</v>
      </c>
      <c r="E613" s="2" t="s">
        <v>85</v>
      </c>
      <c r="F613" s="2" t="s">
        <v>39</v>
      </c>
      <c r="G613" s="2" t="s">
        <v>211</v>
      </c>
      <c r="H613" s="2" t="s">
        <v>21</v>
      </c>
      <c r="I613" s="2">
        <v>24</v>
      </c>
      <c r="J613" s="2" t="s">
        <v>22</v>
      </c>
      <c r="K613" s="2" t="s">
        <v>1732</v>
      </c>
      <c r="L613" s="2" t="s">
        <v>92</v>
      </c>
      <c r="M613" s="2">
        <v>5</v>
      </c>
      <c r="N613" s="2" t="s">
        <v>43</v>
      </c>
    </row>
    <row r="614" spans="1:14" x14ac:dyDescent="0.25">
      <c r="A614" s="2" t="s">
        <v>1733</v>
      </c>
      <c r="B614" s="2" t="s">
        <v>1734</v>
      </c>
      <c r="C614" s="2" t="s">
        <v>28</v>
      </c>
      <c r="D614" s="2" t="s">
        <v>37</v>
      </c>
      <c r="E614" s="2" t="s">
        <v>90</v>
      </c>
      <c r="F614" s="2" t="s">
        <v>113</v>
      </c>
      <c r="G614" s="2" t="s">
        <v>20</v>
      </c>
      <c r="H614" s="2" t="s">
        <v>74</v>
      </c>
      <c r="I614" s="2">
        <v>8</v>
      </c>
      <c r="J614" s="2" t="s">
        <v>187</v>
      </c>
      <c r="K614" s="2"/>
      <c r="L614" s="2" t="s">
        <v>24</v>
      </c>
      <c r="M614" s="2">
        <v>3</v>
      </c>
      <c r="N614" s="2" t="s">
        <v>43</v>
      </c>
    </row>
    <row r="615" spans="1:14" x14ac:dyDescent="0.25">
      <c r="A615" s="2" t="s">
        <v>1735</v>
      </c>
      <c r="B615" s="2" t="s">
        <v>1736</v>
      </c>
      <c r="C615" s="2" t="s">
        <v>16</v>
      </c>
      <c r="D615" s="2" t="s">
        <v>84</v>
      </c>
      <c r="E615" s="2" t="s">
        <v>85</v>
      </c>
      <c r="F615" s="2" t="s">
        <v>131</v>
      </c>
      <c r="G615" s="2" t="s">
        <v>70</v>
      </c>
      <c r="H615" s="2" t="s">
        <v>74</v>
      </c>
      <c r="I615" s="2">
        <v>8</v>
      </c>
      <c r="J615" s="2" t="s">
        <v>232</v>
      </c>
      <c r="K615" s="2"/>
      <c r="L615" s="2" t="s">
        <v>92</v>
      </c>
      <c r="M615" s="2"/>
      <c r="N615" s="2" t="s">
        <v>118</v>
      </c>
    </row>
    <row r="616" spans="1:14" x14ac:dyDescent="0.25">
      <c r="A616" s="2" t="s">
        <v>1737</v>
      </c>
      <c r="B616" s="2" t="s">
        <v>1738</v>
      </c>
      <c r="C616" s="2" t="s">
        <v>53</v>
      </c>
      <c r="D616" s="2" t="s">
        <v>61</v>
      </c>
      <c r="E616" s="2" t="s">
        <v>46</v>
      </c>
      <c r="F616" s="2" t="s">
        <v>125</v>
      </c>
      <c r="G616" s="2" t="s">
        <v>211</v>
      </c>
      <c r="H616" s="2" t="s">
        <v>21</v>
      </c>
      <c r="I616" s="2">
        <v>24</v>
      </c>
      <c r="J616" s="2" t="s">
        <v>75</v>
      </c>
      <c r="K616" s="2" t="s">
        <v>1739</v>
      </c>
      <c r="L616" s="2" t="s">
        <v>24</v>
      </c>
      <c r="M616" s="2"/>
      <c r="N616" s="2" t="s">
        <v>34</v>
      </c>
    </row>
    <row r="617" spans="1:14" x14ac:dyDescent="0.25">
      <c r="A617" s="2" t="s">
        <v>1740</v>
      </c>
      <c r="B617" s="2" t="s">
        <v>1741</v>
      </c>
      <c r="C617" s="2" t="s">
        <v>28</v>
      </c>
      <c r="D617" s="2" t="s">
        <v>100</v>
      </c>
      <c r="E617" s="2" t="s">
        <v>38</v>
      </c>
      <c r="F617" s="2" t="s">
        <v>69</v>
      </c>
      <c r="G617" s="2" t="s">
        <v>105</v>
      </c>
      <c r="H617" s="2" t="s">
        <v>32</v>
      </c>
      <c r="I617" s="2">
        <v>48</v>
      </c>
      <c r="J617" s="2" t="s">
        <v>75</v>
      </c>
      <c r="K617" s="2" t="s">
        <v>1742</v>
      </c>
      <c r="L617" s="2" t="s">
        <v>24</v>
      </c>
      <c r="M617" s="2">
        <v>1</v>
      </c>
      <c r="N617" s="2" t="s">
        <v>128</v>
      </c>
    </row>
    <row r="618" spans="1:14" x14ac:dyDescent="0.25">
      <c r="A618" s="2" t="s">
        <v>1743</v>
      </c>
      <c r="B618" s="2" t="s">
        <v>1744</v>
      </c>
      <c r="C618" s="2" t="s">
        <v>67</v>
      </c>
      <c r="D618" s="2" t="s">
        <v>95</v>
      </c>
      <c r="E618" s="2" t="s">
        <v>79</v>
      </c>
      <c r="F618" s="2" t="s">
        <v>30</v>
      </c>
      <c r="G618" s="2" t="s">
        <v>97</v>
      </c>
      <c r="H618" s="2" t="s">
        <v>21</v>
      </c>
      <c r="I618" s="2">
        <v>24</v>
      </c>
      <c r="J618" s="2" t="s">
        <v>106</v>
      </c>
      <c r="K618" s="2" t="s">
        <v>1745</v>
      </c>
      <c r="L618" s="2" t="s">
        <v>24</v>
      </c>
      <c r="M618" s="2"/>
      <c r="N618" s="2" t="s">
        <v>25</v>
      </c>
    </row>
    <row r="619" spans="1:14" x14ac:dyDescent="0.25">
      <c r="A619" s="2" t="s">
        <v>1746</v>
      </c>
      <c r="B619" s="2" t="s">
        <v>1747</v>
      </c>
      <c r="C619" s="2" t="s">
        <v>67</v>
      </c>
      <c r="D619" s="2" t="s">
        <v>68</v>
      </c>
      <c r="E619" s="2" t="s">
        <v>38</v>
      </c>
      <c r="F619" s="2" t="s">
        <v>96</v>
      </c>
      <c r="G619" s="2" t="s">
        <v>139</v>
      </c>
      <c r="H619" s="2" t="s">
        <v>32</v>
      </c>
      <c r="I619" s="2">
        <v>48</v>
      </c>
      <c r="J619" s="2" t="s">
        <v>155</v>
      </c>
      <c r="K619" s="2"/>
      <c r="L619" s="2" t="s">
        <v>92</v>
      </c>
      <c r="M619" s="2"/>
      <c r="N619" s="2"/>
    </row>
    <row r="620" spans="1:14" x14ac:dyDescent="0.25">
      <c r="A620" s="2" t="s">
        <v>1748</v>
      </c>
      <c r="B620" s="2" t="s">
        <v>1749</v>
      </c>
      <c r="C620" s="2" t="s">
        <v>28</v>
      </c>
      <c r="D620" s="2" t="s">
        <v>100</v>
      </c>
      <c r="E620" s="2" t="s">
        <v>85</v>
      </c>
      <c r="F620" s="2" t="s">
        <v>19</v>
      </c>
      <c r="G620" s="2" t="s">
        <v>110</v>
      </c>
      <c r="H620" s="2" t="s">
        <v>74</v>
      </c>
      <c r="I620" s="2">
        <v>8</v>
      </c>
      <c r="J620" s="2" t="s">
        <v>22</v>
      </c>
      <c r="K620" s="2"/>
      <c r="L620" s="2" t="s">
        <v>24</v>
      </c>
      <c r="M620" s="2">
        <v>2</v>
      </c>
      <c r="N620" s="2" t="s">
        <v>128</v>
      </c>
    </row>
    <row r="621" spans="1:14" x14ac:dyDescent="0.25">
      <c r="A621" s="2" t="s">
        <v>1750</v>
      </c>
      <c r="B621" s="2" t="s">
        <v>1751</v>
      </c>
      <c r="C621" s="2" t="s">
        <v>67</v>
      </c>
      <c r="D621" s="2" t="s">
        <v>89</v>
      </c>
      <c r="E621" s="2" t="s">
        <v>90</v>
      </c>
      <c r="F621" s="2" t="s">
        <v>96</v>
      </c>
      <c r="G621" s="2" t="s">
        <v>139</v>
      </c>
      <c r="H621" s="2" t="s">
        <v>80</v>
      </c>
      <c r="I621" s="2">
        <v>4</v>
      </c>
      <c r="J621" s="2" t="s">
        <v>191</v>
      </c>
      <c r="K621" s="2" t="s">
        <v>1752</v>
      </c>
      <c r="L621" s="2" t="s">
        <v>24</v>
      </c>
      <c r="M621" s="2"/>
      <c r="N621" s="2" t="s">
        <v>118</v>
      </c>
    </row>
    <row r="622" spans="1:14" x14ac:dyDescent="0.25">
      <c r="A622" s="2" t="s">
        <v>1753</v>
      </c>
      <c r="B622" s="2" t="s">
        <v>1754</v>
      </c>
      <c r="C622" s="2" t="s">
        <v>16</v>
      </c>
      <c r="D622" s="2" t="s">
        <v>84</v>
      </c>
      <c r="E622" s="2" t="s">
        <v>46</v>
      </c>
      <c r="F622" s="2" t="s">
        <v>30</v>
      </c>
      <c r="G622" s="2" t="s">
        <v>40</v>
      </c>
      <c r="H622" s="2" t="s">
        <v>80</v>
      </c>
      <c r="I622" s="2">
        <v>4</v>
      </c>
      <c r="J622" s="2" t="s">
        <v>22</v>
      </c>
      <c r="K622" s="2" t="s">
        <v>1755</v>
      </c>
      <c r="L622" s="2" t="s">
        <v>92</v>
      </c>
      <c r="M622" s="2">
        <v>1</v>
      </c>
      <c r="N622" s="2" t="s">
        <v>50</v>
      </c>
    </row>
    <row r="623" spans="1:14" x14ac:dyDescent="0.25">
      <c r="A623" s="2" t="s">
        <v>1756</v>
      </c>
      <c r="B623" s="2" t="s">
        <v>1757</v>
      </c>
      <c r="C623" s="2" t="s">
        <v>16</v>
      </c>
      <c r="D623" s="2" t="s">
        <v>84</v>
      </c>
      <c r="E623" s="2" t="s">
        <v>38</v>
      </c>
      <c r="F623" s="2" t="s">
        <v>113</v>
      </c>
      <c r="G623" s="2" t="s">
        <v>144</v>
      </c>
      <c r="H623" s="2" t="s">
        <v>32</v>
      </c>
      <c r="I623" s="2">
        <v>48</v>
      </c>
      <c r="J623" s="2" t="s">
        <v>149</v>
      </c>
      <c r="K623" s="2"/>
      <c r="L623" s="2" t="s">
        <v>24</v>
      </c>
      <c r="M623" s="2"/>
      <c r="N623" s="2"/>
    </row>
    <row r="624" spans="1:14" x14ac:dyDescent="0.25">
      <c r="A624" s="2" t="s">
        <v>1758</v>
      </c>
      <c r="B624" s="2" t="s">
        <v>1759</v>
      </c>
      <c r="C624" s="2" t="s">
        <v>67</v>
      </c>
      <c r="D624" s="2" t="s">
        <v>95</v>
      </c>
      <c r="E624" s="2" t="s">
        <v>148</v>
      </c>
      <c r="F624" s="2" t="s">
        <v>30</v>
      </c>
      <c r="G624" s="2" t="s">
        <v>183</v>
      </c>
      <c r="H624" s="2" t="s">
        <v>32</v>
      </c>
      <c r="I624" s="2">
        <v>48</v>
      </c>
      <c r="J624" s="2" t="s">
        <v>200</v>
      </c>
      <c r="K624" s="2"/>
      <c r="L624" s="2" t="s">
        <v>92</v>
      </c>
      <c r="M624" s="2"/>
      <c r="N624" s="2"/>
    </row>
    <row r="625" spans="1:14" x14ac:dyDescent="0.25">
      <c r="A625" s="2" t="s">
        <v>1760</v>
      </c>
      <c r="B625" s="2" t="s">
        <v>1761</v>
      </c>
      <c r="C625" s="2" t="s">
        <v>67</v>
      </c>
      <c r="D625" s="2" t="s">
        <v>95</v>
      </c>
      <c r="E625" s="2" t="s">
        <v>79</v>
      </c>
      <c r="F625" s="2" t="s">
        <v>30</v>
      </c>
      <c r="G625" s="2" t="s">
        <v>110</v>
      </c>
      <c r="H625" s="2" t="s">
        <v>74</v>
      </c>
      <c r="I625" s="2">
        <v>8</v>
      </c>
      <c r="J625" s="2" t="s">
        <v>75</v>
      </c>
      <c r="K625" s="2" t="s">
        <v>1762</v>
      </c>
      <c r="L625" s="2" t="s">
        <v>24</v>
      </c>
      <c r="M625" s="2"/>
      <c r="N625" s="2" t="s">
        <v>128</v>
      </c>
    </row>
    <row r="626" spans="1:14" x14ac:dyDescent="0.25">
      <c r="A626" s="2" t="s">
        <v>1763</v>
      </c>
      <c r="B626" s="2" t="s">
        <v>1764</v>
      </c>
      <c r="C626" s="2" t="s">
        <v>16</v>
      </c>
      <c r="D626" s="2" t="s">
        <v>17</v>
      </c>
      <c r="E626" s="2" t="s">
        <v>46</v>
      </c>
      <c r="F626" s="2" t="s">
        <v>131</v>
      </c>
      <c r="G626" s="2" t="s">
        <v>183</v>
      </c>
      <c r="H626" s="2" t="s">
        <v>32</v>
      </c>
      <c r="I626" s="2">
        <v>48</v>
      </c>
      <c r="J626" s="2" t="s">
        <v>187</v>
      </c>
      <c r="K626" s="2" t="s">
        <v>1765</v>
      </c>
      <c r="L626" s="2" t="s">
        <v>92</v>
      </c>
      <c r="M626" s="2">
        <v>5</v>
      </c>
      <c r="N626" s="2" t="s">
        <v>25</v>
      </c>
    </row>
    <row r="627" spans="1:14" x14ac:dyDescent="0.25">
      <c r="A627" s="2" t="s">
        <v>1766</v>
      </c>
      <c r="B627" s="2" t="s">
        <v>1767</v>
      </c>
      <c r="C627" s="2" t="s">
        <v>67</v>
      </c>
      <c r="D627" s="2" t="s">
        <v>95</v>
      </c>
      <c r="E627" s="2" t="s">
        <v>148</v>
      </c>
      <c r="F627" s="2" t="s">
        <v>47</v>
      </c>
      <c r="G627" s="2" t="s">
        <v>211</v>
      </c>
      <c r="H627" s="2" t="s">
        <v>21</v>
      </c>
      <c r="I627" s="2">
        <v>24</v>
      </c>
      <c r="J627" s="2" t="s">
        <v>117</v>
      </c>
      <c r="K627" s="2"/>
      <c r="L627" s="2" t="s">
        <v>92</v>
      </c>
      <c r="M627" s="2"/>
      <c r="N627" s="2" t="s">
        <v>128</v>
      </c>
    </row>
    <row r="628" spans="1:14" x14ac:dyDescent="0.25">
      <c r="A628" s="2" t="s">
        <v>1768</v>
      </c>
      <c r="B628" s="2" t="s">
        <v>1769</v>
      </c>
      <c r="C628" s="2" t="s">
        <v>53</v>
      </c>
      <c r="D628" s="2" t="s">
        <v>54</v>
      </c>
      <c r="E628" s="2" t="s">
        <v>90</v>
      </c>
      <c r="F628" s="2" t="s">
        <v>143</v>
      </c>
      <c r="G628" s="2" t="s">
        <v>135</v>
      </c>
      <c r="H628" s="2" t="s">
        <v>32</v>
      </c>
      <c r="I628" s="2">
        <v>48</v>
      </c>
      <c r="J628" s="2" t="s">
        <v>287</v>
      </c>
      <c r="K628" s="2"/>
      <c r="L628" s="2" t="s">
        <v>24</v>
      </c>
      <c r="M628" s="2"/>
      <c r="N628" s="2"/>
    </row>
    <row r="629" spans="1:14" x14ac:dyDescent="0.25">
      <c r="A629" s="2" t="s">
        <v>1770</v>
      </c>
      <c r="B629" s="2" t="s">
        <v>1771</v>
      </c>
      <c r="C629" s="2" t="s">
        <v>53</v>
      </c>
      <c r="D629" s="2" t="s">
        <v>771</v>
      </c>
      <c r="E629" s="2" t="s">
        <v>46</v>
      </c>
      <c r="F629" s="2" t="s">
        <v>96</v>
      </c>
      <c r="G629" s="2" t="s">
        <v>179</v>
      </c>
      <c r="H629" s="2" t="s">
        <v>32</v>
      </c>
      <c r="I629" s="2">
        <v>48</v>
      </c>
      <c r="J629" s="2" t="s">
        <v>48</v>
      </c>
      <c r="K629" s="2" t="s">
        <v>1772</v>
      </c>
      <c r="L629" s="2" t="s">
        <v>24</v>
      </c>
      <c r="M629" s="2">
        <v>5</v>
      </c>
      <c r="N629" s="2" t="s">
        <v>128</v>
      </c>
    </row>
    <row r="630" spans="1:14" x14ac:dyDescent="0.25">
      <c r="A630" s="2" t="s">
        <v>1773</v>
      </c>
      <c r="B630" s="2" t="s">
        <v>1774</v>
      </c>
      <c r="C630" s="2" t="s">
        <v>67</v>
      </c>
      <c r="D630" s="2" t="s">
        <v>68</v>
      </c>
      <c r="E630" s="2" t="s">
        <v>46</v>
      </c>
      <c r="F630" s="2" t="s">
        <v>47</v>
      </c>
      <c r="G630" s="2" t="s">
        <v>101</v>
      </c>
      <c r="H630" s="2" t="s">
        <v>32</v>
      </c>
      <c r="I630" s="2">
        <v>48</v>
      </c>
      <c r="J630" s="2" t="s">
        <v>22</v>
      </c>
      <c r="K630" s="2" t="s">
        <v>1775</v>
      </c>
      <c r="L630" s="2" t="s">
        <v>24</v>
      </c>
      <c r="M630" s="2"/>
      <c r="N630" s="2" t="s">
        <v>118</v>
      </c>
    </row>
    <row r="631" spans="1:14" x14ac:dyDescent="0.25">
      <c r="A631" s="2" t="s">
        <v>1776</v>
      </c>
      <c r="B631" s="2" t="s">
        <v>1777</v>
      </c>
      <c r="C631" s="2" t="s">
        <v>28</v>
      </c>
      <c r="D631" s="2" t="s">
        <v>37</v>
      </c>
      <c r="E631" s="2" t="s">
        <v>79</v>
      </c>
      <c r="F631" s="2" t="s">
        <v>69</v>
      </c>
      <c r="G631" s="2" t="s">
        <v>110</v>
      </c>
      <c r="H631" s="2" t="s">
        <v>21</v>
      </c>
      <c r="I631" s="2">
        <v>24</v>
      </c>
      <c r="J631" s="2" t="s">
        <v>106</v>
      </c>
      <c r="K631" s="2" t="s">
        <v>1778</v>
      </c>
      <c r="L631" s="2" t="s">
        <v>24</v>
      </c>
      <c r="M631" s="2"/>
      <c r="N631" s="2" t="s">
        <v>58</v>
      </c>
    </row>
    <row r="632" spans="1:14" x14ac:dyDescent="0.25">
      <c r="A632" s="2" t="s">
        <v>1779</v>
      </c>
      <c r="B632" s="2" t="s">
        <v>1780</v>
      </c>
      <c r="C632" s="2" t="s">
        <v>67</v>
      </c>
      <c r="D632" s="2" t="s">
        <v>95</v>
      </c>
      <c r="E632" s="2" t="s">
        <v>90</v>
      </c>
      <c r="F632" s="2" t="s">
        <v>125</v>
      </c>
      <c r="G632" s="2" t="s">
        <v>126</v>
      </c>
      <c r="H632" s="2" t="s">
        <v>21</v>
      </c>
      <c r="I632" s="2">
        <v>24</v>
      </c>
      <c r="J632" s="2" t="s">
        <v>191</v>
      </c>
      <c r="K632" s="2" t="s">
        <v>1781</v>
      </c>
      <c r="L632" s="2" t="s">
        <v>24</v>
      </c>
      <c r="M632" s="2"/>
      <c r="N632" s="2"/>
    </row>
    <row r="633" spans="1:14" x14ac:dyDescent="0.25">
      <c r="A633" s="2" t="s">
        <v>1782</v>
      </c>
      <c r="B633" s="2" t="s">
        <v>1783</v>
      </c>
      <c r="C633" s="2" t="s">
        <v>67</v>
      </c>
      <c r="D633" s="2" t="s">
        <v>68</v>
      </c>
      <c r="E633" s="2" t="s">
        <v>148</v>
      </c>
      <c r="F633" s="2" t="s">
        <v>113</v>
      </c>
      <c r="G633" s="2" t="s">
        <v>211</v>
      </c>
      <c r="H633" s="2" t="s">
        <v>80</v>
      </c>
      <c r="I633" s="2">
        <v>4</v>
      </c>
      <c r="J633" s="2" t="s">
        <v>75</v>
      </c>
      <c r="K633" s="2" t="s">
        <v>1784</v>
      </c>
      <c r="L633" s="2" t="s">
        <v>24</v>
      </c>
      <c r="M633" s="2">
        <v>1</v>
      </c>
      <c r="N633" s="2" t="s">
        <v>128</v>
      </c>
    </row>
    <row r="634" spans="1:14" x14ac:dyDescent="0.25">
      <c r="A634" s="2" t="s">
        <v>1785</v>
      </c>
      <c r="B634" s="2" t="s">
        <v>1786</v>
      </c>
      <c r="C634" s="2" t="s">
        <v>16</v>
      </c>
      <c r="D634" s="2" t="s">
        <v>84</v>
      </c>
      <c r="E634" s="2" t="s">
        <v>79</v>
      </c>
      <c r="F634" s="2" t="s">
        <v>47</v>
      </c>
      <c r="G634" s="2" t="s">
        <v>70</v>
      </c>
      <c r="H634" s="2" t="s">
        <v>74</v>
      </c>
      <c r="I634" s="2">
        <v>8</v>
      </c>
      <c r="J634" s="2" t="s">
        <v>48</v>
      </c>
      <c r="K634" s="2" t="s">
        <v>1787</v>
      </c>
      <c r="L634" s="2" t="s">
        <v>24</v>
      </c>
      <c r="M634" s="2">
        <v>1</v>
      </c>
      <c r="N634" s="2" t="s">
        <v>118</v>
      </c>
    </row>
    <row r="635" spans="1:14" x14ac:dyDescent="0.25">
      <c r="A635" s="2" t="s">
        <v>1788</v>
      </c>
      <c r="B635" s="2" t="s">
        <v>1789</v>
      </c>
      <c r="C635" s="2" t="s">
        <v>53</v>
      </c>
      <c r="D635" s="2" t="s">
        <v>54</v>
      </c>
      <c r="E635" s="2" t="s">
        <v>18</v>
      </c>
      <c r="F635" s="2" t="s">
        <v>30</v>
      </c>
      <c r="G635" s="2" t="s">
        <v>126</v>
      </c>
      <c r="H635" s="2" t="s">
        <v>21</v>
      </c>
      <c r="I635" s="2">
        <v>24</v>
      </c>
      <c r="J635" s="2" t="s">
        <v>75</v>
      </c>
      <c r="K635" s="2" t="s">
        <v>1790</v>
      </c>
      <c r="L635" s="2" t="s">
        <v>24</v>
      </c>
      <c r="M635" s="2">
        <v>5</v>
      </c>
      <c r="N635" s="2" t="s">
        <v>50</v>
      </c>
    </row>
    <row r="636" spans="1:14" x14ac:dyDescent="0.25">
      <c r="A636" s="2" t="s">
        <v>1791</v>
      </c>
      <c r="B636" s="2" t="s">
        <v>1792</v>
      </c>
      <c r="C636" s="2" t="s">
        <v>28</v>
      </c>
      <c r="D636" s="2" t="s">
        <v>100</v>
      </c>
      <c r="E636" s="2" t="s">
        <v>18</v>
      </c>
      <c r="F636" s="2" t="s">
        <v>62</v>
      </c>
      <c r="G636" s="2" t="s">
        <v>179</v>
      </c>
      <c r="H636" s="2" t="s">
        <v>74</v>
      </c>
      <c r="I636" s="2">
        <v>8</v>
      </c>
      <c r="J636" s="2" t="s">
        <v>22</v>
      </c>
      <c r="K636" s="2"/>
      <c r="L636" s="2" t="s">
        <v>24</v>
      </c>
      <c r="M636" s="2">
        <v>4</v>
      </c>
      <c r="N636" s="2" t="s">
        <v>128</v>
      </c>
    </row>
    <row r="637" spans="1:14" x14ac:dyDescent="0.25">
      <c r="A637" s="2" t="s">
        <v>1793</v>
      </c>
      <c r="B637" s="2" t="s">
        <v>1794</v>
      </c>
      <c r="C637" s="2" t="s">
        <v>67</v>
      </c>
      <c r="D637" s="2" t="s">
        <v>95</v>
      </c>
      <c r="E637" s="2" t="s">
        <v>18</v>
      </c>
      <c r="F637" s="2" t="s">
        <v>131</v>
      </c>
      <c r="G637" s="2" t="s">
        <v>121</v>
      </c>
      <c r="H637" s="2" t="s">
        <v>32</v>
      </c>
      <c r="I637" s="2">
        <v>48</v>
      </c>
      <c r="J637" s="2" t="s">
        <v>75</v>
      </c>
      <c r="K637" s="2" t="s">
        <v>1795</v>
      </c>
      <c r="L637" s="2" t="s">
        <v>24</v>
      </c>
      <c r="M637" s="2">
        <v>4</v>
      </c>
      <c r="N637" s="2" t="s">
        <v>34</v>
      </c>
    </row>
    <row r="638" spans="1:14" x14ac:dyDescent="0.25">
      <c r="A638" s="2" t="s">
        <v>1796</v>
      </c>
      <c r="B638" s="2" t="s">
        <v>1797</v>
      </c>
      <c r="C638" s="2" t="s">
        <v>16</v>
      </c>
      <c r="D638" s="2" t="s">
        <v>84</v>
      </c>
      <c r="E638" s="2" t="s">
        <v>46</v>
      </c>
      <c r="F638" s="2" t="s">
        <v>143</v>
      </c>
      <c r="G638" s="2" t="s">
        <v>110</v>
      </c>
      <c r="H638" s="2" t="s">
        <v>32</v>
      </c>
      <c r="I638" s="2">
        <v>48</v>
      </c>
      <c r="J638" s="2" t="s">
        <v>486</v>
      </c>
      <c r="K638" s="2" t="s">
        <v>1798</v>
      </c>
      <c r="L638" s="2" t="s">
        <v>24</v>
      </c>
      <c r="M638" s="2"/>
      <c r="N638" s="2" t="s">
        <v>50</v>
      </c>
    </row>
    <row r="639" spans="1:14" x14ac:dyDescent="0.25">
      <c r="A639" s="2" t="s">
        <v>1799</v>
      </c>
      <c r="B639" s="2" t="s">
        <v>1800</v>
      </c>
      <c r="C639" s="2" t="s">
        <v>67</v>
      </c>
      <c r="D639" s="2" t="s">
        <v>95</v>
      </c>
      <c r="E639" s="2" t="s">
        <v>38</v>
      </c>
      <c r="F639" s="2" t="s">
        <v>69</v>
      </c>
      <c r="G639" s="2" t="s">
        <v>121</v>
      </c>
      <c r="H639" s="2" t="s">
        <v>21</v>
      </c>
      <c r="I639" s="2">
        <v>24</v>
      </c>
      <c r="J639" s="2" t="s">
        <v>287</v>
      </c>
      <c r="K639" s="2"/>
      <c r="L639" s="2" t="s">
        <v>24</v>
      </c>
      <c r="M639" s="2"/>
      <c r="N639" s="2" t="s">
        <v>118</v>
      </c>
    </row>
    <row r="640" spans="1:14" x14ac:dyDescent="0.25">
      <c r="A640" s="2" t="s">
        <v>1801</v>
      </c>
      <c r="B640" s="2" t="s">
        <v>1802</v>
      </c>
      <c r="C640" s="2" t="s">
        <v>67</v>
      </c>
      <c r="D640" s="2" t="s">
        <v>68</v>
      </c>
      <c r="E640" s="2" t="s">
        <v>46</v>
      </c>
      <c r="F640" s="2" t="s">
        <v>69</v>
      </c>
      <c r="G640" s="2" t="s">
        <v>20</v>
      </c>
      <c r="H640" s="2" t="s">
        <v>74</v>
      </c>
      <c r="I640" s="2">
        <v>8</v>
      </c>
      <c r="J640" s="2" t="s">
        <v>117</v>
      </c>
      <c r="K640" s="2"/>
      <c r="L640" s="2" t="s">
        <v>24</v>
      </c>
      <c r="M640" s="2"/>
      <c r="N640" s="2" t="s">
        <v>34</v>
      </c>
    </row>
    <row r="641" spans="1:14" x14ac:dyDescent="0.25">
      <c r="A641" s="2" t="s">
        <v>1803</v>
      </c>
      <c r="B641" s="2" t="s">
        <v>1804</v>
      </c>
      <c r="C641" s="2" t="s">
        <v>67</v>
      </c>
      <c r="D641" s="2" t="s">
        <v>95</v>
      </c>
      <c r="E641" s="2" t="s">
        <v>90</v>
      </c>
      <c r="F641" s="2" t="s">
        <v>47</v>
      </c>
      <c r="G641" s="2" t="s">
        <v>101</v>
      </c>
      <c r="H641" s="2" t="s">
        <v>21</v>
      </c>
      <c r="I641" s="2">
        <v>24</v>
      </c>
      <c r="J641" s="2" t="s">
        <v>22</v>
      </c>
      <c r="K641" s="2"/>
      <c r="L641" s="2" t="s">
        <v>24</v>
      </c>
      <c r="M641" s="2"/>
      <c r="N641" s="2" t="s">
        <v>34</v>
      </c>
    </row>
    <row r="642" spans="1:14" x14ac:dyDescent="0.25">
      <c r="A642" s="2" t="s">
        <v>1805</v>
      </c>
      <c r="B642" s="2" t="s">
        <v>1806</v>
      </c>
      <c r="C642" s="2" t="s">
        <v>16</v>
      </c>
      <c r="D642" s="2" t="s">
        <v>84</v>
      </c>
      <c r="E642" s="2" t="s">
        <v>79</v>
      </c>
      <c r="F642" s="2" t="s">
        <v>30</v>
      </c>
      <c r="G642" s="2" t="s">
        <v>183</v>
      </c>
      <c r="H642" s="2" t="s">
        <v>32</v>
      </c>
      <c r="I642" s="2">
        <v>48</v>
      </c>
      <c r="J642" s="2" t="s">
        <v>22</v>
      </c>
      <c r="K642" s="2" t="s">
        <v>1807</v>
      </c>
      <c r="L642" s="2" t="s">
        <v>24</v>
      </c>
      <c r="M642" s="2"/>
      <c r="N642" s="2" t="s">
        <v>43</v>
      </c>
    </row>
    <row r="643" spans="1:14" x14ac:dyDescent="0.25">
      <c r="A643" s="2" t="s">
        <v>1808</v>
      </c>
      <c r="B643" s="2" t="s">
        <v>1809</v>
      </c>
      <c r="C643" s="2" t="s">
        <v>28</v>
      </c>
      <c r="D643" s="2" t="s">
        <v>37</v>
      </c>
      <c r="E643" s="2" t="s">
        <v>90</v>
      </c>
      <c r="F643" s="2" t="s">
        <v>143</v>
      </c>
      <c r="G643" s="2" t="s">
        <v>20</v>
      </c>
      <c r="H643" s="2" t="s">
        <v>21</v>
      </c>
      <c r="I643" s="2">
        <v>24</v>
      </c>
      <c r="J643" s="2" t="s">
        <v>41</v>
      </c>
      <c r="K643" s="2" t="s">
        <v>1810</v>
      </c>
      <c r="L643" s="2" t="s">
        <v>24</v>
      </c>
      <c r="M643" s="2"/>
      <c r="N643" s="2"/>
    </row>
    <row r="644" spans="1:14" x14ac:dyDescent="0.25">
      <c r="A644" s="2" t="s">
        <v>1811</v>
      </c>
      <c r="B644" s="2" t="s">
        <v>1812</v>
      </c>
      <c r="C644" s="2" t="s">
        <v>53</v>
      </c>
      <c r="D644" s="2" t="s">
        <v>61</v>
      </c>
      <c r="E644" s="2" t="s">
        <v>18</v>
      </c>
      <c r="F644" s="2" t="s">
        <v>19</v>
      </c>
      <c r="G644" s="2" t="s">
        <v>211</v>
      </c>
      <c r="H644" s="2" t="s">
        <v>74</v>
      </c>
      <c r="I644" s="2">
        <v>8</v>
      </c>
      <c r="J644" s="2" t="s">
        <v>22</v>
      </c>
      <c r="K644" s="2" t="s">
        <v>1813</v>
      </c>
      <c r="L644" s="2" t="s">
        <v>24</v>
      </c>
      <c r="M644" s="2">
        <v>1</v>
      </c>
      <c r="N644" s="2" t="s">
        <v>64</v>
      </c>
    </row>
    <row r="645" spans="1:14" x14ac:dyDescent="0.25">
      <c r="A645" s="2" t="s">
        <v>1814</v>
      </c>
      <c r="B645" s="2" t="s">
        <v>1815</v>
      </c>
      <c r="C645" s="2" t="s">
        <v>28</v>
      </c>
      <c r="D645" s="2" t="s">
        <v>37</v>
      </c>
      <c r="E645" s="2" t="s">
        <v>18</v>
      </c>
      <c r="F645" s="2" t="s">
        <v>47</v>
      </c>
      <c r="G645" s="2" t="s">
        <v>139</v>
      </c>
      <c r="H645" s="2" t="s">
        <v>21</v>
      </c>
      <c r="I645" s="2">
        <v>24</v>
      </c>
      <c r="J645" s="2" t="s">
        <v>106</v>
      </c>
      <c r="K645" s="2" t="s">
        <v>1816</v>
      </c>
      <c r="L645" s="2" t="s">
        <v>92</v>
      </c>
      <c r="M645" s="2">
        <v>2</v>
      </c>
      <c r="N645" s="2" t="s">
        <v>43</v>
      </c>
    </row>
    <row r="646" spans="1:14" x14ac:dyDescent="0.25">
      <c r="A646" s="2" t="s">
        <v>1817</v>
      </c>
      <c r="B646" s="2" t="s">
        <v>1818</v>
      </c>
      <c r="C646" s="2" t="s">
        <v>16</v>
      </c>
      <c r="D646" s="2" t="s">
        <v>17</v>
      </c>
      <c r="E646" s="2" t="s">
        <v>46</v>
      </c>
      <c r="F646" s="2" t="s">
        <v>62</v>
      </c>
      <c r="G646" s="2" t="s">
        <v>20</v>
      </c>
      <c r="H646" s="2" t="s">
        <v>32</v>
      </c>
      <c r="I646" s="2">
        <v>48</v>
      </c>
      <c r="J646" s="2" t="s">
        <v>106</v>
      </c>
      <c r="K646" s="2" t="s">
        <v>1819</v>
      </c>
      <c r="L646" s="2" t="s">
        <v>24</v>
      </c>
      <c r="M646" s="2"/>
      <c r="N646" s="2" t="s">
        <v>118</v>
      </c>
    </row>
    <row r="647" spans="1:14" x14ac:dyDescent="0.25">
      <c r="A647" s="2" t="s">
        <v>1820</v>
      </c>
      <c r="B647" s="2" t="s">
        <v>1821</v>
      </c>
      <c r="C647" s="2" t="s">
        <v>28</v>
      </c>
      <c r="D647" s="2" t="s">
        <v>100</v>
      </c>
      <c r="E647" s="2" t="s">
        <v>90</v>
      </c>
      <c r="F647" s="2" t="s">
        <v>131</v>
      </c>
      <c r="G647" s="2" t="s">
        <v>121</v>
      </c>
      <c r="H647" s="2" t="s">
        <v>80</v>
      </c>
      <c r="I647" s="2">
        <v>4</v>
      </c>
      <c r="J647" s="2" t="s">
        <v>48</v>
      </c>
      <c r="K647" s="2" t="s">
        <v>1822</v>
      </c>
      <c r="L647" s="2" t="s">
        <v>24</v>
      </c>
      <c r="M647" s="2"/>
      <c r="N647" s="2" t="s">
        <v>50</v>
      </c>
    </row>
    <row r="648" spans="1:14" x14ac:dyDescent="0.25">
      <c r="A648" s="2" t="s">
        <v>1823</v>
      </c>
      <c r="B648" s="2" t="s">
        <v>1824</v>
      </c>
      <c r="C648" s="2" t="s">
        <v>53</v>
      </c>
      <c r="D648" s="2" t="s">
        <v>162</v>
      </c>
      <c r="E648" s="2" t="s">
        <v>90</v>
      </c>
      <c r="F648" s="2" t="s">
        <v>55</v>
      </c>
      <c r="G648" s="2" t="s">
        <v>31</v>
      </c>
      <c r="H648" s="2" t="s">
        <v>80</v>
      </c>
      <c r="I648" s="2">
        <v>4</v>
      </c>
      <c r="J648" s="2" t="s">
        <v>41</v>
      </c>
      <c r="K648" s="2" t="s">
        <v>1825</v>
      </c>
      <c r="L648" s="2" t="s">
        <v>24</v>
      </c>
      <c r="M648" s="2"/>
      <c r="N648" s="2" t="s">
        <v>58</v>
      </c>
    </row>
    <row r="649" spans="1:14" x14ac:dyDescent="0.25">
      <c r="A649" s="2" t="s">
        <v>1826</v>
      </c>
      <c r="B649" s="2" t="s">
        <v>1827</v>
      </c>
      <c r="C649" s="2" t="s">
        <v>28</v>
      </c>
      <c r="D649" s="2" t="s">
        <v>37</v>
      </c>
      <c r="E649" s="2" t="s">
        <v>90</v>
      </c>
      <c r="F649" s="2" t="s">
        <v>131</v>
      </c>
      <c r="G649" s="2" t="s">
        <v>183</v>
      </c>
      <c r="H649" s="2" t="s">
        <v>74</v>
      </c>
      <c r="I649" s="2">
        <v>8</v>
      </c>
      <c r="J649" s="2" t="s">
        <v>48</v>
      </c>
      <c r="K649" s="2" t="s">
        <v>1828</v>
      </c>
      <c r="L649" s="2" t="s">
        <v>24</v>
      </c>
      <c r="M649" s="2"/>
      <c r="N649" s="2" t="s">
        <v>58</v>
      </c>
    </row>
    <row r="650" spans="1:14" x14ac:dyDescent="0.25">
      <c r="A650" s="2" t="s">
        <v>1829</v>
      </c>
      <c r="B650" s="2" t="s">
        <v>1830</v>
      </c>
      <c r="C650" s="2" t="s">
        <v>28</v>
      </c>
      <c r="D650" s="2" t="s">
        <v>100</v>
      </c>
      <c r="E650" s="2" t="s">
        <v>38</v>
      </c>
      <c r="F650" s="2" t="s">
        <v>19</v>
      </c>
      <c r="G650" s="2" t="s">
        <v>158</v>
      </c>
      <c r="H650" s="2" t="s">
        <v>74</v>
      </c>
      <c r="I650" s="2">
        <v>8</v>
      </c>
      <c r="J650" s="2" t="s">
        <v>232</v>
      </c>
      <c r="K650" s="2"/>
      <c r="L650" s="2" t="s">
        <v>92</v>
      </c>
      <c r="M650" s="2"/>
      <c r="N650" s="2" t="s">
        <v>25</v>
      </c>
    </row>
    <row r="651" spans="1:14" x14ac:dyDescent="0.25">
      <c r="A651" s="2" t="s">
        <v>1831</v>
      </c>
      <c r="B651" s="2" t="s">
        <v>1832</v>
      </c>
      <c r="C651" s="2" t="s">
        <v>16</v>
      </c>
      <c r="D651" s="2" t="s">
        <v>17</v>
      </c>
      <c r="E651" s="2" t="s">
        <v>46</v>
      </c>
      <c r="F651" s="2" t="s">
        <v>113</v>
      </c>
      <c r="G651" s="2" t="s">
        <v>20</v>
      </c>
      <c r="H651" s="2" t="s">
        <v>74</v>
      </c>
      <c r="I651" s="2">
        <v>8</v>
      </c>
      <c r="J651" s="2" t="s">
        <v>187</v>
      </c>
      <c r="K651" s="2" t="s">
        <v>1833</v>
      </c>
      <c r="L651" s="2" t="s">
        <v>24</v>
      </c>
      <c r="M651" s="2"/>
      <c r="N651" s="2" t="s">
        <v>64</v>
      </c>
    </row>
    <row r="652" spans="1:14" x14ac:dyDescent="0.25">
      <c r="A652" s="2" t="s">
        <v>1834</v>
      </c>
      <c r="B652" s="2" t="s">
        <v>1835</v>
      </c>
      <c r="C652" s="2" t="s">
        <v>53</v>
      </c>
      <c r="D652" s="2" t="s">
        <v>61</v>
      </c>
      <c r="E652" s="2" t="s">
        <v>85</v>
      </c>
      <c r="F652" s="2" t="s">
        <v>96</v>
      </c>
      <c r="G652" s="2" t="s">
        <v>40</v>
      </c>
      <c r="H652" s="2" t="s">
        <v>74</v>
      </c>
      <c r="I652" s="2">
        <v>8</v>
      </c>
      <c r="J652" s="2" t="s">
        <v>11</v>
      </c>
      <c r="K652" s="2"/>
      <c r="L652" s="2" t="s">
        <v>92</v>
      </c>
      <c r="M652" s="2"/>
      <c r="N652" s="2" t="s">
        <v>34</v>
      </c>
    </row>
    <row r="653" spans="1:14" x14ac:dyDescent="0.25">
      <c r="A653" s="2" t="s">
        <v>1836</v>
      </c>
      <c r="B653" s="2" t="s">
        <v>1837</v>
      </c>
      <c r="C653" s="2" t="s">
        <v>53</v>
      </c>
      <c r="D653" s="2" t="s">
        <v>61</v>
      </c>
      <c r="E653" s="2" t="s">
        <v>90</v>
      </c>
      <c r="F653" s="2" t="s">
        <v>55</v>
      </c>
      <c r="G653" s="2" t="s">
        <v>126</v>
      </c>
      <c r="H653" s="2" t="s">
        <v>21</v>
      </c>
      <c r="I653" s="2">
        <v>24</v>
      </c>
      <c r="J653" s="2" t="s">
        <v>191</v>
      </c>
      <c r="K653" s="2" t="s">
        <v>1838</v>
      </c>
      <c r="L653" s="2" t="s">
        <v>24</v>
      </c>
      <c r="M653" s="2"/>
      <c r="N653" s="2" t="s">
        <v>50</v>
      </c>
    </row>
    <row r="654" spans="1:14" x14ac:dyDescent="0.25">
      <c r="A654" s="2" t="s">
        <v>1839</v>
      </c>
      <c r="B654" s="2" t="s">
        <v>1840</v>
      </c>
      <c r="C654" s="2" t="s">
        <v>16</v>
      </c>
      <c r="D654" s="2" t="s">
        <v>84</v>
      </c>
      <c r="E654" s="2" t="s">
        <v>46</v>
      </c>
      <c r="F654" s="2" t="s">
        <v>113</v>
      </c>
      <c r="G654" s="2" t="s">
        <v>135</v>
      </c>
      <c r="H654" s="2" t="s">
        <v>21</v>
      </c>
      <c r="I654" s="2">
        <v>24</v>
      </c>
      <c r="J654" s="2" t="s">
        <v>48</v>
      </c>
      <c r="K654" s="2" t="s">
        <v>1841</v>
      </c>
      <c r="L654" s="2" t="s">
        <v>24</v>
      </c>
      <c r="M654" s="2">
        <v>5</v>
      </c>
      <c r="N654" s="2" t="s">
        <v>34</v>
      </c>
    </row>
    <row r="655" spans="1:14" x14ac:dyDescent="0.25">
      <c r="A655" s="2" t="s">
        <v>1842</v>
      </c>
      <c r="B655" s="2" t="s">
        <v>1843</v>
      </c>
      <c r="C655" s="2" t="s">
        <v>28</v>
      </c>
      <c r="D655" s="2" t="s">
        <v>100</v>
      </c>
      <c r="E655" s="2" t="s">
        <v>85</v>
      </c>
      <c r="F655" s="2" t="s">
        <v>62</v>
      </c>
      <c r="G655" s="2" t="s">
        <v>105</v>
      </c>
      <c r="H655" s="2" t="s">
        <v>32</v>
      </c>
      <c r="I655" s="2">
        <v>48</v>
      </c>
      <c r="J655" s="2" t="s">
        <v>22</v>
      </c>
      <c r="K655" s="2" t="s">
        <v>1844</v>
      </c>
      <c r="L655" s="2" t="s">
        <v>24</v>
      </c>
      <c r="M655" s="2"/>
      <c r="N655" s="2" t="s">
        <v>118</v>
      </c>
    </row>
    <row r="656" spans="1:14" x14ac:dyDescent="0.25">
      <c r="A656" s="2" t="s">
        <v>1845</v>
      </c>
      <c r="B656" s="2" t="s">
        <v>1846</v>
      </c>
      <c r="C656" s="2" t="s">
        <v>16</v>
      </c>
      <c r="D656" s="2" t="s">
        <v>84</v>
      </c>
      <c r="E656" s="2" t="s">
        <v>85</v>
      </c>
      <c r="F656" s="2" t="s">
        <v>39</v>
      </c>
      <c r="G656" s="2" t="s">
        <v>97</v>
      </c>
      <c r="H656" s="2" t="s">
        <v>80</v>
      </c>
      <c r="I656" s="2">
        <v>4</v>
      </c>
      <c r="J656" s="2" t="s">
        <v>187</v>
      </c>
      <c r="K656" s="2" t="s">
        <v>1847</v>
      </c>
      <c r="L656" s="2" t="s">
        <v>24</v>
      </c>
      <c r="M656" s="2"/>
      <c r="N656" s="2" t="s">
        <v>43</v>
      </c>
    </row>
    <row r="657" spans="1:14" x14ac:dyDescent="0.25">
      <c r="A657" s="2" t="s">
        <v>1848</v>
      </c>
      <c r="B657" s="2" t="s">
        <v>1849</v>
      </c>
      <c r="C657" s="2" t="s">
        <v>53</v>
      </c>
      <c r="D657" s="2" t="s">
        <v>54</v>
      </c>
      <c r="E657" s="2" t="s">
        <v>90</v>
      </c>
      <c r="F657" s="2" t="s">
        <v>96</v>
      </c>
      <c r="G657" s="2" t="s">
        <v>135</v>
      </c>
      <c r="H657" s="2" t="s">
        <v>74</v>
      </c>
      <c r="I657" s="2">
        <v>8</v>
      </c>
      <c r="J657" s="2" t="s">
        <v>33</v>
      </c>
      <c r="K657" s="2"/>
      <c r="L657" s="2" t="s">
        <v>24</v>
      </c>
      <c r="M657" s="2"/>
      <c r="N657" s="2" t="s">
        <v>118</v>
      </c>
    </row>
    <row r="658" spans="1:14" x14ac:dyDescent="0.25">
      <c r="A658" s="2" t="s">
        <v>1850</v>
      </c>
      <c r="B658" s="2" t="s">
        <v>1851</v>
      </c>
      <c r="C658" s="2" t="s">
        <v>67</v>
      </c>
      <c r="D658" s="2" t="s">
        <v>95</v>
      </c>
      <c r="E658" s="2" t="s">
        <v>18</v>
      </c>
      <c r="F658" s="2" t="s">
        <v>47</v>
      </c>
      <c r="G658" s="2" t="s">
        <v>139</v>
      </c>
      <c r="H658" s="2" t="s">
        <v>32</v>
      </c>
      <c r="I658" s="2">
        <v>48</v>
      </c>
      <c r="J658" s="2" t="s">
        <v>75</v>
      </c>
      <c r="K658" s="2" t="s">
        <v>1852</v>
      </c>
      <c r="L658" s="2" t="s">
        <v>24</v>
      </c>
      <c r="M658" s="2">
        <v>2</v>
      </c>
      <c r="N658" s="2" t="s">
        <v>43</v>
      </c>
    </row>
    <row r="659" spans="1:14" x14ac:dyDescent="0.25">
      <c r="A659" s="2" t="s">
        <v>1853</v>
      </c>
      <c r="B659" s="2" t="s">
        <v>1854</v>
      </c>
      <c r="C659" s="2" t="s">
        <v>28</v>
      </c>
      <c r="D659" s="2" t="s">
        <v>29</v>
      </c>
      <c r="E659" s="2" t="s">
        <v>46</v>
      </c>
      <c r="F659" s="2" t="s">
        <v>125</v>
      </c>
      <c r="G659" s="2" t="s">
        <v>110</v>
      </c>
      <c r="H659" s="2" t="s">
        <v>21</v>
      </c>
      <c r="I659" s="2">
        <v>24</v>
      </c>
      <c r="J659" s="2" t="s">
        <v>200</v>
      </c>
      <c r="K659" s="2"/>
      <c r="L659" s="2" t="s">
        <v>92</v>
      </c>
      <c r="M659" s="2"/>
      <c r="N659" s="2"/>
    </row>
    <row r="660" spans="1:14" x14ac:dyDescent="0.25">
      <c r="A660" s="2" t="s">
        <v>1855</v>
      </c>
      <c r="B660" s="2" t="s">
        <v>1856</v>
      </c>
      <c r="C660" s="2" t="s">
        <v>53</v>
      </c>
      <c r="D660" s="2" t="s">
        <v>54</v>
      </c>
      <c r="E660" s="2" t="s">
        <v>79</v>
      </c>
      <c r="F660" s="2" t="s">
        <v>125</v>
      </c>
      <c r="G660" s="2" t="s">
        <v>91</v>
      </c>
      <c r="H660" s="2" t="s">
        <v>21</v>
      </c>
      <c r="I660" s="2">
        <v>24</v>
      </c>
      <c r="J660" s="2" t="s">
        <v>22</v>
      </c>
      <c r="K660" s="2" t="s">
        <v>1857</v>
      </c>
      <c r="L660" s="2" t="s">
        <v>24</v>
      </c>
      <c r="M660" s="2">
        <v>3</v>
      </c>
      <c r="N660" s="2" t="s">
        <v>43</v>
      </c>
    </row>
    <row r="661" spans="1:14" x14ac:dyDescent="0.25">
      <c r="A661" s="2" t="s">
        <v>1858</v>
      </c>
      <c r="B661" s="2" t="s">
        <v>1859</v>
      </c>
      <c r="C661" s="2" t="s">
        <v>67</v>
      </c>
      <c r="D661" s="2" t="s">
        <v>68</v>
      </c>
      <c r="E661" s="2" t="s">
        <v>18</v>
      </c>
      <c r="F661" s="2" t="s">
        <v>131</v>
      </c>
      <c r="G661" s="2" t="s">
        <v>135</v>
      </c>
      <c r="H661" s="2" t="s">
        <v>32</v>
      </c>
      <c r="I661" s="2">
        <v>48</v>
      </c>
      <c r="J661" s="2" t="s">
        <v>287</v>
      </c>
      <c r="K661" s="2"/>
      <c r="L661" s="2" t="s">
        <v>24</v>
      </c>
      <c r="M661" s="2"/>
      <c r="N661" s="2"/>
    </row>
    <row r="662" spans="1:14" x14ac:dyDescent="0.25">
      <c r="A662" s="2" t="s">
        <v>1860</v>
      </c>
      <c r="B662" s="2" t="s">
        <v>1861</v>
      </c>
      <c r="C662" s="2" t="s">
        <v>67</v>
      </c>
      <c r="D662" s="2" t="s">
        <v>68</v>
      </c>
      <c r="E662" s="2" t="s">
        <v>18</v>
      </c>
      <c r="F662" s="2" t="s">
        <v>125</v>
      </c>
      <c r="G662" s="2" t="s">
        <v>126</v>
      </c>
      <c r="H662" s="2" t="s">
        <v>32</v>
      </c>
      <c r="I662" s="2">
        <v>48</v>
      </c>
      <c r="J662" s="2" t="s">
        <v>149</v>
      </c>
      <c r="K662" s="2"/>
      <c r="L662" s="2" t="s">
        <v>24</v>
      </c>
      <c r="M662" s="2"/>
      <c r="N662" s="2" t="s">
        <v>25</v>
      </c>
    </row>
    <row r="663" spans="1:14" x14ac:dyDescent="0.25">
      <c r="A663" s="2" t="s">
        <v>1862</v>
      </c>
      <c r="B663" s="2" t="s">
        <v>1863</v>
      </c>
      <c r="C663" s="2" t="s">
        <v>67</v>
      </c>
      <c r="D663" s="2" t="s">
        <v>95</v>
      </c>
      <c r="E663" s="2" t="s">
        <v>46</v>
      </c>
      <c r="F663" s="2" t="s">
        <v>113</v>
      </c>
      <c r="G663" s="2" t="s">
        <v>105</v>
      </c>
      <c r="H663" s="2" t="s">
        <v>21</v>
      </c>
      <c r="I663" s="2">
        <v>24</v>
      </c>
      <c r="J663" s="2" t="s">
        <v>22</v>
      </c>
      <c r="K663" s="2" t="s">
        <v>1864</v>
      </c>
      <c r="L663" s="2" t="s">
        <v>24</v>
      </c>
      <c r="M663" s="2"/>
      <c r="N663" s="2"/>
    </row>
    <row r="664" spans="1:14" x14ac:dyDescent="0.25">
      <c r="A664" s="2" t="s">
        <v>1865</v>
      </c>
      <c r="B664" s="2" t="s">
        <v>1866</v>
      </c>
      <c r="C664" s="2" t="s">
        <v>16</v>
      </c>
      <c r="D664" s="2" t="s">
        <v>17</v>
      </c>
      <c r="E664" s="2" t="s">
        <v>46</v>
      </c>
      <c r="F664" s="2" t="s">
        <v>69</v>
      </c>
      <c r="G664" s="2" t="s">
        <v>211</v>
      </c>
      <c r="H664" s="2" t="s">
        <v>32</v>
      </c>
      <c r="I664" s="2">
        <v>48</v>
      </c>
      <c r="J664" s="2" t="s">
        <v>117</v>
      </c>
      <c r="K664" s="2"/>
      <c r="L664" s="2" t="s">
        <v>92</v>
      </c>
      <c r="M664" s="2"/>
      <c r="N664" s="2"/>
    </row>
    <row r="665" spans="1:14" x14ac:dyDescent="0.25">
      <c r="A665" s="2" t="s">
        <v>1867</v>
      </c>
      <c r="B665" s="2" t="s">
        <v>1868</v>
      </c>
      <c r="C665" s="2" t="s">
        <v>28</v>
      </c>
      <c r="D665" s="2" t="s">
        <v>37</v>
      </c>
      <c r="E665" s="2" t="s">
        <v>46</v>
      </c>
      <c r="F665" s="2" t="s">
        <v>125</v>
      </c>
      <c r="G665" s="2" t="s">
        <v>183</v>
      </c>
      <c r="H665" s="2" t="s">
        <v>32</v>
      </c>
      <c r="I665" s="2">
        <v>48</v>
      </c>
      <c r="J665" s="2" t="s">
        <v>155</v>
      </c>
      <c r="K665" s="2"/>
      <c r="L665" s="2" t="s">
        <v>24</v>
      </c>
      <c r="M665" s="2"/>
      <c r="N665" s="2" t="s">
        <v>34</v>
      </c>
    </row>
    <row r="666" spans="1:14" x14ac:dyDescent="0.25">
      <c r="A666" s="2" t="s">
        <v>1869</v>
      </c>
      <c r="B666" s="2" t="s">
        <v>1870</v>
      </c>
      <c r="C666" s="2" t="s">
        <v>28</v>
      </c>
      <c r="D666" s="2" t="s">
        <v>100</v>
      </c>
      <c r="E666" s="2" t="s">
        <v>18</v>
      </c>
      <c r="F666" s="2" t="s">
        <v>143</v>
      </c>
      <c r="G666" s="2" t="s">
        <v>20</v>
      </c>
      <c r="H666" s="2" t="s">
        <v>74</v>
      </c>
      <c r="I666" s="2">
        <v>8</v>
      </c>
      <c r="J666" s="2" t="s">
        <v>48</v>
      </c>
      <c r="K666" s="2" t="s">
        <v>1871</v>
      </c>
      <c r="L666" s="2" t="s">
        <v>24</v>
      </c>
      <c r="M666" s="2"/>
      <c r="N666" s="2" t="s">
        <v>25</v>
      </c>
    </row>
    <row r="667" spans="1:14" x14ac:dyDescent="0.25">
      <c r="A667" s="2" t="s">
        <v>1872</v>
      </c>
      <c r="B667" s="2" t="s">
        <v>1873</v>
      </c>
      <c r="C667" s="2" t="s">
        <v>53</v>
      </c>
      <c r="D667" s="2" t="s">
        <v>61</v>
      </c>
      <c r="E667" s="2" t="s">
        <v>90</v>
      </c>
      <c r="F667" s="2" t="s">
        <v>47</v>
      </c>
      <c r="G667" s="2" t="s">
        <v>97</v>
      </c>
      <c r="H667" s="2" t="s">
        <v>21</v>
      </c>
      <c r="I667" s="2">
        <v>24</v>
      </c>
      <c r="J667" s="2" t="s">
        <v>106</v>
      </c>
      <c r="K667" s="2" t="s">
        <v>1874</v>
      </c>
      <c r="L667" s="2" t="s">
        <v>24</v>
      </c>
      <c r="M667" s="2">
        <v>5</v>
      </c>
      <c r="N667" s="2" t="s">
        <v>43</v>
      </c>
    </row>
    <row r="668" spans="1:14" x14ac:dyDescent="0.25">
      <c r="A668" s="2" t="s">
        <v>1875</v>
      </c>
      <c r="B668" s="2" t="s">
        <v>1876</v>
      </c>
      <c r="C668" s="2" t="s">
        <v>16</v>
      </c>
      <c r="D668" s="2" t="s">
        <v>17</v>
      </c>
      <c r="E668" s="2" t="s">
        <v>90</v>
      </c>
      <c r="F668" s="2" t="s">
        <v>62</v>
      </c>
      <c r="G668" s="2" t="s">
        <v>211</v>
      </c>
      <c r="H668" s="2" t="s">
        <v>32</v>
      </c>
      <c r="I668" s="2">
        <v>48</v>
      </c>
      <c r="J668" s="2" t="s">
        <v>106</v>
      </c>
      <c r="K668" s="2" t="s">
        <v>1877</v>
      </c>
      <c r="L668" s="2" t="s">
        <v>24</v>
      </c>
      <c r="M668" s="2">
        <v>4</v>
      </c>
      <c r="N668" s="2"/>
    </row>
    <row r="669" spans="1:14" x14ac:dyDescent="0.25">
      <c r="A669" s="2" t="s">
        <v>1878</v>
      </c>
      <c r="B669" s="2" t="s">
        <v>1879</v>
      </c>
      <c r="C669" s="2" t="s">
        <v>16</v>
      </c>
      <c r="D669" s="2" t="s">
        <v>17</v>
      </c>
      <c r="E669" s="2" t="s">
        <v>38</v>
      </c>
      <c r="F669" s="2" t="s">
        <v>39</v>
      </c>
      <c r="G669" s="2" t="s">
        <v>110</v>
      </c>
      <c r="H669" s="2" t="s">
        <v>21</v>
      </c>
      <c r="I669" s="2">
        <v>24</v>
      </c>
      <c r="J669" s="2" t="s">
        <v>48</v>
      </c>
      <c r="K669" s="2" t="s">
        <v>1880</v>
      </c>
      <c r="L669" s="2" t="s">
        <v>24</v>
      </c>
      <c r="M669" s="2"/>
      <c r="N669" s="2" t="s">
        <v>25</v>
      </c>
    </row>
    <row r="670" spans="1:14" x14ac:dyDescent="0.25">
      <c r="A670" s="2" t="s">
        <v>1881</v>
      </c>
      <c r="B670" s="2" t="s">
        <v>1882</v>
      </c>
      <c r="C670" s="2" t="s">
        <v>53</v>
      </c>
      <c r="D670" s="2" t="s">
        <v>54</v>
      </c>
      <c r="E670" s="2" t="s">
        <v>18</v>
      </c>
      <c r="F670" s="2" t="s">
        <v>125</v>
      </c>
      <c r="G670" s="2" t="s">
        <v>20</v>
      </c>
      <c r="H670" s="2" t="s">
        <v>74</v>
      </c>
      <c r="I670" s="2">
        <v>8</v>
      </c>
      <c r="J670" s="2" t="s">
        <v>106</v>
      </c>
      <c r="K670" s="2" t="s">
        <v>1883</v>
      </c>
      <c r="L670" s="2" t="s">
        <v>24</v>
      </c>
      <c r="M670" s="2">
        <v>5</v>
      </c>
      <c r="N670" s="2" t="s">
        <v>50</v>
      </c>
    </row>
    <row r="671" spans="1:14" x14ac:dyDescent="0.25">
      <c r="A671" s="2" t="s">
        <v>1884</v>
      </c>
      <c r="B671" s="2" t="s">
        <v>1885</v>
      </c>
      <c r="C671" s="2" t="s">
        <v>67</v>
      </c>
      <c r="D671" s="2" t="s">
        <v>95</v>
      </c>
      <c r="E671" s="2" t="s">
        <v>148</v>
      </c>
      <c r="F671" s="2" t="s">
        <v>62</v>
      </c>
      <c r="G671" s="2" t="s">
        <v>211</v>
      </c>
      <c r="H671" s="2" t="s">
        <v>21</v>
      </c>
      <c r="I671" s="2">
        <v>24</v>
      </c>
      <c r="J671" s="2" t="s">
        <v>41</v>
      </c>
      <c r="K671" s="2" t="s">
        <v>1886</v>
      </c>
      <c r="L671" s="2" t="s">
        <v>92</v>
      </c>
      <c r="M671" s="2">
        <v>5</v>
      </c>
      <c r="N671" s="2" t="s">
        <v>34</v>
      </c>
    </row>
    <row r="672" spans="1:14" x14ac:dyDescent="0.25">
      <c r="A672" s="2" t="s">
        <v>1887</v>
      </c>
      <c r="B672" s="2" t="s">
        <v>1888</v>
      </c>
      <c r="C672" s="2" t="s">
        <v>28</v>
      </c>
      <c r="D672" s="2" t="s">
        <v>100</v>
      </c>
      <c r="E672" s="2" t="s">
        <v>85</v>
      </c>
      <c r="F672" s="2" t="s">
        <v>69</v>
      </c>
      <c r="G672" s="2" t="s">
        <v>91</v>
      </c>
      <c r="H672" s="2" t="s">
        <v>32</v>
      </c>
      <c r="I672" s="2">
        <v>48</v>
      </c>
      <c r="J672" s="2" t="s">
        <v>191</v>
      </c>
      <c r="K672" s="2" t="s">
        <v>1889</v>
      </c>
      <c r="L672" s="2" t="s">
        <v>24</v>
      </c>
      <c r="M672" s="2"/>
      <c r="N672" s="2" t="s">
        <v>118</v>
      </c>
    </row>
    <row r="673" spans="1:14" x14ac:dyDescent="0.25">
      <c r="A673" s="2" t="s">
        <v>1890</v>
      </c>
      <c r="B673" s="2" t="s">
        <v>1891</v>
      </c>
      <c r="C673" s="2" t="s">
        <v>28</v>
      </c>
      <c r="D673" s="2" t="s">
        <v>100</v>
      </c>
      <c r="E673" s="2" t="s">
        <v>46</v>
      </c>
      <c r="F673" s="2" t="s">
        <v>19</v>
      </c>
      <c r="G673" s="2" t="s">
        <v>97</v>
      </c>
      <c r="H673" s="2" t="s">
        <v>32</v>
      </c>
      <c r="I673" s="2">
        <v>48</v>
      </c>
      <c r="J673" s="2" t="s">
        <v>232</v>
      </c>
      <c r="K673" s="2"/>
      <c r="L673" s="2" t="s">
        <v>92</v>
      </c>
      <c r="M673" s="2"/>
      <c r="N673" s="2" t="s">
        <v>64</v>
      </c>
    </row>
    <row r="674" spans="1:14" x14ac:dyDescent="0.25">
      <c r="A674" s="2" t="s">
        <v>1892</v>
      </c>
      <c r="B674" s="2" t="s">
        <v>1893</v>
      </c>
      <c r="C674" s="2" t="s">
        <v>53</v>
      </c>
      <c r="D674" s="2" t="s">
        <v>61</v>
      </c>
      <c r="E674" s="2" t="s">
        <v>18</v>
      </c>
      <c r="F674" s="2" t="s">
        <v>125</v>
      </c>
      <c r="G674" s="2" t="s">
        <v>40</v>
      </c>
      <c r="H674" s="2" t="s">
        <v>32</v>
      </c>
      <c r="I674" s="2">
        <v>48</v>
      </c>
      <c r="J674" s="2" t="s">
        <v>75</v>
      </c>
      <c r="K674" s="2" t="s">
        <v>1894</v>
      </c>
      <c r="L674" s="2" t="s">
        <v>24</v>
      </c>
      <c r="M674" s="2">
        <v>4</v>
      </c>
      <c r="N674" s="2" t="s">
        <v>34</v>
      </c>
    </row>
    <row r="675" spans="1:14" x14ac:dyDescent="0.25">
      <c r="A675" s="2" t="s">
        <v>1895</v>
      </c>
      <c r="B675" s="2" t="s">
        <v>1896</v>
      </c>
      <c r="C675" s="2" t="s">
        <v>53</v>
      </c>
      <c r="D675" s="2" t="s">
        <v>61</v>
      </c>
      <c r="E675" s="2" t="s">
        <v>148</v>
      </c>
      <c r="F675" s="2" t="s">
        <v>113</v>
      </c>
      <c r="G675" s="2" t="s">
        <v>121</v>
      </c>
      <c r="H675" s="2" t="s">
        <v>21</v>
      </c>
      <c r="I675" s="2">
        <v>24</v>
      </c>
      <c r="J675" s="2" t="s">
        <v>22</v>
      </c>
      <c r="K675" s="2" t="s">
        <v>1897</v>
      </c>
      <c r="L675" s="2" t="s">
        <v>24</v>
      </c>
      <c r="M675" s="2">
        <v>5</v>
      </c>
      <c r="N675" s="2" t="s">
        <v>25</v>
      </c>
    </row>
    <row r="676" spans="1:14" x14ac:dyDescent="0.25">
      <c r="A676" s="2" t="s">
        <v>1898</v>
      </c>
      <c r="B676" s="2" t="s">
        <v>1899</v>
      </c>
      <c r="C676" s="2" t="s">
        <v>16</v>
      </c>
      <c r="D676" s="2" t="s">
        <v>17</v>
      </c>
      <c r="E676" s="2" t="s">
        <v>85</v>
      </c>
      <c r="F676" s="2" t="s">
        <v>131</v>
      </c>
      <c r="G676" s="2" t="s">
        <v>121</v>
      </c>
      <c r="H676" s="2" t="s">
        <v>80</v>
      </c>
      <c r="I676" s="2">
        <v>4</v>
      </c>
      <c r="J676" s="2" t="s">
        <v>106</v>
      </c>
      <c r="K676" s="2" t="s">
        <v>1184</v>
      </c>
      <c r="L676" s="2" t="s">
        <v>24</v>
      </c>
      <c r="M676" s="2">
        <v>5</v>
      </c>
      <c r="N676" s="2" t="s">
        <v>128</v>
      </c>
    </row>
    <row r="677" spans="1:14" x14ac:dyDescent="0.25">
      <c r="A677" s="2" t="s">
        <v>1900</v>
      </c>
      <c r="B677" s="2" t="s">
        <v>1901</v>
      </c>
      <c r="C677" s="2" t="s">
        <v>28</v>
      </c>
      <c r="D677" s="2" t="s">
        <v>100</v>
      </c>
      <c r="E677" s="2" t="s">
        <v>38</v>
      </c>
      <c r="F677" s="2" t="s">
        <v>113</v>
      </c>
      <c r="G677" s="2" t="s">
        <v>135</v>
      </c>
      <c r="H677" s="2" t="s">
        <v>32</v>
      </c>
      <c r="I677" s="2">
        <v>48</v>
      </c>
      <c r="J677" s="2" t="s">
        <v>200</v>
      </c>
      <c r="K677" s="2"/>
      <c r="L677" s="2" t="s">
        <v>92</v>
      </c>
      <c r="M677" s="2"/>
      <c r="N677" s="2" t="s">
        <v>34</v>
      </c>
    </row>
    <row r="678" spans="1:14" x14ac:dyDescent="0.25">
      <c r="A678" s="2" t="s">
        <v>1902</v>
      </c>
      <c r="B678" s="2" t="s">
        <v>1903</v>
      </c>
      <c r="C678" s="2" t="s">
        <v>67</v>
      </c>
      <c r="D678" s="2" t="s">
        <v>95</v>
      </c>
      <c r="E678" s="2" t="s">
        <v>148</v>
      </c>
      <c r="F678" s="2" t="s">
        <v>47</v>
      </c>
      <c r="G678" s="2" t="s">
        <v>40</v>
      </c>
      <c r="H678" s="2" t="s">
        <v>74</v>
      </c>
      <c r="I678" s="2">
        <v>8</v>
      </c>
      <c r="J678" s="2" t="s">
        <v>187</v>
      </c>
      <c r="K678" s="2" t="s">
        <v>1904</v>
      </c>
      <c r="L678" s="2" t="s">
        <v>24</v>
      </c>
      <c r="M678" s="2">
        <v>5</v>
      </c>
      <c r="N678" s="2" t="s">
        <v>34</v>
      </c>
    </row>
    <row r="679" spans="1:14" x14ac:dyDescent="0.25">
      <c r="A679" s="2" t="s">
        <v>1905</v>
      </c>
      <c r="B679" s="2" t="s">
        <v>1906</v>
      </c>
      <c r="C679" s="2" t="s">
        <v>28</v>
      </c>
      <c r="D679" s="2" t="s">
        <v>37</v>
      </c>
      <c r="E679" s="2" t="s">
        <v>38</v>
      </c>
      <c r="F679" s="2" t="s">
        <v>30</v>
      </c>
      <c r="G679" s="2" t="s">
        <v>40</v>
      </c>
      <c r="H679" s="2" t="s">
        <v>74</v>
      </c>
      <c r="I679" s="2">
        <v>8</v>
      </c>
      <c r="J679" s="2" t="s">
        <v>106</v>
      </c>
      <c r="K679" s="2" t="s">
        <v>1907</v>
      </c>
      <c r="L679" s="2" t="s">
        <v>24</v>
      </c>
      <c r="M679" s="2">
        <v>5</v>
      </c>
      <c r="N679" s="2" t="s">
        <v>128</v>
      </c>
    </row>
    <row r="680" spans="1:14" x14ac:dyDescent="0.25">
      <c r="A680" s="2" t="s">
        <v>1908</v>
      </c>
      <c r="B680" s="2" t="s">
        <v>1909</v>
      </c>
      <c r="C680" s="2" t="s">
        <v>16</v>
      </c>
      <c r="D680" s="2" t="s">
        <v>765</v>
      </c>
      <c r="E680" s="2" t="s">
        <v>18</v>
      </c>
      <c r="F680" s="2" t="s">
        <v>39</v>
      </c>
      <c r="G680" s="2" t="s">
        <v>144</v>
      </c>
      <c r="H680" s="2" t="s">
        <v>74</v>
      </c>
      <c r="I680" s="2">
        <v>8</v>
      </c>
      <c r="J680" s="2" t="s">
        <v>106</v>
      </c>
      <c r="K680" s="2"/>
      <c r="L680" s="2" t="s">
        <v>24</v>
      </c>
      <c r="M680" s="2"/>
      <c r="N680" s="2"/>
    </row>
    <row r="681" spans="1:14" x14ac:dyDescent="0.25">
      <c r="A681" s="2" t="s">
        <v>1910</v>
      </c>
      <c r="B681" s="2" t="s">
        <v>1911</v>
      </c>
      <c r="C681" s="2" t="s">
        <v>28</v>
      </c>
      <c r="D681" s="2" t="s">
        <v>100</v>
      </c>
      <c r="E681" s="2" t="s">
        <v>18</v>
      </c>
      <c r="F681" s="2" t="s">
        <v>30</v>
      </c>
      <c r="G681" s="2" t="s">
        <v>91</v>
      </c>
      <c r="H681" s="2" t="s">
        <v>32</v>
      </c>
      <c r="I681" s="2">
        <v>48</v>
      </c>
      <c r="J681" s="2" t="s">
        <v>232</v>
      </c>
      <c r="K681" s="2"/>
      <c r="L681" s="2" t="s">
        <v>92</v>
      </c>
      <c r="M681" s="2"/>
      <c r="N681" s="2"/>
    </row>
    <row r="682" spans="1:14" x14ac:dyDescent="0.25">
      <c r="A682" s="2" t="s">
        <v>1912</v>
      </c>
      <c r="B682" s="2" t="s">
        <v>1913</v>
      </c>
      <c r="C682" s="2" t="s">
        <v>28</v>
      </c>
      <c r="D682" s="2" t="s">
        <v>100</v>
      </c>
      <c r="E682" s="2" t="s">
        <v>85</v>
      </c>
      <c r="F682" s="2" t="s">
        <v>113</v>
      </c>
      <c r="G682" s="2" t="s">
        <v>20</v>
      </c>
      <c r="H682" s="2" t="s">
        <v>74</v>
      </c>
      <c r="I682" s="2">
        <v>8</v>
      </c>
      <c r="J682" s="2" t="s">
        <v>106</v>
      </c>
      <c r="K682" s="2" t="s">
        <v>1914</v>
      </c>
      <c r="L682" s="2" t="s">
        <v>24</v>
      </c>
      <c r="M682" s="2">
        <v>5</v>
      </c>
      <c r="N682" s="2" t="s">
        <v>118</v>
      </c>
    </row>
    <row r="683" spans="1:14" x14ac:dyDescent="0.25">
      <c r="A683" s="2" t="s">
        <v>1915</v>
      </c>
      <c r="B683" s="2" t="s">
        <v>1916</v>
      </c>
      <c r="C683" s="2" t="s">
        <v>16</v>
      </c>
      <c r="D683" s="2" t="s">
        <v>84</v>
      </c>
      <c r="E683" s="2" t="s">
        <v>90</v>
      </c>
      <c r="F683" s="2" t="s">
        <v>69</v>
      </c>
      <c r="G683" s="2" t="s">
        <v>20</v>
      </c>
      <c r="H683" s="2" t="s">
        <v>21</v>
      </c>
      <c r="I683" s="2">
        <v>24</v>
      </c>
      <c r="J683" s="2" t="s">
        <v>75</v>
      </c>
      <c r="K683" s="2" t="s">
        <v>1917</v>
      </c>
      <c r="L683" s="2" t="s">
        <v>24</v>
      </c>
      <c r="M683" s="2"/>
      <c r="N683" s="2" t="s">
        <v>58</v>
      </c>
    </row>
    <row r="684" spans="1:14" x14ac:dyDescent="0.25">
      <c r="A684" s="2" t="s">
        <v>1918</v>
      </c>
      <c r="B684" s="2" t="s">
        <v>1919</v>
      </c>
      <c r="C684" s="2" t="s">
        <v>53</v>
      </c>
      <c r="D684" s="2" t="s">
        <v>162</v>
      </c>
      <c r="E684" s="2" t="s">
        <v>79</v>
      </c>
      <c r="F684" s="2" t="s">
        <v>131</v>
      </c>
      <c r="G684" s="2" t="s">
        <v>91</v>
      </c>
      <c r="H684" s="2" t="s">
        <v>32</v>
      </c>
      <c r="I684" s="2">
        <v>48</v>
      </c>
      <c r="J684" s="2" t="s">
        <v>48</v>
      </c>
      <c r="K684" s="2" t="s">
        <v>1920</v>
      </c>
      <c r="L684" s="2" t="s">
        <v>24</v>
      </c>
      <c r="M684" s="2"/>
      <c r="N684" s="2"/>
    </row>
    <row r="685" spans="1:14" x14ac:dyDescent="0.25">
      <c r="A685" s="2" t="s">
        <v>1921</v>
      </c>
      <c r="B685" s="2" t="s">
        <v>1922</v>
      </c>
      <c r="C685" s="2" t="s">
        <v>28</v>
      </c>
      <c r="D685" s="2" t="s">
        <v>100</v>
      </c>
      <c r="E685" s="2" t="s">
        <v>85</v>
      </c>
      <c r="F685" s="2" t="s">
        <v>131</v>
      </c>
      <c r="G685" s="2" t="s">
        <v>144</v>
      </c>
      <c r="H685" s="2" t="s">
        <v>21</v>
      </c>
      <c r="I685" s="2">
        <v>24</v>
      </c>
      <c r="J685" s="2" t="s">
        <v>232</v>
      </c>
      <c r="K685" s="2"/>
      <c r="L685" s="2" t="s">
        <v>92</v>
      </c>
      <c r="M685" s="2"/>
      <c r="N685" s="2" t="s">
        <v>50</v>
      </c>
    </row>
    <row r="686" spans="1:14" x14ac:dyDescent="0.25">
      <c r="A686" s="2" t="s">
        <v>1923</v>
      </c>
      <c r="B686" s="2" t="s">
        <v>1924</v>
      </c>
      <c r="C686" s="2" t="s">
        <v>53</v>
      </c>
      <c r="D686" s="2" t="s">
        <v>54</v>
      </c>
      <c r="E686" s="2" t="s">
        <v>38</v>
      </c>
      <c r="F686" s="2" t="s">
        <v>125</v>
      </c>
      <c r="G686" s="2" t="s">
        <v>31</v>
      </c>
      <c r="H686" s="2" t="s">
        <v>21</v>
      </c>
      <c r="I686" s="2">
        <v>24</v>
      </c>
      <c r="J686" s="2" t="s">
        <v>48</v>
      </c>
      <c r="K686" s="2" t="s">
        <v>1925</v>
      </c>
      <c r="L686" s="2" t="s">
        <v>24</v>
      </c>
      <c r="M686" s="2">
        <v>5</v>
      </c>
      <c r="N686" s="2" t="s">
        <v>25</v>
      </c>
    </row>
    <row r="687" spans="1:14" x14ac:dyDescent="0.25">
      <c r="A687" s="2" t="s">
        <v>1926</v>
      </c>
      <c r="B687" s="2" t="s">
        <v>1927</v>
      </c>
      <c r="C687" s="2" t="s">
        <v>16</v>
      </c>
      <c r="D687" s="2" t="s">
        <v>17</v>
      </c>
      <c r="E687" s="2" t="s">
        <v>38</v>
      </c>
      <c r="F687" s="2" t="s">
        <v>47</v>
      </c>
      <c r="G687" s="2" t="s">
        <v>144</v>
      </c>
      <c r="H687" s="2" t="s">
        <v>21</v>
      </c>
      <c r="I687" s="2">
        <v>24</v>
      </c>
      <c r="J687" s="2" t="s">
        <v>106</v>
      </c>
      <c r="K687" s="2" t="s">
        <v>1928</v>
      </c>
      <c r="L687" s="2" t="s">
        <v>24</v>
      </c>
      <c r="M687" s="2">
        <v>5</v>
      </c>
      <c r="N687" s="2" t="s">
        <v>50</v>
      </c>
    </row>
    <row r="688" spans="1:14" x14ac:dyDescent="0.25">
      <c r="A688" s="2" t="s">
        <v>1929</v>
      </c>
      <c r="B688" s="2" t="s">
        <v>1930</v>
      </c>
      <c r="C688" s="2" t="s">
        <v>28</v>
      </c>
      <c r="D688" s="2" t="s">
        <v>220</v>
      </c>
      <c r="E688" s="2" t="s">
        <v>46</v>
      </c>
      <c r="F688" s="2" t="s">
        <v>47</v>
      </c>
      <c r="G688" s="2" t="s">
        <v>105</v>
      </c>
      <c r="H688" s="2" t="s">
        <v>21</v>
      </c>
      <c r="I688" s="2">
        <v>24</v>
      </c>
      <c r="J688" s="2" t="s">
        <v>11</v>
      </c>
      <c r="K688" s="2"/>
      <c r="L688" s="2" t="s">
        <v>92</v>
      </c>
      <c r="M688" s="2"/>
      <c r="N688" s="2" t="s">
        <v>43</v>
      </c>
    </row>
    <row r="689" spans="1:14" x14ac:dyDescent="0.25">
      <c r="A689" s="2" t="s">
        <v>1931</v>
      </c>
      <c r="B689" s="2" t="s">
        <v>1932</v>
      </c>
      <c r="C689" s="2" t="s">
        <v>16</v>
      </c>
      <c r="D689" s="2" t="s">
        <v>17</v>
      </c>
      <c r="E689" s="2" t="s">
        <v>38</v>
      </c>
      <c r="F689" s="2" t="s">
        <v>47</v>
      </c>
      <c r="G689" s="2" t="s">
        <v>139</v>
      </c>
      <c r="H689" s="2" t="s">
        <v>21</v>
      </c>
      <c r="I689" s="2">
        <v>24</v>
      </c>
      <c r="J689" s="2" t="s">
        <v>75</v>
      </c>
      <c r="K689" s="2" t="s">
        <v>1933</v>
      </c>
      <c r="L689" s="2" t="s">
        <v>24</v>
      </c>
      <c r="M689" s="2">
        <v>4</v>
      </c>
      <c r="N689" s="2"/>
    </row>
    <row r="690" spans="1:14" x14ac:dyDescent="0.25">
      <c r="A690" s="2" t="s">
        <v>1934</v>
      </c>
      <c r="B690" s="2" t="s">
        <v>1935</v>
      </c>
      <c r="C690" s="2" t="s">
        <v>67</v>
      </c>
      <c r="D690" s="2" t="s">
        <v>68</v>
      </c>
      <c r="E690" s="2" t="s">
        <v>79</v>
      </c>
      <c r="F690" s="2" t="s">
        <v>47</v>
      </c>
      <c r="G690" s="2" t="s">
        <v>135</v>
      </c>
      <c r="H690" s="2" t="s">
        <v>21</v>
      </c>
      <c r="I690" s="2">
        <v>24</v>
      </c>
      <c r="J690" s="2" t="s">
        <v>106</v>
      </c>
      <c r="K690" s="2" t="s">
        <v>1936</v>
      </c>
      <c r="L690" s="2" t="s">
        <v>24</v>
      </c>
      <c r="M690" s="2">
        <v>2</v>
      </c>
      <c r="N690" s="2"/>
    </row>
    <row r="691" spans="1:14" x14ac:dyDescent="0.25">
      <c r="A691" s="2" t="s">
        <v>1937</v>
      </c>
      <c r="B691" s="2" t="s">
        <v>1938</v>
      </c>
      <c r="C691" s="2" t="s">
        <v>53</v>
      </c>
      <c r="D691" s="2" t="s">
        <v>54</v>
      </c>
      <c r="E691" s="2" t="s">
        <v>79</v>
      </c>
      <c r="F691" s="2" t="s">
        <v>19</v>
      </c>
      <c r="G691" s="2" t="s">
        <v>31</v>
      </c>
      <c r="H691" s="2" t="s">
        <v>74</v>
      </c>
      <c r="I691" s="2">
        <v>8</v>
      </c>
      <c r="J691" s="2" t="s">
        <v>287</v>
      </c>
      <c r="K691" s="2"/>
      <c r="L691" s="2" t="s">
        <v>24</v>
      </c>
      <c r="M691" s="2"/>
      <c r="N691" s="2" t="s">
        <v>34</v>
      </c>
    </row>
    <row r="692" spans="1:14" x14ac:dyDescent="0.25">
      <c r="A692" s="2" t="s">
        <v>1939</v>
      </c>
      <c r="B692" s="2" t="s">
        <v>1940</v>
      </c>
      <c r="C692" s="2" t="s">
        <v>16</v>
      </c>
      <c r="D692" s="2" t="s">
        <v>84</v>
      </c>
      <c r="E692" s="2" t="s">
        <v>90</v>
      </c>
      <c r="F692" s="2" t="s">
        <v>30</v>
      </c>
      <c r="G692" s="2" t="s">
        <v>101</v>
      </c>
      <c r="H692" s="2" t="s">
        <v>74</v>
      </c>
      <c r="I692" s="2">
        <v>8</v>
      </c>
      <c r="J692" s="2" t="s">
        <v>155</v>
      </c>
      <c r="K692" s="2"/>
      <c r="L692" s="2" t="s">
        <v>24</v>
      </c>
      <c r="M692" s="2"/>
      <c r="N692" s="2" t="s">
        <v>50</v>
      </c>
    </row>
    <row r="693" spans="1:14" x14ac:dyDescent="0.25">
      <c r="A693" s="2" t="s">
        <v>1941</v>
      </c>
      <c r="B693" s="2" t="s">
        <v>1942</v>
      </c>
      <c r="C693" s="2" t="s">
        <v>16</v>
      </c>
      <c r="D693" s="2" t="s">
        <v>84</v>
      </c>
      <c r="E693" s="2" t="s">
        <v>90</v>
      </c>
      <c r="F693" s="2" t="s">
        <v>143</v>
      </c>
      <c r="G693" s="2" t="s">
        <v>97</v>
      </c>
      <c r="H693" s="2" t="s">
        <v>74</v>
      </c>
      <c r="I693" s="2">
        <v>8</v>
      </c>
      <c r="J693" s="2" t="s">
        <v>22</v>
      </c>
      <c r="K693" s="2" t="s">
        <v>1943</v>
      </c>
      <c r="L693" s="2" t="s">
        <v>24</v>
      </c>
      <c r="M693" s="2">
        <v>2</v>
      </c>
      <c r="N693" s="2" t="s">
        <v>43</v>
      </c>
    </row>
    <row r="694" spans="1:14" x14ac:dyDescent="0.25">
      <c r="A694" s="2" t="s">
        <v>1944</v>
      </c>
      <c r="B694" s="2" t="s">
        <v>1945</v>
      </c>
      <c r="C694" s="2" t="s">
        <v>53</v>
      </c>
      <c r="D694" s="2" t="s">
        <v>54</v>
      </c>
      <c r="E694" s="2" t="s">
        <v>79</v>
      </c>
      <c r="F694" s="2" t="s">
        <v>131</v>
      </c>
      <c r="G694" s="2" t="s">
        <v>20</v>
      </c>
      <c r="H694" s="2" t="s">
        <v>21</v>
      </c>
      <c r="I694" s="2">
        <v>24</v>
      </c>
      <c r="J694" s="2" t="s">
        <v>11</v>
      </c>
      <c r="K694" s="2"/>
      <c r="L694" s="2" t="s">
        <v>92</v>
      </c>
      <c r="M694" s="2"/>
      <c r="N694" s="2" t="s">
        <v>25</v>
      </c>
    </row>
    <row r="695" spans="1:14" x14ac:dyDescent="0.25">
      <c r="A695" s="2" t="s">
        <v>1946</v>
      </c>
      <c r="B695" s="2" t="s">
        <v>1947</v>
      </c>
      <c r="C695" s="2" t="s">
        <v>28</v>
      </c>
      <c r="D695" s="2" t="s">
        <v>100</v>
      </c>
      <c r="E695" s="2" t="s">
        <v>90</v>
      </c>
      <c r="F695" s="2" t="s">
        <v>143</v>
      </c>
      <c r="G695" s="2" t="s">
        <v>101</v>
      </c>
      <c r="H695" s="2" t="s">
        <v>21</v>
      </c>
      <c r="I695" s="2">
        <v>24</v>
      </c>
      <c r="J695" s="2" t="s">
        <v>48</v>
      </c>
      <c r="K695" s="2" t="s">
        <v>1948</v>
      </c>
      <c r="L695" s="2" t="s">
        <v>24</v>
      </c>
      <c r="M695" s="2">
        <v>3</v>
      </c>
      <c r="N695" s="2" t="s">
        <v>50</v>
      </c>
    </row>
    <row r="696" spans="1:14" x14ac:dyDescent="0.25">
      <c r="A696" s="2" t="s">
        <v>1949</v>
      </c>
      <c r="B696" s="2" t="s">
        <v>1950</v>
      </c>
      <c r="C696" s="2" t="s">
        <v>53</v>
      </c>
      <c r="D696" s="2" t="s">
        <v>54</v>
      </c>
      <c r="E696" s="2" t="s">
        <v>79</v>
      </c>
      <c r="F696" s="2" t="s">
        <v>39</v>
      </c>
      <c r="G696" s="2" t="s">
        <v>101</v>
      </c>
      <c r="H696" s="2" t="s">
        <v>21</v>
      </c>
      <c r="I696" s="2">
        <v>24</v>
      </c>
      <c r="J696" s="2" t="s">
        <v>22</v>
      </c>
      <c r="K696" s="2" t="s">
        <v>1951</v>
      </c>
      <c r="L696" s="2" t="s">
        <v>24</v>
      </c>
      <c r="M696" s="2">
        <v>4</v>
      </c>
      <c r="N696" s="2" t="s">
        <v>34</v>
      </c>
    </row>
    <row r="697" spans="1:14" x14ac:dyDescent="0.25">
      <c r="A697" s="2" t="s">
        <v>1952</v>
      </c>
      <c r="B697" s="2" t="s">
        <v>1953</v>
      </c>
      <c r="C697" s="2" t="s">
        <v>53</v>
      </c>
      <c r="D697" s="2" t="s">
        <v>54</v>
      </c>
      <c r="E697" s="2" t="s">
        <v>46</v>
      </c>
      <c r="F697" s="2" t="s">
        <v>39</v>
      </c>
      <c r="G697" s="2" t="s">
        <v>211</v>
      </c>
      <c r="H697" s="2" t="s">
        <v>32</v>
      </c>
      <c r="I697" s="2">
        <v>48</v>
      </c>
      <c r="J697" s="2" t="s">
        <v>41</v>
      </c>
      <c r="K697" s="2" t="s">
        <v>1954</v>
      </c>
      <c r="L697" s="2" t="s">
        <v>24</v>
      </c>
      <c r="M697" s="2">
        <v>5</v>
      </c>
      <c r="N697" s="2" t="s">
        <v>64</v>
      </c>
    </row>
    <row r="698" spans="1:14" x14ac:dyDescent="0.25">
      <c r="A698" s="2" t="s">
        <v>1955</v>
      </c>
      <c r="B698" s="2" t="s">
        <v>1956</v>
      </c>
      <c r="C698" s="2" t="s">
        <v>16</v>
      </c>
      <c r="D698" s="2" t="s">
        <v>84</v>
      </c>
      <c r="E698" s="2" t="s">
        <v>79</v>
      </c>
      <c r="F698" s="2" t="s">
        <v>131</v>
      </c>
      <c r="G698" s="2" t="s">
        <v>126</v>
      </c>
      <c r="H698" s="2" t="s">
        <v>21</v>
      </c>
      <c r="I698" s="2">
        <v>24</v>
      </c>
      <c r="J698" s="2" t="s">
        <v>11</v>
      </c>
      <c r="K698" s="2"/>
      <c r="L698" s="2" t="s">
        <v>92</v>
      </c>
      <c r="M698" s="2"/>
      <c r="N698" s="2"/>
    </row>
    <row r="699" spans="1:14" x14ac:dyDescent="0.25">
      <c r="A699" s="2" t="s">
        <v>1957</v>
      </c>
      <c r="B699" s="2" t="s">
        <v>1958</v>
      </c>
      <c r="C699" s="2" t="s">
        <v>67</v>
      </c>
      <c r="D699" s="2" t="s">
        <v>68</v>
      </c>
      <c r="E699" s="2" t="s">
        <v>18</v>
      </c>
      <c r="F699" s="2" t="s">
        <v>69</v>
      </c>
      <c r="G699" s="2" t="s">
        <v>31</v>
      </c>
      <c r="H699" s="2" t="s">
        <v>74</v>
      </c>
      <c r="I699" s="2">
        <v>8</v>
      </c>
      <c r="J699" s="2" t="s">
        <v>22</v>
      </c>
      <c r="K699" s="2" t="s">
        <v>1959</v>
      </c>
      <c r="L699" s="2" t="s">
        <v>24</v>
      </c>
      <c r="M699" s="2"/>
      <c r="N699" s="2" t="s">
        <v>64</v>
      </c>
    </row>
    <row r="700" spans="1:14" x14ac:dyDescent="0.25">
      <c r="A700" s="2" t="s">
        <v>1960</v>
      </c>
      <c r="B700" s="2" t="s">
        <v>1961</v>
      </c>
      <c r="C700" s="2" t="s">
        <v>28</v>
      </c>
      <c r="D700" s="2" t="s">
        <v>37</v>
      </c>
      <c r="E700" s="2" t="s">
        <v>18</v>
      </c>
      <c r="F700" s="2" t="s">
        <v>62</v>
      </c>
      <c r="G700" s="2" t="s">
        <v>97</v>
      </c>
      <c r="H700" s="2" t="s">
        <v>32</v>
      </c>
      <c r="I700" s="2">
        <v>48</v>
      </c>
      <c r="J700" s="2" t="s">
        <v>75</v>
      </c>
      <c r="K700" s="2" t="s">
        <v>1962</v>
      </c>
      <c r="L700" s="2" t="s">
        <v>24</v>
      </c>
      <c r="M700" s="2">
        <v>5</v>
      </c>
      <c r="N700" s="2" t="s">
        <v>25</v>
      </c>
    </row>
    <row r="701" spans="1:14" x14ac:dyDescent="0.25">
      <c r="A701" s="2" t="s">
        <v>1963</v>
      </c>
      <c r="B701" s="2" t="s">
        <v>1964</v>
      </c>
      <c r="C701" s="2" t="s">
        <v>16</v>
      </c>
      <c r="D701" s="2" t="s">
        <v>17</v>
      </c>
      <c r="E701" s="2" t="s">
        <v>79</v>
      </c>
      <c r="F701" s="2" t="s">
        <v>39</v>
      </c>
      <c r="G701" s="2" t="s">
        <v>126</v>
      </c>
      <c r="H701" s="2" t="s">
        <v>32</v>
      </c>
      <c r="I701" s="2">
        <v>48</v>
      </c>
      <c r="J701" s="2" t="s">
        <v>149</v>
      </c>
      <c r="K701" s="2"/>
      <c r="L701" s="2" t="s">
        <v>24</v>
      </c>
      <c r="M701" s="2"/>
      <c r="N701" s="2" t="s">
        <v>43</v>
      </c>
    </row>
    <row r="702" spans="1:14" x14ac:dyDescent="0.25">
      <c r="A702" s="2" t="s">
        <v>1965</v>
      </c>
      <c r="B702" s="2" t="s">
        <v>1966</v>
      </c>
      <c r="C702" s="2" t="s">
        <v>67</v>
      </c>
      <c r="D702" s="2" t="s">
        <v>95</v>
      </c>
      <c r="E702" s="2" t="s">
        <v>38</v>
      </c>
      <c r="F702" s="2" t="s">
        <v>62</v>
      </c>
      <c r="G702" s="2" t="s">
        <v>20</v>
      </c>
      <c r="H702" s="2" t="s">
        <v>32</v>
      </c>
      <c r="I702" s="2">
        <v>48</v>
      </c>
      <c r="J702" s="2" t="s">
        <v>22</v>
      </c>
      <c r="K702" s="2" t="s">
        <v>1967</v>
      </c>
      <c r="L702" s="2" t="s">
        <v>24</v>
      </c>
      <c r="M702" s="2"/>
      <c r="N702" s="2" t="s">
        <v>50</v>
      </c>
    </row>
    <row r="703" spans="1:14" x14ac:dyDescent="0.25">
      <c r="A703" s="2" t="s">
        <v>1968</v>
      </c>
      <c r="B703" s="2" t="s">
        <v>1969</v>
      </c>
      <c r="C703" s="2" t="s">
        <v>67</v>
      </c>
      <c r="D703" s="2" t="s">
        <v>68</v>
      </c>
      <c r="E703" s="2" t="s">
        <v>90</v>
      </c>
      <c r="F703" s="2" t="s">
        <v>39</v>
      </c>
      <c r="G703" s="2" t="s">
        <v>40</v>
      </c>
      <c r="H703" s="2" t="s">
        <v>80</v>
      </c>
      <c r="I703" s="2">
        <v>4</v>
      </c>
      <c r="J703" s="2" t="s">
        <v>287</v>
      </c>
      <c r="K703" s="2"/>
      <c r="L703" s="2" t="s">
        <v>92</v>
      </c>
      <c r="M703" s="2"/>
      <c r="N703" s="2" t="s">
        <v>43</v>
      </c>
    </row>
    <row r="704" spans="1:14" x14ac:dyDescent="0.25">
      <c r="A704" s="2" t="s">
        <v>1970</v>
      </c>
      <c r="B704" s="2" t="s">
        <v>1971</v>
      </c>
      <c r="C704" s="2" t="s">
        <v>67</v>
      </c>
      <c r="D704" s="2" t="s">
        <v>68</v>
      </c>
      <c r="E704" s="2" t="s">
        <v>46</v>
      </c>
      <c r="F704" s="2" t="s">
        <v>131</v>
      </c>
      <c r="G704" s="2" t="s">
        <v>31</v>
      </c>
      <c r="H704" s="2" t="s">
        <v>21</v>
      </c>
      <c r="I704" s="2">
        <v>24</v>
      </c>
      <c r="J704" s="2" t="s">
        <v>48</v>
      </c>
      <c r="K704" s="2" t="s">
        <v>1972</v>
      </c>
      <c r="L704" s="2" t="s">
        <v>24</v>
      </c>
      <c r="M704" s="2">
        <v>4</v>
      </c>
      <c r="N704" s="2" t="s">
        <v>64</v>
      </c>
    </row>
    <row r="705" spans="1:14" x14ac:dyDescent="0.25">
      <c r="A705" s="2" t="s">
        <v>1973</v>
      </c>
      <c r="B705" s="2" t="s">
        <v>1974</v>
      </c>
      <c r="C705" s="2" t="s">
        <v>67</v>
      </c>
      <c r="D705" s="2" t="s">
        <v>68</v>
      </c>
      <c r="E705" s="2" t="s">
        <v>79</v>
      </c>
      <c r="F705" s="2" t="s">
        <v>47</v>
      </c>
      <c r="G705" s="2" t="s">
        <v>158</v>
      </c>
      <c r="H705" s="2" t="s">
        <v>21</v>
      </c>
      <c r="I705" s="2">
        <v>24</v>
      </c>
      <c r="J705" s="2" t="s">
        <v>106</v>
      </c>
      <c r="K705" s="2" t="s">
        <v>1975</v>
      </c>
      <c r="L705" s="2" t="s">
        <v>24</v>
      </c>
      <c r="M705" s="2">
        <v>3</v>
      </c>
      <c r="N705" s="2" t="s">
        <v>34</v>
      </c>
    </row>
    <row r="706" spans="1:14" x14ac:dyDescent="0.25">
      <c r="A706" s="2" t="s">
        <v>1976</v>
      </c>
      <c r="B706" s="2" t="s">
        <v>1977</v>
      </c>
      <c r="C706" s="2" t="s">
        <v>28</v>
      </c>
      <c r="D706" s="2" t="s">
        <v>100</v>
      </c>
      <c r="E706" s="2" t="s">
        <v>46</v>
      </c>
      <c r="F706" s="2" t="s">
        <v>30</v>
      </c>
      <c r="G706" s="2" t="s">
        <v>211</v>
      </c>
      <c r="H706" s="2" t="s">
        <v>32</v>
      </c>
      <c r="I706" s="2">
        <v>48</v>
      </c>
      <c r="J706" s="2" t="s">
        <v>41</v>
      </c>
      <c r="K706" s="2" t="s">
        <v>1978</v>
      </c>
      <c r="L706" s="2" t="s">
        <v>24</v>
      </c>
      <c r="M706" s="2"/>
      <c r="N706" s="2" t="s">
        <v>25</v>
      </c>
    </row>
    <row r="707" spans="1:14" x14ac:dyDescent="0.25">
      <c r="A707" s="2" t="s">
        <v>1979</v>
      </c>
      <c r="B707" s="2" t="s">
        <v>1980</v>
      </c>
      <c r="C707" s="2" t="s">
        <v>28</v>
      </c>
      <c r="D707" s="2" t="s">
        <v>37</v>
      </c>
      <c r="E707" s="2" t="s">
        <v>18</v>
      </c>
      <c r="F707" s="2" t="s">
        <v>113</v>
      </c>
      <c r="G707" s="2" t="s">
        <v>31</v>
      </c>
      <c r="H707" s="2" t="s">
        <v>74</v>
      </c>
      <c r="I707" s="2">
        <v>8</v>
      </c>
      <c r="J707" s="2" t="s">
        <v>232</v>
      </c>
      <c r="K707" s="2"/>
      <c r="L707" s="2" t="s">
        <v>92</v>
      </c>
      <c r="M707" s="2"/>
      <c r="N707" s="2" t="s">
        <v>43</v>
      </c>
    </row>
    <row r="708" spans="1:14" x14ac:dyDescent="0.25">
      <c r="A708" s="2" t="s">
        <v>1981</v>
      </c>
      <c r="B708" s="2" t="s">
        <v>1982</v>
      </c>
      <c r="C708" s="2" t="s">
        <v>67</v>
      </c>
      <c r="D708" s="2" t="s">
        <v>95</v>
      </c>
      <c r="E708" s="2" t="s">
        <v>90</v>
      </c>
      <c r="F708" s="2" t="s">
        <v>96</v>
      </c>
      <c r="G708" s="2" t="s">
        <v>110</v>
      </c>
      <c r="H708" s="2" t="s">
        <v>21</v>
      </c>
      <c r="I708" s="2">
        <v>24</v>
      </c>
      <c r="J708" s="2" t="s">
        <v>187</v>
      </c>
      <c r="K708" s="2" t="s">
        <v>1983</v>
      </c>
      <c r="L708" s="2" t="s">
        <v>24</v>
      </c>
      <c r="M708" s="2"/>
      <c r="N708" s="2" t="s">
        <v>50</v>
      </c>
    </row>
    <row r="709" spans="1:14" x14ac:dyDescent="0.25">
      <c r="A709" s="2" t="s">
        <v>1984</v>
      </c>
      <c r="B709" s="2" t="s">
        <v>1985</v>
      </c>
      <c r="C709" s="2" t="s">
        <v>28</v>
      </c>
      <c r="D709" s="2" t="s">
        <v>100</v>
      </c>
      <c r="E709" s="2" t="s">
        <v>46</v>
      </c>
      <c r="F709" s="2" t="s">
        <v>125</v>
      </c>
      <c r="G709" s="2" t="s">
        <v>139</v>
      </c>
      <c r="H709" s="2" t="s">
        <v>74</v>
      </c>
      <c r="I709" s="2">
        <v>8</v>
      </c>
      <c r="J709" s="2" t="s">
        <v>41</v>
      </c>
      <c r="K709" s="2" t="s">
        <v>1986</v>
      </c>
      <c r="L709" s="2" t="s">
        <v>24</v>
      </c>
      <c r="M709" s="2"/>
      <c r="N709" s="2" t="s">
        <v>25</v>
      </c>
    </row>
    <row r="710" spans="1:14" x14ac:dyDescent="0.25">
      <c r="A710" s="2" t="s">
        <v>1987</v>
      </c>
      <c r="B710" s="2" t="s">
        <v>1988</v>
      </c>
      <c r="C710" s="2" t="s">
        <v>28</v>
      </c>
      <c r="D710" s="2" t="s">
        <v>100</v>
      </c>
      <c r="E710" s="2" t="s">
        <v>79</v>
      </c>
      <c r="F710" s="2" t="s">
        <v>96</v>
      </c>
      <c r="G710" s="2" t="s">
        <v>20</v>
      </c>
      <c r="H710" s="2" t="s">
        <v>32</v>
      </c>
      <c r="I710" s="2">
        <v>48</v>
      </c>
      <c r="J710" s="2" t="s">
        <v>22</v>
      </c>
      <c r="K710" s="2" t="s">
        <v>1989</v>
      </c>
      <c r="L710" s="2" t="s">
        <v>24</v>
      </c>
      <c r="M710" s="2">
        <v>5</v>
      </c>
      <c r="N710" s="2" t="s">
        <v>118</v>
      </c>
    </row>
    <row r="711" spans="1:14" x14ac:dyDescent="0.25">
      <c r="A711" s="2" t="s">
        <v>1990</v>
      </c>
      <c r="B711" s="2" t="s">
        <v>1991</v>
      </c>
      <c r="C711" s="2" t="s">
        <v>53</v>
      </c>
      <c r="D711" s="2" t="s">
        <v>771</v>
      </c>
      <c r="E711" s="2" t="s">
        <v>148</v>
      </c>
      <c r="F711" s="2" t="s">
        <v>113</v>
      </c>
      <c r="G711" s="2" t="s">
        <v>121</v>
      </c>
      <c r="H711" s="2" t="s">
        <v>32</v>
      </c>
      <c r="I711" s="2">
        <v>48</v>
      </c>
      <c r="J711" s="2" t="s">
        <v>232</v>
      </c>
      <c r="K711" s="2"/>
      <c r="L711" s="2" t="s">
        <v>92</v>
      </c>
      <c r="M711" s="2"/>
      <c r="N711" s="2"/>
    </row>
    <row r="712" spans="1:14" x14ac:dyDescent="0.25">
      <c r="A712" s="2" t="s">
        <v>1992</v>
      </c>
      <c r="B712" s="2" t="s">
        <v>1993</v>
      </c>
      <c r="C712" s="2" t="s">
        <v>67</v>
      </c>
      <c r="D712" s="2" t="s">
        <v>68</v>
      </c>
      <c r="E712" s="2" t="s">
        <v>148</v>
      </c>
      <c r="F712" s="2" t="s">
        <v>69</v>
      </c>
      <c r="G712" s="2" t="s">
        <v>40</v>
      </c>
      <c r="H712" s="2" t="s">
        <v>21</v>
      </c>
      <c r="I712" s="2">
        <v>24</v>
      </c>
      <c r="J712" s="2" t="s">
        <v>22</v>
      </c>
      <c r="K712" s="2" t="s">
        <v>1994</v>
      </c>
      <c r="L712" s="2" t="s">
        <v>24</v>
      </c>
      <c r="M712" s="2">
        <v>1</v>
      </c>
      <c r="N712" s="2"/>
    </row>
    <row r="713" spans="1:14" x14ac:dyDescent="0.25">
      <c r="A713" s="2" t="s">
        <v>1995</v>
      </c>
      <c r="B713" s="2" t="s">
        <v>1996</v>
      </c>
      <c r="C713" s="2" t="s">
        <v>28</v>
      </c>
      <c r="D713" s="2" t="s">
        <v>100</v>
      </c>
      <c r="E713" s="2" t="s">
        <v>79</v>
      </c>
      <c r="F713" s="2" t="s">
        <v>55</v>
      </c>
      <c r="G713" s="2" t="s">
        <v>70</v>
      </c>
      <c r="H713" s="2" t="s">
        <v>32</v>
      </c>
      <c r="I713" s="2">
        <v>48</v>
      </c>
      <c r="J713" s="2" t="s">
        <v>187</v>
      </c>
      <c r="K713" s="2" t="s">
        <v>1997</v>
      </c>
      <c r="L713" s="2" t="s">
        <v>24</v>
      </c>
      <c r="M713" s="2"/>
      <c r="N713" s="2" t="s">
        <v>64</v>
      </c>
    </row>
    <row r="714" spans="1:14" x14ac:dyDescent="0.25">
      <c r="A714" s="2" t="s">
        <v>1998</v>
      </c>
      <c r="B714" s="2" t="s">
        <v>1999</v>
      </c>
      <c r="C714" s="2" t="s">
        <v>67</v>
      </c>
      <c r="D714" s="2" t="s">
        <v>68</v>
      </c>
      <c r="E714" s="2" t="s">
        <v>90</v>
      </c>
      <c r="F714" s="2" t="s">
        <v>113</v>
      </c>
      <c r="G714" s="2" t="s">
        <v>110</v>
      </c>
      <c r="H714" s="2" t="s">
        <v>74</v>
      </c>
      <c r="I714" s="2">
        <v>8</v>
      </c>
      <c r="J714" s="2" t="s">
        <v>187</v>
      </c>
      <c r="K714" s="2" t="s">
        <v>2000</v>
      </c>
      <c r="L714" s="2" t="s">
        <v>24</v>
      </c>
      <c r="M714" s="2"/>
      <c r="N714" s="2" t="s">
        <v>58</v>
      </c>
    </row>
    <row r="715" spans="1:14" x14ac:dyDescent="0.25">
      <c r="A715" s="2" t="s">
        <v>2001</v>
      </c>
      <c r="B715" s="2" t="s">
        <v>2002</v>
      </c>
      <c r="C715" s="2" t="s">
        <v>53</v>
      </c>
      <c r="D715" s="2" t="s">
        <v>54</v>
      </c>
      <c r="E715" s="2" t="s">
        <v>79</v>
      </c>
      <c r="F715" s="2" t="s">
        <v>19</v>
      </c>
      <c r="G715" s="2" t="s">
        <v>97</v>
      </c>
      <c r="H715" s="2" t="s">
        <v>32</v>
      </c>
      <c r="I715" s="2">
        <v>48</v>
      </c>
      <c r="J715" s="2" t="s">
        <v>191</v>
      </c>
      <c r="K715" s="2"/>
      <c r="L715" s="2" t="s">
        <v>24</v>
      </c>
      <c r="M715" s="2"/>
      <c r="N715" s="2" t="s">
        <v>34</v>
      </c>
    </row>
    <row r="716" spans="1:14" x14ac:dyDescent="0.25">
      <c r="A716" s="2" t="s">
        <v>2003</v>
      </c>
      <c r="B716" s="2" t="s">
        <v>2004</v>
      </c>
      <c r="C716" s="2" t="s">
        <v>16</v>
      </c>
      <c r="D716" s="2" t="s">
        <v>84</v>
      </c>
      <c r="E716" s="2" t="s">
        <v>90</v>
      </c>
      <c r="F716" s="2" t="s">
        <v>55</v>
      </c>
      <c r="G716" s="2" t="s">
        <v>126</v>
      </c>
      <c r="H716" s="2" t="s">
        <v>80</v>
      </c>
      <c r="I716" s="2">
        <v>4</v>
      </c>
      <c r="J716" s="2" t="s">
        <v>232</v>
      </c>
      <c r="K716" s="2"/>
      <c r="L716" s="2" t="s">
        <v>92</v>
      </c>
      <c r="M716" s="2"/>
      <c r="N716" s="2" t="s">
        <v>128</v>
      </c>
    </row>
    <row r="717" spans="1:14" x14ac:dyDescent="0.25">
      <c r="A717" s="2" t="s">
        <v>2005</v>
      </c>
      <c r="B717" s="2" t="s">
        <v>2006</v>
      </c>
      <c r="C717" s="2" t="s">
        <v>53</v>
      </c>
      <c r="D717" s="2" t="s">
        <v>54</v>
      </c>
      <c r="E717" s="2" t="s">
        <v>85</v>
      </c>
      <c r="F717" s="2" t="s">
        <v>125</v>
      </c>
      <c r="G717" s="2" t="s">
        <v>20</v>
      </c>
      <c r="H717" s="2" t="s">
        <v>80</v>
      </c>
      <c r="I717" s="2">
        <v>4</v>
      </c>
      <c r="J717" s="2" t="s">
        <v>75</v>
      </c>
      <c r="K717" s="2" t="s">
        <v>2007</v>
      </c>
      <c r="L717" s="2" t="s">
        <v>24</v>
      </c>
      <c r="M717" s="2">
        <v>4</v>
      </c>
      <c r="N717" s="2" t="s">
        <v>64</v>
      </c>
    </row>
    <row r="718" spans="1:14" x14ac:dyDescent="0.25">
      <c r="A718" s="2" t="s">
        <v>2008</v>
      </c>
      <c r="B718" s="2" t="s">
        <v>2009</v>
      </c>
      <c r="C718" s="2" t="s">
        <v>67</v>
      </c>
      <c r="D718" s="2" t="s">
        <v>68</v>
      </c>
      <c r="E718" s="2" t="s">
        <v>148</v>
      </c>
      <c r="F718" s="2" t="s">
        <v>19</v>
      </c>
      <c r="G718" s="2" t="s">
        <v>158</v>
      </c>
      <c r="H718" s="2" t="s">
        <v>21</v>
      </c>
      <c r="I718" s="2">
        <v>24</v>
      </c>
      <c r="J718" s="2" t="s">
        <v>155</v>
      </c>
      <c r="K718" s="2"/>
      <c r="L718" s="2" t="s">
        <v>24</v>
      </c>
      <c r="M718" s="2"/>
      <c r="N718" s="2" t="s">
        <v>25</v>
      </c>
    </row>
    <row r="719" spans="1:14" x14ac:dyDescent="0.25">
      <c r="A719" s="2" t="s">
        <v>2010</v>
      </c>
      <c r="B719" s="2" t="s">
        <v>2011</v>
      </c>
      <c r="C719" s="2" t="s">
        <v>16</v>
      </c>
      <c r="D719" s="2" t="s">
        <v>84</v>
      </c>
      <c r="E719" s="2" t="s">
        <v>46</v>
      </c>
      <c r="F719" s="2" t="s">
        <v>143</v>
      </c>
      <c r="G719" s="2" t="s">
        <v>211</v>
      </c>
      <c r="H719" s="2" t="s">
        <v>32</v>
      </c>
      <c r="I719" s="2">
        <v>48</v>
      </c>
      <c r="J719" s="2" t="s">
        <v>106</v>
      </c>
      <c r="K719" s="2" t="s">
        <v>2012</v>
      </c>
      <c r="L719" s="2" t="s">
        <v>24</v>
      </c>
      <c r="M719" s="2">
        <v>5</v>
      </c>
      <c r="N719" s="2" t="s">
        <v>58</v>
      </c>
    </row>
    <row r="720" spans="1:14" x14ac:dyDescent="0.25">
      <c r="A720" s="2" t="s">
        <v>2013</v>
      </c>
      <c r="B720" s="2" t="s">
        <v>2014</v>
      </c>
      <c r="C720" s="2" t="s">
        <v>53</v>
      </c>
      <c r="D720" s="2" t="s">
        <v>54</v>
      </c>
      <c r="E720" s="2" t="s">
        <v>38</v>
      </c>
      <c r="F720" s="2" t="s">
        <v>55</v>
      </c>
      <c r="G720" s="2" t="s">
        <v>20</v>
      </c>
      <c r="H720" s="2" t="s">
        <v>80</v>
      </c>
      <c r="I720" s="2">
        <v>4</v>
      </c>
      <c r="J720" s="2" t="s">
        <v>187</v>
      </c>
      <c r="K720" s="2" t="s">
        <v>2015</v>
      </c>
      <c r="L720" s="2" t="s">
        <v>24</v>
      </c>
      <c r="M720" s="2"/>
      <c r="N720" s="2" t="s">
        <v>50</v>
      </c>
    </row>
    <row r="721" spans="1:14" x14ac:dyDescent="0.25">
      <c r="A721" s="2" t="s">
        <v>2016</v>
      </c>
      <c r="B721" s="2" t="s">
        <v>2017</v>
      </c>
      <c r="C721" s="2" t="s">
        <v>53</v>
      </c>
      <c r="D721" s="2" t="s">
        <v>54</v>
      </c>
      <c r="E721" s="2" t="s">
        <v>90</v>
      </c>
      <c r="F721" s="2" t="s">
        <v>69</v>
      </c>
      <c r="G721" s="2" t="s">
        <v>121</v>
      </c>
      <c r="H721" s="2" t="s">
        <v>21</v>
      </c>
      <c r="I721" s="2">
        <v>24</v>
      </c>
      <c r="J721" s="2" t="s">
        <v>106</v>
      </c>
      <c r="K721" s="2" t="s">
        <v>2018</v>
      </c>
      <c r="L721" s="2" t="s">
        <v>24</v>
      </c>
      <c r="M721" s="2">
        <v>2</v>
      </c>
      <c r="N721" s="2" t="s">
        <v>43</v>
      </c>
    </row>
    <row r="722" spans="1:14" x14ac:dyDescent="0.25">
      <c r="A722" s="2" t="s">
        <v>2019</v>
      </c>
      <c r="B722" s="2" t="s">
        <v>2020</v>
      </c>
      <c r="C722" s="2" t="s">
        <v>28</v>
      </c>
      <c r="D722" s="2" t="s">
        <v>100</v>
      </c>
      <c r="E722" s="2" t="s">
        <v>148</v>
      </c>
      <c r="F722" s="2" t="s">
        <v>131</v>
      </c>
      <c r="G722" s="2" t="s">
        <v>126</v>
      </c>
      <c r="H722" s="2" t="s">
        <v>74</v>
      </c>
      <c r="I722" s="2">
        <v>8</v>
      </c>
      <c r="J722" s="2" t="s">
        <v>106</v>
      </c>
      <c r="K722" s="2" t="s">
        <v>2021</v>
      </c>
      <c r="L722" s="2" t="s">
        <v>24</v>
      </c>
      <c r="M722" s="2">
        <v>5</v>
      </c>
      <c r="N722" s="2"/>
    </row>
    <row r="723" spans="1:14" x14ac:dyDescent="0.25">
      <c r="A723" s="2" t="s">
        <v>2022</v>
      </c>
      <c r="B723" s="2" t="s">
        <v>2023</v>
      </c>
      <c r="C723" s="2" t="s">
        <v>53</v>
      </c>
      <c r="D723" s="2" t="s">
        <v>61</v>
      </c>
      <c r="E723" s="2" t="s">
        <v>18</v>
      </c>
      <c r="F723" s="2" t="s">
        <v>19</v>
      </c>
      <c r="G723" s="2" t="s">
        <v>101</v>
      </c>
      <c r="H723" s="2" t="s">
        <v>32</v>
      </c>
      <c r="I723" s="2">
        <v>48</v>
      </c>
      <c r="J723" s="2" t="s">
        <v>75</v>
      </c>
      <c r="K723" s="2" t="s">
        <v>2024</v>
      </c>
      <c r="L723" s="2" t="s">
        <v>24</v>
      </c>
      <c r="M723" s="2">
        <v>5</v>
      </c>
      <c r="N723" s="2" t="s">
        <v>43</v>
      </c>
    </row>
    <row r="724" spans="1:14" x14ac:dyDescent="0.25">
      <c r="A724" s="2" t="s">
        <v>2025</v>
      </c>
      <c r="B724" s="2" t="s">
        <v>2026</v>
      </c>
      <c r="C724" s="2" t="s">
        <v>67</v>
      </c>
      <c r="D724" s="2" t="s">
        <v>68</v>
      </c>
      <c r="E724" s="2" t="s">
        <v>148</v>
      </c>
      <c r="F724" s="2" t="s">
        <v>69</v>
      </c>
      <c r="G724" s="2" t="s">
        <v>121</v>
      </c>
      <c r="H724" s="2" t="s">
        <v>74</v>
      </c>
      <c r="I724" s="2">
        <v>8</v>
      </c>
      <c r="J724" s="2" t="s">
        <v>191</v>
      </c>
      <c r="K724" s="2" t="s">
        <v>2027</v>
      </c>
      <c r="L724" s="2" t="s">
        <v>24</v>
      </c>
      <c r="M724" s="2"/>
      <c r="N724" s="2" t="s">
        <v>118</v>
      </c>
    </row>
    <row r="725" spans="1:14" x14ac:dyDescent="0.25">
      <c r="A725" s="2" t="s">
        <v>463</v>
      </c>
      <c r="B725" s="2" t="s">
        <v>464</v>
      </c>
      <c r="C725" s="2" t="s">
        <v>16</v>
      </c>
      <c r="D725" s="2" t="s">
        <v>84</v>
      </c>
      <c r="E725" s="2" t="s">
        <v>46</v>
      </c>
      <c r="F725" s="2" t="s">
        <v>113</v>
      </c>
      <c r="G725" s="2" t="s">
        <v>31</v>
      </c>
      <c r="H725" s="2" t="s">
        <v>32</v>
      </c>
      <c r="I725" s="2">
        <v>48</v>
      </c>
      <c r="J725" s="2" t="s">
        <v>106</v>
      </c>
      <c r="K725" s="2" t="s">
        <v>465</v>
      </c>
      <c r="L725" s="2" t="s">
        <v>24</v>
      </c>
      <c r="M725" s="2">
        <v>1</v>
      </c>
      <c r="N725" s="2"/>
    </row>
    <row r="726" spans="1:14" x14ac:dyDescent="0.25">
      <c r="A726" s="2" t="s">
        <v>2028</v>
      </c>
      <c r="B726" s="2" t="s">
        <v>2029</v>
      </c>
      <c r="C726" s="2" t="s">
        <v>16</v>
      </c>
      <c r="D726" s="2" t="s">
        <v>84</v>
      </c>
      <c r="E726" s="2" t="s">
        <v>148</v>
      </c>
      <c r="F726" s="2" t="s">
        <v>62</v>
      </c>
      <c r="G726" s="2" t="s">
        <v>126</v>
      </c>
      <c r="H726" s="2" t="s">
        <v>32</v>
      </c>
      <c r="I726" s="2">
        <v>48</v>
      </c>
      <c r="J726" s="2" t="s">
        <v>200</v>
      </c>
      <c r="K726" s="2"/>
      <c r="L726" s="2" t="s">
        <v>92</v>
      </c>
      <c r="M726" s="2"/>
      <c r="N726" s="2" t="s">
        <v>50</v>
      </c>
    </row>
    <row r="727" spans="1:14" x14ac:dyDescent="0.25">
      <c r="A727" s="2" t="s">
        <v>2030</v>
      </c>
      <c r="B727" s="2" t="s">
        <v>2031</v>
      </c>
      <c r="C727" s="2" t="s">
        <v>67</v>
      </c>
      <c r="D727" s="2" t="s">
        <v>68</v>
      </c>
      <c r="E727" s="2" t="s">
        <v>90</v>
      </c>
      <c r="F727" s="2" t="s">
        <v>39</v>
      </c>
      <c r="G727" s="2" t="s">
        <v>105</v>
      </c>
      <c r="H727" s="2" t="s">
        <v>80</v>
      </c>
      <c r="I727" s="2">
        <v>4</v>
      </c>
      <c r="J727" s="2" t="s">
        <v>22</v>
      </c>
      <c r="K727" s="2" t="s">
        <v>2032</v>
      </c>
      <c r="L727" s="2" t="s">
        <v>24</v>
      </c>
      <c r="M727" s="2">
        <v>4</v>
      </c>
      <c r="N727" s="2" t="s">
        <v>25</v>
      </c>
    </row>
    <row r="728" spans="1:14" x14ac:dyDescent="0.25">
      <c r="A728" s="2" t="s">
        <v>2033</v>
      </c>
      <c r="B728" s="2" t="s">
        <v>2034</v>
      </c>
      <c r="C728" s="2" t="s">
        <v>67</v>
      </c>
      <c r="D728" s="2" t="s">
        <v>601</v>
      </c>
      <c r="E728" s="2" t="s">
        <v>38</v>
      </c>
      <c r="F728" s="2" t="s">
        <v>113</v>
      </c>
      <c r="G728" s="2" t="s">
        <v>110</v>
      </c>
      <c r="H728" s="2" t="s">
        <v>21</v>
      </c>
      <c r="I728" s="2">
        <v>24</v>
      </c>
      <c r="J728" s="2" t="s">
        <v>48</v>
      </c>
      <c r="K728" s="2" t="s">
        <v>2035</v>
      </c>
      <c r="L728" s="2" t="s">
        <v>24</v>
      </c>
      <c r="M728" s="2">
        <v>1</v>
      </c>
      <c r="N728" s="2" t="s">
        <v>128</v>
      </c>
    </row>
    <row r="729" spans="1:14" x14ac:dyDescent="0.25">
      <c r="A729" s="2" t="s">
        <v>2036</v>
      </c>
      <c r="B729" s="2" t="s">
        <v>2037</v>
      </c>
      <c r="C729" s="2" t="s">
        <v>16</v>
      </c>
      <c r="D729" s="2" t="s">
        <v>17</v>
      </c>
      <c r="E729" s="2" t="s">
        <v>38</v>
      </c>
      <c r="F729" s="2" t="s">
        <v>69</v>
      </c>
      <c r="G729" s="2" t="s">
        <v>121</v>
      </c>
      <c r="H729" s="2" t="s">
        <v>21</v>
      </c>
      <c r="I729" s="2">
        <v>24</v>
      </c>
      <c r="J729" s="2" t="s">
        <v>41</v>
      </c>
      <c r="K729" s="2" t="s">
        <v>2038</v>
      </c>
      <c r="L729" s="2" t="s">
        <v>24</v>
      </c>
      <c r="M729" s="2">
        <v>1</v>
      </c>
      <c r="N729" s="2" t="s">
        <v>43</v>
      </c>
    </row>
    <row r="730" spans="1:14" x14ac:dyDescent="0.25">
      <c r="A730" s="2" t="s">
        <v>2039</v>
      </c>
      <c r="B730" s="2" t="s">
        <v>2040</v>
      </c>
      <c r="C730" s="2" t="s">
        <v>16</v>
      </c>
      <c r="D730" s="2" t="s">
        <v>17</v>
      </c>
      <c r="E730" s="2" t="s">
        <v>148</v>
      </c>
      <c r="F730" s="2" t="s">
        <v>143</v>
      </c>
      <c r="G730" s="2" t="s">
        <v>126</v>
      </c>
      <c r="H730" s="2" t="s">
        <v>32</v>
      </c>
      <c r="I730" s="2">
        <v>48</v>
      </c>
      <c r="J730" s="2" t="s">
        <v>187</v>
      </c>
      <c r="K730" s="2" t="s">
        <v>2041</v>
      </c>
      <c r="L730" s="2" t="s">
        <v>24</v>
      </c>
      <c r="M730" s="2"/>
      <c r="N730" s="2" t="s">
        <v>50</v>
      </c>
    </row>
    <row r="731" spans="1:14" x14ac:dyDescent="0.25">
      <c r="A731" s="2" t="s">
        <v>2042</v>
      </c>
      <c r="B731" s="2" t="s">
        <v>2043</v>
      </c>
      <c r="C731" s="2" t="s">
        <v>28</v>
      </c>
      <c r="D731" s="2" t="s">
        <v>37</v>
      </c>
      <c r="E731" s="2" t="s">
        <v>18</v>
      </c>
      <c r="F731" s="2" t="s">
        <v>19</v>
      </c>
      <c r="G731" s="2" t="s">
        <v>97</v>
      </c>
      <c r="H731" s="2" t="s">
        <v>74</v>
      </c>
      <c r="I731" s="2">
        <v>8</v>
      </c>
      <c r="J731" s="2" t="s">
        <v>187</v>
      </c>
      <c r="K731" s="2" t="s">
        <v>2044</v>
      </c>
      <c r="L731" s="2" t="s">
        <v>24</v>
      </c>
      <c r="M731" s="2">
        <v>5</v>
      </c>
      <c r="N731" s="2" t="s">
        <v>128</v>
      </c>
    </row>
    <row r="732" spans="1:14" x14ac:dyDescent="0.25">
      <c r="A732" s="2" t="s">
        <v>2045</v>
      </c>
      <c r="B732" s="2" t="s">
        <v>2046</v>
      </c>
      <c r="C732" s="2" t="s">
        <v>16</v>
      </c>
      <c r="D732" s="2" t="s">
        <v>84</v>
      </c>
      <c r="E732" s="2" t="s">
        <v>46</v>
      </c>
      <c r="F732" s="2" t="s">
        <v>55</v>
      </c>
      <c r="G732" s="2" t="s">
        <v>91</v>
      </c>
      <c r="H732" s="2" t="s">
        <v>74</v>
      </c>
      <c r="I732" s="2">
        <v>8</v>
      </c>
      <c r="J732" s="2" t="s">
        <v>187</v>
      </c>
      <c r="K732" s="2" t="s">
        <v>2047</v>
      </c>
      <c r="L732" s="2" t="s">
        <v>24</v>
      </c>
      <c r="M732" s="2"/>
      <c r="N732" s="2" t="s">
        <v>34</v>
      </c>
    </row>
    <row r="733" spans="1:14" x14ac:dyDescent="0.25">
      <c r="A733" s="2" t="s">
        <v>2048</v>
      </c>
      <c r="B733" s="2" t="s">
        <v>2049</v>
      </c>
      <c r="C733" s="2" t="s">
        <v>67</v>
      </c>
      <c r="D733" s="2" t="s">
        <v>68</v>
      </c>
      <c r="E733" s="2" t="s">
        <v>85</v>
      </c>
      <c r="F733" s="2" t="s">
        <v>47</v>
      </c>
      <c r="G733" s="2" t="s">
        <v>70</v>
      </c>
      <c r="H733" s="2" t="s">
        <v>32</v>
      </c>
      <c r="I733" s="2">
        <v>48</v>
      </c>
      <c r="J733" s="2" t="s">
        <v>11</v>
      </c>
      <c r="K733" s="2"/>
      <c r="L733" s="2" t="s">
        <v>92</v>
      </c>
      <c r="M733" s="2"/>
      <c r="N733" s="2"/>
    </row>
    <row r="734" spans="1:14" x14ac:dyDescent="0.25">
      <c r="A734" s="2" t="s">
        <v>2050</v>
      </c>
      <c r="B734" s="2" t="s">
        <v>2051</v>
      </c>
      <c r="C734" s="2" t="s">
        <v>28</v>
      </c>
      <c r="D734" s="2" t="s">
        <v>37</v>
      </c>
      <c r="E734" s="2" t="s">
        <v>85</v>
      </c>
      <c r="F734" s="2" t="s">
        <v>47</v>
      </c>
      <c r="G734" s="2" t="s">
        <v>97</v>
      </c>
      <c r="H734" s="2" t="s">
        <v>32</v>
      </c>
      <c r="I734" s="2">
        <v>48</v>
      </c>
      <c r="J734" s="2" t="s">
        <v>117</v>
      </c>
      <c r="K734" s="2"/>
      <c r="L734" s="2" t="s">
        <v>24</v>
      </c>
      <c r="M734" s="2"/>
      <c r="N734" s="2" t="s">
        <v>118</v>
      </c>
    </row>
    <row r="735" spans="1:14" x14ac:dyDescent="0.25">
      <c r="A735" s="2" t="s">
        <v>2052</v>
      </c>
      <c r="B735" s="2" t="s">
        <v>2053</v>
      </c>
      <c r="C735" s="2" t="s">
        <v>53</v>
      </c>
      <c r="D735" s="2" t="s">
        <v>54</v>
      </c>
      <c r="E735" s="2" t="s">
        <v>148</v>
      </c>
      <c r="F735" s="2" t="s">
        <v>131</v>
      </c>
      <c r="G735" s="2" t="s">
        <v>135</v>
      </c>
      <c r="H735" s="2" t="s">
        <v>74</v>
      </c>
      <c r="I735" s="2">
        <v>8</v>
      </c>
      <c r="J735" s="2" t="s">
        <v>155</v>
      </c>
      <c r="K735" s="2"/>
      <c r="L735" s="2" t="s">
        <v>24</v>
      </c>
      <c r="M735" s="2"/>
      <c r="N735" s="2" t="s">
        <v>58</v>
      </c>
    </row>
    <row r="736" spans="1:14" x14ac:dyDescent="0.25">
      <c r="A736" s="2" t="s">
        <v>2054</v>
      </c>
      <c r="B736" s="2" t="s">
        <v>2055</v>
      </c>
      <c r="C736" s="2" t="s">
        <v>16</v>
      </c>
      <c r="D736" s="2" t="s">
        <v>84</v>
      </c>
      <c r="E736" s="2" t="s">
        <v>90</v>
      </c>
      <c r="F736" s="2" t="s">
        <v>39</v>
      </c>
      <c r="G736" s="2" t="s">
        <v>20</v>
      </c>
      <c r="H736" s="2" t="s">
        <v>32</v>
      </c>
      <c r="I736" s="2">
        <v>48</v>
      </c>
      <c r="J736" s="2" t="s">
        <v>41</v>
      </c>
      <c r="K736" s="2" t="s">
        <v>2056</v>
      </c>
      <c r="L736" s="2" t="s">
        <v>24</v>
      </c>
      <c r="M736" s="2"/>
      <c r="N736" s="2" t="s">
        <v>34</v>
      </c>
    </row>
    <row r="737" spans="1:14" x14ac:dyDescent="0.25">
      <c r="A737" s="2" t="s">
        <v>2057</v>
      </c>
      <c r="B737" s="2" t="s">
        <v>2058</v>
      </c>
      <c r="C737" s="2" t="s">
        <v>53</v>
      </c>
      <c r="D737" s="2" t="s">
        <v>61</v>
      </c>
      <c r="E737" s="2" t="s">
        <v>85</v>
      </c>
      <c r="F737" s="2" t="s">
        <v>96</v>
      </c>
      <c r="G737" s="2" t="s">
        <v>179</v>
      </c>
      <c r="H737" s="2" t="s">
        <v>21</v>
      </c>
      <c r="I737" s="2">
        <v>24</v>
      </c>
      <c r="J737" s="2" t="s">
        <v>106</v>
      </c>
      <c r="K737" s="2" t="s">
        <v>2059</v>
      </c>
      <c r="L737" s="2" t="s">
        <v>24</v>
      </c>
      <c r="M737" s="2">
        <v>5</v>
      </c>
      <c r="N737" s="2" t="s">
        <v>50</v>
      </c>
    </row>
    <row r="738" spans="1:14" x14ac:dyDescent="0.25">
      <c r="A738" s="2" t="s">
        <v>2060</v>
      </c>
      <c r="B738" s="2" t="s">
        <v>2061</v>
      </c>
      <c r="C738" s="2" t="s">
        <v>28</v>
      </c>
      <c r="D738" s="2" t="s">
        <v>100</v>
      </c>
      <c r="E738" s="2" t="s">
        <v>46</v>
      </c>
      <c r="F738" s="2" t="s">
        <v>113</v>
      </c>
      <c r="G738" s="2" t="s">
        <v>105</v>
      </c>
      <c r="H738" s="2" t="s">
        <v>21</v>
      </c>
      <c r="I738" s="2">
        <v>24</v>
      </c>
      <c r="J738" s="2" t="s">
        <v>75</v>
      </c>
      <c r="K738" s="2" t="s">
        <v>2062</v>
      </c>
      <c r="L738" s="2" t="s">
        <v>24</v>
      </c>
      <c r="M738" s="2">
        <v>1</v>
      </c>
      <c r="N738" s="2"/>
    </row>
    <row r="739" spans="1:14" x14ac:dyDescent="0.25">
      <c r="A739" s="2" t="s">
        <v>2063</v>
      </c>
      <c r="B739" s="2" t="s">
        <v>2064</v>
      </c>
      <c r="C739" s="2" t="s">
        <v>67</v>
      </c>
      <c r="D739" s="2" t="s">
        <v>68</v>
      </c>
      <c r="E739" s="2" t="s">
        <v>148</v>
      </c>
      <c r="F739" s="2" t="s">
        <v>131</v>
      </c>
      <c r="G739" s="2" t="s">
        <v>20</v>
      </c>
      <c r="H739" s="2" t="s">
        <v>80</v>
      </c>
      <c r="I739" s="2">
        <v>4</v>
      </c>
      <c r="J739" s="2" t="s">
        <v>117</v>
      </c>
      <c r="K739" s="2"/>
      <c r="L739" s="2" t="s">
        <v>24</v>
      </c>
      <c r="M739" s="2"/>
      <c r="N739" s="2" t="s">
        <v>64</v>
      </c>
    </row>
    <row r="740" spans="1:14" x14ac:dyDescent="0.25">
      <c r="A740" s="2" t="s">
        <v>2065</v>
      </c>
      <c r="B740" s="2" t="s">
        <v>2066</v>
      </c>
      <c r="C740" s="2" t="s">
        <v>67</v>
      </c>
      <c r="D740" s="2" t="s">
        <v>95</v>
      </c>
      <c r="E740" s="2" t="s">
        <v>18</v>
      </c>
      <c r="F740" s="2" t="s">
        <v>55</v>
      </c>
      <c r="G740" s="2" t="s">
        <v>135</v>
      </c>
      <c r="H740" s="2" t="s">
        <v>21</v>
      </c>
      <c r="I740" s="2">
        <v>24</v>
      </c>
      <c r="J740" s="2" t="s">
        <v>106</v>
      </c>
      <c r="K740" s="2" t="s">
        <v>2067</v>
      </c>
      <c r="L740" s="2" t="s">
        <v>24</v>
      </c>
      <c r="M740" s="2">
        <v>5</v>
      </c>
      <c r="N740" s="2" t="s">
        <v>43</v>
      </c>
    </row>
    <row r="741" spans="1:14" x14ac:dyDescent="0.25">
      <c r="A741" s="2" t="s">
        <v>2068</v>
      </c>
      <c r="B741" s="2" t="s">
        <v>2069</v>
      </c>
      <c r="C741" s="2" t="s">
        <v>53</v>
      </c>
      <c r="D741" s="2" t="s">
        <v>54</v>
      </c>
      <c r="E741" s="2" t="s">
        <v>148</v>
      </c>
      <c r="F741" s="2" t="s">
        <v>69</v>
      </c>
      <c r="G741" s="2" t="s">
        <v>158</v>
      </c>
      <c r="H741" s="2" t="s">
        <v>32</v>
      </c>
      <c r="I741" s="2">
        <v>48</v>
      </c>
      <c r="J741" s="2" t="s">
        <v>106</v>
      </c>
      <c r="K741" s="2" t="s">
        <v>2070</v>
      </c>
      <c r="L741" s="2" t="s">
        <v>24</v>
      </c>
      <c r="M741" s="2">
        <v>5</v>
      </c>
      <c r="N741" s="2" t="s">
        <v>50</v>
      </c>
    </row>
    <row r="742" spans="1:14" x14ac:dyDescent="0.25">
      <c r="A742" s="2" t="s">
        <v>2071</v>
      </c>
      <c r="B742" s="2" t="s">
        <v>2072</v>
      </c>
      <c r="C742" s="2" t="s">
        <v>53</v>
      </c>
      <c r="D742" s="2" t="s">
        <v>54</v>
      </c>
      <c r="E742" s="2" t="s">
        <v>90</v>
      </c>
      <c r="F742" s="2" t="s">
        <v>19</v>
      </c>
      <c r="G742" s="2" t="s">
        <v>158</v>
      </c>
      <c r="H742" s="2" t="s">
        <v>74</v>
      </c>
      <c r="I742" s="2">
        <v>8</v>
      </c>
      <c r="J742" s="2" t="s">
        <v>232</v>
      </c>
      <c r="K742" s="2"/>
      <c r="L742" s="2" t="s">
        <v>92</v>
      </c>
      <c r="M742" s="2"/>
      <c r="N742" s="2" t="s">
        <v>64</v>
      </c>
    </row>
    <row r="743" spans="1:14" x14ac:dyDescent="0.25">
      <c r="A743" s="2" t="s">
        <v>2073</v>
      </c>
      <c r="B743" s="2" t="s">
        <v>2074</v>
      </c>
      <c r="C743" s="2" t="s">
        <v>67</v>
      </c>
      <c r="D743" s="2" t="s">
        <v>601</v>
      </c>
      <c r="E743" s="2" t="s">
        <v>18</v>
      </c>
      <c r="F743" s="2" t="s">
        <v>62</v>
      </c>
      <c r="G743" s="2" t="s">
        <v>135</v>
      </c>
      <c r="H743" s="2" t="s">
        <v>32</v>
      </c>
      <c r="I743" s="2">
        <v>48</v>
      </c>
      <c r="J743" s="2" t="s">
        <v>106</v>
      </c>
      <c r="K743" s="2" t="s">
        <v>2075</v>
      </c>
      <c r="L743" s="2" t="s">
        <v>24</v>
      </c>
      <c r="M743" s="2">
        <v>5</v>
      </c>
      <c r="N743" s="2" t="s">
        <v>128</v>
      </c>
    </row>
    <row r="744" spans="1:14" x14ac:dyDescent="0.25">
      <c r="A744" s="2" t="s">
        <v>2076</v>
      </c>
      <c r="B744" s="2" t="s">
        <v>2077</v>
      </c>
      <c r="C744" s="2" t="s">
        <v>53</v>
      </c>
      <c r="D744" s="2" t="s">
        <v>61</v>
      </c>
      <c r="E744" s="2" t="s">
        <v>38</v>
      </c>
      <c r="F744" s="2" t="s">
        <v>131</v>
      </c>
      <c r="G744" s="2" t="s">
        <v>183</v>
      </c>
      <c r="H744" s="2" t="s">
        <v>21</v>
      </c>
      <c r="I744" s="2">
        <v>24</v>
      </c>
      <c r="J744" s="2" t="s">
        <v>149</v>
      </c>
      <c r="K744" s="2"/>
      <c r="L744" s="2" t="s">
        <v>24</v>
      </c>
      <c r="M744" s="2"/>
      <c r="N744" s="2" t="s">
        <v>43</v>
      </c>
    </row>
    <row r="745" spans="1:14" x14ac:dyDescent="0.25">
      <c r="A745" s="2" t="s">
        <v>2078</v>
      </c>
      <c r="B745" s="2" t="s">
        <v>2079</v>
      </c>
      <c r="C745" s="2" t="s">
        <v>67</v>
      </c>
      <c r="D745" s="2" t="s">
        <v>68</v>
      </c>
      <c r="E745" s="2" t="s">
        <v>85</v>
      </c>
      <c r="F745" s="2" t="s">
        <v>143</v>
      </c>
      <c r="G745" s="2" t="s">
        <v>97</v>
      </c>
      <c r="H745" s="2" t="s">
        <v>21</v>
      </c>
      <c r="I745" s="2">
        <v>24</v>
      </c>
      <c r="J745" s="2" t="s">
        <v>33</v>
      </c>
      <c r="K745" s="2"/>
      <c r="L745" s="2" t="s">
        <v>24</v>
      </c>
      <c r="M745" s="2"/>
      <c r="N745" s="2" t="s">
        <v>64</v>
      </c>
    </row>
    <row r="746" spans="1:14" x14ac:dyDescent="0.25">
      <c r="A746" s="2" t="s">
        <v>2080</v>
      </c>
      <c r="B746" s="2" t="s">
        <v>2081</v>
      </c>
      <c r="C746" s="2" t="s">
        <v>28</v>
      </c>
      <c r="D746" s="2" t="s">
        <v>100</v>
      </c>
      <c r="E746" s="2" t="s">
        <v>46</v>
      </c>
      <c r="F746" s="2" t="s">
        <v>55</v>
      </c>
      <c r="G746" s="2" t="s">
        <v>183</v>
      </c>
      <c r="H746" s="2" t="s">
        <v>80</v>
      </c>
      <c r="I746" s="2">
        <v>4</v>
      </c>
      <c r="J746" s="2" t="s">
        <v>22</v>
      </c>
      <c r="K746" s="2" t="s">
        <v>2082</v>
      </c>
      <c r="L746" s="2" t="s">
        <v>24</v>
      </c>
      <c r="M746" s="2">
        <v>5</v>
      </c>
      <c r="N746" s="2"/>
    </row>
    <row r="747" spans="1:14" x14ac:dyDescent="0.25">
      <c r="A747" s="2" t="s">
        <v>2083</v>
      </c>
      <c r="B747" s="2" t="s">
        <v>2084</v>
      </c>
      <c r="C747" s="2" t="s">
        <v>28</v>
      </c>
      <c r="D747" s="2" t="s">
        <v>37</v>
      </c>
      <c r="E747" s="2" t="s">
        <v>18</v>
      </c>
      <c r="F747" s="2" t="s">
        <v>143</v>
      </c>
      <c r="G747" s="2" t="s">
        <v>70</v>
      </c>
      <c r="H747" s="2" t="s">
        <v>32</v>
      </c>
      <c r="I747" s="2">
        <v>48</v>
      </c>
      <c r="J747" s="2" t="s">
        <v>48</v>
      </c>
      <c r="K747" s="2" t="s">
        <v>2085</v>
      </c>
      <c r="L747" s="2" t="s">
        <v>24</v>
      </c>
      <c r="M747" s="2">
        <v>4</v>
      </c>
      <c r="N747" s="2" t="s">
        <v>58</v>
      </c>
    </row>
    <row r="748" spans="1:14" x14ac:dyDescent="0.25">
      <c r="A748" s="2" t="s">
        <v>2086</v>
      </c>
      <c r="B748" s="2" t="s">
        <v>2087</v>
      </c>
      <c r="C748" s="2" t="s">
        <v>16</v>
      </c>
      <c r="D748" s="2" t="s">
        <v>17</v>
      </c>
      <c r="E748" s="2" t="s">
        <v>18</v>
      </c>
      <c r="F748" s="2" t="s">
        <v>30</v>
      </c>
      <c r="G748" s="2" t="s">
        <v>40</v>
      </c>
      <c r="H748" s="2" t="s">
        <v>80</v>
      </c>
      <c r="I748" s="2">
        <v>4</v>
      </c>
      <c r="J748" s="2" t="s">
        <v>41</v>
      </c>
      <c r="K748" s="2" t="s">
        <v>2088</v>
      </c>
      <c r="L748" s="2" t="s">
        <v>92</v>
      </c>
      <c r="M748" s="2">
        <v>2</v>
      </c>
      <c r="N748" s="2" t="s">
        <v>25</v>
      </c>
    </row>
    <row r="749" spans="1:14" x14ac:dyDescent="0.25">
      <c r="A749" s="2" t="s">
        <v>2089</v>
      </c>
      <c r="B749" s="2" t="s">
        <v>2090</v>
      </c>
      <c r="C749" s="2" t="s">
        <v>16</v>
      </c>
      <c r="D749" s="2" t="s">
        <v>84</v>
      </c>
      <c r="E749" s="2" t="s">
        <v>18</v>
      </c>
      <c r="F749" s="2" t="s">
        <v>131</v>
      </c>
      <c r="G749" s="2" t="s">
        <v>183</v>
      </c>
      <c r="H749" s="2" t="s">
        <v>32</v>
      </c>
      <c r="I749" s="2">
        <v>48</v>
      </c>
      <c r="J749" s="2" t="s">
        <v>149</v>
      </c>
      <c r="K749" s="2"/>
      <c r="L749" s="2" t="s">
        <v>24</v>
      </c>
      <c r="M749" s="2"/>
      <c r="N749" s="2" t="s">
        <v>118</v>
      </c>
    </row>
    <row r="750" spans="1:14" x14ac:dyDescent="0.25">
      <c r="A750" s="2" t="s">
        <v>2091</v>
      </c>
      <c r="B750" s="2" t="s">
        <v>2092</v>
      </c>
      <c r="C750" s="2" t="s">
        <v>53</v>
      </c>
      <c r="D750" s="2" t="s">
        <v>61</v>
      </c>
      <c r="E750" s="2" t="s">
        <v>46</v>
      </c>
      <c r="F750" s="2" t="s">
        <v>96</v>
      </c>
      <c r="G750" s="2" t="s">
        <v>20</v>
      </c>
      <c r="H750" s="2" t="s">
        <v>80</v>
      </c>
      <c r="I750" s="2">
        <v>4</v>
      </c>
      <c r="J750" s="2" t="s">
        <v>41</v>
      </c>
      <c r="K750" s="2" t="s">
        <v>2093</v>
      </c>
      <c r="L750" s="2" t="s">
        <v>92</v>
      </c>
      <c r="M750" s="2">
        <v>5</v>
      </c>
      <c r="N750" s="2" t="s">
        <v>50</v>
      </c>
    </row>
    <row r="751" spans="1:14" x14ac:dyDescent="0.25">
      <c r="A751" s="2" t="s">
        <v>2094</v>
      </c>
      <c r="B751" s="2" t="s">
        <v>2095</v>
      </c>
      <c r="C751" s="2" t="s">
        <v>28</v>
      </c>
      <c r="D751" s="2" t="s">
        <v>29</v>
      </c>
      <c r="E751" s="2" t="s">
        <v>79</v>
      </c>
      <c r="F751" s="2" t="s">
        <v>55</v>
      </c>
      <c r="G751" s="2" t="s">
        <v>121</v>
      </c>
      <c r="H751" s="2" t="s">
        <v>74</v>
      </c>
      <c r="I751" s="2">
        <v>8</v>
      </c>
      <c r="J751" s="2" t="s">
        <v>41</v>
      </c>
      <c r="K751" s="2" t="s">
        <v>2096</v>
      </c>
      <c r="L751" s="2" t="s">
        <v>24</v>
      </c>
      <c r="M751" s="2">
        <v>1</v>
      </c>
      <c r="N751" s="2" t="s">
        <v>64</v>
      </c>
    </row>
    <row r="752" spans="1:14" x14ac:dyDescent="0.25">
      <c r="A752" s="2" t="s">
        <v>2097</v>
      </c>
      <c r="B752" s="2" t="s">
        <v>2098</v>
      </c>
      <c r="C752" s="2" t="s">
        <v>28</v>
      </c>
      <c r="D752" s="2" t="s">
        <v>37</v>
      </c>
      <c r="E752" s="2" t="s">
        <v>18</v>
      </c>
      <c r="F752" s="2" t="s">
        <v>62</v>
      </c>
      <c r="G752" s="2" t="s">
        <v>135</v>
      </c>
      <c r="H752" s="2" t="s">
        <v>32</v>
      </c>
      <c r="I752" s="2">
        <v>48</v>
      </c>
      <c r="J752" s="2" t="s">
        <v>106</v>
      </c>
      <c r="K752" s="2" t="s">
        <v>2099</v>
      </c>
      <c r="L752" s="2" t="s">
        <v>24</v>
      </c>
      <c r="M752" s="2">
        <v>5</v>
      </c>
      <c r="N752" s="2" t="s">
        <v>50</v>
      </c>
    </row>
    <row r="753" spans="1:14" x14ac:dyDescent="0.25">
      <c r="A753" s="2" t="s">
        <v>668</v>
      </c>
      <c r="B753" s="2" t="s">
        <v>669</v>
      </c>
      <c r="C753" s="2" t="s">
        <v>16</v>
      </c>
      <c r="D753" s="2" t="s">
        <v>84</v>
      </c>
      <c r="E753" s="2" t="s">
        <v>38</v>
      </c>
      <c r="F753" s="2" t="s">
        <v>30</v>
      </c>
      <c r="G753" s="2" t="s">
        <v>101</v>
      </c>
      <c r="H753" s="2" t="s">
        <v>32</v>
      </c>
      <c r="I753" s="2">
        <v>48</v>
      </c>
      <c r="J753" s="2" t="s">
        <v>11</v>
      </c>
      <c r="K753" s="2"/>
      <c r="L753" s="2" t="s">
        <v>92</v>
      </c>
      <c r="M753" s="2"/>
      <c r="N753" s="2" t="s">
        <v>128</v>
      </c>
    </row>
    <row r="754" spans="1:14" x14ac:dyDescent="0.25">
      <c r="A754" s="2" t="s">
        <v>2100</v>
      </c>
      <c r="B754" s="2" t="s">
        <v>2101</v>
      </c>
      <c r="C754" s="2" t="s">
        <v>67</v>
      </c>
      <c r="D754" s="2" t="s">
        <v>68</v>
      </c>
      <c r="E754" s="2" t="s">
        <v>46</v>
      </c>
      <c r="F754" s="2" t="s">
        <v>96</v>
      </c>
      <c r="G754" s="2" t="s">
        <v>20</v>
      </c>
      <c r="H754" s="2" t="s">
        <v>32</v>
      </c>
      <c r="I754" s="2">
        <v>48</v>
      </c>
      <c r="J754" s="2" t="s">
        <v>145</v>
      </c>
      <c r="K754" s="2"/>
      <c r="L754" s="2" t="s">
        <v>24</v>
      </c>
      <c r="M754" s="2"/>
      <c r="N754" s="2" t="s">
        <v>118</v>
      </c>
    </row>
    <row r="755" spans="1:14" x14ac:dyDescent="0.25">
      <c r="A755" s="2" t="s">
        <v>2102</v>
      </c>
      <c r="B755" s="2" t="s">
        <v>2103</v>
      </c>
      <c r="C755" s="2" t="s">
        <v>28</v>
      </c>
      <c r="D755" s="2" t="s">
        <v>29</v>
      </c>
      <c r="E755" s="2" t="s">
        <v>38</v>
      </c>
      <c r="F755" s="2" t="s">
        <v>47</v>
      </c>
      <c r="G755" s="2" t="s">
        <v>183</v>
      </c>
      <c r="H755" s="2" t="s">
        <v>74</v>
      </c>
      <c r="I755" s="2">
        <v>8</v>
      </c>
      <c r="J755" s="2" t="s">
        <v>48</v>
      </c>
      <c r="K755" s="2" t="s">
        <v>2104</v>
      </c>
      <c r="L755" s="2" t="s">
        <v>24</v>
      </c>
      <c r="M755" s="2">
        <v>4</v>
      </c>
      <c r="N755" s="2" t="s">
        <v>50</v>
      </c>
    </row>
    <row r="756" spans="1:14" x14ac:dyDescent="0.25">
      <c r="A756" s="2" t="s">
        <v>2105</v>
      </c>
      <c r="B756" s="2" t="s">
        <v>2106</v>
      </c>
      <c r="C756" s="2" t="s">
        <v>16</v>
      </c>
      <c r="D756" s="2" t="s">
        <v>17</v>
      </c>
      <c r="E756" s="2" t="s">
        <v>79</v>
      </c>
      <c r="F756" s="2" t="s">
        <v>125</v>
      </c>
      <c r="G756" s="2" t="s">
        <v>121</v>
      </c>
      <c r="H756" s="2" t="s">
        <v>32</v>
      </c>
      <c r="I756" s="2">
        <v>48</v>
      </c>
      <c r="J756" s="2" t="s">
        <v>41</v>
      </c>
      <c r="K756" s="2" t="s">
        <v>2107</v>
      </c>
      <c r="L756" s="2" t="s">
        <v>24</v>
      </c>
      <c r="M756" s="2">
        <v>3</v>
      </c>
      <c r="N756" s="2" t="s">
        <v>118</v>
      </c>
    </row>
    <row r="757" spans="1:14" x14ac:dyDescent="0.25">
      <c r="A757" s="2" t="s">
        <v>2108</v>
      </c>
      <c r="B757" s="2" t="s">
        <v>2109</v>
      </c>
      <c r="C757" s="2" t="s">
        <v>28</v>
      </c>
      <c r="D757" s="2" t="s">
        <v>37</v>
      </c>
      <c r="E757" s="2" t="s">
        <v>148</v>
      </c>
      <c r="F757" s="2" t="s">
        <v>62</v>
      </c>
      <c r="G757" s="2" t="s">
        <v>144</v>
      </c>
      <c r="H757" s="2" t="s">
        <v>74</v>
      </c>
      <c r="I757" s="2">
        <v>8</v>
      </c>
      <c r="J757" s="2" t="s">
        <v>155</v>
      </c>
      <c r="K757" s="2"/>
      <c r="L757" s="2" t="s">
        <v>24</v>
      </c>
      <c r="M757" s="2"/>
      <c r="N757" s="2" t="s">
        <v>64</v>
      </c>
    </row>
    <row r="758" spans="1:14" x14ac:dyDescent="0.25">
      <c r="A758" s="2" t="s">
        <v>2110</v>
      </c>
      <c r="B758" s="2" t="s">
        <v>2111</v>
      </c>
      <c r="C758" s="2" t="s">
        <v>67</v>
      </c>
      <c r="D758" s="2" t="s">
        <v>68</v>
      </c>
      <c r="E758" s="2" t="s">
        <v>46</v>
      </c>
      <c r="F758" s="2" t="s">
        <v>39</v>
      </c>
      <c r="G758" s="2" t="s">
        <v>97</v>
      </c>
      <c r="H758" s="2" t="s">
        <v>21</v>
      </c>
      <c r="I758" s="2">
        <v>24</v>
      </c>
      <c r="J758" s="2" t="s">
        <v>106</v>
      </c>
      <c r="K758" s="2" t="s">
        <v>2112</v>
      </c>
      <c r="L758" s="2" t="s">
        <v>24</v>
      </c>
      <c r="M758" s="2">
        <v>5</v>
      </c>
      <c r="N758" s="2"/>
    </row>
    <row r="759" spans="1:14" x14ac:dyDescent="0.25">
      <c r="A759" s="2" t="s">
        <v>2113</v>
      </c>
      <c r="B759" s="2" t="s">
        <v>2114</v>
      </c>
      <c r="C759" s="2" t="s">
        <v>16</v>
      </c>
      <c r="D759" s="2" t="s">
        <v>84</v>
      </c>
      <c r="E759" s="2" t="s">
        <v>38</v>
      </c>
      <c r="F759" s="2" t="s">
        <v>19</v>
      </c>
      <c r="G759" s="2" t="s">
        <v>144</v>
      </c>
      <c r="H759" s="2" t="s">
        <v>21</v>
      </c>
      <c r="I759" s="2">
        <v>24</v>
      </c>
      <c r="J759" s="2" t="s">
        <v>106</v>
      </c>
      <c r="K759" s="2" t="s">
        <v>2115</v>
      </c>
      <c r="L759" s="2" t="s">
        <v>24</v>
      </c>
      <c r="M759" s="2"/>
      <c r="N759" s="2" t="s">
        <v>43</v>
      </c>
    </row>
    <row r="760" spans="1:14" x14ac:dyDescent="0.25">
      <c r="A760" s="2" t="s">
        <v>2116</v>
      </c>
      <c r="B760" s="2" t="s">
        <v>2117</v>
      </c>
      <c r="C760" s="2" t="s">
        <v>28</v>
      </c>
      <c r="D760" s="2" t="s">
        <v>37</v>
      </c>
      <c r="E760" s="2" t="s">
        <v>85</v>
      </c>
      <c r="F760" s="2" t="s">
        <v>55</v>
      </c>
      <c r="G760" s="2" t="s">
        <v>91</v>
      </c>
      <c r="H760" s="2" t="s">
        <v>74</v>
      </c>
      <c r="I760" s="2">
        <v>8</v>
      </c>
      <c r="J760" s="2" t="s">
        <v>22</v>
      </c>
      <c r="K760" s="2" t="s">
        <v>2118</v>
      </c>
      <c r="L760" s="2" t="s">
        <v>92</v>
      </c>
      <c r="M760" s="2"/>
      <c r="N760" s="2" t="s">
        <v>58</v>
      </c>
    </row>
    <row r="761" spans="1:14" x14ac:dyDescent="0.25">
      <c r="A761" s="2" t="s">
        <v>2119</v>
      </c>
      <c r="B761" s="2" t="s">
        <v>2120</v>
      </c>
      <c r="C761" s="2" t="s">
        <v>28</v>
      </c>
      <c r="D761" s="2" t="s">
        <v>37</v>
      </c>
      <c r="E761" s="2" t="s">
        <v>46</v>
      </c>
      <c r="F761" s="2" t="s">
        <v>131</v>
      </c>
      <c r="G761" s="2" t="s">
        <v>20</v>
      </c>
      <c r="H761" s="2" t="s">
        <v>21</v>
      </c>
      <c r="I761" s="2">
        <v>24</v>
      </c>
      <c r="J761" s="2" t="s">
        <v>75</v>
      </c>
      <c r="K761" s="2" t="s">
        <v>2121</v>
      </c>
      <c r="L761" s="2" t="s">
        <v>24</v>
      </c>
      <c r="M761" s="2"/>
      <c r="N761" s="2" t="s">
        <v>64</v>
      </c>
    </row>
    <row r="762" spans="1:14" x14ac:dyDescent="0.25">
      <c r="A762" s="2" t="s">
        <v>2122</v>
      </c>
      <c r="B762" s="2" t="s">
        <v>2123</v>
      </c>
      <c r="C762" s="2" t="s">
        <v>53</v>
      </c>
      <c r="D762" s="2" t="s">
        <v>54</v>
      </c>
      <c r="E762" s="2" t="s">
        <v>79</v>
      </c>
      <c r="F762" s="2" t="s">
        <v>125</v>
      </c>
      <c r="G762" s="2" t="s">
        <v>70</v>
      </c>
      <c r="H762" s="2" t="s">
        <v>74</v>
      </c>
      <c r="I762" s="2">
        <v>8</v>
      </c>
      <c r="J762" s="2" t="s">
        <v>75</v>
      </c>
      <c r="K762" s="2" t="s">
        <v>2124</v>
      </c>
      <c r="L762" s="2" t="s">
        <v>24</v>
      </c>
      <c r="M762" s="2"/>
      <c r="N762" s="2"/>
    </row>
    <row r="763" spans="1:14" x14ac:dyDescent="0.25">
      <c r="A763" s="2" t="s">
        <v>2125</v>
      </c>
      <c r="B763" s="2" t="s">
        <v>2126</v>
      </c>
      <c r="C763" s="2" t="s">
        <v>53</v>
      </c>
      <c r="D763" s="2" t="s">
        <v>54</v>
      </c>
      <c r="E763" s="2" t="s">
        <v>46</v>
      </c>
      <c r="F763" s="2" t="s">
        <v>113</v>
      </c>
      <c r="G763" s="2" t="s">
        <v>105</v>
      </c>
      <c r="H763" s="2" t="s">
        <v>74</v>
      </c>
      <c r="I763" s="2">
        <v>8</v>
      </c>
      <c r="J763" s="2" t="s">
        <v>48</v>
      </c>
      <c r="K763" s="2" t="s">
        <v>2127</v>
      </c>
      <c r="L763" s="2" t="s">
        <v>24</v>
      </c>
      <c r="M763" s="2">
        <v>2</v>
      </c>
      <c r="N763" s="2"/>
    </row>
    <row r="764" spans="1:14" x14ac:dyDescent="0.25">
      <c r="A764" s="2" t="s">
        <v>2128</v>
      </c>
      <c r="B764" s="2" t="s">
        <v>2129</v>
      </c>
      <c r="C764" s="2" t="s">
        <v>53</v>
      </c>
      <c r="D764" s="2" t="s">
        <v>771</v>
      </c>
      <c r="E764" s="2" t="s">
        <v>18</v>
      </c>
      <c r="F764" s="2" t="s">
        <v>69</v>
      </c>
      <c r="G764" s="2" t="s">
        <v>97</v>
      </c>
      <c r="H764" s="2" t="s">
        <v>74</v>
      </c>
      <c r="I764" s="2">
        <v>8</v>
      </c>
      <c r="J764" s="2" t="s">
        <v>48</v>
      </c>
      <c r="K764" s="2" t="s">
        <v>2130</v>
      </c>
      <c r="L764" s="2" t="s">
        <v>24</v>
      </c>
      <c r="M764" s="2"/>
      <c r="N764" s="2"/>
    </row>
    <row r="765" spans="1:14" x14ac:dyDescent="0.25">
      <c r="A765" s="2" t="s">
        <v>2131</v>
      </c>
      <c r="B765" s="2" t="s">
        <v>2132</v>
      </c>
      <c r="C765" s="2" t="s">
        <v>53</v>
      </c>
      <c r="D765" s="2" t="s">
        <v>61</v>
      </c>
      <c r="E765" s="2" t="s">
        <v>90</v>
      </c>
      <c r="F765" s="2" t="s">
        <v>62</v>
      </c>
      <c r="G765" s="2" t="s">
        <v>97</v>
      </c>
      <c r="H765" s="2" t="s">
        <v>21</v>
      </c>
      <c r="I765" s="2">
        <v>24</v>
      </c>
      <c r="J765" s="2" t="s">
        <v>155</v>
      </c>
      <c r="K765" s="2"/>
      <c r="L765" s="2" t="s">
        <v>24</v>
      </c>
      <c r="M765" s="2"/>
      <c r="N765" s="2" t="s">
        <v>64</v>
      </c>
    </row>
    <row r="766" spans="1:14" x14ac:dyDescent="0.25">
      <c r="A766" s="2" t="s">
        <v>2133</v>
      </c>
      <c r="B766" s="2" t="s">
        <v>2134</v>
      </c>
      <c r="C766" s="2" t="s">
        <v>16</v>
      </c>
      <c r="D766" s="2" t="s">
        <v>17</v>
      </c>
      <c r="E766" s="2" t="s">
        <v>18</v>
      </c>
      <c r="F766" s="2" t="s">
        <v>96</v>
      </c>
      <c r="G766" s="2" t="s">
        <v>97</v>
      </c>
      <c r="H766" s="2" t="s">
        <v>74</v>
      </c>
      <c r="I766" s="2">
        <v>8</v>
      </c>
      <c r="J766" s="2" t="s">
        <v>41</v>
      </c>
      <c r="K766" s="2" t="s">
        <v>2135</v>
      </c>
      <c r="L766" s="2" t="s">
        <v>92</v>
      </c>
      <c r="M766" s="2">
        <v>5</v>
      </c>
      <c r="N766" s="2"/>
    </row>
    <row r="767" spans="1:14" x14ac:dyDescent="0.25">
      <c r="A767" s="2" t="s">
        <v>2136</v>
      </c>
      <c r="B767" s="2" t="s">
        <v>2137</v>
      </c>
      <c r="C767" s="2" t="s">
        <v>28</v>
      </c>
      <c r="D767" s="2" t="s">
        <v>100</v>
      </c>
      <c r="E767" s="2" t="s">
        <v>85</v>
      </c>
      <c r="F767" s="2" t="s">
        <v>113</v>
      </c>
      <c r="G767" s="2" t="s">
        <v>211</v>
      </c>
      <c r="H767" s="2" t="s">
        <v>32</v>
      </c>
      <c r="I767" s="2">
        <v>48</v>
      </c>
      <c r="J767" s="2" t="s">
        <v>145</v>
      </c>
      <c r="K767" s="2"/>
      <c r="L767" s="2" t="s">
        <v>24</v>
      </c>
      <c r="M767" s="2"/>
      <c r="N767" s="2" t="s">
        <v>43</v>
      </c>
    </row>
    <row r="768" spans="1:14" x14ac:dyDescent="0.25">
      <c r="A768" s="2" t="s">
        <v>2138</v>
      </c>
      <c r="B768" s="2" t="s">
        <v>2139</v>
      </c>
      <c r="C768" s="2" t="s">
        <v>53</v>
      </c>
      <c r="D768" s="2" t="s">
        <v>61</v>
      </c>
      <c r="E768" s="2" t="s">
        <v>18</v>
      </c>
      <c r="F768" s="2" t="s">
        <v>143</v>
      </c>
      <c r="G768" s="2" t="s">
        <v>126</v>
      </c>
      <c r="H768" s="2" t="s">
        <v>21</v>
      </c>
      <c r="I768" s="2">
        <v>24</v>
      </c>
      <c r="J768" s="2" t="s">
        <v>41</v>
      </c>
      <c r="K768" s="2" t="s">
        <v>2140</v>
      </c>
      <c r="L768" s="2" t="s">
        <v>92</v>
      </c>
      <c r="M768" s="2">
        <v>5</v>
      </c>
      <c r="N768" s="2" t="s">
        <v>34</v>
      </c>
    </row>
    <row r="769" spans="1:14" x14ac:dyDescent="0.25">
      <c r="A769" s="2" t="s">
        <v>2141</v>
      </c>
      <c r="B769" s="2" t="s">
        <v>2142</v>
      </c>
      <c r="C769" s="2" t="s">
        <v>16</v>
      </c>
      <c r="D769" s="2" t="s">
        <v>17</v>
      </c>
      <c r="E769" s="2" t="s">
        <v>148</v>
      </c>
      <c r="F769" s="2" t="s">
        <v>30</v>
      </c>
      <c r="G769" s="2" t="s">
        <v>31</v>
      </c>
      <c r="H769" s="2" t="s">
        <v>21</v>
      </c>
      <c r="I769" s="2">
        <v>24</v>
      </c>
      <c r="J769" s="2" t="s">
        <v>41</v>
      </c>
      <c r="K769" s="2" t="s">
        <v>2143</v>
      </c>
      <c r="L769" s="2" t="s">
        <v>24</v>
      </c>
      <c r="M769" s="2"/>
      <c r="N769" s="2" t="s">
        <v>64</v>
      </c>
    </row>
    <row r="770" spans="1:14" x14ac:dyDescent="0.25">
      <c r="A770" s="2" t="s">
        <v>2144</v>
      </c>
      <c r="B770" s="2" t="s">
        <v>2145</v>
      </c>
      <c r="C770" s="2" t="s">
        <v>16</v>
      </c>
      <c r="D770" s="2" t="s">
        <v>17</v>
      </c>
      <c r="E770" s="2" t="s">
        <v>18</v>
      </c>
      <c r="F770" s="2" t="s">
        <v>19</v>
      </c>
      <c r="G770" s="2" t="s">
        <v>121</v>
      </c>
      <c r="H770" s="2" t="s">
        <v>32</v>
      </c>
      <c r="I770" s="2">
        <v>48</v>
      </c>
      <c r="J770" s="2" t="s">
        <v>41</v>
      </c>
      <c r="K770" s="2" t="s">
        <v>2146</v>
      </c>
      <c r="L770" s="2" t="s">
        <v>24</v>
      </c>
      <c r="M770" s="2">
        <v>4</v>
      </c>
      <c r="N770" s="2" t="s">
        <v>50</v>
      </c>
    </row>
    <row r="771" spans="1:14" x14ac:dyDescent="0.25">
      <c r="A771" s="2" t="s">
        <v>2147</v>
      </c>
      <c r="B771" s="2" t="s">
        <v>2148</v>
      </c>
      <c r="C771" s="2" t="s">
        <v>67</v>
      </c>
      <c r="D771" s="2" t="s">
        <v>601</v>
      </c>
      <c r="E771" s="2" t="s">
        <v>46</v>
      </c>
      <c r="F771" s="2" t="s">
        <v>47</v>
      </c>
      <c r="G771" s="2" t="s">
        <v>105</v>
      </c>
      <c r="H771" s="2" t="s">
        <v>74</v>
      </c>
      <c r="I771" s="2">
        <v>8</v>
      </c>
      <c r="J771" s="2" t="s">
        <v>56</v>
      </c>
      <c r="K771" s="2" t="s">
        <v>2149</v>
      </c>
      <c r="L771" s="2" t="s">
        <v>24</v>
      </c>
      <c r="M771" s="2"/>
      <c r="N771" s="2" t="s">
        <v>128</v>
      </c>
    </row>
    <row r="772" spans="1:14" x14ac:dyDescent="0.25">
      <c r="A772" s="2" t="s">
        <v>2150</v>
      </c>
      <c r="B772" s="2" t="s">
        <v>2151</v>
      </c>
      <c r="C772" s="2" t="s">
        <v>53</v>
      </c>
      <c r="D772" s="2" t="s">
        <v>54</v>
      </c>
      <c r="E772" s="2" t="s">
        <v>18</v>
      </c>
      <c r="F772" s="2" t="s">
        <v>47</v>
      </c>
      <c r="G772" s="2" t="s">
        <v>105</v>
      </c>
      <c r="H772" s="2" t="s">
        <v>21</v>
      </c>
      <c r="I772" s="2">
        <v>24</v>
      </c>
      <c r="J772" s="2" t="s">
        <v>22</v>
      </c>
      <c r="K772" s="2" t="s">
        <v>2152</v>
      </c>
      <c r="L772" s="2" t="s">
        <v>24</v>
      </c>
      <c r="M772" s="2"/>
      <c r="N772" s="2"/>
    </row>
    <row r="773" spans="1:14" x14ac:dyDescent="0.25">
      <c r="A773" s="2" t="s">
        <v>2153</v>
      </c>
      <c r="B773" s="2" t="s">
        <v>2154</v>
      </c>
      <c r="C773" s="2" t="s">
        <v>16</v>
      </c>
      <c r="D773" s="2" t="s">
        <v>17</v>
      </c>
      <c r="E773" s="2" t="s">
        <v>46</v>
      </c>
      <c r="F773" s="2" t="s">
        <v>19</v>
      </c>
      <c r="G773" s="2" t="s">
        <v>97</v>
      </c>
      <c r="H773" s="2" t="s">
        <v>32</v>
      </c>
      <c r="I773" s="2">
        <v>48</v>
      </c>
      <c r="J773" s="2" t="s">
        <v>287</v>
      </c>
      <c r="K773" s="2"/>
      <c r="L773" s="2" t="s">
        <v>24</v>
      </c>
      <c r="M773" s="2"/>
      <c r="N773" s="2"/>
    </row>
    <row r="774" spans="1:14" x14ac:dyDescent="0.25">
      <c r="A774" s="2" t="s">
        <v>2155</v>
      </c>
      <c r="B774" s="2" t="s">
        <v>2156</v>
      </c>
      <c r="C774" s="2" t="s">
        <v>28</v>
      </c>
      <c r="D774" s="2" t="s">
        <v>100</v>
      </c>
      <c r="E774" s="2" t="s">
        <v>79</v>
      </c>
      <c r="F774" s="2" t="s">
        <v>39</v>
      </c>
      <c r="G774" s="2" t="s">
        <v>139</v>
      </c>
      <c r="H774" s="2" t="s">
        <v>21</v>
      </c>
      <c r="I774" s="2">
        <v>24</v>
      </c>
      <c r="J774" s="2" t="s">
        <v>117</v>
      </c>
      <c r="K774" s="2"/>
      <c r="L774" s="2" t="s">
        <v>24</v>
      </c>
      <c r="M774" s="2"/>
      <c r="N774" s="2" t="s">
        <v>58</v>
      </c>
    </row>
    <row r="775" spans="1:14" x14ac:dyDescent="0.25">
      <c r="A775" s="2" t="s">
        <v>2157</v>
      </c>
      <c r="B775" s="2" t="s">
        <v>2158</v>
      </c>
      <c r="C775" s="2" t="s">
        <v>28</v>
      </c>
      <c r="D775" s="2" t="s">
        <v>100</v>
      </c>
      <c r="E775" s="2" t="s">
        <v>38</v>
      </c>
      <c r="F775" s="2" t="s">
        <v>69</v>
      </c>
      <c r="G775" s="2" t="s">
        <v>20</v>
      </c>
      <c r="H775" s="2" t="s">
        <v>74</v>
      </c>
      <c r="I775" s="2">
        <v>8</v>
      </c>
      <c r="J775" s="2" t="s">
        <v>22</v>
      </c>
      <c r="K775" s="2" t="s">
        <v>2159</v>
      </c>
      <c r="L775" s="2" t="s">
        <v>24</v>
      </c>
      <c r="M775" s="2"/>
      <c r="N775" s="2" t="s">
        <v>50</v>
      </c>
    </row>
    <row r="776" spans="1:14" x14ac:dyDescent="0.25">
      <c r="A776" s="2" t="s">
        <v>2160</v>
      </c>
      <c r="B776" s="2" t="s">
        <v>2161</v>
      </c>
      <c r="C776" s="2" t="s">
        <v>28</v>
      </c>
      <c r="D776" s="2" t="s">
        <v>100</v>
      </c>
      <c r="E776" s="2" t="s">
        <v>46</v>
      </c>
      <c r="F776" s="2" t="s">
        <v>55</v>
      </c>
      <c r="G776" s="2" t="s">
        <v>20</v>
      </c>
      <c r="H776" s="2" t="s">
        <v>32</v>
      </c>
      <c r="I776" s="2">
        <v>48</v>
      </c>
      <c r="J776" s="2" t="s">
        <v>48</v>
      </c>
      <c r="K776" s="2" t="s">
        <v>2162</v>
      </c>
      <c r="L776" s="2" t="s">
        <v>24</v>
      </c>
      <c r="M776" s="2"/>
      <c r="N776" s="2" t="s">
        <v>128</v>
      </c>
    </row>
    <row r="777" spans="1:14" x14ac:dyDescent="0.25">
      <c r="A777" s="2" t="s">
        <v>2163</v>
      </c>
      <c r="B777" s="2" t="s">
        <v>2164</v>
      </c>
      <c r="C777" s="2" t="s">
        <v>67</v>
      </c>
      <c r="D777" s="2" t="s">
        <v>68</v>
      </c>
      <c r="E777" s="2" t="s">
        <v>85</v>
      </c>
      <c r="F777" s="2" t="s">
        <v>55</v>
      </c>
      <c r="G777" s="2" t="s">
        <v>211</v>
      </c>
      <c r="H777" s="2" t="s">
        <v>32</v>
      </c>
      <c r="I777" s="2">
        <v>48</v>
      </c>
      <c r="J777" s="2" t="s">
        <v>33</v>
      </c>
      <c r="K777" s="2"/>
      <c r="L777" s="2" t="s">
        <v>24</v>
      </c>
      <c r="M777" s="2"/>
      <c r="N777" s="2" t="s">
        <v>128</v>
      </c>
    </row>
    <row r="778" spans="1:14" x14ac:dyDescent="0.25">
      <c r="A778" s="2" t="s">
        <v>2165</v>
      </c>
      <c r="B778" s="2" t="s">
        <v>2166</v>
      </c>
      <c r="C778" s="2" t="s">
        <v>67</v>
      </c>
      <c r="D778" s="2" t="s">
        <v>95</v>
      </c>
      <c r="E778" s="2" t="s">
        <v>46</v>
      </c>
      <c r="F778" s="2" t="s">
        <v>131</v>
      </c>
      <c r="G778" s="2" t="s">
        <v>179</v>
      </c>
      <c r="H778" s="2" t="s">
        <v>74</v>
      </c>
      <c r="I778" s="2">
        <v>8</v>
      </c>
      <c r="J778" s="2" t="s">
        <v>75</v>
      </c>
      <c r="K778" s="2" t="s">
        <v>2167</v>
      </c>
      <c r="L778" s="2" t="s">
        <v>24</v>
      </c>
      <c r="M778" s="2">
        <v>1</v>
      </c>
      <c r="N778" s="2" t="s">
        <v>43</v>
      </c>
    </row>
    <row r="779" spans="1:14" x14ac:dyDescent="0.25">
      <c r="A779" s="2" t="s">
        <v>2168</v>
      </c>
      <c r="B779" s="2" t="s">
        <v>2169</v>
      </c>
      <c r="C779" s="2" t="s">
        <v>53</v>
      </c>
      <c r="D779" s="2" t="s">
        <v>61</v>
      </c>
      <c r="E779" s="2" t="s">
        <v>38</v>
      </c>
      <c r="F779" s="2" t="s">
        <v>69</v>
      </c>
      <c r="G779" s="2" t="s">
        <v>211</v>
      </c>
      <c r="H779" s="2" t="s">
        <v>80</v>
      </c>
      <c r="I779" s="2">
        <v>4</v>
      </c>
      <c r="J779" s="2" t="s">
        <v>149</v>
      </c>
      <c r="K779" s="2"/>
      <c r="L779" s="2" t="s">
        <v>24</v>
      </c>
      <c r="M779" s="2"/>
      <c r="N779" s="2" t="s">
        <v>50</v>
      </c>
    </row>
    <row r="780" spans="1:14" x14ac:dyDescent="0.25">
      <c r="A780" s="2" t="s">
        <v>2170</v>
      </c>
      <c r="B780" s="2" t="s">
        <v>2171</v>
      </c>
      <c r="C780" s="2" t="s">
        <v>28</v>
      </c>
      <c r="D780" s="2" t="s">
        <v>100</v>
      </c>
      <c r="E780" s="2" t="s">
        <v>85</v>
      </c>
      <c r="F780" s="2" t="s">
        <v>143</v>
      </c>
      <c r="G780" s="2" t="s">
        <v>158</v>
      </c>
      <c r="H780" s="2" t="s">
        <v>74</v>
      </c>
      <c r="I780" s="2">
        <v>8</v>
      </c>
      <c r="J780" s="2" t="s">
        <v>48</v>
      </c>
      <c r="K780" s="2" t="s">
        <v>2172</v>
      </c>
      <c r="L780" s="2" t="s">
        <v>24</v>
      </c>
      <c r="M780" s="2">
        <v>1</v>
      </c>
      <c r="N780" s="2" t="s">
        <v>25</v>
      </c>
    </row>
    <row r="781" spans="1:14" x14ac:dyDescent="0.25">
      <c r="A781" s="2" t="s">
        <v>2173</v>
      </c>
      <c r="B781" s="2" t="s">
        <v>2174</v>
      </c>
      <c r="C781" s="2" t="s">
        <v>53</v>
      </c>
      <c r="D781" s="2" t="s">
        <v>54</v>
      </c>
      <c r="E781" s="2" t="s">
        <v>79</v>
      </c>
      <c r="F781" s="2" t="s">
        <v>69</v>
      </c>
      <c r="G781" s="2" t="s">
        <v>121</v>
      </c>
      <c r="H781" s="2" t="s">
        <v>21</v>
      </c>
      <c r="I781" s="2">
        <v>24</v>
      </c>
      <c r="J781" s="2" t="s">
        <v>48</v>
      </c>
      <c r="K781" s="2" t="s">
        <v>2175</v>
      </c>
      <c r="L781" s="2" t="s">
        <v>92</v>
      </c>
      <c r="M781" s="2">
        <v>5</v>
      </c>
      <c r="N781" s="2" t="s">
        <v>43</v>
      </c>
    </row>
    <row r="782" spans="1:14" x14ac:dyDescent="0.25">
      <c r="A782" s="2" t="s">
        <v>2176</v>
      </c>
      <c r="B782" s="2" t="s">
        <v>2177</v>
      </c>
      <c r="C782" s="2" t="s">
        <v>67</v>
      </c>
      <c r="D782" s="2" t="s">
        <v>95</v>
      </c>
      <c r="E782" s="2" t="s">
        <v>46</v>
      </c>
      <c r="F782" s="2" t="s">
        <v>69</v>
      </c>
      <c r="G782" s="2" t="s">
        <v>110</v>
      </c>
      <c r="H782" s="2" t="s">
        <v>21</v>
      </c>
      <c r="I782" s="2">
        <v>24</v>
      </c>
      <c r="J782" s="2" t="s">
        <v>48</v>
      </c>
      <c r="K782" s="2" t="s">
        <v>2178</v>
      </c>
      <c r="L782" s="2" t="s">
        <v>24</v>
      </c>
      <c r="M782" s="2">
        <v>5</v>
      </c>
      <c r="N782" s="2" t="s">
        <v>128</v>
      </c>
    </row>
    <row r="783" spans="1:14" x14ac:dyDescent="0.25">
      <c r="A783" s="2" t="s">
        <v>2179</v>
      </c>
      <c r="B783" s="2" t="s">
        <v>2180</v>
      </c>
      <c r="C783" s="2" t="s">
        <v>16</v>
      </c>
      <c r="D783" s="2" t="s">
        <v>84</v>
      </c>
      <c r="E783" s="2" t="s">
        <v>38</v>
      </c>
      <c r="F783" s="2" t="s">
        <v>30</v>
      </c>
      <c r="G783" s="2" t="s">
        <v>126</v>
      </c>
      <c r="H783" s="2" t="s">
        <v>21</v>
      </c>
      <c r="I783" s="2">
        <v>24</v>
      </c>
      <c r="J783" s="2" t="s">
        <v>106</v>
      </c>
      <c r="K783" s="2" t="s">
        <v>2181</v>
      </c>
      <c r="L783" s="2" t="s">
        <v>24</v>
      </c>
      <c r="M783" s="2">
        <v>5</v>
      </c>
      <c r="N783" s="2" t="s">
        <v>118</v>
      </c>
    </row>
    <row r="784" spans="1:14" x14ac:dyDescent="0.25">
      <c r="A784" s="2" t="s">
        <v>2182</v>
      </c>
      <c r="B784" s="2" t="s">
        <v>2183</v>
      </c>
      <c r="C784" s="2" t="s">
        <v>16</v>
      </c>
      <c r="D784" s="2" t="s">
        <v>17</v>
      </c>
      <c r="E784" s="2" t="s">
        <v>85</v>
      </c>
      <c r="F784" s="2" t="s">
        <v>62</v>
      </c>
      <c r="G784" s="2" t="s">
        <v>211</v>
      </c>
      <c r="H784" s="2" t="s">
        <v>74</v>
      </c>
      <c r="I784" s="2">
        <v>8</v>
      </c>
      <c r="J784" s="2" t="s">
        <v>41</v>
      </c>
      <c r="K784" s="2" t="s">
        <v>2184</v>
      </c>
      <c r="L784" s="2" t="s">
        <v>24</v>
      </c>
      <c r="M784" s="2">
        <v>1</v>
      </c>
      <c r="N784" s="2" t="s">
        <v>128</v>
      </c>
    </row>
    <row r="785" spans="1:14" x14ac:dyDescent="0.25">
      <c r="A785" s="2" t="s">
        <v>2185</v>
      </c>
      <c r="B785" s="2" t="s">
        <v>2186</v>
      </c>
      <c r="C785" s="2" t="s">
        <v>53</v>
      </c>
      <c r="D785" s="2" t="s">
        <v>61</v>
      </c>
      <c r="E785" s="2" t="s">
        <v>85</v>
      </c>
      <c r="F785" s="2" t="s">
        <v>55</v>
      </c>
      <c r="G785" s="2" t="s">
        <v>139</v>
      </c>
      <c r="H785" s="2" t="s">
        <v>32</v>
      </c>
      <c r="I785" s="2">
        <v>48</v>
      </c>
      <c r="J785" s="2" t="s">
        <v>200</v>
      </c>
      <c r="K785" s="2"/>
      <c r="L785" s="2" t="s">
        <v>92</v>
      </c>
      <c r="M785" s="2"/>
      <c r="N785" s="2" t="s">
        <v>64</v>
      </c>
    </row>
    <row r="786" spans="1:14" x14ac:dyDescent="0.25">
      <c r="A786" s="2" t="s">
        <v>2187</v>
      </c>
      <c r="B786" s="2" t="s">
        <v>2188</v>
      </c>
      <c r="C786" s="2" t="s">
        <v>67</v>
      </c>
      <c r="D786" s="2" t="s">
        <v>68</v>
      </c>
      <c r="E786" s="2" t="s">
        <v>18</v>
      </c>
      <c r="F786" s="2" t="s">
        <v>19</v>
      </c>
      <c r="G786" s="2" t="s">
        <v>20</v>
      </c>
      <c r="H786" s="2" t="s">
        <v>32</v>
      </c>
      <c r="I786" s="2">
        <v>48</v>
      </c>
      <c r="J786" s="2" t="s">
        <v>22</v>
      </c>
      <c r="K786" s="2" t="s">
        <v>2189</v>
      </c>
      <c r="L786" s="2" t="s">
        <v>24</v>
      </c>
      <c r="M786" s="2"/>
      <c r="N786" s="2" t="s">
        <v>25</v>
      </c>
    </row>
    <row r="787" spans="1:14" x14ac:dyDescent="0.25">
      <c r="A787" s="2" t="s">
        <v>2190</v>
      </c>
      <c r="B787" s="2" t="s">
        <v>2191</v>
      </c>
      <c r="C787" s="2" t="s">
        <v>28</v>
      </c>
      <c r="D787" s="2" t="s">
        <v>37</v>
      </c>
      <c r="E787" s="2" t="s">
        <v>46</v>
      </c>
      <c r="F787" s="2" t="s">
        <v>131</v>
      </c>
      <c r="G787" s="2" t="s">
        <v>183</v>
      </c>
      <c r="H787" s="2" t="s">
        <v>74</v>
      </c>
      <c r="I787" s="2">
        <v>8</v>
      </c>
      <c r="J787" s="2" t="s">
        <v>48</v>
      </c>
      <c r="K787" s="2" t="s">
        <v>2192</v>
      </c>
      <c r="L787" s="2" t="s">
        <v>24</v>
      </c>
      <c r="M787" s="2"/>
      <c r="N787" s="2" t="s">
        <v>118</v>
      </c>
    </row>
    <row r="788" spans="1:14" x14ac:dyDescent="0.25">
      <c r="A788" s="2" t="s">
        <v>2193</v>
      </c>
      <c r="B788" s="2" t="s">
        <v>2194</v>
      </c>
      <c r="C788" s="2" t="s">
        <v>28</v>
      </c>
      <c r="D788" s="2" t="s">
        <v>100</v>
      </c>
      <c r="E788" s="2" t="s">
        <v>85</v>
      </c>
      <c r="F788" s="2" t="s">
        <v>55</v>
      </c>
      <c r="G788" s="2" t="s">
        <v>70</v>
      </c>
      <c r="H788" s="2" t="s">
        <v>74</v>
      </c>
      <c r="I788" s="2">
        <v>8</v>
      </c>
      <c r="J788" s="2" t="s">
        <v>48</v>
      </c>
      <c r="K788" s="2" t="s">
        <v>2195</v>
      </c>
      <c r="L788" s="2" t="s">
        <v>24</v>
      </c>
      <c r="M788" s="2"/>
      <c r="N788" s="2" t="s">
        <v>43</v>
      </c>
    </row>
    <row r="789" spans="1:14" x14ac:dyDescent="0.25">
      <c r="A789" s="2" t="s">
        <v>2196</v>
      </c>
      <c r="B789" s="2" t="s">
        <v>2197</v>
      </c>
      <c r="C789" s="2" t="s">
        <v>28</v>
      </c>
      <c r="D789" s="2" t="s">
        <v>37</v>
      </c>
      <c r="E789" s="2" t="s">
        <v>85</v>
      </c>
      <c r="F789" s="2" t="s">
        <v>131</v>
      </c>
      <c r="G789" s="2" t="s">
        <v>179</v>
      </c>
      <c r="H789" s="2" t="s">
        <v>21</v>
      </c>
      <c r="I789" s="2">
        <v>24</v>
      </c>
      <c r="J789" s="2" t="s">
        <v>106</v>
      </c>
      <c r="K789" s="2" t="s">
        <v>2198</v>
      </c>
      <c r="L789" s="2" t="s">
        <v>24</v>
      </c>
      <c r="M789" s="2">
        <v>4</v>
      </c>
      <c r="N789" s="2" t="s">
        <v>25</v>
      </c>
    </row>
    <row r="790" spans="1:14" x14ac:dyDescent="0.25">
      <c r="A790" s="2" t="s">
        <v>2199</v>
      </c>
      <c r="B790" s="2" t="s">
        <v>2200</v>
      </c>
      <c r="C790" s="2" t="s">
        <v>28</v>
      </c>
      <c r="D790" s="2" t="s">
        <v>100</v>
      </c>
      <c r="E790" s="2" t="s">
        <v>38</v>
      </c>
      <c r="F790" s="2" t="s">
        <v>69</v>
      </c>
      <c r="G790" s="2" t="s">
        <v>179</v>
      </c>
      <c r="H790" s="2" t="s">
        <v>32</v>
      </c>
      <c r="I790" s="2">
        <v>48</v>
      </c>
      <c r="J790" s="2" t="s">
        <v>106</v>
      </c>
      <c r="K790" s="2" t="s">
        <v>2201</v>
      </c>
      <c r="L790" s="2" t="s">
        <v>24</v>
      </c>
      <c r="M790" s="2"/>
      <c r="N790" s="2" t="s">
        <v>34</v>
      </c>
    </row>
    <row r="791" spans="1:14" x14ac:dyDescent="0.25">
      <c r="A791" s="2" t="s">
        <v>2202</v>
      </c>
      <c r="B791" s="2" t="s">
        <v>2203</v>
      </c>
      <c r="C791" s="2" t="s">
        <v>16</v>
      </c>
      <c r="D791" s="2" t="s">
        <v>84</v>
      </c>
      <c r="E791" s="2" t="s">
        <v>46</v>
      </c>
      <c r="F791" s="2" t="s">
        <v>62</v>
      </c>
      <c r="G791" s="2" t="s">
        <v>40</v>
      </c>
      <c r="H791" s="2" t="s">
        <v>80</v>
      </c>
      <c r="I791" s="2">
        <v>4</v>
      </c>
      <c r="J791" s="2" t="s">
        <v>22</v>
      </c>
      <c r="K791" s="2" t="s">
        <v>2204</v>
      </c>
      <c r="L791" s="2" t="s">
        <v>24</v>
      </c>
      <c r="M791" s="2">
        <v>4</v>
      </c>
      <c r="N791" s="2" t="s">
        <v>50</v>
      </c>
    </row>
    <row r="792" spans="1:14" x14ac:dyDescent="0.25">
      <c r="A792" s="2" t="s">
        <v>2205</v>
      </c>
      <c r="B792" s="2" t="s">
        <v>2206</v>
      </c>
      <c r="C792" s="2" t="s">
        <v>53</v>
      </c>
      <c r="D792" s="2" t="s">
        <v>54</v>
      </c>
      <c r="E792" s="2" t="s">
        <v>38</v>
      </c>
      <c r="F792" s="2" t="s">
        <v>113</v>
      </c>
      <c r="G792" s="2" t="s">
        <v>105</v>
      </c>
      <c r="H792" s="2" t="s">
        <v>74</v>
      </c>
      <c r="I792" s="2">
        <v>8</v>
      </c>
      <c r="J792" s="2" t="s">
        <v>11</v>
      </c>
      <c r="K792" s="2"/>
      <c r="L792" s="2" t="s">
        <v>92</v>
      </c>
      <c r="M792" s="2"/>
      <c r="N792" s="2" t="s">
        <v>58</v>
      </c>
    </row>
    <row r="793" spans="1:14" x14ac:dyDescent="0.25">
      <c r="A793" s="2" t="s">
        <v>2207</v>
      </c>
      <c r="B793" s="2" t="s">
        <v>2208</v>
      </c>
      <c r="C793" s="2" t="s">
        <v>28</v>
      </c>
      <c r="D793" s="2" t="s">
        <v>37</v>
      </c>
      <c r="E793" s="2" t="s">
        <v>46</v>
      </c>
      <c r="F793" s="2" t="s">
        <v>125</v>
      </c>
      <c r="G793" s="2" t="s">
        <v>40</v>
      </c>
      <c r="H793" s="2" t="s">
        <v>32</v>
      </c>
      <c r="I793" s="2">
        <v>48</v>
      </c>
      <c r="J793" s="2" t="s">
        <v>187</v>
      </c>
      <c r="K793" s="2" t="s">
        <v>2209</v>
      </c>
      <c r="L793" s="2" t="s">
        <v>24</v>
      </c>
      <c r="M793" s="2">
        <v>4</v>
      </c>
      <c r="N793" s="2"/>
    </row>
    <row r="794" spans="1:14" x14ac:dyDescent="0.25">
      <c r="A794" s="2" t="s">
        <v>2210</v>
      </c>
      <c r="B794" s="2" t="s">
        <v>2211</v>
      </c>
      <c r="C794" s="2" t="s">
        <v>16</v>
      </c>
      <c r="D794" s="2" t="s">
        <v>84</v>
      </c>
      <c r="E794" s="2" t="s">
        <v>85</v>
      </c>
      <c r="F794" s="2" t="s">
        <v>143</v>
      </c>
      <c r="G794" s="2" t="s">
        <v>183</v>
      </c>
      <c r="H794" s="2" t="s">
        <v>32</v>
      </c>
      <c r="I794" s="2">
        <v>48</v>
      </c>
      <c r="J794" s="2" t="s">
        <v>11</v>
      </c>
      <c r="K794" s="2"/>
      <c r="L794" s="2" t="s">
        <v>92</v>
      </c>
      <c r="M794" s="2"/>
      <c r="N794" s="2" t="s">
        <v>43</v>
      </c>
    </row>
    <row r="795" spans="1:14" x14ac:dyDescent="0.25">
      <c r="A795" s="2" t="s">
        <v>2212</v>
      </c>
      <c r="B795" s="2" t="s">
        <v>2213</v>
      </c>
      <c r="C795" s="2" t="s">
        <v>16</v>
      </c>
      <c r="D795" s="2" t="s">
        <v>17</v>
      </c>
      <c r="E795" s="2" t="s">
        <v>79</v>
      </c>
      <c r="F795" s="2" t="s">
        <v>69</v>
      </c>
      <c r="G795" s="2" t="s">
        <v>121</v>
      </c>
      <c r="H795" s="2" t="s">
        <v>32</v>
      </c>
      <c r="I795" s="2">
        <v>48</v>
      </c>
      <c r="J795" s="2" t="s">
        <v>48</v>
      </c>
      <c r="K795" s="2" t="s">
        <v>2214</v>
      </c>
      <c r="L795" s="2" t="s">
        <v>24</v>
      </c>
      <c r="M795" s="2">
        <v>5</v>
      </c>
      <c r="N795" s="2"/>
    </row>
    <row r="796" spans="1:14" x14ac:dyDescent="0.25">
      <c r="A796" s="2" t="s">
        <v>2215</v>
      </c>
      <c r="B796" s="2" t="s">
        <v>2216</v>
      </c>
      <c r="C796" s="2" t="s">
        <v>67</v>
      </c>
      <c r="D796" s="2" t="s">
        <v>601</v>
      </c>
      <c r="E796" s="2" t="s">
        <v>18</v>
      </c>
      <c r="F796" s="2" t="s">
        <v>30</v>
      </c>
      <c r="G796" s="2" t="s">
        <v>20</v>
      </c>
      <c r="H796" s="2" t="s">
        <v>21</v>
      </c>
      <c r="I796" s="2">
        <v>24</v>
      </c>
      <c r="J796" s="2" t="s">
        <v>22</v>
      </c>
      <c r="K796" s="2" t="s">
        <v>2217</v>
      </c>
      <c r="L796" s="2" t="s">
        <v>24</v>
      </c>
      <c r="M796" s="2">
        <v>4</v>
      </c>
      <c r="N796" s="2"/>
    </row>
    <row r="797" spans="1:14" x14ac:dyDescent="0.25">
      <c r="A797" s="2" t="s">
        <v>2218</v>
      </c>
      <c r="B797" s="2" t="s">
        <v>2219</v>
      </c>
      <c r="C797" s="2" t="s">
        <v>28</v>
      </c>
      <c r="D797" s="2" t="s">
        <v>37</v>
      </c>
      <c r="E797" s="2" t="s">
        <v>85</v>
      </c>
      <c r="F797" s="2" t="s">
        <v>113</v>
      </c>
      <c r="G797" s="2" t="s">
        <v>121</v>
      </c>
      <c r="H797" s="2" t="s">
        <v>32</v>
      </c>
      <c r="I797" s="2">
        <v>48</v>
      </c>
      <c r="J797" s="2" t="s">
        <v>106</v>
      </c>
      <c r="K797" s="2" t="s">
        <v>2220</v>
      </c>
      <c r="L797" s="2" t="s">
        <v>24</v>
      </c>
      <c r="M797" s="2">
        <v>4</v>
      </c>
      <c r="N797" s="2" t="s">
        <v>58</v>
      </c>
    </row>
    <row r="798" spans="1:14" x14ac:dyDescent="0.25">
      <c r="A798" s="2" t="s">
        <v>2221</v>
      </c>
      <c r="B798" s="2" t="s">
        <v>2222</v>
      </c>
      <c r="C798" s="2" t="s">
        <v>28</v>
      </c>
      <c r="D798" s="2" t="s">
        <v>100</v>
      </c>
      <c r="E798" s="2" t="s">
        <v>148</v>
      </c>
      <c r="F798" s="2" t="s">
        <v>96</v>
      </c>
      <c r="G798" s="2" t="s">
        <v>135</v>
      </c>
      <c r="H798" s="2" t="s">
        <v>80</v>
      </c>
      <c r="I798" s="2">
        <v>4</v>
      </c>
      <c r="J798" s="2" t="s">
        <v>33</v>
      </c>
      <c r="K798" s="2"/>
      <c r="L798" s="2" t="s">
        <v>24</v>
      </c>
      <c r="M798" s="2"/>
      <c r="N798" s="2" t="s">
        <v>128</v>
      </c>
    </row>
    <row r="799" spans="1:14" x14ac:dyDescent="0.25">
      <c r="A799" s="2" t="s">
        <v>2223</v>
      </c>
      <c r="B799" s="2" t="s">
        <v>2224</v>
      </c>
      <c r="C799" s="2" t="s">
        <v>16</v>
      </c>
      <c r="D799" s="2" t="s">
        <v>17</v>
      </c>
      <c r="E799" s="2" t="s">
        <v>46</v>
      </c>
      <c r="F799" s="2" t="s">
        <v>131</v>
      </c>
      <c r="G799" s="2" t="s">
        <v>110</v>
      </c>
      <c r="H799" s="2" t="s">
        <v>32</v>
      </c>
      <c r="I799" s="2">
        <v>48</v>
      </c>
      <c r="J799" s="2" t="s">
        <v>145</v>
      </c>
      <c r="K799" s="2"/>
      <c r="L799" s="2" t="s">
        <v>24</v>
      </c>
      <c r="M799" s="2"/>
      <c r="N799" s="2" t="s">
        <v>58</v>
      </c>
    </row>
    <row r="800" spans="1:14" x14ac:dyDescent="0.25">
      <c r="A800" s="2" t="s">
        <v>2225</v>
      </c>
      <c r="B800" s="2" t="s">
        <v>2226</v>
      </c>
      <c r="C800" s="2" t="s">
        <v>53</v>
      </c>
      <c r="D800" s="2" t="s">
        <v>61</v>
      </c>
      <c r="E800" s="2" t="s">
        <v>46</v>
      </c>
      <c r="F800" s="2" t="s">
        <v>96</v>
      </c>
      <c r="G800" s="2" t="s">
        <v>139</v>
      </c>
      <c r="H800" s="2" t="s">
        <v>74</v>
      </c>
      <c r="I800" s="2">
        <v>8</v>
      </c>
      <c r="J800" s="2" t="s">
        <v>187</v>
      </c>
      <c r="K800" s="2" t="s">
        <v>2227</v>
      </c>
      <c r="L800" s="2" t="s">
        <v>24</v>
      </c>
      <c r="M800" s="2"/>
      <c r="N800" s="2"/>
    </row>
    <row r="801" spans="1:14" x14ac:dyDescent="0.25">
      <c r="A801" s="2" t="s">
        <v>2228</v>
      </c>
      <c r="B801" s="2" t="s">
        <v>2229</v>
      </c>
      <c r="C801" s="2" t="s">
        <v>53</v>
      </c>
      <c r="D801" s="2" t="s">
        <v>61</v>
      </c>
      <c r="E801" s="2" t="s">
        <v>46</v>
      </c>
      <c r="F801" s="2" t="s">
        <v>125</v>
      </c>
      <c r="G801" s="2" t="s">
        <v>70</v>
      </c>
      <c r="H801" s="2" t="s">
        <v>32</v>
      </c>
      <c r="I801" s="2">
        <v>48</v>
      </c>
      <c r="J801" s="2" t="s">
        <v>187</v>
      </c>
      <c r="K801" s="2" t="s">
        <v>2230</v>
      </c>
      <c r="L801" s="2" t="s">
        <v>24</v>
      </c>
      <c r="M801" s="2"/>
      <c r="N801" s="2" t="s">
        <v>50</v>
      </c>
    </row>
    <row r="802" spans="1:14" x14ac:dyDescent="0.25">
      <c r="A802" s="2" t="s">
        <v>2231</v>
      </c>
      <c r="B802" s="2" t="s">
        <v>2232</v>
      </c>
      <c r="C802" s="2" t="s">
        <v>67</v>
      </c>
      <c r="D802" s="2" t="s">
        <v>68</v>
      </c>
      <c r="E802" s="2" t="s">
        <v>46</v>
      </c>
      <c r="F802" s="2" t="s">
        <v>19</v>
      </c>
      <c r="G802" s="2" t="s">
        <v>121</v>
      </c>
      <c r="H802" s="2" t="s">
        <v>74</v>
      </c>
      <c r="I802" s="2">
        <v>8</v>
      </c>
      <c r="J802" s="2" t="s">
        <v>155</v>
      </c>
      <c r="K802" s="2"/>
      <c r="L802" s="2" t="s">
        <v>24</v>
      </c>
      <c r="M802" s="2"/>
      <c r="N802" s="2"/>
    </row>
    <row r="803" spans="1:14" x14ac:dyDescent="0.25">
      <c r="A803" s="2" t="s">
        <v>2233</v>
      </c>
      <c r="B803" s="2" t="s">
        <v>2234</v>
      </c>
      <c r="C803" s="2" t="s">
        <v>53</v>
      </c>
      <c r="D803" s="2" t="s">
        <v>54</v>
      </c>
      <c r="E803" s="2" t="s">
        <v>46</v>
      </c>
      <c r="F803" s="2" t="s">
        <v>39</v>
      </c>
      <c r="G803" s="2" t="s">
        <v>91</v>
      </c>
      <c r="H803" s="2" t="s">
        <v>32</v>
      </c>
      <c r="I803" s="2">
        <v>48</v>
      </c>
      <c r="J803" s="2" t="s">
        <v>117</v>
      </c>
      <c r="K803" s="2"/>
      <c r="L803" s="2" t="s">
        <v>24</v>
      </c>
      <c r="M803" s="2"/>
      <c r="N803" s="2" t="s">
        <v>58</v>
      </c>
    </row>
    <row r="804" spans="1:14" x14ac:dyDescent="0.25">
      <c r="A804" s="2" t="s">
        <v>2235</v>
      </c>
      <c r="B804" s="2" t="s">
        <v>2236</v>
      </c>
      <c r="C804" s="2" t="s">
        <v>16</v>
      </c>
      <c r="D804" s="2" t="s">
        <v>17</v>
      </c>
      <c r="E804" s="2" t="s">
        <v>79</v>
      </c>
      <c r="F804" s="2" t="s">
        <v>30</v>
      </c>
      <c r="G804" s="2" t="s">
        <v>101</v>
      </c>
      <c r="H804" s="2" t="s">
        <v>74</v>
      </c>
      <c r="I804" s="2">
        <v>8</v>
      </c>
      <c r="J804" s="2" t="s">
        <v>41</v>
      </c>
      <c r="K804" s="2" t="s">
        <v>2237</v>
      </c>
      <c r="L804" s="2" t="s">
        <v>24</v>
      </c>
      <c r="M804" s="2">
        <v>3</v>
      </c>
      <c r="N804" s="2" t="s">
        <v>118</v>
      </c>
    </row>
    <row r="805" spans="1:14" x14ac:dyDescent="0.25">
      <c r="A805" s="2" t="s">
        <v>2238</v>
      </c>
      <c r="B805" s="2" t="s">
        <v>2239</v>
      </c>
      <c r="C805" s="2" t="s">
        <v>16</v>
      </c>
      <c r="D805" s="2" t="s">
        <v>17</v>
      </c>
      <c r="E805" s="2" t="s">
        <v>18</v>
      </c>
      <c r="F805" s="2" t="s">
        <v>113</v>
      </c>
      <c r="G805" s="2" t="s">
        <v>126</v>
      </c>
      <c r="H805" s="2" t="s">
        <v>32</v>
      </c>
      <c r="I805" s="2">
        <v>48</v>
      </c>
      <c r="J805" s="2" t="s">
        <v>106</v>
      </c>
      <c r="K805" s="2" t="s">
        <v>2240</v>
      </c>
      <c r="L805" s="2" t="s">
        <v>24</v>
      </c>
      <c r="M805" s="2"/>
      <c r="N805" s="2"/>
    </row>
    <row r="806" spans="1:14" x14ac:dyDescent="0.25">
      <c r="A806" s="2" t="s">
        <v>1776</v>
      </c>
      <c r="B806" s="2" t="s">
        <v>1777</v>
      </c>
      <c r="C806" s="2" t="s">
        <v>28</v>
      </c>
      <c r="D806" s="2" t="s">
        <v>37</v>
      </c>
      <c r="E806" s="2" t="s">
        <v>79</v>
      </c>
      <c r="F806" s="2" t="s">
        <v>69</v>
      </c>
      <c r="G806" s="2" t="s">
        <v>110</v>
      </c>
      <c r="H806" s="2" t="s">
        <v>21</v>
      </c>
      <c r="I806" s="2">
        <v>24</v>
      </c>
      <c r="J806" s="2" t="s">
        <v>106</v>
      </c>
      <c r="K806" s="2" t="s">
        <v>1778</v>
      </c>
      <c r="L806" s="2" t="s">
        <v>24</v>
      </c>
      <c r="M806" s="2"/>
      <c r="N806" s="2" t="s">
        <v>58</v>
      </c>
    </row>
    <row r="807" spans="1:14" x14ac:dyDescent="0.25">
      <c r="A807" s="2" t="s">
        <v>2241</v>
      </c>
      <c r="B807" s="2" t="s">
        <v>2242</v>
      </c>
      <c r="C807" s="2" t="s">
        <v>67</v>
      </c>
      <c r="D807" s="2" t="s">
        <v>95</v>
      </c>
      <c r="E807" s="2" t="s">
        <v>90</v>
      </c>
      <c r="F807" s="2" t="s">
        <v>113</v>
      </c>
      <c r="G807" s="2" t="s">
        <v>105</v>
      </c>
      <c r="H807" s="2" t="s">
        <v>32</v>
      </c>
      <c r="I807" s="2">
        <v>48</v>
      </c>
      <c r="J807" s="2" t="s">
        <v>149</v>
      </c>
      <c r="K807" s="2"/>
      <c r="L807" s="2" t="s">
        <v>24</v>
      </c>
      <c r="M807" s="2"/>
      <c r="N807" s="2" t="s">
        <v>50</v>
      </c>
    </row>
    <row r="808" spans="1:14" x14ac:dyDescent="0.25">
      <c r="A808" s="2" t="s">
        <v>2243</v>
      </c>
      <c r="B808" s="2" t="s">
        <v>2244</v>
      </c>
      <c r="C808" s="2" t="s">
        <v>28</v>
      </c>
      <c r="D808" s="2" t="s">
        <v>100</v>
      </c>
      <c r="E808" s="2" t="s">
        <v>148</v>
      </c>
      <c r="F808" s="2" t="s">
        <v>47</v>
      </c>
      <c r="G808" s="2" t="s">
        <v>97</v>
      </c>
      <c r="H808" s="2" t="s">
        <v>80</v>
      </c>
      <c r="I808" s="2">
        <v>4</v>
      </c>
      <c r="J808" s="2" t="s">
        <v>22</v>
      </c>
      <c r="K808" s="2" t="s">
        <v>2245</v>
      </c>
      <c r="L808" s="2" t="s">
        <v>24</v>
      </c>
      <c r="M808" s="2">
        <v>1</v>
      </c>
      <c r="N808" s="2"/>
    </row>
    <row r="809" spans="1:14" x14ac:dyDescent="0.25">
      <c r="A809" s="2" t="s">
        <v>2246</v>
      </c>
      <c r="B809" s="2" t="s">
        <v>2247</v>
      </c>
      <c r="C809" s="2" t="s">
        <v>67</v>
      </c>
      <c r="D809" s="2" t="s">
        <v>95</v>
      </c>
      <c r="E809" s="2" t="s">
        <v>148</v>
      </c>
      <c r="F809" s="2" t="s">
        <v>131</v>
      </c>
      <c r="G809" s="2" t="s">
        <v>126</v>
      </c>
      <c r="H809" s="2" t="s">
        <v>21</v>
      </c>
      <c r="I809" s="2">
        <v>24</v>
      </c>
      <c r="J809" s="2" t="s">
        <v>75</v>
      </c>
      <c r="K809" s="2" t="s">
        <v>2248</v>
      </c>
      <c r="L809" s="2" t="s">
        <v>24</v>
      </c>
      <c r="M809" s="2">
        <v>5</v>
      </c>
      <c r="N809" s="2"/>
    </row>
    <row r="810" spans="1:14" x14ac:dyDescent="0.25">
      <c r="A810" s="2" t="s">
        <v>2249</v>
      </c>
      <c r="B810" s="2" t="s">
        <v>2250</v>
      </c>
      <c r="C810" s="2" t="s">
        <v>16</v>
      </c>
      <c r="D810" s="2" t="s">
        <v>84</v>
      </c>
      <c r="E810" s="2" t="s">
        <v>38</v>
      </c>
      <c r="F810" s="2" t="s">
        <v>125</v>
      </c>
      <c r="G810" s="2" t="s">
        <v>158</v>
      </c>
      <c r="H810" s="2" t="s">
        <v>74</v>
      </c>
      <c r="I810" s="2">
        <v>8</v>
      </c>
      <c r="J810" s="2" t="s">
        <v>41</v>
      </c>
      <c r="K810" s="2" t="s">
        <v>2251</v>
      </c>
      <c r="L810" s="2" t="s">
        <v>24</v>
      </c>
      <c r="M810" s="2">
        <v>5</v>
      </c>
      <c r="N810" s="2" t="s">
        <v>118</v>
      </c>
    </row>
    <row r="811" spans="1:14" x14ac:dyDescent="0.25">
      <c r="A811" s="2" t="s">
        <v>2252</v>
      </c>
      <c r="B811" s="2" t="s">
        <v>2253</v>
      </c>
      <c r="C811" s="2" t="s">
        <v>53</v>
      </c>
      <c r="D811" s="2" t="s">
        <v>54</v>
      </c>
      <c r="E811" s="2" t="s">
        <v>148</v>
      </c>
      <c r="F811" s="2" t="s">
        <v>39</v>
      </c>
      <c r="G811" s="2" t="s">
        <v>135</v>
      </c>
      <c r="H811" s="2" t="s">
        <v>80</v>
      </c>
      <c r="I811" s="2">
        <v>4</v>
      </c>
      <c r="J811" s="2" t="s">
        <v>106</v>
      </c>
      <c r="K811" s="2" t="s">
        <v>2254</v>
      </c>
      <c r="L811" s="2" t="s">
        <v>24</v>
      </c>
      <c r="M811" s="2">
        <v>5</v>
      </c>
      <c r="N811" s="2" t="s">
        <v>58</v>
      </c>
    </row>
    <row r="812" spans="1:14" x14ac:dyDescent="0.25">
      <c r="A812" s="2" t="s">
        <v>2255</v>
      </c>
      <c r="B812" s="2" t="s">
        <v>2256</v>
      </c>
      <c r="C812" s="2" t="s">
        <v>16</v>
      </c>
      <c r="D812" s="2" t="s">
        <v>84</v>
      </c>
      <c r="E812" s="2" t="s">
        <v>90</v>
      </c>
      <c r="F812" s="2" t="s">
        <v>131</v>
      </c>
      <c r="G812" s="2" t="s">
        <v>126</v>
      </c>
      <c r="H812" s="2" t="s">
        <v>80</v>
      </c>
      <c r="I812" s="2">
        <v>4</v>
      </c>
      <c r="J812" s="2" t="s">
        <v>48</v>
      </c>
      <c r="K812" s="2" t="s">
        <v>2257</v>
      </c>
      <c r="L812" s="2" t="s">
        <v>24</v>
      </c>
      <c r="M812" s="2">
        <v>5</v>
      </c>
      <c r="N812" s="2" t="s">
        <v>58</v>
      </c>
    </row>
    <row r="813" spans="1:14" x14ac:dyDescent="0.25">
      <c r="A813" s="2" t="s">
        <v>2258</v>
      </c>
      <c r="B813" s="2" t="s">
        <v>2259</v>
      </c>
      <c r="C813" s="2" t="s">
        <v>16</v>
      </c>
      <c r="D813" s="2" t="s">
        <v>17</v>
      </c>
      <c r="E813" s="2" t="s">
        <v>38</v>
      </c>
      <c r="F813" s="2" t="s">
        <v>19</v>
      </c>
      <c r="G813" s="2" t="s">
        <v>158</v>
      </c>
      <c r="H813" s="2" t="s">
        <v>80</v>
      </c>
      <c r="I813" s="2">
        <v>4</v>
      </c>
      <c r="J813" s="2" t="s">
        <v>22</v>
      </c>
      <c r="K813" s="2" t="s">
        <v>2260</v>
      </c>
      <c r="L813" s="2" t="s">
        <v>24</v>
      </c>
      <c r="M813" s="2">
        <v>1</v>
      </c>
      <c r="N813" s="2"/>
    </row>
    <row r="814" spans="1:14" x14ac:dyDescent="0.25">
      <c r="A814" s="2" t="s">
        <v>2261</v>
      </c>
      <c r="B814" s="2" t="s">
        <v>2262</v>
      </c>
      <c r="C814" s="2" t="s">
        <v>16</v>
      </c>
      <c r="D814" s="2" t="s">
        <v>17</v>
      </c>
      <c r="E814" s="2" t="s">
        <v>38</v>
      </c>
      <c r="F814" s="2" t="s">
        <v>125</v>
      </c>
      <c r="G814" s="2" t="s">
        <v>101</v>
      </c>
      <c r="H814" s="2" t="s">
        <v>21</v>
      </c>
      <c r="I814" s="2">
        <v>24</v>
      </c>
      <c r="J814" s="2" t="s">
        <v>191</v>
      </c>
      <c r="K814" s="2" t="s">
        <v>2263</v>
      </c>
      <c r="L814" s="2" t="s">
        <v>24</v>
      </c>
      <c r="M814" s="2"/>
      <c r="N814" s="2" t="s">
        <v>43</v>
      </c>
    </row>
    <row r="815" spans="1:14" x14ac:dyDescent="0.25">
      <c r="A815" s="2" t="s">
        <v>2264</v>
      </c>
      <c r="B815" s="2" t="s">
        <v>2265</v>
      </c>
      <c r="C815" s="2" t="s">
        <v>53</v>
      </c>
      <c r="D815" s="2" t="s">
        <v>54</v>
      </c>
      <c r="E815" s="2" t="s">
        <v>79</v>
      </c>
      <c r="F815" s="2" t="s">
        <v>131</v>
      </c>
      <c r="G815" s="2" t="s">
        <v>135</v>
      </c>
      <c r="H815" s="2" t="s">
        <v>32</v>
      </c>
      <c r="I815" s="2">
        <v>48</v>
      </c>
      <c r="J815" s="2" t="s">
        <v>106</v>
      </c>
      <c r="K815" s="2" t="s">
        <v>2266</v>
      </c>
      <c r="L815" s="2" t="s">
        <v>24</v>
      </c>
      <c r="M815" s="2"/>
      <c r="N815" s="2" t="s">
        <v>128</v>
      </c>
    </row>
    <row r="816" spans="1:14" x14ac:dyDescent="0.25">
      <c r="A816" s="2" t="s">
        <v>2267</v>
      </c>
      <c r="B816" s="2" t="s">
        <v>2268</v>
      </c>
      <c r="C816" s="2" t="s">
        <v>53</v>
      </c>
      <c r="D816" s="2" t="s">
        <v>54</v>
      </c>
      <c r="E816" s="2" t="s">
        <v>90</v>
      </c>
      <c r="F816" s="2" t="s">
        <v>96</v>
      </c>
      <c r="G816" s="2" t="s">
        <v>135</v>
      </c>
      <c r="H816" s="2" t="s">
        <v>21</v>
      </c>
      <c r="I816" s="2">
        <v>24</v>
      </c>
      <c r="J816" s="2" t="s">
        <v>41</v>
      </c>
      <c r="K816" s="2" t="s">
        <v>2269</v>
      </c>
      <c r="L816" s="2" t="s">
        <v>24</v>
      </c>
      <c r="M816" s="2">
        <v>5</v>
      </c>
      <c r="N816" s="2" t="s">
        <v>118</v>
      </c>
    </row>
    <row r="817" spans="1:14" x14ac:dyDescent="0.25">
      <c r="A817" s="2" t="s">
        <v>2270</v>
      </c>
      <c r="B817" s="2" t="s">
        <v>2271</v>
      </c>
      <c r="C817" s="2" t="s">
        <v>53</v>
      </c>
      <c r="D817" s="2" t="s">
        <v>54</v>
      </c>
      <c r="E817" s="2" t="s">
        <v>90</v>
      </c>
      <c r="F817" s="2" t="s">
        <v>47</v>
      </c>
      <c r="G817" s="2" t="s">
        <v>110</v>
      </c>
      <c r="H817" s="2" t="s">
        <v>74</v>
      </c>
      <c r="I817" s="2">
        <v>8</v>
      </c>
      <c r="J817" s="2" t="s">
        <v>145</v>
      </c>
      <c r="K817" s="2"/>
      <c r="L817" s="2" t="s">
        <v>24</v>
      </c>
      <c r="M817" s="2"/>
      <c r="N817" s="2" t="s">
        <v>128</v>
      </c>
    </row>
    <row r="818" spans="1:14" x14ac:dyDescent="0.25">
      <c r="A818" s="2" t="s">
        <v>2272</v>
      </c>
      <c r="B818" s="2" t="s">
        <v>2273</v>
      </c>
      <c r="C818" s="2" t="s">
        <v>53</v>
      </c>
      <c r="D818" s="2" t="s">
        <v>61</v>
      </c>
      <c r="E818" s="2" t="s">
        <v>148</v>
      </c>
      <c r="F818" s="2" t="s">
        <v>55</v>
      </c>
      <c r="G818" s="2" t="s">
        <v>20</v>
      </c>
      <c r="H818" s="2" t="s">
        <v>32</v>
      </c>
      <c r="I818" s="2">
        <v>48</v>
      </c>
      <c r="J818" s="2" t="s">
        <v>106</v>
      </c>
      <c r="K818" s="2" t="s">
        <v>2274</v>
      </c>
      <c r="L818" s="2" t="s">
        <v>24</v>
      </c>
      <c r="M818" s="2"/>
      <c r="N818" s="2" t="s">
        <v>118</v>
      </c>
    </row>
    <row r="819" spans="1:14" x14ac:dyDescent="0.25">
      <c r="A819" s="2" t="s">
        <v>2275</v>
      </c>
      <c r="B819" s="2" t="s">
        <v>2276</v>
      </c>
      <c r="C819" s="2" t="s">
        <v>28</v>
      </c>
      <c r="D819" s="2" t="s">
        <v>100</v>
      </c>
      <c r="E819" s="2" t="s">
        <v>18</v>
      </c>
      <c r="F819" s="2" t="s">
        <v>113</v>
      </c>
      <c r="G819" s="2" t="s">
        <v>179</v>
      </c>
      <c r="H819" s="2" t="s">
        <v>74</v>
      </c>
      <c r="I819" s="2">
        <v>8</v>
      </c>
      <c r="J819" s="2" t="s">
        <v>22</v>
      </c>
      <c r="K819" s="2" t="s">
        <v>2277</v>
      </c>
      <c r="L819" s="2" t="s">
        <v>24</v>
      </c>
      <c r="M819" s="2">
        <v>5</v>
      </c>
      <c r="N819" s="2" t="s">
        <v>58</v>
      </c>
    </row>
    <row r="820" spans="1:14" x14ac:dyDescent="0.25">
      <c r="A820" s="2" t="s">
        <v>2278</v>
      </c>
      <c r="B820" s="2" t="s">
        <v>2279</v>
      </c>
      <c r="C820" s="2" t="s">
        <v>53</v>
      </c>
      <c r="D820" s="2" t="s">
        <v>61</v>
      </c>
      <c r="E820" s="2" t="s">
        <v>18</v>
      </c>
      <c r="F820" s="2" t="s">
        <v>19</v>
      </c>
      <c r="G820" s="2" t="s">
        <v>139</v>
      </c>
      <c r="H820" s="2" t="s">
        <v>21</v>
      </c>
      <c r="I820" s="2">
        <v>24</v>
      </c>
      <c r="J820" s="2" t="s">
        <v>187</v>
      </c>
      <c r="K820" s="2" t="s">
        <v>2280</v>
      </c>
      <c r="L820" s="2" t="s">
        <v>24</v>
      </c>
      <c r="M820" s="2">
        <v>5</v>
      </c>
      <c r="N820" s="2" t="s">
        <v>43</v>
      </c>
    </row>
    <row r="821" spans="1:14" x14ac:dyDescent="0.25">
      <c r="A821" s="2" t="s">
        <v>2281</v>
      </c>
      <c r="B821" s="2" t="s">
        <v>2282</v>
      </c>
      <c r="C821" s="2" t="s">
        <v>16</v>
      </c>
      <c r="D821" s="2" t="s">
        <v>17</v>
      </c>
      <c r="E821" s="2" t="s">
        <v>148</v>
      </c>
      <c r="F821" s="2" t="s">
        <v>131</v>
      </c>
      <c r="G821" s="2" t="s">
        <v>31</v>
      </c>
      <c r="H821" s="2" t="s">
        <v>32</v>
      </c>
      <c r="I821" s="2">
        <v>48</v>
      </c>
      <c r="J821" s="2" t="s">
        <v>41</v>
      </c>
      <c r="K821" s="2" t="s">
        <v>2283</v>
      </c>
      <c r="L821" s="2" t="s">
        <v>24</v>
      </c>
      <c r="M821" s="2">
        <v>3</v>
      </c>
      <c r="N821" s="2" t="s">
        <v>58</v>
      </c>
    </row>
    <row r="822" spans="1:14" x14ac:dyDescent="0.25">
      <c r="A822" s="2" t="s">
        <v>2284</v>
      </c>
      <c r="B822" s="2" t="s">
        <v>2285</v>
      </c>
      <c r="C822" s="2" t="s">
        <v>28</v>
      </c>
      <c r="D822" s="2" t="s">
        <v>37</v>
      </c>
      <c r="E822" s="2" t="s">
        <v>18</v>
      </c>
      <c r="F822" s="2" t="s">
        <v>69</v>
      </c>
      <c r="G822" s="2" t="s">
        <v>211</v>
      </c>
      <c r="H822" s="2" t="s">
        <v>21</v>
      </c>
      <c r="I822" s="2">
        <v>24</v>
      </c>
      <c r="J822" s="2" t="s">
        <v>232</v>
      </c>
      <c r="K822" s="2"/>
      <c r="L822" s="2" t="s">
        <v>92</v>
      </c>
      <c r="M822" s="2"/>
      <c r="N822" s="2" t="s">
        <v>64</v>
      </c>
    </row>
    <row r="823" spans="1:14" x14ac:dyDescent="0.25">
      <c r="A823" s="2" t="s">
        <v>2286</v>
      </c>
      <c r="B823" s="2" t="s">
        <v>2287</v>
      </c>
      <c r="C823" s="2" t="s">
        <v>28</v>
      </c>
      <c r="D823" s="2" t="s">
        <v>100</v>
      </c>
      <c r="E823" s="2" t="s">
        <v>85</v>
      </c>
      <c r="F823" s="2" t="s">
        <v>125</v>
      </c>
      <c r="G823" s="2" t="s">
        <v>91</v>
      </c>
      <c r="H823" s="2" t="s">
        <v>74</v>
      </c>
      <c r="I823" s="2">
        <v>8</v>
      </c>
      <c r="J823" s="2" t="s">
        <v>22</v>
      </c>
      <c r="K823" s="2" t="s">
        <v>2288</v>
      </c>
      <c r="L823" s="2" t="s">
        <v>24</v>
      </c>
      <c r="M823" s="2"/>
      <c r="N823" s="2" t="s">
        <v>34</v>
      </c>
    </row>
    <row r="824" spans="1:14" x14ac:dyDescent="0.25">
      <c r="A824" s="2" t="s">
        <v>2289</v>
      </c>
      <c r="B824" s="2" t="s">
        <v>2290</v>
      </c>
      <c r="C824" s="2" t="s">
        <v>28</v>
      </c>
      <c r="D824" s="2" t="s">
        <v>100</v>
      </c>
      <c r="E824" s="2" t="s">
        <v>90</v>
      </c>
      <c r="F824" s="2" t="s">
        <v>19</v>
      </c>
      <c r="G824" s="2" t="s">
        <v>105</v>
      </c>
      <c r="H824" s="2" t="s">
        <v>21</v>
      </c>
      <c r="I824" s="2">
        <v>24</v>
      </c>
      <c r="J824" s="2" t="s">
        <v>22</v>
      </c>
      <c r="K824" s="2" t="s">
        <v>2291</v>
      </c>
      <c r="L824" s="2" t="s">
        <v>24</v>
      </c>
      <c r="M824" s="2"/>
      <c r="N824" s="2" t="s">
        <v>58</v>
      </c>
    </row>
    <row r="825" spans="1:14" x14ac:dyDescent="0.25">
      <c r="A825" s="2" t="s">
        <v>2292</v>
      </c>
      <c r="B825" s="2" t="s">
        <v>2293</v>
      </c>
      <c r="C825" s="2" t="s">
        <v>53</v>
      </c>
      <c r="D825" s="2" t="s">
        <v>61</v>
      </c>
      <c r="E825" s="2" t="s">
        <v>38</v>
      </c>
      <c r="F825" s="2" t="s">
        <v>47</v>
      </c>
      <c r="G825" s="2" t="s">
        <v>183</v>
      </c>
      <c r="H825" s="2" t="s">
        <v>32</v>
      </c>
      <c r="I825" s="2">
        <v>48</v>
      </c>
      <c r="J825" s="2" t="s">
        <v>149</v>
      </c>
      <c r="K825" s="2"/>
      <c r="L825" s="2" t="s">
        <v>24</v>
      </c>
      <c r="M825" s="2"/>
      <c r="N825" s="2"/>
    </row>
    <row r="826" spans="1:14" x14ac:dyDescent="0.25">
      <c r="A826" s="2" t="s">
        <v>2294</v>
      </c>
      <c r="B826" s="2" t="s">
        <v>2295</v>
      </c>
      <c r="C826" s="2" t="s">
        <v>67</v>
      </c>
      <c r="D826" s="2" t="s">
        <v>95</v>
      </c>
      <c r="E826" s="2" t="s">
        <v>38</v>
      </c>
      <c r="F826" s="2" t="s">
        <v>62</v>
      </c>
      <c r="G826" s="2" t="s">
        <v>91</v>
      </c>
      <c r="H826" s="2" t="s">
        <v>80</v>
      </c>
      <c r="I826" s="2">
        <v>4</v>
      </c>
      <c r="J826" s="2" t="s">
        <v>155</v>
      </c>
      <c r="K826" s="2"/>
      <c r="L826" s="2" t="s">
        <v>24</v>
      </c>
      <c r="M826" s="2"/>
      <c r="N826" s="2"/>
    </row>
    <row r="827" spans="1:14" x14ac:dyDescent="0.25">
      <c r="A827" s="2" t="s">
        <v>2296</v>
      </c>
      <c r="B827" s="2" t="s">
        <v>2297</v>
      </c>
      <c r="C827" s="2" t="s">
        <v>16</v>
      </c>
      <c r="D827" s="2" t="s">
        <v>17</v>
      </c>
      <c r="E827" s="2" t="s">
        <v>38</v>
      </c>
      <c r="F827" s="2" t="s">
        <v>47</v>
      </c>
      <c r="G827" s="2" t="s">
        <v>31</v>
      </c>
      <c r="H827" s="2" t="s">
        <v>21</v>
      </c>
      <c r="I827" s="2">
        <v>24</v>
      </c>
      <c r="J827" s="2" t="s">
        <v>22</v>
      </c>
      <c r="K827" s="2"/>
      <c r="L827" s="2" t="s">
        <v>24</v>
      </c>
      <c r="M827" s="2"/>
      <c r="N827" s="2" t="s">
        <v>64</v>
      </c>
    </row>
    <row r="828" spans="1:14" x14ac:dyDescent="0.25">
      <c r="A828" s="2" t="s">
        <v>2298</v>
      </c>
      <c r="B828" s="2" t="s">
        <v>2299</v>
      </c>
      <c r="C828" s="2" t="s">
        <v>16</v>
      </c>
      <c r="D828" s="2" t="s">
        <v>84</v>
      </c>
      <c r="E828" s="2" t="s">
        <v>90</v>
      </c>
      <c r="F828" s="2" t="s">
        <v>143</v>
      </c>
      <c r="G828" s="2" t="s">
        <v>70</v>
      </c>
      <c r="H828" s="2" t="s">
        <v>21</v>
      </c>
      <c r="I828" s="2">
        <v>24</v>
      </c>
      <c r="J828" s="2" t="s">
        <v>191</v>
      </c>
      <c r="K828" s="2" t="s">
        <v>2300</v>
      </c>
      <c r="L828" s="2" t="s">
        <v>24</v>
      </c>
      <c r="M828" s="2"/>
      <c r="N828" s="2" t="s">
        <v>118</v>
      </c>
    </row>
    <row r="829" spans="1:14" x14ac:dyDescent="0.25">
      <c r="A829" s="2" t="s">
        <v>2301</v>
      </c>
      <c r="B829" s="2" t="s">
        <v>2302</v>
      </c>
      <c r="C829" s="2" t="s">
        <v>16</v>
      </c>
      <c r="D829" s="2" t="s">
        <v>84</v>
      </c>
      <c r="E829" s="2" t="s">
        <v>90</v>
      </c>
      <c r="F829" s="2" t="s">
        <v>143</v>
      </c>
      <c r="G829" s="2" t="s">
        <v>179</v>
      </c>
      <c r="H829" s="2" t="s">
        <v>32</v>
      </c>
      <c r="I829" s="2">
        <v>48</v>
      </c>
      <c r="J829" s="2" t="s">
        <v>486</v>
      </c>
      <c r="K829" s="2" t="s">
        <v>2303</v>
      </c>
      <c r="L829" s="2" t="s">
        <v>24</v>
      </c>
      <c r="M829" s="2"/>
      <c r="N829" s="2" t="s">
        <v>34</v>
      </c>
    </row>
    <row r="830" spans="1:14" x14ac:dyDescent="0.25">
      <c r="A830" s="2" t="s">
        <v>2304</v>
      </c>
      <c r="B830" s="2" t="s">
        <v>2305</v>
      </c>
      <c r="C830" s="2" t="s">
        <v>16</v>
      </c>
      <c r="D830" s="2" t="s">
        <v>84</v>
      </c>
      <c r="E830" s="2" t="s">
        <v>18</v>
      </c>
      <c r="F830" s="2" t="s">
        <v>55</v>
      </c>
      <c r="G830" s="2" t="s">
        <v>179</v>
      </c>
      <c r="H830" s="2" t="s">
        <v>80</v>
      </c>
      <c r="I830" s="2">
        <v>4</v>
      </c>
      <c r="J830" s="2" t="s">
        <v>232</v>
      </c>
      <c r="K830" s="2"/>
      <c r="L830" s="2" t="s">
        <v>92</v>
      </c>
      <c r="M830" s="2"/>
      <c r="N830" s="2" t="s">
        <v>25</v>
      </c>
    </row>
    <row r="831" spans="1:14" x14ac:dyDescent="0.25">
      <c r="A831" s="2" t="s">
        <v>2306</v>
      </c>
      <c r="B831" s="2" t="s">
        <v>2307</v>
      </c>
      <c r="C831" s="2" t="s">
        <v>67</v>
      </c>
      <c r="D831" s="2" t="s">
        <v>95</v>
      </c>
      <c r="E831" s="2" t="s">
        <v>46</v>
      </c>
      <c r="F831" s="2" t="s">
        <v>55</v>
      </c>
      <c r="G831" s="2" t="s">
        <v>135</v>
      </c>
      <c r="H831" s="2" t="s">
        <v>74</v>
      </c>
      <c r="I831" s="2">
        <v>8</v>
      </c>
      <c r="J831" s="2" t="s">
        <v>41</v>
      </c>
      <c r="K831" s="2" t="s">
        <v>2308</v>
      </c>
      <c r="L831" s="2" t="s">
        <v>24</v>
      </c>
      <c r="M831" s="2">
        <v>4</v>
      </c>
      <c r="N831" s="2" t="s">
        <v>43</v>
      </c>
    </row>
    <row r="832" spans="1:14" x14ac:dyDescent="0.25">
      <c r="A832" s="2" t="s">
        <v>2309</v>
      </c>
      <c r="B832" s="2" t="s">
        <v>2310</v>
      </c>
      <c r="C832" s="2" t="s">
        <v>53</v>
      </c>
      <c r="D832" s="2" t="s">
        <v>54</v>
      </c>
      <c r="E832" s="2" t="s">
        <v>18</v>
      </c>
      <c r="F832" s="2" t="s">
        <v>143</v>
      </c>
      <c r="G832" s="2" t="s">
        <v>158</v>
      </c>
      <c r="H832" s="2" t="s">
        <v>21</v>
      </c>
      <c r="I832" s="2">
        <v>24</v>
      </c>
      <c r="J832" s="2" t="s">
        <v>22</v>
      </c>
      <c r="K832" s="2" t="s">
        <v>2311</v>
      </c>
      <c r="L832" s="2" t="s">
        <v>24</v>
      </c>
      <c r="M832" s="2">
        <v>3</v>
      </c>
      <c r="N832" s="2" t="s">
        <v>25</v>
      </c>
    </row>
    <row r="833" spans="1:14" x14ac:dyDescent="0.25">
      <c r="A833" s="2" t="s">
        <v>2312</v>
      </c>
      <c r="B833" s="2" t="s">
        <v>2313</v>
      </c>
      <c r="C833" s="2" t="s">
        <v>67</v>
      </c>
      <c r="D833" s="2" t="s">
        <v>68</v>
      </c>
      <c r="E833" s="2" t="s">
        <v>46</v>
      </c>
      <c r="F833" s="2" t="s">
        <v>96</v>
      </c>
      <c r="G833" s="2" t="s">
        <v>126</v>
      </c>
      <c r="H833" s="2" t="s">
        <v>32</v>
      </c>
      <c r="I833" s="2">
        <v>48</v>
      </c>
      <c r="J833" s="2" t="s">
        <v>22</v>
      </c>
      <c r="K833" s="2" t="s">
        <v>2314</v>
      </c>
      <c r="L833" s="2" t="s">
        <v>92</v>
      </c>
      <c r="M833" s="2">
        <v>4</v>
      </c>
      <c r="N833" s="2" t="s">
        <v>64</v>
      </c>
    </row>
    <row r="834" spans="1:14" x14ac:dyDescent="0.25">
      <c r="A834" s="2" t="s">
        <v>2315</v>
      </c>
      <c r="B834" s="2" t="s">
        <v>2316</v>
      </c>
      <c r="C834" s="2" t="s">
        <v>67</v>
      </c>
      <c r="D834" s="2" t="s">
        <v>95</v>
      </c>
      <c r="E834" s="2" t="s">
        <v>38</v>
      </c>
      <c r="F834" s="2" t="s">
        <v>69</v>
      </c>
      <c r="G834" s="2" t="s">
        <v>91</v>
      </c>
      <c r="H834" s="2" t="s">
        <v>74</v>
      </c>
      <c r="I834" s="2">
        <v>8</v>
      </c>
      <c r="J834" s="2" t="s">
        <v>106</v>
      </c>
      <c r="K834" s="2" t="s">
        <v>2317</v>
      </c>
      <c r="L834" s="2" t="s">
        <v>24</v>
      </c>
      <c r="M834" s="2"/>
      <c r="N834" s="2"/>
    </row>
    <row r="835" spans="1:14" x14ac:dyDescent="0.25">
      <c r="A835" s="2" t="s">
        <v>2318</v>
      </c>
      <c r="B835" s="2" t="s">
        <v>2319</v>
      </c>
      <c r="C835" s="2" t="s">
        <v>53</v>
      </c>
      <c r="D835" s="2" t="s">
        <v>54</v>
      </c>
      <c r="E835" s="2" t="s">
        <v>18</v>
      </c>
      <c r="F835" s="2" t="s">
        <v>131</v>
      </c>
      <c r="G835" s="2" t="s">
        <v>40</v>
      </c>
      <c r="H835" s="2" t="s">
        <v>74</v>
      </c>
      <c r="I835" s="2">
        <v>8</v>
      </c>
      <c r="J835" s="2" t="s">
        <v>22</v>
      </c>
      <c r="K835" s="2" t="s">
        <v>2320</v>
      </c>
      <c r="L835" s="2" t="s">
        <v>24</v>
      </c>
      <c r="M835" s="2">
        <v>2</v>
      </c>
      <c r="N835" s="2" t="s">
        <v>58</v>
      </c>
    </row>
    <row r="836" spans="1:14" x14ac:dyDescent="0.25">
      <c r="A836" s="2" t="s">
        <v>2321</v>
      </c>
      <c r="B836" s="2" t="s">
        <v>2322</v>
      </c>
      <c r="C836" s="2" t="s">
        <v>16</v>
      </c>
      <c r="D836" s="2" t="s">
        <v>84</v>
      </c>
      <c r="E836" s="2" t="s">
        <v>18</v>
      </c>
      <c r="F836" s="2" t="s">
        <v>113</v>
      </c>
      <c r="G836" s="2" t="s">
        <v>40</v>
      </c>
      <c r="H836" s="2" t="s">
        <v>21</v>
      </c>
      <c r="I836" s="2">
        <v>24</v>
      </c>
      <c r="J836" s="2" t="s">
        <v>106</v>
      </c>
      <c r="K836" s="2" t="s">
        <v>2323</v>
      </c>
      <c r="L836" s="2" t="s">
        <v>24</v>
      </c>
      <c r="M836" s="2">
        <v>4</v>
      </c>
      <c r="N836" s="2"/>
    </row>
    <row r="837" spans="1:14" x14ac:dyDescent="0.25">
      <c r="A837" s="2" t="s">
        <v>2324</v>
      </c>
      <c r="B837" s="2" t="s">
        <v>2325</v>
      </c>
      <c r="C837" s="2" t="s">
        <v>28</v>
      </c>
      <c r="D837" s="2" t="s">
        <v>37</v>
      </c>
      <c r="E837" s="2" t="s">
        <v>46</v>
      </c>
      <c r="F837" s="2" t="s">
        <v>69</v>
      </c>
      <c r="G837" s="2" t="s">
        <v>144</v>
      </c>
      <c r="H837" s="2" t="s">
        <v>74</v>
      </c>
      <c r="I837" s="2">
        <v>8</v>
      </c>
      <c r="J837" s="2" t="s">
        <v>48</v>
      </c>
      <c r="K837" s="2" t="s">
        <v>2326</v>
      </c>
      <c r="L837" s="2" t="s">
        <v>24</v>
      </c>
      <c r="M837" s="2">
        <v>4</v>
      </c>
      <c r="N837" s="2" t="s">
        <v>43</v>
      </c>
    </row>
    <row r="838" spans="1:14" x14ac:dyDescent="0.25">
      <c r="A838" s="2" t="s">
        <v>2327</v>
      </c>
      <c r="B838" s="2" t="s">
        <v>2328</v>
      </c>
      <c r="C838" s="2" t="s">
        <v>67</v>
      </c>
      <c r="D838" s="2" t="s">
        <v>89</v>
      </c>
      <c r="E838" s="2" t="s">
        <v>18</v>
      </c>
      <c r="F838" s="2" t="s">
        <v>69</v>
      </c>
      <c r="G838" s="2" t="s">
        <v>211</v>
      </c>
      <c r="H838" s="2" t="s">
        <v>32</v>
      </c>
      <c r="I838" s="2">
        <v>48</v>
      </c>
      <c r="J838" s="2" t="s">
        <v>22</v>
      </c>
      <c r="K838" s="2" t="s">
        <v>2329</v>
      </c>
      <c r="L838" s="2" t="s">
        <v>24</v>
      </c>
      <c r="M838" s="2">
        <v>3</v>
      </c>
      <c r="N838" s="2" t="s">
        <v>128</v>
      </c>
    </row>
    <row r="839" spans="1:14" x14ac:dyDescent="0.25">
      <c r="A839" s="2" t="s">
        <v>2330</v>
      </c>
      <c r="B839" s="2" t="s">
        <v>2331</v>
      </c>
      <c r="C839" s="2" t="s">
        <v>67</v>
      </c>
      <c r="D839" s="2" t="s">
        <v>95</v>
      </c>
      <c r="E839" s="2" t="s">
        <v>38</v>
      </c>
      <c r="F839" s="2" t="s">
        <v>55</v>
      </c>
      <c r="G839" s="2" t="s">
        <v>40</v>
      </c>
      <c r="H839" s="2" t="s">
        <v>32</v>
      </c>
      <c r="I839" s="2">
        <v>48</v>
      </c>
      <c r="J839" s="2" t="s">
        <v>187</v>
      </c>
      <c r="K839" s="2" t="s">
        <v>2332</v>
      </c>
      <c r="L839" s="2" t="s">
        <v>24</v>
      </c>
      <c r="M839" s="2">
        <v>3</v>
      </c>
      <c r="N839" s="2" t="s">
        <v>118</v>
      </c>
    </row>
    <row r="840" spans="1:14" x14ac:dyDescent="0.25">
      <c r="A840" s="2" t="s">
        <v>2333</v>
      </c>
      <c r="B840" s="2" t="s">
        <v>2334</v>
      </c>
      <c r="C840" s="2" t="s">
        <v>53</v>
      </c>
      <c r="D840" s="2" t="s">
        <v>61</v>
      </c>
      <c r="E840" s="2" t="s">
        <v>79</v>
      </c>
      <c r="F840" s="2" t="s">
        <v>55</v>
      </c>
      <c r="G840" s="2" t="s">
        <v>139</v>
      </c>
      <c r="H840" s="2" t="s">
        <v>32</v>
      </c>
      <c r="I840" s="2">
        <v>48</v>
      </c>
      <c r="J840" s="2" t="s">
        <v>106</v>
      </c>
      <c r="K840" s="2" t="s">
        <v>2335</v>
      </c>
      <c r="L840" s="2" t="s">
        <v>24</v>
      </c>
      <c r="M840" s="2">
        <v>5</v>
      </c>
      <c r="N840" s="2" t="s">
        <v>50</v>
      </c>
    </row>
    <row r="841" spans="1:14" x14ac:dyDescent="0.25">
      <c r="A841" s="2" t="s">
        <v>2336</v>
      </c>
      <c r="B841" s="2" t="s">
        <v>2337</v>
      </c>
      <c r="C841" s="2" t="s">
        <v>67</v>
      </c>
      <c r="D841" s="2" t="s">
        <v>68</v>
      </c>
      <c r="E841" s="2" t="s">
        <v>46</v>
      </c>
      <c r="F841" s="2" t="s">
        <v>69</v>
      </c>
      <c r="G841" s="2" t="s">
        <v>183</v>
      </c>
      <c r="H841" s="2" t="s">
        <v>74</v>
      </c>
      <c r="I841" s="2">
        <v>8</v>
      </c>
      <c r="J841" s="2" t="s">
        <v>149</v>
      </c>
      <c r="K841" s="2"/>
      <c r="L841" s="2" t="s">
        <v>24</v>
      </c>
      <c r="M841" s="2"/>
      <c r="N841" s="2" t="s">
        <v>34</v>
      </c>
    </row>
    <row r="842" spans="1:14" x14ac:dyDescent="0.25">
      <c r="A842" s="2" t="s">
        <v>2338</v>
      </c>
      <c r="B842" s="2" t="s">
        <v>2339</v>
      </c>
      <c r="C842" s="2" t="s">
        <v>53</v>
      </c>
      <c r="D842" s="2" t="s">
        <v>61</v>
      </c>
      <c r="E842" s="2" t="s">
        <v>90</v>
      </c>
      <c r="F842" s="2" t="s">
        <v>62</v>
      </c>
      <c r="G842" s="2" t="s">
        <v>101</v>
      </c>
      <c r="H842" s="2" t="s">
        <v>21</v>
      </c>
      <c r="I842" s="2">
        <v>24</v>
      </c>
      <c r="J842" s="2" t="s">
        <v>200</v>
      </c>
      <c r="K842" s="2"/>
      <c r="L842" s="2" t="s">
        <v>92</v>
      </c>
      <c r="M842" s="2"/>
      <c r="N842" s="2" t="s">
        <v>50</v>
      </c>
    </row>
    <row r="843" spans="1:14" x14ac:dyDescent="0.25">
      <c r="A843" s="2" t="s">
        <v>2340</v>
      </c>
      <c r="B843" s="2" t="s">
        <v>2341</v>
      </c>
      <c r="C843" s="2" t="s">
        <v>67</v>
      </c>
      <c r="D843" s="2" t="s">
        <v>68</v>
      </c>
      <c r="E843" s="2" t="s">
        <v>46</v>
      </c>
      <c r="F843" s="2" t="s">
        <v>55</v>
      </c>
      <c r="G843" s="2" t="s">
        <v>179</v>
      </c>
      <c r="H843" s="2" t="s">
        <v>21</v>
      </c>
      <c r="I843" s="2">
        <v>24</v>
      </c>
      <c r="J843" s="2" t="s">
        <v>33</v>
      </c>
      <c r="K843" s="2"/>
      <c r="L843" s="2" t="s">
        <v>24</v>
      </c>
      <c r="M843" s="2"/>
      <c r="N843" s="2" t="s">
        <v>34</v>
      </c>
    </row>
    <row r="844" spans="1:14" x14ac:dyDescent="0.25">
      <c r="A844" s="2" t="s">
        <v>2342</v>
      </c>
      <c r="B844" s="2" t="s">
        <v>2343</v>
      </c>
      <c r="C844" s="2" t="s">
        <v>67</v>
      </c>
      <c r="D844" s="2" t="s">
        <v>95</v>
      </c>
      <c r="E844" s="2" t="s">
        <v>90</v>
      </c>
      <c r="F844" s="2" t="s">
        <v>125</v>
      </c>
      <c r="G844" s="2" t="s">
        <v>139</v>
      </c>
      <c r="H844" s="2" t="s">
        <v>32</v>
      </c>
      <c r="I844" s="2">
        <v>48</v>
      </c>
      <c r="J844" s="2" t="s">
        <v>187</v>
      </c>
      <c r="K844" s="2" t="s">
        <v>2344</v>
      </c>
      <c r="L844" s="2" t="s">
        <v>24</v>
      </c>
      <c r="M844" s="2"/>
      <c r="N844" s="2" t="s">
        <v>34</v>
      </c>
    </row>
    <row r="845" spans="1:14" x14ac:dyDescent="0.25">
      <c r="A845" s="2" t="s">
        <v>2345</v>
      </c>
      <c r="B845" s="2" t="s">
        <v>2346</v>
      </c>
      <c r="C845" s="2" t="s">
        <v>53</v>
      </c>
      <c r="D845" s="2" t="s">
        <v>61</v>
      </c>
      <c r="E845" s="2" t="s">
        <v>38</v>
      </c>
      <c r="F845" s="2" t="s">
        <v>143</v>
      </c>
      <c r="G845" s="2" t="s">
        <v>121</v>
      </c>
      <c r="H845" s="2" t="s">
        <v>80</v>
      </c>
      <c r="I845" s="2">
        <v>4</v>
      </c>
      <c r="J845" s="2" t="s">
        <v>106</v>
      </c>
      <c r="K845" s="2" t="s">
        <v>2347</v>
      </c>
      <c r="L845" s="2" t="s">
        <v>24</v>
      </c>
      <c r="M845" s="2"/>
      <c r="N845" s="2" t="s">
        <v>118</v>
      </c>
    </row>
    <row r="846" spans="1:14" x14ac:dyDescent="0.25">
      <c r="A846" s="2" t="s">
        <v>2348</v>
      </c>
      <c r="B846" s="2" t="s">
        <v>2349</v>
      </c>
      <c r="C846" s="2" t="s">
        <v>16</v>
      </c>
      <c r="D846" s="2" t="s">
        <v>84</v>
      </c>
      <c r="E846" s="2" t="s">
        <v>79</v>
      </c>
      <c r="F846" s="2" t="s">
        <v>47</v>
      </c>
      <c r="G846" s="2" t="s">
        <v>139</v>
      </c>
      <c r="H846" s="2" t="s">
        <v>21</v>
      </c>
      <c r="I846" s="2">
        <v>24</v>
      </c>
      <c r="J846" s="2" t="s">
        <v>75</v>
      </c>
      <c r="K846" s="2" t="s">
        <v>2350</v>
      </c>
      <c r="L846" s="2" t="s">
        <v>24</v>
      </c>
      <c r="M846" s="2"/>
      <c r="N846" s="2" t="s">
        <v>58</v>
      </c>
    </row>
    <row r="847" spans="1:14" x14ac:dyDescent="0.25">
      <c r="A847" s="2" t="s">
        <v>2351</v>
      </c>
      <c r="B847" s="2" t="s">
        <v>2352</v>
      </c>
      <c r="C847" s="2" t="s">
        <v>67</v>
      </c>
      <c r="D847" s="2" t="s">
        <v>95</v>
      </c>
      <c r="E847" s="2" t="s">
        <v>46</v>
      </c>
      <c r="F847" s="2" t="s">
        <v>143</v>
      </c>
      <c r="G847" s="2" t="s">
        <v>121</v>
      </c>
      <c r="H847" s="2" t="s">
        <v>21</v>
      </c>
      <c r="I847" s="2">
        <v>24</v>
      </c>
      <c r="J847" s="2" t="s">
        <v>232</v>
      </c>
      <c r="K847" s="2"/>
      <c r="L847" s="2" t="s">
        <v>92</v>
      </c>
      <c r="M847" s="2"/>
      <c r="N847" s="2" t="s">
        <v>64</v>
      </c>
    </row>
    <row r="848" spans="1:14" x14ac:dyDescent="0.25">
      <c r="A848" s="2" t="s">
        <v>2353</v>
      </c>
      <c r="B848" s="2" t="s">
        <v>2354</v>
      </c>
      <c r="C848" s="2" t="s">
        <v>67</v>
      </c>
      <c r="D848" s="2" t="s">
        <v>95</v>
      </c>
      <c r="E848" s="2" t="s">
        <v>38</v>
      </c>
      <c r="F848" s="2" t="s">
        <v>69</v>
      </c>
      <c r="G848" s="2" t="s">
        <v>105</v>
      </c>
      <c r="H848" s="2" t="s">
        <v>74</v>
      </c>
      <c r="I848" s="2">
        <v>8</v>
      </c>
      <c r="J848" s="2" t="s">
        <v>149</v>
      </c>
      <c r="K848" s="2"/>
      <c r="L848" s="2" t="s">
        <v>24</v>
      </c>
      <c r="M848" s="2"/>
      <c r="N848" s="2" t="s">
        <v>118</v>
      </c>
    </row>
    <row r="849" spans="1:14" x14ac:dyDescent="0.25">
      <c r="A849" s="2" t="s">
        <v>2355</v>
      </c>
      <c r="B849" s="2" t="s">
        <v>2356</v>
      </c>
      <c r="C849" s="2" t="s">
        <v>28</v>
      </c>
      <c r="D849" s="2" t="s">
        <v>37</v>
      </c>
      <c r="E849" s="2" t="s">
        <v>38</v>
      </c>
      <c r="F849" s="2" t="s">
        <v>113</v>
      </c>
      <c r="G849" s="2" t="s">
        <v>97</v>
      </c>
      <c r="H849" s="2" t="s">
        <v>74</v>
      </c>
      <c r="I849" s="2">
        <v>8</v>
      </c>
      <c r="J849" s="2" t="s">
        <v>75</v>
      </c>
      <c r="K849" s="2" t="s">
        <v>2357</v>
      </c>
      <c r="L849" s="2" t="s">
        <v>24</v>
      </c>
      <c r="M849" s="2"/>
      <c r="N849" s="2"/>
    </row>
    <row r="850" spans="1:14" x14ac:dyDescent="0.25">
      <c r="A850" s="2" t="s">
        <v>2358</v>
      </c>
      <c r="B850" s="2" t="s">
        <v>2359</v>
      </c>
      <c r="C850" s="2" t="s">
        <v>16</v>
      </c>
      <c r="D850" s="2" t="s">
        <v>84</v>
      </c>
      <c r="E850" s="2" t="s">
        <v>148</v>
      </c>
      <c r="F850" s="2" t="s">
        <v>125</v>
      </c>
      <c r="G850" s="2" t="s">
        <v>70</v>
      </c>
      <c r="H850" s="2" t="s">
        <v>80</v>
      </c>
      <c r="I850" s="2">
        <v>4</v>
      </c>
      <c r="J850" s="2" t="s">
        <v>11</v>
      </c>
      <c r="K850" s="2"/>
      <c r="L850" s="2" t="s">
        <v>92</v>
      </c>
      <c r="M850" s="2"/>
      <c r="N850" s="2" t="s">
        <v>118</v>
      </c>
    </row>
    <row r="851" spans="1:14" x14ac:dyDescent="0.25">
      <c r="A851" s="2" t="s">
        <v>2360</v>
      </c>
      <c r="B851" s="2" t="s">
        <v>2361</v>
      </c>
      <c r="C851" s="2" t="s">
        <v>16</v>
      </c>
      <c r="D851" s="2" t="s">
        <v>84</v>
      </c>
      <c r="E851" s="2" t="s">
        <v>90</v>
      </c>
      <c r="F851" s="2" t="s">
        <v>39</v>
      </c>
      <c r="G851" s="2" t="s">
        <v>158</v>
      </c>
      <c r="H851" s="2" t="s">
        <v>32</v>
      </c>
      <c r="I851" s="2">
        <v>48</v>
      </c>
      <c r="J851" s="2" t="s">
        <v>11</v>
      </c>
      <c r="K851" s="2"/>
      <c r="L851" s="2" t="s">
        <v>92</v>
      </c>
      <c r="M851" s="2"/>
      <c r="N851" s="2"/>
    </row>
    <row r="852" spans="1:14" x14ac:dyDescent="0.25">
      <c r="A852" s="2" t="s">
        <v>2362</v>
      </c>
      <c r="B852" s="2" t="s">
        <v>2363</v>
      </c>
      <c r="C852" s="2" t="s">
        <v>53</v>
      </c>
      <c r="D852" s="2" t="s">
        <v>54</v>
      </c>
      <c r="E852" s="2" t="s">
        <v>46</v>
      </c>
      <c r="F852" s="2" t="s">
        <v>113</v>
      </c>
      <c r="G852" s="2" t="s">
        <v>158</v>
      </c>
      <c r="H852" s="2" t="s">
        <v>32</v>
      </c>
      <c r="I852" s="2">
        <v>48</v>
      </c>
      <c r="J852" s="2" t="s">
        <v>33</v>
      </c>
      <c r="K852" s="2"/>
      <c r="L852" s="2" t="s">
        <v>24</v>
      </c>
      <c r="M852" s="2"/>
      <c r="N852" s="2" t="s">
        <v>34</v>
      </c>
    </row>
    <row r="853" spans="1:14" x14ac:dyDescent="0.25">
      <c r="A853" s="2" t="s">
        <v>2364</v>
      </c>
      <c r="B853" s="2" t="s">
        <v>2365</v>
      </c>
      <c r="C853" s="2" t="s">
        <v>28</v>
      </c>
      <c r="D853" s="2" t="s">
        <v>100</v>
      </c>
      <c r="E853" s="2" t="s">
        <v>79</v>
      </c>
      <c r="F853" s="2" t="s">
        <v>19</v>
      </c>
      <c r="G853" s="2" t="s">
        <v>179</v>
      </c>
      <c r="H853" s="2" t="s">
        <v>74</v>
      </c>
      <c r="I853" s="2">
        <v>8</v>
      </c>
      <c r="J853" s="2" t="s">
        <v>41</v>
      </c>
      <c r="K853" s="2" t="s">
        <v>2366</v>
      </c>
      <c r="L853" s="2" t="s">
        <v>24</v>
      </c>
      <c r="M853" s="2">
        <v>5</v>
      </c>
      <c r="N853" s="2" t="s">
        <v>118</v>
      </c>
    </row>
    <row r="854" spans="1:14" x14ac:dyDescent="0.25">
      <c r="A854" s="2" t="s">
        <v>2367</v>
      </c>
      <c r="B854" s="2" t="s">
        <v>2368</v>
      </c>
      <c r="C854" s="2" t="s">
        <v>53</v>
      </c>
      <c r="D854" s="2" t="s">
        <v>61</v>
      </c>
      <c r="E854" s="2" t="s">
        <v>148</v>
      </c>
      <c r="F854" s="2" t="s">
        <v>69</v>
      </c>
      <c r="G854" s="2" t="s">
        <v>183</v>
      </c>
      <c r="H854" s="2" t="s">
        <v>32</v>
      </c>
      <c r="I854" s="2">
        <v>48</v>
      </c>
      <c r="J854" s="2" t="s">
        <v>41</v>
      </c>
      <c r="K854" s="2" t="s">
        <v>2369</v>
      </c>
      <c r="L854" s="2" t="s">
        <v>24</v>
      </c>
      <c r="M854" s="2"/>
      <c r="N854" s="2" t="s">
        <v>25</v>
      </c>
    </row>
    <row r="855" spans="1:14" x14ac:dyDescent="0.25">
      <c r="A855" s="2" t="s">
        <v>2370</v>
      </c>
      <c r="B855" s="2" t="s">
        <v>2371</v>
      </c>
      <c r="C855" s="2" t="s">
        <v>67</v>
      </c>
      <c r="D855" s="2" t="s">
        <v>95</v>
      </c>
      <c r="E855" s="2" t="s">
        <v>79</v>
      </c>
      <c r="F855" s="2" t="s">
        <v>131</v>
      </c>
      <c r="G855" s="2" t="s">
        <v>179</v>
      </c>
      <c r="H855" s="2" t="s">
        <v>21</v>
      </c>
      <c r="I855" s="2">
        <v>24</v>
      </c>
      <c r="J855" s="2" t="s">
        <v>22</v>
      </c>
      <c r="K855" s="2" t="s">
        <v>2372</v>
      </c>
      <c r="L855" s="2" t="s">
        <v>24</v>
      </c>
      <c r="M855" s="2">
        <v>4</v>
      </c>
      <c r="N855" s="2" t="s">
        <v>34</v>
      </c>
    </row>
    <row r="856" spans="1:14" x14ac:dyDescent="0.25">
      <c r="A856" s="2" t="s">
        <v>2373</v>
      </c>
      <c r="B856" s="2" t="s">
        <v>2374</v>
      </c>
      <c r="C856" s="2" t="s">
        <v>28</v>
      </c>
      <c r="D856" s="2" t="s">
        <v>100</v>
      </c>
      <c r="E856" s="2" t="s">
        <v>90</v>
      </c>
      <c r="F856" s="2" t="s">
        <v>96</v>
      </c>
      <c r="G856" s="2" t="s">
        <v>110</v>
      </c>
      <c r="H856" s="2" t="s">
        <v>32</v>
      </c>
      <c r="I856" s="2">
        <v>48</v>
      </c>
      <c r="J856" s="2" t="s">
        <v>106</v>
      </c>
      <c r="K856" s="2" t="s">
        <v>2375</v>
      </c>
      <c r="L856" s="2" t="s">
        <v>92</v>
      </c>
      <c r="M856" s="2"/>
      <c r="N856" s="2" t="s">
        <v>118</v>
      </c>
    </row>
    <row r="857" spans="1:14" x14ac:dyDescent="0.25">
      <c r="A857" s="2" t="s">
        <v>2376</v>
      </c>
      <c r="B857" s="2" t="s">
        <v>2377</v>
      </c>
      <c r="C857" s="2" t="s">
        <v>16</v>
      </c>
      <c r="D857" s="2" t="s">
        <v>84</v>
      </c>
      <c r="E857" s="2" t="s">
        <v>148</v>
      </c>
      <c r="F857" s="2" t="s">
        <v>96</v>
      </c>
      <c r="G857" s="2" t="s">
        <v>110</v>
      </c>
      <c r="H857" s="2" t="s">
        <v>74</v>
      </c>
      <c r="I857" s="2">
        <v>8</v>
      </c>
      <c r="J857" s="2" t="s">
        <v>106</v>
      </c>
      <c r="K857" s="2" t="s">
        <v>2378</v>
      </c>
      <c r="L857" s="2" t="s">
        <v>24</v>
      </c>
      <c r="M857" s="2">
        <v>5</v>
      </c>
      <c r="N857" s="2" t="s">
        <v>58</v>
      </c>
    </row>
    <row r="858" spans="1:14" x14ac:dyDescent="0.25">
      <c r="A858" s="2" t="s">
        <v>2379</v>
      </c>
      <c r="B858" s="2" t="s">
        <v>2380</v>
      </c>
      <c r="C858" s="2" t="s">
        <v>53</v>
      </c>
      <c r="D858" s="2" t="s">
        <v>54</v>
      </c>
      <c r="E858" s="2" t="s">
        <v>90</v>
      </c>
      <c r="F858" s="2" t="s">
        <v>62</v>
      </c>
      <c r="G858" s="2" t="s">
        <v>70</v>
      </c>
      <c r="H858" s="2" t="s">
        <v>21</v>
      </c>
      <c r="I858" s="2">
        <v>24</v>
      </c>
      <c r="J858" s="2" t="s">
        <v>200</v>
      </c>
      <c r="K858" s="2"/>
      <c r="L858" s="2" t="s">
        <v>92</v>
      </c>
      <c r="M858" s="2"/>
      <c r="N858" s="2" t="s">
        <v>43</v>
      </c>
    </row>
    <row r="859" spans="1:14" x14ac:dyDescent="0.25">
      <c r="A859" s="2" t="s">
        <v>2381</v>
      </c>
      <c r="B859" s="2" t="s">
        <v>2382</v>
      </c>
      <c r="C859" s="2" t="s">
        <v>67</v>
      </c>
      <c r="D859" s="2" t="s">
        <v>68</v>
      </c>
      <c r="E859" s="2" t="s">
        <v>79</v>
      </c>
      <c r="F859" s="2" t="s">
        <v>55</v>
      </c>
      <c r="G859" s="2" t="s">
        <v>20</v>
      </c>
      <c r="H859" s="2" t="s">
        <v>32</v>
      </c>
      <c r="I859" s="2">
        <v>48</v>
      </c>
      <c r="J859" s="2" t="s">
        <v>117</v>
      </c>
      <c r="K859" s="2"/>
      <c r="L859" s="2" t="s">
        <v>24</v>
      </c>
      <c r="M859" s="2"/>
      <c r="N859" s="2"/>
    </row>
    <row r="860" spans="1:14" x14ac:dyDescent="0.25">
      <c r="A860" s="2" t="s">
        <v>2383</v>
      </c>
      <c r="B860" s="2" t="s">
        <v>2384</v>
      </c>
      <c r="C860" s="2" t="s">
        <v>53</v>
      </c>
      <c r="D860" s="2" t="s">
        <v>61</v>
      </c>
      <c r="E860" s="2" t="s">
        <v>85</v>
      </c>
      <c r="F860" s="2" t="s">
        <v>19</v>
      </c>
      <c r="G860" s="2" t="s">
        <v>183</v>
      </c>
      <c r="H860" s="2" t="s">
        <v>74</v>
      </c>
      <c r="I860" s="2">
        <v>8</v>
      </c>
      <c r="J860" s="2" t="s">
        <v>48</v>
      </c>
      <c r="K860" s="2" t="s">
        <v>2385</v>
      </c>
      <c r="L860" s="2" t="s">
        <v>24</v>
      </c>
      <c r="M860" s="2">
        <v>3</v>
      </c>
      <c r="N860" s="2" t="s">
        <v>58</v>
      </c>
    </row>
    <row r="861" spans="1:14" x14ac:dyDescent="0.25">
      <c r="A861" s="2" t="s">
        <v>2386</v>
      </c>
      <c r="B861" s="2" t="s">
        <v>2387</v>
      </c>
      <c r="C861" s="2" t="s">
        <v>53</v>
      </c>
      <c r="D861" s="2" t="s">
        <v>54</v>
      </c>
      <c r="E861" s="2" t="s">
        <v>148</v>
      </c>
      <c r="F861" s="2" t="s">
        <v>39</v>
      </c>
      <c r="G861" s="2" t="s">
        <v>121</v>
      </c>
      <c r="H861" s="2" t="s">
        <v>21</v>
      </c>
      <c r="I861" s="2">
        <v>24</v>
      </c>
      <c r="J861" s="2" t="s">
        <v>48</v>
      </c>
      <c r="K861" s="2" t="s">
        <v>2388</v>
      </c>
      <c r="L861" s="2" t="s">
        <v>24</v>
      </c>
      <c r="M861" s="2">
        <v>4</v>
      </c>
      <c r="N861" s="2" t="s">
        <v>34</v>
      </c>
    </row>
    <row r="862" spans="1:14" x14ac:dyDescent="0.25">
      <c r="A862" s="2" t="s">
        <v>2389</v>
      </c>
      <c r="B862" s="2" t="s">
        <v>2390</v>
      </c>
      <c r="C862" s="2" t="s">
        <v>28</v>
      </c>
      <c r="D862" s="2" t="s">
        <v>37</v>
      </c>
      <c r="E862" s="2" t="s">
        <v>38</v>
      </c>
      <c r="F862" s="2" t="s">
        <v>30</v>
      </c>
      <c r="G862" s="2" t="s">
        <v>31</v>
      </c>
      <c r="H862" s="2" t="s">
        <v>21</v>
      </c>
      <c r="I862" s="2">
        <v>24</v>
      </c>
      <c r="J862" s="2" t="s">
        <v>75</v>
      </c>
      <c r="K862" s="2" t="s">
        <v>2391</v>
      </c>
      <c r="L862" s="2" t="s">
        <v>24</v>
      </c>
      <c r="M862" s="2"/>
      <c r="N862" s="2"/>
    </row>
    <row r="863" spans="1:14" x14ac:dyDescent="0.25">
      <c r="A863" s="2" t="s">
        <v>2392</v>
      </c>
      <c r="B863" s="2" t="s">
        <v>2393</v>
      </c>
      <c r="C863" s="2" t="s">
        <v>53</v>
      </c>
      <c r="D863" s="2" t="s">
        <v>61</v>
      </c>
      <c r="E863" s="2" t="s">
        <v>79</v>
      </c>
      <c r="F863" s="2" t="s">
        <v>62</v>
      </c>
      <c r="G863" s="2" t="s">
        <v>126</v>
      </c>
      <c r="H863" s="2" t="s">
        <v>21</v>
      </c>
      <c r="I863" s="2">
        <v>24</v>
      </c>
      <c r="J863" s="2" t="s">
        <v>75</v>
      </c>
      <c r="K863" s="2" t="s">
        <v>2394</v>
      </c>
      <c r="L863" s="2" t="s">
        <v>24</v>
      </c>
      <c r="M863" s="2"/>
      <c r="N863" s="2" t="s">
        <v>25</v>
      </c>
    </row>
    <row r="864" spans="1:14" x14ac:dyDescent="0.25">
      <c r="A864" s="2" t="s">
        <v>2395</v>
      </c>
      <c r="B864" s="2" t="s">
        <v>2396</v>
      </c>
      <c r="C864" s="2" t="s">
        <v>28</v>
      </c>
      <c r="D864" s="2" t="s">
        <v>100</v>
      </c>
      <c r="E864" s="2" t="s">
        <v>148</v>
      </c>
      <c r="F864" s="2" t="s">
        <v>19</v>
      </c>
      <c r="G864" s="2" t="s">
        <v>183</v>
      </c>
      <c r="H864" s="2" t="s">
        <v>21</v>
      </c>
      <c r="I864" s="2">
        <v>24</v>
      </c>
      <c r="J864" s="2" t="s">
        <v>11</v>
      </c>
      <c r="K864" s="2"/>
      <c r="L864" s="2" t="s">
        <v>92</v>
      </c>
      <c r="M864" s="2"/>
      <c r="N864" s="2" t="s">
        <v>128</v>
      </c>
    </row>
    <row r="865" spans="1:14" x14ac:dyDescent="0.25">
      <c r="A865" s="2" t="s">
        <v>2397</v>
      </c>
      <c r="B865" s="2" t="s">
        <v>2398</v>
      </c>
      <c r="C865" s="2" t="s">
        <v>67</v>
      </c>
      <c r="D865" s="2" t="s">
        <v>68</v>
      </c>
      <c r="E865" s="2" t="s">
        <v>38</v>
      </c>
      <c r="F865" s="2" t="s">
        <v>125</v>
      </c>
      <c r="G865" s="2" t="s">
        <v>135</v>
      </c>
      <c r="H865" s="2" t="s">
        <v>32</v>
      </c>
      <c r="I865" s="2">
        <v>48</v>
      </c>
      <c r="J865" s="2" t="s">
        <v>41</v>
      </c>
      <c r="K865" s="2" t="s">
        <v>2399</v>
      </c>
      <c r="L865" s="2" t="s">
        <v>24</v>
      </c>
      <c r="M865" s="2">
        <v>5</v>
      </c>
      <c r="N865" s="2" t="s">
        <v>64</v>
      </c>
    </row>
    <row r="866" spans="1:14" x14ac:dyDescent="0.25">
      <c r="A866" s="2" t="s">
        <v>2400</v>
      </c>
      <c r="B866" s="2" t="s">
        <v>2401</v>
      </c>
      <c r="C866" s="2" t="s">
        <v>28</v>
      </c>
      <c r="D866" s="2" t="s">
        <v>37</v>
      </c>
      <c r="E866" s="2" t="s">
        <v>79</v>
      </c>
      <c r="F866" s="2" t="s">
        <v>113</v>
      </c>
      <c r="G866" s="2" t="s">
        <v>101</v>
      </c>
      <c r="H866" s="2" t="s">
        <v>74</v>
      </c>
      <c r="I866" s="2">
        <v>8</v>
      </c>
      <c r="J866" s="2" t="s">
        <v>155</v>
      </c>
      <c r="K866" s="2"/>
      <c r="L866" s="2" t="s">
        <v>24</v>
      </c>
      <c r="M866" s="2"/>
      <c r="N866" s="2"/>
    </row>
    <row r="867" spans="1:14" x14ac:dyDescent="0.25">
      <c r="A867" s="2" t="s">
        <v>2402</v>
      </c>
      <c r="B867" s="2" t="s">
        <v>2403</v>
      </c>
      <c r="C867" s="2" t="s">
        <v>53</v>
      </c>
      <c r="D867" s="2" t="s">
        <v>61</v>
      </c>
      <c r="E867" s="2" t="s">
        <v>148</v>
      </c>
      <c r="F867" s="2" t="s">
        <v>55</v>
      </c>
      <c r="G867" s="2" t="s">
        <v>110</v>
      </c>
      <c r="H867" s="2" t="s">
        <v>74</v>
      </c>
      <c r="I867" s="2">
        <v>8</v>
      </c>
      <c r="J867" s="2" t="s">
        <v>106</v>
      </c>
      <c r="K867" s="2" t="s">
        <v>2404</v>
      </c>
      <c r="L867" s="2" t="s">
        <v>24</v>
      </c>
      <c r="M867" s="2"/>
      <c r="N867" s="2" t="s">
        <v>58</v>
      </c>
    </row>
    <row r="868" spans="1:14" x14ac:dyDescent="0.25">
      <c r="A868" s="2" t="s">
        <v>2405</v>
      </c>
      <c r="B868" s="2" t="s">
        <v>2406</v>
      </c>
      <c r="C868" s="2" t="s">
        <v>16</v>
      </c>
      <c r="D868" s="2" t="s">
        <v>84</v>
      </c>
      <c r="E868" s="2" t="s">
        <v>148</v>
      </c>
      <c r="F868" s="2" t="s">
        <v>30</v>
      </c>
      <c r="G868" s="2" t="s">
        <v>183</v>
      </c>
      <c r="H868" s="2" t="s">
        <v>74</v>
      </c>
      <c r="I868" s="2">
        <v>8</v>
      </c>
      <c r="J868" s="2" t="s">
        <v>187</v>
      </c>
      <c r="K868" s="2" t="s">
        <v>2407</v>
      </c>
      <c r="L868" s="2" t="s">
        <v>24</v>
      </c>
      <c r="M868" s="2">
        <v>5</v>
      </c>
      <c r="N868" s="2" t="s">
        <v>43</v>
      </c>
    </row>
    <row r="869" spans="1:14" x14ac:dyDescent="0.25">
      <c r="A869" s="2" t="s">
        <v>2408</v>
      </c>
      <c r="B869" s="2" t="s">
        <v>2409</v>
      </c>
      <c r="C869" s="2" t="s">
        <v>28</v>
      </c>
      <c r="D869" s="2" t="s">
        <v>37</v>
      </c>
      <c r="E869" s="2" t="s">
        <v>85</v>
      </c>
      <c r="F869" s="2" t="s">
        <v>55</v>
      </c>
      <c r="G869" s="2" t="s">
        <v>91</v>
      </c>
      <c r="H869" s="2" t="s">
        <v>21</v>
      </c>
      <c r="I869" s="2">
        <v>24</v>
      </c>
      <c r="J869" s="2" t="s">
        <v>117</v>
      </c>
      <c r="K869" s="2"/>
      <c r="L869" s="2" t="s">
        <v>24</v>
      </c>
      <c r="M869" s="2"/>
      <c r="N869" s="2"/>
    </row>
    <row r="870" spans="1:14" x14ac:dyDescent="0.25">
      <c r="A870" s="2" t="s">
        <v>2410</v>
      </c>
      <c r="B870" s="2" t="s">
        <v>2411</v>
      </c>
      <c r="C870" s="2" t="s">
        <v>53</v>
      </c>
      <c r="D870" s="2" t="s">
        <v>61</v>
      </c>
      <c r="E870" s="2" t="s">
        <v>18</v>
      </c>
      <c r="F870" s="2" t="s">
        <v>143</v>
      </c>
      <c r="G870" s="2" t="s">
        <v>126</v>
      </c>
      <c r="H870" s="2" t="s">
        <v>21</v>
      </c>
      <c r="I870" s="2">
        <v>24</v>
      </c>
      <c r="J870" s="2" t="s">
        <v>48</v>
      </c>
      <c r="K870" s="2" t="s">
        <v>2412</v>
      </c>
      <c r="L870" s="2" t="s">
        <v>24</v>
      </c>
      <c r="M870" s="2">
        <v>4</v>
      </c>
      <c r="N870" s="2" t="s">
        <v>58</v>
      </c>
    </row>
    <row r="871" spans="1:14" x14ac:dyDescent="0.25">
      <c r="A871" s="2" t="s">
        <v>2413</v>
      </c>
      <c r="B871" s="2" t="s">
        <v>2414</v>
      </c>
      <c r="C871" s="2" t="s">
        <v>53</v>
      </c>
      <c r="D871" s="2" t="s">
        <v>61</v>
      </c>
      <c r="E871" s="2" t="s">
        <v>90</v>
      </c>
      <c r="F871" s="2" t="s">
        <v>47</v>
      </c>
      <c r="G871" s="2" t="s">
        <v>158</v>
      </c>
      <c r="H871" s="2" t="s">
        <v>21</v>
      </c>
      <c r="I871" s="2">
        <v>24</v>
      </c>
      <c r="J871" s="2" t="s">
        <v>22</v>
      </c>
      <c r="K871" s="2" t="s">
        <v>2415</v>
      </c>
      <c r="L871" s="2" t="s">
        <v>24</v>
      </c>
      <c r="M871" s="2">
        <v>4</v>
      </c>
      <c r="N871" s="2" t="s">
        <v>50</v>
      </c>
    </row>
    <row r="872" spans="1:14" x14ac:dyDescent="0.25">
      <c r="A872" s="2" t="s">
        <v>2416</v>
      </c>
      <c r="B872" s="2" t="s">
        <v>2417</v>
      </c>
      <c r="C872" s="2" t="s">
        <v>16</v>
      </c>
      <c r="D872" s="2" t="s">
        <v>17</v>
      </c>
      <c r="E872" s="2" t="s">
        <v>85</v>
      </c>
      <c r="F872" s="2" t="s">
        <v>69</v>
      </c>
      <c r="G872" s="2" t="s">
        <v>183</v>
      </c>
      <c r="H872" s="2" t="s">
        <v>21</v>
      </c>
      <c r="I872" s="2">
        <v>24</v>
      </c>
      <c r="J872" s="2" t="s">
        <v>106</v>
      </c>
      <c r="K872" s="2" t="s">
        <v>2418</v>
      </c>
      <c r="L872" s="2" t="s">
        <v>24</v>
      </c>
      <c r="M872" s="2">
        <v>5</v>
      </c>
      <c r="N872" s="2" t="s">
        <v>118</v>
      </c>
    </row>
    <row r="873" spans="1:14" x14ac:dyDescent="0.25">
      <c r="A873" s="2" t="s">
        <v>2419</v>
      </c>
      <c r="B873" s="2" t="s">
        <v>2420</v>
      </c>
      <c r="C873" s="2" t="s">
        <v>67</v>
      </c>
      <c r="D873" s="2" t="s">
        <v>89</v>
      </c>
      <c r="E873" s="2" t="s">
        <v>46</v>
      </c>
      <c r="F873" s="2" t="s">
        <v>113</v>
      </c>
      <c r="G873" s="2" t="s">
        <v>97</v>
      </c>
      <c r="H873" s="2" t="s">
        <v>74</v>
      </c>
      <c r="I873" s="2">
        <v>8</v>
      </c>
      <c r="J873" s="2" t="s">
        <v>75</v>
      </c>
      <c r="K873" s="2" t="s">
        <v>2421</v>
      </c>
      <c r="L873" s="2" t="s">
        <v>24</v>
      </c>
      <c r="M873" s="2">
        <v>4</v>
      </c>
      <c r="N873" s="2"/>
    </row>
    <row r="874" spans="1:14" x14ac:dyDescent="0.25">
      <c r="A874" s="2" t="s">
        <v>2422</v>
      </c>
      <c r="B874" s="2" t="s">
        <v>2423</v>
      </c>
      <c r="C874" s="2" t="s">
        <v>53</v>
      </c>
      <c r="D874" s="2" t="s">
        <v>61</v>
      </c>
      <c r="E874" s="2" t="s">
        <v>18</v>
      </c>
      <c r="F874" s="2" t="s">
        <v>55</v>
      </c>
      <c r="G874" s="2" t="s">
        <v>31</v>
      </c>
      <c r="H874" s="2" t="s">
        <v>32</v>
      </c>
      <c r="I874" s="2">
        <v>48</v>
      </c>
      <c r="J874" s="2" t="s">
        <v>41</v>
      </c>
      <c r="K874" s="2" t="s">
        <v>2424</v>
      </c>
      <c r="L874" s="2" t="s">
        <v>92</v>
      </c>
      <c r="M874" s="2">
        <v>4</v>
      </c>
      <c r="N874" s="2" t="s">
        <v>25</v>
      </c>
    </row>
    <row r="875" spans="1:14" x14ac:dyDescent="0.25">
      <c r="A875" s="2" t="s">
        <v>2425</v>
      </c>
      <c r="B875" s="2" t="s">
        <v>2426</v>
      </c>
      <c r="C875" s="2" t="s">
        <v>28</v>
      </c>
      <c r="D875" s="2" t="s">
        <v>100</v>
      </c>
      <c r="E875" s="2" t="s">
        <v>148</v>
      </c>
      <c r="F875" s="2" t="s">
        <v>39</v>
      </c>
      <c r="G875" s="2" t="s">
        <v>139</v>
      </c>
      <c r="H875" s="2" t="s">
        <v>21</v>
      </c>
      <c r="I875" s="2">
        <v>24</v>
      </c>
      <c r="J875" s="2" t="s">
        <v>75</v>
      </c>
      <c r="K875" s="2" t="s">
        <v>2427</v>
      </c>
      <c r="L875" s="2" t="s">
        <v>24</v>
      </c>
      <c r="M875" s="2">
        <v>5</v>
      </c>
      <c r="N875" s="2" t="s">
        <v>64</v>
      </c>
    </row>
    <row r="876" spans="1:14" x14ac:dyDescent="0.25">
      <c r="A876" s="2" t="s">
        <v>2428</v>
      </c>
      <c r="B876" s="2" t="s">
        <v>2429</v>
      </c>
      <c r="C876" s="2" t="s">
        <v>28</v>
      </c>
      <c r="D876" s="2" t="s">
        <v>37</v>
      </c>
      <c r="E876" s="2" t="s">
        <v>18</v>
      </c>
      <c r="F876" s="2" t="s">
        <v>55</v>
      </c>
      <c r="G876" s="2" t="s">
        <v>97</v>
      </c>
      <c r="H876" s="2" t="s">
        <v>32</v>
      </c>
      <c r="I876" s="2">
        <v>48</v>
      </c>
      <c r="J876" s="2" t="s">
        <v>117</v>
      </c>
      <c r="K876" s="2"/>
      <c r="L876" s="2" t="s">
        <v>24</v>
      </c>
      <c r="M876" s="2"/>
      <c r="N876" s="2" t="s">
        <v>25</v>
      </c>
    </row>
    <row r="877" spans="1:14" x14ac:dyDescent="0.25">
      <c r="A877" s="2" t="s">
        <v>2430</v>
      </c>
      <c r="B877" s="2" t="s">
        <v>2431</v>
      </c>
      <c r="C877" s="2" t="s">
        <v>53</v>
      </c>
      <c r="D877" s="2" t="s">
        <v>54</v>
      </c>
      <c r="E877" s="2" t="s">
        <v>18</v>
      </c>
      <c r="F877" s="2" t="s">
        <v>125</v>
      </c>
      <c r="G877" s="2" t="s">
        <v>158</v>
      </c>
      <c r="H877" s="2" t="s">
        <v>32</v>
      </c>
      <c r="I877" s="2">
        <v>48</v>
      </c>
      <c r="J877" s="2" t="s">
        <v>75</v>
      </c>
      <c r="K877" s="2" t="s">
        <v>2432</v>
      </c>
      <c r="L877" s="2" t="s">
        <v>92</v>
      </c>
      <c r="M877" s="2">
        <v>2</v>
      </c>
      <c r="N877" s="2" t="s">
        <v>34</v>
      </c>
    </row>
    <row r="878" spans="1:14" x14ac:dyDescent="0.25">
      <c r="A878" s="2" t="s">
        <v>2433</v>
      </c>
      <c r="B878" s="2" t="s">
        <v>2434</v>
      </c>
      <c r="C878" s="2" t="s">
        <v>16</v>
      </c>
      <c r="D878" s="2" t="s">
        <v>84</v>
      </c>
      <c r="E878" s="2" t="s">
        <v>148</v>
      </c>
      <c r="F878" s="2" t="s">
        <v>96</v>
      </c>
      <c r="G878" s="2" t="s">
        <v>121</v>
      </c>
      <c r="H878" s="2" t="s">
        <v>21</v>
      </c>
      <c r="I878" s="2">
        <v>24</v>
      </c>
      <c r="J878" s="2" t="s">
        <v>486</v>
      </c>
      <c r="K878" s="2" t="s">
        <v>2435</v>
      </c>
      <c r="L878" s="2" t="s">
        <v>92</v>
      </c>
      <c r="M878" s="2"/>
      <c r="N878" s="2" t="s">
        <v>118</v>
      </c>
    </row>
    <row r="879" spans="1:14" x14ac:dyDescent="0.25">
      <c r="A879" s="2" t="s">
        <v>2436</v>
      </c>
      <c r="B879" s="2" t="s">
        <v>2437</v>
      </c>
      <c r="C879" s="2" t="s">
        <v>16</v>
      </c>
      <c r="D879" s="2" t="s">
        <v>17</v>
      </c>
      <c r="E879" s="2" t="s">
        <v>79</v>
      </c>
      <c r="F879" s="2" t="s">
        <v>69</v>
      </c>
      <c r="G879" s="2" t="s">
        <v>211</v>
      </c>
      <c r="H879" s="2" t="s">
        <v>74</v>
      </c>
      <c r="I879" s="2">
        <v>8</v>
      </c>
      <c r="J879" s="2" t="s">
        <v>33</v>
      </c>
      <c r="K879" s="2"/>
      <c r="L879" s="2" t="s">
        <v>24</v>
      </c>
      <c r="M879" s="2"/>
      <c r="N879" s="2" t="s">
        <v>118</v>
      </c>
    </row>
    <row r="880" spans="1:14" x14ac:dyDescent="0.25">
      <c r="A880" s="2" t="s">
        <v>2438</v>
      </c>
      <c r="B880" s="2" t="s">
        <v>2439</v>
      </c>
      <c r="C880" s="2" t="s">
        <v>16</v>
      </c>
      <c r="D880" s="2" t="s">
        <v>17</v>
      </c>
      <c r="E880" s="2" t="s">
        <v>148</v>
      </c>
      <c r="F880" s="2" t="s">
        <v>30</v>
      </c>
      <c r="G880" s="2" t="s">
        <v>126</v>
      </c>
      <c r="H880" s="2" t="s">
        <v>32</v>
      </c>
      <c r="I880" s="2">
        <v>48</v>
      </c>
      <c r="J880" s="2" t="s">
        <v>200</v>
      </c>
      <c r="K880" s="2"/>
      <c r="L880" s="2" t="s">
        <v>92</v>
      </c>
      <c r="M880" s="2"/>
      <c r="N880" s="2" t="s">
        <v>64</v>
      </c>
    </row>
    <row r="881" spans="1:14" x14ac:dyDescent="0.25">
      <c r="A881" s="2" t="s">
        <v>2440</v>
      </c>
      <c r="B881" s="2" t="s">
        <v>2441</v>
      </c>
      <c r="C881" s="2" t="s">
        <v>28</v>
      </c>
      <c r="D881" s="2" t="s">
        <v>37</v>
      </c>
      <c r="E881" s="2" t="s">
        <v>38</v>
      </c>
      <c r="F881" s="2" t="s">
        <v>39</v>
      </c>
      <c r="G881" s="2" t="s">
        <v>105</v>
      </c>
      <c r="H881" s="2" t="s">
        <v>80</v>
      </c>
      <c r="I881" s="2">
        <v>4</v>
      </c>
      <c r="J881" s="2" t="s">
        <v>41</v>
      </c>
      <c r="K881" s="2" t="s">
        <v>2442</v>
      </c>
      <c r="L881" s="2" t="s">
        <v>24</v>
      </c>
      <c r="M881" s="2">
        <v>5</v>
      </c>
      <c r="N881" s="2"/>
    </row>
    <row r="882" spans="1:14" x14ac:dyDescent="0.25">
      <c r="A882" s="2" t="s">
        <v>2443</v>
      </c>
      <c r="B882" s="2" t="s">
        <v>2444</v>
      </c>
      <c r="C882" s="2" t="s">
        <v>67</v>
      </c>
      <c r="D882" s="2" t="s">
        <v>95</v>
      </c>
      <c r="E882" s="2" t="s">
        <v>85</v>
      </c>
      <c r="F882" s="2" t="s">
        <v>131</v>
      </c>
      <c r="G882" s="2" t="s">
        <v>183</v>
      </c>
      <c r="H882" s="2" t="s">
        <v>74</v>
      </c>
      <c r="I882" s="2">
        <v>8</v>
      </c>
      <c r="J882" s="2" t="s">
        <v>75</v>
      </c>
      <c r="K882" s="2" t="s">
        <v>2445</v>
      </c>
      <c r="L882" s="2" t="s">
        <v>24</v>
      </c>
      <c r="M882" s="2"/>
      <c r="N882" s="2" t="s">
        <v>128</v>
      </c>
    </row>
    <row r="883" spans="1:14" x14ac:dyDescent="0.25">
      <c r="A883" s="2" t="s">
        <v>2446</v>
      </c>
      <c r="B883" s="2" t="s">
        <v>2447</v>
      </c>
      <c r="C883" s="2" t="s">
        <v>67</v>
      </c>
      <c r="D883" s="2" t="s">
        <v>68</v>
      </c>
      <c r="E883" s="2" t="s">
        <v>18</v>
      </c>
      <c r="F883" s="2" t="s">
        <v>19</v>
      </c>
      <c r="G883" s="2" t="s">
        <v>179</v>
      </c>
      <c r="H883" s="2" t="s">
        <v>21</v>
      </c>
      <c r="I883" s="2">
        <v>24</v>
      </c>
      <c r="J883" s="2" t="s">
        <v>22</v>
      </c>
      <c r="K883" s="2" t="s">
        <v>2448</v>
      </c>
      <c r="L883" s="2" t="s">
        <v>24</v>
      </c>
      <c r="M883" s="2"/>
      <c r="N883" s="2" t="s">
        <v>34</v>
      </c>
    </row>
    <row r="884" spans="1:14" x14ac:dyDescent="0.25">
      <c r="A884" s="2" t="s">
        <v>2449</v>
      </c>
      <c r="B884" s="2" t="s">
        <v>2450</v>
      </c>
      <c r="C884" s="2" t="s">
        <v>16</v>
      </c>
      <c r="D884" s="2" t="s">
        <v>84</v>
      </c>
      <c r="E884" s="2" t="s">
        <v>90</v>
      </c>
      <c r="F884" s="2" t="s">
        <v>30</v>
      </c>
      <c r="G884" s="2" t="s">
        <v>110</v>
      </c>
      <c r="H884" s="2" t="s">
        <v>21</v>
      </c>
      <c r="I884" s="2">
        <v>24</v>
      </c>
      <c r="J884" s="2" t="s">
        <v>48</v>
      </c>
      <c r="K884" s="2" t="s">
        <v>2451</v>
      </c>
      <c r="L884" s="2" t="s">
        <v>24</v>
      </c>
      <c r="M884" s="2">
        <v>4</v>
      </c>
      <c r="N884" s="2" t="s">
        <v>58</v>
      </c>
    </row>
    <row r="885" spans="1:14" x14ac:dyDescent="0.25">
      <c r="A885" s="2" t="s">
        <v>2452</v>
      </c>
      <c r="B885" s="2" t="s">
        <v>2453</v>
      </c>
      <c r="C885" s="2" t="s">
        <v>28</v>
      </c>
      <c r="D885" s="2" t="s">
        <v>37</v>
      </c>
      <c r="E885" s="2" t="s">
        <v>46</v>
      </c>
      <c r="F885" s="2" t="s">
        <v>62</v>
      </c>
      <c r="G885" s="2" t="s">
        <v>135</v>
      </c>
      <c r="H885" s="2" t="s">
        <v>21</v>
      </c>
      <c r="I885" s="2">
        <v>24</v>
      </c>
      <c r="J885" s="2" t="s">
        <v>200</v>
      </c>
      <c r="K885" s="2"/>
      <c r="L885" s="2" t="s">
        <v>92</v>
      </c>
      <c r="M885" s="2"/>
      <c r="N885" s="2"/>
    </row>
    <row r="886" spans="1:14" x14ac:dyDescent="0.25">
      <c r="A886" s="2" t="s">
        <v>2454</v>
      </c>
      <c r="B886" s="2" t="s">
        <v>2455</v>
      </c>
      <c r="C886" s="2" t="s">
        <v>53</v>
      </c>
      <c r="D886" s="2" t="s">
        <v>54</v>
      </c>
      <c r="E886" s="2" t="s">
        <v>46</v>
      </c>
      <c r="F886" s="2" t="s">
        <v>131</v>
      </c>
      <c r="G886" s="2" t="s">
        <v>105</v>
      </c>
      <c r="H886" s="2" t="s">
        <v>21</v>
      </c>
      <c r="I886" s="2">
        <v>24</v>
      </c>
      <c r="J886" s="2" t="s">
        <v>200</v>
      </c>
      <c r="K886" s="2"/>
      <c r="L886" s="2" t="s">
        <v>92</v>
      </c>
      <c r="M886" s="2"/>
      <c r="N886" s="2" t="s">
        <v>50</v>
      </c>
    </row>
    <row r="887" spans="1:14" x14ac:dyDescent="0.25">
      <c r="A887" s="2" t="s">
        <v>2456</v>
      </c>
      <c r="B887" s="2" t="s">
        <v>2457</v>
      </c>
      <c r="C887" s="2" t="s">
        <v>53</v>
      </c>
      <c r="D887" s="2" t="s">
        <v>54</v>
      </c>
      <c r="E887" s="2" t="s">
        <v>38</v>
      </c>
      <c r="F887" s="2" t="s">
        <v>39</v>
      </c>
      <c r="G887" s="2" t="s">
        <v>97</v>
      </c>
      <c r="H887" s="2" t="s">
        <v>21</v>
      </c>
      <c r="I887" s="2">
        <v>24</v>
      </c>
      <c r="J887" s="2" t="s">
        <v>232</v>
      </c>
      <c r="K887" s="2"/>
      <c r="L887" s="2" t="s">
        <v>92</v>
      </c>
      <c r="M887" s="2"/>
      <c r="N887" s="2" t="s">
        <v>58</v>
      </c>
    </row>
    <row r="888" spans="1:14" x14ac:dyDescent="0.25">
      <c r="A888" s="2" t="s">
        <v>2458</v>
      </c>
      <c r="B888" s="2" t="s">
        <v>2459</v>
      </c>
      <c r="C888" s="2" t="s">
        <v>28</v>
      </c>
      <c r="D888" s="2" t="s">
        <v>100</v>
      </c>
      <c r="E888" s="2" t="s">
        <v>79</v>
      </c>
      <c r="F888" s="2" t="s">
        <v>131</v>
      </c>
      <c r="G888" s="2" t="s">
        <v>158</v>
      </c>
      <c r="H888" s="2" t="s">
        <v>74</v>
      </c>
      <c r="I888" s="2">
        <v>8</v>
      </c>
      <c r="J888" s="2" t="s">
        <v>191</v>
      </c>
      <c r="K888" s="2" t="s">
        <v>2460</v>
      </c>
      <c r="L888" s="2" t="s">
        <v>24</v>
      </c>
      <c r="M888" s="2"/>
      <c r="N888" s="2" t="s">
        <v>43</v>
      </c>
    </row>
    <row r="889" spans="1:14" x14ac:dyDescent="0.25">
      <c r="A889" s="2" t="s">
        <v>2461</v>
      </c>
      <c r="B889" s="2" t="s">
        <v>2462</v>
      </c>
      <c r="C889" s="2" t="s">
        <v>28</v>
      </c>
      <c r="D889" s="2" t="s">
        <v>100</v>
      </c>
      <c r="E889" s="2" t="s">
        <v>38</v>
      </c>
      <c r="F889" s="2" t="s">
        <v>30</v>
      </c>
      <c r="G889" s="2" t="s">
        <v>135</v>
      </c>
      <c r="H889" s="2" t="s">
        <v>74</v>
      </c>
      <c r="I889" s="2">
        <v>8</v>
      </c>
      <c r="J889" s="2" t="s">
        <v>106</v>
      </c>
      <c r="K889" s="2" t="s">
        <v>2463</v>
      </c>
      <c r="L889" s="2" t="s">
        <v>24</v>
      </c>
      <c r="M889" s="2"/>
      <c r="N889" s="2" t="s">
        <v>64</v>
      </c>
    </row>
    <row r="890" spans="1:14" x14ac:dyDescent="0.25">
      <c r="A890" s="2" t="s">
        <v>2464</v>
      </c>
      <c r="B890" s="2" t="s">
        <v>2465</v>
      </c>
      <c r="C890" s="2" t="s">
        <v>16</v>
      </c>
      <c r="D890" s="2" t="s">
        <v>84</v>
      </c>
      <c r="E890" s="2" t="s">
        <v>148</v>
      </c>
      <c r="F890" s="2" t="s">
        <v>47</v>
      </c>
      <c r="G890" s="2" t="s">
        <v>31</v>
      </c>
      <c r="H890" s="2" t="s">
        <v>21</v>
      </c>
      <c r="I890" s="2">
        <v>24</v>
      </c>
      <c r="J890" s="2" t="s">
        <v>48</v>
      </c>
      <c r="K890" s="2" t="s">
        <v>2466</v>
      </c>
      <c r="L890" s="2" t="s">
        <v>24</v>
      </c>
      <c r="M890" s="2">
        <v>4</v>
      </c>
      <c r="N890" s="2" t="s">
        <v>43</v>
      </c>
    </row>
    <row r="891" spans="1:14" x14ac:dyDescent="0.25">
      <c r="A891" s="2" t="s">
        <v>2467</v>
      </c>
      <c r="B891" s="2" t="s">
        <v>2468</v>
      </c>
      <c r="C891" s="2" t="s">
        <v>16</v>
      </c>
      <c r="D891" s="2" t="s">
        <v>17</v>
      </c>
      <c r="E891" s="2" t="s">
        <v>46</v>
      </c>
      <c r="F891" s="2" t="s">
        <v>125</v>
      </c>
      <c r="G891" s="2" t="s">
        <v>144</v>
      </c>
      <c r="H891" s="2" t="s">
        <v>21</v>
      </c>
      <c r="I891" s="2">
        <v>24</v>
      </c>
      <c r="J891" s="2" t="s">
        <v>41</v>
      </c>
      <c r="K891" s="2" t="s">
        <v>2469</v>
      </c>
      <c r="L891" s="2" t="s">
        <v>24</v>
      </c>
      <c r="M891" s="2"/>
      <c r="N891" s="2" t="s">
        <v>43</v>
      </c>
    </row>
    <row r="892" spans="1:14" x14ac:dyDescent="0.25">
      <c r="A892" s="2" t="s">
        <v>2470</v>
      </c>
      <c r="B892" s="2" t="s">
        <v>2471</v>
      </c>
      <c r="C892" s="2" t="s">
        <v>16</v>
      </c>
      <c r="D892" s="2" t="s">
        <v>84</v>
      </c>
      <c r="E892" s="2" t="s">
        <v>79</v>
      </c>
      <c r="F892" s="2" t="s">
        <v>131</v>
      </c>
      <c r="G892" s="2" t="s">
        <v>110</v>
      </c>
      <c r="H892" s="2" t="s">
        <v>32</v>
      </c>
      <c r="I892" s="2">
        <v>48</v>
      </c>
      <c r="J892" s="2" t="s">
        <v>155</v>
      </c>
      <c r="K892" s="2"/>
      <c r="L892" s="2" t="s">
        <v>24</v>
      </c>
      <c r="M892" s="2"/>
      <c r="N892" s="2" t="s">
        <v>128</v>
      </c>
    </row>
    <row r="893" spans="1:14" x14ac:dyDescent="0.25">
      <c r="A893" s="2" t="s">
        <v>2472</v>
      </c>
      <c r="B893" s="2" t="s">
        <v>2473</v>
      </c>
      <c r="C893" s="2" t="s">
        <v>28</v>
      </c>
      <c r="D893" s="2" t="s">
        <v>37</v>
      </c>
      <c r="E893" s="2" t="s">
        <v>148</v>
      </c>
      <c r="F893" s="2" t="s">
        <v>143</v>
      </c>
      <c r="G893" s="2" t="s">
        <v>110</v>
      </c>
      <c r="H893" s="2" t="s">
        <v>32</v>
      </c>
      <c r="I893" s="2">
        <v>48</v>
      </c>
      <c r="J893" s="2" t="s">
        <v>41</v>
      </c>
      <c r="K893" s="2" t="s">
        <v>2474</v>
      </c>
      <c r="L893" s="2" t="s">
        <v>24</v>
      </c>
      <c r="M893" s="2">
        <v>3</v>
      </c>
      <c r="N893" s="2" t="s">
        <v>25</v>
      </c>
    </row>
    <row r="894" spans="1:14" x14ac:dyDescent="0.25">
      <c r="A894" s="2" t="s">
        <v>2475</v>
      </c>
      <c r="B894" s="2" t="s">
        <v>2476</v>
      </c>
      <c r="C894" s="2" t="s">
        <v>16</v>
      </c>
      <c r="D894" s="2" t="s">
        <v>84</v>
      </c>
      <c r="E894" s="2" t="s">
        <v>18</v>
      </c>
      <c r="F894" s="2" t="s">
        <v>55</v>
      </c>
      <c r="G894" s="2" t="s">
        <v>211</v>
      </c>
      <c r="H894" s="2" t="s">
        <v>80</v>
      </c>
      <c r="I894" s="2">
        <v>4</v>
      </c>
      <c r="J894" s="2" t="s">
        <v>22</v>
      </c>
      <c r="K894" s="2" t="s">
        <v>2477</v>
      </c>
      <c r="L894" s="2" t="s">
        <v>24</v>
      </c>
      <c r="M894" s="2">
        <v>5</v>
      </c>
      <c r="N894" s="2" t="s">
        <v>34</v>
      </c>
    </row>
    <row r="895" spans="1:14" x14ac:dyDescent="0.25">
      <c r="A895" s="2" t="s">
        <v>2478</v>
      </c>
      <c r="B895" s="2" t="s">
        <v>2479</v>
      </c>
      <c r="C895" s="2" t="s">
        <v>53</v>
      </c>
      <c r="D895" s="2" t="s">
        <v>54</v>
      </c>
      <c r="E895" s="2" t="s">
        <v>46</v>
      </c>
      <c r="F895" s="2" t="s">
        <v>62</v>
      </c>
      <c r="G895" s="2" t="s">
        <v>135</v>
      </c>
      <c r="H895" s="2" t="s">
        <v>32</v>
      </c>
      <c r="I895" s="2">
        <v>48</v>
      </c>
      <c r="J895" s="2" t="s">
        <v>48</v>
      </c>
      <c r="K895" s="2" t="s">
        <v>2480</v>
      </c>
      <c r="L895" s="2" t="s">
        <v>24</v>
      </c>
      <c r="M895" s="2">
        <v>5</v>
      </c>
      <c r="N895" s="2" t="s">
        <v>128</v>
      </c>
    </row>
    <row r="896" spans="1:14" x14ac:dyDescent="0.25">
      <c r="A896" s="2" t="s">
        <v>2481</v>
      </c>
      <c r="B896" s="2" t="s">
        <v>2482</v>
      </c>
      <c r="C896" s="2" t="s">
        <v>53</v>
      </c>
      <c r="D896" s="2" t="s">
        <v>54</v>
      </c>
      <c r="E896" s="2" t="s">
        <v>148</v>
      </c>
      <c r="F896" s="2" t="s">
        <v>131</v>
      </c>
      <c r="G896" s="2" t="s">
        <v>101</v>
      </c>
      <c r="H896" s="2" t="s">
        <v>21</v>
      </c>
      <c r="I896" s="2">
        <v>24</v>
      </c>
      <c r="J896" s="2" t="s">
        <v>41</v>
      </c>
      <c r="K896" s="2" t="s">
        <v>2483</v>
      </c>
      <c r="L896" s="2" t="s">
        <v>24</v>
      </c>
      <c r="M896" s="2"/>
      <c r="N896" s="2" t="s">
        <v>128</v>
      </c>
    </row>
    <row r="897" spans="1:14" x14ac:dyDescent="0.25">
      <c r="A897" s="2" t="s">
        <v>2484</v>
      </c>
      <c r="B897" s="2" t="s">
        <v>2485</v>
      </c>
      <c r="C897" s="2" t="s">
        <v>67</v>
      </c>
      <c r="D897" s="2" t="s">
        <v>95</v>
      </c>
      <c r="E897" s="2" t="s">
        <v>46</v>
      </c>
      <c r="F897" s="2" t="s">
        <v>62</v>
      </c>
      <c r="G897" s="2" t="s">
        <v>105</v>
      </c>
      <c r="H897" s="2" t="s">
        <v>74</v>
      </c>
      <c r="I897" s="2">
        <v>8</v>
      </c>
      <c r="J897" s="2" t="s">
        <v>41</v>
      </c>
      <c r="K897" s="2"/>
      <c r="L897" s="2" t="s">
        <v>24</v>
      </c>
      <c r="M897" s="2">
        <v>2</v>
      </c>
      <c r="N897" s="2" t="s">
        <v>128</v>
      </c>
    </row>
    <row r="898" spans="1:14" x14ac:dyDescent="0.25">
      <c r="A898" s="2" t="s">
        <v>2486</v>
      </c>
      <c r="B898" s="2" t="s">
        <v>2487</v>
      </c>
      <c r="C898" s="2" t="s">
        <v>16</v>
      </c>
      <c r="D898" s="2" t="s">
        <v>17</v>
      </c>
      <c r="E898" s="2" t="s">
        <v>148</v>
      </c>
      <c r="F898" s="2" t="s">
        <v>55</v>
      </c>
      <c r="G898" s="2" t="s">
        <v>70</v>
      </c>
      <c r="H898" s="2" t="s">
        <v>21</v>
      </c>
      <c r="I898" s="2">
        <v>24</v>
      </c>
      <c r="J898" s="2" t="s">
        <v>232</v>
      </c>
      <c r="K898" s="2"/>
      <c r="L898" s="2" t="s">
        <v>92</v>
      </c>
      <c r="M898" s="2"/>
      <c r="N898" s="2" t="s">
        <v>34</v>
      </c>
    </row>
    <row r="899" spans="1:14" x14ac:dyDescent="0.25">
      <c r="A899" s="2" t="s">
        <v>2488</v>
      </c>
      <c r="B899" s="2" t="s">
        <v>2489</v>
      </c>
      <c r="C899" s="2" t="s">
        <v>16</v>
      </c>
      <c r="D899" s="2" t="s">
        <v>17</v>
      </c>
      <c r="E899" s="2" t="s">
        <v>85</v>
      </c>
      <c r="F899" s="2" t="s">
        <v>143</v>
      </c>
      <c r="G899" s="2" t="s">
        <v>20</v>
      </c>
      <c r="H899" s="2" t="s">
        <v>80</v>
      </c>
      <c r="I899" s="2">
        <v>4</v>
      </c>
      <c r="J899" s="2" t="s">
        <v>191</v>
      </c>
      <c r="K899" s="2" t="s">
        <v>2490</v>
      </c>
      <c r="L899" s="2" t="s">
        <v>24</v>
      </c>
      <c r="M899" s="2"/>
      <c r="N899" s="2"/>
    </row>
    <row r="900" spans="1:14" x14ac:dyDescent="0.25">
      <c r="A900" s="2" t="s">
        <v>2491</v>
      </c>
      <c r="B900" s="2" t="s">
        <v>2492</v>
      </c>
      <c r="C900" s="2" t="s">
        <v>16</v>
      </c>
      <c r="D900" s="2" t="s">
        <v>17</v>
      </c>
      <c r="E900" s="2" t="s">
        <v>18</v>
      </c>
      <c r="F900" s="2" t="s">
        <v>62</v>
      </c>
      <c r="G900" s="2" t="s">
        <v>121</v>
      </c>
      <c r="H900" s="2" t="s">
        <v>21</v>
      </c>
      <c r="I900" s="2">
        <v>24</v>
      </c>
      <c r="J900" s="2" t="s">
        <v>75</v>
      </c>
      <c r="K900" s="2"/>
      <c r="L900" s="2" t="s">
        <v>92</v>
      </c>
      <c r="M900" s="2">
        <v>5</v>
      </c>
      <c r="N900" s="2" t="s">
        <v>34</v>
      </c>
    </row>
    <row r="901" spans="1:14" x14ac:dyDescent="0.25">
      <c r="A901" s="2" t="s">
        <v>2493</v>
      </c>
      <c r="B901" s="2" t="s">
        <v>2494</v>
      </c>
      <c r="C901" s="2" t="s">
        <v>67</v>
      </c>
      <c r="D901" s="2" t="s">
        <v>95</v>
      </c>
      <c r="E901" s="2" t="s">
        <v>85</v>
      </c>
      <c r="F901" s="2" t="s">
        <v>131</v>
      </c>
      <c r="G901" s="2" t="s">
        <v>91</v>
      </c>
      <c r="H901" s="2" t="s">
        <v>21</v>
      </c>
      <c r="I901" s="2">
        <v>24</v>
      </c>
      <c r="J901" s="2" t="s">
        <v>106</v>
      </c>
      <c r="K901" s="2" t="s">
        <v>2495</v>
      </c>
      <c r="L901" s="2" t="s">
        <v>24</v>
      </c>
      <c r="M901" s="2">
        <v>2</v>
      </c>
      <c r="N901" s="2" t="s">
        <v>50</v>
      </c>
    </row>
    <row r="902" spans="1:14" x14ac:dyDescent="0.25">
      <c r="A902" s="2" t="s">
        <v>2496</v>
      </c>
      <c r="B902" s="2" t="s">
        <v>2497</v>
      </c>
      <c r="C902" s="2" t="s">
        <v>53</v>
      </c>
      <c r="D902" s="2" t="s">
        <v>54</v>
      </c>
      <c r="E902" s="2" t="s">
        <v>85</v>
      </c>
      <c r="F902" s="2" t="s">
        <v>125</v>
      </c>
      <c r="G902" s="2" t="s">
        <v>158</v>
      </c>
      <c r="H902" s="2" t="s">
        <v>21</v>
      </c>
      <c r="I902" s="2">
        <v>24</v>
      </c>
      <c r="J902" s="2" t="s">
        <v>149</v>
      </c>
      <c r="K902" s="2"/>
      <c r="L902" s="2" t="s">
        <v>24</v>
      </c>
      <c r="M902" s="2"/>
      <c r="N902" s="2" t="s">
        <v>34</v>
      </c>
    </row>
    <row r="903" spans="1:14" x14ac:dyDescent="0.25">
      <c r="A903" s="2" t="s">
        <v>2498</v>
      </c>
      <c r="B903" s="2" t="s">
        <v>2499</v>
      </c>
      <c r="C903" s="2" t="s">
        <v>16</v>
      </c>
      <c r="D903" s="2" t="s">
        <v>84</v>
      </c>
      <c r="E903" s="2" t="s">
        <v>148</v>
      </c>
      <c r="F903" s="2" t="s">
        <v>96</v>
      </c>
      <c r="G903" s="2" t="s">
        <v>110</v>
      </c>
      <c r="H903" s="2" t="s">
        <v>21</v>
      </c>
      <c r="I903" s="2">
        <v>24</v>
      </c>
      <c r="J903" s="2" t="s">
        <v>41</v>
      </c>
      <c r="K903" s="2" t="s">
        <v>2500</v>
      </c>
      <c r="L903" s="2" t="s">
        <v>24</v>
      </c>
      <c r="M903" s="2"/>
      <c r="N903" s="2" t="s">
        <v>118</v>
      </c>
    </row>
    <row r="904" spans="1:14" x14ac:dyDescent="0.25">
      <c r="A904" s="2" t="s">
        <v>2501</v>
      </c>
      <c r="B904" s="2" t="s">
        <v>2502</v>
      </c>
      <c r="C904" s="2" t="s">
        <v>67</v>
      </c>
      <c r="D904" s="2" t="s">
        <v>68</v>
      </c>
      <c r="E904" s="2" t="s">
        <v>148</v>
      </c>
      <c r="F904" s="2" t="s">
        <v>39</v>
      </c>
      <c r="G904" s="2" t="s">
        <v>20</v>
      </c>
      <c r="H904" s="2" t="s">
        <v>80</v>
      </c>
      <c r="I904" s="2">
        <v>4</v>
      </c>
      <c r="J904" s="2" t="s">
        <v>145</v>
      </c>
      <c r="K904" s="2"/>
      <c r="L904" s="2" t="s">
        <v>24</v>
      </c>
      <c r="M904" s="2"/>
      <c r="N904" s="2" t="s">
        <v>128</v>
      </c>
    </row>
    <row r="905" spans="1:14" x14ac:dyDescent="0.25">
      <c r="A905" s="2" t="s">
        <v>2503</v>
      </c>
      <c r="B905" s="2" t="s">
        <v>2504</v>
      </c>
      <c r="C905" s="2" t="s">
        <v>16</v>
      </c>
      <c r="D905" s="2" t="s">
        <v>17</v>
      </c>
      <c r="E905" s="2" t="s">
        <v>90</v>
      </c>
      <c r="F905" s="2" t="s">
        <v>69</v>
      </c>
      <c r="G905" s="2" t="s">
        <v>144</v>
      </c>
      <c r="H905" s="2" t="s">
        <v>32</v>
      </c>
      <c r="I905" s="2">
        <v>48</v>
      </c>
      <c r="J905" s="2" t="s">
        <v>200</v>
      </c>
      <c r="K905" s="2"/>
      <c r="L905" s="2" t="s">
        <v>92</v>
      </c>
      <c r="M905" s="2"/>
      <c r="N905" s="2" t="s">
        <v>34</v>
      </c>
    </row>
    <row r="906" spans="1:14" x14ac:dyDescent="0.25">
      <c r="A906" s="2" t="s">
        <v>2505</v>
      </c>
      <c r="B906" s="2" t="s">
        <v>2506</v>
      </c>
      <c r="C906" s="2" t="s">
        <v>53</v>
      </c>
      <c r="D906" s="2" t="s">
        <v>54</v>
      </c>
      <c r="E906" s="2" t="s">
        <v>46</v>
      </c>
      <c r="F906" s="2" t="s">
        <v>113</v>
      </c>
      <c r="G906" s="2" t="s">
        <v>70</v>
      </c>
      <c r="H906" s="2" t="s">
        <v>74</v>
      </c>
      <c r="I906" s="2">
        <v>8</v>
      </c>
      <c r="J906" s="2" t="s">
        <v>11</v>
      </c>
      <c r="K906" s="2"/>
      <c r="L906" s="2" t="s">
        <v>92</v>
      </c>
      <c r="M906" s="2"/>
      <c r="N906" s="2" t="s">
        <v>128</v>
      </c>
    </row>
    <row r="907" spans="1:14" x14ac:dyDescent="0.25">
      <c r="A907" s="2" t="s">
        <v>2507</v>
      </c>
      <c r="B907" s="2" t="s">
        <v>2508</v>
      </c>
      <c r="C907" s="2" t="s">
        <v>53</v>
      </c>
      <c r="D907" s="2" t="s">
        <v>54</v>
      </c>
      <c r="E907" s="2" t="s">
        <v>38</v>
      </c>
      <c r="F907" s="2" t="s">
        <v>62</v>
      </c>
      <c r="G907" s="2" t="s">
        <v>126</v>
      </c>
      <c r="H907" s="2" t="s">
        <v>80</v>
      </c>
      <c r="I907" s="2">
        <v>4</v>
      </c>
      <c r="J907" s="2" t="s">
        <v>41</v>
      </c>
      <c r="K907" s="2" t="s">
        <v>2509</v>
      </c>
      <c r="L907" s="2" t="s">
        <v>24</v>
      </c>
      <c r="M907" s="2">
        <v>2</v>
      </c>
      <c r="N907" s="2"/>
    </row>
    <row r="908" spans="1:14" x14ac:dyDescent="0.25">
      <c r="A908" s="2" t="s">
        <v>2510</v>
      </c>
      <c r="B908" s="2" t="s">
        <v>2511</v>
      </c>
      <c r="C908" s="2" t="s">
        <v>28</v>
      </c>
      <c r="D908" s="2" t="s">
        <v>37</v>
      </c>
      <c r="E908" s="2" t="s">
        <v>148</v>
      </c>
      <c r="F908" s="2" t="s">
        <v>69</v>
      </c>
      <c r="G908" s="2" t="s">
        <v>110</v>
      </c>
      <c r="H908" s="2" t="s">
        <v>21</v>
      </c>
      <c r="I908" s="2">
        <v>24</v>
      </c>
      <c r="J908" s="2" t="s">
        <v>232</v>
      </c>
      <c r="K908" s="2"/>
      <c r="L908" s="2" t="s">
        <v>92</v>
      </c>
      <c r="M908" s="2"/>
      <c r="N908" s="2" t="s">
        <v>118</v>
      </c>
    </row>
    <row r="909" spans="1:14" x14ac:dyDescent="0.25">
      <c r="A909" s="2" t="s">
        <v>2512</v>
      </c>
      <c r="B909" s="2" t="s">
        <v>2513</v>
      </c>
      <c r="C909" s="2" t="s">
        <v>28</v>
      </c>
      <c r="D909" s="2" t="s">
        <v>37</v>
      </c>
      <c r="E909" s="2" t="s">
        <v>85</v>
      </c>
      <c r="F909" s="2" t="s">
        <v>69</v>
      </c>
      <c r="G909" s="2" t="s">
        <v>121</v>
      </c>
      <c r="H909" s="2" t="s">
        <v>32</v>
      </c>
      <c r="I909" s="2">
        <v>48</v>
      </c>
      <c r="J909" s="2" t="s">
        <v>145</v>
      </c>
      <c r="K909" s="2"/>
      <c r="L909" s="2" t="s">
        <v>24</v>
      </c>
      <c r="M909" s="2"/>
      <c r="N909" s="2"/>
    </row>
    <row r="910" spans="1:14" x14ac:dyDescent="0.25">
      <c r="A910" s="2" t="s">
        <v>2514</v>
      </c>
      <c r="B910" s="2" t="s">
        <v>2515</v>
      </c>
      <c r="C910" s="2" t="s">
        <v>16</v>
      </c>
      <c r="D910" s="2" t="s">
        <v>84</v>
      </c>
      <c r="E910" s="2" t="s">
        <v>18</v>
      </c>
      <c r="F910" s="2" t="s">
        <v>125</v>
      </c>
      <c r="G910" s="2" t="s">
        <v>121</v>
      </c>
      <c r="H910" s="2" t="s">
        <v>32</v>
      </c>
      <c r="I910" s="2">
        <v>48</v>
      </c>
      <c r="J910" s="2" t="s">
        <v>75</v>
      </c>
      <c r="K910" s="2" t="s">
        <v>2516</v>
      </c>
      <c r="L910" s="2" t="s">
        <v>24</v>
      </c>
      <c r="M910" s="2">
        <v>1</v>
      </c>
      <c r="N910" s="2" t="s">
        <v>64</v>
      </c>
    </row>
    <row r="911" spans="1:14" x14ac:dyDescent="0.25">
      <c r="A911" s="2" t="s">
        <v>2517</v>
      </c>
      <c r="B911" s="2" t="s">
        <v>2518</v>
      </c>
      <c r="C911" s="2" t="s">
        <v>67</v>
      </c>
      <c r="D911" s="2" t="s">
        <v>601</v>
      </c>
      <c r="E911" s="2" t="s">
        <v>90</v>
      </c>
      <c r="F911" s="2" t="s">
        <v>96</v>
      </c>
      <c r="G911" s="2" t="s">
        <v>91</v>
      </c>
      <c r="H911" s="2" t="s">
        <v>74</v>
      </c>
      <c r="I911" s="2">
        <v>8</v>
      </c>
      <c r="J911" s="2" t="s">
        <v>155</v>
      </c>
      <c r="K911" s="2"/>
      <c r="L911" s="2" t="s">
        <v>24</v>
      </c>
      <c r="M911" s="2"/>
      <c r="N911" s="2" t="s">
        <v>64</v>
      </c>
    </row>
    <row r="912" spans="1:14" x14ac:dyDescent="0.25">
      <c r="A912" s="2" t="s">
        <v>2519</v>
      </c>
      <c r="B912" s="2" t="s">
        <v>2520</v>
      </c>
      <c r="C912" s="2" t="s">
        <v>16</v>
      </c>
      <c r="D912" s="2" t="s">
        <v>17</v>
      </c>
      <c r="E912" s="2" t="s">
        <v>90</v>
      </c>
      <c r="F912" s="2" t="s">
        <v>19</v>
      </c>
      <c r="G912" s="2" t="s">
        <v>139</v>
      </c>
      <c r="H912" s="2" t="s">
        <v>32</v>
      </c>
      <c r="I912" s="2">
        <v>48</v>
      </c>
      <c r="J912" s="2" t="s">
        <v>117</v>
      </c>
      <c r="K912" s="2"/>
      <c r="L912" s="2" t="s">
        <v>24</v>
      </c>
      <c r="M912" s="2"/>
      <c r="N912" s="2" t="s">
        <v>25</v>
      </c>
    </row>
    <row r="913" spans="1:14" x14ac:dyDescent="0.25">
      <c r="A913" s="2" t="s">
        <v>2521</v>
      </c>
      <c r="B913" s="2" t="s">
        <v>2522</v>
      </c>
      <c r="C913" s="2" t="s">
        <v>28</v>
      </c>
      <c r="D913" s="2" t="s">
        <v>37</v>
      </c>
      <c r="E913" s="2" t="s">
        <v>46</v>
      </c>
      <c r="F913" s="2" t="s">
        <v>113</v>
      </c>
      <c r="G913" s="2" t="s">
        <v>183</v>
      </c>
      <c r="H913" s="2" t="s">
        <v>32</v>
      </c>
      <c r="I913" s="2">
        <v>48</v>
      </c>
      <c r="J913" s="2" t="s">
        <v>75</v>
      </c>
      <c r="K913" s="2" t="s">
        <v>2523</v>
      </c>
      <c r="L913" s="2" t="s">
        <v>24</v>
      </c>
      <c r="M913" s="2"/>
      <c r="N913" s="2" t="s">
        <v>128</v>
      </c>
    </row>
    <row r="914" spans="1:14" x14ac:dyDescent="0.25">
      <c r="A914" s="2" t="s">
        <v>2524</v>
      </c>
      <c r="B914" s="2" t="s">
        <v>2525</v>
      </c>
      <c r="C914" s="2" t="s">
        <v>28</v>
      </c>
      <c r="D914" s="2" t="s">
        <v>100</v>
      </c>
      <c r="E914" s="2" t="s">
        <v>85</v>
      </c>
      <c r="F914" s="2" t="s">
        <v>143</v>
      </c>
      <c r="G914" s="2" t="s">
        <v>40</v>
      </c>
      <c r="H914" s="2" t="s">
        <v>21</v>
      </c>
      <c r="I914" s="2">
        <v>24</v>
      </c>
      <c r="J914" s="2" t="s">
        <v>48</v>
      </c>
      <c r="K914" s="2" t="s">
        <v>2526</v>
      </c>
      <c r="L914" s="2" t="s">
        <v>24</v>
      </c>
      <c r="M914" s="2">
        <v>3</v>
      </c>
      <c r="N914" s="2" t="s">
        <v>64</v>
      </c>
    </row>
    <row r="915" spans="1:14" x14ac:dyDescent="0.25">
      <c r="A915" s="2" t="s">
        <v>2527</v>
      </c>
      <c r="B915" s="2" t="s">
        <v>2528</v>
      </c>
      <c r="C915" s="2" t="s">
        <v>16</v>
      </c>
      <c r="D915" s="2" t="s">
        <v>84</v>
      </c>
      <c r="E915" s="2" t="s">
        <v>90</v>
      </c>
      <c r="F915" s="2" t="s">
        <v>47</v>
      </c>
      <c r="G915" s="2" t="s">
        <v>31</v>
      </c>
      <c r="H915" s="2" t="s">
        <v>74</v>
      </c>
      <c r="I915" s="2">
        <v>8</v>
      </c>
      <c r="J915" s="2" t="s">
        <v>11</v>
      </c>
      <c r="K915" s="2"/>
      <c r="L915" s="2" t="s">
        <v>92</v>
      </c>
      <c r="M915" s="2"/>
      <c r="N915" s="2" t="s">
        <v>50</v>
      </c>
    </row>
    <row r="916" spans="1:14" x14ac:dyDescent="0.25">
      <c r="A916" s="2" t="s">
        <v>2529</v>
      </c>
      <c r="B916" s="2" t="s">
        <v>2530</v>
      </c>
      <c r="C916" s="2" t="s">
        <v>53</v>
      </c>
      <c r="D916" s="2" t="s">
        <v>61</v>
      </c>
      <c r="E916" s="2" t="s">
        <v>46</v>
      </c>
      <c r="F916" s="2" t="s">
        <v>19</v>
      </c>
      <c r="G916" s="2" t="s">
        <v>20</v>
      </c>
      <c r="H916" s="2" t="s">
        <v>32</v>
      </c>
      <c r="I916" s="2">
        <v>48</v>
      </c>
      <c r="J916" s="2" t="s">
        <v>41</v>
      </c>
      <c r="K916" s="2" t="s">
        <v>2531</v>
      </c>
      <c r="L916" s="2" t="s">
        <v>24</v>
      </c>
      <c r="M916" s="2"/>
      <c r="N916" s="2" t="s">
        <v>64</v>
      </c>
    </row>
    <row r="917" spans="1:14" x14ac:dyDescent="0.25">
      <c r="A917" s="2" t="s">
        <v>2532</v>
      </c>
      <c r="B917" s="2" t="s">
        <v>2533</v>
      </c>
      <c r="C917" s="2" t="s">
        <v>67</v>
      </c>
      <c r="D917" s="2" t="s">
        <v>95</v>
      </c>
      <c r="E917" s="2" t="s">
        <v>148</v>
      </c>
      <c r="F917" s="2" t="s">
        <v>113</v>
      </c>
      <c r="G917" s="2" t="s">
        <v>139</v>
      </c>
      <c r="H917" s="2" t="s">
        <v>74</v>
      </c>
      <c r="I917" s="2">
        <v>8</v>
      </c>
      <c r="J917" s="2" t="s">
        <v>75</v>
      </c>
      <c r="K917" s="2" t="s">
        <v>2534</v>
      </c>
      <c r="L917" s="2" t="s">
        <v>24</v>
      </c>
      <c r="M917" s="2">
        <v>4</v>
      </c>
      <c r="N917" s="2" t="s">
        <v>118</v>
      </c>
    </row>
    <row r="918" spans="1:14" x14ac:dyDescent="0.25">
      <c r="A918" s="2" t="s">
        <v>2535</v>
      </c>
      <c r="B918" s="2" t="s">
        <v>2536</v>
      </c>
      <c r="C918" s="2" t="s">
        <v>28</v>
      </c>
      <c r="D918" s="2" t="s">
        <v>100</v>
      </c>
      <c r="E918" s="2" t="s">
        <v>79</v>
      </c>
      <c r="F918" s="2" t="s">
        <v>62</v>
      </c>
      <c r="G918" s="2" t="s">
        <v>40</v>
      </c>
      <c r="H918" s="2" t="s">
        <v>21</v>
      </c>
      <c r="I918" s="2">
        <v>24</v>
      </c>
      <c r="J918" s="2" t="s">
        <v>75</v>
      </c>
      <c r="K918" s="2" t="s">
        <v>2537</v>
      </c>
      <c r="L918" s="2" t="s">
        <v>24</v>
      </c>
      <c r="M918" s="2"/>
      <c r="N918" s="2"/>
    </row>
    <row r="919" spans="1:14" x14ac:dyDescent="0.25">
      <c r="A919" s="2" t="s">
        <v>2538</v>
      </c>
      <c r="B919" s="2" t="s">
        <v>2539</v>
      </c>
      <c r="C919" s="2" t="s">
        <v>28</v>
      </c>
      <c r="D919" s="2" t="s">
        <v>37</v>
      </c>
      <c r="E919" s="2" t="s">
        <v>38</v>
      </c>
      <c r="F919" s="2" t="s">
        <v>113</v>
      </c>
      <c r="G919" s="2" t="s">
        <v>144</v>
      </c>
      <c r="H919" s="2" t="s">
        <v>32</v>
      </c>
      <c r="I919" s="2">
        <v>48</v>
      </c>
      <c r="J919" s="2" t="s">
        <v>22</v>
      </c>
      <c r="K919" s="2" t="s">
        <v>2540</v>
      </c>
      <c r="L919" s="2" t="s">
        <v>24</v>
      </c>
      <c r="M919" s="2">
        <v>2</v>
      </c>
      <c r="N919" s="2" t="s">
        <v>118</v>
      </c>
    </row>
    <row r="920" spans="1:14" x14ac:dyDescent="0.25">
      <c r="A920" s="2" t="s">
        <v>2541</v>
      </c>
      <c r="B920" s="2" t="s">
        <v>2542</v>
      </c>
      <c r="C920" s="2" t="s">
        <v>16</v>
      </c>
      <c r="D920" s="2" t="s">
        <v>84</v>
      </c>
      <c r="E920" s="2" t="s">
        <v>18</v>
      </c>
      <c r="F920" s="2" t="s">
        <v>39</v>
      </c>
      <c r="G920" s="2" t="s">
        <v>110</v>
      </c>
      <c r="H920" s="2" t="s">
        <v>74</v>
      </c>
      <c r="I920" s="2">
        <v>8</v>
      </c>
      <c r="J920" s="2" t="s">
        <v>75</v>
      </c>
      <c r="K920" s="2" t="s">
        <v>2543</v>
      </c>
      <c r="L920" s="2" t="s">
        <v>24</v>
      </c>
      <c r="M920" s="2">
        <v>4</v>
      </c>
      <c r="N920" s="2"/>
    </row>
    <row r="921" spans="1:14" x14ac:dyDescent="0.25">
      <c r="A921" s="2" t="s">
        <v>2544</v>
      </c>
      <c r="B921" s="2" t="s">
        <v>2545</v>
      </c>
      <c r="C921" s="2" t="s">
        <v>16</v>
      </c>
      <c r="D921" s="2" t="s">
        <v>17</v>
      </c>
      <c r="E921" s="2" t="s">
        <v>46</v>
      </c>
      <c r="F921" s="2" t="s">
        <v>30</v>
      </c>
      <c r="G921" s="2" t="s">
        <v>101</v>
      </c>
      <c r="H921" s="2" t="s">
        <v>21</v>
      </c>
      <c r="I921" s="2">
        <v>24</v>
      </c>
      <c r="J921" s="2" t="s">
        <v>155</v>
      </c>
      <c r="K921" s="2"/>
      <c r="L921" s="2" t="s">
        <v>24</v>
      </c>
      <c r="M921" s="2"/>
      <c r="N921" s="2" t="s">
        <v>34</v>
      </c>
    </row>
    <row r="922" spans="1:14" x14ac:dyDescent="0.25">
      <c r="A922" s="2" t="s">
        <v>2546</v>
      </c>
      <c r="B922" s="2" t="s">
        <v>2547</v>
      </c>
      <c r="C922" s="2" t="s">
        <v>28</v>
      </c>
      <c r="D922" s="2" t="s">
        <v>37</v>
      </c>
      <c r="E922" s="2" t="s">
        <v>38</v>
      </c>
      <c r="F922" s="2" t="s">
        <v>55</v>
      </c>
      <c r="G922" s="2" t="s">
        <v>179</v>
      </c>
      <c r="H922" s="2" t="s">
        <v>74</v>
      </c>
      <c r="I922" s="2">
        <v>8</v>
      </c>
      <c r="J922" s="2" t="s">
        <v>75</v>
      </c>
      <c r="K922" s="2"/>
      <c r="L922" s="2" t="s">
        <v>24</v>
      </c>
      <c r="M922" s="2"/>
      <c r="N922" s="2"/>
    </row>
    <row r="923" spans="1:14" x14ac:dyDescent="0.25">
      <c r="A923" s="2" t="s">
        <v>2548</v>
      </c>
      <c r="B923" s="2" t="s">
        <v>2549</v>
      </c>
      <c r="C923" s="2" t="s">
        <v>28</v>
      </c>
      <c r="D923" s="2" t="s">
        <v>37</v>
      </c>
      <c r="E923" s="2" t="s">
        <v>85</v>
      </c>
      <c r="F923" s="2" t="s">
        <v>143</v>
      </c>
      <c r="G923" s="2" t="s">
        <v>91</v>
      </c>
      <c r="H923" s="2" t="s">
        <v>74</v>
      </c>
      <c r="I923" s="2">
        <v>8</v>
      </c>
      <c r="J923" s="2" t="s">
        <v>106</v>
      </c>
      <c r="K923" s="2" t="s">
        <v>2550</v>
      </c>
      <c r="L923" s="2" t="s">
        <v>24</v>
      </c>
      <c r="M923" s="2"/>
      <c r="N923" s="2" t="s">
        <v>58</v>
      </c>
    </row>
    <row r="924" spans="1:14" x14ac:dyDescent="0.25">
      <c r="A924" s="2" t="s">
        <v>2551</v>
      </c>
      <c r="B924" s="2" t="s">
        <v>2552</v>
      </c>
      <c r="C924" s="2" t="s">
        <v>53</v>
      </c>
      <c r="D924" s="2" t="s">
        <v>61</v>
      </c>
      <c r="E924" s="2" t="s">
        <v>79</v>
      </c>
      <c r="F924" s="2" t="s">
        <v>143</v>
      </c>
      <c r="G924" s="2" t="s">
        <v>110</v>
      </c>
      <c r="H924" s="2" t="s">
        <v>32</v>
      </c>
      <c r="I924" s="2">
        <v>48</v>
      </c>
      <c r="J924" s="2" t="s">
        <v>22</v>
      </c>
      <c r="K924" s="2" t="s">
        <v>2553</v>
      </c>
      <c r="L924" s="2" t="s">
        <v>24</v>
      </c>
      <c r="M924" s="2">
        <v>2</v>
      </c>
      <c r="N924" s="2" t="s">
        <v>118</v>
      </c>
    </row>
    <row r="925" spans="1:14" x14ac:dyDescent="0.25">
      <c r="A925" s="2" t="s">
        <v>2554</v>
      </c>
      <c r="B925" s="2" t="s">
        <v>2555</v>
      </c>
      <c r="C925" s="2" t="s">
        <v>53</v>
      </c>
      <c r="D925" s="2" t="s">
        <v>61</v>
      </c>
      <c r="E925" s="2" t="s">
        <v>38</v>
      </c>
      <c r="F925" s="2" t="s">
        <v>113</v>
      </c>
      <c r="G925" s="2" t="s">
        <v>126</v>
      </c>
      <c r="H925" s="2" t="s">
        <v>21</v>
      </c>
      <c r="I925" s="2">
        <v>24</v>
      </c>
      <c r="J925" s="2" t="s">
        <v>75</v>
      </c>
      <c r="K925" s="2" t="s">
        <v>2556</v>
      </c>
      <c r="L925" s="2" t="s">
        <v>24</v>
      </c>
      <c r="M925" s="2"/>
      <c r="N925" s="2" t="s">
        <v>34</v>
      </c>
    </row>
    <row r="926" spans="1:14" x14ac:dyDescent="0.25">
      <c r="A926" s="2" t="s">
        <v>2557</v>
      </c>
      <c r="B926" s="2" t="s">
        <v>2558</v>
      </c>
      <c r="C926" s="2" t="s">
        <v>28</v>
      </c>
      <c r="D926" s="2" t="s">
        <v>37</v>
      </c>
      <c r="E926" s="2" t="s">
        <v>79</v>
      </c>
      <c r="F926" s="2" t="s">
        <v>47</v>
      </c>
      <c r="G926" s="2" t="s">
        <v>126</v>
      </c>
      <c r="H926" s="2" t="s">
        <v>32</v>
      </c>
      <c r="I926" s="2">
        <v>48</v>
      </c>
      <c r="J926" s="2" t="s">
        <v>22</v>
      </c>
      <c r="K926" s="2" t="s">
        <v>2559</v>
      </c>
      <c r="L926" s="2" t="s">
        <v>24</v>
      </c>
      <c r="M926" s="2"/>
      <c r="N926" s="2" t="s">
        <v>43</v>
      </c>
    </row>
    <row r="927" spans="1:14" x14ac:dyDescent="0.25">
      <c r="A927" s="2" t="s">
        <v>2560</v>
      </c>
      <c r="B927" s="2" t="s">
        <v>2561</v>
      </c>
      <c r="C927" s="2" t="s">
        <v>67</v>
      </c>
      <c r="D927" s="2" t="s">
        <v>68</v>
      </c>
      <c r="E927" s="2" t="s">
        <v>46</v>
      </c>
      <c r="F927" s="2" t="s">
        <v>113</v>
      </c>
      <c r="G927" s="2" t="s">
        <v>20</v>
      </c>
      <c r="H927" s="2" t="s">
        <v>21</v>
      </c>
      <c r="I927" s="2">
        <v>24</v>
      </c>
      <c r="J927" s="2" t="s">
        <v>75</v>
      </c>
      <c r="K927" s="2" t="s">
        <v>2562</v>
      </c>
      <c r="L927" s="2" t="s">
        <v>24</v>
      </c>
      <c r="M927" s="2">
        <v>1</v>
      </c>
      <c r="N927" s="2" t="s">
        <v>118</v>
      </c>
    </row>
    <row r="928" spans="1:14" x14ac:dyDescent="0.25">
      <c r="A928" s="2" t="s">
        <v>2563</v>
      </c>
      <c r="B928" s="2" t="s">
        <v>2564</v>
      </c>
      <c r="C928" s="2" t="s">
        <v>28</v>
      </c>
      <c r="D928" s="2" t="s">
        <v>37</v>
      </c>
      <c r="E928" s="2" t="s">
        <v>90</v>
      </c>
      <c r="F928" s="2" t="s">
        <v>47</v>
      </c>
      <c r="G928" s="2" t="s">
        <v>183</v>
      </c>
      <c r="H928" s="2" t="s">
        <v>21</v>
      </c>
      <c r="I928" s="2">
        <v>24</v>
      </c>
      <c r="J928" s="2" t="s">
        <v>75</v>
      </c>
      <c r="K928" s="2" t="s">
        <v>2565</v>
      </c>
      <c r="L928" s="2" t="s">
        <v>24</v>
      </c>
      <c r="M928" s="2">
        <v>2</v>
      </c>
      <c r="N928" s="2" t="s">
        <v>43</v>
      </c>
    </row>
    <row r="929" spans="1:14" x14ac:dyDescent="0.25">
      <c r="A929" s="2" t="s">
        <v>2566</v>
      </c>
      <c r="B929" s="2" t="s">
        <v>2567</v>
      </c>
      <c r="C929" s="2" t="s">
        <v>28</v>
      </c>
      <c r="D929" s="2" t="s">
        <v>37</v>
      </c>
      <c r="E929" s="2" t="s">
        <v>18</v>
      </c>
      <c r="F929" s="2" t="s">
        <v>143</v>
      </c>
      <c r="G929" s="2" t="s">
        <v>211</v>
      </c>
      <c r="H929" s="2" t="s">
        <v>74</v>
      </c>
      <c r="I929" s="2">
        <v>8</v>
      </c>
      <c r="J929" s="2" t="s">
        <v>33</v>
      </c>
      <c r="K929" s="2"/>
      <c r="L929" s="2" t="s">
        <v>24</v>
      </c>
      <c r="M929" s="2"/>
      <c r="N929" s="2" t="s">
        <v>58</v>
      </c>
    </row>
    <row r="930" spans="1:14" x14ac:dyDescent="0.25">
      <c r="A930" s="2" t="s">
        <v>2568</v>
      </c>
      <c r="B930" s="2" t="s">
        <v>2569</v>
      </c>
      <c r="C930" s="2" t="s">
        <v>28</v>
      </c>
      <c r="D930" s="2" t="s">
        <v>100</v>
      </c>
      <c r="E930" s="2" t="s">
        <v>38</v>
      </c>
      <c r="F930" s="2" t="s">
        <v>55</v>
      </c>
      <c r="G930" s="2" t="s">
        <v>40</v>
      </c>
      <c r="H930" s="2" t="s">
        <v>74</v>
      </c>
      <c r="I930" s="2">
        <v>8</v>
      </c>
      <c r="J930" s="2" t="s">
        <v>145</v>
      </c>
      <c r="K930" s="2"/>
      <c r="L930" s="2" t="s">
        <v>92</v>
      </c>
      <c r="M930" s="2"/>
      <c r="N930" s="2" t="s">
        <v>58</v>
      </c>
    </row>
    <row r="931" spans="1:14" x14ac:dyDescent="0.25">
      <c r="A931" s="2" t="s">
        <v>2570</v>
      </c>
      <c r="B931" s="2" t="s">
        <v>2571</v>
      </c>
      <c r="C931" s="2" t="s">
        <v>28</v>
      </c>
      <c r="D931" s="2" t="s">
        <v>100</v>
      </c>
      <c r="E931" s="2" t="s">
        <v>148</v>
      </c>
      <c r="F931" s="2" t="s">
        <v>55</v>
      </c>
      <c r="G931" s="2" t="s">
        <v>110</v>
      </c>
      <c r="H931" s="2" t="s">
        <v>32</v>
      </c>
      <c r="I931" s="2">
        <v>48</v>
      </c>
      <c r="J931" s="2" t="s">
        <v>155</v>
      </c>
      <c r="K931" s="2"/>
      <c r="L931" s="2" t="s">
        <v>24</v>
      </c>
      <c r="M931" s="2"/>
      <c r="N931" s="2" t="s">
        <v>43</v>
      </c>
    </row>
    <row r="932" spans="1:14" x14ac:dyDescent="0.25">
      <c r="A932" s="2" t="s">
        <v>2572</v>
      </c>
      <c r="B932" s="2" t="s">
        <v>2573</v>
      </c>
      <c r="C932" s="2" t="s">
        <v>28</v>
      </c>
      <c r="D932" s="2" t="s">
        <v>100</v>
      </c>
      <c r="E932" s="2" t="s">
        <v>46</v>
      </c>
      <c r="F932" s="2" t="s">
        <v>55</v>
      </c>
      <c r="G932" s="2" t="s">
        <v>40</v>
      </c>
      <c r="H932" s="2" t="s">
        <v>21</v>
      </c>
      <c r="I932" s="2">
        <v>24</v>
      </c>
      <c r="J932" s="2" t="s">
        <v>48</v>
      </c>
      <c r="K932" s="2" t="s">
        <v>2574</v>
      </c>
      <c r="L932" s="2" t="s">
        <v>24</v>
      </c>
      <c r="M932" s="2">
        <v>1</v>
      </c>
      <c r="N932" s="2"/>
    </row>
    <row r="933" spans="1:14" x14ac:dyDescent="0.25">
      <c r="A933" s="2" t="s">
        <v>2575</v>
      </c>
      <c r="B933" s="2" t="s">
        <v>2576</v>
      </c>
      <c r="C933" s="2" t="s">
        <v>28</v>
      </c>
      <c r="D933" s="2" t="s">
        <v>37</v>
      </c>
      <c r="E933" s="2" t="s">
        <v>46</v>
      </c>
      <c r="F933" s="2" t="s">
        <v>39</v>
      </c>
      <c r="G933" s="2" t="s">
        <v>105</v>
      </c>
      <c r="H933" s="2" t="s">
        <v>80</v>
      </c>
      <c r="I933" s="2">
        <v>4</v>
      </c>
      <c r="J933" s="2" t="s">
        <v>22</v>
      </c>
      <c r="K933" s="2" t="s">
        <v>2577</v>
      </c>
      <c r="L933" s="2" t="s">
        <v>24</v>
      </c>
      <c r="M933" s="2">
        <v>5</v>
      </c>
      <c r="N933" s="2" t="s">
        <v>25</v>
      </c>
    </row>
    <row r="934" spans="1:14" x14ac:dyDescent="0.25">
      <c r="A934" s="2" t="s">
        <v>2578</v>
      </c>
      <c r="B934" s="2" t="s">
        <v>2579</v>
      </c>
      <c r="C934" s="2" t="s">
        <v>67</v>
      </c>
      <c r="D934" s="2" t="s">
        <v>68</v>
      </c>
      <c r="E934" s="2" t="s">
        <v>90</v>
      </c>
      <c r="F934" s="2" t="s">
        <v>62</v>
      </c>
      <c r="G934" s="2" t="s">
        <v>135</v>
      </c>
      <c r="H934" s="2" t="s">
        <v>32</v>
      </c>
      <c r="I934" s="2">
        <v>48</v>
      </c>
      <c r="J934" s="2" t="s">
        <v>11</v>
      </c>
      <c r="K934" s="2"/>
      <c r="L934" s="2" t="s">
        <v>92</v>
      </c>
      <c r="M934" s="2"/>
      <c r="N934" s="2"/>
    </row>
    <row r="935" spans="1:14" x14ac:dyDescent="0.25">
      <c r="A935" s="2" t="s">
        <v>2580</v>
      </c>
      <c r="B935" s="2" t="s">
        <v>2581</v>
      </c>
      <c r="C935" s="2" t="s">
        <v>28</v>
      </c>
      <c r="D935" s="2" t="s">
        <v>37</v>
      </c>
      <c r="E935" s="2" t="s">
        <v>90</v>
      </c>
      <c r="F935" s="2" t="s">
        <v>143</v>
      </c>
      <c r="G935" s="2" t="s">
        <v>139</v>
      </c>
      <c r="H935" s="2" t="s">
        <v>21</v>
      </c>
      <c r="I935" s="2">
        <v>24</v>
      </c>
      <c r="J935" s="2" t="s">
        <v>11</v>
      </c>
      <c r="K935" s="2"/>
      <c r="L935" s="2" t="s">
        <v>92</v>
      </c>
      <c r="M935" s="2"/>
      <c r="N935" s="2"/>
    </row>
    <row r="936" spans="1:14" x14ac:dyDescent="0.25">
      <c r="A936" s="2" t="s">
        <v>2582</v>
      </c>
      <c r="B936" s="2" t="s">
        <v>2583</v>
      </c>
      <c r="C936" s="2" t="s">
        <v>16</v>
      </c>
      <c r="D936" s="2" t="s">
        <v>765</v>
      </c>
      <c r="E936" s="2" t="s">
        <v>85</v>
      </c>
      <c r="F936" s="2" t="s">
        <v>62</v>
      </c>
      <c r="G936" s="2" t="s">
        <v>70</v>
      </c>
      <c r="H936" s="2" t="s">
        <v>74</v>
      </c>
      <c r="I936" s="2">
        <v>8</v>
      </c>
      <c r="J936" s="2" t="s">
        <v>41</v>
      </c>
      <c r="K936" s="2" t="s">
        <v>2584</v>
      </c>
      <c r="L936" s="2" t="s">
        <v>24</v>
      </c>
      <c r="M936" s="2"/>
      <c r="N936" s="2" t="s">
        <v>58</v>
      </c>
    </row>
    <row r="937" spans="1:14" x14ac:dyDescent="0.25">
      <c r="A937" s="2" t="s">
        <v>2585</v>
      </c>
      <c r="B937" s="2" t="s">
        <v>2586</v>
      </c>
      <c r="C937" s="2" t="s">
        <v>16</v>
      </c>
      <c r="D937" s="2" t="s">
        <v>17</v>
      </c>
      <c r="E937" s="2" t="s">
        <v>46</v>
      </c>
      <c r="F937" s="2" t="s">
        <v>143</v>
      </c>
      <c r="G937" s="2" t="s">
        <v>110</v>
      </c>
      <c r="H937" s="2" t="s">
        <v>21</v>
      </c>
      <c r="I937" s="2">
        <v>24</v>
      </c>
      <c r="J937" s="2" t="s">
        <v>33</v>
      </c>
      <c r="K937" s="2"/>
      <c r="L937" s="2" t="s">
        <v>24</v>
      </c>
      <c r="M937" s="2"/>
      <c r="N937" s="2" t="s">
        <v>58</v>
      </c>
    </row>
    <row r="938" spans="1:14" x14ac:dyDescent="0.25">
      <c r="A938" s="2" t="s">
        <v>2587</v>
      </c>
      <c r="B938" s="2" t="s">
        <v>2588</v>
      </c>
      <c r="C938" s="2" t="s">
        <v>28</v>
      </c>
      <c r="D938" s="2" t="s">
        <v>37</v>
      </c>
      <c r="E938" s="2" t="s">
        <v>46</v>
      </c>
      <c r="F938" s="2" t="s">
        <v>131</v>
      </c>
      <c r="G938" s="2" t="s">
        <v>139</v>
      </c>
      <c r="H938" s="2" t="s">
        <v>74</v>
      </c>
      <c r="I938" s="2">
        <v>8</v>
      </c>
      <c r="J938" s="2" t="s">
        <v>22</v>
      </c>
      <c r="K938" s="2" t="s">
        <v>2589</v>
      </c>
      <c r="L938" s="2" t="s">
        <v>24</v>
      </c>
      <c r="M938" s="2"/>
      <c r="N938" s="2" t="s">
        <v>34</v>
      </c>
    </row>
    <row r="939" spans="1:14" x14ac:dyDescent="0.25">
      <c r="A939" s="2" t="s">
        <v>2590</v>
      </c>
      <c r="B939" s="2" t="s">
        <v>2591</v>
      </c>
      <c r="C939" s="2" t="s">
        <v>67</v>
      </c>
      <c r="D939" s="2" t="s">
        <v>95</v>
      </c>
      <c r="E939" s="2" t="s">
        <v>38</v>
      </c>
      <c r="F939" s="2" t="s">
        <v>69</v>
      </c>
      <c r="G939" s="2" t="s">
        <v>91</v>
      </c>
      <c r="H939" s="2" t="s">
        <v>21</v>
      </c>
      <c r="I939" s="2">
        <v>24</v>
      </c>
      <c r="J939" s="2" t="s">
        <v>117</v>
      </c>
      <c r="K939" s="2"/>
      <c r="L939" s="2" t="s">
        <v>24</v>
      </c>
      <c r="M939" s="2"/>
      <c r="N939" s="2" t="s">
        <v>118</v>
      </c>
    </row>
    <row r="940" spans="1:14" x14ac:dyDescent="0.25">
      <c r="A940" s="2" t="s">
        <v>2592</v>
      </c>
      <c r="B940" s="2" t="s">
        <v>2593</v>
      </c>
      <c r="C940" s="2" t="s">
        <v>28</v>
      </c>
      <c r="D940" s="2" t="s">
        <v>37</v>
      </c>
      <c r="E940" s="2" t="s">
        <v>18</v>
      </c>
      <c r="F940" s="2" t="s">
        <v>143</v>
      </c>
      <c r="G940" s="2" t="s">
        <v>97</v>
      </c>
      <c r="H940" s="2" t="s">
        <v>74</v>
      </c>
      <c r="I940" s="2">
        <v>8</v>
      </c>
      <c r="J940" s="2" t="s">
        <v>22</v>
      </c>
      <c r="K940" s="2" t="s">
        <v>2594</v>
      </c>
      <c r="L940" s="2" t="s">
        <v>24</v>
      </c>
      <c r="M940" s="2">
        <v>1</v>
      </c>
      <c r="N940" s="2" t="s">
        <v>34</v>
      </c>
    </row>
    <row r="941" spans="1:14" x14ac:dyDescent="0.25">
      <c r="A941" s="2" t="s">
        <v>2595</v>
      </c>
      <c r="B941" s="2" t="s">
        <v>2596</v>
      </c>
      <c r="C941" s="2" t="s">
        <v>16</v>
      </c>
      <c r="D941" s="2" t="s">
        <v>17</v>
      </c>
      <c r="E941" s="2" t="s">
        <v>38</v>
      </c>
      <c r="F941" s="2" t="s">
        <v>143</v>
      </c>
      <c r="G941" s="2" t="s">
        <v>40</v>
      </c>
      <c r="H941" s="2" t="s">
        <v>32</v>
      </c>
      <c r="I941" s="2">
        <v>48</v>
      </c>
      <c r="J941" s="2" t="s">
        <v>48</v>
      </c>
      <c r="K941" s="2" t="s">
        <v>2597</v>
      </c>
      <c r="L941" s="2" t="s">
        <v>24</v>
      </c>
      <c r="M941" s="2"/>
      <c r="N941" s="2" t="s">
        <v>25</v>
      </c>
    </row>
    <row r="942" spans="1:14" x14ac:dyDescent="0.25">
      <c r="A942" s="2" t="s">
        <v>2598</v>
      </c>
      <c r="B942" s="2" t="s">
        <v>2599</v>
      </c>
      <c r="C942" s="2" t="s">
        <v>67</v>
      </c>
      <c r="D942" s="2" t="s">
        <v>95</v>
      </c>
      <c r="E942" s="2" t="s">
        <v>18</v>
      </c>
      <c r="F942" s="2" t="s">
        <v>39</v>
      </c>
      <c r="G942" s="2" t="s">
        <v>70</v>
      </c>
      <c r="H942" s="2" t="s">
        <v>21</v>
      </c>
      <c r="I942" s="2">
        <v>24</v>
      </c>
      <c r="J942" s="2" t="s">
        <v>106</v>
      </c>
      <c r="K942" s="2" t="s">
        <v>2600</v>
      </c>
      <c r="L942" s="2" t="s">
        <v>24</v>
      </c>
      <c r="M942" s="2">
        <v>5</v>
      </c>
      <c r="N942" s="2" t="s">
        <v>34</v>
      </c>
    </row>
    <row r="943" spans="1:14" x14ac:dyDescent="0.25">
      <c r="A943" s="2" t="s">
        <v>2601</v>
      </c>
      <c r="B943" s="2" t="s">
        <v>2602</v>
      </c>
      <c r="C943" s="2" t="s">
        <v>16</v>
      </c>
      <c r="D943" s="2" t="s">
        <v>765</v>
      </c>
      <c r="E943" s="2" t="s">
        <v>18</v>
      </c>
      <c r="F943" s="2" t="s">
        <v>143</v>
      </c>
      <c r="G943" s="2" t="s">
        <v>40</v>
      </c>
      <c r="H943" s="2" t="s">
        <v>74</v>
      </c>
      <c r="I943" s="2">
        <v>8</v>
      </c>
      <c r="J943" s="2" t="s">
        <v>22</v>
      </c>
      <c r="K943" s="2" t="s">
        <v>2603</v>
      </c>
      <c r="L943" s="2" t="s">
        <v>24</v>
      </c>
      <c r="M943" s="2">
        <v>1</v>
      </c>
      <c r="N943" s="2"/>
    </row>
    <row r="944" spans="1:14" x14ac:dyDescent="0.25">
      <c r="A944" s="2" t="s">
        <v>2604</v>
      </c>
      <c r="B944" s="2" t="s">
        <v>2605</v>
      </c>
      <c r="C944" s="2" t="s">
        <v>53</v>
      </c>
      <c r="D944" s="2" t="s">
        <v>162</v>
      </c>
      <c r="E944" s="2" t="s">
        <v>90</v>
      </c>
      <c r="F944" s="2" t="s">
        <v>131</v>
      </c>
      <c r="G944" s="2" t="s">
        <v>110</v>
      </c>
      <c r="H944" s="2" t="s">
        <v>74</v>
      </c>
      <c r="I944" s="2">
        <v>8</v>
      </c>
      <c r="J944" s="2" t="s">
        <v>22</v>
      </c>
      <c r="K944" s="2" t="s">
        <v>2606</v>
      </c>
      <c r="L944" s="2" t="s">
        <v>24</v>
      </c>
      <c r="M944" s="2">
        <v>5</v>
      </c>
      <c r="N944" s="2"/>
    </row>
    <row r="945" spans="1:14" x14ac:dyDescent="0.25">
      <c r="A945" s="2" t="s">
        <v>2607</v>
      </c>
      <c r="B945" s="2" t="s">
        <v>2608</v>
      </c>
      <c r="C945" s="2" t="s">
        <v>53</v>
      </c>
      <c r="D945" s="2" t="s">
        <v>54</v>
      </c>
      <c r="E945" s="2" t="s">
        <v>38</v>
      </c>
      <c r="F945" s="2" t="s">
        <v>62</v>
      </c>
      <c r="G945" s="2" t="s">
        <v>211</v>
      </c>
      <c r="H945" s="2" t="s">
        <v>21</v>
      </c>
      <c r="I945" s="2">
        <v>24</v>
      </c>
      <c r="J945" s="2" t="s">
        <v>106</v>
      </c>
      <c r="K945" s="2" t="s">
        <v>2609</v>
      </c>
      <c r="L945" s="2" t="s">
        <v>24</v>
      </c>
      <c r="M945" s="2"/>
      <c r="N945" s="2"/>
    </row>
    <row r="946" spans="1:14" x14ac:dyDescent="0.25">
      <c r="A946" s="2" t="s">
        <v>2610</v>
      </c>
      <c r="B946" s="2" t="s">
        <v>2611</v>
      </c>
      <c r="C946" s="2" t="s">
        <v>16</v>
      </c>
      <c r="D946" s="2" t="s">
        <v>84</v>
      </c>
      <c r="E946" s="2" t="s">
        <v>46</v>
      </c>
      <c r="F946" s="2" t="s">
        <v>131</v>
      </c>
      <c r="G946" s="2" t="s">
        <v>144</v>
      </c>
      <c r="H946" s="2" t="s">
        <v>32</v>
      </c>
      <c r="I946" s="2">
        <v>48</v>
      </c>
      <c r="J946" s="2" t="s">
        <v>106</v>
      </c>
      <c r="K946" s="2" t="s">
        <v>2612</v>
      </c>
      <c r="L946" s="2" t="s">
        <v>92</v>
      </c>
      <c r="M946" s="2">
        <v>5</v>
      </c>
      <c r="N946" s="2" t="s">
        <v>50</v>
      </c>
    </row>
    <row r="947" spans="1:14" x14ac:dyDescent="0.25">
      <c r="A947" s="2" t="s">
        <v>2613</v>
      </c>
      <c r="B947" s="2" t="s">
        <v>2614</v>
      </c>
      <c r="C947" s="2" t="s">
        <v>16</v>
      </c>
      <c r="D947" s="2" t="s">
        <v>17</v>
      </c>
      <c r="E947" s="2" t="s">
        <v>85</v>
      </c>
      <c r="F947" s="2" t="s">
        <v>55</v>
      </c>
      <c r="G947" s="2" t="s">
        <v>70</v>
      </c>
      <c r="H947" s="2" t="s">
        <v>21</v>
      </c>
      <c r="I947" s="2">
        <v>24</v>
      </c>
      <c r="J947" s="2" t="s">
        <v>41</v>
      </c>
      <c r="K947" s="2" t="s">
        <v>2615</v>
      </c>
      <c r="L947" s="2" t="s">
        <v>92</v>
      </c>
      <c r="M947" s="2">
        <v>5</v>
      </c>
      <c r="N947" s="2"/>
    </row>
    <row r="948" spans="1:14" x14ac:dyDescent="0.25">
      <c r="A948" s="2" t="s">
        <v>2616</v>
      </c>
      <c r="B948" s="2" t="s">
        <v>2617</v>
      </c>
      <c r="C948" s="2" t="s">
        <v>67</v>
      </c>
      <c r="D948" s="2" t="s">
        <v>95</v>
      </c>
      <c r="E948" s="2" t="s">
        <v>38</v>
      </c>
      <c r="F948" s="2" t="s">
        <v>96</v>
      </c>
      <c r="G948" s="2" t="s">
        <v>135</v>
      </c>
      <c r="H948" s="2" t="s">
        <v>32</v>
      </c>
      <c r="I948" s="2">
        <v>48</v>
      </c>
      <c r="J948" s="2" t="s">
        <v>191</v>
      </c>
      <c r="K948" s="2" t="s">
        <v>2618</v>
      </c>
      <c r="L948" s="2" t="s">
        <v>24</v>
      </c>
      <c r="M948" s="2"/>
      <c r="N948" s="2"/>
    </row>
    <row r="949" spans="1:14" x14ac:dyDescent="0.25">
      <c r="A949" s="2" t="s">
        <v>2619</v>
      </c>
      <c r="B949" s="2" t="s">
        <v>2620</v>
      </c>
      <c r="C949" s="2" t="s">
        <v>53</v>
      </c>
      <c r="D949" s="2" t="s">
        <v>61</v>
      </c>
      <c r="E949" s="2" t="s">
        <v>46</v>
      </c>
      <c r="F949" s="2" t="s">
        <v>47</v>
      </c>
      <c r="G949" s="2" t="s">
        <v>144</v>
      </c>
      <c r="H949" s="2" t="s">
        <v>32</v>
      </c>
      <c r="I949" s="2">
        <v>48</v>
      </c>
      <c r="J949" s="2" t="s">
        <v>106</v>
      </c>
      <c r="K949" s="2" t="s">
        <v>2621</v>
      </c>
      <c r="L949" s="2" t="s">
        <v>24</v>
      </c>
      <c r="M949" s="2"/>
      <c r="N949" s="2" t="s">
        <v>50</v>
      </c>
    </row>
    <row r="950" spans="1:14" x14ac:dyDescent="0.25">
      <c r="A950" s="2" t="s">
        <v>2622</v>
      </c>
      <c r="B950" s="2" t="s">
        <v>2623</v>
      </c>
      <c r="C950" s="2" t="s">
        <v>67</v>
      </c>
      <c r="D950" s="2" t="s">
        <v>68</v>
      </c>
      <c r="E950" s="2" t="s">
        <v>79</v>
      </c>
      <c r="F950" s="2" t="s">
        <v>131</v>
      </c>
      <c r="G950" s="2" t="s">
        <v>31</v>
      </c>
      <c r="H950" s="2" t="s">
        <v>74</v>
      </c>
      <c r="I950" s="2">
        <v>8</v>
      </c>
      <c r="J950" s="2" t="s">
        <v>106</v>
      </c>
      <c r="K950" s="2" t="s">
        <v>2624</v>
      </c>
      <c r="L950" s="2" t="s">
        <v>24</v>
      </c>
      <c r="M950" s="2">
        <v>2</v>
      </c>
      <c r="N950" s="2"/>
    </row>
    <row r="951" spans="1:14" x14ac:dyDescent="0.25">
      <c r="A951" s="2" t="s">
        <v>2625</v>
      </c>
      <c r="B951" s="2" t="s">
        <v>2626</v>
      </c>
      <c r="C951" s="2" t="s">
        <v>28</v>
      </c>
      <c r="D951" s="2" t="s">
        <v>37</v>
      </c>
      <c r="E951" s="2" t="s">
        <v>38</v>
      </c>
      <c r="F951" s="2" t="s">
        <v>55</v>
      </c>
      <c r="G951" s="2" t="s">
        <v>20</v>
      </c>
      <c r="H951" s="2" t="s">
        <v>32</v>
      </c>
      <c r="I951" s="2">
        <v>48</v>
      </c>
      <c r="J951" s="2" t="s">
        <v>187</v>
      </c>
      <c r="K951" s="2" t="s">
        <v>2627</v>
      </c>
      <c r="L951" s="2" t="s">
        <v>24</v>
      </c>
      <c r="M951" s="2">
        <v>5</v>
      </c>
      <c r="N951" s="2" t="s">
        <v>25</v>
      </c>
    </row>
    <row r="952" spans="1:14" x14ac:dyDescent="0.25">
      <c r="A952" s="2" t="s">
        <v>2628</v>
      </c>
      <c r="B952" s="2" t="s">
        <v>2629</v>
      </c>
      <c r="C952" s="2" t="s">
        <v>67</v>
      </c>
      <c r="D952" s="2" t="s">
        <v>95</v>
      </c>
      <c r="E952" s="2" t="s">
        <v>85</v>
      </c>
      <c r="F952" s="2" t="s">
        <v>143</v>
      </c>
      <c r="G952" s="2" t="s">
        <v>110</v>
      </c>
      <c r="H952" s="2" t="s">
        <v>80</v>
      </c>
      <c r="I952" s="2">
        <v>4</v>
      </c>
      <c r="J952" s="2" t="s">
        <v>75</v>
      </c>
      <c r="K952" s="2" t="s">
        <v>2630</v>
      </c>
      <c r="L952" s="2" t="s">
        <v>24</v>
      </c>
      <c r="M952" s="2">
        <v>5</v>
      </c>
      <c r="N952" s="2" t="s">
        <v>118</v>
      </c>
    </row>
    <row r="953" spans="1:14" x14ac:dyDescent="0.25">
      <c r="A953" s="2" t="s">
        <v>2631</v>
      </c>
      <c r="B953" s="2" t="s">
        <v>2632</v>
      </c>
      <c r="C953" s="2" t="s">
        <v>28</v>
      </c>
      <c r="D953" s="2" t="s">
        <v>220</v>
      </c>
      <c r="E953" s="2" t="s">
        <v>46</v>
      </c>
      <c r="F953" s="2" t="s">
        <v>19</v>
      </c>
      <c r="G953" s="2" t="s">
        <v>105</v>
      </c>
      <c r="H953" s="2" t="s">
        <v>32</v>
      </c>
      <c r="I953" s="2">
        <v>48</v>
      </c>
      <c r="J953" s="2" t="s">
        <v>187</v>
      </c>
      <c r="K953" s="2" t="s">
        <v>2633</v>
      </c>
      <c r="L953" s="2" t="s">
        <v>24</v>
      </c>
      <c r="M953" s="2">
        <v>5</v>
      </c>
      <c r="N953" s="2" t="s">
        <v>64</v>
      </c>
    </row>
    <row r="954" spans="1:14" x14ac:dyDescent="0.25">
      <c r="A954" s="2" t="s">
        <v>2634</v>
      </c>
      <c r="B954" s="2" t="s">
        <v>2635</v>
      </c>
      <c r="C954" s="2" t="s">
        <v>28</v>
      </c>
      <c r="D954" s="2" t="s">
        <v>37</v>
      </c>
      <c r="E954" s="2" t="s">
        <v>79</v>
      </c>
      <c r="F954" s="2" t="s">
        <v>113</v>
      </c>
      <c r="G954" s="2" t="s">
        <v>40</v>
      </c>
      <c r="H954" s="2" t="s">
        <v>21</v>
      </c>
      <c r="I954" s="2">
        <v>24</v>
      </c>
      <c r="J954" s="2" t="s">
        <v>287</v>
      </c>
      <c r="K954" s="2"/>
      <c r="L954" s="2" t="s">
        <v>92</v>
      </c>
      <c r="M954" s="2"/>
      <c r="N954" s="2" t="s">
        <v>25</v>
      </c>
    </row>
    <row r="955" spans="1:14" x14ac:dyDescent="0.25">
      <c r="A955" s="2" t="s">
        <v>2636</v>
      </c>
      <c r="B955" s="2" t="s">
        <v>2637</v>
      </c>
      <c r="C955" s="2" t="s">
        <v>67</v>
      </c>
      <c r="D955" s="2" t="s">
        <v>95</v>
      </c>
      <c r="E955" s="2" t="s">
        <v>79</v>
      </c>
      <c r="F955" s="2" t="s">
        <v>143</v>
      </c>
      <c r="G955" s="2" t="s">
        <v>126</v>
      </c>
      <c r="H955" s="2" t="s">
        <v>21</v>
      </c>
      <c r="I955" s="2">
        <v>24</v>
      </c>
      <c r="J955" s="2" t="s">
        <v>232</v>
      </c>
      <c r="K955" s="2"/>
      <c r="L955" s="2" t="s">
        <v>92</v>
      </c>
      <c r="M955" s="2"/>
      <c r="N955" s="2"/>
    </row>
    <row r="956" spans="1:14" x14ac:dyDescent="0.25">
      <c r="A956" s="2" t="s">
        <v>2638</v>
      </c>
      <c r="B956" s="2" t="s">
        <v>2639</v>
      </c>
      <c r="C956" s="2" t="s">
        <v>28</v>
      </c>
      <c r="D956" s="2" t="s">
        <v>220</v>
      </c>
      <c r="E956" s="2" t="s">
        <v>46</v>
      </c>
      <c r="F956" s="2" t="s">
        <v>62</v>
      </c>
      <c r="G956" s="2" t="s">
        <v>20</v>
      </c>
      <c r="H956" s="2" t="s">
        <v>74</v>
      </c>
      <c r="I956" s="2">
        <v>8</v>
      </c>
      <c r="J956" s="2" t="s">
        <v>41</v>
      </c>
      <c r="K956" s="2" t="s">
        <v>2640</v>
      </c>
      <c r="L956" s="2" t="s">
        <v>24</v>
      </c>
      <c r="M956" s="2">
        <v>4</v>
      </c>
      <c r="N956" s="2" t="s">
        <v>50</v>
      </c>
    </row>
    <row r="957" spans="1:14" x14ac:dyDescent="0.25">
      <c r="A957" s="2" t="s">
        <v>2641</v>
      </c>
      <c r="B957" s="2" t="s">
        <v>2642</v>
      </c>
      <c r="C957" s="2" t="s">
        <v>53</v>
      </c>
      <c r="D957" s="2" t="s">
        <v>61</v>
      </c>
      <c r="E957" s="2" t="s">
        <v>38</v>
      </c>
      <c r="F957" s="2" t="s">
        <v>19</v>
      </c>
      <c r="G957" s="2" t="s">
        <v>40</v>
      </c>
      <c r="H957" s="2" t="s">
        <v>32</v>
      </c>
      <c r="I957" s="2">
        <v>48</v>
      </c>
      <c r="J957" s="2" t="s">
        <v>200</v>
      </c>
      <c r="K957" s="2"/>
      <c r="L957" s="2" t="s">
        <v>92</v>
      </c>
      <c r="M957" s="2"/>
      <c r="N957" s="2" t="s">
        <v>128</v>
      </c>
    </row>
    <row r="958" spans="1:14" x14ac:dyDescent="0.25">
      <c r="A958" s="2" t="s">
        <v>2643</v>
      </c>
      <c r="B958" s="2" t="s">
        <v>2644</v>
      </c>
      <c r="C958" s="2" t="s">
        <v>67</v>
      </c>
      <c r="D958" s="2" t="s">
        <v>95</v>
      </c>
      <c r="E958" s="2" t="s">
        <v>85</v>
      </c>
      <c r="F958" s="2" t="s">
        <v>131</v>
      </c>
      <c r="G958" s="2" t="s">
        <v>126</v>
      </c>
      <c r="H958" s="2" t="s">
        <v>21</v>
      </c>
      <c r="I958" s="2">
        <v>24</v>
      </c>
      <c r="J958" s="2" t="s">
        <v>22</v>
      </c>
      <c r="K958" s="2" t="s">
        <v>2645</v>
      </c>
      <c r="L958" s="2" t="s">
        <v>24</v>
      </c>
      <c r="M958" s="2">
        <v>5</v>
      </c>
      <c r="N958" s="2" t="s">
        <v>43</v>
      </c>
    </row>
    <row r="959" spans="1:14" x14ac:dyDescent="0.25">
      <c r="A959" s="2" t="s">
        <v>2646</v>
      </c>
      <c r="B959" s="2" t="s">
        <v>2647</v>
      </c>
      <c r="C959" s="2" t="s">
        <v>67</v>
      </c>
      <c r="D959" s="2" t="s">
        <v>95</v>
      </c>
      <c r="E959" s="2" t="s">
        <v>85</v>
      </c>
      <c r="F959" s="2" t="s">
        <v>55</v>
      </c>
      <c r="G959" s="2" t="s">
        <v>70</v>
      </c>
      <c r="H959" s="2" t="s">
        <v>74</v>
      </c>
      <c r="I959" s="2">
        <v>8</v>
      </c>
      <c r="J959" s="2" t="s">
        <v>41</v>
      </c>
      <c r="K959" s="2"/>
      <c r="L959" s="2" t="s">
        <v>24</v>
      </c>
      <c r="M959" s="2">
        <v>4</v>
      </c>
      <c r="N959" s="2" t="s">
        <v>50</v>
      </c>
    </row>
    <row r="960" spans="1:14" x14ac:dyDescent="0.25">
      <c r="A960" s="2" t="s">
        <v>2648</v>
      </c>
      <c r="B960" s="2" t="s">
        <v>2649</v>
      </c>
      <c r="C960" s="2" t="s">
        <v>67</v>
      </c>
      <c r="D960" s="2" t="s">
        <v>68</v>
      </c>
      <c r="E960" s="2" t="s">
        <v>38</v>
      </c>
      <c r="F960" s="2" t="s">
        <v>47</v>
      </c>
      <c r="G960" s="2" t="s">
        <v>211</v>
      </c>
      <c r="H960" s="2" t="s">
        <v>32</v>
      </c>
      <c r="I960" s="2">
        <v>48</v>
      </c>
      <c r="J960" s="2" t="s">
        <v>232</v>
      </c>
      <c r="K960" s="2"/>
      <c r="L960" s="2" t="s">
        <v>92</v>
      </c>
      <c r="M960" s="2"/>
      <c r="N960" s="2" t="s">
        <v>128</v>
      </c>
    </row>
    <row r="961" spans="1:14" x14ac:dyDescent="0.25">
      <c r="A961" s="2" t="s">
        <v>2650</v>
      </c>
      <c r="B961" s="2" t="s">
        <v>2651</v>
      </c>
      <c r="C961" s="2" t="s">
        <v>16</v>
      </c>
      <c r="D961" s="2" t="s">
        <v>84</v>
      </c>
      <c r="E961" s="2" t="s">
        <v>18</v>
      </c>
      <c r="F961" s="2" t="s">
        <v>131</v>
      </c>
      <c r="G961" s="2" t="s">
        <v>211</v>
      </c>
      <c r="H961" s="2" t="s">
        <v>21</v>
      </c>
      <c r="I961" s="2">
        <v>24</v>
      </c>
      <c r="J961" s="2" t="s">
        <v>106</v>
      </c>
      <c r="K961" s="2" t="s">
        <v>2652</v>
      </c>
      <c r="L961" s="2" t="s">
        <v>24</v>
      </c>
      <c r="M961" s="2">
        <v>5</v>
      </c>
      <c r="N961" s="2" t="s">
        <v>25</v>
      </c>
    </row>
    <row r="962" spans="1:14" x14ac:dyDescent="0.25">
      <c r="A962" s="2" t="s">
        <v>2653</v>
      </c>
      <c r="B962" s="2" t="s">
        <v>2654</v>
      </c>
      <c r="C962" s="2" t="s">
        <v>53</v>
      </c>
      <c r="D962" s="2" t="s">
        <v>54</v>
      </c>
      <c r="E962" s="2" t="s">
        <v>38</v>
      </c>
      <c r="F962" s="2" t="s">
        <v>19</v>
      </c>
      <c r="G962" s="2" t="s">
        <v>105</v>
      </c>
      <c r="H962" s="2" t="s">
        <v>80</v>
      </c>
      <c r="I962" s="2">
        <v>4</v>
      </c>
      <c r="J962" s="2" t="s">
        <v>155</v>
      </c>
      <c r="K962" s="2"/>
      <c r="L962" s="2" t="s">
        <v>24</v>
      </c>
      <c r="M962" s="2"/>
      <c r="N962" s="2" t="s">
        <v>25</v>
      </c>
    </row>
    <row r="963" spans="1:14" x14ac:dyDescent="0.25">
      <c r="A963" s="2" t="s">
        <v>2655</v>
      </c>
      <c r="B963" s="2" t="s">
        <v>2656</v>
      </c>
      <c r="C963" s="2" t="s">
        <v>28</v>
      </c>
      <c r="D963" s="2" t="s">
        <v>100</v>
      </c>
      <c r="E963" s="2" t="s">
        <v>85</v>
      </c>
      <c r="F963" s="2" t="s">
        <v>69</v>
      </c>
      <c r="G963" s="2" t="s">
        <v>158</v>
      </c>
      <c r="H963" s="2" t="s">
        <v>80</v>
      </c>
      <c r="I963" s="2">
        <v>4</v>
      </c>
      <c r="J963" s="2" t="s">
        <v>22</v>
      </c>
      <c r="K963" s="2" t="s">
        <v>2657</v>
      </c>
      <c r="L963" s="2" t="s">
        <v>24</v>
      </c>
      <c r="M963" s="2">
        <v>5</v>
      </c>
      <c r="N963" s="2" t="s">
        <v>34</v>
      </c>
    </row>
    <row r="964" spans="1:14" x14ac:dyDescent="0.25">
      <c r="A964" s="2" t="s">
        <v>2658</v>
      </c>
      <c r="B964" s="2" t="s">
        <v>2659</v>
      </c>
      <c r="C964" s="2" t="s">
        <v>67</v>
      </c>
      <c r="D964" s="2" t="s">
        <v>95</v>
      </c>
      <c r="E964" s="2" t="s">
        <v>85</v>
      </c>
      <c r="F964" s="2" t="s">
        <v>113</v>
      </c>
      <c r="G964" s="2" t="s">
        <v>121</v>
      </c>
      <c r="H964" s="2" t="s">
        <v>21</v>
      </c>
      <c r="I964" s="2">
        <v>24</v>
      </c>
      <c r="J964" s="2" t="s">
        <v>106</v>
      </c>
      <c r="K964" s="2" t="s">
        <v>2660</v>
      </c>
      <c r="L964" s="2" t="s">
        <v>24</v>
      </c>
      <c r="M964" s="2"/>
      <c r="N964" s="2" t="s">
        <v>34</v>
      </c>
    </row>
    <row r="965" spans="1:14" x14ac:dyDescent="0.25">
      <c r="A965" s="2" t="s">
        <v>2661</v>
      </c>
      <c r="B965" s="2" t="s">
        <v>2662</v>
      </c>
      <c r="C965" s="2" t="s">
        <v>16</v>
      </c>
      <c r="D965" s="2" t="s">
        <v>17</v>
      </c>
      <c r="E965" s="2" t="s">
        <v>79</v>
      </c>
      <c r="F965" s="2" t="s">
        <v>62</v>
      </c>
      <c r="G965" s="2" t="s">
        <v>110</v>
      </c>
      <c r="H965" s="2" t="s">
        <v>32</v>
      </c>
      <c r="I965" s="2">
        <v>48</v>
      </c>
      <c r="J965" s="2" t="s">
        <v>41</v>
      </c>
      <c r="K965" s="2" t="s">
        <v>2663</v>
      </c>
      <c r="L965" s="2" t="s">
        <v>24</v>
      </c>
      <c r="M965" s="2"/>
      <c r="N965" s="2" t="s">
        <v>25</v>
      </c>
    </row>
    <row r="966" spans="1:14" x14ac:dyDescent="0.25">
      <c r="A966" s="2" t="s">
        <v>2664</v>
      </c>
      <c r="B966" s="2" t="s">
        <v>2665</v>
      </c>
      <c r="C966" s="2" t="s">
        <v>16</v>
      </c>
      <c r="D966" s="2" t="s">
        <v>17</v>
      </c>
      <c r="E966" s="2" t="s">
        <v>85</v>
      </c>
      <c r="F966" s="2" t="s">
        <v>39</v>
      </c>
      <c r="G966" s="2" t="s">
        <v>40</v>
      </c>
      <c r="H966" s="2" t="s">
        <v>80</v>
      </c>
      <c r="I966" s="2">
        <v>4</v>
      </c>
      <c r="J966" s="2" t="s">
        <v>200</v>
      </c>
      <c r="K966" s="2"/>
      <c r="L966" s="2" t="s">
        <v>92</v>
      </c>
      <c r="M966" s="2"/>
      <c r="N966" s="2" t="s">
        <v>34</v>
      </c>
    </row>
    <row r="967" spans="1:14" x14ac:dyDescent="0.25">
      <c r="A967" s="2" t="s">
        <v>2666</v>
      </c>
      <c r="B967" s="2" t="s">
        <v>2667</v>
      </c>
      <c r="C967" s="2" t="s">
        <v>67</v>
      </c>
      <c r="D967" s="2" t="s">
        <v>95</v>
      </c>
      <c r="E967" s="2" t="s">
        <v>85</v>
      </c>
      <c r="F967" s="2" t="s">
        <v>125</v>
      </c>
      <c r="G967" s="2" t="s">
        <v>135</v>
      </c>
      <c r="H967" s="2" t="s">
        <v>74</v>
      </c>
      <c r="I967" s="2">
        <v>8</v>
      </c>
      <c r="J967" s="2" t="s">
        <v>41</v>
      </c>
      <c r="K967" s="2" t="s">
        <v>2668</v>
      </c>
      <c r="L967" s="2" t="s">
        <v>24</v>
      </c>
      <c r="M967" s="2">
        <v>4</v>
      </c>
      <c r="N967" s="2" t="s">
        <v>128</v>
      </c>
    </row>
    <row r="968" spans="1:14" x14ac:dyDescent="0.25">
      <c r="A968" s="2" t="s">
        <v>2669</v>
      </c>
      <c r="B968" s="2" t="s">
        <v>1558</v>
      </c>
      <c r="C968" s="2" t="s">
        <v>53</v>
      </c>
      <c r="D968" s="2" t="s">
        <v>61</v>
      </c>
      <c r="E968" s="2" t="s">
        <v>79</v>
      </c>
      <c r="F968" s="2" t="s">
        <v>19</v>
      </c>
      <c r="G968" s="2" t="s">
        <v>31</v>
      </c>
      <c r="H968" s="2" t="s">
        <v>32</v>
      </c>
      <c r="I968" s="2">
        <v>48</v>
      </c>
      <c r="J968" s="2" t="s">
        <v>106</v>
      </c>
      <c r="K968" s="2" t="s">
        <v>2670</v>
      </c>
      <c r="L968" s="2" t="s">
        <v>24</v>
      </c>
      <c r="M968" s="2"/>
      <c r="N968" s="2" t="s">
        <v>128</v>
      </c>
    </row>
    <row r="969" spans="1:14" x14ac:dyDescent="0.25">
      <c r="A969" s="2" t="s">
        <v>2671</v>
      </c>
      <c r="B969" s="2" t="s">
        <v>2672</v>
      </c>
      <c r="C969" s="2" t="s">
        <v>16</v>
      </c>
      <c r="D969" s="2" t="s">
        <v>17</v>
      </c>
      <c r="E969" s="2" t="s">
        <v>46</v>
      </c>
      <c r="F969" s="2" t="s">
        <v>96</v>
      </c>
      <c r="G969" s="2" t="s">
        <v>110</v>
      </c>
      <c r="H969" s="2" t="s">
        <v>74</v>
      </c>
      <c r="I969" s="2">
        <v>8</v>
      </c>
      <c r="J969" s="2" t="s">
        <v>11</v>
      </c>
      <c r="K969" s="2"/>
      <c r="L969" s="2" t="s">
        <v>92</v>
      </c>
      <c r="M969" s="2"/>
      <c r="N969" s="2" t="s">
        <v>25</v>
      </c>
    </row>
    <row r="970" spans="1:14" x14ac:dyDescent="0.25">
      <c r="A970" s="2" t="s">
        <v>2673</v>
      </c>
      <c r="B970" s="2" t="s">
        <v>2674</v>
      </c>
      <c r="C970" s="2" t="s">
        <v>16</v>
      </c>
      <c r="D970" s="2" t="s">
        <v>84</v>
      </c>
      <c r="E970" s="2" t="s">
        <v>79</v>
      </c>
      <c r="F970" s="2" t="s">
        <v>19</v>
      </c>
      <c r="G970" s="2" t="s">
        <v>144</v>
      </c>
      <c r="H970" s="2" t="s">
        <v>21</v>
      </c>
      <c r="I970" s="2">
        <v>24</v>
      </c>
      <c r="J970" s="2" t="s">
        <v>106</v>
      </c>
      <c r="K970" s="2" t="s">
        <v>2675</v>
      </c>
      <c r="L970" s="2" t="s">
        <v>24</v>
      </c>
      <c r="M970" s="2">
        <v>3</v>
      </c>
      <c r="N970" s="2"/>
    </row>
    <row r="971" spans="1:14" x14ac:dyDescent="0.25">
      <c r="A971" s="2" t="s">
        <v>2676</v>
      </c>
      <c r="B971" s="2" t="s">
        <v>1100</v>
      </c>
      <c r="C971" s="2" t="s">
        <v>53</v>
      </c>
      <c r="D971" s="2" t="s">
        <v>54</v>
      </c>
      <c r="E971" s="2" t="s">
        <v>38</v>
      </c>
      <c r="F971" s="2" t="s">
        <v>30</v>
      </c>
      <c r="G971" s="2" t="s">
        <v>144</v>
      </c>
      <c r="H971" s="2" t="s">
        <v>80</v>
      </c>
      <c r="I971" s="2">
        <v>4</v>
      </c>
      <c r="J971" s="2" t="s">
        <v>11</v>
      </c>
      <c r="K971" s="2"/>
      <c r="L971" s="2" t="s">
        <v>92</v>
      </c>
      <c r="M971" s="2"/>
      <c r="N971" s="2" t="s">
        <v>128</v>
      </c>
    </row>
    <row r="972" spans="1:14" x14ac:dyDescent="0.25">
      <c r="A972" s="2" t="s">
        <v>2677</v>
      </c>
      <c r="B972" s="2" t="s">
        <v>2678</v>
      </c>
      <c r="C972" s="2" t="s">
        <v>53</v>
      </c>
      <c r="D972" s="2" t="s">
        <v>54</v>
      </c>
      <c r="E972" s="2" t="s">
        <v>79</v>
      </c>
      <c r="F972" s="2" t="s">
        <v>30</v>
      </c>
      <c r="G972" s="2" t="s">
        <v>101</v>
      </c>
      <c r="H972" s="2" t="s">
        <v>32</v>
      </c>
      <c r="I972" s="2">
        <v>48</v>
      </c>
      <c r="J972" s="2" t="s">
        <v>106</v>
      </c>
      <c r="K972" s="2" t="s">
        <v>2679</v>
      </c>
      <c r="L972" s="2" t="s">
        <v>24</v>
      </c>
      <c r="M972" s="2">
        <v>4</v>
      </c>
      <c r="N972" s="2" t="s">
        <v>25</v>
      </c>
    </row>
    <row r="973" spans="1:14" x14ac:dyDescent="0.25">
      <c r="A973" s="2" t="s">
        <v>2680</v>
      </c>
      <c r="B973" s="2" t="s">
        <v>2681</v>
      </c>
      <c r="C973" s="2" t="s">
        <v>53</v>
      </c>
      <c r="D973" s="2" t="s">
        <v>61</v>
      </c>
      <c r="E973" s="2" t="s">
        <v>148</v>
      </c>
      <c r="F973" s="2" t="s">
        <v>39</v>
      </c>
      <c r="G973" s="2" t="s">
        <v>31</v>
      </c>
      <c r="H973" s="2" t="s">
        <v>74</v>
      </c>
      <c r="I973" s="2">
        <v>8</v>
      </c>
      <c r="J973" s="2" t="s">
        <v>200</v>
      </c>
      <c r="K973" s="2"/>
      <c r="L973" s="2" t="s">
        <v>92</v>
      </c>
      <c r="M973" s="2"/>
      <c r="N973" s="2" t="s">
        <v>34</v>
      </c>
    </row>
    <row r="974" spans="1:14" x14ac:dyDescent="0.25">
      <c r="A974" s="2" t="s">
        <v>2682</v>
      </c>
      <c r="B974" s="2" t="s">
        <v>2683</v>
      </c>
      <c r="C974" s="2" t="s">
        <v>16</v>
      </c>
      <c r="D974" s="2" t="s">
        <v>765</v>
      </c>
      <c r="E974" s="2" t="s">
        <v>38</v>
      </c>
      <c r="F974" s="2" t="s">
        <v>39</v>
      </c>
      <c r="G974" s="2" t="s">
        <v>135</v>
      </c>
      <c r="H974" s="2" t="s">
        <v>21</v>
      </c>
      <c r="I974" s="2">
        <v>24</v>
      </c>
      <c r="J974" s="2" t="s">
        <v>75</v>
      </c>
      <c r="K974" s="2" t="s">
        <v>2684</v>
      </c>
      <c r="L974" s="2" t="s">
        <v>24</v>
      </c>
      <c r="M974" s="2"/>
      <c r="N974" s="2" t="s">
        <v>128</v>
      </c>
    </row>
    <row r="975" spans="1:14" x14ac:dyDescent="0.25">
      <c r="A975" s="2" t="s">
        <v>2685</v>
      </c>
      <c r="B975" s="2" t="s">
        <v>2406</v>
      </c>
      <c r="C975" s="2" t="s">
        <v>28</v>
      </c>
      <c r="D975" s="2" t="s">
        <v>100</v>
      </c>
      <c r="E975" s="2" t="s">
        <v>38</v>
      </c>
      <c r="F975" s="2" t="s">
        <v>113</v>
      </c>
      <c r="G975" s="2" t="s">
        <v>91</v>
      </c>
      <c r="H975" s="2" t="s">
        <v>21</v>
      </c>
      <c r="I975" s="2">
        <v>24</v>
      </c>
      <c r="J975" s="2" t="s">
        <v>22</v>
      </c>
      <c r="K975" s="2" t="s">
        <v>2686</v>
      </c>
      <c r="L975" s="2" t="s">
        <v>24</v>
      </c>
      <c r="M975" s="2">
        <v>5</v>
      </c>
      <c r="N975" s="2" t="s">
        <v>64</v>
      </c>
    </row>
    <row r="976" spans="1:14" x14ac:dyDescent="0.25">
      <c r="A976" s="2" t="s">
        <v>2687</v>
      </c>
      <c r="B976" s="2" t="s">
        <v>2688</v>
      </c>
      <c r="C976" s="2" t="s">
        <v>67</v>
      </c>
      <c r="D976" s="2" t="s">
        <v>68</v>
      </c>
      <c r="E976" s="2" t="s">
        <v>148</v>
      </c>
      <c r="F976" s="2" t="s">
        <v>143</v>
      </c>
      <c r="G976" s="2" t="s">
        <v>110</v>
      </c>
      <c r="H976" s="2" t="s">
        <v>74</v>
      </c>
      <c r="I976" s="2">
        <v>8</v>
      </c>
      <c r="J976" s="2" t="s">
        <v>41</v>
      </c>
      <c r="K976" s="2" t="s">
        <v>2689</v>
      </c>
      <c r="L976" s="2" t="s">
        <v>24</v>
      </c>
      <c r="M976" s="2">
        <v>2</v>
      </c>
      <c r="N976" s="2" t="s">
        <v>118</v>
      </c>
    </row>
    <row r="977" spans="1:14" x14ac:dyDescent="0.25">
      <c r="A977" s="2" t="s">
        <v>2690</v>
      </c>
      <c r="B977" s="2" t="s">
        <v>2691</v>
      </c>
      <c r="C977" s="2" t="s">
        <v>67</v>
      </c>
      <c r="D977" s="2" t="s">
        <v>68</v>
      </c>
      <c r="E977" s="2" t="s">
        <v>148</v>
      </c>
      <c r="F977" s="2" t="s">
        <v>19</v>
      </c>
      <c r="G977" s="2" t="s">
        <v>135</v>
      </c>
      <c r="H977" s="2" t="s">
        <v>80</v>
      </c>
      <c r="I977" s="2">
        <v>4</v>
      </c>
      <c r="J977" s="2" t="s">
        <v>106</v>
      </c>
      <c r="K977" s="2" t="s">
        <v>2692</v>
      </c>
      <c r="L977" s="2" t="s">
        <v>24</v>
      </c>
      <c r="M977" s="2"/>
      <c r="N977" s="2" t="s">
        <v>50</v>
      </c>
    </row>
    <row r="978" spans="1:14" x14ac:dyDescent="0.25">
      <c r="A978" s="2" t="s">
        <v>2693</v>
      </c>
      <c r="B978" s="2" t="s">
        <v>2694</v>
      </c>
      <c r="C978" s="2" t="s">
        <v>28</v>
      </c>
      <c r="D978" s="2" t="s">
        <v>220</v>
      </c>
      <c r="E978" s="2" t="s">
        <v>148</v>
      </c>
      <c r="F978" s="2" t="s">
        <v>131</v>
      </c>
      <c r="G978" s="2" t="s">
        <v>139</v>
      </c>
      <c r="H978" s="2" t="s">
        <v>32</v>
      </c>
      <c r="I978" s="2">
        <v>48</v>
      </c>
      <c r="J978" s="2" t="s">
        <v>33</v>
      </c>
      <c r="K978" s="2"/>
      <c r="L978" s="2" t="s">
        <v>24</v>
      </c>
      <c r="M978" s="2"/>
      <c r="N978" s="2" t="s">
        <v>43</v>
      </c>
    </row>
    <row r="979" spans="1:14" x14ac:dyDescent="0.25">
      <c r="A979" s="2" t="s">
        <v>2695</v>
      </c>
      <c r="B979" s="2" t="s">
        <v>2696</v>
      </c>
      <c r="C979" s="2" t="s">
        <v>53</v>
      </c>
      <c r="D979" s="2" t="s">
        <v>54</v>
      </c>
      <c r="E979" s="2" t="s">
        <v>85</v>
      </c>
      <c r="F979" s="2" t="s">
        <v>96</v>
      </c>
      <c r="G979" s="2" t="s">
        <v>70</v>
      </c>
      <c r="H979" s="2" t="s">
        <v>74</v>
      </c>
      <c r="I979" s="2">
        <v>8</v>
      </c>
      <c r="J979" s="2" t="s">
        <v>22</v>
      </c>
      <c r="K979" s="2"/>
      <c r="L979" s="2" t="s">
        <v>24</v>
      </c>
      <c r="M979" s="2">
        <v>5</v>
      </c>
      <c r="N979" s="2"/>
    </row>
    <row r="980" spans="1:14" x14ac:dyDescent="0.25">
      <c r="A980" s="2" t="s">
        <v>2697</v>
      </c>
      <c r="B980" s="2" t="s">
        <v>2698</v>
      </c>
      <c r="C980" s="2" t="s">
        <v>53</v>
      </c>
      <c r="D980" s="2" t="s">
        <v>54</v>
      </c>
      <c r="E980" s="2" t="s">
        <v>79</v>
      </c>
      <c r="F980" s="2" t="s">
        <v>47</v>
      </c>
      <c r="G980" s="2" t="s">
        <v>158</v>
      </c>
      <c r="H980" s="2" t="s">
        <v>32</v>
      </c>
      <c r="I980" s="2">
        <v>48</v>
      </c>
      <c r="J980" s="2" t="s">
        <v>41</v>
      </c>
      <c r="K980" s="2" t="s">
        <v>2699</v>
      </c>
      <c r="L980" s="2" t="s">
        <v>24</v>
      </c>
      <c r="M980" s="2">
        <v>5</v>
      </c>
      <c r="N980" s="2" t="s">
        <v>128</v>
      </c>
    </row>
    <row r="981" spans="1:14" x14ac:dyDescent="0.25">
      <c r="A981" s="2" t="s">
        <v>2700</v>
      </c>
      <c r="B981" s="2" t="s">
        <v>2701</v>
      </c>
      <c r="C981" s="2" t="s">
        <v>53</v>
      </c>
      <c r="D981" s="2" t="s">
        <v>54</v>
      </c>
      <c r="E981" s="2" t="s">
        <v>38</v>
      </c>
      <c r="F981" s="2" t="s">
        <v>113</v>
      </c>
      <c r="G981" s="2" t="s">
        <v>179</v>
      </c>
      <c r="H981" s="2" t="s">
        <v>21</v>
      </c>
      <c r="I981" s="2">
        <v>24</v>
      </c>
      <c r="J981" s="2" t="s">
        <v>106</v>
      </c>
      <c r="K981" s="2" t="s">
        <v>2702</v>
      </c>
      <c r="L981" s="2" t="s">
        <v>24</v>
      </c>
      <c r="M981" s="2">
        <v>5</v>
      </c>
      <c r="N981" s="2" t="s">
        <v>118</v>
      </c>
    </row>
    <row r="982" spans="1:14" x14ac:dyDescent="0.25">
      <c r="A982" s="2" t="s">
        <v>2703</v>
      </c>
      <c r="B982" s="2" t="s">
        <v>2704</v>
      </c>
      <c r="C982" s="2" t="s">
        <v>28</v>
      </c>
      <c r="D982" s="2" t="s">
        <v>220</v>
      </c>
      <c r="E982" s="2" t="s">
        <v>38</v>
      </c>
      <c r="F982" s="2" t="s">
        <v>19</v>
      </c>
      <c r="G982" s="2" t="s">
        <v>135</v>
      </c>
      <c r="H982" s="2" t="s">
        <v>80</v>
      </c>
      <c r="I982" s="2">
        <v>4</v>
      </c>
      <c r="J982" s="2" t="s">
        <v>33</v>
      </c>
      <c r="K982" s="2"/>
      <c r="L982" s="2" t="s">
        <v>24</v>
      </c>
      <c r="M982" s="2"/>
      <c r="N982" s="2" t="s">
        <v>43</v>
      </c>
    </row>
    <row r="983" spans="1:14" x14ac:dyDescent="0.25">
      <c r="A983" s="2" t="s">
        <v>2705</v>
      </c>
      <c r="B983" s="2" t="s">
        <v>2706</v>
      </c>
      <c r="C983" s="2" t="s">
        <v>53</v>
      </c>
      <c r="D983" s="2" t="s">
        <v>61</v>
      </c>
      <c r="E983" s="2" t="s">
        <v>148</v>
      </c>
      <c r="F983" s="2" t="s">
        <v>19</v>
      </c>
      <c r="G983" s="2" t="s">
        <v>158</v>
      </c>
      <c r="H983" s="2" t="s">
        <v>32</v>
      </c>
      <c r="I983" s="2">
        <v>48</v>
      </c>
      <c r="J983" s="2" t="s">
        <v>11</v>
      </c>
      <c r="K983" s="2"/>
      <c r="L983" s="2" t="s">
        <v>92</v>
      </c>
      <c r="M983" s="2"/>
      <c r="N983" s="2" t="s">
        <v>50</v>
      </c>
    </row>
    <row r="984" spans="1:14" x14ac:dyDescent="0.25">
      <c r="A984" s="2" t="s">
        <v>2707</v>
      </c>
      <c r="B984" s="2" t="s">
        <v>2708</v>
      </c>
      <c r="C984" s="2" t="s">
        <v>67</v>
      </c>
      <c r="D984" s="2" t="s">
        <v>95</v>
      </c>
      <c r="E984" s="2" t="s">
        <v>148</v>
      </c>
      <c r="F984" s="2" t="s">
        <v>55</v>
      </c>
      <c r="G984" s="2" t="s">
        <v>144</v>
      </c>
      <c r="H984" s="2" t="s">
        <v>21</v>
      </c>
      <c r="I984" s="2">
        <v>24</v>
      </c>
      <c r="J984" s="2" t="s">
        <v>149</v>
      </c>
      <c r="K984" s="2"/>
      <c r="L984" s="2" t="s">
        <v>92</v>
      </c>
      <c r="M984" s="2"/>
      <c r="N984" s="2" t="s">
        <v>43</v>
      </c>
    </row>
    <row r="985" spans="1:14" x14ac:dyDescent="0.25">
      <c r="A985" s="2" t="s">
        <v>2709</v>
      </c>
      <c r="B985" s="2" t="s">
        <v>2710</v>
      </c>
      <c r="C985" s="2" t="s">
        <v>28</v>
      </c>
      <c r="D985" s="2" t="s">
        <v>37</v>
      </c>
      <c r="E985" s="2" t="s">
        <v>79</v>
      </c>
      <c r="F985" s="2" t="s">
        <v>30</v>
      </c>
      <c r="G985" s="2" t="s">
        <v>179</v>
      </c>
      <c r="H985" s="2" t="s">
        <v>32</v>
      </c>
      <c r="I985" s="2">
        <v>48</v>
      </c>
      <c r="J985" s="2" t="s">
        <v>106</v>
      </c>
      <c r="K985" s="2" t="s">
        <v>2711</v>
      </c>
      <c r="L985" s="2" t="s">
        <v>24</v>
      </c>
      <c r="M985" s="2">
        <v>4</v>
      </c>
      <c r="N985" s="2" t="s">
        <v>43</v>
      </c>
    </row>
    <row r="986" spans="1:14" x14ac:dyDescent="0.25">
      <c r="A986" s="2" t="s">
        <v>2712</v>
      </c>
      <c r="B986" s="2" t="s">
        <v>2713</v>
      </c>
      <c r="C986" s="2" t="s">
        <v>53</v>
      </c>
      <c r="D986" s="2" t="s">
        <v>61</v>
      </c>
      <c r="E986" s="2" t="s">
        <v>46</v>
      </c>
      <c r="F986" s="2" t="s">
        <v>143</v>
      </c>
      <c r="G986" s="2" t="s">
        <v>31</v>
      </c>
      <c r="H986" s="2" t="s">
        <v>32</v>
      </c>
      <c r="I986" s="2">
        <v>48</v>
      </c>
      <c r="J986" s="2" t="s">
        <v>187</v>
      </c>
      <c r="K986" s="2" t="s">
        <v>2714</v>
      </c>
      <c r="L986" s="2" t="s">
        <v>24</v>
      </c>
      <c r="M986" s="2">
        <v>2</v>
      </c>
      <c r="N986" s="2" t="s">
        <v>64</v>
      </c>
    </row>
    <row r="987" spans="1:14" x14ac:dyDescent="0.25">
      <c r="A987" s="2" t="s">
        <v>2715</v>
      </c>
      <c r="B987" s="2" t="s">
        <v>2716</v>
      </c>
      <c r="C987" s="2" t="s">
        <v>16</v>
      </c>
      <c r="D987" s="2" t="s">
        <v>84</v>
      </c>
      <c r="E987" s="2" t="s">
        <v>79</v>
      </c>
      <c r="F987" s="2" t="s">
        <v>39</v>
      </c>
      <c r="G987" s="2" t="s">
        <v>31</v>
      </c>
      <c r="H987" s="2" t="s">
        <v>74</v>
      </c>
      <c r="I987" s="2">
        <v>8</v>
      </c>
      <c r="J987" s="2" t="s">
        <v>75</v>
      </c>
      <c r="K987" s="2" t="s">
        <v>2717</v>
      </c>
      <c r="L987" s="2" t="s">
        <v>24</v>
      </c>
      <c r="M987" s="2"/>
      <c r="N987" s="2" t="s">
        <v>34</v>
      </c>
    </row>
    <row r="988" spans="1:14" x14ac:dyDescent="0.25">
      <c r="A988" s="2" t="s">
        <v>2718</v>
      </c>
      <c r="B988" s="2" t="s">
        <v>2719</v>
      </c>
      <c r="C988" s="2" t="s">
        <v>16</v>
      </c>
      <c r="D988" s="2" t="s">
        <v>17</v>
      </c>
      <c r="E988" s="2" t="s">
        <v>90</v>
      </c>
      <c r="F988" s="2" t="s">
        <v>39</v>
      </c>
      <c r="G988" s="2" t="s">
        <v>105</v>
      </c>
      <c r="H988" s="2" t="s">
        <v>80</v>
      </c>
      <c r="I988" s="2">
        <v>4</v>
      </c>
      <c r="J988" s="2" t="s">
        <v>41</v>
      </c>
      <c r="K988" s="2" t="s">
        <v>2720</v>
      </c>
      <c r="L988" s="2" t="s">
        <v>24</v>
      </c>
      <c r="M988" s="2">
        <v>5</v>
      </c>
      <c r="N988" s="2" t="s">
        <v>58</v>
      </c>
    </row>
    <row r="989" spans="1:14" x14ac:dyDescent="0.25">
      <c r="A989" s="2" t="s">
        <v>2721</v>
      </c>
      <c r="B989" s="2" t="s">
        <v>2722</v>
      </c>
      <c r="C989" s="2" t="s">
        <v>67</v>
      </c>
      <c r="D989" s="2" t="s">
        <v>89</v>
      </c>
      <c r="E989" s="2" t="s">
        <v>90</v>
      </c>
      <c r="F989" s="2" t="s">
        <v>143</v>
      </c>
      <c r="G989" s="2" t="s">
        <v>211</v>
      </c>
      <c r="H989" s="2" t="s">
        <v>74</v>
      </c>
      <c r="I989" s="2">
        <v>8</v>
      </c>
      <c r="J989" s="2" t="s">
        <v>106</v>
      </c>
      <c r="K989" s="2" t="s">
        <v>2723</v>
      </c>
      <c r="L989" s="2" t="s">
        <v>92</v>
      </c>
      <c r="M989" s="2">
        <v>5</v>
      </c>
      <c r="N989" s="2"/>
    </row>
    <row r="990" spans="1:14" x14ac:dyDescent="0.25">
      <c r="A990" s="2" t="s">
        <v>2724</v>
      </c>
      <c r="B990" s="2" t="s">
        <v>2725</v>
      </c>
      <c r="C990" s="2" t="s">
        <v>16</v>
      </c>
      <c r="D990" s="2" t="s">
        <v>17</v>
      </c>
      <c r="E990" s="2" t="s">
        <v>79</v>
      </c>
      <c r="F990" s="2" t="s">
        <v>125</v>
      </c>
      <c r="G990" s="2" t="s">
        <v>139</v>
      </c>
      <c r="H990" s="2" t="s">
        <v>74</v>
      </c>
      <c r="I990" s="2">
        <v>8</v>
      </c>
      <c r="J990" s="2" t="s">
        <v>75</v>
      </c>
      <c r="K990" s="2" t="s">
        <v>2726</v>
      </c>
      <c r="L990" s="2" t="s">
        <v>24</v>
      </c>
      <c r="M990" s="2"/>
      <c r="N990" s="2"/>
    </row>
    <row r="991" spans="1:14" x14ac:dyDescent="0.25">
      <c r="A991" s="2" t="s">
        <v>2727</v>
      </c>
      <c r="B991" s="2" t="s">
        <v>2728</v>
      </c>
      <c r="C991" s="2" t="s">
        <v>53</v>
      </c>
      <c r="D991" s="2" t="s">
        <v>54</v>
      </c>
      <c r="E991" s="2" t="s">
        <v>85</v>
      </c>
      <c r="F991" s="2" t="s">
        <v>47</v>
      </c>
      <c r="G991" s="2" t="s">
        <v>97</v>
      </c>
      <c r="H991" s="2" t="s">
        <v>21</v>
      </c>
      <c r="I991" s="2">
        <v>24</v>
      </c>
      <c r="J991" s="2" t="s">
        <v>22</v>
      </c>
      <c r="K991" s="2" t="s">
        <v>2729</v>
      </c>
      <c r="L991" s="2" t="s">
        <v>24</v>
      </c>
      <c r="M991" s="2"/>
      <c r="N991" s="2" t="s">
        <v>128</v>
      </c>
    </row>
    <row r="992" spans="1:14" x14ac:dyDescent="0.25">
      <c r="A992" s="2" t="s">
        <v>2730</v>
      </c>
      <c r="B992" s="2" t="s">
        <v>2731</v>
      </c>
      <c r="C992" s="2" t="s">
        <v>28</v>
      </c>
      <c r="D992" s="2" t="s">
        <v>100</v>
      </c>
      <c r="E992" s="2" t="s">
        <v>90</v>
      </c>
      <c r="F992" s="2" t="s">
        <v>30</v>
      </c>
      <c r="G992" s="2" t="s">
        <v>20</v>
      </c>
      <c r="H992" s="2" t="s">
        <v>74</v>
      </c>
      <c r="I992" s="2">
        <v>8</v>
      </c>
      <c r="J992" s="2" t="s">
        <v>149</v>
      </c>
      <c r="K992" s="2"/>
      <c r="L992" s="2" t="s">
        <v>24</v>
      </c>
      <c r="M992" s="2"/>
      <c r="N992" s="2"/>
    </row>
    <row r="993" spans="1:14" x14ac:dyDescent="0.25">
      <c r="A993" s="2" t="s">
        <v>2732</v>
      </c>
      <c r="B993" s="2" t="s">
        <v>513</v>
      </c>
      <c r="C993" s="2" t="s">
        <v>28</v>
      </c>
      <c r="D993" s="2" t="s">
        <v>100</v>
      </c>
      <c r="E993" s="2" t="s">
        <v>90</v>
      </c>
      <c r="F993" s="2" t="s">
        <v>39</v>
      </c>
      <c r="G993" s="2" t="s">
        <v>91</v>
      </c>
      <c r="H993" s="2" t="s">
        <v>74</v>
      </c>
      <c r="I993" s="2">
        <v>8</v>
      </c>
      <c r="J993" s="2" t="s">
        <v>48</v>
      </c>
      <c r="K993" s="2" t="s">
        <v>2733</v>
      </c>
      <c r="L993" s="2" t="s">
        <v>24</v>
      </c>
      <c r="M993" s="2">
        <v>5</v>
      </c>
      <c r="N993" s="2" t="s">
        <v>25</v>
      </c>
    </row>
    <row r="994" spans="1:14" x14ac:dyDescent="0.25">
      <c r="A994" s="2" t="s">
        <v>2734</v>
      </c>
      <c r="B994" s="2" t="s">
        <v>2735</v>
      </c>
      <c r="C994" s="2" t="s">
        <v>67</v>
      </c>
      <c r="D994" s="2" t="s">
        <v>601</v>
      </c>
      <c r="E994" s="2" t="s">
        <v>148</v>
      </c>
      <c r="F994" s="2" t="s">
        <v>30</v>
      </c>
      <c r="G994" s="2" t="s">
        <v>97</v>
      </c>
      <c r="H994" s="2" t="s">
        <v>21</v>
      </c>
      <c r="I994" s="2">
        <v>24</v>
      </c>
      <c r="J994" s="2" t="s">
        <v>191</v>
      </c>
      <c r="K994" s="2" t="s">
        <v>2736</v>
      </c>
      <c r="L994" s="2" t="s">
        <v>24</v>
      </c>
      <c r="M994" s="2"/>
      <c r="N994" s="2" t="s">
        <v>34</v>
      </c>
    </row>
    <row r="995" spans="1:14" x14ac:dyDescent="0.25">
      <c r="A995" s="2" t="s">
        <v>2737</v>
      </c>
      <c r="B995" s="2" t="s">
        <v>2738</v>
      </c>
      <c r="C995" s="2" t="s">
        <v>53</v>
      </c>
      <c r="D995" s="2" t="s">
        <v>54</v>
      </c>
      <c r="E995" s="2" t="s">
        <v>85</v>
      </c>
      <c r="F995" s="2" t="s">
        <v>55</v>
      </c>
      <c r="G995" s="2" t="s">
        <v>101</v>
      </c>
      <c r="H995" s="2" t="s">
        <v>80</v>
      </c>
      <c r="I995" s="2">
        <v>4</v>
      </c>
      <c r="J995" s="2" t="s">
        <v>232</v>
      </c>
      <c r="K995" s="2"/>
      <c r="L995" s="2" t="s">
        <v>92</v>
      </c>
      <c r="M995" s="2"/>
      <c r="N995" s="2" t="s">
        <v>43</v>
      </c>
    </row>
    <row r="996" spans="1:14" x14ac:dyDescent="0.25">
      <c r="A996" s="2" t="s">
        <v>2739</v>
      </c>
      <c r="B996" s="2" t="s">
        <v>2740</v>
      </c>
      <c r="C996" s="2" t="s">
        <v>53</v>
      </c>
      <c r="D996" s="2" t="s">
        <v>61</v>
      </c>
      <c r="E996" s="2" t="s">
        <v>38</v>
      </c>
      <c r="F996" s="2" t="s">
        <v>47</v>
      </c>
      <c r="G996" s="2" t="s">
        <v>144</v>
      </c>
      <c r="H996" s="2" t="s">
        <v>80</v>
      </c>
      <c r="I996" s="2">
        <v>4</v>
      </c>
      <c r="J996" s="2" t="s">
        <v>106</v>
      </c>
      <c r="K996" s="2" t="s">
        <v>2741</v>
      </c>
      <c r="L996" s="2" t="s">
        <v>92</v>
      </c>
      <c r="M996" s="2">
        <v>3</v>
      </c>
      <c r="N996" s="2" t="s">
        <v>118</v>
      </c>
    </row>
    <row r="997" spans="1:14" x14ac:dyDescent="0.25">
      <c r="A997" s="2" t="s">
        <v>2742</v>
      </c>
      <c r="B997" s="2" t="s">
        <v>2743</v>
      </c>
      <c r="C997" s="2" t="s">
        <v>53</v>
      </c>
      <c r="D997" s="2" t="s">
        <v>54</v>
      </c>
      <c r="E997" s="2" t="s">
        <v>90</v>
      </c>
      <c r="F997" s="2" t="s">
        <v>113</v>
      </c>
      <c r="G997" s="2" t="s">
        <v>20</v>
      </c>
      <c r="H997" s="2" t="s">
        <v>32</v>
      </c>
      <c r="I997" s="2">
        <v>48</v>
      </c>
      <c r="J997" s="2" t="s">
        <v>149</v>
      </c>
      <c r="K997" s="2"/>
      <c r="L997" s="2" t="s">
        <v>24</v>
      </c>
      <c r="M997" s="2"/>
      <c r="N997" s="2" t="s">
        <v>128</v>
      </c>
    </row>
    <row r="998" spans="1:14" x14ac:dyDescent="0.25">
      <c r="A998" s="2" t="s">
        <v>2744</v>
      </c>
      <c r="B998" s="2" t="s">
        <v>2745</v>
      </c>
      <c r="C998" s="2" t="s">
        <v>67</v>
      </c>
      <c r="D998" s="2" t="s">
        <v>68</v>
      </c>
      <c r="E998" s="2" t="s">
        <v>18</v>
      </c>
      <c r="F998" s="2" t="s">
        <v>62</v>
      </c>
      <c r="G998" s="2" t="s">
        <v>126</v>
      </c>
      <c r="H998" s="2" t="s">
        <v>32</v>
      </c>
      <c r="I998" s="2">
        <v>48</v>
      </c>
      <c r="J998" s="2" t="s">
        <v>41</v>
      </c>
      <c r="K998" s="2" t="s">
        <v>2746</v>
      </c>
      <c r="L998" s="2" t="s">
        <v>24</v>
      </c>
      <c r="M998" s="2"/>
      <c r="N998" s="2" t="s">
        <v>43</v>
      </c>
    </row>
    <row r="999" spans="1:14" x14ac:dyDescent="0.25">
      <c r="A999" s="2" t="s">
        <v>2747</v>
      </c>
      <c r="B999" s="2" t="s">
        <v>2748</v>
      </c>
      <c r="C999" s="2" t="s">
        <v>53</v>
      </c>
      <c r="D999" s="2" t="s">
        <v>162</v>
      </c>
      <c r="E999" s="2" t="s">
        <v>85</v>
      </c>
      <c r="F999" s="2" t="s">
        <v>39</v>
      </c>
      <c r="G999" s="2" t="s">
        <v>144</v>
      </c>
      <c r="H999" s="2" t="s">
        <v>32</v>
      </c>
      <c r="I999" s="2">
        <v>48</v>
      </c>
      <c r="J999" s="2" t="s">
        <v>232</v>
      </c>
      <c r="K999" s="2"/>
      <c r="L999" s="2" t="s">
        <v>92</v>
      </c>
      <c r="M999" s="2"/>
      <c r="N999" s="2" t="s">
        <v>34</v>
      </c>
    </row>
    <row r="1000" spans="1:14" x14ac:dyDescent="0.25">
      <c r="A1000" s="2" t="s">
        <v>2749</v>
      </c>
      <c r="B1000" s="2" t="s">
        <v>2750</v>
      </c>
      <c r="C1000" s="2" t="s">
        <v>53</v>
      </c>
      <c r="D1000" s="2" t="s">
        <v>54</v>
      </c>
      <c r="E1000" s="2" t="s">
        <v>79</v>
      </c>
      <c r="F1000" s="2" t="s">
        <v>19</v>
      </c>
      <c r="G1000" s="2" t="s">
        <v>40</v>
      </c>
      <c r="H1000" s="2" t="s">
        <v>74</v>
      </c>
      <c r="I1000" s="2">
        <v>8</v>
      </c>
      <c r="J1000" s="2" t="s">
        <v>106</v>
      </c>
      <c r="K1000" s="2" t="s">
        <v>2751</v>
      </c>
      <c r="L1000" s="2" t="s">
        <v>24</v>
      </c>
      <c r="M1000" s="2"/>
      <c r="N1000" s="2"/>
    </row>
    <row r="1001" spans="1:14" x14ac:dyDescent="0.25">
      <c r="A1001" s="2" t="s">
        <v>1269</v>
      </c>
      <c r="B1001" s="2" t="s">
        <v>1270</v>
      </c>
      <c r="C1001" s="2" t="s">
        <v>16</v>
      </c>
      <c r="D1001" s="2" t="s">
        <v>17</v>
      </c>
      <c r="E1001" s="2" t="s">
        <v>148</v>
      </c>
      <c r="F1001" s="2" t="s">
        <v>69</v>
      </c>
      <c r="G1001" s="2" t="s">
        <v>105</v>
      </c>
      <c r="H1001" s="2" t="s">
        <v>21</v>
      </c>
      <c r="I1001" s="2">
        <v>24</v>
      </c>
      <c r="J1001" s="2" t="s">
        <v>232</v>
      </c>
      <c r="K1001" s="2"/>
      <c r="L1001" s="2" t="s">
        <v>92</v>
      </c>
      <c r="M1001" s="2"/>
      <c r="N1001" s="2" t="s">
        <v>43</v>
      </c>
    </row>
    <row r="1002" spans="1:14" x14ac:dyDescent="0.25">
      <c r="A1002" s="2" t="s">
        <v>2752</v>
      </c>
      <c r="B1002" s="2" t="s">
        <v>2753</v>
      </c>
      <c r="C1002" s="2" t="s">
        <v>67</v>
      </c>
      <c r="D1002" s="2" t="s">
        <v>89</v>
      </c>
      <c r="E1002" s="2" t="s">
        <v>148</v>
      </c>
      <c r="F1002" s="2" t="s">
        <v>47</v>
      </c>
      <c r="G1002" s="2" t="s">
        <v>40</v>
      </c>
      <c r="H1002" s="2" t="s">
        <v>32</v>
      </c>
      <c r="I1002" s="2">
        <v>48</v>
      </c>
      <c r="J1002" s="2" t="s">
        <v>106</v>
      </c>
      <c r="K1002" s="2" t="s">
        <v>2754</v>
      </c>
      <c r="L1002" s="2" t="s">
        <v>24</v>
      </c>
      <c r="M1002" s="2">
        <v>4</v>
      </c>
      <c r="N1002" s="2" t="s">
        <v>50</v>
      </c>
    </row>
    <row r="1003" spans="1:14" x14ac:dyDescent="0.25">
      <c r="A1003" s="2" t="s">
        <v>2755</v>
      </c>
      <c r="B1003" s="2" t="s">
        <v>2756</v>
      </c>
      <c r="C1003" s="2" t="s">
        <v>28</v>
      </c>
      <c r="D1003" s="2" t="s">
        <v>29</v>
      </c>
      <c r="E1003" s="2" t="s">
        <v>38</v>
      </c>
      <c r="F1003" s="2" t="s">
        <v>55</v>
      </c>
      <c r="G1003" s="2" t="s">
        <v>110</v>
      </c>
      <c r="H1003" s="2" t="s">
        <v>21</v>
      </c>
      <c r="I1003" s="2">
        <v>24</v>
      </c>
      <c r="J1003" s="2" t="s">
        <v>106</v>
      </c>
      <c r="K1003" s="2" t="s">
        <v>2757</v>
      </c>
      <c r="L1003" s="2" t="s">
        <v>24</v>
      </c>
      <c r="M1003" s="2">
        <v>2</v>
      </c>
      <c r="N1003" s="2" t="s">
        <v>64</v>
      </c>
    </row>
    <row r="1004" spans="1:14" x14ac:dyDescent="0.25">
      <c r="A1004" s="2" t="s">
        <v>2758</v>
      </c>
      <c r="B1004" s="2" t="s">
        <v>2759</v>
      </c>
      <c r="C1004" s="2" t="s">
        <v>67</v>
      </c>
      <c r="D1004" s="2" t="s">
        <v>95</v>
      </c>
      <c r="E1004" s="2" t="s">
        <v>46</v>
      </c>
      <c r="F1004" s="2" t="s">
        <v>55</v>
      </c>
      <c r="G1004" s="2" t="s">
        <v>20</v>
      </c>
      <c r="H1004" s="2" t="s">
        <v>21</v>
      </c>
      <c r="I1004" s="2">
        <v>24</v>
      </c>
      <c r="J1004" s="2" t="s">
        <v>41</v>
      </c>
      <c r="K1004" s="2" t="s">
        <v>2760</v>
      </c>
      <c r="L1004" s="2" t="s">
        <v>24</v>
      </c>
      <c r="M1004" s="2"/>
      <c r="N1004" s="2" t="s">
        <v>43</v>
      </c>
    </row>
    <row r="1005" spans="1:14" x14ac:dyDescent="0.25">
      <c r="A1005" s="2" t="s">
        <v>2761</v>
      </c>
      <c r="B1005" s="2" t="s">
        <v>2762</v>
      </c>
      <c r="C1005" s="2" t="s">
        <v>53</v>
      </c>
      <c r="D1005" s="2" t="s">
        <v>162</v>
      </c>
      <c r="E1005" s="2" t="s">
        <v>85</v>
      </c>
      <c r="F1005" s="2" t="s">
        <v>113</v>
      </c>
      <c r="G1005" s="2" t="s">
        <v>211</v>
      </c>
      <c r="H1005" s="2" t="s">
        <v>21</v>
      </c>
      <c r="I1005" s="2">
        <v>24</v>
      </c>
      <c r="J1005" s="2" t="s">
        <v>22</v>
      </c>
      <c r="K1005" s="2" t="s">
        <v>2763</v>
      </c>
      <c r="L1005" s="2" t="s">
        <v>24</v>
      </c>
      <c r="M1005" s="2"/>
      <c r="N1005" s="2" t="s">
        <v>118</v>
      </c>
    </row>
    <row r="1006" spans="1:14" x14ac:dyDescent="0.25">
      <c r="A1006" s="2" t="s">
        <v>2764</v>
      </c>
      <c r="B1006" s="2" t="s">
        <v>2765</v>
      </c>
      <c r="C1006" s="2" t="s">
        <v>28</v>
      </c>
      <c r="D1006" s="2" t="s">
        <v>100</v>
      </c>
      <c r="E1006" s="2" t="s">
        <v>148</v>
      </c>
      <c r="F1006" s="2" t="s">
        <v>30</v>
      </c>
      <c r="G1006" s="2" t="s">
        <v>31</v>
      </c>
      <c r="H1006" s="2" t="s">
        <v>21</v>
      </c>
      <c r="I1006" s="2">
        <v>24</v>
      </c>
      <c r="J1006" s="2" t="s">
        <v>22</v>
      </c>
      <c r="K1006" s="2" t="s">
        <v>2766</v>
      </c>
      <c r="L1006" s="2" t="s">
        <v>92</v>
      </c>
      <c r="M1006" s="2"/>
      <c r="N1006" s="2" t="s">
        <v>128</v>
      </c>
    </row>
    <row r="1007" spans="1:14" x14ac:dyDescent="0.25">
      <c r="A1007" s="2" t="s">
        <v>2767</v>
      </c>
      <c r="B1007" s="2" t="s">
        <v>2768</v>
      </c>
      <c r="C1007" s="2" t="s">
        <v>67</v>
      </c>
      <c r="D1007" s="2" t="s">
        <v>68</v>
      </c>
      <c r="E1007" s="2" t="s">
        <v>79</v>
      </c>
      <c r="F1007" s="2" t="s">
        <v>113</v>
      </c>
      <c r="G1007" s="2" t="s">
        <v>158</v>
      </c>
      <c r="H1007" s="2" t="s">
        <v>80</v>
      </c>
      <c r="I1007" s="2">
        <v>4</v>
      </c>
      <c r="J1007" s="2" t="s">
        <v>75</v>
      </c>
      <c r="K1007" s="2" t="s">
        <v>2769</v>
      </c>
      <c r="L1007" s="2" t="s">
        <v>24</v>
      </c>
      <c r="M1007" s="2">
        <v>3</v>
      </c>
      <c r="N1007" s="2"/>
    </row>
    <row r="1008" spans="1:14" x14ac:dyDescent="0.25">
      <c r="A1008" s="2" t="s">
        <v>2770</v>
      </c>
      <c r="B1008" s="2" t="s">
        <v>2771</v>
      </c>
      <c r="C1008" s="2" t="s">
        <v>28</v>
      </c>
      <c r="D1008" s="2" t="s">
        <v>100</v>
      </c>
      <c r="E1008" s="2" t="s">
        <v>18</v>
      </c>
      <c r="F1008" s="2" t="s">
        <v>30</v>
      </c>
      <c r="G1008" s="2" t="s">
        <v>31</v>
      </c>
      <c r="H1008" s="2" t="s">
        <v>21</v>
      </c>
      <c r="I1008" s="2">
        <v>24</v>
      </c>
      <c r="J1008" s="2" t="s">
        <v>11</v>
      </c>
      <c r="K1008" s="2"/>
      <c r="L1008" s="2" t="s">
        <v>92</v>
      </c>
      <c r="M1008" s="2"/>
      <c r="N1008" s="2" t="s">
        <v>50</v>
      </c>
    </row>
    <row r="1009" spans="1:14" x14ac:dyDescent="0.25">
      <c r="A1009" s="2" t="s">
        <v>2772</v>
      </c>
      <c r="B1009" s="2" t="s">
        <v>2773</v>
      </c>
      <c r="C1009" s="2" t="s">
        <v>28</v>
      </c>
      <c r="D1009" s="2" t="s">
        <v>37</v>
      </c>
      <c r="E1009" s="2" t="s">
        <v>79</v>
      </c>
      <c r="F1009" s="2" t="s">
        <v>19</v>
      </c>
      <c r="G1009" s="2" t="s">
        <v>101</v>
      </c>
      <c r="H1009" s="2" t="s">
        <v>74</v>
      </c>
      <c r="I1009" s="2">
        <v>8</v>
      </c>
      <c r="J1009" s="2" t="s">
        <v>22</v>
      </c>
      <c r="K1009" s="2" t="s">
        <v>940</v>
      </c>
      <c r="L1009" s="2" t="s">
        <v>24</v>
      </c>
      <c r="M1009" s="2"/>
      <c r="N1009" s="2" t="s">
        <v>128</v>
      </c>
    </row>
    <row r="1010" spans="1:14" x14ac:dyDescent="0.25">
      <c r="A1010" s="2" t="s">
        <v>2774</v>
      </c>
      <c r="B1010" s="2" t="s">
        <v>2775</v>
      </c>
      <c r="C1010" s="2" t="s">
        <v>28</v>
      </c>
      <c r="D1010" s="2" t="s">
        <v>37</v>
      </c>
      <c r="E1010" s="2" t="s">
        <v>79</v>
      </c>
      <c r="F1010" s="2" t="s">
        <v>55</v>
      </c>
      <c r="G1010" s="2" t="s">
        <v>110</v>
      </c>
      <c r="H1010" s="2" t="s">
        <v>32</v>
      </c>
      <c r="I1010" s="2">
        <v>48</v>
      </c>
      <c r="J1010" s="2" t="s">
        <v>22</v>
      </c>
      <c r="K1010" s="2" t="s">
        <v>2776</v>
      </c>
      <c r="L1010" s="2" t="s">
        <v>24</v>
      </c>
      <c r="M1010" s="2">
        <v>4</v>
      </c>
      <c r="N1010" s="2" t="s">
        <v>50</v>
      </c>
    </row>
    <row r="1011" spans="1:14" x14ac:dyDescent="0.25">
      <c r="A1011" s="2" t="s">
        <v>2777</v>
      </c>
      <c r="B1011" s="2" t="s">
        <v>2778</v>
      </c>
      <c r="C1011" s="2" t="s">
        <v>67</v>
      </c>
      <c r="D1011" s="2" t="s">
        <v>95</v>
      </c>
      <c r="E1011" s="2" t="s">
        <v>148</v>
      </c>
      <c r="F1011" s="2" t="s">
        <v>143</v>
      </c>
      <c r="G1011" s="2" t="s">
        <v>183</v>
      </c>
      <c r="H1011" s="2" t="s">
        <v>21</v>
      </c>
      <c r="I1011" s="2">
        <v>24</v>
      </c>
      <c r="J1011" s="2" t="s">
        <v>155</v>
      </c>
      <c r="K1011" s="2"/>
      <c r="L1011" s="2" t="s">
        <v>24</v>
      </c>
      <c r="M1011" s="2"/>
      <c r="N1011" s="2" t="s">
        <v>118</v>
      </c>
    </row>
    <row r="1012" spans="1:14" x14ac:dyDescent="0.25">
      <c r="A1012" s="2" t="s">
        <v>2779</v>
      </c>
      <c r="B1012" s="2" t="s">
        <v>2780</v>
      </c>
      <c r="C1012" s="2" t="s">
        <v>28</v>
      </c>
      <c r="D1012" s="2" t="s">
        <v>37</v>
      </c>
      <c r="E1012" s="2" t="s">
        <v>18</v>
      </c>
      <c r="F1012" s="2" t="s">
        <v>125</v>
      </c>
      <c r="G1012" s="2" t="s">
        <v>31</v>
      </c>
      <c r="H1012" s="2" t="s">
        <v>74</v>
      </c>
      <c r="I1012" s="2">
        <v>8</v>
      </c>
      <c r="J1012" s="2" t="s">
        <v>187</v>
      </c>
      <c r="K1012" s="2" t="s">
        <v>2781</v>
      </c>
      <c r="L1012" s="2" t="s">
        <v>24</v>
      </c>
      <c r="M1012" s="2">
        <v>1</v>
      </c>
      <c r="N1012" s="2" t="s">
        <v>118</v>
      </c>
    </row>
    <row r="1013" spans="1:14" x14ac:dyDescent="0.25">
      <c r="A1013" s="2" t="s">
        <v>2782</v>
      </c>
      <c r="B1013" s="2" t="s">
        <v>2783</v>
      </c>
      <c r="C1013" s="2" t="s">
        <v>53</v>
      </c>
      <c r="D1013" s="2" t="s">
        <v>61</v>
      </c>
      <c r="E1013" s="2" t="s">
        <v>85</v>
      </c>
      <c r="F1013" s="2" t="s">
        <v>125</v>
      </c>
      <c r="G1013" s="2" t="s">
        <v>110</v>
      </c>
      <c r="H1013" s="2" t="s">
        <v>21</v>
      </c>
      <c r="I1013" s="2">
        <v>24</v>
      </c>
      <c r="J1013" s="2" t="s">
        <v>41</v>
      </c>
      <c r="K1013" s="2" t="s">
        <v>2784</v>
      </c>
      <c r="L1013" s="2" t="s">
        <v>24</v>
      </c>
      <c r="M1013" s="2">
        <v>2</v>
      </c>
      <c r="N1013" s="2" t="s">
        <v>118</v>
      </c>
    </row>
    <row r="1014" spans="1:14" x14ac:dyDescent="0.25">
      <c r="A1014" s="2" t="s">
        <v>2785</v>
      </c>
      <c r="B1014" s="2" t="s">
        <v>2786</v>
      </c>
      <c r="C1014" s="2" t="s">
        <v>28</v>
      </c>
      <c r="D1014" s="2" t="s">
        <v>37</v>
      </c>
      <c r="E1014" s="2" t="s">
        <v>85</v>
      </c>
      <c r="F1014" s="2" t="s">
        <v>19</v>
      </c>
      <c r="G1014" s="2" t="s">
        <v>126</v>
      </c>
      <c r="H1014" s="2" t="s">
        <v>32</v>
      </c>
      <c r="I1014" s="2">
        <v>48</v>
      </c>
      <c r="J1014" s="2" t="s">
        <v>22</v>
      </c>
      <c r="K1014" s="2" t="s">
        <v>2787</v>
      </c>
      <c r="L1014" s="2" t="s">
        <v>24</v>
      </c>
      <c r="M1014" s="2">
        <v>4</v>
      </c>
      <c r="N1014" s="2" t="s">
        <v>25</v>
      </c>
    </row>
    <row r="1015" spans="1:14" x14ac:dyDescent="0.25">
      <c r="A1015" s="2" t="s">
        <v>2788</v>
      </c>
      <c r="B1015" s="2" t="s">
        <v>2789</v>
      </c>
      <c r="C1015" s="2" t="s">
        <v>28</v>
      </c>
      <c r="D1015" s="2" t="s">
        <v>100</v>
      </c>
      <c r="E1015" s="2" t="s">
        <v>148</v>
      </c>
      <c r="F1015" s="2" t="s">
        <v>30</v>
      </c>
      <c r="G1015" s="2" t="s">
        <v>97</v>
      </c>
      <c r="H1015" s="2" t="s">
        <v>32</v>
      </c>
      <c r="I1015" s="2">
        <v>48</v>
      </c>
      <c r="J1015" s="2" t="s">
        <v>41</v>
      </c>
      <c r="K1015" s="2" t="s">
        <v>2790</v>
      </c>
      <c r="L1015" s="2" t="s">
        <v>24</v>
      </c>
      <c r="M1015" s="2"/>
      <c r="N1015" s="2"/>
    </row>
    <row r="1016" spans="1:14" x14ac:dyDescent="0.25">
      <c r="A1016" s="2" t="s">
        <v>2791</v>
      </c>
      <c r="B1016" s="2" t="s">
        <v>2792</v>
      </c>
      <c r="C1016" s="2" t="s">
        <v>16</v>
      </c>
      <c r="D1016" s="2" t="s">
        <v>84</v>
      </c>
      <c r="E1016" s="2" t="s">
        <v>46</v>
      </c>
      <c r="F1016" s="2" t="s">
        <v>39</v>
      </c>
      <c r="G1016" s="2" t="s">
        <v>20</v>
      </c>
      <c r="H1016" s="2" t="s">
        <v>74</v>
      </c>
      <c r="I1016" s="2">
        <v>8</v>
      </c>
      <c r="J1016" s="2" t="s">
        <v>41</v>
      </c>
      <c r="K1016" s="2" t="s">
        <v>2793</v>
      </c>
      <c r="L1016" s="2" t="s">
        <v>24</v>
      </c>
      <c r="M1016" s="2">
        <v>4</v>
      </c>
      <c r="N1016" s="2" t="s">
        <v>34</v>
      </c>
    </row>
    <row r="1017" spans="1:14" x14ac:dyDescent="0.25">
      <c r="A1017" s="2" t="s">
        <v>2794</v>
      </c>
      <c r="B1017" s="2" t="s">
        <v>2795</v>
      </c>
      <c r="C1017" s="2" t="s">
        <v>67</v>
      </c>
      <c r="D1017" s="2" t="s">
        <v>68</v>
      </c>
      <c r="E1017" s="2" t="s">
        <v>148</v>
      </c>
      <c r="F1017" s="2" t="s">
        <v>19</v>
      </c>
      <c r="G1017" s="2" t="s">
        <v>91</v>
      </c>
      <c r="H1017" s="2" t="s">
        <v>32</v>
      </c>
      <c r="I1017" s="2">
        <v>48</v>
      </c>
      <c r="J1017" s="2" t="s">
        <v>41</v>
      </c>
      <c r="K1017" s="2" t="s">
        <v>2796</v>
      </c>
      <c r="L1017" s="2" t="s">
        <v>24</v>
      </c>
      <c r="M1017" s="2"/>
      <c r="N1017" s="2" t="s">
        <v>128</v>
      </c>
    </row>
    <row r="1018" spans="1:14" x14ac:dyDescent="0.25">
      <c r="A1018" s="2" t="s">
        <v>2797</v>
      </c>
      <c r="B1018" s="2" t="s">
        <v>2798</v>
      </c>
      <c r="C1018" s="2" t="s">
        <v>53</v>
      </c>
      <c r="D1018" s="2" t="s">
        <v>61</v>
      </c>
      <c r="E1018" s="2" t="s">
        <v>85</v>
      </c>
      <c r="F1018" s="2" t="s">
        <v>69</v>
      </c>
      <c r="G1018" s="2" t="s">
        <v>211</v>
      </c>
      <c r="H1018" s="2" t="s">
        <v>21</v>
      </c>
      <c r="I1018" s="2">
        <v>24</v>
      </c>
      <c r="J1018" s="2" t="s">
        <v>486</v>
      </c>
      <c r="K1018" s="2" t="s">
        <v>2799</v>
      </c>
      <c r="L1018" s="2" t="s">
        <v>24</v>
      </c>
      <c r="M1018" s="2"/>
      <c r="N1018" s="2" t="s">
        <v>118</v>
      </c>
    </row>
    <row r="1019" spans="1:14" x14ac:dyDescent="0.25">
      <c r="A1019" s="2" t="s">
        <v>2800</v>
      </c>
      <c r="B1019" s="2" t="s">
        <v>2801</v>
      </c>
      <c r="C1019" s="2" t="s">
        <v>67</v>
      </c>
      <c r="D1019" s="2" t="s">
        <v>68</v>
      </c>
      <c r="E1019" s="2" t="s">
        <v>148</v>
      </c>
      <c r="F1019" s="2" t="s">
        <v>131</v>
      </c>
      <c r="G1019" s="2" t="s">
        <v>105</v>
      </c>
      <c r="H1019" s="2" t="s">
        <v>32</v>
      </c>
      <c r="I1019" s="2">
        <v>48</v>
      </c>
      <c r="J1019" s="2" t="s">
        <v>145</v>
      </c>
      <c r="K1019" s="2"/>
      <c r="L1019" s="2" t="s">
        <v>24</v>
      </c>
      <c r="M1019" s="2"/>
      <c r="N1019" s="2" t="s">
        <v>43</v>
      </c>
    </row>
    <row r="1020" spans="1:14" x14ac:dyDescent="0.25">
      <c r="A1020" s="2" t="s">
        <v>2802</v>
      </c>
      <c r="B1020" s="2" t="s">
        <v>2803</v>
      </c>
      <c r="C1020" s="2" t="s">
        <v>28</v>
      </c>
      <c r="D1020" s="2" t="s">
        <v>37</v>
      </c>
      <c r="E1020" s="2" t="s">
        <v>38</v>
      </c>
      <c r="F1020" s="2" t="s">
        <v>30</v>
      </c>
      <c r="G1020" s="2" t="s">
        <v>183</v>
      </c>
      <c r="H1020" s="2" t="s">
        <v>74</v>
      </c>
      <c r="I1020" s="2">
        <v>8</v>
      </c>
      <c r="J1020" s="2" t="s">
        <v>145</v>
      </c>
      <c r="K1020" s="2"/>
      <c r="L1020" s="2" t="s">
        <v>24</v>
      </c>
      <c r="M1020" s="2"/>
      <c r="N1020" s="2" t="s">
        <v>118</v>
      </c>
    </row>
    <row r="1021" spans="1:14" x14ac:dyDescent="0.25">
      <c r="A1021" s="2" t="s">
        <v>2804</v>
      </c>
      <c r="B1021" s="2" t="s">
        <v>2805</v>
      </c>
      <c r="C1021" s="2" t="s">
        <v>53</v>
      </c>
      <c r="D1021" s="2" t="s">
        <v>771</v>
      </c>
      <c r="E1021" s="2" t="s">
        <v>38</v>
      </c>
      <c r="F1021" s="2" t="s">
        <v>47</v>
      </c>
      <c r="G1021" s="2" t="s">
        <v>105</v>
      </c>
      <c r="H1021" s="2" t="s">
        <v>32</v>
      </c>
      <c r="I1021" s="2">
        <v>48</v>
      </c>
      <c r="J1021" s="2" t="s">
        <v>41</v>
      </c>
      <c r="K1021" s="2" t="s">
        <v>2806</v>
      </c>
      <c r="L1021" s="2" t="s">
        <v>24</v>
      </c>
      <c r="M1021" s="2"/>
      <c r="N1021" s="2" t="s">
        <v>34</v>
      </c>
    </row>
    <row r="1022" spans="1:14" x14ac:dyDescent="0.25">
      <c r="A1022" s="2" t="s">
        <v>2807</v>
      </c>
      <c r="B1022" s="2" t="s">
        <v>2808</v>
      </c>
      <c r="C1022" s="2" t="s">
        <v>28</v>
      </c>
      <c r="D1022" s="2" t="s">
        <v>100</v>
      </c>
      <c r="E1022" s="2" t="s">
        <v>46</v>
      </c>
      <c r="F1022" s="2" t="s">
        <v>131</v>
      </c>
      <c r="G1022" s="2" t="s">
        <v>179</v>
      </c>
      <c r="H1022" s="2" t="s">
        <v>80</v>
      </c>
      <c r="I1022" s="2">
        <v>4</v>
      </c>
      <c r="J1022" s="2" t="s">
        <v>56</v>
      </c>
      <c r="K1022" s="2" t="s">
        <v>2809</v>
      </c>
      <c r="L1022" s="2" t="s">
        <v>92</v>
      </c>
      <c r="M1022" s="2"/>
      <c r="N1022" s="2"/>
    </row>
    <row r="1023" spans="1:14" x14ac:dyDescent="0.25">
      <c r="A1023" s="2" t="s">
        <v>2810</v>
      </c>
      <c r="B1023" s="2" t="s">
        <v>2811</v>
      </c>
      <c r="C1023" s="2" t="s">
        <v>67</v>
      </c>
      <c r="D1023" s="2" t="s">
        <v>68</v>
      </c>
      <c r="E1023" s="2" t="s">
        <v>46</v>
      </c>
      <c r="F1023" s="2" t="s">
        <v>62</v>
      </c>
      <c r="G1023" s="2" t="s">
        <v>121</v>
      </c>
      <c r="H1023" s="2" t="s">
        <v>74</v>
      </c>
      <c r="I1023" s="2">
        <v>8</v>
      </c>
      <c r="J1023" s="2" t="s">
        <v>41</v>
      </c>
      <c r="K1023" s="2" t="s">
        <v>2812</v>
      </c>
      <c r="L1023" s="2" t="s">
        <v>24</v>
      </c>
      <c r="M1023" s="2"/>
      <c r="N1023" s="2" t="s">
        <v>118</v>
      </c>
    </row>
    <row r="1024" spans="1:14" x14ac:dyDescent="0.25">
      <c r="A1024" s="2" t="s">
        <v>2813</v>
      </c>
      <c r="B1024" s="2" t="s">
        <v>2814</v>
      </c>
      <c r="C1024" s="2" t="s">
        <v>53</v>
      </c>
      <c r="D1024" s="2" t="s">
        <v>61</v>
      </c>
      <c r="E1024" s="2" t="s">
        <v>46</v>
      </c>
      <c r="F1024" s="2" t="s">
        <v>69</v>
      </c>
      <c r="G1024" s="2" t="s">
        <v>135</v>
      </c>
      <c r="H1024" s="2" t="s">
        <v>32</v>
      </c>
      <c r="I1024" s="2">
        <v>48</v>
      </c>
      <c r="J1024" s="2" t="s">
        <v>48</v>
      </c>
      <c r="K1024" s="2" t="s">
        <v>2815</v>
      </c>
      <c r="L1024" s="2" t="s">
        <v>24</v>
      </c>
      <c r="M1024" s="2">
        <v>5</v>
      </c>
      <c r="N1024" s="2" t="s">
        <v>118</v>
      </c>
    </row>
    <row r="1025" spans="1:14" x14ac:dyDescent="0.25">
      <c r="A1025" s="2" t="s">
        <v>2816</v>
      </c>
      <c r="B1025" s="2" t="s">
        <v>2817</v>
      </c>
      <c r="C1025" s="2" t="s">
        <v>67</v>
      </c>
      <c r="D1025" s="2" t="s">
        <v>68</v>
      </c>
      <c r="E1025" s="2" t="s">
        <v>90</v>
      </c>
      <c r="F1025" s="2" t="s">
        <v>19</v>
      </c>
      <c r="G1025" s="2" t="s">
        <v>70</v>
      </c>
      <c r="H1025" s="2" t="s">
        <v>74</v>
      </c>
      <c r="I1025" s="2">
        <v>8</v>
      </c>
      <c r="J1025" s="2" t="s">
        <v>48</v>
      </c>
      <c r="K1025" s="2" t="s">
        <v>2818</v>
      </c>
      <c r="L1025" s="2" t="s">
        <v>92</v>
      </c>
      <c r="M1025" s="2">
        <v>5</v>
      </c>
      <c r="N1025" s="2" t="s">
        <v>118</v>
      </c>
    </row>
    <row r="1026" spans="1:14" x14ac:dyDescent="0.25">
      <c r="A1026" s="2" t="s">
        <v>2819</v>
      </c>
      <c r="B1026" s="2" t="s">
        <v>2820</v>
      </c>
      <c r="C1026" s="2" t="s">
        <v>53</v>
      </c>
      <c r="D1026" s="2" t="s">
        <v>54</v>
      </c>
      <c r="E1026" s="2" t="s">
        <v>85</v>
      </c>
      <c r="F1026" s="2" t="s">
        <v>47</v>
      </c>
      <c r="G1026" s="2" t="s">
        <v>110</v>
      </c>
      <c r="H1026" s="2" t="s">
        <v>32</v>
      </c>
      <c r="I1026" s="2">
        <v>48</v>
      </c>
      <c r="J1026" s="2" t="s">
        <v>187</v>
      </c>
      <c r="K1026" s="2" t="s">
        <v>2821</v>
      </c>
      <c r="L1026" s="2" t="s">
        <v>24</v>
      </c>
      <c r="M1026" s="2">
        <v>2</v>
      </c>
      <c r="N1026" s="2" t="s">
        <v>118</v>
      </c>
    </row>
    <row r="1027" spans="1:14" x14ac:dyDescent="0.25">
      <c r="A1027" s="2" t="s">
        <v>2822</v>
      </c>
      <c r="B1027" s="2" t="s">
        <v>2823</v>
      </c>
      <c r="C1027" s="2" t="s">
        <v>16</v>
      </c>
      <c r="D1027" s="2" t="s">
        <v>17</v>
      </c>
      <c r="E1027" s="2" t="s">
        <v>18</v>
      </c>
      <c r="F1027" s="2" t="s">
        <v>19</v>
      </c>
      <c r="G1027" s="2" t="s">
        <v>158</v>
      </c>
      <c r="H1027" s="2" t="s">
        <v>32</v>
      </c>
      <c r="I1027" s="2">
        <v>48</v>
      </c>
      <c r="J1027" s="2" t="s">
        <v>106</v>
      </c>
      <c r="K1027" s="2" t="s">
        <v>2824</v>
      </c>
      <c r="L1027" s="2" t="s">
        <v>92</v>
      </c>
      <c r="M1027" s="2">
        <v>1</v>
      </c>
      <c r="N1027" s="2" t="s">
        <v>118</v>
      </c>
    </row>
    <row r="1028" spans="1:14" x14ac:dyDescent="0.25">
      <c r="A1028" s="2" t="s">
        <v>2825</v>
      </c>
      <c r="B1028" s="2" t="s">
        <v>2826</v>
      </c>
      <c r="C1028" s="2" t="s">
        <v>28</v>
      </c>
      <c r="D1028" s="2" t="s">
        <v>37</v>
      </c>
      <c r="E1028" s="2" t="s">
        <v>90</v>
      </c>
      <c r="F1028" s="2" t="s">
        <v>131</v>
      </c>
      <c r="G1028" s="2" t="s">
        <v>158</v>
      </c>
      <c r="H1028" s="2" t="s">
        <v>32</v>
      </c>
      <c r="I1028" s="2">
        <v>48</v>
      </c>
      <c r="J1028" s="2" t="s">
        <v>200</v>
      </c>
      <c r="K1028" s="2"/>
      <c r="L1028" s="2" t="s">
        <v>92</v>
      </c>
      <c r="M1028" s="2"/>
      <c r="N1028" s="2"/>
    </row>
    <row r="1029" spans="1:14" x14ac:dyDescent="0.25">
      <c r="A1029" s="2" t="s">
        <v>1149</v>
      </c>
      <c r="B1029" s="2" t="s">
        <v>1150</v>
      </c>
      <c r="C1029" s="2" t="s">
        <v>28</v>
      </c>
      <c r="D1029" s="2" t="s">
        <v>100</v>
      </c>
      <c r="E1029" s="2" t="s">
        <v>79</v>
      </c>
      <c r="F1029" s="2" t="s">
        <v>39</v>
      </c>
      <c r="G1029" s="2" t="s">
        <v>97</v>
      </c>
      <c r="H1029" s="2" t="s">
        <v>32</v>
      </c>
      <c r="I1029" s="2">
        <v>48</v>
      </c>
      <c r="J1029" s="2" t="s">
        <v>22</v>
      </c>
      <c r="K1029" s="2" t="s">
        <v>1151</v>
      </c>
      <c r="L1029" s="2" t="s">
        <v>24</v>
      </c>
      <c r="M1029" s="2">
        <v>4</v>
      </c>
      <c r="N1029" s="2" t="s">
        <v>128</v>
      </c>
    </row>
    <row r="1030" spans="1:14" x14ac:dyDescent="0.25">
      <c r="A1030" s="2" t="s">
        <v>2827</v>
      </c>
      <c r="B1030" s="2" t="s">
        <v>2828</v>
      </c>
      <c r="C1030" s="2" t="s">
        <v>16</v>
      </c>
      <c r="D1030" s="2" t="s">
        <v>17</v>
      </c>
      <c r="E1030" s="2" t="s">
        <v>46</v>
      </c>
      <c r="F1030" s="2" t="s">
        <v>55</v>
      </c>
      <c r="G1030" s="2" t="s">
        <v>179</v>
      </c>
      <c r="H1030" s="2" t="s">
        <v>80</v>
      </c>
      <c r="I1030" s="2">
        <v>4</v>
      </c>
      <c r="J1030" s="2" t="s">
        <v>145</v>
      </c>
      <c r="K1030" s="2"/>
      <c r="L1030" s="2" t="s">
        <v>24</v>
      </c>
      <c r="M1030" s="2"/>
      <c r="N1030" s="2" t="s">
        <v>43</v>
      </c>
    </row>
    <row r="1031" spans="1:14" x14ac:dyDescent="0.25">
      <c r="A1031" s="2" t="s">
        <v>2829</v>
      </c>
      <c r="B1031" s="2" t="s">
        <v>2830</v>
      </c>
      <c r="C1031" s="2" t="s">
        <v>53</v>
      </c>
      <c r="D1031" s="2" t="s">
        <v>54</v>
      </c>
      <c r="E1031" s="2" t="s">
        <v>148</v>
      </c>
      <c r="F1031" s="2" t="s">
        <v>62</v>
      </c>
      <c r="G1031" s="2" t="s">
        <v>211</v>
      </c>
      <c r="H1031" s="2" t="s">
        <v>74</v>
      </c>
      <c r="I1031" s="2">
        <v>8</v>
      </c>
      <c r="J1031" s="2" t="s">
        <v>187</v>
      </c>
      <c r="K1031" s="2" t="s">
        <v>2831</v>
      </c>
      <c r="L1031" s="2" t="s">
        <v>24</v>
      </c>
      <c r="M1031" s="2">
        <v>4</v>
      </c>
      <c r="N1031" s="2" t="s">
        <v>50</v>
      </c>
    </row>
    <row r="1032" spans="1:14" x14ac:dyDescent="0.25">
      <c r="A1032" s="2" t="s">
        <v>2832</v>
      </c>
      <c r="B1032" s="2" t="s">
        <v>2833</v>
      </c>
      <c r="C1032" s="2" t="s">
        <v>28</v>
      </c>
      <c r="D1032" s="2" t="s">
        <v>100</v>
      </c>
      <c r="E1032" s="2" t="s">
        <v>79</v>
      </c>
      <c r="F1032" s="2" t="s">
        <v>39</v>
      </c>
      <c r="G1032" s="2" t="s">
        <v>20</v>
      </c>
      <c r="H1032" s="2" t="s">
        <v>80</v>
      </c>
      <c r="I1032" s="2">
        <v>4</v>
      </c>
      <c r="J1032" s="2" t="s">
        <v>22</v>
      </c>
      <c r="K1032" s="2" t="s">
        <v>2834</v>
      </c>
      <c r="L1032" s="2" t="s">
        <v>24</v>
      </c>
      <c r="M1032" s="2">
        <v>5</v>
      </c>
      <c r="N1032" s="2" t="s">
        <v>58</v>
      </c>
    </row>
    <row r="1033" spans="1:14" x14ac:dyDescent="0.25">
      <c r="A1033" s="2" t="s">
        <v>2835</v>
      </c>
      <c r="B1033" s="2" t="s">
        <v>2836</v>
      </c>
      <c r="C1033" s="2" t="s">
        <v>53</v>
      </c>
      <c r="D1033" s="2" t="s">
        <v>54</v>
      </c>
      <c r="E1033" s="2" t="s">
        <v>46</v>
      </c>
      <c r="F1033" s="2" t="s">
        <v>131</v>
      </c>
      <c r="G1033" s="2" t="s">
        <v>135</v>
      </c>
      <c r="H1033" s="2" t="s">
        <v>21</v>
      </c>
      <c r="I1033" s="2">
        <v>24</v>
      </c>
      <c r="J1033" s="2" t="s">
        <v>187</v>
      </c>
      <c r="K1033" s="2" t="s">
        <v>2837</v>
      </c>
      <c r="L1033" s="2" t="s">
        <v>24</v>
      </c>
      <c r="M1033" s="2"/>
      <c r="N1033" s="2" t="s">
        <v>25</v>
      </c>
    </row>
    <row r="1034" spans="1:14" x14ac:dyDescent="0.25">
      <c r="A1034" s="2" t="s">
        <v>2838</v>
      </c>
      <c r="B1034" s="2" t="s">
        <v>2839</v>
      </c>
      <c r="C1034" s="2" t="s">
        <v>28</v>
      </c>
      <c r="D1034" s="2" t="s">
        <v>37</v>
      </c>
      <c r="E1034" s="2" t="s">
        <v>148</v>
      </c>
      <c r="F1034" s="2" t="s">
        <v>131</v>
      </c>
      <c r="G1034" s="2" t="s">
        <v>110</v>
      </c>
      <c r="H1034" s="2" t="s">
        <v>74</v>
      </c>
      <c r="I1034" s="2">
        <v>8</v>
      </c>
      <c r="J1034" s="2" t="s">
        <v>41</v>
      </c>
      <c r="K1034" s="2" t="s">
        <v>2840</v>
      </c>
      <c r="L1034" s="2" t="s">
        <v>24</v>
      </c>
      <c r="M1034" s="2">
        <v>2</v>
      </c>
      <c r="N1034" s="2" t="s">
        <v>50</v>
      </c>
    </row>
    <row r="1035" spans="1:14" x14ac:dyDescent="0.25">
      <c r="A1035" s="2" t="s">
        <v>2841</v>
      </c>
      <c r="B1035" s="2" t="s">
        <v>2842</v>
      </c>
      <c r="C1035" s="2" t="s">
        <v>28</v>
      </c>
      <c r="D1035" s="2" t="s">
        <v>100</v>
      </c>
      <c r="E1035" s="2" t="s">
        <v>79</v>
      </c>
      <c r="F1035" s="2" t="s">
        <v>62</v>
      </c>
      <c r="G1035" s="2" t="s">
        <v>40</v>
      </c>
      <c r="H1035" s="2" t="s">
        <v>32</v>
      </c>
      <c r="I1035" s="2">
        <v>48</v>
      </c>
      <c r="J1035" s="2" t="s">
        <v>187</v>
      </c>
      <c r="K1035" s="2" t="s">
        <v>2843</v>
      </c>
      <c r="L1035" s="2" t="s">
        <v>24</v>
      </c>
      <c r="M1035" s="2">
        <v>2</v>
      </c>
      <c r="N1035" s="2" t="s">
        <v>50</v>
      </c>
    </row>
    <row r="1036" spans="1:14" x14ac:dyDescent="0.25">
      <c r="A1036" s="2" t="s">
        <v>2844</v>
      </c>
      <c r="B1036" s="2" t="s">
        <v>2845</v>
      </c>
      <c r="C1036" s="2" t="s">
        <v>67</v>
      </c>
      <c r="D1036" s="2" t="s">
        <v>68</v>
      </c>
      <c r="E1036" s="2" t="s">
        <v>46</v>
      </c>
      <c r="F1036" s="2" t="s">
        <v>47</v>
      </c>
      <c r="G1036" s="2" t="s">
        <v>211</v>
      </c>
      <c r="H1036" s="2" t="s">
        <v>21</v>
      </c>
      <c r="I1036" s="2">
        <v>24</v>
      </c>
      <c r="J1036" s="2" t="s">
        <v>145</v>
      </c>
      <c r="K1036" s="2"/>
      <c r="L1036" s="2" t="s">
        <v>24</v>
      </c>
      <c r="M1036" s="2"/>
      <c r="N1036" s="2" t="s">
        <v>43</v>
      </c>
    </row>
    <row r="1037" spans="1:14" x14ac:dyDescent="0.25">
      <c r="A1037" s="2" t="s">
        <v>2846</v>
      </c>
      <c r="B1037" s="2" t="s">
        <v>2847</v>
      </c>
      <c r="C1037" s="2" t="s">
        <v>53</v>
      </c>
      <c r="D1037" s="2" t="s">
        <v>54</v>
      </c>
      <c r="E1037" s="2" t="s">
        <v>90</v>
      </c>
      <c r="F1037" s="2" t="s">
        <v>39</v>
      </c>
      <c r="G1037" s="2" t="s">
        <v>31</v>
      </c>
      <c r="H1037" s="2" t="s">
        <v>74</v>
      </c>
      <c r="I1037" s="2">
        <v>8</v>
      </c>
      <c r="J1037" s="2" t="s">
        <v>75</v>
      </c>
      <c r="K1037" s="2" t="s">
        <v>2848</v>
      </c>
      <c r="L1037" s="2" t="s">
        <v>24</v>
      </c>
      <c r="M1037" s="2"/>
      <c r="N1037" s="2" t="s">
        <v>50</v>
      </c>
    </row>
    <row r="1038" spans="1:14" x14ac:dyDescent="0.25">
      <c r="A1038" s="2" t="s">
        <v>2849</v>
      </c>
      <c r="B1038" s="2" t="s">
        <v>2850</v>
      </c>
      <c r="C1038" s="2" t="s">
        <v>53</v>
      </c>
      <c r="D1038" s="2" t="s">
        <v>61</v>
      </c>
      <c r="E1038" s="2" t="s">
        <v>148</v>
      </c>
      <c r="F1038" s="2" t="s">
        <v>62</v>
      </c>
      <c r="G1038" s="2" t="s">
        <v>135</v>
      </c>
      <c r="H1038" s="2" t="s">
        <v>32</v>
      </c>
      <c r="I1038" s="2">
        <v>48</v>
      </c>
      <c r="J1038" s="2" t="s">
        <v>48</v>
      </c>
      <c r="K1038" s="2" t="s">
        <v>2851</v>
      </c>
      <c r="L1038" s="2" t="s">
        <v>24</v>
      </c>
      <c r="M1038" s="2"/>
      <c r="N1038" s="2" t="s">
        <v>58</v>
      </c>
    </row>
    <row r="1039" spans="1:14" x14ac:dyDescent="0.25">
      <c r="A1039" s="2" t="s">
        <v>2852</v>
      </c>
      <c r="B1039" s="2" t="s">
        <v>2853</v>
      </c>
      <c r="C1039" s="2" t="s">
        <v>67</v>
      </c>
      <c r="D1039" s="2" t="s">
        <v>95</v>
      </c>
      <c r="E1039" s="2" t="s">
        <v>90</v>
      </c>
      <c r="F1039" s="2" t="s">
        <v>30</v>
      </c>
      <c r="G1039" s="2" t="s">
        <v>101</v>
      </c>
      <c r="H1039" s="2" t="s">
        <v>32</v>
      </c>
      <c r="I1039" s="2">
        <v>48</v>
      </c>
      <c r="J1039" s="2" t="s">
        <v>149</v>
      </c>
      <c r="K1039" s="2"/>
      <c r="L1039" s="2" t="s">
        <v>24</v>
      </c>
      <c r="M1039" s="2"/>
      <c r="N1039" s="2" t="s">
        <v>118</v>
      </c>
    </row>
    <row r="1040" spans="1:14" x14ac:dyDescent="0.25">
      <c r="A1040" s="2" t="s">
        <v>2854</v>
      </c>
      <c r="B1040" s="2" t="s">
        <v>2855</v>
      </c>
      <c r="C1040" s="2" t="s">
        <v>67</v>
      </c>
      <c r="D1040" s="2" t="s">
        <v>68</v>
      </c>
      <c r="E1040" s="2" t="s">
        <v>46</v>
      </c>
      <c r="F1040" s="2" t="s">
        <v>30</v>
      </c>
      <c r="G1040" s="2" t="s">
        <v>121</v>
      </c>
      <c r="H1040" s="2" t="s">
        <v>80</v>
      </c>
      <c r="I1040" s="2">
        <v>4</v>
      </c>
      <c r="J1040" s="2" t="s">
        <v>149</v>
      </c>
      <c r="K1040" s="2"/>
      <c r="L1040" s="2" t="s">
        <v>24</v>
      </c>
      <c r="M1040" s="2"/>
      <c r="N1040" s="2" t="s">
        <v>25</v>
      </c>
    </row>
    <row r="1041" spans="1:14" x14ac:dyDescent="0.25">
      <c r="A1041" s="2" t="s">
        <v>2856</v>
      </c>
      <c r="B1041" s="2" t="s">
        <v>2857</v>
      </c>
      <c r="C1041" s="2" t="s">
        <v>67</v>
      </c>
      <c r="D1041" s="2" t="s">
        <v>95</v>
      </c>
      <c r="E1041" s="2" t="s">
        <v>79</v>
      </c>
      <c r="F1041" s="2" t="s">
        <v>30</v>
      </c>
      <c r="G1041" s="2" t="s">
        <v>20</v>
      </c>
      <c r="H1041" s="2" t="s">
        <v>74</v>
      </c>
      <c r="I1041" s="2">
        <v>8</v>
      </c>
      <c r="J1041" s="2" t="s">
        <v>145</v>
      </c>
      <c r="K1041" s="2"/>
      <c r="L1041" s="2" t="s">
        <v>24</v>
      </c>
      <c r="M1041" s="2"/>
      <c r="N1041" s="2" t="s">
        <v>128</v>
      </c>
    </row>
    <row r="1042" spans="1:14" x14ac:dyDescent="0.25">
      <c r="A1042" s="2" t="s">
        <v>2858</v>
      </c>
      <c r="B1042" s="2" t="s">
        <v>2859</v>
      </c>
      <c r="C1042" s="2" t="s">
        <v>67</v>
      </c>
      <c r="D1042" s="2" t="s">
        <v>68</v>
      </c>
      <c r="E1042" s="2" t="s">
        <v>85</v>
      </c>
      <c r="F1042" s="2" t="s">
        <v>47</v>
      </c>
      <c r="G1042" s="2" t="s">
        <v>40</v>
      </c>
      <c r="H1042" s="2" t="s">
        <v>21</v>
      </c>
      <c r="I1042" s="2">
        <v>24</v>
      </c>
      <c r="J1042" s="2" t="s">
        <v>48</v>
      </c>
      <c r="K1042" s="2" t="s">
        <v>2860</v>
      </c>
      <c r="L1042" s="2" t="s">
        <v>24</v>
      </c>
      <c r="M1042" s="2"/>
      <c r="N1042" s="2"/>
    </row>
    <row r="1043" spans="1:14" x14ac:dyDescent="0.25">
      <c r="A1043" s="2" t="s">
        <v>2861</v>
      </c>
      <c r="B1043" s="2" t="s">
        <v>2862</v>
      </c>
      <c r="C1043" s="2" t="s">
        <v>53</v>
      </c>
      <c r="D1043" s="2" t="s">
        <v>61</v>
      </c>
      <c r="E1043" s="2" t="s">
        <v>90</v>
      </c>
      <c r="F1043" s="2" t="s">
        <v>47</v>
      </c>
      <c r="G1043" s="2" t="s">
        <v>97</v>
      </c>
      <c r="H1043" s="2" t="s">
        <v>80</v>
      </c>
      <c r="I1043" s="2">
        <v>4</v>
      </c>
      <c r="J1043" s="2" t="s">
        <v>33</v>
      </c>
      <c r="K1043" s="2"/>
      <c r="L1043" s="2" t="s">
        <v>24</v>
      </c>
      <c r="M1043" s="2"/>
      <c r="N1043" s="2" t="s">
        <v>43</v>
      </c>
    </row>
    <row r="1044" spans="1:14" x14ac:dyDescent="0.25">
      <c r="A1044" s="2" t="s">
        <v>2863</v>
      </c>
      <c r="B1044" s="2" t="s">
        <v>2864</v>
      </c>
      <c r="C1044" s="2" t="s">
        <v>28</v>
      </c>
      <c r="D1044" s="2" t="s">
        <v>37</v>
      </c>
      <c r="E1044" s="2" t="s">
        <v>18</v>
      </c>
      <c r="F1044" s="2" t="s">
        <v>113</v>
      </c>
      <c r="G1044" s="2" t="s">
        <v>91</v>
      </c>
      <c r="H1044" s="2" t="s">
        <v>21</v>
      </c>
      <c r="I1044" s="2">
        <v>24</v>
      </c>
      <c r="J1044" s="2" t="s">
        <v>56</v>
      </c>
      <c r="K1044" s="2" t="s">
        <v>2865</v>
      </c>
      <c r="L1044" s="2" t="s">
        <v>24</v>
      </c>
      <c r="M1044" s="2"/>
      <c r="N1044" s="2" t="s">
        <v>25</v>
      </c>
    </row>
    <row r="1045" spans="1:14" x14ac:dyDescent="0.25">
      <c r="A1045" s="2" t="s">
        <v>2866</v>
      </c>
      <c r="B1045" s="2" t="s">
        <v>2867</v>
      </c>
      <c r="C1045" s="2" t="s">
        <v>16</v>
      </c>
      <c r="D1045" s="2" t="s">
        <v>84</v>
      </c>
      <c r="E1045" s="2" t="s">
        <v>90</v>
      </c>
      <c r="F1045" s="2" t="s">
        <v>131</v>
      </c>
      <c r="G1045" s="2" t="s">
        <v>20</v>
      </c>
      <c r="H1045" s="2" t="s">
        <v>74</v>
      </c>
      <c r="I1045" s="2">
        <v>8</v>
      </c>
      <c r="J1045" s="2" t="s">
        <v>22</v>
      </c>
      <c r="K1045" s="2" t="s">
        <v>2868</v>
      </c>
      <c r="L1045" s="2" t="s">
        <v>24</v>
      </c>
      <c r="M1045" s="2"/>
      <c r="N1045" s="2" t="s">
        <v>34</v>
      </c>
    </row>
    <row r="1046" spans="1:14" x14ac:dyDescent="0.25">
      <c r="A1046" s="2" t="s">
        <v>2869</v>
      </c>
      <c r="B1046" s="2" t="s">
        <v>2870</v>
      </c>
      <c r="C1046" s="2" t="s">
        <v>16</v>
      </c>
      <c r="D1046" s="2" t="s">
        <v>84</v>
      </c>
      <c r="E1046" s="2" t="s">
        <v>85</v>
      </c>
      <c r="F1046" s="2" t="s">
        <v>39</v>
      </c>
      <c r="G1046" s="2" t="s">
        <v>91</v>
      </c>
      <c r="H1046" s="2" t="s">
        <v>32</v>
      </c>
      <c r="I1046" s="2">
        <v>48</v>
      </c>
      <c r="J1046" s="2" t="s">
        <v>75</v>
      </c>
      <c r="K1046" s="2"/>
      <c r="L1046" s="2" t="s">
        <v>24</v>
      </c>
      <c r="M1046" s="2"/>
      <c r="N1046" s="2" t="s">
        <v>128</v>
      </c>
    </row>
    <row r="1047" spans="1:14" x14ac:dyDescent="0.25">
      <c r="A1047" s="2" t="s">
        <v>2871</v>
      </c>
      <c r="B1047" s="2" t="s">
        <v>2872</v>
      </c>
      <c r="C1047" s="2" t="s">
        <v>16</v>
      </c>
      <c r="D1047" s="2" t="s">
        <v>17</v>
      </c>
      <c r="E1047" s="2" t="s">
        <v>148</v>
      </c>
      <c r="F1047" s="2" t="s">
        <v>39</v>
      </c>
      <c r="G1047" s="2" t="s">
        <v>110</v>
      </c>
      <c r="H1047" s="2" t="s">
        <v>74</v>
      </c>
      <c r="I1047" s="2">
        <v>8</v>
      </c>
      <c r="J1047" s="2" t="s">
        <v>41</v>
      </c>
      <c r="K1047" s="2" t="s">
        <v>2873</v>
      </c>
      <c r="L1047" s="2" t="s">
        <v>24</v>
      </c>
      <c r="M1047" s="2">
        <v>2</v>
      </c>
      <c r="N1047" s="2" t="s">
        <v>50</v>
      </c>
    </row>
    <row r="1048" spans="1:14" x14ac:dyDescent="0.25">
      <c r="A1048" s="2" t="s">
        <v>2874</v>
      </c>
      <c r="B1048" s="2" t="s">
        <v>2875</v>
      </c>
      <c r="C1048" s="2" t="s">
        <v>28</v>
      </c>
      <c r="D1048" s="2" t="s">
        <v>37</v>
      </c>
      <c r="E1048" s="2" t="s">
        <v>90</v>
      </c>
      <c r="F1048" s="2" t="s">
        <v>39</v>
      </c>
      <c r="G1048" s="2" t="s">
        <v>20</v>
      </c>
      <c r="H1048" s="2" t="s">
        <v>21</v>
      </c>
      <c r="I1048" s="2">
        <v>24</v>
      </c>
      <c r="J1048" s="2" t="s">
        <v>41</v>
      </c>
      <c r="K1048" s="2" t="s">
        <v>2876</v>
      </c>
      <c r="L1048" s="2" t="s">
        <v>24</v>
      </c>
      <c r="M1048" s="2">
        <v>4</v>
      </c>
      <c r="N1048" s="2"/>
    </row>
    <row r="1049" spans="1:14" x14ac:dyDescent="0.25">
      <c r="A1049" s="2" t="s">
        <v>2877</v>
      </c>
      <c r="B1049" s="2" t="s">
        <v>2878</v>
      </c>
      <c r="C1049" s="2" t="s">
        <v>16</v>
      </c>
      <c r="D1049" s="2" t="s">
        <v>17</v>
      </c>
      <c r="E1049" s="2" t="s">
        <v>38</v>
      </c>
      <c r="F1049" s="2" t="s">
        <v>19</v>
      </c>
      <c r="G1049" s="2" t="s">
        <v>110</v>
      </c>
      <c r="H1049" s="2" t="s">
        <v>32</v>
      </c>
      <c r="I1049" s="2">
        <v>48</v>
      </c>
      <c r="J1049" s="2" t="s">
        <v>106</v>
      </c>
      <c r="K1049" s="2" t="s">
        <v>2879</v>
      </c>
      <c r="L1049" s="2" t="s">
        <v>24</v>
      </c>
      <c r="M1049" s="2"/>
      <c r="N1049" s="2"/>
    </row>
    <row r="1050" spans="1:14" x14ac:dyDescent="0.25">
      <c r="A1050" s="2" t="s">
        <v>2880</v>
      </c>
      <c r="B1050" s="2" t="s">
        <v>2881</v>
      </c>
      <c r="C1050" s="2" t="s">
        <v>67</v>
      </c>
      <c r="D1050" s="2" t="s">
        <v>95</v>
      </c>
      <c r="E1050" s="2" t="s">
        <v>79</v>
      </c>
      <c r="F1050" s="2" t="s">
        <v>39</v>
      </c>
      <c r="G1050" s="2" t="s">
        <v>20</v>
      </c>
      <c r="H1050" s="2" t="s">
        <v>74</v>
      </c>
      <c r="I1050" s="2">
        <v>8</v>
      </c>
      <c r="J1050" s="2" t="s">
        <v>33</v>
      </c>
      <c r="K1050" s="2"/>
      <c r="L1050" s="2" t="s">
        <v>24</v>
      </c>
      <c r="M1050" s="2"/>
      <c r="N1050" s="2" t="s">
        <v>34</v>
      </c>
    </row>
    <row r="1051" spans="1:14" x14ac:dyDescent="0.25">
      <c r="A1051" s="2" t="s">
        <v>2882</v>
      </c>
      <c r="B1051" s="2" t="s">
        <v>2883</v>
      </c>
      <c r="C1051" s="2" t="s">
        <v>28</v>
      </c>
      <c r="D1051" s="2" t="s">
        <v>100</v>
      </c>
      <c r="E1051" s="2" t="s">
        <v>85</v>
      </c>
      <c r="F1051" s="2" t="s">
        <v>69</v>
      </c>
      <c r="G1051" s="2" t="s">
        <v>211</v>
      </c>
      <c r="H1051" s="2" t="s">
        <v>21</v>
      </c>
      <c r="I1051" s="2">
        <v>24</v>
      </c>
      <c r="J1051" s="2" t="s">
        <v>22</v>
      </c>
      <c r="K1051" s="2" t="s">
        <v>2884</v>
      </c>
      <c r="L1051" s="2" t="s">
        <v>24</v>
      </c>
      <c r="M1051" s="2"/>
      <c r="N1051" s="2" t="s">
        <v>58</v>
      </c>
    </row>
    <row r="1052" spans="1:14" x14ac:dyDescent="0.25">
      <c r="A1052" s="2" t="s">
        <v>2885</v>
      </c>
      <c r="B1052" s="2" t="s">
        <v>2886</v>
      </c>
      <c r="C1052" s="2" t="s">
        <v>16</v>
      </c>
      <c r="D1052" s="2" t="s">
        <v>84</v>
      </c>
      <c r="E1052" s="2" t="s">
        <v>38</v>
      </c>
      <c r="F1052" s="2" t="s">
        <v>55</v>
      </c>
      <c r="G1052" s="2" t="s">
        <v>105</v>
      </c>
      <c r="H1052" s="2" t="s">
        <v>32</v>
      </c>
      <c r="I1052" s="2">
        <v>48</v>
      </c>
      <c r="J1052" s="2" t="s">
        <v>33</v>
      </c>
      <c r="K1052" s="2"/>
      <c r="L1052" s="2" t="s">
        <v>24</v>
      </c>
      <c r="M1052" s="2"/>
      <c r="N1052" s="2" t="s">
        <v>25</v>
      </c>
    </row>
    <row r="1053" spans="1:14" x14ac:dyDescent="0.25">
      <c r="A1053" s="2" t="s">
        <v>2887</v>
      </c>
      <c r="B1053" s="2" t="s">
        <v>2888</v>
      </c>
      <c r="C1053" s="2" t="s">
        <v>53</v>
      </c>
      <c r="D1053" s="2" t="s">
        <v>61</v>
      </c>
      <c r="E1053" s="2" t="s">
        <v>18</v>
      </c>
      <c r="F1053" s="2" t="s">
        <v>39</v>
      </c>
      <c r="G1053" s="2" t="s">
        <v>105</v>
      </c>
      <c r="H1053" s="2" t="s">
        <v>32</v>
      </c>
      <c r="I1053" s="2">
        <v>48</v>
      </c>
      <c r="J1053" s="2" t="s">
        <v>41</v>
      </c>
      <c r="K1053" s="2" t="s">
        <v>2889</v>
      </c>
      <c r="L1053" s="2" t="s">
        <v>24</v>
      </c>
      <c r="M1053" s="2"/>
      <c r="N1053" s="2" t="s">
        <v>25</v>
      </c>
    </row>
    <row r="1054" spans="1:14" x14ac:dyDescent="0.25">
      <c r="A1054" s="2" t="s">
        <v>2890</v>
      </c>
      <c r="B1054" s="2" t="s">
        <v>2891</v>
      </c>
      <c r="C1054" s="2" t="s">
        <v>28</v>
      </c>
      <c r="D1054" s="2" t="s">
        <v>29</v>
      </c>
      <c r="E1054" s="2" t="s">
        <v>85</v>
      </c>
      <c r="F1054" s="2" t="s">
        <v>96</v>
      </c>
      <c r="G1054" s="2" t="s">
        <v>211</v>
      </c>
      <c r="H1054" s="2" t="s">
        <v>74</v>
      </c>
      <c r="I1054" s="2">
        <v>8</v>
      </c>
      <c r="J1054" s="2" t="s">
        <v>106</v>
      </c>
      <c r="K1054" s="2" t="s">
        <v>2892</v>
      </c>
      <c r="L1054" s="2" t="s">
        <v>24</v>
      </c>
      <c r="M1054" s="2">
        <v>5</v>
      </c>
      <c r="N1054" s="2" t="s">
        <v>25</v>
      </c>
    </row>
    <row r="1055" spans="1:14" x14ac:dyDescent="0.25">
      <c r="A1055" s="2" t="s">
        <v>2893</v>
      </c>
      <c r="B1055" s="2" t="s">
        <v>2894</v>
      </c>
      <c r="C1055" s="2" t="s">
        <v>28</v>
      </c>
      <c r="D1055" s="2" t="s">
        <v>100</v>
      </c>
      <c r="E1055" s="2" t="s">
        <v>79</v>
      </c>
      <c r="F1055" s="2" t="s">
        <v>62</v>
      </c>
      <c r="G1055" s="2" t="s">
        <v>179</v>
      </c>
      <c r="H1055" s="2" t="s">
        <v>74</v>
      </c>
      <c r="I1055" s="2">
        <v>8</v>
      </c>
      <c r="J1055" s="2" t="s">
        <v>117</v>
      </c>
      <c r="K1055" s="2"/>
      <c r="L1055" s="2" t="s">
        <v>92</v>
      </c>
      <c r="M1055" s="2"/>
      <c r="N1055" s="2" t="s">
        <v>118</v>
      </c>
    </row>
    <row r="1056" spans="1:14" x14ac:dyDescent="0.25">
      <c r="A1056" s="2" t="s">
        <v>2895</v>
      </c>
      <c r="B1056" s="2" t="s">
        <v>2896</v>
      </c>
      <c r="C1056" s="2" t="s">
        <v>16</v>
      </c>
      <c r="D1056" s="2" t="s">
        <v>17</v>
      </c>
      <c r="E1056" s="2" t="s">
        <v>79</v>
      </c>
      <c r="F1056" s="2" t="s">
        <v>113</v>
      </c>
      <c r="G1056" s="2" t="s">
        <v>20</v>
      </c>
      <c r="H1056" s="2" t="s">
        <v>32</v>
      </c>
      <c r="I1056" s="2">
        <v>48</v>
      </c>
      <c r="J1056" s="2" t="s">
        <v>106</v>
      </c>
      <c r="K1056" s="2" t="s">
        <v>2897</v>
      </c>
      <c r="L1056" s="2" t="s">
        <v>24</v>
      </c>
      <c r="M1056" s="2">
        <v>5</v>
      </c>
      <c r="N1056" s="2" t="s">
        <v>34</v>
      </c>
    </row>
    <row r="1057" spans="1:14" x14ac:dyDescent="0.25">
      <c r="A1057" s="2" t="s">
        <v>2898</v>
      </c>
      <c r="B1057" s="2" t="s">
        <v>2899</v>
      </c>
      <c r="C1057" s="2" t="s">
        <v>53</v>
      </c>
      <c r="D1057" s="2" t="s">
        <v>61</v>
      </c>
      <c r="E1057" s="2" t="s">
        <v>85</v>
      </c>
      <c r="F1057" s="2" t="s">
        <v>69</v>
      </c>
      <c r="G1057" s="2" t="s">
        <v>183</v>
      </c>
      <c r="H1057" s="2" t="s">
        <v>32</v>
      </c>
      <c r="I1057" s="2">
        <v>48</v>
      </c>
      <c r="J1057" s="2" t="s">
        <v>187</v>
      </c>
      <c r="K1057" s="2" t="s">
        <v>2900</v>
      </c>
      <c r="L1057" s="2" t="s">
        <v>24</v>
      </c>
      <c r="M1057" s="2"/>
      <c r="N1057" s="2" t="s">
        <v>34</v>
      </c>
    </row>
    <row r="1058" spans="1:14" x14ac:dyDescent="0.25">
      <c r="A1058" s="2" t="s">
        <v>2901</v>
      </c>
      <c r="B1058" s="2" t="s">
        <v>2902</v>
      </c>
      <c r="C1058" s="2" t="s">
        <v>67</v>
      </c>
      <c r="D1058" s="2" t="s">
        <v>68</v>
      </c>
      <c r="E1058" s="2" t="s">
        <v>90</v>
      </c>
      <c r="F1058" s="2" t="s">
        <v>62</v>
      </c>
      <c r="G1058" s="2" t="s">
        <v>135</v>
      </c>
      <c r="H1058" s="2" t="s">
        <v>21</v>
      </c>
      <c r="I1058" s="2">
        <v>24</v>
      </c>
      <c r="J1058" s="2" t="s">
        <v>48</v>
      </c>
      <c r="K1058" s="2" t="s">
        <v>2903</v>
      </c>
      <c r="L1058" s="2" t="s">
        <v>24</v>
      </c>
      <c r="M1058" s="2">
        <v>2</v>
      </c>
      <c r="N1058" s="2" t="s">
        <v>58</v>
      </c>
    </row>
    <row r="1059" spans="1:14" x14ac:dyDescent="0.25">
      <c r="A1059" s="2" t="s">
        <v>2904</v>
      </c>
      <c r="B1059" s="2" t="s">
        <v>2905</v>
      </c>
      <c r="C1059" s="2" t="s">
        <v>67</v>
      </c>
      <c r="D1059" s="2" t="s">
        <v>68</v>
      </c>
      <c r="E1059" s="2" t="s">
        <v>85</v>
      </c>
      <c r="F1059" s="2" t="s">
        <v>62</v>
      </c>
      <c r="G1059" s="2" t="s">
        <v>70</v>
      </c>
      <c r="H1059" s="2" t="s">
        <v>32</v>
      </c>
      <c r="I1059" s="2">
        <v>48</v>
      </c>
      <c r="J1059" s="2" t="s">
        <v>106</v>
      </c>
      <c r="K1059" s="2" t="s">
        <v>2906</v>
      </c>
      <c r="L1059" s="2" t="s">
        <v>24</v>
      </c>
      <c r="M1059" s="2"/>
      <c r="N1059" s="2" t="s">
        <v>118</v>
      </c>
    </row>
    <row r="1060" spans="1:14" x14ac:dyDescent="0.25">
      <c r="A1060" s="2" t="s">
        <v>2907</v>
      </c>
      <c r="B1060" s="2" t="s">
        <v>2908</v>
      </c>
      <c r="C1060" s="2" t="s">
        <v>28</v>
      </c>
      <c r="D1060" s="2" t="s">
        <v>37</v>
      </c>
      <c r="E1060" s="2" t="s">
        <v>46</v>
      </c>
      <c r="F1060" s="2" t="s">
        <v>55</v>
      </c>
      <c r="G1060" s="2" t="s">
        <v>31</v>
      </c>
      <c r="H1060" s="2" t="s">
        <v>21</v>
      </c>
      <c r="I1060" s="2">
        <v>24</v>
      </c>
      <c r="J1060" s="2" t="s">
        <v>232</v>
      </c>
      <c r="K1060" s="2"/>
      <c r="L1060" s="2" t="s">
        <v>92</v>
      </c>
      <c r="M1060" s="2"/>
      <c r="N1060" s="2" t="s">
        <v>50</v>
      </c>
    </row>
    <row r="1061" spans="1:14" x14ac:dyDescent="0.25">
      <c r="A1061" s="2" t="s">
        <v>2909</v>
      </c>
      <c r="B1061" s="2" t="s">
        <v>2910</v>
      </c>
      <c r="C1061" s="2" t="s">
        <v>53</v>
      </c>
      <c r="D1061" s="2" t="s">
        <v>54</v>
      </c>
      <c r="E1061" s="2" t="s">
        <v>79</v>
      </c>
      <c r="F1061" s="2" t="s">
        <v>55</v>
      </c>
      <c r="G1061" s="2" t="s">
        <v>144</v>
      </c>
      <c r="H1061" s="2" t="s">
        <v>21</v>
      </c>
      <c r="I1061" s="2">
        <v>24</v>
      </c>
      <c r="J1061" s="2" t="s">
        <v>33</v>
      </c>
      <c r="K1061" s="2"/>
      <c r="L1061" s="2" t="s">
        <v>24</v>
      </c>
      <c r="M1061" s="2"/>
      <c r="N1061" s="2" t="s">
        <v>64</v>
      </c>
    </row>
    <row r="1062" spans="1:14" x14ac:dyDescent="0.25">
      <c r="A1062" s="2" t="s">
        <v>2911</v>
      </c>
      <c r="B1062" s="2" t="s">
        <v>2912</v>
      </c>
      <c r="C1062" s="2" t="s">
        <v>28</v>
      </c>
      <c r="D1062" s="2" t="s">
        <v>100</v>
      </c>
      <c r="E1062" s="2" t="s">
        <v>46</v>
      </c>
      <c r="F1062" s="2" t="s">
        <v>39</v>
      </c>
      <c r="G1062" s="2" t="s">
        <v>135</v>
      </c>
      <c r="H1062" s="2" t="s">
        <v>74</v>
      </c>
      <c r="I1062" s="2">
        <v>8</v>
      </c>
      <c r="J1062" s="2" t="s">
        <v>117</v>
      </c>
      <c r="K1062" s="2"/>
      <c r="L1062" s="2" t="s">
        <v>24</v>
      </c>
      <c r="M1062" s="2"/>
      <c r="N1062" s="2"/>
    </row>
    <row r="1063" spans="1:14" x14ac:dyDescent="0.25">
      <c r="A1063" s="2" t="s">
        <v>2913</v>
      </c>
      <c r="B1063" s="2" t="s">
        <v>2914</v>
      </c>
      <c r="C1063" s="2" t="s">
        <v>53</v>
      </c>
      <c r="D1063" s="2" t="s">
        <v>54</v>
      </c>
      <c r="E1063" s="2" t="s">
        <v>90</v>
      </c>
      <c r="F1063" s="2" t="s">
        <v>113</v>
      </c>
      <c r="G1063" s="2" t="s">
        <v>144</v>
      </c>
      <c r="H1063" s="2" t="s">
        <v>74</v>
      </c>
      <c r="I1063" s="2">
        <v>8</v>
      </c>
      <c r="J1063" s="2" t="s">
        <v>22</v>
      </c>
      <c r="K1063" s="2" t="s">
        <v>2915</v>
      </c>
      <c r="L1063" s="2" t="s">
        <v>92</v>
      </c>
      <c r="M1063" s="2">
        <v>4</v>
      </c>
      <c r="N1063" s="2" t="s">
        <v>58</v>
      </c>
    </row>
    <row r="1064" spans="1:14" x14ac:dyDescent="0.25">
      <c r="A1064" s="2" t="s">
        <v>2916</v>
      </c>
      <c r="B1064" s="2" t="s">
        <v>2917</v>
      </c>
      <c r="C1064" s="2" t="s">
        <v>53</v>
      </c>
      <c r="D1064" s="2" t="s">
        <v>61</v>
      </c>
      <c r="E1064" s="2" t="s">
        <v>38</v>
      </c>
      <c r="F1064" s="2" t="s">
        <v>19</v>
      </c>
      <c r="G1064" s="2" t="s">
        <v>158</v>
      </c>
      <c r="H1064" s="2" t="s">
        <v>21</v>
      </c>
      <c r="I1064" s="2">
        <v>24</v>
      </c>
      <c r="J1064" s="2" t="s">
        <v>106</v>
      </c>
      <c r="K1064" s="2" t="s">
        <v>2918</v>
      </c>
      <c r="L1064" s="2" t="s">
        <v>24</v>
      </c>
      <c r="M1064" s="2"/>
      <c r="N1064" s="2" t="s">
        <v>118</v>
      </c>
    </row>
    <row r="1065" spans="1:14" x14ac:dyDescent="0.25">
      <c r="A1065" s="2" t="s">
        <v>2919</v>
      </c>
      <c r="B1065" s="2" t="s">
        <v>2920</v>
      </c>
      <c r="C1065" s="2" t="s">
        <v>53</v>
      </c>
      <c r="D1065" s="2" t="s">
        <v>61</v>
      </c>
      <c r="E1065" s="2" t="s">
        <v>148</v>
      </c>
      <c r="F1065" s="2" t="s">
        <v>30</v>
      </c>
      <c r="G1065" s="2" t="s">
        <v>179</v>
      </c>
      <c r="H1065" s="2" t="s">
        <v>74</v>
      </c>
      <c r="I1065" s="2">
        <v>8</v>
      </c>
      <c r="J1065" s="2" t="s">
        <v>106</v>
      </c>
      <c r="K1065" s="2" t="s">
        <v>2921</v>
      </c>
      <c r="L1065" s="2" t="s">
        <v>24</v>
      </c>
      <c r="M1065" s="2">
        <v>1</v>
      </c>
      <c r="N1065" s="2"/>
    </row>
    <row r="1066" spans="1:14" x14ac:dyDescent="0.25">
      <c r="A1066" s="2" t="s">
        <v>2922</v>
      </c>
      <c r="B1066" s="2" t="s">
        <v>2923</v>
      </c>
      <c r="C1066" s="2" t="s">
        <v>67</v>
      </c>
      <c r="D1066" s="2" t="s">
        <v>68</v>
      </c>
      <c r="E1066" s="2" t="s">
        <v>79</v>
      </c>
      <c r="F1066" s="2" t="s">
        <v>30</v>
      </c>
      <c r="G1066" s="2" t="s">
        <v>183</v>
      </c>
      <c r="H1066" s="2" t="s">
        <v>21</v>
      </c>
      <c r="I1066" s="2">
        <v>24</v>
      </c>
      <c r="J1066" s="2" t="s">
        <v>48</v>
      </c>
      <c r="K1066" s="2" t="s">
        <v>2924</v>
      </c>
      <c r="L1066" s="2" t="s">
        <v>24</v>
      </c>
      <c r="M1066" s="2">
        <v>5</v>
      </c>
      <c r="N1066" s="2"/>
    </row>
    <row r="1067" spans="1:14" x14ac:dyDescent="0.25">
      <c r="A1067" s="2" t="s">
        <v>2925</v>
      </c>
      <c r="B1067" s="2" t="s">
        <v>2926</v>
      </c>
      <c r="C1067" s="2" t="s">
        <v>16</v>
      </c>
      <c r="D1067" s="2" t="s">
        <v>84</v>
      </c>
      <c r="E1067" s="2" t="s">
        <v>46</v>
      </c>
      <c r="F1067" s="2" t="s">
        <v>39</v>
      </c>
      <c r="G1067" s="2" t="s">
        <v>31</v>
      </c>
      <c r="H1067" s="2" t="s">
        <v>74</v>
      </c>
      <c r="I1067" s="2">
        <v>8</v>
      </c>
      <c r="J1067" s="2" t="s">
        <v>187</v>
      </c>
      <c r="K1067" s="2" t="s">
        <v>2927</v>
      </c>
      <c r="L1067" s="2" t="s">
        <v>24</v>
      </c>
      <c r="M1067" s="2">
        <v>5</v>
      </c>
      <c r="N1067" s="2" t="s">
        <v>43</v>
      </c>
    </row>
    <row r="1068" spans="1:14" x14ac:dyDescent="0.25">
      <c r="A1068" s="2" t="s">
        <v>2928</v>
      </c>
      <c r="B1068" s="2" t="s">
        <v>2929</v>
      </c>
      <c r="C1068" s="2" t="s">
        <v>53</v>
      </c>
      <c r="D1068" s="2" t="s">
        <v>61</v>
      </c>
      <c r="E1068" s="2" t="s">
        <v>38</v>
      </c>
      <c r="F1068" s="2" t="s">
        <v>113</v>
      </c>
      <c r="G1068" s="2" t="s">
        <v>158</v>
      </c>
      <c r="H1068" s="2" t="s">
        <v>21</v>
      </c>
      <c r="I1068" s="2">
        <v>24</v>
      </c>
      <c r="J1068" s="2" t="s">
        <v>41</v>
      </c>
      <c r="K1068" s="2" t="s">
        <v>2930</v>
      </c>
      <c r="L1068" s="2" t="s">
        <v>24</v>
      </c>
      <c r="M1068" s="2"/>
      <c r="N1068" s="2" t="s">
        <v>58</v>
      </c>
    </row>
    <row r="1069" spans="1:14" x14ac:dyDescent="0.25">
      <c r="A1069" s="2" t="s">
        <v>2931</v>
      </c>
      <c r="B1069" s="2" t="s">
        <v>2932</v>
      </c>
      <c r="C1069" s="2" t="s">
        <v>16</v>
      </c>
      <c r="D1069" s="2" t="s">
        <v>17</v>
      </c>
      <c r="E1069" s="2" t="s">
        <v>148</v>
      </c>
      <c r="F1069" s="2" t="s">
        <v>55</v>
      </c>
      <c r="G1069" s="2" t="s">
        <v>40</v>
      </c>
      <c r="H1069" s="2" t="s">
        <v>32</v>
      </c>
      <c r="I1069" s="2">
        <v>48</v>
      </c>
      <c r="J1069" s="2" t="s">
        <v>41</v>
      </c>
      <c r="K1069" s="2" t="s">
        <v>2933</v>
      </c>
      <c r="L1069" s="2" t="s">
        <v>24</v>
      </c>
      <c r="M1069" s="2">
        <v>3</v>
      </c>
      <c r="N1069" s="2"/>
    </row>
    <row r="1070" spans="1:14" x14ac:dyDescent="0.25">
      <c r="A1070" s="2" t="s">
        <v>2934</v>
      </c>
      <c r="B1070" s="2" t="s">
        <v>2935</v>
      </c>
      <c r="C1070" s="2" t="s">
        <v>28</v>
      </c>
      <c r="D1070" s="2" t="s">
        <v>37</v>
      </c>
      <c r="E1070" s="2" t="s">
        <v>148</v>
      </c>
      <c r="F1070" s="2" t="s">
        <v>39</v>
      </c>
      <c r="G1070" s="2" t="s">
        <v>211</v>
      </c>
      <c r="H1070" s="2" t="s">
        <v>32</v>
      </c>
      <c r="I1070" s="2">
        <v>48</v>
      </c>
      <c r="J1070" s="2" t="s">
        <v>48</v>
      </c>
      <c r="K1070" s="2" t="s">
        <v>2936</v>
      </c>
      <c r="L1070" s="2" t="s">
        <v>24</v>
      </c>
      <c r="M1070" s="2"/>
      <c r="N1070" s="2" t="s">
        <v>25</v>
      </c>
    </row>
    <row r="1071" spans="1:14" x14ac:dyDescent="0.25">
      <c r="A1071" s="2" t="s">
        <v>2937</v>
      </c>
      <c r="B1071" s="2" t="s">
        <v>2938</v>
      </c>
      <c r="C1071" s="2" t="s">
        <v>16</v>
      </c>
      <c r="D1071" s="2" t="s">
        <v>84</v>
      </c>
      <c r="E1071" s="2" t="s">
        <v>46</v>
      </c>
      <c r="F1071" s="2" t="s">
        <v>19</v>
      </c>
      <c r="G1071" s="2" t="s">
        <v>121</v>
      </c>
      <c r="H1071" s="2" t="s">
        <v>32</v>
      </c>
      <c r="I1071" s="2">
        <v>48</v>
      </c>
      <c r="J1071" s="2" t="s">
        <v>75</v>
      </c>
      <c r="K1071" s="2" t="s">
        <v>2939</v>
      </c>
      <c r="L1071" s="2" t="s">
        <v>24</v>
      </c>
      <c r="M1071" s="2"/>
      <c r="N1071" s="2" t="s">
        <v>25</v>
      </c>
    </row>
    <row r="1072" spans="1:14" x14ac:dyDescent="0.25">
      <c r="A1072" s="2" t="s">
        <v>2940</v>
      </c>
      <c r="B1072" s="2" t="s">
        <v>2941</v>
      </c>
      <c r="C1072" s="2" t="s">
        <v>28</v>
      </c>
      <c r="D1072" s="2" t="s">
        <v>100</v>
      </c>
      <c r="E1072" s="2" t="s">
        <v>85</v>
      </c>
      <c r="F1072" s="2" t="s">
        <v>47</v>
      </c>
      <c r="G1072" s="2" t="s">
        <v>139</v>
      </c>
      <c r="H1072" s="2" t="s">
        <v>80</v>
      </c>
      <c r="I1072" s="2">
        <v>4</v>
      </c>
      <c r="J1072" s="2" t="s">
        <v>200</v>
      </c>
      <c r="K1072" s="2"/>
      <c r="L1072" s="2" t="s">
        <v>92</v>
      </c>
      <c r="M1072" s="2"/>
      <c r="N1072" s="2" t="s">
        <v>58</v>
      </c>
    </row>
    <row r="1073" spans="1:14" x14ac:dyDescent="0.25">
      <c r="A1073" s="2" t="s">
        <v>2942</v>
      </c>
      <c r="B1073" s="2" t="s">
        <v>2943</v>
      </c>
      <c r="C1073" s="2" t="s">
        <v>67</v>
      </c>
      <c r="D1073" s="2" t="s">
        <v>95</v>
      </c>
      <c r="E1073" s="2" t="s">
        <v>18</v>
      </c>
      <c r="F1073" s="2" t="s">
        <v>96</v>
      </c>
      <c r="G1073" s="2" t="s">
        <v>126</v>
      </c>
      <c r="H1073" s="2" t="s">
        <v>74</v>
      </c>
      <c r="I1073" s="2">
        <v>8</v>
      </c>
      <c r="J1073" s="2" t="s">
        <v>41</v>
      </c>
      <c r="K1073" s="2" t="s">
        <v>2944</v>
      </c>
      <c r="L1073" s="2" t="s">
        <v>24</v>
      </c>
      <c r="M1073" s="2"/>
      <c r="N1073" s="2" t="s">
        <v>58</v>
      </c>
    </row>
    <row r="1074" spans="1:14" x14ac:dyDescent="0.25">
      <c r="A1074" s="2" t="s">
        <v>2945</v>
      </c>
      <c r="B1074" s="2" t="s">
        <v>2946</v>
      </c>
      <c r="C1074" s="2" t="s">
        <v>16</v>
      </c>
      <c r="D1074" s="2" t="s">
        <v>17</v>
      </c>
      <c r="E1074" s="2" t="s">
        <v>90</v>
      </c>
      <c r="F1074" s="2" t="s">
        <v>30</v>
      </c>
      <c r="G1074" s="2" t="s">
        <v>158</v>
      </c>
      <c r="H1074" s="2" t="s">
        <v>74</v>
      </c>
      <c r="I1074" s="2">
        <v>8</v>
      </c>
      <c r="J1074" s="2" t="s">
        <v>187</v>
      </c>
      <c r="K1074" s="2" t="s">
        <v>2947</v>
      </c>
      <c r="L1074" s="2" t="s">
        <v>24</v>
      </c>
      <c r="M1074" s="2">
        <v>1</v>
      </c>
      <c r="N1074" s="2" t="s">
        <v>25</v>
      </c>
    </row>
    <row r="1075" spans="1:14" x14ac:dyDescent="0.25">
      <c r="A1075" s="2" t="s">
        <v>2948</v>
      </c>
      <c r="B1075" s="2" t="s">
        <v>2949</v>
      </c>
      <c r="C1075" s="2" t="s">
        <v>16</v>
      </c>
      <c r="D1075" s="2" t="s">
        <v>84</v>
      </c>
      <c r="E1075" s="2" t="s">
        <v>90</v>
      </c>
      <c r="F1075" s="2" t="s">
        <v>39</v>
      </c>
      <c r="G1075" s="2" t="s">
        <v>121</v>
      </c>
      <c r="H1075" s="2" t="s">
        <v>32</v>
      </c>
      <c r="I1075" s="2">
        <v>48</v>
      </c>
      <c r="J1075" s="2" t="s">
        <v>106</v>
      </c>
      <c r="K1075" s="2" t="s">
        <v>2950</v>
      </c>
      <c r="L1075" s="2" t="s">
        <v>92</v>
      </c>
      <c r="M1075" s="2">
        <v>4</v>
      </c>
      <c r="N1075" s="2" t="s">
        <v>64</v>
      </c>
    </row>
    <row r="1076" spans="1:14" x14ac:dyDescent="0.25">
      <c r="A1076" s="2" t="s">
        <v>2951</v>
      </c>
      <c r="B1076" s="2" t="s">
        <v>2952</v>
      </c>
      <c r="C1076" s="2" t="s">
        <v>28</v>
      </c>
      <c r="D1076" s="2" t="s">
        <v>37</v>
      </c>
      <c r="E1076" s="2" t="s">
        <v>38</v>
      </c>
      <c r="F1076" s="2" t="s">
        <v>62</v>
      </c>
      <c r="G1076" s="2" t="s">
        <v>144</v>
      </c>
      <c r="H1076" s="2" t="s">
        <v>32</v>
      </c>
      <c r="I1076" s="2">
        <v>48</v>
      </c>
      <c r="J1076" s="2" t="s">
        <v>187</v>
      </c>
      <c r="K1076" s="2" t="s">
        <v>2953</v>
      </c>
      <c r="L1076" s="2" t="s">
        <v>24</v>
      </c>
      <c r="M1076" s="2">
        <v>3</v>
      </c>
      <c r="N1076" s="2" t="s">
        <v>25</v>
      </c>
    </row>
    <row r="1077" spans="1:14" x14ac:dyDescent="0.25">
      <c r="A1077" s="2" t="s">
        <v>2954</v>
      </c>
      <c r="B1077" s="2" t="s">
        <v>2955</v>
      </c>
      <c r="C1077" s="2" t="s">
        <v>16</v>
      </c>
      <c r="D1077" s="2" t="s">
        <v>84</v>
      </c>
      <c r="E1077" s="2" t="s">
        <v>79</v>
      </c>
      <c r="F1077" s="2" t="s">
        <v>96</v>
      </c>
      <c r="G1077" s="2" t="s">
        <v>121</v>
      </c>
      <c r="H1077" s="2" t="s">
        <v>80</v>
      </c>
      <c r="I1077" s="2">
        <v>4</v>
      </c>
      <c r="J1077" s="2" t="s">
        <v>48</v>
      </c>
      <c r="K1077" s="2" t="s">
        <v>2956</v>
      </c>
      <c r="L1077" s="2" t="s">
        <v>24</v>
      </c>
      <c r="M1077" s="2">
        <v>5</v>
      </c>
      <c r="N1077" s="2"/>
    </row>
    <row r="1078" spans="1:14" x14ac:dyDescent="0.25">
      <c r="A1078" s="2" t="s">
        <v>2957</v>
      </c>
      <c r="B1078" s="2" t="s">
        <v>2958</v>
      </c>
      <c r="C1078" s="2" t="s">
        <v>16</v>
      </c>
      <c r="D1078" s="2" t="s">
        <v>84</v>
      </c>
      <c r="E1078" s="2" t="s">
        <v>90</v>
      </c>
      <c r="F1078" s="2" t="s">
        <v>55</v>
      </c>
      <c r="G1078" s="2" t="s">
        <v>97</v>
      </c>
      <c r="H1078" s="2" t="s">
        <v>80</v>
      </c>
      <c r="I1078" s="2">
        <v>4</v>
      </c>
      <c r="J1078" s="2" t="s">
        <v>155</v>
      </c>
      <c r="K1078" s="2"/>
      <c r="L1078" s="2" t="s">
        <v>24</v>
      </c>
      <c r="M1078" s="2"/>
      <c r="N1078" s="2" t="s">
        <v>43</v>
      </c>
    </row>
    <row r="1079" spans="1:14" x14ac:dyDescent="0.25">
      <c r="A1079" s="2" t="s">
        <v>2959</v>
      </c>
      <c r="B1079" s="2" t="s">
        <v>2960</v>
      </c>
      <c r="C1079" s="2" t="s">
        <v>67</v>
      </c>
      <c r="D1079" s="2" t="s">
        <v>68</v>
      </c>
      <c r="E1079" s="2" t="s">
        <v>46</v>
      </c>
      <c r="F1079" s="2" t="s">
        <v>69</v>
      </c>
      <c r="G1079" s="2" t="s">
        <v>211</v>
      </c>
      <c r="H1079" s="2" t="s">
        <v>74</v>
      </c>
      <c r="I1079" s="2">
        <v>8</v>
      </c>
      <c r="J1079" s="2" t="s">
        <v>48</v>
      </c>
      <c r="K1079" s="2" t="s">
        <v>2961</v>
      </c>
      <c r="L1079" s="2" t="s">
        <v>24</v>
      </c>
      <c r="M1079" s="2">
        <v>5</v>
      </c>
      <c r="N1079" s="2" t="s">
        <v>64</v>
      </c>
    </row>
    <row r="1080" spans="1:14" x14ac:dyDescent="0.25">
      <c r="A1080" s="2" t="s">
        <v>2962</v>
      </c>
      <c r="B1080" s="2" t="s">
        <v>2963</v>
      </c>
      <c r="C1080" s="2" t="s">
        <v>28</v>
      </c>
      <c r="D1080" s="2" t="s">
        <v>37</v>
      </c>
      <c r="E1080" s="2" t="s">
        <v>46</v>
      </c>
      <c r="F1080" s="2" t="s">
        <v>143</v>
      </c>
      <c r="G1080" s="2" t="s">
        <v>105</v>
      </c>
      <c r="H1080" s="2" t="s">
        <v>74</v>
      </c>
      <c r="I1080" s="2">
        <v>8</v>
      </c>
      <c r="J1080" s="2" t="s">
        <v>187</v>
      </c>
      <c r="K1080" s="2" t="s">
        <v>2964</v>
      </c>
      <c r="L1080" s="2" t="s">
        <v>24</v>
      </c>
      <c r="M1080" s="2"/>
      <c r="N1080" s="2" t="s">
        <v>50</v>
      </c>
    </row>
    <row r="1081" spans="1:14" x14ac:dyDescent="0.25">
      <c r="A1081" s="2" t="s">
        <v>2965</v>
      </c>
      <c r="B1081" s="2" t="s">
        <v>2966</v>
      </c>
      <c r="C1081" s="2" t="s">
        <v>67</v>
      </c>
      <c r="D1081" s="2" t="s">
        <v>95</v>
      </c>
      <c r="E1081" s="2" t="s">
        <v>90</v>
      </c>
      <c r="F1081" s="2" t="s">
        <v>96</v>
      </c>
      <c r="G1081" s="2" t="s">
        <v>105</v>
      </c>
      <c r="H1081" s="2" t="s">
        <v>21</v>
      </c>
      <c r="I1081" s="2">
        <v>24</v>
      </c>
      <c r="J1081" s="2" t="s">
        <v>232</v>
      </c>
      <c r="K1081" s="2"/>
      <c r="L1081" s="2" t="s">
        <v>92</v>
      </c>
      <c r="M1081" s="2"/>
      <c r="N1081" s="2"/>
    </row>
    <row r="1082" spans="1:14" x14ac:dyDescent="0.25">
      <c r="A1082" s="2" t="s">
        <v>2967</v>
      </c>
      <c r="B1082" s="2" t="s">
        <v>2968</v>
      </c>
      <c r="C1082" s="2" t="s">
        <v>28</v>
      </c>
      <c r="D1082" s="2" t="s">
        <v>100</v>
      </c>
      <c r="E1082" s="2" t="s">
        <v>79</v>
      </c>
      <c r="F1082" s="2" t="s">
        <v>143</v>
      </c>
      <c r="G1082" s="2" t="s">
        <v>158</v>
      </c>
      <c r="H1082" s="2" t="s">
        <v>80</v>
      </c>
      <c r="I1082" s="2">
        <v>4</v>
      </c>
      <c r="J1082" s="2" t="s">
        <v>106</v>
      </c>
      <c r="K1082" s="2" t="s">
        <v>2969</v>
      </c>
      <c r="L1082" s="2" t="s">
        <v>24</v>
      </c>
      <c r="M1082" s="2">
        <v>1</v>
      </c>
      <c r="N1082" s="2" t="s">
        <v>128</v>
      </c>
    </row>
    <row r="1083" spans="1:14" x14ac:dyDescent="0.25">
      <c r="A1083" s="2" t="s">
        <v>2970</v>
      </c>
      <c r="B1083" s="2" t="s">
        <v>2971</v>
      </c>
      <c r="C1083" s="2" t="s">
        <v>28</v>
      </c>
      <c r="D1083" s="2" t="s">
        <v>100</v>
      </c>
      <c r="E1083" s="2" t="s">
        <v>79</v>
      </c>
      <c r="F1083" s="2" t="s">
        <v>55</v>
      </c>
      <c r="G1083" s="2" t="s">
        <v>105</v>
      </c>
      <c r="H1083" s="2" t="s">
        <v>21</v>
      </c>
      <c r="I1083" s="2">
        <v>24</v>
      </c>
      <c r="J1083" s="2" t="s">
        <v>106</v>
      </c>
      <c r="K1083" s="2" t="s">
        <v>2972</v>
      </c>
      <c r="L1083" s="2" t="s">
        <v>92</v>
      </c>
      <c r="M1083" s="2">
        <v>1</v>
      </c>
      <c r="N1083" s="2" t="s">
        <v>50</v>
      </c>
    </row>
    <row r="1084" spans="1:14" x14ac:dyDescent="0.25">
      <c r="A1084" s="2" t="s">
        <v>2973</v>
      </c>
      <c r="B1084" s="2" t="s">
        <v>2974</v>
      </c>
      <c r="C1084" s="2" t="s">
        <v>67</v>
      </c>
      <c r="D1084" s="2" t="s">
        <v>95</v>
      </c>
      <c r="E1084" s="2" t="s">
        <v>90</v>
      </c>
      <c r="F1084" s="2" t="s">
        <v>143</v>
      </c>
      <c r="G1084" s="2" t="s">
        <v>158</v>
      </c>
      <c r="H1084" s="2" t="s">
        <v>21</v>
      </c>
      <c r="I1084" s="2">
        <v>24</v>
      </c>
      <c r="J1084" s="2" t="s">
        <v>106</v>
      </c>
      <c r="K1084" s="2" t="s">
        <v>2975</v>
      </c>
      <c r="L1084" s="2" t="s">
        <v>24</v>
      </c>
      <c r="M1084" s="2"/>
      <c r="N1084" s="2" t="s">
        <v>118</v>
      </c>
    </row>
    <row r="1085" spans="1:14" x14ac:dyDescent="0.25">
      <c r="A1085" s="2" t="s">
        <v>2976</v>
      </c>
      <c r="B1085" s="2" t="s">
        <v>2977</v>
      </c>
      <c r="C1085" s="2" t="s">
        <v>67</v>
      </c>
      <c r="D1085" s="2" t="s">
        <v>95</v>
      </c>
      <c r="E1085" s="2" t="s">
        <v>148</v>
      </c>
      <c r="F1085" s="2" t="s">
        <v>125</v>
      </c>
      <c r="G1085" s="2" t="s">
        <v>183</v>
      </c>
      <c r="H1085" s="2" t="s">
        <v>80</v>
      </c>
      <c r="I1085" s="2">
        <v>4</v>
      </c>
      <c r="J1085" s="2" t="s">
        <v>11</v>
      </c>
      <c r="K1085" s="2"/>
      <c r="L1085" s="2" t="s">
        <v>92</v>
      </c>
      <c r="M1085" s="2"/>
      <c r="N1085" s="2" t="s">
        <v>25</v>
      </c>
    </row>
    <row r="1086" spans="1:14" x14ac:dyDescent="0.25">
      <c r="A1086" s="2" t="s">
        <v>1657</v>
      </c>
      <c r="B1086" s="2" t="s">
        <v>1658</v>
      </c>
      <c r="C1086" s="2" t="s">
        <v>67</v>
      </c>
      <c r="D1086" s="2" t="s">
        <v>68</v>
      </c>
      <c r="E1086" s="2" t="s">
        <v>18</v>
      </c>
      <c r="F1086" s="2" t="s">
        <v>62</v>
      </c>
      <c r="G1086" s="2" t="s">
        <v>121</v>
      </c>
      <c r="H1086" s="2" t="s">
        <v>21</v>
      </c>
      <c r="I1086" s="2">
        <v>24</v>
      </c>
      <c r="J1086" s="2" t="s">
        <v>56</v>
      </c>
      <c r="K1086" s="2" t="s">
        <v>1659</v>
      </c>
      <c r="L1086" s="2" t="s">
        <v>24</v>
      </c>
      <c r="M1086" s="2"/>
      <c r="N1086" s="2"/>
    </row>
    <row r="1087" spans="1:14" x14ac:dyDescent="0.25">
      <c r="A1087" s="2" t="s">
        <v>2978</v>
      </c>
      <c r="B1087" s="2" t="s">
        <v>2979</v>
      </c>
      <c r="C1087" s="2" t="s">
        <v>67</v>
      </c>
      <c r="D1087" s="2" t="s">
        <v>68</v>
      </c>
      <c r="E1087" s="2" t="s">
        <v>18</v>
      </c>
      <c r="F1087" s="2" t="s">
        <v>30</v>
      </c>
      <c r="G1087" s="2" t="s">
        <v>101</v>
      </c>
      <c r="H1087" s="2" t="s">
        <v>21</v>
      </c>
      <c r="I1087" s="2">
        <v>24</v>
      </c>
      <c r="J1087" s="2" t="s">
        <v>75</v>
      </c>
      <c r="K1087" s="2" t="s">
        <v>2980</v>
      </c>
      <c r="L1087" s="2" t="s">
        <v>24</v>
      </c>
      <c r="M1087" s="2">
        <v>5</v>
      </c>
      <c r="N1087" s="2" t="s">
        <v>25</v>
      </c>
    </row>
    <row r="1088" spans="1:14" x14ac:dyDescent="0.25">
      <c r="A1088" s="2" t="s">
        <v>2981</v>
      </c>
      <c r="B1088" s="2" t="s">
        <v>2982</v>
      </c>
      <c r="C1088" s="2" t="s">
        <v>16</v>
      </c>
      <c r="D1088" s="2" t="s">
        <v>84</v>
      </c>
      <c r="E1088" s="2" t="s">
        <v>38</v>
      </c>
      <c r="F1088" s="2" t="s">
        <v>19</v>
      </c>
      <c r="G1088" s="2" t="s">
        <v>70</v>
      </c>
      <c r="H1088" s="2" t="s">
        <v>32</v>
      </c>
      <c r="I1088" s="2">
        <v>48</v>
      </c>
      <c r="J1088" s="2" t="s">
        <v>287</v>
      </c>
      <c r="K1088" s="2"/>
      <c r="L1088" s="2" t="s">
        <v>24</v>
      </c>
      <c r="M1088" s="2"/>
      <c r="N1088" s="2" t="s">
        <v>25</v>
      </c>
    </row>
    <row r="1089" spans="1:14" x14ac:dyDescent="0.25">
      <c r="A1089" s="2" t="s">
        <v>2983</v>
      </c>
      <c r="B1089" s="2" t="s">
        <v>2984</v>
      </c>
      <c r="C1089" s="2" t="s">
        <v>67</v>
      </c>
      <c r="D1089" s="2" t="s">
        <v>95</v>
      </c>
      <c r="E1089" s="2" t="s">
        <v>85</v>
      </c>
      <c r="F1089" s="2" t="s">
        <v>96</v>
      </c>
      <c r="G1089" s="2" t="s">
        <v>40</v>
      </c>
      <c r="H1089" s="2" t="s">
        <v>21</v>
      </c>
      <c r="I1089" s="2">
        <v>24</v>
      </c>
      <c r="J1089" s="2" t="s">
        <v>287</v>
      </c>
      <c r="K1089" s="2"/>
      <c r="L1089" s="2" t="s">
        <v>24</v>
      </c>
      <c r="M1089" s="2"/>
      <c r="N1089" s="2" t="s">
        <v>58</v>
      </c>
    </row>
    <row r="1090" spans="1:14" x14ac:dyDescent="0.25">
      <c r="A1090" s="2" t="s">
        <v>2985</v>
      </c>
      <c r="B1090" s="2" t="s">
        <v>2986</v>
      </c>
      <c r="C1090" s="2" t="s">
        <v>16</v>
      </c>
      <c r="D1090" s="2" t="s">
        <v>84</v>
      </c>
      <c r="E1090" s="2" t="s">
        <v>46</v>
      </c>
      <c r="F1090" s="2" t="s">
        <v>113</v>
      </c>
      <c r="G1090" s="2" t="s">
        <v>211</v>
      </c>
      <c r="H1090" s="2" t="s">
        <v>21</v>
      </c>
      <c r="I1090" s="2">
        <v>24</v>
      </c>
      <c r="J1090" s="2" t="s">
        <v>106</v>
      </c>
      <c r="K1090" s="2" t="s">
        <v>2987</v>
      </c>
      <c r="L1090" s="2" t="s">
        <v>24</v>
      </c>
      <c r="M1090" s="2"/>
      <c r="N1090" s="2" t="s">
        <v>118</v>
      </c>
    </row>
    <row r="1091" spans="1:14" x14ac:dyDescent="0.25">
      <c r="A1091" s="2" t="s">
        <v>2988</v>
      </c>
      <c r="B1091" s="2" t="s">
        <v>2989</v>
      </c>
      <c r="C1091" s="2" t="s">
        <v>28</v>
      </c>
      <c r="D1091" s="2" t="s">
        <v>100</v>
      </c>
      <c r="E1091" s="2" t="s">
        <v>85</v>
      </c>
      <c r="F1091" s="2" t="s">
        <v>19</v>
      </c>
      <c r="G1091" s="2" t="s">
        <v>158</v>
      </c>
      <c r="H1091" s="2" t="s">
        <v>21</v>
      </c>
      <c r="I1091" s="2">
        <v>24</v>
      </c>
      <c r="J1091" s="2" t="s">
        <v>145</v>
      </c>
      <c r="K1091" s="2"/>
      <c r="L1091" s="2" t="s">
        <v>92</v>
      </c>
      <c r="M1091" s="2"/>
      <c r="N1091" s="2" t="s">
        <v>58</v>
      </c>
    </row>
    <row r="1092" spans="1:14" x14ac:dyDescent="0.25">
      <c r="A1092" s="2" t="s">
        <v>2990</v>
      </c>
      <c r="B1092" s="2" t="s">
        <v>2991</v>
      </c>
      <c r="C1092" s="2" t="s">
        <v>28</v>
      </c>
      <c r="D1092" s="2" t="s">
        <v>100</v>
      </c>
      <c r="E1092" s="2" t="s">
        <v>148</v>
      </c>
      <c r="F1092" s="2" t="s">
        <v>69</v>
      </c>
      <c r="G1092" s="2" t="s">
        <v>101</v>
      </c>
      <c r="H1092" s="2" t="s">
        <v>21</v>
      </c>
      <c r="I1092" s="2">
        <v>24</v>
      </c>
      <c r="J1092" s="2" t="s">
        <v>287</v>
      </c>
      <c r="K1092" s="2"/>
      <c r="L1092" s="2" t="s">
        <v>24</v>
      </c>
      <c r="M1092" s="2"/>
      <c r="N1092" s="2" t="s">
        <v>64</v>
      </c>
    </row>
    <row r="1093" spans="1:14" x14ac:dyDescent="0.25">
      <c r="A1093" s="2" t="s">
        <v>2992</v>
      </c>
      <c r="B1093" s="2" t="s">
        <v>2993</v>
      </c>
      <c r="C1093" s="2" t="s">
        <v>28</v>
      </c>
      <c r="D1093" s="2" t="s">
        <v>37</v>
      </c>
      <c r="E1093" s="2" t="s">
        <v>18</v>
      </c>
      <c r="F1093" s="2" t="s">
        <v>96</v>
      </c>
      <c r="G1093" s="2" t="s">
        <v>105</v>
      </c>
      <c r="H1093" s="2" t="s">
        <v>21</v>
      </c>
      <c r="I1093" s="2">
        <v>24</v>
      </c>
      <c r="J1093" s="2" t="s">
        <v>106</v>
      </c>
      <c r="K1093" s="2" t="s">
        <v>2994</v>
      </c>
      <c r="L1093" s="2" t="s">
        <v>24</v>
      </c>
      <c r="M1093" s="2">
        <v>3</v>
      </c>
      <c r="N1093" s="2" t="s">
        <v>43</v>
      </c>
    </row>
    <row r="1094" spans="1:14" x14ac:dyDescent="0.25">
      <c r="A1094" s="2" t="s">
        <v>2995</v>
      </c>
      <c r="B1094" s="2" t="s">
        <v>2996</v>
      </c>
      <c r="C1094" s="2" t="s">
        <v>28</v>
      </c>
      <c r="D1094" s="2" t="s">
        <v>100</v>
      </c>
      <c r="E1094" s="2" t="s">
        <v>18</v>
      </c>
      <c r="F1094" s="2" t="s">
        <v>131</v>
      </c>
      <c r="G1094" s="2" t="s">
        <v>121</v>
      </c>
      <c r="H1094" s="2" t="s">
        <v>32</v>
      </c>
      <c r="I1094" s="2">
        <v>48</v>
      </c>
      <c r="J1094" s="2" t="s">
        <v>22</v>
      </c>
      <c r="K1094" s="2" t="s">
        <v>2997</v>
      </c>
      <c r="L1094" s="2" t="s">
        <v>24</v>
      </c>
      <c r="M1094" s="2">
        <v>5</v>
      </c>
      <c r="N1094" s="2" t="s">
        <v>50</v>
      </c>
    </row>
    <row r="1095" spans="1:14" x14ac:dyDescent="0.25">
      <c r="A1095" s="2" t="s">
        <v>2998</v>
      </c>
      <c r="B1095" s="2" t="s">
        <v>2999</v>
      </c>
      <c r="C1095" s="2" t="s">
        <v>16</v>
      </c>
      <c r="D1095" s="2" t="s">
        <v>17</v>
      </c>
      <c r="E1095" s="2" t="s">
        <v>79</v>
      </c>
      <c r="F1095" s="2" t="s">
        <v>131</v>
      </c>
      <c r="G1095" s="2" t="s">
        <v>144</v>
      </c>
      <c r="H1095" s="2" t="s">
        <v>32</v>
      </c>
      <c r="I1095" s="2">
        <v>48</v>
      </c>
      <c r="J1095" s="2" t="s">
        <v>48</v>
      </c>
      <c r="K1095" s="2" t="s">
        <v>3000</v>
      </c>
      <c r="L1095" s="2" t="s">
        <v>24</v>
      </c>
      <c r="M1095" s="2">
        <v>5</v>
      </c>
      <c r="N1095" s="2" t="s">
        <v>118</v>
      </c>
    </row>
    <row r="1096" spans="1:14" x14ac:dyDescent="0.25">
      <c r="A1096" s="2" t="s">
        <v>3001</v>
      </c>
      <c r="B1096" s="2" t="s">
        <v>3002</v>
      </c>
      <c r="C1096" s="2" t="s">
        <v>67</v>
      </c>
      <c r="D1096" s="2" t="s">
        <v>68</v>
      </c>
      <c r="E1096" s="2" t="s">
        <v>79</v>
      </c>
      <c r="F1096" s="2" t="s">
        <v>39</v>
      </c>
      <c r="G1096" s="2" t="s">
        <v>135</v>
      </c>
      <c r="H1096" s="2" t="s">
        <v>74</v>
      </c>
      <c r="I1096" s="2">
        <v>8</v>
      </c>
      <c r="J1096" s="2" t="s">
        <v>149</v>
      </c>
      <c r="K1096" s="2"/>
      <c r="L1096" s="2" t="s">
        <v>24</v>
      </c>
      <c r="M1096" s="2"/>
      <c r="N1096" s="2" t="s">
        <v>34</v>
      </c>
    </row>
    <row r="1097" spans="1:14" x14ac:dyDescent="0.25">
      <c r="A1097" s="2" t="s">
        <v>3003</v>
      </c>
      <c r="B1097" s="2" t="s">
        <v>3004</v>
      </c>
      <c r="C1097" s="2" t="s">
        <v>53</v>
      </c>
      <c r="D1097" s="2" t="s">
        <v>61</v>
      </c>
      <c r="E1097" s="2" t="s">
        <v>18</v>
      </c>
      <c r="F1097" s="2" t="s">
        <v>55</v>
      </c>
      <c r="G1097" s="2" t="s">
        <v>183</v>
      </c>
      <c r="H1097" s="2" t="s">
        <v>74</v>
      </c>
      <c r="I1097" s="2">
        <v>8</v>
      </c>
      <c r="J1097" s="2" t="s">
        <v>11</v>
      </c>
      <c r="K1097" s="2"/>
      <c r="L1097" s="2" t="s">
        <v>92</v>
      </c>
      <c r="M1097" s="2"/>
      <c r="N1097" s="2" t="s">
        <v>128</v>
      </c>
    </row>
    <row r="1098" spans="1:14" x14ac:dyDescent="0.25">
      <c r="A1098" s="2" t="s">
        <v>3005</v>
      </c>
      <c r="B1098" s="2" t="s">
        <v>3006</v>
      </c>
      <c r="C1098" s="2" t="s">
        <v>53</v>
      </c>
      <c r="D1098" s="2" t="s">
        <v>54</v>
      </c>
      <c r="E1098" s="2" t="s">
        <v>148</v>
      </c>
      <c r="F1098" s="2" t="s">
        <v>19</v>
      </c>
      <c r="G1098" s="2" t="s">
        <v>97</v>
      </c>
      <c r="H1098" s="2" t="s">
        <v>21</v>
      </c>
      <c r="I1098" s="2">
        <v>24</v>
      </c>
      <c r="J1098" s="2" t="s">
        <v>106</v>
      </c>
      <c r="K1098" s="2" t="s">
        <v>3007</v>
      </c>
      <c r="L1098" s="2" t="s">
        <v>24</v>
      </c>
      <c r="M1098" s="2">
        <v>1</v>
      </c>
      <c r="N1098" s="2" t="s">
        <v>25</v>
      </c>
    </row>
    <row r="1099" spans="1:14" x14ac:dyDescent="0.25">
      <c r="A1099" s="2" t="s">
        <v>3008</v>
      </c>
      <c r="B1099" s="2" t="s">
        <v>3009</v>
      </c>
      <c r="C1099" s="2" t="s">
        <v>28</v>
      </c>
      <c r="D1099" s="2" t="s">
        <v>100</v>
      </c>
      <c r="E1099" s="2" t="s">
        <v>148</v>
      </c>
      <c r="F1099" s="2" t="s">
        <v>55</v>
      </c>
      <c r="G1099" s="2" t="s">
        <v>20</v>
      </c>
      <c r="H1099" s="2" t="s">
        <v>32</v>
      </c>
      <c r="I1099" s="2">
        <v>48</v>
      </c>
      <c r="J1099" s="2" t="s">
        <v>155</v>
      </c>
      <c r="K1099" s="2"/>
      <c r="L1099" s="2" t="s">
        <v>24</v>
      </c>
      <c r="M1099" s="2"/>
      <c r="N1099" s="2"/>
    </row>
    <row r="1100" spans="1:14" x14ac:dyDescent="0.25">
      <c r="A1100" s="2" t="s">
        <v>3010</v>
      </c>
      <c r="B1100" s="2" t="s">
        <v>3011</v>
      </c>
      <c r="C1100" s="2" t="s">
        <v>67</v>
      </c>
      <c r="D1100" s="2" t="s">
        <v>95</v>
      </c>
      <c r="E1100" s="2" t="s">
        <v>90</v>
      </c>
      <c r="F1100" s="2" t="s">
        <v>143</v>
      </c>
      <c r="G1100" s="2" t="s">
        <v>97</v>
      </c>
      <c r="H1100" s="2" t="s">
        <v>74</v>
      </c>
      <c r="I1100" s="2">
        <v>8</v>
      </c>
      <c r="J1100" s="2" t="s">
        <v>75</v>
      </c>
      <c r="K1100" s="2" t="s">
        <v>3012</v>
      </c>
      <c r="L1100" s="2" t="s">
        <v>24</v>
      </c>
      <c r="M1100" s="2"/>
      <c r="N1100" s="2" t="s">
        <v>25</v>
      </c>
    </row>
    <row r="1101" spans="1:14" x14ac:dyDescent="0.25">
      <c r="A1101" s="2" t="s">
        <v>3013</v>
      </c>
      <c r="B1101" s="2" t="s">
        <v>3014</v>
      </c>
      <c r="C1101" s="2" t="s">
        <v>28</v>
      </c>
      <c r="D1101" s="2" t="s">
        <v>37</v>
      </c>
      <c r="E1101" s="2" t="s">
        <v>46</v>
      </c>
      <c r="F1101" s="2" t="s">
        <v>131</v>
      </c>
      <c r="G1101" s="2" t="s">
        <v>139</v>
      </c>
      <c r="H1101" s="2" t="s">
        <v>21</v>
      </c>
      <c r="I1101" s="2">
        <v>24</v>
      </c>
      <c r="J1101" s="2" t="s">
        <v>22</v>
      </c>
      <c r="K1101" s="2" t="s">
        <v>3015</v>
      </c>
      <c r="L1101" s="2" t="s">
        <v>24</v>
      </c>
      <c r="M1101" s="2"/>
      <c r="N1101" s="2" t="s">
        <v>43</v>
      </c>
    </row>
    <row r="1102" spans="1:14" x14ac:dyDescent="0.25">
      <c r="A1102" s="2" t="s">
        <v>3016</v>
      </c>
      <c r="B1102" s="2" t="s">
        <v>3017</v>
      </c>
      <c r="C1102" s="2" t="s">
        <v>67</v>
      </c>
      <c r="D1102" s="2" t="s">
        <v>68</v>
      </c>
      <c r="E1102" s="2" t="s">
        <v>46</v>
      </c>
      <c r="F1102" s="2" t="s">
        <v>19</v>
      </c>
      <c r="G1102" s="2" t="s">
        <v>40</v>
      </c>
      <c r="H1102" s="2" t="s">
        <v>21</v>
      </c>
      <c r="I1102" s="2">
        <v>24</v>
      </c>
      <c r="J1102" s="2" t="s">
        <v>22</v>
      </c>
      <c r="K1102" s="2" t="s">
        <v>3018</v>
      </c>
      <c r="L1102" s="2" t="s">
        <v>24</v>
      </c>
      <c r="M1102" s="2"/>
      <c r="N1102" s="2" t="s">
        <v>43</v>
      </c>
    </row>
    <row r="1103" spans="1:14" x14ac:dyDescent="0.25">
      <c r="A1103" s="2" t="s">
        <v>3019</v>
      </c>
      <c r="B1103" s="2" t="s">
        <v>3020</v>
      </c>
      <c r="C1103" s="2" t="s">
        <v>16</v>
      </c>
      <c r="D1103" s="2" t="s">
        <v>84</v>
      </c>
      <c r="E1103" s="2" t="s">
        <v>90</v>
      </c>
      <c r="F1103" s="2" t="s">
        <v>55</v>
      </c>
      <c r="G1103" s="2" t="s">
        <v>121</v>
      </c>
      <c r="H1103" s="2" t="s">
        <v>74</v>
      </c>
      <c r="I1103" s="2">
        <v>8</v>
      </c>
      <c r="J1103" s="2" t="s">
        <v>22</v>
      </c>
      <c r="K1103" s="2" t="s">
        <v>3021</v>
      </c>
      <c r="L1103" s="2" t="s">
        <v>24</v>
      </c>
      <c r="M1103" s="2">
        <v>4</v>
      </c>
      <c r="N1103" s="2" t="s">
        <v>58</v>
      </c>
    </row>
    <row r="1104" spans="1:14" x14ac:dyDescent="0.25">
      <c r="A1104" s="2" t="s">
        <v>3022</v>
      </c>
      <c r="B1104" s="2" t="s">
        <v>3023</v>
      </c>
      <c r="C1104" s="2" t="s">
        <v>67</v>
      </c>
      <c r="D1104" s="2" t="s">
        <v>95</v>
      </c>
      <c r="E1104" s="2" t="s">
        <v>148</v>
      </c>
      <c r="F1104" s="2" t="s">
        <v>96</v>
      </c>
      <c r="G1104" s="2" t="s">
        <v>139</v>
      </c>
      <c r="H1104" s="2" t="s">
        <v>21</v>
      </c>
      <c r="I1104" s="2">
        <v>24</v>
      </c>
      <c r="J1104" s="2" t="s">
        <v>117</v>
      </c>
      <c r="K1104" s="2"/>
      <c r="L1104" s="2" t="s">
        <v>24</v>
      </c>
      <c r="M1104" s="2"/>
      <c r="N1104" s="2" t="s">
        <v>64</v>
      </c>
    </row>
    <row r="1105" spans="1:14" x14ac:dyDescent="0.25">
      <c r="A1105" s="2" t="s">
        <v>3024</v>
      </c>
      <c r="B1105" s="2" t="s">
        <v>3025</v>
      </c>
      <c r="C1105" s="2" t="s">
        <v>16</v>
      </c>
      <c r="D1105" s="2" t="s">
        <v>84</v>
      </c>
      <c r="E1105" s="2" t="s">
        <v>85</v>
      </c>
      <c r="F1105" s="2" t="s">
        <v>39</v>
      </c>
      <c r="G1105" s="2" t="s">
        <v>179</v>
      </c>
      <c r="H1105" s="2" t="s">
        <v>32</v>
      </c>
      <c r="I1105" s="2">
        <v>48</v>
      </c>
      <c r="J1105" s="2" t="s">
        <v>22</v>
      </c>
      <c r="K1105" s="2" t="s">
        <v>3026</v>
      </c>
      <c r="L1105" s="2" t="s">
        <v>24</v>
      </c>
      <c r="M1105" s="2">
        <v>3</v>
      </c>
      <c r="N1105" s="2" t="s">
        <v>34</v>
      </c>
    </row>
    <row r="1106" spans="1:14" x14ac:dyDescent="0.25">
      <c r="A1106" s="2" t="s">
        <v>3027</v>
      </c>
      <c r="B1106" s="2" t="s">
        <v>3028</v>
      </c>
      <c r="C1106" s="2" t="s">
        <v>28</v>
      </c>
      <c r="D1106" s="2" t="s">
        <v>100</v>
      </c>
      <c r="E1106" s="2" t="s">
        <v>38</v>
      </c>
      <c r="F1106" s="2" t="s">
        <v>69</v>
      </c>
      <c r="G1106" s="2" t="s">
        <v>97</v>
      </c>
      <c r="H1106" s="2" t="s">
        <v>32</v>
      </c>
      <c r="I1106" s="2">
        <v>48</v>
      </c>
      <c r="J1106" s="2" t="s">
        <v>200</v>
      </c>
      <c r="K1106" s="2"/>
      <c r="L1106" s="2" t="s">
        <v>92</v>
      </c>
      <c r="M1106" s="2"/>
      <c r="N1106" s="2" t="s">
        <v>34</v>
      </c>
    </row>
    <row r="1107" spans="1:14" x14ac:dyDescent="0.25">
      <c r="A1107" s="2" t="s">
        <v>3029</v>
      </c>
      <c r="B1107" s="2" t="s">
        <v>3030</v>
      </c>
      <c r="C1107" s="2" t="s">
        <v>28</v>
      </c>
      <c r="D1107" s="2" t="s">
        <v>37</v>
      </c>
      <c r="E1107" s="2" t="s">
        <v>38</v>
      </c>
      <c r="F1107" s="2" t="s">
        <v>62</v>
      </c>
      <c r="G1107" s="2" t="s">
        <v>97</v>
      </c>
      <c r="H1107" s="2" t="s">
        <v>74</v>
      </c>
      <c r="I1107" s="2">
        <v>8</v>
      </c>
      <c r="J1107" s="2" t="s">
        <v>41</v>
      </c>
      <c r="K1107" s="2" t="s">
        <v>3031</v>
      </c>
      <c r="L1107" s="2" t="s">
        <v>24</v>
      </c>
      <c r="M1107" s="2">
        <v>4</v>
      </c>
      <c r="N1107" s="2" t="s">
        <v>118</v>
      </c>
    </row>
    <row r="1108" spans="1:14" x14ac:dyDescent="0.25">
      <c r="A1108" s="2" t="s">
        <v>3032</v>
      </c>
      <c r="B1108" s="2" t="s">
        <v>3033</v>
      </c>
      <c r="C1108" s="2" t="s">
        <v>28</v>
      </c>
      <c r="D1108" s="2" t="s">
        <v>29</v>
      </c>
      <c r="E1108" s="2" t="s">
        <v>90</v>
      </c>
      <c r="F1108" s="2" t="s">
        <v>47</v>
      </c>
      <c r="G1108" s="2" t="s">
        <v>91</v>
      </c>
      <c r="H1108" s="2" t="s">
        <v>32</v>
      </c>
      <c r="I1108" s="2">
        <v>48</v>
      </c>
      <c r="J1108" s="2" t="s">
        <v>155</v>
      </c>
      <c r="K1108" s="2"/>
      <c r="L1108" s="2" t="s">
        <v>24</v>
      </c>
      <c r="M1108" s="2"/>
      <c r="N1108" s="2" t="s">
        <v>118</v>
      </c>
    </row>
    <row r="1109" spans="1:14" x14ac:dyDescent="0.25">
      <c r="A1109" s="2" t="s">
        <v>3034</v>
      </c>
      <c r="B1109" s="2" t="s">
        <v>3035</v>
      </c>
      <c r="C1109" s="2" t="s">
        <v>28</v>
      </c>
      <c r="D1109" s="2" t="s">
        <v>37</v>
      </c>
      <c r="E1109" s="2" t="s">
        <v>38</v>
      </c>
      <c r="F1109" s="2" t="s">
        <v>131</v>
      </c>
      <c r="G1109" s="2" t="s">
        <v>121</v>
      </c>
      <c r="H1109" s="2" t="s">
        <v>21</v>
      </c>
      <c r="I1109" s="2">
        <v>24</v>
      </c>
      <c r="J1109" s="2" t="s">
        <v>75</v>
      </c>
      <c r="K1109" s="2" t="s">
        <v>3036</v>
      </c>
      <c r="L1109" s="2" t="s">
        <v>92</v>
      </c>
      <c r="M1109" s="2"/>
      <c r="N1109" s="2" t="s">
        <v>128</v>
      </c>
    </row>
    <row r="1110" spans="1:14" x14ac:dyDescent="0.25">
      <c r="A1110" s="2" t="s">
        <v>3037</v>
      </c>
      <c r="B1110" s="2" t="s">
        <v>3038</v>
      </c>
      <c r="C1110" s="2" t="s">
        <v>28</v>
      </c>
      <c r="D1110" s="2" t="s">
        <v>100</v>
      </c>
      <c r="E1110" s="2" t="s">
        <v>148</v>
      </c>
      <c r="F1110" s="2" t="s">
        <v>125</v>
      </c>
      <c r="G1110" s="2" t="s">
        <v>31</v>
      </c>
      <c r="H1110" s="2" t="s">
        <v>32</v>
      </c>
      <c r="I1110" s="2">
        <v>48</v>
      </c>
      <c r="J1110" s="2" t="s">
        <v>22</v>
      </c>
      <c r="K1110" s="2" t="s">
        <v>3039</v>
      </c>
      <c r="L1110" s="2" t="s">
        <v>24</v>
      </c>
      <c r="M1110" s="2">
        <v>5</v>
      </c>
      <c r="N1110" s="2" t="s">
        <v>64</v>
      </c>
    </row>
    <row r="1111" spans="1:14" x14ac:dyDescent="0.25">
      <c r="A1111" s="2" t="s">
        <v>3040</v>
      </c>
      <c r="B1111" s="2" t="s">
        <v>3041</v>
      </c>
      <c r="C1111" s="2" t="s">
        <v>28</v>
      </c>
      <c r="D1111" s="2" t="s">
        <v>100</v>
      </c>
      <c r="E1111" s="2" t="s">
        <v>148</v>
      </c>
      <c r="F1111" s="2" t="s">
        <v>30</v>
      </c>
      <c r="G1111" s="2" t="s">
        <v>144</v>
      </c>
      <c r="H1111" s="2" t="s">
        <v>32</v>
      </c>
      <c r="I1111" s="2">
        <v>48</v>
      </c>
      <c r="J1111" s="2" t="s">
        <v>11</v>
      </c>
      <c r="K1111" s="2"/>
      <c r="L1111" s="2" t="s">
        <v>92</v>
      </c>
      <c r="M1111" s="2"/>
      <c r="N1111" s="2" t="s">
        <v>34</v>
      </c>
    </row>
    <row r="1112" spans="1:14" x14ac:dyDescent="0.25">
      <c r="A1112" s="2" t="s">
        <v>3042</v>
      </c>
      <c r="B1112" s="2" t="s">
        <v>3043</v>
      </c>
      <c r="C1112" s="2" t="s">
        <v>28</v>
      </c>
      <c r="D1112" s="2" t="s">
        <v>37</v>
      </c>
      <c r="E1112" s="2" t="s">
        <v>79</v>
      </c>
      <c r="F1112" s="2" t="s">
        <v>143</v>
      </c>
      <c r="G1112" s="2" t="s">
        <v>70</v>
      </c>
      <c r="H1112" s="2" t="s">
        <v>21</v>
      </c>
      <c r="I1112" s="2">
        <v>24</v>
      </c>
      <c r="J1112" s="2" t="s">
        <v>48</v>
      </c>
      <c r="K1112" s="2" t="s">
        <v>3044</v>
      </c>
      <c r="L1112" s="2" t="s">
        <v>24</v>
      </c>
      <c r="M1112" s="2"/>
      <c r="N1112" s="2" t="s">
        <v>128</v>
      </c>
    </row>
    <row r="1113" spans="1:14" x14ac:dyDescent="0.25">
      <c r="A1113" s="2" t="s">
        <v>3045</v>
      </c>
      <c r="B1113" s="2" t="s">
        <v>3046</v>
      </c>
      <c r="C1113" s="2" t="s">
        <v>28</v>
      </c>
      <c r="D1113" s="2" t="s">
        <v>100</v>
      </c>
      <c r="E1113" s="2" t="s">
        <v>85</v>
      </c>
      <c r="F1113" s="2" t="s">
        <v>113</v>
      </c>
      <c r="G1113" s="2" t="s">
        <v>70</v>
      </c>
      <c r="H1113" s="2" t="s">
        <v>21</v>
      </c>
      <c r="I1113" s="2">
        <v>24</v>
      </c>
      <c r="J1113" s="2" t="s">
        <v>48</v>
      </c>
      <c r="K1113" s="2"/>
      <c r="L1113" s="2" t="s">
        <v>24</v>
      </c>
      <c r="M1113" s="2">
        <v>4</v>
      </c>
      <c r="N1113" s="2" t="s">
        <v>50</v>
      </c>
    </row>
    <row r="1114" spans="1:14" x14ac:dyDescent="0.25">
      <c r="A1114" s="2" t="s">
        <v>3047</v>
      </c>
      <c r="B1114" s="2" t="s">
        <v>3048</v>
      </c>
      <c r="C1114" s="2" t="s">
        <v>16</v>
      </c>
      <c r="D1114" s="2" t="s">
        <v>17</v>
      </c>
      <c r="E1114" s="2" t="s">
        <v>18</v>
      </c>
      <c r="F1114" s="2" t="s">
        <v>19</v>
      </c>
      <c r="G1114" s="2" t="s">
        <v>158</v>
      </c>
      <c r="H1114" s="2" t="s">
        <v>21</v>
      </c>
      <c r="I1114" s="2">
        <v>24</v>
      </c>
      <c r="J1114" s="2" t="s">
        <v>41</v>
      </c>
      <c r="K1114" s="2" t="s">
        <v>3049</v>
      </c>
      <c r="L1114" s="2" t="s">
        <v>24</v>
      </c>
      <c r="M1114" s="2"/>
      <c r="N1114" s="2" t="s">
        <v>43</v>
      </c>
    </row>
    <row r="1115" spans="1:14" x14ac:dyDescent="0.25">
      <c r="A1115" s="2" t="s">
        <v>3050</v>
      </c>
      <c r="B1115" s="2" t="s">
        <v>3051</v>
      </c>
      <c r="C1115" s="2" t="s">
        <v>16</v>
      </c>
      <c r="D1115" s="2" t="s">
        <v>17</v>
      </c>
      <c r="E1115" s="2" t="s">
        <v>79</v>
      </c>
      <c r="F1115" s="2" t="s">
        <v>69</v>
      </c>
      <c r="G1115" s="2" t="s">
        <v>97</v>
      </c>
      <c r="H1115" s="2" t="s">
        <v>74</v>
      </c>
      <c r="I1115" s="2">
        <v>8</v>
      </c>
      <c r="J1115" s="2" t="s">
        <v>287</v>
      </c>
      <c r="K1115" s="2"/>
      <c r="L1115" s="2" t="s">
        <v>92</v>
      </c>
      <c r="M1115" s="2"/>
      <c r="N1115" s="2" t="s">
        <v>50</v>
      </c>
    </row>
    <row r="1116" spans="1:14" x14ac:dyDescent="0.25">
      <c r="A1116" s="2" t="s">
        <v>3052</v>
      </c>
      <c r="B1116" s="2" t="s">
        <v>3053</v>
      </c>
      <c r="C1116" s="2" t="s">
        <v>28</v>
      </c>
      <c r="D1116" s="2" t="s">
        <v>100</v>
      </c>
      <c r="E1116" s="2" t="s">
        <v>38</v>
      </c>
      <c r="F1116" s="2" t="s">
        <v>125</v>
      </c>
      <c r="G1116" s="2" t="s">
        <v>105</v>
      </c>
      <c r="H1116" s="2" t="s">
        <v>80</v>
      </c>
      <c r="I1116" s="2">
        <v>4</v>
      </c>
      <c r="J1116" s="2" t="s">
        <v>41</v>
      </c>
      <c r="K1116" s="2" t="s">
        <v>3054</v>
      </c>
      <c r="L1116" s="2" t="s">
        <v>24</v>
      </c>
      <c r="M1116" s="2"/>
      <c r="N1116" s="2" t="s">
        <v>128</v>
      </c>
    </row>
    <row r="1117" spans="1:14" x14ac:dyDescent="0.25">
      <c r="A1117" s="2" t="s">
        <v>3055</v>
      </c>
      <c r="B1117" s="2" t="s">
        <v>3056</v>
      </c>
      <c r="C1117" s="2" t="s">
        <v>67</v>
      </c>
      <c r="D1117" s="2" t="s">
        <v>601</v>
      </c>
      <c r="E1117" s="2" t="s">
        <v>18</v>
      </c>
      <c r="F1117" s="2" t="s">
        <v>69</v>
      </c>
      <c r="G1117" s="2" t="s">
        <v>40</v>
      </c>
      <c r="H1117" s="2" t="s">
        <v>21</v>
      </c>
      <c r="I1117" s="2">
        <v>24</v>
      </c>
      <c r="J1117" s="2" t="s">
        <v>106</v>
      </c>
      <c r="K1117" s="2" t="s">
        <v>3057</v>
      </c>
      <c r="L1117" s="2" t="s">
        <v>24</v>
      </c>
      <c r="M1117" s="2"/>
      <c r="N1117" s="2" t="s">
        <v>64</v>
      </c>
    </row>
    <row r="1118" spans="1:14" x14ac:dyDescent="0.25">
      <c r="A1118" s="2" t="s">
        <v>3058</v>
      </c>
      <c r="B1118" s="2" t="s">
        <v>3059</v>
      </c>
      <c r="C1118" s="2" t="s">
        <v>53</v>
      </c>
      <c r="D1118" s="2" t="s">
        <v>54</v>
      </c>
      <c r="E1118" s="2" t="s">
        <v>38</v>
      </c>
      <c r="F1118" s="2" t="s">
        <v>55</v>
      </c>
      <c r="G1118" s="2" t="s">
        <v>91</v>
      </c>
      <c r="H1118" s="2" t="s">
        <v>21</v>
      </c>
      <c r="I1118" s="2">
        <v>24</v>
      </c>
      <c r="J1118" s="2" t="s">
        <v>200</v>
      </c>
      <c r="K1118" s="2"/>
      <c r="L1118" s="2" t="s">
        <v>92</v>
      </c>
      <c r="M1118" s="2"/>
      <c r="N1118" s="2" t="s">
        <v>118</v>
      </c>
    </row>
    <row r="1119" spans="1:14" x14ac:dyDescent="0.25">
      <c r="A1119" s="2" t="s">
        <v>3060</v>
      </c>
      <c r="B1119" s="2" t="s">
        <v>3061</v>
      </c>
      <c r="C1119" s="2" t="s">
        <v>67</v>
      </c>
      <c r="D1119" s="2" t="s">
        <v>95</v>
      </c>
      <c r="E1119" s="2" t="s">
        <v>46</v>
      </c>
      <c r="F1119" s="2" t="s">
        <v>39</v>
      </c>
      <c r="G1119" s="2" t="s">
        <v>31</v>
      </c>
      <c r="H1119" s="2" t="s">
        <v>21</v>
      </c>
      <c r="I1119" s="2">
        <v>24</v>
      </c>
      <c r="J1119" s="2" t="s">
        <v>106</v>
      </c>
      <c r="K1119" s="2" t="s">
        <v>3062</v>
      </c>
      <c r="L1119" s="2" t="s">
        <v>24</v>
      </c>
      <c r="M1119" s="2"/>
      <c r="N1119" s="2" t="s">
        <v>43</v>
      </c>
    </row>
    <row r="1120" spans="1:14" x14ac:dyDescent="0.25">
      <c r="A1120" s="2" t="s">
        <v>3063</v>
      </c>
      <c r="B1120" s="2" t="s">
        <v>3064</v>
      </c>
      <c r="C1120" s="2" t="s">
        <v>16</v>
      </c>
      <c r="D1120" s="2" t="s">
        <v>17</v>
      </c>
      <c r="E1120" s="2" t="s">
        <v>18</v>
      </c>
      <c r="F1120" s="2" t="s">
        <v>62</v>
      </c>
      <c r="G1120" s="2" t="s">
        <v>70</v>
      </c>
      <c r="H1120" s="2" t="s">
        <v>32</v>
      </c>
      <c r="I1120" s="2">
        <v>48</v>
      </c>
      <c r="J1120" s="2" t="s">
        <v>106</v>
      </c>
      <c r="K1120" s="2" t="s">
        <v>3065</v>
      </c>
      <c r="L1120" s="2" t="s">
        <v>24</v>
      </c>
      <c r="M1120" s="2">
        <v>5</v>
      </c>
      <c r="N1120" s="2" t="s">
        <v>64</v>
      </c>
    </row>
    <row r="1121" spans="1:14" x14ac:dyDescent="0.25">
      <c r="A1121" s="2" t="s">
        <v>3066</v>
      </c>
      <c r="B1121" s="2" t="s">
        <v>3067</v>
      </c>
      <c r="C1121" s="2" t="s">
        <v>16</v>
      </c>
      <c r="D1121" s="2" t="s">
        <v>84</v>
      </c>
      <c r="E1121" s="2" t="s">
        <v>46</v>
      </c>
      <c r="F1121" s="2" t="s">
        <v>30</v>
      </c>
      <c r="G1121" s="2" t="s">
        <v>211</v>
      </c>
      <c r="H1121" s="2" t="s">
        <v>21</v>
      </c>
      <c r="I1121" s="2">
        <v>24</v>
      </c>
      <c r="J1121" s="2" t="s">
        <v>117</v>
      </c>
      <c r="K1121" s="2"/>
      <c r="L1121" s="2" t="s">
        <v>24</v>
      </c>
      <c r="M1121" s="2"/>
      <c r="N1121" s="2" t="s">
        <v>50</v>
      </c>
    </row>
    <row r="1122" spans="1:14" x14ac:dyDescent="0.25">
      <c r="A1122" s="2" t="s">
        <v>3068</v>
      </c>
      <c r="B1122" s="2" t="s">
        <v>3069</v>
      </c>
      <c r="C1122" s="2" t="s">
        <v>16</v>
      </c>
      <c r="D1122" s="2" t="s">
        <v>17</v>
      </c>
      <c r="E1122" s="2" t="s">
        <v>85</v>
      </c>
      <c r="F1122" s="2" t="s">
        <v>39</v>
      </c>
      <c r="G1122" s="2" t="s">
        <v>144</v>
      </c>
      <c r="H1122" s="2" t="s">
        <v>21</v>
      </c>
      <c r="I1122" s="2">
        <v>24</v>
      </c>
      <c r="J1122" s="2" t="s">
        <v>22</v>
      </c>
      <c r="K1122" s="2" t="s">
        <v>3070</v>
      </c>
      <c r="L1122" s="2" t="s">
        <v>24</v>
      </c>
      <c r="M1122" s="2">
        <v>2</v>
      </c>
      <c r="N1122" s="2"/>
    </row>
    <row r="1123" spans="1:14" x14ac:dyDescent="0.25">
      <c r="A1123" s="2" t="s">
        <v>3071</v>
      </c>
      <c r="B1123" s="2" t="s">
        <v>3072</v>
      </c>
      <c r="C1123" s="2" t="s">
        <v>53</v>
      </c>
      <c r="D1123" s="2" t="s">
        <v>61</v>
      </c>
      <c r="E1123" s="2" t="s">
        <v>38</v>
      </c>
      <c r="F1123" s="2" t="s">
        <v>131</v>
      </c>
      <c r="G1123" s="2" t="s">
        <v>126</v>
      </c>
      <c r="H1123" s="2" t="s">
        <v>74</v>
      </c>
      <c r="I1123" s="2">
        <v>8</v>
      </c>
      <c r="J1123" s="2" t="s">
        <v>11</v>
      </c>
      <c r="K1123" s="2"/>
      <c r="L1123" s="2" t="s">
        <v>92</v>
      </c>
      <c r="M1123" s="2"/>
      <c r="N1123" s="2" t="s">
        <v>118</v>
      </c>
    </row>
    <row r="1124" spans="1:14" x14ac:dyDescent="0.25">
      <c r="A1124" s="2" t="s">
        <v>3073</v>
      </c>
      <c r="B1124" s="2" t="s">
        <v>3074</v>
      </c>
      <c r="C1124" s="2" t="s">
        <v>53</v>
      </c>
      <c r="D1124" s="2" t="s">
        <v>54</v>
      </c>
      <c r="E1124" s="2" t="s">
        <v>18</v>
      </c>
      <c r="F1124" s="2" t="s">
        <v>125</v>
      </c>
      <c r="G1124" s="2" t="s">
        <v>144</v>
      </c>
      <c r="H1124" s="2" t="s">
        <v>21</v>
      </c>
      <c r="I1124" s="2">
        <v>24</v>
      </c>
      <c r="J1124" s="2" t="s">
        <v>41</v>
      </c>
      <c r="K1124" s="2" t="s">
        <v>3075</v>
      </c>
      <c r="L1124" s="2" t="s">
        <v>24</v>
      </c>
      <c r="M1124" s="2"/>
      <c r="N1124" s="2" t="s">
        <v>50</v>
      </c>
    </row>
    <row r="1125" spans="1:14" x14ac:dyDescent="0.25">
      <c r="A1125" s="2" t="s">
        <v>3076</v>
      </c>
      <c r="B1125" s="2" t="s">
        <v>3077</v>
      </c>
      <c r="C1125" s="2" t="s">
        <v>67</v>
      </c>
      <c r="D1125" s="2" t="s">
        <v>68</v>
      </c>
      <c r="E1125" s="2" t="s">
        <v>46</v>
      </c>
      <c r="F1125" s="2" t="s">
        <v>62</v>
      </c>
      <c r="G1125" s="2" t="s">
        <v>139</v>
      </c>
      <c r="H1125" s="2" t="s">
        <v>74</v>
      </c>
      <c r="I1125" s="2">
        <v>8</v>
      </c>
      <c r="J1125" s="2" t="s">
        <v>22</v>
      </c>
      <c r="K1125" s="2" t="s">
        <v>2418</v>
      </c>
      <c r="L1125" s="2" t="s">
        <v>24</v>
      </c>
      <c r="M1125" s="2">
        <v>5</v>
      </c>
      <c r="N1125" s="2"/>
    </row>
    <row r="1126" spans="1:14" x14ac:dyDescent="0.25">
      <c r="A1126" s="2" t="s">
        <v>3078</v>
      </c>
      <c r="B1126" s="2" t="s">
        <v>3079</v>
      </c>
      <c r="C1126" s="2" t="s">
        <v>67</v>
      </c>
      <c r="D1126" s="2" t="s">
        <v>95</v>
      </c>
      <c r="E1126" s="2" t="s">
        <v>46</v>
      </c>
      <c r="F1126" s="2" t="s">
        <v>143</v>
      </c>
      <c r="G1126" s="2" t="s">
        <v>183</v>
      </c>
      <c r="H1126" s="2" t="s">
        <v>32</v>
      </c>
      <c r="I1126" s="2">
        <v>48</v>
      </c>
      <c r="J1126" s="2" t="s">
        <v>75</v>
      </c>
      <c r="K1126" s="2" t="s">
        <v>3080</v>
      </c>
      <c r="L1126" s="2" t="s">
        <v>24</v>
      </c>
      <c r="M1126" s="2"/>
      <c r="N1126" s="2" t="s">
        <v>64</v>
      </c>
    </row>
    <row r="1127" spans="1:14" x14ac:dyDescent="0.25">
      <c r="A1127" s="2" t="s">
        <v>3081</v>
      </c>
      <c r="B1127" s="2" t="s">
        <v>3082</v>
      </c>
      <c r="C1127" s="2" t="s">
        <v>28</v>
      </c>
      <c r="D1127" s="2" t="s">
        <v>29</v>
      </c>
      <c r="E1127" s="2" t="s">
        <v>85</v>
      </c>
      <c r="F1127" s="2" t="s">
        <v>62</v>
      </c>
      <c r="G1127" s="2" t="s">
        <v>31</v>
      </c>
      <c r="H1127" s="2" t="s">
        <v>32</v>
      </c>
      <c r="I1127" s="2">
        <v>48</v>
      </c>
      <c r="J1127" s="2" t="s">
        <v>41</v>
      </c>
      <c r="K1127" s="2" t="s">
        <v>3083</v>
      </c>
      <c r="L1127" s="2" t="s">
        <v>24</v>
      </c>
      <c r="M1127" s="2">
        <v>5</v>
      </c>
      <c r="N1127" s="2" t="s">
        <v>64</v>
      </c>
    </row>
    <row r="1128" spans="1:14" x14ac:dyDescent="0.25">
      <c r="A1128" s="2" t="s">
        <v>3084</v>
      </c>
      <c r="B1128" s="2" t="s">
        <v>3085</v>
      </c>
      <c r="C1128" s="2" t="s">
        <v>67</v>
      </c>
      <c r="D1128" s="2" t="s">
        <v>95</v>
      </c>
      <c r="E1128" s="2" t="s">
        <v>85</v>
      </c>
      <c r="F1128" s="2" t="s">
        <v>19</v>
      </c>
      <c r="G1128" s="2" t="s">
        <v>121</v>
      </c>
      <c r="H1128" s="2" t="s">
        <v>21</v>
      </c>
      <c r="I1128" s="2">
        <v>24</v>
      </c>
      <c r="J1128" s="2" t="s">
        <v>106</v>
      </c>
      <c r="K1128" s="2" t="s">
        <v>3086</v>
      </c>
      <c r="L1128" s="2" t="s">
        <v>24</v>
      </c>
      <c r="M1128" s="2">
        <v>2</v>
      </c>
      <c r="N1128" s="2" t="s">
        <v>25</v>
      </c>
    </row>
    <row r="1129" spans="1:14" x14ac:dyDescent="0.25">
      <c r="A1129" s="2" t="s">
        <v>3087</v>
      </c>
      <c r="B1129" s="2" t="s">
        <v>3088</v>
      </c>
      <c r="C1129" s="2" t="s">
        <v>67</v>
      </c>
      <c r="D1129" s="2" t="s">
        <v>95</v>
      </c>
      <c r="E1129" s="2" t="s">
        <v>18</v>
      </c>
      <c r="F1129" s="2" t="s">
        <v>96</v>
      </c>
      <c r="G1129" s="2" t="s">
        <v>110</v>
      </c>
      <c r="H1129" s="2" t="s">
        <v>21</v>
      </c>
      <c r="I1129" s="2">
        <v>24</v>
      </c>
      <c r="J1129" s="2" t="s">
        <v>187</v>
      </c>
      <c r="K1129" s="2" t="s">
        <v>3089</v>
      </c>
      <c r="L1129" s="2" t="s">
        <v>92</v>
      </c>
      <c r="M1129" s="2"/>
      <c r="N1129" s="2" t="s">
        <v>25</v>
      </c>
    </row>
    <row r="1130" spans="1:14" x14ac:dyDescent="0.25">
      <c r="A1130" s="2" t="s">
        <v>3090</v>
      </c>
      <c r="B1130" s="2" t="s">
        <v>3091</v>
      </c>
      <c r="C1130" s="2" t="s">
        <v>28</v>
      </c>
      <c r="D1130" s="2" t="s">
        <v>29</v>
      </c>
      <c r="E1130" s="2" t="s">
        <v>18</v>
      </c>
      <c r="F1130" s="2" t="s">
        <v>30</v>
      </c>
      <c r="G1130" s="2" t="s">
        <v>91</v>
      </c>
      <c r="H1130" s="2" t="s">
        <v>21</v>
      </c>
      <c r="I1130" s="2">
        <v>24</v>
      </c>
      <c r="J1130" s="2" t="s">
        <v>232</v>
      </c>
      <c r="K1130" s="2"/>
      <c r="L1130" s="2" t="s">
        <v>92</v>
      </c>
      <c r="M1130" s="2"/>
      <c r="N1130" s="2" t="s">
        <v>43</v>
      </c>
    </row>
    <row r="1131" spans="1:14" x14ac:dyDescent="0.25">
      <c r="A1131" s="2" t="s">
        <v>3092</v>
      </c>
      <c r="B1131" s="2" t="s">
        <v>3093</v>
      </c>
      <c r="C1131" s="2" t="s">
        <v>53</v>
      </c>
      <c r="D1131" s="2" t="s">
        <v>54</v>
      </c>
      <c r="E1131" s="2" t="s">
        <v>38</v>
      </c>
      <c r="F1131" s="2" t="s">
        <v>96</v>
      </c>
      <c r="G1131" s="2" t="s">
        <v>158</v>
      </c>
      <c r="H1131" s="2" t="s">
        <v>74</v>
      </c>
      <c r="I1131" s="2">
        <v>8</v>
      </c>
      <c r="J1131" s="2" t="s">
        <v>22</v>
      </c>
      <c r="K1131" s="2" t="s">
        <v>3094</v>
      </c>
      <c r="L1131" s="2" t="s">
        <v>24</v>
      </c>
      <c r="M1131" s="2"/>
      <c r="N1131" s="2" t="s">
        <v>34</v>
      </c>
    </row>
    <row r="1132" spans="1:14" x14ac:dyDescent="0.25">
      <c r="A1132" s="2" t="s">
        <v>3095</v>
      </c>
      <c r="B1132" s="2" t="s">
        <v>3096</v>
      </c>
      <c r="C1132" s="2" t="s">
        <v>53</v>
      </c>
      <c r="D1132" s="2" t="s">
        <v>61</v>
      </c>
      <c r="E1132" s="2" t="s">
        <v>46</v>
      </c>
      <c r="F1132" s="2" t="s">
        <v>39</v>
      </c>
      <c r="G1132" s="2" t="s">
        <v>101</v>
      </c>
      <c r="H1132" s="2" t="s">
        <v>21</v>
      </c>
      <c r="I1132" s="2">
        <v>24</v>
      </c>
      <c r="J1132" s="2" t="s">
        <v>22</v>
      </c>
      <c r="K1132" s="2" t="s">
        <v>3097</v>
      </c>
      <c r="L1132" s="2" t="s">
        <v>24</v>
      </c>
      <c r="M1132" s="2"/>
      <c r="N1132" s="2" t="s">
        <v>64</v>
      </c>
    </row>
    <row r="1133" spans="1:14" x14ac:dyDescent="0.25">
      <c r="A1133" s="2" t="s">
        <v>3098</v>
      </c>
      <c r="B1133" s="2" t="s">
        <v>3099</v>
      </c>
      <c r="C1133" s="2" t="s">
        <v>53</v>
      </c>
      <c r="D1133" s="2" t="s">
        <v>54</v>
      </c>
      <c r="E1133" s="2" t="s">
        <v>90</v>
      </c>
      <c r="F1133" s="2" t="s">
        <v>96</v>
      </c>
      <c r="G1133" s="2" t="s">
        <v>126</v>
      </c>
      <c r="H1133" s="2" t="s">
        <v>74</v>
      </c>
      <c r="I1133" s="2">
        <v>8</v>
      </c>
      <c r="J1133" s="2" t="s">
        <v>48</v>
      </c>
      <c r="K1133" s="2" t="s">
        <v>3100</v>
      </c>
      <c r="L1133" s="2" t="s">
        <v>24</v>
      </c>
      <c r="M1133" s="2">
        <v>5</v>
      </c>
      <c r="N1133" s="2"/>
    </row>
    <row r="1134" spans="1:14" x14ac:dyDescent="0.25">
      <c r="A1134" s="2" t="s">
        <v>3101</v>
      </c>
      <c r="B1134" s="2" t="s">
        <v>3102</v>
      </c>
      <c r="C1134" s="2" t="s">
        <v>16</v>
      </c>
      <c r="D1134" s="2" t="s">
        <v>17</v>
      </c>
      <c r="E1134" s="2" t="s">
        <v>90</v>
      </c>
      <c r="F1134" s="2" t="s">
        <v>96</v>
      </c>
      <c r="G1134" s="2" t="s">
        <v>121</v>
      </c>
      <c r="H1134" s="2" t="s">
        <v>21</v>
      </c>
      <c r="I1134" s="2">
        <v>24</v>
      </c>
      <c r="J1134" s="2" t="s">
        <v>187</v>
      </c>
      <c r="K1134" s="2" t="s">
        <v>3103</v>
      </c>
      <c r="L1134" s="2" t="s">
        <v>24</v>
      </c>
      <c r="M1134" s="2"/>
      <c r="N1134" s="2" t="s">
        <v>50</v>
      </c>
    </row>
    <row r="1135" spans="1:14" x14ac:dyDescent="0.25">
      <c r="A1135" s="2" t="s">
        <v>3104</v>
      </c>
      <c r="B1135" s="2" t="s">
        <v>3105</v>
      </c>
      <c r="C1135" s="2" t="s">
        <v>67</v>
      </c>
      <c r="D1135" s="2" t="s">
        <v>68</v>
      </c>
      <c r="E1135" s="2" t="s">
        <v>38</v>
      </c>
      <c r="F1135" s="2" t="s">
        <v>55</v>
      </c>
      <c r="G1135" s="2" t="s">
        <v>144</v>
      </c>
      <c r="H1135" s="2" t="s">
        <v>21</v>
      </c>
      <c r="I1135" s="2">
        <v>24</v>
      </c>
      <c r="J1135" s="2" t="s">
        <v>187</v>
      </c>
      <c r="K1135" s="2" t="s">
        <v>3106</v>
      </c>
      <c r="L1135" s="2" t="s">
        <v>24</v>
      </c>
      <c r="M1135" s="2"/>
      <c r="N1135" s="2" t="s">
        <v>64</v>
      </c>
    </row>
    <row r="1136" spans="1:14" x14ac:dyDescent="0.25">
      <c r="A1136" s="2" t="s">
        <v>3107</v>
      </c>
      <c r="B1136" s="2" t="s">
        <v>3108</v>
      </c>
      <c r="C1136" s="2" t="s">
        <v>53</v>
      </c>
      <c r="D1136" s="2" t="s">
        <v>162</v>
      </c>
      <c r="E1136" s="2" t="s">
        <v>18</v>
      </c>
      <c r="F1136" s="2" t="s">
        <v>55</v>
      </c>
      <c r="G1136" s="2" t="s">
        <v>101</v>
      </c>
      <c r="H1136" s="2" t="s">
        <v>32</v>
      </c>
      <c r="I1136" s="2">
        <v>48</v>
      </c>
      <c r="J1136" s="2" t="s">
        <v>187</v>
      </c>
      <c r="K1136" s="2"/>
      <c r="L1136" s="2" t="s">
        <v>24</v>
      </c>
      <c r="M1136" s="2"/>
      <c r="N1136" s="2"/>
    </row>
    <row r="1137" spans="1:14" x14ac:dyDescent="0.25">
      <c r="A1137" s="2" t="s">
        <v>3109</v>
      </c>
      <c r="B1137" s="2" t="s">
        <v>3110</v>
      </c>
      <c r="C1137" s="2" t="s">
        <v>67</v>
      </c>
      <c r="D1137" s="2" t="s">
        <v>68</v>
      </c>
      <c r="E1137" s="2" t="s">
        <v>79</v>
      </c>
      <c r="F1137" s="2" t="s">
        <v>143</v>
      </c>
      <c r="G1137" s="2" t="s">
        <v>121</v>
      </c>
      <c r="H1137" s="2" t="s">
        <v>32</v>
      </c>
      <c r="I1137" s="2">
        <v>48</v>
      </c>
      <c r="J1137" s="2" t="s">
        <v>41</v>
      </c>
      <c r="K1137" s="2" t="s">
        <v>3111</v>
      </c>
      <c r="L1137" s="2" t="s">
        <v>24</v>
      </c>
      <c r="M1137" s="2"/>
      <c r="N1137" s="2" t="s">
        <v>34</v>
      </c>
    </row>
    <row r="1138" spans="1:14" x14ac:dyDescent="0.25">
      <c r="A1138" s="2" t="s">
        <v>3112</v>
      </c>
      <c r="B1138" s="2" t="s">
        <v>3113</v>
      </c>
      <c r="C1138" s="2" t="s">
        <v>53</v>
      </c>
      <c r="D1138" s="2" t="s">
        <v>61</v>
      </c>
      <c r="E1138" s="2" t="s">
        <v>85</v>
      </c>
      <c r="F1138" s="2" t="s">
        <v>143</v>
      </c>
      <c r="G1138" s="2" t="s">
        <v>139</v>
      </c>
      <c r="H1138" s="2" t="s">
        <v>74</v>
      </c>
      <c r="I1138" s="2">
        <v>8</v>
      </c>
      <c r="J1138" s="2" t="s">
        <v>145</v>
      </c>
      <c r="K1138" s="2"/>
      <c r="L1138" s="2" t="s">
        <v>24</v>
      </c>
      <c r="M1138" s="2"/>
      <c r="N1138" s="2" t="s">
        <v>34</v>
      </c>
    </row>
    <row r="1139" spans="1:14" x14ac:dyDescent="0.25">
      <c r="A1139" s="2" t="s">
        <v>3114</v>
      </c>
      <c r="B1139" s="2" t="s">
        <v>3115</v>
      </c>
      <c r="C1139" s="2" t="s">
        <v>67</v>
      </c>
      <c r="D1139" s="2" t="s">
        <v>68</v>
      </c>
      <c r="E1139" s="2" t="s">
        <v>18</v>
      </c>
      <c r="F1139" s="2" t="s">
        <v>96</v>
      </c>
      <c r="G1139" s="2" t="s">
        <v>91</v>
      </c>
      <c r="H1139" s="2" t="s">
        <v>21</v>
      </c>
      <c r="I1139" s="2">
        <v>24</v>
      </c>
      <c r="J1139" s="2" t="s">
        <v>11</v>
      </c>
      <c r="K1139" s="2"/>
      <c r="L1139" s="2" t="s">
        <v>92</v>
      </c>
      <c r="M1139" s="2"/>
      <c r="N1139" s="2" t="s">
        <v>43</v>
      </c>
    </row>
    <row r="1140" spans="1:14" x14ac:dyDescent="0.25">
      <c r="A1140" s="2" t="s">
        <v>3116</v>
      </c>
      <c r="B1140" s="2" t="s">
        <v>3117</v>
      </c>
      <c r="C1140" s="2" t="s">
        <v>53</v>
      </c>
      <c r="D1140" s="2" t="s">
        <v>54</v>
      </c>
      <c r="E1140" s="2" t="s">
        <v>90</v>
      </c>
      <c r="F1140" s="2" t="s">
        <v>143</v>
      </c>
      <c r="G1140" s="2" t="s">
        <v>121</v>
      </c>
      <c r="H1140" s="2" t="s">
        <v>74</v>
      </c>
      <c r="I1140" s="2">
        <v>8</v>
      </c>
      <c r="J1140" s="2" t="s">
        <v>145</v>
      </c>
      <c r="K1140" s="2"/>
      <c r="L1140" s="2" t="s">
        <v>24</v>
      </c>
      <c r="M1140" s="2"/>
      <c r="N1140" s="2" t="s">
        <v>118</v>
      </c>
    </row>
    <row r="1141" spans="1:14" x14ac:dyDescent="0.25">
      <c r="A1141" s="2" t="s">
        <v>3118</v>
      </c>
      <c r="B1141" s="2" t="s">
        <v>3119</v>
      </c>
      <c r="C1141" s="2" t="s">
        <v>67</v>
      </c>
      <c r="D1141" s="2" t="s">
        <v>95</v>
      </c>
      <c r="E1141" s="2" t="s">
        <v>18</v>
      </c>
      <c r="F1141" s="2" t="s">
        <v>131</v>
      </c>
      <c r="G1141" s="2" t="s">
        <v>135</v>
      </c>
      <c r="H1141" s="2" t="s">
        <v>80</v>
      </c>
      <c r="I1141" s="2">
        <v>4</v>
      </c>
      <c r="J1141" s="2" t="s">
        <v>106</v>
      </c>
      <c r="K1141" s="2" t="s">
        <v>3120</v>
      </c>
      <c r="L1141" s="2" t="s">
        <v>24</v>
      </c>
      <c r="M1141" s="2"/>
      <c r="N1141" s="2" t="s">
        <v>34</v>
      </c>
    </row>
    <row r="1142" spans="1:14" x14ac:dyDescent="0.25">
      <c r="A1142" s="2" t="s">
        <v>3121</v>
      </c>
      <c r="B1142" s="2" t="s">
        <v>3122</v>
      </c>
      <c r="C1142" s="2" t="s">
        <v>28</v>
      </c>
      <c r="D1142" s="2" t="s">
        <v>100</v>
      </c>
      <c r="E1142" s="2" t="s">
        <v>90</v>
      </c>
      <c r="F1142" s="2" t="s">
        <v>69</v>
      </c>
      <c r="G1142" s="2" t="s">
        <v>31</v>
      </c>
      <c r="H1142" s="2" t="s">
        <v>32</v>
      </c>
      <c r="I1142" s="2">
        <v>48</v>
      </c>
      <c r="J1142" s="2" t="s">
        <v>187</v>
      </c>
      <c r="K1142" s="2" t="s">
        <v>3123</v>
      </c>
      <c r="L1142" s="2" t="s">
        <v>24</v>
      </c>
      <c r="M1142" s="2"/>
      <c r="N1142" s="2" t="s">
        <v>25</v>
      </c>
    </row>
    <row r="1143" spans="1:14" x14ac:dyDescent="0.25">
      <c r="A1143" s="2" t="s">
        <v>3124</v>
      </c>
      <c r="B1143" s="2" t="s">
        <v>3125</v>
      </c>
      <c r="C1143" s="2" t="s">
        <v>28</v>
      </c>
      <c r="D1143" s="2" t="s">
        <v>37</v>
      </c>
      <c r="E1143" s="2" t="s">
        <v>85</v>
      </c>
      <c r="F1143" s="2" t="s">
        <v>143</v>
      </c>
      <c r="G1143" s="2" t="s">
        <v>20</v>
      </c>
      <c r="H1143" s="2" t="s">
        <v>21</v>
      </c>
      <c r="I1143" s="2">
        <v>24</v>
      </c>
      <c r="J1143" s="2" t="s">
        <v>22</v>
      </c>
      <c r="K1143" s="2" t="s">
        <v>3126</v>
      </c>
      <c r="L1143" s="2" t="s">
        <v>24</v>
      </c>
      <c r="M1143" s="2">
        <v>5</v>
      </c>
      <c r="N1143" s="2" t="s">
        <v>43</v>
      </c>
    </row>
    <row r="1144" spans="1:14" x14ac:dyDescent="0.25">
      <c r="A1144" s="2" t="s">
        <v>3127</v>
      </c>
      <c r="B1144" s="2" t="s">
        <v>3128</v>
      </c>
      <c r="C1144" s="2" t="s">
        <v>67</v>
      </c>
      <c r="D1144" s="2" t="s">
        <v>68</v>
      </c>
      <c r="E1144" s="2" t="s">
        <v>38</v>
      </c>
      <c r="F1144" s="2" t="s">
        <v>131</v>
      </c>
      <c r="G1144" s="2" t="s">
        <v>211</v>
      </c>
      <c r="H1144" s="2" t="s">
        <v>32</v>
      </c>
      <c r="I1144" s="2">
        <v>48</v>
      </c>
      <c r="J1144" s="2" t="s">
        <v>11</v>
      </c>
      <c r="K1144" s="2"/>
      <c r="L1144" s="2" t="s">
        <v>92</v>
      </c>
      <c r="M1144" s="2"/>
      <c r="N1144" s="2" t="s">
        <v>34</v>
      </c>
    </row>
    <row r="1145" spans="1:14" x14ac:dyDescent="0.25">
      <c r="A1145" s="2" t="s">
        <v>3129</v>
      </c>
      <c r="B1145" s="2" t="s">
        <v>3130</v>
      </c>
      <c r="C1145" s="2" t="s">
        <v>16</v>
      </c>
      <c r="D1145" s="2" t="s">
        <v>84</v>
      </c>
      <c r="E1145" s="2" t="s">
        <v>79</v>
      </c>
      <c r="F1145" s="2" t="s">
        <v>143</v>
      </c>
      <c r="G1145" s="2" t="s">
        <v>158</v>
      </c>
      <c r="H1145" s="2" t="s">
        <v>74</v>
      </c>
      <c r="I1145" s="2">
        <v>8</v>
      </c>
      <c r="J1145" s="2" t="s">
        <v>22</v>
      </c>
      <c r="K1145" s="2" t="s">
        <v>3131</v>
      </c>
      <c r="L1145" s="2" t="s">
        <v>24</v>
      </c>
      <c r="M1145" s="2">
        <v>5</v>
      </c>
      <c r="N1145" s="2" t="s">
        <v>118</v>
      </c>
    </row>
    <row r="1146" spans="1:14" x14ac:dyDescent="0.25">
      <c r="A1146" s="2" t="s">
        <v>3132</v>
      </c>
      <c r="B1146" s="2" t="s">
        <v>3133</v>
      </c>
      <c r="C1146" s="2" t="s">
        <v>28</v>
      </c>
      <c r="D1146" s="2" t="s">
        <v>100</v>
      </c>
      <c r="E1146" s="2" t="s">
        <v>90</v>
      </c>
      <c r="F1146" s="2" t="s">
        <v>113</v>
      </c>
      <c r="G1146" s="2" t="s">
        <v>110</v>
      </c>
      <c r="H1146" s="2" t="s">
        <v>32</v>
      </c>
      <c r="I1146" s="2">
        <v>48</v>
      </c>
      <c r="J1146" s="2" t="s">
        <v>149</v>
      </c>
      <c r="K1146" s="2"/>
      <c r="L1146" s="2" t="s">
        <v>24</v>
      </c>
      <c r="M1146" s="2"/>
      <c r="N1146" s="2" t="s">
        <v>50</v>
      </c>
    </row>
    <row r="1147" spans="1:14" x14ac:dyDescent="0.25">
      <c r="A1147" s="2" t="s">
        <v>3134</v>
      </c>
      <c r="B1147" s="2" t="s">
        <v>3135</v>
      </c>
      <c r="C1147" s="2" t="s">
        <v>67</v>
      </c>
      <c r="D1147" s="2" t="s">
        <v>95</v>
      </c>
      <c r="E1147" s="2" t="s">
        <v>90</v>
      </c>
      <c r="F1147" s="2" t="s">
        <v>69</v>
      </c>
      <c r="G1147" s="2" t="s">
        <v>40</v>
      </c>
      <c r="H1147" s="2" t="s">
        <v>21</v>
      </c>
      <c r="I1147" s="2">
        <v>24</v>
      </c>
      <c r="J1147" s="2" t="s">
        <v>56</v>
      </c>
      <c r="K1147" s="2" t="s">
        <v>3136</v>
      </c>
      <c r="L1147" s="2" t="s">
        <v>24</v>
      </c>
      <c r="M1147" s="2"/>
      <c r="N1147" s="2" t="s">
        <v>64</v>
      </c>
    </row>
    <row r="1148" spans="1:14" x14ac:dyDescent="0.25">
      <c r="A1148" s="2" t="s">
        <v>3137</v>
      </c>
      <c r="B1148" s="2" t="s">
        <v>3138</v>
      </c>
      <c r="C1148" s="2" t="s">
        <v>67</v>
      </c>
      <c r="D1148" s="2" t="s">
        <v>601</v>
      </c>
      <c r="E1148" s="2" t="s">
        <v>18</v>
      </c>
      <c r="F1148" s="2" t="s">
        <v>47</v>
      </c>
      <c r="G1148" s="2" t="s">
        <v>139</v>
      </c>
      <c r="H1148" s="2" t="s">
        <v>80</v>
      </c>
      <c r="I1148" s="2">
        <v>4</v>
      </c>
      <c r="J1148" s="2" t="s">
        <v>56</v>
      </c>
      <c r="K1148" s="2" t="s">
        <v>3139</v>
      </c>
      <c r="L1148" s="2" t="s">
        <v>24</v>
      </c>
      <c r="M1148" s="2"/>
      <c r="N1148" s="2" t="s">
        <v>128</v>
      </c>
    </row>
    <row r="1149" spans="1:14" x14ac:dyDescent="0.25">
      <c r="A1149" s="2" t="s">
        <v>3140</v>
      </c>
      <c r="B1149" s="2" t="s">
        <v>3141</v>
      </c>
      <c r="C1149" s="2" t="s">
        <v>28</v>
      </c>
      <c r="D1149" s="2" t="s">
        <v>37</v>
      </c>
      <c r="E1149" s="2" t="s">
        <v>46</v>
      </c>
      <c r="F1149" s="2" t="s">
        <v>131</v>
      </c>
      <c r="G1149" s="2" t="s">
        <v>70</v>
      </c>
      <c r="H1149" s="2" t="s">
        <v>80</v>
      </c>
      <c r="I1149" s="2">
        <v>4</v>
      </c>
      <c r="J1149" s="2" t="s">
        <v>22</v>
      </c>
      <c r="K1149" s="2" t="s">
        <v>3142</v>
      </c>
      <c r="L1149" s="2" t="s">
        <v>24</v>
      </c>
      <c r="M1149" s="2">
        <v>4</v>
      </c>
      <c r="N1149" s="2"/>
    </row>
    <row r="1150" spans="1:14" x14ac:dyDescent="0.25">
      <c r="A1150" s="2" t="s">
        <v>3143</v>
      </c>
      <c r="B1150" s="2" t="s">
        <v>3144</v>
      </c>
      <c r="C1150" s="2" t="s">
        <v>67</v>
      </c>
      <c r="D1150" s="2" t="s">
        <v>95</v>
      </c>
      <c r="E1150" s="2" t="s">
        <v>85</v>
      </c>
      <c r="F1150" s="2" t="s">
        <v>19</v>
      </c>
      <c r="G1150" s="2" t="s">
        <v>40</v>
      </c>
      <c r="H1150" s="2" t="s">
        <v>21</v>
      </c>
      <c r="I1150" s="2">
        <v>24</v>
      </c>
      <c r="J1150" s="2" t="s">
        <v>187</v>
      </c>
      <c r="K1150" s="2" t="s">
        <v>3145</v>
      </c>
      <c r="L1150" s="2" t="s">
        <v>24</v>
      </c>
      <c r="M1150" s="2">
        <v>5</v>
      </c>
      <c r="N1150" s="2" t="s">
        <v>43</v>
      </c>
    </row>
    <row r="1151" spans="1:14" x14ac:dyDescent="0.25">
      <c r="A1151" s="2" t="s">
        <v>3146</v>
      </c>
      <c r="B1151" s="2" t="s">
        <v>3147</v>
      </c>
      <c r="C1151" s="2" t="s">
        <v>28</v>
      </c>
      <c r="D1151" s="2" t="s">
        <v>100</v>
      </c>
      <c r="E1151" s="2" t="s">
        <v>90</v>
      </c>
      <c r="F1151" s="2" t="s">
        <v>62</v>
      </c>
      <c r="G1151" s="2" t="s">
        <v>110</v>
      </c>
      <c r="H1151" s="2" t="s">
        <v>32</v>
      </c>
      <c r="I1151" s="2">
        <v>48</v>
      </c>
      <c r="J1151" s="2" t="s">
        <v>11</v>
      </c>
      <c r="K1151" s="2"/>
      <c r="L1151" s="2" t="s">
        <v>92</v>
      </c>
      <c r="M1151" s="2"/>
      <c r="N1151" s="2" t="s">
        <v>118</v>
      </c>
    </row>
    <row r="1152" spans="1:14" x14ac:dyDescent="0.25">
      <c r="A1152" s="2" t="s">
        <v>3148</v>
      </c>
      <c r="B1152" s="2" t="s">
        <v>3149</v>
      </c>
      <c r="C1152" s="2" t="s">
        <v>28</v>
      </c>
      <c r="D1152" s="2" t="s">
        <v>100</v>
      </c>
      <c r="E1152" s="2" t="s">
        <v>79</v>
      </c>
      <c r="F1152" s="2" t="s">
        <v>19</v>
      </c>
      <c r="G1152" s="2" t="s">
        <v>105</v>
      </c>
      <c r="H1152" s="2" t="s">
        <v>32</v>
      </c>
      <c r="I1152" s="2">
        <v>48</v>
      </c>
      <c r="J1152" s="2" t="s">
        <v>48</v>
      </c>
      <c r="K1152" s="2" t="s">
        <v>3150</v>
      </c>
      <c r="L1152" s="2" t="s">
        <v>92</v>
      </c>
      <c r="M1152" s="2">
        <v>5</v>
      </c>
      <c r="N1152" s="2" t="s">
        <v>64</v>
      </c>
    </row>
    <row r="1153" spans="1:14" x14ac:dyDescent="0.25">
      <c r="A1153" s="2" t="s">
        <v>3151</v>
      </c>
      <c r="B1153" s="2" t="s">
        <v>3152</v>
      </c>
      <c r="C1153" s="2" t="s">
        <v>28</v>
      </c>
      <c r="D1153" s="2" t="s">
        <v>37</v>
      </c>
      <c r="E1153" s="2" t="s">
        <v>38</v>
      </c>
      <c r="F1153" s="2" t="s">
        <v>131</v>
      </c>
      <c r="G1153" s="2" t="s">
        <v>139</v>
      </c>
      <c r="H1153" s="2" t="s">
        <v>21</v>
      </c>
      <c r="I1153" s="2">
        <v>24</v>
      </c>
      <c r="J1153" s="2" t="s">
        <v>41</v>
      </c>
      <c r="K1153" s="2" t="s">
        <v>3153</v>
      </c>
      <c r="L1153" s="2" t="s">
        <v>24</v>
      </c>
      <c r="M1153" s="2">
        <v>1</v>
      </c>
      <c r="N1153" s="2" t="s">
        <v>34</v>
      </c>
    </row>
    <row r="1154" spans="1:14" x14ac:dyDescent="0.25">
      <c r="A1154" s="2" t="s">
        <v>1730</v>
      </c>
      <c r="B1154" s="2" t="s">
        <v>1731</v>
      </c>
      <c r="C1154" s="2" t="s">
        <v>16</v>
      </c>
      <c r="D1154" s="2" t="s">
        <v>17</v>
      </c>
      <c r="E1154" s="2" t="s">
        <v>85</v>
      </c>
      <c r="F1154" s="2" t="s">
        <v>39</v>
      </c>
      <c r="G1154" s="2" t="s">
        <v>211</v>
      </c>
      <c r="H1154" s="2" t="s">
        <v>21</v>
      </c>
      <c r="I1154" s="2">
        <v>24</v>
      </c>
      <c r="J1154" s="2" t="s">
        <v>22</v>
      </c>
      <c r="K1154" s="2" t="s">
        <v>1732</v>
      </c>
      <c r="L1154" s="2" t="s">
        <v>92</v>
      </c>
      <c r="M1154" s="2">
        <v>5</v>
      </c>
      <c r="N1154" s="2" t="s">
        <v>43</v>
      </c>
    </row>
    <row r="1155" spans="1:14" x14ac:dyDescent="0.25">
      <c r="A1155" s="2" t="s">
        <v>3154</v>
      </c>
      <c r="B1155" s="2" t="s">
        <v>3155</v>
      </c>
      <c r="C1155" s="2" t="s">
        <v>67</v>
      </c>
      <c r="D1155" s="2" t="s">
        <v>68</v>
      </c>
      <c r="E1155" s="2" t="s">
        <v>85</v>
      </c>
      <c r="F1155" s="2" t="s">
        <v>39</v>
      </c>
      <c r="G1155" s="2" t="s">
        <v>97</v>
      </c>
      <c r="H1155" s="2" t="s">
        <v>32</v>
      </c>
      <c r="I1155" s="2">
        <v>48</v>
      </c>
      <c r="J1155" s="2" t="s">
        <v>41</v>
      </c>
      <c r="K1155" s="2" t="s">
        <v>3156</v>
      </c>
      <c r="L1155" s="2" t="s">
        <v>24</v>
      </c>
      <c r="M1155" s="2">
        <v>4</v>
      </c>
      <c r="N1155" s="2" t="s">
        <v>58</v>
      </c>
    </row>
    <row r="1156" spans="1:14" x14ac:dyDescent="0.25">
      <c r="A1156" s="2" t="s">
        <v>3157</v>
      </c>
      <c r="B1156" s="2" t="s">
        <v>3158</v>
      </c>
      <c r="C1156" s="2" t="s">
        <v>28</v>
      </c>
      <c r="D1156" s="2" t="s">
        <v>37</v>
      </c>
      <c r="E1156" s="2" t="s">
        <v>46</v>
      </c>
      <c r="F1156" s="2" t="s">
        <v>125</v>
      </c>
      <c r="G1156" s="2" t="s">
        <v>20</v>
      </c>
      <c r="H1156" s="2" t="s">
        <v>32</v>
      </c>
      <c r="I1156" s="2">
        <v>48</v>
      </c>
      <c r="J1156" s="2" t="s">
        <v>48</v>
      </c>
      <c r="K1156" s="2" t="s">
        <v>3159</v>
      </c>
      <c r="L1156" s="2" t="s">
        <v>24</v>
      </c>
      <c r="M1156" s="2">
        <v>5</v>
      </c>
      <c r="N1156" s="2"/>
    </row>
    <row r="1157" spans="1:14" x14ac:dyDescent="0.25">
      <c r="A1157" s="2" t="s">
        <v>3160</v>
      </c>
      <c r="B1157" s="2" t="s">
        <v>3161</v>
      </c>
      <c r="C1157" s="2" t="s">
        <v>53</v>
      </c>
      <c r="D1157" s="2" t="s">
        <v>61</v>
      </c>
      <c r="E1157" s="2" t="s">
        <v>90</v>
      </c>
      <c r="F1157" s="2" t="s">
        <v>30</v>
      </c>
      <c r="G1157" s="2" t="s">
        <v>40</v>
      </c>
      <c r="H1157" s="2" t="s">
        <v>21</v>
      </c>
      <c r="I1157" s="2">
        <v>24</v>
      </c>
      <c r="J1157" s="2" t="s">
        <v>287</v>
      </c>
      <c r="K1157" s="2"/>
      <c r="L1157" s="2" t="s">
        <v>24</v>
      </c>
      <c r="M1157" s="2"/>
      <c r="N1157" s="2" t="s">
        <v>128</v>
      </c>
    </row>
    <row r="1158" spans="1:14" x14ac:dyDescent="0.25">
      <c r="A1158" s="2" t="s">
        <v>3162</v>
      </c>
      <c r="B1158" s="2" t="s">
        <v>3163</v>
      </c>
      <c r="C1158" s="2" t="s">
        <v>67</v>
      </c>
      <c r="D1158" s="2" t="s">
        <v>68</v>
      </c>
      <c r="E1158" s="2" t="s">
        <v>18</v>
      </c>
      <c r="F1158" s="2" t="s">
        <v>39</v>
      </c>
      <c r="G1158" s="2" t="s">
        <v>20</v>
      </c>
      <c r="H1158" s="2" t="s">
        <v>74</v>
      </c>
      <c r="I1158" s="2">
        <v>8</v>
      </c>
      <c r="J1158" s="2" t="s">
        <v>75</v>
      </c>
      <c r="K1158" s="2" t="s">
        <v>3164</v>
      </c>
      <c r="L1158" s="2" t="s">
        <v>24</v>
      </c>
      <c r="M1158" s="2">
        <v>5</v>
      </c>
      <c r="N1158" s="2"/>
    </row>
    <row r="1159" spans="1:14" x14ac:dyDescent="0.25">
      <c r="A1159" s="2" t="s">
        <v>3165</v>
      </c>
      <c r="B1159" s="2" t="s">
        <v>3166</v>
      </c>
      <c r="C1159" s="2" t="s">
        <v>16</v>
      </c>
      <c r="D1159" s="2" t="s">
        <v>84</v>
      </c>
      <c r="E1159" s="2" t="s">
        <v>85</v>
      </c>
      <c r="F1159" s="2" t="s">
        <v>96</v>
      </c>
      <c r="G1159" s="2" t="s">
        <v>31</v>
      </c>
      <c r="H1159" s="2" t="s">
        <v>32</v>
      </c>
      <c r="I1159" s="2">
        <v>48</v>
      </c>
      <c r="J1159" s="2" t="s">
        <v>41</v>
      </c>
      <c r="K1159" s="2" t="s">
        <v>3167</v>
      </c>
      <c r="L1159" s="2" t="s">
        <v>24</v>
      </c>
      <c r="M1159" s="2">
        <v>4</v>
      </c>
      <c r="N1159" s="2" t="s">
        <v>25</v>
      </c>
    </row>
    <row r="1160" spans="1:14" x14ac:dyDescent="0.25">
      <c r="A1160" s="2" t="s">
        <v>3168</v>
      </c>
      <c r="B1160" s="2" t="s">
        <v>3169</v>
      </c>
      <c r="C1160" s="2" t="s">
        <v>67</v>
      </c>
      <c r="D1160" s="2" t="s">
        <v>68</v>
      </c>
      <c r="E1160" s="2" t="s">
        <v>46</v>
      </c>
      <c r="F1160" s="2" t="s">
        <v>69</v>
      </c>
      <c r="G1160" s="2" t="s">
        <v>20</v>
      </c>
      <c r="H1160" s="2" t="s">
        <v>21</v>
      </c>
      <c r="I1160" s="2">
        <v>24</v>
      </c>
      <c r="J1160" s="2" t="s">
        <v>106</v>
      </c>
      <c r="K1160" s="2" t="s">
        <v>3170</v>
      </c>
      <c r="L1160" s="2" t="s">
        <v>24</v>
      </c>
      <c r="M1160" s="2"/>
      <c r="N1160" s="2" t="s">
        <v>43</v>
      </c>
    </row>
    <row r="1161" spans="1:14" x14ac:dyDescent="0.25">
      <c r="A1161" s="2" t="s">
        <v>3171</v>
      </c>
      <c r="B1161" s="2" t="s">
        <v>3172</v>
      </c>
      <c r="C1161" s="2" t="s">
        <v>67</v>
      </c>
      <c r="D1161" s="2" t="s">
        <v>68</v>
      </c>
      <c r="E1161" s="2" t="s">
        <v>148</v>
      </c>
      <c r="F1161" s="2" t="s">
        <v>113</v>
      </c>
      <c r="G1161" s="2" t="s">
        <v>158</v>
      </c>
      <c r="H1161" s="2" t="s">
        <v>21</v>
      </c>
      <c r="I1161" s="2">
        <v>24</v>
      </c>
      <c r="J1161" s="2" t="s">
        <v>41</v>
      </c>
      <c r="K1161" s="2" t="s">
        <v>3173</v>
      </c>
      <c r="L1161" s="2" t="s">
        <v>24</v>
      </c>
      <c r="M1161" s="2">
        <v>4</v>
      </c>
      <c r="N1161" s="2"/>
    </row>
    <row r="1162" spans="1:14" x14ac:dyDescent="0.25">
      <c r="A1162" s="2" t="s">
        <v>3174</v>
      </c>
      <c r="B1162" s="2" t="s">
        <v>3175</v>
      </c>
      <c r="C1162" s="2" t="s">
        <v>53</v>
      </c>
      <c r="D1162" s="2" t="s">
        <v>61</v>
      </c>
      <c r="E1162" s="2" t="s">
        <v>46</v>
      </c>
      <c r="F1162" s="2" t="s">
        <v>125</v>
      </c>
      <c r="G1162" s="2" t="s">
        <v>183</v>
      </c>
      <c r="H1162" s="2" t="s">
        <v>21</v>
      </c>
      <c r="I1162" s="2">
        <v>24</v>
      </c>
      <c r="J1162" s="2" t="s">
        <v>187</v>
      </c>
      <c r="K1162" s="2" t="s">
        <v>3176</v>
      </c>
      <c r="L1162" s="2" t="s">
        <v>24</v>
      </c>
      <c r="M1162" s="2">
        <v>5</v>
      </c>
      <c r="N1162" s="2" t="s">
        <v>118</v>
      </c>
    </row>
    <row r="1163" spans="1:14" x14ac:dyDescent="0.25">
      <c r="A1163" s="2" t="s">
        <v>3177</v>
      </c>
      <c r="B1163" s="2" t="s">
        <v>3178</v>
      </c>
      <c r="C1163" s="2" t="s">
        <v>53</v>
      </c>
      <c r="D1163" s="2" t="s">
        <v>54</v>
      </c>
      <c r="E1163" s="2" t="s">
        <v>46</v>
      </c>
      <c r="F1163" s="2" t="s">
        <v>55</v>
      </c>
      <c r="G1163" s="2" t="s">
        <v>126</v>
      </c>
      <c r="H1163" s="2" t="s">
        <v>74</v>
      </c>
      <c r="I1163" s="2">
        <v>8</v>
      </c>
      <c r="J1163" s="2" t="s">
        <v>145</v>
      </c>
      <c r="K1163" s="2"/>
      <c r="L1163" s="2" t="s">
        <v>24</v>
      </c>
      <c r="M1163" s="2"/>
      <c r="N1163" s="2" t="s">
        <v>50</v>
      </c>
    </row>
    <row r="1164" spans="1:14" x14ac:dyDescent="0.25">
      <c r="A1164" s="2" t="s">
        <v>3179</v>
      </c>
      <c r="B1164" s="2" t="s">
        <v>3180</v>
      </c>
      <c r="C1164" s="2" t="s">
        <v>28</v>
      </c>
      <c r="D1164" s="2" t="s">
        <v>100</v>
      </c>
      <c r="E1164" s="2" t="s">
        <v>148</v>
      </c>
      <c r="F1164" s="2" t="s">
        <v>96</v>
      </c>
      <c r="G1164" s="2" t="s">
        <v>91</v>
      </c>
      <c r="H1164" s="2" t="s">
        <v>32</v>
      </c>
      <c r="I1164" s="2">
        <v>48</v>
      </c>
      <c r="J1164" s="2" t="s">
        <v>155</v>
      </c>
      <c r="K1164" s="2"/>
      <c r="L1164" s="2" t="s">
        <v>24</v>
      </c>
      <c r="M1164" s="2"/>
      <c r="N1164" s="2"/>
    </row>
    <row r="1165" spans="1:14" x14ac:dyDescent="0.25">
      <c r="A1165" s="2" t="s">
        <v>3181</v>
      </c>
      <c r="B1165" s="2" t="s">
        <v>3182</v>
      </c>
      <c r="C1165" s="2" t="s">
        <v>67</v>
      </c>
      <c r="D1165" s="2" t="s">
        <v>68</v>
      </c>
      <c r="E1165" s="2" t="s">
        <v>79</v>
      </c>
      <c r="F1165" s="2" t="s">
        <v>47</v>
      </c>
      <c r="G1165" s="2" t="s">
        <v>70</v>
      </c>
      <c r="H1165" s="2" t="s">
        <v>21</v>
      </c>
      <c r="I1165" s="2">
        <v>24</v>
      </c>
      <c r="J1165" s="2" t="s">
        <v>187</v>
      </c>
      <c r="K1165" s="2" t="s">
        <v>3183</v>
      </c>
      <c r="L1165" s="2" t="s">
        <v>24</v>
      </c>
      <c r="M1165" s="2">
        <v>4</v>
      </c>
      <c r="N1165" s="2" t="s">
        <v>50</v>
      </c>
    </row>
    <row r="1166" spans="1:14" x14ac:dyDescent="0.25">
      <c r="A1166" s="2" t="s">
        <v>3184</v>
      </c>
      <c r="B1166" s="2" t="s">
        <v>3185</v>
      </c>
      <c r="C1166" s="2" t="s">
        <v>53</v>
      </c>
      <c r="D1166" s="2" t="s">
        <v>61</v>
      </c>
      <c r="E1166" s="2" t="s">
        <v>85</v>
      </c>
      <c r="F1166" s="2" t="s">
        <v>69</v>
      </c>
      <c r="G1166" s="2" t="s">
        <v>158</v>
      </c>
      <c r="H1166" s="2" t="s">
        <v>21</v>
      </c>
      <c r="I1166" s="2">
        <v>24</v>
      </c>
      <c r="J1166" s="2" t="s">
        <v>22</v>
      </c>
      <c r="K1166" s="2" t="s">
        <v>3186</v>
      </c>
      <c r="L1166" s="2" t="s">
        <v>24</v>
      </c>
      <c r="M1166" s="2">
        <v>5</v>
      </c>
      <c r="N1166" s="2" t="s">
        <v>25</v>
      </c>
    </row>
    <row r="1167" spans="1:14" x14ac:dyDescent="0.25">
      <c r="A1167" s="2" t="s">
        <v>3187</v>
      </c>
      <c r="B1167" s="2" t="s">
        <v>3188</v>
      </c>
      <c r="C1167" s="2" t="s">
        <v>28</v>
      </c>
      <c r="D1167" s="2" t="s">
        <v>100</v>
      </c>
      <c r="E1167" s="2" t="s">
        <v>79</v>
      </c>
      <c r="F1167" s="2" t="s">
        <v>113</v>
      </c>
      <c r="G1167" s="2" t="s">
        <v>20</v>
      </c>
      <c r="H1167" s="2" t="s">
        <v>80</v>
      </c>
      <c r="I1167" s="2">
        <v>4</v>
      </c>
      <c r="J1167" s="2" t="s">
        <v>117</v>
      </c>
      <c r="K1167" s="2"/>
      <c r="L1167" s="2" t="s">
        <v>24</v>
      </c>
      <c r="M1167" s="2"/>
      <c r="N1167" s="2" t="s">
        <v>64</v>
      </c>
    </row>
    <row r="1168" spans="1:14" x14ac:dyDescent="0.25">
      <c r="A1168" s="2" t="s">
        <v>3189</v>
      </c>
      <c r="B1168" s="2" t="s">
        <v>3190</v>
      </c>
      <c r="C1168" s="2" t="s">
        <v>67</v>
      </c>
      <c r="D1168" s="2" t="s">
        <v>89</v>
      </c>
      <c r="E1168" s="2" t="s">
        <v>46</v>
      </c>
      <c r="F1168" s="2" t="s">
        <v>113</v>
      </c>
      <c r="G1168" s="2" t="s">
        <v>40</v>
      </c>
      <c r="H1168" s="2" t="s">
        <v>21</v>
      </c>
      <c r="I1168" s="2">
        <v>24</v>
      </c>
      <c r="J1168" s="2" t="s">
        <v>11</v>
      </c>
      <c r="K1168" s="2"/>
      <c r="L1168" s="2" t="s">
        <v>92</v>
      </c>
      <c r="M1168" s="2"/>
      <c r="N1168" s="2" t="s">
        <v>58</v>
      </c>
    </row>
    <row r="1169" spans="1:14" x14ac:dyDescent="0.25">
      <c r="A1169" s="2" t="s">
        <v>3191</v>
      </c>
      <c r="B1169" s="2" t="s">
        <v>3192</v>
      </c>
      <c r="C1169" s="2" t="s">
        <v>53</v>
      </c>
      <c r="D1169" s="2" t="s">
        <v>61</v>
      </c>
      <c r="E1169" s="2" t="s">
        <v>148</v>
      </c>
      <c r="F1169" s="2" t="s">
        <v>113</v>
      </c>
      <c r="G1169" s="2" t="s">
        <v>183</v>
      </c>
      <c r="H1169" s="2" t="s">
        <v>74</v>
      </c>
      <c r="I1169" s="2">
        <v>8</v>
      </c>
      <c r="J1169" s="2" t="s">
        <v>187</v>
      </c>
      <c r="K1169" s="2" t="s">
        <v>3193</v>
      </c>
      <c r="L1169" s="2" t="s">
        <v>24</v>
      </c>
      <c r="M1169" s="2">
        <v>4</v>
      </c>
      <c r="N1169" s="2" t="s">
        <v>43</v>
      </c>
    </row>
    <row r="1170" spans="1:14" x14ac:dyDescent="0.25">
      <c r="A1170" s="2" t="s">
        <v>3194</v>
      </c>
      <c r="B1170" s="2" t="s">
        <v>3195</v>
      </c>
      <c r="C1170" s="2" t="s">
        <v>16</v>
      </c>
      <c r="D1170" s="2" t="s">
        <v>17</v>
      </c>
      <c r="E1170" s="2" t="s">
        <v>79</v>
      </c>
      <c r="F1170" s="2" t="s">
        <v>143</v>
      </c>
      <c r="G1170" s="2" t="s">
        <v>70</v>
      </c>
      <c r="H1170" s="2" t="s">
        <v>21</v>
      </c>
      <c r="I1170" s="2">
        <v>24</v>
      </c>
      <c r="J1170" s="2" t="s">
        <v>22</v>
      </c>
      <c r="K1170" s="2" t="s">
        <v>3196</v>
      </c>
      <c r="L1170" s="2" t="s">
        <v>24</v>
      </c>
      <c r="M1170" s="2"/>
      <c r="N1170" s="2" t="s">
        <v>64</v>
      </c>
    </row>
    <row r="1171" spans="1:14" x14ac:dyDescent="0.25">
      <c r="A1171" s="2" t="s">
        <v>3197</v>
      </c>
      <c r="B1171" s="2" t="s">
        <v>3198</v>
      </c>
      <c r="C1171" s="2" t="s">
        <v>67</v>
      </c>
      <c r="D1171" s="2" t="s">
        <v>68</v>
      </c>
      <c r="E1171" s="2" t="s">
        <v>38</v>
      </c>
      <c r="F1171" s="2" t="s">
        <v>19</v>
      </c>
      <c r="G1171" s="2" t="s">
        <v>70</v>
      </c>
      <c r="H1171" s="2" t="s">
        <v>80</v>
      </c>
      <c r="I1171" s="2">
        <v>4</v>
      </c>
      <c r="J1171" s="2" t="s">
        <v>187</v>
      </c>
      <c r="K1171" s="2" t="s">
        <v>3199</v>
      </c>
      <c r="L1171" s="2" t="s">
        <v>24</v>
      </c>
      <c r="M1171" s="2">
        <v>5</v>
      </c>
      <c r="N1171" s="2"/>
    </row>
    <row r="1172" spans="1:14" x14ac:dyDescent="0.25">
      <c r="A1172" s="2" t="s">
        <v>3200</v>
      </c>
      <c r="B1172" s="2" t="s">
        <v>3201</v>
      </c>
      <c r="C1172" s="2" t="s">
        <v>67</v>
      </c>
      <c r="D1172" s="2" t="s">
        <v>68</v>
      </c>
      <c r="E1172" s="2" t="s">
        <v>90</v>
      </c>
      <c r="F1172" s="2" t="s">
        <v>69</v>
      </c>
      <c r="G1172" s="2" t="s">
        <v>158</v>
      </c>
      <c r="H1172" s="2" t="s">
        <v>32</v>
      </c>
      <c r="I1172" s="2">
        <v>48</v>
      </c>
      <c r="J1172" s="2" t="s">
        <v>187</v>
      </c>
      <c r="K1172" s="2" t="s">
        <v>3202</v>
      </c>
      <c r="L1172" s="2" t="s">
        <v>24</v>
      </c>
      <c r="M1172" s="2">
        <v>4</v>
      </c>
      <c r="N1172" s="2" t="s">
        <v>34</v>
      </c>
    </row>
    <row r="1173" spans="1:14" x14ac:dyDescent="0.25">
      <c r="A1173" s="2" t="s">
        <v>3203</v>
      </c>
      <c r="B1173" s="2" t="s">
        <v>3204</v>
      </c>
      <c r="C1173" s="2" t="s">
        <v>28</v>
      </c>
      <c r="D1173" s="2" t="s">
        <v>37</v>
      </c>
      <c r="E1173" s="2" t="s">
        <v>79</v>
      </c>
      <c r="F1173" s="2" t="s">
        <v>19</v>
      </c>
      <c r="G1173" s="2" t="s">
        <v>70</v>
      </c>
      <c r="H1173" s="2" t="s">
        <v>74</v>
      </c>
      <c r="I1173" s="2">
        <v>8</v>
      </c>
      <c r="J1173" s="2" t="s">
        <v>75</v>
      </c>
      <c r="K1173" s="2"/>
      <c r="L1173" s="2" t="s">
        <v>24</v>
      </c>
      <c r="M1173" s="2">
        <v>5</v>
      </c>
      <c r="N1173" s="2" t="s">
        <v>43</v>
      </c>
    </row>
    <row r="1174" spans="1:14" x14ac:dyDescent="0.25">
      <c r="A1174" s="2" t="s">
        <v>3205</v>
      </c>
      <c r="B1174" s="2" t="s">
        <v>3206</v>
      </c>
      <c r="C1174" s="2" t="s">
        <v>28</v>
      </c>
      <c r="D1174" s="2" t="s">
        <v>37</v>
      </c>
      <c r="E1174" s="2" t="s">
        <v>90</v>
      </c>
      <c r="F1174" s="2" t="s">
        <v>55</v>
      </c>
      <c r="G1174" s="2" t="s">
        <v>105</v>
      </c>
      <c r="H1174" s="2" t="s">
        <v>21</v>
      </c>
      <c r="I1174" s="2">
        <v>24</v>
      </c>
      <c r="J1174" s="2" t="s">
        <v>22</v>
      </c>
      <c r="K1174" s="2" t="s">
        <v>3207</v>
      </c>
      <c r="L1174" s="2" t="s">
        <v>24</v>
      </c>
      <c r="M1174" s="2">
        <v>5</v>
      </c>
      <c r="N1174" s="2"/>
    </row>
    <row r="1175" spans="1:14" x14ac:dyDescent="0.25">
      <c r="A1175" s="2" t="s">
        <v>3208</v>
      </c>
      <c r="B1175" s="2" t="s">
        <v>3209</v>
      </c>
      <c r="C1175" s="2" t="s">
        <v>16</v>
      </c>
      <c r="D1175" s="2" t="s">
        <v>17</v>
      </c>
      <c r="E1175" s="2" t="s">
        <v>79</v>
      </c>
      <c r="F1175" s="2" t="s">
        <v>143</v>
      </c>
      <c r="G1175" s="2" t="s">
        <v>139</v>
      </c>
      <c r="H1175" s="2" t="s">
        <v>32</v>
      </c>
      <c r="I1175" s="2">
        <v>48</v>
      </c>
      <c r="J1175" s="2" t="s">
        <v>41</v>
      </c>
      <c r="K1175" s="2" t="s">
        <v>3210</v>
      </c>
      <c r="L1175" s="2" t="s">
        <v>24</v>
      </c>
      <c r="M1175" s="2"/>
      <c r="N1175" s="2"/>
    </row>
    <row r="1176" spans="1:14" x14ac:dyDescent="0.25">
      <c r="A1176" s="2" t="s">
        <v>3211</v>
      </c>
      <c r="B1176" s="2" t="s">
        <v>3212</v>
      </c>
      <c r="C1176" s="2" t="s">
        <v>16</v>
      </c>
      <c r="D1176" s="2" t="s">
        <v>84</v>
      </c>
      <c r="E1176" s="2" t="s">
        <v>85</v>
      </c>
      <c r="F1176" s="2" t="s">
        <v>62</v>
      </c>
      <c r="G1176" s="2" t="s">
        <v>183</v>
      </c>
      <c r="H1176" s="2" t="s">
        <v>80</v>
      </c>
      <c r="I1176" s="2">
        <v>4</v>
      </c>
      <c r="J1176" s="2" t="s">
        <v>106</v>
      </c>
      <c r="K1176" s="2" t="s">
        <v>3213</v>
      </c>
      <c r="L1176" s="2" t="s">
        <v>24</v>
      </c>
      <c r="M1176" s="2">
        <v>3</v>
      </c>
      <c r="N1176" s="2" t="s">
        <v>25</v>
      </c>
    </row>
    <row r="1177" spans="1:14" x14ac:dyDescent="0.25">
      <c r="A1177" s="2" t="s">
        <v>3214</v>
      </c>
      <c r="B1177" s="2" t="s">
        <v>3215</v>
      </c>
      <c r="C1177" s="2" t="s">
        <v>28</v>
      </c>
      <c r="D1177" s="2" t="s">
        <v>100</v>
      </c>
      <c r="E1177" s="2" t="s">
        <v>18</v>
      </c>
      <c r="F1177" s="2" t="s">
        <v>39</v>
      </c>
      <c r="G1177" s="2" t="s">
        <v>105</v>
      </c>
      <c r="H1177" s="2" t="s">
        <v>74</v>
      </c>
      <c r="I1177" s="2">
        <v>8</v>
      </c>
      <c r="J1177" s="2" t="s">
        <v>22</v>
      </c>
      <c r="K1177" s="2" t="s">
        <v>3216</v>
      </c>
      <c r="L1177" s="2" t="s">
        <v>24</v>
      </c>
      <c r="M1177" s="2">
        <v>4</v>
      </c>
      <c r="N1177" s="2" t="s">
        <v>43</v>
      </c>
    </row>
    <row r="1178" spans="1:14" x14ac:dyDescent="0.25">
      <c r="A1178" s="2" t="s">
        <v>3217</v>
      </c>
      <c r="B1178" s="2" t="s">
        <v>3218</v>
      </c>
      <c r="C1178" s="2" t="s">
        <v>28</v>
      </c>
      <c r="D1178" s="2" t="s">
        <v>100</v>
      </c>
      <c r="E1178" s="2" t="s">
        <v>38</v>
      </c>
      <c r="F1178" s="2" t="s">
        <v>62</v>
      </c>
      <c r="G1178" s="2" t="s">
        <v>121</v>
      </c>
      <c r="H1178" s="2" t="s">
        <v>74</v>
      </c>
      <c r="I1178" s="2">
        <v>8</v>
      </c>
      <c r="J1178" s="2" t="s">
        <v>22</v>
      </c>
      <c r="K1178" s="2" t="s">
        <v>3219</v>
      </c>
      <c r="L1178" s="2" t="s">
        <v>24</v>
      </c>
      <c r="M1178" s="2">
        <v>4</v>
      </c>
      <c r="N1178" s="2" t="s">
        <v>43</v>
      </c>
    </row>
    <row r="1179" spans="1:14" x14ac:dyDescent="0.25">
      <c r="A1179" s="2" t="s">
        <v>3220</v>
      </c>
      <c r="B1179" s="2" t="s">
        <v>3221</v>
      </c>
      <c r="C1179" s="2" t="s">
        <v>28</v>
      </c>
      <c r="D1179" s="2" t="s">
        <v>37</v>
      </c>
      <c r="E1179" s="2" t="s">
        <v>18</v>
      </c>
      <c r="F1179" s="2" t="s">
        <v>143</v>
      </c>
      <c r="G1179" s="2" t="s">
        <v>135</v>
      </c>
      <c r="H1179" s="2" t="s">
        <v>32</v>
      </c>
      <c r="I1179" s="2">
        <v>48</v>
      </c>
      <c r="J1179" s="2" t="s">
        <v>22</v>
      </c>
      <c r="K1179" s="2"/>
      <c r="L1179" s="2" t="s">
        <v>24</v>
      </c>
      <c r="M1179" s="2">
        <v>1</v>
      </c>
      <c r="N1179" s="2"/>
    </row>
    <row r="1180" spans="1:14" x14ac:dyDescent="0.25">
      <c r="A1180" s="2" t="s">
        <v>3222</v>
      </c>
      <c r="B1180" s="2" t="s">
        <v>3223</v>
      </c>
      <c r="C1180" s="2" t="s">
        <v>28</v>
      </c>
      <c r="D1180" s="2" t="s">
        <v>29</v>
      </c>
      <c r="E1180" s="2" t="s">
        <v>79</v>
      </c>
      <c r="F1180" s="2" t="s">
        <v>96</v>
      </c>
      <c r="G1180" s="2" t="s">
        <v>20</v>
      </c>
      <c r="H1180" s="2" t="s">
        <v>32</v>
      </c>
      <c r="I1180" s="2">
        <v>48</v>
      </c>
      <c r="J1180" s="2" t="s">
        <v>41</v>
      </c>
      <c r="K1180" s="2"/>
      <c r="L1180" s="2" t="s">
        <v>24</v>
      </c>
      <c r="M1180" s="2"/>
      <c r="N1180" s="2" t="s">
        <v>118</v>
      </c>
    </row>
    <row r="1181" spans="1:14" x14ac:dyDescent="0.25">
      <c r="A1181" s="2" t="s">
        <v>3224</v>
      </c>
      <c r="B1181" s="2" t="s">
        <v>3225</v>
      </c>
      <c r="C1181" s="2" t="s">
        <v>16</v>
      </c>
      <c r="D1181" s="2" t="s">
        <v>84</v>
      </c>
      <c r="E1181" s="2" t="s">
        <v>38</v>
      </c>
      <c r="F1181" s="2" t="s">
        <v>39</v>
      </c>
      <c r="G1181" s="2" t="s">
        <v>135</v>
      </c>
      <c r="H1181" s="2" t="s">
        <v>80</v>
      </c>
      <c r="I1181" s="2">
        <v>4</v>
      </c>
      <c r="J1181" s="2" t="s">
        <v>41</v>
      </c>
      <c r="K1181" s="2" t="s">
        <v>3226</v>
      </c>
      <c r="L1181" s="2" t="s">
        <v>24</v>
      </c>
      <c r="M1181" s="2">
        <v>1</v>
      </c>
      <c r="N1181" s="2" t="s">
        <v>43</v>
      </c>
    </row>
    <row r="1182" spans="1:14" x14ac:dyDescent="0.25">
      <c r="A1182" s="2" t="s">
        <v>3227</v>
      </c>
      <c r="B1182" s="2" t="s">
        <v>3228</v>
      </c>
      <c r="C1182" s="2" t="s">
        <v>67</v>
      </c>
      <c r="D1182" s="2" t="s">
        <v>89</v>
      </c>
      <c r="E1182" s="2" t="s">
        <v>18</v>
      </c>
      <c r="F1182" s="2" t="s">
        <v>55</v>
      </c>
      <c r="G1182" s="2" t="s">
        <v>110</v>
      </c>
      <c r="H1182" s="2" t="s">
        <v>32</v>
      </c>
      <c r="I1182" s="2">
        <v>48</v>
      </c>
      <c r="J1182" s="2" t="s">
        <v>187</v>
      </c>
      <c r="K1182" s="2" t="s">
        <v>3229</v>
      </c>
      <c r="L1182" s="2" t="s">
        <v>24</v>
      </c>
      <c r="M1182" s="2">
        <v>4</v>
      </c>
      <c r="N1182" s="2"/>
    </row>
    <row r="1183" spans="1:14" x14ac:dyDescent="0.25">
      <c r="A1183" s="2" t="s">
        <v>3230</v>
      </c>
      <c r="B1183" s="2" t="s">
        <v>3231</v>
      </c>
      <c r="C1183" s="2" t="s">
        <v>28</v>
      </c>
      <c r="D1183" s="2" t="s">
        <v>100</v>
      </c>
      <c r="E1183" s="2" t="s">
        <v>85</v>
      </c>
      <c r="F1183" s="2" t="s">
        <v>62</v>
      </c>
      <c r="G1183" s="2" t="s">
        <v>144</v>
      </c>
      <c r="H1183" s="2" t="s">
        <v>74</v>
      </c>
      <c r="I1183" s="2">
        <v>8</v>
      </c>
      <c r="J1183" s="2" t="s">
        <v>22</v>
      </c>
      <c r="K1183" s="2" t="s">
        <v>3232</v>
      </c>
      <c r="L1183" s="2" t="s">
        <v>24</v>
      </c>
      <c r="M1183" s="2">
        <v>4</v>
      </c>
      <c r="N1183" s="2" t="s">
        <v>128</v>
      </c>
    </row>
    <row r="1184" spans="1:14" x14ac:dyDescent="0.25">
      <c r="A1184" s="2" t="s">
        <v>3233</v>
      </c>
      <c r="B1184" s="2" t="s">
        <v>3234</v>
      </c>
      <c r="C1184" s="2" t="s">
        <v>67</v>
      </c>
      <c r="D1184" s="2" t="s">
        <v>95</v>
      </c>
      <c r="E1184" s="2" t="s">
        <v>79</v>
      </c>
      <c r="F1184" s="2" t="s">
        <v>96</v>
      </c>
      <c r="G1184" s="2" t="s">
        <v>97</v>
      </c>
      <c r="H1184" s="2" t="s">
        <v>32</v>
      </c>
      <c r="I1184" s="2">
        <v>48</v>
      </c>
      <c r="J1184" s="2" t="s">
        <v>287</v>
      </c>
      <c r="K1184" s="2"/>
      <c r="L1184" s="2" t="s">
        <v>24</v>
      </c>
      <c r="M1184" s="2"/>
      <c r="N1184" s="2"/>
    </row>
    <row r="1185" spans="1:14" x14ac:dyDescent="0.25">
      <c r="A1185" s="2" t="s">
        <v>3235</v>
      </c>
      <c r="B1185" s="2" t="s">
        <v>3236</v>
      </c>
      <c r="C1185" s="2" t="s">
        <v>67</v>
      </c>
      <c r="D1185" s="2" t="s">
        <v>601</v>
      </c>
      <c r="E1185" s="2" t="s">
        <v>38</v>
      </c>
      <c r="F1185" s="2" t="s">
        <v>113</v>
      </c>
      <c r="G1185" s="2" t="s">
        <v>121</v>
      </c>
      <c r="H1185" s="2" t="s">
        <v>21</v>
      </c>
      <c r="I1185" s="2">
        <v>24</v>
      </c>
      <c r="J1185" s="2" t="s">
        <v>106</v>
      </c>
      <c r="K1185" s="2" t="s">
        <v>3237</v>
      </c>
      <c r="L1185" s="2" t="s">
        <v>24</v>
      </c>
      <c r="M1185" s="2">
        <v>4</v>
      </c>
      <c r="N1185" s="2"/>
    </row>
    <row r="1186" spans="1:14" x14ac:dyDescent="0.25">
      <c r="A1186" s="2" t="s">
        <v>3238</v>
      </c>
      <c r="B1186" s="2" t="s">
        <v>3239</v>
      </c>
      <c r="C1186" s="2" t="s">
        <v>53</v>
      </c>
      <c r="D1186" s="2" t="s">
        <v>61</v>
      </c>
      <c r="E1186" s="2" t="s">
        <v>46</v>
      </c>
      <c r="F1186" s="2" t="s">
        <v>125</v>
      </c>
      <c r="G1186" s="2" t="s">
        <v>110</v>
      </c>
      <c r="H1186" s="2" t="s">
        <v>21</v>
      </c>
      <c r="I1186" s="2">
        <v>24</v>
      </c>
      <c r="J1186" s="2" t="s">
        <v>200</v>
      </c>
      <c r="K1186" s="2"/>
      <c r="L1186" s="2" t="s">
        <v>92</v>
      </c>
      <c r="M1186" s="2"/>
      <c r="N1186" s="2" t="s">
        <v>64</v>
      </c>
    </row>
    <row r="1187" spans="1:14" x14ac:dyDescent="0.25">
      <c r="A1187" s="2" t="s">
        <v>3240</v>
      </c>
      <c r="B1187" s="2" t="s">
        <v>3241</v>
      </c>
      <c r="C1187" s="2" t="s">
        <v>16</v>
      </c>
      <c r="D1187" s="2" t="s">
        <v>17</v>
      </c>
      <c r="E1187" s="2" t="s">
        <v>18</v>
      </c>
      <c r="F1187" s="2" t="s">
        <v>143</v>
      </c>
      <c r="G1187" s="2" t="s">
        <v>101</v>
      </c>
      <c r="H1187" s="2" t="s">
        <v>21</v>
      </c>
      <c r="I1187" s="2">
        <v>24</v>
      </c>
      <c r="J1187" s="2" t="s">
        <v>33</v>
      </c>
      <c r="K1187" s="2"/>
      <c r="L1187" s="2" t="s">
        <v>92</v>
      </c>
      <c r="M1187" s="2"/>
      <c r="N1187" s="2" t="s">
        <v>50</v>
      </c>
    </row>
    <row r="1188" spans="1:14" x14ac:dyDescent="0.25">
      <c r="A1188" s="2" t="s">
        <v>3242</v>
      </c>
      <c r="B1188" s="2" t="s">
        <v>3243</v>
      </c>
      <c r="C1188" s="2" t="s">
        <v>67</v>
      </c>
      <c r="D1188" s="2" t="s">
        <v>68</v>
      </c>
      <c r="E1188" s="2" t="s">
        <v>85</v>
      </c>
      <c r="F1188" s="2" t="s">
        <v>131</v>
      </c>
      <c r="G1188" s="2" t="s">
        <v>158</v>
      </c>
      <c r="H1188" s="2" t="s">
        <v>32</v>
      </c>
      <c r="I1188" s="2">
        <v>48</v>
      </c>
      <c r="J1188" s="2" t="s">
        <v>22</v>
      </c>
      <c r="K1188" s="2" t="s">
        <v>3244</v>
      </c>
      <c r="L1188" s="2" t="s">
        <v>24</v>
      </c>
      <c r="M1188" s="2">
        <v>4</v>
      </c>
      <c r="N1188" s="2" t="s">
        <v>43</v>
      </c>
    </row>
    <row r="1189" spans="1:14" x14ac:dyDescent="0.25">
      <c r="A1189" s="2" t="s">
        <v>3245</v>
      </c>
      <c r="B1189" s="2" t="s">
        <v>3246</v>
      </c>
      <c r="C1189" s="2" t="s">
        <v>16</v>
      </c>
      <c r="D1189" s="2" t="s">
        <v>84</v>
      </c>
      <c r="E1189" s="2" t="s">
        <v>85</v>
      </c>
      <c r="F1189" s="2" t="s">
        <v>19</v>
      </c>
      <c r="G1189" s="2" t="s">
        <v>179</v>
      </c>
      <c r="H1189" s="2" t="s">
        <v>74</v>
      </c>
      <c r="I1189" s="2">
        <v>8</v>
      </c>
      <c r="J1189" s="2" t="s">
        <v>22</v>
      </c>
      <c r="K1189" s="2" t="s">
        <v>3247</v>
      </c>
      <c r="L1189" s="2" t="s">
        <v>24</v>
      </c>
      <c r="M1189" s="2"/>
      <c r="N1189" s="2"/>
    </row>
    <row r="1190" spans="1:14" x14ac:dyDescent="0.25">
      <c r="A1190" s="2" t="s">
        <v>3248</v>
      </c>
      <c r="B1190" s="2" t="s">
        <v>3249</v>
      </c>
      <c r="C1190" s="2" t="s">
        <v>53</v>
      </c>
      <c r="D1190" s="2" t="s">
        <v>54</v>
      </c>
      <c r="E1190" s="2" t="s">
        <v>85</v>
      </c>
      <c r="F1190" s="2" t="s">
        <v>113</v>
      </c>
      <c r="G1190" s="2" t="s">
        <v>40</v>
      </c>
      <c r="H1190" s="2" t="s">
        <v>74</v>
      </c>
      <c r="I1190" s="2">
        <v>8</v>
      </c>
      <c r="J1190" s="2" t="s">
        <v>187</v>
      </c>
      <c r="K1190" s="2"/>
      <c r="L1190" s="2" t="s">
        <v>24</v>
      </c>
      <c r="M1190" s="2"/>
      <c r="N1190" s="2" t="s">
        <v>58</v>
      </c>
    </row>
    <row r="1191" spans="1:14" x14ac:dyDescent="0.25">
      <c r="A1191" s="2" t="s">
        <v>3250</v>
      </c>
      <c r="B1191" s="2" t="s">
        <v>3251</v>
      </c>
      <c r="C1191" s="2" t="s">
        <v>28</v>
      </c>
      <c r="D1191" s="2" t="s">
        <v>37</v>
      </c>
      <c r="E1191" s="2" t="s">
        <v>46</v>
      </c>
      <c r="F1191" s="2" t="s">
        <v>47</v>
      </c>
      <c r="G1191" s="2" t="s">
        <v>126</v>
      </c>
      <c r="H1191" s="2" t="s">
        <v>74</v>
      </c>
      <c r="I1191" s="2">
        <v>8</v>
      </c>
      <c r="J1191" s="2" t="s">
        <v>11</v>
      </c>
      <c r="K1191" s="2"/>
      <c r="L1191" s="2" t="s">
        <v>92</v>
      </c>
      <c r="M1191" s="2"/>
      <c r="N1191" s="2" t="s">
        <v>58</v>
      </c>
    </row>
    <row r="1192" spans="1:14" x14ac:dyDescent="0.25">
      <c r="A1192" s="2" t="s">
        <v>3252</v>
      </c>
      <c r="B1192" s="2" t="s">
        <v>3253</v>
      </c>
      <c r="C1192" s="2" t="s">
        <v>16</v>
      </c>
      <c r="D1192" s="2" t="s">
        <v>240</v>
      </c>
      <c r="E1192" s="2" t="s">
        <v>38</v>
      </c>
      <c r="F1192" s="2" t="s">
        <v>19</v>
      </c>
      <c r="G1192" s="2" t="s">
        <v>105</v>
      </c>
      <c r="H1192" s="2" t="s">
        <v>32</v>
      </c>
      <c r="I1192" s="2">
        <v>48</v>
      </c>
      <c r="J1192" s="2" t="s">
        <v>145</v>
      </c>
      <c r="K1192" s="2"/>
      <c r="L1192" s="2" t="s">
        <v>24</v>
      </c>
      <c r="M1192" s="2"/>
      <c r="N1192" s="2" t="s">
        <v>50</v>
      </c>
    </row>
    <row r="1193" spans="1:14" x14ac:dyDescent="0.25">
      <c r="A1193" s="2" t="s">
        <v>3254</v>
      </c>
      <c r="B1193" s="2" t="s">
        <v>3255</v>
      </c>
      <c r="C1193" s="2" t="s">
        <v>53</v>
      </c>
      <c r="D1193" s="2" t="s">
        <v>61</v>
      </c>
      <c r="E1193" s="2" t="s">
        <v>148</v>
      </c>
      <c r="F1193" s="2" t="s">
        <v>125</v>
      </c>
      <c r="G1193" s="2" t="s">
        <v>139</v>
      </c>
      <c r="H1193" s="2" t="s">
        <v>74</v>
      </c>
      <c r="I1193" s="2">
        <v>8</v>
      </c>
      <c r="J1193" s="2" t="s">
        <v>145</v>
      </c>
      <c r="K1193" s="2"/>
      <c r="L1193" s="2" t="s">
        <v>24</v>
      </c>
      <c r="M1193" s="2"/>
      <c r="N1193" s="2"/>
    </row>
    <row r="1194" spans="1:14" x14ac:dyDescent="0.25">
      <c r="A1194" s="2" t="s">
        <v>3256</v>
      </c>
      <c r="B1194" s="2" t="s">
        <v>3257</v>
      </c>
      <c r="C1194" s="2" t="s">
        <v>53</v>
      </c>
      <c r="D1194" s="2" t="s">
        <v>771</v>
      </c>
      <c r="E1194" s="2" t="s">
        <v>85</v>
      </c>
      <c r="F1194" s="2" t="s">
        <v>30</v>
      </c>
      <c r="G1194" s="2" t="s">
        <v>179</v>
      </c>
      <c r="H1194" s="2" t="s">
        <v>74</v>
      </c>
      <c r="I1194" s="2">
        <v>8</v>
      </c>
      <c r="J1194" s="2" t="s">
        <v>117</v>
      </c>
      <c r="K1194" s="2"/>
      <c r="L1194" s="2" t="s">
        <v>24</v>
      </c>
      <c r="M1194" s="2"/>
      <c r="N1194" s="2" t="s">
        <v>25</v>
      </c>
    </row>
    <row r="1195" spans="1:14" x14ac:dyDescent="0.25">
      <c r="A1195" s="2" t="s">
        <v>3258</v>
      </c>
      <c r="B1195" s="2" t="s">
        <v>3259</v>
      </c>
      <c r="C1195" s="2" t="s">
        <v>16</v>
      </c>
      <c r="D1195" s="2" t="s">
        <v>84</v>
      </c>
      <c r="E1195" s="2" t="s">
        <v>18</v>
      </c>
      <c r="F1195" s="2" t="s">
        <v>143</v>
      </c>
      <c r="G1195" s="2" t="s">
        <v>97</v>
      </c>
      <c r="H1195" s="2" t="s">
        <v>74</v>
      </c>
      <c r="I1195" s="2">
        <v>8</v>
      </c>
      <c r="J1195" s="2" t="s">
        <v>287</v>
      </c>
      <c r="K1195" s="2"/>
      <c r="L1195" s="2" t="s">
        <v>24</v>
      </c>
      <c r="M1195" s="2"/>
      <c r="N1195" s="2" t="s">
        <v>64</v>
      </c>
    </row>
    <row r="1196" spans="1:14" x14ac:dyDescent="0.25">
      <c r="A1196" s="2" t="s">
        <v>3260</v>
      </c>
      <c r="B1196" s="2" t="s">
        <v>3261</v>
      </c>
      <c r="C1196" s="2" t="s">
        <v>53</v>
      </c>
      <c r="D1196" s="2" t="s">
        <v>54</v>
      </c>
      <c r="E1196" s="2" t="s">
        <v>85</v>
      </c>
      <c r="F1196" s="2" t="s">
        <v>125</v>
      </c>
      <c r="G1196" s="2" t="s">
        <v>158</v>
      </c>
      <c r="H1196" s="2" t="s">
        <v>32</v>
      </c>
      <c r="I1196" s="2">
        <v>48</v>
      </c>
      <c r="J1196" s="2" t="s">
        <v>117</v>
      </c>
      <c r="K1196" s="2"/>
      <c r="L1196" s="2" t="s">
        <v>24</v>
      </c>
      <c r="M1196" s="2"/>
      <c r="N1196" s="2" t="s">
        <v>50</v>
      </c>
    </row>
    <row r="1197" spans="1:14" x14ac:dyDescent="0.25">
      <c r="A1197" s="2" t="s">
        <v>3262</v>
      </c>
      <c r="B1197" s="2" t="s">
        <v>3263</v>
      </c>
      <c r="C1197" s="2" t="s">
        <v>28</v>
      </c>
      <c r="D1197" s="2" t="s">
        <v>100</v>
      </c>
      <c r="E1197" s="2" t="s">
        <v>18</v>
      </c>
      <c r="F1197" s="2" t="s">
        <v>125</v>
      </c>
      <c r="G1197" s="2" t="s">
        <v>179</v>
      </c>
      <c r="H1197" s="2" t="s">
        <v>21</v>
      </c>
      <c r="I1197" s="2">
        <v>24</v>
      </c>
      <c r="J1197" s="2" t="s">
        <v>48</v>
      </c>
      <c r="K1197" s="2" t="s">
        <v>3264</v>
      </c>
      <c r="L1197" s="2" t="s">
        <v>24</v>
      </c>
      <c r="M1197" s="2">
        <v>1</v>
      </c>
      <c r="N1197" s="2" t="s">
        <v>118</v>
      </c>
    </row>
    <row r="1198" spans="1:14" x14ac:dyDescent="0.25">
      <c r="A1198" s="2" t="s">
        <v>3265</v>
      </c>
      <c r="B1198" s="2" t="s">
        <v>3266</v>
      </c>
      <c r="C1198" s="2" t="s">
        <v>67</v>
      </c>
      <c r="D1198" s="2" t="s">
        <v>68</v>
      </c>
      <c r="E1198" s="2" t="s">
        <v>90</v>
      </c>
      <c r="F1198" s="2" t="s">
        <v>30</v>
      </c>
      <c r="G1198" s="2" t="s">
        <v>110</v>
      </c>
      <c r="H1198" s="2" t="s">
        <v>32</v>
      </c>
      <c r="I1198" s="2">
        <v>48</v>
      </c>
      <c r="J1198" s="2" t="s">
        <v>22</v>
      </c>
      <c r="K1198" s="2" t="s">
        <v>3267</v>
      </c>
      <c r="L1198" s="2" t="s">
        <v>24</v>
      </c>
      <c r="M1198" s="2">
        <v>4</v>
      </c>
      <c r="N1198" s="2" t="s">
        <v>34</v>
      </c>
    </row>
    <row r="1199" spans="1:14" x14ac:dyDescent="0.25">
      <c r="A1199" s="2" t="s">
        <v>3268</v>
      </c>
      <c r="B1199" s="2" t="s">
        <v>3269</v>
      </c>
      <c r="C1199" s="2" t="s">
        <v>16</v>
      </c>
      <c r="D1199" s="2" t="s">
        <v>84</v>
      </c>
      <c r="E1199" s="2" t="s">
        <v>18</v>
      </c>
      <c r="F1199" s="2" t="s">
        <v>19</v>
      </c>
      <c r="G1199" s="2" t="s">
        <v>179</v>
      </c>
      <c r="H1199" s="2" t="s">
        <v>21</v>
      </c>
      <c r="I1199" s="2">
        <v>24</v>
      </c>
      <c r="J1199" s="2" t="s">
        <v>22</v>
      </c>
      <c r="K1199" s="2" t="s">
        <v>3270</v>
      </c>
      <c r="L1199" s="2" t="s">
        <v>24</v>
      </c>
      <c r="M1199" s="2"/>
      <c r="N1199" s="2" t="s">
        <v>64</v>
      </c>
    </row>
    <row r="1200" spans="1:14" x14ac:dyDescent="0.25">
      <c r="A1200" s="2" t="s">
        <v>3271</v>
      </c>
      <c r="B1200" s="2" t="s">
        <v>3272</v>
      </c>
      <c r="C1200" s="2" t="s">
        <v>16</v>
      </c>
      <c r="D1200" s="2" t="s">
        <v>84</v>
      </c>
      <c r="E1200" s="2" t="s">
        <v>85</v>
      </c>
      <c r="F1200" s="2" t="s">
        <v>19</v>
      </c>
      <c r="G1200" s="2" t="s">
        <v>144</v>
      </c>
      <c r="H1200" s="2" t="s">
        <v>21</v>
      </c>
      <c r="I1200" s="2">
        <v>24</v>
      </c>
      <c r="J1200" s="2" t="s">
        <v>155</v>
      </c>
      <c r="K1200" s="2"/>
      <c r="L1200" s="2" t="s">
        <v>92</v>
      </c>
      <c r="M1200" s="2"/>
      <c r="N1200" s="2" t="s">
        <v>128</v>
      </c>
    </row>
    <row r="1201" spans="1:14" x14ac:dyDescent="0.25">
      <c r="A1201" s="2" t="s">
        <v>3273</v>
      </c>
      <c r="B1201" s="2" t="s">
        <v>3274</v>
      </c>
      <c r="C1201" s="2" t="s">
        <v>53</v>
      </c>
      <c r="D1201" s="2" t="s">
        <v>54</v>
      </c>
      <c r="E1201" s="2" t="s">
        <v>148</v>
      </c>
      <c r="F1201" s="2" t="s">
        <v>131</v>
      </c>
      <c r="G1201" s="2" t="s">
        <v>139</v>
      </c>
      <c r="H1201" s="2" t="s">
        <v>21</v>
      </c>
      <c r="I1201" s="2">
        <v>24</v>
      </c>
      <c r="J1201" s="2" t="s">
        <v>22</v>
      </c>
      <c r="K1201" s="2" t="s">
        <v>3275</v>
      </c>
      <c r="L1201" s="2" t="s">
        <v>24</v>
      </c>
      <c r="M1201" s="2">
        <v>4</v>
      </c>
      <c r="N1201" s="2" t="s">
        <v>34</v>
      </c>
    </row>
    <row r="1202" spans="1:14" x14ac:dyDescent="0.25">
      <c r="A1202" s="2" t="s">
        <v>3276</v>
      </c>
      <c r="B1202" s="2" t="s">
        <v>3277</v>
      </c>
      <c r="C1202" s="2" t="s">
        <v>53</v>
      </c>
      <c r="D1202" s="2" t="s">
        <v>61</v>
      </c>
      <c r="E1202" s="2" t="s">
        <v>148</v>
      </c>
      <c r="F1202" s="2" t="s">
        <v>19</v>
      </c>
      <c r="G1202" s="2" t="s">
        <v>126</v>
      </c>
      <c r="H1202" s="2" t="s">
        <v>32</v>
      </c>
      <c r="I1202" s="2">
        <v>48</v>
      </c>
      <c r="J1202" s="2" t="s">
        <v>187</v>
      </c>
      <c r="K1202" s="2" t="s">
        <v>3278</v>
      </c>
      <c r="L1202" s="2" t="s">
        <v>24</v>
      </c>
      <c r="M1202" s="2"/>
      <c r="N1202" s="2" t="s">
        <v>64</v>
      </c>
    </row>
    <row r="1203" spans="1:14" x14ac:dyDescent="0.25">
      <c r="A1203" s="2" t="s">
        <v>3279</v>
      </c>
      <c r="B1203" s="2" t="s">
        <v>3280</v>
      </c>
      <c r="C1203" s="2" t="s">
        <v>53</v>
      </c>
      <c r="D1203" s="2" t="s">
        <v>54</v>
      </c>
      <c r="E1203" s="2" t="s">
        <v>85</v>
      </c>
      <c r="F1203" s="2" t="s">
        <v>96</v>
      </c>
      <c r="G1203" s="2" t="s">
        <v>179</v>
      </c>
      <c r="H1203" s="2" t="s">
        <v>74</v>
      </c>
      <c r="I1203" s="2">
        <v>8</v>
      </c>
      <c r="J1203" s="2" t="s">
        <v>155</v>
      </c>
      <c r="K1203" s="2"/>
      <c r="L1203" s="2" t="s">
        <v>24</v>
      </c>
      <c r="M1203" s="2"/>
      <c r="N1203" s="2"/>
    </row>
    <row r="1204" spans="1:14" x14ac:dyDescent="0.25">
      <c r="A1204" s="2" t="s">
        <v>3281</v>
      </c>
      <c r="B1204" s="2" t="s">
        <v>3282</v>
      </c>
      <c r="C1204" s="2" t="s">
        <v>28</v>
      </c>
      <c r="D1204" s="2" t="s">
        <v>37</v>
      </c>
      <c r="E1204" s="2" t="s">
        <v>79</v>
      </c>
      <c r="F1204" s="2" t="s">
        <v>62</v>
      </c>
      <c r="G1204" s="2" t="s">
        <v>158</v>
      </c>
      <c r="H1204" s="2" t="s">
        <v>80</v>
      </c>
      <c r="I1204" s="2">
        <v>4</v>
      </c>
      <c r="J1204" s="2" t="s">
        <v>106</v>
      </c>
      <c r="K1204" s="2" t="s">
        <v>3283</v>
      </c>
      <c r="L1204" s="2" t="s">
        <v>24</v>
      </c>
      <c r="M1204" s="2">
        <v>4</v>
      </c>
      <c r="N1204" s="2" t="s">
        <v>118</v>
      </c>
    </row>
    <row r="1205" spans="1:14" x14ac:dyDescent="0.25">
      <c r="A1205" s="2" t="s">
        <v>3284</v>
      </c>
      <c r="B1205" s="2" t="s">
        <v>3285</v>
      </c>
      <c r="C1205" s="2" t="s">
        <v>53</v>
      </c>
      <c r="D1205" s="2" t="s">
        <v>54</v>
      </c>
      <c r="E1205" s="2" t="s">
        <v>46</v>
      </c>
      <c r="F1205" s="2" t="s">
        <v>19</v>
      </c>
      <c r="G1205" s="2" t="s">
        <v>91</v>
      </c>
      <c r="H1205" s="2" t="s">
        <v>32</v>
      </c>
      <c r="I1205" s="2">
        <v>48</v>
      </c>
      <c r="J1205" s="2" t="s">
        <v>187</v>
      </c>
      <c r="K1205" s="2" t="s">
        <v>3286</v>
      </c>
      <c r="L1205" s="2" t="s">
        <v>24</v>
      </c>
      <c r="M1205" s="2">
        <v>5</v>
      </c>
      <c r="N1205" s="2"/>
    </row>
    <row r="1206" spans="1:14" x14ac:dyDescent="0.25">
      <c r="A1206" s="2" t="s">
        <v>3287</v>
      </c>
      <c r="B1206" s="2" t="s">
        <v>3288</v>
      </c>
      <c r="C1206" s="2" t="s">
        <v>16</v>
      </c>
      <c r="D1206" s="2" t="s">
        <v>84</v>
      </c>
      <c r="E1206" s="2" t="s">
        <v>148</v>
      </c>
      <c r="F1206" s="2" t="s">
        <v>113</v>
      </c>
      <c r="G1206" s="2" t="s">
        <v>70</v>
      </c>
      <c r="H1206" s="2" t="s">
        <v>21</v>
      </c>
      <c r="I1206" s="2">
        <v>24</v>
      </c>
      <c r="J1206" s="2" t="s">
        <v>48</v>
      </c>
      <c r="K1206" s="2" t="s">
        <v>3289</v>
      </c>
      <c r="L1206" s="2" t="s">
        <v>24</v>
      </c>
      <c r="M1206" s="2">
        <v>2</v>
      </c>
      <c r="N1206" s="2" t="s">
        <v>64</v>
      </c>
    </row>
    <row r="1207" spans="1:14" x14ac:dyDescent="0.25">
      <c r="A1207" s="2" t="s">
        <v>3290</v>
      </c>
      <c r="B1207" s="2" t="s">
        <v>3291</v>
      </c>
      <c r="C1207" s="2" t="s">
        <v>67</v>
      </c>
      <c r="D1207" s="2" t="s">
        <v>68</v>
      </c>
      <c r="E1207" s="2" t="s">
        <v>46</v>
      </c>
      <c r="F1207" s="2" t="s">
        <v>69</v>
      </c>
      <c r="G1207" s="2" t="s">
        <v>110</v>
      </c>
      <c r="H1207" s="2" t="s">
        <v>32</v>
      </c>
      <c r="I1207" s="2">
        <v>48</v>
      </c>
      <c r="J1207" s="2" t="s">
        <v>232</v>
      </c>
      <c r="K1207" s="2"/>
      <c r="L1207" s="2" t="s">
        <v>92</v>
      </c>
      <c r="M1207" s="2"/>
      <c r="N1207" s="2" t="s">
        <v>118</v>
      </c>
    </row>
    <row r="1208" spans="1:14" x14ac:dyDescent="0.25">
      <c r="A1208" s="2" t="s">
        <v>3292</v>
      </c>
      <c r="B1208" s="2" t="s">
        <v>3293</v>
      </c>
      <c r="C1208" s="2" t="s">
        <v>16</v>
      </c>
      <c r="D1208" s="2" t="s">
        <v>240</v>
      </c>
      <c r="E1208" s="2" t="s">
        <v>148</v>
      </c>
      <c r="F1208" s="2" t="s">
        <v>62</v>
      </c>
      <c r="G1208" s="2" t="s">
        <v>158</v>
      </c>
      <c r="H1208" s="2" t="s">
        <v>21</v>
      </c>
      <c r="I1208" s="2">
        <v>24</v>
      </c>
      <c r="J1208" s="2" t="s">
        <v>41</v>
      </c>
      <c r="K1208" s="2" t="s">
        <v>3294</v>
      </c>
      <c r="L1208" s="2" t="s">
        <v>24</v>
      </c>
      <c r="M1208" s="2"/>
      <c r="N1208" s="2" t="s">
        <v>128</v>
      </c>
    </row>
    <row r="1209" spans="1:14" x14ac:dyDescent="0.25">
      <c r="A1209" s="2" t="s">
        <v>3295</v>
      </c>
      <c r="B1209" s="2" t="s">
        <v>3296</v>
      </c>
      <c r="C1209" s="2" t="s">
        <v>53</v>
      </c>
      <c r="D1209" s="2" t="s">
        <v>61</v>
      </c>
      <c r="E1209" s="2" t="s">
        <v>79</v>
      </c>
      <c r="F1209" s="2" t="s">
        <v>125</v>
      </c>
      <c r="G1209" s="2" t="s">
        <v>158</v>
      </c>
      <c r="H1209" s="2" t="s">
        <v>21</v>
      </c>
      <c r="I1209" s="2">
        <v>24</v>
      </c>
      <c r="J1209" s="2" t="s">
        <v>41</v>
      </c>
      <c r="K1209" s="2" t="s">
        <v>3297</v>
      </c>
      <c r="L1209" s="2" t="s">
        <v>24</v>
      </c>
      <c r="M1209" s="2"/>
      <c r="N1209" s="2" t="s">
        <v>34</v>
      </c>
    </row>
    <row r="1210" spans="1:14" x14ac:dyDescent="0.25">
      <c r="A1210" s="2" t="s">
        <v>3298</v>
      </c>
      <c r="B1210" s="2" t="s">
        <v>3299</v>
      </c>
      <c r="C1210" s="2" t="s">
        <v>53</v>
      </c>
      <c r="D1210" s="2" t="s">
        <v>61</v>
      </c>
      <c r="E1210" s="2" t="s">
        <v>18</v>
      </c>
      <c r="F1210" s="2" t="s">
        <v>143</v>
      </c>
      <c r="G1210" s="2" t="s">
        <v>91</v>
      </c>
      <c r="H1210" s="2" t="s">
        <v>21</v>
      </c>
      <c r="I1210" s="2">
        <v>24</v>
      </c>
      <c r="J1210" s="2" t="s">
        <v>106</v>
      </c>
      <c r="K1210" s="2" t="s">
        <v>3300</v>
      </c>
      <c r="L1210" s="2" t="s">
        <v>24</v>
      </c>
      <c r="M1210" s="2">
        <v>2</v>
      </c>
      <c r="N1210" s="2" t="s">
        <v>34</v>
      </c>
    </row>
    <row r="1211" spans="1:14" x14ac:dyDescent="0.25">
      <c r="A1211" s="2" t="s">
        <v>3301</v>
      </c>
      <c r="B1211" s="2" t="s">
        <v>3302</v>
      </c>
      <c r="C1211" s="2" t="s">
        <v>28</v>
      </c>
      <c r="D1211" s="2" t="s">
        <v>100</v>
      </c>
      <c r="E1211" s="2" t="s">
        <v>46</v>
      </c>
      <c r="F1211" s="2" t="s">
        <v>30</v>
      </c>
      <c r="G1211" s="2" t="s">
        <v>183</v>
      </c>
      <c r="H1211" s="2" t="s">
        <v>32</v>
      </c>
      <c r="I1211" s="2">
        <v>48</v>
      </c>
      <c r="J1211" s="2" t="s">
        <v>41</v>
      </c>
      <c r="K1211" s="2" t="s">
        <v>3303</v>
      </c>
      <c r="L1211" s="2" t="s">
        <v>24</v>
      </c>
      <c r="M1211" s="2">
        <v>4</v>
      </c>
      <c r="N1211" s="2" t="s">
        <v>50</v>
      </c>
    </row>
    <row r="1212" spans="1:14" x14ac:dyDescent="0.25">
      <c r="A1212" s="2" t="s">
        <v>3304</v>
      </c>
      <c r="B1212" s="2" t="s">
        <v>3305</v>
      </c>
      <c r="C1212" s="2" t="s">
        <v>28</v>
      </c>
      <c r="D1212" s="2" t="s">
        <v>37</v>
      </c>
      <c r="E1212" s="2" t="s">
        <v>46</v>
      </c>
      <c r="F1212" s="2" t="s">
        <v>19</v>
      </c>
      <c r="G1212" s="2" t="s">
        <v>211</v>
      </c>
      <c r="H1212" s="2" t="s">
        <v>21</v>
      </c>
      <c r="I1212" s="2">
        <v>24</v>
      </c>
      <c r="J1212" s="2" t="s">
        <v>106</v>
      </c>
      <c r="K1212" s="2" t="s">
        <v>3306</v>
      </c>
      <c r="L1212" s="2" t="s">
        <v>24</v>
      </c>
      <c r="M1212" s="2">
        <v>1</v>
      </c>
      <c r="N1212" s="2"/>
    </row>
    <row r="1213" spans="1:14" x14ac:dyDescent="0.25">
      <c r="A1213" s="2" t="s">
        <v>3307</v>
      </c>
      <c r="B1213" s="2" t="s">
        <v>3308</v>
      </c>
      <c r="C1213" s="2" t="s">
        <v>53</v>
      </c>
      <c r="D1213" s="2" t="s">
        <v>54</v>
      </c>
      <c r="E1213" s="2" t="s">
        <v>79</v>
      </c>
      <c r="F1213" s="2" t="s">
        <v>125</v>
      </c>
      <c r="G1213" s="2" t="s">
        <v>110</v>
      </c>
      <c r="H1213" s="2" t="s">
        <v>32</v>
      </c>
      <c r="I1213" s="2">
        <v>48</v>
      </c>
      <c r="J1213" s="2" t="s">
        <v>106</v>
      </c>
      <c r="K1213" s="2" t="s">
        <v>3309</v>
      </c>
      <c r="L1213" s="2" t="s">
        <v>92</v>
      </c>
      <c r="M1213" s="2">
        <v>2</v>
      </c>
      <c r="N1213" s="2" t="s">
        <v>25</v>
      </c>
    </row>
    <row r="1214" spans="1:14" x14ac:dyDescent="0.25">
      <c r="A1214" s="2" t="s">
        <v>3310</v>
      </c>
      <c r="B1214" s="2" t="s">
        <v>3311</v>
      </c>
      <c r="C1214" s="2" t="s">
        <v>53</v>
      </c>
      <c r="D1214" s="2" t="s">
        <v>54</v>
      </c>
      <c r="E1214" s="2" t="s">
        <v>46</v>
      </c>
      <c r="F1214" s="2" t="s">
        <v>96</v>
      </c>
      <c r="G1214" s="2" t="s">
        <v>158</v>
      </c>
      <c r="H1214" s="2" t="s">
        <v>32</v>
      </c>
      <c r="I1214" s="2">
        <v>48</v>
      </c>
      <c r="J1214" s="2" t="s">
        <v>41</v>
      </c>
      <c r="K1214" s="2"/>
      <c r="L1214" s="2" t="s">
        <v>24</v>
      </c>
      <c r="M1214" s="2">
        <v>2</v>
      </c>
      <c r="N1214" s="2" t="s">
        <v>34</v>
      </c>
    </row>
    <row r="1215" spans="1:14" x14ac:dyDescent="0.25">
      <c r="A1215" s="2" t="s">
        <v>3312</v>
      </c>
      <c r="B1215" s="2" t="s">
        <v>3313</v>
      </c>
      <c r="C1215" s="2" t="s">
        <v>53</v>
      </c>
      <c r="D1215" s="2" t="s">
        <v>61</v>
      </c>
      <c r="E1215" s="2" t="s">
        <v>85</v>
      </c>
      <c r="F1215" s="2" t="s">
        <v>30</v>
      </c>
      <c r="G1215" s="2" t="s">
        <v>126</v>
      </c>
      <c r="H1215" s="2" t="s">
        <v>32</v>
      </c>
      <c r="I1215" s="2">
        <v>48</v>
      </c>
      <c r="J1215" s="2" t="s">
        <v>75</v>
      </c>
      <c r="K1215" s="2" t="s">
        <v>3314</v>
      </c>
      <c r="L1215" s="2" t="s">
        <v>92</v>
      </c>
      <c r="M1215" s="2"/>
      <c r="N1215" s="2" t="s">
        <v>58</v>
      </c>
    </row>
    <row r="1216" spans="1:14" x14ac:dyDescent="0.25">
      <c r="A1216" s="2" t="s">
        <v>3315</v>
      </c>
      <c r="B1216" s="2" t="s">
        <v>3316</v>
      </c>
      <c r="C1216" s="2" t="s">
        <v>28</v>
      </c>
      <c r="D1216" s="2" t="s">
        <v>37</v>
      </c>
      <c r="E1216" s="2" t="s">
        <v>46</v>
      </c>
      <c r="F1216" s="2" t="s">
        <v>125</v>
      </c>
      <c r="G1216" s="2" t="s">
        <v>139</v>
      </c>
      <c r="H1216" s="2" t="s">
        <v>74</v>
      </c>
      <c r="I1216" s="2">
        <v>8</v>
      </c>
      <c r="J1216" s="2" t="s">
        <v>117</v>
      </c>
      <c r="K1216" s="2"/>
      <c r="L1216" s="2" t="s">
        <v>24</v>
      </c>
      <c r="M1216" s="2"/>
      <c r="N1216" s="2" t="s">
        <v>34</v>
      </c>
    </row>
    <row r="1217" spans="1:14" x14ac:dyDescent="0.25">
      <c r="A1217" s="2" t="s">
        <v>3317</v>
      </c>
      <c r="B1217" s="2" t="s">
        <v>3318</v>
      </c>
      <c r="C1217" s="2" t="s">
        <v>28</v>
      </c>
      <c r="D1217" s="2" t="s">
        <v>100</v>
      </c>
      <c r="E1217" s="2" t="s">
        <v>38</v>
      </c>
      <c r="F1217" s="2" t="s">
        <v>69</v>
      </c>
      <c r="G1217" s="2" t="s">
        <v>40</v>
      </c>
      <c r="H1217" s="2" t="s">
        <v>74</v>
      </c>
      <c r="I1217" s="2">
        <v>8</v>
      </c>
      <c r="J1217" s="2" t="s">
        <v>22</v>
      </c>
      <c r="K1217" s="2" t="s">
        <v>3319</v>
      </c>
      <c r="L1217" s="2" t="s">
        <v>24</v>
      </c>
      <c r="M1217" s="2">
        <v>4</v>
      </c>
      <c r="N1217" s="2" t="s">
        <v>50</v>
      </c>
    </row>
    <row r="1218" spans="1:14" x14ac:dyDescent="0.25">
      <c r="A1218" s="2" t="s">
        <v>3320</v>
      </c>
      <c r="B1218" s="2" t="s">
        <v>3321</v>
      </c>
      <c r="C1218" s="2" t="s">
        <v>28</v>
      </c>
      <c r="D1218" s="2" t="s">
        <v>37</v>
      </c>
      <c r="E1218" s="2" t="s">
        <v>79</v>
      </c>
      <c r="F1218" s="2" t="s">
        <v>19</v>
      </c>
      <c r="G1218" s="2" t="s">
        <v>110</v>
      </c>
      <c r="H1218" s="2" t="s">
        <v>32</v>
      </c>
      <c r="I1218" s="2">
        <v>48</v>
      </c>
      <c r="J1218" s="2" t="s">
        <v>41</v>
      </c>
      <c r="K1218" s="2" t="s">
        <v>3322</v>
      </c>
      <c r="L1218" s="2" t="s">
        <v>24</v>
      </c>
      <c r="M1218" s="2">
        <v>5</v>
      </c>
      <c r="N1218" s="2" t="s">
        <v>50</v>
      </c>
    </row>
    <row r="1219" spans="1:14" x14ac:dyDescent="0.25">
      <c r="A1219" s="2" t="s">
        <v>3323</v>
      </c>
      <c r="B1219" s="2" t="s">
        <v>3324</v>
      </c>
      <c r="C1219" s="2" t="s">
        <v>67</v>
      </c>
      <c r="D1219" s="2" t="s">
        <v>95</v>
      </c>
      <c r="E1219" s="2" t="s">
        <v>46</v>
      </c>
      <c r="F1219" s="2" t="s">
        <v>125</v>
      </c>
      <c r="G1219" s="2" t="s">
        <v>70</v>
      </c>
      <c r="H1219" s="2" t="s">
        <v>74</v>
      </c>
      <c r="I1219" s="2">
        <v>8</v>
      </c>
      <c r="J1219" s="2" t="s">
        <v>287</v>
      </c>
      <c r="K1219" s="2"/>
      <c r="L1219" s="2" t="s">
        <v>24</v>
      </c>
      <c r="M1219" s="2"/>
      <c r="N1219" s="2" t="s">
        <v>25</v>
      </c>
    </row>
    <row r="1220" spans="1:14" x14ac:dyDescent="0.25">
      <c r="A1220" s="2" t="s">
        <v>3325</v>
      </c>
      <c r="B1220" s="2" t="s">
        <v>3326</v>
      </c>
      <c r="C1220" s="2" t="s">
        <v>16</v>
      </c>
      <c r="D1220" s="2" t="s">
        <v>84</v>
      </c>
      <c r="E1220" s="2" t="s">
        <v>38</v>
      </c>
      <c r="F1220" s="2" t="s">
        <v>39</v>
      </c>
      <c r="G1220" s="2" t="s">
        <v>31</v>
      </c>
      <c r="H1220" s="2" t="s">
        <v>80</v>
      </c>
      <c r="I1220" s="2">
        <v>4</v>
      </c>
      <c r="J1220" s="2" t="s">
        <v>22</v>
      </c>
      <c r="K1220" s="2" t="s">
        <v>3327</v>
      </c>
      <c r="L1220" s="2" t="s">
        <v>24</v>
      </c>
      <c r="M1220" s="2"/>
      <c r="N1220" s="2"/>
    </row>
    <row r="1221" spans="1:14" x14ac:dyDescent="0.25">
      <c r="A1221" s="2" t="s">
        <v>3328</v>
      </c>
      <c r="B1221" s="2" t="s">
        <v>3329</v>
      </c>
      <c r="C1221" s="2" t="s">
        <v>67</v>
      </c>
      <c r="D1221" s="2" t="s">
        <v>68</v>
      </c>
      <c r="E1221" s="2" t="s">
        <v>46</v>
      </c>
      <c r="F1221" s="2" t="s">
        <v>47</v>
      </c>
      <c r="G1221" s="2" t="s">
        <v>139</v>
      </c>
      <c r="H1221" s="2" t="s">
        <v>21</v>
      </c>
      <c r="I1221" s="2">
        <v>24</v>
      </c>
      <c r="J1221" s="2" t="s">
        <v>11</v>
      </c>
      <c r="K1221" s="2"/>
      <c r="L1221" s="2" t="s">
        <v>92</v>
      </c>
      <c r="M1221" s="2"/>
      <c r="N1221" s="2" t="s">
        <v>64</v>
      </c>
    </row>
    <row r="1222" spans="1:14" x14ac:dyDescent="0.25">
      <c r="A1222" s="2" t="s">
        <v>3330</v>
      </c>
      <c r="B1222" s="2" t="s">
        <v>3331</v>
      </c>
      <c r="C1222" s="2" t="s">
        <v>67</v>
      </c>
      <c r="D1222" s="2" t="s">
        <v>95</v>
      </c>
      <c r="E1222" s="2" t="s">
        <v>90</v>
      </c>
      <c r="F1222" s="2" t="s">
        <v>19</v>
      </c>
      <c r="G1222" s="2" t="s">
        <v>110</v>
      </c>
      <c r="H1222" s="2" t="s">
        <v>80</v>
      </c>
      <c r="I1222" s="2">
        <v>4</v>
      </c>
      <c r="J1222" s="2" t="s">
        <v>22</v>
      </c>
      <c r="K1222" s="2" t="s">
        <v>3332</v>
      </c>
      <c r="L1222" s="2" t="s">
        <v>24</v>
      </c>
      <c r="M1222" s="2">
        <v>1</v>
      </c>
      <c r="N1222" s="2" t="s">
        <v>43</v>
      </c>
    </row>
    <row r="1223" spans="1:14" x14ac:dyDescent="0.25">
      <c r="A1223" s="2" t="s">
        <v>3333</v>
      </c>
      <c r="B1223" s="2" t="s">
        <v>3334</v>
      </c>
      <c r="C1223" s="2" t="s">
        <v>28</v>
      </c>
      <c r="D1223" s="2" t="s">
        <v>100</v>
      </c>
      <c r="E1223" s="2" t="s">
        <v>148</v>
      </c>
      <c r="F1223" s="2" t="s">
        <v>39</v>
      </c>
      <c r="G1223" s="2" t="s">
        <v>31</v>
      </c>
      <c r="H1223" s="2" t="s">
        <v>21</v>
      </c>
      <c r="I1223" s="2">
        <v>24</v>
      </c>
      <c r="J1223" s="2" t="s">
        <v>117</v>
      </c>
      <c r="K1223" s="2"/>
      <c r="L1223" s="2" t="s">
        <v>24</v>
      </c>
      <c r="M1223" s="2"/>
      <c r="N1223" s="2" t="s">
        <v>25</v>
      </c>
    </row>
    <row r="1224" spans="1:14" x14ac:dyDescent="0.25">
      <c r="A1224" s="2" t="s">
        <v>3335</v>
      </c>
      <c r="B1224" s="2" t="s">
        <v>3336</v>
      </c>
      <c r="C1224" s="2" t="s">
        <v>16</v>
      </c>
      <c r="D1224" s="2" t="s">
        <v>17</v>
      </c>
      <c r="E1224" s="2" t="s">
        <v>85</v>
      </c>
      <c r="F1224" s="2" t="s">
        <v>62</v>
      </c>
      <c r="G1224" s="2" t="s">
        <v>20</v>
      </c>
      <c r="H1224" s="2" t="s">
        <v>21</v>
      </c>
      <c r="I1224" s="2">
        <v>24</v>
      </c>
      <c r="J1224" s="2" t="s">
        <v>106</v>
      </c>
      <c r="K1224" s="2" t="s">
        <v>3337</v>
      </c>
      <c r="L1224" s="2" t="s">
        <v>24</v>
      </c>
      <c r="M1224" s="2">
        <v>3</v>
      </c>
      <c r="N1224" s="2" t="s">
        <v>34</v>
      </c>
    </row>
    <row r="1225" spans="1:14" x14ac:dyDescent="0.25">
      <c r="A1225" s="2" t="s">
        <v>3338</v>
      </c>
      <c r="B1225" s="2" t="s">
        <v>3339</v>
      </c>
      <c r="C1225" s="2" t="s">
        <v>16</v>
      </c>
      <c r="D1225" s="2" t="s">
        <v>84</v>
      </c>
      <c r="E1225" s="2" t="s">
        <v>38</v>
      </c>
      <c r="F1225" s="2" t="s">
        <v>39</v>
      </c>
      <c r="G1225" s="2" t="s">
        <v>105</v>
      </c>
      <c r="H1225" s="2" t="s">
        <v>21</v>
      </c>
      <c r="I1225" s="2">
        <v>24</v>
      </c>
      <c r="J1225" s="2" t="s">
        <v>187</v>
      </c>
      <c r="K1225" s="2" t="s">
        <v>3340</v>
      </c>
      <c r="L1225" s="2" t="s">
        <v>24</v>
      </c>
      <c r="M1225" s="2">
        <v>2</v>
      </c>
      <c r="N1225" s="2" t="s">
        <v>25</v>
      </c>
    </row>
    <row r="1226" spans="1:14" x14ac:dyDescent="0.25">
      <c r="A1226" s="2" t="s">
        <v>3341</v>
      </c>
      <c r="B1226" s="2" t="s">
        <v>3342</v>
      </c>
      <c r="C1226" s="2" t="s">
        <v>28</v>
      </c>
      <c r="D1226" s="2" t="s">
        <v>37</v>
      </c>
      <c r="E1226" s="2" t="s">
        <v>85</v>
      </c>
      <c r="F1226" s="2" t="s">
        <v>96</v>
      </c>
      <c r="G1226" s="2" t="s">
        <v>20</v>
      </c>
      <c r="H1226" s="2" t="s">
        <v>32</v>
      </c>
      <c r="I1226" s="2">
        <v>48</v>
      </c>
      <c r="J1226" s="2" t="s">
        <v>106</v>
      </c>
      <c r="K1226" s="2" t="s">
        <v>3343</v>
      </c>
      <c r="L1226" s="2" t="s">
        <v>24</v>
      </c>
      <c r="M1226" s="2">
        <v>2</v>
      </c>
      <c r="N1226" s="2" t="s">
        <v>58</v>
      </c>
    </row>
    <row r="1227" spans="1:14" x14ac:dyDescent="0.25">
      <c r="A1227" s="2" t="s">
        <v>3344</v>
      </c>
      <c r="B1227" s="2" t="s">
        <v>3345</v>
      </c>
      <c r="C1227" s="2" t="s">
        <v>28</v>
      </c>
      <c r="D1227" s="2" t="s">
        <v>220</v>
      </c>
      <c r="E1227" s="2" t="s">
        <v>148</v>
      </c>
      <c r="F1227" s="2" t="s">
        <v>125</v>
      </c>
      <c r="G1227" s="2" t="s">
        <v>139</v>
      </c>
      <c r="H1227" s="2" t="s">
        <v>80</v>
      </c>
      <c r="I1227" s="2">
        <v>4</v>
      </c>
      <c r="J1227" s="2" t="s">
        <v>41</v>
      </c>
      <c r="K1227" s="2" t="s">
        <v>3346</v>
      </c>
      <c r="L1227" s="2" t="s">
        <v>24</v>
      </c>
      <c r="M1227" s="2">
        <v>5</v>
      </c>
      <c r="N1227" s="2" t="s">
        <v>50</v>
      </c>
    </row>
    <row r="1228" spans="1:14" x14ac:dyDescent="0.25">
      <c r="A1228" s="2" t="s">
        <v>3347</v>
      </c>
      <c r="B1228" s="2" t="s">
        <v>3348</v>
      </c>
      <c r="C1228" s="2" t="s">
        <v>53</v>
      </c>
      <c r="D1228" s="2" t="s">
        <v>54</v>
      </c>
      <c r="E1228" s="2" t="s">
        <v>148</v>
      </c>
      <c r="F1228" s="2" t="s">
        <v>39</v>
      </c>
      <c r="G1228" s="2" t="s">
        <v>101</v>
      </c>
      <c r="H1228" s="2" t="s">
        <v>21</v>
      </c>
      <c r="I1228" s="2">
        <v>24</v>
      </c>
      <c r="J1228" s="2" t="s">
        <v>41</v>
      </c>
      <c r="K1228" s="2" t="s">
        <v>3349</v>
      </c>
      <c r="L1228" s="2" t="s">
        <v>24</v>
      </c>
      <c r="M1228" s="2">
        <v>2</v>
      </c>
      <c r="N1228" s="2"/>
    </row>
    <row r="1229" spans="1:14" x14ac:dyDescent="0.25">
      <c r="A1229" s="2" t="s">
        <v>3350</v>
      </c>
      <c r="B1229" s="2" t="s">
        <v>3351</v>
      </c>
      <c r="C1229" s="2" t="s">
        <v>16</v>
      </c>
      <c r="D1229" s="2" t="s">
        <v>17</v>
      </c>
      <c r="E1229" s="2" t="s">
        <v>18</v>
      </c>
      <c r="F1229" s="2" t="s">
        <v>30</v>
      </c>
      <c r="G1229" s="2" t="s">
        <v>183</v>
      </c>
      <c r="H1229" s="2" t="s">
        <v>74</v>
      </c>
      <c r="I1229" s="2">
        <v>8</v>
      </c>
      <c r="J1229" s="2" t="s">
        <v>48</v>
      </c>
      <c r="K1229" s="2" t="s">
        <v>3352</v>
      </c>
      <c r="L1229" s="2" t="s">
        <v>24</v>
      </c>
      <c r="M1229" s="2">
        <v>2</v>
      </c>
      <c r="N1229" s="2" t="s">
        <v>58</v>
      </c>
    </row>
    <row r="1230" spans="1:14" x14ac:dyDescent="0.25">
      <c r="A1230" s="2" t="s">
        <v>3353</v>
      </c>
      <c r="B1230" s="2" t="s">
        <v>3354</v>
      </c>
      <c r="C1230" s="2" t="s">
        <v>67</v>
      </c>
      <c r="D1230" s="2" t="s">
        <v>68</v>
      </c>
      <c r="E1230" s="2" t="s">
        <v>90</v>
      </c>
      <c r="F1230" s="2" t="s">
        <v>131</v>
      </c>
      <c r="G1230" s="2" t="s">
        <v>179</v>
      </c>
      <c r="H1230" s="2" t="s">
        <v>32</v>
      </c>
      <c r="I1230" s="2">
        <v>48</v>
      </c>
      <c r="J1230" s="2" t="s">
        <v>75</v>
      </c>
      <c r="K1230" s="2" t="s">
        <v>3355</v>
      </c>
      <c r="L1230" s="2" t="s">
        <v>24</v>
      </c>
      <c r="M1230" s="2">
        <v>1</v>
      </c>
      <c r="N1230" s="2"/>
    </row>
    <row r="1231" spans="1:14" x14ac:dyDescent="0.25">
      <c r="A1231" s="2" t="s">
        <v>3356</v>
      </c>
      <c r="B1231" s="2" t="s">
        <v>3357</v>
      </c>
      <c r="C1231" s="2" t="s">
        <v>16</v>
      </c>
      <c r="D1231" s="2" t="s">
        <v>17</v>
      </c>
      <c r="E1231" s="2" t="s">
        <v>85</v>
      </c>
      <c r="F1231" s="2" t="s">
        <v>19</v>
      </c>
      <c r="G1231" s="2" t="s">
        <v>110</v>
      </c>
      <c r="H1231" s="2" t="s">
        <v>21</v>
      </c>
      <c r="I1231" s="2">
        <v>24</v>
      </c>
      <c r="J1231" s="2" t="s">
        <v>22</v>
      </c>
      <c r="K1231" s="2" t="s">
        <v>3358</v>
      </c>
      <c r="L1231" s="2" t="s">
        <v>92</v>
      </c>
      <c r="M1231" s="2">
        <v>3</v>
      </c>
      <c r="N1231" s="2" t="s">
        <v>34</v>
      </c>
    </row>
    <row r="1232" spans="1:14" x14ac:dyDescent="0.25">
      <c r="A1232" s="2" t="s">
        <v>3359</v>
      </c>
      <c r="B1232" s="2" t="s">
        <v>3360</v>
      </c>
      <c r="C1232" s="2" t="s">
        <v>16</v>
      </c>
      <c r="D1232" s="2" t="s">
        <v>84</v>
      </c>
      <c r="E1232" s="2" t="s">
        <v>90</v>
      </c>
      <c r="F1232" s="2" t="s">
        <v>39</v>
      </c>
      <c r="G1232" s="2" t="s">
        <v>135</v>
      </c>
      <c r="H1232" s="2" t="s">
        <v>32</v>
      </c>
      <c r="I1232" s="2">
        <v>48</v>
      </c>
      <c r="J1232" s="2" t="s">
        <v>200</v>
      </c>
      <c r="K1232" s="2"/>
      <c r="L1232" s="2" t="s">
        <v>92</v>
      </c>
      <c r="M1232" s="2"/>
      <c r="N1232" s="2" t="s">
        <v>34</v>
      </c>
    </row>
    <row r="1233" spans="1:14" x14ac:dyDescent="0.25">
      <c r="A1233" s="2" t="s">
        <v>3361</v>
      </c>
      <c r="B1233" s="2" t="s">
        <v>3362</v>
      </c>
      <c r="C1233" s="2" t="s">
        <v>53</v>
      </c>
      <c r="D1233" s="2" t="s">
        <v>54</v>
      </c>
      <c r="E1233" s="2" t="s">
        <v>79</v>
      </c>
      <c r="F1233" s="2" t="s">
        <v>30</v>
      </c>
      <c r="G1233" s="2" t="s">
        <v>97</v>
      </c>
      <c r="H1233" s="2" t="s">
        <v>74</v>
      </c>
      <c r="I1233" s="2">
        <v>8</v>
      </c>
      <c r="J1233" s="2" t="s">
        <v>75</v>
      </c>
      <c r="K1233" s="2" t="s">
        <v>3363</v>
      </c>
      <c r="L1233" s="2" t="s">
        <v>24</v>
      </c>
      <c r="M1233" s="2">
        <v>3</v>
      </c>
      <c r="N1233" s="2" t="s">
        <v>58</v>
      </c>
    </row>
    <row r="1234" spans="1:14" x14ac:dyDescent="0.25">
      <c r="A1234" s="2" t="s">
        <v>3364</v>
      </c>
      <c r="B1234" s="2" t="s">
        <v>3365</v>
      </c>
      <c r="C1234" s="2" t="s">
        <v>67</v>
      </c>
      <c r="D1234" s="2" t="s">
        <v>95</v>
      </c>
      <c r="E1234" s="2" t="s">
        <v>90</v>
      </c>
      <c r="F1234" s="2" t="s">
        <v>96</v>
      </c>
      <c r="G1234" s="2" t="s">
        <v>31</v>
      </c>
      <c r="H1234" s="2" t="s">
        <v>32</v>
      </c>
      <c r="I1234" s="2">
        <v>48</v>
      </c>
      <c r="J1234" s="2" t="s">
        <v>75</v>
      </c>
      <c r="K1234" s="2" t="s">
        <v>3366</v>
      </c>
      <c r="L1234" s="2" t="s">
        <v>24</v>
      </c>
      <c r="M1234" s="2">
        <v>4</v>
      </c>
      <c r="N1234" s="2" t="s">
        <v>34</v>
      </c>
    </row>
    <row r="1235" spans="1:14" x14ac:dyDescent="0.25">
      <c r="A1235" s="2" t="s">
        <v>3367</v>
      </c>
      <c r="B1235" s="2" t="s">
        <v>3368</v>
      </c>
      <c r="C1235" s="2" t="s">
        <v>67</v>
      </c>
      <c r="D1235" s="2" t="s">
        <v>95</v>
      </c>
      <c r="E1235" s="2" t="s">
        <v>85</v>
      </c>
      <c r="F1235" s="2" t="s">
        <v>30</v>
      </c>
      <c r="G1235" s="2" t="s">
        <v>144</v>
      </c>
      <c r="H1235" s="2" t="s">
        <v>21</v>
      </c>
      <c r="I1235" s="2">
        <v>24</v>
      </c>
      <c r="J1235" s="2" t="s">
        <v>22</v>
      </c>
      <c r="K1235" s="2" t="s">
        <v>3369</v>
      </c>
      <c r="L1235" s="2" t="s">
        <v>24</v>
      </c>
      <c r="M1235" s="2"/>
      <c r="N1235" s="2" t="s">
        <v>50</v>
      </c>
    </row>
    <row r="1236" spans="1:14" x14ac:dyDescent="0.25">
      <c r="A1236" s="2" t="s">
        <v>3370</v>
      </c>
      <c r="B1236" s="2" t="s">
        <v>3371</v>
      </c>
      <c r="C1236" s="2" t="s">
        <v>28</v>
      </c>
      <c r="D1236" s="2" t="s">
        <v>100</v>
      </c>
      <c r="E1236" s="2" t="s">
        <v>38</v>
      </c>
      <c r="F1236" s="2" t="s">
        <v>113</v>
      </c>
      <c r="G1236" s="2" t="s">
        <v>121</v>
      </c>
      <c r="H1236" s="2" t="s">
        <v>80</v>
      </c>
      <c r="I1236" s="2">
        <v>4</v>
      </c>
      <c r="J1236" s="2" t="s">
        <v>41</v>
      </c>
      <c r="K1236" s="2" t="s">
        <v>3372</v>
      </c>
      <c r="L1236" s="2" t="s">
        <v>24</v>
      </c>
      <c r="M1236" s="2">
        <v>3</v>
      </c>
      <c r="N1236" s="2" t="s">
        <v>58</v>
      </c>
    </row>
    <row r="1237" spans="1:14" x14ac:dyDescent="0.25">
      <c r="A1237" s="2" t="s">
        <v>3373</v>
      </c>
      <c r="B1237" s="2" t="s">
        <v>3374</v>
      </c>
      <c r="C1237" s="2" t="s">
        <v>67</v>
      </c>
      <c r="D1237" s="2" t="s">
        <v>68</v>
      </c>
      <c r="E1237" s="2" t="s">
        <v>85</v>
      </c>
      <c r="F1237" s="2" t="s">
        <v>113</v>
      </c>
      <c r="G1237" s="2" t="s">
        <v>211</v>
      </c>
      <c r="H1237" s="2" t="s">
        <v>21</v>
      </c>
      <c r="I1237" s="2">
        <v>24</v>
      </c>
      <c r="J1237" s="2" t="s">
        <v>155</v>
      </c>
      <c r="K1237" s="2"/>
      <c r="L1237" s="2" t="s">
        <v>24</v>
      </c>
      <c r="M1237" s="2"/>
      <c r="N1237" s="2"/>
    </row>
    <row r="1238" spans="1:14" x14ac:dyDescent="0.25">
      <c r="A1238" s="2" t="s">
        <v>3375</v>
      </c>
      <c r="B1238" s="2" t="s">
        <v>3376</v>
      </c>
      <c r="C1238" s="2" t="s">
        <v>67</v>
      </c>
      <c r="D1238" s="2" t="s">
        <v>68</v>
      </c>
      <c r="E1238" s="2" t="s">
        <v>46</v>
      </c>
      <c r="F1238" s="2" t="s">
        <v>55</v>
      </c>
      <c r="G1238" s="2" t="s">
        <v>211</v>
      </c>
      <c r="H1238" s="2" t="s">
        <v>21</v>
      </c>
      <c r="I1238" s="2">
        <v>24</v>
      </c>
      <c r="J1238" s="2" t="s">
        <v>117</v>
      </c>
      <c r="K1238" s="2"/>
      <c r="L1238" s="2" t="s">
        <v>24</v>
      </c>
      <c r="M1238" s="2"/>
      <c r="N1238" s="2" t="s">
        <v>128</v>
      </c>
    </row>
    <row r="1239" spans="1:14" x14ac:dyDescent="0.25">
      <c r="A1239" s="2" t="s">
        <v>3377</v>
      </c>
      <c r="B1239" s="2" t="s">
        <v>3378</v>
      </c>
      <c r="C1239" s="2" t="s">
        <v>53</v>
      </c>
      <c r="D1239" s="2" t="s">
        <v>54</v>
      </c>
      <c r="E1239" s="2" t="s">
        <v>79</v>
      </c>
      <c r="F1239" s="2" t="s">
        <v>19</v>
      </c>
      <c r="G1239" s="2" t="s">
        <v>135</v>
      </c>
      <c r="H1239" s="2" t="s">
        <v>74</v>
      </c>
      <c r="I1239" s="2">
        <v>8</v>
      </c>
      <c r="J1239" s="2" t="s">
        <v>75</v>
      </c>
      <c r="K1239" s="2" t="s">
        <v>3379</v>
      </c>
      <c r="L1239" s="2" t="s">
        <v>24</v>
      </c>
      <c r="M1239" s="2">
        <v>2</v>
      </c>
      <c r="N1239" s="2" t="s">
        <v>128</v>
      </c>
    </row>
    <row r="1240" spans="1:14" x14ac:dyDescent="0.25">
      <c r="A1240" s="2" t="s">
        <v>3380</v>
      </c>
      <c r="B1240" s="2" t="s">
        <v>3381</v>
      </c>
      <c r="C1240" s="2" t="s">
        <v>67</v>
      </c>
      <c r="D1240" s="2" t="s">
        <v>95</v>
      </c>
      <c r="E1240" s="2" t="s">
        <v>79</v>
      </c>
      <c r="F1240" s="2" t="s">
        <v>30</v>
      </c>
      <c r="G1240" s="2" t="s">
        <v>110</v>
      </c>
      <c r="H1240" s="2" t="s">
        <v>21</v>
      </c>
      <c r="I1240" s="2">
        <v>24</v>
      </c>
      <c r="J1240" s="2" t="s">
        <v>41</v>
      </c>
      <c r="K1240" s="2" t="s">
        <v>3382</v>
      </c>
      <c r="L1240" s="2" t="s">
        <v>24</v>
      </c>
      <c r="M1240" s="2"/>
      <c r="N1240" s="2" t="s">
        <v>50</v>
      </c>
    </row>
    <row r="1241" spans="1:14" x14ac:dyDescent="0.25">
      <c r="A1241" s="2" t="s">
        <v>3383</v>
      </c>
      <c r="B1241" s="2" t="s">
        <v>3384</v>
      </c>
      <c r="C1241" s="2" t="s">
        <v>67</v>
      </c>
      <c r="D1241" s="2" t="s">
        <v>601</v>
      </c>
      <c r="E1241" s="2" t="s">
        <v>148</v>
      </c>
      <c r="F1241" s="2" t="s">
        <v>113</v>
      </c>
      <c r="G1241" s="2" t="s">
        <v>139</v>
      </c>
      <c r="H1241" s="2" t="s">
        <v>74</v>
      </c>
      <c r="I1241" s="2">
        <v>8</v>
      </c>
      <c r="J1241" s="2" t="s">
        <v>41</v>
      </c>
      <c r="K1241" s="2" t="s">
        <v>3385</v>
      </c>
      <c r="L1241" s="2" t="s">
        <v>24</v>
      </c>
      <c r="M1241" s="2">
        <v>5</v>
      </c>
      <c r="N1241" s="2" t="s">
        <v>128</v>
      </c>
    </row>
    <row r="1242" spans="1:14" x14ac:dyDescent="0.25">
      <c r="A1242" s="2" t="s">
        <v>3386</v>
      </c>
      <c r="B1242" s="2" t="s">
        <v>3387</v>
      </c>
      <c r="C1242" s="2" t="s">
        <v>53</v>
      </c>
      <c r="D1242" s="2" t="s">
        <v>54</v>
      </c>
      <c r="E1242" s="2" t="s">
        <v>90</v>
      </c>
      <c r="F1242" s="2" t="s">
        <v>47</v>
      </c>
      <c r="G1242" s="2" t="s">
        <v>135</v>
      </c>
      <c r="H1242" s="2" t="s">
        <v>21</v>
      </c>
      <c r="I1242" s="2">
        <v>24</v>
      </c>
      <c r="J1242" s="2" t="s">
        <v>41</v>
      </c>
      <c r="K1242" s="2" t="s">
        <v>3388</v>
      </c>
      <c r="L1242" s="2" t="s">
        <v>24</v>
      </c>
      <c r="M1242" s="2">
        <v>5</v>
      </c>
      <c r="N1242" s="2"/>
    </row>
    <row r="1243" spans="1:14" x14ac:dyDescent="0.25">
      <c r="A1243" s="2" t="s">
        <v>3389</v>
      </c>
      <c r="B1243" s="2" t="s">
        <v>3390</v>
      </c>
      <c r="C1243" s="2" t="s">
        <v>67</v>
      </c>
      <c r="D1243" s="2" t="s">
        <v>89</v>
      </c>
      <c r="E1243" s="2" t="s">
        <v>148</v>
      </c>
      <c r="F1243" s="2" t="s">
        <v>55</v>
      </c>
      <c r="G1243" s="2" t="s">
        <v>101</v>
      </c>
      <c r="H1243" s="2" t="s">
        <v>21</v>
      </c>
      <c r="I1243" s="2">
        <v>24</v>
      </c>
      <c r="J1243" s="2" t="s">
        <v>22</v>
      </c>
      <c r="K1243" s="2" t="s">
        <v>3391</v>
      </c>
      <c r="L1243" s="2" t="s">
        <v>24</v>
      </c>
      <c r="M1243" s="2"/>
      <c r="N1243" s="2"/>
    </row>
    <row r="1244" spans="1:14" x14ac:dyDescent="0.25">
      <c r="A1244" s="2" t="s">
        <v>3392</v>
      </c>
      <c r="B1244" s="2" t="s">
        <v>3393</v>
      </c>
      <c r="C1244" s="2" t="s">
        <v>67</v>
      </c>
      <c r="D1244" s="2" t="s">
        <v>68</v>
      </c>
      <c r="E1244" s="2" t="s">
        <v>38</v>
      </c>
      <c r="F1244" s="2" t="s">
        <v>125</v>
      </c>
      <c r="G1244" s="2" t="s">
        <v>179</v>
      </c>
      <c r="H1244" s="2" t="s">
        <v>32</v>
      </c>
      <c r="I1244" s="2">
        <v>48</v>
      </c>
      <c r="J1244" s="2" t="s">
        <v>287</v>
      </c>
      <c r="K1244" s="2"/>
      <c r="L1244" s="2" t="s">
        <v>24</v>
      </c>
      <c r="M1244" s="2"/>
      <c r="N1244" s="2"/>
    </row>
    <row r="1245" spans="1:14" x14ac:dyDescent="0.25">
      <c r="A1245" s="2" t="s">
        <v>3394</v>
      </c>
      <c r="B1245" s="2" t="s">
        <v>3395</v>
      </c>
      <c r="C1245" s="2" t="s">
        <v>53</v>
      </c>
      <c r="D1245" s="2" t="s">
        <v>54</v>
      </c>
      <c r="E1245" s="2" t="s">
        <v>18</v>
      </c>
      <c r="F1245" s="2" t="s">
        <v>39</v>
      </c>
      <c r="G1245" s="2" t="s">
        <v>183</v>
      </c>
      <c r="H1245" s="2" t="s">
        <v>21</v>
      </c>
      <c r="I1245" s="2">
        <v>24</v>
      </c>
      <c r="J1245" s="2" t="s">
        <v>106</v>
      </c>
      <c r="K1245" s="2" t="s">
        <v>3396</v>
      </c>
      <c r="L1245" s="2" t="s">
        <v>24</v>
      </c>
      <c r="M1245" s="2"/>
      <c r="N1245" s="2" t="s">
        <v>128</v>
      </c>
    </row>
    <row r="1246" spans="1:14" x14ac:dyDescent="0.25">
      <c r="A1246" s="2" t="s">
        <v>3397</v>
      </c>
      <c r="B1246" s="2" t="s">
        <v>3398</v>
      </c>
      <c r="C1246" s="2" t="s">
        <v>53</v>
      </c>
      <c r="D1246" s="2" t="s">
        <v>61</v>
      </c>
      <c r="E1246" s="2" t="s">
        <v>18</v>
      </c>
      <c r="F1246" s="2" t="s">
        <v>47</v>
      </c>
      <c r="G1246" s="2" t="s">
        <v>139</v>
      </c>
      <c r="H1246" s="2" t="s">
        <v>74</v>
      </c>
      <c r="I1246" s="2">
        <v>8</v>
      </c>
      <c r="J1246" s="2" t="s">
        <v>106</v>
      </c>
      <c r="K1246" s="2" t="s">
        <v>3399</v>
      </c>
      <c r="L1246" s="2" t="s">
        <v>24</v>
      </c>
      <c r="M1246" s="2">
        <v>5</v>
      </c>
      <c r="N1246" s="2" t="s">
        <v>50</v>
      </c>
    </row>
    <row r="1247" spans="1:14" x14ac:dyDescent="0.25">
      <c r="A1247" s="2" t="s">
        <v>3400</v>
      </c>
      <c r="B1247" s="2" t="s">
        <v>3401</v>
      </c>
      <c r="C1247" s="2" t="s">
        <v>28</v>
      </c>
      <c r="D1247" s="2" t="s">
        <v>100</v>
      </c>
      <c r="E1247" s="2" t="s">
        <v>148</v>
      </c>
      <c r="F1247" s="2" t="s">
        <v>96</v>
      </c>
      <c r="G1247" s="2" t="s">
        <v>183</v>
      </c>
      <c r="H1247" s="2" t="s">
        <v>21</v>
      </c>
      <c r="I1247" s="2">
        <v>24</v>
      </c>
      <c r="J1247" s="2" t="s">
        <v>22</v>
      </c>
      <c r="K1247" s="2" t="s">
        <v>3402</v>
      </c>
      <c r="L1247" s="2" t="s">
        <v>24</v>
      </c>
      <c r="M1247" s="2">
        <v>5</v>
      </c>
      <c r="N1247" s="2" t="s">
        <v>25</v>
      </c>
    </row>
    <row r="1248" spans="1:14" x14ac:dyDescent="0.25">
      <c r="A1248" s="2" t="s">
        <v>3403</v>
      </c>
      <c r="B1248" s="2" t="s">
        <v>3404</v>
      </c>
      <c r="C1248" s="2" t="s">
        <v>16</v>
      </c>
      <c r="D1248" s="2" t="s">
        <v>17</v>
      </c>
      <c r="E1248" s="2" t="s">
        <v>38</v>
      </c>
      <c r="F1248" s="2" t="s">
        <v>47</v>
      </c>
      <c r="G1248" s="2" t="s">
        <v>135</v>
      </c>
      <c r="H1248" s="2" t="s">
        <v>32</v>
      </c>
      <c r="I1248" s="2">
        <v>48</v>
      </c>
      <c r="J1248" s="2" t="s">
        <v>117</v>
      </c>
      <c r="K1248" s="2"/>
      <c r="L1248" s="2" t="s">
        <v>24</v>
      </c>
      <c r="M1248" s="2"/>
      <c r="N1248" s="2" t="s">
        <v>64</v>
      </c>
    </row>
    <row r="1249" spans="1:14" x14ac:dyDescent="0.25">
      <c r="A1249" s="2" t="s">
        <v>3405</v>
      </c>
      <c r="B1249" s="2" t="s">
        <v>3406</v>
      </c>
      <c r="C1249" s="2" t="s">
        <v>53</v>
      </c>
      <c r="D1249" s="2" t="s">
        <v>54</v>
      </c>
      <c r="E1249" s="2" t="s">
        <v>85</v>
      </c>
      <c r="F1249" s="2" t="s">
        <v>39</v>
      </c>
      <c r="G1249" s="2" t="s">
        <v>126</v>
      </c>
      <c r="H1249" s="2" t="s">
        <v>21</v>
      </c>
      <c r="I1249" s="2">
        <v>24</v>
      </c>
      <c r="J1249" s="2" t="s">
        <v>155</v>
      </c>
      <c r="K1249" s="2"/>
      <c r="L1249" s="2" t="s">
        <v>24</v>
      </c>
      <c r="M1249" s="2"/>
      <c r="N1249" s="2" t="s">
        <v>25</v>
      </c>
    </row>
    <row r="1250" spans="1:14" x14ac:dyDescent="0.25">
      <c r="A1250" s="2" t="s">
        <v>1160</v>
      </c>
      <c r="B1250" s="2" t="s">
        <v>1161</v>
      </c>
      <c r="C1250" s="2" t="s">
        <v>16</v>
      </c>
      <c r="D1250" s="2" t="s">
        <v>17</v>
      </c>
      <c r="E1250" s="2" t="s">
        <v>85</v>
      </c>
      <c r="F1250" s="2" t="s">
        <v>47</v>
      </c>
      <c r="G1250" s="2" t="s">
        <v>183</v>
      </c>
      <c r="H1250" s="2" t="s">
        <v>32</v>
      </c>
      <c r="I1250" s="2">
        <v>48</v>
      </c>
      <c r="J1250" s="2" t="s">
        <v>48</v>
      </c>
      <c r="K1250" s="2" t="s">
        <v>1162</v>
      </c>
      <c r="L1250" s="2" t="s">
        <v>24</v>
      </c>
      <c r="M1250" s="2">
        <v>5</v>
      </c>
      <c r="N1250" s="2"/>
    </row>
    <row r="1251" spans="1:14" x14ac:dyDescent="0.25">
      <c r="A1251" s="2" t="s">
        <v>3407</v>
      </c>
      <c r="B1251" s="2" t="s">
        <v>3408</v>
      </c>
      <c r="C1251" s="2" t="s">
        <v>53</v>
      </c>
      <c r="D1251" s="2" t="s">
        <v>61</v>
      </c>
      <c r="E1251" s="2" t="s">
        <v>85</v>
      </c>
      <c r="F1251" s="2" t="s">
        <v>96</v>
      </c>
      <c r="G1251" s="2" t="s">
        <v>179</v>
      </c>
      <c r="H1251" s="2" t="s">
        <v>74</v>
      </c>
      <c r="I1251" s="2">
        <v>8</v>
      </c>
      <c r="J1251" s="2" t="s">
        <v>155</v>
      </c>
      <c r="K1251" s="2"/>
      <c r="L1251" s="2" t="s">
        <v>24</v>
      </c>
      <c r="M1251" s="2"/>
      <c r="N1251" s="2" t="s">
        <v>58</v>
      </c>
    </row>
    <row r="1252" spans="1:14" x14ac:dyDescent="0.25">
      <c r="A1252" s="2" t="s">
        <v>3409</v>
      </c>
      <c r="B1252" s="2" t="s">
        <v>3410</v>
      </c>
      <c r="C1252" s="2" t="s">
        <v>53</v>
      </c>
      <c r="D1252" s="2" t="s">
        <v>54</v>
      </c>
      <c r="E1252" s="2" t="s">
        <v>148</v>
      </c>
      <c r="F1252" s="2" t="s">
        <v>96</v>
      </c>
      <c r="G1252" s="2" t="s">
        <v>101</v>
      </c>
      <c r="H1252" s="2" t="s">
        <v>32</v>
      </c>
      <c r="I1252" s="2">
        <v>48</v>
      </c>
      <c r="J1252" s="2" t="s">
        <v>486</v>
      </c>
      <c r="K1252" s="2" t="s">
        <v>3411</v>
      </c>
      <c r="L1252" s="2" t="s">
        <v>24</v>
      </c>
      <c r="M1252" s="2"/>
      <c r="N1252" s="2" t="s">
        <v>43</v>
      </c>
    </row>
    <row r="1253" spans="1:14" x14ac:dyDescent="0.25">
      <c r="A1253" s="2" t="s">
        <v>3412</v>
      </c>
      <c r="B1253" s="2" t="s">
        <v>3413</v>
      </c>
      <c r="C1253" s="2" t="s">
        <v>53</v>
      </c>
      <c r="D1253" s="2" t="s">
        <v>61</v>
      </c>
      <c r="E1253" s="2" t="s">
        <v>79</v>
      </c>
      <c r="F1253" s="2" t="s">
        <v>39</v>
      </c>
      <c r="G1253" s="2" t="s">
        <v>97</v>
      </c>
      <c r="H1253" s="2" t="s">
        <v>74</v>
      </c>
      <c r="I1253" s="2">
        <v>8</v>
      </c>
      <c r="J1253" s="2" t="s">
        <v>22</v>
      </c>
      <c r="K1253" s="2" t="s">
        <v>3414</v>
      </c>
      <c r="L1253" s="2" t="s">
        <v>24</v>
      </c>
      <c r="M1253" s="2"/>
      <c r="N1253" s="2" t="s">
        <v>25</v>
      </c>
    </row>
    <row r="1254" spans="1:14" x14ac:dyDescent="0.25">
      <c r="A1254" s="2" t="s">
        <v>3415</v>
      </c>
      <c r="B1254" s="2" t="s">
        <v>3416</v>
      </c>
      <c r="C1254" s="2" t="s">
        <v>16</v>
      </c>
      <c r="D1254" s="2" t="s">
        <v>17</v>
      </c>
      <c r="E1254" s="2" t="s">
        <v>79</v>
      </c>
      <c r="F1254" s="2" t="s">
        <v>55</v>
      </c>
      <c r="G1254" s="2" t="s">
        <v>70</v>
      </c>
      <c r="H1254" s="2" t="s">
        <v>32</v>
      </c>
      <c r="I1254" s="2">
        <v>48</v>
      </c>
      <c r="J1254" s="2" t="s">
        <v>187</v>
      </c>
      <c r="K1254" s="2" t="s">
        <v>3417</v>
      </c>
      <c r="L1254" s="2" t="s">
        <v>24</v>
      </c>
      <c r="M1254" s="2">
        <v>4</v>
      </c>
      <c r="N1254" s="2" t="s">
        <v>128</v>
      </c>
    </row>
    <row r="1255" spans="1:14" x14ac:dyDescent="0.25">
      <c r="A1255" s="2" t="s">
        <v>3418</v>
      </c>
      <c r="B1255" s="2" t="s">
        <v>3419</v>
      </c>
      <c r="C1255" s="2" t="s">
        <v>53</v>
      </c>
      <c r="D1255" s="2" t="s">
        <v>61</v>
      </c>
      <c r="E1255" s="2" t="s">
        <v>18</v>
      </c>
      <c r="F1255" s="2" t="s">
        <v>143</v>
      </c>
      <c r="G1255" s="2" t="s">
        <v>40</v>
      </c>
      <c r="H1255" s="2" t="s">
        <v>21</v>
      </c>
      <c r="I1255" s="2">
        <v>24</v>
      </c>
      <c r="J1255" s="2" t="s">
        <v>22</v>
      </c>
      <c r="K1255" s="2"/>
      <c r="L1255" s="2" t="s">
        <v>24</v>
      </c>
      <c r="M1255" s="2"/>
      <c r="N1255" s="2" t="s">
        <v>58</v>
      </c>
    </row>
    <row r="1256" spans="1:14" x14ac:dyDescent="0.25">
      <c r="A1256" s="2" t="s">
        <v>3420</v>
      </c>
      <c r="B1256" s="2" t="s">
        <v>3421</v>
      </c>
      <c r="C1256" s="2" t="s">
        <v>16</v>
      </c>
      <c r="D1256" s="2" t="s">
        <v>84</v>
      </c>
      <c r="E1256" s="2" t="s">
        <v>18</v>
      </c>
      <c r="F1256" s="2" t="s">
        <v>47</v>
      </c>
      <c r="G1256" s="2" t="s">
        <v>126</v>
      </c>
      <c r="H1256" s="2" t="s">
        <v>21</v>
      </c>
      <c r="I1256" s="2">
        <v>24</v>
      </c>
      <c r="J1256" s="2" t="s">
        <v>22</v>
      </c>
      <c r="K1256" s="2" t="s">
        <v>3422</v>
      </c>
      <c r="L1256" s="2" t="s">
        <v>24</v>
      </c>
      <c r="M1256" s="2"/>
      <c r="N1256" s="2" t="s">
        <v>118</v>
      </c>
    </row>
    <row r="1257" spans="1:14" x14ac:dyDescent="0.25">
      <c r="A1257" s="2" t="s">
        <v>3423</v>
      </c>
      <c r="B1257" s="2" t="s">
        <v>3424</v>
      </c>
      <c r="C1257" s="2" t="s">
        <v>16</v>
      </c>
      <c r="D1257" s="2" t="s">
        <v>84</v>
      </c>
      <c r="E1257" s="2" t="s">
        <v>79</v>
      </c>
      <c r="F1257" s="2" t="s">
        <v>113</v>
      </c>
      <c r="G1257" s="2" t="s">
        <v>144</v>
      </c>
      <c r="H1257" s="2" t="s">
        <v>32</v>
      </c>
      <c r="I1257" s="2">
        <v>48</v>
      </c>
      <c r="J1257" s="2" t="s">
        <v>287</v>
      </c>
      <c r="K1257" s="2"/>
      <c r="L1257" s="2" t="s">
        <v>24</v>
      </c>
      <c r="M1257" s="2"/>
      <c r="N1257" s="2" t="s">
        <v>43</v>
      </c>
    </row>
    <row r="1258" spans="1:14" x14ac:dyDescent="0.25">
      <c r="A1258" s="2" t="s">
        <v>3425</v>
      </c>
      <c r="B1258" s="2" t="s">
        <v>3426</v>
      </c>
      <c r="C1258" s="2" t="s">
        <v>16</v>
      </c>
      <c r="D1258" s="2" t="s">
        <v>84</v>
      </c>
      <c r="E1258" s="2" t="s">
        <v>148</v>
      </c>
      <c r="F1258" s="2" t="s">
        <v>113</v>
      </c>
      <c r="G1258" s="2" t="s">
        <v>183</v>
      </c>
      <c r="H1258" s="2" t="s">
        <v>21</v>
      </c>
      <c r="I1258" s="2">
        <v>24</v>
      </c>
      <c r="J1258" s="2" t="s">
        <v>56</v>
      </c>
      <c r="K1258" s="2" t="s">
        <v>3427</v>
      </c>
      <c r="L1258" s="2" t="s">
        <v>24</v>
      </c>
      <c r="M1258" s="2"/>
      <c r="N1258" s="2"/>
    </row>
    <row r="1259" spans="1:14" x14ac:dyDescent="0.25">
      <c r="A1259" s="2" t="s">
        <v>3428</v>
      </c>
      <c r="B1259" s="2" t="s">
        <v>3429</v>
      </c>
      <c r="C1259" s="2" t="s">
        <v>67</v>
      </c>
      <c r="D1259" s="2" t="s">
        <v>68</v>
      </c>
      <c r="E1259" s="2" t="s">
        <v>46</v>
      </c>
      <c r="F1259" s="2" t="s">
        <v>55</v>
      </c>
      <c r="G1259" s="2" t="s">
        <v>70</v>
      </c>
      <c r="H1259" s="2" t="s">
        <v>32</v>
      </c>
      <c r="I1259" s="2">
        <v>48</v>
      </c>
      <c r="J1259" s="2" t="s">
        <v>75</v>
      </c>
      <c r="K1259" s="2" t="s">
        <v>3430</v>
      </c>
      <c r="L1259" s="2" t="s">
        <v>24</v>
      </c>
      <c r="M1259" s="2">
        <v>3</v>
      </c>
      <c r="N1259" s="2" t="s">
        <v>25</v>
      </c>
    </row>
    <row r="1260" spans="1:14" x14ac:dyDescent="0.25">
      <c r="A1260" s="2" t="s">
        <v>3431</v>
      </c>
      <c r="B1260" s="2" t="s">
        <v>3432</v>
      </c>
      <c r="C1260" s="2" t="s">
        <v>67</v>
      </c>
      <c r="D1260" s="2" t="s">
        <v>95</v>
      </c>
      <c r="E1260" s="2" t="s">
        <v>148</v>
      </c>
      <c r="F1260" s="2" t="s">
        <v>62</v>
      </c>
      <c r="G1260" s="2" t="s">
        <v>105</v>
      </c>
      <c r="H1260" s="2" t="s">
        <v>21</v>
      </c>
      <c r="I1260" s="2">
        <v>24</v>
      </c>
      <c r="J1260" s="2" t="s">
        <v>41</v>
      </c>
      <c r="K1260" s="2" t="s">
        <v>3433</v>
      </c>
      <c r="L1260" s="2" t="s">
        <v>24</v>
      </c>
      <c r="M1260" s="2">
        <v>5</v>
      </c>
      <c r="N1260" s="2" t="s">
        <v>34</v>
      </c>
    </row>
    <row r="1261" spans="1:14" x14ac:dyDescent="0.25">
      <c r="A1261" s="2" t="s">
        <v>3434</v>
      </c>
      <c r="B1261" s="2" t="s">
        <v>3435</v>
      </c>
      <c r="C1261" s="2" t="s">
        <v>16</v>
      </c>
      <c r="D1261" s="2" t="s">
        <v>84</v>
      </c>
      <c r="E1261" s="2" t="s">
        <v>38</v>
      </c>
      <c r="F1261" s="2" t="s">
        <v>30</v>
      </c>
      <c r="G1261" s="2" t="s">
        <v>179</v>
      </c>
      <c r="H1261" s="2" t="s">
        <v>74</v>
      </c>
      <c r="I1261" s="2">
        <v>8</v>
      </c>
      <c r="J1261" s="2" t="s">
        <v>287</v>
      </c>
      <c r="K1261" s="2"/>
      <c r="L1261" s="2" t="s">
        <v>24</v>
      </c>
      <c r="M1261" s="2"/>
      <c r="N1261" s="2" t="s">
        <v>128</v>
      </c>
    </row>
    <row r="1262" spans="1:14" x14ac:dyDescent="0.25">
      <c r="A1262" s="2" t="s">
        <v>3436</v>
      </c>
      <c r="B1262" s="2" t="s">
        <v>3437</v>
      </c>
      <c r="C1262" s="2" t="s">
        <v>16</v>
      </c>
      <c r="D1262" s="2" t="s">
        <v>17</v>
      </c>
      <c r="E1262" s="2" t="s">
        <v>79</v>
      </c>
      <c r="F1262" s="2" t="s">
        <v>125</v>
      </c>
      <c r="G1262" s="2" t="s">
        <v>110</v>
      </c>
      <c r="H1262" s="2" t="s">
        <v>74</v>
      </c>
      <c r="I1262" s="2">
        <v>8</v>
      </c>
      <c r="J1262" s="2" t="s">
        <v>187</v>
      </c>
      <c r="K1262" s="2" t="s">
        <v>3438</v>
      </c>
      <c r="L1262" s="2" t="s">
        <v>24</v>
      </c>
      <c r="M1262" s="2">
        <v>1</v>
      </c>
      <c r="N1262" s="2" t="s">
        <v>118</v>
      </c>
    </row>
    <row r="1263" spans="1:14" x14ac:dyDescent="0.25">
      <c r="A1263" s="2" t="s">
        <v>3439</v>
      </c>
      <c r="B1263" s="2" t="s">
        <v>3440</v>
      </c>
      <c r="C1263" s="2" t="s">
        <v>67</v>
      </c>
      <c r="D1263" s="2" t="s">
        <v>68</v>
      </c>
      <c r="E1263" s="2" t="s">
        <v>148</v>
      </c>
      <c r="F1263" s="2" t="s">
        <v>39</v>
      </c>
      <c r="G1263" s="2" t="s">
        <v>158</v>
      </c>
      <c r="H1263" s="2" t="s">
        <v>74</v>
      </c>
      <c r="I1263" s="2">
        <v>8</v>
      </c>
      <c r="J1263" s="2" t="s">
        <v>232</v>
      </c>
      <c r="K1263" s="2"/>
      <c r="L1263" s="2" t="s">
        <v>92</v>
      </c>
      <c r="M1263" s="2"/>
      <c r="N1263" s="2" t="s">
        <v>58</v>
      </c>
    </row>
    <row r="1264" spans="1:14" x14ac:dyDescent="0.25">
      <c r="A1264" s="2" t="s">
        <v>1588</v>
      </c>
      <c r="B1264" s="2" t="s">
        <v>1589</v>
      </c>
      <c r="C1264" s="2" t="s">
        <v>53</v>
      </c>
      <c r="D1264" s="2" t="s">
        <v>61</v>
      </c>
      <c r="E1264" s="2" t="s">
        <v>18</v>
      </c>
      <c r="F1264" s="2" t="s">
        <v>113</v>
      </c>
      <c r="G1264" s="2" t="s">
        <v>31</v>
      </c>
      <c r="H1264" s="2" t="s">
        <v>74</v>
      </c>
      <c r="I1264" s="2">
        <v>8</v>
      </c>
      <c r="J1264" s="2" t="s">
        <v>75</v>
      </c>
      <c r="K1264" s="2" t="s">
        <v>1590</v>
      </c>
      <c r="L1264" s="2" t="s">
        <v>24</v>
      </c>
      <c r="M1264" s="2">
        <v>3</v>
      </c>
      <c r="N1264" s="2"/>
    </row>
    <row r="1265" spans="1:14" x14ac:dyDescent="0.25">
      <c r="A1265" s="2" t="s">
        <v>3441</v>
      </c>
      <c r="B1265" s="2" t="s">
        <v>3442</v>
      </c>
      <c r="C1265" s="2" t="s">
        <v>53</v>
      </c>
      <c r="D1265" s="2" t="s">
        <v>61</v>
      </c>
      <c r="E1265" s="2" t="s">
        <v>148</v>
      </c>
      <c r="F1265" s="2" t="s">
        <v>19</v>
      </c>
      <c r="G1265" s="2" t="s">
        <v>121</v>
      </c>
      <c r="H1265" s="2" t="s">
        <v>32</v>
      </c>
      <c r="I1265" s="2">
        <v>48</v>
      </c>
      <c r="J1265" s="2" t="s">
        <v>145</v>
      </c>
      <c r="K1265" s="2"/>
      <c r="L1265" s="2" t="s">
        <v>24</v>
      </c>
      <c r="M1265" s="2"/>
      <c r="N1265" s="2"/>
    </row>
    <row r="1266" spans="1:14" x14ac:dyDescent="0.25">
      <c r="A1266" s="2" t="s">
        <v>3443</v>
      </c>
      <c r="B1266" s="2" t="s">
        <v>3444</v>
      </c>
      <c r="C1266" s="2" t="s">
        <v>28</v>
      </c>
      <c r="D1266" s="2" t="s">
        <v>100</v>
      </c>
      <c r="E1266" s="2" t="s">
        <v>85</v>
      </c>
      <c r="F1266" s="2" t="s">
        <v>96</v>
      </c>
      <c r="G1266" s="2" t="s">
        <v>91</v>
      </c>
      <c r="H1266" s="2" t="s">
        <v>74</v>
      </c>
      <c r="I1266" s="2">
        <v>8</v>
      </c>
      <c r="J1266" s="2" t="s">
        <v>106</v>
      </c>
      <c r="K1266" s="2" t="s">
        <v>3445</v>
      </c>
      <c r="L1266" s="2" t="s">
        <v>24</v>
      </c>
      <c r="M1266" s="2">
        <v>5</v>
      </c>
      <c r="N1266" s="2" t="s">
        <v>50</v>
      </c>
    </row>
    <row r="1267" spans="1:14" x14ac:dyDescent="0.25">
      <c r="A1267" s="2" t="s">
        <v>3446</v>
      </c>
      <c r="B1267" s="2" t="s">
        <v>3447</v>
      </c>
      <c r="C1267" s="2" t="s">
        <v>28</v>
      </c>
      <c r="D1267" s="2" t="s">
        <v>37</v>
      </c>
      <c r="E1267" s="2" t="s">
        <v>79</v>
      </c>
      <c r="F1267" s="2" t="s">
        <v>143</v>
      </c>
      <c r="G1267" s="2" t="s">
        <v>70</v>
      </c>
      <c r="H1267" s="2" t="s">
        <v>80</v>
      </c>
      <c r="I1267" s="2">
        <v>4</v>
      </c>
      <c r="J1267" s="2" t="s">
        <v>117</v>
      </c>
      <c r="K1267" s="2"/>
      <c r="L1267" s="2" t="s">
        <v>24</v>
      </c>
      <c r="M1267" s="2"/>
      <c r="N1267" s="2" t="s">
        <v>128</v>
      </c>
    </row>
    <row r="1268" spans="1:14" x14ac:dyDescent="0.25">
      <c r="A1268" s="2" t="s">
        <v>3448</v>
      </c>
      <c r="B1268" s="2" t="s">
        <v>3449</v>
      </c>
      <c r="C1268" s="2" t="s">
        <v>16</v>
      </c>
      <c r="D1268" s="2" t="s">
        <v>84</v>
      </c>
      <c r="E1268" s="2" t="s">
        <v>85</v>
      </c>
      <c r="F1268" s="2" t="s">
        <v>69</v>
      </c>
      <c r="G1268" s="2" t="s">
        <v>101</v>
      </c>
      <c r="H1268" s="2" t="s">
        <v>80</v>
      </c>
      <c r="I1268" s="2">
        <v>4</v>
      </c>
      <c r="J1268" s="2" t="s">
        <v>145</v>
      </c>
      <c r="K1268" s="2"/>
      <c r="L1268" s="2" t="s">
        <v>24</v>
      </c>
      <c r="M1268" s="2"/>
      <c r="N1268" s="2" t="s">
        <v>128</v>
      </c>
    </row>
    <row r="1269" spans="1:14" x14ac:dyDescent="0.25">
      <c r="A1269" s="2" t="s">
        <v>3450</v>
      </c>
      <c r="B1269" s="2" t="s">
        <v>3451</v>
      </c>
      <c r="C1269" s="2" t="s">
        <v>28</v>
      </c>
      <c r="D1269" s="2" t="s">
        <v>37</v>
      </c>
      <c r="E1269" s="2" t="s">
        <v>46</v>
      </c>
      <c r="F1269" s="2" t="s">
        <v>125</v>
      </c>
      <c r="G1269" s="2" t="s">
        <v>144</v>
      </c>
      <c r="H1269" s="2" t="s">
        <v>21</v>
      </c>
      <c r="I1269" s="2">
        <v>24</v>
      </c>
      <c r="J1269" s="2" t="s">
        <v>33</v>
      </c>
      <c r="K1269" s="2"/>
      <c r="L1269" s="2" t="s">
        <v>24</v>
      </c>
      <c r="M1269" s="2"/>
      <c r="N1269" s="2" t="s">
        <v>25</v>
      </c>
    </row>
    <row r="1270" spans="1:14" x14ac:dyDescent="0.25">
      <c r="A1270" s="2" t="s">
        <v>3452</v>
      </c>
      <c r="B1270" s="2" t="s">
        <v>3453</v>
      </c>
      <c r="C1270" s="2" t="s">
        <v>67</v>
      </c>
      <c r="D1270" s="2" t="s">
        <v>95</v>
      </c>
      <c r="E1270" s="2" t="s">
        <v>90</v>
      </c>
      <c r="F1270" s="2" t="s">
        <v>62</v>
      </c>
      <c r="G1270" s="2" t="s">
        <v>183</v>
      </c>
      <c r="H1270" s="2" t="s">
        <v>80</v>
      </c>
      <c r="I1270" s="2">
        <v>4</v>
      </c>
      <c r="J1270" s="2" t="s">
        <v>33</v>
      </c>
      <c r="K1270" s="2"/>
      <c r="L1270" s="2" t="s">
        <v>24</v>
      </c>
      <c r="M1270" s="2"/>
      <c r="N1270" s="2" t="s">
        <v>25</v>
      </c>
    </row>
    <row r="1271" spans="1:14" x14ac:dyDescent="0.25">
      <c r="A1271" s="2" t="s">
        <v>3454</v>
      </c>
      <c r="B1271" s="2" t="s">
        <v>3455</v>
      </c>
      <c r="C1271" s="2" t="s">
        <v>53</v>
      </c>
      <c r="D1271" s="2" t="s">
        <v>54</v>
      </c>
      <c r="E1271" s="2" t="s">
        <v>90</v>
      </c>
      <c r="F1271" s="2" t="s">
        <v>39</v>
      </c>
      <c r="G1271" s="2" t="s">
        <v>31</v>
      </c>
      <c r="H1271" s="2" t="s">
        <v>21</v>
      </c>
      <c r="I1271" s="2">
        <v>24</v>
      </c>
      <c r="J1271" s="2" t="s">
        <v>106</v>
      </c>
      <c r="K1271" s="2"/>
      <c r="L1271" s="2" t="s">
        <v>24</v>
      </c>
      <c r="M1271" s="2"/>
      <c r="N1271" s="2" t="s">
        <v>34</v>
      </c>
    </row>
    <row r="1272" spans="1:14" x14ac:dyDescent="0.25">
      <c r="A1272" s="2" t="s">
        <v>3456</v>
      </c>
      <c r="B1272" s="2" t="s">
        <v>3457</v>
      </c>
      <c r="C1272" s="2" t="s">
        <v>67</v>
      </c>
      <c r="D1272" s="2" t="s">
        <v>68</v>
      </c>
      <c r="E1272" s="2" t="s">
        <v>18</v>
      </c>
      <c r="F1272" s="2" t="s">
        <v>131</v>
      </c>
      <c r="G1272" s="2" t="s">
        <v>97</v>
      </c>
      <c r="H1272" s="2" t="s">
        <v>21</v>
      </c>
      <c r="I1272" s="2">
        <v>24</v>
      </c>
      <c r="J1272" s="2" t="s">
        <v>106</v>
      </c>
      <c r="K1272" s="2" t="s">
        <v>3458</v>
      </c>
      <c r="L1272" s="2" t="s">
        <v>24</v>
      </c>
      <c r="M1272" s="2">
        <v>4</v>
      </c>
      <c r="N1272" s="2" t="s">
        <v>50</v>
      </c>
    </row>
    <row r="1273" spans="1:14" x14ac:dyDescent="0.25">
      <c r="A1273" s="2" t="s">
        <v>3459</v>
      </c>
      <c r="B1273" s="2" t="s">
        <v>3460</v>
      </c>
      <c r="C1273" s="2" t="s">
        <v>67</v>
      </c>
      <c r="D1273" s="2" t="s">
        <v>68</v>
      </c>
      <c r="E1273" s="2" t="s">
        <v>85</v>
      </c>
      <c r="F1273" s="2" t="s">
        <v>30</v>
      </c>
      <c r="G1273" s="2" t="s">
        <v>91</v>
      </c>
      <c r="H1273" s="2" t="s">
        <v>21</v>
      </c>
      <c r="I1273" s="2">
        <v>24</v>
      </c>
      <c r="J1273" s="2" t="s">
        <v>48</v>
      </c>
      <c r="K1273" s="2" t="s">
        <v>3461</v>
      </c>
      <c r="L1273" s="2" t="s">
        <v>24</v>
      </c>
      <c r="M1273" s="2"/>
      <c r="N1273" s="2" t="s">
        <v>64</v>
      </c>
    </row>
    <row r="1274" spans="1:14" x14ac:dyDescent="0.25">
      <c r="A1274" s="2" t="s">
        <v>3462</v>
      </c>
      <c r="B1274" s="2" t="s">
        <v>3463</v>
      </c>
      <c r="C1274" s="2" t="s">
        <v>67</v>
      </c>
      <c r="D1274" s="2" t="s">
        <v>68</v>
      </c>
      <c r="E1274" s="2" t="s">
        <v>38</v>
      </c>
      <c r="F1274" s="2" t="s">
        <v>62</v>
      </c>
      <c r="G1274" s="2" t="s">
        <v>31</v>
      </c>
      <c r="H1274" s="2" t="s">
        <v>32</v>
      </c>
      <c r="I1274" s="2">
        <v>48</v>
      </c>
      <c r="J1274" s="2" t="s">
        <v>232</v>
      </c>
      <c r="K1274" s="2"/>
      <c r="L1274" s="2" t="s">
        <v>92</v>
      </c>
      <c r="M1274" s="2"/>
      <c r="N1274" s="2"/>
    </row>
    <row r="1275" spans="1:14" x14ac:dyDescent="0.25">
      <c r="A1275" s="2" t="s">
        <v>3464</v>
      </c>
      <c r="B1275" s="2" t="s">
        <v>3465</v>
      </c>
      <c r="C1275" s="2" t="s">
        <v>67</v>
      </c>
      <c r="D1275" s="2" t="s">
        <v>95</v>
      </c>
      <c r="E1275" s="2" t="s">
        <v>18</v>
      </c>
      <c r="F1275" s="2" t="s">
        <v>47</v>
      </c>
      <c r="G1275" s="2" t="s">
        <v>135</v>
      </c>
      <c r="H1275" s="2" t="s">
        <v>80</v>
      </c>
      <c r="I1275" s="2">
        <v>4</v>
      </c>
      <c r="J1275" s="2" t="s">
        <v>106</v>
      </c>
      <c r="K1275" s="2" t="s">
        <v>3466</v>
      </c>
      <c r="L1275" s="2" t="s">
        <v>24</v>
      </c>
      <c r="M1275" s="2"/>
      <c r="N1275" s="2"/>
    </row>
    <row r="1276" spans="1:14" x14ac:dyDescent="0.25">
      <c r="A1276" s="2" t="s">
        <v>3467</v>
      </c>
      <c r="B1276" s="2" t="s">
        <v>3468</v>
      </c>
      <c r="C1276" s="2" t="s">
        <v>53</v>
      </c>
      <c r="D1276" s="2" t="s">
        <v>771</v>
      </c>
      <c r="E1276" s="2" t="s">
        <v>46</v>
      </c>
      <c r="F1276" s="2" t="s">
        <v>62</v>
      </c>
      <c r="G1276" s="2" t="s">
        <v>158</v>
      </c>
      <c r="H1276" s="2" t="s">
        <v>32</v>
      </c>
      <c r="I1276" s="2">
        <v>48</v>
      </c>
      <c r="J1276" s="2" t="s">
        <v>106</v>
      </c>
      <c r="K1276" s="2" t="s">
        <v>3469</v>
      </c>
      <c r="L1276" s="2" t="s">
        <v>24</v>
      </c>
      <c r="M1276" s="2">
        <v>4</v>
      </c>
      <c r="N1276" s="2" t="s">
        <v>64</v>
      </c>
    </row>
    <row r="1277" spans="1:14" x14ac:dyDescent="0.25">
      <c r="A1277" s="2" t="s">
        <v>3470</v>
      </c>
      <c r="B1277" s="2" t="s">
        <v>3471</v>
      </c>
      <c r="C1277" s="2" t="s">
        <v>53</v>
      </c>
      <c r="D1277" s="2" t="s">
        <v>54</v>
      </c>
      <c r="E1277" s="2" t="s">
        <v>85</v>
      </c>
      <c r="F1277" s="2" t="s">
        <v>62</v>
      </c>
      <c r="G1277" s="2" t="s">
        <v>135</v>
      </c>
      <c r="H1277" s="2" t="s">
        <v>74</v>
      </c>
      <c r="I1277" s="2">
        <v>8</v>
      </c>
      <c r="J1277" s="2" t="s">
        <v>11</v>
      </c>
      <c r="K1277" s="2"/>
      <c r="L1277" s="2" t="s">
        <v>92</v>
      </c>
      <c r="M1277" s="2"/>
      <c r="N1277" s="2"/>
    </row>
    <row r="1278" spans="1:14" x14ac:dyDescent="0.25">
      <c r="A1278" s="2" t="s">
        <v>3472</v>
      </c>
      <c r="B1278" s="2" t="s">
        <v>3473</v>
      </c>
      <c r="C1278" s="2" t="s">
        <v>53</v>
      </c>
      <c r="D1278" s="2" t="s">
        <v>54</v>
      </c>
      <c r="E1278" s="2" t="s">
        <v>148</v>
      </c>
      <c r="F1278" s="2" t="s">
        <v>55</v>
      </c>
      <c r="G1278" s="2" t="s">
        <v>40</v>
      </c>
      <c r="H1278" s="2" t="s">
        <v>21</v>
      </c>
      <c r="I1278" s="2">
        <v>24</v>
      </c>
      <c r="J1278" s="2" t="s">
        <v>75</v>
      </c>
      <c r="K1278" s="2" t="s">
        <v>3474</v>
      </c>
      <c r="L1278" s="2" t="s">
        <v>24</v>
      </c>
      <c r="M1278" s="2">
        <v>4</v>
      </c>
      <c r="N1278" s="2" t="s">
        <v>34</v>
      </c>
    </row>
    <row r="1279" spans="1:14" x14ac:dyDescent="0.25">
      <c r="A1279" s="2" t="s">
        <v>3475</v>
      </c>
      <c r="B1279" s="2" t="s">
        <v>3476</v>
      </c>
      <c r="C1279" s="2" t="s">
        <v>28</v>
      </c>
      <c r="D1279" s="2" t="s">
        <v>100</v>
      </c>
      <c r="E1279" s="2" t="s">
        <v>85</v>
      </c>
      <c r="F1279" s="2" t="s">
        <v>125</v>
      </c>
      <c r="G1279" s="2" t="s">
        <v>135</v>
      </c>
      <c r="H1279" s="2" t="s">
        <v>80</v>
      </c>
      <c r="I1279" s="2">
        <v>4</v>
      </c>
      <c r="J1279" s="2" t="s">
        <v>232</v>
      </c>
      <c r="K1279" s="2"/>
      <c r="L1279" s="2" t="s">
        <v>92</v>
      </c>
      <c r="M1279" s="2"/>
      <c r="N1279" s="2"/>
    </row>
    <row r="1280" spans="1:14" x14ac:dyDescent="0.25">
      <c r="A1280" s="2" t="s">
        <v>3477</v>
      </c>
      <c r="B1280" s="2" t="s">
        <v>3478</v>
      </c>
      <c r="C1280" s="2" t="s">
        <v>53</v>
      </c>
      <c r="D1280" s="2" t="s">
        <v>54</v>
      </c>
      <c r="E1280" s="2" t="s">
        <v>18</v>
      </c>
      <c r="F1280" s="2" t="s">
        <v>62</v>
      </c>
      <c r="G1280" s="2" t="s">
        <v>139</v>
      </c>
      <c r="H1280" s="2" t="s">
        <v>32</v>
      </c>
      <c r="I1280" s="2">
        <v>48</v>
      </c>
      <c r="J1280" s="2" t="s">
        <v>11</v>
      </c>
      <c r="K1280" s="2"/>
      <c r="L1280" s="2" t="s">
        <v>92</v>
      </c>
      <c r="M1280" s="2"/>
      <c r="N1280" s="2" t="s">
        <v>118</v>
      </c>
    </row>
    <row r="1281" spans="1:14" x14ac:dyDescent="0.25">
      <c r="A1281" s="2" t="s">
        <v>3479</v>
      </c>
      <c r="B1281" s="2" t="s">
        <v>3480</v>
      </c>
      <c r="C1281" s="2" t="s">
        <v>28</v>
      </c>
      <c r="D1281" s="2" t="s">
        <v>37</v>
      </c>
      <c r="E1281" s="2" t="s">
        <v>18</v>
      </c>
      <c r="F1281" s="2" t="s">
        <v>143</v>
      </c>
      <c r="G1281" s="2" t="s">
        <v>121</v>
      </c>
      <c r="H1281" s="2" t="s">
        <v>74</v>
      </c>
      <c r="I1281" s="2">
        <v>8</v>
      </c>
      <c r="J1281" s="2" t="s">
        <v>106</v>
      </c>
      <c r="K1281" s="2" t="s">
        <v>3481</v>
      </c>
      <c r="L1281" s="2" t="s">
        <v>24</v>
      </c>
      <c r="M1281" s="2"/>
      <c r="N1281" s="2" t="s">
        <v>43</v>
      </c>
    </row>
    <row r="1282" spans="1:14" x14ac:dyDescent="0.25">
      <c r="A1282" s="2" t="s">
        <v>3482</v>
      </c>
      <c r="B1282" s="2" t="s">
        <v>3483</v>
      </c>
      <c r="C1282" s="2" t="s">
        <v>53</v>
      </c>
      <c r="D1282" s="2" t="s">
        <v>54</v>
      </c>
      <c r="E1282" s="2" t="s">
        <v>18</v>
      </c>
      <c r="F1282" s="2" t="s">
        <v>131</v>
      </c>
      <c r="G1282" s="2" t="s">
        <v>70</v>
      </c>
      <c r="H1282" s="2" t="s">
        <v>32</v>
      </c>
      <c r="I1282" s="2">
        <v>48</v>
      </c>
      <c r="J1282" s="2" t="s">
        <v>117</v>
      </c>
      <c r="K1282" s="2"/>
      <c r="L1282" s="2" t="s">
        <v>24</v>
      </c>
      <c r="M1282" s="2"/>
      <c r="N1282" s="2" t="s">
        <v>50</v>
      </c>
    </row>
    <row r="1283" spans="1:14" x14ac:dyDescent="0.25">
      <c r="A1283" s="2" t="s">
        <v>3484</v>
      </c>
      <c r="B1283" s="2" t="s">
        <v>3485</v>
      </c>
      <c r="C1283" s="2" t="s">
        <v>16</v>
      </c>
      <c r="D1283" s="2" t="s">
        <v>17</v>
      </c>
      <c r="E1283" s="2" t="s">
        <v>18</v>
      </c>
      <c r="F1283" s="2" t="s">
        <v>62</v>
      </c>
      <c r="G1283" s="2" t="s">
        <v>211</v>
      </c>
      <c r="H1283" s="2" t="s">
        <v>21</v>
      </c>
      <c r="I1283" s="2">
        <v>24</v>
      </c>
      <c r="J1283" s="2" t="s">
        <v>191</v>
      </c>
      <c r="K1283" s="2" t="s">
        <v>3486</v>
      </c>
      <c r="L1283" s="2" t="s">
        <v>24</v>
      </c>
      <c r="M1283" s="2"/>
      <c r="N1283" s="2" t="s">
        <v>43</v>
      </c>
    </row>
    <row r="1284" spans="1:14" x14ac:dyDescent="0.25">
      <c r="A1284" s="2" t="s">
        <v>3487</v>
      </c>
      <c r="B1284" s="2" t="s">
        <v>3488</v>
      </c>
      <c r="C1284" s="2" t="s">
        <v>53</v>
      </c>
      <c r="D1284" s="2" t="s">
        <v>61</v>
      </c>
      <c r="E1284" s="2" t="s">
        <v>46</v>
      </c>
      <c r="F1284" s="2" t="s">
        <v>143</v>
      </c>
      <c r="G1284" s="2" t="s">
        <v>91</v>
      </c>
      <c r="H1284" s="2" t="s">
        <v>21</v>
      </c>
      <c r="I1284" s="2">
        <v>24</v>
      </c>
      <c r="J1284" s="2" t="s">
        <v>486</v>
      </c>
      <c r="K1284" s="2" t="s">
        <v>3489</v>
      </c>
      <c r="L1284" s="2" t="s">
        <v>24</v>
      </c>
      <c r="M1284" s="2"/>
      <c r="N1284" s="2" t="s">
        <v>58</v>
      </c>
    </row>
    <row r="1285" spans="1:14" x14ac:dyDescent="0.25">
      <c r="A1285" s="2" t="s">
        <v>3490</v>
      </c>
      <c r="B1285" s="2" t="s">
        <v>3491</v>
      </c>
      <c r="C1285" s="2" t="s">
        <v>16</v>
      </c>
      <c r="D1285" s="2" t="s">
        <v>84</v>
      </c>
      <c r="E1285" s="2" t="s">
        <v>79</v>
      </c>
      <c r="F1285" s="2" t="s">
        <v>39</v>
      </c>
      <c r="G1285" s="2" t="s">
        <v>144</v>
      </c>
      <c r="H1285" s="2" t="s">
        <v>32</v>
      </c>
      <c r="I1285" s="2">
        <v>48</v>
      </c>
      <c r="J1285" s="2" t="s">
        <v>33</v>
      </c>
      <c r="K1285" s="2"/>
      <c r="L1285" s="2" t="s">
        <v>24</v>
      </c>
      <c r="M1285" s="2"/>
      <c r="N1285" s="2"/>
    </row>
    <row r="1286" spans="1:14" x14ac:dyDescent="0.25">
      <c r="A1286" s="2" t="s">
        <v>3492</v>
      </c>
      <c r="B1286" s="2" t="s">
        <v>3493</v>
      </c>
      <c r="C1286" s="2" t="s">
        <v>28</v>
      </c>
      <c r="D1286" s="2" t="s">
        <v>100</v>
      </c>
      <c r="E1286" s="2" t="s">
        <v>148</v>
      </c>
      <c r="F1286" s="2" t="s">
        <v>39</v>
      </c>
      <c r="G1286" s="2" t="s">
        <v>139</v>
      </c>
      <c r="H1286" s="2" t="s">
        <v>74</v>
      </c>
      <c r="I1286" s="2">
        <v>8</v>
      </c>
      <c r="J1286" s="2" t="s">
        <v>41</v>
      </c>
      <c r="K1286" s="2" t="s">
        <v>3494</v>
      </c>
      <c r="L1286" s="2" t="s">
        <v>24</v>
      </c>
      <c r="M1286" s="2"/>
      <c r="N1286" s="2" t="s">
        <v>34</v>
      </c>
    </row>
    <row r="1287" spans="1:14" x14ac:dyDescent="0.25">
      <c r="A1287" s="2" t="s">
        <v>3495</v>
      </c>
      <c r="B1287" s="2" t="s">
        <v>3496</v>
      </c>
      <c r="C1287" s="2" t="s">
        <v>53</v>
      </c>
      <c r="D1287" s="2" t="s">
        <v>54</v>
      </c>
      <c r="E1287" s="2" t="s">
        <v>85</v>
      </c>
      <c r="F1287" s="2" t="s">
        <v>96</v>
      </c>
      <c r="G1287" s="2" t="s">
        <v>139</v>
      </c>
      <c r="H1287" s="2" t="s">
        <v>74</v>
      </c>
      <c r="I1287" s="2">
        <v>8</v>
      </c>
      <c r="J1287" s="2" t="s">
        <v>106</v>
      </c>
      <c r="K1287" s="2" t="s">
        <v>3497</v>
      </c>
      <c r="L1287" s="2" t="s">
        <v>24</v>
      </c>
      <c r="M1287" s="2">
        <v>5</v>
      </c>
      <c r="N1287" s="2" t="s">
        <v>25</v>
      </c>
    </row>
    <row r="1288" spans="1:14" x14ac:dyDescent="0.25">
      <c r="A1288" s="2" t="s">
        <v>3498</v>
      </c>
      <c r="B1288" s="2" t="s">
        <v>3499</v>
      </c>
      <c r="C1288" s="2" t="s">
        <v>53</v>
      </c>
      <c r="D1288" s="2" t="s">
        <v>771</v>
      </c>
      <c r="E1288" s="2" t="s">
        <v>79</v>
      </c>
      <c r="F1288" s="2" t="s">
        <v>125</v>
      </c>
      <c r="G1288" s="2" t="s">
        <v>135</v>
      </c>
      <c r="H1288" s="2" t="s">
        <v>74</v>
      </c>
      <c r="I1288" s="2">
        <v>8</v>
      </c>
      <c r="J1288" s="2" t="s">
        <v>117</v>
      </c>
      <c r="K1288" s="2"/>
      <c r="L1288" s="2" t="s">
        <v>24</v>
      </c>
      <c r="M1288" s="2"/>
      <c r="N1288" s="2"/>
    </row>
    <row r="1289" spans="1:14" x14ac:dyDescent="0.25">
      <c r="A1289" s="2" t="s">
        <v>3500</v>
      </c>
      <c r="B1289" s="2" t="s">
        <v>3501</v>
      </c>
      <c r="C1289" s="2" t="s">
        <v>53</v>
      </c>
      <c r="D1289" s="2" t="s">
        <v>771</v>
      </c>
      <c r="E1289" s="2" t="s">
        <v>18</v>
      </c>
      <c r="F1289" s="2" t="s">
        <v>69</v>
      </c>
      <c r="G1289" s="2" t="s">
        <v>40</v>
      </c>
      <c r="H1289" s="2" t="s">
        <v>21</v>
      </c>
      <c r="I1289" s="2">
        <v>24</v>
      </c>
      <c r="J1289" s="2" t="s">
        <v>22</v>
      </c>
      <c r="K1289" s="2" t="s">
        <v>3502</v>
      </c>
      <c r="L1289" s="2" t="s">
        <v>24</v>
      </c>
      <c r="M1289" s="2">
        <v>5</v>
      </c>
      <c r="N1289" s="2" t="s">
        <v>50</v>
      </c>
    </row>
    <row r="1290" spans="1:14" x14ac:dyDescent="0.25">
      <c r="A1290" s="2" t="s">
        <v>3503</v>
      </c>
      <c r="B1290" s="2" t="s">
        <v>3504</v>
      </c>
      <c r="C1290" s="2" t="s">
        <v>16</v>
      </c>
      <c r="D1290" s="2" t="s">
        <v>84</v>
      </c>
      <c r="E1290" s="2" t="s">
        <v>79</v>
      </c>
      <c r="F1290" s="2" t="s">
        <v>47</v>
      </c>
      <c r="G1290" s="2" t="s">
        <v>31</v>
      </c>
      <c r="H1290" s="2" t="s">
        <v>21</v>
      </c>
      <c r="I1290" s="2">
        <v>24</v>
      </c>
      <c r="J1290" s="2" t="s">
        <v>75</v>
      </c>
      <c r="K1290" s="2" t="s">
        <v>3505</v>
      </c>
      <c r="L1290" s="2" t="s">
        <v>24</v>
      </c>
      <c r="M1290" s="2">
        <v>3</v>
      </c>
      <c r="N1290" s="2"/>
    </row>
    <row r="1291" spans="1:14" x14ac:dyDescent="0.25">
      <c r="A1291" s="2" t="s">
        <v>3506</v>
      </c>
      <c r="B1291" s="2" t="s">
        <v>3507</v>
      </c>
      <c r="C1291" s="2" t="s">
        <v>53</v>
      </c>
      <c r="D1291" s="2" t="s">
        <v>61</v>
      </c>
      <c r="E1291" s="2" t="s">
        <v>148</v>
      </c>
      <c r="F1291" s="2" t="s">
        <v>55</v>
      </c>
      <c r="G1291" s="2" t="s">
        <v>121</v>
      </c>
      <c r="H1291" s="2" t="s">
        <v>32</v>
      </c>
      <c r="I1291" s="2">
        <v>48</v>
      </c>
      <c r="J1291" s="2" t="s">
        <v>41</v>
      </c>
      <c r="K1291" s="2" t="s">
        <v>3508</v>
      </c>
      <c r="L1291" s="2" t="s">
        <v>24</v>
      </c>
      <c r="M1291" s="2">
        <v>4</v>
      </c>
      <c r="N1291" s="2" t="s">
        <v>43</v>
      </c>
    </row>
    <row r="1292" spans="1:14" x14ac:dyDescent="0.25">
      <c r="A1292" s="2" t="s">
        <v>3509</v>
      </c>
      <c r="B1292" s="2" t="s">
        <v>3510</v>
      </c>
      <c r="C1292" s="2" t="s">
        <v>28</v>
      </c>
      <c r="D1292" s="2" t="s">
        <v>100</v>
      </c>
      <c r="E1292" s="2" t="s">
        <v>38</v>
      </c>
      <c r="F1292" s="2" t="s">
        <v>47</v>
      </c>
      <c r="G1292" s="2" t="s">
        <v>70</v>
      </c>
      <c r="H1292" s="2" t="s">
        <v>21</v>
      </c>
      <c r="I1292" s="2">
        <v>24</v>
      </c>
      <c r="J1292" s="2" t="s">
        <v>48</v>
      </c>
      <c r="K1292" s="2" t="s">
        <v>3511</v>
      </c>
      <c r="L1292" s="2" t="s">
        <v>24</v>
      </c>
      <c r="M1292" s="2">
        <v>3</v>
      </c>
      <c r="N1292" s="2"/>
    </row>
    <row r="1293" spans="1:14" x14ac:dyDescent="0.25">
      <c r="A1293" s="2" t="s">
        <v>3512</v>
      </c>
      <c r="B1293" s="2" t="s">
        <v>3513</v>
      </c>
      <c r="C1293" s="2" t="s">
        <v>53</v>
      </c>
      <c r="D1293" s="2" t="s">
        <v>61</v>
      </c>
      <c r="E1293" s="2" t="s">
        <v>38</v>
      </c>
      <c r="F1293" s="2" t="s">
        <v>143</v>
      </c>
      <c r="G1293" s="2" t="s">
        <v>40</v>
      </c>
      <c r="H1293" s="2" t="s">
        <v>74</v>
      </c>
      <c r="I1293" s="2">
        <v>8</v>
      </c>
      <c r="J1293" s="2" t="s">
        <v>41</v>
      </c>
      <c r="K1293" s="2" t="s">
        <v>3514</v>
      </c>
      <c r="L1293" s="2" t="s">
        <v>24</v>
      </c>
      <c r="M1293" s="2">
        <v>1</v>
      </c>
      <c r="N1293" s="2" t="s">
        <v>118</v>
      </c>
    </row>
    <row r="1294" spans="1:14" x14ac:dyDescent="0.25">
      <c r="A1294" s="2" t="s">
        <v>3515</v>
      </c>
      <c r="B1294" s="2" t="s">
        <v>3516</v>
      </c>
      <c r="C1294" s="2" t="s">
        <v>16</v>
      </c>
      <c r="D1294" s="2" t="s">
        <v>84</v>
      </c>
      <c r="E1294" s="2" t="s">
        <v>46</v>
      </c>
      <c r="F1294" s="2" t="s">
        <v>30</v>
      </c>
      <c r="G1294" s="2" t="s">
        <v>139</v>
      </c>
      <c r="H1294" s="2" t="s">
        <v>21</v>
      </c>
      <c r="I1294" s="2">
        <v>24</v>
      </c>
      <c r="J1294" s="2" t="s">
        <v>145</v>
      </c>
      <c r="K1294" s="2"/>
      <c r="L1294" s="2" t="s">
        <v>24</v>
      </c>
      <c r="M1294" s="2"/>
      <c r="N1294" s="2" t="s">
        <v>43</v>
      </c>
    </row>
    <row r="1295" spans="1:14" x14ac:dyDescent="0.25">
      <c r="A1295" s="2" t="s">
        <v>3517</v>
      </c>
      <c r="B1295" s="2" t="s">
        <v>3518</v>
      </c>
      <c r="C1295" s="2" t="s">
        <v>53</v>
      </c>
      <c r="D1295" s="2" t="s">
        <v>162</v>
      </c>
      <c r="E1295" s="2" t="s">
        <v>85</v>
      </c>
      <c r="F1295" s="2" t="s">
        <v>96</v>
      </c>
      <c r="G1295" s="2" t="s">
        <v>158</v>
      </c>
      <c r="H1295" s="2" t="s">
        <v>32</v>
      </c>
      <c r="I1295" s="2">
        <v>48</v>
      </c>
      <c r="J1295" s="2" t="s">
        <v>22</v>
      </c>
      <c r="K1295" s="2" t="s">
        <v>3519</v>
      </c>
      <c r="L1295" s="2" t="s">
        <v>24</v>
      </c>
      <c r="M1295" s="2"/>
      <c r="N1295" s="2" t="s">
        <v>50</v>
      </c>
    </row>
    <row r="1296" spans="1:14" x14ac:dyDescent="0.25">
      <c r="A1296" s="2" t="s">
        <v>3520</v>
      </c>
      <c r="B1296" s="2" t="s">
        <v>3521</v>
      </c>
      <c r="C1296" s="2" t="s">
        <v>16</v>
      </c>
      <c r="D1296" s="2" t="s">
        <v>84</v>
      </c>
      <c r="E1296" s="2" t="s">
        <v>38</v>
      </c>
      <c r="F1296" s="2" t="s">
        <v>62</v>
      </c>
      <c r="G1296" s="2" t="s">
        <v>31</v>
      </c>
      <c r="H1296" s="2" t="s">
        <v>32</v>
      </c>
      <c r="I1296" s="2">
        <v>48</v>
      </c>
      <c r="J1296" s="2" t="s">
        <v>106</v>
      </c>
      <c r="K1296" s="2" t="s">
        <v>3522</v>
      </c>
      <c r="L1296" s="2" t="s">
        <v>24</v>
      </c>
      <c r="M1296" s="2"/>
      <c r="N1296" s="2" t="s">
        <v>25</v>
      </c>
    </row>
    <row r="1297" spans="1:14" x14ac:dyDescent="0.25">
      <c r="A1297" s="2" t="s">
        <v>3523</v>
      </c>
      <c r="B1297" s="2" t="s">
        <v>3524</v>
      </c>
      <c r="C1297" s="2" t="s">
        <v>53</v>
      </c>
      <c r="D1297" s="2" t="s">
        <v>54</v>
      </c>
      <c r="E1297" s="2" t="s">
        <v>148</v>
      </c>
      <c r="F1297" s="2" t="s">
        <v>30</v>
      </c>
      <c r="G1297" s="2" t="s">
        <v>40</v>
      </c>
      <c r="H1297" s="2" t="s">
        <v>32</v>
      </c>
      <c r="I1297" s="2">
        <v>48</v>
      </c>
      <c r="J1297" s="2" t="s">
        <v>22</v>
      </c>
      <c r="K1297" s="2" t="s">
        <v>3525</v>
      </c>
      <c r="L1297" s="2" t="s">
        <v>24</v>
      </c>
      <c r="M1297" s="2"/>
      <c r="N1297" s="2" t="s">
        <v>128</v>
      </c>
    </row>
    <row r="1298" spans="1:14" x14ac:dyDescent="0.25">
      <c r="A1298" s="2" t="s">
        <v>3526</v>
      </c>
      <c r="B1298" s="2" t="s">
        <v>3527</v>
      </c>
      <c r="C1298" s="2" t="s">
        <v>16</v>
      </c>
      <c r="D1298" s="2" t="s">
        <v>84</v>
      </c>
      <c r="E1298" s="2" t="s">
        <v>90</v>
      </c>
      <c r="F1298" s="2" t="s">
        <v>96</v>
      </c>
      <c r="G1298" s="2" t="s">
        <v>158</v>
      </c>
      <c r="H1298" s="2" t="s">
        <v>21</v>
      </c>
      <c r="I1298" s="2">
        <v>24</v>
      </c>
      <c r="J1298" s="2" t="s">
        <v>75</v>
      </c>
      <c r="K1298" s="2" t="s">
        <v>3528</v>
      </c>
      <c r="L1298" s="2" t="s">
        <v>24</v>
      </c>
      <c r="M1298" s="2">
        <v>4</v>
      </c>
      <c r="N1298" s="2" t="s">
        <v>43</v>
      </c>
    </row>
    <row r="1299" spans="1:14" x14ac:dyDescent="0.25">
      <c r="A1299" s="2" t="s">
        <v>3529</v>
      </c>
      <c r="B1299" s="2" t="s">
        <v>3530</v>
      </c>
      <c r="C1299" s="2" t="s">
        <v>67</v>
      </c>
      <c r="D1299" s="2" t="s">
        <v>68</v>
      </c>
      <c r="E1299" s="2" t="s">
        <v>148</v>
      </c>
      <c r="F1299" s="2" t="s">
        <v>62</v>
      </c>
      <c r="G1299" s="2" t="s">
        <v>97</v>
      </c>
      <c r="H1299" s="2" t="s">
        <v>21</v>
      </c>
      <c r="I1299" s="2">
        <v>24</v>
      </c>
      <c r="J1299" s="2" t="s">
        <v>106</v>
      </c>
      <c r="K1299" s="2" t="s">
        <v>3531</v>
      </c>
      <c r="L1299" s="2" t="s">
        <v>24</v>
      </c>
      <c r="M1299" s="2">
        <v>1</v>
      </c>
      <c r="N1299" s="2" t="s">
        <v>25</v>
      </c>
    </row>
    <row r="1300" spans="1:14" x14ac:dyDescent="0.25">
      <c r="A1300" s="2" t="s">
        <v>3532</v>
      </c>
      <c r="B1300" s="2" t="s">
        <v>3533</v>
      </c>
      <c r="C1300" s="2" t="s">
        <v>53</v>
      </c>
      <c r="D1300" s="2" t="s">
        <v>54</v>
      </c>
      <c r="E1300" s="2" t="s">
        <v>85</v>
      </c>
      <c r="F1300" s="2" t="s">
        <v>131</v>
      </c>
      <c r="G1300" s="2" t="s">
        <v>40</v>
      </c>
      <c r="H1300" s="2" t="s">
        <v>32</v>
      </c>
      <c r="I1300" s="2">
        <v>48</v>
      </c>
      <c r="J1300" s="2" t="s">
        <v>41</v>
      </c>
      <c r="K1300" s="2" t="s">
        <v>3534</v>
      </c>
      <c r="L1300" s="2" t="s">
        <v>24</v>
      </c>
      <c r="M1300" s="2"/>
      <c r="N1300" s="2" t="s">
        <v>34</v>
      </c>
    </row>
    <row r="1301" spans="1:14" x14ac:dyDescent="0.25">
      <c r="A1301" s="2" t="s">
        <v>3535</v>
      </c>
      <c r="B1301" s="2" t="s">
        <v>3536</v>
      </c>
      <c r="C1301" s="2" t="s">
        <v>53</v>
      </c>
      <c r="D1301" s="2" t="s">
        <v>54</v>
      </c>
      <c r="E1301" s="2" t="s">
        <v>79</v>
      </c>
      <c r="F1301" s="2" t="s">
        <v>131</v>
      </c>
      <c r="G1301" s="2" t="s">
        <v>144</v>
      </c>
      <c r="H1301" s="2" t="s">
        <v>21</v>
      </c>
      <c r="I1301" s="2">
        <v>24</v>
      </c>
      <c r="J1301" s="2" t="s">
        <v>22</v>
      </c>
      <c r="K1301" s="2" t="s">
        <v>3537</v>
      </c>
      <c r="L1301" s="2" t="s">
        <v>24</v>
      </c>
      <c r="M1301" s="2">
        <v>5</v>
      </c>
      <c r="N1301" s="2" t="s">
        <v>50</v>
      </c>
    </row>
    <row r="1302" spans="1:14" x14ac:dyDescent="0.25">
      <c r="A1302" s="2" t="s">
        <v>3538</v>
      </c>
      <c r="B1302" s="2" t="s">
        <v>3539</v>
      </c>
      <c r="C1302" s="2" t="s">
        <v>53</v>
      </c>
      <c r="D1302" s="2" t="s">
        <v>61</v>
      </c>
      <c r="E1302" s="2" t="s">
        <v>148</v>
      </c>
      <c r="F1302" s="2" t="s">
        <v>131</v>
      </c>
      <c r="G1302" s="2" t="s">
        <v>91</v>
      </c>
      <c r="H1302" s="2" t="s">
        <v>74</v>
      </c>
      <c r="I1302" s="2">
        <v>8</v>
      </c>
      <c r="J1302" s="2" t="s">
        <v>56</v>
      </c>
      <c r="K1302" s="2" t="s">
        <v>3540</v>
      </c>
      <c r="L1302" s="2" t="s">
        <v>24</v>
      </c>
      <c r="M1302" s="2"/>
      <c r="N1302" s="2" t="s">
        <v>25</v>
      </c>
    </row>
    <row r="1303" spans="1:14" x14ac:dyDescent="0.25">
      <c r="A1303" s="2" t="s">
        <v>3541</v>
      </c>
      <c r="B1303" s="2" t="s">
        <v>3542</v>
      </c>
      <c r="C1303" s="2" t="s">
        <v>67</v>
      </c>
      <c r="D1303" s="2" t="s">
        <v>68</v>
      </c>
      <c r="E1303" s="2" t="s">
        <v>18</v>
      </c>
      <c r="F1303" s="2" t="s">
        <v>19</v>
      </c>
      <c r="G1303" s="2" t="s">
        <v>31</v>
      </c>
      <c r="H1303" s="2" t="s">
        <v>32</v>
      </c>
      <c r="I1303" s="2">
        <v>48</v>
      </c>
      <c r="J1303" s="2" t="s">
        <v>75</v>
      </c>
      <c r="K1303" s="2" t="s">
        <v>3543</v>
      </c>
      <c r="L1303" s="2" t="s">
        <v>24</v>
      </c>
      <c r="M1303" s="2">
        <v>4</v>
      </c>
      <c r="N1303" s="2"/>
    </row>
    <row r="1304" spans="1:14" x14ac:dyDescent="0.25">
      <c r="A1304" s="2" t="s">
        <v>3544</v>
      </c>
      <c r="B1304" s="2" t="s">
        <v>3545</v>
      </c>
      <c r="C1304" s="2" t="s">
        <v>53</v>
      </c>
      <c r="D1304" s="2" t="s">
        <v>54</v>
      </c>
      <c r="E1304" s="2" t="s">
        <v>38</v>
      </c>
      <c r="F1304" s="2" t="s">
        <v>96</v>
      </c>
      <c r="G1304" s="2" t="s">
        <v>126</v>
      </c>
      <c r="H1304" s="2" t="s">
        <v>74</v>
      </c>
      <c r="I1304" s="2">
        <v>8</v>
      </c>
      <c r="J1304" s="2" t="s">
        <v>187</v>
      </c>
      <c r="K1304" s="2" t="s">
        <v>3546</v>
      </c>
      <c r="L1304" s="2" t="s">
        <v>24</v>
      </c>
      <c r="M1304" s="2">
        <v>5</v>
      </c>
      <c r="N1304" s="2"/>
    </row>
    <row r="1305" spans="1:14" x14ac:dyDescent="0.25">
      <c r="A1305" s="2" t="s">
        <v>3547</v>
      </c>
      <c r="B1305" s="2" t="s">
        <v>3548</v>
      </c>
      <c r="C1305" s="2" t="s">
        <v>28</v>
      </c>
      <c r="D1305" s="2" t="s">
        <v>37</v>
      </c>
      <c r="E1305" s="2" t="s">
        <v>90</v>
      </c>
      <c r="F1305" s="2" t="s">
        <v>62</v>
      </c>
      <c r="G1305" s="2" t="s">
        <v>105</v>
      </c>
      <c r="H1305" s="2" t="s">
        <v>21</v>
      </c>
      <c r="I1305" s="2">
        <v>24</v>
      </c>
      <c r="J1305" s="2" t="s">
        <v>75</v>
      </c>
      <c r="K1305" s="2" t="s">
        <v>3549</v>
      </c>
      <c r="L1305" s="2" t="s">
        <v>24</v>
      </c>
      <c r="M1305" s="2"/>
      <c r="N1305" s="2" t="s">
        <v>25</v>
      </c>
    </row>
    <row r="1306" spans="1:14" x14ac:dyDescent="0.25">
      <c r="A1306" s="2" t="s">
        <v>3550</v>
      </c>
      <c r="B1306" s="2" t="s">
        <v>3551</v>
      </c>
      <c r="C1306" s="2" t="s">
        <v>53</v>
      </c>
      <c r="D1306" s="2" t="s">
        <v>54</v>
      </c>
      <c r="E1306" s="2" t="s">
        <v>148</v>
      </c>
      <c r="F1306" s="2" t="s">
        <v>143</v>
      </c>
      <c r="G1306" s="2" t="s">
        <v>121</v>
      </c>
      <c r="H1306" s="2" t="s">
        <v>21</v>
      </c>
      <c r="I1306" s="2">
        <v>24</v>
      </c>
      <c r="J1306" s="2" t="s">
        <v>48</v>
      </c>
      <c r="K1306" s="2" t="s">
        <v>3552</v>
      </c>
      <c r="L1306" s="2" t="s">
        <v>24</v>
      </c>
      <c r="M1306" s="2">
        <v>3</v>
      </c>
      <c r="N1306" s="2" t="s">
        <v>118</v>
      </c>
    </row>
    <row r="1307" spans="1:14" x14ac:dyDescent="0.25">
      <c r="A1307" s="2" t="s">
        <v>3553</v>
      </c>
      <c r="B1307" s="2" t="s">
        <v>3554</v>
      </c>
      <c r="C1307" s="2" t="s">
        <v>67</v>
      </c>
      <c r="D1307" s="2" t="s">
        <v>95</v>
      </c>
      <c r="E1307" s="2" t="s">
        <v>79</v>
      </c>
      <c r="F1307" s="2" t="s">
        <v>69</v>
      </c>
      <c r="G1307" s="2" t="s">
        <v>97</v>
      </c>
      <c r="H1307" s="2" t="s">
        <v>32</v>
      </c>
      <c r="I1307" s="2">
        <v>48</v>
      </c>
      <c r="J1307" s="2" t="s">
        <v>187</v>
      </c>
      <c r="K1307" s="2" t="s">
        <v>3555</v>
      </c>
      <c r="L1307" s="2" t="s">
        <v>24</v>
      </c>
      <c r="M1307" s="2"/>
      <c r="N1307" s="2"/>
    </row>
    <row r="1308" spans="1:14" x14ac:dyDescent="0.25">
      <c r="A1308" s="2" t="s">
        <v>3556</v>
      </c>
      <c r="B1308" s="2" t="s">
        <v>3557</v>
      </c>
      <c r="C1308" s="2" t="s">
        <v>28</v>
      </c>
      <c r="D1308" s="2" t="s">
        <v>100</v>
      </c>
      <c r="E1308" s="2" t="s">
        <v>79</v>
      </c>
      <c r="F1308" s="2" t="s">
        <v>113</v>
      </c>
      <c r="G1308" s="2" t="s">
        <v>105</v>
      </c>
      <c r="H1308" s="2" t="s">
        <v>32</v>
      </c>
      <c r="I1308" s="2">
        <v>48</v>
      </c>
      <c r="J1308" s="2" t="s">
        <v>33</v>
      </c>
      <c r="K1308" s="2"/>
      <c r="L1308" s="2" t="s">
        <v>92</v>
      </c>
      <c r="M1308" s="2"/>
      <c r="N1308" s="2"/>
    </row>
    <row r="1309" spans="1:14" x14ac:dyDescent="0.25">
      <c r="A1309" s="2" t="s">
        <v>3558</v>
      </c>
      <c r="B1309" s="2" t="s">
        <v>3559</v>
      </c>
      <c r="C1309" s="2" t="s">
        <v>28</v>
      </c>
      <c r="D1309" s="2" t="s">
        <v>37</v>
      </c>
      <c r="E1309" s="2" t="s">
        <v>46</v>
      </c>
      <c r="F1309" s="2" t="s">
        <v>30</v>
      </c>
      <c r="G1309" s="2" t="s">
        <v>139</v>
      </c>
      <c r="H1309" s="2" t="s">
        <v>21</v>
      </c>
      <c r="I1309" s="2">
        <v>24</v>
      </c>
      <c r="J1309" s="2" t="s">
        <v>48</v>
      </c>
      <c r="K1309" s="2" t="s">
        <v>3560</v>
      </c>
      <c r="L1309" s="2" t="s">
        <v>24</v>
      </c>
      <c r="M1309" s="2"/>
      <c r="N1309" s="2" t="s">
        <v>50</v>
      </c>
    </row>
    <row r="1310" spans="1:14" x14ac:dyDescent="0.25">
      <c r="A1310" s="2" t="s">
        <v>3561</v>
      </c>
      <c r="B1310" s="2" t="s">
        <v>3562</v>
      </c>
      <c r="C1310" s="2" t="s">
        <v>67</v>
      </c>
      <c r="D1310" s="2" t="s">
        <v>68</v>
      </c>
      <c r="E1310" s="2" t="s">
        <v>85</v>
      </c>
      <c r="F1310" s="2" t="s">
        <v>62</v>
      </c>
      <c r="G1310" s="2" t="s">
        <v>97</v>
      </c>
      <c r="H1310" s="2" t="s">
        <v>32</v>
      </c>
      <c r="I1310" s="2">
        <v>48</v>
      </c>
      <c r="J1310" s="2" t="s">
        <v>117</v>
      </c>
      <c r="K1310" s="2"/>
      <c r="L1310" s="2" t="s">
        <v>24</v>
      </c>
      <c r="M1310" s="2"/>
      <c r="N1310" s="2"/>
    </row>
    <row r="1311" spans="1:14" x14ac:dyDescent="0.25">
      <c r="A1311" s="2" t="s">
        <v>3563</v>
      </c>
      <c r="B1311" s="2" t="s">
        <v>3564</v>
      </c>
      <c r="C1311" s="2" t="s">
        <v>16</v>
      </c>
      <c r="D1311" s="2" t="s">
        <v>17</v>
      </c>
      <c r="E1311" s="2" t="s">
        <v>148</v>
      </c>
      <c r="F1311" s="2" t="s">
        <v>62</v>
      </c>
      <c r="G1311" s="2" t="s">
        <v>101</v>
      </c>
      <c r="H1311" s="2" t="s">
        <v>21</v>
      </c>
      <c r="I1311" s="2">
        <v>24</v>
      </c>
      <c r="J1311" s="2" t="s">
        <v>486</v>
      </c>
      <c r="K1311" s="2" t="s">
        <v>3565</v>
      </c>
      <c r="L1311" s="2" t="s">
        <v>24</v>
      </c>
      <c r="M1311" s="2"/>
      <c r="N1311" s="2" t="s">
        <v>64</v>
      </c>
    </row>
    <row r="1312" spans="1:14" x14ac:dyDescent="0.25">
      <c r="A1312" s="2" t="s">
        <v>3566</v>
      </c>
      <c r="B1312" s="2" t="s">
        <v>3567</v>
      </c>
      <c r="C1312" s="2" t="s">
        <v>53</v>
      </c>
      <c r="D1312" s="2" t="s">
        <v>61</v>
      </c>
      <c r="E1312" s="2" t="s">
        <v>148</v>
      </c>
      <c r="F1312" s="2" t="s">
        <v>47</v>
      </c>
      <c r="G1312" s="2" t="s">
        <v>91</v>
      </c>
      <c r="H1312" s="2" t="s">
        <v>80</v>
      </c>
      <c r="I1312" s="2">
        <v>4</v>
      </c>
      <c r="J1312" s="2" t="s">
        <v>232</v>
      </c>
      <c r="K1312" s="2"/>
      <c r="L1312" s="2" t="s">
        <v>92</v>
      </c>
      <c r="M1312" s="2"/>
      <c r="N1312" s="2"/>
    </row>
    <row r="1313" spans="1:14" x14ac:dyDescent="0.25">
      <c r="A1313" s="2" t="s">
        <v>3568</v>
      </c>
      <c r="B1313" s="2" t="s">
        <v>3569</v>
      </c>
      <c r="C1313" s="2" t="s">
        <v>28</v>
      </c>
      <c r="D1313" s="2" t="s">
        <v>100</v>
      </c>
      <c r="E1313" s="2" t="s">
        <v>90</v>
      </c>
      <c r="F1313" s="2" t="s">
        <v>113</v>
      </c>
      <c r="G1313" s="2" t="s">
        <v>110</v>
      </c>
      <c r="H1313" s="2" t="s">
        <v>21</v>
      </c>
      <c r="I1313" s="2">
        <v>24</v>
      </c>
      <c r="J1313" s="2" t="s">
        <v>22</v>
      </c>
      <c r="K1313" s="2" t="s">
        <v>3570</v>
      </c>
      <c r="L1313" s="2" t="s">
        <v>92</v>
      </c>
      <c r="M1313" s="2">
        <v>1</v>
      </c>
      <c r="N1313" s="2"/>
    </row>
    <row r="1314" spans="1:14" x14ac:dyDescent="0.25">
      <c r="A1314" s="2" t="s">
        <v>3571</v>
      </c>
      <c r="B1314" s="2" t="s">
        <v>3572</v>
      </c>
      <c r="C1314" s="2" t="s">
        <v>28</v>
      </c>
      <c r="D1314" s="2" t="s">
        <v>100</v>
      </c>
      <c r="E1314" s="2" t="s">
        <v>148</v>
      </c>
      <c r="F1314" s="2" t="s">
        <v>30</v>
      </c>
      <c r="G1314" s="2" t="s">
        <v>144</v>
      </c>
      <c r="H1314" s="2" t="s">
        <v>80</v>
      </c>
      <c r="I1314" s="2">
        <v>4</v>
      </c>
      <c r="J1314" s="2" t="s">
        <v>106</v>
      </c>
      <c r="K1314" s="2" t="s">
        <v>3573</v>
      </c>
      <c r="L1314" s="2" t="s">
        <v>24</v>
      </c>
      <c r="M1314" s="2">
        <v>5</v>
      </c>
      <c r="N1314" s="2"/>
    </row>
    <row r="1315" spans="1:14" x14ac:dyDescent="0.25">
      <c r="A1315" s="2" t="s">
        <v>3574</v>
      </c>
      <c r="B1315" s="2" t="s">
        <v>3575</v>
      </c>
      <c r="C1315" s="2" t="s">
        <v>53</v>
      </c>
      <c r="D1315" s="2" t="s">
        <v>61</v>
      </c>
      <c r="E1315" s="2" t="s">
        <v>148</v>
      </c>
      <c r="F1315" s="2" t="s">
        <v>143</v>
      </c>
      <c r="G1315" s="2" t="s">
        <v>105</v>
      </c>
      <c r="H1315" s="2" t="s">
        <v>21</v>
      </c>
      <c r="I1315" s="2">
        <v>24</v>
      </c>
      <c r="J1315" s="2" t="s">
        <v>22</v>
      </c>
      <c r="K1315" s="2" t="s">
        <v>3576</v>
      </c>
      <c r="L1315" s="2" t="s">
        <v>24</v>
      </c>
      <c r="M1315" s="2">
        <v>4</v>
      </c>
      <c r="N1315" s="2"/>
    </row>
    <row r="1316" spans="1:14" x14ac:dyDescent="0.25">
      <c r="A1316" s="2" t="s">
        <v>3577</v>
      </c>
      <c r="B1316" s="2" t="s">
        <v>3578</v>
      </c>
      <c r="C1316" s="2" t="s">
        <v>16</v>
      </c>
      <c r="D1316" s="2" t="s">
        <v>17</v>
      </c>
      <c r="E1316" s="2" t="s">
        <v>85</v>
      </c>
      <c r="F1316" s="2" t="s">
        <v>30</v>
      </c>
      <c r="G1316" s="2" t="s">
        <v>105</v>
      </c>
      <c r="H1316" s="2" t="s">
        <v>32</v>
      </c>
      <c r="I1316" s="2">
        <v>48</v>
      </c>
      <c r="J1316" s="2" t="s">
        <v>187</v>
      </c>
      <c r="K1316" s="2" t="s">
        <v>3579</v>
      </c>
      <c r="L1316" s="2" t="s">
        <v>24</v>
      </c>
      <c r="M1316" s="2"/>
      <c r="N1316" s="2" t="s">
        <v>43</v>
      </c>
    </row>
    <row r="1317" spans="1:14" x14ac:dyDescent="0.25">
      <c r="A1317" s="2" t="s">
        <v>3580</v>
      </c>
      <c r="B1317" s="2" t="s">
        <v>3581</v>
      </c>
      <c r="C1317" s="2" t="s">
        <v>53</v>
      </c>
      <c r="D1317" s="2" t="s">
        <v>54</v>
      </c>
      <c r="E1317" s="2" t="s">
        <v>18</v>
      </c>
      <c r="F1317" s="2" t="s">
        <v>39</v>
      </c>
      <c r="G1317" s="2" t="s">
        <v>105</v>
      </c>
      <c r="H1317" s="2" t="s">
        <v>32</v>
      </c>
      <c r="I1317" s="2">
        <v>48</v>
      </c>
      <c r="J1317" s="2" t="s">
        <v>232</v>
      </c>
      <c r="K1317" s="2"/>
      <c r="L1317" s="2" t="s">
        <v>92</v>
      </c>
      <c r="M1317" s="2"/>
      <c r="N1317" s="2" t="s">
        <v>118</v>
      </c>
    </row>
    <row r="1318" spans="1:14" x14ac:dyDescent="0.25">
      <c r="A1318" s="2" t="s">
        <v>3582</v>
      </c>
      <c r="B1318" s="2" t="s">
        <v>3583</v>
      </c>
      <c r="C1318" s="2" t="s">
        <v>28</v>
      </c>
      <c r="D1318" s="2" t="s">
        <v>37</v>
      </c>
      <c r="E1318" s="2" t="s">
        <v>46</v>
      </c>
      <c r="F1318" s="2" t="s">
        <v>30</v>
      </c>
      <c r="G1318" s="2" t="s">
        <v>101</v>
      </c>
      <c r="H1318" s="2" t="s">
        <v>32</v>
      </c>
      <c r="I1318" s="2">
        <v>48</v>
      </c>
      <c r="J1318" s="2" t="s">
        <v>75</v>
      </c>
      <c r="K1318" s="2" t="s">
        <v>3584</v>
      </c>
      <c r="L1318" s="2" t="s">
        <v>24</v>
      </c>
      <c r="M1318" s="2">
        <v>5</v>
      </c>
      <c r="N1318" s="2" t="s">
        <v>43</v>
      </c>
    </row>
    <row r="1319" spans="1:14" x14ac:dyDescent="0.25">
      <c r="A1319" s="2" t="s">
        <v>3585</v>
      </c>
      <c r="B1319" s="2" t="s">
        <v>3586</v>
      </c>
      <c r="C1319" s="2" t="s">
        <v>28</v>
      </c>
      <c r="D1319" s="2" t="s">
        <v>100</v>
      </c>
      <c r="E1319" s="2" t="s">
        <v>79</v>
      </c>
      <c r="F1319" s="2" t="s">
        <v>113</v>
      </c>
      <c r="G1319" s="2" t="s">
        <v>91</v>
      </c>
      <c r="H1319" s="2" t="s">
        <v>74</v>
      </c>
      <c r="I1319" s="2">
        <v>8</v>
      </c>
      <c r="J1319" s="2" t="s">
        <v>22</v>
      </c>
      <c r="K1319" s="2" t="s">
        <v>3587</v>
      </c>
      <c r="L1319" s="2" t="s">
        <v>24</v>
      </c>
      <c r="M1319" s="2">
        <v>4</v>
      </c>
      <c r="N1319" s="2" t="s">
        <v>128</v>
      </c>
    </row>
    <row r="1320" spans="1:14" x14ac:dyDescent="0.25">
      <c r="A1320" s="2" t="s">
        <v>3588</v>
      </c>
      <c r="B1320" s="2" t="s">
        <v>3589</v>
      </c>
      <c r="C1320" s="2" t="s">
        <v>16</v>
      </c>
      <c r="D1320" s="2" t="s">
        <v>84</v>
      </c>
      <c r="E1320" s="2" t="s">
        <v>46</v>
      </c>
      <c r="F1320" s="2" t="s">
        <v>143</v>
      </c>
      <c r="G1320" s="2" t="s">
        <v>110</v>
      </c>
      <c r="H1320" s="2" t="s">
        <v>32</v>
      </c>
      <c r="I1320" s="2">
        <v>48</v>
      </c>
      <c r="J1320" s="2" t="s">
        <v>187</v>
      </c>
      <c r="K1320" s="2" t="s">
        <v>3590</v>
      </c>
      <c r="L1320" s="2" t="s">
        <v>24</v>
      </c>
      <c r="M1320" s="2">
        <v>1</v>
      </c>
      <c r="N1320" s="2" t="s">
        <v>64</v>
      </c>
    </row>
    <row r="1321" spans="1:14" x14ac:dyDescent="0.25">
      <c r="A1321" s="2" t="s">
        <v>3591</v>
      </c>
      <c r="B1321" s="2" t="s">
        <v>3592</v>
      </c>
      <c r="C1321" s="2" t="s">
        <v>16</v>
      </c>
      <c r="D1321" s="2" t="s">
        <v>17</v>
      </c>
      <c r="E1321" s="2" t="s">
        <v>38</v>
      </c>
      <c r="F1321" s="2" t="s">
        <v>62</v>
      </c>
      <c r="G1321" s="2" t="s">
        <v>126</v>
      </c>
      <c r="H1321" s="2" t="s">
        <v>21</v>
      </c>
      <c r="I1321" s="2">
        <v>24</v>
      </c>
      <c r="J1321" s="2" t="s">
        <v>75</v>
      </c>
      <c r="K1321" s="2" t="s">
        <v>3593</v>
      </c>
      <c r="L1321" s="2" t="s">
        <v>24</v>
      </c>
      <c r="M1321" s="2"/>
      <c r="N1321" s="2" t="s">
        <v>43</v>
      </c>
    </row>
    <row r="1322" spans="1:14" x14ac:dyDescent="0.25">
      <c r="A1322" s="2" t="s">
        <v>3594</v>
      </c>
      <c r="B1322" s="2" t="s">
        <v>3595</v>
      </c>
      <c r="C1322" s="2" t="s">
        <v>28</v>
      </c>
      <c r="D1322" s="2" t="s">
        <v>37</v>
      </c>
      <c r="E1322" s="2" t="s">
        <v>18</v>
      </c>
      <c r="F1322" s="2" t="s">
        <v>131</v>
      </c>
      <c r="G1322" s="2" t="s">
        <v>105</v>
      </c>
      <c r="H1322" s="2" t="s">
        <v>32</v>
      </c>
      <c r="I1322" s="2">
        <v>48</v>
      </c>
      <c r="J1322" s="2" t="s">
        <v>106</v>
      </c>
      <c r="K1322" s="2" t="s">
        <v>3596</v>
      </c>
      <c r="L1322" s="2" t="s">
        <v>24</v>
      </c>
      <c r="M1322" s="2"/>
      <c r="N1322" s="2" t="s">
        <v>50</v>
      </c>
    </row>
    <row r="1323" spans="1:14" x14ac:dyDescent="0.25">
      <c r="A1323" s="2" t="s">
        <v>3597</v>
      </c>
      <c r="B1323" s="2" t="s">
        <v>3598</v>
      </c>
      <c r="C1323" s="2" t="s">
        <v>67</v>
      </c>
      <c r="D1323" s="2" t="s">
        <v>95</v>
      </c>
      <c r="E1323" s="2" t="s">
        <v>38</v>
      </c>
      <c r="F1323" s="2" t="s">
        <v>69</v>
      </c>
      <c r="G1323" s="2" t="s">
        <v>110</v>
      </c>
      <c r="H1323" s="2" t="s">
        <v>74</v>
      </c>
      <c r="I1323" s="2">
        <v>8</v>
      </c>
      <c r="J1323" s="2" t="s">
        <v>106</v>
      </c>
      <c r="K1323" s="2" t="s">
        <v>1986</v>
      </c>
      <c r="L1323" s="2" t="s">
        <v>24</v>
      </c>
      <c r="M1323" s="2">
        <v>5</v>
      </c>
      <c r="N1323" s="2"/>
    </row>
    <row r="1324" spans="1:14" x14ac:dyDescent="0.25">
      <c r="A1324" s="2" t="s">
        <v>3599</v>
      </c>
      <c r="B1324" s="2" t="s">
        <v>3600</v>
      </c>
      <c r="C1324" s="2" t="s">
        <v>53</v>
      </c>
      <c r="D1324" s="2" t="s">
        <v>54</v>
      </c>
      <c r="E1324" s="2" t="s">
        <v>18</v>
      </c>
      <c r="F1324" s="2" t="s">
        <v>131</v>
      </c>
      <c r="G1324" s="2" t="s">
        <v>70</v>
      </c>
      <c r="H1324" s="2" t="s">
        <v>32</v>
      </c>
      <c r="I1324" s="2">
        <v>48</v>
      </c>
      <c r="J1324" s="2" t="s">
        <v>232</v>
      </c>
      <c r="K1324" s="2"/>
      <c r="L1324" s="2" t="s">
        <v>92</v>
      </c>
      <c r="M1324" s="2"/>
      <c r="N1324" s="2" t="s">
        <v>34</v>
      </c>
    </row>
    <row r="1325" spans="1:14" x14ac:dyDescent="0.25">
      <c r="A1325" s="2" t="s">
        <v>3601</v>
      </c>
      <c r="B1325" s="2" t="s">
        <v>3602</v>
      </c>
      <c r="C1325" s="2" t="s">
        <v>28</v>
      </c>
      <c r="D1325" s="2" t="s">
        <v>37</v>
      </c>
      <c r="E1325" s="2" t="s">
        <v>148</v>
      </c>
      <c r="F1325" s="2" t="s">
        <v>47</v>
      </c>
      <c r="G1325" s="2" t="s">
        <v>126</v>
      </c>
      <c r="H1325" s="2" t="s">
        <v>21</v>
      </c>
      <c r="I1325" s="2">
        <v>24</v>
      </c>
      <c r="J1325" s="2" t="s">
        <v>22</v>
      </c>
      <c r="K1325" s="2" t="s">
        <v>3603</v>
      </c>
      <c r="L1325" s="2" t="s">
        <v>24</v>
      </c>
      <c r="M1325" s="2">
        <v>1</v>
      </c>
      <c r="N1325" s="2"/>
    </row>
    <row r="1326" spans="1:14" x14ac:dyDescent="0.25">
      <c r="A1326" s="2" t="s">
        <v>3604</v>
      </c>
      <c r="B1326" s="2" t="s">
        <v>3605</v>
      </c>
      <c r="C1326" s="2" t="s">
        <v>16</v>
      </c>
      <c r="D1326" s="2" t="s">
        <v>17</v>
      </c>
      <c r="E1326" s="2" t="s">
        <v>79</v>
      </c>
      <c r="F1326" s="2" t="s">
        <v>55</v>
      </c>
      <c r="G1326" s="2" t="s">
        <v>20</v>
      </c>
      <c r="H1326" s="2" t="s">
        <v>74</v>
      </c>
      <c r="I1326" s="2">
        <v>8</v>
      </c>
      <c r="J1326" s="2" t="s">
        <v>22</v>
      </c>
      <c r="K1326" s="2" t="s">
        <v>3606</v>
      </c>
      <c r="L1326" s="2" t="s">
        <v>24</v>
      </c>
      <c r="M1326" s="2">
        <v>5</v>
      </c>
      <c r="N1326" s="2" t="s">
        <v>58</v>
      </c>
    </row>
    <row r="1327" spans="1:14" x14ac:dyDescent="0.25">
      <c r="A1327" s="2" t="s">
        <v>3607</v>
      </c>
      <c r="B1327" s="2" t="s">
        <v>3608</v>
      </c>
      <c r="C1327" s="2" t="s">
        <v>28</v>
      </c>
      <c r="D1327" s="2" t="s">
        <v>100</v>
      </c>
      <c r="E1327" s="2" t="s">
        <v>18</v>
      </c>
      <c r="F1327" s="2" t="s">
        <v>62</v>
      </c>
      <c r="G1327" s="2" t="s">
        <v>126</v>
      </c>
      <c r="H1327" s="2" t="s">
        <v>21</v>
      </c>
      <c r="I1327" s="2">
        <v>24</v>
      </c>
      <c r="J1327" s="2" t="s">
        <v>187</v>
      </c>
      <c r="K1327" s="2" t="s">
        <v>3609</v>
      </c>
      <c r="L1327" s="2" t="s">
        <v>92</v>
      </c>
      <c r="M1327" s="2"/>
      <c r="N1327" s="2" t="s">
        <v>64</v>
      </c>
    </row>
    <row r="1328" spans="1:14" x14ac:dyDescent="0.25">
      <c r="A1328" s="2" t="s">
        <v>3610</v>
      </c>
      <c r="B1328" s="2" t="s">
        <v>3611</v>
      </c>
      <c r="C1328" s="2" t="s">
        <v>28</v>
      </c>
      <c r="D1328" s="2" t="s">
        <v>37</v>
      </c>
      <c r="E1328" s="2" t="s">
        <v>38</v>
      </c>
      <c r="F1328" s="2" t="s">
        <v>47</v>
      </c>
      <c r="G1328" s="2" t="s">
        <v>135</v>
      </c>
      <c r="H1328" s="2" t="s">
        <v>32</v>
      </c>
      <c r="I1328" s="2">
        <v>48</v>
      </c>
      <c r="J1328" s="2" t="s">
        <v>155</v>
      </c>
      <c r="K1328" s="2"/>
      <c r="L1328" s="2" t="s">
        <v>24</v>
      </c>
      <c r="M1328" s="2"/>
      <c r="N1328" s="2" t="s">
        <v>128</v>
      </c>
    </row>
    <row r="1329" spans="1:14" x14ac:dyDescent="0.25">
      <c r="A1329" s="2" t="s">
        <v>3612</v>
      </c>
      <c r="B1329" s="2" t="s">
        <v>3613</v>
      </c>
      <c r="C1329" s="2" t="s">
        <v>28</v>
      </c>
      <c r="D1329" s="2" t="s">
        <v>29</v>
      </c>
      <c r="E1329" s="2" t="s">
        <v>90</v>
      </c>
      <c r="F1329" s="2" t="s">
        <v>19</v>
      </c>
      <c r="G1329" s="2" t="s">
        <v>110</v>
      </c>
      <c r="H1329" s="2" t="s">
        <v>21</v>
      </c>
      <c r="I1329" s="2">
        <v>24</v>
      </c>
      <c r="J1329" s="2" t="s">
        <v>41</v>
      </c>
      <c r="K1329" s="2" t="s">
        <v>3614</v>
      </c>
      <c r="L1329" s="2" t="s">
        <v>24</v>
      </c>
      <c r="M1329" s="2">
        <v>1</v>
      </c>
      <c r="N1329" s="2" t="s">
        <v>118</v>
      </c>
    </row>
    <row r="1330" spans="1:14" x14ac:dyDescent="0.25">
      <c r="A1330" s="2" t="s">
        <v>3615</v>
      </c>
      <c r="B1330" s="2" t="s">
        <v>3616</v>
      </c>
      <c r="C1330" s="2" t="s">
        <v>28</v>
      </c>
      <c r="D1330" s="2" t="s">
        <v>37</v>
      </c>
      <c r="E1330" s="2" t="s">
        <v>90</v>
      </c>
      <c r="F1330" s="2" t="s">
        <v>125</v>
      </c>
      <c r="G1330" s="2" t="s">
        <v>105</v>
      </c>
      <c r="H1330" s="2" t="s">
        <v>21</v>
      </c>
      <c r="I1330" s="2">
        <v>24</v>
      </c>
      <c r="J1330" s="2" t="s">
        <v>187</v>
      </c>
      <c r="K1330" s="2" t="s">
        <v>3617</v>
      </c>
      <c r="L1330" s="2" t="s">
        <v>24</v>
      </c>
      <c r="M1330" s="2">
        <v>3</v>
      </c>
      <c r="N1330" s="2" t="s">
        <v>25</v>
      </c>
    </row>
    <row r="1331" spans="1:14" x14ac:dyDescent="0.25">
      <c r="A1331" s="2" t="s">
        <v>3618</v>
      </c>
      <c r="B1331" s="2" t="s">
        <v>3619</v>
      </c>
      <c r="C1331" s="2" t="s">
        <v>67</v>
      </c>
      <c r="D1331" s="2" t="s">
        <v>68</v>
      </c>
      <c r="E1331" s="2" t="s">
        <v>90</v>
      </c>
      <c r="F1331" s="2" t="s">
        <v>69</v>
      </c>
      <c r="G1331" s="2" t="s">
        <v>139</v>
      </c>
      <c r="H1331" s="2" t="s">
        <v>21</v>
      </c>
      <c r="I1331" s="2">
        <v>24</v>
      </c>
      <c r="J1331" s="2" t="s">
        <v>22</v>
      </c>
      <c r="K1331" s="2" t="s">
        <v>3620</v>
      </c>
      <c r="L1331" s="2" t="s">
        <v>24</v>
      </c>
      <c r="M1331" s="2">
        <v>3</v>
      </c>
      <c r="N1331" s="2" t="s">
        <v>50</v>
      </c>
    </row>
    <row r="1332" spans="1:14" x14ac:dyDescent="0.25">
      <c r="A1332" s="2" t="s">
        <v>3621</v>
      </c>
      <c r="B1332" s="2" t="s">
        <v>3622</v>
      </c>
      <c r="C1332" s="2" t="s">
        <v>16</v>
      </c>
      <c r="D1332" s="2" t="s">
        <v>17</v>
      </c>
      <c r="E1332" s="2" t="s">
        <v>148</v>
      </c>
      <c r="F1332" s="2" t="s">
        <v>19</v>
      </c>
      <c r="G1332" s="2" t="s">
        <v>179</v>
      </c>
      <c r="H1332" s="2" t="s">
        <v>21</v>
      </c>
      <c r="I1332" s="2">
        <v>24</v>
      </c>
      <c r="J1332" s="2" t="s">
        <v>145</v>
      </c>
      <c r="K1332" s="2"/>
      <c r="L1332" s="2" t="s">
        <v>24</v>
      </c>
      <c r="M1332" s="2"/>
      <c r="N1332" s="2" t="s">
        <v>25</v>
      </c>
    </row>
    <row r="1333" spans="1:14" x14ac:dyDescent="0.25">
      <c r="A1333" s="2" t="s">
        <v>3623</v>
      </c>
      <c r="B1333" s="2" t="s">
        <v>3624</v>
      </c>
      <c r="C1333" s="2" t="s">
        <v>16</v>
      </c>
      <c r="D1333" s="2" t="s">
        <v>17</v>
      </c>
      <c r="E1333" s="2" t="s">
        <v>38</v>
      </c>
      <c r="F1333" s="2" t="s">
        <v>55</v>
      </c>
      <c r="G1333" s="2" t="s">
        <v>179</v>
      </c>
      <c r="H1333" s="2" t="s">
        <v>21</v>
      </c>
      <c r="I1333" s="2">
        <v>24</v>
      </c>
      <c r="J1333" s="2" t="s">
        <v>48</v>
      </c>
      <c r="K1333" s="2" t="s">
        <v>3625</v>
      </c>
      <c r="L1333" s="2" t="s">
        <v>24</v>
      </c>
      <c r="M1333" s="2"/>
      <c r="N1333" s="2" t="s">
        <v>50</v>
      </c>
    </row>
    <row r="1334" spans="1:14" x14ac:dyDescent="0.25">
      <c r="A1334" s="2" t="s">
        <v>3626</v>
      </c>
      <c r="B1334" s="2" t="s">
        <v>3627</v>
      </c>
      <c r="C1334" s="2" t="s">
        <v>16</v>
      </c>
      <c r="D1334" s="2" t="s">
        <v>17</v>
      </c>
      <c r="E1334" s="2" t="s">
        <v>79</v>
      </c>
      <c r="F1334" s="2" t="s">
        <v>143</v>
      </c>
      <c r="G1334" s="2" t="s">
        <v>135</v>
      </c>
      <c r="H1334" s="2" t="s">
        <v>21</v>
      </c>
      <c r="I1334" s="2">
        <v>24</v>
      </c>
      <c r="J1334" s="2" t="s">
        <v>22</v>
      </c>
      <c r="K1334" s="2" t="s">
        <v>3628</v>
      </c>
      <c r="L1334" s="2" t="s">
        <v>24</v>
      </c>
      <c r="M1334" s="2">
        <v>5</v>
      </c>
      <c r="N1334" s="2" t="s">
        <v>25</v>
      </c>
    </row>
    <row r="1335" spans="1:14" x14ac:dyDescent="0.25">
      <c r="A1335" s="2" t="s">
        <v>3629</v>
      </c>
      <c r="B1335" s="2" t="s">
        <v>3630</v>
      </c>
      <c r="C1335" s="2" t="s">
        <v>67</v>
      </c>
      <c r="D1335" s="2" t="s">
        <v>601</v>
      </c>
      <c r="E1335" s="2" t="s">
        <v>148</v>
      </c>
      <c r="F1335" s="2" t="s">
        <v>143</v>
      </c>
      <c r="G1335" s="2" t="s">
        <v>110</v>
      </c>
      <c r="H1335" s="2" t="s">
        <v>21</v>
      </c>
      <c r="I1335" s="2">
        <v>24</v>
      </c>
      <c r="J1335" s="2" t="s">
        <v>149</v>
      </c>
      <c r="K1335" s="2"/>
      <c r="L1335" s="2" t="s">
        <v>24</v>
      </c>
      <c r="M1335" s="2"/>
      <c r="N1335" s="2" t="s">
        <v>34</v>
      </c>
    </row>
    <row r="1336" spans="1:14" x14ac:dyDescent="0.25">
      <c r="A1336" s="2" t="s">
        <v>3631</v>
      </c>
      <c r="B1336" s="2" t="s">
        <v>3632</v>
      </c>
      <c r="C1336" s="2" t="s">
        <v>67</v>
      </c>
      <c r="D1336" s="2" t="s">
        <v>95</v>
      </c>
      <c r="E1336" s="2" t="s">
        <v>85</v>
      </c>
      <c r="F1336" s="2" t="s">
        <v>55</v>
      </c>
      <c r="G1336" s="2" t="s">
        <v>121</v>
      </c>
      <c r="H1336" s="2" t="s">
        <v>32</v>
      </c>
      <c r="I1336" s="2">
        <v>48</v>
      </c>
      <c r="J1336" s="2" t="s">
        <v>75</v>
      </c>
      <c r="K1336" s="2" t="s">
        <v>3633</v>
      </c>
      <c r="L1336" s="2" t="s">
        <v>24</v>
      </c>
      <c r="M1336" s="2"/>
      <c r="N1336" s="2"/>
    </row>
    <row r="1337" spans="1:14" x14ac:dyDescent="0.25">
      <c r="A1337" s="2" t="s">
        <v>3634</v>
      </c>
      <c r="B1337" s="2" t="s">
        <v>3635</v>
      </c>
      <c r="C1337" s="2" t="s">
        <v>28</v>
      </c>
      <c r="D1337" s="2" t="s">
        <v>100</v>
      </c>
      <c r="E1337" s="2" t="s">
        <v>90</v>
      </c>
      <c r="F1337" s="2" t="s">
        <v>55</v>
      </c>
      <c r="G1337" s="2" t="s">
        <v>139</v>
      </c>
      <c r="H1337" s="2" t="s">
        <v>32</v>
      </c>
      <c r="I1337" s="2">
        <v>48</v>
      </c>
      <c r="J1337" s="2" t="s">
        <v>41</v>
      </c>
      <c r="K1337" s="2" t="s">
        <v>3636</v>
      </c>
      <c r="L1337" s="2" t="s">
        <v>24</v>
      </c>
      <c r="M1337" s="2">
        <v>5</v>
      </c>
      <c r="N1337" s="2"/>
    </row>
    <row r="1338" spans="1:14" x14ac:dyDescent="0.25">
      <c r="A1338" s="2" t="s">
        <v>3637</v>
      </c>
      <c r="B1338" s="2" t="s">
        <v>3638</v>
      </c>
      <c r="C1338" s="2" t="s">
        <v>28</v>
      </c>
      <c r="D1338" s="2" t="s">
        <v>37</v>
      </c>
      <c r="E1338" s="2" t="s">
        <v>46</v>
      </c>
      <c r="F1338" s="2" t="s">
        <v>39</v>
      </c>
      <c r="G1338" s="2" t="s">
        <v>40</v>
      </c>
      <c r="H1338" s="2" t="s">
        <v>32</v>
      </c>
      <c r="I1338" s="2">
        <v>48</v>
      </c>
      <c r="J1338" s="2" t="s">
        <v>155</v>
      </c>
      <c r="K1338" s="2"/>
      <c r="L1338" s="2" t="s">
        <v>92</v>
      </c>
      <c r="M1338" s="2"/>
      <c r="N1338" s="2"/>
    </row>
    <row r="1339" spans="1:14" x14ac:dyDescent="0.25">
      <c r="A1339" s="2" t="s">
        <v>3639</v>
      </c>
      <c r="B1339" s="2" t="s">
        <v>3640</v>
      </c>
      <c r="C1339" s="2" t="s">
        <v>67</v>
      </c>
      <c r="D1339" s="2" t="s">
        <v>68</v>
      </c>
      <c r="E1339" s="2" t="s">
        <v>38</v>
      </c>
      <c r="F1339" s="2" t="s">
        <v>131</v>
      </c>
      <c r="G1339" s="2" t="s">
        <v>31</v>
      </c>
      <c r="H1339" s="2" t="s">
        <v>21</v>
      </c>
      <c r="I1339" s="2">
        <v>24</v>
      </c>
      <c r="J1339" s="2" t="s">
        <v>187</v>
      </c>
      <c r="K1339" s="2" t="s">
        <v>3641</v>
      </c>
      <c r="L1339" s="2" t="s">
        <v>24</v>
      </c>
      <c r="M1339" s="2"/>
      <c r="N1339" s="2" t="s">
        <v>25</v>
      </c>
    </row>
    <row r="1340" spans="1:14" x14ac:dyDescent="0.25">
      <c r="A1340" s="2" t="s">
        <v>3642</v>
      </c>
      <c r="B1340" s="2" t="s">
        <v>3643</v>
      </c>
      <c r="C1340" s="2" t="s">
        <v>16</v>
      </c>
      <c r="D1340" s="2" t="s">
        <v>17</v>
      </c>
      <c r="E1340" s="2" t="s">
        <v>79</v>
      </c>
      <c r="F1340" s="2" t="s">
        <v>143</v>
      </c>
      <c r="G1340" s="2" t="s">
        <v>121</v>
      </c>
      <c r="H1340" s="2" t="s">
        <v>21</v>
      </c>
      <c r="I1340" s="2">
        <v>24</v>
      </c>
      <c r="J1340" s="2" t="s">
        <v>117</v>
      </c>
      <c r="K1340" s="2"/>
      <c r="L1340" s="2" t="s">
        <v>24</v>
      </c>
      <c r="M1340" s="2"/>
      <c r="N1340" s="2" t="s">
        <v>34</v>
      </c>
    </row>
    <row r="1341" spans="1:14" x14ac:dyDescent="0.25">
      <c r="A1341" s="2" t="s">
        <v>3644</v>
      </c>
      <c r="B1341" s="2" t="s">
        <v>3645</v>
      </c>
      <c r="C1341" s="2" t="s">
        <v>53</v>
      </c>
      <c r="D1341" s="2" t="s">
        <v>54</v>
      </c>
      <c r="E1341" s="2" t="s">
        <v>38</v>
      </c>
      <c r="F1341" s="2" t="s">
        <v>47</v>
      </c>
      <c r="G1341" s="2" t="s">
        <v>101</v>
      </c>
      <c r="H1341" s="2" t="s">
        <v>74</v>
      </c>
      <c r="I1341" s="2">
        <v>8</v>
      </c>
      <c r="J1341" s="2" t="s">
        <v>106</v>
      </c>
      <c r="K1341" s="2" t="s">
        <v>3646</v>
      </c>
      <c r="L1341" s="2" t="s">
        <v>24</v>
      </c>
      <c r="M1341" s="2"/>
      <c r="N1341" s="2" t="s">
        <v>43</v>
      </c>
    </row>
    <row r="1342" spans="1:14" x14ac:dyDescent="0.25">
      <c r="A1342" s="2" t="s">
        <v>3647</v>
      </c>
      <c r="B1342" s="2" t="s">
        <v>3648</v>
      </c>
      <c r="C1342" s="2" t="s">
        <v>28</v>
      </c>
      <c r="D1342" s="2" t="s">
        <v>100</v>
      </c>
      <c r="E1342" s="2" t="s">
        <v>46</v>
      </c>
      <c r="F1342" s="2" t="s">
        <v>19</v>
      </c>
      <c r="G1342" s="2" t="s">
        <v>97</v>
      </c>
      <c r="H1342" s="2" t="s">
        <v>21</v>
      </c>
      <c r="I1342" s="2">
        <v>24</v>
      </c>
      <c r="J1342" s="2" t="s">
        <v>41</v>
      </c>
      <c r="K1342" s="2" t="s">
        <v>3649</v>
      </c>
      <c r="L1342" s="2" t="s">
        <v>92</v>
      </c>
      <c r="M1342" s="2">
        <v>3</v>
      </c>
      <c r="N1342" s="2"/>
    </row>
    <row r="1343" spans="1:14" x14ac:dyDescent="0.25">
      <c r="A1343" s="2" t="s">
        <v>3650</v>
      </c>
      <c r="B1343" s="2" t="s">
        <v>3651</v>
      </c>
      <c r="C1343" s="2" t="s">
        <v>67</v>
      </c>
      <c r="D1343" s="2" t="s">
        <v>95</v>
      </c>
      <c r="E1343" s="2" t="s">
        <v>46</v>
      </c>
      <c r="F1343" s="2" t="s">
        <v>19</v>
      </c>
      <c r="G1343" s="2" t="s">
        <v>183</v>
      </c>
      <c r="H1343" s="2" t="s">
        <v>21</v>
      </c>
      <c r="I1343" s="2">
        <v>24</v>
      </c>
      <c r="J1343" s="2" t="s">
        <v>486</v>
      </c>
      <c r="K1343" s="2" t="s">
        <v>3652</v>
      </c>
      <c r="L1343" s="2" t="s">
        <v>24</v>
      </c>
      <c r="M1343" s="2"/>
      <c r="N1343" s="2" t="s">
        <v>50</v>
      </c>
    </row>
    <row r="1344" spans="1:14" x14ac:dyDescent="0.25">
      <c r="A1344" s="2" t="s">
        <v>3653</v>
      </c>
      <c r="B1344" s="2" t="s">
        <v>3654</v>
      </c>
      <c r="C1344" s="2" t="s">
        <v>28</v>
      </c>
      <c r="D1344" s="2" t="s">
        <v>37</v>
      </c>
      <c r="E1344" s="2" t="s">
        <v>79</v>
      </c>
      <c r="F1344" s="2" t="s">
        <v>30</v>
      </c>
      <c r="G1344" s="2" t="s">
        <v>158</v>
      </c>
      <c r="H1344" s="2" t="s">
        <v>21</v>
      </c>
      <c r="I1344" s="2">
        <v>24</v>
      </c>
      <c r="J1344" s="2" t="s">
        <v>145</v>
      </c>
      <c r="K1344" s="2"/>
      <c r="L1344" s="2" t="s">
        <v>24</v>
      </c>
      <c r="M1344" s="2"/>
      <c r="N1344" s="2" t="s">
        <v>34</v>
      </c>
    </row>
    <row r="1345" spans="1:14" x14ac:dyDescent="0.25">
      <c r="A1345" s="2" t="s">
        <v>3655</v>
      </c>
      <c r="B1345" s="2" t="s">
        <v>3656</v>
      </c>
      <c r="C1345" s="2" t="s">
        <v>16</v>
      </c>
      <c r="D1345" s="2" t="s">
        <v>84</v>
      </c>
      <c r="E1345" s="2" t="s">
        <v>46</v>
      </c>
      <c r="F1345" s="2" t="s">
        <v>62</v>
      </c>
      <c r="G1345" s="2" t="s">
        <v>110</v>
      </c>
      <c r="H1345" s="2" t="s">
        <v>21</v>
      </c>
      <c r="I1345" s="2">
        <v>24</v>
      </c>
      <c r="J1345" s="2" t="s">
        <v>48</v>
      </c>
      <c r="K1345" s="2"/>
      <c r="L1345" s="2" t="s">
        <v>24</v>
      </c>
      <c r="M1345" s="2">
        <v>4</v>
      </c>
      <c r="N1345" s="2" t="s">
        <v>58</v>
      </c>
    </row>
    <row r="1346" spans="1:14" x14ac:dyDescent="0.25">
      <c r="A1346" s="2" t="s">
        <v>3657</v>
      </c>
      <c r="B1346" s="2" t="s">
        <v>3658</v>
      </c>
      <c r="C1346" s="2" t="s">
        <v>53</v>
      </c>
      <c r="D1346" s="2" t="s">
        <v>61</v>
      </c>
      <c r="E1346" s="2" t="s">
        <v>18</v>
      </c>
      <c r="F1346" s="2" t="s">
        <v>19</v>
      </c>
      <c r="G1346" s="2" t="s">
        <v>179</v>
      </c>
      <c r="H1346" s="2" t="s">
        <v>74</v>
      </c>
      <c r="I1346" s="2">
        <v>8</v>
      </c>
      <c r="J1346" s="2" t="s">
        <v>187</v>
      </c>
      <c r="K1346" s="2" t="s">
        <v>3659</v>
      </c>
      <c r="L1346" s="2" t="s">
        <v>24</v>
      </c>
      <c r="M1346" s="2">
        <v>4</v>
      </c>
      <c r="N1346" s="2" t="s">
        <v>25</v>
      </c>
    </row>
    <row r="1347" spans="1:14" x14ac:dyDescent="0.25">
      <c r="A1347" s="2" t="s">
        <v>3660</v>
      </c>
      <c r="B1347" s="2" t="s">
        <v>3661</v>
      </c>
      <c r="C1347" s="2" t="s">
        <v>28</v>
      </c>
      <c r="D1347" s="2" t="s">
        <v>37</v>
      </c>
      <c r="E1347" s="2" t="s">
        <v>46</v>
      </c>
      <c r="F1347" s="2" t="s">
        <v>113</v>
      </c>
      <c r="G1347" s="2" t="s">
        <v>144</v>
      </c>
      <c r="H1347" s="2" t="s">
        <v>32</v>
      </c>
      <c r="I1347" s="2">
        <v>48</v>
      </c>
      <c r="J1347" s="2" t="s">
        <v>149</v>
      </c>
      <c r="K1347" s="2"/>
      <c r="L1347" s="2" t="s">
        <v>24</v>
      </c>
      <c r="M1347" s="2"/>
      <c r="N1347" s="2"/>
    </row>
    <row r="1348" spans="1:14" x14ac:dyDescent="0.25">
      <c r="A1348" s="2" t="s">
        <v>3662</v>
      </c>
      <c r="B1348" s="2" t="s">
        <v>3663</v>
      </c>
      <c r="C1348" s="2" t="s">
        <v>16</v>
      </c>
      <c r="D1348" s="2" t="s">
        <v>17</v>
      </c>
      <c r="E1348" s="2" t="s">
        <v>18</v>
      </c>
      <c r="F1348" s="2" t="s">
        <v>96</v>
      </c>
      <c r="G1348" s="2" t="s">
        <v>70</v>
      </c>
      <c r="H1348" s="2" t="s">
        <v>74</v>
      </c>
      <c r="I1348" s="2">
        <v>8</v>
      </c>
      <c r="J1348" s="2" t="s">
        <v>106</v>
      </c>
      <c r="K1348" s="2" t="s">
        <v>3664</v>
      </c>
      <c r="L1348" s="2" t="s">
        <v>92</v>
      </c>
      <c r="M1348" s="2">
        <v>5</v>
      </c>
      <c r="N1348" s="2" t="s">
        <v>64</v>
      </c>
    </row>
    <row r="1349" spans="1:14" x14ac:dyDescent="0.25">
      <c r="A1349" s="2" t="s">
        <v>3665</v>
      </c>
      <c r="B1349" s="2" t="s">
        <v>3666</v>
      </c>
      <c r="C1349" s="2" t="s">
        <v>67</v>
      </c>
      <c r="D1349" s="2" t="s">
        <v>95</v>
      </c>
      <c r="E1349" s="2" t="s">
        <v>148</v>
      </c>
      <c r="F1349" s="2" t="s">
        <v>30</v>
      </c>
      <c r="G1349" s="2" t="s">
        <v>40</v>
      </c>
      <c r="H1349" s="2" t="s">
        <v>74</v>
      </c>
      <c r="I1349" s="2">
        <v>8</v>
      </c>
      <c r="J1349" s="2" t="s">
        <v>187</v>
      </c>
      <c r="K1349" s="2" t="s">
        <v>3667</v>
      </c>
      <c r="L1349" s="2" t="s">
        <v>24</v>
      </c>
      <c r="M1349" s="2"/>
      <c r="N1349" s="2" t="s">
        <v>25</v>
      </c>
    </row>
    <row r="1350" spans="1:14" x14ac:dyDescent="0.25">
      <c r="A1350" s="2" t="s">
        <v>3668</v>
      </c>
      <c r="B1350" s="2" t="s">
        <v>3669</v>
      </c>
      <c r="C1350" s="2" t="s">
        <v>16</v>
      </c>
      <c r="D1350" s="2" t="s">
        <v>17</v>
      </c>
      <c r="E1350" s="2" t="s">
        <v>46</v>
      </c>
      <c r="F1350" s="2" t="s">
        <v>125</v>
      </c>
      <c r="G1350" s="2" t="s">
        <v>70</v>
      </c>
      <c r="H1350" s="2" t="s">
        <v>21</v>
      </c>
      <c r="I1350" s="2">
        <v>24</v>
      </c>
      <c r="J1350" s="2" t="s">
        <v>187</v>
      </c>
      <c r="K1350" s="2"/>
      <c r="L1350" s="2" t="s">
        <v>24</v>
      </c>
      <c r="M1350" s="2">
        <v>1</v>
      </c>
      <c r="N1350" s="2" t="s">
        <v>43</v>
      </c>
    </row>
    <row r="1351" spans="1:14" x14ac:dyDescent="0.25">
      <c r="A1351" s="2" t="s">
        <v>3670</v>
      </c>
      <c r="B1351" s="2" t="s">
        <v>3671</v>
      </c>
      <c r="C1351" s="2" t="s">
        <v>53</v>
      </c>
      <c r="D1351" s="2" t="s">
        <v>61</v>
      </c>
      <c r="E1351" s="2" t="s">
        <v>79</v>
      </c>
      <c r="F1351" s="2" t="s">
        <v>96</v>
      </c>
      <c r="G1351" s="2" t="s">
        <v>101</v>
      </c>
      <c r="H1351" s="2" t="s">
        <v>21</v>
      </c>
      <c r="I1351" s="2">
        <v>24</v>
      </c>
      <c r="J1351" s="2" t="s">
        <v>22</v>
      </c>
      <c r="K1351" s="2" t="s">
        <v>3672</v>
      </c>
      <c r="L1351" s="2" t="s">
        <v>24</v>
      </c>
      <c r="M1351" s="2"/>
      <c r="N1351" s="2" t="s">
        <v>128</v>
      </c>
    </row>
    <row r="1352" spans="1:14" x14ac:dyDescent="0.25">
      <c r="A1352" s="2" t="s">
        <v>3673</v>
      </c>
      <c r="B1352" s="2" t="s">
        <v>3674</v>
      </c>
      <c r="C1352" s="2" t="s">
        <v>28</v>
      </c>
      <c r="D1352" s="2" t="s">
        <v>37</v>
      </c>
      <c r="E1352" s="2" t="s">
        <v>38</v>
      </c>
      <c r="F1352" s="2" t="s">
        <v>69</v>
      </c>
      <c r="G1352" s="2" t="s">
        <v>40</v>
      </c>
      <c r="H1352" s="2" t="s">
        <v>74</v>
      </c>
      <c r="I1352" s="2">
        <v>8</v>
      </c>
      <c r="J1352" s="2" t="s">
        <v>11</v>
      </c>
      <c r="K1352" s="2"/>
      <c r="L1352" s="2" t="s">
        <v>92</v>
      </c>
      <c r="M1352" s="2"/>
      <c r="N1352" s="2" t="s">
        <v>43</v>
      </c>
    </row>
    <row r="1353" spans="1:14" x14ac:dyDescent="0.25">
      <c r="A1353" s="2" t="s">
        <v>3675</v>
      </c>
      <c r="B1353" s="2" t="s">
        <v>3676</v>
      </c>
      <c r="C1353" s="2" t="s">
        <v>67</v>
      </c>
      <c r="D1353" s="2" t="s">
        <v>95</v>
      </c>
      <c r="E1353" s="2" t="s">
        <v>38</v>
      </c>
      <c r="F1353" s="2" t="s">
        <v>55</v>
      </c>
      <c r="G1353" s="2" t="s">
        <v>70</v>
      </c>
      <c r="H1353" s="2" t="s">
        <v>32</v>
      </c>
      <c r="I1353" s="2">
        <v>48</v>
      </c>
      <c r="J1353" s="2" t="s">
        <v>187</v>
      </c>
      <c r="K1353" s="2" t="s">
        <v>3677</v>
      </c>
      <c r="L1353" s="2" t="s">
        <v>24</v>
      </c>
      <c r="M1353" s="2"/>
      <c r="N1353" s="2" t="s">
        <v>25</v>
      </c>
    </row>
    <row r="1354" spans="1:14" x14ac:dyDescent="0.25">
      <c r="A1354" s="2" t="s">
        <v>3678</v>
      </c>
      <c r="B1354" s="2" t="s">
        <v>3679</v>
      </c>
      <c r="C1354" s="2" t="s">
        <v>67</v>
      </c>
      <c r="D1354" s="2" t="s">
        <v>68</v>
      </c>
      <c r="E1354" s="2" t="s">
        <v>18</v>
      </c>
      <c r="F1354" s="2" t="s">
        <v>62</v>
      </c>
      <c r="G1354" s="2" t="s">
        <v>97</v>
      </c>
      <c r="H1354" s="2" t="s">
        <v>32</v>
      </c>
      <c r="I1354" s="2">
        <v>48</v>
      </c>
      <c r="J1354" s="2" t="s">
        <v>11</v>
      </c>
      <c r="K1354" s="2"/>
      <c r="L1354" s="2" t="s">
        <v>92</v>
      </c>
      <c r="M1354" s="2"/>
      <c r="N1354" s="2" t="s">
        <v>50</v>
      </c>
    </row>
    <row r="1355" spans="1:14" x14ac:dyDescent="0.25">
      <c r="A1355" s="2" t="s">
        <v>3680</v>
      </c>
      <c r="B1355" s="2" t="s">
        <v>3681</v>
      </c>
      <c r="C1355" s="2" t="s">
        <v>67</v>
      </c>
      <c r="D1355" s="2" t="s">
        <v>68</v>
      </c>
      <c r="E1355" s="2" t="s">
        <v>90</v>
      </c>
      <c r="F1355" s="2" t="s">
        <v>96</v>
      </c>
      <c r="G1355" s="2" t="s">
        <v>158</v>
      </c>
      <c r="H1355" s="2" t="s">
        <v>21</v>
      </c>
      <c r="I1355" s="2">
        <v>24</v>
      </c>
      <c r="J1355" s="2" t="s">
        <v>41</v>
      </c>
      <c r="K1355" s="2" t="s">
        <v>3682</v>
      </c>
      <c r="L1355" s="2" t="s">
        <v>92</v>
      </c>
      <c r="M1355" s="2"/>
      <c r="N1355" s="2" t="s">
        <v>58</v>
      </c>
    </row>
    <row r="1356" spans="1:14" x14ac:dyDescent="0.25">
      <c r="A1356" s="2" t="s">
        <v>3683</v>
      </c>
      <c r="B1356" s="2" t="s">
        <v>3684</v>
      </c>
      <c r="C1356" s="2" t="s">
        <v>67</v>
      </c>
      <c r="D1356" s="2" t="s">
        <v>68</v>
      </c>
      <c r="E1356" s="2" t="s">
        <v>38</v>
      </c>
      <c r="F1356" s="2" t="s">
        <v>125</v>
      </c>
      <c r="G1356" s="2" t="s">
        <v>139</v>
      </c>
      <c r="H1356" s="2" t="s">
        <v>74</v>
      </c>
      <c r="I1356" s="2">
        <v>8</v>
      </c>
      <c r="J1356" s="2" t="s">
        <v>41</v>
      </c>
      <c r="K1356" s="2" t="s">
        <v>3685</v>
      </c>
      <c r="L1356" s="2" t="s">
        <v>24</v>
      </c>
      <c r="M1356" s="2">
        <v>2</v>
      </c>
      <c r="N1356" s="2" t="s">
        <v>118</v>
      </c>
    </row>
    <row r="1357" spans="1:14" x14ac:dyDescent="0.25">
      <c r="A1357" s="2" t="s">
        <v>3686</v>
      </c>
      <c r="B1357" s="2" t="s">
        <v>3687</v>
      </c>
      <c r="C1357" s="2" t="s">
        <v>67</v>
      </c>
      <c r="D1357" s="2" t="s">
        <v>68</v>
      </c>
      <c r="E1357" s="2" t="s">
        <v>38</v>
      </c>
      <c r="F1357" s="2" t="s">
        <v>143</v>
      </c>
      <c r="G1357" s="2" t="s">
        <v>139</v>
      </c>
      <c r="H1357" s="2" t="s">
        <v>80</v>
      </c>
      <c r="I1357" s="2">
        <v>4</v>
      </c>
      <c r="J1357" s="2" t="s">
        <v>187</v>
      </c>
      <c r="K1357" s="2" t="s">
        <v>3688</v>
      </c>
      <c r="L1357" s="2" t="s">
        <v>24</v>
      </c>
      <c r="M1357" s="2">
        <v>5</v>
      </c>
      <c r="N1357" s="2" t="s">
        <v>64</v>
      </c>
    </row>
    <row r="1358" spans="1:14" x14ac:dyDescent="0.25">
      <c r="A1358" s="2" t="s">
        <v>3689</v>
      </c>
      <c r="B1358" s="2" t="s">
        <v>3690</v>
      </c>
      <c r="C1358" s="2" t="s">
        <v>28</v>
      </c>
      <c r="D1358" s="2" t="s">
        <v>37</v>
      </c>
      <c r="E1358" s="2" t="s">
        <v>85</v>
      </c>
      <c r="F1358" s="2" t="s">
        <v>39</v>
      </c>
      <c r="G1358" s="2" t="s">
        <v>91</v>
      </c>
      <c r="H1358" s="2" t="s">
        <v>74</v>
      </c>
      <c r="I1358" s="2">
        <v>8</v>
      </c>
      <c r="J1358" s="2" t="s">
        <v>41</v>
      </c>
      <c r="K1358" s="2" t="s">
        <v>3691</v>
      </c>
      <c r="L1358" s="2" t="s">
        <v>24</v>
      </c>
      <c r="M1358" s="2"/>
      <c r="N1358" s="2" t="s">
        <v>25</v>
      </c>
    </row>
    <row r="1359" spans="1:14" x14ac:dyDescent="0.25">
      <c r="A1359" s="2" t="s">
        <v>3692</v>
      </c>
      <c r="B1359" s="2" t="s">
        <v>3693</v>
      </c>
      <c r="C1359" s="2" t="s">
        <v>67</v>
      </c>
      <c r="D1359" s="2" t="s">
        <v>68</v>
      </c>
      <c r="E1359" s="2" t="s">
        <v>18</v>
      </c>
      <c r="F1359" s="2" t="s">
        <v>47</v>
      </c>
      <c r="G1359" s="2" t="s">
        <v>158</v>
      </c>
      <c r="H1359" s="2" t="s">
        <v>21</v>
      </c>
      <c r="I1359" s="2">
        <v>24</v>
      </c>
      <c r="J1359" s="2" t="s">
        <v>11</v>
      </c>
      <c r="K1359" s="2"/>
      <c r="L1359" s="2" t="s">
        <v>92</v>
      </c>
      <c r="M1359" s="2"/>
      <c r="N1359" s="2" t="s">
        <v>58</v>
      </c>
    </row>
    <row r="1360" spans="1:14" x14ac:dyDescent="0.25">
      <c r="A1360" s="2" t="s">
        <v>3694</v>
      </c>
      <c r="B1360" s="2" t="s">
        <v>3695</v>
      </c>
      <c r="C1360" s="2" t="s">
        <v>53</v>
      </c>
      <c r="D1360" s="2" t="s">
        <v>61</v>
      </c>
      <c r="E1360" s="2" t="s">
        <v>85</v>
      </c>
      <c r="F1360" s="2" t="s">
        <v>30</v>
      </c>
      <c r="G1360" s="2" t="s">
        <v>101</v>
      </c>
      <c r="H1360" s="2" t="s">
        <v>21</v>
      </c>
      <c r="I1360" s="2">
        <v>24</v>
      </c>
      <c r="J1360" s="2" t="s">
        <v>145</v>
      </c>
      <c r="K1360" s="2"/>
      <c r="L1360" s="2" t="s">
        <v>92</v>
      </c>
      <c r="M1360" s="2"/>
      <c r="N1360" s="2"/>
    </row>
    <row r="1361" spans="1:14" x14ac:dyDescent="0.25">
      <c r="A1361" s="2" t="s">
        <v>3696</v>
      </c>
      <c r="B1361" s="2" t="s">
        <v>3697</v>
      </c>
      <c r="C1361" s="2" t="s">
        <v>28</v>
      </c>
      <c r="D1361" s="2" t="s">
        <v>37</v>
      </c>
      <c r="E1361" s="2" t="s">
        <v>148</v>
      </c>
      <c r="F1361" s="2" t="s">
        <v>131</v>
      </c>
      <c r="G1361" s="2" t="s">
        <v>97</v>
      </c>
      <c r="H1361" s="2" t="s">
        <v>32</v>
      </c>
      <c r="I1361" s="2">
        <v>48</v>
      </c>
      <c r="J1361" s="2" t="s">
        <v>106</v>
      </c>
      <c r="K1361" s="2" t="s">
        <v>3698</v>
      </c>
      <c r="L1361" s="2" t="s">
        <v>24</v>
      </c>
      <c r="M1361" s="2">
        <v>5</v>
      </c>
      <c r="N1361" s="2" t="s">
        <v>50</v>
      </c>
    </row>
    <row r="1362" spans="1:14" x14ac:dyDescent="0.25">
      <c r="A1362" s="2" t="s">
        <v>3699</v>
      </c>
      <c r="B1362" s="2" t="s">
        <v>3700</v>
      </c>
      <c r="C1362" s="2" t="s">
        <v>16</v>
      </c>
      <c r="D1362" s="2" t="s">
        <v>84</v>
      </c>
      <c r="E1362" s="2" t="s">
        <v>46</v>
      </c>
      <c r="F1362" s="2" t="s">
        <v>125</v>
      </c>
      <c r="G1362" s="2" t="s">
        <v>121</v>
      </c>
      <c r="H1362" s="2" t="s">
        <v>74</v>
      </c>
      <c r="I1362" s="2">
        <v>8</v>
      </c>
      <c r="J1362" s="2" t="s">
        <v>33</v>
      </c>
      <c r="K1362" s="2"/>
      <c r="L1362" s="2" t="s">
        <v>24</v>
      </c>
      <c r="M1362" s="2"/>
      <c r="N1362" s="2" t="s">
        <v>50</v>
      </c>
    </row>
    <row r="1363" spans="1:14" x14ac:dyDescent="0.25">
      <c r="A1363" s="2" t="s">
        <v>3701</v>
      </c>
      <c r="B1363" s="2" t="s">
        <v>3702</v>
      </c>
      <c r="C1363" s="2" t="s">
        <v>28</v>
      </c>
      <c r="D1363" s="2" t="s">
        <v>100</v>
      </c>
      <c r="E1363" s="2" t="s">
        <v>79</v>
      </c>
      <c r="F1363" s="2" t="s">
        <v>69</v>
      </c>
      <c r="G1363" s="2" t="s">
        <v>183</v>
      </c>
      <c r="H1363" s="2" t="s">
        <v>21</v>
      </c>
      <c r="I1363" s="2">
        <v>24</v>
      </c>
      <c r="J1363" s="2" t="s">
        <v>106</v>
      </c>
      <c r="K1363" s="2" t="s">
        <v>3703</v>
      </c>
      <c r="L1363" s="2" t="s">
        <v>92</v>
      </c>
      <c r="M1363" s="2"/>
      <c r="N1363" s="2" t="s">
        <v>128</v>
      </c>
    </row>
    <row r="1364" spans="1:14" x14ac:dyDescent="0.25">
      <c r="A1364" s="2" t="s">
        <v>3704</v>
      </c>
      <c r="B1364" s="2" t="s">
        <v>3705</v>
      </c>
      <c r="C1364" s="2" t="s">
        <v>28</v>
      </c>
      <c r="D1364" s="2" t="s">
        <v>100</v>
      </c>
      <c r="E1364" s="2" t="s">
        <v>46</v>
      </c>
      <c r="F1364" s="2" t="s">
        <v>125</v>
      </c>
      <c r="G1364" s="2" t="s">
        <v>126</v>
      </c>
      <c r="H1364" s="2" t="s">
        <v>74</v>
      </c>
      <c r="I1364" s="2">
        <v>8</v>
      </c>
      <c r="J1364" s="2" t="s">
        <v>232</v>
      </c>
      <c r="K1364" s="2"/>
      <c r="L1364" s="2" t="s">
        <v>92</v>
      </c>
      <c r="M1364" s="2"/>
      <c r="N1364" s="2" t="s">
        <v>128</v>
      </c>
    </row>
    <row r="1365" spans="1:14" x14ac:dyDescent="0.25">
      <c r="A1365" s="2" t="s">
        <v>3706</v>
      </c>
      <c r="B1365" s="2" t="s">
        <v>3707</v>
      </c>
      <c r="C1365" s="2" t="s">
        <v>28</v>
      </c>
      <c r="D1365" s="2" t="s">
        <v>37</v>
      </c>
      <c r="E1365" s="2" t="s">
        <v>79</v>
      </c>
      <c r="F1365" s="2" t="s">
        <v>39</v>
      </c>
      <c r="G1365" s="2" t="s">
        <v>105</v>
      </c>
      <c r="H1365" s="2" t="s">
        <v>21</v>
      </c>
      <c r="I1365" s="2">
        <v>24</v>
      </c>
      <c r="J1365" s="2" t="s">
        <v>75</v>
      </c>
      <c r="K1365" s="2" t="s">
        <v>3708</v>
      </c>
      <c r="L1365" s="2" t="s">
        <v>24</v>
      </c>
      <c r="M1365" s="2"/>
      <c r="N1365" s="2"/>
    </row>
    <row r="1366" spans="1:14" x14ac:dyDescent="0.25">
      <c r="A1366" s="2" t="s">
        <v>3709</v>
      </c>
      <c r="B1366" s="2" t="s">
        <v>3710</v>
      </c>
      <c r="C1366" s="2" t="s">
        <v>53</v>
      </c>
      <c r="D1366" s="2" t="s">
        <v>61</v>
      </c>
      <c r="E1366" s="2" t="s">
        <v>148</v>
      </c>
      <c r="F1366" s="2" t="s">
        <v>39</v>
      </c>
      <c r="G1366" s="2" t="s">
        <v>70</v>
      </c>
      <c r="H1366" s="2" t="s">
        <v>32</v>
      </c>
      <c r="I1366" s="2">
        <v>48</v>
      </c>
      <c r="J1366" s="2" t="s">
        <v>75</v>
      </c>
      <c r="K1366" s="2"/>
      <c r="L1366" s="2" t="s">
        <v>24</v>
      </c>
      <c r="M1366" s="2"/>
      <c r="N1366" s="2" t="s">
        <v>34</v>
      </c>
    </row>
    <row r="1367" spans="1:14" x14ac:dyDescent="0.25">
      <c r="A1367" s="2" t="s">
        <v>3711</v>
      </c>
      <c r="B1367" s="2" t="s">
        <v>3712</v>
      </c>
      <c r="C1367" s="2" t="s">
        <v>16</v>
      </c>
      <c r="D1367" s="2" t="s">
        <v>84</v>
      </c>
      <c r="E1367" s="2" t="s">
        <v>79</v>
      </c>
      <c r="F1367" s="2" t="s">
        <v>96</v>
      </c>
      <c r="G1367" s="2" t="s">
        <v>70</v>
      </c>
      <c r="H1367" s="2" t="s">
        <v>74</v>
      </c>
      <c r="I1367" s="2">
        <v>8</v>
      </c>
      <c r="J1367" s="2" t="s">
        <v>149</v>
      </c>
      <c r="K1367" s="2"/>
      <c r="L1367" s="2" t="s">
        <v>24</v>
      </c>
      <c r="M1367" s="2"/>
      <c r="N1367" s="2" t="s">
        <v>128</v>
      </c>
    </row>
    <row r="1368" spans="1:14" x14ac:dyDescent="0.25">
      <c r="A1368" s="2" t="s">
        <v>2235</v>
      </c>
      <c r="B1368" s="2" t="s">
        <v>2236</v>
      </c>
      <c r="C1368" s="2" t="s">
        <v>16</v>
      </c>
      <c r="D1368" s="2" t="s">
        <v>17</v>
      </c>
      <c r="E1368" s="2" t="s">
        <v>79</v>
      </c>
      <c r="F1368" s="2" t="s">
        <v>30</v>
      </c>
      <c r="G1368" s="2" t="s">
        <v>101</v>
      </c>
      <c r="H1368" s="2" t="s">
        <v>74</v>
      </c>
      <c r="I1368" s="2">
        <v>8</v>
      </c>
      <c r="J1368" s="2" t="s">
        <v>41</v>
      </c>
      <c r="K1368" s="2" t="s">
        <v>2237</v>
      </c>
      <c r="L1368" s="2" t="s">
        <v>24</v>
      </c>
      <c r="M1368" s="2">
        <v>3</v>
      </c>
      <c r="N1368" s="2" t="s">
        <v>118</v>
      </c>
    </row>
    <row r="1369" spans="1:14" x14ac:dyDescent="0.25">
      <c r="A1369" s="2" t="s">
        <v>3713</v>
      </c>
      <c r="B1369" s="2" t="s">
        <v>3714</v>
      </c>
      <c r="C1369" s="2" t="s">
        <v>28</v>
      </c>
      <c r="D1369" s="2" t="s">
        <v>29</v>
      </c>
      <c r="E1369" s="2" t="s">
        <v>38</v>
      </c>
      <c r="F1369" s="2" t="s">
        <v>39</v>
      </c>
      <c r="G1369" s="2" t="s">
        <v>31</v>
      </c>
      <c r="H1369" s="2" t="s">
        <v>74</v>
      </c>
      <c r="I1369" s="2">
        <v>8</v>
      </c>
      <c r="J1369" s="2" t="s">
        <v>191</v>
      </c>
      <c r="K1369" s="2" t="s">
        <v>3715</v>
      </c>
      <c r="L1369" s="2" t="s">
        <v>24</v>
      </c>
      <c r="M1369" s="2"/>
      <c r="N1369" s="2" t="s">
        <v>25</v>
      </c>
    </row>
    <row r="1370" spans="1:14" x14ac:dyDescent="0.25">
      <c r="A1370" s="2" t="s">
        <v>3716</v>
      </c>
      <c r="B1370" s="2" t="s">
        <v>3717</v>
      </c>
      <c r="C1370" s="2" t="s">
        <v>28</v>
      </c>
      <c r="D1370" s="2" t="s">
        <v>37</v>
      </c>
      <c r="E1370" s="2" t="s">
        <v>18</v>
      </c>
      <c r="F1370" s="2" t="s">
        <v>69</v>
      </c>
      <c r="G1370" s="2" t="s">
        <v>20</v>
      </c>
      <c r="H1370" s="2" t="s">
        <v>21</v>
      </c>
      <c r="I1370" s="2">
        <v>24</v>
      </c>
      <c r="J1370" s="2" t="s">
        <v>106</v>
      </c>
      <c r="K1370" s="2"/>
      <c r="L1370" s="2" t="s">
        <v>24</v>
      </c>
      <c r="M1370" s="2">
        <v>4</v>
      </c>
      <c r="N1370" s="2"/>
    </row>
    <row r="1371" spans="1:14" x14ac:dyDescent="0.25">
      <c r="A1371" s="2" t="s">
        <v>3718</v>
      </c>
      <c r="B1371" s="2" t="s">
        <v>3719</v>
      </c>
      <c r="C1371" s="2" t="s">
        <v>53</v>
      </c>
      <c r="D1371" s="2" t="s">
        <v>54</v>
      </c>
      <c r="E1371" s="2" t="s">
        <v>18</v>
      </c>
      <c r="F1371" s="2" t="s">
        <v>143</v>
      </c>
      <c r="G1371" s="2" t="s">
        <v>20</v>
      </c>
      <c r="H1371" s="2" t="s">
        <v>74</v>
      </c>
      <c r="I1371" s="2">
        <v>8</v>
      </c>
      <c r="J1371" s="2" t="s">
        <v>232</v>
      </c>
      <c r="K1371" s="2"/>
      <c r="L1371" s="2" t="s">
        <v>92</v>
      </c>
      <c r="M1371" s="2"/>
      <c r="N1371" s="2" t="s">
        <v>128</v>
      </c>
    </row>
    <row r="1372" spans="1:14" x14ac:dyDescent="0.25">
      <c r="A1372" s="2" t="s">
        <v>3720</v>
      </c>
      <c r="B1372" s="2" t="s">
        <v>3721</v>
      </c>
      <c r="C1372" s="2" t="s">
        <v>16</v>
      </c>
      <c r="D1372" s="2" t="s">
        <v>84</v>
      </c>
      <c r="E1372" s="2" t="s">
        <v>85</v>
      </c>
      <c r="F1372" s="2" t="s">
        <v>19</v>
      </c>
      <c r="G1372" s="2" t="s">
        <v>211</v>
      </c>
      <c r="H1372" s="2" t="s">
        <v>21</v>
      </c>
      <c r="I1372" s="2">
        <v>24</v>
      </c>
      <c r="J1372" s="2" t="s">
        <v>145</v>
      </c>
      <c r="K1372" s="2"/>
      <c r="L1372" s="2" t="s">
        <v>24</v>
      </c>
      <c r="M1372" s="2"/>
      <c r="N1372" s="2" t="s">
        <v>128</v>
      </c>
    </row>
    <row r="1373" spans="1:14" x14ac:dyDescent="0.25">
      <c r="A1373" s="2" t="s">
        <v>3722</v>
      </c>
      <c r="B1373" s="2" t="s">
        <v>3723</v>
      </c>
      <c r="C1373" s="2" t="s">
        <v>53</v>
      </c>
      <c r="D1373" s="2" t="s">
        <v>54</v>
      </c>
      <c r="E1373" s="2" t="s">
        <v>38</v>
      </c>
      <c r="F1373" s="2" t="s">
        <v>69</v>
      </c>
      <c r="G1373" s="2" t="s">
        <v>31</v>
      </c>
      <c r="H1373" s="2" t="s">
        <v>32</v>
      </c>
      <c r="I1373" s="2">
        <v>48</v>
      </c>
      <c r="J1373" s="2" t="s">
        <v>106</v>
      </c>
      <c r="K1373" s="2" t="s">
        <v>3724</v>
      </c>
      <c r="L1373" s="2" t="s">
        <v>24</v>
      </c>
      <c r="M1373" s="2">
        <v>4</v>
      </c>
      <c r="N1373" s="2" t="s">
        <v>64</v>
      </c>
    </row>
    <row r="1374" spans="1:14" x14ac:dyDescent="0.25">
      <c r="A1374" s="2" t="s">
        <v>3725</v>
      </c>
      <c r="B1374" s="2" t="s">
        <v>3726</v>
      </c>
      <c r="C1374" s="2" t="s">
        <v>53</v>
      </c>
      <c r="D1374" s="2" t="s">
        <v>61</v>
      </c>
      <c r="E1374" s="2" t="s">
        <v>79</v>
      </c>
      <c r="F1374" s="2" t="s">
        <v>125</v>
      </c>
      <c r="G1374" s="2" t="s">
        <v>20</v>
      </c>
      <c r="H1374" s="2" t="s">
        <v>21</v>
      </c>
      <c r="I1374" s="2">
        <v>24</v>
      </c>
      <c r="J1374" s="2" t="s">
        <v>22</v>
      </c>
      <c r="K1374" s="2" t="s">
        <v>3727</v>
      </c>
      <c r="L1374" s="2" t="s">
        <v>24</v>
      </c>
      <c r="M1374" s="2">
        <v>5</v>
      </c>
      <c r="N1374" s="2"/>
    </row>
    <row r="1375" spans="1:14" x14ac:dyDescent="0.25">
      <c r="A1375" s="2" t="s">
        <v>3728</v>
      </c>
      <c r="B1375" s="2" t="s">
        <v>3729</v>
      </c>
      <c r="C1375" s="2" t="s">
        <v>53</v>
      </c>
      <c r="D1375" s="2" t="s">
        <v>61</v>
      </c>
      <c r="E1375" s="2" t="s">
        <v>90</v>
      </c>
      <c r="F1375" s="2" t="s">
        <v>131</v>
      </c>
      <c r="G1375" s="2" t="s">
        <v>211</v>
      </c>
      <c r="H1375" s="2" t="s">
        <v>74</v>
      </c>
      <c r="I1375" s="2">
        <v>8</v>
      </c>
      <c r="J1375" s="2" t="s">
        <v>11</v>
      </c>
      <c r="K1375" s="2"/>
      <c r="L1375" s="2" t="s">
        <v>92</v>
      </c>
      <c r="M1375" s="2"/>
      <c r="N1375" s="2" t="s">
        <v>25</v>
      </c>
    </row>
    <row r="1376" spans="1:14" x14ac:dyDescent="0.25">
      <c r="A1376" s="2" t="s">
        <v>3730</v>
      </c>
      <c r="B1376" s="2" t="s">
        <v>3731</v>
      </c>
      <c r="C1376" s="2" t="s">
        <v>67</v>
      </c>
      <c r="D1376" s="2" t="s">
        <v>68</v>
      </c>
      <c r="E1376" s="2" t="s">
        <v>85</v>
      </c>
      <c r="F1376" s="2" t="s">
        <v>131</v>
      </c>
      <c r="G1376" s="2" t="s">
        <v>121</v>
      </c>
      <c r="H1376" s="2" t="s">
        <v>74</v>
      </c>
      <c r="I1376" s="2">
        <v>8</v>
      </c>
      <c r="J1376" s="2" t="s">
        <v>106</v>
      </c>
      <c r="K1376" s="2" t="s">
        <v>3732</v>
      </c>
      <c r="L1376" s="2" t="s">
        <v>24</v>
      </c>
      <c r="M1376" s="2">
        <v>5</v>
      </c>
      <c r="N1376" s="2"/>
    </row>
    <row r="1377" spans="1:14" x14ac:dyDescent="0.25">
      <c r="A1377" s="2" t="s">
        <v>3733</v>
      </c>
      <c r="B1377" s="2" t="s">
        <v>3734</v>
      </c>
      <c r="C1377" s="2" t="s">
        <v>67</v>
      </c>
      <c r="D1377" s="2" t="s">
        <v>95</v>
      </c>
      <c r="E1377" s="2" t="s">
        <v>148</v>
      </c>
      <c r="F1377" s="2" t="s">
        <v>143</v>
      </c>
      <c r="G1377" s="2" t="s">
        <v>121</v>
      </c>
      <c r="H1377" s="2" t="s">
        <v>74</v>
      </c>
      <c r="I1377" s="2">
        <v>8</v>
      </c>
      <c r="J1377" s="2" t="s">
        <v>11</v>
      </c>
      <c r="K1377" s="2"/>
      <c r="L1377" s="2" t="s">
        <v>92</v>
      </c>
      <c r="M1377" s="2"/>
      <c r="N1377" s="2"/>
    </row>
    <row r="1378" spans="1:14" x14ac:dyDescent="0.25">
      <c r="A1378" s="2" t="s">
        <v>3735</v>
      </c>
      <c r="B1378" s="2" t="s">
        <v>3736</v>
      </c>
      <c r="C1378" s="2" t="s">
        <v>16</v>
      </c>
      <c r="D1378" s="2" t="s">
        <v>84</v>
      </c>
      <c r="E1378" s="2" t="s">
        <v>18</v>
      </c>
      <c r="F1378" s="2" t="s">
        <v>131</v>
      </c>
      <c r="G1378" s="2" t="s">
        <v>139</v>
      </c>
      <c r="H1378" s="2" t="s">
        <v>74</v>
      </c>
      <c r="I1378" s="2">
        <v>8</v>
      </c>
      <c r="J1378" s="2" t="s">
        <v>200</v>
      </c>
      <c r="K1378" s="2"/>
      <c r="L1378" s="2" t="s">
        <v>92</v>
      </c>
      <c r="M1378" s="2"/>
      <c r="N1378" s="2" t="s">
        <v>128</v>
      </c>
    </row>
    <row r="1379" spans="1:14" x14ac:dyDescent="0.25">
      <c r="A1379" s="2" t="s">
        <v>3737</v>
      </c>
      <c r="B1379" s="2" t="s">
        <v>3738</v>
      </c>
      <c r="C1379" s="2" t="s">
        <v>28</v>
      </c>
      <c r="D1379" s="2" t="s">
        <v>37</v>
      </c>
      <c r="E1379" s="2" t="s">
        <v>38</v>
      </c>
      <c r="F1379" s="2" t="s">
        <v>62</v>
      </c>
      <c r="G1379" s="2" t="s">
        <v>91</v>
      </c>
      <c r="H1379" s="2" t="s">
        <v>21</v>
      </c>
      <c r="I1379" s="2">
        <v>24</v>
      </c>
      <c r="J1379" s="2" t="s">
        <v>48</v>
      </c>
      <c r="K1379" s="2" t="s">
        <v>3739</v>
      </c>
      <c r="L1379" s="2" t="s">
        <v>24</v>
      </c>
      <c r="M1379" s="2"/>
      <c r="N1379" s="2" t="s">
        <v>43</v>
      </c>
    </row>
    <row r="1380" spans="1:14" x14ac:dyDescent="0.25">
      <c r="A1380" s="2" t="s">
        <v>3740</v>
      </c>
      <c r="B1380" s="2" t="s">
        <v>3741</v>
      </c>
      <c r="C1380" s="2" t="s">
        <v>67</v>
      </c>
      <c r="D1380" s="2" t="s">
        <v>68</v>
      </c>
      <c r="E1380" s="2" t="s">
        <v>38</v>
      </c>
      <c r="F1380" s="2" t="s">
        <v>69</v>
      </c>
      <c r="G1380" s="2" t="s">
        <v>101</v>
      </c>
      <c r="H1380" s="2" t="s">
        <v>21</v>
      </c>
      <c r="I1380" s="2">
        <v>24</v>
      </c>
      <c r="J1380" s="2" t="s">
        <v>75</v>
      </c>
      <c r="K1380" s="2" t="s">
        <v>3742</v>
      </c>
      <c r="L1380" s="2" t="s">
        <v>24</v>
      </c>
      <c r="M1380" s="2"/>
      <c r="N1380" s="2" t="s">
        <v>43</v>
      </c>
    </row>
    <row r="1381" spans="1:14" x14ac:dyDescent="0.25">
      <c r="A1381" s="2" t="s">
        <v>3743</v>
      </c>
      <c r="B1381" s="2" t="s">
        <v>3744</v>
      </c>
      <c r="C1381" s="2" t="s">
        <v>53</v>
      </c>
      <c r="D1381" s="2" t="s">
        <v>61</v>
      </c>
      <c r="E1381" s="2" t="s">
        <v>46</v>
      </c>
      <c r="F1381" s="2" t="s">
        <v>47</v>
      </c>
      <c r="G1381" s="2" t="s">
        <v>139</v>
      </c>
      <c r="H1381" s="2" t="s">
        <v>21</v>
      </c>
      <c r="I1381" s="2">
        <v>24</v>
      </c>
      <c r="J1381" s="2" t="s">
        <v>187</v>
      </c>
      <c r="K1381" s="2" t="s">
        <v>3745</v>
      </c>
      <c r="L1381" s="2" t="s">
        <v>24</v>
      </c>
      <c r="M1381" s="2"/>
      <c r="N1381" s="2" t="s">
        <v>58</v>
      </c>
    </row>
    <row r="1382" spans="1:14" x14ac:dyDescent="0.25">
      <c r="A1382" s="2" t="s">
        <v>3746</v>
      </c>
      <c r="B1382" s="2" t="s">
        <v>3747</v>
      </c>
      <c r="C1382" s="2" t="s">
        <v>28</v>
      </c>
      <c r="D1382" s="2" t="s">
        <v>37</v>
      </c>
      <c r="E1382" s="2" t="s">
        <v>38</v>
      </c>
      <c r="F1382" s="2" t="s">
        <v>113</v>
      </c>
      <c r="G1382" s="2" t="s">
        <v>139</v>
      </c>
      <c r="H1382" s="2" t="s">
        <v>21</v>
      </c>
      <c r="I1382" s="2">
        <v>24</v>
      </c>
      <c r="J1382" s="2" t="s">
        <v>41</v>
      </c>
      <c r="K1382" s="2" t="s">
        <v>3748</v>
      </c>
      <c r="L1382" s="2" t="s">
        <v>24</v>
      </c>
      <c r="M1382" s="2">
        <v>5</v>
      </c>
      <c r="N1382" s="2" t="s">
        <v>58</v>
      </c>
    </row>
    <row r="1383" spans="1:14" x14ac:dyDescent="0.25">
      <c r="A1383" s="2" t="s">
        <v>3749</v>
      </c>
      <c r="B1383" s="2" t="s">
        <v>3750</v>
      </c>
      <c r="C1383" s="2" t="s">
        <v>67</v>
      </c>
      <c r="D1383" s="2" t="s">
        <v>95</v>
      </c>
      <c r="E1383" s="2" t="s">
        <v>90</v>
      </c>
      <c r="F1383" s="2" t="s">
        <v>62</v>
      </c>
      <c r="G1383" s="2" t="s">
        <v>144</v>
      </c>
      <c r="H1383" s="2" t="s">
        <v>21</v>
      </c>
      <c r="I1383" s="2">
        <v>24</v>
      </c>
      <c r="J1383" s="2" t="s">
        <v>11</v>
      </c>
      <c r="K1383" s="2"/>
      <c r="L1383" s="2" t="s">
        <v>92</v>
      </c>
      <c r="M1383" s="2"/>
      <c r="N1383" s="2" t="s">
        <v>43</v>
      </c>
    </row>
    <row r="1384" spans="1:14" x14ac:dyDescent="0.25">
      <c r="A1384" s="2" t="s">
        <v>3751</v>
      </c>
      <c r="B1384" s="2" t="s">
        <v>3752</v>
      </c>
      <c r="C1384" s="2" t="s">
        <v>16</v>
      </c>
      <c r="D1384" s="2" t="s">
        <v>84</v>
      </c>
      <c r="E1384" s="2" t="s">
        <v>90</v>
      </c>
      <c r="F1384" s="2" t="s">
        <v>39</v>
      </c>
      <c r="G1384" s="2" t="s">
        <v>97</v>
      </c>
      <c r="H1384" s="2" t="s">
        <v>74</v>
      </c>
      <c r="I1384" s="2">
        <v>8</v>
      </c>
      <c r="J1384" s="2" t="s">
        <v>155</v>
      </c>
      <c r="K1384" s="2"/>
      <c r="L1384" s="2" t="s">
        <v>24</v>
      </c>
      <c r="M1384" s="2"/>
      <c r="N1384" s="2" t="s">
        <v>118</v>
      </c>
    </row>
    <row r="1385" spans="1:14" x14ac:dyDescent="0.25">
      <c r="A1385" s="2" t="s">
        <v>3753</v>
      </c>
      <c r="B1385" s="2" t="s">
        <v>3754</v>
      </c>
      <c r="C1385" s="2" t="s">
        <v>53</v>
      </c>
      <c r="D1385" s="2" t="s">
        <v>61</v>
      </c>
      <c r="E1385" s="2" t="s">
        <v>85</v>
      </c>
      <c r="F1385" s="2" t="s">
        <v>30</v>
      </c>
      <c r="G1385" s="2" t="s">
        <v>20</v>
      </c>
      <c r="H1385" s="2" t="s">
        <v>32</v>
      </c>
      <c r="I1385" s="2">
        <v>48</v>
      </c>
      <c r="J1385" s="2" t="s">
        <v>232</v>
      </c>
      <c r="K1385" s="2"/>
      <c r="L1385" s="2" t="s">
        <v>92</v>
      </c>
      <c r="M1385" s="2"/>
      <c r="N1385" s="2" t="s">
        <v>25</v>
      </c>
    </row>
    <row r="1386" spans="1:14" x14ac:dyDescent="0.25">
      <c r="A1386" s="2" t="s">
        <v>3755</v>
      </c>
      <c r="B1386" s="2" t="s">
        <v>3756</v>
      </c>
      <c r="C1386" s="2" t="s">
        <v>16</v>
      </c>
      <c r="D1386" s="2" t="s">
        <v>84</v>
      </c>
      <c r="E1386" s="2" t="s">
        <v>90</v>
      </c>
      <c r="F1386" s="2" t="s">
        <v>96</v>
      </c>
      <c r="G1386" s="2" t="s">
        <v>121</v>
      </c>
      <c r="H1386" s="2" t="s">
        <v>21</v>
      </c>
      <c r="I1386" s="2">
        <v>24</v>
      </c>
      <c r="J1386" s="2" t="s">
        <v>106</v>
      </c>
      <c r="K1386" s="2" t="s">
        <v>3757</v>
      </c>
      <c r="L1386" s="2" t="s">
        <v>24</v>
      </c>
      <c r="M1386" s="2">
        <v>2</v>
      </c>
      <c r="N1386" s="2" t="s">
        <v>128</v>
      </c>
    </row>
    <row r="1387" spans="1:14" x14ac:dyDescent="0.25">
      <c r="A1387" s="2" t="s">
        <v>3758</v>
      </c>
      <c r="B1387" s="2" t="s">
        <v>3759</v>
      </c>
      <c r="C1387" s="2" t="s">
        <v>16</v>
      </c>
      <c r="D1387" s="2" t="s">
        <v>84</v>
      </c>
      <c r="E1387" s="2" t="s">
        <v>46</v>
      </c>
      <c r="F1387" s="2" t="s">
        <v>30</v>
      </c>
      <c r="G1387" s="2" t="s">
        <v>105</v>
      </c>
      <c r="H1387" s="2" t="s">
        <v>21</v>
      </c>
      <c r="I1387" s="2">
        <v>24</v>
      </c>
      <c r="J1387" s="2" t="s">
        <v>41</v>
      </c>
      <c r="K1387" s="2" t="s">
        <v>3760</v>
      </c>
      <c r="L1387" s="2" t="s">
        <v>24</v>
      </c>
      <c r="M1387" s="2">
        <v>3</v>
      </c>
      <c r="N1387" s="2" t="s">
        <v>64</v>
      </c>
    </row>
    <row r="1388" spans="1:14" x14ac:dyDescent="0.25">
      <c r="A1388" s="2" t="s">
        <v>3761</v>
      </c>
      <c r="B1388" s="2" t="s">
        <v>3762</v>
      </c>
      <c r="C1388" s="2" t="s">
        <v>16</v>
      </c>
      <c r="D1388" s="2" t="s">
        <v>84</v>
      </c>
      <c r="E1388" s="2" t="s">
        <v>90</v>
      </c>
      <c r="F1388" s="2" t="s">
        <v>39</v>
      </c>
      <c r="G1388" s="2" t="s">
        <v>20</v>
      </c>
      <c r="H1388" s="2" t="s">
        <v>32</v>
      </c>
      <c r="I1388" s="2">
        <v>48</v>
      </c>
      <c r="J1388" s="2" t="s">
        <v>187</v>
      </c>
      <c r="K1388" s="2" t="s">
        <v>3763</v>
      </c>
      <c r="L1388" s="2" t="s">
        <v>24</v>
      </c>
      <c r="M1388" s="2"/>
      <c r="N1388" s="2" t="s">
        <v>25</v>
      </c>
    </row>
    <row r="1389" spans="1:14" x14ac:dyDescent="0.25">
      <c r="A1389" s="2" t="s">
        <v>3764</v>
      </c>
      <c r="B1389" s="2" t="s">
        <v>3765</v>
      </c>
      <c r="C1389" s="2" t="s">
        <v>16</v>
      </c>
      <c r="D1389" s="2" t="s">
        <v>17</v>
      </c>
      <c r="E1389" s="2" t="s">
        <v>90</v>
      </c>
      <c r="F1389" s="2" t="s">
        <v>96</v>
      </c>
      <c r="G1389" s="2" t="s">
        <v>97</v>
      </c>
      <c r="H1389" s="2" t="s">
        <v>80</v>
      </c>
      <c r="I1389" s="2">
        <v>4</v>
      </c>
      <c r="J1389" s="2" t="s">
        <v>106</v>
      </c>
      <c r="K1389" s="2" t="s">
        <v>3766</v>
      </c>
      <c r="L1389" s="2" t="s">
        <v>24</v>
      </c>
      <c r="M1389" s="2"/>
      <c r="N1389" s="2" t="s">
        <v>34</v>
      </c>
    </row>
    <row r="1390" spans="1:14" x14ac:dyDescent="0.25">
      <c r="A1390" s="2" t="s">
        <v>3767</v>
      </c>
      <c r="B1390" s="2" t="s">
        <v>3768</v>
      </c>
      <c r="C1390" s="2" t="s">
        <v>53</v>
      </c>
      <c r="D1390" s="2" t="s">
        <v>54</v>
      </c>
      <c r="E1390" s="2" t="s">
        <v>46</v>
      </c>
      <c r="F1390" s="2" t="s">
        <v>125</v>
      </c>
      <c r="G1390" s="2" t="s">
        <v>179</v>
      </c>
      <c r="H1390" s="2" t="s">
        <v>32</v>
      </c>
      <c r="I1390" s="2">
        <v>48</v>
      </c>
      <c r="J1390" s="2" t="s">
        <v>22</v>
      </c>
      <c r="K1390" s="2" t="s">
        <v>3769</v>
      </c>
      <c r="L1390" s="2" t="s">
        <v>24</v>
      </c>
      <c r="M1390" s="2"/>
      <c r="N1390" s="2" t="s">
        <v>43</v>
      </c>
    </row>
    <row r="1391" spans="1:14" x14ac:dyDescent="0.25">
      <c r="A1391" s="2" t="s">
        <v>3770</v>
      </c>
      <c r="B1391" s="2" t="s">
        <v>3771</v>
      </c>
      <c r="C1391" s="2" t="s">
        <v>53</v>
      </c>
      <c r="D1391" s="2" t="s">
        <v>54</v>
      </c>
      <c r="E1391" s="2" t="s">
        <v>90</v>
      </c>
      <c r="F1391" s="2" t="s">
        <v>143</v>
      </c>
      <c r="G1391" s="2" t="s">
        <v>135</v>
      </c>
      <c r="H1391" s="2" t="s">
        <v>74</v>
      </c>
      <c r="I1391" s="2">
        <v>8</v>
      </c>
      <c r="J1391" s="2" t="s">
        <v>106</v>
      </c>
      <c r="K1391" s="2" t="s">
        <v>3772</v>
      </c>
      <c r="L1391" s="2" t="s">
        <v>24</v>
      </c>
      <c r="M1391" s="2">
        <v>1</v>
      </c>
      <c r="N1391" s="2" t="s">
        <v>58</v>
      </c>
    </row>
    <row r="1392" spans="1:14" x14ac:dyDescent="0.25">
      <c r="A1392" s="2" t="s">
        <v>3773</v>
      </c>
      <c r="B1392" s="2" t="s">
        <v>3774</v>
      </c>
      <c r="C1392" s="2" t="s">
        <v>16</v>
      </c>
      <c r="D1392" s="2" t="s">
        <v>84</v>
      </c>
      <c r="E1392" s="2" t="s">
        <v>148</v>
      </c>
      <c r="F1392" s="2" t="s">
        <v>143</v>
      </c>
      <c r="G1392" s="2" t="s">
        <v>183</v>
      </c>
      <c r="H1392" s="2" t="s">
        <v>21</v>
      </c>
      <c r="I1392" s="2">
        <v>24</v>
      </c>
      <c r="J1392" s="2" t="s">
        <v>22</v>
      </c>
      <c r="K1392" s="2" t="s">
        <v>3775</v>
      </c>
      <c r="L1392" s="2" t="s">
        <v>24</v>
      </c>
      <c r="M1392" s="2"/>
      <c r="N1392" s="2" t="s">
        <v>58</v>
      </c>
    </row>
    <row r="1393" spans="1:14" x14ac:dyDescent="0.25">
      <c r="A1393" s="2" t="s">
        <v>3776</v>
      </c>
      <c r="B1393" s="2" t="s">
        <v>3777</v>
      </c>
      <c r="C1393" s="2" t="s">
        <v>28</v>
      </c>
      <c r="D1393" s="2" t="s">
        <v>100</v>
      </c>
      <c r="E1393" s="2" t="s">
        <v>18</v>
      </c>
      <c r="F1393" s="2" t="s">
        <v>113</v>
      </c>
      <c r="G1393" s="2" t="s">
        <v>144</v>
      </c>
      <c r="H1393" s="2" t="s">
        <v>32</v>
      </c>
      <c r="I1393" s="2">
        <v>48</v>
      </c>
      <c r="J1393" s="2" t="s">
        <v>41</v>
      </c>
      <c r="K1393" s="2" t="s">
        <v>3778</v>
      </c>
      <c r="L1393" s="2" t="s">
        <v>24</v>
      </c>
      <c r="M1393" s="2">
        <v>1</v>
      </c>
      <c r="N1393" s="2" t="s">
        <v>25</v>
      </c>
    </row>
    <row r="1394" spans="1:14" x14ac:dyDescent="0.25">
      <c r="A1394" s="2" t="s">
        <v>3779</v>
      </c>
      <c r="B1394" s="2" t="s">
        <v>3780</v>
      </c>
      <c r="C1394" s="2" t="s">
        <v>67</v>
      </c>
      <c r="D1394" s="2" t="s">
        <v>95</v>
      </c>
      <c r="E1394" s="2" t="s">
        <v>79</v>
      </c>
      <c r="F1394" s="2" t="s">
        <v>55</v>
      </c>
      <c r="G1394" s="2" t="s">
        <v>40</v>
      </c>
      <c r="H1394" s="2" t="s">
        <v>21</v>
      </c>
      <c r="I1394" s="2">
        <v>24</v>
      </c>
      <c r="J1394" s="2" t="s">
        <v>187</v>
      </c>
      <c r="K1394" s="2" t="s">
        <v>3781</v>
      </c>
      <c r="L1394" s="2" t="s">
        <v>24</v>
      </c>
      <c r="M1394" s="2"/>
      <c r="N1394" s="2" t="s">
        <v>34</v>
      </c>
    </row>
    <row r="1395" spans="1:14" x14ac:dyDescent="0.25">
      <c r="A1395" s="2" t="s">
        <v>3782</v>
      </c>
      <c r="B1395" s="2" t="s">
        <v>3783</v>
      </c>
      <c r="C1395" s="2" t="s">
        <v>53</v>
      </c>
      <c r="D1395" s="2" t="s">
        <v>771</v>
      </c>
      <c r="E1395" s="2" t="s">
        <v>79</v>
      </c>
      <c r="F1395" s="2" t="s">
        <v>131</v>
      </c>
      <c r="G1395" s="2" t="s">
        <v>97</v>
      </c>
      <c r="H1395" s="2" t="s">
        <v>74</v>
      </c>
      <c r="I1395" s="2">
        <v>8</v>
      </c>
      <c r="J1395" s="2" t="s">
        <v>22</v>
      </c>
      <c r="K1395" s="2" t="s">
        <v>3784</v>
      </c>
      <c r="L1395" s="2" t="s">
        <v>92</v>
      </c>
      <c r="M1395" s="2">
        <v>5</v>
      </c>
      <c r="N1395" s="2"/>
    </row>
    <row r="1396" spans="1:14" x14ac:dyDescent="0.25">
      <c r="A1396" s="2" t="s">
        <v>3785</v>
      </c>
      <c r="B1396" s="2" t="s">
        <v>3786</v>
      </c>
      <c r="C1396" s="2" t="s">
        <v>67</v>
      </c>
      <c r="D1396" s="2" t="s">
        <v>95</v>
      </c>
      <c r="E1396" s="2" t="s">
        <v>18</v>
      </c>
      <c r="F1396" s="2" t="s">
        <v>125</v>
      </c>
      <c r="G1396" s="2" t="s">
        <v>144</v>
      </c>
      <c r="H1396" s="2" t="s">
        <v>80</v>
      </c>
      <c r="I1396" s="2">
        <v>4</v>
      </c>
      <c r="J1396" s="2" t="s">
        <v>22</v>
      </c>
      <c r="K1396" s="2" t="s">
        <v>3787</v>
      </c>
      <c r="L1396" s="2" t="s">
        <v>24</v>
      </c>
      <c r="M1396" s="2">
        <v>3</v>
      </c>
      <c r="N1396" s="2" t="s">
        <v>25</v>
      </c>
    </row>
    <row r="1397" spans="1:14" x14ac:dyDescent="0.25">
      <c r="A1397" s="2" t="s">
        <v>3788</v>
      </c>
      <c r="B1397" s="2" t="s">
        <v>3789</v>
      </c>
      <c r="C1397" s="2" t="s">
        <v>67</v>
      </c>
      <c r="D1397" s="2" t="s">
        <v>68</v>
      </c>
      <c r="E1397" s="2" t="s">
        <v>46</v>
      </c>
      <c r="F1397" s="2" t="s">
        <v>113</v>
      </c>
      <c r="G1397" s="2" t="s">
        <v>126</v>
      </c>
      <c r="H1397" s="2" t="s">
        <v>74</v>
      </c>
      <c r="I1397" s="2">
        <v>8</v>
      </c>
      <c r="J1397" s="2" t="s">
        <v>117</v>
      </c>
      <c r="K1397" s="2"/>
      <c r="L1397" s="2" t="s">
        <v>24</v>
      </c>
      <c r="M1397" s="2"/>
      <c r="N1397" s="2"/>
    </row>
    <row r="1398" spans="1:14" x14ac:dyDescent="0.25">
      <c r="A1398" s="2" t="s">
        <v>3790</v>
      </c>
      <c r="B1398" s="2" t="s">
        <v>3791</v>
      </c>
      <c r="C1398" s="2" t="s">
        <v>16</v>
      </c>
      <c r="D1398" s="2" t="s">
        <v>84</v>
      </c>
      <c r="E1398" s="2" t="s">
        <v>46</v>
      </c>
      <c r="F1398" s="2" t="s">
        <v>143</v>
      </c>
      <c r="G1398" s="2" t="s">
        <v>97</v>
      </c>
      <c r="H1398" s="2" t="s">
        <v>32</v>
      </c>
      <c r="I1398" s="2">
        <v>48</v>
      </c>
      <c r="J1398" s="2" t="s">
        <v>48</v>
      </c>
      <c r="K1398" s="2" t="s">
        <v>3792</v>
      </c>
      <c r="L1398" s="2" t="s">
        <v>24</v>
      </c>
      <c r="M1398" s="2"/>
      <c r="N1398" s="2" t="s">
        <v>64</v>
      </c>
    </row>
    <row r="1399" spans="1:14" x14ac:dyDescent="0.25">
      <c r="A1399" s="2" t="s">
        <v>3793</v>
      </c>
      <c r="B1399" s="2" t="s">
        <v>3794</v>
      </c>
      <c r="C1399" s="2" t="s">
        <v>53</v>
      </c>
      <c r="D1399" s="2" t="s">
        <v>61</v>
      </c>
      <c r="E1399" s="2" t="s">
        <v>38</v>
      </c>
      <c r="F1399" s="2" t="s">
        <v>55</v>
      </c>
      <c r="G1399" s="2" t="s">
        <v>121</v>
      </c>
      <c r="H1399" s="2" t="s">
        <v>32</v>
      </c>
      <c r="I1399" s="2">
        <v>48</v>
      </c>
      <c r="J1399" s="2" t="s">
        <v>155</v>
      </c>
      <c r="K1399" s="2"/>
      <c r="L1399" s="2" t="s">
        <v>92</v>
      </c>
      <c r="M1399" s="2"/>
      <c r="N1399" s="2" t="s">
        <v>25</v>
      </c>
    </row>
    <row r="1400" spans="1:14" x14ac:dyDescent="0.25">
      <c r="A1400" s="2" t="s">
        <v>3795</v>
      </c>
      <c r="B1400" s="2" t="s">
        <v>3796</v>
      </c>
      <c r="C1400" s="2" t="s">
        <v>16</v>
      </c>
      <c r="D1400" s="2" t="s">
        <v>17</v>
      </c>
      <c r="E1400" s="2" t="s">
        <v>46</v>
      </c>
      <c r="F1400" s="2" t="s">
        <v>125</v>
      </c>
      <c r="G1400" s="2" t="s">
        <v>211</v>
      </c>
      <c r="H1400" s="2" t="s">
        <v>21</v>
      </c>
      <c r="I1400" s="2">
        <v>24</v>
      </c>
      <c r="J1400" s="2" t="s">
        <v>75</v>
      </c>
      <c r="K1400" s="2" t="s">
        <v>3797</v>
      </c>
      <c r="L1400" s="2" t="s">
        <v>24</v>
      </c>
      <c r="M1400" s="2">
        <v>5</v>
      </c>
      <c r="N1400" s="2" t="s">
        <v>118</v>
      </c>
    </row>
    <row r="1401" spans="1:14" x14ac:dyDescent="0.25">
      <c r="A1401" s="2" t="s">
        <v>3798</v>
      </c>
      <c r="B1401" s="2" t="s">
        <v>3799</v>
      </c>
      <c r="C1401" s="2" t="s">
        <v>53</v>
      </c>
      <c r="D1401" s="2" t="s">
        <v>61</v>
      </c>
      <c r="E1401" s="2" t="s">
        <v>18</v>
      </c>
      <c r="F1401" s="2" t="s">
        <v>62</v>
      </c>
      <c r="G1401" s="2" t="s">
        <v>70</v>
      </c>
      <c r="H1401" s="2" t="s">
        <v>74</v>
      </c>
      <c r="I1401" s="2">
        <v>8</v>
      </c>
      <c r="J1401" s="2" t="s">
        <v>41</v>
      </c>
      <c r="K1401" s="2" t="s">
        <v>3800</v>
      </c>
      <c r="L1401" s="2" t="s">
        <v>24</v>
      </c>
      <c r="M1401" s="2"/>
      <c r="N1401" s="2" t="s">
        <v>50</v>
      </c>
    </row>
    <row r="1402" spans="1:14" x14ac:dyDescent="0.25">
      <c r="A1402" s="2" t="s">
        <v>3801</v>
      </c>
      <c r="B1402" s="2" t="s">
        <v>3802</v>
      </c>
      <c r="C1402" s="2" t="s">
        <v>16</v>
      </c>
      <c r="D1402" s="2" t="s">
        <v>17</v>
      </c>
      <c r="E1402" s="2" t="s">
        <v>18</v>
      </c>
      <c r="F1402" s="2" t="s">
        <v>39</v>
      </c>
      <c r="G1402" s="2" t="s">
        <v>135</v>
      </c>
      <c r="H1402" s="2" t="s">
        <v>32</v>
      </c>
      <c r="I1402" s="2">
        <v>48</v>
      </c>
      <c r="J1402" s="2" t="s">
        <v>106</v>
      </c>
      <c r="K1402" s="2" t="s">
        <v>3803</v>
      </c>
      <c r="L1402" s="2" t="s">
        <v>24</v>
      </c>
      <c r="M1402" s="2">
        <v>1</v>
      </c>
      <c r="N1402" s="2" t="s">
        <v>43</v>
      </c>
    </row>
    <row r="1403" spans="1:14" x14ac:dyDescent="0.25">
      <c r="A1403" s="2" t="s">
        <v>3804</v>
      </c>
      <c r="B1403" s="2" t="s">
        <v>3805</v>
      </c>
      <c r="C1403" s="2" t="s">
        <v>16</v>
      </c>
      <c r="D1403" s="2" t="s">
        <v>17</v>
      </c>
      <c r="E1403" s="2" t="s">
        <v>79</v>
      </c>
      <c r="F1403" s="2" t="s">
        <v>131</v>
      </c>
      <c r="G1403" s="2" t="s">
        <v>20</v>
      </c>
      <c r="H1403" s="2" t="s">
        <v>74</v>
      </c>
      <c r="I1403" s="2">
        <v>8</v>
      </c>
      <c r="J1403" s="2" t="s">
        <v>187</v>
      </c>
      <c r="K1403" s="2" t="s">
        <v>3806</v>
      </c>
      <c r="L1403" s="2" t="s">
        <v>24</v>
      </c>
      <c r="M1403" s="2"/>
      <c r="N1403" s="2" t="s">
        <v>50</v>
      </c>
    </row>
    <row r="1404" spans="1:14" x14ac:dyDescent="0.25">
      <c r="A1404" s="2" t="s">
        <v>2807</v>
      </c>
      <c r="B1404" s="2" t="s">
        <v>2808</v>
      </c>
      <c r="C1404" s="2" t="s">
        <v>28</v>
      </c>
      <c r="D1404" s="2" t="s">
        <v>100</v>
      </c>
      <c r="E1404" s="2" t="s">
        <v>46</v>
      </c>
      <c r="F1404" s="2" t="s">
        <v>131</v>
      </c>
      <c r="G1404" s="2" t="s">
        <v>179</v>
      </c>
      <c r="H1404" s="2" t="s">
        <v>80</v>
      </c>
      <c r="I1404" s="2">
        <v>4</v>
      </c>
      <c r="J1404" s="2" t="s">
        <v>56</v>
      </c>
      <c r="K1404" s="2" t="s">
        <v>2809</v>
      </c>
      <c r="L1404" s="2" t="s">
        <v>92</v>
      </c>
      <c r="M1404" s="2"/>
      <c r="N1404" s="2"/>
    </row>
    <row r="1405" spans="1:14" x14ac:dyDescent="0.25">
      <c r="A1405" s="2" t="s">
        <v>3807</v>
      </c>
      <c r="B1405" s="2" t="s">
        <v>3808</v>
      </c>
      <c r="C1405" s="2" t="s">
        <v>16</v>
      </c>
      <c r="D1405" s="2" t="s">
        <v>17</v>
      </c>
      <c r="E1405" s="2" t="s">
        <v>148</v>
      </c>
      <c r="F1405" s="2" t="s">
        <v>125</v>
      </c>
      <c r="G1405" s="2" t="s">
        <v>105</v>
      </c>
      <c r="H1405" s="2" t="s">
        <v>32</v>
      </c>
      <c r="I1405" s="2">
        <v>48</v>
      </c>
      <c r="J1405" s="2" t="s">
        <v>11</v>
      </c>
      <c r="K1405" s="2"/>
      <c r="L1405" s="2" t="s">
        <v>92</v>
      </c>
      <c r="M1405" s="2"/>
      <c r="N1405" s="2"/>
    </row>
    <row r="1406" spans="1:14" x14ac:dyDescent="0.25">
      <c r="A1406" s="2" t="s">
        <v>3809</v>
      </c>
      <c r="B1406" s="2" t="s">
        <v>3810</v>
      </c>
      <c r="C1406" s="2" t="s">
        <v>67</v>
      </c>
      <c r="D1406" s="2" t="s">
        <v>68</v>
      </c>
      <c r="E1406" s="2" t="s">
        <v>38</v>
      </c>
      <c r="F1406" s="2" t="s">
        <v>131</v>
      </c>
      <c r="G1406" s="2" t="s">
        <v>110</v>
      </c>
      <c r="H1406" s="2" t="s">
        <v>21</v>
      </c>
      <c r="I1406" s="2">
        <v>24</v>
      </c>
      <c r="J1406" s="2" t="s">
        <v>22</v>
      </c>
      <c r="K1406" s="2" t="s">
        <v>3811</v>
      </c>
      <c r="L1406" s="2" t="s">
        <v>24</v>
      </c>
      <c r="M1406" s="2"/>
      <c r="N1406" s="2" t="s">
        <v>50</v>
      </c>
    </row>
    <row r="1407" spans="1:14" x14ac:dyDescent="0.25">
      <c r="A1407" s="2" t="s">
        <v>1175</v>
      </c>
      <c r="B1407" s="2" t="s">
        <v>1176</v>
      </c>
      <c r="C1407" s="2" t="s">
        <v>67</v>
      </c>
      <c r="D1407" s="2" t="s">
        <v>68</v>
      </c>
      <c r="E1407" s="2" t="s">
        <v>18</v>
      </c>
      <c r="F1407" s="2" t="s">
        <v>96</v>
      </c>
      <c r="G1407" s="2" t="s">
        <v>110</v>
      </c>
      <c r="H1407" s="2" t="s">
        <v>32</v>
      </c>
      <c r="I1407" s="2">
        <v>48</v>
      </c>
      <c r="J1407" s="2" t="s">
        <v>187</v>
      </c>
      <c r="K1407" s="2" t="s">
        <v>1177</v>
      </c>
      <c r="L1407" s="2" t="s">
        <v>92</v>
      </c>
      <c r="M1407" s="2"/>
      <c r="N1407" s="2"/>
    </row>
    <row r="1408" spans="1:14" x14ac:dyDescent="0.25">
      <c r="A1408" s="2" t="s">
        <v>3812</v>
      </c>
      <c r="B1408" s="2" t="s">
        <v>3813</v>
      </c>
      <c r="C1408" s="2" t="s">
        <v>16</v>
      </c>
      <c r="D1408" s="2" t="s">
        <v>17</v>
      </c>
      <c r="E1408" s="2" t="s">
        <v>18</v>
      </c>
      <c r="F1408" s="2" t="s">
        <v>47</v>
      </c>
      <c r="G1408" s="2" t="s">
        <v>110</v>
      </c>
      <c r="H1408" s="2" t="s">
        <v>21</v>
      </c>
      <c r="I1408" s="2">
        <v>24</v>
      </c>
      <c r="J1408" s="2" t="s">
        <v>75</v>
      </c>
      <c r="K1408" s="2" t="s">
        <v>3814</v>
      </c>
      <c r="L1408" s="2" t="s">
        <v>24</v>
      </c>
      <c r="M1408" s="2"/>
      <c r="N1408" s="2" t="s">
        <v>128</v>
      </c>
    </row>
    <row r="1409" spans="1:14" x14ac:dyDescent="0.25">
      <c r="A1409" s="2" t="s">
        <v>3815</v>
      </c>
      <c r="B1409" s="2" t="s">
        <v>3816</v>
      </c>
      <c r="C1409" s="2" t="s">
        <v>67</v>
      </c>
      <c r="D1409" s="2" t="s">
        <v>68</v>
      </c>
      <c r="E1409" s="2" t="s">
        <v>79</v>
      </c>
      <c r="F1409" s="2" t="s">
        <v>143</v>
      </c>
      <c r="G1409" s="2" t="s">
        <v>110</v>
      </c>
      <c r="H1409" s="2" t="s">
        <v>74</v>
      </c>
      <c r="I1409" s="2">
        <v>8</v>
      </c>
      <c r="J1409" s="2" t="s">
        <v>155</v>
      </c>
      <c r="K1409" s="2"/>
      <c r="L1409" s="2" t="s">
        <v>24</v>
      </c>
      <c r="M1409" s="2"/>
      <c r="N1409" s="2" t="s">
        <v>118</v>
      </c>
    </row>
    <row r="1410" spans="1:14" x14ac:dyDescent="0.25">
      <c r="A1410" s="2" t="s">
        <v>3817</v>
      </c>
      <c r="B1410" s="2" t="s">
        <v>3818</v>
      </c>
      <c r="C1410" s="2" t="s">
        <v>53</v>
      </c>
      <c r="D1410" s="2" t="s">
        <v>54</v>
      </c>
      <c r="E1410" s="2" t="s">
        <v>90</v>
      </c>
      <c r="F1410" s="2" t="s">
        <v>69</v>
      </c>
      <c r="G1410" s="2" t="s">
        <v>91</v>
      </c>
      <c r="H1410" s="2" t="s">
        <v>21</v>
      </c>
      <c r="I1410" s="2">
        <v>24</v>
      </c>
      <c r="J1410" s="2" t="s">
        <v>48</v>
      </c>
      <c r="K1410" s="2" t="s">
        <v>3819</v>
      </c>
      <c r="L1410" s="2" t="s">
        <v>24</v>
      </c>
      <c r="M1410" s="2">
        <v>1</v>
      </c>
      <c r="N1410" s="2" t="s">
        <v>50</v>
      </c>
    </row>
    <row r="1411" spans="1:14" x14ac:dyDescent="0.25">
      <c r="A1411" s="2" t="s">
        <v>3820</v>
      </c>
      <c r="B1411" s="2" t="s">
        <v>3821</v>
      </c>
      <c r="C1411" s="2" t="s">
        <v>67</v>
      </c>
      <c r="D1411" s="2" t="s">
        <v>68</v>
      </c>
      <c r="E1411" s="2" t="s">
        <v>79</v>
      </c>
      <c r="F1411" s="2" t="s">
        <v>143</v>
      </c>
      <c r="G1411" s="2" t="s">
        <v>91</v>
      </c>
      <c r="H1411" s="2" t="s">
        <v>74</v>
      </c>
      <c r="I1411" s="2">
        <v>8</v>
      </c>
      <c r="J1411" s="2" t="s">
        <v>48</v>
      </c>
      <c r="K1411" s="2" t="s">
        <v>3822</v>
      </c>
      <c r="L1411" s="2" t="s">
        <v>24</v>
      </c>
      <c r="M1411" s="2">
        <v>4</v>
      </c>
      <c r="N1411" s="2" t="s">
        <v>118</v>
      </c>
    </row>
    <row r="1412" spans="1:14" x14ac:dyDescent="0.25">
      <c r="A1412" s="2" t="s">
        <v>3823</v>
      </c>
      <c r="B1412" s="2" t="s">
        <v>3824</v>
      </c>
      <c r="C1412" s="2" t="s">
        <v>53</v>
      </c>
      <c r="D1412" s="2" t="s">
        <v>54</v>
      </c>
      <c r="E1412" s="2" t="s">
        <v>90</v>
      </c>
      <c r="F1412" s="2" t="s">
        <v>19</v>
      </c>
      <c r="G1412" s="2" t="s">
        <v>179</v>
      </c>
      <c r="H1412" s="2" t="s">
        <v>32</v>
      </c>
      <c r="I1412" s="2">
        <v>48</v>
      </c>
      <c r="J1412" s="2" t="s">
        <v>287</v>
      </c>
      <c r="K1412" s="2"/>
      <c r="L1412" s="2" t="s">
        <v>24</v>
      </c>
      <c r="M1412" s="2"/>
      <c r="N1412" s="2" t="s">
        <v>64</v>
      </c>
    </row>
    <row r="1413" spans="1:14" x14ac:dyDescent="0.25">
      <c r="A1413" s="2" t="s">
        <v>3825</v>
      </c>
      <c r="B1413" s="2" t="s">
        <v>3826</v>
      </c>
      <c r="C1413" s="2" t="s">
        <v>67</v>
      </c>
      <c r="D1413" s="2" t="s">
        <v>68</v>
      </c>
      <c r="E1413" s="2" t="s">
        <v>79</v>
      </c>
      <c r="F1413" s="2" t="s">
        <v>143</v>
      </c>
      <c r="G1413" s="2" t="s">
        <v>135</v>
      </c>
      <c r="H1413" s="2" t="s">
        <v>74</v>
      </c>
      <c r="I1413" s="2">
        <v>8</v>
      </c>
      <c r="J1413" s="2" t="s">
        <v>106</v>
      </c>
      <c r="K1413" s="2" t="s">
        <v>3827</v>
      </c>
      <c r="L1413" s="2" t="s">
        <v>24</v>
      </c>
      <c r="M1413" s="2">
        <v>5</v>
      </c>
      <c r="N1413" s="2" t="s">
        <v>128</v>
      </c>
    </row>
    <row r="1414" spans="1:14" x14ac:dyDescent="0.25">
      <c r="A1414" s="2" t="s">
        <v>3828</v>
      </c>
      <c r="B1414" s="2" t="s">
        <v>3829</v>
      </c>
      <c r="C1414" s="2" t="s">
        <v>53</v>
      </c>
      <c r="D1414" s="2" t="s">
        <v>54</v>
      </c>
      <c r="E1414" s="2" t="s">
        <v>18</v>
      </c>
      <c r="F1414" s="2" t="s">
        <v>39</v>
      </c>
      <c r="G1414" s="2" t="s">
        <v>70</v>
      </c>
      <c r="H1414" s="2" t="s">
        <v>32</v>
      </c>
      <c r="I1414" s="2">
        <v>48</v>
      </c>
      <c r="J1414" s="2" t="s">
        <v>106</v>
      </c>
      <c r="K1414" s="2" t="s">
        <v>3830</v>
      </c>
      <c r="L1414" s="2" t="s">
        <v>24</v>
      </c>
      <c r="M1414" s="2">
        <v>2</v>
      </c>
      <c r="N1414" s="2" t="s">
        <v>34</v>
      </c>
    </row>
    <row r="1415" spans="1:14" x14ac:dyDescent="0.25">
      <c r="A1415" s="2" t="s">
        <v>3831</v>
      </c>
      <c r="B1415" s="2" t="s">
        <v>3832</v>
      </c>
      <c r="C1415" s="2" t="s">
        <v>16</v>
      </c>
      <c r="D1415" s="2" t="s">
        <v>84</v>
      </c>
      <c r="E1415" s="2"/>
      <c r="F1415" s="2" t="s">
        <v>113</v>
      </c>
      <c r="G1415" s="2" t="s">
        <v>31</v>
      </c>
      <c r="H1415" s="2" t="s">
        <v>21</v>
      </c>
      <c r="I1415" s="2">
        <v>24</v>
      </c>
      <c r="J1415" s="2" t="s">
        <v>22</v>
      </c>
      <c r="K1415" s="2" t="s">
        <v>3833</v>
      </c>
      <c r="L1415" s="2" t="s">
        <v>24</v>
      </c>
      <c r="M1415" s="2">
        <v>5</v>
      </c>
      <c r="N1415" s="2" t="s">
        <v>58</v>
      </c>
    </row>
    <row r="1416" spans="1:14" x14ac:dyDescent="0.25">
      <c r="A1416" s="2" t="s">
        <v>3834</v>
      </c>
      <c r="B1416" s="2" t="s">
        <v>3835</v>
      </c>
      <c r="C1416" s="2" t="s">
        <v>28</v>
      </c>
      <c r="D1416" s="2" t="s">
        <v>37</v>
      </c>
      <c r="E1416" s="2" t="s">
        <v>90</v>
      </c>
      <c r="F1416" s="2" t="s">
        <v>39</v>
      </c>
      <c r="G1416" s="2" t="s">
        <v>121</v>
      </c>
      <c r="H1416" s="2" t="s">
        <v>21</v>
      </c>
      <c r="I1416" s="2">
        <v>24</v>
      </c>
      <c r="J1416" s="2" t="s">
        <v>41</v>
      </c>
      <c r="K1416" s="2" t="s">
        <v>3836</v>
      </c>
      <c r="L1416" s="2" t="s">
        <v>24</v>
      </c>
      <c r="M1416" s="2">
        <v>2</v>
      </c>
      <c r="N1416" s="2" t="s">
        <v>128</v>
      </c>
    </row>
    <row r="1417" spans="1:14" x14ac:dyDescent="0.25">
      <c r="A1417" s="2" t="s">
        <v>3837</v>
      </c>
      <c r="B1417" s="2" t="s">
        <v>3838</v>
      </c>
      <c r="C1417" s="2" t="s">
        <v>28</v>
      </c>
      <c r="D1417" s="2" t="s">
        <v>37</v>
      </c>
      <c r="E1417" s="2" t="s">
        <v>38</v>
      </c>
      <c r="F1417" s="2" t="s">
        <v>96</v>
      </c>
      <c r="G1417" s="2" t="s">
        <v>91</v>
      </c>
      <c r="H1417" s="2" t="s">
        <v>32</v>
      </c>
      <c r="I1417" s="2">
        <v>48</v>
      </c>
      <c r="J1417" s="2" t="s">
        <v>75</v>
      </c>
      <c r="K1417" s="2" t="s">
        <v>3839</v>
      </c>
      <c r="L1417" s="2" t="s">
        <v>24</v>
      </c>
      <c r="M1417" s="2">
        <v>3</v>
      </c>
      <c r="N1417" s="2" t="s">
        <v>118</v>
      </c>
    </row>
    <row r="1418" spans="1:14" x14ac:dyDescent="0.25">
      <c r="A1418" s="2" t="s">
        <v>3840</v>
      </c>
      <c r="B1418" s="2" t="s">
        <v>3841</v>
      </c>
      <c r="C1418" s="2" t="s">
        <v>16</v>
      </c>
      <c r="D1418" s="2" t="s">
        <v>84</v>
      </c>
      <c r="E1418" s="2" t="s">
        <v>85</v>
      </c>
      <c r="F1418" s="2" t="s">
        <v>96</v>
      </c>
      <c r="G1418" s="2" t="s">
        <v>91</v>
      </c>
      <c r="H1418" s="2" t="s">
        <v>21</v>
      </c>
      <c r="I1418" s="2">
        <v>24</v>
      </c>
      <c r="J1418" s="2" t="s">
        <v>56</v>
      </c>
      <c r="K1418" s="2"/>
      <c r="L1418" s="2" t="s">
        <v>24</v>
      </c>
      <c r="M1418" s="2"/>
      <c r="N1418" s="2"/>
    </row>
    <row r="1419" spans="1:14" x14ac:dyDescent="0.25">
      <c r="A1419" s="2" t="s">
        <v>3842</v>
      </c>
      <c r="B1419" s="2" t="s">
        <v>3843</v>
      </c>
      <c r="C1419" s="2" t="s">
        <v>67</v>
      </c>
      <c r="D1419" s="2" t="s">
        <v>95</v>
      </c>
      <c r="E1419" s="2" t="s">
        <v>85</v>
      </c>
      <c r="F1419" s="2" t="s">
        <v>62</v>
      </c>
      <c r="G1419" s="2" t="s">
        <v>97</v>
      </c>
      <c r="H1419" s="2" t="s">
        <v>21</v>
      </c>
      <c r="I1419" s="2">
        <v>24</v>
      </c>
      <c r="J1419" s="2" t="s">
        <v>145</v>
      </c>
      <c r="K1419" s="2"/>
      <c r="L1419" s="2" t="s">
        <v>24</v>
      </c>
      <c r="M1419" s="2"/>
      <c r="N1419" s="2" t="s">
        <v>128</v>
      </c>
    </row>
    <row r="1420" spans="1:14" x14ac:dyDescent="0.25">
      <c r="A1420" s="2" t="s">
        <v>3844</v>
      </c>
      <c r="B1420" s="2" t="s">
        <v>3845</v>
      </c>
      <c r="C1420" s="2" t="s">
        <v>53</v>
      </c>
      <c r="D1420" s="2" t="s">
        <v>54</v>
      </c>
      <c r="E1420" s="2" t="s">
        <v>90</v>
      </c>
      <c r="F1420" s="2" t="s">
        <v>131</v>
      </c>
      <c r="G1420" s="2" t="s">
        <v>135</v>
      </c>
      <c r="H1420" s="2" t="s">
        <v>21</v>
      </c>
      <c r="I1420" s="2">
        <v>24</v>
      </c>
      <c r="J1420" s="2" t="s">
        <v>75</v>
      </c>
      <c r="K1420" s="2" t="s">
        <v>3846</v>
      </c>
      <c r="L1420" s="2" t="s">
        <v>24</v>
      </c>
      <c r="M1420" s="2"/>
      <c r="N1420" s="2" t="s">
        <v>43</v>
      </c>
    </row>
    <row r="1421" spans="1:14" x14ac:dyDescent="0.25">
      <c r="A1421" s="2" t="s">
        <v>3847</v>
      </c>
      <c r="B1421" s="2" t="s">
        <v>3848</v>
      </c>
      <c r="C1421" s="2" t="s">
        <v>16</v>
      </c>
      <c r="D1421" s="2" t="s">
        <v>17</v>
      </c>
      <c r="E1421" s="2" t="s">
        <v>46</v>
      </c>
      <c r="F1421" s="2" t="s">
        <v>62</v>
      </c>
      <c r="G1421" s="2" t="s">
        <v>110</v>
      </c>
      <c r="H1421" s="2" t="s">
        <v>74</v>
      </c>
      <c r="I1421" s="2">
        <v>8</v>
      </c>
      <c r="J1421" s="2" t="s">
        <v>22</v>
      </c>
      <c r="K1421" s="2" t="s">
        <v>3849</v>
      </c>
      <c r="L1421" s="2" t="s">
        <v>24</v>
      </c>
      <c r="M1421" s="2">
        <v>1</v>
      </c>
      <c r="N1421" s="2"/>
    </row>
    <row r="1422" spans="1:14" x14ac:dyDescent="0.25">
      <c r="A1422" s="2" t="s">
        <v>3850</v>
      </c>
      <c r="B1422" s="2" t="s">
        <v>3851</v>
      </c>
      <c r="C1422" s="2" t="s">
        <v>53</v>
      </c>
      <c r="D1422" s="2" t="s">
        <v>54</v>
      </c>
      <c r="E1422" s="2" t="s">
        <v>148</v>
      </c>
      <c r="F1422" s="2" t="s">
        <v>113</v>
      </c>
      <c r="G1422" s="2" t="s">
        <v>144</v>
      </c>
      <c r="H1422" s="2" t="s">
        <v>21</v>
      </c>
      <c r="I1422" s="2">
        <v>24</v>
      </c>
      <c r="J1422" s="2" t="s">
        <v>75</v>
      </c>
      <c r="K1422" s="2"/>
      <c r="L1422" s="2" t="s">
        <v>24</v>
      </c>
      <c r="M1422" s="2">
        <v>4</v>
      </c>
      <c r="N1422" s="2" t="s">
        <v>118</v>
      </c>
    </row>
    <row r="1423" spans="1:14" x14ac:dyDescent="0.25">
      <c r="A1423" s="2" t="s">
        <v>3852</v>
      </c>
      <c r="B1423" s="2" t="s">
        <v>3853</v>
      </c>
      <c r="C1423" s="2" t="s">
        <v>53</v>
      </c>
      <c r="D1423" s="2" t="s">
        <v>61</v>
      </c>
      <c r="E1423" s="2" t="s">
        <v>90</v>
      </c>
      <c r="F1423" s="2" t="s">
        <v>131</v>
      </c>
      <c r="G1423" s="2" t="s">
        <v>105</v>
      </c>
      <c r="H1423" s="2" t="s">
        <v>74</v>
      </c>
      <c r="I1423" s="2">
        <v>8</v>
      </c>
      <c r="J1423" s="2" t="s">
        <v>22</v>
      </c>
      <c r="K1423" s="2" t="s">
        <v>3854</v>
      </c>
      <c r="L1423" s="2" t="s">
        <v>24</v>
      </c>
      <c r="M1423" s="2">
        <v>4</v>
      </c>
      <c r="N1423" s="2" t="s">
        <v>64</v>
      </c>
    </row>
    <row r="1424" spans="1:14" x14ac:dyDescent="0.25">
      <c r="A1424" s="2" t="s">
        <v>3855</v>
      </c>
      <c r="B1424" s="2" t="s">
        <v>3856</v>
      </c>
      <c r="C1424" s="2" t="s">
        <v>53</v>
      </c>
      <c r="D1424" s="2" t="s">
        <v>61</v>
      </c>
      <c r="E1424" s="2" t="s">
        <v>46</v>
      </c>
      <c r="F1424" s="2" t="s">
        <v>125</v>
      </c>
      <c r="G1424" s="2" t="s">
        <v>183</v>
      </c>
      <c r="H1424" s="2" t="s">
        <v>74</v>
      </c>
      <c r="I1424" s="2">
        <v>8</v>
      </c>
      <c r="J1424" s="2" t="s">
        <v>106</v>
      </c>
      <c r="K1424" s="2" t="s">
        <v>3857</v>
      </c>
      <c r="L1424" s="2" t="s">
        <v>24</v>
      </c>
      <c r="M1424" s="2"/>
      <c r="N1424" s="2" t="s">
        <v>34</v>
      </c>
    </row>
    <row r="1425" spans="1:14" x14ac:dyDescent="0.25">
      <c r="A1425" s="2" t="s">
        <v>3858</v>
      </c>
      <c r="B1425" s="2" t="s">
        <v>3859</v>
      </c>
      <c r="C1425" s="2" t="s">
        <v>53</v>
      </c>
      <c r="D1425" s="2" t="s">
        <v>61</v>
      </c>
      <c r="E1425" s="2" t="s">
        <v>18</v>
      </c>
      <c r="F1425" s="2" t="s">
        <v>19</v>
      </c>
      <c r="G1425" s="2" t="s">
        <v>105</v>
      </c>
      <c r="H1425" s="2" t="s">
        <v>74</v>
      </c>
      <c r="I1425" s="2">
        <v>8</v>
      </c>
      <c r="J1425" s="2" t="s">
        <v>41</v>
      </c>
      <c r="K1425" s="2" t="s">
        <v>3860</v>
      </c>
      <c r="L1425" s="2" t="s">
        <v>24</v>
      </c>
      <c r="M1425" s="2">
        <v>2</v>
      </c>
      <c r="N1425" s="2" t="s">
        <v>25</v>
      </c>
    </row>
    <row r="1426" spans="1:14" x14ac:dyDescent="0.25">
      <c r="A1426" s="2" t="s">
        <v>3861</v>
      </c>
      <c r="B1426" s="2" t="s">
        <v>3862</v>
      </c>
      <c r="C1426" s="2" t="s">
        <v>28</v>
      </c>
      <c r="D1426" s="2" t="s">
        <v>100</v>
      </c>
      <c r="E1426" s="2" t="s">
        <v>46</v>
      </c>
      <c r="F1426" s="2" t="s">
        <v>30</v>
      </c>
      <c r="G1426" s="2" t="s">
        <v>110</v>
      </c>
      <c r="H1426" s="2" t="s">
        <v>32</v>
      </c>
      <c r="I1426" s="2">
        <v>48</v>
      </c>
      <c r="J1426" s="2" t="s">
        <v>22</v>
      </c>
      <c r="K1426" s="2" t="s">
        <v>3863</v>
      </c>
      <c r="L1426" s="2" t="s">
        <v>24</v>
      </c>
      <c r="M1426" s="2">
        <v>5</v>
      </c>
      <c r="N1426" s="2" t="s">
        <v>118</v>
      </c>
    </row>
    <row r="1427" spans="1:14" x14ac:dyDescent="0.25">
      <c r="A1427" s="2" t="s">
        <v>3864</v>
      </c>
      <c r="B1427" s="2" t="s">
        <v>3865</v>
      </c>
      <c r="C1427" s="2" t="s">
        <v>16</v>
      </c>
      <c r="D1427" s="2" t="s">
        <v>84</v>
      </c>
      <c r="E1427" s="2" t="s">
        <v>18</v>
      </c>
      <c r="F1427" s="2" t="s">
        <v>125</v>
      </c>
      <c r="G1427" s="2" t="s">
        <v>70</v>
      </c>
      <c r="H1427" s="2" t="s">
        <v>21</v>
      </c>
      <c r="I1427" s="2">
        <v>24</v>
      </c>
      <c r="J1427" s="2" t="s">
        <v>106</v>
      </c>
      <c r="K1427" s="2" t="s">
        <v>3866</v>
      </c>
      <c r="L1427" s="2" t="s">
        <v>24</v>
      </c>
      <c r="M1427" s="2">
        <v>5</v>
      </c>
      <c r="N1427" s="2" t="s">
        <v>34</v>
      </c>
    </row>
    <row r="1428" spans="1:14" x14ac:dyDescent="0.25">
      <c r="A1428" s="2" t="s">
        <v>3867</v>
      </c>
      <c r="B1428" s="2" t="s">
        <v>3868</v>
      </c>
      <c r="C1428" s="2" t="s">
        <v>28</v>
      </c>
      <c r="D1428" s="2" t="s">
        <v>100</v>
      </c>
      <c r="E1428" s="2" t="s">
        <v>148</v>
      </c>
      <c r="F1428" s="2" t="s">
        <v>55</v>
      </c>
      <c r="G1428" s="2" t="s">
        <v>101</v>
      </c>
      <c r="H1428" s="2" t="s">
        <v>32</v>
      </c>
      <c r="I1428" s="2">
        <v>48</v>
      </c>
      <c r="J1428" s="2" t="s">
        <v>41</v>
      </c>
      <c r="K1428" s="2" t="s">
        <v>3869</v>
      </c>
      <c r="L1428" s="2" t="s">
        <v>24</v>
      </c>
      <c r="M1428" s="2">
        <v>2</v>
      </c>
      <c r="N1428" s="2" t="s">
        <v>64</v>
      </c>
    </row>
    <row r="1429" spans="1:14" x14ac:dyDescent="0.25">
      <c r="A1429" s="2" t="s">
        <v>3870</v>
      </c>
      <c r="B1429" s="2" t="s">
        <v>3871</v>
      </c>
      <c r="C1429" s="2" t="s">
        <v>28</v>
      </c>
      <c r="D1429" s="2" t="s">
        <v>37</v>
      </c>
      <c r="E1429" s="2" t="s">
        <v>46</v>
      </c>
      <c r="F1429" s="2" t="s">
        <v>69</v>
      </c>
      <c r="G1429" s="2" t="s">
        <v>31</v>
      </c>
      <c r="H1429" s="2" t="s">
        <v>80</v>
      </c>
      <c r="I1429" s="2">
        <v>4</v>
      </c>
      <c r="J1429" s="2" t="s">
        <v>106</v>
      </c>
      <c r="K1429" s="2" t="s">
        <v>3872</v>
      </c>
      <c r="L1429" s="2" t="s">
        <v>24</v>
      </c>
      <c r="M1429" s="2"/>
      <c r="N1429" s="2" t="s">
        <v>118</v>
      </c>
    </row>
    <row r="1430" spans="1:14" x14ac:dyDescent="0.25">
      <c r="A1430" s="2" t="s">
        <v>3873</v>
      </c>
      <c r="B1430" s="2" t="s">
        <v>3874</v>
      </c>
      <c r="C1430" s="2" t="s">
        <v>28</v>
      </c>
      <c r="D1430" s="2" t="s">
        <v>100</v>
      </c>
      <c r="E1430" s="2" t="s">
        <v>46</v>
      </c>
      <c r="F1430" s="2" t="s">
        <v>69</v>
      </c>
      <c r="G1430" s="2" t="s">
        <v>40</v>
      </c>
      <c r="H1430" s="2" t="s">
        <v>32</v>
      </c>
      <c r="I1430" s="2">
        <v>48</v>
      </c>
      <c r="J1430" s="2" t="s">
        <v>22</v>
      </c>
      <c r="K1430" s="2" t="s">
        <v>3875</v>
      </c>
      <c r="L1430" s="2" t="s">
        <v>24</v>
      </c>
      <c r="M1430" s="2"/>
      <c r="N1430" s="2" t="s">
        <v>43</v>
      </c>
    </row>
    <row r="1431" spans="1:14" x14ac:dyDescent="0.25">
      <c r="A1431" s="2" t="s">
        <v>3876</v>
      </c>
      <c r="B1431" s="2" t="s">
        <v>3877</v>
      </c>
      <c r="C1431" s="2" t="s">
        <v>16</v>
      </c>
      <c r="D1431" s="2" t="s">
        <v>84</v>
      </c>
      <c r="E1431" s="2" t="s">
        <v>38</v>
      </c>
      <c r="F1431" s="2" t="s">
        <v>47</v>
      </c>
      <c r="G1431" s="2" t="s">
        <v>183</v>
      </c>
      <c r="H1431" s="2" t="s">
        <v>21</v>
      </c>
      <c r="I1431" s="2">
        <v>24</v>
      </c>
      <c r="J1431" s="2" t="s">
        <v>41</v>
      </c>
      <c r="K1431" s="2" t="s">
        <v>3878</v>
      </c>
      <c r="L1431" s="2" t="s">
        <v>24</v>
      </c>
      <c r="M1431" s="2">
        <v>4</v>
      </c>
      <c r="N1431" s="2" t="s">
        <v>118</v>
      </c>
    </row>
    <row r="1432" spans="1:14" x14ac:dyDescent="0.25">
      <c r="A1432" s="2" t="s">
        <v>3879</v>
      </c>
      <c r="B1432" s="2" t="s">
        <v>3880</v>
      </c>
      <c r="C1432" s="2" t="s">
        <v>16</v>
      </c>
      <c r="D1432" s="2" t="s">
        <v>84</v>
      </c>
      <c r="E1432" s="2" t="s">
        <v>90</v>
      </c>
      <c r="F1432" s="2" t="s">
        <v>96</v>
      </c>
      <c r="G1432" s="2" t="s">
        <v>135</v>
      </c>
      <c r="H1432" s="2" t="s">
        <v>21</v>
      </c>
      <c r="I1432" s="2">
        <v>24</v>
      </c>
      <c r="J1432" s="2" t="s">
        <v>22</v>
      </c>
      <c r="K1432" s="2" t="s">
        <v>3881</v>
      </c>
      <c r="L1432" s="2" t="s">
        <v>24</v>
      </c>
      <c r="M1432" s="2">
        <v>3</v>
      </c>
      <c r="N1432" s="2"/>
    </row>
    <row r="1433" spans="1:14" x14ac:dyDescent="0.25">
      <c r="A1433" s="2" t="s">
        <v>3882</v>
      </c>
      <c r="B1433" s="2" t="s">
        <v>3883</v>
      </c>
      <c r="C1433" s="2" t="s">
        <v>16</v>
      </c>
      <c r="D1433" s="2" t="s">
        <v>17</v>
      </c>
      <c r="E1433" s="2" t="s">
        <v>18</v>
      </c>
      <c r="F1433" s="2" t="s">
        <v>125</v>
      </c>
      <c r="G1433" s="2" t="s">
        <v>97</v>
      </c>
      <c r="H1433" s="2" t="s">
        <v>21</v>
      </c>
      <c r="I1433" s="2">
        <v>24</v>
      </c>
      <c r="J1433" s="2" t="s">
        <v>187</v>
      </c>
      <c r="K1433" s="2" t="s">
        <v>3884</v>
      </c>
      <c r="L1433" s="2" t="s">
        <v>24</v>
      </c>
      <c r="M1433" s="2">
        <v>2</v>
      </c>
      <c r="N1433" s="2" t="s">
        <v>34</v>
      </c>
    </row>
    <row r="1434" spans="1:14" x14ac:dyDescent="0.25">
      <c r="A1434" s="2" t="s">
        <v>3885</v>
      </c>
      <c r="B1434" s="2" t="s">
        <v>3886</v>
      </c>
      <c r="C1434" s="2" t="s">
        <v>16</v>
      </c>
      <c r="D1434" s="2" t="s">
        <v>17</v>
      </c>
      <c r="E1434" s="2" t="s">
        <v>79</v>
      </c>
      <c r="F1434" s="2" t="s">
        <v>19</v>
      </c>
      <c r="G1434" s="2" t="s">
        <v>121</v>
      </c>
      <c r="H1434" s="2" t="s">
        <v>21</v>
      </c>
      <c r="I1434" s="2">
        <v>24</v>
      </c>
      <c r="J1434" s="2" t="s">
        <v>117</v>
      </c>
      <c r="K1434" s="2"/>
      <c r="L1434" s="2" t="s">
        <v>24</v>
      </c>
      <c r="M1434" s="2"/>
      <c r="N1434" s="2" t="s">
        <v>50</v>
      </c>
    </row>
    <row r="1435" spans="1:14" x14ac:dyDescent="0.25">
      <c r="A1435" s="2" t="s">
        <v>3887</v>
      </c>
      <c r="B1435" s="2" t="s">
        <v>3888</v>
      </c>
      <c r="C1435" s="2" t="s">
        <v>28</v>
      </c>
      <c r="D1435" s="2" t="s">
        <v>100</v>
      </c>
      <c r="E1435" s="2" t="s">
        <v>38</v>
      </c>
      <c r="F1435" s="2" t="s">
        <v>96</v>
      </c>
      <c r="G1435" s="2" t="s">
        <v>144</v>
      </c>
      <c r="H1435" s="2" t="s">
        <v>74</v>
      </c>
      <c r="I1435" s="2">
        <v>8</v>
      </c>
      <c r="J1435" s="2" t="s">
        <v>75</v>
      </c>
      <c r="K1435" s="2" t="s">
        <v>3889</v>
      </c>
      <c r="L1435" s="2" t="s">
        <v>24</v>
      </c>
      <c r="M1435" s="2">
        <v>4</v>
      </c>
      <c r="N1435" s="2" t="s">
        <v>128</v>
      </c>
    </row>
    <row r="1436" spans="1:14" x14ac:dyDescent="0.25">
      <c r="A1436" s="2" t="s">
        <v>3890</v>
      </c>
      <c r="B1436" s="2" t="s">
        <v>3891</v>
      </c>
      <c r="C1436" s="2" t="s">
        <v>53</v>
      </c>
      <c r="D1436" s="2" t="s">
        <v>61</v>
      </c>
      <c r="E1436" s="2" t="s">
        <v>79</v>
      </c>
      <c r="F1436" s="2" t="s">
        <v>19</v>
      </c>
      <c r="G1436" s="2" t="s">
        <v>183</v>
      </c>
      <c r="H1436" s="2" t="s">
        <v>32</v>
      </c>
      <c r="I1436" s="2">
        <v>48</v>
      </c>
      <c r="J1436" s="2" t="s">
        <v>232</v>
      </c>
      <c r="K1436" s="2"/>
      <c r="L1436" s="2" t="s">
        <v>92</v>
      </c>
      <c r="M1436" s="2"/>
      <c r="N1436" s="2" t="s">
        <v>128</v>
      </c>
    </row>
    <row r="1437" spans="1:14" x14ac:dyDescent="0.25">
      <c r="A1437" s="2" t="s">
        <v>3892</v>
      </c>
      <c r="B1437" s="2" t="s">
        <v>3893</v>
      </c>
      <c r="C1437" s="2" t="s">
        <v>53</v>
      </c>
      <c r="D1437" s="2" t="s">
        <v>61</v>
      </c>
      <c r="E1437" s="2" t="s">
        <v>90</v>
      </c>
      <c r="F1437" s="2" t="s">
        <v>131</v>
      </c>
      <c r="G1437" s="2" t="s">
        <v>135</v>
      </c>
      <c r="H1437" s="2" t="s">
        <v>32</v>
      </c>
      <c r="I1437" s="2">
        <v>48</v>
      </c>
      <c r="J1437" s="2" t="s">
        <v>56</v>
      </c>
      <c r="K1437" s="2" t="s">
        <v>3894</v>
      </c>
      <c r="L1437" s="2" t="s">
        <v>24</v>
      </c>
      <c r="M1437" s="2"/>
      <c r="N1437" s="2"/>
    </row>
    <row r="1438" spans="1:14" x14ac:dyDescent="0.25">
      <c r="A1438" s="2" t="s">
        <v>3895</v>
      </c>
      <c r="B1438" s="2" t="s">
        <v>3896</v>
      </c>
      <c r="C1438" s="2" t="s">
        <v>53</v>
      </c>
      <c r="D1438" s="2" t="s">
        <v>54</v>
      </c>
      <c r="E1438" s="2" t="s">
        <v>18</v>
      </c>
      <c r="F1438" s="2" t="s">
        <v>69</v>
      </c>
      <c r="G1438" s="2" t="s">
        <v>105</v>
      </c>
      <c r="H1438" s="2" t="s">
        <v>74</v>
      </c>
      <c r="I1438" s="2">
        <v>8</v>
      </c>
      <c r="J1438" s="2" t="s">
        <v>48</v>
      </c>
      <c r="K1438" s="2" t="s">
        <v>3897</v>
      </c>
      <c r="L1438" s="2" t="s">
        <v>24</v>
      </c>
      <c r="M1438" s="2">
        <v>5</v>
      </c>
      <c r="N1438" s="2" t="s">
        <v>25</v>
      </c>
    </row>
    <row r="1439" spans="1:14" x14ac:dyDescent="0.25">
      <c r="A1439" s="2" t="s">
        <v>3898</v>
      </c>
      <c r="B1439" s="2" t="s">
        <v>3899</v>
      </c>
      <c r="C1439" s="2" t="s">
        <v>67</v>
      </c>
      <c r="D1439" s="2" t="s">
        <v>68</v>
      </c>
      <c r="E1439" s="2" t="s">
        <v>148</v>
      </c>
      <c r="F1439" s="2" t="s">
        <v>96</v>
      </c>
      <c r="G1439" s="2" t="s">
        <v>211</v>
      </c>
      <c r="H1439" s="2" t="s">
        <v>74</v>
      </c>
      <c r="I1439" s="2">
        <v>8</v>
      </c>
      <c r="J1439" s="2" t="s">
        <v>41</v>
      </c>
      <c r="K1439" s="2" t="s">
        <v>3900</v>
      </c>
      <c r="L1439" s="2" t="s">
        <v>24</v>
      </c>
      <c r="M1439" s="2"/>
      <c r="N1439" s="2"/>
    </row>
    <row r="1440" spans="1:14" x14ac:dyDescent="0.25">
      <c r="A1440" s="2" t="s">
        <v>3901</v>
      </c>
      <c r="B1440" s="2" t="s">
        <v>3902</v>
      </c>
      <c r="C1440" s="2" t="s">
        <v>16</v>
      </c>
      <c r="D1440" s="2" t="s">
        <v>84</v>
      </c>
      <c r="E1440" s="2" t="s">
        <v>46</v>
      </c>
      <c r="F1440" s="2" t="s">
        <v>96</v>
      </c>
      <c r="G1440" s="2" t="s">
        <v>211</v>
      </c>
      <c r="H1440" s="2" t="s">
        <v>21</v>
      </c>
      <c r="I1440" s="2">
        <v>24</v>
      </c>
      <c r="J1440" s="2" t="s">
        <v>145</v>
      </c>
      <c r="K1440" s="2"/>
      <c r="L1440" s="2" t="s">
        <v>24</v>
      </c>
      <c r="M1440" s="2"/>
      <c r="N1440" s="2" t="s">
        <v>64</v>
      </c>
    </row>
    <row r="1441" spans="1:14" x14ac:dyDescent="0.25">
      <c r="A1441" s="2" t="s">
        <v>3903</v>
      </c>
      <c r="B1441" s="2" t="s">
        <v>3904</v>
      </c>
      <c r="C1441" s="2" t="s">
        <v>67</v>
      </c>
      <c r="D1441" s="2" t="s">
        <v>95</v>
      </c>
      <c r="E1441" s="2" t="s">
        <v>90</v>
      </c>
      <c r="F1441" s="2" t="s">
        <v>30</v>
      </c>
      <c r="G1441" s="2" t="s">
        <v>139</v>
      </c>
      <c r="H1441" s="2" t="s">
        <v>21</v>
      </c>
      <c r="I1441" s="2">
        <v>24</v>
      </c>
      <c r="J1441" s="2" t="s">
        <v>22</v>
      </c>
      <c r="K1441" s="2"/>
      <c r="L1441" s="2" t="s">
        <v>24</v>
      </c>
      <c r="M1441" s="2">
        <v>4</v>
      </c>
      <c r="N1441" s="2" t="s">
        <v>50</v>
      </c>
    </row>
    <row r="1442" spans="1:14" x14ac:dyDescent="0.25">
      <c r="A1442" s="2" t="s">
        <v>3905</v>
      </c>
      <c r="B1442" s="2" t="s">
        <v>3906</v>
      </c>
      <c r="C1442" s="2" t="s">
        <v>16</v>
      </c>
      <c r="D1442" s="2" t="s">
        <v>84</v>
      </c>
      <c r="E1442" s="2" t="s">
        <v>90</v>
      </c>
      <c r="F1442" s="2" t="s">
        <v>39</v>
      </c>
      <c r="G1442" s="2" t="s">
        <v>179</v>
      </c>
      <c r="H1442" s="2" t="s">
        <v>21</v>
      </c>
      <c r="I1442" s="2">
        <v>24</v>
      </c>
      <c r="J1442" s="2" t="s">
        <v>106</v>
      </c>
      <c r="K1442" s="2"/>
      <c r="L1442" s="2" t="s">
        <v>24</v>
      </c>
      <c r="M1442" s="2"/>
      <c r="N1442" s="2" t="s">
        <v>128</v>
      </c>
    </row>
    <row r="1443" spans="1:14" x14ac:dyDescent="0.25">
      <c r="A1443" s="2" t="s">
        <v>3907</v>
      </c>
      <c r="B1443" s="2" t="s">
        <v>3908</v>
      </c>
      <c r="C1443" s="2" t="s">
        <v>67</v>
      </c>
      <c r="D1443" s="2" t="s">
        <v>68</v>
      </c>
      <c r="E1443" s="2" t="s">
        <v>38</v>
      </c>
      <c r="F1443" s="2" t="s">
        <v>47</v>
      </c>
      <c r="G1443" s="2" t="s">
        <v>40</v>
      </c>
      <c r="H1443" s="2" t="s">
        <v>80</v>
      </c>
      <c r="I1443" s="2">
        <v>4</v>
      </c>
      <c r="J1443" s="2" t="s">
        <v>75</v>
      </c>
      <c r="K1443" s="2" t="s">
        <v>3909</v>
      </c>
      <c r="L1443" s="2" t="s">
        <v>24</v>
      </c>
      <c r="M1443" s="2">
        <v>5</v>
      </c>
      <c r="N1443" s="2" t="s">
        <v>118</v>
      </c>
    </row>
    <row r="1444" spans="1:14" x14ac:dyDescent="0.25">
      <c r="A1444" s="2" t="s">
        <v>3910</v>
      </c>
      <c r="B1444" s="2" t="s">
        <v>3911</v>
      </c>
      <c r="C1444" s="2" t="s">
        <v>28</v>
      </c>
      <c r="D1444" s="2" t="s">
        <v>100</v>
      </c>
      <c r="E1444" s="2" t="s">
        <v>46</v>
      </c>
      <c r="F1444" s="2" t="s">
        <v>96</v>
      </c>
      <c r="G1444" s="2" t="s">
        <v>97</v>
      </c>
      <c r="H1444" s="2" t="s">
        <v>80</v>
      </c>
      <c r="I1444" s="2">
        <v>4</v>
      </c>
      <c r="J1444" s="2" t="s">
        <v>200</v>
      </c>
      <c r="K1444" s="2"/>
      <c r="L1444" s="2" t="s">
        <v>92</v>
      </c>
      <c r="M1444" s="2"/>
      <c r="N1444" s="2" t="s">
        <v>118</v>
      </c>
    </row>
    <row r="1445" spans="1:14" x14ac:dyDescent="0.25">
      <c r="A1445" s="2" t="s">
        <v>3912</v>
      </c>
      <c r="B1445" s="2" t="s">
        <v>3913</v>
      </c>
      <c r="C1445" s="2" t="s">
        <v>67</v>
      </c>
      <c r="D1445" s="2" t="s">
        <v>601</v>
      </c>
      <c r="E1445" s="2" t="s">
        <v>79</v>
      </c>
      <c r="F1445" s="2" t="s">
        <v>19</v>
      </c>
      <c r="G1445" s="2" t="s">
        <v>31</v>
      </c>
      <c r="H1445" s="2" t="s">
        <v>32</v>
      </c>
      <c r="I1445" s="2">
        <v>48</v>
      </c>
      <c r="J1445" s="2" t="s">
        <v>75</v>
      </c>
      <c r="K1445" s="2" t="s">
        <v>3914</v>
      </c>
      <c r="L1445" s="2" t="s">
        <v>24</v>
      </c>
      <c r="M1445" s="2"/>
      <c r="N1445" s="2"/>
    </row>
    <row r="1446" spans="1:14" x14ac:dyDescent="0.25">
      <c r="A1446" s="2" t="s">
        <v>3915</v>
      </c>
      <c r="B1446" s="2" t="s">
        <v>3916</v>
      </c>
      <c r="C1446" s="2" t="s">
        <v>53</v>
      </c>
      <c r="D1446" s="2" t="s">
        <v>61</v>
      </c>
      <c r="E1446" s="2" t="s">
        <v>85</v>
      </c>
      <c r="F1446" s="2" t="s">
        <v>113</v>
      </c>
      <c r="G1446" s="2" t="s">
        <v>105</v>
      </c>
      <c r="H1446" s="2" t="s">
        <v>74</v>
      </c>
      <c r="I1446" s="2">
        <v>8</v>
      </c>
      <c r="J1446" s="2" t="s">
        <v>22</v>
      </c>
      <c r="K1446" s="2"/>
      <c r="L1446" s="2" t="s">
        <v>24</v>
      </c>
      <c r="M1446" s="2">
        <v>5</v>
      </c>
      <c r="N1446" s="2" t="s">
        <v>34</v>
      </c>
    </row>
    <row r="1447" spans="1:14" x14ac:dyDescent="0.25">
      <c r="A1447" s="2" t="s">
        <v>3917</v>
      </c>
      <c r="B1447" s="2" t="s">
        <v>3918</v>
      </c>
      <c r="C1447" s="2" t="s">
        <v>53</v>
      </c>
      <c r="D1447" s="2" t="s">
        <v>54</v>
      </c>
      <c r="E1447" s="2" t="s">
        <v>148</v>
      </c>
      <c r="F1447" s="2" t="s">
        <v>55</v>
      </c>
      <c r="G1447" s="2" t="s">
        <v>158</v>
      </c>
      <c r="H1447" s="2" t="s">
        <v>32</v>
      </c>
      <c r="I1447" s="2">
        <v>48</v>
      </c>
      <c r="J1447" s="2" t="s">
        <v>75</v>
      </c>
      <c r="K1447" s="2" t="s">
        <v>3919</v>
      </c>
      <c r="L1447" s="2" t="s">
        <v>24</v>
      </c>
      <c r="M1447" s="2">
        <v>4</v>
      </c>
      <c r="N1447" s="2" t="s">
        <v>34</v>
      </c>
    </row>
    <row r="1448" spans="1:14" x14ac:dyDescent="0.25">
      <c r="A1448" s="2" t="s">
        <v>3920</v>
      </c>
      <c r="B1448" s="2" t="s">
        <v>3921</v>
      </c>
      <c r="C1448" s="2" t="s">
        <v>67</v>
      </c>
      <c r="D1448" s="2" t="s">
        <v>95</v>
      </c>
      <c r="E1448" s="2" t="s">
        <v>79</v>
      </c>
      <c r="F1448" s="2" t="s">
        <v>19</v>
      </c>
      <c r="G1448" s="2" t="s">
        <v>20</v>
      </c>
      <c r="H1448" s="2" t="s">
        <v>74</v>
      </c>
      <c r="I1448" s="2">
        <v>8</v>
      </c>
      <c r="J1448" s="2" t="s">
        <v>287</v>
      </c>
      <c r="K1448" s="2"/>
      <c r="L1448" s="2" t="s">
        <v>24</v>
      </c>
      <c r="M1448" s="2"/>
      <c r="N1448" s="2" t="s">
        <v>58</v>
      </c>
    </row>
    <row r="1449" spans="1:14" x14ac:dyDescent="0.25">
      <c r="A1449" s="2" t="s">
        <v>3922</v>
      </c>
      <c r="B1449" s="2" t="s">
        <v>3923</v>
      </c>
      <c r="C1449" s="2" t="s">
        <v>67</v>
      </c>
      <c r="D1449" s="2" t="s">
        <v>89</v>
      </c>
      <c r="E1449" s="2" t="s">
        <v>148</v>
      </c>
      <c r="F1449" s="2" t="s">
        <v>30</v>
      </c>
      <c r="G1449" s="2" t="s">
        <v>105</v>
      </c>
      <c r="H1449" s="2" t="s">
        <v>21</v>
      </c>
      <c r="I1449" s="2">
        <v>24</v>
      </c>
      <c r="J1449" s="2" t="s">
        <v>11</v>
      </c>
      <c r="K1449" s="2"/>
      <c r="L1449" s="2" t="s">
        <v>92</v>
      </c>
      <c r="M1449" s="2"/>
      <c r="N1449" s="2" t="s">
        <v>58</v>
      </c>
    </row>
    <row r="1450" spans="1:14" x14ac:dyDescent="0.25">
      <c r="A1450" s="2" t="s">
        <v>3924</v>
      </c>
      <c r="B1450" s="2" t="s">
        <v>3925</v>
      </c>
      <c r="C1450" s="2" t="s">
        <v>28</v>
      </c>
      <c r="D1450" s="2" t="s">
        <v>37</v>
      </c>
      <c r="E1450" s="2" t="s">
        <v>148</v>
      </c>
      <c r="F1450" s="2" t="s">
        <v>113</v>
      </c>
      <c r="G1450" s="2" t="s">
        <v>121</v>
      </c>
      <c r="H1450" s="2" t="s">
        <v>80</v>
      </c>
      <c r="I1450" s="2">
        <v>4</v>
      </c>
      <c r="J1450" s="2" t="s">
        <v>106</v>
      </c>
      <c r="K1450" s="2" t="s">
        <v>3926</v>
      </c>
      <c r="L1450" s="2" t="s">
        <v>24</v>
      </c>
      <c r="M1450" s="2"/>
      <c r="N1450" s="2" t="s">
        <v>50</v>
      </c>
    </row>
    <row r="1451" spans="1:14" x14ac:dyDescent="0.25">
      <c r="A1451" s="2" t="s">
        <v>3927</v>
      </c>
      <c r="B1451" s="2" t="s">
        <v>3928</v>
      </c>
      <c r="C1451" s="2" t="s">
        <v>53</v>
      </c>
      <c r="D1451" s="2" t="s">
        <v>54</v>
      </c>
      <c r="E1451" s="2" t="s">
        <v>18</v>
      </c>
      <c r="F1451" s="2" t="s">
        <v>62</v>
      </c>
      <c r="G1451" s="2" t="s">
        <v>139</v>
      </c>
      <c r="H1451" s="2" t="s">
        <v>21</v>
      </c>
      <c r="I1451" s="2">
        <v>24</v>
      </c>
      <c r="J1451" s="2" t="s">
        <v>287</v>
      </c>
      <c r="K1451" s="2"/>
      <c r="L1451" s="2" t="s">
        <v>24</v>
      </c>
      <c r="M1451" s="2"/>
      <c r="N1451" s="2" t="s">
        <v>50</v>
      </c>
    </row>
    <row r="1452" spans="1:14" x14ac:dyDescent="0.25">
      <c r="A1452" s="2" t="s">
        <v>3929</v>
      </c>
      <c r="B1452" s="2" t="s">
        <v>3930</v>
      </c>
      <c r="C1452" s="2" t="s">
        <v>67</v>
      </c>
      <c r="D1452" s="2" t="s">
        <v>95</v>
      </c>
      <c r="E1452" s="2" t="s">
        <v>90</v>
      </c>
      <c r="F1452" s="2" t="s">
        <v>30</v>
      </c>
      <c r="G1452" s="2" t="s">
        <v>20</v>
      </c>
      <c r="H1452" s="2" t="s">
        <v>32</v>
      </c>
      <c r="I1452" s="2">
        <v>48</v>
      </c>
      <c r="J1452" s="2" t="s">
        <v>117</v>
      </c>
      <c r="K1452" s="2"/>
      <c r="L1452" s="2" t="s">
        <v>24</v>
      </c>
      <c r="M1452" s="2"/>
      <c r="N1452" s="2" t="s">
        <v>118</v>
      </c>
    </row>
    <row r="1453" spans="1:14" x14ac:dyDescent="0.25">
      <c r="A1453" s="2" t="s">
        <v>3931</v>
      </c>
      <c r="B1453" s="2" t="s">
        <v>3932</v>
      </c>
      <c r="C1453" s="2" t="s">
        <v>67</v>
      </c>
      <c r="D1453" s="2" t="s">
        <v>68</v>
      </c>
      <c r="E1453" s="2" t="s">
        <v>90</v>
      </c>
      <c r="F1453" s="2" t="s">
        <v>39</v>
      </c>
      <c r="G1453" s="2" t="s">
        <v>139</v>
      </c>
      <c r="H1453" s="2" t="s">
        <v>21</v>
      </c>
      <c r="I1453" s="2">
        <v>24</v>
      </c>
      <c r="J1453" s="2" t="s">
        <v>48</v>
      </c>
      <c r="K1453" s="2" t="s">
        <v>3933</v>
      </c>
      <c r="L1453" s="2" t="s">
        <v>24</v>
      </c>
      <c r="M1453" s="2"/>
      <c r="N1453" s="2" t="s">
        <v>50</v>
      </c>
    </row>
    <row r="1454" spans="1:14" x14ac:dyDescent="0.25">
      <c r="A1454" s="2" t="s">
        <v>3934</v>
      </c>
      <c r="B1454" s="2" t="s">
        <v>3935</v>
      </c>
      <c r="C1454" s="2" t="s">
        <v>53</v>
      </c>
      <c r="D1454" s="2" t="s">
        <v>54</v>
      </c>
      <c r="E1454" s="2" t="s">
        <v>38</v>
      </c>
      <c r="F1454" s="2" t="s">
        <v>125</v>
      </c>
      <c r="G1454" s="2" t="s">
        <v>179</v>
      </c>
      <c r="H1454" s="2" t="s">
        <v>80</v>
      </c>
      <c r="I1454" s="2">
        <v>4</v>
      </c>
      <c r="J1454" s="2" t="s">
        <v>106</v>
      </c>
      <c r="K1454" s="2" t="s">
        <v>3936</v>
      </c>
      <c r="L1454" s="2" t="s">
        <v>24</v>
      </c>
      <c r="M1454" s="2">
        <v>2</v>
      </c>
      <c r="N1454" s="2" t="s">
        <v>118</v>
      </c>
    </row>
    <row r="1455" spans="1:14" x14ac:dyDescent="0.25">
      <c r="A1455" s="2" t="s">
        <v>3937</v>
      </c>
      <c r="B1455" s="2" t="s">
        <v>3938</v>
      </c>
      <c r="C1455" s="2" t="s">
        <v>16</v>
      </c>
      <c r="D1455" s="2" t="s">
        <v>17</v>
      </c>
      <c r="E1455" s="2" t="s">
        <v>90</v>
      </c>
      <c r="F1455" s="2" t="s">
        <v>30</v>
      </c>
      <c r="G1455" s="2" t="s">
        <v>158</v>
      </c>
      <c r="H1455" s="2" t="s">
        <v>32</v>
      </c>
      <c r="I1455" s="2">
        <v>48</v>
      </c>
      <c r="J1455" s="2" t="s">
        <v>106</v>
      </c>
      <c r="K1455" s="2" t="s">
        <v>3939</v>
      </c>
      <c r="L1455" s="2" t="s">
        <v>24</v>
      </c>
      <c r="M1455" s="2"/>
      <c r="N1455" s="2"/>
    </row>
    <row r="1456" spans="1:14" x14ac:dyDescent="0.25">
      <c r="A1456" s="2" t="s">
        <v>3940</v>
      </c>
      <c r="B1456" s="2" t="s">
        <v>3941</v>
      </c>
      <c r="C1456" s="2" t="s">
        <v>28</v>
      </c>
      <c r="D1456" s="2" t="s">
        <v>37</v>
      </c>
      <c r="E1456" s="2" t="s">
        <v>79</v>
      </c>
      <c r="F1456" s="2" t="s">
        <v>143</v>
      </c>
      <c r="G1456" s="2" t="s">
        <v>70</v>
      </c>
      <c r="H1456" s="2" t="s">
        <v>32</v>
      </c>
      <c r="I1456" s="2">
        <v>48</v>
      </c>
      <c r="J1456" s="2" t="s">
        <v>287</v>
      </c>
      <c r="K1456" s="2"/>
      <c r="L1456" s="2" t="s">
        <v>24</v>
      </c>
      <c r="M1456" s="2"/>
      <c r="N1456" s="2" t="s">
        <v>64</v>
      </c>
    </row>
    <row r="1457" spans="1:14" x14ac:dyDescent="0.25">
      <c r="A1457" s="2" t="s">
        <v>3942</v>
      </c>
      <c r="B1457" s="2" t="s">
        <v>3943</v>
      </c>
      <c r="C1457" s="2" t="s">
        <v>28</v>
      </c>
      <c r="D1457" s="2" t="s">
        <v>100</v>
      </c>
      <c r="E1457" s="2" t="s">
        <v>46</v>
      </c>
      <c r="F1457" s="2" t="s">
        <v>69</v>
      </c>
      <c r="G1457" s="2" t="s">
        <v>110</v>
      </c>
      <c r="H1457" s="2" t="s">
        <v>32</v>
      </c>
      <c r="I1457" s="2">
        <v>48</v>
      </c>
      <c r="J1457" s="2" t="s">
        <v>22</v>
      </c>
      <c r="K1457" s="2" t="s">
        <v>3944</v>
      </c>
      <c r="L1457" s="2" t="s">
        <v>24</v>
      </c>
      <c r="M1457" s="2">
        <v>1</v>
      </c>
      <c r="N1457" s="2"/>
    </row>
    <row r="1458" spans="1:14" x14ac:dyDescent="0.25">
      <c r="A1458" s="2" t="s">
        <v>3945</v>
      </c>
      <c r="B1458" s="2" t="s">
        <v>3946</v>
      </c>
      <c r="C1458" s="2" t="s">
        <v>67</v>
      </c>
      <c r="D1458" s="2" t="s">
        <v>68</v>
      </c>
      <c r="E1458" s="2" t="s">
        <v>148</v>
      </c>
      <c r="F1458" s="2" t="s">
        <v>125</v>
      </c>
      <c r="G1458" s="2" t="s">
        <v>179</v>
      </c>
      <c r="H1458" s="2" t="s">
        <v>21</v>
      </c>
      <c r="I1458" s="2">
        <v>24</v>
      </c>
      <c r="J1458" s="2" t="s">
        <v>75</v>
      </c>
      <c r="K1458" s="2" t="s">
        <v>3947</v>
      </c>
      <c r="L1458" s="2" t="s">
        <v>92</v>
      </c>
      <c r="M1458" s="2">
        <v>4</v>
      </c>
      <c r="N1458" s="2" t="s">
        <v>58</v>
      </c>
    </row>
    <row r="1459" spans="1:14" x14ac:dyDescent="0.25">
      <c r="A1459" s="2" t="s">
        <v>3948</v>
      </c>
      <c r="B1459" s="2" t="s">
        <v>3949</v>
      </c>
      <c r="C1459" s="2" t="s">
        <v>67</v>
      </c>
      <c r="D1459" s="2" t="s">
        <v>95</v>
      </c>
      <c r="E1459" s="2" t="s">
        <v>85</v>
      </c>
      <c r="F1459" s="2" t="s">
        <v>39</v>
      </c>
      <c r="G1459" s="2" t="s">
        <v>158</v>
      </c>
      <c r="H1459" s="2" t="s">
        <v>32</v>
      </c>
      <c r="I1459" s="2">
        <v>48</v>
      </c>
      <c r="J1459" s="2" t="s">
        <v>200</v>
      </c>
      <c r="K1459" s="2"/>
      <c r="L1459" s="2" t="s">
        <v>92</v>
      </c>
      <c r="M1459" s="2"/>
      <c r="N1459" s="2" t="s">
        <v>50</v>
      </c>
    </row>
    <row r="1460" spans="1:14" x14ac:dyDescent="0.25">
      <c r="A1460" s="2" t="s">
        <v>3950</v>
      </c>
      <c r="B1460" s="2" t="s">
        <v>3951</v>
      </c>
      <c r="C1460" s="2" t="s">
        <v>28</v>
      </c>
      <c r="D1460" s="2" t="s">
        <v>37</v>
      </c>
      <c r="E1460" s="2" t="s">
        <v>85</v>
      </c>
      <c r="F1460" s="2" t="s">
        <v>69</v>
      </c>
      <c r="G1460" s="2" t="s">
        <v>20</v>
      </c>
      <c r="H1460" s="2" t="s">
        <v>32</v>
      </c>
      <c r="I1460" s="2">
        <v>48</v>
      </c>
      <c r="J1460" s="2" t="s">
        <v>41</v>
      </c>
      <c r="K1460" s="2" t="s">
        <v>3952</v>
      </c>
      <c r="L1460" s="2" t="s">
        <v>24</v>
      </c>
      <c r="M1460" s="2">
        <v>3</v>
      </c>
      <c r="N1460" s="2" t="s">
        <v>43</v>
      </c>
    </row>
    <row r="1461" spans="1:14" x14ac:dyDescent="0.25">
      <c r="A1461" s="2" t="s">
        <v>3953</v>
      </c>
      <c r="B1461" s="2" t="s">
        <v>3954</v>
      </c>
      <c r="C1461" s="2" t="s">
        <v>67</v>
      </c>
      <c r="D1461" s="2" t="s">
        <v>95</v>
      </c>
      <c r="E1461" s="2" t="s">
        <v>85</v>
      </c>
      <c r="F1461" s="2" t="s">
        <v>47</v>
      </c>
      <c r="G1461" s="2" t="s">
        <v>211</v>
      </c>
      <c r="H1461" s="2" t="s">
        <v>21</v>
      </c>
      <c r="I1461" s="2">
        <v>24</v>
      </c>
      <c r="J1461" s="2" t="s">
        <v>187</v>
      </c>
      <c r="K1461" s="2" t="s">
        <v>3955</v>
      </c>
      <c r="L1461" s="2" t="s">
        <v>24</v>
      </c>
      <c r="M1461" s="2">
        <v>4</v>
      </c>
      <c r="N1461" s="2"/>
    </row>
    <row r="1462" spans="1:14" x14ac:dyDescent="0.25">
      <c r="A1462" s="2" t="s">
        <v>3956</v>
      </c>
      <c r="B1462" s="2" t="s">
        <v>3957</v>
      </c>
      <c r="C1462" s="2" t="s">
        <v>67</v>
      </c>
      <c r="D1462" s="2" t="s">
        <v>68</v>
      </c>
      <c r="E1462" s="2" t="s">
        <v>90</v>
      </c>
      <c r="F1462" s="2" t="s">
        <v>47</v>
      </c>
      <c r="G1462" s="2" t="s">
        <v>101</v>
      </c>
      <c r="H1462" s="2" t="s">
        <v>32</v>
      </c>
      <c r="I1462" s="2">
        <v>48</v>
      </c>
      <c r="J1462" s="2" t="s">
        <v>41</v>
      </c>
      <c r="K1462" s="2" t="s">
        <v>3958</v>
      </c>
      <c r="L1462" s="2" t="s">
        <v>24</v>
      </c>
      <c r="M1462" s="2">
        <v>2</v>
      </c>
      <c r="N1462" s="2" t="s">
        <v>64</v>
      </c>
    </row>
    <row r="1463" spans="1:14" x14ac:dyDescent="0.25">
      <c r="A1463" s="2" t="s">
        <v>3959</v>
      </c>
      <c r="B1463" s="2" t="s">
        <v>3960</v>
      </c>
      <c r="C1463" s="2" t="s">
        <v>53</v>
      </c>
      <c r="D1463" s="2" t="s">
        <v>54</v>
      </c>
      <c r="E1463" s="2" t="s">
        <v>85</v>
      </c>
      <c r="F1463" s="2" t="s">
        <v>143</v>
      </c>
      <c r="G1463" s="2" t="s">
        <v>121</v>
      </c>
      <c r="H1463" s="2" t="s">
        <v>74</v>
      </c>
      <c r="I1463" s="2">
        <v>8</v>
      </c>
      <c r="J1463" s="2" t="s">
        <v>232</v>
      </c>
      <c r="K1463" s="2"/>
      <c r="L1463" s="2" t="s">
        <v>92</v>
      </c>
      <c r="M1463" s="2"/>
      <c r="N1463" s="2" t="s">
        <v>128</v>
      </c>
    </row>
    <row r="1464" spans="1:14" x14ac:dyDescent="0.25">
      <c r="A1464" s="2" t="s">
        <v>3961</v>
      </c>
      <c r="B1464" s="2" t="s">
        <v>3962</v>
      </c>
      <c r="C1464" s="2" t="s">
        <v>53</v>
      </c>
      <c r="D1464" s="2" t="s">
        <v>54</v>
      </c>
      <c r="E1464" s="2" t="s">
        <v>38</v>
      </c>
      <c r="F1464" s="2" t="s">
        <v>125</v>
      </c>
      <c r="G1464" s="2" t="s">
        <v>40</v>
      </c>
      <c r="H1464" s="2" t="s">
        <v>21</v>
      </c>
      <c r="I1464" s="2">
        <v>24</v>
      </c>
      <c r="J1464" s="2" t="s">
        <v>33</v>
      </c>
      <c r="K1464" s="2"/>
      <c r="L1464" s="2" t="s">
        <v>24</v>
      </c>
      <c r="M1464" s="2"/>
      <c r="N1464" s="2" t="s">
        <v>64</v>
      </c>
    </row>
    <row r="1465" spans="1:14" x14ac:dyDescent="0.25">
      <c r="A1465" s="2" t="s">
        <v>1487</v>
      </c>
      <c r="B1465" s="2" t="s">
        <v>1488</v>
      </c>
      <c r="C1465" s="2" t="s">
        <v>16</v>
      </c>
      <c r="D1465" s="2" t="s">
        <v>17</v>
      </c>
      <c r="E1465" s="2" t="s">
        <v>79</v>
      </c>
      <c r="F1465" s="2" t="s">
        <v>30</v>
      </c>
      <c r="G1465" s="2" t="s">
        <v>183</v>
      </c>
      <c r="H1465" s="2" t="s">
        <v>21</v>
      </c>
      <c r="I1465" s="2">
        <v>24</v>
      </c>
      <c r="J1465" s="2" t="s">
        <v>232</v>
      </c>
      <c r="K1465" s="2"/>
      <c r="L1465" s="2" t="s">
        <v>92</v>
      </c>
      <c r="M1465" s="2"/>
      <c r="N1465" s="2"/>
    </row>
    <row r="1466" spans="1:14" x14ac:dyDescent="0.25">
      <c r="A1466" s="2" t="s">
        <v>3963</v>
      </c>
      <c r="B1466" s="2" t="s">
        <v>3964</v>
      </c>
      <c r="C1466" s="2" t="s">
        <v>28</v>
      </c>
      <c r="D1466" s="2" t="s">
        <v>100</v>
      </c>
      <c r="E1466" s="2" t="s">
        <v>148</v>
      </c>
      <c r="F1466" s="2" t="s">
        <v>131</v>
      </c>
      <c r="G1466" s="2" t="s">
        <v>126</v>
      </c>
      <c r="H1466" s="2" t="s">
        <v>32</v>
      </c>
      <c r="I1466" s="2">
        <v>48</v>
      </c>
      <c r="J1466" s="2" t="s">
        <v>200</v>
      </c>
      <c r="K1466" s="2"/>
      <c r="L1466" s="2" t="s">
        <v>92</v>
      </c>
      <c r="M1466" s="2"/>
      <c r="N1466" s="2" t="s">
        <v>118</v>
      </c>
    </row>
    <row r="1467" spans="1:14" x14ac:dyDescent="0.25">
      <c r="A1467" s="2" t="s">
        <v>3965</v>
      </c>
      <c r="B1467" s="2" t="s">
        <v>3966</v>
      </c>
      <c r="C1467" s="2" t="s">
        <v>28</v>
      </c>
      <c r="D1467" s="2" t="s">
        <v>37</v>
      </c>
      <c r="E1467" s="2" t="s">
        <v>79</v>
      </c>
      <c r="F1467" s="2" t="s">
        <v>62</v>
      </c>
      <c r="G1467" s="2" t="s">
        <v>211</v>
      </c>
      <c r="H1467" s="2" t="s">
        <v>32</v>
      </c>
      <c r="I1467" s="2">
        <v>48</v>
      </c>
      <c r="J1467" s="2" t="s">
        <v>75</v>
      </c>
      <c r="K1467" s="2" t="s">
        <v>3967</v>
      </c>
      <c r="L1467" s="2" t="s">
        <v>92</v>
      </c>
      <c r="M1467" s="2">
        <v>2</v>
      </c>
      <c r="N1467" s="2" t="s">
        <v>64</v>
      </c>
    </row>
    <row r="1468" spans="1:14" x14ac:dyDescent="0.25">
      <c r="A1468" s="2" t="s">
        <v>3968</v>
      </c>
      <c r="B1468" s="2" t="s">
        <v>3969</v>
      </c>
      <c r="C1468" s="2" t="s">
        <v>28</v>
      </c>
      <c r="D1468" s="2" t="s">
        <v>37</v>
      </c>
      <c r="E1468" s="2" t="s">
        <v>18</v>
      </c>
      <c r="F1468" s="2" t="s">
        <v>131</v>
      </c>
      <c r="G1468" s="2" t="s">
        <v>121</v>
      </c>
      <c r="H1468" s="2" t="s">
        <v>21</v>
      </c>
      <c r="I1468" s="2">
        <v>24</v>
      </c>
      <c r="J1468" s="2" t="s">
        <v>187</v>
      </c>
      <c r="K1468" s="2" t="s">
        <v>3970</v>
      </c>
      <c r="L1468" s="2" t="s">
        <v>24</v>
      </c>
      <c r="M1468" s="2"/>
      <c r="N1468" s="2" t="s">
        <v>50</v>
      </c>
    </row>
    <row r="1469" spans="1:14" x14ac:dyDescent="0.25">
      <c r="A1469" s="2" t="s">
        <v>3971</v>
      </c>
      <c r="B1469" s="2" t="s">
        <v>3972</v>
      </c>
      <c r="C1469" s="2" t="s">
        <v>67</v>
      </c>
      <c r="D1469" s="2" t="s">
        <v>68</v>
      </c>
      <c r="E1469" s="2" t="s">
        <v>38</v>
      </c>
      <c r="F1469" s="2" t="s">
        <v>125</v>
      </c>
      <c r="G1469" s="2" t="s">
        <v>91</v>
      </c>
      <c r="H1469" s="2" t="s">
        <v>74</v>
      </c>
      <c r="I1469" s="2">
        <v>8</v>
      </c>
      <c r="J1469" s="2" t="s">
        <v>41</v>
      </c>
      <c r="K1469" s="2" t="s">
        <v>3973</v>
      </c>
      <c r="L1469" s="2" t="s">
        <v>24</v>
      </c>
      <c r="M1469" s="2"/>
      <c r="N1469" s="2"/>
    </row>
    <row r="1470" spans="1:14" x14ac:dyDescent="0.25">
      <c r="A1470" s="2" t="s">
        <v>3974</v>
      </c>
      <c r="B1470" s="2" t="s">
        <v>3975</v>
      </c>
      <c r="C1470" s="2" t="s">
        <v>67</v>
      </c>
      <c r="D1470" s="2" t="s">
        <v>68</v>
      </c>
      <c r="E1470" s="2" t="s">
        <v>148</v>
      </c>
      <c r="F1470" s="2" t="s">
        <v>96</v>
      </c>
      <c r="G1470" s="2" t="s">
        <v>158</v>
      </c>
      <c r="H1470" s="2" t="s">
        <v>32</v>
      </c>
      <c r="I1470" s="2">
        <v>48</v>
      </c>
      <c r="J1470" s="2" t="s">
        <v>200</v>
      </c>
      <c r="K1470" s="2"/>
      <c r="L1470" s="2" t="s">
        <v>92</v>
      </c>
      <c r="M1470" s="2"/>
      <c r="N1470" s="2" t="s">
        <v>50</v>
      </c>
    </row>
    <row r="1471" spans="1:14" x14ac:dyDescent="0.25">
      <c r="A1471" s="2" t="s">
        <v>3976</v>
      </c>
      <c r="B1471" s="2" t="s">
        <v>3977</v>
      </c>
      <c r="C1471" s="2" t="s">
        <v>67</v>
      </c>
      <c r="D1471" s="2" t="s">
        <v>68</v>
      </c>
      <c r="E1471" s="2" t="s">
        <v>46</v>
      </c>
      <c r="F1471" s="2" t="s">
        <v>47</v>
      </c>
      <c r="G1471" s="2" t="s">
        <v>158</v>
      </c>
      <c r="H1471" s="2" t="s">
        <v>21</v>
      </c>
      <c r="I1471" s="2">
        <v>24</v>
      </c>
      <c r="J1471" s="2" t="s">
        <v>33</v>
      </c>
      <c r="K1471" s="2"/>
      <c r="L1471" s="2" t="s">
        <v>24</v>
      </c>
      <c r="M1471" s="2"/>
      <c r="N1471" s="2"/>
    </row>
    <row r="1472" spans="1:14" x14ac:dyDescent="0.25">
      <c r="A1472" s="2" t="s">
        <v>3978</v>
      </c>
      <c r="B1472" s="2" t="s">
        <v>3979</v>
      </c>
      <c r="C1472" s="2" t="s">
        <v>28</v>
      </c>
      <c r="D1472" s="2" t="s">
        <v>37</v>
      </c>
      <c r="E1472" s="2" t="s">
        <v>38</v>
      </c>
      <c r="F1472" s="2" t="s">
        <v>96</v>
      </c>
      <c r="G1472" s="2" t="s">
        <v>158</v>
      </c>
      <c r="H1472" s="2" t="s">
        <v>32</v>
      </c>
      <c r="I1472" s="2">
        <v>48</v>
      </c>
      <c r="J1472" s="2" t="s">
        <v>117</v>
      </c>
      <c r="K1472" s="2"/>
      <c r="L1472" s="2" t="s">
        <v>24</v>
      </c>
      <c r="M1472" s="2"/>
      <c r="N1472" s="2" t="s">
        <v>58</v>
      </c>
    </row>
    <row r="1473" spans="1:14" x14ac:dyDescent="0.25">
      <c r="A1473" s="2" t="s">
        <v>3980</v>
      </c>
      <c r="B1473" s="2" t="s">
        <v>3981</v>
      </c>
      <c r="C1473" s="2" t="s">
        <v>67</v>
      </c>
      <c r="D1473" s="2" t="s">
        <v>95</v>
      </c>
      <c r="E1473" s="2" t="s">
        <v>38</v>
      </c>
      <c r="F1473" s="2" t="s">
        <v>39</v>
      </c>
      <c r="G1473" s="2" t="s">
        <v>126</v>
      </c>
      <c r="H1473" s="2" t="s">
        <v>21</v>
      </c>
      <c r="I1473" s="2">
        <v>24</v>
      </c>
      <c r="J1473" s="2" t="s">
        <v>486</v>
      </c>
      <c r="K1473" s="2" t="s">
        <v>3982</v>
      </c>
      <c r="L1473" s="2" t="s">
        <v>24</v>
      </c>
      <c r="M1473" s="2"/>
      <c r="N1473" s="2"/>
    </row>
    <row r="1474" spans="1:14" x14ac:dyDescent="0.25">
      <c r="A1474" s="2" t="s">
        <v>3983</v>
      </c>
      <c r="B1474" s="2" t="s">
        <v>3984</v>
      </c>
      <c r="C1474" s="2" t="s">
        <v>53</v>
      </c>
      <c r="D1474" s="2" t="s">
        <v>54</v>
      </c>
      <c r="E1474" s="2" t="s">
        <v>79</v>
      </c>
      <c r="F1474" s="2" t="s">
        <v>30</v>
      </c>
      <c r="G1474" s="2" t="s">
        <v>97</v>
      </c>
      <c r="H1474" s="2" t="s">
        <v>32</v>
      </c>
      <c r="I1474" s="2">
        <v>48</v>
      </c>
      <c r="J1474" s="2" t="s">
        <v>232</v>
      </c>
      <c r="K1474" s="2"/>
      <c r="L1474" s="2" t="s">
        <v>92</v>
      </c>
      <c r="M1474" s="2"/>
      <c r="N1474" s="2" t="s">
        <v>34</v>
      </c>
    </row>
    <row r="1475" spans="1:14" x14ac:dyDescent="0.25">
      <c r="A1475" s="2" t="s">
        <v>3985</v>
      </c>
      <c r="B1475" s="2" t="s">
        <v>3986</v>
      </c>
      <c r="C1475" s="2" t="s">
        <v>16</v>
      </c>
      <c r="D1475" s="2" t="s">
        <v>17</v>
      </c>
      <c r="E1475" s="2" t="s">
        <v>38</v>
      </c>
      <c r="F1475" s="2" t="s">
        <v>131</v>
      </c>
      <c r="G1475" s="2" t="s">
        <v>70</v>
      </c>
      <c r="H1475" s="2" t="s">
        <v>74</v>
      </c>
      <c r="I1475" s="2">
        <v>8</v>
      </c>
      <c r="J1475" s="2" t="s">
        <v>75</v>
      </c>
      <c r="K1475" s="2" t="s">
        <v>3987</v>
      </c>
      <c r="L1475" s="2" t="s">
        <v>24</v>
      </c>
      <c r="M1475" s="2">
        <v>5</v>
      </c>
      <c r="N1475" s="2" t="s">
        <v>128</v>
      </c>
    </row>
    <row r="1476" spans="1:14" x14ac:dyDescent="0.25">
      <c r="A1476" s="2" t="s">
        <v>3988</v>
      </c>
      <c r="B1476" s="2" t="s">
        <v>3989</v>
      </c>
      <c r="C1476" s="2" t="s">
        <v>53</v>
      </c>
      <c r="D1476" s="2" t="s">
        <v>61</v>
      </c>
      <c r="E1476" s="2" t="s">
        <v>38</v>
      </c>
      <c r="F1476" s="2" t="s">
        <v>96</v>
      </c>
      <c r="G1476" s="2" t="s">
        <v>20</v>
      </c>
      <c r="H1476" s="2" t="s">
        <v>21</v>
      </c>
      <c r="I1476" s="2">
        <v>24</v>
      </c>
      <c r="J1476" s="2" t="s">
        <v>33</v>
      </c>
      <c r="K1476" s="2"/>
      <c r="L1476" s="2" t="s">
        <v>24</v>
      </c>
      <c r="M1476" s="2"/>
      <c r="N1476" s="2"/>
    </row>
    <row r="1477" spans="1:14" x14ac:dyDescent="0.25">
      <c r="A1477" s="2" t="s">
        <v>3990</v>
      </c>
      <c r="B1477" s="2" t="s">
        <v>3991</v>
      </c>
      <c r="C1477" s="2" t="s">
        <v>67</v>
      </c>
      <c r="D1477" s="2" t="s">
        <v>95</v>
      </c>
      <c r="E1477" s="2" t="s">
        <v>46</v>
      </c>
      <c r="F1477" s="2" t="s">
        <v>69</v>
      </c>
      <c r="G1477" s="2" t="s">
        <v>126</v>
      </c>
      <c r="H1477" s="2" t="s">
        <v>74</v>
      </c>
      <c r="I1477" s="2">
        <v>8</v>
      </c>
      <c r="J1477" s="2" t="s">
        <v>41</v>
      </c>
      <c r="K1477" s="2" t="s">
        <v>3992</v>
      </c>
      <c r="L1477" s="2" t="s">
        <v>24</v>
      </c>
      <c r="M1477" s="2">
        <v>4</v>
      </c>
      <c r="N1477" s="2" t="s">
        <v>128</v>
      </c>
    </row>
    <row r="1478" spans="1:14" x14ac:dyDescent="0.25">
      <c r="A1478" s="2" t="s">
        <v>3993</v>
      </c>
      <c r="B1478" s="2" t="s">
        <v>3994</v>
      </c>
      <c r="C1478" s="2" t="s">
        <v>67</v>
      </c>
      <c r="D1478" s="2" t="s">
        <v>95</v>
      </c>
      <c r="E1478" s="2" t="s">
        <v>90</v>
      </c>
      <c r="F1478" s="2" t="s">
        <v>47</v>
      </c>
      <c r="G1478" s="2" t="s">
        <v>105</v>
      </c>
      <c r="H1478" s="2" t="s">
        <v>21</v>
      </c>
      <c r="I1478" s="2">
        <v>24</v>
      </c>
      <c r="J1478" s="2" t="s">
        <v>11</v>
      </c>
      <c r="K1478" s="2"/>
      <c r="L1478" s="2" t="s">
        <v>92</v>
      </c>
      <c r="M1478" s="2"/>
      <c r="N1478" s="2"/>
    </row>
    <row r="1479" spans="1:14" x14ac:dyDescent="0.25">
      <c r="A1479" s="2" t="s">
        <v>3995</v>
      </c>
      <c r="B1479" s="2" t="s">
        <v>3996</v>
      </c>
      <c r="C1479" s="2" t="s">
        <v>16</v>
      </c>
      <c r="D1479" s="2" t="s">
        <v>17</v>
      </c>
      <c r="E1479" s="2" t="s">
        <v>148</v>
      </c>
      <c r="F1479" s="2" t="s">
        <v>96</v>
      </c>
      <c r="G1479" s="2" t="s">
        <v>70</v>
      </c>
      <c r="H1479" s="2" t="s">
        <v>74</v>
      </c>
      <c r="I1479" s="2">
        <v>8</v>
      </c>
      <c r="J1479" s="2" t="s">
        <v>22</v>
      </c>
      <c r="K1479" s="2" t="s">
        <v>3997</v>
      </c>
      <c r="L1479" s="2" t="s">
        <v>24</v>
      </c>
      <c r="M1479" s="2">
        <v>5</v>
      </c>
      <c r="N1479" s="2" t="s">
        <v>118</v>
      </c>
    </row>
    <row r="1480" spans="1:14" x14ac:dyDescent="0.25">
      <c r="A1480" s="2" t="s">
        <v>3998</v>
      </c>
      <c r="B1480" s="2" t="s">
        <v>3999</v>
      </c>
      <c r="C1480" s="2" t="s">
        <v>53</v>
      </c>
      <c r="D1480" s="2" t="s">
        <v>61</v>
      </c>
      <c r="E1480" s="2" t="s">
        <v>148</v>
      </c>
      <c r="F1480" s="2" t="s">
        <v>55</v>
      </c>
      <c r="G1480" s="2" t="s">
        <v>179</v>
      </c>
      <c r="H1480" s="2" t="s">
        <v>74</v>
      </c>
      <c r="I1480" s="2">
        <v>8</v>
      </c>
      <c r="J1480" s="2" t="s">
        <v>106</v>
      </c>
      <c r="K1480" s="2" t="s">
        <v>4000</v>
      </c>
      <c r="L1480" s="2" t="s">
        <v>24</v>
      </c>
      <c r="M1480" s="2"/>
      <c r="N1480" s="2"/>
    </row>
    <row r="1481" spans="1:14" x14ac:dyDescent="0.25">
      <c r="A1481" s="2" t="s">
        <v>4001</v>
      </c>
      <c r="B1481" s="2" t="s">
        <v>4002</v>
      </c>
      <c r="C1481" s="2" t="s">
        <v>53</v>
      </c>
      <c r="D1481" s="2" t="s">
        <v>54</v>
      </c>
      <c r="E1481" s="2" t="s">
        <v>85</v>
      </c>
      <c r="F1481" s="2" t="s">
        <v>113</v>
      </c>
      <c r="G1481" s="2" t="s">
        <v>126</v>
      </c>
      <c r="H1481" s="2" t="s">
        <v>32</v>
      </c>
      <c r="I1481" s="2">
        <v>48</v>
      </c>
      <c r="J1481" s="2" t="s">
        <v>155</v>
      </c>
      <c r="K1481" s="2"/>
      <c r="L1481" s="2" t="s">
        <v>24</v>
      </c>
      <c r="M1481" s="2"/>
      <c r="N1481" s="2" t="s">
        <v>34</v>
      </c>
    </row>
    <row r="1482" spans="1:14" x14ac:dyDescent="0.25">
      <c r="A1482" s="2" t="s">
        <v>4003</v>
      </c>
      <c r="B1482" s="2" t="s">
        <v>4004</v>
      </c>
      <c r="C1482" s="2" t="s">
        <v>53</v>
      </c>
      <c r="D1482" s="2" t="s">
        <v>54</v>
      </c>
      <c r="E1482" s="2" t="s">
        <v>79</v>
      </c>
      <c r="F1482" s="2" t="s">
        <v>47</v>
      </c>
      <c r="G1482" s="2" t="s">
        <v>110</v>
      </c>
      <c r="H1482" s="2" t="s">
        <v>21</v>
      </c>
      <c r="I1482" s="2">
        <v>24</v>
      </c>
      <c r="J1482" s="2" t="s">
        <v>75</v>
      </c>
      <c r="K1482" s="2" t="s">
        <v>4005</v>
      </c>
      <c r="L1482" s="2" t="s">
        <v>24</v>
      </c>
      <c r="M1482" s="2">
        <v>5</v>
      </c>
      <c r="N1482" s="2" t="s">
        <v>43</v>
      </c>
    </row>
    <row r="1483" spans="1:14" x14ac:dyDescent="0.25">
      <c r="A1483" s="2" t="s">
        <v>4006</v>
      </c>
      <c r="B1483" s="2" t="s">
        <v>4007</v>
      </c>
      <c r="C1483" s="2" t="s">
        <v>28</v>
      </c>
      <c r="D1483" s="2" t="s">
        <v>100</v>
      </c>
      <c r="E1483" s="2" t="s">
        <v>85</v>
      </c>
      <c r="F1483" s="2" t="s">
        <v>62</v>
      </c>
      <c r="G1483" s="2" t="s">
        <v>40</v>
      </c>
      <c r="H1483" s="2" t="s">
        <v>32</v>
      </c>
      <c r="I1483" s="2">
        <v>48</v>
      </c>
      <c r="J1483" s="2" t="s">
        <v>200</v>
      </c>
      <c r="K1483" s="2"/>
      <c r="L1483" s="2" t="s">
        <v>92</v>
      </c>
      <c r="M1483" s="2"/>
      <c r="N1483" s="2" t="s">
        <v>34</v>
      </c>
    </row>
    <row r="1484" spans="1:14" x14ac:dyDescent="0.25">
      <c r="A1484" s="2" t="s">
        <v>4008</v>
      </c>
      <c r="B1484" s="2" t="s">
        <v>4009</v>
      </c>
      <c r="C1484" s="2" t="s">
        <v>67</v>
      </c>
      <c r="D1484" s="2" t="s">
        <v>68</v>
      </c>
      <c r="E1484" s="2" t="s">
        <v>85</v>
      </c>
      <c r="F1484" s="2" t="s">
        <v>62</v>
      </c>
      <c r="G1484" s="2" t="s">
        <v>121</v>
      </c>
      <c r="H1484" s="2" t="s">
        <v>32</v>
      </c>
      <c r="I1484" s="2">
        <v>48</v>
      </c>
      <c r="J1484" s="2" t="s">
        <v>41</v>
      </c>
      <c r="K1484" s="2" t="s">
        <v>4010</v>
      </c>
      <c r="L1484" s="2" t="s">
        <v>24</v>
      </c>
      <c r="M1484" s="2">
        <v>5</v>
      </c>
      <c r="N1484" s="2" t="s">
        <v>50</v>
      </c>
    </row>
    <row r="1485" spans="1:14" x14ac:dyDescent="0.25">
      <c r="A1485" s="2" t="s">
        <v>4011</v>
      </c>
      <c r="B1485" s="2" t="s">
        <v>4012</v>
      </c>
      <c r="C1485" s="2" t="s">
        <v>67</v>
      </c>
      <c r="D1485" s="2" t="s">
        <v>68</v>
      </c>
      <c r="E1485" s="2" t="s">
        <v>148</v>
      </c>
      <c r="F1485" s="2" t="s">
        <v>19</v>
      </c>
      <c r="G1485" s="2" t="s">
        <v>40</v>
      </c>
      <c r="H1485" s="2" t="s">
        <v>21</v>
      </c>
      <c r="I1485" s="2">
        <v>24</v>
      </c>
      <c r="J1485" s="2" t="s">
        <v>22</v>
      </c>
      <c r="K1485" s="2"/>
      <c r="L1485" s="2" t="s">
        <v>24</v>
      </c>
      <c r="M1485" s="2"/>
      <c r="N1485" s="2" t="s">
        <v>128</v>
      </c>
    </row>
    <row r="1486" spans="1:14" x14ac:dyDescent="0.25">
      <c r="A1486" s="2" t="s">
        <v>4013</v>
      </c>
      <c r="B1486" s="2" t="s">
        <v>4014</v>
      </c>
      <c r="C1486" s="2" t="s">
        <v>67</v>
      </c>
      <c r="D1486" s="2" t="s">
        <v>68</v>
      </c>
      <c r="E1486" s="2" t="s">
        <v>18</v>
      </c>
      <c r="F1486" s="2" t="s">
        <v>96</v>
      </c>
      <c r="G1486" s="2" t="s">
        <v>97</v>
      </c>
      <c r="H1486" s="2" t="s">
        <v>74</v>
      </c>
      <c r="I1486" s="2">
        <v>8</v>
      </c>
      <c r="J1486" s="2" t="s">
        <v>75</v>
      </c>
      <c r="K1486" s="2" t="s">
        <v>4015</v>
      </c>
      <c r="L1486" s="2" t="s">
        <v>24</v>
      </c>
      <c r="M1486" s="2"/>
      <c r="N1486" s="2" t="s">
        <v>50</v>
      </c>
    </row>
    <row r="1487" spans="1:14" x14ac:dyDescent="0.25">
      <c r="A1487" s="2" t="s">
        <v>4016</v>
      </c>
      <c r="B1487" s="2" t="s">
        <v>4017</v>
      </c>
      <c r="C1487" s="2" t="s">
        <v>53</v>
      </c>
      <c r="D1487" s="2" t="s">
        <v>54</v>
      </c>
      <c r="E1487" s="2" t="s">
        <v>38</v>
      </c>
      <c r="F1487" s="2" t="s">
        <v>143</v>
      </c>
      <c r="G1487" s="2" t="s">
        <v>135</v>
      </c>
      <c r="H1487" s="2" t="s">
        <v>32</v>
      </c>
      <c r="I1487" s="2">
        <v>48</v>
      </c>
      <c r="J1487" s="2" t="s">
        <v>41</v>
      </c>
      <c r="K1487" s="2" t="s">
        <v>4018</v>
      </c>
      <c r="L1487" s="2" t="s">
        <v>24</v>
      </c>
      <c r="M1487" s="2"/>
      <c r="N1487" s="2" t="s">
        <v>25</v>
      </c>
    </row>
    <row r="1488" spans="1:14" x14ac:dyDescent="0.25">
      <c r="A1488" s="2" t="s">
        <v>4019</v>
      </c>
      <c r="B1488" s="2" t="s">
        <v>4020</v>
      </c>
      <c r="C1488" s="2" t="s">
        <v>28</v>
      </c>
      <c r="D1488" s="2" t="s">
        <v>100</v>
      </c>
      <c r="E1488" s="2" t="s">
        <v>148</v>
      </c>
      <c r="F1488" s="2" t="s">
        <v>39</v>
      </c>
      <c r="G1488" s="2" t="s">
        <v>105</v>
      </c>
      <c r="H1488" s="2" t="s">
        <v>80</v>
      </c>
      <c r="I1488" s="2">
        <v>4</v>
      </c>
      <c r="J1488" s="2" t="s">
        <v>200</v>
      </c>
      <c r="K1488" s="2"/>
      <c r="L1488" s="2" t="s">
        <v>92</v>
      </c>
      <c r="M1488" s="2"/>
      <c r="N1488" s="2" t="s">
        <v>128</v>
      </c>
    </row>
    <row r="1489" spans="1:14" x14ac:dyDescent="0.25">
      <c r="A1489" s="2" t="s">
        <v>4021</v>
      </c>
      <c r="B1489" s="2" t="s">
        <v>4022</v>
      </c>
      <c r="C1489" s="2" t="s">
        <v>67</v>
      </c>
      <c r="D1489" s="2" t="s">
        <v>89</v>
      </c>
      <c r="E1489" s="2" t="s">
        <v>46</v>
      </c>
      <c r="F1489" s="2" t="s">
        <v>96</v>
      </c>
      <c r="G1489" s="2" t="s">
        <v>110</v>
      </c>
      <c r="H1489" s="2" t="s">
        <v>32</v>
      </c>
      <c r="I1489" s="2">
        <v>48</v>
      </c>
      <c r="J1489" s="2" t="s">
        <v>106</v>
      </c>
      <c r="K1489" s="2" t="s">
        <v>4023</v>
      </c>
      <c r="L1489" s="2" t="s">
        <v>24</v>
      </c>
      <c r="M1489" s="2"/>
      <c r="N1489" s="2" t="s">
        <v>50</v>
      </c>
    </row>
    <row r="1490" spans="1:14" x14ac:dyDescent="0.25">
      <c r="A1490" s="2" t="s">
        <v>4024</v>
      </c>
      <c r="B1490" s="2" t="s">
        <v>4025</v>
      </c>
      <c r="C1490" s="2" t="s">
        <v>53</v>
      </c>
      <c r="D1490" s="2" t="s">
        <v>61</v>
      </c>
      <c r="E1490" s="2" t="s">
        <v>79</v>
      </c>
      <c r="F1490" s="2" t="s">
        <v>69</v>
      </c>
      <c r="G1490" s="2" t="s">
        <v>20</v>
      </c>
      <c r="H1490" s="2" t="s">
        <v>32</v>
      </c>
      <c r="I1490" s="2">
        <v>48</v>
      </c>
      <c r="J1490" s="2" t="s">
        <v>22</v>
      </c>
      <c r="K1490" s="2" t="s">
        <v>4026</v>
      </c>
      <c r="L1490" s="2" t="s">
        <v>24</v>
      </c>
      <c r="M1490" s="2">
        <v>4</v>
      </c>
      <c r="N1490" s="2"/>
    </row>
    <row r="1491" spans="1:14" x14ac:dyDescent="0.25">
      <c r="A1491" s="2" t="s">
        <v>4027</v>
      </c>
      <c r="B1491" s="2" t="s">
        <v>4028</v>
      </c>
      <c r="C1491" s="2" t="s">
        <v>28</v>
      </c>
      <c r="D1491" s="2" t="s">
        <v>100</v>
      </c>
      <c r="E1491" s="2" t="s">
        <v>38</v>
      </c>
      <c r="F1491" s="2" t="s">
        <v>69</v>
      </c>
      <c r="G1491" s="2" t="s">
        <v>139</v>
      </c>
      <c r="H1491" s="2" t="s">
        <v>21</v>
      </c>
      <c r="I1491" s="2">
        <v>24</v>
      </c>
      <c r="J1491" s="2" t="s">
        <v>187</v>
      </c>
      <c r="K1491" s="2" t="s">
        <v>4029</v>
      </c>
      <c r="L1491" s="2" t="s">
        <v>24</v>
      </c>
      <c r="M1491" s="2"/>
      <c r="N1491" s="2"/>
    </row>
    <row r="1492" spans="1:14" x14ac:dyDescent="0.25">
      <c r="A1492" s="2" t="s">
        <v>4030</v>
      </c>
      <c r="B1492" s="2" t="s">
        <v>4031</v>
      </c>
      <c r="C1492" s="2" t="s">
        <v>16</v>
      </c>
      <c r="D1492" s="2" t="s">
        <v>84</v>
      </c>
      <c r="E1492" s="2" t="s">
        <v>46</v>
      </c>
      <c r="F1492" s="2" t="s">
        <v>113</v>
      </c>
      <c r="G1492" s="2" t="s">
        <v>91</v>
      </c>
      <c r="H1492" s="2" t="s">
        <v>32</v>
      </c>
      <c r="I1492" s="2">
        <v>48</v>
      </c>
      <c r="J1492" s="2" t="s">
        <v>22</v>
      </c>
      <c r="K1492" s="2" t="s">
        <v>4032</v>
      </c>
      <c r="L1492" s="2" t="s">
        <v>24</v>
      </c>
      <c r="M1492" s="2">
        <v>1</v>
      </c>
      <c r="N1492" s="2" t="s">
        <v>50</v>
      </c>
    </row>
    <row r="1493" spans="1:14" x14ac:dyDescent="0.25">
      <c r="A1493" s="2" t="s">
        <v>4033</v>
      </c>
      <c r="B1493" s="2" t="s">
        <v>4034</v>
      </c>
      <c r="C1493" s="2" t="s">
        <v>67</v>
      </c>
      <c r="D1493" s="2" t="s">
        <v>95</v>
      </c>
      <c r="E1493" s="2" t="s">
        <v>148</v>
      </c>
      <c r="F1493" s="2" t="s">
        <v>30</v>
      </c>
      <c r="G1493" s="2" t="s">
        <v>183</v>
      </c>
      <c r="H1493" s="2" t="s">
        <v>21</v>
      </c>
      <c r="I1493" s="2">
        <v>24</v>
      </c>
      <c r="J1493" s="2" t="s">
        <v>117</v>
      </c>
      <c r="K1493" s="2"/>
      <c r="L1493" s="2" t="s">
        <v>24</v>
      </c>
      <c r="M1493" s="2"/>
      <c r="N1493" s="2" t="s">
        <v>34</v>
      </c>
    </row>
    <row r="1494" spans="1:14" x14ac:dyDescent="0.25">
      <c r="A1494" s="2" t="s">
        <v>4035</v>
      </c>
      <c r="B1494" s="2" t="s">
        <v>4036</v>
      </c>
      <c r="C1494" s="2" t="s">
        <v>67</v>
      </c>
      <c r="D1494" s="2" t="s">
        <v>89</v>
      </c>
      <c r="E1494" s="2" t="s">
        <v>148</v>
      </c>
      <c r="F1494" s="2" t="s">
        <v>96</v>
      </c>
      <c r="G1494" s="2" t="s">
        <v>183</v>
      </c>
      <c r="H1494" s="2" t="s">
        <v>32</v>
      </c>
      <c r="I1494" s="2">
        <v>48</v>
      </c>
      <c r="J1494" s="2" t="s">
        <v>200</v>
      </c>
      <c r="K1494" s="2"/>
      <c r="L1494" s="2" t="s">
        <v>92</v>
      </c>
      <c r="M1494" s="2"/>
      <c r="N1494" s="2" t="s">
        <v>58</v>
      </c>
    </row>
    <row r="1495" spans="1:14" x14ac:dyDescent="0.25">
      <c r="A1495" s="2" t="s">
        <v>4037</v>
      </c>
      <c r="B1495" s="2" t="s">
        <v>4038</v>
      </c>
      <c r="C1495" s="2" t="s">
        <v>67</v>
      </c>
      <c r="D1495" s="2" t="s">
        <v>95</v>
      </c>
      <c r="E1495" s="2" t="s">
        <v>148</v>
      </c>
      <c r="F1495" s="2" t="s">
        <v>39</v>
      </c>
      <c r="G1495" s="2" t="s">
        <v>31</v>
      </c>
      <c r="H1495" s="2" t="s">
        <v>32</v>
      </c>
      <c r="I1495" s="2">
        <v>48</v>
      </c>
      <c r="J1495" s="2" t="s">
        <v>41</v>
      </c>
      <c r="K1495" s="2" t="s">
        <v>4039</v>
      </c>
      <c r="L1495" s="2" t="s">
        <v>92</v>
      </c>
      <c r="M1495" s="2">
        <v>2</v>
      </c>
      <c r="N1495" s="2" t="s">
        <v>58</v>
      </c>
    </row>
    <row r="1496" spans="1:14" x14ac:dyDescent="0.25">
      <c r="A1496" s="2" t="s">
        <v>4040</v>
      </c>
      <c r="B1496" s="2" t="s">
        <v>4041</v>
      </c>
      <c r="C1496" s="2" t="s">
        <v>16</v>
      </c>
      <c r="D1496" s="2" t="s">
        <v>17</v>
      </c>
      <c r="E1496" s="2" t="s">
        <v>79</v>
      </c>
      <c r="F1496" s="2" t="s">
        <v>69</v>
      </c>
      <c r="G1496" s="2" t="s">
        <v>158</v>
      </c>
      <c r="H1496" s="2" t="s">
        <v>74</v>
      </c>
      <c r="I1496" s="2">
        <v>8</v>
      </c>
      <c r="J1496" s="2" t="s">
        <v>22</v>
      </c>
      <c r="K1496" s="2" t="s">
        <v>4042</v>
      </c>
      <c r="L1496" s="2" t="s">
        <v>92</v>
      </c>
      <c r="M1496" s="2">
        <v>2</v>
      </c>
      <c r="N1496" s="2" t="s">
        <v>50</v>
      </c>
    </row>
    <row r="1497" spans="1:14" x14ac:dyDescent="0.25">
      <c r="A1497" s="2" t="s">
        <v>4043</v>
      </c>
      <c r="B1497" s="2" t="s">
        <v>4044</v>
      </c>
      <c r="C1497" s="2" t="s">
        <v>67</v>
      </c>
      <c r="D1497" s="2" t="s">
        <v>68</v>
      </c>
      <c r="E1497" s="2" t="s">
        <v>46</v>
      </c>
      <c r="F1497" s="2" t="s">
        <v>131</v>
      </c>
      <c r="G1497" s="2" t="s">
        <v>183</v>
      </c>
      <c r="H1497" s="2" t="s">
        <v>21</v>
      </c>
      <c r="I1497" s="2">
        <v>24</v>
      </c>
      <c r="J1497" s="2" t="s">
        <v>232</v>
      </c>
      <c r="K1497" s="2"/>
      <c r="L1497" s="2" t="s">
        <v>92</v>
      </c>
      <c r="M1497" s="2"/>
      <c r="N1497" s="2"/>
    </row>
    <row r="1498" spans="1:14" x14ac:dyDescent="0.25">
      <c r="A1498" s="2" t="s">
        <v>4045</v>
      </c>
      <c r="B1498" s="2" t="s">
        <v>4046</v>
      </c>
      <c r="C1498" s="2" t="s">
        <v>53</v>
      </c>
      <c r="D1498" s="2" t="s">
        <v>61</v>
      </c>
      <c r="E1498" s="2" t="s">
        <v>90</v>
      </c>
      <c r="F1498" s="2" t="s">
        <v>30</v>
      </c>
      <c r="G1498" s="2" t="s">
        <v>121</v>
      </c>
      <c r="H1498" s="2" t="s">
        <v>21</v>
      </c>
      <c r="I1498" s="2">
        <v>24</v>
      </c>
      <c r="J1498" s="2" t="s">
        <v>117</v>
      </c>
      <c r="K1498" s="2"/>
      <c r="L1498" s="2" t="s">
        <v>24</v>
      </c>
      <c r="M1498" s="2"/>
      <c r="N1498" s="2" t="s">
        <v>58</v>
      </c>
    </row>
    <row r="1499" spans="1:14" x14ac:dyDescent="0.25">
      <c r="A1499" s="2" t="s">
        <v>4047</v>
      </c>
      <c r="B1499" s="2" t="s">
        <v>4048</v>
      </c>
      <c r="C1499" s="2" t="s">
        <v>28</v>
      </c>
      <c r="D1499" s="2" t="s">
        <v>37</v>
      </c>
      <c r="E1499" s="2" t="s">
        <v>46</v>
      </c>
      <c r="F1499" s="2" t="s">
        <v>131</v>
      </c>
      <c r="G1499" s="2" t="s">
        <v>31</v>
      </c>
      <c r="H1499" s="2" t="s">
        <v>32</v>
      </c>
      <c r="I1499" s="2">
        <v>48</v>
      </c>
      <c r="J1499" s="2" t="s">
        <v>155</v>
      </c>
      <c r="K1499" s="2"/>
      <c r="L1499" s="2" t="s">
        <v>24</v>
      </c>
      <c r="M1499" s="2"/>
      <c r="N1499" s="2"/>
    </row>
    <row r="1500" spans="1:14" x14ac:dyDescent="0.25">
      <c r="A1500" s="2" t="s">
        <v>4049</v>
      </c>
      <c r="B1500" s="2" t="s">
        <v>4050</v>
      </c>
      <c r="C1500" s="2" t="s">
        <v>53</v>
      </c>
      <c r="D1500" s="2" t="s">
        <v>61</v>
      </c>
      <c r="E1500" s="2" t="s">
        <v>46</v>
      </c>
      <c r="F1500" s="2" t="s">
        <v>143</v>
      </c>
      <c r="G1500" s="2" t="s">
        <v>70</v>
      </c>
      <c r="H1500" s="2" t="s">
        <v>21</v>
      </c>
      <c r="I1500" s="2">
        <v>24</v>
      </c>
      <c r="J1500" s="2" t="s">
        <v>155</v>
      </c>
      <c r="K1500" s="2"/>
      <c r="L1500" s="2" t="s">
        <v>24</v>
      </c>
      <c r="M1500" s="2"/>
      <c r="N1500" s="2"/>
    </row>
    <row r="1501" spans="1:14" x14ac:dyDescent="0.25">
      <c r="A1501" s="2" t="s">
        <v>4051</v>
      </c>
      <c r="B1501" s="2" t="s">
        <v>4052</v>
      </c>
      <c r="C1501" s="2" t="s">
        <v>67</v>
      </c>
      <c r="D1501" s="2" t="s">
        <v>95</v>
      </c>
      <c r="E1501" s="2" t="s">
        <v>38</v>
      </c>
      <c r="F1501" s="2" t="s">
        <v>125</v>
      </c>
      <c r="G1501" s="2" t="s">
        <v>105</v>
      </c>
      <c r="H1501" s="2" t="s">
        <v>74</v>
      </c>
      <c r="I1501" s="2">
        <v>8</v>
      </c>
      <c r="J1501" s="2" t="s">
        <v>187</v>
      </c>
      <c r="K1501" s="2" t="s">
        <v>4053</v>
      </c>
      <c r="L1501" s="2" t="s">
        <v>24</v>
      </c>
      <c r="M1501" s="2">
        <v>4</v>
      </c>
      <c r="N1501" s="2" t="s">
        <v>64</v>
      </c>
    </row>
    <row r="1502" spans="1:14" x14ac:dyDescent="0.25">
      <c r="A1502" s="2" t="s">
        <v>4054</v>
      </c>
      <c r="B1502" s="2" t="s">
        <v>4055</v>
      </c>
      <c r="C1502" s="2" t="s">
        <v>53</v>
      </c>
      <c r="D1502" s="2" t="s">
        <v>771</v>
      </c>
      <c r="E1502" s="2" t="s">
        <v>46</v>
      </c>
      <c r="F1502" s="2" t="s">
        <v>96</v>
      </c>
      <c r="G1502" s="2" t="s">
        <v>183</v>
      </c>
      <c r="H1502" s="2" t="s">
        <v>21</v>
      </c>
      <c r="I1502" s="2">
        <v>24</v>
      </c>
      <c r="J1502" s="2" t="s">
        <v>48</v>
      </c>
      <c r="K1502" s="2" t="s">
        <v>4056</v>
      </c>
      <c r="L1502" s="2" t="s">
        <v>24</v>
      </c>
      <c r="M1502" s="2">
        <v>2</v>
      </c>
      <c r="N1502" s="2" t="s">
        <v>50</v>
      </c>
    </row>
    <row r="1503" spans="1:14" x14ac:dyDescent="0.25">
      <c r="A1503" s="2" t="s">
        <v>4057</v>
      </c>
      <c r="B1503" s="2" t="s">
        <v>4058</v>
      </c>
      <c r="C1503" s="2" t="s">
        <v>16</v>
      </c>
      <c r="D1503" s="2" t="s">
        <v>17</v>
      </c>
      <c r="E1503" s="2" t="s">
        <v>18</v>
      </c>
      <c r="F1503" s="2" t="s">
        <v>55</v>
      </c>
      <c r="G1503" s="2" t="s">
        <v>101</v>
      </c>
      <c r="H1503" s="2" t="s">
        <v>21</v>
      </c>
      <c r="I1503" s="2">
        <v>24</v>
      </c>
      <c r="J1503" s="2" t="s">
        <v>155</v>
      </c>
      <c r="K1503" s="2"/>
      <c r="L1503" s="2" t="s">
        <v>24</v>
      </c>
      <c r="M1503" s="2"/>
      <c r="N1503" s="2" t="s">
        <v>128</v>
      </c>
    </row>
    <row r="1504" spans="1:14" x14ac:dyDescent="0.25">
      <c r="A1504" s="2" t="s">
        <v>4059</v>
      </c>
      <c r="B1504" s="2" t="s">
        <v>4060</v>
      </c>
      <c r="C1504" s="2" t="s">
        <v>53</v>
      </c>
      <c r="D1504" s="2" t="s">
        <v>54</v>
      </c>
      <c r="E1504" s="2" t="s">
        <v>38</v>
      </c>
      <c r="F1504" s="2" t="s">
        <v>96</v>
      </c>
      <c r="G1504" s="2" t="s">
        <v>126</v>
      </c>
      <c r="H1504" s="2" t="s">
        <v>74</v>
      </c>
      <c r="I1504" s="2">
        <v>8</v>
      </c>
      <c r="J1504" s="2" t="s">
        <v>106</v>
      </c>
      <c r="K1504" s="2" t="s">
        <v>4061</v>
      </c>
      <c r="L1504" s="2" t="s">
        <v>24</v>
      </c>
      <c r="M1504" s="2">
        <v>3</v>
      </c>
      <c r="N1504" s="2"/>
    </row>
    <row r="1505" spans="1:14" x14ac:dyDescent="0.25">
      <c r="A1505" s="2" t="s">
        <v>4062</v>
      </c>
      <c r="B1505" s="2" t="s">
        <v>4063</v>
      </c>
      <c r="C1505" s="2" t="s">
        <v>53</v>
      </c>
      <c r="D1505" s="2" t="s">
        <v>54</v>
      </c>
      <c r="E1505" s="2" t="s">
        <v>148</v>
      </c>
      <c r="F1505" s="2" t="s">
        <v>143</v>
      </c>
      <c r="G1505" s="2" t="s">
        <v>105</v>
      </c>
      <c r="H1505" s="2" t="s">
        <v>80</v>
      </c>
      <c r="I1505" s="2">
        <v>4</v>
      </c>
      <c r="J1505" s="2" t="s">
        <v>287</v>
      </c>
      <c r="K1505" s="2"/>
      <c r="L1505" s="2" t="s">
        <v>24</v>
      </c>
      <c r="M1505" s="2"/>
      <c r="N1505" s="2" t="s">
        <v>43</v>
      </c>
    </row>
    <row r="1506" spans="1:14" x14ac:dyDescent="0.25">
      <c r="A1506" s="2" t="s">
        <v>4064</v>
      </c>
      <c r="B1506" s="2" t="s">
        <v>4065</v>
      </c>
      <c r="C1506" s="2" t="s">
        <v>67</v>
      </c>
      <c r="D1506" s="2" t="s">
        <v>601</v>
      </c>
      <c r="E1506" s="2" t="s">
        <v>38</v>
      </c>
      <c r="F1506" s="2" t="s">
        <v>47</v>
      </c>
      <c r="G1506" s="2" t="s">
        <v>91</v>
      </c>
      <c r="H1506" s="2" t="s">
        <v>21</v>
      </c>
      <c r="I1506" s="2">
        <v>24</v>
      </c>
      <c r="J1506" s="2" t="s">
        <v>106</v>
      </c>
      <c r="K1506" s="2" t="s">
        <v>4066</v>
      </c>
      <c r="L1506" s="2" t="s">
        <v>24</v>
      </c>
      <c r="M1506" s="2">
        <v>4</v>
      </c>
      <c r="N1506" s="2" t="s">
        <v>25</v>
      </c>
    </row>
    <row r="1507" spans="1:14" x14ac:dyDescent="0.25">
      <c r="A1507" s="2" t="s">
        <v>4067</v>
      </c>
      <c r="B1507" s="2" t="s">
        <v>4068</v>
      </c>
      <c r="C1507" s="2" t="s">
        <v>53</v>
      </c>
      <c r="D1507" s="2" t="s">
        <v>54</v>
      </c>
      <c r="E1507" s="2" t="s">
        <v>38</v>
      </c>
      <c r="F1507" s="2" t="s">
        <v>55</v>
      </c>
      <c r="G1507" s="2" t="s">
        <v>40</v>
      </c>
      <c r="H1507" s="2" t="s">
        <v>74</v>
      </c>
      <c r="I1507" s="2">
        <v>8</v>
      </c>
      <c r="J1507" s="2" t="s">
        <v>22</v>
      </c>
      <c r="K1507" s="2" t="s">
        <v>4069</v>
      </c>
      <c r="L1507" s="2" t="s">
        <v>24</v>
      </c>
      <c r="M1507" s="2">
        <v>3</v>
      </c>
      <c r="N1507" s="2" t="s">
        <v>50</v>
      </c>
    </row>
    <row r="1508" spans="1:14" x14ac:dyDescent="0.25">
      <c r="A1508" s="2" t="s">
        <v>4070</v>
      </c>
      <c r="B1508" s="2" t="s">
        <v>4071</v>
      </c>
      <c r="C1508" s="2" t="s">
        <v>16</v>
      </c>
      <c r="D1508" s="2" t="s">
        <v>17</v>
      </c>
      <c r="E1508" s="2" t="s">
        <v>46</v>
      </c>
      <c r="F1508" s="2" t="s">
        <v>131</v>
      </c>
      <c r="G1508" s="2" t="s">
        <v>91</v>
      </c>
      <c r="H1508" s="2" t="s">
        <v>21</v>
      </c>
      <c r="I1508" s="2">
        <v>24</v>
      </c>
      <c r="J1508" s="2" t="s">
        <v>187</v>
      </c>
      <c r="K1508" s="2"/>
      <c r="L1508" s="2" t="s">
        <v>24</v>
      </c>
      <c r="M1508" s="2"/>
      <c r="N1508" s="2" t="s">
        <v>25</v>
      </c>
    </row>
    <row r="1509" spans="1:14" x14ac:dyDescent="0.25">
      <c r="A1509" s="2" t="s">
        <v>4072</v>
      </c>
      <c r="B1509" s="2" t="s">
        <v>4073</v>
      </c>
      <c r="C1509" s="2" t="s">
        <v>28</v>
      </c>
      <c r="D1509" s="2" t="s">
        <v>37</v>
      </c>
      <c r="E1509" s="2" t="s">
        <v>79</v>
      </c>
      <c r="F1509" s="2" t="s">
        <v>113</v>
      </c>
      <c r="G1509" s="2" t="s">
        <v>126</v>
      </c>
      <c r="H1509" s="2" t="s">
        <v>32</v>
      </c>
      <c r="I1509" s="2">
        <v>48</v>
      </c>
      <c r="J1509" s="2" t="s">
        <v>33</v>
      </c>
      <c r="K1509" s="2"/>
      <c r="L1509" s="2" t="s">
        <v>24</v>
      </c>
      <c r="M1509" s="2"/>
      <c r="N1509" s="2" t="s">
        <v>50</v>
      </c>
    </row>
    <row r="1510" spans="1:14" x14ac:dyDescent="0.25">
      <c r="A1510" s="2" t="s">
        <v>4074</v>
      </c>
      <c r="B1510" s="2" t="s">
        <v>4075</v>
      </c>
      <c r="C1510" s="2" t="s">
        <v>67</v>
      </c>
      <c r="D1510" s="2" t="s">
        <v>68</v>
      </c>
      <c r="E1510" s="2" t="s">
        <v>38</v>
      </c>
      <c r="F1510" s="2" t="s">
        <v>143</v>
      </c>
      <c r="G1510" s="2" t="s">
        <v>179</v>
      </c>
      <c r="H1510" s="2" t="s">
        <v>80</v>
      </c>
      <c r="I1510" s="2">
        <v>4</v>
      </c>
      <c r="J1510" s="2" t="s">
        <v>187</v>
      </c>
      <c r="K1510" s="2" t="s">
        <v>4076</v>
      </c>
      <c r="L1510" s="2" t="s">
        <v>24</v>
      </c>
      <c r="M1510" s="2"/>
      <c r="N1510" s="2" t="s">
        <v>34</v>
      </c>
    </row>
    <row r="1511" spans="1:14" x14ac:dyDescent="0.25">
      <c r="A1511" s="2" t="s">
        <v>4077</v>
      </c>
      <c r="B1511" s="2" t="s">
        <v>4078</v>
      </c>
      <c r="C1511" s="2" t="s">
        <v>28</v>
      </c>
      <c r="D1511" s="2" t="s">
        <v>29</v>
      </c>
      <c r="E1511" s="2" t="s">
        <v>85</v>
      </c>
      <c r="F1511" s="2" t="s">
        <v>143</v>
      </c>
      <c r="G1511" s="2" t="s">
        <v>144</v>
      </c>
      <c r="H1511" s="2" t="s">
        <v>21</v>
      </c>
      <c r="I1511" s="2">
        <v>24</v>
      </c>
      <c r="J1511" s="2" t="s">
        <v>106</v>
      </c>
      <c r="K1511" s="2" t="s">
        <v>4079</v>
      </c>
      <c r="L1511" s="2" t="s">
        <v>24</v>
      </c>
      <c r="M1511" s="2">
        <v>1</v>
      </c>
      <c r="N1511" s="2" t="s">
        <v>58</v>
      </c>
    </row>
    <row r="1512" spans="1:14" x14ac:dyDescent="0.25">
      <c r="A1512" s="2" t="s">
        <v>4080</v>
      </c>
      <c r="B1512" s="2" t="s">
        <v>4081</v>
      </c>
      <c r="C1512" s="2" t="s">
        <v>28</v>
      </c>
      <c r="D1512" s="2" t="s">
        <v>37</v>
      </c>
      <c r="E1512" s="2" t="s">
        <v>148</v>
      </c>
      <c r="F1512" s="2" t="s">
        <v>19</v>
      </c>
      <c r="G1512" s="2" t="s">
        <v>139</v>
      </c>
      <c r="H1512" s="2" t="s">
        <v>21</v>
      </c>
      <c r="I1512" s="2">
        <v>24</v>
      </c>
      <c r="J1512" s="2" t="s">
        <v>149</v>
      </c>
      <c r="K1512" s="2"/>
      <c r="L1512" s="2" t="s">
        <v>24</v>
      </c>
      <c r="M1512" s="2"/>
      <c r="N1512" s="2" t="s">
        <v>58</v>
      </c>
    </row>
    <row r="1513" spans="1:14" x14ac:dyDescent="0.25">
      <c r="A1513" s="2" t="s">
        <v>4082</v>
      </c>
      <c r="B1513" s="2" t="s">
        <v>4083</v>
      </c>
      <c r="C1513" s="2" t="s">
        <v>67</v>
      </c>
      <c r="D1513" s="2" t="s">
        <v>68</v>
      </c>
      <c r="E1513" s="2" t="s">
        <v>79</v>
      </c>
      <c r="F1513" s="2" t="s">
        <v>125</v>
      </c>
      <c r="G1513" s="2" t="s">
        <v>105</v>
      </c>
      <c r="H1513" s="2" t="s">
        <v>74</v>
      </c>
      <c r="I1513" s="2">
        <v>8</v>
      </c>
      <c r="J1513" s="2" t="s">
        <v>149</v>
      </c>
      <c r="K1513" s="2"/>
      <c r="L1513" s="2" t="s">
        <v>24</v>
      </c>
      <c r="M1513" s="2"/>
      <c r="N1513" s="2" t="s">
        <v>43</v>
      </c>
    </row>
    <row r="1514" spans="1:14" x14ac:dyDescent="0.25">
      <c r="A1514" s="2" t="s">
        <v>4084</v>
      </c>
      <c r="B1514" s="2" t="s">
        <v>4085</v>
      </c>
      <c r="C1514" s="2" t="s">
        <v>16</v>
      </c>
      <c r="D1514" s="2" t="s">
        <v>17</v>
      </c>
      <c r="E1514" s="2" t="s">
        <v>46</v>
      </c>
      <c r="F1514" s="2" t="s">
        <v>19</v>
      </c>
      <c r="G1514" s="2" t="s">
        <v>97</v>
      </c>
      <c r="H1514" s="2" t="s">
        <v>80</v>
      </c>
      <c r="I1514" s="2">
        <v>4</v>
      </c>
      <c r="J1514" s="2" t="s">
        <v>75</v>
      </c>
      <c r="K1514" s="2" t="s">
        <v>4086</v>
      </c>
      <c r="L1514" s="2" t="s">
        <v>24</v>
      </c>
      <c r="M1514" s="2"/>
      <c r="N1514" s="2" t="s">
        <v>50</v>
      </c>
    </row>
    <row r="1515" spans="1:14" x14ac:dyDescent="0.25">
      <c r="A1515" s="2" t="s">
        <v>4087</v>
      </c>
      <c r="B1515" s="2" t="s">
        <v>4088</v>
      </c>
      <c r="C1515" s="2" t="s">
        <v>16</v>
      </c>
      <c r="D1515" s="2" t="s">
        <v>84</v>
      </c>
      <c r="E1515" s="2" t="s">
        <v>148</v>
      </c>
      <c r="F1515" s="2" t="s">
        <v>69</v>
      </c>
      <c r="G1515" s="2" t="s">
        <v>40</v>
      </c>
      <c r="H1515" s="2" t="s">
        <v>21</v>
      </c>
      <c r="I1515" s="2">
        <v>24</v>
      </c>
      <c r="J1515" s="2" t="s">
        <v>486</v>
      </c>
      <c r="K1515" s="2" t="s">
        <v>4089</v>
      </c>
      <c r="L1515" s="2" t="s">
        <v>24</v>
      </c>
      <c r="M1515" s="2"/>
      <c r="N1515" s="2"/>
    </row>
    <row r="1516" spans="1:14" x14ac:dyDescent="0.25">
      <c r="A1516" s="2" t="s">
        <v>4090</v>
      </c>
      <c r="B1516" s="2" t="s">
        <v>4091</v>
      </c>
      <c r="C1516" s="2" t="s">
        <v>28</v>
      </c>
      <c r="D1516" s="2" t="s">
        <v>37</v>
      </c>
      <c r="E1516" s="2" t="s">
        <v>18</v>
      </c>
      <c r="F1516" s="2" t="s">
        <v>30</v>
      </c>
      <c r="G1516" s="2" t="s">
        <v>211</v>
      </c>
      <c r="H1516" s="2" t="s">
        <v>21</v>
      </c>
      <c r="I1516" s="2">
        <v>24</v>
      </c>
      <c r="J1516" s="2" t="s">
        <v>486</v>
      </c>
      <c r="K1516" s="2" t="s">
        <v>4092</v>
      </c>
      <c r="L1516" s="2" t="s">
        <v>24</v>
      </c>
      <c r="M1516" s="2"/>
      <c r="N1516" s="2" t="s">
        <v>118</v>
      </c>
    </row>
    <row r="1517" spans="1:14" x14ac:dyDescent="0.25">
      <c r="A1517" s="2" t="s">
        <v>4093</v>
      </c>
      <c r="B1517" s="2" t="s">
        <v>4094</v>
      </c>
      <c r="C1517" s="2" t="s">
        <v>53</v>
      </c>
      <c r="D1517" s="2" t="s">
        <v>61</v>
      </c>
      <c r="E1517" s="2" t="s">
        <v>85</v>
      </c>
      <c r="F1517" s="2" t="s">
        <v>96</v>
      </c>
      <c r="G1517" s="2" t="s">
        <v>101</v>
      </c>
      <c r="H1517" s="2" t="s">
        <v>80</v>
      </c>
      <c r="I1517" s="2">
        <v>4</v>
      </c>
      <c r="J1517" s="2" t="s">
        <v>106</v>
      </c>
      <c r="K1517" s="2" t="s">
        <v>4095</v>
      </c>
      <c r="L1517" s="2" t="s">
        <v>24</v>
      </c>
      <c r="M1517" s="2">
        <v>5</v>
      </c>
      <c r="N1517" s="2" t="s">
        <v>128</v>
      </c>
    </row>
    <row r="1518" spans="1:14" x14ac:dyDescent="0.25">
      <c r="A1518" s="2" t="s">
        <v>4096</v>
      </c>
      <c r="B1518" s="2" t="s">
        <v>4097</v>
      </c>
      <c r="C1518" s="2" t="s">
        <v>28</v>
      </c>
      <c r="D1518" s="2" t="s">
        <v>100</v>
      </c>
      <c r="E1518" s="2" t="s">
        <v>85</v>
      </c>
      <c r="F1518" s="2" t="s">
        <v>96</v>
      </c>
      <c r="G1518" s="2" t="s">
        <v>70</v>
      </c>
      <c r="H1518" s="2" t="s">
        <v>21</v>
      </c>
      <c r="I1518" s="2">
        <v>24</v>
      </c>
      <c r="J1518" s="2" t="s">
        <v>22</v>
      </c>
      <c r="K1518" s="2" t="s">
        <v>4098</v>
      </c>
      <c r="L1518" s="2" t="s">
        <v>24</v>
      </c>
      <c r="M1518" s="2">
        <v>4</v>
      </c>
      <c r="N1518" s="2"/>
    </row>
    <row r="1519" spans="1:14" x14ac:dyDescent="0.25">
      <c r="A1519" s="2" t="s">
        <v>4099</v>
      </c>
      <c r="B1519" s="2" t="s">
        <v>4100</v>
      </c>
      <c r="C1519" s="2" t="s">
        <v>53</v>
      </c>
      <c r="D1519" s="2" t="s">
        <v>54</v>
      </c>
      <c r="E1519" s="2" t="s">
        <v>38</v>
      </c>
      <c r="F1519" s="2" t="s">
        <v>30</v>
      </c>
      <c r="G1519" s="2" t="s">
        <v>144</v>
      </c>
      <c r="H1519" s="2" t="s">
        <v>21</v>
      </c>
      <c r="I1519" s="2">
        <v>24</v>
      </c>
      <c r="J1519" s="2" t="s">
        <v>187</v>
      </c>
      <c r="K1519" s="2" t="s">
        <v>4101</v>
      </c>
      <c r="L1519" s="2" t="s">
        <v>24</v>
      </c>
      <c r="M1519" s="2">
        <v>4</v>
      </c>
      <c r="N1519" s="2" t="s">
        <v>128</v>
      </c>
    </row>
    <row r="1520" spans="1:14" x14ac:dyDescent="0.25">
      <c r="A1520" s="2" t="s">
        <v>4102</v>
      </c>
      <c r="B1520" s="2" t="s">
        <v>4103</v>
      </c>
      <c r="C1520" s="2" t="s">
        <v>53</v>
      </c>
      <c r="D1520" s="2" t="s">
        <v>61</v>
      </c>
      <c r="E1520" s="2" t="s">
        <v>18</v>
      </c>
      <c r="F1520" s="2" t="s">
        <v>113</v>
      </c>
      <c r="G1520" s="2" t="s">
        <v>139</v>
      </c>
      <c r="H1520" s="2" t="s">
        <v>74</v>
      </c>
      <c r="I1520" s="2">
        <v>8</v>
      </c>
      <c r="J1520" s="2" t="s">
        <v>75</v>
      </c>
      <c r="K1520" s="2" t="s">
        <v>4104</v>
      </c>
      <c r="L1520" s="2" t="s">
        <v>24</v>
      </c>
      <c r="M1520" s="2"/>
      <c r="N1520" s="2" t="s">
        <v>50</v>
      </c>
    </row>
    <row r="1521" spans="1:14" x14ac:dyDescent="0.25">
      <c r="A1521" s="2" t="s">
        <v>4105</v>
      </c>
      <c r="B1521" s="2" t="s">
        <v>4106</v>
      </c>
      <c r="C1521" s="2" t="s">
        <v>67</v>
      </c>
      <c r="D1521" s="2" t="s">
        <v>68</v>
      </c>
      <c r="E1521" s="2" t="s">
        <v>18</v>
      </c>
      <c r="F1521" s="2" t="s">
        <v>96</v>
      </c>
      <c r="G1521" s="2" t="s">
        <v>126</v>
      </c>
      <c r="H1521" s="2" t="s">
        <v>32</v>
      </c>
      <c r="I1521" s="2">
        <v>48</v>
      </c>
      <c r="J1521" s="2" t="s">
        <v>33</v>
      </c>
      <c r="K1521" s="2"/>
      <c r="L1521" s="2" t="s">
        <v>24</v>
      </c>
      <c r="M1521" s="2"/>
      <c r="N1521" s="2" t="s">
        <v>25</v>
      </c>
    </row>
    <row r="1522" spans="1:14" x14ac:dyDescent="0.25">
      <c r="A1522" s="2" t="s">
        <v>4107</v>
      </c>
      <c r="B1522" s="2" t="s">
        <v>4108</v>
      </c>
      <c r="C1522" s="2" t="s">
        <v>16</v>
      </c>
      <c r="D1522" s="2" t="s">
        <v>84</v>
      </c>
      <c r="E1522" s="2" t="s">
        <v>148</v>
      </c>
      <c r="F1522" s="2" t="s">
        <v>125</v>
      </c>
      <c r="G1522" s="2" t="s">
        <v>40</v>
      </c>
      <c r="H1522" s="2" t="s">
        <v>21</v>
      </c>
      <c r="I1522" s="2">
        <v>24</v>
      </c>
      <c r="J1522" s="2" t="s">
        <v>117</v>
      </c>
      <c r="K1522" s="2"/>
      <c r="L1522" s="2" t="s">
        <v>24</v>
      </c>
      <c r="M1522" s="2"/>
      <c r="N1522" s="2"/>
    </row>
    <row r="1523" spans="1:14" x14ac:dyDescent="0.25">
      <c r="A1523" s="2" t="s">
        <v>4109</v>
      </c>
      <c r="B1523" s="2" t="s">
        <v>4110</v>
      </c>
      <c r="C1523" s="2" t="s">
        <v>16</v>
      </c>
      <c r="D1523" s="2" t="s">
        <v>17</v>
      </c>
      <c r="E1523" s="2" t="s">
        <v>18</v>
      </c>
      <c r="F1523" s="2" t="s">
        <v>19</v>
      </c>
      <c r="G1523" s="2" t="s">
        <v>70</v>
      </c>
      <c r="H1523" s="2" t="s">
        <v>32</v>
      </c>
      <c r="I1523" s="2">
        <v>48</v>
      </c>
      <c r="J1523" s="2" t="s">
        <v>117</v>
      </c>
      <c r="K1523" s="2"/>
      <c r="L1523" s="2" t="s">
        <v>24</v>
      </c>
      <c r="M1523" s="2"/>
      <c r="N1523" s="2"/>
    </row>
    <row r="1524" spans="1:14" x14ac:dyDescent="0.25">
      <c r="A1524" s="2" t="s">
        <v>4111</v>
      </c>
      <c r="B1524" s="2" t="s">
        <v>4112</v>
      </c>
      <c r="C1524" s="2" t="s">
        <v>28</v>
      </c>
      <c r="D1524" s="2" t="s">
        <v>100</v>
      </c>
      <c r="E1524" s="2" t="s">
        <v>148</v>
      </c>
      <c r="F1524" s="2" t="s">
        <v>19</v>
      </c>
      <c r="G1524" s="2" t="s">
        <v>70</v>
      </c>
      <c r="H1524" s="2" t="s">
        <v>32</v>
      </c>
      <c r="I1524" s="2">
        <v>48</v>
      </c>
      <c r="J1524" s="2" t="s">
        <v>11</v>
      </c>
      <c r="K1524" s="2"/>
      <c r="L1524" s="2" t="s">
        <v>92</v>
      </c>
      <c r="M1524" s="2"/>
      <c r="N1524" s="2" t="s">
        <v>128</v>
      </c>
    </row>
    <row r="1525" spans="1:14" x14ac:dyDescent="0.25">
      <c r="A1525" s="2" t="s">
        <v>4113</v>
      </c>
      <c r="B1525" s="2" t="s">
        <v>4114</v>
      </c>
      <c r="C1525" s="2" t="s">
        <v>53</v>
      </c>
      <c r="D1525" s="2" t="s">
        <v>61</v>
      </c>
      <c r="E1525" s="2" t="s">
        <v>148</v>
      </c>
      <c r="F1525" s="2" t="s">
        <v>55</v>
      </c>
      <c r="G1525" s="2" t="s">
        <v>101</v>
      </c>
      <c r="H1525" s="2" t="s">
        <v>21</v>
      </c>
      <c r="I1525" s="2">
        <v>24</v>
      </c>
      <c r="J1525" s="2" t="s">
        <v>117</v>
      </c>
      <c r="K1525" s="2"/>
      <c r="L1525" s="2" t="s">
        <v>24</v>
      </c>
      <c r="M1525" s="2"/>
      <c r="N1525" s="2" t="s">
        <v>118</v>
      </c>
    </row>
    <row r="1526" spans="1:14" x14ac:dyDescent="0.25">
      <c r="A1526" s="2" t="s">
        <v>4115</v>
      </c>
      <c r="B1526" s="2" t="s">
        <v>4116</v>
      </c>
      <c r="C1526" s="2" t="s">
        <v>16</v>
      </c>
      <c r="D1526" s="2" t="s">
        <v>17</v>
      </c>
      <c r="E1526" s="2" t="s">
        <v>18</v>
      </c>
      <c r="F1526" s="2" t="s">
        <v>30</v>
      </c>
      <c r="G1526" s="2" t="s">
        <v>101</v>
      </c>
      <c r="H1526" s="2" t="s">
        <v>74</v>
      </c>
      <c r="I1526" s="2">
        <v>8</v>
      </c>
      <c r="J1526" s="2" t="s">
        <v>117</v>
      </c>
      <c r="K1526" s="2"/>
      <c r="L1526" s="2" t="s">
        <v>24</v>
      </c>
      <c r="M1526" s="2"/>
      <c r="N1526" s="2" t="s">
        <v>64</v>
      </c>
    </row>
    <row r="1527" spans="1:14" x14ac:dyDescent="0.25">
      <c r="A1527" s="2" t="s">
        <v>4117</v>
      </c>
      <c r="B1527" s="2" t="s">
        <v>4118</v>
      </c>
      <c r="C1527" s="2" t="s">
        <v>53</v>
      </c>
      <c r="D1527" s="2" t="s">
        <v>54</v>
      </c>
      <c r="E1527" s="2" t="s">
        <v>38</v>
      </c>
      <c r="F1527" s="2" t="s">
        <v>30</v>
      </c>
      <c r="G1527" s="2" t="s">
        <v>105</v>
      </c>
      <c r="H1527" s="2" t="s">
        <v>21</v>
      </c>
      <c r="I1527" s="2">
        <v>24</v>
      </c>
      <c r="J1527" s="2" t="s">
        <v>187</v>
      </c>
      <c r="K1527" s="2" t="s">
        <v>4119</v>
      </c>
      <c r="L1527" s="2" t="s">
        <v>24</v>
      </c>
      <c r="M1527" s="2">
        <v>5</v>
      </c>
      <c r="N1527" s="2" t="s">
        <v>128</v>
      </c>
    </row>
    <row r="1528" spans="1:14" x14ac:dyDescent="0.25">
      <c r="A1528" s="2" t="s">
        <v>4120</v>
      </c>
      <c r="B1528" s="2" t="s">
        <v>4121</v>
      </c>
      <c r="C1528" s="2" t="s">
        <v>67</v>
      </c>
      <c r="D1528" s="2" t="s">
        <v>68</v>
      </c>
      <c r="E1528" s="2" t="s">
        <v>18</v>
      </c>
      <c r="F1528" s="2" t="s">
        <v>55</v>
      </c>
      <c r="G1528" s="2" t="s">
        <v>31</v>
      </c>
      <c r="H1528" s="2" t="s">
        <v>32</v>
      </c>
      <c r="I1528" s="2">
        <v>48</v>
      </c>
      <c r="J1528" s="2" t="s">
        <v>22</v>
      </c>
      <c r="K1528" s="2" t="s">
        <v>4122</v>
      </c>
      <c r="L1528" s="2" t="s">
        <v>24</v>
      </c>
      <c r="M1528" s="2"/>
      <c r="N1528" s="2"/>
    </row>
    <row r="1529" spans="1:14" x14ac:dyDescent="0.25">
      <c r="A1529" s="2" t="s">
        <v>4123</v>
      </c>
      <c r="B1529" s="2" t="s">
        <v>4124</v>
      </c>
      <c r="C1529" s="2" t="s">
        <v>67</v>
      </c>
      <c r="D1529" s="2" t="s">
        <v>95</v>
      </c>
      <c r="E1529" s="2" t="s">
        <v>38</v>
      </c>
      <c r="F1529" s="2" t="s">
        <v>19</v>
      </c>
      <c r="G1529" s="2" t="s">
        <v>135</v>
      </c>
      <c r="H1529" s="2" t="s">
        <v>74</v>
      </c>
      <c r="I1529" s="2">
        <v>8</v>
      </c>
      <c r="J1529" s="2" t="s">
        <v>48</v>
      </c>
      <c r="K1529" s="2" t="s">
        <v>4125</v>
      </c>
      <c r="L1529" s="2" t="s">
        <v>24</v>
      </c>
      <c r="M1529" s="2"/>
      <c r="N1529" s="2" t="s">
        <v>64</v>
      </c>
    </row>
    <row r="1530" spans="1:14" x14ac:dyDescent="0.25">
      <c r="A1530" s="2" t="s">
        <v>4126</v>
      </c>
      <c r="B1530" s="2" t="s">
        <v>4127</v>
      </c>
      <c r="C1530" s="2" t="s">
        <v>53</v>
      </c>
      <c r="D1530" s="2" t="s">
        <v>61</v>
      </c>
      <c r="E1530" s="2" t="s">
        <v>38</v>
      </c>
      <c r="F1530" s="2" t="s">
        <v>113</v>
      </c>
      <c r="G1530" s="2" t="s">
        <v>101</v>
      </c>
      <c r="H1530" s="2" t="s">
        <v>32</v>
      </c>
      <c r="I1530" s="2">
        <v>48</v>
      </c>
      <c r="J1530" s="2" t="s">
        <v>187</v>
      </c>
      <c r="K1530" s="2" t="s">
        <v>4128</v>
      </c>
      <c r="L1530" s="2" t="s">
        <v>24</v>
      </c>
      <c r="M1530" s="2"/>
      <c r="N1530" s="2"/>
    </row>
    <row r="1531" spans="1:14" x14ac:dyDescent="0.25">
      <c r="A1531" s="2" t="s">
        <v>4129</v>
      </c>
      <c r="B1531" s="2" t="s">
        <v>4130</v>
      </c>
      <c r="C1531" s="2" t="s">
        <v>16</v>
      </c>
      <c r="D1531" s="2" t="s">
        <v>240</v>
      </c>
      <c r="E1531" s="2" t="s">
        <v>90</v>
      </c>
      <c r="F1531" s="2" t="s">
        <v>143</v>
      </c>
      <c r="G1531" s="2" t="s">
        <v>31</v>
      </c>
      <c r="H1531" s="2" t="s">
        <v>32</v>
      </c>
      <c r="I1531" s="2">
        <v>48</v>
      </c>
      <c r="J1531" s="2" t="s">
        <v>106</v>
      </c>
      <c r="K1531" s="2" t="s">
        <v>4131</v>
      </c>
      <c r="L1531" s="2" t="s">
        <v>24</v>
      </c>
      <c r="M1531" s="2"/>
      <c r="N1531" s="2" t="s">
        <v>25</v>
      </c>
    </row>
    <row r="1532" spans="1:14" x14ac:dyDescent="0.25">
      <c r="A1532" s="2" t="s">
        <v>4132</v>
      </c>
      <c r="B1532" s="2" t="s">
        <v>4133</v>
      </c>
      <c r="C1532" s="2" t="s">
        <v>53</v>
      </c>
      <c r="D1532" s="2" t="s">
        <v>61</v>
      </c>
      <c r="E1532" s="2" t="s">
        <v>79</v>
      </c>
      <c r="F1532" s="2" t="s">
        <v>69</v>
      </c>
      <c r="G1532" s="2" t="s">
        <v>91</v>
      </c>
      <c r="H1532" s="2" t="s">
        <v>32</v>
      </c>
      <c r="I1532" s="2">
        <v>48</v>
      </c>
      <c r="J1532" s="2" t="s">
        <v>187</v>
      </c>
      <c r="K1532" s="2" t="s">
        <v>4134</v>
      </c>
      <c r="L1532" s="2" t="s">
        <v>24</v>
      </c>
      <c r="M1532" s="2"/>
      <c r="N1532" s="2" t="s">
        <v>58</v>
      </c>
    </row>
    <row r="1533" spans="1:14" x14ac:dyDescent="0.25">
      <c r="A1533" s="2" t="s">
        <v>4135</v>
      </c>
      <c r="B1533" s="2" t="s">
        <v>4136</v>
      </c>
      <c r="C1533" s="2" t="s">
        <v>67</v>
      </c>
      <c r="D1533" s="2" t="s">
        <v>68</v>
      </c>
      <c r="E1533" s="2" t="s">
        <v>18</v>
      </c>
      <c r="F1533" s="2" t="s">
        <v>131</v>
      </c>
      <c r="G1533" s="2" t="s">
        <v>101</v>
      </c>
      <c r="H1533" s="2" t="s">
        <v>74</v>
      </c>
      <c r="I1533" s="2">
        <v>8</v>
      </c>
      <c r="J1533" s="2" t="s">
        <v>11</v>
      </c>
      <c r="K1533" s="2"/>
      <c r="L1533" s="2" t="s">
        <v>92</v>
      </c>
      <c r="M1533" s="2"/>
      <c r="N1533" s="2" t="s">
        <v>118</v>
      </c>
    </row>
    <row r="1534" spans="1:14" x14ac:dyDescent="0.25">
      <c r="A1534" s="2" t="s">
        <v>4137</v>
      </c>
      <c r="B1534" s="2" t="s">
        <v>4138</v>
      </c>
      <c r="C1534" s="2" t="s">
        <v>28</v>
      </c>
      <c r="D1534" s="2" t="s">
        <v>100</v>
      </c>
      <c r="E1534" s="2" t="s">
        <v>38</v>
      </c>
      <c r="F1534" s="2" t="s">
        <v>113</v>
      </c>
      <c r="G1534" s="2" t="s">
        <v>126</v>
      </c>
      <c r="H1534" s="2" t="s">
        <v>21</v>
      </c>
      <c r="I1534" s="2">
        <v>24</v>
      </c>
      <c r="J1534" s="2" t="s">
        <v>41</v>
      </c>
      <c r="K1534" s="2" t="s">
        <v>4139</v>
      </c>
      <c r="L1534" s="2" t="s">
        <v>24</v>
      </c>
      <c r="M1534" s="2">
        <v>2</v>
      </c>
      <c r="N1534" s="2" t="s">
        <v>58</v>
      </c>
    </row>
    <row r="1535" spans="1:14" x14ac:dyDescent="0.25">
      <c r="A1535" s="2" t="s">
        <v>4140</v>
      </c>
      <c r="B1535" s="2" t="s">
        <v>4141</v>
      </c>
      <c r="C1535" s="2" t="s">
        <v>67</v>
      </c>
      <c r="D1535" s="2" t="s">
        <v>68</v>
      </c>
      <c r="E1535" s="2" t="s">
        <v>90</v>
      </c>
      <c r="F1535" s="2" t="s">
        <v>39</v>
      </c>
      <c r="G1535" s="2" t="s">
        <v>144</v>
      </c>
      <c r="H1535" s="2" t="s">
        <v>21</v>
      </c>
      <c r="I1535" s="2">
        <v>24</v>
      </c>
      <c r="J1535" s="2" t="s">
        <v>191</v>
      </c>
      <c r="K1535" s="2" t="s">
        <v>4142</v>
      </c>
      <c r="L1535" s="2" t="s">
        <v>24</v>
      </c>
      <c r="M1535" s="2"/>
      <c r="N1535" s="2" t="s">
        <v>50</v>
      </c>
    </row>
    <row r="1536" spans="1:14" x14ac:dyDescent="0.25">
      <c r="A1536" s="2" t="s">
        <v>4143</v>
      </c>
      <c r="B1536" s="2" t="s">
        <v>4144</v>
      </c>
      <c r="C1536" s="2" t="s">
        <v>53</v>
      </c>
      <c r="D1536" s="2" t="s">
        <v>61</v>
      </c>
      <c r="E1536" s="2" t="s">
        <v>85</v>
      </c>
      <c r="F1536" s="2" t="s">
        <v>69</v>
      </c>
      <c r="G1536" s="2" t="s">
        <v>40</v>
      </c>
      <c r="H1536" s="2" t="s">
        <v>32</v>
      </c>
      <c r="I1536" s="2">
        <v>48</v>
      </c>
      <c r="J1536" s="2" t="s">
        <v>75</v>
      </c>
      <c r="K1536" s="2" t="s">
        <v>4145</v>
      </c>
      <c r="L1536" s="2" t="s">
        <v>24</v>
      </c>
      <c r="M1536" s="2"/>
      <c r="N1536" s="2" t="s">
        <v>50</v>
      </c>
    </row>
    <row r="1537" spans="1:14" x14ac:dyDescent="0.25">
      <c r="A1537" s="2" t="s">
        <v>4146</v>
      </c>
      <c r="B1537" s="2" t="s">
        <v>4147</v>
      </c>
      <c r="C1537" s="2" t="s">
        <v>28</v>
      </c>
      <c r="D1537" s="2" t="s">
        <v>37</v>
      </c>
      <c r="E1537" s="2" t="s">
        <v>38</v>
      </c>
      <c r="F1537" s="2" t="s">
        <v>131</v>
      </c>
      <c r="G1537" s="2" t="s">
        <v>179</v>
      </c>
      <c r="H1537" s="2" t="s">
        <v>21</v>
      </c>
      <c r="I1537" s="2">
        <v>24</v>
      </c>
      <c r="J1537" s="2" t="s">
        <v>56</v>
      </c>
      <c r="K1537" s="2" t="s">
        <v>4148</v>
      </c>
      <c r="L1537" s="2" t="s">
        <v>24</v>
      </c>
      <c r="M1537" s="2"/>
      <c r="N1537" s="2" t="s">
        <v>128</v>
      </c>
    </row>
    <row r="1538" spans="1:14" x14ac:dyDescent="0.25">
      <c r="A1538" s="2" t="s">
        <v>4149</v>
      </c>
      <c r="B1538" s="2" t="s">
        <v>4150</v>
      </c>
      <c r="C1538" s="2" t="s">
        <v>53</v>
      </c>
      <c r="D1538" s="2" t="s">
        <v>61</v>
      </c>
      <c r="E1538" s="2" t="s">
        <v>90</v>
      </c>
      <c r="F1538" s="2" t="s">
        <v>47</v>
      </c>
      <c r="G1538" s="2" t="s">
        <v>20</v>
      </c>
      <c r="H1538" s="2" t="s">
        <v>21</v>
      </c>
      <c r="I1538" s="2">
        <v>24</v>
      </c>
      <c r="J1538" s="2" t="s">
        <v>106</v>
      </c>
      <c r="K1538" s="2" t="s">
        <v>4151</v>
      </c>
      <c r="L1538" s="2" t="s">
        <v>24</v>
      </c>
      <c r="M1538" s="2"/>
      <c r="N1538" s="2" t="s">
        <v>43</v>
      </c>
    </row>
    <row r="1539" spans="1:14" x14ac:dyDescent="0.25">
      <c r="A1539" s="2" t="s">
        <v>4152</v>
      </c>
      <c r="B1539" s="2" t="s">
        <v>4153</v>
      </c>
      <c r="C1539" s="2" t="s">
        <v>53</v>
      </c>
      <c r="D1539" s="2" t="s">
        <v>54</v>
      </c>
      <c r="E1539" s="2" t="s">
        <v>79</v>
      </c>
      <c r="F1539" s="2" t="s">
        <v>96</v>
      </c>
      <c r="G1539" s="2" t="s">
        <v>211</v>
      </c>
      <c r="H1539" s="2" t="s">
        <v>21</v>
      </c>
      <c r="I1539" s="2">
        <v>24</v>
      </c>
      <c r="J1539" s="2" t="s">
        <v>48</v>
      </c>
      <c r="K1539" s="2" t="s">
        <v>4154</v>
      </c>
      <c r="L1539" s="2" t="s">
        <v>24</v>
      </c>
      <c r="M1539" s="2"/>
      <c r="N1539" s="2" t="s">
        <v>25</v>
      </c>
    </row>
    <row r="1540" spans="1:14" x14ac:dyDescent="0.25">
      <c r="A1540" s="2" t="s">
        <v>4155</v>
      </c>
      <c r="B1540" s="2" t="s">
        <v>4156</v>
      </c>
      <c r="C1540" s="2" t="s">
        <v>16</v>
      </c>
      <c r="D1540" s="2" t="s">
        <v>84</v>
      </c>
      <c r="E1540" s="2" t="s">
        <v>38</v>
      </c>
      <c r="F1540" s="2" t="s">
        <v>131</v>
      </c>
      <c r="G1540" s="2" t="s">
        <v>183</v>
      </c>
      <c r="H1540" s="2" t="s">
        <v>21</v>
      </c>
      <c r="I1540" s="2">
        <v>24</v>
      </c>
      <c r="J1540" s="2" t="s">
        <v>232</v>
      </c>
      <c r="K1540" s="2"/>
      <c r="L1540" s="2" t="s">
        <v>92</v>
      </c>
      <c r="M1540" s="2"/>
      <c r="N1540" s="2" t="s">
        <v>25</v>
      </c>
    </row>
    <row r="1541" spans="1:14" x14ac:dyDescent="0.25">
      <c r="A1541" s="2" t="s">
        <v>4157</v>
      </c>
      <c r="B1541" s="2" t="s">
        <v>4158</v>
      </c>
      <c r="C1541" s="2" t="s">
        <v>67</v>
      </c>
      <c r="D1541" s="2" t="s">
        <v>68</v>
      </c>
      <c r="E1541" s="2" t="s">
        <v>18</v>
      </c>
      <c r="F1541" s="2" t="s">
        <v>69</v>
      </c>
      <c r="G1541" s="2" t="s">
        <v>179</v>
      </c>
      <c r="H1541" s="2" t="s">
        <v>21</v>
      </c>
      <c r="I1541" s="2">
        <v>24</v>
      </c>
      <c r="J1541" s="2" t="s">
        <v>155</v>
      </c>
      <c r="K1541" s="2"/>
      <c r="L1541" s="2" t="s">
        <v>24</v>
      </c>
      <c r="M1541" s="2"/>
      <c r="N1541" s="2" t="s">
        <v>58</v>
      </c>
    </row>
    <row r="1542" spans="1:14" x14ac:dyDescent="0.25">
      <c r="A1542" s="2" t="s">
        <v>4159</v>
      </c>
      <c r="B1542" s="2" t="s">
        <v>4160</v>
      </c>
      <c r="C1542" s="2" t="s">
        <v>53</v>
      </c>
      <c r="D1542" s="2" t="s">
        <v>54</v>
      </c>
      <c r="E1542" s="2" t="s">
        <v>90</v>
      </c>
      <c r="F1542" s="2" t="s">
        <v>113</v>
      </c>
      <c r="G1542" s="2" t="s">
        <v>183</v>
      </c>
      <c r="H1542" s="2" t="s">
        <v>21</v>
      </c>
      <c r="I1542" s="2">
        <v>24</v>
      </c>
      <c r="J1542" s="2" t="s">
        <v>75</v>
      </c>
      <c r="K1542" s="2" t="s">
        <v>4161</v>
      </c>
      <c r="L1542" s="2" t="s">
        <v>24</v>
      </c>
      <c r="M1542" s="2"/>
      <c r="N1542" s="2" t="s">
        <v>43</v>
      </c>
    </row>
    <row r="1543" spans="1:14" x14ac:dyDescent="0.25">
      <c r="A1543" s="2" t="s">
        <v>4162</v>
      </c>
      <c r="B1543" s="2" t="s">
        <v>4163</v>
      </c>
      <c r="C1543" s="2" t="s">
        <v>16</v>
      </c>
      <c r="D1543" s="2" t="s">
        <v>17</v>
      </c>
      <c r="E1543" s="2" t="s">
        <v>38</v>
      </c>
      <c r="F1543" s="2" t="s">
        <v>96</v>
      </c>
      <c r="G1543" s="2" t="s">
        <v>110</v>
      </c>
      <c r="H1543" s="2" t="s">
        <v>32</v>
      </c>
      <c r="I1543" s="2">
        <v>48</v>
      </c>
      <c r="J1543" s="2" t="s">
        <v>41</v>
      </c>
      <c r="K1543" s="2" t="s">
        <v>4164</v>
      </c>
      <c r="L1543" s="2" t="s">
        <v>24</v>
      </c>
      <c r="M1543" s="2"/>
      <c r="N1543" s="2" t="s">
        <v>34</v>
      </c>
    </row>
    <row r="1544" spans="1:14" x14ac:dyDescent="0.25">
      <c r="A1544" s="2" t="s">
        <v>4165</v>
      </c>
      <c r="B1544" s="2" t="s">
        <v>4166</v>
      </c>
      <c r="C1544" s="2" t="s">
        <v>28</v>
      </c>
      <c r="D1544" s="2" t="s">
        <v>37</v>
      </c>
      <c r="E1544" s="2" t="s">
        <v>46</v>
      </c>
      <c r="F1544" s="2" t="s">
        <v>47</v>
      </c>
      <c r="G1544" s="2" t="s">
        <v>91</v>
      </c>
      <c r="H1544" s="2" t="s">
        <v>74</v>
      </c>
      <c r="I1544" s="2">
        <v>8</v>
      </c>
      <c r="J1544" s="2" t="s">
        <v>187</v>
      </c>
      <c r="K1544" s="2" t="s">
        <v>4167</v>
      </c>
      <c r="L1544" s="2" t="s">
        <v>24</v>
      </c>
      <c r="M1544" s="2">
        <v>5</v>
      </c>
      <c r="N1544" s="2" t="s">
        <v>118</v>
      </c>
    </row>
    <row r="1545" spans="1:14" x14ac:dyDescent="0.25">
      <c r="A1545" s="2" t="s">
        <v>4168</v>
      </c>
      <c r="B1545" s="2" t="s">
        <v>4169</v>
      </c>
      <c r="C1545" s="2" t="s">
        <v>67</v>
      </c>
      <c r="D1545" s="2" t="s">
        <v>68</v>
      </c>
      <c r="E1545" s="2" t="s">
        <v>18</v>
      </c>
      <c r="F1545" s="2" t="s">
        <v>47</v>
      </c>
      <c r="G1545" s="2" t="s">
        <v>183</v>
      </c>
      <c r="H1545" s="2" t="s">
        <v>32</v>
      </c>
      <c r="I1545" s="2">
        <v>48</v>
      </c>
      <c r="J1545" s="2" t="s">
        <v>75</v>
      </c>
      <c r="K1545" s="2" t="s">
        <v>4170</v>
      </c>
      <c r="L1545" s="2" t="s">
        <v>24</v>
      </c>
      <c r="M1545" s="2"/>
      <c r="N1545" s="2" t="s">
        <v>25</v>
      </c>
    </row>
    <row r="1546" spans="1:14" x14ac:dyDescent="0.25">
      <c r="A1546" s="2" t="s">
        <v>4171</v>
      </c>
      <c r="B1546" s="2" t="s">
        <v>4172</v>
      </c>
      <c r="C1546" s="2" t="s">
        <v>16</v>
      </c>
      <c r="D1546" s="2" t="s">
        <v>17</v>
      </c>
      <c r="E1546" s="2" t="s">
        <v>85</v>
      </c>
      <c r="F1546" s="2" t="s">
        <v>131</v>
      </c>
      <c r="G1546" s="2" t="s">
        <v>40</v>
      </c>
      <c r="H1546" s="2" t="s">
        <v>32</v>
      </c>
      <c r="I1546" s="2">
        <v>48</v>
      </c>
      <c r="J1546" s="2" t="s">
        <v>75</v>
      </c>
      <c r="K1546" s="2" t="s">
        <v>4173</v>
      </c>
      <c r="L1546" s="2" t="s">
        <v>24</v>
      </c>
      <c r="M1546" s="2">
        <v>4</v>
      </c>
      <c r="N1546" s="2"/>
    </row>
    <row r="1547" spans="1:14" x14ac:dyDescent="0.25">
      <c r="A1547" s="2" t="s">
        <v>4174</v>
      </c>
      <c r="B1547" s="2" t="s">
        <v>4175</v>
      </c>
      <c r="C1547" s="2" t="s">
        <v>28</v>
      </c>
      <c r="D1547" s="2" t="s">
        <v>100</v>
      </c>
      <c r="E1547" s="2" t="s">
        <v>38</v>
      </c>
      <c r="F1547" s="2" t="s">
        <v>125</v>
      </c>
      <c r="G1547" s="2" t="s">
        <v>126</v>
      </c>
      <c r="H1547" s="2" t="s">
        <v>32</v>
      </c>
      <c r="I1547" s="2">
        <v>48</v>
      </c>
      <c r="J1547" s="2" t="s">
        <v>106</v>
      </c>
      <c r="K1547" s="2" t="s">
        <v>4176</v>
      </c>
      <c r="L1547" s="2" t="s">
        <v>24</v>
      </c>
      <c r="M1547" s="2"/>
      <c r="N1547" s="2" t="s">
        <v>64</v>
      </c>
    </row>
    <row r="1548" spans="1:14" x14ac:dyDescent="0.25">
      <c r="A1548" s="2" t="s">
        <v>4177</v>
      </c>
      <c r="B1548" s="2" t="s">
        <v>4178</v>
      </c>
      <c r="C1548" s="2" t="s">
        <v>67</v>
      </c>
      <c r="D1548" s="2" t="s">
        <v>68</v>
      </c>
      <c r="E1548" s="2" t="s">
        <v>90</v>
      </c>
      <c r="F1548" s="2" t="s">
        <v>19</v>
      </c>
      <c r="G1548" s="2" t="s">
        <v>105</v>
      </c>
      <c r="H1548" s="2" t="s">
        <v>74</v>
      </c>
      <c r="I1548" s="2">
        <v>8</v>
      </c>
      <c r="J1548" s="2" t="s">
        <v>22</v>
      </c>
      <c r="K1548" s="2" t="s">
        <v>4179</v>
      </c>
      <c r="L1548" s="2" t="s">
        <v>24</v>
      </c>
      <c r="M1548" s="2">
        <v>5</v>
      </c>
      <c r="N1548" s="2"/>
    </row>
    <row r="1549" spans="1:14" x14ac:dyDescent="0.25">
      <c r="A1549" s="2" t="s">
        <v>935</v>
      </c>
      <c r="B1549" s="2" t="s">
        <v>936</v>
      </c>
      <c r="C1549" s="2" t="s">
        <v>16</v>
      </c>
      <c r="D1549" s="2" t="s">
        <v>84</v>
      </c>
      <c r="E1549" s="2" t="s">
        <v>85</v>
      </c>
      <c r="F1549" s="2" t="s">
        <v>30</v>
      </c>
      <c r="G1549" s="2" t="s">
        <v>91</v>
      </c>
      <c r="H1549" s="2" t="s">
        <v>74</v>
      </c>
      <c r="I1549" s="2">
        <v>8</v>
      </c>
      <c r="J1549" s="2" t="s">
        <v>200</v>
      </c>
      <c r="K1549" s="2"/>
      <c r="L1549" s="2" t="s">
        <v>92</v>
      </c>
      <c r="M1549" s="2"/>
      <c r="N1549" s="2" t="s">
        <v>50</v>
      </c>
    </row>
    <row r="1550" spans="1:14" x14ac:dyDescent="0.25">
      <c r="A1550" s="2" t="s">
        <v>4180</v>
      </c>
      <c r="B1550" s="2" t="s">
        <v>4181</v>
      </c>
      <c r="C1550" s="2" t="s">
        <v>28</v>
      </c>
      <c r="D1550" s="2" t="s">
        <v>37</v>
      </c>
      <c r="E1550" s="2" t="s">
        <v>38</v>
      </c>
      <c r="F1550" s="2" t="s">
        <v>47</v>
      </c>
      <c r="G1550" s="2" t="s">
        <v>101</v>
      </c>
      <c r="H1550" s="2" t="s">
        <v>74</v>
      </c>
      <c r="I1550" s="2">
        <v>8</v>
      </c>
      <c r="J1550" s="2" t="s">
        <v>149</v>
      </c>
      <c r="K1550" s="2"/>
      <c r="L1550" s="2" t="s">
        <v>24</v>
      </c>
      <c r="M1550" s="2"/>
      <c r="N1550" s="2" t="s">
        <v>50</v>
      </c>
    </row>
    <row r="1551" spans="1:14" x14ac:dyDescent="0.25">
      <c r="A1551" s="2" t="s">
        <v>4182</v>
      </c>
      <c r="B1551" s="2" t="s">
        <v>4183</v>
      </c>
      <c r="C1551" s="2" t="s">
        <v>16</v>
      </c>
      <c r="D1551" s="2" t="s">
        <v>17</v>
      </c>
      <c r="E1551" s="2" t="s">
        <v>46</v>
      </c>
      <c r="F1551" s="2" t="s">
        <v>113</v>
      </c>
      <c r="G1551" s="2" t="s">
        <v>110</v>
      </c>
      <c r="H1551" s="2" t="s">
        <v>32</v>
      </c>
      <c r="I1551" s="2">
        <v>48</v>
      </c>
      <c r="J1551" s="2" t="s">
        <v>41</v>
      </c>
      <c r="K1551" s="2" t="s">
        <v>4184</v>
      </c>
      <c r="L1551" s="2" t="s">
        <v>24</v>
      </c>
      <c r="M1551" s="2">
        <v>5</v>
      </c>
      <c r="N1551" s="2" t="s">
        <v>43</v>
      </c>
    </row>
    <row r="1552" spans="1:14" x14ac:dyDescent="0.25">
      <c r="A1552" s="2" t="s">
        <v>4185</v>
      </c>
      <c r="B1552" s="2" t="s">
        <v>4186</v>
      </c>
      <c r="C1552" s="2" t="s">
        <v>16</v>
      </c>
      <c r="D1552" s="2" t="s">
        <v>84</v>
      </c>
      <c r="E1552" s="2" t="s">
        <v>18</v>
      </c>
      <c r="F1552" s="2" t="s">
        <v>55</v>
      </c>
      <c r="G1552" s="2" t="s">
        <v>183</v>
      </c>
      <c r="H1552" s="2" t="s">
        <v>32</v>
      </c>
      <c r="I1552" s="2">
        <v>48</v>
      </c>
      <c r="J1552" s="2" t="s">
        <v>117</v>
      </c>
      <c r="K1552" s="2"/>
      <c r="L1552" s="2" t="s">
        <v>24</v>
      </c>
      <c r="M1552" s="2"/>
      <c r="N1552" s="2" t="s">
        <v>50</v>
      </c>
    </row>
    <row r="1553" spans="1:14" x14ac:dyDescent="0.25">
      <c r="A1553" s="2" t="s">
        <v>4187</v>
      </c>
      <c r="B1553" s="2" t="s">
        <v>4188</v>
      </c>
      <c r="C1553" s="2" t="s">
        <v>67</v>
      </c>
      <c r="D1553" s="2" t="s">
        <v>89</v>
      </c>
      <c r="E1553" s="2" t="s">
        <v>38</v>
      </c>
      <c r="F1553" s="2" t="s">
        <v>47</v>
      </c>
      <c r="G1553" s="2" t="s">
        <v>105</v>
      </c>
      <c r="H1553" s="2" t="s">
        <v>80</v>
      </c>
      <c r="I1553" s="2">
        <v>4</v>
      </c>
      <c r="J1553" s="2" t="s">
        <v>232</v>
      </c>
      <c r="K1553" s="2"/>
      <c r="L1553" s="2" t="s">
        <v>92</v>
      </c>
      <c r="M1553" s="2"/>
      <c r="N1553" s="2" t="s">
        <v>34</v>
      </c>
    </row>
    <row r="1554" spans="1:14" x14ac:dyDescent="0.25">
      <c r="A1554" s="2" t="s">
        <v>4189</v>
      </c>
      <c r="B1554" s="2" t="s">
        <v>4190</v>
      </c>
      <c r="C1554" s="2" t="s">
        <v>28</v>
      </c>
      <c r="D1554" s="2" t="s">
        <v>100</v>
      </c>
      <c r="E1554" s="2" t="s">
        <v>79</v>
      </c>
      <c r="F1554" s="2" t="s">
        <v>143</v>
      </c>
      <c r="G1554" s="2" t="s">
        <v>40</v>
      </c>
      <c r="H1554" s="2" t="s">
        <v>21</v>
      </c>
      <c r="I1554" s="2">
        <v>24</v>
      </c>
      <c r="J1554" s="2" t="s">
        <v>22</v>
      </c>
      <c r="K1554" s="2" t="s">
        <v>4191</v>
      </c>
      <c r="L1554" s="2" t="s">
        <v>24</v>
      </c>
      <c r="M1554" s="2">
        <v>3</v>
      </c>
      <c r="N1554" s="2" t="s">
        <v>25</v>
      </c>
    </row>
    <row r="1555" spans="1:14" x14ac:dyDescent="0.25">
      <c r="A1555" s="2" t="s">
        <v>4192</v>
      </c>
      <c r="B1555" s="2" t="s">
        <v>4193</v>
      </c>
      <c r="C1555" s="2" t="s">
        <v>28</v>
      </c>
      <c r="D1555" s="2" t="s">
        <v>100</v>
      </c>
      <c r="E1555" s="2" t="s">
        <v>46</v>
      </c>
      <c r="F1555" s="2" t="s">
        <v>19</v>
      </c>
      <c r="G1555" s="2" t="s">
        <v>110</v>
      </c>
      <c r="H1555" s="2" t="s">
        <v>32</v>
      </c>
      <c r="I1555" s="2">
        <v>48</v>
      </c>
      <c r="J1555" s="2" t="s">
        <v>48</v>
      </c>
      <c r="K1555" s="2" t="s">
        <v>4194</v>
      </c>
      <c r="L1555" s="2" t="s">
        <v>24</v>
      </c>
      <c r="M1555" s="2">
        <v>5</v>
      </c>
      <c r="N1555" s="2" t="s">
        <v>58</v>
      </c>
    </row>
    <row r="1556" spans="1:14" x14ac:dyDescent="0.25">
      <c r="A1556" s="2" t="s">
        <v>4195</v>
      </c>
      <c r="B1556" s="2" t="s">
        <v>4196</v>
      </c>
      <c r="C1556" s="2" t="s">
        <v>67</v>
      </c>
      <c r="D1556" s="2" t="s">
        <v>95</v>
      </c>
      <c r="E1556" s="2" t="s">
        <v>38</v>
      </c>
      <c r="F1556" s="2" t="s">
        <v>96</v>
      </c>
      <c r="G1556" s="2" t="s">
        <v>139</v>
      </c>
      <c r="H1556" s="2" t="s">
        <v>74</v>
      </c>
      <c r="I1556" s="2">
        <v>8</v>
      </c>
      <c r="J1556" s="2" t="s">
        <v>200</v>
      </c>
      <c r="K1556" s="2"/>
      <c r="L1556" s="2" t="s">
        <v>92</v>
      </c>
      <c r="M1556" s="2"/>
      <c r="N1556" s="2" t="s">
        <v>128</v>
      </c>
    </row>
    <row r="1557" spans="1:14" x14ac:dyDescent="0.25">
      <c r="A1557" s="2" t="s">
        <v>4197</v>
      </c>
      <c r="B1557" s="2" t="s">
        <v>4198</v>
      </c>
      <c r="C1557" s="2" t="s">
        <v>53</v>
      </c>
      <c r="D1557" s="2" t="s">
        <v>54</v>
      </c>
      <c r="E1557" s="2" t="s">
        <v>18</v>
      </c>
      <c r="F1557" s="2" t="s">
        <v>96</v>
      </c>
      <c r="G1557" s="2" t="s">
        <v>211</v>
      </c>
      <c r="H1557" s="2" t="s">
        <v>21</v>
      </c>
      <c r="I1557" s="2">
        <v>24</v>
      </c>
      <c r="J1557" s="2" t="s">
        <v>200</v>
      </c>
      <c r="K1557" s="2"/>
      <c r="L1557" s="2" t="s">
        <v>92</v>
      </c>
      <c r="M1557" s="2"/>
      <c r="N1557" s="2" t="s">
        <v>128</v>
      </c>
    </row>
    <row r="1558" spans="1:14" x14ac:dyDescent="0.25">
      <c r="A1558" s="2" t="s">
        <v>4199</v>
      </c>
      <c r="B1558" s="2" t="s">
        <v>4200</v>
      </c>
      <c r="C1558" s="2" t="s">
        <v>16</v>
      </c>
      <c r="D1558" s="2" t="s">
        <v>17</v>
      </c>
      <c r="E1558" s="2" t="s">
        <v>90</v>
      </c>
      <c r="F1558" s="2" t="s">
        <v>55</v>
      </c>
      <c r="G1558" s="2" t="s">
        <v>144</v>
      </c>
      <c r="H1558" s="2" t="s">
        <v>32</v>
      </c>
      <c r="I1558" s="2">
        <v>48</v>
      </c>
      <c r="J1558" s="2" t="s">
        <v>75</v>
      </c>
      <c r="K1558" s="2" t="s">
        <v>4201</v>
      </c>
      <c r="L1558" s="2" t="s">
        <v>24</v>
      </c>
      <c r="M1558" s="2">
        <v>5</v>
      </c>
      <c r="N1558" s="2" t="s">
        <v>58</v>
      </c>
    </row>
    <row r="1559" spans="1:14" x14ac:dyDescent="0.25">
      <c r="A1559" s="2" t="s">
        <v>4202</v>
      </c>
      <c r="B1559" s="2" t="s">
        <v>4203</v>
      </c>
      <c r="C1559" s="2" t="s">
        <v>67</v>
      </c>
      <c r="D1559" s="2" t="s">
        <v>95</v>
      </c>
      <c r="E1559" s="2" t="s">
        <v>18</v>
      </c>
      <c r="F1559" s="2" t="s">
        <v>55</v>
      </c>
      <c r="G1559" s="2" t="s">
        <v>105</v>
      </c>
      <c r="H1559" s="2" t="s">
        <v>32</v>
      </c>
      <c r="I1559" s="2">
        <v>48</v>
      </c>
      <c r="J1559" s="2" t="s">
        <v>200</v>
      </c>
      <c r="K1559" s="2"/>
      <c r="L1559" s="2" t="s">
        <v>92</v>
      </c>
      <c r="M1559" s="2"/>
      <c r="N1559" s="2" t="s">
        <v>25</v>
      </c>
    </row>
    <row r="1560" spans="1:14" x14ac:dyDescent="0.25">
      <c r="A1560" s="2" t="s">
        <v>4204</v>
      </c>
      <c r="B1560" s="2" t="s">
        <v>4205</v>
      </c>
      <c r="C1560" s="2" t="s">
        <v>67</v>
      </c>
      <c r="D1560" s="2" t="s">
        <v>601</v>
      </c>
      <c r="E1560" s="2" t="s">
        <v>79</v>
      </c>
      <c r="F1560" s="2" t="s">
        <v>39</v>
      </c>
      <c r="G1560" s="2" t="s">
        <v>20</v>
      </c>
      <c r="H1560" s="2" t="s">
        <v>80</v>
      </c>
      <c r="I1560" s="2">
        <v>4</v>
      </c>
      <c r="J1560" s="2" t="s">
        <v>22</v>
      </c>
      <c r="K1560" s="2" t="s">
        <v>4206</v>
      </c>
      <c r="L1560" s="2" t="s">
        <v>24</v>
      </c>
      <c r="M1560" s="2"/>
      <c r="N1560" s="2" t="s">
        <v>50</v>
      </c>
    </row>
    <row r="1561" spans="1:14" x14ac:dyDescent="0.25">
      <c r="A1561" s="2" t="s">
        <v>4207</v>
      </c>
      <c r="B1561" s="2" t="s">
        <v>4208</v>
      </c>
      <c r="C1561" s="2" t="s">
        <v>28</v>
      </c>
      <c r="D1561" s="2" t="s">
        <v>37</v>
      </c>
      <c r="E1561" s="2" t="s">
        <v>79</v>
      </c>
      <c r="F1561" s="2" t="s">
        <v>125</v>
      </c>
      <c r="G1561" s="2" t="s">
        <v>101</v>
      </c>
      <c r="H1561" s="2" t="s">
        <v>74</v>
      </c>
      <c r="I1561" s="2">
        <v>8</v>
      </c>
      <c r="J1561" s="2" t="s">
        <v>48</v>
      </c>
      <c r="K1561" s="2" t="s">
        <v>4209</v>
      </c>
      <c r="L1561" s="2" t="s">
        <v>92</v>
      </c>
      <c r="M1561" s="2">
        <v>1</v>
      </c>
      <c r="N1561" s="2"/>
    </row>
    <row r="1562" spans="1:14" x14ac:dyDescent="0.25">
      <c r="A1562" s="2" t="s">
        <v>4210</v>
      </c>
      <c r="B1562" s="2" t="s">
        <v>4211</v>
      </c>
      <c r="C1562" s="2" t="s">
        <v>53</v>
      </c>
      <c r="D1562" s="2" t="s">
        <v>771</v>
      </c>
      <c r="E1562" s="2" t="s">
        <v>79</v>
      </c>
      <c r="F1562" s="2" t="s">
        <v>39</v>
      </c>
      <c r="G1562" s="2" t="s">
        <v>158</v>
      </c>
      <c r="H1562" s="2" t="s">
        <v>32</v>
      </c>
      <c r="I1562" s="2">
        <v>48</v>
      </c>
      <c r="J1562" s="2" t="s">
        <v>106</v>
      </c>
      <c r="K1562" s="2" t="s">
        <v>4212</v>
      </c>
      <c r="L1562" s="2" t="s">
        <v>24</v>
      </c>
      <c r="M1562" s="2">
        <v>5</v>
      </c>
      <c r="N1562" s="2" t="s">
        <v>43</v>
      </c>
    </row>
    <row r="1563" spans="1:14" x14ac:dyDescent="0.25">
      <c r="A1563" s="2" t="s">
        <v>4213</v>
      </c>
      <c r="B1563" s="2" t="s">
        <v>4214</v>
      </c>
      <c r="C1563" s="2" t="s">
        <v>28</v>
      </c>
      <c r="D1563" s="2" t="s">
        <v>100</v>
      </c>
      <c r="E1563" s="2" t="s">
        <v>90</v>
      </c>
      <c r="F1563" s="2" t="s">
        <v>55</v>
      </c>
      <c r="G1563" s="2" t="s">
        <v>20</v>
      </c>
      <c r="H1563" s="2" t="s">
        <v>74</v>
      </c>
      <c r="I1563" s="2">
        <v>8</v>
      </c>
      <c r="J1563" s="2" t="s">
        <v>187</v>
      </c>
      <c r="K1563" s="2" t="s">
        <v>4215</v>
      </c>
      <c r="L1563" s="2" t="s">
        <v>92</v>
      </c>
      <c r="M1563" s="2"/>
      <c r="N1563" s="2" t="s">
        <v>50</v>
      </c>
    </row>
    <row r="1564" spans="1:14" x14ac:dyDescent="0.25">
      <c r="A1564" s="2" t="s">
        <v>4216</v>
      </c>
      <c r="B1564" s="2" t="s">
        <v>4217</v>
      </c>
      <c r="C1564" s="2" t="s">
        <v>16</v>
      </c>
      <c r="D1564" s="2" t="s">
        <v>17</v>
      </c>
      <c r="E1564" s="2" t="s">
        <v>148</v>
      </c>
      <c r="F1564" s="2" t="s">
        <v>125</v>
      </c>
      <c r="G1564" s="2" t="s">
        <v>20</v>
      </c>
      <c r="H1564" s="2" t="s">
        <v>32</v>
      </c>
      <c r="I1564" s="2">
        <v>48</v>
      </c>
      <c r="J1564" s="2" t="s">
        <v>200</v>
      </c>
      <c r="K1564" s="2"/>
      <c r="L1564" s="2" t="s">
        <v>92</v>
      </c>
      <c r="M1564" s="2"/>
      <c r="N1564" s="2" t="s">
        <v>64</v>
      </c>
    </row>
    <row r="1565" spans="1:14" x14ac:dyDescent="0.25">
      <c r="A1565" s="2" t="s">
        <v>4218</v>
      </c>
      <c r="B1565" s="2" t="s">
        <v>4219</v>
      </c>
      <c r="C1565" s="2" t="s">
        <v>16</v>
      </c>
      <c r="D1565" s="2" t="s">
        <v>17</v>
      </c>
      <c r="E1565" s="2" t="s">
        <v>90</v>
      </c>
      <c r="F1565" s="2" t="s">
        <v>96</v>
      </c>
      <c r="G1565" s="2" t="s">
        <v>183</v>
      </c>
      <c r="H1565" s="2" t="s">
        <v>74</v>
      </c>
      <c r="I1565" s="2">
        <v>8</v>
      </c>
      <c r="J1565" s="2" t="s">
        <v>287</v>
      </c>
      <c r="K1565" s="2"/>
      <c r="L1565" s="2" t="s">
        <v>24</v>
      </c>
      <c r="M1565" s="2"/>
      <c r="N1565" s="2" t="s">
        <v>43</v>
      </c>
    </row>
    <row r="1566" spans="1:14" x14ac:dyDescent="0.25">
      <c r="A1566" s="2" t="s">
        <v>4220</v>
      </c>
      <c r="B1566" s="2" t="s">
        <v>4221</v>
      </c>
      <c r="C1566" s="2" t="s">
        <v>67</v>
      </c>
      <c r="D1566" s="2" t="s">
        <v>95</v>
      </c>
      <c r="E1566" s="2" t="s">
        <v>79</v>
      </c>
      <c r="F1566" s="2" t="s">
        <v>39</v>
      </c>
      <c r="G1566" s="2" t="s">
        <v>139</v>
      </c>
      <c r="H1566" s="2" t="s">
        <v>74</v>
      </c>
      <c r="I1566" s="2">
        <v>8</v>
      </c>
      <c r="J1566" s="2" t="s">
        <v>149</v>
      </c>
      <c r="K1566" s="2"/>
      <c r="L1566" s="2" t="s">
        <v>24</v>
      </c>
      <c r="M1566" s="2"/>
      <c r="N1566" s="2" t="s">
        <v>58</v>
      </c>
    </row>
    <row r="1567" spans="1:14" x14ac:dyDescent="0.25">
      <c r="A1567" s="2" t="s">
        <v>4222</v>
      </c>
      <c r="B1567" s="2" t="s">
        <v>4223</v>
      </c>
      <c r="C1567" s="2" t="s">
        <v>67</v>
      </c>
      <c r="D1567" s="2" t="s">
        <v>68</v>
      </c>
      <c r="E1567" s="2" t="s">
        <v>90</v>
      </c>
      <c r="F1567" s="2" t="s">
        <v>113</v>
      </c>
      <c r="G1567" s="2" t="s">
        <v>121</v>
      </c>
      <c r="H1567" s="2" t="s">
        <v>32</v>
      </c>
      <c r="I1567" s="2">
        <v>48</v>
      </c>
      <c r="J1567" s="2" t="s">
        <v>48</v>
      </c>
      <c r="K1567" s="2" t="s">
        <v>4224</v>
      </c>
      <c r="L1567" s="2" t="s">
        <v>24</v>
      </c>
      <c r="M1567" s="2"/>
      <c r="N1567" s="2" t="s">
        <v>128</v>
      </c>
    </row>
    <row r="1568" spans="1:14" x14ac:dyDescent="0.25">
      <c r="A1568" s="2" t="s">
        <v>4225</v>
      </c>
      <c r="B1568" s="2" t="s">
        <v>4226</v>
      </c>
      <c r="C1568" s="2" t="s">
        <v>53</v>
      </c>
      <c r="D1568" s="2" t="s">
        <v>771</v>
      </c>
      <c r="E1568" s="2" t="s">
        <v>18</v>
      </c>
      <c r="F1568" s="2" t="s">
        <v>96</v>
      </c>
      <c r="G1568" s="2" t="s">
        <v>70</v>
      </c>
      <c r="H1568" s="2" t="s">
        <v>32</v>
      </c>
      <c r="I1568" s="2">
        <v>48</v>
      </c>
      <c r="J1568" s="2" t="s">
        <v>22</v>
      </c>
      <c r="K1568" s="2" t="s">
        <v>4227</v>
      </c>
      <c r="L1568" s="2" t="s">
        <v>24</v>
      </c>
      <c r="M1568" s="2">
        <v>4</v>
      </c>
      <c r="N1568" s="2" t="s">
        <v>25</v>
      </c>
    </row>
    <row r="1569" spans="1:14" x14ac:dyDescent="0.25">
      <c r="A1569" s="2" t="s">
        <v>4228</v>
      </c>
      <c r="B1569" s="2" t="s">
        <v>4229</v>
      </c>
      <c r="C1569" s="2" t="s">
        <v>28</v>
      </c>
      <c r="D1569" s="2" t="s">
        <v>37</v>
      </c>
      <c r="E1569" s="2" t="s">
        <v>79</v>
      </c>
      <c r="F1569" s="2" t="s">
        <v>125</v>
      </c>
      <c r="G1569" s="2" t="s">
        <v>91</v>
      </c>
      <c r="H1569" s="2" t="s">
        <v>32</v>
      </c>
      <c r="I1569" s="2">
        <v>48</v>
      </c>
      <c r="J1569" s="2" t="s">
        <v>145</v>
      </c>
      <c r="K1569" s="2"/>
      <c r="L1569" s="2" t="s">
        <v>24</v>
      </c>
      <c r="M1569" s="2"/>
      <c r="N1569" s="2" t="s">
        <v>58</v>
      </c>
    </row>
    <row r="1570" spans="1:14" x14ac:dyDescent="0.25">
      <c r="A1570" s="2" t="s">
        <v>4230</v>
      </c>
      <c r="B1570" s="2" t="s">
        <v>4231</v>
      </c>
      <c r="C1570" s="2" t="s">
        <v>53</v>
      </c>
      <c r="D1570" s="2" t="s">
        <v>61</v>
      </c>
      <c r="E1570" s="2" t="s">
        <v>148</v>
      </c>
      <c r="F1570" s="2" t="s">
        <v>19</v>
      </c>
      <c r="G1570" s="2" t="s">
        <v>91</v>
      </c>
      <c r="H1570" s="2" t="s">
        <v>21</v>
      </c>
      <c r="I1570" s="2">
        <v>24</v>
      </c>
      <c r="J1570" s="2" t="s">
        <v>22</v>
      </c>
      <c r="K1570" s="2" t="s">
        <v>4232</v>
      </c>
      <c r="L1570" s="2" t="s">
        <v>24</v>
      </c>
      <c r="M1570" s="2">
        <v>5</v>
      </c>
      <c r="N1570" s="2" t="s">
        <v>43</v>
      </c>
    </row>
    <row r="1571" spans="1:14" x14ac:dyDescent="0.25">
      <c r="A1571" s="2" t="s">
        <v>4233</v>
      </c>
      <c r="B1571" s="2" t="s">
        <v>4234</v>
      </c>
      <c r="C1571" s="2" t="s">
        <v>16</v>
      </c>
      <c r="D1571" s="2" t="s">
        <v>17</v>
      </c>
      <c r="E1571" s="2" t="s">
        <v>38</v>
      </c>
      <c r="F1571" s="2" t="s">
        <v>69</v>
      </c>
      <c r="G1571" s="2" t="s">
        <v>121</v>
      </c>
      <c r="H1571" s="2" t="s">
        <v>32</v>
      </c>
      <c r="I1571" s="2">
        <v>48</v>
      </c>
      <c r="J1571" s="2" t="s">
        <v>48</v>
      </c>
      <c r="K1571" s="2" t="s">
        <v>4235</v>
      </c>
      <c r="L1571" s="2" t="s">
        <v>24</v>
      </c>
      <c r="M1571" s="2">
        <v>4</v>
      </c>
      <c r="N1571" s="2" t="s">
        <v>25</v>
      </c>
    </row>
    <row r="1572" spans="1:14" x14ac:dyDescent="0.25">
      <c r="A1572" s="2" t="s">
        <v>4236</v>
      </c>
      <c r="B1572" s="2" t="s">
        <v>4237</v>
      </c>
      <c r="C1572" s="2" t="s">
        <v>16</v>
      </c>
      <c r="D1572" s="2" t="s">
        <v>17</v>
      </c>
      <c r="E1572" s="2" t="s">
        <v>148</v>
      </c>
      <c r="F1572" s="2" t="s">
        <v>55</v>
      </c>
      <c r="G1572" s="2" t="s">
        <v>135</v>
      </c>
      <c r="H1572" s="2" t="s">
        <v>74</v>
      </c>
      <c r="I1572" s="2">
        <v>8</v>
      </c>
      <c r="J1572" s="2" t="s">
        <v>11</v>
      </c>
      <c r="K1572" s="2"/>
      <c r="L1572" s="2" t="s">
        <v>92</v>
      </c>
      <c r="M1572" s="2"/>
      <c r="N1572" s="2" t="s">
        <v>43</v>
      </c>
    </row>
    <row r="1573" spans="1:14" x14ac:dyDescent="0.25">
      <c r="A1573" s="2" t="s">
        <v>4238</v>
      </c>
      <c r="B1573" s="2" t="s">
        <v>4239</v>
      </c>
      <c r="C1573" s="2" t="s">
        <v>16</v>
      </c>
      <c r="D1573" s="2" t="s">
        <v>84</v>
      </c>
      <c r="E1573" s="2" t="s">
        <v>79</v>
      </c>
      <c r="F1573" s="2" t="s">
        <v>55</v>
      </c>
      <c r="G1573" s="2" t="s">
        <v>31</v>
      </c>
      <c r="H1573" s="2" t="s">
        <v>80</v>
      </c>
      <c r="I1573" s="2">
        <v>4</v>
      </c>
      <c r="J1573" s="2" t="s">
        <v>41</v>
      </c>
      <c r="K1573" s="2" t="s">
        <v>4240</v>
      </c>
      <c r="L1573" s="2" t="s">
        <v>24</v>
      </c>
      <c r="M1573" s="2"/>
      <c r="N1573" s="2" t="s">
        <v>128</v>
      </c>
    </row>
    <row r="1574" spans="1:14" x14ac:dyDescent="0.25">
      <c r="A1574" s="2" t="s">
        <v>4241</v>
      </c>
      <c r="B1574" s="2" t="s">
        <v>4242</v>
      </c>
      <c r="C1574" s="2" t="s">
        <v>28</v>
      </c>
      <c r="D1574" s="2" t="s">
        <v>100</v>
      </c>
      <c r="E1574" s="2" t="s">
        <v>85</v>
      </c>
      <c r="F1574" s="2" t="s">
        <v>62</v>
      </c>
      <c r="G1574" s="2" t="s">
        <v>105</v>
      </c>
      <c r="H1574" s="2" t="s">
        <v>21</v>
      </c>
      <c r="I1574" s="2">
        <v>24</v>
      </c>
      <c r="J1574" s="2" t="s">
        <v>187</v>
      </c>
      <c r="K1574" s="2" t="s">
        <v>4243</v>
      </c>
      <c r="L1574" s="2" t="s">
        <v>24</v>
      </c>
      <c r="M1574" s="2">
        <v>5</v>
      </c>
      <c r="N1574" s="2" t="s">
        <v>58</v>
      </c>
    </row>
    <row r="1575" spans="1:14" x14ac:dyDescent="0.25">
      <c r="A1575" s="2" t="s">
        <v>4244</v>
      </c>
      <c r="B1575" s="2" t="s">
        <v>4245</v>
      </c>
      <c r="C1575" s="2" t="s">
        <v>53</v>
      </c>
      <c r="D1575" s="2" t="s">
        <v>61</v>
      </c>
      <c r="E1575" s="2" t="s">
        <v>38</v>
      </c>
      <c r="F1575" s="2" t="s">
        <v>131</v>
      </c>
      <c r="G1575" s="2" t="s">
        <v>91</v>
      </c>
      <c r="H1575" s="2" t="s">
        <v>32</v>
      </c>
      <c r="I1575" s="2">
        <v>48</v>
      </c>
      <c r="J1575" s="2" t="s">
        <v>22</v>
      </c>
      <c r="K1575" s="2" t="s">
        <v>4246</v>
      </c>
      <c r="L1575" s="2" t="s">
        <v>24</v>
      </c>
      <c r="M1575" s="2"/>
      <c r="N1575" s="2"/>
    </row>
    <row r="1576" spans="1:14" x14ac:dyDescent="0.25">
      <c r="A1576" s="2" t="s">
        <v>4247</v>
      </c>
      <c r="B1576" s="2" t="s">
        <v>4248</v>
      </c>
      <c r="C1576" s="2" t="s">
        <v>16</v>
      </c>
      <c r="D1576" s="2" t="s">
        <v>765</v>
      </c>
      <c r="E1576" s="2" t="s">
        <v>90</v>
      </c>
      <c r="F1576" s="2" t="s">
        <v>39</v>
      </c>
      <c r="G1576" s="2" t="s">
        <v>121</v>
      </c>
      <c r="H1576" s="2" t="s">
        <v>74</v>
      </c>
      <c r="I1576" s="2">
        <v>8</v>
      </c>
      <c r="J1576" s="2" t="s">
        <v>145</v>
      </c>
      <c r="K1576" s="2"/>
      <c r="L1576" s="2" t="s">
        <v>24</v>
      </c>
      <c r="M1576" s="2"/>
      <c r="N1576" s="2" t="s">
        <v>43</v>
      </c>
    </row>
    <row r="1577" spans="1:14" x14ac:dyDescent="0.25">
      <c r="A1577" s="2" t="s">
        <v>4249</v>
      </c>
      <c r="B1577" s="2" t="s">
        <v>4250</v>
      </c>
      <c r="C1577" s="2" t="s">
        <v>28</v>
      </c>
      <c r="D1577" s="2" t="s">
        <v>100</v>
      </c>
      <c r="E1577" s="2" t="s">
        <v>148</v>
      </c>
      <c r="F1577" s="2" t="s">
        <v>39</v>
      </c>
      <c r="G1577" s="2" t="s">
        <v>91</v>
      </c>
      <c r="H1577" s="2" t="s">
        <v>32</v>
      </c>
      <c r="I1577" s="2">
        <v>48</v>
      </c>
      <c r="J1577" s="2" t="s">
        <v>22</v>
      </c>
      <c r="K1577" s="2" t="s">
        <v>4251</v>
      </c>
      <c r="L1577" s="2" t="s">
        <v>24</v>
      </c>
      <c r="M1577" s="2">
        <v>5</v>
      </c>
      <c r="N1577" s="2" t="s">
        <v>25</v>
      </c>
    </row>
    <row r="1578" spans="1:14" x14ac:dyDescent="0.25">
      <c r="A1578" s="2" t="s">
        <v>4252</v>
      </c>
      <c r="B1578" s="2" t="s">
        <v>4253</v>
      </c>
      <c r="C1578" s="2" t="s">
        <v>16</v>
      </c>
      <c r="D1578" s="2" t="s">
        <v>17</v>
      </c>
      <c r="E1578" s="2" t="s">
        <v>90</v>
      </c>
      <c r="F1578" s="2" t="s">
        <v>55</v>
      </c>
      <c r="G1578" s="2" t="s">
        <v>183</v>
      </c>
      <c r="H1578" s="2" t="s">
        <v>32</v>
      </c>
      <c r="I1578" s="2">
        <v>48</v>
      </c>
      <c r="J1578" s="2" t="s">
        <v>41</v>
      </c>
      <c r="K1578" s="2" t="s">
        <v>4254</v>
      </c>
      <c r="L1578" s="2" t="s">
        <v>24</v>
      </c>
      <c r="M1578" s="2"/>
      <c r="N1578" s="2" t="s">
        <v>118</v>
      </c>
    </row>
    <row r="1579" spans="1:14" x14ac:dyDescent="0.25">
      <c r="A1579" s="2" t="s">
        <v>4255</v>
      </c>
      <c r="B1579" s="2" t="s">
        <v>4256</v>
      </c>
      <c r="C1579" s="2" t="s">
        <v>28</v>
      </c>
      <c r="D1579" s="2" t="s">
        <v>100</v>
      </c>
      <c r="E1579" s="2" t="s">
        <v>46</v>
      </c>
      <c r="F1579" s="2" t="s">
        <v>62</v>
      </c>
      <c r="G1579" s="2" t="s">
        <v>70</v>
      </c>
      <c r="H1579" s="2" t="s">
        <v>74</v>
      </c>
      <c r="I1579" s="2">
        <v>8</v>
      </c>
      <c r="J1579" s="2" t="s">
        <v>33</v>
      </c>
      <c r="K1579" s="2"/>
      <c r="L1579" s="2" t="s">
        <v>24</v>
      </c>
      <c r="M1579" s="2"/>
      <c r="N1579" s="2"/>
    </row>
    <row r="1580" spans="1:14" x14ac:dyDescent="0.25">
      <c r="A1580" s="2" t="s">
        <v>4257</v>
      </c>
      <c r="B1580" s="2" t="s">
        <v>4258</v>
      </c>
      <c r="C1580" s="2" t="s">
        <v>28</v>
      </c>
      <c r="D1580" s="2" t="s">
        <v>37</v>
      </c>
      <c r="E1580" s="2" t="s">
        <v>148</v>
      </c>
      <c r="F1580" s="2" t="s">
        <v>47</v>
      </c>
      <c r="G1580" s="2" t="s">
        <v>135</v>
      </c>
      <c r="H1580" s="2" t="s">
        <v>21</v>
      </c>
      <c r="I1580" s="2">
        <v>24</v>
      </c>
      <c r="J1580" s="2" t="s">
        <v>155</v>
      </c>
      <c r="K1580" s="2"/>
      <c r="L1580" s="2" t="s">
        <v>24</v>
      </c>
      <c r="M1580" s="2"/>
      <c r="N1580" s="2" t="s">
        <v>64</v>
      </c>
    </row>
    <row r="1581" spans="1:14" x14ac:dyDescent="0.25">
      <c r="A1581" s="2" t="s">
        <v>4259</v>
      </c>
      <c r="B1581" s="2" t="s">
        <v>4260</v>
      </c>
      <c r="C1581" s="2" t="s">
        <v>16</v>
      </c>
      <c r="D1581" s="2" t="s">
        <v>84</v>
      </c>
      <c r="E1581" s="2" t="s">
        <v>85</v>
      </c>
      <c r="F1581" s="2" t="s">
        <v>143</v>
      </c>
      <c r="G1581" s="2" t="s">
        <v>121</v>
      </c>
      <c r="H1581" s="2" t="s">
        <v>74</v>
      </c>
      <c r="I1581" s="2">
        <v>8</v>
      </c>
      <c r="J1581" s="2" t="s">
        <v>41</v>
      </c>
      <c r="K1581" s="2" t="s">
        <v>4261</v>
      </c>
      <c r="L1581" s="2" t="s">
        <v>24</v>
      </c>
      <c r="M1581" s="2"/>
      <c r="N1581" s="2" t="s">
        <v>64</v>
      </c>
    </row>
    <row r="1582" spans="1:14" x14ac:dyDescent="0.25">
      <c r="A1582" s="2" t="s">
        <v>4262</v>
      </c>
      <c r="B1582" s="2" t="s">
        <v>4263</v>
      </c>
      <c r="C1582" s="2" t="s">
        <v>16</v>
      </c>
      <c r="D1582" s="2" t="s">
        <v>84</v>
      </c>
      <c r="E1582" s="2" t="s">
        <v>38</v>
      </c>
      <c r="F1582" s="2" t="s">
        <v>62</v>
      </c>
      <c r="G1582" s="2" t="s">
        <v>139</v>
      </c>
      <c r="H1582" s="2" t="s">
        <v>32</v>
      </c>
      <c r="I1582" s="2">
        <v>48</v>
      </c>
      <c r="J1582" s="2" t="s">
        <v>41</v>
      </c>
      <c r="K1582" s="2" t="s">
        <v>4264</v>
      </c>
      <c r="L1582" s="2" t="s">
        <v>24</v>
      </c>
      <c r="M1582" s="2">
        <v>2</v>
      </c>
      <c r="N1582" s="2"/>
    </row>
    <row r="1583" spans="1:14" x14ac:dyDescent="0.25">
      <c r="A1583" s="2" t="s">
        <v>4265</v>
      </c>
      <c r="B1583" s="2" t="s">
        <v>4266</v>
      </c>
      <c r="C1583" s="2" t="s">
        <v>53</v>
      </c>
      <c r="D1583" s="2" t="s">
        <v>61</v>
      </c>
      <c r="E1583" s="2" t="s">
        <v>79</v>
      </c>
      <c r="F1583" s="2" t="s">
        <v>131</v>
      </c>
      <c r="G1583" s="2" t="s">
        <v>91</v>
      </c>
      <c r="H1583" s="2" t="s">
        <v>32</v>
      </c>
      <c r="I1583" s="2">
        <v>48</v>
      </c>
      <c r="J1583" s="2" t="s">
        <v>41</v>
      </c>
      <c r="K1583" s="2" t="s">
        <v>4267</v>
      </c>
      <c r="L1583" s="2" t="s">
        <v>24</v>
      </c>
      <c r="M1583" s="2">
        <v>5</v>
      </c>
      <c r="N1583" s="2" t="s">
        <v>25</v>
      </c>
    </row>
    <row r="1584" spans="1:14" x14ac:dyDescent="0.25">
      <c r="A1584" s="2" t="s">
        <v>4268</v>
      </c>
      <c r="B1584" s="2" t="s">
        <v>4269</v>
      </c>
      <c r="C1584" s="2" t="s">
        <v>67</v>
      </c>
      <c r="D1584" s="2" t="s">
        <v>95</v>
      </c>
      <c r="E1584" s="2" t="s">
        <v>18</v>
      </c>
      <c r="F1584" s="2" t="s">
        <v>143</v>
      </c>
      <c r="G1584" s="2" t="s">
        <v>91</v>
      </c>
      <c r="H1584" s="2" t="s">
        <v>21</v>
      </c>
      <c r="I1584" s="2">
        <v>24</v>
      </c>
      <c r="J1584" s="2" t="s">
        <v>149</v>
      </c>
      <c r="K1584" s="2"/>
      <c r="L1584" s="2" t="s">
        <v>24</v>
      </c>
      <c r="M1584" s="2"/>
      <c r="N1584" s="2" t="s">
        <v>43</v>
      </c>
    </row>
    <row r="1585" spans="1:14" x14ac:dyDescent="0.25">
      <c r="A1585" s="2" t="s">
        <v>4270</v>
      </c>
      <c r="B1585" s="2" t="s">
        <v>4271</v>
      </c>
      <c r="C1585" s="2" t="s">
        <v>53</v>
      </c>
      <c r="D1585" s="2" t="s">
        <v>61</v>
      </c>
      <c r="E1585" s="2" t="s">
        <v>46</v>
      </c>
      <c r="F1585" s="2" t="s">
        <v>62</v>
      </c>
      <c r="G1585" s="2" t="s">
        <v>20</v>
      </c>
      <c r="H1585" s="2" t="s">
        <v>21</v>
      </c>
      <c r="I1585" s="2">
        <v>24</v>
      </c>
      <c r="J1585" s="2" t="s">
        <v>33</v>
      </c>
      <c r="K1585" s="2"/>
      <c r="L1585" s="2" t="s">
        <v>24</v>
      </c>
      <c r="M1585" s="2"/>
      <c r="N1585" s="2" t="s">
        <v>128</v>
      </c>
    </row>
    <row r="1586" spans="1:14" x14ac:dyDescent="0.25">
      <c r="A1586" s="2" t="s">
        <v>4272</v>
      </c>
      <c r="B1586" s="2" t="s">
        <v>4273</v>
      </c>
      <c r="C1586" s="2" t="s">
        <v>53</v>
      </c>
      <c r="D1586" s="2" t="s">
        <v>61</v>
      </c>
      <c r="E1586" s="2" t="s">
        <v>79</v>
      </c>
      <c r="F1586" s="2" t="s">
        <v>39</v>
      </c>
      <c r="G1586" s="2" t="s">
        <v>20</v>
      </c>
      <c r="H1586" s="2" t="s">
        <v>21</v>
      </c>
      <c r="I1586" s="2">
        <v>24</v>
      </c>
      <c r="J1586" s="2" t="s">
        <v>187</v>
      </c>
      <c r="K1586" s="2" t="s">
        <v>4274</v>
      </c>
      <c r="L1586" s="2" t="s">
        <v>92</v>
      </c>
      <c r="M1586" s="2">
        <v>2</v>
      </c>
      <c r="N1586" s="2" t="s">
        <v>64</v>
      </c>
    </row>
    <row r="1587" spans="1:14" x14ac:dyDescent="0.25">
      <c r="A1587" s="2" t="s">
        <v>4275</v>
      </c>
      <c r="B1587" s="2" t="s">
        <v>4276</v>
      </c>
      <c r="C1587" s="2" t="s">
        <v>28</v>
      </c>
      <c r="D1587" s="2" t="s">
        <v>37</v>
      </c>
      <c r="E1587" s="2" t="s">
        <v>148</v>
      </c>
      <c r="F1587" s="2" t="s">
        <v>39</v>
      </c>
      <c r="G1587" s="2" t="s">
        <v>158</v>
      </c>
      <c r="H1587" s="2" t="s">
        <v>21</v>
      </c>
      <c r="I1587" s="2">
        <v>24</v>
      </c>
      <c r="J1587" s="2" t="s">
        <v>41</v>
      </c>
      <c r="K1587" s="2" t="s">
        <v>4277</v>
      </c>
      <c r="L1587" s="2" t="s">
        <v>24</v>
      </c>
      <c r="M1587" s="2"/>
      <c r="N1587" s="2" t="s">
        <v>64</v>
      </c>
    </row>
    <row r="1588" spans="1:14" x14ac:dyDescent="0.25">
      <c r="A1588" s="2" t="s">
        <v>4278</v>
      </c>
      <c r="B1588" s="2" t="s">
        <v>4279</v>
      </c>
      <c r="C1588" s="2" t="s">
        <v>16</v>
      </c>
      <c r="D1588" s="2" t="s">
        <v>84</v>
      </c>
      <c r="E1588" s="2" t="s">
        <v>79</v>
      </c>
      <c r="F1588" s="2" t="s">
        <v>47</v>
      </c>
      <c r="G1588" s="2" t="s">
        <v>139</v>
      </c>
      <c r="H1588" s="2" t="s">
        <v>21</v>
      </c>
      <c r="I1588" s="2">
        <v>24</v>
      </c>
      <c r="J1588" s="2" t="s">
        <v>75</v>
      </c>
      <c r="K1588" s="2" t="s">
        <v>4280</v>
      </c>
      <c r="L1588" s="2" t="s">
        <v>24</v>
      </c>
      <c r="M1588" s="2">
        <v>5</v>
      </c>
      <c r="N1588" s="2" t="s">
        <v>43</v>
      </c>
    </row>
    <row r="1589" spans="1:14" x14ac:dyDescent="0.25">
      <c r="A1589" s="2" t="s">
        <v>4281</v>
      </c>
      <c r="B1589" s="2" t="s">
        <v>4282</v>
      </c>
      <c r="C1589" s="2" t="s">
        <v>53</v>
      </c>
      <c r="D1589" s="2" t="s">
        <v>61</v>
      </c>
      <c r="E1589" s="2" t="s">
        <v>38</v>
      </c>
      <c r="F1589" s="2" t="s">
        <v>143</v>
      </c>
      <c r="G1589" s="2" t="s">
        <v>105</v>
      </c>
      <c r="H1589" s="2" t="s">
        <v>21</v>
      </c>
      <c r="I1589" s="2">
        <v>24</v>
      </c>
      <c r="J1589" s="2" t="s">
        <v>41</v>
      </c>
      <c r="K1589" s="2" t="s">
        <v>4283</v>
      </c>
      <c r="L1589" s="2" t="s">
        <v>24</v>
      </c>
      <c r="M1589" s="2">
        <v>5</v>
      </c>
      <c r="N1589" s="2" t="s">
        <v>118</v>
      </c>
    </row>
    <row r="1590" spans="1:14" x14ac:dyDescent="0.25">
      <c r="A1590" s="2" t="s">
        <v>4284</v>
      </c>
      <c r="B1590" s="2" t="s">
        <v>4285</v>
      </c>
      <c r="C1590" s="2" t="s">
        <v>53</v>
      </c>
      <c r="D1590" s="2" t="s">
        <v>61</v>
      </c>
      <c r="E1590" s="2" t="s">
        <v>18</v>
      </c>
      <c r="F1590" s="2" t="s">
        <v>131</v>
      </c>
      <c r="G1590" s="2" t="s">
        <v>20</v>
      </c>
      <c r="H1590" s="2" t="s">
        <v>21</v>
      </c>
      <c r="I1590" s="2">
        <v>24</v>
      </c>
      <c r="J1590" s="2" t="s">
        <v>41</v>
      </c>
      <c r="K1590" s="2" t="s">
        <v>4286</v>
      </c>
      <c r="L1590" s="2" t="s">
        <v>92</v>
      </c>
      <c r="M1590" s="2"/>
      <c r="N1590" s="2" t="s">
        <v>25</v>
      </c>
    </row>
    <row r="1591" spans="1:14" x14ac:dyDescent="0.25">
      <c r="A1591" s="2" t="s">
        <v>4287</v>
      </c>
      <c r="B1591" s="2" t="s">
        <v>4288</v>
      </c>
      <c r="C1591" s="2" t="s">
        <v>28</v>
      </c>
      <c r="D1591" s="2" t="s">
        <v>37</v>
      </c>
      <c r="E1591" s="2" t="s">
        <v>90</v>
      </c>
      <c r="F1591" s="2" t="s">
        <v>30</v>
      </c>
      <c r="G1591" s="2" t="s">
        <v>121</v>
      </c>
      <c r="H1591" s="2" t="s">
        <v>21</v>
      </c>
      <c r="I1591" s="2">
        <v>24</v>
      </c>
      <c r="J1591" s="2" t="s">
        <v>22</v>
      </c>
      <c r="K1591" s="2" t="s">
        <v>4289</v>
      </c>
      <c r="L1591" s="2" t="s">
        <v>24</v>
      </c>
      <c r="M1591" s="2">
        <v>1</v>
      </c>
      <c r="N1591" s="2" t="s">
        <v>43</v>
      </c>
    </row>
    <row r="1592" spans="1:14" x14ac:dyDescent="0.25">
      <c r="A1592" s="2" t="s">
        <v>4290</v>
      </c>
      <c r="B1592" s="2" t="s">
        <v>4291</v>
      </c>
      <c r="C1592" s="2" t="s">
        <v>28</v>
      </c>
      <c r="D1592" s="2" t="s">
        <v>29</v>
      </c>
      <c r="E1592" s="2" t="s">
        <v>38</v>
      </c>
      <c r="F1592" s="2" t="s">
        <v>30</v>
      </c>
      <c r="G1592" s="2" t="s">
        <v>135</v>
      </c>
      <c r="H1592" s="2" t="s">
        <v>32</v>
      </c>
      <c r="I1592" s="2">
        <v>48</v>
      </c>
      <c r="J1592" s="2" t="s">
        <v>287</v>
      </c>
      <c r="K1592" s="2"/>
      <c r="L1592" s="2" t="s">
        <v>24</v>
      </c>
      <c r="M1592" s="2"/>
      <c r="N1592" s="2" t="s">
        <v>25</v>
      </c>
    </row>
    <row r="1593" spans="1:14" x14ac:dyDescent="0.25">
      <c r="A1593" s="2" t="s">
        <v>4292</v>
      </c>
      <c r="B1593" s="2" t="s">
        <v>4293</v>
      </c>
      <c r="C1593" s="2" t="s">
        <v>28</v>
      </c>
      <c r="D1593" s="2" t="s">
        <v>100</v>
      </c>
      <c r="E1593" s="2" t="s">
        <v>85</v>
      </c>
      <c r="F1593" s="2" t="s">
        <v>143</v>
      </c>
      <c r="G1593" s="2" t="s">
        <v>97</v>
      </c>
      <c r="H1593" s="2" t="s">
        <v>32</v>
      </c>
      <c r="I1593" s="2">
        <v>48</v>
      </c>
      <c r="J1593" s="2" t="s">
        <v>22</v>
      </c>
      <c r="K1593" s="2" t="s">
        <v>4294</v>
      </c>
      <c r="L1593" s="2" t="s">
        <v>24</v>
      </c>
      <c r="M1593" s="2">
        <v>3</v>
      </c>
      <c r="N1593" s="2" t="s">
        <v>118</v>
      </c>
    </row>
    <row r="1594" spans="1:14" x14ac:dyDescent="0.25">
      <c r="A1594" s="2" t="s">
        <v>4295</v>
      </c>
      <c r="B1594" s="2" t="s">
        <v>4296</v>
      </c>
      <c r="C1594" s="2" t="s">
        <v>67</v>
      </c>
      <c r="D1594" s="2" t="s">
        <v>68</v>
      </c>
      <c r="E1594" s="2" t="s">
        <v>46</v>
      </c>
      <c r="F1594" s="2" t="s">
        <v>113</v>
      </c>
      <c r="G1594" s="2" t="s">
        <v>91</v>
      </c>
      <c r="H1594" s="2" t="s">
        <v>21</v>
      </c>
      <c r="I1594" s="2">
        <v>24</v>
      </c>
      <c r="J1594" s="2" t="s">
        <v>41</v>
      </c>
      <c r="K1594" s="2" t="s">
        <v>4297</v>
      </c>
      <c r="L1594" s="2" t="s">
        <v>24</v>
      </c>
      <c r="M1594" s="2"/>
      <c r="N1594" s="2"/>
    </row>
    <row r="1595" spans="1:14" x14ac:dyDescent="0.25">
      <c r="A1595" s="2" t="s">
        <v>4298</v>
      </c>
      <c r="B1595" s="2" t="s">
        <v>4299</v>
      </c>
      <c r="C1595" s="2" t="s">
        <v>67</v>
      </c>
      <c r="D1595" s="2" t="s">
        <v>68</v>
      </c>
      <c r="E1595" s="2" t="s">
        <v>79</v>
      </c>
      <c r="F1595" s="2" t="s">
        <v>62</v>
      </c>
      <c r="G1595" s="2" t="s">
        <v>126</v>
      </c>
      <c r="H1595" s="2" t="s">
        <v>32</v>
      </c>
      <c r="I1595" s="2">
        <v>48</v>
      </c>
      <c r="J1595" s="2" t="s">
        <v>106</v>
      </c>
      <c r="K1595" s="2" t="s">
        <v>4300</v>
      </c>
      <c r="L1595" s="2" t="s">
        <v>24</v>
      </c>
      <c r="M1595" s="2"/>
      <c r="N1595" s="2" t="s">
        <v>43</v>
      </c>
    </row>
    <row r="1596" spans="1:14" x14ac:dyDescent="0.25">
      <c r="A1596" s="2" t="s">
        <v>4301</v>
      </c>
      <c r="B1596" s="2" t="s">
        <v>4302</v>
      </c>
      <c r="C1596" s="2" t="s">
        <v>53</v>
      </c>
      <c r="D1596" s="2" t="s">
        <v>61</v>
      </c>
      <c r="E1596" s="2" t="s">
        <v>90</v>
      </c>
      <c r="F1596" s="2" t="s">
        <v>96</v>
      </c>
      <c r="G1596" s="2" t="s">
        <v>158</v>
      </c>
      <c r="H1596" s="2" t="s">
        <v>21</v>
      </c>
      <c r="I1596" s="2">
        <v>24</v>
      </c>
      <c r="J1596" s="2" t="s">
        <v>41</v>
      </c>
      <c r="K1596" s="2" t="s">
        <v>4303</v>
      </c>
      <c r="L1596" s="2" t="s">
        <v>92</v>
      </c>
      <c r="M1596" s="2">
        <v>5</v>
      </c>
      <c r="N1596" s="2" t="s">
        <v>34</v>
      </c>
    </row>
    <row r="1597" spans="1:14" x14ac:dyDescent="0.25">
      <c r="A1597" s="2" t="s">
        <v>4304</v>
      </c>
      <c r="B1597" s="2" t="s">
        <v>4305</v>
      </c>
      <c r="C1597" s="2" t="s">
        <v>53</v>
      </c>
      <c r="D1597" s="2" t="s">
        <v>162</v>
      </c>
      <c r="E1597" s="2" t="s">
        <v>46</v>
      </c>
      <c r="F1597" s="2" t="s">
        <v>131</v>
      </c>
      <c r="G1597" s="2" t="s">
        <v>91</v>
      </c>
      <c r="H1597" s="2" t="s">
        <v>74</v>
      </c>
      <c r="I1597" s="2">
        <v>8</v>
      </c>
      <c r="J1597" s="2" t="s">
        <v>33</v>
      </c>
      <c r="K1597" s="2"/>
      <c r="L1597" s="2" t="s">
        <v>24</v>
      </c>
      <c r="M1597" s="2"/>
      <c r="N1597" s="2" t="s">
        <v>43</v>
      </c>
    </row>
    <row r="1598" spans="1:14" x14ac:dyDescent="0.25">
      <c r="A1598" s="2" t="s">
        <v>4306</v>
      </c>
      <c r="B1598" s="2" t="s">
        <v>4307</v>
      </c>
      <c r="C1598" s="2" t="s">
        <v>16</v>
      </c>
      <c r="D1598" s="2" t="s">
        <v>17</v>
      </c>
      <c r="E1598" s="2" t="s">
        <v>79</v>
      </c>
      <c r="F1598" s="2" t="s">
        <v>55</v>
      </c>
      <c r="G1598" s="2" t="s">
        <v>126</v>
      </c>
      <c r="H1598" s="2" t="s">
        <v>80</v>
      </c>
      <c r="I1598" s="2">
        <v>4</v>
      </c>
      <c r="J1598" s="2" t="s">
        <v>48</v>
      </c>
      <c r="K1598" s="2" t="s">
        <v>4308</v>
      </c>
      <c r="L1598" s="2" t="s">
        <v>24</v>
      </c>
      <c r="M1598" s="2">
        <v>4</v>
      </c>
      <c r="N1598" s="2" t="s">
        <v>118</v>
      </c>
    </row>
    <row r="1599" spans="1:14" x14ac:dyDescent="0.25">
      <c r="A1599" s="2" t="s">
        <v>4309</v>
      </c>
      <c r="B1599" s="2" t="s">
        <v>4310</v>
      </c>
      <c r="C1599" s="2" t="s">
        <v>53</v>
      </c>
      <c r="D1599" s="2" t="s">
        <v>61</v>
      </c>
      <c r="E1599" s="2" t="s">
        <v>85</v>
      </c>
      <c r="F1599" s="2" t="s">
        <v>62</v>
      </c>
      <c r="G1599" s="2" t="s">
        <v>97</v>
      </c>
      <c r="H1599" s="2" t="s">
        <v>74</v>
      </c>
      <c r="I1599" s="2">
        <v>8</v>
      </c>
      <c r="J1599" s="2" t="s">
        <v>33</v>
      </c>
      <c r="K1599" s="2"/>
      <c r="L1599" s="2" t="s">
        <v>24</v>
      </c>
      <c r="M1599" s="2"/>
      <c r="N1599" s="2" t="s">
        <v>128</v>
      </c>
    </row>
    <row r="1600" spans="1:14" x14ac:dyDescent="0.25">
      <c r="A1600" s="2" t="s">
        <v>4311</v>
      </c>
      <c r="B1600" s="2" t="s">
        <v>4312</v>
      </c>
      <c r="C1600" s="2" t="s">
        <v>16</v>
      </c>
      <c r="D1600" s="2" t="s">
        <v>17</v>
      </c>
      <c r="E1600" s="2" t="s">
        <v>46</v>
      </c>
      <c r="F1600" s="2" t="s">
        <v>39</v>
      </c>
      <c r="G1600" s="2" t="s">
        <v>31</v>
      </c>
      <c r="H1600" s="2" t="s">
        <v>32</v>
      </c>
      <c r="I1600" s="2">
        <v>48</v>
      </c>
      <c r="J1600" s="2" t="s">
        <v>106</v>
      </c>
      <c r="K1600" s="2" t="s">
        <v>4313</v>
      </c>
      <c r="L1600" s="2" t="s">
        <v>24</v>
      </c>
      <c r="M1600" s="2">
        <v>2</v>
      </c>
      <c r="N1600" s="2" t="s">
        <v>43</v>
      </c>
    </row>
    <row r="1601" spans="1:14" x14ac:dyDescent="0.25">
      <c r="A1601" s="2" t="s">
        <v>4314</v>
      </c>
      <c r="B1601" s="2" t="s">
        <v>4315</v>
      </c>
      <c r="C1601" s="2" t="s">
        <v>53</v>
      </c>
      <c r="D1601" s="2" t="s">
        <v>54</v>
      </c>
      <c r="E1601" s="2" t="s">
        <v>148</v>
      </c>
      <c r="F1601" s="2" t="s">
        <v>69</v>
      </c>
      <c r="G1601" s="2" t="s">
        <v>135</v>
      </c>
      <c r="H1601" s="2" t="s">
        <v>74</v>
      </c>
      <c r="I1601" s="2">
        <v>8</v>
      </c>
      <c r="J1601" s="2" t="s">
        <v>41</v>
      </c>
      <c r="K1601" s="2" t="s">
        <v>4316</v>
      </c>
      <c r="L1601" s="2" t="s">
        <v>24</v>
      </c>
      <c r="M1601" s="2">
        <v>4</v>
      </c>
      <c r="N1601" s="2" t="s">
        <v>34</v>
      </c>
    </row>
    <row r="1602" spans="1:14" x14ac:dyDescent="0.25">
      <c r="A1602" s="2" t="s">
        <v>4317</v>
      </c>
      <c r="B1602" s="2" t="s">
        <v>4318</v>
      </c>
      <c r="C1602" s="2" t="s">
        <v>28</v>
      </c>
      <c r="D1602" s="2" t="s">
        <v>37</v>
      </c>
      <c r="E1602" s="2" t="s">
        <v>148</v>
      </c>
      <c r="F1602" s="2" t="s">
        <v>131</v>
      </c>
      <c r="G1602" s="2" t="s">
        <v>70</v>
      </c>
      <c r="H1602" s="2" t="s">
        <v>74</v>
      </c>
      <c r="I1602" s="2">
        <v>8</v>
      </c>
      <c r="J1602" s="2" t="s">
        <v>22</v>
      </c>
      <c r="K1602" s="2" t="s">
        <v>4319</v>
      </c>
      <c r="L1602" s="2" t="s">
        <v>24</v>
      </c>
      <c r="M1602" s="2">
        <v>4</v>
      </c>
      <c r="N1602" s="2" t="s">
        <v>43</v>
      </c>
    </row>
    <row r="1603" spans="1:14" x14ac:dyDescent="0.25">
      <c r="A1603" s="2" t="s">
        <v>4320</v>
      </c>
      <c r="B1603" s="2" t="s">
        <v>4321</v>
      </c>
      <c r="C1603" s="2" t="s">
        <v>53</v>
      </c>
      <c r="D1603" s="2" t="s">
        <v>54</v>
      </c>
      <c r="E1603" s="2" t="s">
        <v>38</v>
      </c>
      <c r="F1603" s="2" t="s">
        <v>19</v>
      </c>
      <c r="G1603" s="2" t="s">
        <v>179</v>
      </c>
      <c r="H1603" s="2" t="s">
        <v>21</v>
      </c>
      <c r="I1603" s="2">
        <v>24</v>
      </c>
      <c r="J1603" s="2" t="s">
        <v>48</v>
      </c>
      <c r="K1603" s="2" t="s">
        <v>4322</v>
      </c>
      <c r="L1603" s="2" t="s">
        <v>92</v>
      </c>
      <c r="M1603" s="2">
        <v>4</v>
      </c>
      <c r="N1603" s="2" t="s">
        <v>58</v>
      </c>
    </row>
    <row r="1604" spans="1:14" x14ac:dyDescent="0.25">
      <c r="A1604" s="2" t="s">
        <v>4323</v>
      </c>
      <c r="B1604" s="2" t="s">
        <v>4324</v>
      </c>
      <c r="C1604" s="2" t="s">
        <v>16</v>
      </c>
      <c r="D1604" s="2" t="s">
        <v>84</v>
      </c>
      <c r="E1604" s="2" t="s">
        <v>148</v>
      </c>
      <c r="F1604" s="2" t="s">
        <v>143</v>
      </c>
      <c r="G1604" s="2" t="s">
        <v>91</v>
      </c>
      <c r="H1604" s="2" t="s">
        <v>74</v>
      </c>
      <c r="I1604" s="2">
        <v>8</v>
      </c>
      <c r="J1604" s="2" t="s">
        <v>117</v>
      </c>
      <c r="K1604" s="2"/>
      <c r="L1604" s="2" t="s">
        <v>24</v>
      </c>
      <c r="M1604" s="2"/>
      <c r="N1604" s="2" t="s">
        <v>58</v>
      </c>
    </row>
    <row r="1605" spans="1:14" x14ac:dyDescent="0.25">
      <c r="A1605" s="2" t="s">
        <v>4325</v>
      </c>
      <c r="B1605" s="2" t="s">
        <v>4326</v>
      </c>
      <c r="C1605" s="2" t="s">
        <v>28</v>
      </c>
      <c r="D1605" s="2" t="s">
        <v>37</v>
      </c>
      <c r="E1605" s="2" t="s">
        <v>79</v>
      </c>
      <c r="F1605" s="2" t="s">
        <v>30</v>
      </c>
      <c r="G1605" s="2" t="s">
        <v>101</v>
      </c>
      <c r="H1605" s="2" t="s">
        <v>32</v>
      </c>
      <c r="I1605" s="2">
        <v>48</v>
      </c>
      <c r="J1605" s="2" t="s">
        <v>22</v>
      </c>
      <c r="K1605" s="2" t="s">
        <v>4327</v>
      </c>
      <c r="L1605" s="2" t="s">
        <v>24</v>
      </c>
      <c r="M1605" s="2">
        <v>3</v>
      </c>
      <c r="N1605" s="2" t="s">
        <v>43</v>
      </c>
    </row>
    <row r="1606" spans="1:14" x14ac:dyDescent="0.25">
      <c r="A1606" s="2" t="s">
        <v>4328</v>
      </c>
      <c r="B1606" s="2" t="s">
        <v>4329</v>
      </c>
      <c r="C1606" s="2" t="s">
        <v>16</v>
      </c>
      <c r="D1606" s="2" t="s">
        <v>17</v>
      </c>
      <c r="E1606" s="2" t="s">
        <v>85</v>
      </c>
      <c r="F1606" s="2" t="s">
        <v>96</v>
      </c>
      <c r="G1606" s="2" t="s">
        <v>144</v>
      </c>
      <c r="H1606" s="2" t="s">
        <v>21</v>
      </c>
      <c r="I1606" s="2">
        <v>24</v>
      </c>
      <c r="J1606" s="2" t="s">
        <v>106</v>
      </c>
      <c r="K1606" s="2" t="s">
        <v>4330</v>
      </c>
      <c r="L1606" s="2" t="s">
        <v>24</v>
      </c>
      <c r="M1606" s="2"/>
      <c r="N1606" s="2" t="s">
        <v>25</v>
      </c>
    </row>
    <row r="1607" spans="1:14" x14ac:dyDescent="0.25">
      <c r="A1607" s="2" t="s">
        <v>4331</v>
      </c>
      <c r="B1607" s="2" t="s">
        <v>4332</v>
      </c>
      <c r="C1607" s="2" t="s">
        <v>53</v>
      </c>
      <c r="D1607" s="2" t="s">
        <v>61</v>
      </c>
      <c r="E1607" s="2" t="s">
        <v>79</v>
      </c>
      <c r="F1607" s="2" t="s">
        <v>113</v>
      </c>
      <c r="G1607" s="2" t="s">
        <v>126</v>
      </c>
      <c r="H1607" s="2" t="s">
        <v>32</v>
      </c>
      <c r="I1607" s="2">
        <v>48</v>
      </c>
      <c r="J1607" s="2" t="s">
        <v>187</v>
      </c>
      <c r="K1607" s="2" t="s">
        <v>4333</v>
      </c>
      <c r="L1607" s="2" t="s">
        <v>24</v>
      </c>
      <c r="M1607" s="2"/>
      <c r="N1607" s="2" t="s">
        <v>118</v>
      </c>
    </row>
    <row r="1608" spans="1:14" x14ac:dyDescent="0.25">
      <c r="A1608" s="2" t="s">
        <v>4334</v>
      </c>
      <c r="B1608" s="2" t="s">
        <v>4335</v>
      </c>
      <c r="C1608" s="2" t="s">
        <v>28</v>
      </c>
      <c r="D1608" s="2" t="s">
        <v>37</v>
      </c>
      <c r="E1608" s="2" t="s">
        <v>38</v>
      </c>
      <c r="F1608" s="2" t="s">
        <v>125</v>
      </c>
      <c r="G1608" s="2" t="s">
        <v>144</v>
      </c>
      <c r="H1608" s="2" t="s">
        <v>74</v>
      </c>
      <c r="I1608" s="2">
        <v>8</v>
      </c>
      <c r="J1608" s="2" t="s">
        <v>149</v>
      </c>
      <c r="K1608" s="2"/>
      <c r="L1608" s="2" t="s">
        <v>24</v>
      </c>
      <c r="M1608" s="2"/>
      <c r="N1608" s="2"/>
    </row>
    <row r="1609" spans="1:14" x14ac:dyDescent="0.25">
      <c r="A1609" s="2" t="s">
        <v>4336</v>
      </c>
      <c r="B1609" s="2" t="s">
        <v>4337</v>
      </c>
      <c r="C1609" s="2" t="s">
        <v>16</v>
      </c>
      <c r="D1609" s="2" t="s">
        <v>240</v>
      </c>
      <c r="E1609" s="2" t="s">
        <v>18</v>
      </c>
      <c r="F1609" s="2" t="s">
        <v>96</v>
      </c>
      <c r="G1609" s="2" t="s">
        <v>144</v>
      </c>
      <c r="H1609" s="2" t="s">
        <v>32</v>
      </c>
      <c r="I1609" s="2">
        <v>48</v>
      </c>
      <c r="J1609" s="2" t="s">
        <v>287</v>
      </c>
      <c r="K1609" s="2"/>
      <c r="L1609" s="2" t="s">
        <v>24</v>
      </c>
      <c r="M1609" s="2"/>
      <c r="N1609" s="2"/>
    </row>
    <row r="1610" spans="1:14" x14ac:dyDescent="0.25">
      <c r="A1610" s="2" t="s">
        <v>4338</v>
      </c>
      <c r="B1610" s="2" t="s">
        <v>4339</v>
      </c>
      <c r="C1610" s="2" t="s">
        <v>53</v>
      </c>
      <c r="D1610" s="2" t="s">
        <v>61</v>
      </c>
      <c r="E1610" s="2" t="s">
        <v>85</v>
      </c>
      <c r="F1610" s="2" t="s">
        <v>69</v>
      </c>
      <c r="G1610" s="2" t="s">
        <v>110</v>
      </c>
      <c r="H1610" s="2" t="s">
        <v>21</v>
      </c>
      <c r="I1610" s="2">
        <v>24</v>
      </c>
      <c r="J1610" s="2" t="s">
        <v>106</v>
      </c>
      <c r="K1610" s="2" t="s">
        <v>4340</v>
      </c>
      <c r="L1610" s="2" t="s">
        <v>24</v>
      </c>
      <c r="M1610" s="2">
        <v>4</v>
      </c>
      <c r="N1610" s="2" t="s">
        <v>25</v>
      </c>
    </row>
    <row r="1611" spans="1:14" x14ac:dyDescent="0.25">
      <c r="A1611" s="2" t="s">
        <v>4341</v>
      </c>
      <c r="B1611" s="2" t="s">
        <v>4342</v>
      </c>
      <c r="C1611" s="2" t="s">
        <v>28</v>
      </c>
      <c r="D1611" s="2" t="s">
        <v>37</v>
      </c>
      <c r="E1611" s="2" t="s">
        <v>85</v>
      </c>
      <c r="F1611" s="2" t="s">
        <v>113</v>
      </c>
      <c r="G1611" s="2" t="s">
        <v>101</v>
      </c>
      <c r="H1611" s="2" t="s">
        <v>74</v>
      </c>
      <c r="I1611" s="2">
        <v>8</v>
      </c>
      <c r="J1611" s="2" t="s">
        <v>486</v>
      </c>
      <c r="K1611" s="2" t="s">
        <v>4343</v>
      </c>
      <c r="L1611" s="2" t="s">
        <v>24</v>
      </c>
      <c r="M1611" s="2"/>
      <c r="N1611" s="2" t="s">
        <v>43</v>
      </c>
    </row>
    <row r="1612" spans="1:14" x14ac:dyDescent="0.25">
      <c r="A1612" s="2" t="s">
        <v>4344</v>
      </c>
      <c r="B1612" s="2" t="s">
        <v>4345</v>
      </c>
      <c r="C1612" s="2" t="s">
        <v>16</v>
      </c>
      <c r="D1612" s="2" t="s">
        <v>17</v>
      </c>
      <c r="E1612" s="2" t="s">
        <v>18</v>
      </c>
      <c r="F1612" s="2" t="s">
        <v>143</v>
      </c>
      <c r="G1612" s="2" t="s">
        <v>139</v>
      </c>
      <c r="H1612" s="2" t="s">
        <v>32</v>
      </c>
      <c r="I1612" s="2">
        <v>48</v>
      </c>
      <c r="J1612" s="2" t="s">
        <v>41</v>
      </c>
      <c r="K1612" s="2" t="s">
        <v>4346</v>
      </c>
      <c r="L1612" s="2" t="s">
        <v>24</v>
      </c>
      <c r="M1612" s="2">
        <v>1</v>
      </c>
      <c r="N1612" s="2" t="s">
        <v>43</v>
      </c>
    </row>
    <row r="1613" spans="1:14" x14ac:dyDescent="0.25">
      <c r="A1613" s="2" t="s">
        <v>4347</v>
      </c>
      <c r="B1613" s="2" t="s">
        <v>4348</v>
      </c>
      <c r="C1613" s="2" t="s">
        <v>53</v>
      </c>
      <c r="D1613" s="2" t="s">
        <v>54</v>
      </c>
      <c r="E1613" s="2" t="s">
        <v>148</v>
      </c>
      <c r="F1613" s="2" t="s">
        <v>19</v>
      </c>
      <c r="G1613" s="2" t="s">
        <v>110</v>
      </c>
      <c r="H1613" s="2" t="s">
        <v>80</v>
      </c>
      <c r="I1613" s="2">
        <v>4</v>
      </c>
      <c r="J1613" s="2" t="s">
        <v>41</v>
      </c>
      <c r="K1613" s="2" t="s">
        <v>4349</v>
      </c>
      <c r="L1613" s="2" t="s">
        <v>24</v>
      </c>
      <c r="M1613" s="2"/>
      <c r="N1613" s="2"/>
    </row>
    <row r="1614" spans="1:14" x14ac:dyDescent="0.25">
      <c r="A1614" s="2" t="s">
        <v>4350</v>
      </c>
      <c r="B1614" s="2" t="s">
        <v>4351</v>
      </c>
      <c r="C1614" s="2" t="s">
        <v>53</v>
      </c>
      <c r="D1614" s="2" t="s">
        <v>54</v>
      </c>
      <c r="E1614" s="2" t="s">
        <v>79</v>
      </c>
      <c r="F1614" s="2" t="s">
        <v>113</v>
      </c>
      <c r="G1614" s="2" t="s">
        <v>211</v>
      </c>
      <c r="H1614" s="2" t="s">
        <v>32</v>
      </c>
      <c r="I1614" s="2">
        <v>48</v>
      </c>
      <c r="J1614" s="2" t="s">
        <v>75</v>
      </c>
      <c r="K1614" s="2" t="s">
        <v>4352</v>
      </c>
      <c r="L1614" s="2" t="s">
        <v>24</v>
      </c>
      <c r="M1614" s="2">
        <v>5</v>
      </c>
      <c r="N1614" s="2" t="s">
        <v>34</v>
      </c>
    </row>
    <row r="1615" spans="1:14" x14ac:dyDescent="0.25">
      <c r="A1615" s="2" t="s">
        <v>4353</v>
      </c>
      <c r="B1615" s="2" t="s">
        <v>4354</v>
      </c>
      <c r="C1615" s="2" t="s">
        <v>28</v>
      </c>
      <c r="D1615" s="2" t="s">
        <v>37</v>
      </c>
      <c r="E1615" s="2" t="s">
        <v>148</v>
      </c>
      <c r="F1615" s="2" t="s">
        <v>62</v>
      </c>
      <c r="G1615" s="2" t="s">
        <v>20</v>
      </c>
      <c r="H1615" s="2" t="s">
        <v>21</v>
      </c>
      <c r="I1615" s="2">
        <v>24</v>
      </c>
      <c r="J1615" s="2" t="s">
        <v>155</v>
      </c>
      <c r="K1615" s="2"/>
      <c r="L1615" s="2" t="s">
        <v>24</v>
      </c>
      <c r="M1615" s="2"/>
      <c r="N1615" s="2" t="s">
        <v>64</v>
      </c>
    </row>
    <row r="1616" spans="1:14" x14ac:dyDescent="0.25">
      <c r="A1616" s="2" t="s">
        <v>4355</v>
      </c>
      <c r="B1616" s="2" t="s">
        <v>4356</v>
      </c>
      <c r="C1616" s="2" t="s">
        <v>53</v>
      </c>
      <c r="D1616" s="2" t="s">
        <v>54</v>
      </c>
      <c r="E1616" s="2" t="s">
        <v>90</v>
      </c>
      <c r="F1616" s="2" t="s">
        <v>39</v>
      </c>
      <c r="G1616" s="2" t="s">
        <v>121</v>
      </c>
      <c r="H1616" s="2" t="s">
        <v>74</v>
      </c>
      <c r="I1616" s="2">
        <v>8</v>
      </c>
      <c r="J1616" s="2" t="s">
        <v>48</v>
      </c>
      <c r="K1616" s="2" t="s">
        <v>4357</v>
      </c>
      <c r="L1616" s="2" t="s">
        <v>24</v>
      </c>
      <c r="M1616" s="2">
        <v>5</v>
      </c>
      <c r="N1616" s="2" t="s">
        <v>128</v>
      </c>
    </row>
    <row r="1617" spans="1:14" x14ac:dyDescent="0.25">
      <c r="A1617" s="2" t="s">
        <v>4358</v>
      </c>
      <c r="B1617" s="2" t="s">
        <v>4359</v>
      </c>
      <c r="C1617" s="2" t="s">
        <v>16</v>
      </c>
      <c r="D1617" s="2" t="s">
        <v>17</v>
      </c>
      <c r="E1617" s="2" t="s">
        <v>79</v>
      </c>
      <c r="F1617" s="2" t="s">
        <v>55</v>
      </c>
      <c r="G1617" s="2" t="s">
        <v>158</v>
      </c>
      <c r="H1617" s="2" t="s">
        <v>74</v>
      </c>
      <c r="I1617" s="2">
        <v>8</v>
      </c>
      <c r="J1617" s="2" t="s">
        <v>33</v>
      </c>
      <c r="K1617" s="2"/>
      <c r="L1617" s="2" t="s">
        <v>24</v>
      </c>
      <c r="M1617" s="2"/>
      <c r="N1617" s="2" t="s">
        <v>34</v>
      </c>
    </row>
    <row r="1618" spans="1:14" x14ac:dyDescent="0.25">
      <c r="A1618" s="2" t="s">
        <v>4360</v>
      </c>
      <c r="B1618" s="2" t="s">
        <v>4361</v>
      </c>
      <c r="C1618" s="2" t="s">
        <v>53</v>
      </c>
      <c r="D1618" s="2" t="s">
        <v>54</v>
      </c>
      <c r="E1618" s="2" t="s">
        <v>79</v>
      </c>
      <c r="F1618" s="2" t="s">
        <v>96</v>
      </c>
      <c r="G1618" s="2" t="s">
        <v>105</v>
      </c>
      <c r="H1618" s="2" t="s">
        <v>21</v>
      </c>
      <c r="I1618" s="2">
        <v>24</v>
      </c>
      <c r="J1618" s="2" t="s">
        <v>187</v>
      </c>
      <c r="K1618" s="2" t="s">
        <v>4362</v>
      </c>
      <c r="L1618" s="2" t="s">
        <v>24</v>
      </c>
      <c r="M1618" s="2"/>
      <c r="N1618" s="2" t="s">
        <v>58</v>
      </c>
    </row>
    <row r="1619" spans="1:14" x14ac:dyDescent="0.25">
      <c r="A1619" s="2" t="s">
        <v>4363</v>
      </c>
      <c r="B1619" s="2" t="s">
        <v>4364</v>
      </c>
      <c r="C1619" s="2" t="s">
        <v>67</v>
      </c>
      <c r="D1619" s="2" t="s">
        <v>95</v>
      </c>
      <c r="E1619" s="2" t="s">
        <v>46</v>
      </c>
      <c r="F1619" s="2" t="s">
        <v>30</v>
      </c>
      <c r="G1619" s="2" t="s">
        <v>97</v>
      </c>
      <c r="H1619" s="2" t="s">
        <v>32</v>
      </c>
      <c r="I1619" s="2">
        <v>48</v>
      </c>
      <c r="J1619" s="2" t="s">
        <v>287</v>
      </c>
      <c r="K1619" s="2"/>
      <c r="L1619" s="2" t="s">
        <v>24</v>
      </c>
      <c r="M1619" s="2"/>
      <c r="N1619" s="2"/>
    </row>
    <row r="1620" spans="1:14" x14ac:dyDescent="0.25">
      <c r="A1620" s="2" t="s">
        <v>4365</v>
      </c>
      <c r="B1620" s="2" t="s">
        <v>4366</v>
      </c>
      <c r="C1620" s="2" t="s">
        <v>16</v>
      </c>
      <c r="D1620" s="2" t="s">
        <v>17</v>
      </c>
      <c r="E1620" s="2" t="s">
        <v>46</v>
      </c>
      <c r="F1620" s="2" t="s">
        <v>47</v>
      </c>
      <c r="G1620" s="2" t="s">
        <v>121</v>
      </c>
      <c r="H1620" s="2" t="s">
        <v>32</v>
      </c>
      <c r="I1620" s="2">
        <v>48</v>
      </c>
      <c r="J1620" s="2" t="s">
        <v>187</v>
      </c>
      <c r="K1620" s="2" t="s">
        <v>4367</v>
      </c>
      <c r="L1620" s="2" t="s">
        <v>92</v>
      </c>
      <c r="M1620" s="2">
        <v>1</v>
      </c>
      <c r="N1620" s="2" t="s">
        <v>58</v>
      </c>
    </row>
    <row r="1621" spans="1:14" x14ac:dyDescent="0.25">
      <c r="A1621" s="2" t="s">
        <v>4368</v>
      </c>
      <c r="B1621" s="2" t="s">
        <v>4369</v>
      </c>
      <c r="C1621" s="2" t="s">
        <v>28</v>
      </c>
      <c r="D1621" s="2" t="s">
        <v>37</v>
      </c>
      <c r="E1621" s="2" t="s">
        <v>148</v>
      </c>
      <c r="F1621" s="2" t="s">
        <v>69</v>
      </c>
      <c r="G1621" s="2" t="s">
        <v>20</v>
      </c>
      <c r="H1621" s="2" t="s">
        <v>80</v>
      </c>
      <c r="I1621" s="2">
        <v>4</v>
      </c>
      <c r="J1621" s="2" t="s">
        <v>187</v>
      </c>
      <c r="K1621" s="2" t="s">
        <v>4370</v>
      </c>
      <c r="L1621" s="2" t="s">
        <v>24</v>
      </c>
      <c r="M1621" s="2">
        <v>5</v>
      </c>
      <c r="N1621" s="2" t="s">
        <v>50</v>
      </c>
    </row>
    <row r="1622" spans="1:14" x14ac:dyDescent="0.25">
      <c r="A1622" s="2" t="s">
        <v>4371</v>
      </c>
      <c r="B1622" s="2" t="s">
        <v>4372</v>
      </c>
      <c r="C1622" s="2" t="s">
        <v>53</v>
      </c>
      <c r="D1622" s="2" t="s">
        <v>54</v>
      </c>
      <c r="E1622" s="2" t="s">
        <v>38</v>
      </c>
      <c r="F1622" s="2" t="s">
        <v>55</v>
      </c>
      <c r="G1622" s="2" t="s">
        <v>139</v>
      </c>
      <c r="H1622" s="2" t="s">
        <v>80</v>
      </c>
      <c r="I1622" s="2">
        <v>4</v>
      </c>
      <c r="J1622" s="2" t="s">
        <v>22</v>
      </c>
      <c r="K1622" s="2" t="s">
        <v>4373</v>
      </c>
      <c r="L1622" s="2" t="s">
        <v>24</v>
      </c>
      <c r="M1622" s="2">
        <v>4</v>
      </c>
      <c r="N1622" s="2" t="s">
        <v>25</v>
      </c>
    </row>
    <row r="1623" spans="1:14" x14ac:dyDescent="0.25">
      <c r="A1623" s="2" t="s">
        <v>4374</v>
      </c>
      <c r="B1623" s="2" t="s">
        <v>4375</v>
      </c>
      <c r="C1623" s="2" t="s">
        <v>28</v>
      </c>
      <c r="D1623" s="2" t="s">
        <v>100</v>
      </c>
      <c r="E1623" s="2" t="s">
        <v>148</v>
      </c>
      <c r="F1623" s="2" t="s">
        <v>143</v>
      </c>
      <c r="G1623" s="2" t="s">
        <v>91</v>
      </c>
      <c r="H1623" s="2" t="s">
        <v>21</v>
      </c>
      <c r="I1623" s="2">
        <v>24</v>
      </c>
      <c r="J1623" s="2" t="s">
        <v>41</v>
      </c>
      <c r="K1623" s="2" t="s">
        <v>4376</v>
      </c>
      <c r="L1623" s="2" t="s">
        <v>24</v>
      </c>
      <c r="M1623" s="2"/>
      <c r="N1623" s="2" t="s">
        <v>118</v>
      </c>
    </row>
    <row r="1624" spans="1:14" x14ac:dyDescent="0.25">
      <c r="A1624" s="2" t="s">
        <v>4377</v>
      </c>
      <c r="B1624" s="2" t="s">
        <v>4378</v>
      </c>
      <c r="C1624" s="2" t="s">
        <v>16</v>
      </c>
      <c r="D1624" s="2" t="s">
        <v>765</v>
      </c>
      <c r="E1624" s="2" t="s">
        <v>148</v>
      </c>
      <c r="F1624" s="2" t="s">
        <v>143</v>
      </c>
      <c r="G1624" s="2" t="s">
        <v>20</v>
      </c>
      <c r="H1624" s="2" t="s">
        <v>21</v>
      </c>
      <c r="I1624" s="2">
        <v>24</v>
      </c>
      <c r="J1624" s="2" t="s">
        <v>486</v>
      </c>
      <c r="K1624" s="2" t="s">
        <v>4379</v>
      </c>
      <c r="L1624" s="2" t="s">
        <v>24</v>
      </c>
      <c r="M1624" s="2"/>
      <c r="N1624" s="2" t="s">
        <v>50</v>
      </c>
    </row>
    <row r="1625" spans="1:14" x14ac:dyDescent="0.25">
      <c r="A1625" s="2" t="s">
        <v>4380</v>
      </c>
      <c r="B1625" s="2" t="s">
        <v>4381</v>
      </c>
      <c r="C1625" s="2" t="s">
        <v>28</v>
      </c>
      <c r="D1625" s="2" t="s">
        <v>37</v>
      </c>
      <c r="E1625" s="2" t="s">
        <v>38</v>
      </c>
      <c r="F1625" s="2" t="s">
        <v>96</v>
      </c>
      <c r="G1625" s="2" t="s">
        <v>126</v>
      </c>
      <c r="H1625" s="2" t="s">
        <v>74</v>
      </c>
      <c r="I1625" s="2">
        <v>8</v>
      </c>
      <c r="J1625" s="2" t="s">
        <v>75</v>
      </c>
      <c r="K1625" s="2" t="s">
        <v>4382</v>
      </c>
      <c r="L1625" s="2" t="s">
        <v>24</v>
      </c>
      <c r="M1625" s="2"/>
      <c r="N1625" s="2"/>
    </row>
    <row r="1626" spans="1:14" x14ac:dyDescent="0.25">
      <c r="A1626" s="2" t="s">
        <v>4383</v>
      </c>
      <c r="B1626" s="2" t="s">
        <v>4384</v>
      </c>
      <c r="C1626" s="2" t="s">
        <v>16</v>
      </c>
      <c r="D1626" s="2" t="s">
        <v>84</v>
      </c>
      <c r="E1626" s="2" t="s">
        <v>18</v>
      </c>
      <c r="F1626" s="2" t="s">
        <v>19</v>
      </c>
      <c r="G1626" s="2" t="s">
        <v>91</v>
      </c>
      <c r="H1626" s="2" t="s">
        <v>21</v>
      </c>
      <c r="I1626" s="2">
        <v>24</v>
      </c>
      <c r="J1626" s="2" t="s">
        <v>187</v>
      </c>
      <c r="K1626" s="2" t="s">
        <v>4385</v>
      </c>
      <c r="L1626" s="2" t="s">
        <v>24</v>
      </c>
      <c r="M1626" s="2">
        <v>5</v>
      </c>
      <c r="N1626" s="2"/>
    </row>
    <row r="1627" spans="1:14" x14ac:dyDescent="0.25">
      <c r="A1627" s="2" t="s">
        <v>4386</v>
      </c>
      <c r="B1627" s="2" t="s">
        <v>4387</v>
      </c>
      <c r="C1627" s="2" t="s">
        <v>16</v>
      </c>
      <c r="D1627" s="2" t="s">
        <v>84</v>
      </c>
      <c r="E1627" s="2" t="s">
        <v>46</v>
      </c>
      <c r="F1627" s="2" t="s">
        <v>113</v>
      </c>
      <c r="G1627" s="2" t="s">
        <v>179</v>
      </c>
      <c r="H1627" s="2" t="s">
        <v>74</v>
      </c>
      <c r="I1627" s="2">
        <v>8</v>
      </c>
      <c r="J1627" s="2" t="s">
        <v>187</v>
      </c>
      <c r="K1627" s="2" t="s">
        <v>4388</v>
      </c>
      <c r="L1627" s="2" t="s">
        <v>24</v>
      </c>
      <c r="M1627" s="2"/>
      <c r="N1627" s="2" t="s">
        <v>50</v>
      </c>
    </row>
    <row r="1628" spans="1:14" x14ac:dyDescent="0.25">
      <c r="A1628" s="2" t="s">
        <v>4389</v>
      </c>
      <c r="B1628" s="2" t="s">
        <v>4390</v>
      </c>
      <c r="C1628" s="2" t="s">
        <v>28</v>
      </c>
      <c r="D1628" s="2" t="s">
        <v>100</v>
      </c>
      <c r="E1628" s="2" t="s">
        <v>38</v>
      </c>
      <c r="F1628" s="2" t="s">
        <v>30</v>
      </c>
      <c r="G1628" s="2" t="s">
        <v>40</v>
      </c>
      <c r="H1628" s="2" t="s">
        <v>21</v>
      </c>
      <c r="I1628" s="2">
        <v>24</v>
      </c>
      <c r="J1628" s="2" t="s">
        <v>75</v>
      </c>
      <c r="K1628" s="2" t="s">
        <v>4391</v>
      </c>
      <c r="L1628" s="2" t="s">
        <v>24</v>
      </c>
      <c r="M1628" s="2"/>
      <c r="N1628" s="2"/>
    </row>
    <row r="1629" spans="1:14" x14ac:dyDescent="0.25">
      <c r="A1629" s="2" t="s">
        <v>4392</v>
      </c>
      <c r="B1629" s="2" t="s">
        <v>4393</v>
      </c>
      <c r="C1629" s="2" t="s">
        <v>53</v>
      </c>
      <c r="D1629" s="2" t="s">
        <v>61</v>
      </c>
      <c r="E1629" s="2" t="s">
        <v>18</v>
      </c>
      <c r="F1629" s="2" t="s">
        <v>143</v>
      </c>
      <c r="G1629" s="2" t="s">
        <v>144</v>
      </c>
      <c r="H1629" s="2" t="s">
        <v>21</v>
      </c>
      <c r="I1629" s="2">
        <v>24</v>
      </c>
      <c r="J1629" s="2" t="s">
        <v>41</v>
      </c>
      <c r="K1629" s="2" t="s">
        <v>4394</v>
      </c>
      <c r="L1629" s="2" t="s">
        <v>24</v>
      </c>
      <c r="M1629" s="2">
        <v>5</v>
      </c>
      <c r="N1629" s="2" t="s">
        <v>64</v>
      </c>
    </row>
    <row r="1630" spans="1:14" x14ac:dyDescent="0.25">
      <c r="A1630" s="2" t="s">
        <v>4395</v>
      </c>
      <c r="B1630" s="2" t="s">
        <v>4396</v>
      </c>
      <c r="C1630" s="2" t="s">
        <v>53</v>
      </c>
      <c r="D1630" s="2" t="s">
        <v>54</v>
      </c>
      <c r="E1630" s="2" t="s">
        <v>85</v>
      </c>
      <c r="F1630" s="2" t="s">
        <v>143</v>
      </c>
      <c r="G1630" s="2" t="s">
        <v>126</v>
      </c>
      <c r="H1630" s="2" t="s">
        <v>32</v>
      </c>
      <c r="I1630" s="2">
        <v>48</v>
      </c>
      <c r="J1630" s="2" t="s">
        <v>117</v>
      </c>
      <c r="K1630" s="2"/>
      <c r="L1630" s="2" t="s">
        <v>92</v>
      </c>
      <c r="M1630" s="2"/>
      <c r="N1630" s="2" t="s">
        <v>128</v>
      </c>
    </row>
    <row r="1631" spans="1:14" x14ac:dyDescent="0.25">
      <c r="A1631" s="2" t="s">
        <v>4397</v>
      </c>
      <c r="B1631" s="2" t="s">
        <v>4398</v>
      </c>
      <c r="C1631" s="2" t="s">
        <v>16</v>
      </c>
      <c r="D1631" s="2" t="s">
        <v>17</v>
      </c>
      <c r="E1631" s="2" t="s">
        <v>38</v>
      </c>
      <c r="F1631" s="2" t="s">
        <v>125</v>
      </c>
      <c r="G1631" s="2" t="s">
        <v>126</v>
      </c>
      <c r="H1631" s="2" t="s">
        <v>21</v>
      </c>
      <c r="I1631" s="2">
        <v>24</v>
      </c>
      <c r="J1631" s="2" t="s">
        <v>106</v>
      </c>
      <c r="K1631" s="2" t="s">
        <v>4399</v>
      </c>
      <c r="L1631" s="2" t="s">
        <v>24</v>
      </c>
      <c r="M1631" s="2">
        <v>5</v>
      </c>
      <c r="N1631" s="2" t="s">
        <v>25</v>
      </c>
    </row>
    <row r="1632" spans="1:14" x14ac:dyDescent="0.25">
      <c r="A1632" s="2" t="s">
        <v>4400</v>
      </c>
      <c r="B1632" s="2" t="s">
        <v>4401</v>
      </c>
      <c r="C1632" s="2" t="s">
        <v>53</v>
      </c>
      <c r="D1632" s="2" t="s">
        <v>54</v>
      </c>
      <c r="E1632" s="2" t="s">
        <v>148</v>
      </c>
      <c r="F1632" s="2" t="s">
        <v>47</v>
      </c>
      <c r="G1632" s="2" t="s">
        <v>40</v>
      </c>
      <c r="H1632" s="2" t="s">
        <v>80</v>
      </c>
      <c r="I1632" s="2">
        <v>4</v>
      </c>
      <c r="J1632" s="2" t="s">
        <v>106</v>
      </c>
      <c r="K1632" s="2" t="s">
        <v>4402</v>
      </c>
      <c r="L1632" s="2" t="s">
        <v>24</v>
      </c>
      <c r="M1632" s="2">
        <v>3</v>
      </c>
      <c r="N1632" s="2" t="s">
        <v>50</v>
      </c>
    </row>
    <row r="1633" spans="1:14" x14ac:dyDescent="0.25">
      <c r="A1633" s="2" t="s">
        <v>4403</v>
      </c>
      <c r="B1633" s="2" t="s">
        <v>4404</v>
      </c>
      <c r="C1633" s="2" t="s">
        <v>53</v>
      </c>
      <c r="D1633" s="2" t="s">
        <v>54</v>
      </c>
      <c r="E1633" s="2" t="s">
        <v>46</v>
      </c>
      <c r="F1633" s="2" t="s">
        <v>96</v>
      </c>
      <c r="G1633" s="2" t="s">
        <v>139</v>
      </c>
      <c r="H1633" s="2" t="s">
        <v>21</v>
      </c>
      <c r="I1633" s="2">
        <v>24</v>
      </c>
      <c r="J1633" s="2" t="s">
        <v>33</v>
      </c>
      <c r="K1633" s="2"/>
      <c r="L1633" s="2" t="s">
        <v>24</v>
      </c>
      <c r="M1633" s="2"/>
      <c r="N1633" s="2" t="s">
        <v>64</v>
      </c>
    </row>
    <row r="1634" spans="1:14" x14ac:dyDescent="0.25">
      <c r="A1634" s="2" t="s">
        <v>4405</v>
      </c>
      <c r="B1634" s="2" t="s">
        <v>4406</v>
      </c>
      <c r="C1634" s="2" t="s">
        <v>28</v>
      </c>
      <c r="D1634" s="2" t="s">
        <v>37</v>
      </c>
      <c r="E1634" s="2" t="s">
        <v>85</v>
      </c>
      <c r="F1634" s="2" t="s">
        <v>113</v>
      </c>
      <c r="G1634" s="2" t="s">
        <v>110</v>
      </c>
      <c r="H1634" s="2" t="s">
        <v>21</v>
      </c>
      <c r="I1634" s="2">
        <v>24</v>
      </c>
      <c r="J1634" s="2" t="s">
        <v>232</v>
      </c>
      <c r="K1634" s="2"/>
      <c r="L1634" s="2" t="s">
        <v>92</v>
      </c>
      <c r="M1634" s="2"/>
      <c r="N1634" s="2" t="s">
        <v>128</v>
      </c>
    </row>
    <row r="1635" spans="1:14" x14ac:dyDescent="0.25">
      <c r="A1635" s="2" t="s">
        <v>4407</v>
      </c>
      <c r="B1635" s="2" t="s">
        <v>4408</v>
      </c>
      <c r="C1635" s="2" t="s">
        <v>28</v>
      </c>
      <c r="D1635" s="2" t="s">
        <v>37</v>
      </c>
      <c r="E1635" s="2" t="s">
        <v>85</v>
      </c>
      <c r="F1635" s="2" t="s">
        <v>125</v>
      </c>
      <c r="G1635" s="2" t="s">
        <v>121</v>
      </c>
      <c r="H1635" s="2" t="s">
        <v>21</v>
      </c>
      <c r="I1635" s="2">
        <v>24</v>
      </c>
      <c r="J1635" s="2" t="s">
        <v>22</v>
      </c>
      <c r="K1635" s="2" t="s">
        <v>4409</v>
      </c>
      <c r="L1635" s="2" t="s">
        <v>24</v>
      </c>
      <c r="M1635" s="2"/>
      <c r="N1635" s="2" t="s">
        <v>43</v>
      </c>
    </row>
    <row r="1636" spans="1:14" x14ac:dyDescent="0.25">
      <c r="A1636" s="2" t="s">
        <v>4410</v>
      </c>
      <c r="B1636" s="2" t="s">
        <v>4411</v>
      </c>
      <c r="C1636" s="2" t="s">
        <v>67</v>
      </c>
      <c r="D1636" s="2" t="s">
        <v>95</v>
      </c>
      <c r="E1636" s="2" t="s">
        <v>79</v>
      </c>
      <c r="F1636" s="2" t="s">
        <v>131</v>
      </c>
      <c r="G1636" s="2" t="s">
        <v>126</v>
      </c>
      <c r="H1636" s="2" t="s">
        <v>32</v>
      </c>
      <c r="I1636" s="2">
        <v>48</v>
      </c>
      <c r="J1636" s="2" t="s">
        <v>200</v>
      </c>
      <c r="K1636" s="2"/>
      <c r="L1636" s="2" t="s">
        <v>92</v>
      </c>
      <c r="M1636" s="2"/>
      <c r="N1636" s="2" t="s">
        <v>128</v>
      </c>
    </row>
    <row r="1637" spans="1:14" x14ac:dyDescent="0.25">
      <c r="A1637" s="2" t="s">
        <v>4412</v>
      </c>
      <c r="B1637" s="2" t="s">
        <v>4413</v>
      </c>
      <c r="C1637" s="2" t="s">
        <v>28</v>
      </c>
      <c r="D1637" s="2" t="s">
        <v>37</v>
      </c>
      <c r="E1637" s="2" t="s">
        <v>90</v>
      </c>
      <c r="F1637" s="2" t="s">
        <v>62</v>
      </c>
      <c r="G1637" s="2" t="s">
        <v>179</v>
      </c>
      <c r="H1637" s="2" t="s">
        <v>74</v>
      </c>
      <c r="I1637" s="2">
        <v>8</v>
      </c>
      <c r="J1637" s="2" t="s">
        <v>41</v>
      </c>
      <c r="K1637" s="2" t="s">
        <v>4414</v>
      </c>
      <c r="L1637" s="2" t="s">
        <v>24</v>
      </c>
      <c r="M1637" s="2">
        <v>4</v>
      </c>
      <c r="N1637" s="2" t="s">
        <v>43</v>
      </c>
    </row>
    <row r="1638" spans="1:14" x14ac:dyDescent="0.25">
      <c r="A1638" s="2" t="s">
        <v>4415</v>
      </c>
      <c r="B1638" s="2" t="s">
        <v>4416</v>
      </c>
      <c r="C1638" s="2" t="s">
        <v>16</v>
      </c>
      <c r="D1638" s="2" t="s">
        <v>84</v>
      </c>
      <c r="E1638" s="2" t="s">
        <v>18</v>
      </c>
      <c r="F1638" s="2" t="s">
        <v>30</v>
      </c>
      <c r="G1638" s="2" t="s">
        <v>183</v>
      </c>
      <c r="H1638" s="2" t="s">
        <v>80</v>
      </c>
      <c r="I1638" s="2">
        <v>4</v>
      </c>
      <c r="J1638" s="2" t="s">
        <v>187</v>
      </c>
      <c r="K1638" s="2" t="s">
        <v>4417</v>
      </c>
      <c r="L1638" s="2" t="s">
        <v>24</v>
      </c>
      <c r="M1638" s="2">
        <v>1</v>
      </c>
      <c r="N1638" s="2" t="s">
        <v>118</v>
      </c>
    </row>
    <row r="1639" spans="1:14" x14ac:dyDescent="0.25">
      <c r="A1639" s="2" t="s">
        <v>4418</v>
      </c>
      <c r="B1639" s="2" t="s">
        <v>4419</v>
      </c>
      <c r="C1639" s="2" t="s">
        <v>16</v>
      </c>
      <c r="D1639" s="2" t="s">
        <v>17</v>
      </c>
      <c r="E1639" s="2" t="s">
        <v>79</v>
      </c>
      <c r="F1639" s="2" t="s">
        <v>39</v>
      </c>
      <c r="G1639" s="2" t="s">
        <v>144</v>
      </c>
      <c r="H1639" s="2" t="s">
        <v>74</v>
      </c>
      <c r="I1639" s="2">
        <v>8</v>
      </c>
      <c r="J1639" s="2" t="s">
        <v>106</v>
      </c>
      <c r="K1639" s="2" t="s">
        <v>4420</v>
      </c>
      <c r="L1639" s="2" t="s">
        <v>24</v>
      </c>
      <c r="M1639" s="2">
        <v>5</v>
      </c>
      <c r="N1639" s="2" t="s">
        <v>43</v>
      </c>
    </row>
    <row r="1640" spans="1:14" x14ac:dyDescent="0.25">
      <c r="A1640" s="2" t="s">
        <v>4421</v>
      </c>
      <c r="B1640" s="2" t="s">
        <v>4422</v>
      </c>
      <c r="C1640" s="2" t="s">
        <v>67</v>
      </c>
      <c r="D1640" s="2" t="s">
        <v>95</v>
      </c>
      <c r="E1640" s="2" t="s">
        <v>79</v>
      </c>
      <c r="F1640" s="2" t="s">
        <v>30</v>
      </c>
      <c r="G1640" s="2" t="s">
        <v>211</v>
      </c>
      <c r="H1640" s="2" t="s">
        <v>21</v>
      </c>
      <c r="I1640" s="2">
        <v>24</v>
      </c>
      <c r="J1640" s="2" t="s">
        <v>106</v>
      </c>
      <c r="K1640" s="2" t="s">
        <v>4423</v>
      </c>
      <c r="L1640" s="2" t="s">
        <v>24</v>
      </c>
      <c r="M1640" s="2">
        <v>2</v>
      </c>
      <c r="N1640" s="2" t="s">
        <v>128</v>
      </c>
    </row>
    <row r="1641" spans="1:14" x14ac:dyDescent="0.25">
      <c r="A1641" s="2" t="s">
        <v>4424</v>
      </c>
      <c r="B1641" s="2" t="s">
        <v>4425</v>
      </c>
      <c r="C1641" s="2" t="s">
        <v>16</v>
      </c>
      <c r="D1641" s="2" t="s">
        <v>17</v>
      </c>
      <c r="E1641" s="2" t="s">
        <v>38</v>
      </c>
      <c r="F1641" s="2" t="s">
        <v>143</v>
      </c>
      <c r="G1641" s="2" t="s">
        <v>31</v>
      </c>
      <c r="H1641" s="2" t="s">
        <v>32</v>
      </c>
      <c r="I1641" s="2">
        <v>48</v>
      </c>
      <c r="J1641" s="2" t="s">
        <v>106</v>
      </c>
      <c r="K1641" s="2"/>
      <c r="L1641" s="2" t="s">
        <v>24</v>
      </c>
      <c r="M1641" s="2"/>
      <c r="N1641" s="2" t="s">
        <v>43</v>
      </c>
    </row>
    <row r="1642" spans="1:14" x14ac:dyDescent="0.25">
      <c r="A1642" s="2" t="s">
        <v>4426</v>
      </c>
      <c r="B1642" s="2" t="s">
        <v>4427</v>
      </c>
      <c r="C1642" s="2" t="s">
        <v>53</v>
      </c>
      <c r="D1642" s="2" t="s">
        <v>54</v>
      </c>
      <c r="E1642" s="2" t="s">
        <v>85</v>
      </c>
      <c r="F1642" s="2" t="s">
        <v>143</v>
      </c>
      <c r="G1642" s="2" t="s">
        <v>31</v>
      </c>
      <c r="H1642" s="2" t="s">
        <v>32</v>
      </c>
      <c r="I1642" s="2">
        <v>48</v>
      </c>
      <c r="J1642" s="2" t="s">
        <v>200</v>
      </c>
      <c r="K1642" s="2"/>
      <c r="L1642" s="2" t="s">
        <v>92</v>
      </c>
      <c r="M1642" s="2"/>
      <c r="N1642" s="2" t="s">
        <v>128</v>
      </c>
    </row>
    <row r="1643" spans="1:14" x14ac:dyDescent="0.25">
      <c r="A1643" s="2" t="s">
        <v>4428</v>
      </c>
      <c r="B1643" s="2" t="s">
        <v>4429</v>
      </c>
      <c r="C1643" s="2" t="s">
        <v>28</v>
      </c>
      <c r="D1643" s="2" t="s">
        <v>100</v>
      </c>
      <c r="E1643" s="2" t="s">
        <v>38</v>
      </c>
      <c r="F1643" s="2" t="s">
        <v>55</v>
      </c>
      <c r="G1643" s="2" t="s">
        <v>105</v>
      </c>
      <c r="H1643" s="2" t="s">
        <v>74</v>
      </c>
      <c r="I1643" s="2">
        <v>8</v>
      </c>
      <c r="J1643" s="2" t="s">
        <v>149</v>
      </c>
      <c r="K1643" s="2"/>
      <c r="L1643" s="2" t="s">
        <v>24</v>
      </c>
      <c r="M1643" s="2"/>
      <c r="N1643" s="2" t="s">
        <v>34</v>
      </c>
    </row>
    <row r="1644" spans="1:14" x14ac:dyDescent="0.25">
      <c r="A1644" s="2" t="s">
        <v>4430</v>
      </c>
      <c r="B1644" s="2" t="s">
        <v>4431</v>
      </c>
      <c r="C1644" s="2" t="s">
        <v>67</v>
      </c>
      <c r="D1644" s="2" t="s">
        <v>68</v>
      </c>
      <c r="E1644" s="2" t="s">
        <v>46</v>
      </c>
      <c r="F1644" s="2" t="s">
        <v>96</v>
      </c>
      <c r="G1644" s="2" t="s">
        <v>179</v>
      </c>
      <c r="H1644" s="2" t="s">
        <v>80</v>
      </c>
      <c r="I1644" s="2">
        <v>4</v>
      </c>
      <c r="J1644" s="2" t="s">
        <v>41</v>
      </c>
      <c r="K1644" s="2" t="s">
        <v>4432</v>
      </c>
      <c r="L1644" s="2" t="s">
        <v>24</v>
      </c>
      <c r="M1644" s="2"/>
      <c r="N1644" s="2" t="s">
        <v>50</v>
      </c>
    </row>
    <row r="1645" spans="1:14" x14ac:dyDescent="0.25">
      <c r="A1645" s="2" t="s">
        <v>4433</v>
      </c>
      <c r="B1645" s="2" t="s">
        <v>4434</v>
      </c>
      <c r="C1645" s="2" t="s">
        <v>16</v>
      </c>
      <c r="D1645" s="2" t="s">
        <v>17</v>
      </c>
      <c r="E1645" s="2" t="s">
        <v>90</v>
      </c>
      <c r="F1645" s="2" t="s">
        <v>39</v>
      </c>
      <c r="G1645" s="2" t="s">
        <v>158</v>
      </c>
      <c r="H1645" s="2" t="s">
        <v>32</v>
      </c>
      <c r="I1645" s="2">
        <v>48</v>
      </c>
      <c r="J1645" s="2" t="s">
        <v>187</v>
      </c>
      <c r="K1645" s="2" t="s">
        <v>4435</v>
      </c>
      <c r="L1645" s="2" t="s">
        <v>24</v>
      </c>
      <c r="M1645" s="2"/>
      <c r="N1645" s="2" t="s">
        <v>64</v>
      </c>
    </row>
    <row r="1646" spans="1:14" x14ac:dyDescent="0.25">
      <c r="A1646" s="2" t="s">
        <v>4436</v>
      </c>
      <c r="B1646" s="2" t="s">
        <v>4437</v>
      </c>
      <c r="C1646" s="2" t="s">
        <v>53</v>
      </c>
      <c r="D1646" s="2" t="s">
        <v>771</v>
      </c>
      <c r="E1646" s="2" t="s">
        <v>90</v>
      </c>
      <c r="F1646" s="2" t="s">
        <v>62</v>
      </c>
      <c r="G1646" s="2" t="s">
        <v>183</v>
      </c>
      <c r="H1646" s="2" t="s">
        <v>32</v>
      </c>
      <c r="I1646" s="2">
        <v>48</v>
      </c>
      <c r="J1646" s="2" t="s">
        <v>106</v>
      </c>
      <c r="K1646" s="2" t="s">
        <v>4438</v>
      </c>
      <c r="L1646" s="2" t="s">
        <v>24</v>
      </c>
      <c r="M1646" s="2">
        <v>2</v>
      </c>
      <c r="N1646" s="2" t="s">
        <v>128</v>
      </c>
    </row>
    <row r="1647" spans="1:14" x14ac:dyDescent="0.25">
      <c r="A1647" s="2" t="s">
        <v>4439</v>
      </c>
      <c r="B1647" s="2" t="s">
        <v>4440</v>
      </c>
      <c r="C1647" s="2" t="s">
        <v>53</v>
      </c>
      <c r="D1647" s="2" t="s">
        <v>61</v>
      </c>
      <c r="E1647" s="2" t="s">
        <v>148</v>
      </c>
      <c r="F1647" s="2" t="s">
        <v>113</v>
      </c>
      <c r="G1647" s="2" t="s">
        <v>91</v>
      </c>
      <c r="H1647" s="2" t="s">
        <v>21</v>
      </c>
      <c r="I1647" s="2">
        <v>24</v>
      </c>
      <c r="J1647" s="2" t="s">
        <v>41</v>
      </c>
      <c r="K1647" s="2" t="s">
        <v>4441</v>
      </c>
      <c r="L1647" s="2" t="s">
        <v>24</v>
      </c>
      <c r="M1647" s="2">
        <v>2</v>
      </c>
      <c r="N1647" s="2" t="s">
        <v>118</v>
      </c>
    </row>
    <row r="1648" spans="1:14" x14ac:dyDescent="0.25">
      <c r="A1648" s="2" t="s">
        <v>4442</v>
      </c>
      <c r="B1648" s="2" t="s">
        <v>4443</v>
      </c>
      <c r="C1648" s="2" t="s">
        <v>28</v>
      </c>
      <c r="D1648" s="2" t="s">
        <v>37</v>
      </c>
      <c r="E1648" s="2" t="s">
        <v>46</v>
      </c>
      <c r="F1648" s="2" t="s">
        <v>96</v>
      </c>
      <c r="G1648" s="2" t="s">
        <v>110</v>
      </c>
      <c r="H1648" s="2" t="s">
        <v>74</v>
      </c>
      <c r="I1648" s="2">
        <v>8</v>
      </c>
      <c r="J1648" s="2" t="s">
        <v>106</v>
      </c>
      <c r="K1648" s="2"/>
      <c r="L1648" s="2" t="s">
        <v>24</v>
      </c>
      <c r="M1648" s="2">
        <v>1</v>
      </c>
      <c r="N1648" s="2" t="s">
        <v>50</v>
      </c>
    </row>
    <row r="1649" spans="1:14" x14ac:dyDescent="0.25">
      <c r="A1649" s="2" t="s">
        <v>4444</v>
      </c>
      <c r="B1649" s="2" t="s">
        <v>4445</v>
      </c>
      <c r="C1649" s="2" t="s">
        <v>53</v>
      </c>
      <c r="D1649" s="2" t="s">
        <v>61</v>
      </c>
      <c r="E1649" s="2" t="s">
        <v>148</v>
      </c>
      <c r="F1649" s="2" t="s">
        <v>30</v>
      </c>
      <c r="G1649" s="2" t="s">
        <v>20</v>
      </c>
      <c r="H1649" s="2" t="s">
        <v>32</v>
      </c>
      <c r="I1649" s="2">
        <v>48</v>
      </c>
      <c r="J1649" s="2" t="s">
        <v>11</v>
      </c>
      <c r="K1649" s="2"/>
      <c r="L1649" s="2" t="s">
        <v>92</v>
      </c>
      <c r="M1649" s="2"/>
      <c r="N1649" s="2" t="s">
        <v>118</v>
      </c>
    </row>
    <row r="1650" spans="1:14" x14ac:dyDescent="0.25">
      <c r="A1650" s="2" t="s">
        <v>4446</v>
      </c>
      <c r="B1650" s="2" t="s">
        <v>4447</v>
      </c>
      <c r="C1650" s="2" t="s">
        <v>53</v>
      </c>
      <c r="D1650" s="2" t="s">
        <v>54</v>
      </c>
      <c r="E1650" s="2" t="s">
        <v>18</v>
      </c>
      <c r="F1650" s="2" t="s">
        <v>55</v>
      </c>
      <c r="G1650" s="2" t="s">
        <v>97</v>
      </c>
      <c r="H1650" s="2" t="s">
        <v>32</v>
      </c>
      <c r="I1650" s="2">
        <v>48</v>
      </c>
      <c r="J1650" s="2" t="s">
        <v>33</v>
      </c>
      <c r="K1650" s="2"/>
      <c r="L1650" s="2" t="s">
        <v>24</v>
      </c>
      <c r="M1650" s="2"/>
      <c r="N1650" s="2"/>
    </row>
    <row r="1651" spans="1:14" x14ac:dyDescent="0.25">
      <c r="A1651" s="2" t="s">
        <v>4448</v>
      </c>
      <c r="B1651" s="2" t="s">
        <v>4449</v>
      </c>
      <c r="C1651" s="2" t="s">
        <v>28</v>
      </c>
      <c r="D1651" s="2" t="s">
        <v>29</v>
      </c>
      <c r="E1651" s="2" t="s">
        <v>46</v>
      </c>
      <c r="F1651" s="2" t="s">
        <v>143</v>
      </c>
      <c r="G1651" s="2" t="s">
        <v>97</v>
      </c>
      <c r="H1651" s="2" t="s">
        <v>21</v>
      </c>
      <c r="I1651" s="2">
        <v>24</v>
      </c>
      <c r="J1651" s="2" t="s">
        <v>106</v>
      </c>
      <c r="K1651" s="2" t="s">
        <v>4450</v>
      </c>
      <c r="L1651" s="2" t="s">
        <v>24</v>
      </c>
      <c r="M1651" s="2"/>
      <c r="N1651" s="2"/>
    </row>
    <row r="1652" spans="1:14" x14ac:dyDescent="0.25">
      <c r="A1652" s="2" t="s">
        <v>4451</v>
      </c>
      <c r="B1652" s="2" t="s">
        <v>4452</v>
      </c>
      <c r="C1652" s="2" t="s">
        <v>28</v>
      </c>
      <c r="D1652" s="2" t="s">
        <v>100</v>
      </c>
      <c r="E1652" s="2" t="s">
        <v>85</v>
      </c>
      <c r="F1652" s="2" t="s">
        <v>69</v>
      </c>
      <c r="G1652" s="2" t="s">
        <v>105</v>
      </c>
      <c r="H1652" s="2" t="s">
        <v>32</v>
      </c>
      <c r="I1652" s="2">
        <v>48</v>
      </c>
      <c r="J1652" s="2" t="s">
        <v>149</v>
      </c>
      <c r="K1652" s="2"/>
      <c r="L1652" s="2" t="s">
        <v>24</v>
      </c>
      <c r="M1652" s="2"/>
      <c r="N1652" s="2"/>
    </row>
    <row r="1653" spans="1:14" x14ac:dyDescent="0.25">
      <c r="A1653" s="2" t="s">
        <v>4453</v>
      </c>
      <c r="B1653" s="2" t="s">
        <v>4454</v>
      </c>
      <c r="C1653" s="2" t="s">
        <v>53</v>
      </c>
      <c r="D1653" s="2" t="s">
        <v>61</v>
      </c>
      <c r="E1653" s="2" t="s">
        <v>46</v>
      </c>
      <c r="F1653" s="2" t="s">
        <v>143</v>
      </c>
      <c r="G1653" s="2" t="s">
        <v>211</v>
      </c>
      <c r="H1653" s="2" t="s">
        <v>74</v>
      </c>
      <c r="I1653" s="2">
        <v>8</v>
      </c>
      <c r="J1653" s="2" t="s">
        <v>75</v>
      </c>
      <c r="K1653" s="2" t="s">
        <v>4455</v>
      </c>
      <c r="L1653" s="2" t="s">
        <v>24</v>
      </c>
      <c r="M1653" s="2">
        <v>3</v>
      </c>
      <c r="N1653" s="2" t="s">
        <v>64</v>
      </c>
    </row>
    <row r="1654" spans="1:14" x14ac:dyDescent="0.25">
      <c r="A1654" s="2" t="s">
        <v>4456</v>
      </c>
      <c r="B1654" s="2" t="s">
        <v>4457</v>
      </c>
      <c r="C1654" s="2" t="s">
        <v>67</v>
      </c>
      <c r="D1654" s="2" t="s">
        <v>95</v>
      </c>
      <c r="E1654" s="2" t="s">
        <v>85</v>
      </c>
      <c r="F1654" s="2" t="s">
        <v>113</v>
      </c>
      <c r="G1654" s="2" t="s">
        <v>91</v>
      </c>
      <c r="H1654" s="2" t="s">
        <v>74</v>
      </c>
      <c r="I1654" s="2">
        <v>8</v>
      </c>
      <c r="J1654" s="2" t="s">
        <v>287</v>
      </c>
      <c r="K1654" s="2"/>
      <c r="L1654" s="2" t="s">
        <v>24</v>
      </c>
      <c r="M1654" s="2"/>
      <c r="N1654" s="2" t="s">
        <v>50</v>
      </c>
    </row>
    <row r="1655" spans="1:14" x14ac:dyDescent="0.25">
      <c r="A1655" s="2" t="s">
        <v>4458</v>
      </c>
      <c r="B1655" s="2" t="s">
        <v>4459</v>
      </c>
      <c r="C1655" s="2" t="s">
        <v>53</v>
      </c>
      <c r="D1655" s="2" t="s">
        <v>61</v>
      </c>
      <c r="E1655" s="2" t="s">
        <v>79</v>
      </c>
      <c r="F1655" s="2" t="s">
        <v>47</v>
      </c>
      <c r="G1655" s="2" t="s">
        <v>91</v>
      </c>
      <c r="H1655" s="2" t="s">
        <v>21</v>
      </c>
      <c r="I1655" s="2">
        <v>24</v>
      </c>
      <c r="J1655" s="2" t="s">
        <v>191</v>
      </c>
      <c r="K1655" s="2" t="s">
        <v>4460</v>
      </c>
      <c r="L1655" s="2" t="s">
        <v>24</v>
      </c>
      <c r="M1655" s="2"/>
      <c r="N1655" s="2" t="s">
        <v>118</v>
      </c>
    </row>
    <row r="1656" spans="1:14" x14ac:dyDescent="0.25">
      <c r="A1656" s="2" t="s">
        <v>4461</v>
      </c>
      <c r="B1656" s="2" t="s">
        <v>4462</v>
      </c>
      <c r="C1656" s="2" t="s">
        <v>16</v>
      </c>
      <c r="D1656" s="2" t="s">
        <v>17</v>
      </c>
      <c r="E1656" s="2" t="s">
        <v>38</v>
      </c>
      <c r="F1656" s="2" t="s">
        <v>96</v>
      </c>
      <c r="G1656" s="2" t="s">
        <v>40</v>
      </c>
      <c r="H1656" s="2" t="s">
        <v>21</v>
      </c>
      <c r="I1656" s="2">
        <v>24</v>
      </c>
      <c r="J1656" s="2" t="s">
        <v>232</v>
      </c>
      <c r="K1656" s="2"/>
      <c r="L1656" s="2" t="s">
        <v>92</v>
      </c>
      <c r="M1656" s="2"/>
      <c r="N1656" s="2"/>
    </row>
    <row r="1657" spans="1:14" x14ac:dyDescent="0.25">
      <c r="A1657" s="2" t="s">
        <v>4463</v>
      </c>
      <c r="B1657" s="2" t="s">
        <v>4464</v>
      </c>
      <c r="C1657" s="2" t="s">
        <v>53</v>
      </c>
      <c r="D1657" s="2" t="s">
        <v>54</v>
      </c>
      <c r="E1657" s="2" t="s">
        <v>148</v>
      </c>
      <c r="F1657" s="2" t="s">
        <v>55</v>
      </c>
      <c r="G1657" s="2" t="s">
        <v>110</v>
      </c>
      <c r="H1657" s="2" t="s">
        <v>21</v>
      </c>
      <c r="I1657" s="2">
        <v>24</v>
      </c>
      <c r="J1657" s="2" t="s">
        <v>22</v>
      </c>
      <c r="K1657" s="2" t="s">
        <v>4465</v>
      </c>
      <c r="L1657" s="2" t="s">
        <v>24</v>
      </c>
      <c r="M1657" s="2"/>
      <c r="N1657" s="2"/>
    </row>
    <row r="1658" spans="1:14" x14ac:dyDescent="0.25">
      <c r="A1658" s="2" t="s">
        <v>4466</v>
      </c>
      <c r="B1658" s="2" t="s">
        <v>4467</v>
      </c>
      <c r="C1658" s="2" t="s">
        <v>67</v>
      </c>
      <c r="D1658" s="2" t="s">
        <v>68</v>
      </c>
      <c r="E1658" s="2" t="s">
        <v>85</v>
      </c>
      <c r="F1658" s="2" t="s">
        <v>131</v>
      </c>
      <c r="G1658" s="2" t="s">
        <v>31</v>
      </c>
      <c r="H1658" s="2" t="s">
        <v>21</v>
      </c>
      <c r="I1658" s="2">
        <v>24</v>
      </c>
      <c r="J1658" s="2" t="s">
        <v>106</v>
      </c>
      <c r="K1658" s="2" t="s">
        <v>4468</v>
      </c>
      <c r="L1658" s="2" t="s">
        <v>24</v>
      </c>
      <c r="M1658" s="2"/>
      <c r="N1658" s="2" t="s">
        <v>128</v>
      </c>
    </row>
    <row r="1659" spans="1:14" x14ac:dyDescent="0.25">
      <c r="A1659" s="2" t="s">
        <v>4469</v>
      </c>
      <c r="B1659" s="2" t="s">
        <v>4470</v>
      </c>
      <c r="C1659" s="2" t="s">
        <v>28</v>
      </c>
      <c r="D1659" s="2" t="s">
        <v>37</v>
      </c>
      <c r="E1659" s="2" t="s">
        <v>46</v>
      </c>
      <c r="F1659" s="2" t="s">
        <v>125</v>
      </c>
      <c r="G1659" s="2" t="s">
        <v>20</v>
      </c>
      <c r="H1659" s="2" t="s">
        <v>32</v>
      </c>
      <c r="I1659" s="2">
        <v>48</v>
      </c>
      <c r="J1659" s="2" t="s">
        <v>41</v>
      </c>
      <c r="K1659" s="2" t="s">
        <v>4471</v>
      </c>
      <c r="L1659" s="2" t="s">
        <v>24</v>
      </c>
      <c r="M1659" s="2"/>
      <c r="N1659" s="2" t="s">
        <v>118</v>
      </c>
    </row>
    <row r="1660" spans="1:14" x14ac:dyDescent="0.25">
      <c r="A1660" s="2" t="s">
        <v>1237</v>
      </c>
      <c r="B1660" s="2" t="s">
        <v>1238</v>
      </c>
      <c r="C1660" s="2" t="s">
        <v>67</v>
      </c>
      <c r="D1660" s="2" t="s">
        <v>68</v>
      </c>
      <c r="E1660" s="2" t="s">
        <v>46</v>
      </c>
      <c r="F1660" s="2" t="s">
        <v>69</v>
      </c>
      <c r="G1660" s="2" t="s">
        <v>211</v>
      </c>
      <c r="H1660" s="2" t="s">
        <v>21</v>
      </c>
      <c r="I1660" s="2">
        <v>24</v>
      </c>
      <c r="J1660" s="2" t="s">
        <v>187</v>
      </c>
      <c r="K1660" s="2" t="s">
        <v>1239</v>
      </c>
      <c r="L1660" s="2" t="s">
        <v>24</v>
      </c>
      <c r="M1660" s="2">
        <v>1</v>
      </c>
      <c r="N1660" s="2" t="s">
        <v>25</v>
      </c>
    </row>
    <row r="1661" spans="1:14" x14ac:dyDescent="0.25">
      <c r="A1661" s="2" t="s">
        <v>4472</v>
      </c>
      <c r="B1661" s="2" t="s">
        <v>4473</v>
      </c>
      <c r="C1661" s="2" t="s">
        <v>16</v>
      </c>
      <c r="D1661" s="2" t="s">
        <v>17</v>
      </c>
      <c r="E1661" s="2" t="s">
        <v>90</v>
      </c>
      <c r="F1661" s="2" t="s">
        <v>19</v>
      </c>
      <c r="G1661" s="2" t="s">
        <v>179</v>
      </c>
      <c r="H1661" s="2" t="s">
        <v>21</v>
      </c>
      <c r="I1661" s="2">
        <v>24</v>
      </c>
      <c r="J1661" s="2" t="s">
        <v>22</v>
      </c>
      <c r="K1661" s="2" t="s">
        <v>4474</v>
      </c>
      <c r="L1661" s="2" t="s">
        <v>24</v>
      </c>
      <c r="M1661" s="2"/>
      <c r="N1661" s="2"/>
    </row>
    <row r="1662" spans="1:14" x14ac:dyDescent="0.25">
      <c r="A1662" s="2" t="s">
        <v>4475</v>
      </c>
      <c r="B1662" s="2" t="s">
        <v>4476</v>
      </c>
      <c r="C1662" s="2" t="s">
        <v>28</v>
      </c>
      <c r="D1662" s="2" t="s">
        <v>37</v>
      </c>
      <c r="E1662" s="2" t="s">
        <v>90</v>
      </c>
      <c r="F1662" s="2" t="s">
        <v>69</v>
      </c>
      <c r="G1662" s="2" t="s">
        <v>20</v>
      </c>
      <c r="H1662" s="2" t="s">
        <v>32</v>
      </c>
      <c r="I1662" s="2">
        <v>48</v>
      </c>
      <c r="J1662" s="2" t="s">
        <v>75</v>
      </c>
      <c r="K1662" s="2" t="s">
        <v>4477</v>
      </c>
      <c r="L1662" s="2" t="s">
        <v>24</v>
      </c>
      <c r="M1662" s="2">
        <v>4</v>
      </c>
      <c r="N1662" s="2"/>
    </row>
    <row r="1663" spans="1:14" x14ac:dyDescent="0.25">
      <c r="A1663" s="2" t="s">
        <v>4478</v>
      </c>
      <c r="B1663" s="2" t="s">
        <v>4479</v>
      </c>
      <c r="C1663" s="2" t="s">
        <v>28</v>
      </c>
      <c r="D1663" s="2" t="s">
        <v>37</v>
      </c>
      <c r="E1663" s="2" t="s">
        <v>148</v>
      </c>
      <c r="F1663" s="2" t="s">
        <v>55</v>
      </c>
      <c r="G1663" s="2" t="s">
        <v>179</v>
      </c>
      <c r="H1663" s="2" t="s">
        <v>21</v>
      </c>
      <c r="I1663" s="2">
        <v>24</v>
      </c>
      <c r="J1663" s="2" t="s">
        <v>41</v>
      </c>
      <c r="K1663" s="2" t="s">
        <v>4480</v>
      </c>
      <c r="L1663" s="2" t="s">
        <v>24</v>
      </c>
      <c r="M1663" s="2"/>
      <c r="N1663" s="2" t="s">
        <v>118</v>
      </c>
    </row>
    <row r="1664" spans="1:14" x14ac:dyDescent="0.25">
      <c r="A1664" s="2" t="s">
        <v>230</v>
      </c>
      <c r="B1664" s="2" t="s">
        <v>231</v>
      </c>
      <c r="C1664" s="2" t="s">
        <v>28</v>
      </c>
      <c r="D1664" s="2" t="s">
        <v>37</v>
      </c>
      <c r="E1664" s="2" t="s">
        <v>46</v>
      </c>
      <c r="F1664" s="2" t="s">
        <v>19</v>
      </c>
      <c r="G1664" s="2" t="s">
        <v>91</v>
      </c>
      <c r="H1664" s="2" t="s">
        <v>21</v>
      </c>
      <c r="I1664" s="2">
        <v>24</v>
      </c>
      <c r="J1664" s="2" t="s">
        <v>232</v>
      </c>
      <c r="K1664" s="2"/>
      <c r="L1664" s="2" t="s">
        <v>92</v>
      </c>
      <c r="M1664" s="2"/>
      <c r="N1664" s="2" t="s">
        <v>43</v>
      </c>
    </row>
    <row r="1665" spans="1:14" x14ac:dyDescent="0.25">
      <c r="A1665" s="2" t="s">
        <v>4481</v>
      </c>
      <c r="B1665" s="2" t="s">
        <v>4482</v>
      </c>
      <c r="C1665" s="2" t="s">
        <v>67</v>
      </c>
      <c r="D1665" s="2" t="s">
        <v>95</v>
      </c>
      <c r="E1665" s="2" t="s">
        <v>46</v>
      </c>
      <c r="F1665" s="2" t="s">
        <v>47</v>
      </c>
      <c r="G1665" s="2" t="s">
        <v>144</v>
      </c>
      <c r="H1665" s="2" t="s">
        <v>74</v>
      </c>
      <c r="I1665" s="2">
        <v>8</v>
      </c>
      <c r="J1665" s="2" t="s">
        <v>232</v>
      </c>
      <c r="K1665" s="2"/>
      <c r="L1665" s="2" t="s">
        <v>92</v>
      </c>
      <c r="M1665" s="2"/>
      <c r="N1665" s="2" t="s">
        <v>50</v>
      </c>
    </row>
    <row r="1666" spans="1:14" x14ac:dyDescent="0.25">
      <c r="A1666" s="2" t="s">
        <v>4483</v>
      </c>
      <c r="B1666" s="2" t="s">
        <v>4484</v>
      </c>
      <c r="C1666" s="2" t="s">
        <v>16</v>
      </c>
      <c r="D1666" s="2" t="s">
        <v>84</v>
      </c>
      <c r="E1666" s="2" t="s">
        <v>18</v>
      </c>
      <c r="F1666" s="2" t="s">
        <v>47</v>
      </c>
      <c r="G1666" s="2" t="s">
        <v>126</v>
      </c>
      <c r="H1666" s="2" t="s">
        <v>21</v>
      </c>
      <c r="I1666" s="2">
        <v>24</v>
      </c>
      <c r="J1666" s="2" t="s">
        <v>75</v>
      </c>
      <c r="K1666" s="2" t="s">
        <v>4485</v>
      </c>
      <c r="L1666" s="2" t="s">
        <v>24</v>
      </c>
      <c r="M1666" s="2">
        <v>2</v>
      </c>
      <c r="N1666" s="2"/>
    </row>
    <row r="1667" spans="1:14" x14ac:dyDescent="0.25">
      <c r="A1667" s="2" t="s">
        <v>4486</v>
      </c>
      <c r="B1667" s="2" t="s">
        <v>4487</v>
      </c>
      <c r="C1667" s="2" t="s">
        <v>28</v>
      </c>
      <c r="D1667" s="2" t="s">
        <v>100</v>
      </c>
      <c r="E1667" s="2" t="s">
        <v>46</v>
      </c>
      <c r="F1667" s="2" t="s">
        <v>143</v>
      </c>
      <c r="G1667" s="2" t="s">
        <v>31</v>
      </c>
      <c r="H1667" s="2" t="s">
        <v>74</v>
      </c>
      <c r="I1667" s="2">
        <v>8</v>
      </c>
      <c r="J1667" s="2" t="s">
        <v>22</v>
      </c>
      <c r="K1667" s="2" t="s">
        <v>4488</v>
      </c>
      <c r="L1667" s="2" t="s">
        <v>24</v>
      </c>
      <c r="M1667" s="2">
        <v>1</v>
      </c>
      <c r="N1667" s="2" t="s">
        <v>58</v>
      </c>
    </row>
    <row r="1668" spans="1:14" x14ac:dyDescent="0.25">
      <c r="A1668" s="2" t="s">
        <v>4489</v>
      </c>
      <c r="B1668" s="2" t="s">
        <v>4490</v>
      </c>
      <c r="C1668" s="2" t="s">
        <v>16</v>
      </c>
      <c r="D1668" s="2" t="s">
        <v>84</v>
      </c>
      <c r="E1668" s="2" t="s">
        <v>90</v>
      </c>
      <c r="F1668" s="2" t="s">
        <v>62</v>
      </c>
      <c r="G1668" s="2" t="s">
        <v>135</v>
      </c>
      <c r="H1668" s="2" t="s">
        <v>74</v>
      </c>
      <c r="I1668" s="2">
        <v>8</v>
      </c>
      <c r="J1668" s="2" t="s">
        <v>155</v>
      </c>
      <c r="K1668" s="2"/>
      <c r="L1668" s="2" t="s">
        <v>24</v>
      </c>
      <c r="M1668" s="2"/>
      <c r="N1668" s="2" t="s">
        <v>25</v>
      </c>
    </row>
    <row r="1669" spans="1:14" x14ac:dyDescent="0.25">
      <c r="A1669" s="2" t="s">
        <v>4491</v>
      </c>
      <c r="B1669" s="2" t="s">
        <v>4492</v>
      </c>
      <c r="C1669" s="2" t="s">
        <v>67</v>
      </c>
      <c r="D1669" s="2" t="s">
        <v>95</v>
      </c>
      <c r="E1669" s="2" t="s">
        <v>85</v>
      </c>
      <c r="F1669" s="2" t="s">
        <v>47</v>
      </c>
      <c r="G1669" s="2" t="s">
        <v>183</v>
      </c>
      <c r="H1669" s="2" t="s">
        <v>80</v>
      </c>
      <c r="I1669" s="2">
        <v>4</v>
      </c>
      <c r="J1669" s="2" t="s">
        <v>187</v>
      </c>
      <c r="K1669" s="2" t="s">
        <v>4493</v>
      </c>
      <c r="L1669" s="2" t="s">
        <v>92</v>
      </c>
      <c r="M1669" s="2"/>
      <c r="N1669" s="2" t="s">
        <v>58</v>
      </c>
    </row>
    <row r="1670" spans="1:14" x14ac:dyDescent="0.25">
      <c r="A1670" s="2" t="s">
        <v>4494</v>
      </c>
      <c r="B1670" s="2" t="s">
        <v>4495</v>
      </c>
      <c r="C1670" s="2" t="s">
        <v>28</v>
      </c>
      <c r="D1670" s="2" t="s">
        <v>37</v>
      </c>
      <c r="E1670" s="2" t="s">
        <v>85</v>
      </c>
      <c r="F1670" s="2" t="s">
        <v>143</v>
      </c>
      <c r="G1670" s="2" t="s">
        <v>126</v>
      </c>
      <c r="H1670" s="2" t="s">
        <v>32</v>
      </c>
      <c r="I1670" s="2">
        <v>48</v>
      </c>
      <c r="J1670" s="2" t="s">
        <v>75</v>
      </c>
      <c r="K1670" s="2" t="s">
        <v>4496</v>
      </c>
      <c r="L1670" s="2" t="s">
        <v>24</v>
      </c>
      <c r="M1670" s="2"/>
      <c r="N1670" s="2" t="s">
        <v>58</v>
      </c>
    </row>
    <row r="1671" spans="1:14" x14ac:dyDescent="0.25">
      <c r="A1671" s="2" t="s">
        <v>2774</v>
      </c>
      <c r="B1671" s="2" t="s">
        <v>2775</v>
      </c>
      <c r="C1671" s="2" t="s">
        <v>28</v>
      </c>
      <c r="D1671" s="2" t="s">
        <v>37</v>
      </c>
      <c r="E1671" s="2" t="s">
        <v>79</v>
      </c>
      <c r="F1671" s="2" t="s">
        <v>55</v>
      </c>
      <c r="G1671" s="2" t="s">
        <v>110</v>
      </c>
      <c r="H1671" s="2" t="s">
        <v>32</v>
      </c>
      <c r="I1671" s="2">
        <v>48</v>
      </c>
      <c r="J1671" s="2" t="s">
        <v>22</v>
      </c>
      <c r="K1671" s="2" t="s">
        <v>2776</v>
      </c>
      <c r="L1671" s="2" t="s">
        <v>24</v>
      </c>
      <c r="M1671" s="2">
        <v>4</v>
      </c>
      <c r="N1671" s="2" t="s">
        <v>50</v>
      </c>
    </row>
    <row r="1672" spans="1:14" x14ac:dyDescent="0.25">
      <c r="A1672" s="2" t="s">
        <v>4497</v>
      </c>
      <c r="B1672" s="2" t="s">
        <v>4498</v>
      </c>
      <c r="C1672" s="2" t="s">
        <v>67</v>
      </c>
      <c r="D1672" s="2" t="s">
        <v>68</v>
      </c>
      <c r="E1672" s="2" t="s">
        <v>85</v>
      </c>
      <c r="F1672" s="2" t="s">
        <v>143</v>
      </c>
      <c r="G1672" s="2" t="s">
        <v>105</v>
      </c>
      <c r="H1672" s="2" t="s">
        <v>32</v>
      </c>
      <c r="I1672" s="2">
        <v>48</v>
      </c>
      <c r="J1672" s="2" t="s">
        <v>22</v>
      </c>
      <c r="K1672" s="2" t="s">
        <v>4499</v>
      </c>
      <c r="L1672" s="2" t="s">
        <v>24</v>
      </c>
      <c r="M1672" s="2"/>
      <c r="N1672" s="2" t="s">
        <v>128</v>
      </c>
    </row>
    <row r="1673" spans="1:14" x14ac:dyDescent="0.25">
      <c r="A1673" s="2" t="s">
        <v>4500</v>
      </c>
      <c r="B1673" s="2" t="s">
        <v>4501</v>
      </c>
      <c r="C1673" s="2" t="s">
        <v>67</v>
      </c>
      <c r="D1673" s="2" t="s">
        <v>95</v>
      </c>
      <c r="E1673" s="2" t="s">
        <v>90</v>
      </c>
      <c r="F1673" s="2" t="s">
        <v>62</v>
      </c>
      <c r="G1673" s="2" t="s">
        <v>126</v>
      </c>
      <c r="H1673" s="2" t="s">
        <v>21</v>
      </c>
      <c r="I1673" s="2">
        <v>24</v>
      </c>
      <c r="J1673" s="2" t="s">
        <v>145</v>
      </c>
      <c r="K1673" s="2"/>
      <c r="L1673" s="2" t="s">
        <v>24</v>
      </c>
      <c r="M1673" s="2"/>
      <c r="N1673" s="2" t="s">
        <v>34</v>
      </c>
    </row>
    <row r="1674" spans="1:14" x14ac:dyDescent="0.25">
      <c r="A1674" s="2" t="s">
        <v>4502</v>
      </c>
      <c r="B1674" s="2" t="s">
        <v>4503</v>
      </c>
      <c r="C1674" s="2" t="s">
        <v>53</v>
      </c>
      <c r="D1674" s="2" t="s">
        <v>54</v>
      </c>
      <c r="E1674" s="2" t="s">
        <v>90</v>
      </c>
      <c r="F1674" s="2" t="s">
        <v>62</v>
      </c>
      <c r="G1674" s="2" t="s">
        <v>179</v>
      </c>
      <c r="H1674" s="2" t="s">
        <v>74</v>
      </c>
      <c r="I1674" s="2">
        <v>8</v>
      </c>
      <c r="J1674" s="2" t="s">
        <v>41</v>
      </c>
      <c r="K1674" s="2" t="s">
        <v>4504</v>
      </c>
      <c r="L1674" s="2" t="s">
        <v>24</v>
      </c>
      <c r="M1674" s="2"/>
      <c r="N1674" s="2" t="s">
        <v>118</v>
      </c>
    </row>
    <row r="1675" spans="1:14" x14ac:dyDescent="0.25">
      <c r="A1675" s="2" t="s">
        <v>4505</v>
      </c>
      <c r="B1675" s="2" t="s">
        <v>4506</v>
      </c>
      <c r="C1675" s="2" t="s">
        <v>28</v>
      </c>
      <c r="D1675" s="2" t="s">
        <v>37</v>
      </c>
      <c r="E1675" s="2" t="s">
        <v>79</v>
      </c>
      <c r="F1675" s="2" t="s">
        <v>125</v>
      </c>
      <c r="G1675" s="2" t="s">
        <v>144</v>
      </c>
      <c r="H1675" s="2" t="s">
        <v>21</v>
      </c>
      <c r="I1675" s="2">
        <v>24</v>
      </c>
      <c r="J1675" s="2" t="s">
        <v>287</v>
      </c>
      <c r="K1675" s="2"/>
      <c r="L1675" s="2" t="s">
        <v>92</v>
      </c>
      <c r="M1675" s="2"/>
      <c r="N1675" s="2" t="s">
        <v>34</v>
      </c>
    </row>
    <row r="1676" spans="1:14" x14ac:dyDescent="0.25">
      <c r="A1676" s="2" t="s">
        <v>4507</v>
      </c>
      <c r="B1676" s="2" t="s">
        <v>4508</v>
      </c>
      <c r="C1676" s="2" t="s">
        <v>16</v>
      </c>
      <c r="D1676" s="2" t="s">
        <v>84</v>
      </c>
      <c r="E1676" s="2" t="s">
        <v>38</v>
      </c>
      <c r="F1676" s="2" t="s">
        <v>69</v>
      </c>
      <c r="G1676" s="2" t="s">
        <v>135</v>
      </c>
      <c r="H1676" s="2" t="s">
        <v>21</v>
      </c>
      <c r="I1676" s="2">
        <v>24</v>
      </c>
      <c r="J1676" s="2" t="s">
        <v>187</v>
      </c>
      <c r="K1676" s="2" t="s">
        <v>4509</v>
      </c>
      <c r="L1676" s="2" t="s">
        <v>92</v>
      </c>
      <c r="M1676" s="2">
        <v>5</v>
      </c>
      <c r="N1676" s="2" t="s">
        <v>64</v>
      </c>
    </row>
    <row r="1677" spans="1:14" x14ac:dyDescent="0.25">
      <c r="A1677" s="2" t="s">
        <v>4510</v>
      </c>
      <c r="B1677" s="2" t="s">
        <v>4511</v>
      </c>
      <c r="C1677" s="2" t="s">
        <v>16</v>
      </c>
      <c r="D1677" s="2" t="s">
        <v>84</v>
      </c>
      <c r="E1677" s="2" t="s">
        <v>90</v>
      </c>
      <c r="F1677" s="2" t="s">
        <v>55</v>
      </c>
      <c r="G1677" s="2" t="s">
        <v>110</v>
      </c>
      <c r="H1677" s="2" t="s">
        <v>21</v>
      </c>
      <c r="I1677" s="2">
        <v>24</v>
      </c>
      <c r="J1677" s="2" t="s">
        <v>75</v>
      </c>
      <c r="K1677" s="2" t="s">
        <v>4512</v>
      </c>
      <c r="L1677" s="2" t="s">
        <v>24</v>
      </c>
      <c r="M1677" s="2">
        <v>5</v>
      </c>
      <c r="N1677" s="2" t="s">
        <v>25</v>
      </c>
    </row>
    <row r="1678" spans="1:14" x14ac:dyDescent="0.25">
      <c r="A1678" s="2" t="s">
        <v>4513</v>
      </c>
      <c r="B1678" s="2" t="s">
        <v>4514</v>
      </c>
      <c r="C1678" s="2" t="s">
        <v>53</v>
      </c>
      <c r="D1678" s="2" t="s">
        <v>54</v>
      </c>
      <c r="E1678" s="2" t="s">
        <v>85</v>
      </c>
      <c r="F1678" s="2" t="s">
        <v>47</v>
      </c>
      <c r="G1678" s="2" t="s">
        <v>139</v>
      </c>
      <c r="H1678" s="2" t="s">
        <v>32</v>
      </c>
      <c r="I1678" s="2">
        <v>48</v>
      </c>
      <c r="J1678" s="2" t="s">
        <v>48</v>
      </c>
      <c r="K1678" s="2" t="s">
        <v>4515</v>
      </c>
      <c r="L1678" s="2" t="s">
        <v>24</v>
      </c>
      <c r="M1678" s="2">
        <v>5</v>
      </c>
      <c r="N1678" s="2" t="s">
        <v>43</v>
      </c>
    </row>
    <row r="1679" spans="1:14" x14ac:dyDescent="0.25">
      <c r="A1679" s="2" t="s">
        <v>4516</v>
      </c>
      <c r="B1679" s="2" t="s">
        <v>4517</v>
      </c>
      <c r="C1679" s="2" t="s">
        <v>28</v>
      </c>
      <c r="D1679" s="2" t="s">
        <v>37</v>
      </c>
      <c r="E1679" s="2" t="s">
        <v>46</v>
      </c>
      <c r="F1679" s="2" t="s">
        <v>47</v>
      </c>
      <c r="G1679" s="2" t="s">
        <v>105</v>
      </c>
      <c r="H1679" s="2" t="s">
        <v>80</v>
      </c>
      <c r="I1679" s="2">
        <v>4</v>
      </c>
      <c r="J1679" s="2" t="s">
        <v>33</v>
      </c>
      <c r="K1679" s="2"/>
      <c r="L1679" s="2" t="s">
        <v>24</v>
      </c>
      <c r="M1679" s="2"/>
      <c r="N1679" s="2" t="s">
        <v>25</v>
      </c>
    </row>
    <row r="1680" spans="1:14" x14ac:dyDescent="0.25">
      <c r="A1680" s="2" t="s">
        <v>964</v>
      </c>
      <c r="B1680" s="2" t="s">
        <v>965</v>
      </c>
      <c r="C1680" s="2" t="s">
        <v>53</v>
      </c>
      <c r="D1680" s="2" t="s">
        <v>54</v>
      </c>
      <c r="E1680" s="2" t="s">
        <v>90</v>
      </c>
      <c r="F1680" s="2" t="s">
        <v>113</v>
      </c>
      <c r="G1680" s="2" t="s">
        <v>40</v>
      </c>
      <c r="H1680" s="2" t="s">
        <v>21</v>
      </c>
      <c r="I1680" s="2">
        <v>24</v>
      </c>
      <c r="J1680" s="2" t="s">
        <v>22</v>
      </c>
      <c r="K1680" s="2" t="s">
        <v>966</v>
      </c>
      <c r="L1680" s="2" t="s">
        <v>24</v>
      </c>
      <c r="M1680" s="2">
        <v>4</v>
      </c>
      <c r="N1680" s="2" t="s">
        <v>25</v>
      </c>
    </row>
    <row r="1681" spans="1:14" x14ac:dyDescent="0.25">
      <c r="A1681" s="2" t="s">
        <v>4518</v>
      </c>
      <c r="B1681" s="2" t="s">
        <v>4519</v>
      </c>
      <c r="C1681" s="2" t="s">
        <v>67</v>
      </c>
      <c r="D1681" s="2" t="s">
        <v>95</v>
      </c>
      <c r="E1681" s="2" t="s">
        <v>46</v>
      </c>
      <c r="F1681" s="2" t="s">
        <v>96</v>
      </c>
      <c r="G1681" s="2" t="s">
        <v>91</v>
      </c>
      <c r="H1681" s="2" t="s">
        <v>21</v>
      </c>
      <c r="I1681" s="2">
        <v>24</v>
      </c>
      <c r="J1681" s="2" t="s">
        <v>149</v>
      </c>
      <c r="K1681" s="2"/>
      <c r="L1681" s="2" t="s">
        <v>24</v>
      </c>
      <c r="M1681" s="2"/>
      <c r="N1681" s="2" t="s">
        <v>128</v>
      </c>
    </row>
    <row r="1682" spans="1:14" x14ac:dyDescent="0.25">
      <c r="A1682" s="2" t="s">
        <v>4520</v>
      </c>
      <c r="B1682" s="2" t="s">
        <v>4521</v>
      </c>
      <c r="C1682" s="2" t="s">
        <v>28</v>
      </c>
      <c r="D1682" s="2" t="s">
        <v>100</v>
      </c>
      <c r="E1682" s="2" t="s">
        <v>85</v>
      </c>
      <c r="F1682" s="2" t="s">
        <v>113</v>
      </c>
      <c r="G1682" s="2" t="s">
        <v>126</v>
      </c>
      <c r="H1682" s="2" t="s">
        <v>74</v>
      </c>
      <c r="I1682" s="2">
        <v>8</v>
      </c>
      <c r="J1682" s="2" t="s">
        <v>41</v>
      </c>
      <c r="K1682" s="2" t="s">
        <v>4522</v>
      </c>
      <c r="L1682" s="2" t="s">
        <v>24</v>
      </c>
      <c r="M1682" s="2">
        <v>5</v>
      </c>
      <c r="N1682" s="2" t="s">
        <v>50</v>
      </c>
    </row>
    <row r="1683" spans="1:14" x14ac:dyDescent="0.25">
      <c r="A1683" s="2" t="s">
        <v>4523</v>
      </c>
      <c r="B1683" s="2" t="s">
        <v>4524</v>
      </c>
      <c r="C1683" s="2" t="s">
        <v>28</v>
      </c>
      <c r="D1683" s="2" t="s">
        <v>37</v>
      </c>
      <c r="E1683" s="2" t="s">
        <v>18</v>
      </c>
      <c r="F1683" s="2" t="s">
        <v>19</v>
      </c>
      <c r="G1683" s="2" t="s">
        <v>97</v>
      </c>
      <c r="H1683" s="2" t="s">
        <v>74</v>
      </c>
      <c r="I1683" s="2">
        <v>8</v>
      </c>
      <c r="J1683" s="2" t="s">
        <v>33</v>
      </c>
      <c r="K1683" s="2"/>
      <c r="L1683" s="2" t="s">
        <v>24</v>
      </c>
      <c r="M1683" s="2"/>
      <c r="N1683" s="2" t="s">
        <v>118</v>
      </c>
    </row>
    <row r="1684" spans="1:14" x14ac:dyDescent="0.25">
      <c r="A1684" s="2" t="s">
        <v>4525</v>
      </c>
      <c r="B1684" s="2" t="s">
        <v>4526</v>
      </c>
      <c r="C1684" s="2" t="s">
        <v>28</v>
      </c>
      <c r="D1684" s="2" t="s">
        <v>100</v>
      </c>
      <c r="E1684" s="2" t="s">
        <v>148</v>
      </c>
      <c r="F1684" s="2" t="s">
        <v>39</v>
      </c>
      <c r="G1684" s="2" t="s">
        <v>135</v>
      </c>
      <c r="H1684" s="2" t="s">
        <v>21</v>
      </c>
      <c r="I1684" s="2">
        <v>24</v>
      </c>
      <c r="J1684" s="2" t="s">
        <v>75</v>
      </c>
      <c r="K1684" s="2" t="s">
        <v>4527</v>
      </c>
      <c r="L1684" s="2" t="s">
        <v>24</v>
      </c>
      <c r="M1684" s="2"/>
      <c r="N1684" s="2" t="s">
        <v>118</v>
      </c>
    </row>
    <row r="1685" spans="1:14" x14ac:dyDescent="0.25">
      <c r="A1685" s="2" t="s">
        <v>4528</v>
      </c>
      <c r="B1685" s="2" t="s">
        <v>4529</v>
      </c>
      <c r="C1685" s="2" t="s">
        <v>53</v>
      </c>
      <c r="D1685" s="2" t="s">
        <v>54</v>
      </c>
      <c r="E1685" s="2" t="s">
        <v>90</v>
      </c>
      <c r="F1685" s="2" t="s">
        <v>96</v>
      </c>
      <c r="G1685" s="2" t="s">
        <v>144</v>
      </c>
      <c r="H1685" s="2" t="s">
        <v>74</v>
      </c>
      <c r="I1685" s="2">
        <v>8</v>
      </c>
      <c r="J1685" s="2" t="s">
        <v>75</v>
      </c>
      <c r="K1685" s="2" t="s">
        <v>4530</v>
      </c>
      <c r="L1685" s="2" t="s">
        <v>24</v>
      </c>
      <c r="M1685" s="2">
        <v>3</v>
      </c>
      <c r="N1685" s="2" t="s">
        <v>118</v>
      </c>
    </row>
    <row r="1686" spans="1:14" x14ac:dyDescent="0.25">
      <c r="A1686" s="2" t="s">
        <v>4531</v>
      </c>
      <c r="B1686" s="2" t="s">
        <v>4532</v>
      </c>
      <c r="C1686" s="2" t="s">
        <v>16</v>
      </c>
      <c r="D1686" s="2" t="s">
        <v>84</v>
      </c>
      <c r="E1686" s="2" t="s">
        <v>148</v>
      </c>
      <c r="F1686" s="2" t="s">
        <v>113</v>
      </c>
      <c r="G1686" s="2" t="s">
        <v>101</v>
      </c>
      <c r="H1686" s="2" t="s">
        <v>74</v>
      </c>
      <c r="I1686" s="2">
        <v>8</v>
      </c>
      <c r="J1686" s="2" t="s">
        <v>11</v>
      </c>
      <c r="K1686" s="2"/>
      <c r="L1686" s="2" t="s">
        <v>92</v>
      </c>
      <c r="M1686" s="2"/>
      <c r="N1686" s="2" t="s">
        <v>128</v>
      </c>
    </row>
    <row r="1687" spans="1:14" x14ac:dyDescent="0.25">
      <c r="A1687" s="2" t="s">
        <v>4533</v>
      </c>
      <c r="B1687" s="2" t="s">
        <v>4534</v>
      </c>
      <c r="C1687" s="2" t="s">
        <v>16</v>
      </c>
      <c r="D1687" s="2" t="s">
        <v>17</v>
      </c>
      <c r="E1687" s="2" t="s">
        <v>46</v>
      </c>
      <c r="F1687" s="2" t="s">
        <v>30</v>
      </c>
      <c r="G1687" s="2" t="s">
        <v>179</v>
      </c>
      <c r="H1687" s="2" t="s">
        <v>21</v>
      </c>
      <c r="I1687" s="2">
        <v>24</v>
      </c>
      <c r="J1687" s="2" t="s">
        <v>287</v>
      </c>
      <c r="K1687" s="2"/>
      <c r="L1687" s="2" t="s">
        <v>24</v>
      </c>
      <c r="M1687" s="2"/>
      <c r="N1687" s="2" t="s">
        <v>128</v>
      </c>
    </row>
    <row r="1688" spans="1:14" x14ac:dyDescent="0.25">
      <c r="A1688" s="2" t="s">
        <v>4535</v>
      </c>
      <c r="B1688" s="2" t="s">
        <v>4536</v>
      </c>
      <c r="C1688" s="2" t="s">
        <v>67</v>
      </c>
      <c r="D1688" s="2" t="s">
        <v>68</v>
      </c>
      <c r="E1688" s="2" t="s">
        <v>18</v>
      </c>
      <c r="F1688" s="2" t="s">
        <v>131</v>
      </c>
      <c r="G1688" s="2" t="s">
        <v>20</v>
      </c>
      <c r="H1688" s="2" t="s">
        <v>32</v>
      </c>
      <c r="I1688" s="2">
        <v>48</v>
      </c>
      <c r="J1688" s="2" t="s">
        <v>145</v>
      </c>
      <c r="K1688" s="2"/>
      <c r="L1688" s="2" t="s">
        <v>24</v>
      </c>
      <c r="M1688" s="2"/>
      <c r="N1688" s="2" t="s">
        <v>25</v>
      </c>
    </row>
    <row r="1689" spans="1:14" x14ac:dyDescent="0.25">
      <c r="A1689" s="2" t="s">
        <v>4537</v>
      </c>
      <c r="B1689" s="2" t="s">
        <v>4538</v>
      </c>
      <c r="C1689" s="2" t="s">
        <v>67</v>
      </c>
      <c r="D1689" s="2" t="s">
        <v>68</v>
      </c>
      <c r="E1689" s="2" t="s">
        <v>148</v>
      </c>
      <c r="F1689" s="2" t="s">
        <v>125</v>
      </c>
      <c r="G1689" s="2" t="s">
        <v>70</v>
      </c>
      <c r="H1689" s="2" t="s">
        <v>21</v>
      </c>
      <c r="I1689" s="2">
        <v>24</v>
      </c>
      <c r="J1689" s="2" t="s">
        <v>287</v>
      </c>
      <c r="K1689" s="2"/>
      <c r="L1689" s="2" t="s">
        <v>92</v>
      </c>
      <c r="M1689" s="2"/>
      <c r="N1689" s="2"/>
    </row>
    <row r="1690" spans="1:14" x14ac:dyDescent="0.25">
      <c r="A1690" s="2" t="s">
        <v>4539</v>
      </c>
      <c r="B1690" s="2" t="s">
        <v>4540</v>
      </c>
      <c r="C1690" s="2" t="s">
        <v>28</v>
      </c>
      <c r="D1690" s="2" t="s">
        <v>100</v>
      </c>
      <c r="E1690" s="2" t="s">
        <v>148</v>
      </c>
      <c r="F1690" s="2" t="s">
        <v>96</v>
      </c>
      <c r="G1690" s="2" t="s">
        <v>91</v>
      </c>
      <c r="H1690" s="2" t="s">
        <v>21</v>
      </c>
      <c r="I1690" s="2">
        <v>24</v>
      </c>
      <c r="J1690" s="2" t="s">
        <v>41</v>
      </c>
      <c r="K1690" s="2" t="s">
        <v>4541</v>
      </c>
      <c r="L1690" s="2" t="s">
        <v>24</v>
      </c>
      <c r="M1690" s="2"/>
      <c r="N1690" s="2" t="s">
        <v>34</v>
      </c>
    </row>
    <row r="1691" spans="1:14" x14ac:dyDescent="0.25">
      <c r="A1691" s="2" t="s">
        <v>2727</v>
      </c>
      <c r="B1691" s="2" t="s">
        <v>2728</v>
      </c>
      <c r="C1691" s="2" t="s">
        <v>53</v>
      </c>
      <c r="D1691" s="2" t="s">
        <v>54</v>
      </c>
      <c r="E1691" s="2" t="s">
        <v>85</v>
      </c>
      <c r="F1691" s="2" t="s">
        <v>47</v>
      </c>
      <c r="G1691" s="2" t="s">
        <v>97</v>
      </c>
      <c r="H1691" s="2" t="s">
        <v>21</v>
      </c>
      <c r="I1691" s="2">
        <v>24</v>
      </c>
      <c r="J1691" s="2" t="s">
        <v>22</v>
      </c>
      <c r="K1691" s="2" t="s">
        <v>2729</v>
      </c>
      <c r="L1691" s="2" t="s">
        <v>24</v>
      </c>
      <c r="M1691" s="2"/>
      <c r="N1691" s="2" t="s">
        <v>128</v>
      </c>
    </row>
    <row r="1692" spans="1:14" x14ac:dyDescent="0.25">
      <c r="A1692" s="2" t="s">
        <v>1479</v>
      </c>
      <c r="B1692" s="2" t="s">
        <v>1480</v>
      </c>
      <c r="C1692" s="2" t="s">
        <v>28</v>
      </c>
      <c r="D1692" s="2" t="s">
        <v>37</v>
      </c>
      <c r="E1692" s="2" t="s">
        <v>85</v>
      </c>
      <c r="F1692" s="2" t="s">
        <v>19</v>
      </c>
      <c r="G1692" s="2" t="s">
        <v>179</v>
      </c>
      <c r="H1692" s="2" t="s">
        <v>32</v>
      </c>
      <c r="I1692" s="2">
        <v>48</v>
      </c>
      <c r="J1692" s="2" t="s">
        <v>48</v>
      </c>
      <c r="K1692" s="2" t="s">
        <v>1481</v>
      </c>
      <c r="L1692" s="2" t="s">
        <v>24</v>
      </c>
      <c r="M1692" s="2"/>
      <c r="N1692" s="2" t="s">
        <v>118</v>
      </c>
    </row>
    <row r="1693" spans="1:14" x14ac:dyDescent="0.25">
      <c r="A1693" s="2" t="s">
        <v>4542</v>
      </c>
      <c r="B1693" s="2" t="s">
        <v>4543</v>
      </c>
      <c r="C1693" s="2" t="s">
        <v>28</v>
      </c>
      <c r="D1693" s="2" t="s">
        <v>37</v>
      </c>
      <c r="E1693" s="2" t="s">
        <v>90</v>
      </c>
      <c r="F1693" s="2" t="s">
        <v>19</v>
      </c>
      <c r="G1693" s="2" t="s">
        <v>139</v>
      </c>
      <c r="H1693" s="2" t="s">
        <v>74</v>
      </c>
      <c r="I1693" s="2">
        <v>8</v>
      </c>
      <c r="J1693" s="2" t="s">
        <v>41</v>
      </c>
      <c r="K1693" s="2" t="s">
        <v>4544</v>
      </c>
      <c r="L1693" s="2" t="s">
        <v>24</v>
      </c>
      <c r="M1693" s="2"/>
      <c r="N1693" s="2" t="s">
        <v>64</v>
      </c>
    </row>
    <row r="1694" spans="1:14" x14ac:dyDescent="0.25">
      <c r="A1694" s="2" t="s">
        <v>4545</v>
      </c>
      <c r="B1694" s="2" t="s">
        <v>4546</v>
      </c>
      <c r="C1694" s="2" t="s">
        <v>67</v>
      </c>
      <c r="D1694" s="2" t="s">
        <v>95</v>
      </c>
      <c r="E1694" s="2" t="s">
        <v>90</v>
      </c>
      <c r="F1694" s="2" t="s">
        <v>39</v>
      </c>
      <c r="G1694" s="2" t="s">
        <v>97</v>
      </c>
      <c r="H1694" s="2" t="s">
        <v>32</v>
      </c>
      <c r="I1694" s="2">
        <v>48</v>
      </c>
      <c r="J1694" s="2" t="s">
        <v>22</v>
      </c>
      <c r="K1694" s="2" t="s">
        <v>4547</v>
      </c>
      <c r="L1694" s="2" t="s">
        <v>24</v>
      </c>
      <c r="M1694" s="2">
        <v>4</v>
      </c>
      <c r="N1694" s="2" t="s">
        <v>43</v>
      </c>
    </row>
    <row r="1695" spans="1:14" x14ac:dyDescent="0.25">
      <c r="A1695" s="2" t="s">
        <v>4548</v>
      </c>
      <c r="B1695" s="2" t="s">
        <v>4549</v>
      </c>
      <c r="C1695" s="2" t="s">
        <v>28</v>
      </c>
      <c r="D1695" s="2" t="s">
        <v>100</v>
      </c>
      <c r="E1695" s="2" t="s">
        <v>90</v>
      </c>
      <c r="F1695" s="2" t="s">
        <v>47</v>
      </c>
      <c r="G1695" s="2" t="s">
        <v>91</v>
      </c>
      <c r="H1695" s="2" t="s">
        <v>32</v>
      </c>
      <c r="I1695" s="2">
        <v>48</v>
      </c>
      <c r="J1695" s="2" t="s">
        <v>106</v>
      </c>
      <c r="K1695" s="2" t="s">
        <v>4550</v>
      </c>
      <c r="L1695" s="2" t="s">
        <v>24</v>
      </c>
      <c r="M1695" s="2">
        <v>4</v>
      </c>
      <c r="N1695" s="2" t="s">
        <v>50</v>
      </c>
    </row>
    <row r="1696" spans="1:14" x14ac:dyDescent="0.25">
      <c r="A1696" s="2" t="s">
        <v>4551</v>
      </c>
      <c r="B1696" s="2" t="s">
        <v>4552</v>
      </c>
      <c r="C1696" s="2" t="s">
        <v>53</v>
      </c>
      <c r="D1696" s="2" t="s">
        <v>61</v>
      </c>
      <c r="E1696" s="2" t="s">
        <v>18</v>
      </c>
      <c r="F1696" s="2" t="s">
        <v>55</v>
      </c>
      <c r="G1696" s="2" t="s">
        <v>110</v>
      </c>
      <c r="H1696" s="2" t="s">
        <v>74</v>
      </c>
      <c r="I1696" s="2">
        <v>8</v>
      </c>
      <c r="J1696" s="2" t="s">
        <v>41</v>
      </c>
      <c r="K1696" s="2"/>
      <c r="L1696" s="2" t="s">
        <v>24</v>
      </c>
      <c r="M1696" s="2">
        <v>5</v>
      </c>
      <c r="N1696" s="2" t="s">
        <v>58</v>
      </c>
    </row>
    <row r="1697" spans="1:14" x14ac:dyDescent="0.25">
      <c r="A1697" s="2" t="s">
        <v>4553</v>
      </c>
      <c r="B1697" s="2" t="s">
        <v>4554</v>
      </c>
      <c r="C1697" s="2" t="s">
        <v>53</v>
      </c>
      <c r="D1697" s="2" t="s">
        <v>61</v>
      </c>
      <c r="E1697" s="2" t="s">
        <v>148</v>
      </c>
      <c r="F1697" s="2" t="s">
        <v>131</v>
      </c>
      <c r="G1697" s="2" t="s">
        <v>179</v>
      </c>
      <c r="H1697" s="2" t="s">
        <v>74</v>
      </c>
      <c r="I1697" s="2">
        <v>8</v>
      </c>
      <c r="J1697" s="2" t="s">
        <v>48</v>
      </c>
      <c r="K1697" s="2" t="s">
        <v>4555</v>
      </c>
      <c r="L1697" s="2" t="s">
        <v>24</v>
      </c>
      <c r="M1697" s="2"/>
      <c r="N1697" s="2" t="s">
        <v>34</v>
      </c>
    </row>
    <row r="1698" spans="1:14" x14ac:dyDescent="0.25">
      <c r="A1698" s="2" t="s">
        <v>4556</v>
      </c>
      <c r="B1698" s="2" t="s">
        <v>4557</v>
      </c>
      <c r="C1698" s="2" t="s">
        <v>67</v>
      </c>
      <c r="D1698" s="2" t="s">
        <v>68</v>
      </c>
      <c r="E1698" s="2" t="s">
        <v>90</v>
      </c>
      <c r="F1698" s="2" t="s">
        <v>30</v>
      </c>
      <c r="G1698" s="2" t="s">
        <v>135</v>
      </c>
      <c r="H1698" s="2" t="s">
        <v>80</v>
      </c>
      <c r="I1698" s="2">
        <v>4</v>
      </c>
      <c r="J1698" s="2" t="s">
        <v>200</v>
      </c>
      <c r="K1698" s="2"/>
      <c r="L1698" s="2" t="s">
        <v>92</v>
      </c>
      <c r="M1698" s="2"/>
      <c r="N1698" s="2" t="s">
        <v>25</v>
      </c>
    </row>
    <row r="1699" spans="1:14" x14ac:dyDescent="0.25">
      <c r="A1699" s="2" t="s">
        <v>4558</v>
      </c>
      <c r="B1699" s="2" t="s">
        <v>4559</v>
      </c>
      <c r="C1699" s="2" t="s">
        <v>67</v>
      </c>
      <c r="D1699" s="2" t="s">
        <v>68</v>
      </c>
      <c r="E1699" s="2" t="s">
        <v>46</v>
      </c>
      <c r="F1699" s="2" t="s">
        <v>143</v>
      </c>
      <c r="G1699" s="2" t="s">
        <v>121</v>
      </c>
      <c r="H1699" s="2" t="s">
        <v>21</v>
      </c>
      <c r="I1699" s="2">
        <v>24</v>
      </c>
      <c r="J1699" s="2" t="s">
        <v>22</v>
      </c>
      <c r="K1699" s="2" t="s">
        <v>4560</v>
      </c>
      <c r="L1699" s="2" t="s">
        <v>24</v>
      </c>
      <c r="M1699" s="2">
        <v>5</v>
      </c>
      <c r="N1699" s="2"/>
    </row>
    <row r="1700" spans="1:14" x14ac:dyDescent="0.25">
      <c r="A1700" s="2" t="s">
        <v>4561</v>
      </c>
      <c r="B1700" s="2" t="s">
        <v>4562</v>
      </c>
      <c r="C1700" s="2" t="s">
        <v>16</v>
      </c>
      <c r="D1700" s="2" t="s">
        <v>84</v>
      </c>
      <c r="E1700" s="2" t="s">
        <v>90</v>
      </c>
      <c r="F1700" s="2" t="s">
        <v>47</v>
      </c>
      <c r="G1700" s="2" t="s">
        <v>183</v>
      </c>
      <c r="H1700" s="2" t="s">
        <v>74</v>
      </c>
      <c r="I1700" s="2">
        <v>8</v>
      </c>
      <c r="J1700" s="2" t="s">
        <v>287</v>
      </c>
      <c r="K1700" s="2"/>
      <c r="L1700" s="2" t="s">
        <v>24</v>
      </c>
      <c r="M1700" s="2"/>
      <c r="N1700" s="2" t="s">
        <v>43</v>
      </c>
    </row>
    <row r="1701" spans="1:14" x14ac:dyDescent="0.25">
      <c r="A1701" s="2" t="s">
        <v>4563</v>
      </c>
      <c r="B1701" s="2" t="s">
        <v>4564</v>
      </c>
      <c r="C1701" s="2" t="s">
        <v>28</v>
      </c>
      <c r="D1701" s="2" t="s">
        <v>100</v>
      </c>
      <c r="E1701" s="2"/>
      <c r="F1701" s="2" t="s">
        <v>96</v>
      </c>
      <c r="G1701" s="2" t="s">
        <v>97</v>
      </c>
      <c r="H1701" s="2" t="s">
        <v>32</v>
      </c>
      <c r="I1701" s="2">
        <v>48</v>
      </c>
      <c r="J1701" s="2" t="s">
        <v>48</v>
      </c>
      <c r="K1701" s="2" t="s">
        <v>4565</v>
      </c>
      <c r="L1701" s="2" t="s">
        <v>24</v>
      </c>
      <c r="M1701" s="2"/>
      <c r="N1701" s="2"/>
    </row>
    <row r="1702" spans="1:14" x14ac:dyDescent="0.25">
      <c r="A1702" s="2" t="s">
        <v>4566</v>
      </c>
      <c r="B1702" s="2" t="s">
        <v>4567</v>
      </c>
      <c r="C1702" s="2" t="s">
        <v>16</v>
      </c>
      <c r="D1702" s="2" t="s">
        <v>17</v>
      </c>
      <c r="E1702" s="2" t="s">
        <v>148</v>
      </c>
      <c r="F1702" s="2" t="s">
        <v>55</v>
      </c>
      <c r="G1702" s="2" t="s">
        <v>40</v>
      </c>
      <c r="H1702" s="2" t="s">
        <v>21</v>
      </c>
      <c r="I1702" s="2">
        <v>24</v>
      </c>
      <c r="J1702" s="2" t="s">
        <v>200</v>
      </c>
      <c r="K1702" s="2"/>
      <c r="L1702" s="2" t="s">
        <v>92</v>
      </c>
      <c r="M1702" s="2"/>
      <c r="N1702" s="2" t="s">
        <v>58</v>
      </c>
    </row>
    <row r="1703" spans="1:14" x14ac:dyDescent="0.25">
      <c r="A1703" s="2" t="s">
        <v>4568</v>
      </c>
      <c r="B1703" s="2" t="s">
        <v>4569</v>
      </c>
      <c r="C1703" s="2" t="s">
        <v>28</v>
      </c>
      <c r="D1703" s="2" t="s">
        <v>37</v>
      </c>
      <c r="E1703" s="2" t="s">
        <v>46</v>
      </c>
      <c r="F1703" s="2" t="s">
        <v>131</v>
      </c>
      <c r="G1703" s="2" t="s">
        <v>139</v>
      </c>
      <c r="H1703" s="2" t="s">
        <v>74</v>
      </c>
      <c r="I1703" s="2">
        <v>8</v>
      </c>
      <c r="J1703" s="2" t="s">
        <v>48</v>
      </c>
      <c r="K1703" s="2" t="s">
        <v>4570</v>
      </c>
      <c r="L1703" s="2" t="s">
        <v>24</v>
      </c>
      <c r="M1703" s="2">
        <v>4</v>
      </c>
      <c r="N1703" s="2" t="s">
        <v>43</v>
      </c>
    </row>
    <row r="1704" spans="1:14" x14ac:dyDescent="0.25">
      <c r="A1704" s="2" t="s">
        <v>4571</v>
      </c>
      <c r="B1704" s="2" t="s">
        <v>4572</v>
      </c>
      <c r="C1704" s="2" t="s">
        <v>67</v>
      </c>
      <c r="D1704" s="2" t="s">
        <v>68</v>
      </c>
      <c r="E1704" s="2" t="s">
        <v>46</v>
      </c>
      <c r="F1704" s="2" t="s">
        <v>47</v>
      </c>
      <c r="G1704" s="2" t="s">
        <v>179</v>
      </c>
      <c r="H1704" s="2" t="s">
        <v>80</v>
      </c>
      <c r="I1704" s="2">
        <v>4</v>
      </c>
      <c r="J1704" s="2" t="s">
        <v>187</v>
      </c>
      <c r="K1704" s="2"/>
      <c r="L1704" s="2" t="s">
        <v>24</v>
      </c>
      <c r="M1704" s="2">
        <v>3</v>
      </c>
      <c r="N1704" s="2" t="s">
        <v>118</v>
      </c>
    </row>
    <row r="1705" spans="1:14" x14ac:dyDescent="0.25">
      <c r="A1705" s="2" t="s">
        <v>4573</v>
      </c>
      <c r="B1705" s="2" t="s">
        <v>4574</v>
      </c>
      <c r="C1705" s="2" t="s">
        <v>53</v>
      </c>
      <c r="D1705" s="2" t="s">
        <v>54</v>
      </c>
      <c r="E1705" s="2" t="s">
        <v>18</v>
      </c>
      <c r="F1705" s="2" t="s">
        <v>69</v>
      </c>
      <c r="G1705" s="2" t="s">
        <v>211</v>
      </c>
      <c r="H1705" s="2" t="s">
        <v>21</v>
      </c>
      <c r="I1705" s="2">
        <v>24</v>
      </c>
      <c r="J1705" s="2" t="s">
        <v>48</v>
      </c>
      <c r="K1705" s="2" t="s">
        <v>4575</v>
      </c>
      <c r="L1705" s="2" t="s">
        <v>24</v>
      </c>
      <c r="M1705" s="2"/>
      <c r="N1705" s="2" t="s">
        <v>34</v>
      </c>
    </row>
    <row r="1706" spans="1:14" x14ac:dyDescent="0.25">
      <c r="A1706" s="2" t="s">
        <v>4187</v>
      </c>
      <c r="B1706" s="2" t="s">
        <v>4188</v>
      </c>
      <c r="C1706" s="2" t="s">
        <v>67</v>
      </c>
      <c r="D1706" s="2" t="s">
        <v>89</v>
      </c>
      <c r="E1706" s="2" t="s">
        <v>38</v>
      </c>
      <c r="F1706" s="2" t="s">
        <v>47</v>
      </c>
      <c r="G1706" s="2" t="s">
        <v>105</v>
      </c>
      <c r="H1706" s="2" t="s">
        <v>80</v>
      </c>
      <c r="I1706" s="2">
        <v>4</v>
      </c>
      <c r="J1706" s="2" t="s">
        <v>232</v>
      </c>
      <c r="K1706" s="2"/>
      <c r="L1706" s="2" t="s">
        <v>92</v>
      </c>
      <c r="M1706" s="2"/>
      <c r="N1706" s="2" t="s">
        <v>34</v>
      </c>
    </row>
    <row r="1707" spans="1:14" x14ac:dyDescent="0.25">
      <c r="A1707" s="2" t="s">
        <v>4576</v>
      </c>
      <c r="B1707" s="2" t="s">
        <v>4577</v>
      </c>
      <c r="C1707" s="2" t="s">
        <v>16</v>
      </c>
      <c r="D1707" s="2" t="s">
        <v>84</v>
      </c>
      <c r="E1707" s="2" t="s">
        <v>90</v>
      </c>
      <c r="F1707" s="2" t="s">
        <v>143</v>
      </c>
      <c r="G1707" s="2" t="s">
        <v>110</v>
      </c>
      <c r="H1707" s="2" t="s">
        <v>74</v>
      </c>
      <c r="I1707" s="2">
        <v>8</v>
      </c>
      <c r="J1707" s="2" t="s">
        <v>56</v>
      </c>
      <c r="K1707" s="2" t="s">
        <v>4578</v>
      </c>
      <c r="L1707" s="2" t="s">
        <v>92</v>
      </c>
      <c r="M1707" s="2"/>
      <c r="N1707" s="2" t="s">
        <v>118</v>
      </c>
    </row>
    <row r="1708" spans="1:14" x14ac:dyDescent="0.25">
      <c r="A1708" s="2" t="s">
        <v>910</v>
      </c>
      <c r="B1708" s="2" t="s">
        <v>911</v>
      </c>
      <c r="C1708" s="2" t="s">
        <v>16</v>
      </c>
      <c r="D1708" s="2" t="s">
        <v>84</v>
      </c>
      <c r="E1708" s="2" t="s">
        <v>46</v>
      </c>
      <c r="F1708" s="2" t="s">
        <v>30</v>
      </c>
      <c r="G1708" s="2" t="s">
        <v>70</v>
      </c>
      <c r="H1708" s="2" t="s">
        <v>32</v>
      </c>
      <c r="I1708" s="2">
        <v>48</v>
      </c>
      <c r="J1708" s="2" t="s">
        <v>187</v>
      </c>
      <c r="K1708" s="2" t="s">
        <v>912</v>
      </c>
      <c r="L1708" s="2" t="s">
        <v>24</v>
      </c>
      <c r="M1708" s="2">
        <v>5</v>
      </c>
      <c r="N1708" s="2" t="s">
        <v>64</v>
      </c>
    </row>
    <row r="1709" spans="1:14" x14ac:dyDescent="0.25">
      <c r="A1709" s="2" t="s">
        <v>4579</v>
      </c>
      <c r="B1709" s="2" t="s">
        <v>4580</v>
      </c>
      <c r="C1709" s="2" t="s">
        <v>53</v>
      </c>
      <c r="D1709" s="2" t="s">
        <v>54</v>
      </c>
      <c r="E1709" s="2" t="s">
        <v>85</v>
      </c>
      <c r="F1709" s="2" t="s">
        <v>113</v>
      </c>
      <c r="G1709" s="2" t="s">
        <v>31</v>
      </c>
      <c r="H1709" s="2" t="s">
        <v>74</v>
      </c>
      <c r="I1709" s="2">
        <v>8</v>
      </c>
      <c r="J1709" s="2" t="s">
        <v>200</v>
      </c>
      <c r="K1709" s="2"/>
      <c r="L1709" s="2" t="s">
        <v>92</v>
      </c>
      <c r="M1709" s="2"/>
      <c r="N1709" s="2" t="s">
        <v>34</v>
      </c>
    </row>
    <row r="1710" spans="1:14" x14ac:dyDescent="0.25">
      <c r="A1710" s="2" t="s">
        <v>4581</v>
      </c>
      <c r="B1710" s="2" t="s">
        <v>4582</v>
      </c>
      <c r="C1710" s="2" t="s">
        <v>67</v>
      </c>
      <c r="D1710" s="2" t="s">
        <v>95</v>
      </c>
      <c r="E1710" s="2" t="s">
        <v>90</v>
      </c>
      <c r="F1710" s="2" t="s">
        <v>30</v>
      </c>
      <c r="G1710" s="2" t="s">
        <v>110</v>
      </c>
      <c r="H1710" s="2" t="s">
        <v>21</v>
      </c>
      <c r="I1710" s="2">
        <v>24</v>
      </c>
      <c r="J1710" s="2" t="s">
        <v>22</v>
      </c>
      <c r="K1710" s="2" t="s">
        <v>4583</v>
      </c>
      <c r="L1710" s="2" t="s">
        <v>24</v>
      </c>
      <c r="M1710" s="2"/>
      <c r="N1710" s="2" t="s">
        <v>58</v>
      </c>
    </row>
    <row r="1711" spans="1:14" x14ac:dyDescent="0.25">
      <c r="A1711" s="2" t="s">
        <v>4584</v>
      </c>
      <c r="B1711" s="2" t="s">
        <v>4585</v>
      </c>
      <c r="C1711" s="2" t="s">
        <v>53</v>
      </c>
      <c r="D1711" s="2" t="s">
        <v>61</v>
      </c>
      <c r="E1711" s="2" t="s">
        <v>148</v>
      </c>
      <c r="F1711" s="2" t="s">
        <v>55</v>
      </c>
      <c r="G1711" s="2" t="s">
        <v>139</v>
      </c>
      <c r="H1711" s="2" t="s">
        <v>21</v>
      </c>
      <c r="I1711" s="2">
        <v>24</v>
      </c>
      <c r="J1711" s="2" t="s">
        <v>56</v>
      </c>
      <c r="K1711" s="2" t="s">
        <v>4586</v>
      </c>
      <c r="L1711" s="2" t="s">
        <v>24</v>
      </c>
      <c r="M1711" s="2"/>
      <c r="N1711" s="2" t="s">
        <v>25</v>
      </c>
    </row>
    <row r="1712" spans="1:14" x14ac:dyDescent="0.25">
      <c r="A1712" s="2" t="s">
        <v>4587</v>
      </c>
      <c r="B1712" s="2" t="s">
        <v>4588</v>
      </c>
      <c r="C1712" s="2" t="s">
        <v>16</v>
      </c>
      <c r="D1712" s="2" t="s">
        <v>84</v>
      </c>
      <c r="E1712" s="2" t="s">
        <v>79</v>
      </c>
      <c r="F1712" s="2" t="s">
        <v>39</v>
      </c>
      <c r="G1712" s="2" t="s">
        <v>139</v>
      </c>
      <c r="H1712" s="2" t="s">
        <v>21</v>
      </c>
      <c r="I1712" s="2">
        <v>24</v>
      </c>
      <c r="J1712" s="2" t="s">
        <v>486</v>
      </c>
      <c r="K1712" s="2" t="s">
        <v>4589</v>
      </c>
      <c r="L1712" s="2" t="s">
        <v>24</v>
      </c>
      <c r="M1712" s="2"/>
      <c r="N1712" s="2" t="s">
        <v>34</v>
      </c>
    </row>
    <row r="1713" spans="1:14" x14ac:dyDescent="0.25">
      <c r="A1713" s="2" t="s">
        <v>4590</v>
      </c>
      <c r="B1713" s="2" t="s">
        <v>4591</v>
      </c>
      <c r="C1713" s="2" t="s">
        <v>53</v>
      </c>
      <c r="D1713" s="2" t="s">
        <v>61</v>
      </c>
      <c r="E1713" s="2" t="s">
        <v>46</v>
      </c>
      <c r="F1713" s="2" t="s">
        <v>62</v>
      </c>
      <c r="G1713" s="2" t="s">
        <v>139</v>
      </c>
      <c r="H1713" s="2" t="s">
        <v>74</v>
      </c>
      <c r="I1713" s="2">
        <v>8</v>
      </c>
      <c r="J1713" s="2" t="s">
        <v>56</v>
      </c>
      <c r="K1713" s="2" t="s">
        <v>4592</v>
      </c>
      <c r="L1713" s="2" t="s">
        <v>24</v>
      </c>
      <c r="M1713" s="2"/>
      <c r="N1713" s="2"/>
    </row>
    <row r="1714" spans="1:14" x14ac:dyDescent="0.25">
      <c r="A1714" s="2" t="s">
        <v>4593</v>
      </c>
      <c r="B1714" s="2" t="s">
        <v>4594</v>
      </c>
      <c r="C1714" s="2" t="s">
        <v>53</v>
      </c>
      <c r="D1714" s="2" t="s">
        <v>61</v>
      </c>
      <c r="E1714" s="2" t="s">
        <v>85</v>
      </c>
      <c r="F1714" s="2" t="s">
        <v>96</v>
      </c>
      <c r="G1714" s="2" t="s">
        <v>158</v>
      </c>
      <c r="H1714" s="2" t="s">
        <v>32</v>
      </c>
      <c r="I1714" s="2">
        <v>48</v>
      </c>
      <c r="J1714" s="2" t="s">
        <v>22</v>
      </c>
      <c r="K1714" s="2" t="s">
        <v>4595</v>
      </c>
      <c r="L1714" s="2" t="s">
        <v>24</v>
      </c>
      <c r="M1714" s="2"/>
      <c r="N1714" s="2"/>
    </row>
    <row r="1715" spans="1:14" x14ac:dyDescent="0.25">
      <c r="A1715" s="2" t="s">
        <v>4596</v>
      </c>
      <c r="B1715" s="2" t="s">
        <v>4597</v>
      </c>
      <c r="C1715" s="2" t="s">
        <v>28</v>
      </c>
      <c r="D1715" s="2" t="s">
        <v>100</v>
      </c>
      <c r="E1715" s="2" t="s">
        <v>148</v>
      </c>
      <c r="F1715" s="2" t="s">
        <v>39</v>
      </c>
      <c r="G1715" s="2" t="s">
        <v>121</v>
      </c>
      <c r="H1715" s="2" t="s">
        <v>32</v>
      </c>
      <c r="I1715" s="2">
        <v>48</v>
      </c>
      <c r="J1715" s="2" t="s">
        <v>41</v>
      </c>
      <c r="K1715" s="2" t="s">
        <v>4598</v>
      </c>
      <c r="L1715" s="2" t="s">
        <v>24</v>
      </c>
      <c r="M1715" s="2"/>
      <c r="N1715" s="2"/>
    </row>
    <row r="1716" spans="1:14" x14ac:dyDescent="0.25">
      <c r="A1716" s="2" t="s">
        <v>4599</v>
      </c>
      <c r="B1716" s="2" t="s">
        <v>4600</v>
      </c>
      <c r="C1716" s="2" t="s">
        <v>28</v>
      </c>
      <c r="D1716" s="2" t="s">
        <v>100</v>
      </c>
      <c r="E1716" s="2" t="s">
        <v>46</v>
      </c>
      <c r="F1716" s="2" t="s">
        <v>69</v>
      </c>
      <c r="G1716" s="2" t="s">
        <v>97</v>
      </c>
      <c r="H1716" s="2" t="s">
        <v>80</v>
      </c>
      <c r="I1716" s="2">
        <v>4</v>
      </c>
      <c r="J1716" s="2" t="s">
        <v>11</v>
      </c>
      <c r="K1716" s="2"/>
      <c r="L1716" s="2" t="s">
        <v>92</v>
      </c>
      <c r="M1716" s="2"/>
      <c r="N1716" s="2" t="s">
        <v>58</v>
      </c>
    </row>
    <row r="1717" spans="1:14" x14ac:dyDescent="0.25">
      <c r="A1717" s="2" t="s">
        <v>4601</v>
      </c>
      <c r="B1717" s="2" t="s">
        <v>4602</v>
      </c>
      <c r="C1717" s="2" t="s">
        <v>53</v>
      </c>
      <c r="D1717" s="2" t="s">
        <v>61</v>
      </c>
      <c r="E1717" s="2" t="s">
        <v>148</v>
      </c>
      <c r="F1717" s="2" t="s">
        <v>39</v>
      </c>
      <c r="G1717" s="2" t="s">
        <v>135</v>
      </c>
      <c r="H1717" s="2" t="s">
        <v>74</v>
      </c>
      <c r="I1717" s="2">
        <v>8</v>
      </c>
      <c r="J1717" s="2" t="s">
        <v>149</v>
      </c>
      <c r="K1717" s="2"/>
      <c r="L1717" s="2" t="s">
        <v>24</v>
      </c>
      <c r="M1717" s="2"/>
      <c r="N1717" s="2" t="s">
        <v>64</v>
      </c>
    </row>
    <row r="1718" spans="1:14" x14ac:dyDescent="0.25">
      <c r="A1718" s="2" t="s">
        <v>4603</v>
      </c>
      <c r="B1718" s="2" t="s">
        <v>4604</v>
      </c>
      <c r="C1718" s="2" t="s">
        <v>28</v>
      </c>
      <c r="D1718" s="2" t="s">
        <v>37</v>
      </c>
      <c r="E1718" s="2" t="s">
        <v>79</v>
      </c>
      <c r="F1718" s="2" t="s">
        <v>131</v>
      </c>
      <c r="G1718" s="2" t="s">
        <v>110</v>
      </c>
      <c r="H1718" s="2" t="s">
        <v>21</v>
      </c>
      <c r="I1718" s="2">
        <v>24</v>
      </c>
      <c r="J1718" s="2" t="s">
        <v>149</v>
      </c>
      <c r="K1718" s="2"/>
      <c r="L1718" s="2" t="s">
        <v>24</v>
      </c>
      <c r="M1718" s="2"/>
      <c r="N1718" s="2" t="s">
        <v>34</v>
      </c>
    </row>
    <row r="1719" spans="1:14" x14ac:dyDescent="0.25">
      <c r="A1719" s="2" t="s">
        <v>4605</v>
      </c>
      <c r="B1719" s="2" t="s">
        <v>4606</v>
      </c>
      <c r="C1719" s="2" t="s">
        <v>53</v>
      </c>
      <c r="D1719" s="2" t="s">
        <v>61</v>
      </c>
      <c r="E1719" s="2" t="s">
        <v>148</v>
      </c>
      <c r="F1719" s="2" t="s">
        <v>125</v>
      </c>
      <c r="G1719" s="2" t="s">
        <v>211</v>
      </c>
      <c r="H1719" s="2" t="s">
        <v>21</v>
      </c>
      <c r="I1719" s="2">
        <v>24</v>
      </c>
      <c r="J1719" s="2" t="s">
        <v>41</v>
      </c>
      <c r="K1719" s="2" t="s">
        <v>4607</v>
      </c>
      <c r="L1719" s="2" t="s">
        <v>24</v>
      </c>
      <c r="M1719" s="2">
        <v>5</v>
      </c>
      <c r="N1719" s="2" t="s">
        <v>50</v>
      </c>
    </row>
    <row r="1720" spans="1:14" x14ac:dyDescent="0.25">
      <c r="A1720" s="2" t="s">
        <v>4608</v>
      </c>
      <c r="B1720" s="2" t="s">
        <v>4609</v>
      </c>
      <c r="C1720" s="2" t="s">
        <v>53</v>
      </c>
      <c r="D1720" s="2" t="s">
        <v>54</v>
      </c>
      <c r="E1720" s="2" t="s">
        <v>79</v>
      </c>
      <c r="F1720" s="2" t="s">
        <v>69</v>
      </c>
      <c r="G1720" s="2" t="s">
        <v>183</v>
      </c>
      <c r="H1720" s="2" t="s">
        <v>74</v>
      </c>
      <c r="I1720" s="2">
        <v>8</v>
      </c>
      <c r="J1720" s="2" t="s">
        <v>22</v>
      </c>
      <c r="K1720" s="2" t="s">
        <v>4610</v>
      </c>
      <c r="L1720" s="2" t="s">
        <v>24</v>
      </c>
      <c r="M1720" s="2">
        <v>3</v>
      </c>
      <c r="N1720" s="2" t="s">
        <v>34</v>
      </c>
    </row>
    <row r="1721" spans="1:14" x14ac:dyDescent="0.25">
      <c r="A1721" s="2" t="s">
        <v>4611</v>
      </c>
      <c r="B1721" s="2" t="s">
        <v>4612</v>
      </c>
      <c r="C1721" s="2" t="s">
        <v>16</v>
      </c>
      <c r="D1721" s="2" t="s">
        <v>17</v>
      </c>
      <c r="E1721" s="2" t="s">
        <v>148</v>
      </c>
      <c r="F1721" s="2" t="s">
        <v>113</v>
      </c>
      <c r="G1721" s="2" t="s">
        <v>179</v>
      </c>
      <c r="H1721" s="2" t="s">
        <v>32</v>
      </c>
      <c r="I1721" s="2">
        <v>48</v>
      </c>
      <c r="J1721" s="2" t="s">
        <v>41</v>
      </c>
      <c r="K1721" s="2" t="s">
        <v>4613</v>
      </c>
      <c r="L1721" s="2" t="s">
        <v>24</v>
      </c>
      <c r="M1721" s="2">
        <v>5</v>
      </c>
      <c r="N1721" s="2" t="s">
        <v>50</v>
      </c>
    </row>
    <row r="1722" spans="1:14" x14ac:dyDescent="0.25">
      <c r="A1722" s="2" t="s">
        <v>4614</v>
      </c>
      <c r="B1722" s="2" t="s">
        <v>4615</v>
      </c>
      <c r="C1722" s="2" t="s">
        <v>28</v>
      </c>
      <c r="D1722" s="2" t="s">
        <v>37</v>
      </c>
      <c r="E1722" s="2" t="s">
        <v>148</v>
      </c>
      <c r="F1722" s="2" t="s">
        <v>131</v>
      </c>
      <c r="G1722" s="2" t="s">
        <v>139</v>
      </c>
      <c r="H1722" s="2" t="s">
        <v>32</v>
      </c>
      <c r="I1722" s="2">
        <v>48</v>
      </c>
      <c r="J1722" s="2" t="s">
        <v>41</v>
      </c>
      <c r="K1722" s="2" t="s">
        <v>4616</v>
      </c>
      <c r="L1722" s="2" t="s">
        <v>92</v>
      </c>
      <c r="M1722" s="2">
        <v>2</v>
      </c>
      <c r="N1722" s="2"/>
    </row>
    <row r="1723" spans="1:14" x14ac:dyDescent="0.25">
      <c r="A1723" s="2" t="s">
        <v>4617</v>
      </c>
      <c r="B1723" s="2" t="s">
        <v>4618</v>
      </c>
      <c r="C1723" s="2" t="s">
        <v>28</v>
      </c>
      <c r="D1723" s="2" t="s">
        <v>37</v>
      </c>
      <c r="E1723" s="2" t="s">
        <v>79</v>
      </c>
      <c r="F1723" s="2" t="s">
        <v>125</v>
      </c>
      <c r="G1723" s="2" t="s">
        <v>183</v>
      </c>
      <c r="H1723" s="2" t="s">
        <v>21</v>
      </c>
      <c r="I1723" s="2">
        <v>24</v>
      </c>
      <c r="J1723" s="2" t="s">
        <v>187</v>
      </c>
      <c r="K1723" s="2" t="s">
        <v>4619</v>
      </c>
      <c r="L1723" s="2" t="s">
        <v>24</v>
      </c>
      <c r="M1723" s="2"/>
      <c r="N1723" s="2" t="s">
        <v>64</v>
      </c>
    </row>
    <row r="1724" spans="1:14" x14ac:dyDescent="0.25">
      <c r="A1724" s="2" t="s">
        <v>4620</v>
      </c>
      <c r="B1724" s="2" t="s">
        <v>4621</v>
      </c>
      <c r="C1724" s="2" t="s">
        <v>16</v>
      </c>
      <c r="D1724" s="2" t="s">
        <v>17</v>
      </c>
      <c r="E1724" s="2" t="s">
        <v>148</v>
      </c>
      <c r="F1724" s="2" t="s">
        <v>55</v>
      </c>
      <c r="G1724" s="2" t="s">
        <v>110</v>
      </c>
      <c r="H1724" s="2" t="s">
        <v>74</v>
      </c>
      <c r="I1724" s="2">
        <v>8</v>
      </c>
      <c r="J1724" s="2" t="s">
        <v>41</v>
      </c>
      <c r="K1724" s="2" t="s">
        <v>4622</v>
      </c>
      <c r="L1724" s="2" t="s">
        <v>24</v>
      </c>
      <c r="M1724" s="2"/>
      <c r="N1724" s="2" t="s">
        <v>64</v>
      </c>
    </row>
    <row r="1725" spans="1:14" x14ac:dyDescent="0.25">
      <c r="A1725" s="2" t="s">
        <v>4623</v>
      </c>
      <c r="B1725" s="2" t="s">
        <v>4624</v>
      </c>
      <c r="C1725" s="2" t="s">
        <v>16</v>
      </c>
      <c r="D1725" s="2" t="s">
        <v>84</v>
      </c>
      <c r="E1725" s="2" t="s">
        <v>148</v>
      </c>
      <c r="F1725" s="2" t="s">
        <v>19</v>
      </c>
      <c r="G1725" s="2" t="s">
        <v>20</v>
      </c>
      <c r="H1725" s="2" t="s">
        <v>32</v>
      </c>
      <c r="I1725" s="2">
        <v>48</v>
      </c>
      <c r="J1725" s="2" t="s">
        <v>22</v>
      </c>
      <c r="K1725" s="2" t="s">
        <v>4625</v>
      </c>
      <c r="L1725" s="2" t="s">
        <v>24</v>
      </c>
      <c r="M1725" s="2">
        <v>5</v>
      </c>
      <c r="N1725" s="2" t="s">
        <v>43</v>
      </c>
    </row>
    <row r="1726" spans="1:14" x14ac:dyDescent="0.25">
      <c r="A1726" s="2" t="s">
        <v>4626</v>
      </c>
      <c r="B1726" s="2" t="s">
        <v>4627</v>
      </c>
      <c r="C1726" s="2" t="s">
        <v>67</v>
      </c>
      <c r="D1726" s="2" t="s">
        <v>95</v>
      </c>
      <c r="E1726" s="2" t="s">
        <v>38</v>
      </c>
      <c r="F1726" s="2" t="s">
        <v>39</v>
      </c>
      <c r="G1726" s="2" t="s">
        <v>126</v>
      </c>
      <c r="H1726" s="2" t="s">
        <v>21</v>
      </c>
      <c r="I1726" s="2">
        <v>24</v>
      </c>
      <c r="J1726" s="2" t="s">
        <v>287</v>
      </c>
      <c r="K1726" s="2"/>
      <c r="L1726" s="2" t="s">
        <v>92</v>
      </c>
      <c r="M1726" s="2"/>
      <c r="N1726" s="2" t="s">
        <v>118</v>
      </c>
    </row>
    <row r="1727" spans="1:14" x14ac:dyDescent="0.25">
      <c r="A1727" s="2" t="s">
        <v>4628</v>
      </c>
      <c r="B1727" s="2" t="s">
        <v>4629</v>
      </c>
      <c r="C1727" s="2" t="s">
        <v>16</v>
      </c>
      <c r="D1727" s="2" t="s">
        <v>17</v>
      </c>
      <c r="E1727" s="2" t="s">
        <v>38</v>
      </c>
      <c r="F1727" s="2" t="s">
        <v>62</v>
      </c>
      <c r="G1727" s="2" t="s">
        <v>101</v>
      </c>
      <c r="H1727" s="2" t="s">
        <v>32</v>
      </c>
      <c r="I1727" s="2">
        <v>48</v>
      </c>
      <c r="J1727" s="2" t="s">
        <v>41</v>
      </c>
      <c r="K1727" s="2" t="s">
        <v>4305</v>
      </c>
      <c r="L1727" s="2" t="s">
        <v>24</v>
      </c>
      <c r="M1727" s="2">
        <v>2</v>
      </c>
      <c r="N1727" s="2"/>
    </row>
    <row r="1728" spans="1:14" x14ac:dyDescent="0.25">
      <c r="A1728" s="2" t="s">
        <v>4630</v>
      </c>
      <c r="B1728" s="2" t="s">
        <v>4631</v>
      </c>
      <c r="C1728" s="2" t="s">
        <v>67</v>
      </c>
      <c r="D1728" s="2" t="s">
        <v>95</v>
      </c>
      <c r="E1728" s="2" t="s">
        <v>90</v>
      </c>
      <c r="F1728" s="2" t="s">
        <v>113</v>
      </c>
      <c r="G1728" s="2" t="s">
        <v>20</v>
      </c>
      <c r="H1728" s="2" t="s">
        <v>32</v>
      </c>
      <c r="I1728" s="2">
        <v>48</v>
      </c>
      <c r="J1728" s="2" t="s">
        <v>48</v>
      </c>
      <c r="K1728" s="2" t="s">
        <v>4632</v>
      </c>
      <c r="L1728" s="2" t="s">
        <v>24</v>
      </c>
      <c r="M1728" s="2"/>
      <c r="N1728" s="2" t="s">
        <v>25</v>
      </c>
    </row>
    <row r="1729" spans="1:14" x14ac:dyDescent="0.25">
      <c r="A1729" s="2" t="s">
        <v>4633</v>
      </c>
      <c r="B1729" s="2" t="s">
        <v>4634</v>
      </c>
      <c r="C1729" s="2" t="s">
        <v>67</v>
      </c>
      <c r="D1729" s="2" t="s">
        <v>68</v>
      </c>
      <c r="E1729" s="2" t="s">
        <v>148</v>
      </c>
      <c r="F1729" s="2" t="s">
        <v>55</v>
      </c>
      <c r="G1729" s="2" t="s">
        <v>158</v>
      </c>
      <c r="H1729" s="2" t="s">
        <v>74</v>
      </c>
      <c r="I1729" s="2">
        <v>8</v>
      </c>
      <c r="J1729" s="2" t="s">
        <v>106</v>
      </c>
      <c r="K1729" s="2" t="s">
        <v>4635</v>
      </c>
      <c r="L1729" s="2" t="s">
        <v>24</v>
      </c>
      <c r="M1729" s="2"/>
      <c r="N1729" s="2" t="s">
        <v>25</v>
      </c>
    </row>
    <row r="1730" spans="1:14" x14ac:dyDescent="0.25">
      <c r="A1730" s="2" t="s">
        <v>4636</v>
      </c>
      <c r="B1730" s="2" t="s">
        <v>4637</v>
      </c>
      <c r="C1730" s="2" t="s">
        <v>67</v>
      </c>
      <c r="D1730" s="2" t="s">
        <v>95</v>
      </c>
      <c r="E1730" s="2" t="s">
        <v>18</v>
      </c>
      <c r="F1730" s="2" t="s">
        <v>55</v>
      </c>
      <c r="G1730" s="2" t="s">
        <v>183</v>
      </c>
      <c r="H1730" s="2" t="s">
        <v>21</v>
      </c>
      <c r="I1730" s="2">
        <v>24</v>
      </c>
      <c r="J1730" s="2" t="s">
        <v>56</v>
      </c>
      <c r="K1730" s="2" t="s">
        <v>4638</v>
      </c>
      <c r="L1730" s="2" t="s">
        <v>24</v>
      </c>
      <c r="M1730" s="2"/>
      <c r="N1730" s="2" t="s">
        <v>50</v>
      </c>
    </row>
    <row r="1731" spans="1:14" x14ac:dyDescent="0.25">
      <c r="A1731" s="2" t="s">
        <v>4639</v>
      </c>
      <c r="B1731" s="2" t="s">
        <v>4640</v>
      </c>
      <c r="C1731" s="2" t="s">
        <v>67</v>
      </c>
      <c r="D1731" s="2" t="s">
        <v>95</v>
      </c>
      <c r="E1731" s="2" t="s">
        <v>148</v>
      </c>
      <c r="F1731" s="2" t="s">
        <v>55</v>
      </c>
      <c r="G1731" s="2" t="s">
        <v>91</v>
      </c>
      <c r="H1731" s="2" t="s">
        <v>21</v>
      </c>
      <c r="I1731" s="2">
        <v>24</v>
      </c>
      <c r="J1731" s="2" t="s">
        <v>187</v>
      </c>
      <c r="K1731" s="2" t="s">
        <v>4641</v>
      </c>
      <c r="L1731" s="2" t="s">
        <v>24</v>
      </c>
      <c r="M1731" s="2"/>
      <c r="N1731" s="2" t="s">
        <v>34</v>
      </c>
    </row>
    <row r="1732" spans="1:14" x14ac:dyDescent="0.25">
      <c r="A1732" s="2" t="s">
        <v>4642</v>
      </c>
      <c r="B1732" s="2" t="s">
        <v>4643</v>
      </c>
      <c r="C1732" s="2" t="s">
        <v>67</v>
      </c>
      <c r="D1732" s="2" t="s">
        <v>68</v>
      </c>
      <c r="E1732" s="2" t="s">
        <v>38</v>
      </c>
      <c r="F1732" s="2" t="s">
        <v>113</v>
      </c>
      <c r="G1732" s="2" t="s">
        <v>183</v>
      </c>
      <c r="H1732" s="2" t="s">
        <v>32</v>
      </c>
      <c r="I1732" s="2">
        <v>48</v>
      </c>
      <c r="J1732" s="2" t="s">
        <v>287</v>
      </c>
      <c r="K1732" s="2"/>
      <c r="L1732" s="2" t="s">
        <v>24</v>
      </c>
      <c r="M1732" s="2"/>
      <c r="N1732" s="2" t="s">
        <v>50</v>
      </c>
    </row>
    <row r="1733" spans="1:14" x14ac:dyDescent="0.25">
      <c r="A1733" s="2" t="s">
        <v>44</v>
      </c>
      <c r="B1733" s="2" t="s">
        <v>45</v>
      </c>
      <c r="C1733" s="2" t="s">
        <v>28</v>
      </c>
      <c r="D1733" s="2" t="s">
        <v>37</v>
      </c>
      <c r="E1733" s="2" t="s">
        <v>46</v>
      </c>
      <c r="F1733" s="2" t="s">
        <v>47</v>
      </c>
      <c r="G1733" s="2" t="s">
        <v>40</v>
      </c>
      <c r="H1733" s="2" t="s">
        <v>32</v>
      </c>
      <c r="I1733" s="2">
        <v>48</v>
      </c>
      <c r="J1733" s="2" t="s">
        <v>48</v>
      </c>
      <c r="K1733" s="2" t="s">
        <v>49</v>
      </c>
      <c r="L1733" s="2" t="s">
        <v>24</v>
      </c>
      <c r="M1733" s="2">
        <v>3</v>
      </c>
      <c r="N1733" s="2" t="s">
        <v>50</v>
      </c>
    </row>
    <row r="1734" spans="1:14" x14ac:dyDescent="0.25">
      <c r="A1734" s="2" t="s">
        <v>4644</v>
      </c>
      <c r="B1734" s="2" t="s">
        <v>4645</v>
      </c>
      <c r="C1734" s="2" t="s">
        <v>16</v>
      </c>
      <c r="D1734" s="2" t="s">
        <v>84</v>
      </c>
      <c r="E1734" s="2" t="s">
        <v>46</v>
      </c>
      <c r="F1734" s="2" t="s">
        <v>55</v>
      </c>
      <c r="G1734" s="2" t="s">
        <v>105</v>
      </c>
      <c r="H1734" s="2" t="s">
        <v>74</v>
      </c>
      <c r="I1734" s="2">
        <v>8</v>
      </c>
      <c r="J1734" s="2" t="s">
        <v>106</v>
      </c>
      <c r="K1734" s="2" t="s">
        <v>4646</v>
      </c>
      <c r="L1734" s="2" t="s">
        <v>24</v>
      </c>
      <c r="M1734" s="2">
        <v>3</v>
      </c>
      <c r="N1734" s="2" t="s">
        <v>118</v>
      </c>
    </row>
    <row r="1735" spans="1:14" x14ac:dyDescent="0.25">
      <c r="A1735" s="2" t="s">
        <v>2215</v>
      </c>
      <c r="B1735" s="2" t="s">
        <v>2216</v>
      </c>
      <c r="C1735" s="2" t="s">
        <v>67</v>
      </c>
      <c r="D1735" s="2" t="s">
        <v>601</v>
      </c>
      <c r="E1735" s="2" t="s">
        <v>18</v>
      </c>
      <c r="F1735" s="2" t="s">
        <v>30</v>
      </c>
      <c r="G1735" s="2" t="s">
        <v>20</v>
      </c>
      <c r="H1735" s="2" t="s">
        <v>21</v>
      </c>
      <c r="I1735" s="2">
        <v>24</v>
      </c>
      <c r="J1735" s="2" t="s">
        <v>22</v>
      </c>
      <c r="K1735" s="2" t="s">
        <v>2217</v>
      </c>
      <c r="L1735" s="2" t="s">
        <v>24</v>
      </c>
      <c r="M1735" s="2">
        <v>4</v>
      </c>
      <c r="N1735" s="2"/>
    </row>
    <row r="1736" spans="1:14" x14ac:dyDescent="0.25">
      <c r="A1736" s="2" t="s">
        <v>4647</v>
      </c>
      <c r="B1736" s="2" t="s">
        <v>4648</v>
      </c>
      <c r="C1736" s="2" t="s">
        <v>28</v>
      </c>
      <c r="D1736" s="2" t="s">
        <v>37</v>
      </c>
      <c r="E1736" s="2" t="s">
        <v>79</v>
      </c>
      <c r="F1736" s="2" t="s">
        <v>131</v>
      </c>
      <c r="G1736" s="2" t="s">
        <v>101</v>
      </c>
      <c r="H1736" s="2" t="s">
        <v>74</v>
      </c>
      <c r="I1736" s="2">
        <v>8</v>
      </c>
      <c r="J1736" s="2" t="s">
        <v>48</v>
      </c>
      <c r="K1736" s="2" t="s">
        <v>4649</v>
      </c>
      <c r="L1736" s="2" t="s">
        <v>24</v>
      </c>
      <c r="M1736" s="2">
        <v>1</v>
      </c>
      <c r="N1736" s="2" t="s">
        <v>64</v>
      </c>
    </row>
    <row r="1737" spans="1:14" x14ac:dyDescent="0.25">
      <c r="A1737" s="2" t="s">
        <v>4650</v>
      </c>
      <c r="B1737" s="2" t="s">
        <v>4651</v>
      </c>
      <c r="C1737" s="2" t="s">
        <v>67</v>
      </c>
      <c r="D1737" s="2" t="s">
        <v>68</v>
      </c>
      <c r="E1737" s="2" t="s">
        <v>18</v>
      </c>
      <c r="F1737" s="2" t="s">
        <v>113</v>
      </c>
      <c r="G1737" s="2" t="s">
        <v>126</v>
      </c>
      <c r="H1737" s="2" t="s">
        <v>74</v>
      </c>
      <c r="I1737" s="2">
        <v>8</v>
      </c>
      <c r="J1737" s="2" t="s">
        <v>41</v>
      </c>
      <c r="K1737" s="2" t="s">
        <v>4652</v>
      </c>
      <c r="L1737" s="2" t="s">
        <v>24</v>
      </c>
      <c r="M1737" s="2">
        <v>5</v>
      </c>
      <c r="N1737" s="2" t="s">
        <v>25</v>
      </c>
    </row>
    <row r="1738" spans="1:14" x14ac:dyDescent="0.25">
      <c r="A1738" s="2" t="s">
        <v>4653</v>
      </c>
      <c r="B1738" s="2" t="s">
        <v>4654</v>
      </c>
      <c r="C1738" s="2" t="s">
        <v>67</v>
      </c>
      <c r="D1738" s="2" t="s">
        <v>95</v>
      </c>
      <c r="E1738" s="2" t="s">
        <v>85</v>
      </c>
      <c r="F1738" s="2" t="s">
        <v>39</v>
      </c>
      <c r="G1738" s="2" t="s">
        <v>70</v>
      </c>
      <c r="H1738" s="2" t="s">
        <v>21</v>
      </c>
      <c r="I1738" s="2">
        <v>24</v>
      </c>
      <c r="J1738" s="2" t="s">
        <v>48</v>
      </c>
      <c r="K1738" s="2" t="s">
        <v>4655</v>
      </c>
      <c r="L1738" s="2" t="s">
        <v>24</v>
      </c>
      <c r="M1738" s="2"/>
      <c r="N1738" s="2" t="s">
        <v>43</v>
      </c>
    </row>
    <row r="1739" spans="1:14" x14ac:dyDescent="0.25">
      <c r="A1739" s="2" t="s">
        <v>4656</v>
      </c>
      <c r="B1739" s="2" t="s">
        <v>4657</v>
      </c>
      <c r="C1739" s="2" t="s">
        <v>16</v>
      </c>
      <c r="D1739" s="2" t="s">
        <v>240</v>
      </c>
      <c r="E1739" s="2" t="s">
        <v>18</v>
      </c>
      <c r="F1739" s="2" t="s">
        <v>19</v>
      </c>
      <c r="G1739" s="2" t="s">
        <v>91</v>
      </c>
      <c r="H1739" s="2" t="s">
        <v>32</v>
      </c>
      <c r="I1739" s="2">
        <v>48</v>
      </c>
      <c r="J1739" s="2" t="s">
        <v>41</v>
      </c>
      <c r="K1739" s="2" t="s">
        <v>4658</v>
      </c>
      <c r="L1739" s="2" t="s">
        <v>24</v>
      </c>
      <c r="M1739" s="2"/>
      <c r="N1739" s="2"/>
    </row>
    <row r="1740" spans="1:14" x14ac:dyDescent="0.25">
      <c r="A1740" s="2" t="s">
        <v>4659</v>
      </c>
      <c r="B1740" s="2" t="s">
        <v>4660</v>
      </c>
      <c r="C1740" s="2" t="s">
        <v>16</v>
      </c>
      <c r="D1740" s="2" t="s">
        <v>17</v>
      </c>
      <c r="E1740" s="2" t="s">
        <v>18</v>
      </c>
      <c r="F1740" s="2" t="s">
        <v>62</v>
      </c>
      <c r="G1740" s="2" t="s">
        <v>144</v>
      </c>
      <c r="H1740" s="2" t="s">
        <v>32</v>
      </c>
      <c r="I1740" s="2">
        <v>48</v>
      </c>
      <c r="J1740" s="2" t="s">
        <v>41</v>
      </c>
      <c r="K1740" s="2" t="s">
        <v>4661</v>
      </c>
      <c r="L1740" s="2" t="s">
        <v>24</v>
      </c>
      <c r="M1740" s="2"/>
      <c r="N1740" s="2"/>
    </row>
    <row r="1741" spans="1:14" x14ac:dyDescent="0.25">
      <c r="A1741" s="2" t="s">
        <v>4662</v>
      </c>
      <c r="B1741" s="2" t="s">
        <v>4663</v>
      </c>
      <c r="C1741" s="2" t="s">
        <v>53</v>
      </c>
      <c r="D1741" s="2" t="s">
        <v>61</v>
      </c>
      <c r="E1741" s="2" t="s">
        <v>46</v>
      </c>
      <c r="F1741" s="2" t="s">
        <v>30</v>
      </c>
      <c r="G1741" s="2" t="s">
        <v>40</v>
      </c>
      <c r="H1741" s="2" t="s">
        <v>74</v>
      </c>
      <c r="I1741" s="2">
        <v>8</v>
      </c>
      <c r="J1741" s="2" t="s">
        <v>11</v>
      </c>
      <c r="K1741" s="2"/>
      <c r="L1741" s="2" t="s">
        <v>92</v>
      </c>
      <c r="M1741" s="2"/>
      <c r="N1741" s="2" t="s">
        <v>50</v>
      </c>
    </row>
    <row r="1742" spans="1:14" x14ac:dyDescent="0.25">
      <c r="A1742" s="2" t="s">
        <v>4664</v>
      </c>
      <c r="B1742" s="2" t="s">
        <v>4665</v>
      </c>
      <c r="C1742" s="2" t="s">
        <v>67</v>
      </c>
      <c r="D1742" s="2" t="s">
        <v>68</v>
      </c>
      <c r="E1742" s="2" t="s">
        <v>148</v>
      </c>
      <c r="F1742" s="2" t="s">
        <v>55</v>
      </c>
      <c r="G1742" s="2" t="s">
        <v>91</v>
      </c>
      <c r="H1742" s="2" t="s">
        <v>21</v>
      </c>
      <c r="I1742" s="2">
        <v>24</v>
      </c>
      <c r="J1742" s="2" t="s">
        <v>200</v>
      </c>
      <c r="K1742" s="2"/>
      <c r="L1742" s="2" t="s">
        <v>92</v>
      </c>
      <c r="M1742" s="2"/>
      <c r="N1742" s="2" t="s">
        <v>58</v>
      </c>
    </row>
    <row r="1743" spans="1:14" x14ac:dyDescent="0.25">
      <c r="A1743" s="2" t="s">
        <v>4666</v>
      </c>
      <c r="B1743" s="2" t="s">
        <v>4667</v>
      </c>
      <c r="C1743" s="2" t="s">
        <v>67</v>
      </c>
      <c r="D1743" s="2" t="s">
        <v>68</v>
      </c>
      <c r="E1743" s="2" t="s">
        <v>90</v>
      </c>
      <c r="F1743" s="2" t="s">
        <v>39</v>
      </c>
      <c r="G1743" s="2" t="s">
        <v>70</v>
      </c>
      <c r="H1743" s="2" t="s">
        <v>21</v>
      </c>
      <c r="I1743" s="2">
        <v>24</v>
      </c>
      <c r="J1743" s="2" t="s">
        <v>106</v>
      </c>
      <c r="K1743" s="2" t="s">
        <v>4668</v>
      </c>
      <c r="L1743" s="2" t="s">
        <v>24</v>
      </c>
      <c r="M1743" s="2"/>
      <c r="N1743" s="2" t="s">
        <v>34</v>
      </c>
    </row>
    <row r="1744" spans="1:14" x14ac:dyDescent="0.25">
      <c r="A1744" s="2" t="s">
        <v>4669</v>
      </c>
      <c r="B1744" s="2" t="s">
        <v>4670</v>
      </c>
      <c r="C1744" s="2" t="s">
        <v>16</v>
      </c>
      <c r="D1744" s="2" t="s">
        <v>17</v>
      </c>
      <c r="E1744" s="2" t="s">
        <v>46</v>
      </c>
      <c r="F1744" s="2" t="s">
        <v>47</v>
      </c>
      <c r="G1744" s="2" t="s">
        <v>139</v>
      </c>
      <c r="H1744" s="2" t="s">
        <v>21</v>
      </c>
      <c r="I1744" s="2">
        <v>24</v>
      </c>
      <c r="J1744" s="2" t="s">
        <v>48</v>
      </c>
      <c r="K1744" s="2" t="s">
        <v>4671</v>
      </c>
      <c r="L1744" s="2" t="s">
        <v>24</v>
      </c>
      <c r="M1744" s="2"/>
      <c r="N1744" s="2" t="s">
        <v>25</v>
      </c>
    </row>
    <row r="1745" spans="1:14" x14ac:dyDescent="0.25">
      <c r="A1745" s="2" t="s">
        <v>4672</v>
      </c>
      <c r="B1745" s="2" t="s">
        <v>4673</v>
      </c>
      <c r="C1745" s="2" t="s">
        <v>28</v>
      </c>
      <c r="D1745" s="2" t="s">
        <v>37</v>
      </c>
      <c r="E1745" s="2" t="s">
        <v>38</v>
      </c>
      <c r="F1745" s="2" t="s">
        <v>69</v>
      </c>
      <c r="G1745" s="2" t="s">
        <v>40</v>
      </c>
      <c r="H1745" s="2" t="s">
        <v>74</v>
      </c>
      <c r="I1745" s="2">
        <v>8</v>
      </c>
      <c r="J1745" s="2" t="s">
        <v>191</v>
      </c>
      <c r="K1745" s="2" t="s">
        <v>4674</v>
      </c>
      <c r="L1745" s="2" t="s">
        <v>24</v>
      </c>
      <c r="M1745" s="2"/>
      <c r="N1745" s="2" t="s">
        <v>64</v>
      </c>
    </row>
    <row r="1746" spans="1:14" x14ac:dyDescent="0.25">
      <c r="A1746" s="2" t="s">
        <v>4675</v>
      </c>
      <c r="B1746" s="2" t="s">
        <v>4676</v>
      </c>
      <c r="C1746" s="2" t="s">
        <v>53</v>
      </c>
      <c r="D1746" s="2" t="s">
        <v>54</v>
      </c>
      <c r="E1746" s="2" t="s">
        <v>18</v>
      </c>
      <c r="F1746" s="2" t="s">
        <v>131</v>
      </c>
      <c r="G1746" s="2" t="s">
        <v>158</v>
      </c>
      <c r="H1746" s="2" t="s">
        <v>21</v>
      </c>
      <c r="I1746" s="2">
        <v>24</v>
      </c>
      <c r="J1746" s="2" t="s">
        <v>22</v>
      </c>
      <c r="K1746" s="2" t="s">
        <v>4677</v>
      </c>
      <c r="L1746" s="2" t="s">
        <v>24</v>
      </c>
      <c r="M1746" s="2"/>
      <c r="N1746" s="2" t="s">
        <v>58</v>
      </c>
    </row>
    <row r="1747" spans="1:14" x14ac:dyDescent="0.25">
      <c r="A1747" s="2" t="s">
        <v>4678</v>
      </c>
      <c r="B1747" s="2" t="s">
        <v>4679</v>
      </c>
      <c r="C1747" s="2" t="s">
        <v>67</v>
      </c>
      <c r="D1747" s="2" t="s">
        <v>95</v>
      </c>
      <c r="E1747" s="2" t="s">
        <v>148</v>
      </c>
      <c r="F1747" s="2" t="s">
        <v>55</v>
      </c>
      <c r="G1747" s="2" t="s">
        <v>126</v>
      </c>
      <c r="H1747" s="2" t="s">
        <v>32</v>
      </c>
      <c r="I1747" s="2">
        <v>48</v>
      </c>
      <c r="J1747" s="2" t="s">
        <v>75</v>
      </c>
      <c r="K1747" s="2" t="s">
        <v>4680</v>
      </c>
      <c r="L1747" s="2" t="s">
        <v>24</v>
      </c>
      <c r="M1747" s="2">
        <v>5</v>
      </c>
      <c r="N1747" s="2" t="s">
        <v>43</v>
      </c>
    </row>
    <row r="1748" spans="1:14" x14ac:dyDescent="0.25">
      <c r="A1748" s="2" t="s">
        <v>4681</v>
      </c>
      <c r="B1748" s="2" t="s">
        <v>4682</v>
      </c>
      <c r="C1748" s="2" t="s">
        <v>53</v>
      </c>
      <c r="D1748" s="2" t="s">
        <v>61</v>
      </c>
      <c r="E1748" s="2" t="s">
        <v>18</v>
      </c>
      <c r="F1748" s="2" t="s">
        <v>39</v>
      </c>
      <c r="G1748" s="2" t="s">
        <v>126</v>
      </c>
      <c r="H1748" s="2" t="s">
        <v>32</v>
      </c>
      <c r="I1748" s="2">
        <v>48</v>
      </c>
      <c r="J1748" s="2" t="s">
        <v>106</v>
      </c>
      <c r="K1748" s="2" t="s">
        <v>4683</v>
      </c>
      <c r="L1748" s="2" t="s">
        <v>92</v>
      </c>
      <c r="M1748" s="2">
        <v>5</v>
      </c>
      <c r="N1748" s="2" t="s">
        <v>50</v>
      </c>
    </row>
    <row r="1749" spans="1:14" x14ac:dyDescent="0.25">
      <c r="A1749" s="2" t="s">
        <v>4684</v>
      </c>
      <c r="B1749" s="2" t="s">
        <v>4685</v>
      </c>
      <c r="C1749" s="2" t="s">
        <v>53</v>
      </c>
      <c r="D1749" s="2" t="s">
        <v>61</v>
      </c>
      <c r="E1749" s="2" t="s">
        <v>90</v>
      </c>
      <c r="F1749" s="2" t="s">
        <v>131</v>
      </c>
      <c r="G1749" s="2" t="s">
        <v>70</v>
      </c>
      <c r="H1749" s="2" t="s">
        <v>80</v>
      </c>
      <c r="I1749" s="2">
        <v>4</v>
      </c>
      <c r="J1749" s="2" t="s">
        <v>187</v>
      </c>
      <c r="K1749" s="2" t="s">
        <v>4686</v>
      </c>
      <c r="L1749" s="2" t="s">
        <v>24</v>
      </c>
      <c r="M1749" s="2"/>
      <c r="N1749" s="2" t="s">
        <v>118</v>
      </c>
    </row>
    <row r="1750" spans="1:14" x14ac:dyDescent="0.25">
      <c r="A1750" s="2" t="s">
        <v>4687</v>
      </c>
      <c r="B1750" s="2" t="s">
        <v>4688</v>
      </c>
      <c r="C1750" s="2" t="s">
        <v>67</v>
      </c>
      <c r="D1750" s="2" t="s">
        <v>68</v>
      </c>
      <c r="E1750" s="2" t="s">
        <v>38</v>
      </c>
      <c r="F1750" s="2" t="s">
        <v>30</v>
      </c>
      <c r="G1750" s="2" t="s">
        <v>183</v>
      </c>
      <c r="H1750" s="2" t="s">
        <v>21</v>
      </c>
      <c r="I1750" s="2">
        <v>24</v>
      </c>
      <c r="J1750" s="2" t="s">
        <v>117</v>
      </c>
      <c r="K1750" s="2"/>
      <c r="L1750" s="2" t="s">
        <v>24</v>
      </c>
      <c r="M1750" s="2"/>
      <c r="N1750" s="2" t="s">
        <v>34</v>
      </c>
    </row>
    <row r="1751" spans="1:14" x14ac:dyDescent="0.25">
      <c r="A1751" s="2" t="s">
        <v>4689</v>
      </c>
      <c r="B1751" s="2" t="s">
        <v>4690</v>
      </c>
      <c r="C1751" s="2" t="s">
        <v>53</v>
      </c>
      <c r="D1751" s="2" t="s">
        <v>54</v>
      </c>
      <c r="E1751" s="2" t="s">
        <v>46</v>
      </c>
      <c r="F1751" s="2" t="s">
        <v>131</v>
      </c>
      <c r="G1751" s="2" t="s">
        <v>31</v>
      </c>
      <c r="H1751" s="2" t="s">
        <v>80</v>
      </c>
      <c r="I1751" s="2">
        <v>4</v>
      </c>
      <c r="J1751" s="2" t="s">
        <v>149</v>
      </c>
      <c r="K1751" s="2"/>
      <c r="L1751" s="2" t="s">
        <v>24</v>
      </c>
      <c r="M1751" s="2"/>
      <c r="N1751" s="2" t="s">
        <v>25</v>
      </c>
    </row>
    <row r="1752" spans="1:14" x14ac:dyDescent="0.25">
      <c r="A1752" s="2" t="s">
        <v>4691</v>
      </c>
      <c r="B1752" s="2" t="s">
        <v>4692</v>
      </c>
      <c r="C1752" s="2" t="s">
        <v>16</v>
      </c>
      <c r="D1752" s="2" t="s">
        <v>17</v>
      </c>
      <c r="E1752" s="2" t="s">
        <v>148</v>
      </c>
      <c r="F1752" s="2" t="s">
        <v>62</v>
      </c>
      <c r="G1752" s="2" t="s">
        <v>158</v>
      </c>
      <c r="H1752" s="2" t="s">
        <v>32</v>
      </c>
      <c r="I1752" s="2">
        <v>48</v>
      </c>
      <c r="J1752" s="2" t="s">
        <v>117</v>
      </c>
      <c r="K1752" s="2"/>
      <c r="L1752" s="2" t="s">
        <v>24</v>
      </c>
      <c r="M1752" s="2"/>
      <c r="N1752" s="2" t="s">
        <v>64</v>
      </c>
    </row>
    <row r="1753" spans="1:14" x14ac:dyDescent="0.25">
      <c r="A1753" s="2" t="s">
        <v>4693</v>
      </c>
      <c r="B1753" s="2" t="s">
        <v>4694</v>
      </c>
      <c r="C1753" s="2" t="s">
        <v>53</v>
      </c>
      <c r="D1753" s="2" t="s">
        <v>54</v>
      </c>
      <c r="E1753" s="2" t="s">
        <v>38</v>
      </c>
      <c r="F1753" s="2" t="s">
        <v>96</v>
      </c>
      <c r="G1753" s="2" t="s">
        <v>101</v>
      </c>
      <c r="H1753" s="2" t="s">
        <v>21</v>
      </c>
      <c r="I1753" s="2">
        <v>24</v>
      </c>
      <c r="J1753" s="2" t="s">
        <v>75</v>
      </c>
      <c r="K1753" s="2" t="s">
        <v>4695</v>
      </c>
      <c r="L1753" s="2" t="s">
        <v>24</v>
      </c>
      <c r="M1753" s="2">
        <v>2</v>
      </c>
      <c r="N1753" s="2" t="s">
        <v>43</v>
      </c>
    </row>
    <row r="1754" spans="1:14" x14ac:dyDescent="0.25">
      <c r="A1754" s="2" t="s">
        <v>4696</v>
      </c>
      <c r="B1754" s="2" t="s">
        <v>4697</v>
      </c>
      <c r="C1754" s="2" t="s">
        <v>53</v>
      </c>
      <c r="D1754" s="2" t="s">
        <v>54</v>
      </c>
      <c r="E1754" s="2" t="s">
        <v>148</v>
      </c>
      <c r="F1754" s="2" t="s">
        <v>96</v>
      </c>
      <c r="G1754" s="2" t="s">
        <v>40</v>
      </c>
      <c r="H1754" s="2" t="s">
        <v>74</v>
      </c>
      <c r="I1754" s="2">
        <v>8</v>
      </c>
      <c r="J1754" s="2" t="s">
        <v>22</v>
      </c>
      <c r="K1754" s="2" t="s">
        <v>4698</v>
      </c>
      <c r="L1754" s="2" t="s">
        <v>24</v>
      </c>
      <c r="M1754" s="2">
        <v>4</v>
      </c>
      <c r="N1754" s="2" t="s">
        <v>25</v>
      </c>
    </row>
    <row r="1755" spans="1:14" x14ac:dyDescent="0.25">
      <c r="A1755" s="2" t="s">
        <v>4699</v>
      </c>
      <c r="B1755" s="2" t="s">
        <v>4700</v>
      </c>
      <c r="C1755" s="2" t="s">
        <v>53</v>
      </c>
      <c r="D1755" s="2" t="s">
        <v>54</v>
      </c>
      <c r="E1755" s="2" t="s">
        <v>38</v>
      </c>
      <c r="F1755" s="2" t="s">
        <v>69</v>
      </c>
      <c r="G1755" s="2" t="s">
        <v>183</v>
      </c>
      <c r="H1755" s="2" t="s">
        <v>21</v>
      </c>
      <c r="I1755" s="2">
        <v>24</v>
      </c>
      <c r="J1755" s="2" t="s">
        <v>41</v>
      </c>
      <c r="K1755" s="2" t="s">
        <v>4701</v>
      </c>
      <c r="L1755" s="2" t="s">
        <v>24</v>
      </c>
      <c r="M1755" s="2">
        <v>5</v>
      </c>
      <c r="N1755" s="2" t="s">
        <v>128</v>
      </c>
    </row>
    <row r="1756" spans="1:14" x14ac:dyDescent="0.25">
      <c r="A1756" s="2" t="s">
        <v>4702</v>
      </c>
      <c r="B1756" s="2" t="s">
        <v>4703</v>
      </c>
      <c r="C1756" s="2" t="s">
        <v>16</v>
      </c>
      <c r="D1756" s="2" t="s">
        <v>240</v>
      </c>
      <c r="E1756" s="2" t="s">
        <v>46</v>
      </c>
      <c r="F1756" s="2" t="s">
        <v>143</v>
      </c>
      <c r="G1756" s="2" t="s">
        <v>20</v>
      </c>
      <c r="H1756" s="2" t="s">
        <v>21</v>
      </c>
      <c r="I1756" s="2">
        <v>24</v>
      </c>
      <c r="J1756" s="2" t="s">
        <v>117</v>
      </c>
      <c r="K1756" s="2"/>
      <c r="L1756" s="2" t="s">
        <v>24</v>
      </c>
      <c r="M1756" s="2"/>
      <c r="N1756" s="2" t="s">
        <v>128</v>
      </c>
    </row>
    <row r="1757" spans="1:14" x14ac:dyDescent="0.25">
      <c r="A1757" s="2" t="s">
        <v>4704</v>
      </c>
      <c r="B1757" s="2" t="s">
        <v>4705</v>
      </c>
      <c r="C1757" s="2" t="s">
        <v>53</v>
      </c>
      <c r="D1757" s="2" t="s">
        <v>61</v>
      </c>
      <c r="E1757" s="2" t="s">
        <v>38</v>
      </c>
      <c r="F1757" s="2" t="s">
        <v>62</v>
      </c>
      <c r="G1757" s="2" t="s">
        <v>139</v>
      </c>
      <c r="H1757" s="2" t="s">
        <v>80</v>
      </c>
      <c r="I1757" s="2">
        <v>4</v>
      </c>
      <c r="J1757" s="2" t="s">
        <v>41</v>
      </c>
      <c r="K1757" s="2" t="s">
        <v>4706</v>
      </c>
      <c r="L1757" s="2" t="s">
        <v>24</v>
      </c>
      <c r="M1757" s="2">
        <v>5</v>
      </c>
      <c r="N1757" s="2" t="s">
        <v>50</v>
      </c>
    </row>
    <row r="1758" spans="1:14" x14ac:dyDescent="0.25">
      <c r="A1758" s="2" t="s">
        <v>4707</v>
      </c>
      <c r="B1758" s="2" t="s">
        <v>4708</v>
      </c>
      <c r="C1758" s="2" t="s">
        <v>67</v>
      </c>
      <c r="D1758" s="2" t="s">
        <v>95</v>
      </c>
      <c r="E1758" s="2" t="s">
        <v>148</v>
      </c>
      <c r="F1758" s="2" t="s">
        <v>69</v>
      </c>
      <c r="G1758" s="2" t="s">
        <v>110</v>
      </c>
      <c r="H1758" s="2" t="s">
        <v>74</v>
      </c>
      <c r="I1758" s="2">
        <v>8</v>
      </c>
      <c r="J1758" s="2" t="s">
        <v>200</v>
      </c>
      <c r="K1758" s="2"/>
      <c r="L1758" s="2" t="s">
        <v>92</v>
      </c>
      <c r="M1758" s="2"/>
      <c r="N1758" s="2"/>
    </row>
    <row r="1759" spans="1:14" x14ac:dyDescent="0.25">
      <c r="A1759" s="2" t="s">
        <v>4709</v>
      </c>
      <c r="B1759" s="2" t="s">
        <v>4710</v>
      </c>
      <c r="C1759" s="2" t="s">
        <v>28</v>
      </c>
      <c r="D1759" s="2" t="s">
        <v>37</v>
      </c>
      <c r="E1759" s="2" t="s">
        <v>18</v>
      </c>
      <c r="F1759" s="2" t="s">
        <v>55</v>
      </c>
      <c r="G1759" s="2" t="s">
        <v>105</v>
      </c>
      <c r="H1759" s="2" t="s">
        <v>21</v>
      </c>
      <c r="I1759" s="2">
        <v>24</v>
      </c>
      <c r="J1759" s="2" t="s">
        <v>22</v>
      </c>
      <c r="K1759" s="2" t="s">
        <v>4711</v>
      </c>
      <c r="L1759" s="2" t="s">
        <v>24</v>
      </c>
      <c r="M1759" s="2">
        <v>4</v>
      </c>
      <c r="N1759" s="2" t="s">
        <v>64</v>
      </c>
    </row>
    <row r="1760" spans="1:14" x14ac:dyDescent="0.25">
      <c r="A1760" s="2" t="s">
        <v>4712</v>
      </c>
      <c r="B1760" s="2" t="s">
        <v>4713</v>
      </c>
      <c r="C1760" s="2" t="s">
        <v>16</v>
      </c>
      <c r="D1760" s="2" t="s">
        <v>17</v>
      </c>
      <c r="E1760" s="2" t="s">
        <v>79</v>
      </c>
      <c r="F1760" s="2" t="s">
        <v>19</v>
      </c>
      <c r="G1760" s="2" t="s">
        <v>183</v>
      </c>
      <c r="H1760" s="2" t="s">
        <v>74</v>
      </c>
      <c r="I1760" s="2">
        <v>8</v>
      </c>
      <c r="J1760" s="2" t="s">
        <v>191</v>
      </c>
      <c r="K1760" s="2" t="s">
        <v>4714</v>
      </c>
      <c r="L1760" s="2" t="s">
        <v>24</v>
      </c>
      <c r="M1760" s="2"/>
      <c r="N1760" s="2"/>
    </row>
    <row r="1761" spans="1:14" x14ac:dyDescent="0.25">
      <c r="A1761" s="2" t="s">
        <v>4715</v>
      </c>
      <c r="B1761" s="2" t="s">
        <v>4716</v>
      </c>
      <c r="C1761" s="2" t="s">
        <v>67</v>
      </c>
      <c r="D1761" s="2" t="s">
        <v>68</v>
      </c>
      <c r="E1761" s="2" t="s">
        <v>18</v>
      </c>
      <c r="F1761" s="2" t="s">
        <v>131</v>
      </c>
      <c r="G1761" s="2" t="s">
        <v>139</v>
      </c>
      <c r="H1761" s="2" t="s">
        <v>32</v>
      </c>
      <c r="I1761" s="2">
        <v>48</v>
      </c>
      <c r="J1761" s="2" t="s">
        <v>287</v>
      </c>
      <c r="K1761" s="2"/>
      <c r="L1761" s="2" t="s">
        <v>24</v>
      </c>
      <c r="M1761" s="2"/>
      <c r="N1761" s="2" t="s">
        <v>34</v>
      </c>
    </row>
    <row r="1762" spans="1:14" x14ac:dyDescent="0.25">
      <c r="A1762" s="2" t="s">
        <v>4717</v>
      </c>
      <c r="B1762" s="2" t="s">
        <v>4718</v>
      </c>
      <c r="C1762" s="2" t="s">
        <v>67</v>
      </c>
      <c r="D1762" s="2" t="s">
        <v>68</v>
      </c>
      <c r="E1762" s="2" t="s">
        <v>46</v>
      </c>
      <c r="F1762" s="2" t="s">
        <v>19</v>
      </c>
      <c r="G1762" s="2" t="s">
        <v>183</v>
      </c>
      <c r="H1762" s="2" t="s">
        <v>21</v>
      </c>
      <c r="I1762" s="2">
        <v>24</v>
      </c>
      <c r="J1762" s="2" t="s">
        <v>200</v>
      </c>
      <c r="K1762" s="2"/>
      <c r="L1762" s="2" t="s">
        <v>92</v>
      </c>
      <c r="M1762" s="2"/>
      <c r="N1762" s="2" t="s">
        <v>43</v>
      </c>
    </row>
    <row r="1763" spans="1:14" x14ac:dyDescent="0.25">
      <c r="A1763" s="2" t="s">
        <v>4719</v>
      </c>
      <c r="B1763" s="2" t="s">
        <v>4720</v>
      </c>
      <c r="C1763" s="2" t="s">
        <v>28</v>
      </c>
      <c r="D1763" s="2" t="s">
        <v>100</v>
      </c>
      <c r="E1763" s="2" t="s">
        <v>148</v>
      </c>
      <c r="F1763" s="2" t="s">
        <v>131</v>
      </c>
      <c r="G1763" s="2" t="s">
        <v>20</v>
      </c>
      <c r="H1763" s="2" t="s">
        <v>32</v>
      </c>
      <c r="I1763" s="2">
        <v>48</v>
      </c>
      <c r="J1763" s="2" t="s">
        <v>200</v>
      </c>
      <c r="K1763" s="2"/>
      <c r="L1763" s="2" t="s">
        <v>92</v>
      </c>
      <c r="M1763" s="2"/>
      <c r="N1763" s="2" t="s">
        <v>34</v>
      </c>
    </row>
    <row r="1764" spans="1:14" x14ac:dyDescent="0.25">
      <c r="A1764" s="2" t="s">
        <v>4721</v>
      </c>
      <c r="B1764" s="2" t="s">
        <v>4722</v>
      </c>
      <c r="C1764" s="2" t="s">
        <v>16</v>
      </c>
      <c r="D1764" s="2" t="s">
        <v>84</v>
      </c>
      <c r="E1764" s="2" t="s">
        <v>38</v>
      </c>
      <c r="F1764" s="2" t="s">
        <v>30</v>
      </c>
      <c r="G1764" s="2" t="s">
        <v>110</v>
      </c>
      <c r="H1764" s="2" t="s">
        <v>32</v>
      </c>
      <c r="I1764" s="2">
        <v>48</v>
      </c>
      <c r="J1764" s="2" t="s">
        <v>48</v>
      </c>
      <c r="K1764" s="2" t="s">
        <v>4723</v>
      </c>
      <c r="L1764" s="2" t="s">
        <v>24</v>
      </c>
      <c r="M1764" s="2">
        <v>4</v>
      </c>
      <c r="N1764" s="2" t="s">
        <v>25</v>
      </c>
    </row>
    <row r="1765" spans="1:14" x14ac:dyDescent="0.25">
      <c r="A1765" s="2" t="s">
        <v>4724</v>
      </c>
      <c r="B1765" s="2" t="s">
        <v>4725</v>
      </c>
      <c r="C1765" s="2" t="s">
        <v>16</v>
      </c>
      <c r="D1765" s="2" t="s">
        <v>84</v>
      </c>
      <c r="E1765" s="2" t="s">
        <v>85</v>
      </c>
      <c r="F1765" s="2" t="s">
        <v>131</v>
      </c>
      <c r="G1765" s="2" t="s">
        <v>158</v>
      </c>
      <c r="H1765" s="2" t="s">
        <v>21</v>
      </c>
      <c r="I1765" s="2">
        <v>24</v>
      </c>
      <c r="J1765" s="2" t="s">
        <v>287</v>
      </c>
      <c r="K1765" s="2"/>
      <c r="L1765" s="2" t="s">
        <v>24</v>
      </c>
      <c r="M1765" s="2"/>
      <c r="N1765" s="2"/>
    </row>
    <row r="1766" spans="1:14" x14ac:dyDescent="0.25">
      <c r="A1766" s="2" t="s">
        <v>4726</v>
      </c>
      <c r="B1766" s="2" t="s">
        <v>4727</v>
      </c>
      <c r="C1766" s="2" t="s">
        <v>53</v>
      </c>
      <c r="D1766" s="2" t="s">
        <v>54</v>
      </c>
      <c r="E1766" s="2" t="s">
        <v>148</v>
      </c>
      <c r="F1766" s="2" t="s">
        <v>55</v>
      </c>
      <c r="G1766" s="2" t="s">
        <v>31</v>
      </c>
      <c r="H1766" s="2" t="s">
        <v>32</v>
      </c>
      <c r="I1766" s="2">
        <v>48</v>
      </c>
      <c r="J1766" s="2" t="s">
        <v>56</v>
      </c>
      <c r="K1766" s="2" t="s">
        <v>4728</v>
      </c>
      <c r="L1766" s="2" t="s">
        <v>24</v>
      </c>
      <c r="M1766" s="2"/>
      <c r="N1766" s="2" t="s">
        <v>58</v>
      </c>
    </row>
    <row r="1767" spans="1:14" x14ac:dyDescent="0.25">
      <c r="A1767" s="2" t="s">
        <v>4729</v>
      </c>
      <c r="B1767" s="2" t="s">
        <v>4730</v>
      </c>
      <c r="C1767" s="2" t="s">
        <v>67</v>
      </c>
      <c r="D1767" s="2" t="s">
        <v>68</v>
      </c>
      <c r="E1767" s="2" t="s">
        <v>46</v>
      </c>
      <c r="F1767" s="2" t="s">
        <v>55</v>
      </c>
      <c r="G1767" s="2" t="s">
        <v>101</v>
      </c>
      <c r="H1767" s="2" t="s">
        <v>21</v>
      </c>
      <c r="I1767" s="2">
        <v>24</v>
      </c>
      <c r="J1767" s="2" t="s">
        <v>22</v>
      </c>
      <c r="K1767" s="2" t="s">
        <v>4731</v>
      </c>
      <c r="L1767" s="2" t="s">
        <v>24</v>
      </c>
      <c r="M1767" s="2"/>
      <c r="N1767" s="2" t="s">
        <v>34</v>
      </c>
    </row>
    <row r="1768" spans="1:14" x14ac:dyDescent="0.25">
      <c r="A1768" s="2" t="s">
        <v>4732</v>
      </c>
      <c r="B1768" s="2" t="s">
        <v>4733</v>
      </c>
      <c r="C1768" s="2" t="s">
        <v>67</v>
      </c>
      <c r="D1768" s="2" t="s">
        <v>68</v>
      </c>
      <c r="E1768" s="2" t="s">
        <v>18</v>
      </c>
      <c r="F1768" s="2" t="s">
        <v>125</v>
      </c>
      <c r="G1768" s="2" t="s">
        <v>179</v>
      </c>
      <c r="H1768" s="2" t="s">
        <v>32</v>
      </c>
      <c r="I1768" s="2">
        <v>48</v>
      </c>
      <c r="J1768" s="2" t="s">
        <v>33</v>
      </c>
      <c r="K1768" s="2"/>
      <c r="L1768" s="2" t="s">
        <v>24</v>
      </c>
      <c r="M1768" s="2"/>
      <c r="N1768" s="2"/>
    </row>
    <row r="1769" spans="1:14" x14ac:dyDescent="0.25">
      <c r="A1769" s="2" t="s">
        <v>4734</v>
      </c>
      <c r="B1769" s="2" t="s">
        <v>4735</v>
      </c>
      <c r="C1769" s="2" t="s">
        <v>16</v>
      </c>
      <c r="D1769" s="2" t="s">
        <v>17</v>
      </c>
      <c r="E1769" s="2" t="s">
        <v>38</v>
      </c>
      <c r="F1769" s="2" t="s">
        <v>96</v>
      </c>
      <c r="G1769" s="2" t="s">
        <v>31</v>
      </c>
      <c r="H1769" s="2" t="s">
        <v>74</v>
      </c>
      <c r="I1769" s="2">
        <v>8</v>
      </c>
      <c r="J1769" s="2" t="s">
        <v>145</v>
      </c>
      <c r="K1769" s="2"/>
      <c r="L1769" s="2" t="s">
        <v>24</v>
      </c>
      <c r="M1769" s="2"/>
      <c r="N1769" s="2"/>
    </row>
    <row r="1770" spans="1:14" x14ac:dyDescent="0.25">
      <c r="A1770" s="2" t="s">
        <v>4736</v>
      </c>
      <c r="B1770" s="2" t="s">
        <v>4737</v>
      </c>
      <c r="C1770" s="2" t="s">
        <v>28</v>
      </c>
      <c r="D1770" s="2" t="s">
        <v>29</v>
      </c>
      <c r="E1770" s="2" t="s">
        <v>148</v>
      </c>
      <c r="F1770" s="2" t="s">
        <v>19</v>
      </c>
      <c r="G1770" s="2" t="s">
        <v>40</v>
      </c>
      <c r="H1770" s="2" t="s">
        <v>32</v>
      </c>
      <c r="I1770" s="2">
        <v>48</v>
      </c>
      <c r="J1770" s="2" t="s">
        <v>22</v>
      </c>
      <c r="K1770" s="2" t="s">
        <v>4738</v>
      </c>
      <c r="L1770" s="2" t="s">
        <v>24</v>
      </c>
      <c r="M1770" s="2">
        <v>5</v>
      </c>
      <c r="N1770" s="2"/>
    </row>
    <row r="1771" spans="1:14" x14ac:dyDescent="0.25">
      <c r="A1771" s="2" t="s">
        <v>4739</v>
      </c>
      <c r="B1771" s="2" t="s">
        <v>4740</v>
      </c>
      <c r="C1771" s="2" t="s">
        <v>16</v>
      </c>
      <c r="D1771" s="2" t="s">
        <v>17</v>
      </c>
      <c r="E1771" s="2" t="s">
        <v>90</v>
      </c>
      <c r="F1771" s="2" t="s">
        <v>19</v>
      </c>
      <c r="G1771" s="2" t="s">
        <v>183</v>
      </c>
      <c r="H1771" s="2" t="s">
        <v>74</v>
      </c>
      <c r="I1771" s="2">
        <v>8</v>
      </c>
      <c r="J1771" s="2" t="s">
        <v>41</v>
      </c>
      <c r="K1771" s="2"/>
      <c r="L1771" s="2" t="s">
        <v>24</v>
      </c>
      <c r="M1771" s="2">
        <v>5</v>
      </c>
      <c r="N1771" s="2" t="s">
        <v>43</v>
      </c>
    </row>
    <row r="1772" spans="1:14" x14ac:dyDescent="0.25">
      <c r="A1772" s="2" t="s">
        <v>4741</v>
      </c>
      <c r="B1772" s="2" t="s">
        <v>4742</v>
      </c>
      <c r="C1772" s="2" t="s">
        <v>28</v>
      </c>
      <c r="D1772" s="2" t="s">
        <v>37</v>
      </c>
      <c r="E1772" s="2" t="s">
        <v>18</v>
      </c>
      <c r="F1772" s="2" t="s">
        <v>113</v>
      </c>
      <c r="G1772" s="2" t="s">
        <v>121</v>
      </c>
      <c r="H1772" s="2" t="s">
        <v>74</v>
      </c>
      <c r="I1772" s="2">
        <v>8</v>
      </c>
      <c r="J1772" s="2" t="s">
        <v>117</v>
      </c>
      <c r="K1772" s="2"/>
      <c r="L1772" s="2" t="s">
        <v>24</v>
      </c>
      <c r="M1772" s="2"/>
      <c r="N1772" s="2"/>
    </row>
    <row r="1773" spans="1:14" x14ac:dyDescent="0.25">
      <c r="A1773" s="2" t="s">
        <v>4743</v>
      </c>
      <c r="B1773" s="2" t="s">
        <v>4744</v>
      </c>
      <c r="C1773" s="2" t="s">
        <v>16</v>
      </c>
      <c r="D1773" s="2" t="s">
        <v>17</v>
      </c>
      <c r="E1773" s="2" t="s">
        <v>79</v>
      </c>
      <c r="F1773" s="2" t="s">
        <v>131</v>
      </c>
      <c r="G1773" s="2" t="s">
        <v>211</v>
      </c>
      <c r="H1773" s="2" t="s">
        <v>21</v>
      </c>
      <c r="I1773" s="2">
        <v>24</v>
      </c>
      <c r="J1773" s="2" t="s">
        <v>75</v>
      </c>
      <c r="K1773" s="2" t="s">
        <v>4745</v>
      </c>
      <c r="L1773" s="2" t="s">
        <v>24</v>
      </c>
      <c r="M1773" s="2">
        <v>5</v>
      </c>
      <c r="N1773" s="2" t="s">
        <v>43</v>
      </c>
    </row>
    <row r="1774" spans="1:14" x14ac:dyDescent="0.25">
      <c r="A1774" s="2" t="s">
        <v>4746</v>
      </c>
      <c r="B1774" s="2" t="s">
        <v>4747</v>
      </c>
      <c r="C1774" s="2" t="s">
        <v>16</v>
      </c>
      <c r="D1774" s="2" t="s">
        <v>17</v>
      </c>
      <c r="E1774" s="2" t="s">
        <v>46</v>
      </c>
      <c r="F1774" s="2" t="s">
        <v>39</v>
      </c>
      <c r="G1774" s="2" t="s">
        <v>97</v>
      </c>
      <c r="H1774" s="2" t="s">
        <v>21</v>
      </c>
      <c r="I1774" s="2">
        <v>24</v>
      </c>
      <c r="J1774" s="2" t="s">
        <v>145</v>
      </c>
      <c r="K1774" s="2"/>
      <c r="L1774" s="2" t="s">
        <v>24</v>
      </c>
      <c r="M1774" s="2"/>
      <c r="N1774" s="2"/>
    </row>
    <row r="1775" spans="1:14" x14ac:dyDescent="0.25">
      <c r="A1775" s="2" t="s">
        <v>4748</v>
      </c>
      <c r="B1775" s="2" t="s">
        <v>4749</v>
      </c>
      <c r="C1775" s="2" t="s">
        <v>28</v>
      </c>
      <c r="D1775" s="2" t="s">
        <v>100</v>
      </c>
      <c r="E1775" s="2" t="s">
        <v>79</v>
      </c>
      <c r="F1775" s="2" t="s">
        <v>30</v>
      </c>
      <c r="G1775" s="2" t="s">
        <v>20</v>
      </c>
      <c r="H1775" s="2" t="s">
        <v>74</v>
      </c>
      <c r="I1775" s="2">
        <v>8</v>
      </c>
      <c r="J1775" s="2" t="s">
        <v>22</v>
      </c>
      <c r="K1775" s="2" t="s">
        <v>4750</v>
      </c>
      <c r="L1775" s="2" t="s">
        <v>24</v>
      </c>
      <c r="M1775" s="2">
        <v>3</v>
      </c>
      <c r="N1775" s="2" t="s">
        <v>128</v>
      </c>
    </row>
    <row r="1776" spans="1:14" x14ac:dyDescent="0.25">
      <c r="A1776" s="2" t="s">
        <v>4751</v>
      </c>
      <c r="B1776" s="2" t="s">
        <v>4752</v>
      </c>
      <c r="C1776" s="2" t="s">
        <v>28</v>
      </c>
      <c r="D1776" s="2" t="s">
        <v>37</v>
      </c>
      <c r="E1776" s="2" t="s">
        <v>18</v>
      </c>
      <c r="F1776" s="2" t="s">
        <v>113</v>
      </c>
      <c r="G1776" s="2" t="s">
        <v>101</v>
      </c>
      <c r="H1776" s="2" t="s">
        <v>74</v>
      </c>
      <c r="I1776" s="2">
        <v>8</v>
      </c>
      <c r="J1776" s="2" t="s">
        <v>232</v>
      </c>
      <c r="K1776" s="2"/>
      <c r="L1776" s="2" t="s">
        <v>92</v>
      </c>
      <c r="M1776" s="2"/>
      <c r="N1776" s="2" t="s">
        <v>64</v>
      </c>
    </row>
    <row r="1777" spans="1:14" x14ac:dyDescent="0.25">
      <c r="A1777" s="2" t="s">
        <v>4753</v>
      </c>
      <c r="B1777" s="2" t="s">
        <v>4754</v>
      </c>
      <c r="C1777" s="2" t="s">
        <v>28</v>
      </c>
      <c r="D1777" s="2" t="s">
        <v>37</v>
      </c>
      <c r="E1777" s="2" t="s">
        <v>79</v>
      </c>
      <c r="F1777" s="2" t="s">
        <v>113</v>
      </c>
      <c r="G1777" s="2" t="s">
        <v>91</v>
      </c>
      <c r="H1777" s="2" t="s">
        <v>21</v>
      </c>
      <c r="I1777" s="2">
        <v>24</v>
      </c>
      <c r="J1777" s="2" t="s">
        <v>149</v>
      </c>
      <c r="K1777" s="2"/>
      <c r="L1777" s="2" t="s">
        <v>24</v>
      </c>
      <c r="M1777" s="2"/>
      <c r="N1777" s="2" t="s">
        <v>58</v>
      </c>
    </row>
    <row r="1778" spans="1:14" x14ac:dyDescent="0.25">
      <c r="A1778" s="2" t="s">
        <v>4755</v>
      </c>
      <c r="B1778" s="2" t="s">
        <v>4756</v>
      </c>
      <c r="C1778" s="2" t="s">
        <v>28</v>
      </c>
      <c r="D1778" s="2" t="s">
        <v>37</v>
      </c>
      <c r="E1778" s="2" t="s">
        <v>18</v>
      </c>
      <c r="F1778" s="2" t="s">
        <v>69</v>
      </c>
      <c r="G1778" s="2" t="s">
        <v>20</v>
      </c>
      <c r="H1778" s="2" t="s">
        <v>32</v>
      </c>
      <c r="I1778" s="2">
        <v>48</v>
      </c>
      <c r="J1778" s="2" t="s">
        <v>22</v>
      </c>
      <c r="K1778" s="2" t="s">
        <v>4757</v>
      </c>
      <c r="L1778" s="2" t="s">
        <v>24</v>
      </c>
      <c r="M1778" s="2"/>
      <c r="N1778" s="2" t="s">
        <v>64</v>
      </c>
    </row>
    <row r="1779" spans="1:14" x14ac:dyDescent="0.25">
      <c r="A1779" s="2" t="s">
        <v>4758</v>
      </c>
      <c r="B1779" s="2" t="s">
        <v>4759</v>
      </c>
      <c r="C1779" s="2" t="s">
        <v>28</v>
      </c>
      <c r="D1779" s="2" t="s">
        <v>37</v>
      </c>
      <c r="E1779" s="2" t="s">
        <v>90</v>
      </c>
      <c r="F1779" s="2" t="s">
        <v>131</v>
      </c>
      <c r="G1779" s="2" t="s">
        <v>101</v>
      </c>
      <c r="H1779" s="2" t="s">
        <v>32</v>
      </c>
      <c r="I1779" s="2">
        <v>48</v>
      </c>
      <c r="J1779" s="2" t="s">
        <v>149</v>
      </c>
      <c r="K1779" s="2"/>
      <c r="L1779" s="2" t="s">
        <v>24</v>
      </c>
      <c r="M1779" s="2"/>
      <c r="N1779" s="2" t="s">
        <v>128</v>
      </c>
    </row>
    <row r="1780" spans="1:14" x14ac:dyDescent="0.25">
      <c r="A1780" s="2" t="s">
        <v>4760</v>
      </c>
      <c r="B1780" s="2" t="s">
        <v>4761</v>
      </c>
      <c r="C1780" s="2" t="s">
        <v>53</v>
      </c>
      <c r="D1780" s="2" t="s">
        <v>54</v>
      </c>
      <c r="E1780" s="2" t="s">
        <v>90</v>
      </c>
      <c r="F1780" s="2" t="s">
        <v>62</v>
      </c>
      <c r="G1780" s="2" t="s">
        <v>31</v>
      </c>
      <c r="H1780" s="2" t="s">
        <v>21</v>
      </c>
      <c r="I1780" s="2">
        <v>24</v>
      </c>
      <c r="J1780" s="2" t="s">
        <v>187</v>
      </c>
      <c r="K1780" s="2" t="s">
        <v>4762</v>
      </c>
      <c r="L1780" s="2" t="s">
        <v>24</v>
      </c>
      <c r="M1780" s="2">
        <v>5</v>
      </c>
      <c r="N1780" s="2" t="s">
        <v>58</v>
      </c>
    </row>
    <row r="1781" spans="1:14" x14ac:dyDescent="0.25">
      <c r="A1781" s="2" t="s">
        <v>4763</v>
      </c>
      <c r="B1781" s="2" t="s">
        <v>4764</v>
      </c>
      <c r="C1781" s="2" t="s">
        <v>67</v>
      </c>
      <c r="D1781" s="2" t="s">
        <v>95</v>
      </c>
      <c r="E1781" s="2" t="s">
        <v>38</v>
      </c>
      <c r="F1781" s="2" t="s">
        <v>69</v>
      </c>
      <c r="G1781" s="2" t="s">
        <v>183</v>
      </c>
      <c r="H1781" s="2" t="s">
        <v>32</v>
      </c>
      <c r="I1781" s="2">
        <v>48</v>
      </c>
      <c r="J1781" s="2" t="s">
        <v>232</v>
      </c>
      <c r="K1781" s="2"/>
      <c r="L1781" s="2" t="s">
        <v>92</v>
      </c>
      <c r="M1781" s="2"/>
      <c r="N1781" s="2" t="s">
        <v>118</v>
      </c>
    </row>
    <row r="1782" spans="1:14" x14ac:dyDescent="0.25">
      <c r="A1782" s="2" t="s">
        <v>4765</v>
      </c>
      <c r="B1782" s="2" t="s">
        <v>4766</v>
      </c>
      <c r="C1782" s="2" t="s">
        <v>67</v>
      </c>
      <c r="D1782" s="2" t="s">
        <v>95</v>
      </c>
      <c r="E1782" s="2" t="s">
        <v>148</v>
      </c>
      <c r="F1782" s="2" t="s">
        <v>143</v>
      </c>
      <c r="G1782" s="2" t="s">
        <v>211</v>
      </c>
      <c r="H1782" s="2" t="s">
        <v>74</v>
      </c>
      <c r="I1782" s="2">
        <v>8</v>
      </c>
      <c r="J1782" s="2" t="s">
        <v>187</v>
      </c>
      <c r="K1782" s="2"/>
      <c r="L1782" s="2" t="s">
        <v>24</v>
      </c>
      <c r="M1782" s="2">
        <v>5</v>
      </c>
      <c r="N1782" s="2" t="s">
        <v>25</v>
      </c>
    </row>
    <row r="1783" spans="1:14" x14ac:dyDescent="0.25">
      <c r="A1783" s="2" t="s">
        <v>4767</v>
      </c>
      <c r="B1783" s="2" t="s">
        <v>4768</v>
      </c>
      <c r="C1783" s="2" t="s">
        <v>67</v>
      </c>
      <c r="D1783" s="2" t="s">
        <v>95</v>
      </c>
      <c r="E1783" s="2" t="s">
        <v>18</v>
      </c>
      <c r="F1783" s="2" t="s">
        <v>62</v>
      </c>
      <c r="G1783" s="2" t="s">
        <v>211</v>
      </c>
      <c r="H1783" s="2" t="s">
        <v>32</v>
      </c>
      <c r="I1783" s="2">
        <v>48</v>
      </c>
      <c r="J1783" s="2" t="s">
        <v>106</v>
      </c>
      <c r="K1783" s="2" t="s">
        <v>4769</v>
      </c>
      <c r="L1783" s="2" t="s">
        <v>24</v>
      </c>
      <c r="M1783" s="2">
        <v>5</v>
      </c>
      <c r="N1783" s="2" t="s">
        <v>43</v>
      </c>
    </row>
    <row r="1784" spans="1:14" x14ac:dyDescent="0.25">
      <c r="A1784" s="2" t="s">
        <v>4770</v>
      </c>
      <c r="B1784" s="2" t="s">
        <v>4771</v>
      </c>
      <c r="C1784" s="2" t="s">
        <v>16</v>
      </c>
      <c r="D1784" s="2" t="s">
        <v>84</v>
      </c>
      <c r="E1784" s="2" t="s">
        <v>38</v>
      </c>
      <c r="F1784" s="2" t="s">
        <v>96</v>
      </c>
      <c r="G1784" s="2" t="s">
        <v>144</v>
      </c>
      <c r="H1784" s="2" t="s">
        <v>21</v>
      </c>
      <c r="I1784" s="2">
        <v>24</v>
      </c>
      <c r="J1784" s="2" t="s">
        <v>287</v>
      </c>
      <c r="K1784" s="2"/>
      <c r="L1784" s="2" t="s">
        <v>24</v>
      </c>
      <c r="M1784" s="2"/>
      <c r="N1784" s="2"/>
    </row>
    <row r="1785" spans="1:14" x14ac:dyDescent="0.25">
      <c r="A1785" s="2" t="s">
        <v>4772</v>
      </c>
      <c r="B1785" s="2" t="s">
        <v>4773</v>
      </c>
      <c r="C1785" s="2" t="s">
        <v>28</v>
      </c>
      <c r="D1785" s="2" t="s">
        <v>100</v>
      </c>
      <c r="E1785" s="2" t="s">
        <v>90</v>
      </c>
      <c r="F1785" s="2" t="s">
        <v>39</v>
      </c>
      <c r="G1785" s="2" t="s">
        <v>101</v>
      </c>
      <c r="H1785" s="2" t="s">
        <v>32</v>
      </c>
      <c r="I1785" s="2">
        <v>48</v>
      </c>
      <c r="J1785" s="2" t="s">
        <v>75</v>
      </c>
      <c r="K1785" s="2" t="s">
        <v>4774</v>
      </c>
      <c r="L1785" s="2" t="s">
        <v>24</v>
      </c>
      <c r="M1785" s="2">
        <v>5</v>
      </c>
      <c r="N1785" s="2" t="s">
        <v>43</v>
      </c>
    </row>
    <row r="1786" spans="1:14" x14ac:dyDescent="0.25">
      <c r="A1786" s="2" t="s">
        <v>4775</v>
      </c>
      <c r="B1786" s="2" t="s">
        <v>4776</v>
      </c>
      <c r="C1786" s="2" t="s">
        <v>16</v>
      </c>
      <c r="D1786" s="2" t="s">
        <v>84</v>
      </c>
      <c r="E1786" s="2" t="s">
        <v>85</v>
      </c>
      <c r="F1786" s="2" t="s">
        <v>62</v>
      </c>
      <c r="G1786" s="2" t="s">
        <v>179</v>
      </c>
      <c r="H1786" s="2" t="s">
        <v>32</v>
      </c>
      <c r="I1786" s="2">
        <v>48</v>
      </c>
      <c r="J1786" s="2" t="s">
        <v>41</v>
      </c>
      <c r="K1786" s="2" t="s">
        <v>4777</v>
      </c>
      <c r="L1786" s="2" t="s">
        <v>24</v>
      </c>
      <c r="M1786" s="2">
        <v>5</v>
      </c>
      <c r="N1786" s="2" t="s">
        <v>128</v>
      </c>
    </row>
    <row r="1787" spans="1:14" x14ac:dyDescent="0.25">
      <c r="A1787" s="2" t="s">
        <v>4778</v>
      </c>
      <c r="B1787" s="2" t="s">
        <v>4779</v>
      </c>
      <c r="C1787" s="2" t="s">
        <v>16</v>
      </c>
      <c r="D1787" s="2" t="s">
        <v>240</v>
      </c>
      <c r="E1787" s="2" t="s">
        <v>79</v>
      </c>
      <c r="F1787" s="2" t="s">
        <v>47</v>
      </c>
      <c r="G1787" s="2" t="s">
        <v>135</v>
      </c>
      <c r="H1787" s="2" t="s">
        <v>32</v>
      </c>
      <c r="I1787" s="2">
        <v>48</v>
      </c>
      <c r="J1787" s="2" t="s">
        <v>22</v>
      </c>
      <c r="K1787" s="2" t="s">
        <v>4780</v>
      </c>
      <c r="L1787" s="2" t="s">
        <v>24</v>
      </c>
      <c r="M1787" s="2">
        <v>4</v>
      </c>
      <c r="N1787" s="2" t="s">
        <v>128</v>
      </c>
    </row>
    <row r="1788" spans="1:14" x14ac:dyDescent="0.25">
      <c r="A1788" s="2" t="s">
        <v>4781</v>
      </c>
      <c r="B1788" s="2" t="s">
        <v>4782</v>
      </c>
      <c r="C1788" s="2" t="s">
        <v>16</v>
      </c>
      <c r="D1788" s="2" t="s">
        <v>84</v>
      </c>
      <c r="E1788" s="2" t="s">
        <v>148</v>
      </c>
      <c r="F1788" s="2" t="s">
        <v>131</v>
      </c>
      <c r="G1788" s="2" t="s">
        <v>121</v>
      </c>
      <c r="H1788" s="2" t="s">
        <v>21</v>
      </c>
      <c r="I1788" s="2">
        <v>24</v>
      </c>
      <c r="J1788" s="2" t="s">
        <v>117</v>
      </c>
      <c r="K1788" s="2"/>
      <c r="L1788" s="2" t="s">
        <v>24</v>
      </c>
      <c r="M1788" s="2"/>
      <c r="N1788" s="2" t="s">
        <v>25</v>
      </c>
    </row>
    <row r="1789" spans="1:14" x14ac:dyDescent="0.25">
      <c r="A1789" s="2" t="s">
        <v>4783</v>
      </c>
      <c r="B1789" s="2" t="s">
        <v>4784</v>
      </c>
      <c r="C1789" s="2" t="s">
        <v>16</v>
      </c>
      <c r="D1789" s="2" t="s">
        <v>17</v>
      </c>
      <c r="E1789" s="2" t="s">
        <v>18</v>
      </c>
      <c r="F1789" s="2" t="s">
        <v>69</v>
      </c>
      <c r="G1789" s="2" t="s">
        <v>139</v>
      </c>
      <c r="H1789" s="2" t="s">
        <v>21</v>
      </c>
      <c r="I1789" s="2">
        <v>24</v>
      </c>
      <c r="J1789" s="2" t="s">
        <v>22</v>
      </c>
      <c r="K1789" s="2" t="s">
        <v>4785</v>
      </c>
      <c r="L1789" s="2" t="s">
        <v>24</v>
      </c>
      <c r="M1789" s="2">
        <v>4</v>
      </c>
      <c r="N1789" s="2" t="s">
        <v>25</v>
      </c>
    </row>
    <row r="1790" spans="1:14" x14ac:dyDescent="0.25">
      <c r="A1790" s="2" t="s">
        <v>4786</v>
      </c>
      <c r="B1790" s="2" t="s">
        <v>4787</v>
      </c>
      <c r="C1790" s="2" t="s">
        <v>53</v>
      </c>
      <c r="D1790" s="2" t="s">
        <v>162</v>
      </c>
      <c r="E1790" s="2" t="s">
        <v>38</v>
      </c>
      <c r="F1790" s="2" t="s">
        <v>125</v>
      </c>
      <c r="G1790" s="2" t="s">
        <v>211</v>
      </c>
      <c r="H1790" s="2" t="s">
        <v>32</v>
      </c>
      <c r="I1790" s="2">
        <v>48</v>
      </c>
      <c r="J1790" s="2" t="s">
        <v>33</v>
      </c>
      <c r="K1790" s="2"/>
      <c r="L1790" s="2" t="s">
        <v>24</v>
      </c>
      <c r="M1790" s="2"/>
      <c r="N1790" s="2" t="s">
        <v>58</v>
      </c>
    </row>
    <row r="1791" spans="1:14" x14ac:dyDescent="0.25">
      <c r="A1791" s="2" t="s">
        <v>4788</v>
      </c>
      <c r="B1791" s="2" t="s">
        <v>4789</v>
      </c>
      <c r="C1791" s="2" t="s">
        <v>67</v>
      </c>
      <c r="D1791" s="2" t="s">
        <v>68</v>
      </c>
      <c r="E1791" s="2" t="s">
        <v>18</v>
      </c>
      <c r="F1791" s="2" t="s">
        <v>19</v>
      </c>
      <c r="G1791" s="2" t="s">
        <v>179</v>
      </c>
      <c r="H1791" s="2" t="s">
        <v>21</v>
      </c>
      <c r="I1791" s="2">
        <v>24</v>
      </c>
      <c r="J1791" s="2" t="s">
        <v>106</v>
      </c>
      <c r="K1791" s="2" t="s">
        <v>4790</v>
      </c>
      <c r="L1791" s="2" t="s">
        <v>24</v>
      </c>
      <c r="M1791" s="2">
        <v>2</v>
      </c>
      <c r="N1791" s="2" t="s">
        <v>50</v>
      </c>
    </row>
    <row r="1792" spans="1:14" x14ac:dyDescent="0.25">
      <c r="A1792" s="2" t="s">
        <v>4791</v>
      </c>
      <c r="B1792" s="2" t="s">
        <v>4792</v>
      </c>
      <c r="C1792" s="2" t="s">
        <v>16</v>
      </c>
      <c r="D1792" s="2" t="s">
        <v>84</v>
      </c>
      <c r="E1792" s="2" t="s">
        <v>148</v>
      </c>
      <c r="F1792" s="2" t="s">
        <v>69</v>
      </c>
      <c r="G1792" s="2" t="s">
        <v>158</v>
      </c>
      <c r="H1792" s="2" t="s">
        <v>32</v>
      </c>
      <c r="I1792" s="2">
        <v>48</v>
      </c>
      <c r="J1792" s="2" t="s">
        <v>191</v>
      </c>
      <c r="K1792" s="2" t="s">
        <v>4793</v>
      </c>
      <c r="L1792" s="2" t="s">
        <v>24</v>
      </c>
      <c r="M1792" s="2"/>
      <c r="N1792" s="2" t="s">
        <v>43</v>
      </c>
    </row>
    <row r="1793" spans="1:14" x14ac:dyDescent="0.25">
      <c r="A1793" s="2" t="s">
        <v>4794</v>
      </c>
      <c r="B1793" s="2" t="s">
        <v>4795</v>
      </c>
      <c r="C1793" s="2" t="s">
        <v>67</v>
      </c>
      <c r="D1793" s="2" t="s">
        <v>68</v>
      </c>
      <c r="E1793" s="2" t="s">
        <v>85</v>
      </c>
      <c r="F1793" s="2" t="s">
        <v>55</v>
      </c>
      <c r="G1793" s="2" t="s">
        <v>110</v>
      </c>
      <c r="H1793" s="2" t="s">
        <v>32</v>
      </c>
      <c r="I1793" s="2">
        <v>48</v>
      </c>
      <c r="J1793" s="2" t="s">
        <v>75</v>
      </c>
      <c r="K1793" s="2" t="s">
        <v>4796</v>
      </c>
      <c r="L1793" s="2" t="s">
        <v>24</v>
      </c>
      <c r="M1793" s="2"/>
      <c r="N1793" s="2" t="s">
        <v>128</v>
      </c>
    </row>
    <row r="1794" spans="1:14" x14ac:dyDescent="0.25">
      <c r="A1794" s="2" t="s">
        <v>4797</v>
      </c>
      <c r="B1794" s="2" t="s">
        <v>4798</v>
      </c>
      <c r="C1794" s="2" t="s">
        <v>16</v>
      </c>
      <c r="D1794" s="2" t="s">
        <v>240</v>
      </c>
      <c r="E1794" s="2" t="s">
        <v>90</v>
      </c>
      <c r="F1794" s="2" t="s">
        <v>143</v>
      </c>
      <c r="G1794" s="2" t="s">
        <v>183</v>
      </c>
      <c r="H1794" s="2" t="s">
        <v>74</v>
      </c>
      <c r="I1794" s="2">
        <v>8</v>
      </c>
      <c r="J1794" s="2" t="s">
        <v>106</v>
      </c>
      <c r="K1794" s="2" t="s">
        <v>4799</v>
      </c>
      <c r="L1794" s="2" t="s">
        <v>92</v>
      </c>
      <c r="M1794" s="2">
        <v>5</v>
      </c>
      <c r="N1794" s="2" t="s">
        <v>118</v>
      </c>
    </row>
    <row r="1795" spans="1:14" x14ac:dyDescent="0.25">
      <c r="A1795" s="2" t="s">
        <v>4800</v>
      </c>
      <c r="B1795" s="2" t="s">
        <v>4801</v>
      </c>
      <c r="C1795" s="2" t="s">
        <v>16</v>
      </c>
      <c r="D1795" s="2" t="s">
        <v>17</v>
      </c>
      <c r="E1795" s="2" t="s">
        <v>46</v>
      </c>
      <c r="F1795" s="2" t="s">
        <v>62</v>
      </c>
      <c r="G1795" s="2" t="s">
        <v>20</v>
      </c>
      <c r="H1795" s="2" t="s">
        <v>74</v>
      </c>
      <c r="I1795" s="2">
        <v>8</v>
      </c>
      <c r="J1795" s="2" t="s">
        <v>75</v>
      </c>
      <c r="K1795" s="2" t="s">
        <v>4802</v>
      </c>
      <c r="L1795" s="2" t="s">
        <v>24</v>
      </c>
      <c r="M1795" s="2">
        <v>3</v>
      </c>
      <c r="N1795" s="2" t="s">
        <v>128</v>
      </c>
    </row>
    <row r="1796" spans="1:14" x14ac:dyDescent="0.25">
      <c r="A1796" s="2" t="s">
        <v>4803</v>
      </c>
      <c r="B1796" s="2" t="s">
        <v>4804</v>
      </c>
      <c r="C1796" s="2" t="s">
        <v>16</v>
      </c>
      <c r="D1796" s="2" t="s">
        <v>84</v>
      </c>
      <c r="E1796" s="2" t="s">
        <v>18</v>
      </c>
      <c r="F1796" s="2" t="s">
        <v>55</v>
      </c>
      <c r="G1796" s="2" t="s">
        <v>97</v>
      </c>
      <c r="H1796" s="2" t="s">
        <v>21</v>
      </c>
      <c r="I1796" s="2">
        <v>24</v>
      </c>
      <c r="J1796" s="2" t="s">
        <v>22</v>
      </c>
      <c r="K1796" s="2" t="s">
        <v>4805</v>
      </c>
      <c r="L1796" s="2" t="s">
        <v>24</v>
      </c>
      <c r="M1796" s="2">
        <v>3</v>
      </c>
      <c r="N1796" s="2" t="s">
        <v>43</v>
      </c>
    </row>
    <row r="1797" spans="1:14" x14ac:dyDescent="0.25">
      <c r="A1797" s="2" t="s">
        <v>4806</v>
      </c>
      <c r="B1797" s="2" t="s">
        <v>4807</v>
      </c>
      <c r="C1797" s="2" t="s">
        <v>16</v>
      </c>
      <c r="D1797" s="2" t="s">
        <v>84</v>
      </c>
      <c r="E1797" s="2" t="s">
        <v>148</v>
      </c>
      <c r="F1797" s="2" t="s">
        <v>143</v>
      </c>
      <c r="G1797" s="2" t="s">
        <v>179</v>
      </c>
      <c r="H1797" s="2" t="s">
        <v>32</v>
      </c>
      <c r="I1797" s="2">
        <v>48</v>
      </c>
      <c r="J1797" s="2" t="s">
        <v>75</v>
      </c>
      <c r="K1797" s="2" t="s">
        <v>4808</v>
      </c>
      <c r="L1797" s="2" t="s">
        <v>24</v>
      </c>
      <c r="M1797" s="2"/>
      <c r="N1797" s="2" t="s">
        <v>43</v>
      </c>
    </row>
    <row r="1798" spans="1:14" x14ac:dyDescent="0.25">
      <c r="A1798" s="2" t="s">
        <v>4809</v>
      </c>
      <c r="B1798" s="2" t="s">
        <v>4810</v>
      </c>
      <c r="C1798" s="2" t="s">
        <v>67</v>
      </c>
      <c r="D1798" s="2" t="s">
        <v>95</v>
      </c>
      <c r="E1798" s="2" t="s">
        <v>38</v>
      </c>
      <c r="F1798" s="2" t="s">
        <v>47</v>
      </c>
      <c r="G1798" s="2" t="s">
        <v>101</v>
      </c>
      <c r="H1798" s="2" t="s">
        <v>21</v>
      </c>
      <c r="I1798" s="2">
        <v>24</v>
      </c>
      <c r="J1798" s="2" t="s">
        <v>41</v>
      </c>
      <c r="K1798" s="2" t="s">
        <v>4811</v>
      </c>
      <c r="L1798" s="2" t="s">
        <v>24</v>
      </c>
      <c r="M1798" s="2"/>
      <c r="N1798" s="2" t="s">
        <v>64</v>
      </c>
    </row>
    <row r="1799" spans="1:14" x14ac:dyDescent="0.25">
      <c r="A1799" s="2" t="s">
        <v>4812</v>
      </c>
      <c r="B1799" s="2" t="s">
        <v>4813</v>
      </c>
      <c r="C1799" s="2" t="s">
        <v>16</v>
      </c>
      <c r="D1799" s="2" t="s">
        <v>84</v>
      </c>
      <c r="E1799" s="2" t="s">
        <v>46</v>
      </c>
      <c r="F1799" s="2" t="s">
        <v>55</v>
      </c>
      <c r="G1799" s="2" t="s">
        <v>126</v>
      </c>
      <c r="H1799" s="2" t="s">
        <v>32</v>
      </c>
      <c r="I1799" s="2">
        <v>48</v>
      </c>
      <c r="J1799" s="2" t="s">
        <v>106</v>
      </c>
      <c r="K1799" s="2" t="s">
        <v>4814</v>
      </c>
      <c r="L1799" s="2" t="s">
        <v>24</v>
      </c>
      <c r="M1799" s="2"/>
      <c r="N1799" s="2" t="s">
        <v>58</v>
      </c>
    </row>
    <row r="1800" spans="1:14" x14ac:dyDescent="0.25">
      <c r="A1800" s="2" t="s">
        <v>4815</v>
      </c>
      <c r="B1800" s="2" t="s">
        <v>4816</v>
      </c>
      <c r="C1800" s="2" t="s">
        <v>16</v>
      </c>
      <c r="D1800" s="2" t="s">
        <v>84</v>
      </c>
      <c r="E1800" s="2" t="s">
        <v>38</v>
      </c>
      <c r="F1800" s="2" t="s">
        <v>131</v>
      </c>
      <c r="G1800" s="2" t="s">
        <v>179</v>
      </c>
      <c r="H1800" s="2" t="s">
        <v>21</v>
      </c>
      <c r="I1800" s="2">
        <v>24</v>
      </c>
      <c r="J1800" s="2" t="s">
        <v>48</v>
      </c>
      <c r="K1800" s="2" t="s">
        <v>4817</v>
      </c>
      <c r="L1800" s="2" t="s">
        <v>24</v>
      </c>
      <c r="M1800" s="2">
        <v>1</v>
      </c>
      <c r="N1800" s="2"/>
    </row>
    <row r="1801" spans="1:14" x14ac:dyDescent="0.25">
      <c r="A1801" s="2" t="s">
        <v>4818</v>
      </c>
      <c r="B1801" s="2" t="s">
        <v>4819</v>
      </c>
      <c r="C1801" s="2" t="s">
        <v>16</v>
      </c>
      <c r="D1801" s="2" t="s">
        <v>17</v>
      </c>
      <c r="E1801" s="2" t="s">
        <v>85</v>
      </c>
      <c r="F1801" s="2" t="s">
        <v>55</v>
      </c>
      <c r="G1801" s="2" t="s">
        <v>179</v>
      </c>
      <c r="H1801" s="2" t="s">
        <v>74</v>
      </c>
      <c r="I1801" s="2">
        <v>8</v>
      </c>
      <c r="J1801" s="2" t="s">
        <v>41</v>
      </c>
      <c r="K1801" s="2" t="s">
        <v>4820</v>
      </c>
      <c r="L1801" s="2" t="s">
        <v>24</v>
      </c>
      <c r="M1801" s="2">
        <v>5</v>
      </c>
      <c r="N1801" s="2" t="s">
        <v>64</v>
      </c>
    </row>
    <row r="1802" spans="1:14" x14ac:dyDescent="0.25">
      <c r="A1802" s="2" t="s">
        <v>4821</v>
      </c>
      <c r="B1802" s="2" t="s">
        <v>4822</v>
      </c>
      <c r="C1802" s="2" t="s">
        <v>67</v>
      </c>
      <c r="D1802" s="2" t="s">
        <v>68</v>
      </c>
      <c r="E1802" s="2" t="s">
        <v>79</v>
      </c>
      <c r="F1802" s="2" t="s">
        <v>143</v>
      </c>
      <c r="G1802" s="2" t="s">
        <v>91</v>
      </c>
      <c r="H1802" s="2" t="s">
        <v>21</v>
      </c>
      <c r="I1802" s="2">
        <v>24</v>
      </c>
      <c r="J1802" s="2" t="s">
        <v>41</v>
      </c>
      <c r="K1802" s="2" t="s">
        <v>4823</v>
      </c>
      <c r="L1802" s="2" t="s">
        <v>24</v>
      </c>
      <c r="M1802" s="2"/>
      <c r="N1802" s="2"/>
    </row>
    <row r="1803" spans="1:14" x14ac:dyDescent="0.25">
      <c r="A1803" s="2" t="s">
        <v>4824</v>
      </c>
      <c r="B1803" s="2" t="s">
        <v>4825</v>
      </c>
      <c r="C1803" s="2" t="s">
        <v>28</v>
      </c>
      <c r="D1803" s="2" t="s">
        <v>37</v>
      </c>
      <c r="E1803" s="2" t="s">
        <v>46</v>
      </c>
      <c r="F1803" s="2" t="s">
        <v>143</v>
      </c>
      <c r="G1803" s="2" t="s">
        <v>91</v>
      </c>
      <c r="H1803" s="2" t="s">
        <v>32</v>
      </c>
      <c r="I1803" s="2">
        <v>48</v>
      </c>
      <c r="J1803" s="2" t="s">
        <v>106</v>
      </c>
      <c r="K1803" s="2" t="s">
        <v>4826</v>
      </c>
      <c r="L1803" s="2" t="s">
        <v>24</v>
      </c>
      <c r="M1803" s="2">
        <v>4</v>
      </c>
      <c r="N1803" s="2" t="s">
        <v>34</v>
      </c>
    </row>
    <row r="1804" spans="1:14" x14ac:dyDescent="0.25">
      <c r="A1804" s="2" t="s">
        <v>4827</v>
      </c>
      <c r="B1804" s="2" t="s">
        <v>4828</v>
      </c>
      <c r="C1804" s="2" t="s">
        <v>16</v>
      </c>
      <c r="D1804" s="2" t="s">
        <v>17</v>
      </c>
      <c r="E1804" s="2" t="s">
        <v>79</v>
      </c>
      <c r="F1804" s="2" t="s">
        <v>69</v>
      </c>
      <c r="G1804" s="2" t="s">
        <v>211</v>
      </c>
      <c r="H1804" s="2" t="s">
        <v>74</v>
      </c>
      <c r="I1804" s="2">
        <v>8</v>
      </c>
      <c r="J1804" s="2" t="s">
        <v>22</v>
      </c>
      <c r="K1804" s="2" t="s">
        <v>4829</v>
      </c>
      <c r="L1804" s="2" t="s">
        <v>24</v>
      </c>
      <c r="M1804" s="2"/>
      <c r="N1804" s="2" t="s">
        <v>25</v>
      </c>
    </row>
    <row r="1805" spans="1:14" x14ac:dyDescent="0.25">
      <c r="A1805" s="2" t="s">
        <v>4830</v>
      </c>
      <c r="B1805" s="2" t="s">
        <v>4831</v>
      </c>
      <c r="C1805" s="2" t="s">
        <v>28</v>
      </c>
      <c r="D1805" s="2" t="s">
        <v>37</v>
      </c>
      <c r="E1805" s="2" t="s">
        <v>38</v>
      </c>
      <c r="F1805" s="2" t="s">
        <v>30</v>
      </c>
      <c r="G1805" s="2" t="s">
        <v>101</v>
      </c>
      <c r="H1805" s="2" t="s">
        <v>21</v>
      </c>
      <c r="I1805" s="2">
        <v>24</v>
      </c>
      <c r="J1805" s="2" t="s">
        <v>22</v>
      </c>
      <c r="K1805" s="2" t="s">
        <v>4832</v>
      </c>
      <c r="L1805" s="2" t="s">
        <v>24</v>
      </c>
      <c r="M1805" s="2">
        <v>4</v>
      </c>
      <c r="N1805" s="2" t="s">
        <v>128</v>
      </c>
    </row>
    <row r="1806" spans="1:14" x14ac:dyDescent="0.25">
      <c r="A1806" s="2" t="s">
        <v>4833</v>
      </c>
      <c r="B1806" s="2" t="s">
        <v>4834</v>
      </c>
      <c r="C1806" s="2" t="s">
        <v>16</v>
      </c>
      <c r="D1806" s="2" t="s">
        <v>84</v>
      </c>
      <c r="E1806" s="2" t="s">
        <v>18</v>
      </c>
      <c r="F1806" s="2" t="s">
        <v>30</v>
      </c>
      <c r="G1806" s="2" t="s">
        <v>91</v>
      </c>
      <c r="H1806" s="2" t="s">
        <v>32</v>
      </c>
      <c r="I1806" s="2">
        <v>48</v>
      </c>
      <c r="J1806" s="2" t="s">
        <v>486</v>
      </c>
      <c r="K1806" s="2" t="s">
        <v>4835</v>
      </c>
      <c r="L1806" s="2" t="s">
        <v>24</v>
      </c>
      <c r="M1806" s="2"/>
      <c r="N1806" s="2" t="s">
        <v>25</v>
      </c>
    </row>
    <row r="1807" spans="1:14" x14ac:dyDescent="0.25">
      <c r="A1807" s="2" t="s">
        <v>4653</v>
      </c>
      <c r="B1807" s="2" t="s">
        <v>4654</v>
      </c>
      <c r="C1807" s="2" t="s">
        <v>67</v>
      </c>
      <c r="D1807" s="2" t="s">
        <v>95</v>
      </c>
      <c r="E1807" s="2" t="s">
        <v>85</v>
      </c>
      <c r="F1807" s="2" t="s">
        <v>39</v>
      </c>
      <c r="G1807" s="2" t="s">
        <v>70</v>
      </c>
      <c r="H1807" s="2" t="s">
        <v>21</v>
      </c>
      <c r="I1807" s="2">
        <v>24</v>
      </c>
      <c r="J1807" s="2" t="s">
        <v>48</v>
      </c>
      <c r="K1807" s="2" t="s">
        <v>4655</v>
      </c>
      <c r="L1807" s="2" t="s">
        <v>24</v>
      </c>
      <c r="M1807" s="2"/>
      <c r="N1807" s="2" t="s">
        <v>43</v>
      </c>
    </row>
    <row r="1808" spans="1:14" x14ac:dyDescent="0.25">
      <c r="A1808" s="2" t="s">
        <v>4836</v>
      </c>
      <c r="B1808" s="2" t="s">
        <v>4837</v>
      </c>
      <c r="C1808" s="2" t="s">
        <v>53</v>
      </c>
      <c r="D1808" s="2" t="s">
        <v>54</v>
      </c>
      <c r="E1808" s="2" t="s">
        <v>38</v>
      </c>
      <c r="F1808" s="2" t="s">
        <v>143</v>
      </c>
      <c r="G1808" s="2" t="s">
        <v>110</v>
      </c>
      <c r="H1808" s="2" t="s">
        <v>74</v>
      </c>
      <c r="I1808" s="2">
        <v>8</v>
      </c>
      <c r="J1808" s="2" t="s">
        <v>33</v>
      </c>
      <c r="K1808" s="2"/>
      <c r="L1808" s="2" t="s">
        <v>24</v>
      </c>
      <c r="M1808" s="2"/>
      <c r="N1808" s="2"/>
    </row>
    <row r="1809" spans="1:14" x14ac:dyDescent="0.25">
      <c r="A1809" s="2" t="s">
        <v>4838</v>
      </c>
      <c r="B1809" s="2" t="s">
        <v>4839</v>
      </c>
      <c r="C1809" s="2" t="s">
        <v>28</v>
      </c>
      <c r="D1809" s="2" t="s">
        <v>100</v>
      </c>
      <c r="E1809" s="2" t="s">
        <v>85</v>
      </c>
      <c r="F1809" s="2" t="s">
        <v>30</v>
      </c>
      <c r="G1809" s="2" t="s">
        <v>97</v>
      </c>
      <c r="H1809" s="2" t="s">
        <v>21</v>
      </c>
      <c r="I1809" s="2">
        <v>24</v>
      </c>
      <c r="J1809" s="2" t="s">
        <v>187</v>
      </c>
      <c r="K1809" s="2" t="s">
        <v>4840</v>
      </c>
      <c r="L1809" s="2" t="s">
        <v>24</v>
      </c>
      <c r="M1809" s="2">
        <v>5</v>
      </c>
      <c r="N1809" s="2" t="s">
        <v>118</v>
      </c>
    </row>
    <row r="1810" spans="1:14" x14ac:dyDescent="0.25">
      <c r="A1810" s="2" t="s">
        <v>4841</v>
      </c>
      <c r="B1810" s="2" t="s">
        <v>4842</v>
      </c>
      <c r="C1810" s="2" t="s">
        <v>67</v>
      </c>
      <c r="D1810" s="2" t="s">
        <v>68</v>
      </c>
      <c r="E1810" s="2" t="s">
        <v>18</v>
      </c>
      <c r="F1810" s="2" t="s">
        <v>47</v>
      </c>
      <c r="G1810" s="2" t="s">
        <v>91</v>
      </c>
      <c r="H1810" s="2" t="s">
        <v>21</v>
      </c>
      <c r="I1810" s="2">
        <v>24</v>
      </c>
      <c r="J1810" s="2" t="s">
        <v>33</v>
      </c>
      <c r="K1810" s="2"/>
      <c r="L1810" s="2" t="s">
        <v>24</v>
      </c>
      <c r="M1810" s="2"/>
      <c r="N1810" s="2" t="s">
        <v>64</v>
      </c>
    </row>
    <row r="1811" spans="1:14" x14ac:dyDescent="0.25">
      <c r="A1811" s="2" t="s">
        <v>4843</v>
      </c>
      <c r="B1811" s="2" t="s">
        <v>4844</v>
      </c>
      <c r="C1811" s="2" t="s">
        <v>28</v>
      </c>
      <c r="D1811" s="2" t="s">
        <v>37</v>
      </c>
      <c r="E1811" s="2" t="s">
        <v>79</v>
      </c>
      <c r="F1811" s="2" t="s">
        <v>96</v>
      </c>
      <c r="G1811" s="2" t="s">
        <v>20</v>
      </c>
      <c r="H1811" s="2" t="s">
        <v>74</v>
      </c>
      <c r="I1811" s="2">
        <v>8</v>
      </c>
      <c r="J1811" s="2" t="s">
        <v>56</v>
      </c>
      <c r="K1811" s="2" t="s">
        <v>4845</v>
      </c>
      <c r="L1811" s="2" t="s">
        <v>24</v>
      </c>
      <c r="M1811" s="2"/>
      <c r="N1811" s="2" t="s">
        <v>50</v>
      </c>
    </row>
    <row r="1812" spans="1:14" x14ac:dyDescent="0.25">
      <c r="A1812" s="2" t="s">
        <v>4846</v>
      </c>
      <c r="B1812" s="2" t="s">
        <v>4847</v>
      </c>
      <c r="C1812" s="2" t="s">
        <v>53</v>
      </c>
      <c r="D1812" s="2" t="s">
        <v>61</v>
      </c>
      <c r="E1812" s="2" t="s">
        <v>38</v>
      </c>
      <c r="F1812" s="2" t="s">
        <v>19</v>
      </c>
      <c r="G1812" s="2" t="s">
        <v>126</v>
      </c>
      <c r="H1812" s="2" t="s">
        <v>74</v>
      </c>
      <c r="I1812" s="2">
        <v>8</v>
      </c>
      <c r="J1812" s="2" t="s">
        <v>22</v>
      </c>
      <c r="K1812" s="2" t="s">
        <v>4848</v>
      </c>
      <c r="L1812" s="2" t="s">
        <v>24</v>
      </c>
      <c r="M1812" s="2">
        <v>5</v>
      </c>
      <c r="N1812" s="2"/>
    </row>
    <row r="1813" spans="1:14" x14ac:dyDescent="0.25">
      <c r="A1813" s="2" t="s">
        <v>4849</v>
      </c>
      <c r="B1813" s="2" t="s">
        <v>4850</v>
      </c>
      <c r="C1813" s="2" t="s">
        <v>53</v>
      </c>
      <c r="D1813" s="2" t="s">
        <v>61</v>
      </c>
      <c r="E1813" s="2" t="s">
        <v>85</v>
      </c>
      <c r="F1813" s="2" t="s">
        <v>69</v>
      </c>
      <c r="G1813" s="2" t="s">
        <v>211</v>
      </c>
      <c r="H1813" s="2" t="s">
        <v>32</v>
      </c>
      <c r="I1813" s="2">
        <v>48</v>
      </c>
      <c r="J1813" s="2" t="s">
        <v>191</v>
      </c>
      <c r="K1813" s="2" t="s">
        <v>4851</v>
      </c>
      <c r="L1813" s="2" t="s">
        <v>24</v>
      </c>
      <c r="M1813" s="2"/>
      <c r="N1813" s="2"/>
    </row>
    <row r="1814" spans="1:14" x14ac:dyDescent="0.25">
      <c r="A1814" s="2" t="s">
        <v>4852</v>
      </c>
      <c r="B1814" s="2" t="s">
        <v>4853</v>
      </c>
      <c r="C1814" s="2" t="s">
        <v>53</v>
      </c>
      <c r="D1814" s="2" t="s">
        <v>54</v>
      </c>
      <c r="E1814" s="2" t="s">
        <v>90</v>
      </c>
      <c r="F1814" s="2" t="s">
        <v>125</v>
      </c>
      <c r="G1814" s="2" t="s">
        <v>144</v>
      </c>
      <c r="H1814" s="2" t="s">
        <v>21</v>
      </c>
      <c r="I1814" s="2">
        <v>24</v>
      </c>
      <c r="J1814" s="2" t="s">
        <v>41</v>
      </c>
      <c r="K1814" s="2" t="s">
        <v>4854</v>
      </c>
      <c r="L1814" s="2" t="s">
        <v>24</v>
      </c>
      <c r="M1814" s="2"/>
      <c r="N1814" s="2"/>
    </row>
    <row r="1815" spans="1:14" x14ac:dyDescent="0.25">
      <c r="A1815" s="2" t="s">
        <v>4855</v>
      </c>
      <c r="B1815" s="2" t="s">
        <v>4856</v>
      </c>
      <c r="C1815" s="2" t="s">
        <v>53</v>
      </c>
      <c r="D1815" s="2" t="s">
        <v>54</v>
      </c>
      <c r="E1815" s="2" t="s">
        <v>38</v>
      </c>
      <c r="F1815" s="2" t="s">
        <v>125</v>
      </c>
      <c r="G1815" s="2" t="s">
        <v>135</v>
      </c>
      <c r="H1815" s="2" t="s">
        <v>32</v>
      </c>
      <c r="I1815" s="2">
        <v>48</v>
      </c>
      <c r="J1815" s="2" t="s">
        <v>41</v>
      </c>
      <c r="K1815" s="2" t="s">
        <v>4857</v>
      </c>
      <c r="L1815" s="2" t="s">
        <v>24</v>
      </c>
      <c r="M1815" s="2">
        <v>4</v>
      </c>
      <c r="N1815" s="2" t="s">
        <v>58</v>
      </c>
    </row>
    <row r="1816" spans="1:14" x14ac:dyDescent="0.25">
      <c r="A1816" s="2" t="s">
        <v>4858</v>
      </c>
      <c r="B1816" s="2" t="s">
        <v>4859</v>
      </c>
      <c r="C1816" s="2" t="s">
        <v>67</v>
      </c>
      <c r="D1816" s="2" t="s">
        <v>95</v>
      </c>
      <c r="E1816" s="2" t="s">
        <v>148</v>
      </c>
      <c r="F1816" s="2" t="s">
        <v>30</v>
      </c>
      <c r="G1816" s="2" t="s">
        <v>179</v>
      </c>
      <c r="H1816" s="2" t="s">
        <v>32</v>
      </c>
      <c r="I1816" s="2">
        <v>48</v>
      </c>
      <c r="J1816" s="2" t="s">
        <v>117</v>
      </c>
      <c r="K1816" s="2"/>
      <c r="L1816" s="2" t="s">
        <v>24</v>
      </c>
      <c r="M1816" s="2"/>
      <c r="N1816" s="2" t="s">
        <v>118</v>
      </c>
    </row>
    <row r="1817" spans="1:14" x14ac:dyDescent="0.25">
      <c r="A1817" s="2" t="s">
        <v>4860</v>
      </c>
      <c r="B1817" s="2" t="s">
        <v>4861</v>
      </c>
      <c r="C1817" s="2" t="s">
        <v>53</v>
      </c>
      <c r="D1817" s="2" t="s">
        <v>771</v>
      </c>
      <c r="E1817" s="2" t="s">
        <v>79</v>
      </c>
      <c r="F1817" s="2" t="s">
        <v>96</v>
      </c>
      <c r="G1817" s="2" t="s">
        <v>70</v>
      </c>
      <c r="H1817" s="2" t="s">
        <v>21</v>
      </c>
      <c r="I1817" s="2">
        <v>24</v>
      </c>
      <c r="J1817" s="2" t="s">
        <v>187</v>
      </c>
      <c r="K1817" s="2" t="s">
        <v>4862</v>
      </c>
      <c r="L1817" s="2" t="s">
        <v>24</v>
      </c>
      <c r="M1817" s="2">
        <v>4</v>
      </c>
      <c r="N1817" s="2" t="s">
        <v>25</v>
      </c>
    </row>
    <row r="1818" spans="1:14" x14ac:dyDescent="0.25">
      <c r="A1818" s="2" t="s">
        <v>4863</v>
      </c>
      <c r="B1818" s="2" t="s">
        <v>4864</v>
      </c>
      <c r="C1818" s="2" t="s">
        <v>28</v>
      </c>
      <c r="D1818" s="2" t="s">
        <v>37</v>
      </c>
      <c r="E1818" s="2" t="s">
        <v>148</v>
      </c>
      <c r="F1818" s="2" t="s">
        <v>125</v>
      </c>
      <c r="G1818" s="2" t="s">
        <v>135</v>
      </c>
      <c r="H1818" s="2" t="s">
        <v>74</v>
      </c>
      <c r="I1818" s="2">
        <v>8</v>
      </c>
      <c r="J1818" s="2" t="s">
        <v>41</v>
      </c>
      <c r="K1818" s="2" t="s">
        <v>4865</v>
      </c>
      <c r="L1818" s="2" t="s">
        <v>24</v>
      </c>
      <c r="M1818" s="2">
        <v>2</v>
      </c>
      <c r="N1818" s="2" t="s">
        <v>128</v>
      </c>
    </row>
    <row r="1819" spans="1:14" x14ac:dyDescent="0.25">
      <c r="A1819" s="2" t="s">
        <v>4866</v>
      </c>
      <c r="B1819" s="2" t="s">
        <v>4867</v>
      </c>
      <c r="C1819" s="2" t="s">
        <v>16</v>
      </c>
      <c r="D1819" s="2" t="s">
        <v>17</v>
      </c>
      <c r="E1819" s="2" t="s">
        <v>18</v>
      </c>
      <c r="F1819" s="2" t="s">
        <v>113</v>
      </c>
      <c r="G1819" s="2" t="s">
        <v>211</v>
      </c>
      <c r="H1819" s="2" t="s">
        <v>32</v>
      </c>
      <c r="I1819" s="2">
        <v>48</v>
      </c>
      <c r="J1819" s="2" t="s">
        <v>191</v>
      </c>
      <c r="K1819" s="2" t="s">
        <v>4868</v>
      </c>
      <c r="L1819" s="2" t="s">
        <v>24</v>
      </c>
      <c r="M1819" s="2"/>
      <c r="N1819" s="2" t="s">
        <v>43</v>
      </c>
    </row>
    <row r="1820" spans="1:14" x14ac:dyDescent="0.25">
      <c r="A1820" s="2" t="s">
        <v>4869</v>
      </c>
      <c r="B1820" s="2" t="s">
        <v>4870</v>
      </c>
      <c r="C1820" s="2" t="s">
        <v>28</v>
      </c>
      <c r="D1820" s="2" t="s">
        <v>100</v>
      </c>
      <c r="E1820" s="2" t="s">
        <v>90</v>
      </c>
      <c r="F1820" s="2" t="s">
        <v>96</v>
      </c>
      <c r="G1820" s="2" t="s">
        <v>139</v>
      </c>
      <c r="H1820" s="2" t="s">
        <v>32</v>
      </c>
      <c r="I1820" s="2">
        <v>48</v>
      </c>
      <c r="J1820" s="2" t="s">
        <v>41</v>
      </c>
      <c r="K1820" s="2" t="s">
        <v>4871</v>
      </c>
      <c r="L1820" s="2" t="s">
        <v>92</v>
      </c>
      <c r="M1820" s="2"/>
      <c r="N1820" s="2" t="s">
        <v>58</v>
      </c>
    </row>
    <row r="1821" spans="1:14" x14ac:dyDescent="0.25">
      <c r="A1821" s="2" t="s">
        <v>4872</v>
      </c>
      <c r="B1821" s="2" t="s">
        <v>4873</v>
      </c>
      <c r="C1821" s="2" t="s">
        <v>67</v>
      </c>
      <c r="D1821" s="2" t="s">
        <v>68</v>
      </c>
      <c r="E1821" s="2" t="s">
        <v>38</v>
      </c>
      <c r="F1821" s="2" t="s">
        <v>47</v>
      </c>
      <c r="G1821" s="2" t="s">
        <v>183</v>
      </c>
      <c r="H1821" s="2" t="s">
        <v>21</v>
      </c>
      <c r="I1821" s="2">
        <v>24</v>
      </c>
      <c r="J1821" s="2" t="s">
        <v>155</v>
      </c>
      <c r="K1821" s="2"/>
      <c r="L1821" s="2" t="s">
        <v>24</v>
      </c>
      <c r="M1821" s="2"/>
      <c r="N1821" s="2" t="s">
        <v>64</v>
      </c>
    </row>
    <row r="1822" spans="1:14" x14ac:dyDescent="0.25">
      <c r="A1822" s="2" t="s">
        <v>4874</v>
      </c>
      <c r="B1822" s="2" t="s">
        <v>4875</v>
      </c>
      <c r="C1822" s="2" t="s">
        <v>16</v>
      </c>
      <c r="D1822" s="2" t="s">
        <v>17</v>
      </c>
      <c r="E1822" s="2" t="s">
        <v>79</v>
      </c>
      <c r="F1822" s="2" t="s">
        <v>39</v>
      </c>
      <c r="G1822" s="2" t="s">
        <v>105</v>
      </c>
      <c r="H1822" s="2" t="s">
        <v>32</v>
      </c>
      <c r="I1822" s="2">
        <v>48</v>
      </c>
      <c r="J1822" s="2" t="s">
        <v>486</v>
      </c>
      <c r="K1822" s="2" t="s">
        <v>4876</v>
      </c>
      <c r="L1822" s="2" t="s">
        <v>24</v>
      </c>
      <c r="M1822" s="2"/>
      <c r="N1822" s="2" t="s">
        <v>43</v>
      </c>
    </row>
    <row r="1823" spans="1:14" x14ac:dyDescent="0.25">
      <c r="A1823" s="2" t="s">
        <v>4877</v>
      </c>
      <c r="B1823" s="2" t="s">
        <v>4878</v>
      </c>
      <c r="C1823" s="2" t="s">
        <v>67</v>
      </c>
      <c r="D1823" s="2" t="s">
        <v>95</v>
      </c>
      <c r="E1823" s="2" t="s">
        <v>90</v>
      </c>
      <c r="F1823" s="2" t="s">
        <v>143</v>
      </c>
      <c r="G1823" s="2" t="s">
        <v>126</v>
      </c>
      <c r="H1823" s="2" t="s">
        <v>32</v>
      </c>
      <c r="I1823" s="2">
        <v>48</v>
      </c>
      <c r="J1823" s="2" t="s">
        <v>187</v>
      </c>
      <c r="K1823" s="2" t="s">
        <v>4879</v>
      </c>
      <c r="L1823" s="2" t="s">
        <v>92</v>
      </c>
      <c r="M1823" s="2">
        <v>5</v>
      </c>
      <c r="N1823" s="2"/>
    </row>
    <row r="1824" spans="1:14" x14ac:dyDescent="0.25">
      <c r="A1824" s="2" t="s">
        <v>4880</v>
      </c>
      <c r="B1824" s="2" t="s">
        <v>4881</v>
      </c>
      <c r="C1824" s="2" t="s">
        <v>16</v>
      </c>
      <c r="D1824" s="2" t="s">
        <v>17</v>
      </c>
      <c r="E1824" s="2" t="s">
        <v>38</v>
      </c>
      <c r="F1824" s="2" t="s">
        <v>47</v>
      </c>
      <c r="G1824" s="2" t="s">
        <v>135</v>
      </c>
      <c r="H1824" s="2" t="s">
        <v>21</v>
      </c>
      <c r="I1824" s="2">
        <v>24</v>
      </c>
      <c r="J1824" s="2" t="s">
        <v>22</v>
      </c>
      <c r="K1824" s="2" t="s">
        <v>4882</v>
      </c>
      <c r="L1824" s="2" t="s">
        <v>24</v>
      </c>
      <c r="M1824" s="2"/>
      <c r="N1824" s="2"/>
    </row>
    <row r="1825" spans="1:14" x14ac:dyDescent="0.25">
      <c r="A1825" s="2" t="s">
        <v>4883</v>
      </c>
      <c r="B1825" s="2" t="s">
        <v>4884</v>
      </c>
      <c r="C1825" s="2" t="s">
        <v>16</v>
      </c>
      <c r="D1825" s="2" t="s">
        <v>84</v>
      </c>
      <c r="E1825" s="2" t="s">
        <v>46</v>
      </c>
      <c r="F1825" s="2" t="s">
        <v>69</v>
      </c>
      <c r="G1825" s="2" t="s">
        <v>158</v>
      </c>
      <c r="H1825" s="2" t="s">
        <v>32</v>
      </c>
      <c r="I1825" s="2">
        <v>48</v>
      </c>
      <c r="J1825" s="2" t="s">
        <v>22</v>
      </c>
      <c r="K1825" s="2" t="s">
        <v>4885</v>
      </c>
      <c r="L1825" s="2" t="s">
        <v>24</v>
      </c>
      <c r="M1825" s="2">
        <v>5</v>
      </c>
      <c r="N1825" s="2" t="s">
        <v>118</v>
      </c>
    </row>
    <row r="1826" spans="1:14" x14ac:dyDescent="0.25">
      <c r="A1826" s="2" t="s">
        <v>4886</v>
      </c>
      <c r="B1826" s="2" t="s">
        <v>4887</v>
      </c>
      <c r="C1826" s="2" t="s">
        <v>28</v>
      </c>
      <c r="D1826" s="2" t="s">
        <v>100</v>
      </c>
      <c r="E1826" s="2" t="s">
        <v>79</v>
      </c>
      <c r="F1826" s="2" t="s">
        <v>143</v>
      </c>
      <c r="G1826" s="2" t="s">
        <v>97</v>
      </c>
      <c r="H1826" s="2" t="s">
        <v>21</v>
      </c>
      <c r="I1826" s="2">
        <v>24</v>
      </c>
      <c r="J1826" s="2" t="s">
        <v>75</v>
      </c>
      <c r="K1826" s="2" t="s">
        <v>4888</v>
      </c>
      <c r="L1826" s="2" t="s">
        <v>24</v>
      </c>
      <c r="M1826" s="2">
        <v>3</v>
      </c>
      <c r="N1826" s="2"/>
    </row>
    <row r="1827" spans="1:14" x14ac:dyDescent="0.25">
      <c r="A1827" s="2" t="s">
        <v>4889</v>
      </c>
      <c r="B1827" s="2" t="s">
        <v>4890</v>
      </c>
      <c r="C1827" s="2" t="s">
        <v>53</v>
      </c>
      <c r="D1827" s="2" t="s">
        <v>61</v>
      </c>
      <c r="E1827" s="2" t="s">
        <v>85</v>
      </c>
      <c r="F1827" s="2" t="s">
        <v>69</v>
      </c>
      <c r="G1827" s="2" t="s">
        <v>121</v>
      </c>
      <c r="H1827" s="2" t="s">
        <v>74</v>
      </c>
      <c r="I1827" s="2">
        <v>8</v>
      </c>
      <c r="J1827" s="2" t="s">
        <v>22</v>
      </c>
      <c r="K1827" s="2" t="s">
        <v>4891</v>
      </c>
      <c r="L1827" s="2" t="s">
        <v>24</v>
      </c>
      <c r="M1827" s="2">
        <v>1</v>
      </c>
      <c r="N1827" s="2" t="s">
        <v>25</v>
      </c>
    </row>
    <row r="1828" spans="1:14" x14ac:dyDescent="0.25">
      <c r="A1828" s="2" t="s">
        <v>4892</v>
      </c>
      <c r="B1828" s="2" t="s">
        <v>4893</v>
      </c>
      <c r="C1828" s="2" t="s">
        <v>67</v>
      </c>
      <c r="D1828" s="2" t="s">
        <v>68</v>
      </c>
      <c r="E1828" s="2" t="s">
        <v>38</v>
      </c>
      <c r="F1828" s="2" t="s">
        <v>55</v>
      </c>
      <c r="G1828" s="2" t="s">
        <v>70</v>
      </c>
      <c r="H1828" s="2" t="s">
        <v>21</v>
      </c>
      <c r="I1828" s="2">
        <v>24</v>
      </c>
      <c r="J1828" s="2" t="s">
        <v>106</v>
      </c>
      <c r="K1828" s="2" t="s">
        <v>4894</v>
      </c>
      <c r="L1828" s="2" t="s">
        <v>24</v>
      </c>
      <c r="M1828" s="2"/>
      <c r="N1828" s="2" t="s">
        <v>25</v>
      </c>
    </row>
    <row r="1829" spans="1:14" x14ac:dyDescent="0.25">
      <c r="A1829" s="2" t="s">
        <v>4895</v>
      </c>
      <c r="B1829" s="2" t="s">
        <v>4896</v>
      </c>
      <c r="C1829" s="2" t="s">
        <v>53</v>
      </c>
      <c r="D1829" s="2" t="s">
        <v>162</v>
      </c>
      <c r="E1829" s="2" t="s">
        <v>46</v>
      </c>
      <c r="F1829" s="2" t="s">
        <v>19</v>
      </c>
      <c r="G1829" s="2" t="s">
        <v>211</v>
      </c>
      <c r="H1829" s="2" t="s">
        <v>32</v>
      </c>
      <c r="I1829" s="2">
        <v>48</v>
      </c>
      <c r="J1829" s="2" t="s">
        <v>75</v>
      </c>
      <c r="K1829" s="2" t="s">
        <v>4897</v>
      </c>
      <c r="L1829" s="2" t="s">
        <v>24</v>
      </c>
      <c r="M1829" s="2">
        <v>1</v>
      </c>
      <c r="N1829" s="2" t="s">
        <v>64</v>
      </c>
    </row>
    <row r="1830" spans="1:14" x14ac:dyDescent="0.25">
      <c r="A1830" s="2" t="s">
        <v>4898</v>
      </c>
      <c r="B1830" s="2" t="s">
        <v>4899</v>
      </c>
      <c r="C1830" s="2" t="s">
        <v>28</v>
      </c>
      <c r="D1830" s="2" t="s">
        <v>37</v>
      </c>
      <c r="E1830" s="2" t="s">
        <v>148</v>
      </c>
      <c r="F1830" s="2" t="s">
        <v>143</v>
      </c>
      <c r="G1830" s="2" t="s">
        <v>179</v>
      </c>
      <c r="H1830" s="2" t="s">
        <v>21</v>
      </c>
      <c r="I1830" s="2">
        <v>24</v>
      </c>
      <c r="J1830" s="2" t="s">
        <v>106</v>
      </c>
      <c r="K1830" s="2" t="s">
        <v>4900</v>
      </c>
      <c r="L1830" s="2" t="s">
        <v>24</v>
      </c>
      <c r="M1830" s="2">
        <v>5</v>
      </c>
      <c r="N1830" s="2" t="s">
        <v>118</v>
      </c>
    </row>
    <row r="1831" spans="1:14" x14ac:dyDescent="0.25">
      <c r="A1831" s="2" t="s">
        <v>4901</v>
      </c>
      <c r="B1831" s="2" t="s">
        <v>4902</v>
      </c>
      <c r="C1831" s="2" t="s">
        <v>67</v>
      </c>
      <c r="D1831" s="2" t="s">
        <v>95</v>
      </c>
      <c r="E1831" s="2" t="s">
        <v>18</v>
      </c>
      <c r="F1831" s="2" t="s">
        <v>39</v>
      </c>
      <c r="G1831" s="2" t="s">
        <v>101</v>
      </c>
      <c r="H1831" s="2" t="s">
        <v>21</v>
      </c>
      <c r="I1831" s="2">
        <v>24</v>
      </c>
      <c r="J1831" s="2" t="s">
        <v>191</v>
      </c>
      <c r="K1831" s="2" t="s">
        <v>4903</v>
      </c>
      <c r="L1831" s="2" t="s">
        <v>24</v>
      </c>
      <c r="M1831" s="2"/>
      <c r="N1831" s="2" t="s">
        <v>25</v>
      </c>
    </row>
    <row r="1832" spans="1:14" x14ac:dyDescent="0.25">
      <c r="A1832" s="2" t="s">
        <v>4904</v>
      </c>
      <c r="B1832" s="2" t="s">
        <v>4905</v>
      </c>
      <c r="C1832" s="2" t="s">
        <v>67</v>
      </c>
      <c r="D1832" s="2" t="s">
        <v>95</v>
      </c>
      <c r="E1832" s="2" t="s">
        <v>79</v>
      </c>
      <c r="F1832" s="2" t="s">
        <v>30</v>
      </c>
      <c r="G1832" s="2" t="s">
        <v>97</v>
      </c>
      <c r="H1832" s="2" t="s">
        <v>74</v>
      </c>
      <c r="I1832" s="2">
        <v>8</v>
      </c>
      <c r="J1832" s="2" t="s">
        <v>187</v>
      </c>
      <c r="K1832" s="2" t="s">
        <v>4906</v>
      </c>
      <c r="L1832" s="2" t="s">
        <v>24</v>
      </c>
      <c r="M1832" s="2"/>
      <c r="N1832" s="2" t="s">
        <v>118</v>
      </c>
    </row>
    <row r="1833" spans="1:14" x14ac:dyDescent="0.25">
      <c r="A1833" s="2" t="s">
        <v>4907</v>
      </c>
      <c r="B1833" s="2" t="s">
        <v>4908</v>
      </c>
      <c r="C1833" s="2" t="s">
        <v>67</v>
      </c>
      <c r="D1833" s="2" t="s">
        <v>95</v>
      </c>
      <c r="E1833" s="2" t="s">
        <v>18</v>
      </c>
      <c r="F1833" s="2" t="s">
        <v>69</v>
      </c>
      <c r="G1833" s="2" t="s">
        <v>183</v>
      </c>
      <c r="H1833" s="2" t="s">
        <v>21</v>
      </c>
      <c r="I1833" s="2">
        <v>24</v>
      </c>
      <c r="J1833" s="2" t="s">
        <v>106</v>
      </c>
      <c r="K1833" s="2" t="s">
        <v>4909</v>
      </c>
      <c r="L1833" s="2" t="s">
        <v>24</v>
      </c>
      <c r="M1833" s="2">
        <v>4</v>
      </c>
      <c r="N1833" s="2" t="s">
        <v>58</v>
      </c>
    </row>
    <row r="1834" spans="1:14" x14ac:dyDescent="0.25">
      <c r="A1834" s="2" t="s">
        <v>4910</v>
      </c>
      <c r="B1834" s="2" t="s">
        <v>4911</v>
      </c>
      <c r="C1834" s="2" t="s">
        <v>67</v>
      </c>
      <c r="D1834" s="2" t="s">
        <v>68</v>
      </c>
      <c r="E1834" s="2" t="s">
        <v>79</v>
      </c>
      <c r="F1834" s="2" t="s">
        <v>47</v>
      </c>
      <c r="G1834" s="2" t="s">
        <v>70</v>
      </c>
      <c r="H1834" s="2" t="s">
        <v>21</v>
      </c>
      <c r="I1834" s="2">
        <v>24</v>
      </c>
      <c r="J1834" s="2" t="s">
        <v>41</v>
      </c>
      <c r="K1834" s="2" t="s">
        <v>4912</v>
      </c>
      <c r="L1834" s="2" t="s">
        <v>24</v>
      </c>
      <c r="M1834" s="2">
        <v>5</v>
      </c>
      <c r="N1834" s="2" t="s">
        <v>58</v>
      </c>
    </row>
    <row r="1835" spans="1:14" x14ac:dyDescent="0.25">
      <c r="A1835" s="2" t="s">
        <v>4913</v>
      </c>
      <c r="B1835" s="2" t="s">
        <v>4914</v>
      </c>
      <c r="C1835" s="2" t="s">
        <v>53</v>
      </c>
      <c r="D1835" s="2" t="s">
        <v>162</v>
      </c>
      <c r="E1835" s="2" t="s">
        <v>85</v>
      </c>
      <c r="F1835" s="2" t="s">
        <v>19</v>
      </c>
      <c r="G1835" s="2" t="s">
        <v>31</v>
      </c>
      <c r="H1835" s="2" t="s">
        <v>21</v>
      </c>
      <c r="I1835" s="2">
        <v>24</v>
      </c>
      <c r="J1835" s="2" t="s">
        <v>22</v>
      </c>
      <c r="K1835" s="2" t="s">
        <v>4915</v>
      </c>
      <c r="L1835" s="2" t="s">
        <v>24</v>
      </c>
      <c r="M1835" s="2">
        <v>3</v>
      </c>
      <c r="N1835" s="2"/>
    </row>
    <row r="1836" spans="1:14" x14ac:dyDescent="0.25">
      <c r="A1836" s="2" t="s">
        <v>4916</v>
      </c>
      <c r="B1836" s="2" t="s">
        <v>4917</v>
      </c>
      <c r="C1836" s="2" t="s">
        <v>67</v>
      </c>
      <c r="D1836" s="2" t="s">
        <v>68</v>
      </c>
      <c r="E1836" s="2" t="s">
        <v>85</v>
      </c>
      <c r="F1836" s="2" t="s">
        <v>131</v>
      </c>
      <c r="G1836" s="2" t="s">
        <v>139</v>
      </c>
      <c r="H1836" s="2" t="s">
        <v>32</v>
      </c>
      <c r="I1836" s="2">
        <v>48</v>
      </c>
      <c r="J1836" s="2" t="s">
        <v>56</v>
      </c>
      <c r="K1836" s="2" t="s">
        <v>4918</v>
      </c>
      <c r="L1836" s="2" t="s">
        <v>24</v>
      </c>
      <c r="M1836" s="2"/>
      <c r="N1836" s="2" t="s">
        <v>34</v>
      </c>
    </row>
    <row r="1837" spans="1:14" x14ac:dyDescent="0.25">
      <c r="A1837" s="2" t="s">
        <v>4919</v>
      </c>
      <c r="B1837" s="2" t="s">
        <v>4920</v>
      </c>
      <c r="C1837" s="2" t="s">
        <v>67</v>
      </c>
      <c r="D1837" s="2" t="s">
        <v>95</v>
      </c>
      <c r="E1837" s="2" t="s">
        <v>85</v>
      </c>
      <c r="F1837" s="2" t="s">
        <v>47</v>
      </c>
      <c r="G1837" s="2" t="s">
        <v>110</v>
      </c>
      <c r="H1837" s="2" t="s">
        <v>21</v>
      </c>
      <c r="I1837" s="2">
        <v>24</v>
      </c>
      <c r="J1837" s="2" t="s">
        <v>75</v>
      </c>
      <c r="K1837" s="2"/>
      <c r="L1837" s="2" t="s">
        <v>24</v>
      </c>
      <c r="M1837" s="2"/>
      <c r="N1837" s="2" t="s">
        <v>64</v>
      </c>
    </row>
    <row r="1838" spans="1:14" x14ac:dyDescent="0.25">
      <c r="A1838" s="2" t="s">
        <v>4921</v>
      </c>
      <c r="B1838" s="2" t="s">
        <v>4922</v>
      </c>
      <c r="C1838" s="2" t="s">
        <v>67</v>
      </c>
      <c r="D1838" s="2" t="s">
        <v>68</v>
      </c>
      <c r="E1838" s="2" t="s">
        <v>38</v>
      </c>
      <c r="F1838" s="2" t="s">
        <v>47</v>
      </c>
      <c r="G1838" s="2" t="s">
        <v>183</v>
      </c>
      <c r="H1838" s="2" t="s">
        <v>32</v>
      </c>
      <c r="I1838" s="2">
        <v>48</v>
      </c>
      <c r="J1838" s="2" t="s">
        <v>41</v>
      </c>
      <c r="K1838" s="2" t="s">
        <v>4923</v>
      </c>
      <c r="L1838" s="2" t="s">
        <v>24</v>
      </c>
      <c r="M1838" s="2">
        <v>4</v>
      </c>
      <c r="N1838" s="2" t="s">
        <v>43</v>
      </c>
    </row>
    <row r="1839" spans="1:14" x14ac:dyDescent="0.25">
      <c r="A1839" s="2" t="s">
        <v>4924</v>
      </c>
      <c r="B1839" s="2" t="s">
        <v>4925</v>
      </c>
      <c r="C1839" s="2" t="s">
        <v>67</v>
      </c>
      <c r="D1839" s="2" t="s">
        <v>68</v>
      </c>
      <c r="E1839" s="2" t="s">
        <v>90</v>
      </c>
      <c r="F1839" s="2" t="s">
        <v>39</v>
      </c>
      <c r="G1839" s="2" t="s">
        <v>91</v>
      </c>
      <c r="H1839" s="2" t="s">
        <v>21</v>
      </c>
      <c r="I1839" s="2">
        <v>24</v>
      </c>
      <c r="J1839" s="2" t="s">
        <v>486</v>
      </c>
      <c r="K1839" s="2" t="s">
        <v>4926</v>
      </c>
      <c r="L1839" s="2" t="s">
        <v>24</v>
      </c>
      <c r="M1839" s="2"/>
      <c r="N1839" s="2" t="s">
        <v>64</v>
      </c>
    </row>
    <row r="1840" spans="1:14" x14ac:dyDescent="0.25">
      <c r="A1840" s="2" t="s">
        <v>4927</v>
      </c>
      <c r="B1840" s="2" t="s">
        <v>4928</v>
      </c>
      <c r="C1840" s="2" t="s">
        <v>67</v>
      </c>
      <c r="D1840" s="2" t="s">
        <v>95</v>
      </c>
      <c r="E1840" s="2" t="s">
        <v>85</v>
      </c>
      <c r="F1840" s="2" t="s">
        <v>96</v>
      </c>
      <c r="G1840" s="2" t="s">
        <v>20</v>
      </c>
      <c r="H1840" s="2" t="s">
        <v>21</v>
      </c>
      <c r="I1840" s="2">
        <v>24</v>
      </c>
      <c r="J1840" s="2" t="s">
        <v>200</v>
      </c>
      <c r="K1840" s="2"/>
      <c r="L1840" s="2" t="s">
        <v>92</v>
      </c>
      <c r="M1840" s="2"/>
      <c r="N1840" s="2" t="s">
        <v>118</v>
      </c>
    </row>
    <row r="1841" spans="1:14" x14ac:dyDescent="0.25">
      <c r="A1841" s="2" t="s">
        <v>4929</v>
      </c>
      <c r="B1841" s="2" t="s">
        <v>4930</v>
      </c>
      <c r="C1841" s="2" t="s">
        <v>16</v>
      </c>
      <c r="D1841" s="2" t="s">
        <v>84</v>
      </c>
      <c r="E1841" s="2" t="s">
        <v>46</v>
      </c>
      <c r="F1841" s="2" t="s">
        <v>69</v>
      </c>
      <c r="G1841" s="2" t="s">
        <v>139</v>
      </c>
      <c r="H1841" s="2" t="s">
        <v>74</v>
      </c>
      <c r="I1841" s="2">
        <v>8</v>
      </c>
      <c r="J1841" s="2" t="s">
        <v>287</v>
      </c>
      <c r="K1841" s="2"/>
      <c r="L1841" s="2" t="s">
        <v>24</v>
      </c>
      <c r="M1841" s="2"/>
      <c r="N1841" s="2"/>
    </row>
    <row r="1842" spans="1:14" x14ac:dyDescent="0.25">
      <c r="A1842" s="2" t="s">
        <v>4931</v>
      </c>
      <c r="B1842" s="2" t="s">
        <v>4932</v>
      </c>
      <c r="C1842" s="2" t="s">
        <v>16</v>
      </c>
      <c r="D1842" s="2" t="s">
        <v>17</v>
      </c>
      <c r="E1842" s="2" t="s">
        <v>46</v>
      </c>
      <c r="F1842" s="2" t="s">
        <v>69</v>
      </c>
      <c r="G1842" s="2" t="s">
        <v>20</v>
      </c>
      <c r="H1842" s="2" t="s">
        <v>74</v>
      </c>
      <c r="I1842" s="2">
        <v>8</v>
      </c>
      <c r="J1842" s="2" t="s">
        <v>187</v>
      </c>
      <c r="K1842" s="2" t="s">
        <v>4933</v>
      </c>
      <c r="L1842" s="2" t="s">
        <v>24</v>
      </c>
      <c r="M1842" s="2">
        <v>4</v>
      </c>
      <c r="N1842" s="2" t="s">
        <v>34</v>
      </c>
    </row>
    <row r="1843" spans="1:14" x14ac:dyDescent="0.25">
      <c r="A1843" s="2" t="s">
        <v>4934</v>
      </c>
      <c r="B1843" s="2" t="s">
        <v>4935</v>
      </c>
      <c r="C1843" s="2" t="s">
        <v>53</v>
      </c>
      <c r="D1843" s="2" t="s">
        <v>771</v>
      </c>
      <c r="E1843" s="2" t="s">
        <v>38</v>
      </c>
      <c r="F1843" s="2" t="s">
        <v>96</v>
      </c>
      <c r="G1843" s="2" t="s">
        <v>31</v>
      </c>
      <c r="H1843" s="2" t="s">
        <v>74</v>
      </c>
      <c r="I1843" s="2">
        <v>8</v>
      </c>
      <c r="J1843" s="2" t="s">
        <v>22</v>
      </c>
      <c r="K1843" s="2" t="s">
        <v>4936</v>
      </c>
      <c r="L1843" s="2" t="s">
        <v>24</v>
      </c>
      <c r="M1843" s="2">
        <v>1</v>
      </c>
      <c r="N1843" s="2" t="s">
        <v>118</v>
      </c>
    </row>
    <row r="1844" spans="1:14" x14ac:dyDescent="0.25">
      <c r="A1844" s="2" t="s">
        <v>4937</v>
      </c>
      <c r="B1844" s="2" t="s">
        <v>4938</v>
      </c>
      <c r="C1844" s="2" t="s">
        <v>67</v>
      </c>
      <c r="D1844" s="2" t="s">
        <v>89</v>
      </c>
      <c r="E1844" s="2" t="s">
        <v>18</v>
      </c>
      <c r="F1844" s="2" t="s">
        <v>47</v>
      </c>
      <c r="G1844" s="2" t="s">
        <v>101</v>
      </c>
      <c r="H1844" s="2" t="s">
        <v>80</v>
      </c>
      <c r="I1844" s="2">
        <v>4</v>
      </c>
      <c r="J1844" s="2" t="s">
        <v>187</v>
      </c>
      <c r="K1844" s="2" t="s">
        <v>4939</v>
      </c>
      <c r="L1844" s="2" t="s">
        <v>24</v>
      </c>
      <c r="M1844" s="2">
        <v>3</v>
      </c>
      <c r="N1844" s="2" t="s">
        <v>34</v>
      </c>
    </row>
    <row r="1845" spans="1:14" x14ac:dyDescent="0.25">
      <c r="A1845" s="2" t="s">
        <v>4940</v>
      </c>
      <c r="B1845" s="2" t="s">
        <v>4941</v>
      </c>
      <c r="C1845" s="2" t="s">
        <v>67</v>
      </c>
      <c r="D1845" s="2" t="s">
        <v>601</v>
      </c>
      <c r="E1845" s="2" t="s">
        <v>148</v>
      </c>
      <c r="F1845" s="2" t="s">
        <v>55</v>
      </c>
      <c r="G1845" s="2" t="s">
        <v>97</v>
      </c>
      <c r="H1845" s="2" t="s">
        <v>80</v>
      </c>
      <c r="I1845" s="2">
        <v>4</v>
      </c>
      <c r="J1845" s="2" t="s">
        <v>41</v>
      </c>
      <c r="K1845" s="2" t="s">
        <v>4942</v>
      </c>
      <c r="L1845" s="2" t="s">
        <v>24</v>
      </c>
      <c r="M1845" s="2"/>
      <c r="N1845" s="2" t="s">
        <v>58</v>
      </c>
    </row>
    <row r="1846" spans="1:14" x14ac:dyDescent="0.25">
      <c r="A1846" s="2" t="s">
        <v>4943</v>
      </c>
      <c r="B1846" s="2" t="s">
        <v>4944</v>
      </c>
      <c r="C1846" s="2" t="s">
        <v>28</v>
      </c>
      <c r="D1846" s="2" t="s">
        <v>220</v>
      </c>
      <c r="E1846" s="2" t="s">
        <v>79</v>
      </c>
      <c r="F1846" s="2" t="s">
        <v>113</v>
      </c>
      <c r="G1846" s="2" t="s">
        <v>121</v>
      </c>
      <c r="H1846" s="2" t="s">
        <v>21</v>
      </c>
      <c r="I1846" s="2">
        <v>24</v>
      </c>
      <c r="J1846" s="2" t="s">
        <v>11</v>
      </c>
      <c r="K1846" s="2"/>
      <c r="L1846" s="2" t="s">
        <v>92</v>
      </c>
      <c r="M1846" s="2"/>
      <c r="N1846" s="2" t="s">
        <v>25</v>
      </c>
    </row>
    <row r="1847" spans="1:14" x14ac:dyDescent="0.25">
      <c r="A1847" s="2" t="s">
        <v>4945</v>
      </c>
      <c r="B1847" s="2" t="s">
        <v>4946</v>
      </c>
      <c r="C1847" s="2" t="s">
        <v>53</v>
      </c>
      <c r="D1847" s="2" t="s">
        <v>54</v>
      </c>
      <c r="E1847" s="2" t="s">
        <v>79</v>
      </c>
      <c r="F1847" s="2" t="s">
        <v>47</v>
      </c>
      <c r="G1847" s="2" t="s">
        <v>139</v>
      </c>
      <c r="H1847" s="2" t="s">
        <v>21</v>
      </c>
      <c r="I1847" s="2">
        <v>24</v>
      </c>
      <c r="J1847" s="2" t="s">
        <v>155</v>
      </c>
      <c r="K1847" s="2"/>
      <c r="L1847" s="2" t="s">
        <v>24</v>
      </c>
      <c r="M1847" s="2"/>
      <c r="N1847" s="2"/>
    </row>
    <row r="1848" spans="1:14" x14ac:dyDescent="0.25">
      <c r="A1848" s="2" t="s">
        <v>4947</v>
      </c>
      <c r="B1848" s="2" t="s">
        <v>4948</v>
      </c>
      <c r="C1848" s="2" t="s">
        <v>16</v>
      </c>
      <c r="D1848" s="2" t="s">
        <v>17</v>
      </c>
      <c r="E1848" s="2" t="s">
        <v>46</v>
      </c>
      <c r="F1848" s="2" t="s">
        <v>113</v>
      </c>
      <c r="G1848" s="2" t="s">
        <v>105</v>
      </c>
      <c r="H1848" s="2" t="s">
        <v>21</v>
      </c>
      <c r="I1848" s="2">
        <v>24</v>
      </c>
      <c r="J1848" s="2" t="s">
        <v>106</v>
      </c>
      <c r="K1848" s="2" t="s">
        <v>4949</v>
      </c>
      <c r="L1848" s="2" t="s">
        <v>24</v>
      </c>
      <c r="M1848" s="2"/>
      <c r="N1848" s="2" t="s">
        <v>43</v>
      </c>
    </row>
    <row r="1849" spans="1:14" x14ac:dyDescent="0.25">
      <c r="A1849" s="2" t="s">
        <v>4950</v>
      </c>
      <c r="B1849" s="2" t="s">
        <v>4951</v>
      </c>
      <c r="C1849" s="2" t="s">
        <v>16</v>
      </c>
      <c r="D1849" s="2" t="s">
        <v>84</v>
      </c>
      <c r="E1849" s="2" t="s">
        <v>38</v>
      </c>
      <c r="F1849" s="2" t="s">
        <v>47</v>
      </c>
      <c r="G1849" s="2" t="s">
        <v>110</v>
      </c>
      <c r="H1849" s="2" t="s">
        <v>32</v>
      </c>
      <c r="I1849" s="2">
        <v>48</v>
      </c>
      <c r="J1849" s="2" t="s">
        <v>75</v>
      </c>
      <c r="K1849" s="2" t="s">
        <v>4952</v>
      </c>
      <c r="L1849" s="2" t="s">
        <v>24</v>
      </c>
      <c r="M1849" s="2"/>
      <c r="N1849" s="2"/>
    </row>
    <row r="1850" spans="1:14" x14ac:dyDescent="0.25">
      <c r="A1850" s="2" t="s">
        <v>4953</v>
      </c>
      <c r="B1850" s="2" t="s">
        <v>4954</v>
      </c>
      <c r="C1850" s="2" t="s">
        <v>53</v>
      </c>
      <c r="D1850" s="2" t="s">
        <v>61</v>
      </c>
      <c r="E1850" s="2" t="s">
        <v>85</v>
      </c>
      <c r="F1850" s="2" t="s">
        <v>47</v>
      </c>
      <c r="G1850" s="2" t="s">
        <v>91</v>
      </c>
      <c r="H1850" s="2" t="s">
        <v>32</v>
      </c>
      <c r="I1850" s="2">
        <v>48</v>
      </c>
      <c r="J1850" s="2" t="s">
        <v>232</v>
      </c>
      <c r="K1850" s="2"/>
      <c r="L1850" s="2" t="s">
        <v>92</v>
      </c>
      <c r="M1850" s="2"/>
      <c r="N1850" s="2" t="s">
        <v>128</v>
      </c>
    </row>
    <row r="1851" spans="1:14" x14ac:dyDescent="0.25">
      <c r="A1851" s="2" t="s">
        <v>4955</v>
      </c>
      <c r="B1851" s="2" t="s">
        <v>4956</v>
      </c>
      <c r="C1851" s="2" t="s">
        <v>53</v>
      </c>
      <c r="D1851" s="2" t="s">
        <v>54</v>
      </c>
      <c r="E1851" s="2" t="s">
        <v>79</v>
      </c>
      <c r="F1851" s="2" t="s">
        <v>143</v>
      </c>
      <c r="G1851" s="2" t="s">
        <v>144</v>
      </c>
      <c r="H1851" s="2" t="s">
        <v>21</v>
      </c>
      <c r="I1851" s="2">
        <v>24</v>
      </c>
      <c r="J1851" s="2" t="s">
        <v>106</v>
      </c>
      <c r="K1851" s="2" t="s">
        <v>4957</v>
      </c>
      <c r="L1851" s="2" t="s">
        <v>24</v>
      </c>
      <c r="M1851" s="2"/>
      <c r="N1851" s="2" t="s">
        <v>64</v>
      </c>
    </row>
    <row r="1852" spans="1:14" x14ac:dyDescent="0.25">
      <c r="A1852" s="2" t="s">
        <v>696</v>
      </c>
      <c r="B1852" s="2" t="s">
        <v>697</v>
      </c>
      <c r="C1852" s="2" t="s">
        <v>67</v>
      </c>
      <c r="D1852" s="2" t="s">
        <v>68</v>
      </c>
      <c r="E1852" s="2" t="s">
        <v>79</v>
      </c>
      <c r="F1852" s="2" t="s">
        <v>55</v>
      </c>
      <c r="G1852" s="2" t="s">
        <v>135</v>
      </c>
      <c r="H1852" s="2" t="s">
        <v>74</v>
      </c>
      <c r="I1852" s="2">
        <v>8</v>
      </c>
      <c r="J1852" s="2" t="s">
        <v>155</v>
      </c>
      <c r="K1852" s="2"/>
      <c r="L1852" s="2" t="s">
        <v>24</v>
      </c>
      <c r="M1852" s="2"/>
      <c r="N1852" s="2" t="s">
        <v>118</v>
      </c>
    </row>
    <row r="1853" spans="1:14" x14ac:dyDescent="0.25">
      <c r="A1853" s="2" t="s">
        <v>4958</v>
      </c>
      <c r="B1853" s="2" t="s">
        <v>4959</v>
      </c>
      <c r="C1853" s="2" t="s">
        <v>28</v>
      </c>
      <c r="D1853" s="2" t="s">
        <v>29</v>
      </c>
      <c r="E1853" s="2" t="s">
        <v>90</v>
      </c>
      <c r="F1853" s="2" t="s">
        <v>39</v>
      </c>
      <c r="G1853" s="2" t="s">
        <v>20</v>
      </c>
      <c r="H1853" s="2" t="s">
        <v>74</v>
      </c>
      <c r="I1853" s="2">
        <v>8</v>
      </c>
      <c r="J1853" s="2" t="s">
        <v>200</v>
      </c>
      <c r="K1853" s="2"/>
      <c r="L1853" s="2" t="s">
        <v>92</v>
      </c>
      <c r="M1853" s="2"/>
      <c r="N1853" s="2" t="s">
        <v>128</v>
      </c>
    </row>
    <row r="1854" spans="1:14" x14ac:dyDescent="0.25">
      <c r="A1854" s="2" t="s">
        <v>4960</v>
      </c>
      <c r="B1854" s="2" t="s">
        <v>4961</v>
      </c>
      <c r="C1854" s="2" t="s">
        <v>16</v>
      </c>
      <c r="D1854" s="2" t="s">
        <v>84</v>
      </c>
      <c r="E1854" s="2" t="s">
        <v>85</v>
      </c>
      <c r="F1854" s="2" t="s">
        <v>30</v>
      </c>
      <c r="G1854" s="2" t="s">
        <v>70</v>
      </c>
      <c r="H1854" s="2" t="s">
        <v>21</v>
      </c>
      <c r="I1854" s="2">
        <v>24</v>
      </c>
      <c r="J1854" s="2" t="s">
        <v>48</v>
      </c>
      <c r="K1854" s="2" t="s">
        <v>4962</v>
      </c>
      <c r="L1854" s="2" t="s">
        <v>24</v>
      </c>
      <c r="M1854" s="2">
        <v>5</v>
      </c>
      <c r="N1854" s="2" t="s">
        <v>64</v>
      </c>
    </row>
    <row r="1855" spans="1:14" x14ac:dyDescent="0.25">
      <c r="A1855" s="2" t="s">
        <v>4963</v>
      </c>
      <c r="B1855" s="2" t="s">
        <v>4964</v>
      </c>
      <c r="C1855" s="2" t="s">
        <v>28</v>
      </c>
      <c r="D1855" s="2" t="s">
        <v>37</v>
      </c>
      <c r="E1855" s="2" t="s">
        <v>46</v>
      </c>
      <c r="F1855" s="2" t="s">
        <v>113</v>
      </c>
      <c r="G1855" s="2" t="s">
        <v>126</v>
      </c>
      <c r="H1855" s="2" t="s">
        <v>32</v>
      </c>
      <c r="I1855" s="2">
        <v>48</v>
      </c>
      <c r="J1855" s="2" t="s">
        <v>149</v>
      </c>
      <c r="K1855" s="2"/>
      <c r="L1855" s="2" t="s">
        <v>24</v>
      </c>
      <c r="M1855" s="2"/>
      <c r="N1855" s="2" t="s">
        <v>118</v>
      </c>
    </row>
    <row r="1856" spans="1:14" x14ac:dyDescent="0.25">
      <c r="A1856" s="2" t="s">
        <v>4965</v>
      </c>
      <c r="B1856" s="2" t="s">
        <v>4966</v>
      </c>
      <c r="C1856" s="2" t="s">
        <v>67</v>
      </c>
      <c r="D1856" s="2" t="s">
        <v>68</v>
      </c>
      <c r="E1856" s="2" t="s">
        <v>38</v>
      </c>
      <c r="F1856" s="2" t="s">
        <v>19</v>
      </c>
      <c r="G1856" s="2" t="s">
        <v>121</v>
      </c>
      <c r="H1856" s="2" t="s">
        <v>74</v>
      </c>
      <c r="I1856" s="2">
        <v>8</v>
      </c>
      <c r="J1856" s="2" t="s">
        <v>41</v>
      </c>
      <c r="K1856" s="2" t="s">
        <v>4967</v>
      </c>
      <c r="L1856" s="2" t="s">
        <v>24</v>
      </c>
      <c r="M1856" s="2">
        <v>5</v>
      </c>
      <c r="N1856" s="2" t="s">
        <v>64</v>
      </c>
    </row>
    <row r="1857" spans="1:14" x14ac:dyDescent="0.25">
      <c r="A1857" s="2" t="s">
        <v>4968</v>
      </c>
      <c r="B1857" s="2" t="s">
        <v>2847</v>
      </c>
      <c r="C1857" s="2" t="s">
        <v>67</v>
      </c>
      <c r="D1857" s="2" t="s">
        <v>95</v>
      </c>
      <c r="E1857" s="2" t="s">
        <v>79</v>
      </c>
      <c r="F1857" s="2" t="s">
        <v>30</v>
      </c>
      <c r="G1857" s="2" t="s">
        <v>135</v>
      </c>
      <c r="H1857" s="2" t="s">
        <v>32</v>
      </c>
      <c r="I1857" s="2">
        <v>48</v>
      </c>
      <c r="J1857" s="2" t="s">
        <v>48</v>
      </c>
      <c r="K1857" s="2" t="s">
        <v>4969</v>
      </c>
      <c r="L1857" s="2" t="s">
        <v>92</v>
      </c>
      <c r="M1857" s="2">
        <v>1</v>
      </c>
      <c r="N1857" s="2" t="s">
        <v>128</v>
      </c>
    </row>
    <row r="1858" spans="1:14" x14ac:dyDescent="0.25">
      <c r="A1858" s="2" t="s">
        <v>4970</v>
      </c>
      <c r="B1858" s="2" t="s">
        <v>4971</v>
      </c>
      <c r="C1858" s="2" t="s">
        <v>28</v>
      </c>
      <c r="D1858" s="2" t="s">
        <v>100</v>
      </c>
      <c r="E1858" s="2" t="s">
        <v>38</v>
      </c>
      <c r="F1858" s="2" t="s">
        <v>125</v>
      </c>
      <c r="G1858" s="2" t="s">
        <v>211</v>
      </c>
      <c r="H1858" s="2" t="s">
        <v>21</v>
      </c>
      <c r="I1858" s="2">
        <v>24</v>
      </c>
      <c r="J1858" s="2" t="s">
        <v>117</v>
      </c>
      <c r="K1858" s="2"/>
      <c r="L1858" s="2" t="s">
        <v>24</v>
      </c>
      <c r="M1858" s="2"/>
      <c r="N1858" s="2" t="s">
        <v>58</v>
      </c>
    </row>
    <row r="1859" spans="1:14" x14ac:dyDescent="0.25">
      <c r="A1859" s="2" t="s">
        <v>4972</v>
      </c>
      <c r="B1859" s="2" t="s">
        <v>4973</v>
      </c>
      <c r="C1859" s="2" t="s">
        <v>67</v>
      </c>
      <c r="D1859" s="2" t="s">
        <v>95</v>
      </c>
      <c r="E1859" s="2" t="s">
        <v>85</v>
      </c>
      <c r="F1859" s="2" t="s">
        <v>113</v>
      </c>
      <c r="G1859" s="2" t="s">
        <v>91</v>
      </c>
      <c r="H1859" s="2" t="s">
        <v>74</v>
      </c>
      <c r="I1859" s="2">
        <v>8</v>
      </c>
      <c r="J1859" s="2" t="s">
        <v>117</v>
      </c>
      <c r="K1859" s="2"/>
      <c r="L1859" s="2" t="s">
        <v>24</v>
      </c>
      <c r="M1859" s="2"/>
      <c r="N1859" s="2" t="s">
        <v>25</v>
      </c>
    </row>
    <row r="1860" spans="1:14" x14ac:dyDescent="0.25">
      <c r="A1860" s="2" t="s">
        <v>4974</v>
      </c>
      <c r="B1860" s="2" t="s">
        <v>4975</v>
      </c>
      <c r="C1860" s="2" t="s">
        <v>67</v>
      </c>
      <c r="D1860" s="2" t="s">
        <v>68</v>
      </c>
      <c r="E1860" s="2" t="s">
        <v>85</v>
      </c>
      <c r="F1860" s="2" t="s">
        <v>113</v>
      </c>
      <c r="G1860" s="2" t="s">
        <v>20</v>
      </c>
      <c r="H1860" s="2" t="s">
        <v>74</v>
      </c>
      <c r="I1860" s="2">
        <v>8</v>
      </c>
      <c r="J1860" s="2" t="s">
        <v>106</v>
      </c>
      <c r="K1860" s="2" t="s">
        <v>4976</v>
      </c>
      <c r="L1860" s="2" t="s">
        <v>24</v>
      </c>
      <c r="M1860" s="2"/>
      <c r="N1860" s="2" t="s">
        <v>64</v>
      </c>
    </row>
    <row r="1861" spans="1:14" x14ac:dyDescent="0.25">
      <c r="A1861" s="2" t="s">
        <v>4977</v>
      </c>
      <c r="B1861" s="2" t="s">
        <v>4978</v>
      </c>
      <c r="C1861" s="2" t="s">
        <v>16</v>
      </c>
      <c r="D1861" s="2" t="s">
        <v>84</v>
      </c>
      <c r="E1861" s="2" t="s">
        <v>46</v>
      </c>
      <c r="F1861" s="2" t="s">
        <v>62</v>
      </c>
      <c r="G1861" s="2" t="s">
        <v>158</v>
      </c>
      <c r="H1861" s="2" t="s">
        <v>80</v>
      </c>
      <c r="I1861" s="2">
        <v>4</v>
      </c>
      <c r="J1861" s="2" t="s">
        <v>106</v>
      </c>
      <c r="K1861" s="2" t="s">
        <v>4979</v>
      </c>
      <c r="L1861" s="2" t="s">
        <v>24</v>
      </c>
      <c r="M1861" s="2">
        <v>3</v>
      </c>
      <c r="N1861" s="2" t="s">
        <v>58</v>
      </c>
    </row>
    <row r="1862" spans="1:14" x14ac:dyDescent="0.25">
      <c r="A1862" s="2" t="s">
        <v>4980</v>
      </c>
      <c r="B1862" s="2" t="s">
        <v>4981</v>
      </c>
      <c r="C1862" s="2" t="s">
        <v>16</v>
      </c>
      <c r="D1862" s="2" t="s">
        <v>17</v>
      </c>
      <c r="E1862" s="2" t="s">
        <v>18</v>
      </c>
      <c r="F1862" s="2" t="s">
        <v>125</v>
      </c>
      <c r="G1862" s="2" t="s">
        <v>105</v>
      </c>
      <c r="H1862" s="2" t="s">
        <v>21</v>
      </c>
      <c r="I1862" s="2">
        <v>24</v>
      </c>
      <c r="J1862" s="2" t="s">
        <v>187</v>
      </c>
      <c r="K1862" s="2" t="s">
        <v>4982</v>
      </c>
      <c r="L1862" s="2" t="s">
        <v>24</v>
      </c>
      <c r="M1862" s="2">
        <v>5</v>
      </c>
      <c r="N1862" s="2" t="s">
        <v>58</v>
      </c>
    </row>
    <row r="1863" spans="1:14" x14ac:dyDescent="0.25">
      <c r="A1863" s="2" t="s">
        <v>4983</v>
      </c>
      <c r="B1863" s="2" t="s">
        <v>4984</v>
      </c>
      <c r="C1863" s="2" t="s">
        <v>16</v>
      </c>
      <c r="D1863" s="2" t="s">
        <v>84</v>
      </c>
      <c r="E1863" s="2" t="s">
        <v>85</v>
      </c>
      <c r="F1863" s="2" t="s">
        <v>30</v>
      </c>
      <c r="G1863" s="2" t="s">
        <v>20</v>
      </c>
      <c r="H1863" s="2" t="s">
        <v>74</v>
      </c>
      <c r="I1863" s="2">
        <v>8</v>
      </c>
      <c r="J1863" s="2" t="s">
        <v>149</v>
      </c>
      <c r="K1863" s="2"/>
      <c r="L1863" s="2" t="s">
        <v>24</v>
      </c>
      <c r="M1863" s="2"/>
      <c r="N1863" s="2" t="s">
        <v>118</v>
      </c>
    </row>
    <row r="1864" spans="1:14" x14ac:dyDescent="0.25">
      <c r="A1864" s="2" t="s">
        <v>4985</v>
      </c>
      <c r="B1864" s="2" t="s">
        <v>4986</v>
      </c>
      <c r="C1864" s="2" t="s">
        <v>67</v>
      </c>
      <c r="D1864" s="2" t="s">
        <v>601</v>
      </c>
      <c r="E1864" s="2" t="s">
        <v>38</v>
      </c>
      <c r="F1864" s="2" t="s">
        <v>62</v>
      </c>
      <c r="G1864" s="2" t="s">
        <v>105</v>
      </c>
      <c r="H1864" s="2" t="s">
        <v>32</v>
      </c>
      <c r="I1864" s="2">
        <v>48</v>
      </c>
      <c r="J1864" s="2" t="s">
        <v>48</v>
      </c>
      <c r="K1864" s="2" t="s">
        <v>4987</v>
      </c>
      <c r="L1864" s="2" t="s">
        <v>24</v>
      </c>
      <c r="M1864" s="2"/>
      <c r="N1864" s="2" t="s">
        <v>118</v>
      </c>
    </row>
    <row r="1865" spans="1:14" x14ac:dyDescent="0.25">
      <c r="A1865" s="2" t="s">
        <v>4988</v>
      </c>
      <c r="B1865" s="2" t="s">
        <v>4989</v>
      </c>
      <c r="C1865" s="2" t="s">
        <v>28</v>
      </c>
      <c r="D1865" s="2" t="s">
        <v>100</v>
      </c>
      <c r="E1865" s="2" t="s">
        <v>148</v>
      </c>
      <c r="F1865" s="2" t="s">
        <v>19</v>
      </c>
      <c r="G1865" s="2" t="s">
        <v>139</v>
      </c>
      <c r="H1865" s="2" t="s">
        <v>32</v>
      </c>
      <c r="I1865" s="2">
        <v>48</v>
      </c>
      <c r="J1865" s="2" t="s">
        <v>75</v>
      </c>
      <c r="K1865" s="2" t="s">
        <v>4990</v>
      </c>
      <c r="L1865" s="2" t="s">
        <v>24</v>
      </c>
      <c r="M1865" s="2"/>
      <c r="N1865" s="2" t="s">
        <v>25</v>
      </c>
    </row>
    <row r="1866" spans="1:14" x14ac:dyDescent="0.25">
      <c r="A1866" s="2" t="s">
        <v>4991</v>
      </c>
      <c r="B1866" s="2" t="s">
        <v>4992</v>
      </c>
      <c r="C1866" s="2" t="s">
        <v>28</v>
      </c>
      <c r="D1866" s="2" t="s">
        <v>37</v>
      </c>
      <c r="E1866" s="2" t="s">
        <v>85</v>
      </c>
      <c r="F1866" s="2" t="s">
        <v>62</v>
      </c>
      <c r="G1866" s="2" t="s">
        <v>144</v>
      </c>
      <c r="H1866" s="2" t="s">
        <v>21</v>
      </c>
      <c r="I1866" s="2">
        <v>24</v>
      </c>
      <c r="J1866" s="2" t="s">
        <v>155</v>
      </c>
      <c r="K1866" s="2"/>
      <c r="L1866" s="2" t="s">
        <v>24</v>
      </c>
      <c r="M1866" s="2"/>
      <c r="N1866" s="2" t="s">
        <v>25</v>
      </c>
    </row>
    <row r="1867" spans="1:14" x14ac:dyDescent="0.25">
      <c r="A1867" s="2" t="s">
        <v>4993</v>
      </c>
      <c r="B1867" s="2" t="s">
        <v>4994</v>
      </c>
      <c r="C1867" s="2" t="s">
        <v>67</v>
      </c>
      <c r="D1867" s="2" t="s">
        <v>68</v>
      </c>
      <c r="E1867" s="2" t="s">
        <v>38</v>
      </c>
      <c r="F1867" s="2" t="s">
        <v>47</v>
      </c>
      <c r="G1867" s="2" t="s">
        <v>20</v>
      </c>
      <c r="H1867" s="2" t="s">
        <v>80</v>
      </c>
      <c r="I1867" s="2">
        <v>4</v>
      </c>
      <c r="J1867" s="2" t="s">
        <v>155</v>
      </c>
      <c r="K1867" s="2"/>
      <c r="L1867" s="2" t="s">
        <v>24</v>
      </c>
      <c r="M1867" s="2"/>
      <c r="N1867" s="2" t="s">
        <v>43</v>
      </c>
    </row>
    <row r="1868" spans="1:14" x14ac:dyDescent="0.25">
      <c r="A1868" s="2" t="s">
        <v>4995</v>
      </c>
      <c r="B1868" s="2" t="s">
        <v>4996</v>
      </c>
      <c r="C1868" s="2" t="s">
        <v>53</v>
      </c>
      <c r="D1868" s="2" t="s">
        <v>54</v>
      </c>
      <c r="E1868" s="2" t="s">
        <v>18</v>
      </c>
      <c r="F1868" s="2" t="s">
        <v>125</v>
      </c>
      <c r="G1868" s="2" t="s">
        <v>70</v>
      </c>
      <c r="H1868" s="2" t="s">
        <v>32</v>
      </c>
      <c r="I1868" s="2">
        <v>48</v>
      </c>
      <c r="J1868" s="2" t="s">
        <v>41</v>
      </c>
      <c r="K1868" s="2" t="s">
        <v>4997</v>
      </c>
      <c r="L1868" s="2" t="s">
        <v>24</v>
      </c>
      <c r="M1868" s="2">
        <v>5</v>
      </c>
      <c r="N1868" s="2"/>
    </row>
    <row r="1869" spans="1:14" x14ac:dyDescent="0.25">
      <c r="A1869" s="2" t="s">
        <v>4998</v>
      </c>
      <c r="B1869" s="2" t="s">
        <v>4999</v>
      </c>
      <c r="C1869" s="2" t="s">
        <v>16</v>
      </c>
      <c r="D1869" s="2" t="s">
        <v>84</v>
      </c>
      <c r="E1869" s="2" t="s">
        <v>79</v>
      </c>
      <c r="F1869" s="2" t="s">
        <v>30</v>
      </c>
      <c r="G1869" s="2" t="s">
        <v>158</v>
      </c>
      <c r="H1869" s="2" t="s">
        <v>32</v>
      </c>
      <c r="I1869" s="2">
        <v>48</v>
      </c>
      <c r="J1869" s="2" t="s">
        <v>48</v>
      </c>
      <c r="K1869" s="2" t="s">
        <v>5000</v>
      </c>
      <c r="L1869" s="2" t="s">
        <v>24</v>
      </c>
      <c r="M1869" s="2">
        <v>4</v>
      </c>
      <c r="N1869" s="2"/>
    </row>
    <row r="1870" spans="1:14" x14ac:dyDescent="0.25">
      <c r="A1870" s="2" t="s">
        <v>5001</v>
      </c>
      <c r="B1870" s="2" t="s">
        <v>5002</v>
      </c>
      <c r="C1870" s="2" t="s">
        <v>67</v>
      </c>
      <c r="D1870" s="2" t="s">
        <v>95</v>
      </c>
      <c r="E1870" s="2" t="s">
        <v>18</v>
      </c>
      <c r="F1870" s="2" t="s">
        <v>62</v>
      </c>
      <c r="G1870" s="2" t="s">
        <v>135</v>
      </c>
      <c r="H1870" s="2" t="s">
        <v>21</v>
      </c>
      <c r="I1870" s="2">
        <v>24</v>
      </c>
      <c r="J1870" s="2" t="s">
        <v>22</v>
      </c>
      <c r="K1870" s="2" t="s">
        <v>5003</v>
      </c>
      <c r="L1870" s="2" t="s">
        <v>24</v>
      </c>
      <c r="M1870" s="2">
        <v>3</v>
      </c>
      <c r="N1870" s="2" t="s">
        <v>50</v>
      </c>
    </row>
    <row r="1871" spans="1:14" x14ac:dyDescent="0.25">
      <c r="A1871" s="2" t="s">
        <v>5004</v>
      </c>
      <c r="B1871" s="2" t="s">
        <v>5005</v>
      </c>
      <c r="C1871" s="2" t="s">
        <v>16</v>
      </c>
      <c r="D1871" s="2" t="s">
        <v>17</v>
      </c>
      <c r="E1871" s="2" t="s">
        <v>90</v>
      </c>
      <c r="F1871" s="2" t="s">
        <v>143</v>
      </c>
      <c r="G1871" s="2" t="s">
        <v>135</v>
      </c>
      <c r="H1871" s="2" t="s">
        <v>32</v>
      </c>
      <c r="I1871" s="2">
        <v>48</v>
      </c>
      <c r="J1871" s="2" t="s">
        <v>48</v>
      </c>
      <c r="K1871" s="2" t="s">
        <v>5006</v>
      </c>
      <c r="L1871" s="2" t="s">
        <v>24</v>
      </c>
      <c r="M1871" s="2"/>
      <c r="N1871" s="2" t="s">
        <v>64</v>
      </c>
    </row>
    <row r="1872" spans="1:14" x14ac:dyDescent="0.25">
      <c r="A1872" s="2" t="s">
        <v>5007</v>
      </c>
      <c r="B1872" s="2" t="s">
        <v>5008</v>
      </c>
      <c r="C1872" s="2" t="s">
        <v>28</v>
      </c>
      <c r="D1872" s="2" t="s">
        <v>37</v>
      </c>
      <c r="E1872" s="2" t="s">
        <v>46</v>
      </c>
      <c r="F1872" s="2" t="s">
        <v>69</v>
      </c>
      <c r="G1872" s="2" t="s">
        <v>121</v>
      </c>
      <c r="H1872" s="2" t="s">
        <v>21</v>
      </c>
      <c r="I1872" s="2">
        <v>24</v>
      </c>
      <c r="J1872" s="2" t="s">
        <v>486</v>
      </c>
      <c r="K1872" s="2" t="s">
        <v>5009</v>
      </c>
      <c r="L1872" s="2" t="s">
        <v>24</v>
      </c>
      <c r="M1872" s="2"/>
      <c r="N1872" s="2" t="s">
        <v>64</v>
      </c>
    </row>
    <row r="1873" spans="1:14" x14ac:dyDescent="0.25">
      <c r="A1873" s="2" t="s">
        <v>5010</v>
      </c>
      <c r="B1873" s="2" t="s">
        <v>5011</v>
      </c>
      <c r="C1873" s="2" t="s">
        <v>28</v>
      </c>
      <c r="D1873" s="2" t="s">
        <v>37</v>
      </c>
      <c r="E1873" s="2" t="s">
        <v>85</v>
      </c>
      <c r="F1873" s="2" t="s">
        <v>55</v>
      </c>
      <c r="G1873" s="2" t="s">
        <v>31</v>
      </c>
      <c r="H1873" s="2" t="s">
        <v>21</v>
      </c>
      <c r="I1873" s="2">
        <v>24</v>
      </c>
      <c r="J1873" s="2" t="s">
        <v>106</v>
      </c>
      <c r="K1873" s="2" t="s">
        <v>5012</v>
      </c>
      <c r="L1873" s="2" t="s">
        <v>24</v>
      </c>
      <c r="M1873" s="2">
        <v>1</v>
      </c>
      <c r="N1873" s="2" t="s">
        <v>128</v>
      </c>
    </row>
    <row r="1874" spans="1:14" x14ac:dyDescent="0.25">
      <c r="A1874" s="2" t="s">
        <v>5013</v>
      </c>
      <c r="B1874" s="2" t="s">
        <v>5014</v>
      </c>
      <c r="C1874" s="2" t="s">
        <v>53</v>
      </c>
      <c r="D1874" s="2" t="s">
        <v>54</v>
      </c>
      <c r="E1874" s="2" t="s">
        <v>18</v>
      </c>
      <c r="F1874" s="2" t="s">
        <v>125</v>
      </c>
      <c r="G1874" s="2" t="s">
        <v>20</v>
      </c>
      <c r="H1874" s="2" t="s">
        <v>74</v>
      </c>
      <c r="I1874" s="2">
        <v>8</v>
      </c>
      <c r="J1874" s="2" t="s">
        <v>149</v>
      </c>
      <c r="K1874" s="2"/>
      <c r="L1874" s="2" t="s">
        <v>24</v>
      </c>
      <c r="M1874" s="2"/>
      <c r="N1874" s="2"/>
    </row>
    <row r="1875" spans="1:14" x14ac:dyDescent="0.25">
      <c r="A1875" s="2" t="s">
        <v>5015</v>
      </c>
      <c r="B1875" s="2" t="s">
        <v>5016</v>
      </c>
      <c r="C1875" s="2" t="s">
        <v>28</v>
      </c>
      <c r="D1875" s="2" t="s">
        <v>37</v>
      </c>
      <c r="E1875" s="2" t="s">
        <v>38</v>
      </c>
      <c r="F1875" s="2" t="s">
        <v>39</v>
      </c>
      <c r="G1875" s="2" t="s">
        <v>144</v>
      </c>
      <c r="H1875" s="2" t="s">
        <v>74</v>
      </c>
      <c r="I1875" s="2">
        <v>8</v>
      </c>
      <c r="J1875" s="2" t="s">
        <v>41</v>
      </c>
      <c r="K1875" s="2" t="s">
        <v>5017</v>
      </c>
      <c r="L1875" s="2" t="s">
        <v>24</v>
      </c>
      <c r="M1875" s="2">
        <v>1</v>
      </c>
      <c r="N1875" s="2" t="s">
        <v>50</v>
      </c>
    </row>
    <row r="1876" spans="1:14" x14ac:dyDescent="0.25">
      <c r="A1876" s="2" t="s">
        <v>5018</v>
      </c>
      <c r="B1876" s="2" t="s">
        <v>5019</v>
      </c>
      <c r="C1876" s="2" t="s">
        <v>53</v>
      </c>
      <c r="D1876" s="2" t="s">
        <v>54</v>
      </c>
      <c r="E1876" s="2" t="s">
        <v>18</v>
      </c>
      <c r="F1876" s="2" t="s">
        <v>131</v>
      </c>
      <c r="G1876" s="2" t="s">
        <v>101</v>
      </c>
      <c r="H1876" s="2" t="s">
        <v>32</v>
      </c>
      <c r="I1876" s="2">
        <v>48</v>
      </c>
      <c r="J1876" s="2" t="s">
        <v>75</v>
      </c>
      <c r="K1876" s="2" t="s">
        <v>5020</v>
      </c>
      <c r="L1876" s="2" t="s">
        <v>24</v>
      </c>
      <c r="M1876" s="2"/>
      <c r="N1876" s="2" t="s">
        <v>128</v>
      </c>
    </row>
    <row r="1877" spans="1:14" x14ac:dyDescent="0.25">
      <c r="A1877" s="2" t="s">
        <v>5021</v>
      </c>
      <c r="B1877" s="2" t="s">
        <v>5022</v>
      </c>
      <c r="C1877" s="2" t="s">
        <v>28</v>
      </c>
      <c r="D1877" s="2" t="s">
        <v>100</v>
      </c>
      <c r="E1877" s="2" t="s">
        <v>18</v>
      </c>
      <c r="F1877" s="2" t="s">
        <v>19</v>
      </c>
      <c r="G1877" s="2" t="s">
        <v>97</v>
      </c>
      <c r="H1877" s="2" t="s">
        <v>32</v>
      </c>
      <c r="I1877" s="2">
        <v>48</v>
      </c>
      <c r="J1877" s="2" t="s">
        <v>232</v>
      </c>
      <c r="K1877" s="2"/>
      <c r="L1877" s="2" t="s">
        <v>92</v>
      </c>
      <c r="M1877" s="2"/>
      <c r="N1877" s="2" t="s">
        <v>50</v>
      </c>
    </row>
    <row r="1878" spans="1:14" x14ac:dyDescent="0.25">
      <c r="A1878" s="2" t="s">
        <v>5023</v>
      </c>
      <c r="B1878" s="2" t="s">
        <v>5024</v>
      </c>
      <c r="C1878" s="2" t="s">
        <v>53</v>
      </c>
      <c r="D1878" s="2" t="s">
        <v>61</v>
      </c>
      <c r="E1878" s="2" t="s">
        <v>46</v>
      </c>
      <c r="F1878" s="2" t="s">
        <v>69</v>
      </c>
      <c r="G1878" s="2" t="s">
        <v>70</v>
      </c>
      <c r="H1878" s="2" t="s">
        <v>21</v>
      </c>
      <c r="I1878" s="2">
        <v>24</v>
      </c>
      <c r="J1878" s="2" t="s">
        <v>41</v>
      </c>
      <c r="K1878" s="2" t="s">
        <v>5025</v>
      </c>
      <c r="L1878" s="2" t="s">
        <v>24</v>
      </c>
      <c r="M1878" s="2">
        <v>4</v>
      </c>
      <c r="N1878" s="2" t="s">
        <v>64</v>
      </c>
    </row>
    <row r="1879" spans="1:14" x14ac:dyDescent="0.25">
      <c r="A1879" s="2" t="s">
        <v>5026</v>
      </c>
      <c r="B1879" s="2" t="s">
        <v>5027</v>
      </c>
      <c r="C1879" s="2" t="s">
        <v>16</v>
      </c>
      <c r="D1879" s="2" t="s">
        <v>84</v>
      </c>
      <c r="E1879" s="2" t="s">
        <v>46</v>
      </c>
      <c r="F1879" s="2" t="s">
        <v>131</v>
      </c>
      <c r="G1879" s="2" t="s">
        <v>97</v>
      </c>
      <c r="H1879" s="2" t="s">
        <v>21</v>
      </c>
      <c r="I1879" s="2">
        <v>24</v>
      </c>
      <c r="J1879" s="2" t="s">
        <v>191</v>
      </c>
      <c r="K1879" s="2" t="s">
        <v>5028</v>
      </c>
      <c r="L1879" s="2" t="s">
        <v>24</v>
      </c>
      <c r="M1879" s="2"/>
      <c r="N1879" s="2" t="s">
        <v>43</v>
      </c>
    </row>
    <row r="1880" spans="1:14" x14ac:dyDescent="0.25">
      <c r="A1880" s="2" t="s">
        <v>5029</v>
      </c>
      <c r="B1880" s="2" t="s">
        <v>5030</v>
      </c>
      <c r="C1880" s="2" t="s">
        <v>28</v>
      </c>
      <c r="D1880" s="2" t="s">
        <v>100</v>
      </c>
      <c r="E1880" s="2" t="s">
        <v>18</v>
      </c>
      <c r="F1880" s="2" t="s">
        <v>30</v>
      </c>
      <c r="G1880" s="2" t="s">
        <v>179</v>
      </c>
      <c r="H1880" s="2" t="s">
        <v>21</v>
      </c>
      <c r="I1880" s="2">
        <v>24</v>
      </c>
      <c r="J1880" s="2" t="s">
        <v>22</v>
      </c>
      <c r="K1880" s="2" t="s">
        <v>5031</v>
      </c>
      <c r="L1880" s="2" t="s">
        <v>24</v>
      </c>
      <c r="M1880" s="2"/>
      <c r="N1880" s="2" t="s">
        <v>128</v>
      </c>
    </row>
    <row r="1881" spans="1:14" x14ac:dyDescent="0.25">
      <c r="A1881" s="2" t="s">
        <v>5032</v>
      </c>
      <c r="B1881" s="2" t="s">
        <v>5033</v>
      </c>
      <c r="C1881" s="2" t="s">
        <v>28</v>
      </c>
      <c r="D1881" s="2" t="s">
        <v>100</v>
      </c>
      <c r="E1881" s="2" t="s">
        <v>46</v>
      </c>
      <c r="F1881" s="2" t="s">
        <v>125</v>
      </c>
      <c r="G1881" s="2" t="s">
        <v>121</v>
      </c>
      <c r="H1881" s="2" t="s">
        <v>80</v>
      </c>
      <c r="I1881" s="2">
        <v>4</v>
      </c>
      <c r="J1881" s="2" t="s">
        <v>486</v>
      </c>
      <c r="K1881" s="2" t="s">
        <v>5034</v>
      </c>
      <c r="L1881" s="2" t="s">
        <v>24</v>
      </c>
      <c r="M1881" s="2"/>
      <c r="N1881" s="2" t="s">
        <v>25</v>
      </c>
    </row>
    <row r="1882" spans="1:14" x14ac:dyDescent="0.25">
      <c r="A1882" s="2" t="s">
        <v>5035</v>
      </c>
      <c r="B1882" s="2" t="s">
        <v>5036</v>
      </c>
      <c r="C1882" s="2" t="s">
        <v>28</v>
      </c>
      <c r="D1882" s="2" t="s">
        <v>100</v>
      </c>
      <c r="E1882" s="2" t="s">
        <v>90</v>
      </c>
      <c r="F1882" s="2" t="s">
        <v>62</v>
      </c>
      <c r="G1882" s="2" t="s">
        <v>126</v>
      </c>
      <c r="H1882" s="2" t="s">
        <v>21</v>
      </c>
      <c r="I1882" s="2">
        <v>24</v>
      </c>
      <c r="J1882" s="2" t="s">
        <v>232</v>
      </c>
      <c r="K1882" s="2"/>
      <c r="L1882" s="2" t="s">
        <v>92</v>
      </c>
      <c r="M1882" s="2"/>
      <c r="N1882" s="2" t="s">
        <v>50</v>
      </c>
    </row>
    <row r="1883" spans="1:14" x14ac:dyDescent="0.25">
      <c r="A1883" s="2" t="s">
        <v>5037</v>
      </c>
      <c r="B1883" s="2" t="s">
        <v>5038</v>
      </c>
      <c r="C1883" s="2" t="s">
        <v>53</v>
      </c>
      <c r="D1883" s="2" t="s">
        <v>61</v>
      </c>
      <c r="E1883" s="2" t="s">
        <v>46</v>
      </c>
      <c r="F1883" s="2" t="s">
        <v>30</v>
      </c>
      <c r="G1883" s="2" t="s">
        <v>158</v>
      </c>
      <c r="H1883" s="2" t="s">
        <v>74</v>
      </c>
      <c r="I1883" s="2">
        <v>8</v>
      </c>
      <c r="J1883" s="2" t="s">
        <v>155</v>
      </c>
      <c r="K1883" s="2"/>
      <c r="L1883" s="2" t="s">
        <v>24</v>
      </c>
      <c r="M1883" s="2"/>
      <c r="N1883" s="2" t="s">
        <v>50</v>
      </c>
    </row>
    <row r="1884" spans="1:14" x14ac:dyDescent="0.25">
      <c r="A1884" s="2" t="s">
        <v>5039</v>
      </c>
      <c r="B1884" s="2" t="s">
        <v>5040</v>
      </c>
      <c r="C1884" s="2" t="s">
        <v>53</v>
      </c>
      <c r="D1884" s="2" t="s">
        <v>61</v>
      </c>
      <c r="E1884" s="2" t="s">
        <v>18</v>
      </c>
      <c r="F1884" s="2" t="s">
        <v>19</v>
      </c>
      <c r="G1884" s="2" t="s">
        <v>110</v>
      </c>
      <c r="H1884" s="2" t="s">
        <v>74</v>
      </c>
      <c r="I1884" s="2">
        <v>8</v>
      </c>
      <c r="J1884" s="2" t="s">
        <v>41</v>
      </c>
      <c r="K1884" s="2" t="s">
        <v>5041</v>
      </c>
      <c r="L1884" s="2" t="s">
        <v>24</v>
      </c>
      <c r="M1884" s="2">
        <v>5</v>
      </c>
      <c r="N1884" s="2" t="s">
        <v>43</v>
      </c>
    </row>
    <row r="1885" spans="1:14" x14ac:dyDescent="0.25">
      <c r="A1885" s="2" t="s">
        <v>5042</v>
      </c>
      <c r="B1885" s="2" t="s">
        <v>5043</v>
      </c>
      <c r="C1885" s="2" t="s">
        <v>53</v>
      </c>
      <c r="D1885" s="2" t="s">
        <v>162</v>
      </c>
      <c r="E1885" s="2" t="s">
        <v>85</v>
      </c>
      <c r="F1885" s="2" t="s">
        <v>62</v>
      </c>
      <c r="G1885" s="2" t="s">
        <v>40</v>
      </c>
      <c r="H1885" s="2" t="s">
        <v>21</v>
      </c>
      <c r="I1885" s="2">
        <v>24</v>
      </c>
      <c r="J1885" s="2" t="s">
        <v>22</v>
      </c>
      <c r="K1885" s="2" t="s">
        <v>5044</v>
      </c>
      <c r="L1885" s="2" t="s">
        <v>24</v>
      </c>
      <c r="M1885" s="2"/>
      <c r="N1885" s="2"/>
    </row>
    <row r="1886" spans="1:14" x14ac:dyDescent="0.25">
      <c r="A1886" s="2" t="s">
        <v>5045</v>
      </c>
      <c r="B1886" s="2" t="s">
        <v>5046</v>
      </c>
      <c r="C1886" s="2" t="s">
        <v>53</v>
      </c>
      <c r="D1886" s="2" t="s">
        <v>54</v>
      </c>
      <c r="E1886" s="2" t="s">
        <v>148</v>
      </c>
      <c r="F1886" s="2" t="s">
        <v>62</v>
      </c>
      <c r="G1886" s="2" t="s">
        <v>20</v>
      </c>
      <c r="H1886" s="2" t="s">
        <v>32</v>
      </c>
      <c r="I1886" s="2">
        <v>48</v>
      </c>
      <c r="J1886" s="2" t="s">
        <v>106</v>
      </c>
      <c r="K1886" s="2" t="s">
        <v>5047</v>
      </c>
      <c r="L1886" s="2" t="s">
        <v>24</v>
      </c>
      <c r="M1886" s="2"/>
      <c r="N1886" s="2" t="s">
        <v>64</v>
      </c>
    </row>
    <row r="1887" spans="1:14" x14ac:dyDescent="0.25">
      <c r="A1887" s="2" t="s">
        <v>5048</v>
      </c>
      <c r="B1887" s="2" t="s">
        <v>5049</v>
      </c>
      <c r="C1887" s="2" t="s">
        <v>28</v>
      </c>
      <c r="D1887" s="2" t="s">
        <v>37</v>
      </c>
      <c r="E1887" s="2" t="s">
        <v>18</v>
      </c>
      <c r="F1887" s="2" t="s">
        <v>62</v>
      </c>
      <c r="G1887" s="2" t="s">
        <v>135</v>
      </c>
      <c r="H1887" s="2" t="s">
        <v>74</v>
      </c>
      <c r="I1887" s="2">
        <v>8</v>
      </c>
      <c r="J1887" s="2" t="s">
        <v>41</v>
      </c>
      <c r="K1887" s="2" t="s">
        <v>5050</v>
      </c>
      <c r="L1887" s="2" t="s">
        <v>92</v>
      </c>
      <c r="M1887" s="2">
        <v>5</v>
      </c>
      <c r="N1887" s="2"/>
    </row>
    <row r="1888" spans="1:14" x14ac:dyDescent="0.25">
      <c r="A1888" s="2" t="s">
        <v>5051</v>
      </c>
      <c r="B1888" s="2" t="s">
        <v>5052</v>
      </c>
      <c r="C1888" s="2" t="s">
        <v>16</v>
      </c>
      <c r="D1888" s="2" t="s">
        <v>17</v>
      </c>
      <c r="E1888" s="2" t="s">
        <v>38</v>
      </c>
      <c r="F1888" s="2" t="s">
        <v>62</v>
      </c>
      <c r="G1888" s="2" t="s">
        <v>110</v>
      </c>
      <c r="H1888" s="2" t="s">
        <v>21</v>
      </c>
      <c r="I1888" s="2">
        <v>24</v>
      </c>
      <c r="J1888" s="2" t="s">
        <v>200</v>
      </c>
      <c r="K1888" s="2"/>
      <c r="L1888" s="2" t="s">
        <v>92</v>
      </c>
      <c r="M1888" s="2"/>
      <c r="N1888" s="2" t="s">
        <v>25</v>
      </c>
    </row>
    <row r="1889" spans="1:14" x14ac:dyDescent="0.25">
      <c r="A1889" s="2" t="s">
        <v>5053</v>
      </c>
      <c r="B1889" s="2" t="s">
        <v>5054</v>
      </c>
      <c r="C1889" s="2" t="s">
        <v>67</v>
      </c>
      <c r="D1889" s="2" t="s">
        <v>95</v>
      </c>
      <c r="E1889" s="2" t="s">
        <v>46</v>
      </c>
      <c r="F1889" s="2" t="s">
        <v>125</v>
      </c>
      <c r="G1889" s="2" t="s">
        <v>211</v>
      </c>
      <c r="H1889" s="2" t="s">
        <v>32</v>
      </c>
      <c r="I1889" s="2">
        <v>48</v>
      </c>
      <c r="J1889" s="2" t="s">
        <v>33</v>
      </c>
      <c r="K1889" s="2"/>
      <c r="L1889" s="2" t="s">
        <v>24</v>
      </c>
      <c r="M1889" s="2"/>
      <c r="N1889" s="2"/>
    </row>
    <row r="1890" spans="1:14" x14ac:dyDescent="0.25">
      <c r="A1890" s="2" t="s">
        <v>5055</v>
      </c>
      <c r="B1890" s="2" t="s">
        <v>5056</v>
      </c>
      <c r="C1890" s="2" t="s">
        <v>28</v>
      </c>
      <c r="D1890" s="2" t="s">
        <v>37</v>
      </c>
      <c r="E1890" s="2" t="s">
        <v>148</v>
      </c>
      <c r="F1890" s="2" t="s">
        <v>113</v>
      </c>
      <c r="G1890" s="2" t="s">
        <v>121</v>
      </c>
      <c r="H1890" s="2" t="s">
        <v>74</v>
      </c>
      <c r="I1890" s="2">
        <v>8</v>
      </c>
      <c r="J1890" s="2" t="s">
        <v>232</v>
      </c>
      <c r="K1890" s="2"/>
      <c r="L1890" s="2" t="s">
        <v>92</v>
      </c>
      <c r="M1890" s="2"/>
      <c r="N1890" s="2" t="s">
        <v>34</v>
      </c>
    </row>
    <row r="1891" spans="1:14" x14ac:dyDescent="0.25">
      <c r="A1891" s="2" t="s">
        <v>5057</v>
      </c>
      <c r="B1891" s="2" t="s">
        <v>5058</v>
      </c>
      <c r="C1891" s="2" t="s">
        <v>53</v>
      </c>
      <c r="D1891" s="2" t="s">
        <v>61</v>
      </c>
      <c r="E1891" s="2" t="s">
        <v>46</v>
      </c>
      <c r="F1891" s="2" t="s">
        <v>19</v>
      </c>
      <c r="G1891" s="2" t="s">
        <v>105</v>
      </c>
      <c r="H1891" s="2" t="s">
        <v>74</v>
      </c>
      <c r="I1891" s="2">
        <v>8</v>
      </c>
      <c r="J1891" s="2" t="s">
        <v>187</v>
      </c>
      <c r="K1891" s="2" t="s">
        <v>5059</v>
      </c>
      <c r="L1891" s="2" t="s">
        <v>24</v>
      </c>
      <c r="M1891" s="2">
        <v>1</v>
      </c>
      <c r="N1891" s="2" t="s">
        <v>34</v>
      </c>
    </row>
    <row r="1892" spans="1:14" x14ac:dyDescent="0.25">
      <c r="A1892" s="2" t="s">
        <v>5060</v>
      </c>
      <c r="B1892" s="2" t="s">
        <v>5061</v>
      </c>
      <c r="C1892" s="2" t="s">
        <v>16</v>
      </c>
      <c r="D1892" s="2" t="s">
        <v>84</v>
      </c>
      <c r="E1892" s="2" t="s">
        <v>79</v>
      </c>
      <c r="F1892" s="2" t="s">
        <v>143</v>
      </c>
      <c r="G1892" s="2" t="s">
        <v>121</v>
      </c>
      <c r="H1892" s="2" t="s">
        <v>21</v>
      </c>
      <c r="I1892" s="2">
        <v>24</v>
      </c>
      <c r="J1892" s="2" t="s">
        <v>22</v>
      </c>
      <c r="K1892" s="2" t="s">
        <v>5062</v>
      </c>
      <c r="L1892" s="2" t="s">
        <v>24</v>
      </c>
      <c r="M1892" s="2">
        <v>5</v>
      </c>
      <c r="N1892" s="2"/>
    </row>
    <row r="1893" spans="1:14" x14ac:dyDescent="0.25">
      <c r="A1893" s="2" t="s">
        <v>5063</v>
      </c>
      <c r="B1893" s="2" t="s">
        <v>5064</v>
      </c>
      <c r="C1893" s="2" t="s">
        <v>53</v>
      </c>
      <c r="D1893" s="2" t="s">
        <v>61</v>
      </c>
      <c r="E1893" s="2" t="s">
        <v>18</v>
      </c>
      <c r="F1893" s="2" t="s">
        <v>55</v>
      </c>
      <c r="G1893" s="2" t="s">
        <v>158</v>
      </c>
      <c r="H1893" s="2" t="s">
        <v>74</v>
      </c>
      <c r="I1893" s="2">
        <v>8</v>
      </c>
      <c r="J1893" s="2" t="s">
        <v>106</v>
      </c>
      <c r="K1893" s="2" t="s">
        <v>5065</v>
      </c>
      <c r="L1893" s="2" t="s">
        <v>24</v>
      </c>
      <c r="M1893" s="2"/>
      <c r="N1893" s="2" t="s">
        <v>58</v>
      </c>
    </row>
    <row r="1894" spans="1:14" x14ac:dyDescent="0.25">
      <c r="A1894" s="2" t="s">
        <v>5066</v>
      </c>
      <c r="B1894" s="2" t="s">
        <v>5067</v>
      </c>
      <c r="C1894" s="2" t="s">
        <v>16</v>
      </c>
      <c r="D1894" s="2" t="s">
        <v>17</v>
      </c>
      <c r="E1894" s="2" t="s">
        <v>79</v>
      </c>
      <c r="F1894" s="2" t="s">
        <v>143</v>
      </c>
      <c r="G1894" s="2" t="s">
        <v>126</v>
      </c>
      <c r="H1894" s="2" t="s">
        <v>21</v>
      </c>
      <c r="I1894" s="2">
        <v>24</v>
      </c>
      <c r="J1894" s="2" t="s">
        <v>187</v>
      </c>
      <c r="K1894" s="2" t="s">
        <v>5068</v>
      </c>
      <c r="L1894" s="2" t="s">
        <v>24</v>
      </c>
      <c r="M1894" s="2"/>
      <c r="N1894" s="2" t="s">
        <v>58</v>
      </c>
    </row>
    <row r="1895" spans="1:14" x14ac:dyDescent="0.25">
      <c r="A1895" s="2" t="s">
        <v>5069</v>
      </c>
      <c r="B1895" s="2" t="s">
        <v>5070</v>
      </c>
      <c r="C1895" s="2" t="s">
        <v>53</v>
      </c>
      <c r="D1895" s="2" t="s">
        <v>61</v>
      </c>
      <c r="E1895" s="2" t="s">
        <v>90</v>
      </c>
      <c r="F1895" s="2" t="s">
        <v>55</v>
      </c>
      <c r="G1895" s="2" t="s">
        <v>110</v>
      </c>
      <c r="H1895" s="2" t="s">
        <v>21</v>
      </c>
      <c r="I1895" s="2">
        <v>24</v>
      </c>
      <c r="J1895" s="2" t="s">
        <v>106</v>
      </c>
      <c r="K1895" s="2" t="s">
        <v>5071</v>
      </c>
      <c r="L1895" s="2" t="s">
        <v>24</v>
      </c>
      <c r="M1895" s="2">
        <v>1</v>
      </c>
      <c r="N1895" s="2" t="s">
        <v>34</v>
      </c>
    </row>
    <row r="1896" spans="1:14" x14ac:dyDescent="0.25">
      <c r="A1896" s="2" t="s">
        <v>5072</v>
      </c>
      <c r="B1896" s="2" t="s">
        <v>5073</v>
      </c>
      <c r="C1896" s="2" t="s">
        <v>16</v>
      </c>
      <c r="D1896" s="2" t="s">
        <v>84</v>
      </c>
      <c r="E1896" s="2" t="s">
        <v>18</v>
      </c>
      <c r="F1896" s="2" t="s">
        <v>47</v>
      </c>
      <c r="G1896" s="2" t="s">
        <v>20</v>
      </c>
      <c r="H1896" s="2" t="s">
        <v>74</v>
      </c>
      <c r="I1896" s="2">
        <v>8</v>
      </c>
      <c r="J1896" s="2" t="s">
        <v>75</v>
      </c>
      <c r="K1896" s="2" t="s">
        <v>5074</v>
      </c>
      <c r="L1896" s="2" t="s">
        <v>24</v>
      </c>
      <c r="M1896" s="2">
        <v>5</v>
      </c>
      <c r="N1896" s="2" t="s">
        <v>118</v>
      </c>
    </row>
    <row r="1897" spans="1:14" x14ac:dyDescent="0.25">
      <c r="A1897" s="2" t="s">
        <v>5075</v>
      </c>
      <c r="B1897" s="2" t="s">
        <v>5076</v>
      </c>
      <c r="C1897" s="2" t="s">
        <v>53</v>
      </c>
      <c r="D1897" s="2" t="s">
        <v>61</v>
      </c>
      <c r="E1897" s="2" t="s">
        <v>38</v>
      </c>
      <c r="F1897" s="2" t="s">
        <v>143</v>
      </c>
      <c r="G1897" s="2" t="s">
        <v>135</v>
      </c>
      <c r="H1897" s="2" t="s">
        <v>74</v>
      </c>
      <c r="I1897" s="2">
        <v>8</v>
      </c>
      <c r="J1897" s="2" t="s">
        <v>187</v>
      </c>
      <c r="K1897" s="2" t="s">
        <v>5077</v>
      </c>
      <c r="L1897" s="2" t="s">
        <v>24</v>
      </c>
      <c r="M1897" s="2"/>
      <c r="N1897" s="2" t="s">
        <v>58</v>
      </c>
    </row>
    <row r="1898" spans="1:14" x14ac:dyDescent="0.25">
      <c r="A1898" s="2" t="s">
        <v>5078</v>
      </c>
      <c r="B1898" s="2" t="s">
        <v>5079</v>
      </c>
      <c r="C1898" s="2" t="s">
        <v>67</v>
      </c>
      <c r="D1898" s="2" t="s">
        <v>601</v>
      </c>
      <c r="E1898" s="2" t="s">
        <v>148</v>
      </c>
      <c r="F1898" s="2" t="s">
        <v>143</v>
      </c>
      <c r="G1898" s="2" t="s">
        <v>20</v>
      </c>
      <c r="H1898" s="2" t="s">
        <v>74</v>
      </c>
      <c r="I1898" s="2">
        <v>8</v>
      </c>
      <c r="J1898" s="2" t="s">
        <v>48</v>
      </c>
      <c r="K1898" s="2" t="s">
        <v>5080</v>
      </c>
      <c r="L1898" s="2" t="s">
        <v>24</v>
      </c>
      <c r="M1898" s="2">
        <v>5</v>
      </c>
      <c r="N1898" s="2"/>
    </row>
    <row r="1899" spans="1:14" x14ac:dyDescent="0.25">
      <c r="A1899" s="2" t="s">
        <v>5081</v>
      </c>
      <c r="B1899" s="2" t="s">
        <v>5082</v>
      </c>
      <c r="C1899" s="2" t="s">
        <v>53</v>
      </c>
      <c r="D1899" s="2" t="s">
        <v>61</v>
      </c>
      <c r="E1899" s="2" t="s">
        <v>18</v>
      </c>
      <c r="F1899" s="2" t="s">
        <v>47</v>
      </c>
      <c r="G1899" s="2" t="s">
        <v>135</v>
      </c>
      <c r="H1899" s="2" t="s">
        <v>21</v>
      </c>
      <c r="I1899" s="2">
        <v>24</v>
      </c>
      <c r="J1899" s="2" t="s">
        <v>187</v>
      </c>
      <c r="K1899" s="2" t="s">
        <v>5083</v>
      </c>
      <c r="L1899" s="2" t="s">
        <v>24</v>
      </c>
      <c r="M1899" s="2"/>
      <c r="N1899" s="2" t="s">
        <v>43</v>
      </c>
    </row>
    <row r="1900" spans="1:14" x14ac:dyDescent="0.25">
      <c r="A1900" s="2" t="s">
        <v>5084</v>
      </c>
      <c r="B1900" s="2" t="s">
        <v>5085</v>
      </c>
      <c r="C1900" s="2" t="s">
        <v>28</v>
      </c>
      <c r="D1900" s="2" t="s">
        <v>37</v>
      </c>
      <c r="E1900" s="2" t="s">
        <v>79</v>
      </c>
      <c r="F1900" s="2" t="s">
        <v>55</v>
      </c>
      <c r="G1900" s="2" t="s">
        <v>158</v>
      </c>
      <c r="H1900" s="2" t="s">
        <v>21</v>
      </c>
      <c r="I1900" s="2">
        <v>24</v>
      </c>
      <c r="J1900" s="2" t="s">
        <v>41</v>
      </c>
      <c r="K1900" s="2" t="s">
        <v>5086</v>
      </c>
      <c r="L1900" s="2" t="s">
        <v>24</v>
      </c>
      <c r="M1900" s="2">
        <v>4</v>
      </c>
      <c r="N1900" s="2" t="s">
        <v>34</v>
      </c>
    </row>
    <row r="1901" spans="1:14" x14ac:dyDescent="0.25">
      <c r="A1901" s="2" t="s">
        <v>5087</v>
      </c>
      <c r="B1901" s="2" t="s">
        <v>5088</v>
      </c>
      <c r="C1901" s="2" t="s">
        <v>67</v>
      </c>
      <c r="D1901" s="2" t="s">
        <v>95</v>
      </c>
      <c r="E1901" s="2" t="s">
        <v>90</v>
      </c>
      <c r="F1901" s="2" t="s">
        <v>47</v>
      </c>
      <c r="G1901" s="2" t="s">
        <v>97</v>
      </c>
      <c r="H1901" s="2" t="s">
        <v>21</v>
      </c>
      <c r="I1901" s="2">
        <v>24</v>
      </c>
      <c r="J1901" s="2" t="s">
        <v>145</v>
      </c>
      <c r="K1901" s="2"/>
      <c r="L1901" s="2" t="s">
        <v>24</v>
      </c>
      <c r="M1901" s="2"/>
      <c r="N1901" s="2" t="s">
        <v>118</v>
      </c>
    </row>
    <row r="1902" spans="1:14" x14ac:dyDescent="0.25">
      <c r="A1902" s="2" t="s">
        <v>5089</v>
      </c>
      <c r="B1902" s="2" t="s">
        <v>5090</v>
      </c>
      <c r="C1902" s="2" t="s">
        <v>28</v>
      </c>
      <c r="D1902" s="2" t="s">
        <v>29</v>
      </c>
      <c r="E1902" s="2" t="s">
        <v>18</v>
      </c>
      <c r="F1902" s="2" t="s">
        <v>96</v>
      </c>
      <c r="G1902" s="2" t="s">
        <v>135</v>
      </c>
      <c r="H1902" s="2" t="s">
        <v>32</v>
      </c>
      <c r="I1902" s="2">
        <v>48</v>
      </c>
      <c r="J1902" s="2" t="s">
        <v>200</v>
      </c>
      <c r="K1902" s="2"/>
      <c r="L1902" s="2" t="s">
        <v>92</v>
      </c>
      <c r="M1902" s="2"/>
      <c r="N1902" s="2" t="s">
        <v>34</v>
      </c>
    </row>
    <row r="1903" spans="1:14" x14ac:dyDescent="0.25">
      <c r="A1903" s="2" t="s">
        <v>5091</v>
      </c>
      <c r="B1903" s="2" t="s">
        <v>5092</v>
      </c>
      <c r="C1903" s="2" t="s">
        <v>53</v>
      </c>
      <c r="D1903" s="2" t="s">
        <v>54</v>
      </c>
      <c r="E1903" s="2" t="s">
        <v>79</v>
      </c>
      <c r="F1903" s="2" t="s">
        <v>62</v>
      </c>
      <c r="G1903" s="2" t="s">
        <v>110</v>
      </c>
      <c r="H1903" s="2" t="s">
        <v>21</v>
      </c>
      <c r="I1903" s="2">
        <v>24</v>
      </c>
      <c r="J1903" s="2" t="s">
        <v>41</v>
      </c>
      <c r="K1903" s="2" t="s">
        <v>5093</v>
      </c>
      <c r="L1903" s="2" t="s">
        <v>24</v>
      </c>
      <c r="M1903" s="2">
        <v>5</v>
      </c>
      <c r="N1903" s="2" t="s">
        <v>128</v>
      </c>
    </row>
    <row r="1904" spans="1:14" x14ac:dyDescent="0.25">
      <c r="A1904" s="2" t="s">
        <v>5094</v>
      </c>
      <c r="B1904" s="2" t="s">
        <v>5095</v>
      </c>
      <c r="C1904" s="2" t="s">
        <v>53</v>
      </c>
      <c r="D1904" s="2" t="s">
        <v>54</v>
      </c>
      <c r="E1904" s="2" t="s">
        <v>79</v>
      </c>
      <c r="F1904" s="2" t="s">
        <v>131</v>
      </c>
      <c r="G1904" s="2" t="s">
        <v>139</v>
      </c>
      <c r="H1904" s="2" t="s">
        <v>80</v>
      </c>
      <c r="I1904" s="2">
        <v>4</v>
      </c>
      <c r="J1904" s="2" t="s">
        <v>287</v>
      </c>
      <c r="K1904" s="2"/>
      <c r="L1904" s="2" t="s">
        <v>24</v>
      </c>
      <c r="M1904" s="2"/>
      <c r="N1904" s="2" t="s">
        <v>43</v>
      </c>
    </row>
    <row r="1905" spans="1:14" x14ac:dyDescent="0.25">
      <c r="A1905" s="2" t="s">
        <v>5096</v>
      </c>
      <c r="B1905" s="2" t="s">
        <v>5097</v>
      </c>
      <c r="C1905" s="2" t="s">
        <v>28</v>
      </c>
      <c r="D1905" s="2" t="s">
        <v>37</v>
      </c>
      <c r="E1905" s="2" t="s">
        <v>79</v>
      </c>
      <c r="F1905" s="2" t="s">
        <v>39</v>
      </c>
      <c r="G1905" s="2" t="s">
        <v>158</v>
      </c>
      <c r="H1905" s="2" t="s">
        <v>32</v>
      </c>
      <c r="I1905" s="2">
        <v>48</v>
      </c>
      <c r="J1905" s="2" t="s">
        <v>106</v>
      </c>
      <c r="K1905" s="2" t="s">
        <v>5098</v>
      </c>
      <c r="L1905" s="2" t="s">
        <v>24</v>
      </c>
      <c r="M1905" s="2">
        <v>2</v>
      </c>
      <c r="N1905" s="2"/>
    </row>
    <row r="1906" spans="1:14" x14ac:dyDescent="0.25">
      <c r="A1906" s="2" t="s">
        <v>5099</v>
      </c>
      <c r="B1906" s="2" t="s">
        <v>5100</v>
      </c>
      <c r="C1906" s="2" t="s">
        <v>67</v>
      </c>
      <c r="D1906" s="2" t="s">
        <v>95</v>
      </c>
      <c r="E1906" s="2" t="s">
        <v>18</v>
      </c>
      <c r="F1906" s="2" t="s">
        <v>143</v>
      </c>
      <c r="G1906" s="2" t="s">
        <v>126</v>
      </c>
      <c r="H1906" s="2" t="s">
        <v>80</v>
      </c>
      <c r="I1906" s="2">
        <v>4</v>
      </c>
      <c r="J1906" s="2" t="s">
        <v>48</v>
      </c>
      <c r="K1906" s="2" t="s">
        <v>5101</v>
      </c>
      <c r="L1906" s="2" t="s">
        <v>24</v>
      </c>
      <c r="M1906" s="2">
        <v>4</v>
      </c>
      <c r="N1906" s="2" t="s">
        <v>58</v>
      </c>
    </row>
    <row r="1907" spans="1:14" x14ac:dyDescent="0.25">
      <c r="A1907" s="2" t="s">
        <v>5102</v>
      </c>
      <c r="B1907" s="2" t="s">
        <v>5103</v>
      </c>
      <c r="C1907" s="2" t="s">
        <v>28</v>
      </c>
      <c r="D1907" s="2" t="s">
        <v>37</v>
      </c>
      <c r="E1907" s="2" t="s">
        <v>38</v>
      </c>
      <c r="F1907" s="2" t="s">
        <v>19</v>
      </c>
      <c r="G1907" s="2" t="s">
        <v>126</v>
      </c>
      <c r="H1907" s="2" t="s">
        <v>80</v>
      </c>
      <c r="I1907" s="2">
        <v>4</v>
      </c>
      <c r="J1907" s="2" t="s">
        <v>106</v>
      </c>
      <c r="K1907" s="2" t="s">
        <v>5104</v>
      </c>
      <c r="L1907" s="2" t="s">
        <v>24</v>
      </c>
      <c r="M1907" s="2">
        <v>5</v>
      </c>
      <c r="N1907" s="2" t="s">
        <v>25</v>
      </c>
    </row>
    <row r="1908" spans="1:14" x14ac:dyDescent="0.25">
      <c r="A1908" s="2" t="s">
        <v>2998</v>
      </c>
      <c r="B1908" s="2" t="s">
        <v>2999</v>
      </c>
      <c r="C1908" s="2" t="s">
        <v>16</v>
      </c>
      <c r="D1908" s="2" t="s">
        <v>17</v>
      </c>
      <c r="E1908" s="2" t="s">
        <v>79</v>
      </c>
      <c r="F1908" s="2" t="s">
        <v>131</v>
      </c>
      <c r="G1908" s="2" t="s">
        <v>144</v>
      </c>
      <c r="H1908" s="2" t="s">
        <v>32</v>
      </c>
      <c r="I1908" s="2">
        <v>48</v>
      </c>
      <c r="J1908" s="2" t="s">
        <v>48</v>
      </c>
      <c r="K1908" s="2" t="s">
        <v>3000</v>
      </c>
      <c r="L1908" s="2" t="s">
        <v>24</v>
      </c>
      <c r="M1908" s="2">
        <v>5</v>
      </c>
      <c r="N1908" s="2" t="s">
        <v>118</v>
      </c>
    </row>
    <row r="1909" spans="1:14" x14ac:dyDescent="0.25">
      <c r="A1909" s="2" t="s">
        <v>5105</v>
      </c>
      <c r="B1909" s="2" t="s">
        <v>5106</v>
      </c>
      <c r="C1909" s="2" t="s">
        <v>16</v>
      </c>
      <c r="D1909" s="2" t="s">
        <v>17</v>
      </c>
      <c r="E1909" s="2" t="s">
        <v>85</v>
      </c>
      <c r="F1909" s="2" t="s">
        <v>125</v>
      </c>
      <c r="G1909" s="2" t="s">
        <v>135</v>
      </c>
      <c r="H1909" s="2" t="s">
        <v>32</v>
      </c>
      <c r="I1909" s="2">
        <v>48</v>
      </c>
      <c r="J1909" s="2" t="s">
        <v>41</v>
      </c>
      <c r="K1909" s="2"/>
      <c r="L1909" s="2" t="s">
        <v>92</v>
      </c>
      <c r="M1909" s="2">
        <v>2</v>
      </c>
      <c r="N1909" s="2" t="s">
        <v>64</v>
      </c>
    </row>
    <row r="1910" spans="1:14" x14ac:dyDescent="0.25">
      <c r="A1910" s="2" t="s">
        <v>5107</v>
      </c>
      <c r="B1910" s="2" t="s">
        <v>5108</v>
      </c>
      <c r="C1910" s="2" t="s">
        <v>67</v>
      </c>
      <c r="D1910" s="2" t="s">
        <v>68</v>
      </c>
      <c r="E1910" s="2" t="s">
        <v>90</v>
      </c>
      <c r="F1910" s="2" t="s">
        <v>39</v>
      </c>
      <c r="G1910" s="2" t="s">
        <v>183</v>
      </c>
      <c r="H1910" s="2" t="s">
        <v>74</v>
      </c>
      <c r="I1910" s="2">
        <v>8</v>
      </c>
      <c r="J1910" s="2" t="s">
        <v>75</v>
      </c>
      <c r="K1910" s="2" t="s">
        <v>5109</v>
      </c>
      <c r="L1910" s="2" t="s">
        <v>92</v>
      </c>
      <c r="M1910" s="2">
        <v>5</v>
      </c>
      <c r="N1910" s="2"/>
    </row>
    <row r="1911" spans="1:14" x14ac:dyDescent="0.25">
      <c r="A1911" s="2" t="s">
        <v>5110</v>
      </c>
      <c r="B1911" s="2" t="s">
        <v>5111</v>
      </c>
      <c r="C1911" s="2" t="s">
        <v>16</v>
      </c>
      <c r="D1911" s="2" t="s">
        <v>240</v>
      </c>
      <c r="E1911" s="2" t="s">
        <v>18</v>
      </c>
      <c r="F1911" s="2" t="s">
        <v>19</v>
      </c>
      <c r="G1911" s="2" t="s">
        <v>211</v>
      </c>
      <c r="H1911" s="2" t="s">
        <v>80</v>
      </c>
      <c r="I1911" s="2">
        <v>4</v>
      </c>
      <c r="J1911" s="2" t="s">
        <v>48</v>
      </c>
      <c r="K1911" s="2" t="s">
        <v>5112</v>
      </c>
      <c r="L1911" s="2" t="s">
        <v>24</v>
      </c>
      <c r="M1911" s="2"/>
      <c r="N1911" s="2" t="s">
        <v>64</v>
      </c>
    </row>
    <row r="1912" spans="1:14" x14ac:dyDescent="0.25">
      <c r="A1912" s="2" t="s">
        <v>5113</v>
      </c>
      <c r="B1912" s="2" t="s">
        <v>5114</v>
      </c>
      <c r="C1912" s="2" t="s">
        <v>53</v>
      </c>
      <c r="D1912" s="2" t="s">
        <v>61</v>
      </c>
      <c r="E1912" s="2" t="s">
        <v>148</v>
      </c>
      <c r="F1912" s="2" t="s">
        <v>69</v>
      </c>
      <c r="G1912" s="2" t="s">
        <v>70</v>
      </c>
      <c r="H1912" s="2" t="s">
        <v>21</v>
      </c>
      <c r="I1912" s="2">
        <v>24</v>
      </c>
      <c r="J1912" s="2" t="s">
        <v>106</v>
      </c>
      <c r="K1912" s="2" t="s">
        <v>5115</v>
      </c>
      <c r="L1912" s="2" t="s">
        <v>24</v>
      </c>
      <c r="M1912" s="2"/>
      <c r="N1912" s="2"/>
    </row>
    <row r="1913" spans="1:14" x14ac:dyDescent="0.25">
      <c r="A1913" s="2" t="s">
        <v>5116</v>
      </c>
      <c r="B1913" s="2" t="s">
        <v>5117</v>
      </c>
      <c r="C1913" s="2" t="s">
        <v>28</v>
      </c>
      <c r="D1913" s="2" t="s">
        <v>37</v>
      </c>
      <c r="E1913" s="2" t="s">
        <v>148</v>
      </c>
      <c r="F1913" s="2" t="s">
        <v>39</v>
      </c>
      <c r="G1913" s="2" t="s">
        <v>126</v>
      </c>
      <c r="H1913" s="2" t="s">
        <v>74</v>
      </c>
      <c r="I1913" s="2">
        <v>8</v>
      </c>
      <c r="J1913" s="2" t="s">
        <v>155</v>
      </c>
      <c r="K1913" s="2"/>
      <c r="L1913" s="2" t="s">
        <v>24</v>
      </c>
      <c r="M1913" s="2"/>
      <c r="N1913" s="2" t="s">
        <v>128</v>
      </c>
    </row>
    <row r="1914" spans="1:14" x14ac:dyDescent="0.25">
      <c r="A1914" s="2" t="s">
        <v>5118</v>
      </c>
      <c r="B1914" s="2" t="s">
        <v>5119</v>
      </c>
      <c r="C1914" s="2" t="s">
        <v>67</v>
      </c>
      <c r="D1914" s="2" t="s">
        <v>95</v>
      </c>
      <c r="E1914" s="2" t="s">
        <v>79</v>
      </c>
      <c r="F1914" s="2" t="s">
        <v>30</v>
      </c>
      <c r="G1914" s="2" t="s">
        <v>179</v>
      </c>
      <c r="H1914" s="2" t="s">
        <v>32</v>
      </c>
      <c r="I1914" s="2">
        <v>48</v>
      </c>
      <c r="J1914" s="2" t="s">
        <v>75</v>
      </c>
      <c r="K1914" s="2" t="s">
        <v>5120</v>
      </c>
      <c r="L1914" s="2" t="s">
        <v>24</v>
      </c>
      <c r="M1914" s="2"/>
      <c r="N1914" s="2"/>
    </row>
    <row r="1915" spans="1:14" x14ac:dyDescent="0.25">
      <c r="A1915" s="2" t="s">
        <v>5121</v>
      </c>
      <c r="B1915" s="2" t="s">
        <v>5122</v>
      </c>
      <c r="C1915" s="2" t="s">
        <v>28</v>
      </c>
      <c r="D1915" s="2" t="s">
        <v>37</v>
      </c>
      <c r="E1915" s="2" t="s">
        <v>38</v>
      </c>
      <c r="F1915" s="2" t="s">
        <v>69</v>
      </c>
      <c r="G1915" s="2" t="s">
        <v>91</v>
      </c>
      <c r="H1915" s="2" t="s">
        <v>32</v>
      </c>
      <c r="I1915" s="2">
        <v>48</v>
      </c>
      <c r="J1915" s="2" t="s">
        <v>48</v>
      </c>
      <c r="K1915" s="2" t="s">
        <v>5123</v>
      </c>
      <c r="L1915" s="2" t="s">
        <v>92</v>
      </c>
      <c r="M1915" s="2">
        <v>2</v>
      </c>
      <c r="N1915" s="2" t="s">
        <v>58</v>
      </c>
    </row>
    <row r="1916" spans="1:14" x14ac:dyDescent="0.25">
      <c r="A1916" s="2" t="s">
        <v>5124</v>
      </c>
      <c r="B1916" s="2" t="s">
        <v>5125</v>
      </c>
      <c r="C1916" s="2" t="s">
        <v>28</v>
      </c>
      <c r="D1916" s="2" t="s">
        <v>100</v>
      </c>
      <c r="E1916" s="2" t="s">
        <v>46</v>
      </c>
      <c r="F1916" s="2" t="s">
        <v>19</v>
      </c>
      <c r="G1916" s="2" t="s">
        <v>110</v>
      </c>
      <c r="H1916" s="2" t="s">
        <v>21</v>
      </c>
      <c r="I1916" s="2">
        <v>24</v>
      </c>
      <c r="J1916" s="2" t="s">
        <v>22</v>
      </c>
      <c r="K1916" s="2" t="s">
        <v>5126</v>
      </c>
      <c r="L1916" s="2" t="s">
        <v>24</v>
      </c>
      <c r="M1916" s="2">
        <v>5</v>
      </c>
      <c r="N1916" s="2"/>
    </row>
    <row r="1917" spans="1:14" x14ac:dyDescent="0.25">
      <c r="A1917" s="2" t="s">
        <v>5127</v>
      </c>
      <c r="B1917" s="2" t="s">
        <v>5128</v>
      </c>
      <c r="C1917" s="2" t="s">
        <v>67</v>
      </c>
      <c r="D1917" s="2" t="s">
        <v>95</v>
      </c>
      <c r="E1917" s="2" t="s">
        <v>46</v>
      </c>
      <c r="F1917" s="2" t="s">
        <v>47</v>
      </c>
      <c r="G1917" s="2" t="s">
        <v>144</v>
      </c>
      <c r="H1917" s="2" t="s">
        <v>21</v>
      </c>
      <c r="I1917" s="2">
        <v>24</v>
      </c>
      <c r="J1917" s="2" t="s">
        <v>75</v>
      </c>
      <c r="K1917" s="2" t="s">
        <v>5129</v>
      </c>
      <c r="L1917" s="2" t="s">
        <v>24</v>
      </c>
      <c r="M1917" s="2">
        <v>4</v>
      </c>
      <c r="N1917" s="2" t="s">
        <v>64</v>
      </c>
    </row>
    <row r="1918" spans="1:14" x14ac:dyDescent="0.25">
      <c r="A1918" s="2" t="s">
        <v>5130</v>
      </c>
      <c r="B1918" s="2" t="s">
        <v>5131</v>
      </c>
      <c r="C1918" s="2" t="s">
        <v>53</v>
      </c>
      <c r="D1918" s="2" t="s">
        <v>61</v>
      </c>
      <c r="E1918" s="2" t="s">
        <v>148</v>
      </c>
      <c r="F1918" s="2" t="s">
        <v>113</v>
      </c>
      <c r="G1918" s="2" t="s">
        <v>110</v>
      </c>
      <c r="H1918" s="2" t="s">
        <v>74</v>
      </c>
      <c r="I1918" s="2">
        <v>8</v>
      </c>
      <c r="J1918" s="2" t="s">
        <v>200</v>
      </c>
      <c r="K1918" s="2"/>
      <c r="L1918" s="2" t="s">
        <v>92</v>
      </c>
      <c r="M1918" s="2"/>
      <c r="N1918" s="2" t="s">
        <v>50</v>
      </c>
    </row>
    <row r="1919" spans="1:14" x14ac:dyDescent="0.25">
      <c r="A1919" s="2" t="s">
        <v>5132</v>
      </c>
      <c r="B1919" s="2" t="s">
        <v>5133</v>
      </c>
      <c r="C1919" s="2" t="s">
        <v>16</v>
      </c>
      <c r="D1919" s="2" t="s">
        <v>17</v>
      </c>
      <c r="E1919" s="2" t="s">
        <v>18</v>
      </c>
      <c r="F1919" s="2" t="s">
        <v>131</v>
      </c>
      <c r="G1919" s="2" t="s">
        <v>101</v>
      </c>
      <c r="H1919" s="2" t="s">
        <v>74</v>
      </c>
      <c r="I1919" s="2">
        <v>8</v>
      </c>
      <c r="J1919" s="2" t="s">
        <v>200</v>
      </c>
      <c r="K1919" s="2"/>
      <c r="L1919" s="2" t="s">
        <v>92</v>
      </c>
      <c r="M1919" s="2"/>
      <c r="N1919" s="2" t="s">
        <v>58</v>
      </c>
    </row>
    <row r="1920" spans="1:14" x14ac:dyDescent="0.25">
      <c r="A1920" s="2" t="s">
        <v>5134</v>
      </c>
      <c r="B1920" s="2" t="s">
        <v>5135</v>
      </c>
      <c r="C1920" s="2" t="s">
        <v>53</v>
      </c>
      <c r="D1920" s="2" t="s">
        <v>54</v>
      </c>
      <c r="E1920" s="2" t="s">
        <v>18</v>
      </c>
      <c r="F1920" s="2" t="s">
        <v>19</v>
      </c>
      <c r="G1920" s="2" t="s">
        <v>183</v>
      </c>
      <c r="H1920" s="2" t="s">
        <v>21</v>
      </c>
      <c r="I1920" s="2">
        <v>24</v>
      </c>
      <c r="J1920" s="2" t="s">
        <v>48</v>
      </c>
      <c r="K1920" s="2" t="s">
        <v>5136</v>
      </c>
      <c r="L1920" s="2" t="s">
        <v>24</v>
      </c>
      <c r="M1920" s="2">
        <v>2</v>
      </c>
      <c r="N1920" s="2" t="s">
        <v>118</v>
      </c>
    </row>
    <row r="1921" spans="1:14" x14ac:dyDescent="0.25">
      <c r="A1921" s="2" t="s">
        <v>5137</v>
      </c>
      <c r="B1921" s="2" t="s">
        <v>5138</v>
      </c>
      <c r="C1921" s="2" t="s">
        <v>28</v>
      </c>
      <c r="D1921" s="2" t="s">
        <v>37</v>
      </c>
      <c r="E1921" s="2" t="s">
        <v>148</v>
      </c>
      <c r="F1921" s="2" t="s">
        <v>131</v>
      </c>
      <c r="G1921" s="2" t="s">
        <v>97</v>
      </c>
      <c r="H1921" s="2" t="s">
        <v>21</v>
      </c>
      <c r="I1921" s="2">
        <v>24</v>
      </c>
      <c r="J1921" s="2" t="s">
        <v>106</v>
      </c>
      <c r="K1921" s="2" t="s">
        <v>5139</v>
      </c>
      <c r="L1921" s="2" t="s">
        <v>24</v>
      </c>
      <c r="M1921" s="2"/>
      <c r="N1921" s="2" t="s">
        <v>118</v>
      </c>
    </row>
    <row r="1922" spans="1:14" x14ac:dyDescent="0.25">
      <c r="A1922" s="2" t="s">
        <v>5140</v>
      </c>
      <c r="B1922" s="2" t="s">
        <v>5141</v>
      </c>
      <c r="C1922" s="2" t="s">
        <v>53</v>
      </c>
      <c r="D1922" s="2" t="s">
        <v>61</v>
      </c>
      <c r="E1922" s="2" t="s">
        <v>46</v>
      </c>
      <c r="F1922" s="2" t="s">
        <v>62</v>
      </c>
      <c r="G1922" s="2" t="s">
        <v>158</v>
      </c>
      <c r="H1922" s="2" t="s">
        <v>21</v>
      </c>
      <c r="I1922" s="2">
        <v>24</v>
      </c>
      <c r="J1922" s="2" t="s">
        <v>106</v>
      </c>
      <c r="K1922" s="2" t="s">
        <v>5142</v>
      </c>
      <c r="L1922" s="2" t="s">
        <v>24</v>
      </c>
      <c r="M1922" s="2"/>
      <c r="N1922" s="2" t="s">
        <v>58</v>
      </c>
    </row>
    <row r="1923" spans="1:14" x14ac:dyDescent="0.25">
      <c r="A1923" s="2" t="s">
        <v>5143</v>
      </c>
      <c r="B1923" s="2" t="s">
        <v>5144</v>
      </c>
      <c r="C1923" s="2" t="s">
        <v>16</v>
      </c>
      <c r="D1923" s="2" t="s">
        <v>84</v>
      </c>
      <c r="E1923" s="2" t="s">
        <v>46</v>
      </c>
      <c r="F1923" s="2" t="s">
        <v>69</v>
      </c>
      <c r="G1923" s="2" t="s">
        <v>121</v>
      </c>
      <c r="H1923" s="2" t="s">
        <v>21</v>
      </c>
      <c r="I1923" s="2">
        <v>24</v>
      </c>
      <c r="J1923" s="2" t="s">
        <v>22</v>
      </c>
      <c r="K1923" s="2" t="s">
        <v>5145</v>
      </c>
      <c r="L1923" s="2" t="s">
        <v>24</v>
      </c>
      <c r="M1923" s="2">
        <v>5</v>
      </c>
      <c r="N1923" s="2" t="s">
        <v>118</v>
      </c>
    </row>
    <row r="1924" spans="1:14" x14ac:dyDescent="0.25">
      <c r="A1924" s="2" t="s">
        <v>5146</v>
      </c>
      <c r="B1924" s="2" t="s">
        <v>5147</v>
      </c>
      <c r="C1924" s="2" t="s">
        <v>67</v>
      </c>
      <c r="D1924" s="2" t="s">
        <v>68</v>
      </c>
      <c r="E1924" s="2" t="s">
        <v>18</v>
      </c>
      <c r="F1924" s="2" t="s">
        <v>96</v>
      </c>
      <c r="G1924" s="2" t="s">
        <v>139</v>
      </c>
      <c r="H1924" s="2" t="s">
        <v>32</v>
      </c>
      <c r="I1924" s="2">
        <v>48</v>
      </c>
      <c r="J1924" s="2" t="s">
        <v>75</v>
      </c>
      <c r="K1924" s="2" t="s">
        <v>5148</v>
      </c>
      <c r="L1924" s="2" t="s">
        <v>24</v>
      </c>
      <c r="M1924" s="2"/>
      <c r="N1924" s="2"/>
    </row>
    <row r="1925" spans="1:14" x14ac:dyDescent="0.25">
      <c r="A1925" s="2" t="s">
        <v>5149</v>
      </c>
      <c r="B1925" s="2" t="s">
        <v>5150</v>
      </c>
      <c r="C1925" s="2" t="s">
        <v>67</v>
      </c>
      <c r="D1925" s="2" t="s">
        <v>95</v>
      </c>
      <c r="E1925" s="2" t="s">
        <v>18</v>
      </c>
      <c r="F1925" s="2" t="s">
        <v>19</v>
      </c>
      <c r="G1925" s="2" t="s">
        <v>211</v>
      </c>
      <c r="H1925" s="2" t="s">
        <v>32</v>
      </c>
      <c r="I1925" s="2">
        <v>48</v>
      </c>
      <c r="J1925" s="2" t="s">
        <v>187</v>
      </c>
      <c r="K1925" s="2" t="s">
        <v>5151</v>
      </c>
      <c r="L1925" s="2" t="s">
        <v>24</v>
      </c>
      <c r="M1925" s="2">
        <v>5</v>
      </c>
      <c r="N1925" s="2" t="s">
        <v>64</v>
      </c>
    </row>
    <row r="1926" spans="1:14" x14ac:dyDescent="0.25">
      <c r="A1926" s="2" t="s">
        <v>5152</v>
      </c>
      <c r="B1926" s="2" t="s">
        <v>5153</v>
      </c>
      <c r="C1926" s="2" t="s">
        <v>28</v>
      </c>
      <c r="D1926" s="2" t="s">
        <v>100</v>
      </c>
      <c r="E1926" s="2" t="s">
        <v>79</v>
      </c>
      <c r="F1926" s="2" t="s">
        <v>62</v>
      </c>
      <c r="G1926" s="2" t="s">
        <v>211</v>
      </c>
      <c r="H1926" s="2" t="s">
        <v>21</v>
      </c>
      <c r="I1926" s="2">
        <v>24</v>
      </c>
      <c r="J1926" s="2" t="s">
        <v>22</v>
      </c>
      <c r="K1926" s="2" t="s">
        <v>5154</v>
      </c>
      <c r="L1926" s="2" t="s">
        <v>92</v>
      </c>
      <c r="M1926" s="2">
        <v>1</v>
      </c>
      <c r="N1926" s="2" t="s">
        <v>25</v>
      </c>
    </row>
    <row r="1927" spans="1:14" x14ac:dyDescent="0.25">
      <c r="A1927" s="2" t="s">
        <v>5155</v>
      </c>
      <c r="B1927" s="2" t="s">
        <v>5156</v>
      </c>
      <c r="C1927" s="2" t="s">
        <v>53</v>
      </c>
      <c r="D1927" s="2" t="s">
        <v>54</v>
      </c>
      <c r="E1927" s="2" t="s">
        <v>90</v>
      </c>
      <c r="F1927" s="2" t="s">
        <v>131</v>
      </c>
      <c r="G1927" s="2" t="s">
        <v>211</v>
      </c>
      <c r="H1927" s="2" t="s">
        <v>21</v>
      </c>
      <c r="I1927" s="2">
        <v>24</v>
      </c>
      <c r="J1927" s="2" t="s">
        <v>106</v>
      </c>
      <c r="K1927" s="2" t="s">
        <v>5157</v>
      </c>
      <c r="L1927" s="2" t="s">
        <v>24</v>
      </c>
      <c r="M1927" s="2"/>
      <c r="N1927" s="2" t="s">
        <v>43</v>
      </c>
    </row>
    <row r="1928" spans="1:14" x14ac:dyDescent="0.25">
      <c r="A1928" s="2" t="s">
        <v>5158</v>
      </c>
      <c r="B1928" s="2" t="s">
        <v>5159</v>
      </c>
      <c r="C1928" s="2" t="s">
        <v>28</v>
      </c>
      <c r="D1928" s="2" t="s">
        <v>100</v>
      </c>
      <c r="E1928" s="2" t="s">
        <v>148</v>
      </c>
      <c r="F1928" s="2" t="s">
        <v>39</v>
      </c>
      <c r="G1928" s="2" t="s">
        <v>211</v>
      </c>
      <c r="H1928" s="2" t="s">
        <v>80</v>
      </c>
      <c r="I1928" s="2">
        <v>4</v>
      </c>
      <c r="J1928" s="2" t="s">
        <v>22</v>
      </c>
      <c r="K1928" s="2" t="s">
        <v>5160</v>
      </c>
      <c r="L1928" s="2" t="s">
        <v>24</v>
      </c>
      <c r="M1928" s="2">
        <v>5</v>
      </c>
      <c r="N1928" s="2" t="s">
        <v>128</v>
      </c>
    </row>
    <row r="1929" spans="1:14" x14ac:dyDescent="0.25">
      <c r="A1929" s="2" t="s">
        <v>5161</v>
      </c>
      <c r="B1929" s="2" t="s">
        <v>5162</v>
      </c>
      <c r="C1929" s="2" t="s">
        <v>53</v>
      </c>
      <c r="D1929" s="2" t="s">
        <v>54</v>
      </c>
      <c r="E1929" s="2" t="s">
        <v>46</v>
      </c>
      <c r="F1929" s="2" t="s">
        <v>47</v>
      </c>
      <c r="G1929" s="2" t="s">
        <v>144</v>
      </c>
      <c r="H1929" s="2" t="s">
        <v>21</v>
      </c>
      <c r="I1929" s="2">
        <v>24</v>
      </c>
      <c r="J1929" s="2" t="s">
        <v>41</v>
      </c>
      <c r="K1929" s="2"/>
      <c r="L1929" s="2" t="s">
        <v>24</v>
      </c>
      <c r="M1929" s="2">
        <v>5</v>
      </c>
      <c r="N1929" s="2" t="s">
        <v>58</v>
      </c>
    </row>
    <row r="1930" spans="1:14" x14ac:dyDescent="0.25">
      <c r="A1930" s="2" t="s">
        <v>5163</v>
      </c>
      <c r="B1930" s="2" t="s">
        <v>5164</v>
      </c>
      <c r="C1930" s="2" t="s">
        <v>67</v>
      </c>
      <c r="D1930" s="2" t="s">
        <v>68</v>
      </c>
      <c r="E1930" s="2" t="s">
        <v>46</v>
      </c>
      <c r="F1930" s="2" t="s">
        <v>131</v>
      </c>
      <c r="G1930" s="2" t="s">
        <v>139</v>
      </c>
      <c r="H1930" s="2" t="s">
        <v>32</v>
      </c>
      <c r="I1930" s="2">
        <v>48</v>
      </c>
      <c r="J1930" s="2" t="s">
        <v>155</v>
      </c>
      <c r="K1930" s="2"/>
      <c r="L1930" s="2" t="s">
        <v>24</v>
      </c>
      <c r="M1930" s="2"/>
      <c r="N1930" s="2" t="s">
        <v>58</v>
      </c>
    </row>
    <row r="1931" spans="1:14" x14ac:dyDescent="0.25">
      <c r="A1931" s="2" t="s">
        <v>5165</v>
      </c>
      <c r="B1931" s="2" t="s">
        <v>5166</v>
      </c>
      <c r="C1931" s="2" t="s">
        <v>28</v>
      </c>
      <c r="D1931" s="2" t="s">
        <v>100</v>
      </c>
      <c r="E1931" s="2" t="s">
        <v>38</v>
      </c>
      <c r="F1931" s="2" t="s">
        <v>55</v>
      </c>
      <c r="G1931" s="2" t="s">
        <v>158</v>
      </c>
      <c r="H1931" s="2" t="s">
        <v>80</v>
      </c>
      <c r="I1931" s="2">
        <v>4</v>
      </c>
      <c r="J1931" s="2" t="s">
        <v>149</v>
      </c>
      <c r="K1931" s="2"/>
      <c r="L1931" s="2" t="s">
        <v>24</v>
      </c>
      <c r="M1931" s="2"/>
      <c r="N1931" s="2" t="s">
        <v>43</v>
      </c>
    </row>
    <row r="1932" spans="1:14" x14ac:dyDescent="0.25">
      <c r="A1932" s="2" t="s">
        <v>5167</v>
      </c>
      <c r="B1932" s="2" t="s">
        <v>5168</v>
      </c>
      <c r="C1932" s="2" t="s">
        <v>28</v>
      </c>
      <c r="D1932" s="2" t="s">
        <v>220</v>
      </c>
      <c r="E1932" s="2" t="s">
        <v>148</v>
      </c>
      <c r="F1932" s="2" t="s">
        <v>62</v>
      </c>
      <c r="G1932" s="2" t="s">
        <v>179</v>
      </c>
      <c r="H1932" s="2" t="s">
        <v>21</v>
      </c>
      <c r="I1932" s="2">
        <v>24</v>
      </c>
      <c r="J1932" s="2" t="s">
        <v>41</v>
      </c>
      <c r="K1932" s="2" t="s">
        <v>5169</v>
      </c>
      <c r="L1932" s="2" t="s">
        <v>24</v>
      </c>
      <c r="M1932" s="2"/>
      <c r="N1932" s="2"/>
    </row>
    <row r="1933" spans="1:14" x14ac:dyDescent="0.25">
      <c r="A1933" s="2" t="s">
        <v>5170</v>
      </c>
      <c r="B1933" s="2" t="s">
        <v>5171</v>
      </c>
      <c r="C1933" s="2" t="s">
        <v>16</v>
      </c>
      <c r="D1933" s="2" t="s">
        <v>84</v>
      </c>
      <c r="E1933" s="2" t="s">
        <v>148</v>
      </c>
      <c r="F1933" s="2" t="s">
        <v>62</v>
      </c>
      <c r="G1933" s="2" t="s">
        <v>126</v>
      </c>
      <c r="H1933" s="2" t="s">
        <v>80</v>
      </c>
      <c r="I1933" s="2">
        <v>4</v>
      </c>
      <c r="J1933" s="2" t="s">
        <v>41</v>
      </c>
      <c r="K1933" s="2" t="s">
        <v>5172</v>
      </c>
      <c r="L1933" s="2" t="s">
        <v>24</v>
      </c>
      <c r="M1933" s="2">
        <v>3</v>
      </c>
      <c r="N1933" s="2" t="s">
        <v>64</v>
      </c>
    </row>
    <row r="1934" spans="1:14" x14ac:dyDescent="0.25">
      <c r="A1934" s="2" t="s">
        <v>5173</v>
      </c>
      <c r="B1934" s="2" t="s">
        <v>5174</v>
      </c>
      <c r="C1934" s="2" t="s">
        <v>28</v>
      </c>
      <c r="D1934" s="2" t="s">
        <v>37</v>
      </c>
      <c r="E1934" s="2" t="s">
        <v>90</v>
      </c>
      <c r="F1934" s="2" t="s">
        <v>55</v>
      </c>
      <c r="G1934" s="2" t="s">
        <v>91</v>
      </c>
      <c r="H1934" s="2" t="s">
        <v>21</v>
      </c>
      <c r="I1934" s="2">
        <v>24</v>
      </c>
      <c r="J1934" s="2" t="s">
        <v>56</v>
      </c>
      <c r="K1934" s="2" t="s">
        <v>5175</v>
      </c>
      <c r="L1934" s="2" t="s">
        <v>24</v>
      </c>
      <c r="M1934" s="2"/>
      <c r="N1934" s="2" t="s">
        <v>128</v>
      </c>
    </row>
    <row r="1935" spans="1:14" x14ac:dyDescent="0.25">
      <c r="A1935" s="2" t="s">
        <v>5176</v>
      </c>
      <c r="B1935" s="2" t="s">
        <v>5177</v>
      </c>
      <c r="C1935" s="2" t="s">
        <v>53</v>
      </c>
      <c r="D1935" s="2" t="s">
        <v>54</v>
      </c>
      <c r="E1935" s="2" t="s">
        <v>38</v>
      </c>
      <c r="F1935" s="2" t="s">
        <v>55</v>
      </c>
      <c r="G1935" s="2" t="s">
        <v>158</v>
      </c>
      <c r="H1935" s="2" t="s">
        <v>21</v>
      </c>
      <c r="I1935" s="2">
        <v>24</v>
      </c>
      <c r="J1935" s="2" t="s">
        <v>41</v>
      </c>
      <c r="K1935" s="2" t="s">
        <v>5178</v>
      </c>
      <c r="L1935" s="2" t="s">
        <v>24</v>
      </c>
      <c r="M1935" s="2">
        <v>5</v>
      </c>
      <c r="N1935" s="2" t="s">
        <v>43</v>
      </c>
    </row>
    <row r="1936" spans="1:14" x14ac:dyDescent="0.25">
      <c r="A1936" s="2" t="s">
        <v>5179</v>
      </c>
      <c r="B1936" s="2" t="s">
        <v>5180</v>
      </c>
      <c r="C1936" s="2" t="s">
        <v>16</v>
      </c>
      <c r="D1936" s="2" t="s">
        <v>17</v>
      </c>
      <c r="E1936" s="2" t="s">
        <v>148</v>
      </c>
      <c r="F1936" s="2" t="s">
        <v>39</v>
      </c>
      <c r="G1936" s="2" t="s">
        <v>211</v>
      </c>
      <c r="H1936" s="2" t="s">
        <v>21</v>
      </c>
      <c r="I1936" s="2">
        <v>24</v>
      </c>
      <c r="J1936" s="2" t="s">
        <v>48</v>
      </c>
      <c r="K1936" s="2" t="s">
        <v>5181</v>
      </c>
      <c r="L1936" s="2" t="s">
        <v>24</v>
      </c>
      <c r="M1936" s="2">
        <v>5</v>
      </c>
      <c r="N1936" s="2" t="s">
        <v>58</v>
      </c>
    </row>
    <row r="1937" spans="1:14" x14ac:dyDescent="0.25">
      <c r="A1937" s="2" t="s">
        <v>5182</v>
      </c>
      <c r="B1937" s="2" t="s">
        <v>5183</v>
      </c>
      <c r="C1937" s="2" t="s">
        <v>28</v>
      </c>
      <c r="D1937" s="2" t="s">
        <v>37</v>
      </c>
      <c r="E1937" s="2" t="s">
        <v>18</v>
      </c>
      <c r="F1937" s="2" t="s">
        <v>30</v>
      </c>
      <c r="G1937" s="2" t="s">
        <v>101</v>
      </c>
      <c r="H1937" s="2" t="s">
        <v>21</v>
      </c>
      <c r="I1937" s="2">
        <v>24</v>
      </c>
      <c r="J1937" s="2" t="s">
        <v>48</v>
      </c>
      <c r="K1937" s="2" t="s">
        <v>5184</v>
      </c>
      <c r="L1937" s="2" t="s">
        <v>24</v>
      </c>
      <c r="M1937" s="2">
        <v>1</v>
      </c>
      <c r="N1937" s="2" t="s">
        <v>34</v>
      </c>
    </row>
    <row r="1938" spans="1:14" x14ac:dyDescent="0.25">
      <c r="A1938" s="2" t="s">
        <v>5185</v>
      </c>
      <c r="B1938" s="2" t="s">
        <v>5186</v>
      </c>
      <c r="C1938" s="2" t="s">
        <v>16</v>
      </c>
      <c r="D1938" s="2" t="s">
        <v>84</v>
      </c>
      <c r="E1938" s="2" t="s">
        <v>148</v>
      </c>
      <c r="F1938" s="2" t="s">
        <v>143</v>
      </c>
      <c r="G1938" s="2" t="s">
        <v>183</v>
      </c>
      <c r="H1938" s="2" t="s">
        <v>80</v>
      </c>
      <c r="I1938" s="2">
        <v>4</v>
      </c>
      <c r="J1938" s="2" t="s">
        <v>187</v>
      </c>
      <c r="K1938" s="2" t="s">
        <v>5187</v>
      </c>
      <c r="L1938" s="2" t="s">
        <v>24</v>
      </c>
      <c r="M1938" s="2"/>
      <c r="N1938" s="2" t="s">
        <v>128</v>
      </c>
    </row>
    <row r="1939" spans="1:14" x14ac:dyDescent="0.25">
      <c r="A1939" s="2" t="s">
        <v>5188</v>
      </c>
      <c r="B1939" s="2" t="s">
        <v>5189</v>
      </c>
      <c r="C1939" s="2" t="s">
        <v>16</v>
      </c>
      <c r="D1939" s="2" t="s">
        <v>240</v>
      </c>
      <c r="E1939" s="2" t="s">
        <v>90</v>
      </c>
      <c r="F1939" s="2" t="s">
        <v>96</v>
      </c>
      <c r="G1939" s="2" t="s">
        <v>158</v>
      </c>
      <c r="H1939" s="2" t="s">
        <v>80</v>
      </c>
      <c r="I1939" s="2">
        <v>4</v>
      </c>
      <c r="J1939" s="2" t="s">
        <v>187</v>
      </c>
      <c r="K1939" s="2" t="s">
        <v>5190</v>
      </c>
      <c r="L1939" s="2" t="s">
        <v>24</v>
      </c>
      <c r="M1939" s="2">
        <v>1</v>
      </c>
      <c r="N1939" s="2"/>
    </row>
    <row r="1940" spans="1:14" x14ac:dyDescent="0.25">
      <c r="A1940" s="2" t="s">
        <v>5191</v>
      </c>
      <c r="B1940" s="2" t="s">
        <v>5192</v>
      </c>
      <c r="C1940" s="2" t="s">
        <v>67</v>
      </c>
      <c r="D1940" s="2" t="s">
        <v>68</v>
      </c>
      <c r="E1940" s="2" t="s">
        <v>148</v>
      </c>
      <c r="F1940" s="2" t="s">
        <v>125</v>
      </c>
      <c r="G1940" s="2" t="s">
        <v>179</v>
      </c>
      <c r="H1940" s="2" t="s">
        <v>32</v>
      </c>
      <c r="I1940" s="2">
        <v>48</v>
      </c>
      <c r="J1940" s="2" t="s">
        <v>187</v>
      </c>
      <c r="K1940" s="2" t="s">
        <v>5193</v>
      </c>
      <c r="L1940" s="2" t="s">
        <v>24</v>
      </c>
      <c r="M1940" s="2"/>
      <c r="N1940" s="2" t="s">
        <v>64</v>
      </c>
    </row>
    <row r="1941" spans="1:14" x14ac:dyDescent="0.25">
      <c r="A1941" s="2" t="s">
        <v>5194</v>
      </c>
      <c r="B1941" s="2" t="s">
        <v>5195</v>
      </c>
      <c r="C1941" s="2" t="s">
        <v>67</v>
      </c>
      <c r="D1941" s="2" t="s">
        <v>95</v>
      </c>
      <c r="E1941" s="2" t="s">
        <v>79</v>
      </c>
      <c r="F1941" s="2" t="s">
        <v>39</v>
      </c>
      <c r="G1941" s="2" t="s">
        <v>40</v>
      </c>
      <c r="H1941" s="2" t="s">
        <v>74</v>
      </c>
      <c r="I1941" s="2">
        <v>8</v>
      </c>
      <c r="J1941" s="2" t="s">
        <v>149</v>
      </c>
      <c r="K1941" s="2"/>
      <c r="L1941" s="2" t="s">
        <v>24</v>
      </c>
      <c r="M1941" s="2"/>
      <c r="N1941" s="2"/>
    </row>
    <row r="1942" spans="1:14" x14ac:dyDescent="0.25">
      <c r="A1942" s="2" t="s">
        <v>5196</v>
      </c>
      <c r="B1942" s="2" t="s">
        <v>5197</v>
      </c>
      <c r="C1942" s="2" t="s">
        <v>67</v>
      </c>
      <c r="D1942" s="2" t="s">
        <v>68</v>
      </c>
      <c r="E1942" s="2" t="s">
        <v>85</v>
      </c>
      <c r="F1942" s="2" t="s">
        <v>47</v>
      </c>
      <c r="G1942" s="2" t="s">
        <v>31</v>
      </c>
      <c r="H1942" s="2" t="s">
        <v>32</v>
      </c>
      <c r="I1942" s="2">
        <v>48</v>
      </c>
      <c r="J1942" s="2" t="s">
        <v>56</v>
      </c>
      <c r="K1942" s="2" t="s">
        <v>5198</v>
      </c>
      <c r="L1942" s="2" t="s">
        <v>24</v>
      </c>
      <c r="M1942" s="2"/>
      <c r="N1942" s="2"/>
    </row>
    <row r="1943" spans="1:14" x14ac:dyDescent="0.25">
      <c r="A1943" s="2" t="s">
        <v>5199</v>
      </c>
      <c r="B1943" s="2" t="s">
        <v>5200</v>
      </c>
      <c r="C1943" s="2" t="s">
        <v>53</v>
      </c>
      <c r="D1943" s="2" t="s">
        <v>61</v>
      </c>
      <c r="E1943" s="2" t="s">
        <v>90</v>
      </c>
      <c r="F1943" s="2" t="s">
        <v>125</v>
      </c>
      <c r="G1943" s="2" t="s">
        <v>126</v>
      </c>
      <c r="H1943" s="2" t="s">
        <v>32</v>
      </c>
      <c r="I1943" s="2">
        <v>48</v>
      </c>
      <c r="J1943" s="2" t="s">
        <v>48</v>
      </c>
      <c r="K1943" s="2" t="s">
        <v>5201</v>
      </c>
      <c r="L1943" s="2" t="s">
        <v>24</v>
      </c>
      <c r="M1943" s="2">
        <v>4</v>
      </c>
      <c r="N1943" s="2"/>
    </row>
    <row r="1944" spans="1:14" x14ac:dyDescent="0.25">
      <c r="A1944" s="2" t="s">
        <v>5202</v>
      </c>
      <c r="B1944" s="2" t="s">
        <v>5203</v>
      </c>
      <c r="C1944" s="2" t="s">
        <v>28</v>
      </c>
      <c r="D1944" s="2" t="s">
        <v>100</v>
      </c>
      <c r="E1944" s="2" t="s">
        <v>38</v>
      </c>
      <c r="F1944" s="2" t="s">
        <v>96</v>
      </c>
      <c r="G1944" s="2" t="s">
        <v>97</v>
      </c>
      <c r="H1944" s="2" t="s">
        <v>74</v>
      </c>
      <c r="I1944" s="2">
        <v>8</v>
      </c>
      <c r="J1944" s="2" t="s">
        <v>41</v>
      </c>
      <c r="K1944" s="2" t="s">
        <v>5204</v>
      </c>
      <c r="L1944" s="2" t="s">
        <v>24</v>
      </c>
      <c r="M1944" s="2">
        <v>4</v>
      </c>
      <c r="N1944" s="2" t="s">
        <v>118</v>
      </c>
    </row>
    <row r="1945" spans="1:14" x14ac:dyDescent="0.25">
      <c r="A1945" s="2" t="s">
        <v>5205</v>
      </c>
      <c r="B1945" s="2" t="s">
        <v>5206</v>
      </c>
      <c r="C1945" s="2" t="s">
        <v>16</v>
      </c>
      <c r="D1945" s="2" t="s">
        <v>84</v>
      </c>
      <c r="E1945" s="2" t="s">
        <v>38</v>
      </c>
      <c r="F1945" s="2" t="s">
        <v>113</v>
      </c>
      <c r="G1945" s="2" t="s">
        <v>121</v>
      </c>
      <c r="H1945" s="2" t="s">
        <v>32</v>
      </c>
      <c r="I1945" s="2">
        <v>48</v>
      </c>
      <c r="J1945" s="2" t="s">
        <v>232</v>
      </c>
      <c r="K1945" s="2"/>
      <c r="L1945" s="2" t="s">
        <v>92</v>
      </c>
      <c r="M1945" s="2"/>
      <c r="N1945" s="2" t="s">
        <v>34</v>
      </c>
    </row>
    <row r="1946" spans="1:14" x14ac:dyDescent="0.25">
      <c r="A1946" s="2" t="s">
        <v>5207</v>
      </c>
      <c r="B1946" s="2" t="s">
        <v>5208</v>
      </c>
      <c r="C1946" s="2" t="s">
        <v>16</v>
      </c>
      <c r="D1946" s="2" t="s">
        <v>84</v>
      </c>
      <c r="E1946" s="2" t="s">
        <v>18</v>
      </c>
      <c r="F1946" s="2" t="s">
        <v>55</v>
      </c>
      <c r="G1946" s="2" t="s">
        <v>135</v>
      </c>
      <c r="H1946" s="2" t="s">
        <v>21</v>
      </c>
      <c r="I1946" s="2">
        <v>24</v>
      </c>
      <c r="J1946" s="2" t="s">
        <v>187</v>
      </c>
      <c r="K1946" s="2" t="s">
        <v>5209</v>
      </c>
      <c r="L1946" s="2" t="s">
        <v>24</v>
      </c>
      <c r="M1946" s="2">
        <v>4</v>
      </c>
      <c r="N1946" s="2" t="s">
        <v>25</v>
      </c>
    </row>
    <row r="1947" spans="1:14" x14ac:dyDescent="0.25">
      <c r="A1947" s="2" t="s">
        <v>5210</v>
      </c>
      <c r="B1947" s="2" t="s">
        <v>5211</v>
      </c>
      <c r="C1947" s="2" t="s">
        <v>53</v>
      </c>
      <c r="D1947" s="2" t="s">
        <v>162</v>
      </c>
      <c r="E1947" s="2" t="s">
        <v>18</v>
      </c>
      <c r="F1947" s="2" t="s">
        <v>47</v>
      </c>
      <c r="G1947" s="2" t="s">
        <v>97</v>
      </c>
      <c r="H1947" s="2" t="s">
        <v>21</v>
      </c>
      <c r="I1947" s="2">
        <v>24</v>
      </c>
      <c r="J1947" s="2" t="s">
        <v>33</v>
      </c>
      <c r="K1947" s="2"/>
      <c r="L1947" s="2" t="s">
        <v>24</v>
      </c>
      <c r="M1947" s="2"/>
      <c r="N1947" s="2" t="s">
        <v>43</v>
      </c>
    </row>
    <row r="1948" spans="1:14" x14ac:dyDescent="0.25">
      <c r="A1948" s="2" t="s">
        <v>5212</v>
      </c>
      <c r="B1948" s="2" t="s">
        <v>5213</v>
      </c>
      <c r="C1948" s="2" t="s">
        <v>28</v>
      </c>
      <c r="D1948" s="2" t="s">
        <v>37</v>
      </c>
      <c r="E1948" s="2" t="s">
        <v>148</v>
      </c>
      <c r="F1948" s="2" t="s">
        <v>113</v>
      </c>
      <c r="G1948" s="2" t="s">
        <v>144</v>
      </c>
      <c r="H1948" s="2" t="s">
        <v>21</v>
      </c>
      <c r="I1948" s="2">
        <v>24</v>
      </c>
      <c r="J1948" s="2" t="s">
        <v>486</v>
      </c>
      <c r="K1948" s="2" t="s">
        <v>5214</v>
      </c>
      <c r="L1948" s="2" t="s">
        <v>92</v>
      </c>
      <c r="M1948" s="2"/>
      <c r="N1948" s="2" t="s">
        <v>43</v>
      </c>
    </row>
    <row r="1949" spans="1:14" x14ac:dyDescent="0.25">
      <c r="A1949" s="2" t="s">
        <v>5215</v>
      </c>
      <c r="B1949" s="2" t="s">
        <v>5216</v>
      </c>
      <c r="C1949" s="2" t="s">
        <v>28</v>
      </c>
      <c r="D1949" s="2" t="s">
        <v>100</v>
      </c>
      <c r="E1949" s="2" t="s">
        <v>79</v>
      </c>
      <c r="F1949" s="2" t="s">
        <v>62</v>
      </c>
      <c r="G1949" s="2" t="s">
        <v>31</v>
      </c>
      <c r="H1949" s="2" t="s">
        <v>21</v>
      </c>
      <c r="I1949" s="2">
        <v>24</v>
      </c>
      <c r="J1949" s="2" t="s">
        <v>41</v>
      </c>
      <c r="K1949" s="2"/>
      <c r="L1949" s="2" t="s">
        <v>24</v>
      </c>
      <c r="M1949" s="2"/>
      <c r="N1949" s="2" t="s">
        <v>128</v>
      </c>
    </row>
    <row r="1950" spans="1:14" x14ac:dyDescent="0.25">
      <c r="A1950" s="2" t="s">
        <v>5217</v>
      </c>
      <c r="B1950" s="2" t="s">
        <v>5218</v>
      </c>
      <c r="C1950" s="2" t="s">
        <v>53</v>
      </c>
      <c r="D1950" s="2" t="s">
        <v>771</v>
      </c>
      <c r="E1950" s="2" t="s">
        <v>79</v>
      </c>
      <c r="F1950" s="2" t="s">
        <v>19</v>
      </c>
      <c r="G1950" s="2" t="s">
        <v>139</v>
      </c>
      <c r="H1950" s="2" t="s">
        <v>74</v>
      </c>
      <c r="I1950" s="2">
        <v>8</v>
      </c>
      <c r="J1950" s="2" t="s">
        <v>22</v>
      </c>
      <c r="K1950" s="2" t="s">
        <v>5219</v>
      </c>
      <c r="L1950" s="2" t="s">
        <v>24</v>
      </c>
      <c r="M1950" s="2">
        <v>3</v>
      </c>
      <c r="N1950" s="2"/>
    </row>
    <row r="1951" spans="1:14" x14ac:dyDescent="0.25">
      <c r="A1951" s="2" t="s">
        <v>5220</v>
      </c>
      <c r="B1951" s="2" t="s">
        <v>5221</v>
      </c>
      <c r="C1951" s="2" t="s">
        <v>16</v>
      </c>
      <c r="D1951" s="2" t="s">
        <v>84</v>
      </c>
      <c r="E1951" s="2" t="s">
        <v>79</v>
      </c>
      <c r="F1951" s="2" t="s">
        <v>47</v>
      </c>
      <c r="G1951" s="2" t="s">
        <v>70</v>
      </c>
      <c r="H1951" s="2" t="s">
        <v>32</v>
      </c>
      <c r="I1951" s="2">
        <v>48</v>
      </c>
      <c r="J1951" s="2" t="s">
        <v>48</v>
      </c>
      <c r="K1951" s="2" t="s">
        <v>5222</v>
      </c>
      <c r="L1951" s="2" t="s">
        <v>24</v>
      </c>
      <c r="M1951" s="2"/>
      <c r="N1951" s="2" t="s">
        <v>43</v>
      </c>
    </row>
    <row r="1952" spans="1:14" x14ac:dyDescent="0.25">
      <c r="A1952" s="2" t="s">
        <v>5223</v>
      </c>
      <c r="B1952" s="2" t="s">
        <v>804</v>
      </c>
      <c r="C1952" s="2" t="s">
        <v>53</v>
      </c>
      <c r="D1952" s="2" t="s">
        <v>61</v>
      </c>
      <c r="E1952" s="2" t="s">
        <v>18</v>
      </c>
      <c r="F1952" s="2" t="s">
        <v>69</v>
      </c>
      <c r="G1952" s="2" t="s">
        <v>179</v>
      </c>
      <c r="H1952" s="2" t="s">
        <v>74</v>
      </c>
      <c r="I1952" s="2">
        <v>8</v>
      </c>
      <c r="J1952" s="2" t="s">
        <v>48</v>
      </c>
      <c r="K1952" s="2" t="s">
        <v>5224</v>
      </c>
      <c r="L1952" s="2" t="s">
        <v>24</v>
      </c>
      <c r="M1952" s="2"/>
      <c r="N1952" s="2" t="s">
        <v>64</v>
      </c>
    </row>
    <row r="1953" spans="1:14" x14ac:dyDescent="0.25">
      <c r="A1953" s="2" t="s">
        <v>5225</v>
      </c>
      <c r="B1953" s="2" t="s">
        <v>5226</v>
      </c>
      <c r="C1953" s="2" t="s">
        <v>16</v>
      </c>
      <c r="D1953" s="2" t="s">
        <v>240</v>
      </c>
      <c r="E1953" s="2" t="s">
        <v>79</v>
      </c>
      <c r="F1953" s="2" t="s">
        <v>30</v>
      </c>
      <c r="G1953" s="2" t="s">
        <v>110</v>
      </c>
      <c r="H1953" s="2" t="s">
        <v>74</v>
      </c>
      <c r="I1953" s="2">
        <v>8</v>
      </c>
      <c r="J1953" s="2" t="s">
        <v>75</v>
      </c>
      <c r="K1953" s="2" t="s">
        <v>5227</v>
      </c>
      <c r="L1953" s="2" t="s">
        <v>24</v>
      </c>
      <c r="M1953" s="2"/>
      <c r="N1953" s="2" t="s">
        <v>25</v>
      </c>
    </row>
    <row r="1954" spans="1:14" x14ac:dyDescent="0.25">
      <c r="A1954" s="2" t="s">
        <v>5228</v>
      </c>
      <c r="B1954" s="2" t="s">
        <v>5229</v>
      </c>
      <c r="C1954" s="2" t="s">
        <v>67</v>
      </c>
      <c r="D1954" s="2" t="s">
        <v>95</v>
      </c>
      <c r="E1954" s="2" t="s">
        <v>90</v>
      </c>
      <c r="F1954" s="2" t="s">
        <v>30</v>
      </c>
      <c r="G1954" s="2" t="s">
        <v>70</v>
      </c>
      <c r="H1954" s="2" t="s">
        <v>32</v>
      </c>
      <c r="I1954" s="2">
        <v>48</v>
      </c>
      <c r="J1954" s="2" t="s">
        <v>149</v>
      </c>
      <c r="K1954" s="2"/>
      <c r="L1954" s="2" t="s">
        <v>24</v>
      </c>
      <c r="M1954" s="2"/>
      <c r="N1954" s="2" t="s">
        <v>43</v>
      </c>
    </row>
    <row r="1955" spans="1:14" x14ac:dyDescent="0.25">
      <c r="A1955" s="2" t="s">
        <v>5230</v>
      </c>
      <c r="B1955" s="2" t="s">
        <v>5231</v>
      </c>
      <c r="C1955" s="2" t="s">
        <v>28</v>
      </c>
      <c r="D1955" s="2" t="s">
        <v>100</v>
      </c>
      <c r="E1955" s="2" t="s">
        <v>148</v>
      </c>
      <c r="F1955" s="2" t="s">
        <v>19</v>
      </c>
      <c r="G1955" s="2" t="s">
        <v>139</v>
      </c>
      <c r="H1955" s="2" t="s">
        <v>32</v>
      </c>
      <c r="I1955" s="2">
        <v>48</v>
      </c>
      <c r="J1955" s="2" t="s">
        <v>106</v>
      </c>
      <c r="K1955" s="2" t="s">
        <v>5232</v>
      </c>
      <c r="L1955" s="2" t="s">
        <v>24</v>
      </c>
      <c r="M1955" s="2">
        <v>2</v>
      </c>
      <c r="N1955" s="2" t="s">
        <v>25</v>
      </c>
    </row>
    <row r="1956" spans="1:14" x14ac:dyDescent="0.25">
      <c r="A1956" s="2" t="s">
        <v>5233</v>
      </c>
      <c r="B1956" s="2" t="s">
        <v>5234</v>
      </c>
      <c r="C1956" s="2" t="s">
        <v>28</v>
      </c>
      <c r="D1956" s="2" t="s">
        <v>37</v>
      </c>
      <c r="E1956" s="2" t="s">
        <v>90</v>
      </c>
      <c r="F1956" s="2" t="s">
        <v>19</v>
      </c>
      <c r="G1956" s="2" t="s">
        <v>121</v>
      </c>
      <c r="H1956" s="2" t="s">
        <v>21</v>
      </c>
      <c r="I1956" s="2">
        <v>24</v>
      </c>
      <c r="J1956" s="2" t="s">
        <v>22</v>
      </c>
      <c r="K1956" s="2" t="s">
        <v>5235</v>
      </c>
      <c r="L1956" s="2" t="s">
        <v>24</v>
      </c>
      <c r="M1956" s="2"/>
      <c r="N1956" s="2" t="s">
        <v>64</v>
      </c>
    </row>
    <row r="1957" spans="1:14" x14ac:dyDescent="0.25">
      <c r="A1957" s="2" t="s">
        <v>5236</v>
      </c>
      <c r="B1957" s="2" t="s">
        <v>5237</v>
      </c>
      <c r="C1957" s="2" t="s">
        <v>67</v>
      </c>
      <c r="D1957" s="2" t="s">
        <v>68</v>
      </c>
      <c r="E1957" s="2" t="s">
        <v>18</v>
      </c>
      <c r="F1957" s="2" t="s">
        <v>47</v>
      </c>
      <c r="G1957" s="2" t="s">
        <v>31</v>
      </c>
      <c r="H1957" s="2" t="s">
        <v>21</v>
      </c>
      <c r="I1957" s="2">
        <v>24</v>
      </c>
      <c r="J1957" s="2" t="s">
        <v>22</v>
      </c>
      <c r="K1957" s="2" t="s">
        <v>5238</v>
      </c>
      <c r="L1957" s="2" t="s">
        <v>24</v>
      </c>
      <c r="M1957" s="2">
        <v>2</v>
      </c>
      <c r="N1957" s="2" t="s">
        <v>25</v>
      </c>
    </row>
    <row r="1958" spans="1:14" x14ac:dyDescent="0.25">
      <c r="A1958" s="2" t="s">
        <v>5239</v>
      </c>
      <c r="B1958" s="2" t="s">
        <v>5240</v>
      </c>
      <c r="C1958" s="2" t="s">
        <v>28</v>
      </c>
      <c r="D1958" s="2" t="s">
        <v>100</v>
      </c>
      <c r="E1958" s="2" t="s">
        <v>90</v>
      </c>
      <c r="F1958" s="2" t="s">
        <v>55</v>
      </c>
      <c r="G1958" s="2" t="s">
        <v>179</v>
      </c>
      <c r="H1958" s="2" t="s">
        <v>74</v>
      </c>
      <c r="I1958" s="2">
        <v>8</v>
      </c>
      <c r="J1958" s="2" t="s">
        <v>106</v>
      </c>
      <c r="K1958" s="2" t="s">
        <v>5241</v>
      </c>
      <c r="L1958" s="2" t="s">
        <v>24</v>
      </c>
      <c r="M1958" s="2">
        <v>3</v>
      </c>
      <c r="N1958" s="2" t="s">
        <v>50</v>
      </c>
    </row>
    <row r="1959" spans="1:14" x14ac:dyDescent="0.25">
      <c r="A1959" s="2" t="s">
        <v>5242</v>
      </c>
      <c r="B1959" s="2" t="s">
        <v>5243</v>
      </c>
      <c r="C1959" s="2" t="s">
        <v>67</v>
      </c>
      <c r="D1959" s="2" t="s">
        <v>68</v>
      </c>
      <c r="E1959" s="2" t="s">
        <v>18</v>
      </c>
      <c r="F1959" s="2" t="s">
        <v>96</v>
      </c>
      <c r="G1959" s="2" t="s">
        <v>97</v>
      </c>
      <c r="H1959" s="2" t="s">
        <v>32</v>
      </c>
      <c r="I1959" s="2">
        <v>48</v>
      </c>
      <c r="J1959" s="2" t="s">
        <v>75</v>
      </c>
      <c r="K1959" s="2" t="s">
        <v>5244</v>
      </c>
      <c r="L1959" s="2" t="s">
        <v>24</v>
      </c>
      <c r="M1959" s="2">
        <v>5</v>
      </c>
      <c r="N1959" s="2" t="s">
        <v>25</v>
      </c>
    </row>
    <row r="1960" spans="1:14" x14ac:dyDescent="0.25">
      <c r="A1960" s="2" t="s">
        <v>5245</v>
      </c>
      <c r="B1960" s="2" t="s">
        <v>5246</v>
      </c>
      <c r="C1960" s="2" t="s">
        <v>53</v>
      </c>
      <c r="D1960" s="2" t="s">
        <v>54</v>
      </c>
      <c r="E1960" s="2" t="s">
        <v>79</v>
      </c>
      <c r="F1960" s="2" t="s">
        <v>143</v>
      </c>
      <c r="G1960" s="2" t="s">
        <v>97</v>
      </c>
      <c r="H1960" s="2" t="s">
        <v>21</v>
      </c>
      <c r="I1960" s="2">
        <v>24</v>
      </c>
      <c r="J1960" s="2" t="s">
        <v>287</v>
      </c>
      <c r="K1960" s="2"/>
      <c r="L1960" s="2" t="s">
        <v>24</v>
      </c>
      <c r="M1960" s="2"/>
      <c r="N1960" s="2" t="s">
        <v>50</v>
      </c>
    </row>
    <row r="1961" spans="1:14" x14ac:dyDescent="0.25">
      <c r="A1961" s="2" t="s">
        <v>1707</v>
      </c>
      <c r="B1961" s="2" t="s">
        <v>1708</v>
      </c>
      <c r="C1961" s="2" t="s">
        <v>67</v>
      </c>
      <c r="D1961" s="2" t="s">
        <v>95</v>
      </c>
      <c r="E1961" s="2" t="s">
        <v>79</v>
      </c>
      <c r="F1961" s="2" t="s">
        <v>69</v>
      </c>
      <c r="G1961" s="2" t="s">
        <v>70</v>
      </c>
      <c r="H1961" s="2" t="s">
        <v>21</v>
      </c>
      <c r="I1961" s="2">
        <v>24</v>
      </c>
      <c r="J1961" s="2" t="s">
        <v>106</v>
      </c>
      <c r="K1961" s="2" t="s">
        <v>1709</v>
      </c>
      <c r="L1961" s="2" t="s">
        <v>24</v>
      </c>
      <c r="M1961" s="2">
        <v>3</v>
      </c>
      <c r="N1961" s="2"/>
    </row>
    <row r="1962" spans="1:14" x14ac:dyDescent="0.25">
      <c r="A1962" s="2" t="s">
        <v>5247</v>
      </c>
      <c r="B1962" s="2" t="s">
        <v>5248</v>
      </c>
      <c r="C1962" s="2" t="s">
        <v>16</v>
      </c>
      <c r="D1962" s="2" t="s">
        <v>84</v>
      </c>
      <c r="E1962" s="2" t="s">
        <v>85</v>
      </c>
      <c r="F1962" s="2" t="s">
        <v>143</v>
      </c>
      <c r="G1962" s="2" t="s">
        <v>211</v>
      </c>
      <c r="H1962" s="2" t="s">
        <v>21</v>
      </c>
      <c r="I1962" s="2">
        <v>24</v>
      </c>
      <c r="J1962" s="2" t="s">
        <v>22</v>
      </c>
      <c r="K1962" s="2" t="s">
        <v>5249</v>
      </c>
      <c r="L1962" s="2" t="s">
        <v>24</v>
      </c>
      <c r="M1962" s="2"/>
      <c r="N1962" s="2" t="s">
        <v>34</v>
      </c>
    </row>
    <row r="1963" spans="1:14" x14ac:dyDescent="0.25">
      <c r="A1963" s="2" t="s">
        <v>5250</v>
      </c>
      <c r="B1963" s="2" t="s">
        <v>5251</v>
      </c>
      <c r="C1963" s="2" t="s">
        <v>53</v>
      </c>
      <c r="D1963" s="2" t="s">
        <v>61</v>
      </c>
      <c r="E1963" s="2" t="s">
        <v>46</v>
      </c>
      <c r="F1963" s="2" t="s">
        <v>30</v>
      </c>
      <c r="G1963" s="2" t="s">
        <v>144</v>
      </c>
      <c r="H1963" s="2" t="s">
        <v>32</v>
      </c>
      <c r="I1963" s="2">
        <v>48</v>
      </c>
      <c r="J1963" s="2" t="s">
        <v>56</v>
      </c>
      <c r="K1963" s="2" t="s">
        <v>5252</v>
      </c>
      <c r="L1963" s="2" t="s">
        <v>24</v>
      </c>
      <c r="M1963" s="2"/>
      <c r="N1963" s="2" t="s">
        <v>25</v>
      </c>
    </row>
    <row r="1964" spans="1:14" x14ac:dyDescent="0.25">
      <c r="A1964" s="2" t="s">
        <v>5253</v>
      </c>
      <c r="B1964" s="2" t="s">
        <v>5254</v>
      </c>
      <c r="C1964" s="2" t="s">
        <v>28</v>
      </c>
      <c r="D1964" s="2" t="s">
        <v>37</v>
      </c>
      <c r="E1964" s="2" t="s">
        <v>85</v>
      </c>
      <c r="F1964" s="2" t="s">
        <v>125</v>
      </c>
      <c r="G1964" s="2" t="s">
        <v>135</v>
      </c>
      <c r="H1964" s="2" t="s">
        <v>21</v>
      </c>
      <c r="I1964" s="2">
        <v>24</v>
      </c>
      <c r="J1964" s="2" t="s">
        <v>106</v>
      </c>
      <c r="K1964" s="2" t="s">
        <v>5255</v>
      </c>
      <c r="L1964" s="2" t="s">
        <v>24</v>
      </c>
      <c r="M1964" s="2">
        <v>5</v>
      </c>
      <c r="N1964" s="2"/>
    </row>
    <row r="1965" spans="1:14" x14ac:dyDescent="0.25">
      <c r="A1965" s="2" t="s">
        <v>5256</v>
      </c>
      <c r="B1965" s="2" t="s">
        <v>5257</v>
      </c>
      <c r="C1965" s="2" t="s">
        <v>53</v>
      </c>
      <c r="D1965" s="2" t="s">
        <v>54</v>
      </c>
      <c r="E1965" s="2" t="s">
        <v>85</v>
      </c>
      <c r="F1965" s="2" t="s">
        <v>39</v>
      </c>
      <c r="G1965" s="2" t="s">
        <v>211</v>
      </c>
      <c r="H1965" s="2" t="s">
        <v>74</v>
      </c>
      <c r="I1965" s="2">
        <v>8</v>
      </c>
      <c r="J1965" s="2" t="s">
        <v>48</v>
      </c>
      <c r="K1965" s="2" t="s">
        <v>5258</v>
      </c>
      <c r="L1965" s="2" t="s">
        <v>24</v>
      </c>
      <c r="M1965" s="2">
        <v>5</v>
      </c>
      <c r="N1965" s="2" t="s">
        <v>25</v>
      </c>
    </row>
    <row r="1966" spans="1:14" x14ac:dyDescent="0.25">
      <c r="A1966" s="2" t="s">
        <v>5259</v>
      </c>
      <c r="B1966" s="2" t="s">
        <v>5260</v>
      </c>
      <c r="C1966" s="2" t="s">
        <v>67</v>
      </c>
      <c r="D1966" s="2" t="s">
        <v>95</v>
      </c>
      <c r="E1966" s="2" t="s">
        <v>90</v>
      </c>
      <c r="F1966" s="2" t="s">
        <v>19</v>
      </c>
      <c r="G1966" s="2" t="s">
        <v>40</v>
      </c>
      <c r="H1966" s="2" t="s">
        <v>80</v>
      </c>
      <c r="I1966" s="2">
        <v>4</v>
      </c>
      <c r="J1966" s="2" t="s">
        <v>41</v>
      </c>
      <c r="K1966" s="2" t="s">
        <v>5261</v>
      </c>
      <c r="L1966" s="2" t="s">
        <v>24</v>
      </c>
      <c r="M1966" s="2">
        <v>4</v>
      </c>
      <c r="N1966" s="2" t="s">
        <v>118</v>
      </c>
    </row>
    <row r="1967" spans="1:14" x14ac:dyDescent="0.25">
      <c r="A1967" s="2" t="s">
        <v>5262</v>
      </c>
      <c r="B1967" s="2" t="s">
        <v>5263</v>
      </c>
      <c r="C1967" s="2" t="s">
        <v>28</v>
      </c>
      <c r="D1967" s="2" t="s">
        <v>37</v>
      </c>
      <c r="E1967" s="2" t="s">
        <v>18</v>
      </c>
      <c r="F1967" s="2" t="s">
        <v>47</v>
      </c>
      <c r="G1967" s="2" t="s">
        <v>91</v>
      </c>
      <c r="H1967" s="2" t="s">
        <v>21</v>
      </c>
      <c r="I1967" s="2">
        <v>24</v>
      </c>
      <c r="J1967" s="2" t="s">
        <v>56</v>
      </c>
      <c r="K1967" s="2"/>
      <c r="L1967" s="2" t="s">
        <v>24</v>
      </c>
      <c r="M1967" s="2"/>
      <c r="N1967" s="2" t="s">
        <v>50</v>
      </c>
    </row>
    <row r="1968" spans="1:14" x14ac:dyDescent="0.25">
      <c r="A1968" s="2" t="s">
        <v>5264</v>
      </c>
      <c r="B1968" s="2" t="s">
        <v>5265</v>
      </c>
      <c r="C1968" s="2" t="s">
        <v>28</v>
      </c>
      <c r="D1968" s="2" t="s">
        <v>100</v>
      </c>
      <c r="E1968" s="2" t="s">
        <v>148</v>
      </c>
      <c r="F1968" s="2" t="s">
        <v>62</v>
      </c>
      <c r="G1968" s="2" t="s">
        <v>105</v>
      </c>
      <c r="H1968" s="2" t="s">
        <v>32</v>
      </c>
      <c r="I1968" s="2">
        <v>48</v>
      </c>
      <c r="J1968" s="2" t="s">
        <v>41</v>
      </c>
      <c r="K1968" s="2" t="s">
        <v>5266</v>
      </c>
      <c r="L1968" s="2" t="s">
        <v>24</v>
      </c>
      <c r="M1968" s="2"/>
      <c r="N1968" s="2" t="s">
        <v>58</v>
      </c>
    </row>
    <row r="1969" spans="1:14" x14ac:dyDescent="0.25">
      <c r="A1969" s="2" t="s">
        <v>5267</v>
      </c>
      <c r="B1969" s="2" t="s">
        <v>5268</v>
      </c>
      <c r="C1969" s="2" t="s">
        <v>16</v>
      </c>
      <c r="D1969" s="2" t="s">
        <v>84</v>
      </c>
      <c r="E1969" s="2" t="s">
        <v>79</v>
      </c>
      <c r="F1969" s="2" t="s">
        <v>131</v>
      </c>
      <c r="G1969" s="2" t="s">
        <v>183</v>
      </c>
      <c r="H1969" s="2" t="s">
        <v>74</v>
      </c>
      <c r="I1969" s="2">
        <v>8</v>
      </c>
      <c r="J1969" s="2" t="s">
        <v>41</v>
      </c>
      <c r="K1969" s="2" t="s">
        <v>5269</v>
      </c>
      <c r="L1969" s="2" t="s">
        <v>92</v>
      </c>
      <c r="M1969" s="2">
        <v>4</v>
      </c>
      <c r="N1969" s="2"/>
    </row>
    <row r="1970" spans="1:14" x14ac:dyDescent="0.25">
      <c r="A1970" s="2" t="s">
        <v>5270</v>
      </c>
      <c r="B1970" s="2" t="s">
        <v>5271</v>
      </c>
      <c r="C1970" s="2" t="s">
        <v>28</v>
      </c>
      <c r="D1970" s="2" t="s">
        <v>37</v>
      </c>
      <c r="E1970" s="2" t="s">
        <v>85</v>
      </c>
      <c r="F1970" s="2" t="s">
        <v>47</v>
      </c>
      <c r="G1970" s="2" t="s">
        <v>211</v>
      </c>
      <c r="H1970" s="2" t="s">
        <v>21</v>
      </c>
      <c r="I1970" s="2">
        <v>24</v>
      </c>
      <c r="J1970" s="2" t="s">
        <v>75</v>
      </c>
      <c r="K1970" s="2" t="s">
        <v>5272</v>
      </c>
      <c r="L1970" s="2" t="s">
        <v>24</v>
      </c>
      <c r="M1970" s="2">
        <v>3</v>
      </c>
      <c r="N1970" s="2" t="s">
        <v>43</v>
      </c>
    </row>
    <row r="1971" spans="1:14" x14ac:dyDescent="0.25">
      <c r="A1971" s="2" t="s">
        <v>5273</v>
      </c>
      <c r="B1971" s="2" t="s">
        <v>5274</v>
      </c>
      <c r="C1971" s="2" t="s">
        <v>53</v>
      </c>
      <c r="D1971" s="2" t="s">
        <v>54</v>
      </c>
      <c r="E1971" s="2" t="s">
        <v>18</v>
      </c>
      <c r="F1971" s="2" t="s">
        <v>39</v>
      </c>
      <c r="G1971" s="2" t="s">
        <v>179</v>
      </c>
      <c r="H1971" s="2" t="s">
        <v>32</v>
      </c>
      <c r="I1971" s="2">
        <v>48</v>
      </c>
      <c r="J1971" s="2" t="s">
        <v>41</v>
      </c>
      <c r="K1971" s="2" t="s">
        <v>5275</v>
      </c>
      <c r="L1971" s="2" t="s">
        <v>24</v>
      </c>
      <c r="M1971" s="2">
        <v>1</v>
      </c>
      <c r="N1971" s="2" t="s">
        <v>64</v>
      </c>
    </row>
    <row r="1972" spans="1:14" x14ac:dyDescent="0.25">
      <c r="A1972" s="2" t="s">
        <v>5276</v>
      </c>
      <c r="B1972" s="2" t="s">
        <v>5277</v>
      </c>
      <c r="C1972" s="2" t="s">
        <v>16</v>
      </c>
      <c r="D1972" s="2" t="s">
        <v>765</v>
      </c>
      <c r="E1972" s="2" t="s">
        <v>90</v>
      </c>
      <c r="F1972" s="2" t="s">
        <v>55</v>
      </c>
      <c r="G1972" s="2" t="s">
        <v>70</v>
      </c>
      <c r="H1972" s="2" t="s">
        <v>32</v>
      </c>
      <c r="I1972" s="2">
        <v>48</v>
      </c>
      <c r="J1972" s="2" t="s">
        <v>106</v>
      </c>
      <c r="K1972" s="2" t="s">
        <v>5278</v>
      </c>
      <c r="L1972" s="2" t="s">
        <v>24</v>
      </c>
      <c r="M1972" s="2">
        <v>3</v>
      </c>
      <c r="N1972" s="2" t="s">
        <v>50</v>
      </c>
    </row>
    <row r="1973" spans="1:14" x14ac:dyDescent="0.25">
      <c r="A1973" s="2" t="s">
        <v>5279</v>
      </c>
      <c r="B1973" s="2" t="s">
        <v>5280</v>
      </c>
      <c r="C1973" s="2" t="s">
        <v>53</v>
      </c>
      <c r="D1973" s="2" t="s">
        <v>54</v>
      </c>
      <c r="E1973" s="2" t="s">
        <v>90</v>
      </c>
      <c r="F1973" s="2" t="s">
        <v>19</v>
      </c>
      <c r="G1973" s="2" t="s">
        <v>91</v>
      </c>
      <c r="H1973" s="2" t="s">
        <v>21</v>
      </c>
      <c r="I1973" s="2">
        <v>24</v>
      </c>
      <c r="J1973" s="2" t="s">
        <v>22</v>
      </c>
      <c r="K1973" s="2" t="s">
        <v>5281</v>
      </c>
      <c r="L1973" s="2" t="s">
        <v>24</v>
      </c>
      <c r="M1973" s="2"/>
      <c r="N1973" s="2" t="s">
        <v>25</v>
      </c>
    </row>
    <row r="1974" spans="1:14" x14ac:dyDescent="0.25">
      <c r="A1974" s="2" t="s">
        <v>5282</v>
      </c>
      <c r="B1974" s="2" t="s">
        <v>5283</v>
      </c>
      <c r="C1974" s="2" t="s">
        <v>16</v>
      </c>
      <c r="D1974" s="2" t="s">
        <v>84</v>
      </c>
      <c r="E1974" s="2" t="s">
        <v>90</v>
      </c>
      <c r="F1974" s="2" t="s">
        <v>131</v>
      </c>
      <c r="G1974" s="2" t="s">
        <v>20</v>
      </c>
      <c r="H1974" s="2" t="s">
        <v>21</v>
      </c>
      <c r="I1974" s="2">
        <v>24</v>
      </c>
      <c r="J1974" s="2" t="s">
        <v>106</v>
      </c>
      <c r="K1974" s="2" t="s">
        <v>5284</v>
      </c>
      <c r="L1974" s="2" t="s">
        <v>24</v>
      </c>
      <c r="M1974" s="2"/>
      <c r="N1974" s="2"/>
    </row>
    <row r="1975" spans="1:14" x14ac:dyDescent="0.25">
      <c r="A1975" s="2" t="s">
        <v>5285</v>
      </c>
      <c r="B1975" s="2" t="s">
        <v>5286</v>
      </c>
      <c r="C1975" s="2" t="s">
        <v>53</v>
      </c>
      <c r="D1975" s="2" t="s">
        <v>61</v>
      </c>
      <c r="E1975" s="2" t="s">
        <v>85</v>
      </c>
      <c r="F1975" s="2" t="s">
        <v>30</v>
      </c>
      <c r="G1975" s="2" t="s">
        <v>179</v>
      </c>
      <c r="H1975" s="2" t="s">
        <v>32</v>
      </c>
      <c r="I1975" s="2">
        <v>48</v>
      </c>
      <c r="J1975" s="2" t="s">
        <v>56</v>
      </c>
      <c r="K1975" s="2" t="s">
        <v>5287</v>
      </c>
      <c r="L1975" s="2" t="s">
        <v>24</v>
      </c>
      <c r="M1975" s="2"/>
      <c r="N1975" s="2" t="s">
        <v>128</v>
      </c>
    </row>
    <row r="1976" spans="1:14" x14ac:dyDescent="0.25">
      <c r="A1976" s="2" t="s">
        <v>5288</v>
      </c>
      <c r="B1976" s="2" t="s">
        <v>5289</v>
      </c>
      <c r="C1976" s="2" t="s">
        <v>16</v>
      </c>
      <c r="D1976" s="2" t="s">
        <v>17</v>
      </c>
      <c r="E1976" s="2" t="s">
        <v>46</v>
      </c>
      <c r="F1976" s="2" t="s">
        <v>143</v>
      </c>
      <c r="G1976" s="2" t="s">
        <v>211</v>
      </c>
      <c r="H1976" s="2" t="s">
        <v>74</v>
      </c>
      <c r="I1976" s="2">
        <v>8</v>
      </c>
      <c r="J1976" s="2" t="s">
        <v>22</v>
      </c>
      <c r="K1976" s="2" t="s">
        <v>5290</v>
      </c>
      <c r="L1976" s="2" t="s">
        <v>24</v>
      </c>
      <c r="M1976" s="2">
        <v>1</v>
      </c>
      <c r="N1976" s="2" t="s">
        <v>25</v>
      </c>
    </row>
    <row r="1977" spans="1:14" x14ac:dyDescent="0.25">
      <c r="A1977" s="2" t="s">
        <v>5291</v>
      </c>
      <c r="B1977" s="2" t="s">
        <v>5292</v>
      </c>
      <c r="C1977" s="2" t="s">
        <v>67</v>
      </c>
      <c r="D1977" s="2" t="s">
        <v>95</v>
      </c>
      <c r="E1977" s="2" t="s">
        <v>148</v>
      </c>
      <c r="F1977" s="2" t="s">
        <v>62</v>
      </c>
      <c r="G1977" s="2" t="s">
        <v>183</v>
      </c>
      <c r="H1977" s="2" t="s">
        <v>74</v>
      </c>
      <c r="I1977" s="2">
        <v>8</v>
      </c>
      <c r="J1977" s="2" t="s">
        <v>33</v>
      </c>
      <c r="K1977" s="2"/>
      <c r="L1977" s="2" t="s">
        <v>24</v>
      </c>
      <c r="M1977" s="2"/>
      <c r="N1977" s="2" t="s">
        <v>128</v>
      </c>
    </row>
    <row r="1978" spans="1:14" x14ac:dyDescent="0.25">
      <c r="A1978" s="2" t="s">
        <v>5293</v>
      </c>
      <c r="B1978" s="2" t="s">
        <v>5294</v>
      </c>
      <c r="C1978" s="2" t="s">
        <v>16</v>
      </c>
      <c r="D1978" s="2" t="s">
        <v>17</v>
      </c>
      <c r="E1978" s="2" t="s">
        <v>85</v>
      </c>
      <c r="F1978" s="2" t="s">
        <v>131</v>
      </c>
      <c r="G1978" s="2" t="s">
        <v>70</v>
      </c>
      <c r="H1978" s="2" t="s">
        <v>21</v>
      </c>
      <c r="I1978" s="2">
        <v>24</v>
      </c>
      <c r="J1978" s="2" t="s">
        <v>41</v>
      </c>
      <c r="K1978" s="2" t="s">
        <v>5295</v>
      </c>
      <c r="L1978" s="2" t="s">
        <v>24</v>
      </c>
      <c r="M1978" s="2">
        <v>5</v>
      </c>
      <c r="N1978" s="2" t="s">
        <v>128</v>
      </c>
    </row>
    <row r="1979" spans="1:14" x14ac:dyDescent="0.25">
      <c r="A1979" s="2" t="s">
        <v>5296</v>
      </c>
      <c r="B1979" s="2" t="s">
        <v>5297</v>
      </c>
      <c r="C1979" s="2" t="s">
        <v>28</v>
      </c>
      <c r="D1979" s="2" t="s">
        <v>37</v>
      </c>
      <c r="E1979" s="2" t="s">
        <v>46</v>
      </c>
      <c r="F1979" s="2" t="s">
        <v>131</v>
      </c>
      <c r="G1979" s="2" t="s">
        <v>110</v>
      </c>
      <c r="H1979" s="2" t="s">
        <v>21</v>
      </c>
      <c r="I1979" s="2">
        <v>24</v>
      </c>
      <c r="J1979" s="2" t="s">
        <v>287</v>
      </c>
      <c r="K1979" s="2"/>
      <c r="L1979" s="2" t="s">
        <v>24</v>
      </c>
      <c r="M1979" s="2"/>
      <c r="N1979" s="2" t="s">
        <v>118</v>
      </c>
    </row>
    <row r="1980" spans="1:14" x14ac:dyDescent="0.25">
      <c r="A1980" s="2" t="s">
        <v>5298</v>
      </c>
      <c r="B1980" s="2" t="s">
        <v>5299</v>
      </c>
      <c r="C1980" s="2" t="s">
        <v>28</v>
      </c>
      <c r="D1980" s="2" t="s">
        <v>37</v>
      </c>
      <c r="E1980" s="2" t="s">
        <v>38</v>
      </c>
      <c r="F1980" s="2" t="s">
        <v>96</v>
      </c>
      <c r="G1980" s="2" t="s">
        <v>183</v>
      </c>
      <c r="H1980" s="2" t="s">
        <v>21</v>
      </c>
      <c r="I1980" s="2">
        <v>24</v>
      </c>
      <c r="J1980" s="2" t="s">
        <v>75</v>
      </c>
      <c r="K1980" s="2" t="s">
        <v>5300</v>
      </c>
      <c r="L1980" s="2" t="s">
        <v>24</v>
      </c>
      <c r="M1980" s="2">
        <v>5</v>
      </c>
      <c r="N1980" s="2" t="s">
        <v>50</v>
      </c>
    </row>
    <row r="1981" spans="1:14" x14ac:dyDescent="0.25">
      <c r="A1981" s="2" t="s">
        <v>5301</v>
      </c>
      <c r="B1981" s="2" t="s">
        <v>5302</v>
      </c>
      <c r="C1981" s="2" t="s">
        <v>16</v>
      </c>
      <c r="D1981" s="2" t="s">
        <v>765</v>
      </c>
      <c r="E1981" s="2" t="s">
        <v>46</v>
      </c>
      <c r="F1981" s="2" t="s">
        <v>39</v>
      </c>
      <c r="G1981" s="2" t="s">
        <v>179</v>
      </c>
      <c r="H1981" s="2" t="s">
        <v>32</v>
      </c>
      <c r="I1981" s="2">
        <v>48</v>
      </c>
      <c r="J1981" s="2" t="s">
        <v>287</v>
      </c>
      <c r="K1981" s="2"/>
      <c r="L1981" s="2" t="s">
        <v>24</v>
      </c>
      <c r="M1981" s="2"/>
      <c r="N1981" s="2" t="s">
        <v>43</v>
      </c>
    </row>
    <row r="1982" spans="1:14" x14ac:dyDescent="0.25">
      <c r="A1982" s="2" t="s">
        <v>5303</v>
      </c>
      <c r="B1982" s="2" t="s">
        <v>5304</v>
      </c>
      <c r="C1982" s="2" t="s">
        <v>67</v>
      </c>
      <c r="D1982" s="2" t="s">
        <v>95</v>
      </c>
      <c r="E1982" s="2" t="s">
        <v>46</v>
      </c>
      <c r="F1982" s="2" t="s">
        <v>47</v>
      </c>
      <c r="G1982" s="2" t="s">
        <v>144</v>
      </c>
      <c r="H1982" s="2" t="s">
        <v>21</v>
      </c>
      <c r="I1982" s="2">
        <v>24</v>
      </c>
      <c r="J1982" s="2" t="s">
        <v>106</v>
      </c>
      <c r="K1982" s="2" t="s">
        <v>5305</v>
      </c>
      <c r="L1982" s="2" t="s">
        <v>24</v>
      </c>
      <c r="M1982" s="2"/>
      <c r="N1982" s="2" t="s">
        <v>58</v>
      </c>
    </row>
    <row r="1983" spans="1:14" x14ac:dyDescent="0.25">
      <c r="A1983" s="2" t="s">
        <v>5306</v>
      </c>
      <c r="B1983" s="2" t="s">
        <v>5307</v>
      </c>
      <c r="C1983" s="2" t="s">
        <v>28</v>
      </c>
      <c r="D1983" s="2" t="s">
        <v>37</v>
      </c>
      <c r="E1983" s="2" t="s">
        <v>46</v>
      </c>
      <c r="F1983" s="2" t="s">
        <v>19</v>
      </c>
      <c r="G1983" s="2" t="s">
        <v>179</v>
      </c>
      <c r="H1983" s="2" t="s">
        <v>80</v>
      </c>
      <c r="I1983" s="2">
        <v>4</v>
      </c>
      <c r="J1983" s="2" t="s">
        <v>486</v>
      </c>
      <c r="K1983" s="2" t="s">
        <v>5308</v>
      </c>
      <c r="L1983" s="2" t="s">
        <v>24</v>
      </c>
      <c r="M1983" s="2"/>
      <c r="N1983" s="2" t="s">
        <v>34</v>
      </c>
    </row>
    <row r="1984" spans="1:14" x14ac:dyDescent="0.25">
      <c r="A1984" s="2" t="s">
        <v>5309</v>
      </c>
      <c r="B1984" s="2" t="s">
        <v>5310</v>
      </c>
      <c r="C1984" s="2" t="s">
        <v>28</v>
      </c>
      <c r="D1984" s="2" t="s">
        <v>37</v>
      </c>
      <c r="E1984" s="2" t="s">
        <v>90</v>
      </c>
      <c r="F1984" s="2" t="s">
        <v>19</v>
      </c>
      <c r="G1984" s="2" t="s">
        <v>101</v>
      </c>
      <c r="H1984" s="2" t="s">
        <v>21</v>
      </c>
      <c r="I1984" s="2">
        <v>24</v>
      </c>
      <c r="J1984" s="2" t="s">
        <v>187</v>
      </c>
      <c r="K1984" s="2" t="s">
        <v>5311</v>
      </c>
      <c r="L1984" s="2" t="s">
        <v>24</v>
      </c>
      <c r="M1984" s="2">
        <v>4</v>
      </c>
      <c r="N1984" s="2"/>
    </row>
    <row r="1985" spans="1:14" x14ac:dyDescent="0.25">
      <c r="A1985" s="2" t="s">
        <v>5312</v>
      </c>
      <c r="B1985" s="2" t="s">
        <v>5313</v>
      </c>
      <c r="C1985" s="2" t="s">
        <v>16</v>
      </c>
      <c r="D1985" s="2" t="s">
        <v>84</v>
      </c>
      <c r="E1985" s="2" t="s">
        <v>85</v>
      </c>
      <c r="F1985" s="2" t="s">
        <v>47</v>
      </c>
      <c r="G1985" s="2" t="s">
        <v>179</v>
      </c>
      <c r="H1985" s="2" t="s">
        <v>32</v>
      </c>
      <c r="I1985" s="2">
        <v>48</v>
      </c>
      <c r="J1985" s="2" t="s">
        <v>22</v>
      </c>
      <c r="K1985" s="2" t="s">
        <v>5314</v>
      </c>
      <c r="L1985" s="2" t="s">
        <v>24</v>
      </c>
      <c r="M1985" s="2"/>
      <c r="N1985" s="2" t="s">
        <v>50</v>
      </c>
    </row>
    <row r="1986" spans="1:14" x14ac:dyDescent="0.25">
      <c r="A1986" s="2" t="s">
        <v>5315</v>
      </c>
      <c r="B1986" s="2" t="s">
        <v>5316</v>
      </c>
      <c r="C1986" s="2" t="s">
        <v>28</v>
      </c>
      <c r="D1986" s="2" t="s">
        <v>100</v>
      </c>
      <c r="E1986" s="2" t="s">
        <v>85</v>
      </c>
      <c r="F1986" s="2" t="s">
        <v>30</v>
      </c>
      <c r="G1986" s="2" t="s">
        <v>211</v>
      </c>
      <c r="H1986" s="2" t="s">
        <v>32</v>
      </c>
      <c r="I1986" s="2">
        <v>48</v>
      </c>
      <c r="J1986" s="2" t="s">
        <v>22</v>
      </c>
      <c r="K1986" s="2" t="s">
        <v>5317</v>
      </c>
      <c r="L1986" s="2" t="s">
        <v>24</v>
      </c>
      <c r="M1986" s="2">
        <v>5</v>
      </c>
      <c r="N1986" s="2" t="s">
        <v>34</v>
      </c>
    </row>
    <row r="1987" spans="1:14" x14ac:dyDescent="0.25">
      <c r="A1987" s="2" t="s">
        <v>5318</v>
      </c>
      <c r="B1987" s="2" t="s">
        <v>5319</v>
      </c>
      <c r="C1987" s="2" t="s">
        <v>67</v>
      </c>
      <c r="D1987" s="2" t="s">
        <v>95</v>
      </c>
      <c r="E1987" s="2" t="s">
        <v>46</v>
      </c>
      <c r="F1987" s="2" t="s">
        <v>131</v>
      </c>
      <c r="G1987" s="2" t="s">
        <v>40</v>
      </c>
      <c r="H1987" s="2" t="s">
        <v>32</v>
      </c>
      <c r="I1987" s="2">
        <v>48</v>
      </c>
      <c r="J1987" s="2" t="s">
        <v>149</v>
      </c>
      <c r="K1987" s="2"/>
      <c r="L1987" s="2" t="s">
        <v>24</v>
      </c>
      <c r="M1987" s="2"/>
      <c r="N1987" s="2"/>
    </row>
    <row r="1988" spans="1:14" x14ac:dyDescent="0.25">
      <c r="A1988" s="2" t="s">
        <v>5320</v>
      </c>
      <c r="B1988" s="2" t="s">
        <v>5321</v>
      </c>
      <c r="C1988" s="2" t="s">
        <v>16</v>
      </c>
      <c r="D1988" s="2" t="s">
        <v>84</v>
      </c>
      <c r="E1988" s="2" t="s">
        <v>90</v>
      </c>
      <c r="F1988" s="2" t="s">
        <v>131</v>
      </c>
      <c r="G1988" s="2" t="s">
        <v>121</v>
      </c>
      <c r="H1988" s="2" t="s">
        <v>21</v>
      </c>
      <c r="I1988" s="2">
        <v>24</v>
      </c>
      <c r="J1988" s="2" t="s">
        <v>232</v>
      </c>
      <c r="K1988" s="2"/>
      <c r="L1988" s="2" t="s">
        <v>92</v>
      </c>
      <c r="M1988" s="2"/>
      <c r="N1988" s="2" t="s">
        <v>25</v>
      </c>
    </row>
    <row r="1989" spans="1:14" x14ac:dyDescent="0.25">
      <c r="A1989" s="2" t="s">
        <v>5322</v>
      </c>
      <c r="B1989" s="2" t="s">
        <v>5323</v>
      </c>
      <c r="C1989" s="2" t="s">
        <v>16</v>
      </c>
      <c r="D1989" s="2" t="s">
        <v>84</v>
      </c>
      <c r="E1989" s="2" t="s">
        <v>38</v>
      </c>
      <c r="F1989" s="2" t="s">
        <v>131</v>
      </c>
      <c r="G1989" s="2" t="s">
        <v>31</v>
      </c>
      <c r="H1989" s="2" t="s">
        <v>21</v>
      </c>
      <c r="I1989" s="2">
        <v>24</v>
      </c>
      <c r="J1989" s="2" t="s">
        <v>155</v>
      </c>
      <c r="K1989" s="2"/>
      <c r="L1989" s="2" t="s">
        <v>24</v>
      </c>
      <c r="M1989" s="2"/>
      <c r="N1989" s="2" t="s">
        <v>25</v>
      </c>
    </row>
    <row r="1990" spans="1:14" x14ac:dyDescent="0.25">
      <c r="A1990" s="2" t="s">
        <v>5324</v>
      </c>
      <c r="B1990" s="2" t="s">
        <v>5325</v>
      </c>
      <c r="C1990" s="2" t="s">
        <v>53</v>
      </c>
      <c r="D1990" s="2" t="s">
        <v>54</v>
      </c>
      <c r="E1990" s="2" t="s">
        <v>90</v>
      </c>
      <c r="F1990" s="2" t="s">
        <v>125</v>
      </c>
      <c r="G1990" s="2" t="s">
        <v>139</v>
      </c>
      <c r="H1990" s="2" t="s">
        <v>21</v>
      </c>
      <c r="I1990" s="2">
        <v>24</v>
      </c>
      <c r="J1990" s="2" t="s">
        <v>155</v>
      </c>
      <c r="K1990" s="2"/>
      <c r="L1990" s="2" t="s">
        <v>24</v>
      </c>
      <c r="M1990" s="2"/>
      <c r="N1990" s="2"/>
    </row>
    <row r="1991" spans="1:14" x14ac:dyDescent="0.25">
      <c r="A1991" s="2" t="s">
        <v>5326</v>
      </c>
      <c r="B1991" s="2" t="s">
        <v>5327</v>
      </c>
      <c r="C1991" s="2" t="s">
        <v>16</v>
      </c>
      <c r="D1991" s="2" t="s">
        <v>17</v>
      </c>
      <c r="E1991" s="2" t="s">
        <v>148</v>
      </c>
      <c r="F1991" s="2" t="s">
        <v>143</v>
      </c>
      <c r="G1991" s="2" t="s">
        <v>20</v>
      </c>
      <c r="H1991" s="2" t="s">
        <v>21</v>
      </c>
      <c r="I1991" s="2">
        <v>24</v>
      </c>
      <c r="J1991" s="2" t="s">
        <v>155</v>
      </c>
      <c r="K1991" s="2"/>
      <c r="L1991" s="2" t="s">
        <v>24</v>
      </c>
      <c r="M1991" s="2"/>
      <c r="N1991" s="2" t="s">
        <v>128</v>
      </c>
    </row>
    <row r="1992" spans="1:14" x14ac:dyDescent="0.25">
      <c r="A1992" s="2" t="s">
        <v>5121</v>
      </c>
      <c r="B1992" s="2" t="s">
        <v>5122</v>
      </c>
      <c r="C1992" s="2" t="s">
        <v>28</v>
      </c>
      <c r="D1992" s="2" t="s">
        <v>37</v>
      </c>
      <c r="E1992" s="2" t="s">
        <v>38</v>
      </c>
      <c r="F1992" s="2" t="s">
        <v>69</v>
      </c>
      <c r="G1992" s="2" t="s">
        <v>91</v>
      </c>
      <c r="H1992" s="2" t="s">
        <v>32</v>
      </c>
      <c r="I1992" s="2">
        <v>48</v>
      </c>
      <c r="J1992" s="2" t="s">
        <v>48</v>
      </c>
      <c r="K1992" s="2" t="s">
        <v>5123</v>
      </c>
      <c r="L1992" s="2" t="s">
        <v>92</v>
      </c>
      <c r="M1992" s="2">
        <v>2</v>
      </c>
      <c r="N1992" s="2" t="s">
        <v>58</v>
      </c>
    </row>
    <row r="1993" spans="1:14" x14ac:dyDescent="0.25">
      <c r="A1993" s="2" t="s">
        <v>5328</v>
      </c>
      <c r="B1993" s="2" t="s">
        <v>5329</v>
      </c>
      <c r="C1993" s="2" t="s">
        <v>28</v>
      </c>
      <c r="D1993" s="2" t="s">
        <v>100</v>
      </c>
      <c r="E1993" s="2" t="s">
        <v>46</v>
      </c>
      <c r="F1993" s="2" t="s">
        <v>69</v>
      </c>
      <c r="G1993" s="2" t="s">
        <v>20</v>
      </c>
      <c r="H1993" s="2" t="s">
        <v>74</v>
      </c>
      <c r="I1993" s="2">
        <v>8</v>
      </c>
      <c r="J1993" s="2" t="s">
        <v>187</v>
      </c>
      <c r="K1993" s="2" t="s">
        <v>5330</v>
      </c>
      <c r="L1993" s="2" t="s">
        <v>92</v>
      </c>
      <c r="M1993" s="2">
        <v>5</v>
      </c>
      <c r="N1993" s="2" t="s">
        <v>128</v>
      </c>
    </row>
    <row r="1994" spans="1:14" x14ac:dyDescent="0.25">
      <c r="A1994" s="2" t="s">
        <v>5331</v>
      </c>
      <c r="B1994" s="2" t="s">
        <v>5332</v>
      </c>
      <c r="C1994" s="2" t="s">
        <v>28</v>
      </c>
      <c r="D1994" s="2" t="s">
        <v>100</v>
      </c>
      <c r="E1994" s="2" t="s">
        <v>79</v>
      </c>
      <c r="F1994" s="2" t="s">
        <v>55</v>
      </c>
      <c r="G1994" s="2" t="s">
        <v>20</v>
      </c>
      <c r="H1994" s="2" t="s">
        <v>21</v>
      </c>
      <c r="I1994" s="2">
        <v>24</v>
      </c>
      <c r="J1994" s="2" t="s">
        <v>106</v>
      </c>
      <c r="K1994" s="2"/>
      <c r="L1994" s="2" t="s">
        <v>24</v>
      </c>
      <c r="M1994" s="2">
        <v>5</v>
      </c>
      <c r="N1994" s="2"/>
    </row>
    <row r="1995" spans="1:14" x14ac:dyDescent="0.25">
      <c r="A1995" s="2" t="s">
        <v>5333</v>
      </c>
      <c r="B1995" s="2" t="s">
        <v>5334</v>
      </c>
      <c r="C1995" s="2" t="s">
        <v>53</v>
      </c>
      <c r="D1995" s="2" t="s">
        <v>61</v>
      </c>
      <c r="E1995" s="2" t="s">
        <v>79</v>
      </c>
      <c r="F1995" s="2" t="s">
        <v>143</v>
      </c>
      <c r="G1995" s="2" t="s">
        <v>110</v>
      </c>
      <c r="H1995" s="2" t="s">
        <v>32</v>
      </c>
      <c r="I1995" s="2">
        <v>48</v>
      </c>
      <c r="J1995" s="2" t="s">
        <v>11</v>
      </c>
      <c r="K1995" s="2"/>
      <c r="L1995" s="2" t="s">
        <v>92</v>
      </c>
      <c r="M1995" s="2"/>
      <c r="N1995" s="2" t="s">
        <v>43</v>
      </c>
    </row>
    <row r="1996" spans="1:14" x14ac:dyDescent="0.25">
      <c r="A1996" s="2" t="s">
        <v>5335</v>
      </c>
      <c r="B1996" s="2" t="s">
        <v>5336</v>
      </c>
      <c r="C1996" s="2" t="s">
        <v>67</v>
      </c>
      <c r="D1996" s="2" t="s">
        <v>95</v>
      </c>
      <c r="E1996" s="2" t="s">
        <v>46</v>
      </c>
      <c r="F1996" s="2" t="s">
        <v>96</v>
      </c>
      <c r="G1996" s="2" t="s">
        <v>40</v>
      </c>
      <c r="H1996" s="2" t="s">
        <v>74</v>
      </c>
      <c r="I1996" s="2">
        <v>8</v>
      </c>
      <c r="J1996" s="2" t="s">
        <v>106</v>
      </c>
      <c r="K1996" s="2" t="s">
        <v>5337</v>
      </c>
      <c r="L1996" s="2" t="s">
        <v>24</v>
      </c>
      <c r="M1996" s="2">
        <v>1</v>
      </c>
      <c r="N1996" s="2" t="s">
        <v>43</v>
      </c>
    </row>
    <row r="1997" spans="1:14" x14ac:dyDescent="0.25">
      <c r="A1997" s="2" t="s">
        <v>5338</v>
      </c>
      <c r="B1997" s="2" t="s">
        <v>5339</v>
      </c>
      <c r="C1997" s="2" t="s">
        <v>28</v>
      </c>
      <c r="D1997" s="2" t="s">
        <v>100</v>
      </c>
      <c r="E1997" s="2" t="s">
        <v>18</v>
      </c>
      <c r="F1997" s="2" t="s">
        <v>113</v>
      </c>
      <c r="G1997" s="2" t="s">
        <v>70</v>
      </c>
      <c r="H1997" s="2" t="s">
        <v>32</v>
      </c>
      <c r="I1997" s="2">
        <v>48</v>
      </c>
      <c r="J1997" s="2" t="s">
        <v>187</v>
      </c>
      <c r="K1997" s="2"/>
      <c r="L1997" s="2" t="s">
        <v>24</v>
      </c>
      <c r="M1997" s="2">
        <v>3</v>
      </c>
      <c r="N1997" s="2" t="s">
        <v>128</v>
      </c>
    </row>
    <row r="1998" spans="1:14" x14ac:dyDescent="0.25">
      <c r="A1998" s="2" t="s">
        <v>5340</v>
      </c>
      <c r="B1998" s="2" t="s">
        <v>5341</v>
      </c>
      <c r="C1998" s="2" t="s">
        <v>16</v>
      </c>
      <c r="D1998" s="2" t="s">
        <v>17</v>
      </c>
      <c r="E1998" s="2" t="s">
        <v>148</v>
      </c>
      <c r="F1998" s="2" t="s">
        <v>113</v>
      </c>
      <c r="G1998" s="2" t="s">
        <v>101</v>
      </c>
      <c r="H1998" s="2" t="s">
        <v>21</v>
      </c>
      <c r="I1998" s="2">
        <v>24</v>
      </c>
      <c r="J1998" s="2" t="s">
        <v>117</v>
      </c>
      <c r="K1998" s="2"/>
      <c r="L1998" s="2" t="s">
        <v>24</v>
      </c>
      <c r="M1998" s="2"/>
      <c r="N1998" s="2" t="s">
        <v>58</v>
      </c>
    </row>
    <row r="1999" spans="1:14" x14ac:dyDescent="0.25">
      <c r="A1999" s="2" t="s">
        <v>5342</v>
      </c>
      <c r="B1999" s="2" t="s">
        <v>5343</v>
      </c>
      <c r="C1999" s="2" t="s">
        <v>53</v>
      </c>
      <c r="D1999" s="2" t="s">
        <v>54</v>
      </c>
      <c r="E1999" s="2" t="s">
        <v>85</v>
      </c>
      <c r="F1999" s="2" t="s">
        <v>55</v>
      </c>
      <c r="G1999" s="2" t="s">
        <v>97</v>
      </c>
      <c r="H1999" s="2" t="s">
        <v>74</v>
      </c>
      <c r="I1999" s="2">
        <v>8</v>
      </c>
      <c r="J1999" s="2" t="s">
        <v>22</v>
      </c>
      <c r="K1999" s="2" t="s">
        <v>5344</v>
      </c>
      <c r="L1999" s="2" t="s">
        <v>92</v>
      </c>
      <c r="M1999" s="2">
        <v>5</v>
      </c>
      <c r="N1999" s="2"/>
    </row>
    <row r="2000" spans="1:14" x14ac:dyDescent="0.25">
      <c r="A2000" s="2" t="s">
        <v>5345</v>
      </c>
      <c r="B2000" s="2" t="s">
        <v>5346</v>
      </c>
      <c r="C2000" s="2" t="s">
        <v>67</v>
      </c>
      <c r="D2000" s="2" t="s">
        <v>95</v>
      </c>
      <c r="E2000" s="2" t="s">
        <v>38</v>
      </c>
      <c r="F2000" s="2" t="s">
        <v>19</v>
      </c>
      <c r="G2000" s="2" t="s">
        <v>97</v>
      </c>
      <c r="H2000" s="2" t="s">
        <v>74</v>
      </c>
      <c r="I2000" s="2">
        <v>8</v>
      </c>
      <c r="J2000" s="2" t="s">
        <v>187</v>
      </c>
      <c r="K2000" s="2" t="s">
        <v>5347</v>
      </c>
      <c r="L2000" s="2" t="s">
        <v>24</v>
      </c>
      <c r="M2000" s="2">
        <v>2</v>
      </c>
      <c r="N2000" s="2"/>
    </row>
    <row r="2001" spans="1:14" x14ac:dyDescent="0.25">
      <c r="A2001" s="2" t="s">
        <v>5348</v>
      </c>
      <c r="B2001" s="2" t="s">
        <v>5349</v>
      </c>
      <c r="C2001" s="2" t="s">
        <v>16</v>
      </c>
      <c r="D2001" s="2" t="s">
        <v>17</v>
      </c>
      <c r="E2001" s="2" t="s">
        <v>148</v>
      </c>
      <c r="F2001" s="2" t="s">
        <v>131</v>
      </c>
      <c r="G2001" s="2" t="s">
        <v>126</v>
      </c>
      <c r="H2001" s="2" t="s">
        <v>21</v>
      </c>
      <c r="I2001" s="2">
        <v>24</v>
      </c>
      <c r="J2001" s="2" t="s">
        <v>117</v>
      </c>
      <c r="K2001" s="2"/>
      <c r="L2001" s="2" t="s">
        <v>24</v>
      </c>
      <c r="M2001" s="2"/>
      <c r="N2001" s="2" t="s">
        <v>128</v>
      </c>
    </row>
    <row r="2002" spans="1:14" x14ac:dyDescent="0.25">
      <c r="A2002" s="2" t="s">
        <v>5350</v>
      </c>
      <c r="B2002" s="2" t="s">
        <v>5351</v>
      </c>
      <c r="C2002" s="2" t="s">
        <v>28</v>
      </c>
      <c r="D2002" s="2" t="s">
        <v>100</v>
      </c>
      <c r="E2002" s="2" t="s">
        <v>79</v>
      </c>
      <c r="F2002" s="2" t="s">
        <v>96</v>
      </c>
      <c r="G2002" s="2" t="s">
        <v>144</v>
      </c>
      <c r="H2002" s="2" t="s">
        <v>21</v>
      </c>
      <c r="I2002" s="2">
        <v>24</v>
      </c>
      <c r="J2002" s="2" t="s">
        <v>11</v>
      </c>
      <c r="K2002" s="2"/>
      <c r="L2002" s="2" t="s">
        <v>92</v>
      </c>
      <c r="M2002" s="2"/>
      <c r="N2002" s="2" t="s">
        <v>43</v>
      </c>
    </row>
    <row r="2003" spans="1:14" x14ac:dyDescent="0.25">
      <c r="A2003" s="2" t="s">
        <v>5352</v>
      </c>
      <c r="B2003" s="2" t="s">
        <v>5353</v>
      </c>
      <c r="C2003" s="2" t="s">
        <v>53</v>
      </c>
      <c r="D2003" s="2" t="s">
        <v>54</v>
      </c>
      <c r="E2003" s="2" t="s">
        <v>85</v>
      </c>
      <c r="F2003" s="2" t="s">
        <v>131</v>
      </c>
      <c r="G2003" s="2" t="s">
        <v>97</v>
      </c>
      <c r="H2003" s="2" t="s">
        <v>32</v>
      </c>
      <c r="I2003" s="2">
        <v>48</v>
      </c>
      <c r="J2003" s="2" t="s">
        <v>22</v>
      </c>
      <c r="K2003" s="2" t="s">
        <v>5354</v>
      </c>
      <c r="L2003" s="2" t="s">
        <v>24</v>
      </c>
      <c r="M2003" s="2"/>
      <c r="N2003" s="2" t="s">
        <v>34</v>
      </c>
    </row>
    <row r="2004" spans="1:14" x14ac:dyDescent="0.25">
      <c r="A2004" s="2" t="s">
        <v>5355</v>
      </c>
      <c r="B2004" s="2" t="s">
        <v>5356</v>
      </c>
      <c r="C2004" s="2" t="s">
        <v>53</v>
      </c>
      <c r="D2004" s="2" t="s">
        <v>54</v>
      </c>
      <c r="E2004" s="2" t="s">
        <v>18</v>
      </c>
      <c r="F2004" s="2" t="s">
        <v>131</v>
      </c>
      <c r="G2004" s="2" t="s">
        <v>158</v>
      </c>
      <c r="H2004" s="2" t="s">
        <v>21</v>
      </c>
      <c r="I2004" s="2">
        <v>24</v>
      </c>
      <c r="J2004" s="2" t="s">
        <v>106</v>
      </c>
      <c r="K2004" s="2" t="s">
        <v>5357</v>
      </c>
      <c r="L2004" s="2" t="s">
        <v>24</v>
      </c>
      <c r="M2004" s="2"/>
      <c r="N2004" s="2" t="s">
        <v>50</v>
      </c>
    </row>
    <row r="2005" spans="1:14" x14ac:dyDescent="0.25">
      <c r="A2005" s="2" t="s">
        <v>5358</v>
      </c>
      <c r="B2005" s="2" t="s">
        <v>5359</v>
      </c>
      <c r="C2005" s="2" t="s">
        <v>67</v>
      </c>
      <c r="D2005" s="2" t="s">
        <v>68</v>
      </c>
      <c r="E2005" s="2" t="s">
        <v>46</v>
      </c>
      <c r="F2005" s="2" t="s">
        <v>47</v>
      </c>
      <c r="G2005" s="2" t="s">
        <v>139</v>
      </c>
      <c r="H2005" s="2" t="s">
        <v>21</v>
      </c>
      <c r="I2005" s="2">
        <v>24</v>
      </c>
      <c r="J2005" s="2" t="s">
        <v>106</v>
      </c>
      <c r="K2005" s="2" t="s">
        <v>5360</v>
      </c>
      <c r="L2005" s="2" t="s">
        <v>24</v>
      </c>
      <c r="M2005" s="2">
        <v>5</v>
      </c>
      <c r="N2005" s="2" t="s">
        <v>64</v>
      </c>
    </row>
    <row r="2006" spans="1:14" x14ac:dyDescent="0.25">
      <c r="A2006" s="2" t="s">
        <v>5361</v>
      </c>
      <c r="B2006" s="2" t="s">
        <v>5362</v>
      </c>
      <c r="C2006" s="2" t="s">
        <v>16</v>
      </c>
      <c r="D2006" s="2" t="s">
        <v>84</v>
      </c>
      <c r="E2006" s="2" t="s">
        <v>79</v>
      </c>
      <c r="F2006" s="2" t="s">
        <v>62</v>
      </c>
      <c r="G2006" s="2" t="s">
        <v>101</v>
      </c>
      <c r="H2006" s="2" t="s">
        <v>32</v>
      </c>
      <c r="I2006" s="2">
        <v>48</v>
      </c>
      <c r="J2006" s="2" t="s">
        <v>145</v>
      </c>
      <c r="K2006" s="2"/>
      <c r="L2006" s="2" t="s">
        <v>24</v>
      </c>
      <c r="M2006" s="2"/>
      <c r="N2006" s="2" t="s">
        <v>50</v>
      </c>
    </row>
    <row r="2007" spans="1:14" x14ac:dyDescent="0.25">
      <c r="A2007" s="2" t="s">
        <v>5363</v>
      </c>
      <c r="B2007" s="2" t="s">
        <v>5364</v>
      </c>
      <c r="C2007" s="2" t="s">
        <v>16</v>
      </c>
      <c r="D2007" s="2" t="s">
        <v>84</v>
      </c>
      <c r="E2007" s="2" t="s">
        <v>148</v>
      </c>
      <c r="F2007" s="2" t="s">
        <v>113</v>
      </c>
      <c r="G2007" s="2" t="s">
        <v>97</v>
      </c>
      <c r="H2007" s="2" t="s">
        <v>32</v>
      </c>
      <c r="I2007" s="2">
        <v>48</v>
      </c>
      <c r="J2007" s="2" t="s">
        <v>200</v>
      </c>
      <c r="K2007" s="2"/>
      <c r="L2007" s="2" t="s">
        <v>92</v>
      </c>
      <c r="M2007" s="2"/>
      <c r="N2007" s="2" t="s">
        <v>43</v>
      </c>
    </row>
    <row r="2008" spans="1:14" x14ac:dyDescent="0.25">
      <c r="A2008" s="2" t="s">
        <v>5365</v>
      </c>
      <c r="B2008" s="2" t="s">
        <v>5366</v>
      </c>
      <c r="C2008" s="2" t="s">
        <v>28</v>
      </c>
      <c r="D2008" s="2" t="s">
        <v>37</v>
      </c>
      <c r="E2008" s="2" t="s">
        <v>38</v>
      </c>
      <c r="F2008" s="2" t="s">
        <v>30</v>
      </c>
      <c r="G2008" s="2" t="s">
        <v>211</v>
      </c>
      <c r="H2008" s="2" t="s">
        <v>32</v>
      </c>
      <c r="I2008" s="2">
        <v>48</v>
      </c>
      <c r="J2008" s="2" t="s">
        <v>22</v>
      </c>
      <c r="K2008" s="2" t="s">
        <v>5367</v>
      </c>
      <c r="L2008" s="2" t="s">
        <v>24</v>
      </c>
      <c r="M2008" s="2">
        <v>1</v>
      </c>
      <c r="N2008" s="2" t="s">
        <v>43</v>
      </c>
    </row>
    <row r="2009" spans="1:14" x14ac:dyDescent="0.25">
      <c r="A2009" s="2" t="s">
        <v>5368</v>
      </c>
      <c r="B2009" s="2" t="s">
        <v>5369</v>
      </c>
      <c r="C2009" s="2" t="s">
        <v>16</v>
      </c>
      <c r="D2009" s="2" t="s">
        <v>17</v>
      </c>
      <c r="E2009" s="2" t="s">
        <v>90</v>
      </c>
      <c r="F2009" s="2" t="s">
        <v>30</v>
      </c>
      <c r="G2009" s="2" t="s">
        <v>91</v>
      </c>
      <c r="H2009" s="2" t="s">
        <v>32</v>
      </c>
      <c r="I2009" s="2">
        <v>48</v>
      </c>
      <c r="J2009" s="2" t="s">
        <v>486</v>
      </c>
      <c r="K2009" s="2" t="s">
        <v>5370</v>
      </c>
      <c r="L2009" s="2" t="s">
        <v>24</v>
      </c>
      <c r="M2009" s="2"/>
      <c r="N2009" s="2" t="s">
        <v>25</v>
      </c>
    </row>
    <row r="2010" spans="1:14" x14ac:dyDescent="0.25">
      <c r="A2010" s="2" t="s">
        <v>5371</v>
      </c>
      <c r="B2010" s="2" t="s">
        <v>5372</v>
      </c>
      <c r="C2010" s="2" t="s">
        <v>53</v>
      </c>
      <c r="D2010" s="2" t="s">
        <v>61</v>
      </c>
      <c r="E2010" s="2" t="s">
        <v>38</v>
      </c>
      <c r="F2010" s="2" t="s">
        <v>55</v>
      </c>
      <c r="G2010" s="2" t="s">
        <v>121</v>
      </c>
      <c r="H2010" s="2" t="s">
        <v>32</v>
      </c>
      <c r="I2010" s="2">
        <v>48</v>
      </c>
      <c r="J2010" s="2" t="s">
        <v>75</v>
      </c>
      <c r="K2010" s="2" t="s">
        <v>5373</v>
      </c>
      <c r="L2010" s="2" t="s">
        <v>92</v>
      </c>
      <c r="M2010" s="2"/>
      <c r="N2010" s="2" t="s">
        <v>128</v>
      </c>
    </row>
    <row r="2011" spans="1:14" x14ac:dyDescent="0.25">
      <c r="A2011" s="2" t="s">
        <v>5374</v>
      </c>
      <c r="B2011" s="2" t="s">
        <v>5375</v>
      </c>
      <c r="C2011" s="2" t="s">
        <v>67</v>
      </c>
      <c r="D2011" s="2" t="s">
        <v>68</v>
      </c>
      <c r="E2011" s="2" t="s">
        <v>46</v>
      </c>
      <c r="F2011" s="2" t="s">
        <v>19</v>
      </c>
      <c r="G2011" s="2" t="s">
        <v>183</v>
      </c>
      <c r="H2011" s="2" t="s">
        <v>32</v>
      </c>
      <c r="I2011" s="2">
        <v>48</v>
      </c>
      <c r="J2011" s="2" t="s">
        <v>187</v>
      </c>
      <c r="K2011" s="2" t="s">
        <v>5376</v>
      </c>
      <c r="L2011" s="2" t="s">
        <v>24</v>
      </c>
      <c r="M2011" s="2"/>
      <c r="N2011" s="2" t="s">
        <v>50</v>
      </c>
    </row>
    <row r="2012" spans="1:14" x14ac:dyDescent="0.25">
      <c r="A2012" s="2" t="s">
        <v>5377</v>
      </c>
      <c r="B2012" s="2" t="s">
        <v>5378</v>
      </c>
      <c r="C2012" s="2" t="s">
        <v>53</v>
      </c>
      <c r="D2012" s="2" t="s">
        <v>162</v>
      </c>
      <c r="E2012" s="2" t="s">
        <v>46</v>
      </c>
      <c r="F2012" s="2" t="s">
        <v>125</v>
      </c>
      <c r="G2012" s="2" t="s">
        <v>179</v>
      </c>
      <c r="H2012" s="2" t="s">
        <v>21</v>
      </c>
      <c r="I2012" s="2">
        <v>24</v>
      </c>
      <c r="J2012" s="2" t="s">
        <v>22</v>
      </c>
      <c r="K2012" s="2" t="s">
        <v>5379</v>
      </c>
      <c r="L2012" s="2" t="s">
        <v>24</v>
      </c>
      <c r="M2012" s="2">
        <v>1</v>
      </c>
      <c r="N2012" s="2" t="s">
        <v>128</v>
      </c>
    </row>
    <row r="2013" spans="1:14" x14ac:dyDescent="0.25">
      <c r="A2013" s="2" t="s">
        <v>5380</v>
      </c>
      <c r="B2013" s="2" t="s">
        <v>5381</v>
      </c>
      <c r="C2013" s="2" t="s">
        <v>28</v>
      </c>
      <c r="D2013" s="2" t="s">
        <v>100</v>
      </c>
      <c r="E2013" s="2" t="s">
        <v>38</v>
      </c>
      <c r="F2013" s="2" t="s">
        <v>19</v>
      </c>
      <c r="G2013" s="2" t="s">
        <v>91</v>
      </c>
      <c r="H2013" s="2" t="s">
        <v>74</v>
      </c>
      <c r="I2013" s="2">
        <v>8</v>
      </c>
      <c r="J2013" s="2" t="s">
        <v>41</v>
      </c>
      <c r="K2013" s="2" t="s">
        <v>5382</v>
      </c>
      <c r="L2013" s="2" t="s">
        <v>24</v>
      </c>
      <c r="M2013" s="2">
        <v>5</v>
      </c>
      <c r="N2013" s="2" t="s">
        <v>34</v>
      </c>
    </row>
    <row r="2014" spans="1:14" x14ac:dyDescent="0.25">
      <c r="A2014" s="2" t="s">
        <v>5383</v>
      </c>
      <c r="B2014" s="2" t="s">
        <v>5384</v>
      </c>
      <c r="C2014" s="2" t="s">
        <v>16</v>
      </c>
      <c r="D2014" s="2" t="s">
        <v>17</v>
      </c>
      <c r="E2014" s="2" t="s">
        <v>85</v>
      </c>
      <c r="F2014" s="2" t="s">
        <v>69</v>
      </c>
      <c r="G2014" s="2" t="s">
        <v>20</v>
      </c>
      <c r="H2014" s="2" t="s">
        <v>80</v>
      </c>
      <c r="I2014" s="2">
        <v>4</v>
      </c>
      <c r="J2014" s="2" t="s">
        <v>200</v>
      </c>
      <c r="K2014" s="2"/>
      <c r="L2014" s="2" t="s">
        <v>92</v>
      </c>
      <c r="M2014" s="2"/>
      <c r="N2014" s="2" t="s">
        <v>50</v>
      </c>
    </row>
    <row r="2015" spans="1:14" x14ac:dyDescent="0.25">
      <c r="A2015" s="2" t="s">
        <v>5385</v>
      </c>
      <c r="B2015" s="2" t="s">
        <v>5386</v>
      </c>
      <c r="C2015" s="2" t="s">
        <v>28</v>
      </c>
      <c r="D2015" s="2" t="s">
        <v>37</v>
      </c>
      <c r="E2015" s="2" t="s">
        <v>79</v>
      </c>
      <c r="F2015" s="2" t="s">
        <v>69</v>
      </c>
      <c r="G2015" s="2" t="s">
        <v>40</v>
      </c>
      <c r="H2015" s="2" t="s">
        <v>21</v>
      </c>
      <c r="I2015" s="2">
        <v>24</v>
      </c>
      <c r="J2015" s="2" t="s">
        <v>41</v>
      </c>
      <c r="K2015" s="2" t="s">
        <v>5387</v>
      </c>
      <c r="L2015" s="2" t="s">
        <v>24</v>
      </c>
      <c r="M2015" s="2">
        <v>5</v>
      </c>
      <c r="N2015" s="2" t="s">
        <v>34</v>
      </c>
    </row>
    <row r="2016" spans="1:14" x14ac:dyDescent="0.25">
      <c r="A2016" s="2" t="s">
        <v>5388</v>
      </c>
      <c r="B2016" s="2" t="s">
        <v>5389</v>
      </c>
      <c r="C2016" s="2" t="s">
        <v>28</v>
      </c>
      <c r="D2016" s="2" t="s">
        <v>37</v>
      </c>
      <c r="E2016" s="2" t="s">
        <v>85</v>
      </c>
      <c r="F2016" s="2" t="s">
        <v>39</v>
      </c>
      <c r="G2016" s="2" t="s">
        <v>110</v>
      </c>
      <c r="H2016" s="2" t="s">
        <v>21</v>
      </c>
      <c r="I2016" s="2">
        <v>24</v>
      </c>
      <c r="J2016" s="2" t="s">
        <v>22</v>
      </c>
      <c r="K2016" s="2" t="s">
        <v>5390</v>
      </c>
      <c r="L2016" s="2" t="s">
        <v>24</v>
      </c>
      <c r="M2016" s="2"/>
      <c r="N2016" s="2" t="s">
        <v>50</v>
      </c>
    </row>
    <row r="2017" spans="1:14" x14ac:dyDescent="0.25">
      <c r="A2017" s="2" t="s">
        <v>5391</v>
      </c>
      <c r="B2017" s="2" t="s">
        <v>5392</v>
      </c>
      <c r="C2017" s="2" t="s">
        <v>67</v>
      </c>
      <c r="D2017" s="2" t="s">
        <v>68</v>
      </c>
      <c r="E2017" s="2" t="s">
        <v>38</v>
      </c>
      <c r="F2017" s="2" t="s">
        <v>125</v>
      </c>
      <c r="G2017" s="2" t="s">
        <v>20</v>
      </c>
      <c r="H2017" s="2" t="s">
        <v>32</v>
      </c>
      <c r="I2017" s="2">
        <v>48</v>
      </c>
      <c r="J2017" s="2" t="s">
        <v>106</v>
      </c>
      <c r="K2017" s="2" t="s">
        <v>5393</v>
      </c>
      <c r="L2017" s="2" t="s">
        <v>24</v>
      </c>
      <c r="M2017" s="2">
        <v>2</v>
      </c>
      <c r="N2017" s="2"/>
    </row>
    <row r="2018" spans="1:14" x14ac:dyDescent="0.25">
      <c r="A2018" s="2" t="s">
        <v>5394</v>
      </c>
      <c r="B2018" s="2" t="s">
        <v>5395</v>
      </c>
      <c r="C2018" s="2" t="s">
        <v>67</v>
      </c>
      <c r="D2018" s="2" t="s">
        <v>95</v>
      </c>
      <c r="E2018" s="2" t="s">
        <v>79</v>
      </c>
      <c r="F2018" s="2" t="s">
        <v>55</v>
      </c>
      <c r="G2018" s="2" t="s">
        <v>211</v>
      </c>
      <c r="H2018" s="2" t="s">
        <v>32</v>
      </c>
      <c r="I2018" s="2">
        <v>48</v>
      </c>
      <c r="J2018" s="2" t="s">
        <v>200</v>
      </c>
      <c r="K2018" s="2"/>
      <c r="L2018" s="2" t="s">
        <v>92</v>
      </c>
      <c r="M2018" s="2"/>
      <c r="N2018" s="2" t="s">
        <v>25</v>
      </c>
    </row>
    <row r="2019" spans="1:14" x14ac:dyDescent="0.25">
      <c r="A2019" s="2" t="s">
        <v>5396</v>
      </c>
      <c r="B2019" s="2" t="s">
        <v>5397</v>
      </c>
      <c r="C2019" s="2" t="s">
        <v>53</v>
      </c>
      <c r="D2019" s="2" t="s">
        <v>54</v>
      </c>
      <c r="E2019" s="2" t="s">
        <v>79</v>
      </c>
      <c r="F2019" s="2" t="s">
        <v>30</v>
      </c>
      <c r="G2019" s="2" t="s">
        <v>70</v>
      </c>
      <c r="H2019" s="2" t="s">
        <v>74</v>
      </c>
      <c r="I2019" s="2">
        <v>8</v>
      </c>
      <c r="J2019" s="2" t="s">
        <v>486</v>
      </c>
      <c r="K2019" s="2" t="s">
        <v>5398</v>
      </c>
      <c r="L2019" s="2" t="s">
        <v>24</v>
      </c>
      <c r="M2019" s="2"/>
      <c r="N2019" s="2" t="s">
        <v>64</v>
      </c>
    </row>
    <row r="2020" spans="1:14" x14ac:dyDescent="0.25">
      <c r="A2020" s="2" t="s">
        <v>5399</v>
      </c>
      <c r="B2020" s="2" t="s">
        <v>5400</v>
      </c>
      <c r="C2020" s="2" t="s">
        <v>67</v>
      </c>
      <c r="D2020" s="2" t="s">
        <v>95</v>
      </c>
      <c r="E2020" s="2" t="s">
        <v>46</v>
      </c>
      <c r="F2020" s="2" t="s">
        <v>125</v>
      </c>
      <c r="G2020" s="2" t="s">
        <v>135</v>
      </c>
      <c r="H2020" s="2" t="s">
        <v>74</v>
      </c>
      <c r="I2020" s="2">
        <v>8</v>
      </c>
      <c r="J2020" s="2" t="s">
        <v>48</v>
      </c>
      <c r="K2020" s="2" t="s">
        <v>5401</v>
      </c>
      <c r="L2020" s="2" t="s">
        <v>24</v>
      </c>
      <c r="M2020" s="2">
        <v>5</v>
      </c>
      <c r="N2020" s="2"/>
    </row>
    <row r="2021" spans="1:14" x14ac:dyDescent="0.25">
      <c r="A2021" s="2" t="s">
        <v>5402</v>
      </c>
      <c r="B2021" s="2" t="s">
        <v>5403</v>
      </c>
      <c r="C2021" s="2" t="s">
        <v>67</v>
      </c>
      <c r="D2021" s="2" t="s">
        <v>68</v>
      </c>
      <c r="E2021" s="2" t="s">
        <v>38</v>
      </c>
      <c r="F2021" s="2" t="s">
        <v>39</v>
      </c>
      <c r="G2021" s="2" t="s">
        <v>70</v>
      </c>
      <c r="H2021" s="2" t="s">
        <v>32</v>
      </c>
      <c r="I2021" s="2">
        <v>48</v>
      </c>
      <c r="J2021" s="2" t="s">
        <v>149</v>
      </c>
      <c r="K2021" s="2"/>
      <c r="L2021" s="2" t="s">
        <v>24</v>
      </c>
      <c r="M2021" s="2"/>
      <c r="N2021" s="2" t="s">
        <v>58</v>
      </c>
    </row>
    <row r="2022" spans="1:14" x14ac:dyDescent="0.25">
      <c r="A2022" s="2" t="s">
        <v>5404</v>
      </c>
      <c r="B2022" s="2" t="s">
        <v>5405</v>
      </c>
      <c r="C2022" s="2" t="s">
        <v>28</v>
      </c>
      <c r="D2022" s="2" t="s">
        <v>37</v>
      </c>
      <c r="E2022" s="2" t="s">
        <v>85</v>
      </c>
      <c r="F2022" s="2" t="s">
        <v>69</v>
      </c>
      <c r="G2022" s="2" t="s">
        <v>91</v>
      </c>
      <c r="H2022" s="2" t="s">
        <v>32</v>
      </c>
      <c r="I2022" s="2">
        <v>48</v>
      </c>
      <c r="J2022" s="2" t="s">
        <v>232</v>
      </c>
      <c r="K2022" s="2"/>
      <c r="L2022" s="2" t="s">
        <v>92</v>
      </c>
      <c r="M2022" s="2"/>
      <c r="N2022" s="2" t="s">
        <v>34</v>
      </c>
    </row>
    <row r="2023" spans="1:14" x14ac:dyDescent="0.25">
      <c r="A2023" s="2" t="s">
        <v>5406</v>
      </c>
      <c r="B2023" s="2" t="s">
        <v>5407</v>
      </c>
      <c r="C2023" s="2" t="s">
        <v>16</v>
      </c>
      <c r="D2023" s="2" t="s">
        <v>17</v>
      </c>
      <c r="E2023" s="2" t="s">
        <v>85</v>
      </c>
      <c r="F2023" s="2" t="s">
        <v>47</v>
      </c>
      <c r="G2023" s="2" t="s">
        <v>97</v>
      </c>
      <c r="H2023" s="2" t="s">
        <v>21</v>
      </c>
      <c r="I2023" s="2">
        <v>24</v>
      </c>
      <c r="J2023" s="2" t="s">
        <v>149</v>
      </c>
      <c r="K2023" s="2"/>
      <c r="L2023" s="2" t="s">
        <v>24</v>
      </c>
      <c r="M2023" s="2"/>
      <c r="N2023" s="2" t="s">
        <v>43</v>
      </c>
    </row>
    <row r="2024" spans="1:14" x14ac:dyDescent="0.25">
      <c r="A2024" s="2" t="s">
        <v>5408</v>
      </c>
      <c r="B2024" s="2" t="s">
        <v>5409</v>
      </c>
      <c r="C2024" s="2" t="s">
        <v>53</v>
      </c>
      <c r="D2024" s="2" t="s">
        <v>61</v>
      </c>
      <c r="E2024" s="2" t="s">
        <v>85</v>
      </c>
      <c r="F2024" s="2" t="s">
        <v>143</v>
      </c>
      <c r="G2024" s="2" t="s">
        <v>31</v>
      </c>
      <c r="H2024" s="2" t="s">
        <v>21</v>
      </c>
      <c r="I2024" s="2">
        <v>24</v>
      </c>
      <c r="J2024" s="2" t="s">
        <v>22</v>
      </c>
      <c r="K2024" s="2" t="s">
        <v>5410</v>
      </c>
      <c r="L2024" s="2" t="s">
        <v>24</v>
      </c>
      <c r="M2024" s="2">
        <v>2</v>
      </c>
      <c r="N2024" s="2" t="s">
        <v>64</v>
      </c>
    </row>
    <row r="2025" spans="1:14" x14ac:dyDescent="0.25">
      <c r="A2025" s="2" t="s">
        <v>5411</v>
      </c>
      <c r="B2025" s="2" t="s">
        <v>5412</v>
      </c>
      <c r="C2025" s="2" t="s">
        <v>53</v>
      </c>
      <c r="D2025" s="2" t="s">
        <v>54</v>
      </c>
      <c r="E2025" s="2" t="s">
        <v>90</v>
      </c>
      <c r="F2025" s="2" t="s">
        <v>47</v>
      </c>
      <c r="G2025" s="2" t="s">
        <v>31</v>
      </c>
      <c r="H2025" s="2" t="s">
        <v>21</v>
      </c>
      <c r="I2025" s="2">
        <v>24</v>
      </c>
      <c r="J2025" s="2" t="s">
        <v>232</v>
      </c>
      <c r="K2025" s="2"/>
      <c r="L2025" s="2" t="s">
        <v>92</v>
      </c>
      <c r="M2025" s="2"/>
      <c r="N2025" s="2" t="s">
        <v>34</v>
      </c>
    </row>
    <row r="2026" spans="1:14" x14ac:dyDescent="0.25">
      <c r="A2026" s="2" t="s">
        <v>5413</v>
      </c>
      <c r="B2026" s="2" t="s">
        <v>5414</v>
      </c>
      <c r="C2026" s="2" t="s">
        <v>53</v>
      </c>
      <c r="D2026" s="2" t="s">
        <v>61</v>
      </c>
      <c r="E2026" s="2" t="s">
        <v>90</v>
      </c>
      <c r="F2026" s="2" t="s">
        <v>131</v>
      </c>
      <c r="G2026" s="2" t="s">
        <v>101</v>
      </c>
      <c r="H2026" s="2" t="s">
        <v>80</v>
      </c>
      <c r="I2026" s="2">
        <v>4</v>
      </c>
      <c r="J2026" s="2" t="s">
        <v>11</v>
      </c>
      <c r="K2026" s="2"/>
      <c r="L2026" s="2" t="s">
        <v>92</v>
      </c>
      <c r="M2026" s="2"/>
      <c r="N2026" s="2"/>
    </row>
    <row r="2027" spans="1:14" x14ac:dyDescent="0.25">
      <c r="A2027" s="2" t="s">
        <v>5415</v>
      </c>
      <c r="B2027" s="2" t="s">
        <v>5416</v>
      </c>
      <c r="C2027" s="2" t="s">
        <v>28</v>
      </c>
      <c r="D2027" s="2" t="s">
        <v>220</v>
      </c>
      <c r="E2027" s="2" t="s">
        <v>85</v>
      </c>
      <c r="F2027" s="2" t="s">
        <v>96</v>
      </c>
      <c r="G2027" s="2" t="s">
        <v>158</v>
      </c>
      <c r="H2027" s="2" t="s">
        <v>21</v>
      </c>
      <c r="I2027" s="2">
        <v>24</v>
      </c>
      <c r="J2027" s="2" t="s">
        <v>22</v>
      </c>
      <c r="K2027" s="2" t="s">
        <v>5417</v>
      </c>
      <c r="L2027" s="2" t="s">
        <v>24</v>
      </c>
      <c r="M2027" s="2">
        <v>4</v>
      </c>
      <c r="N2027" s="2" t="s">
        <v>50</v>
      </c>
    </row>
    <row r="2028" spans="1:14" x14ac:dyDescent="0.25">
      <c r="A2028" s="2" t="s">
        <v>5418</v>
      </c>
      <c r="B2028" s="2" t="s">
        <v>5419</v>
      </c>
      <c r="C2028" s="2" t="s">
        <v>28</v>
      </c>
      <c r="D2028" s="2" t="s">
        <v>100</v>
      </c>
      <c r="E2028" s="2" t="s">
        <v>85</v>
      </c>
      <c r="F2028" s="2" t="s">
        <v>113</v>
      </c>
      <c r="G2028" s="2" t="s">
        <v>70</v>
      </c>
      <c r="H2028" s="2" t="s">
        <v>74</v>
      </c>
      <c r="I2028" s="2">
        <v>8</v>
      </c>
      <c r="J2028" s="2" t="s">
        <v>191</v>
      </c>
      <c r="K2028" s="2"/>
      <c r="L2028" s="2" t="s">
        <v>92</v>
      </c>
      <c r="M2028" s="2"/>
      <c r="N2028" s="2"/>
    </row>
    <row r="2029" spans="1:14" x14ac:dyDescent="0.25">
      <c r="A2029" s="2" t="s">
        <v>5420</v>
      </c>
      <c r="B2029" s="2" t="s">
        <v>5421</v>
      </c>
      <c r="C2029" s="2" t="s">
        <v>67</v>
      </c>
      <c r="D2029" s="2" t="s">
        <v>95</v>
      </c>
      <c r="E2029" s="2" t="s">
        <v>85</v>
      </c>
      <c r="F2029" s="2" t="s">
        <v>113</v>
      </c>
      <c r="G2029" s="2" t="s">
        <v>126</v>
      </c>
      <c r="H2029" s="2" t="s">
        <v>74</v>
      </c>
      <c r="I2029" s="2">
        <v>8</v>
      </c>
      <c r="J2029" s="2" t="s">
        <v>155</v>
      </c>
      <c r="K2029" s="2"/>
      <c r="L2029" s="2" t="s">
        <v>24</v>
      </c>
      <c r="M2029" s="2"/>
      <c r="N2029" s="2" t="s">
        <v>43</v>
      </c>
    </row>
    <row r="2030" spans="1:14" x14ac:dyDescent="0.25">
      <c r="A2030" s="2" t="s">
        <v>5422</v>
      </c>
      <c r="B2030" s="2" t="s">
        <v>5423</v>
      </c>
      <c r="C2030" s="2" t="s">
        <v>67</v>
      </c>
      <c r="D2030" s="2" t="s">
        <v>95</v>
      </c>
      <c r="E2030" s="2" t="s">
        <v>18</v>
      </c>
      <c r="F2030" s="2" t="s">
        <v>69</v>
      </c>
      <c r="G2030" s="2" t="s">
        <v>135</v>
      </c>
      <c r="H2030" s="2" t="s">
        <v>32</v>
      </c>
      <c r="I2030" s="2">
        <v>48</v>
      </c>
      <c r="J2030" s="2" t="s">
        <v>75</v>
      </c>
      <c r="K2030" s="2" t="s">
        <v>5424</v>
      </c>
      <c r="L2030" s="2" t="s">
        <v>24</v>
      </c>
      <c r="M2030" s="2">
        <v>5</v>
      </c>
      <c r="N2030" s="2" t="s">
        <v>43</v>
      </c>
    </row>
    <row r="2031" spans="1:14" x14ac:dyDescent="0.25">
      <c r="A2031" s="2" t="s">
        <v>5425</v>
      </c>
      <c r="B2031" s="2" t="s">
        <v>5426</v>
      </c>
      <c r="C2031" s="2" t="s">
        <v>28</v>
      </c>
      <c r="D2031" s="2" t="s">
        <v>37</v>
      </c>
      <c r="E2031" s="2" t="s">
        <v>46</v>
      </c>
      <c r="F2031" s="2" t="s">
        <v>62</v>
      </c>
      <c r="G2031" s="2" t="s">
        <v>126</v>
      </c>
      <c r="H2031" s="2" t="s">
        <v>21</v>
      </c>
      <c r="I2031" s="2">
        <v>24</v>
      </c>
      <c r="J2031" s="2" t="s">
        <v>106</v>
      </c>
      <c r="K2031" s="2" t="s">
        <v>5427</v>
      </c>
      <c r="L2031" s="2" t="s">
        <v>24</v>
      </c>
      <c r="M2031" s="2">
        <v>3</v>
      </c>
      <c r="N2031" s="2" t="s">
        <v>118</v>
      </c>
    </row>
    <row r="2032" spans="1:14" x14ac:dyDescent="0.25">
      <c r="A2032" s="2" t="s">
        <v>5428</v>
      </c>
      <c r="B2032" s="2" t="s">
        <v>5429</v>
      </c>
      <c r="C2032" s="2" t="s">
        <v>67</v>
      </c>
      <c r="D2032" s="2" t="s">
        <v>95</v>
      </c>
      <c r="E2032" s="2" t="s">
        <v>148</v>
      </c>
      <c r="F2032" s="2" t="s">
        <v>96</v>
      </c>
      <c r="G2032" s="2" t="s">
        <v>211</v>
      </c>
      <c r="H2032" s="2" t="s">
        <v>74</v>
      </c>
      <c r="I2032" s="2">
        <v>8</v>
      </c>
      <c r="J2032" s="2" t="s">
        <v>117</v>
      </c>
      <c r="K2032" s="2"/>
      <c r="L2032" s="2" t="s">
        <v>24</v>
      </c>
      <c r="M2032" s="2"/>
      <c r="N2032" s="2" t="s">
        <v>50</v>
      </c>
    </row>
    <row r="2033" spans="1:14" x14ac:dyDescent="0.25">
      <c r="A2033" s="2" t="s">
        <v>5430</v>
      </c>
      <c r="B2033" s="2" t="s">
        <v>5431</v>
      </c>
      <c r="C2033" s="2" t="s">
        <v>67</v>
      </c>
      <c r="D2033" s="2" t="s">
        <v>68</v>
      </c>
      <c r="E2033" s="2" t="s">
        <v>85</v>
      </c>
      <c r="F2033" s="2" t="s">
        <v>19</v>
      </c>
      <c r="G2033" s="2" t="s">
        <v>101</v>
      </c>
      <c r="H2033" s="2" t="s">
        <v>74</v>
      </c>
      <c r="I2033" s="2">
        <v>8</v>
      </c>
      <c r="J2033" s="2" t="s">
        <v>232</v>
      </c>
      <c r="K2033" s="2"/>
      <c r="L2033" s="2" t="s">
        <v>92</v>
      </c>
      <c r="M2033" s="2"/>
      <c r="N2033" s="2"/>
    </row>
    <row r="2034" spans="1:14" x14ac:dyDescent="0.25">
      <c r="A2034" s="2" t="s">
        <v>5432</v>
      </c>
      <c r="B2034" s="2" t="s">
        <v>5433</v>
      </c>
      <c r="C2034" s="2" t="s">
        <v>16</v>
      </c>
      <c r="D2034" s="2" t="s">
        <v>84</v>
      </c>
      <c r="E2034" s="2" t="s">
        <v>38</v>
      </c>
      <c r="F2034" s="2" t="s">
        <v>69</v>
      </c>
      <c r="G2034" s="2" t="s">
        <v>20</v>
      </c>
      <c r="H2034" s="2" t="s">
        <v>21</v>
      </c>
      <c r="I2034" s="2">
        <v>24</v>
      </c>
      <c r="J2034" s="2" t="s">
        <v>232</v>
      </c>
      <c r="K2034" s="2"/>
      <c r="L2034" s="2" t="s">
        <v>92</v>
      </c>
      <c r="M2034" s="2"/>
      <c r="N2034" s="2" t="s">
        <v>58</v>
      </c>
    </row>
    <row r="2035" spans="1:14" x14ac:dyDescent="0.25">
      <c r="A2035" s="2" t="s">
        <v>5434</v>
      </c>
      <c r="B2035" s="2" t="s">
        <v>5435</v>
      </c>
      <c r="C2035" s="2" t="s">
        <v>16</v>
      </c>
      <c r="D2035" s="2" t="s">
        <v>84</v>
      </c>
      <c r="E2035" s="2" t="s">
        <v>148</v>
      </c>
      <c r="F2035" s="2" t="s">
        <v>19</v>
      </c>
      <c r="G2035" s="2" t="s">
        <v>40</v>
      </c>
      <c r="H2035" s="2" t="s">
        <v>74</v>
      </c>
      <c r="I2035" s="2">
        <v>8</v>
      </c>
      <c r="J2035" s="2" t="s">
        <v>48</v>
      </c>
      <c r="K2035" s="2" t="s">
        <v>5436</v>
      </c>
      <c r="L2035" s="2" t="s">
        <v>24</v>
      </c>
      <c r="M2035" s="2">
        <v>4</v>
      </c>
      <c r="N2035" s="2" t="s">
        <v>64</v>
      </c>
    </row>
    <row r="2036" spans="1:14" x14ac:dyDescent="0.25">
      <c r="A2036" s="2" t="s">
        <v>3817</v>
      </c>
      <c r="B2036" s="2" t="s">
        <v>3818</v>
      </c>
      <c r="C2036" s="2" t="s">
        <v>53</v>
      </c>
      <c r="D2036" s="2" t="s">
        <v>54</v>
      </c>
      <c r="E2036" s="2" t="s">
        <v>90</v>
      </c>
      <c r="F2036" s="2" t="s">
        <v>69</v>
      </c>
      <c r="G2036" s="2" t="s">
        <v>91</v>
      </c>
      <c r="H2036" s="2" t="s">
        <v>21</v>
      </c>
      <c r="I2036" s="2">
        <v>24</v>
      </c>
      <c r="J2036" s="2" t="s">
        <v>48</v>
      </c>
      <c r="K2036" s="2" t="s">
        <v>3819</v>
      </c>
      <c r="L2036" s="2" t="s">
        <v>24</v>
      </c>
      <c r="M2036" s="2">
        <v>1</v>
      </c>
      <c r="N2036" s="2" t="s">
        <v>50</v>
      </c>
    </row>
    <row r="2037" spans="1:14" x14ac:dyDescent="0.25">
      <c r="A2037" s="2" t="s">
        <v>5437</v>
      </c>
      <c r="B2037" s="2" t="s">
        <v>5438</v>
      </c>
      <c r="C2037" s="2" t="s">
        <v>67</v>
      </c>
      <c r="D2037" s="2" t="s">
        <v>95</v>
      </c>
      <c r="E2037" s="2" t="s">
        <v>46</v>
      </c>
      <c r="F2037" s="2" t="s">
        <v>39</v>
      </c>
      <c r="G2037" s="2" t="s">
        <v>105</v>
      </c>
      <c r="H2037" s="2" t="s">
        <v>74</v>
      </c>
      <c r="I2037" s="2">
        <v>8</v>
      </c>
      <c r="J2037" s="2" t="s">
        <v>75</v>
      </c>
      <c r="K2037" s="2" t="s">
        <v>5439</v>
      </c>
      <c r="L2037" s="2" t="s">
        <v>24</v>
      </c>
      <c r="M2037" s="2">
        <v>5</v>
      </c>
      <c r="N2037" s="2"/>
    </row>
    <row r="2038" spans="1:14" x14ac:dyDescent="0.25">
      <c r="A2038" s="2" t="s">
        <v>5440</v>
      </c>
      <c r="B2038" s="2" t="s">
        <v>5441</v>
      </c>
      <c r="C2038" s="2" t="s">
        <v>67</v>
      </c>
      <c r="D2038" s="2" t="s">
        <v>95</v>
      </c>
      <c r="E2038" s="2" t="s">
        <v>85</v>
      </c>
      <c r="F2038" s="2" t="s">
        <v>19</v>
      </c>
      <c r="G2038" s="2" t="s">
        <v>40</v>
      </c>
      <c r="H2038" s="2" t="s">
        <v>80</v>
      </c>
      <c r="I2038" s="2">
        <v>4</v>
      </c>
      <c r="J2038" s="2" t="s">
        <v>106</v>
      </c>
      <c r="K2038" s="2" t="s">
        <v>5442</v>
      </c>
      <c r="L2038" s="2" t="s">
        <v>24</v>
      </c>
      <c r="M2038" s="2"/>
      <c r="N2038" s="2" t="s">
        <v>50</v>
      </c>
    </row>
    <row r="2039" spans="1:14" x14ac:dyDescent="0.25">
      <c r="A2039" s="2" t="s">
        <v>5443</v>
      </c>
      <c r="B2039" s="2" t="s">
        <v>5444</v>
      </c>
      <c r="C2039" s="2" t="s">
        <v>28</v>
      </c>
      <c r="D2039" s="2" t="s">
        <v>37</v>
      </c>
      <c r="E2039" s="2" t="s">
        <v>90</v>
      </c>
      <c r="F2039" s="2" t="s">
        <v>131</v>
      </c>
      <c r="G2039" s="2" t="s">
        <v>211</v>
      </c>
      <c r="H2039" s="2" t="s">
        <v>32</v>
      </c>
      <c r="I2039" s="2">
        <v>48</v>
      </c>
      <c r="J2039" s="2" t="s">
        <v>22</v>
      </c>
      <c r="K2039" s="2" t="s">
        <v>5445</v>
      </c>
      <c r="L2039" s="2" t="s">
        <v>24</v>
      </c>
      <c r="M2039" s="2"/>
      <c r="N2039" s="2" t="s">
        <v>34</v>
      </c>
    </row>
    <row r="2040" spans="1:14" x14ac:dyDescent="0.25">
      <c r="A2040" s="2" t="s">
        <v>5446</v>
      </c>
      <c r="B2040" s="2" t="s">
        <v>5447</v>
      </c>
      <c r="C2040" s="2" t="s">
        <v>16</v>
      </c>
      <c r="D2040" s="2" t="s">
        <v>17</v>
      </c>
      <c r="E2040" s="2" t="s">
        <v>85</v>
      </c>
      <c r="F2040" s="2" t="s">
        <v>19</v>
      </c>
      <c r="G2040" s="2" t="s">
        <v>20</v>
      </c>
      <c r="H2040" s="2" t="s">
        <v>32</v>
      </c>
      <c r="I2040" s="2">
        <v>48</v>
      </c>
      <c r="J2040" s="2" t="s">
        <v>117</v>
      </c>
      <c r="K2040" s="2"/>
      <c r="L2040" s="2" t="s">
        <v>24</v>
      </c>
      <c r="M2040" s="2"/>
      <c r="N2040" s="2" t="s">
        <v>128</v>
      </c>
    </row>
    <row r="2041" spans="1:14" x14ac:dyDescent="0.25">
      <c r="A2041" s="2" t="s">
        <v>5448</v>
      </c>
      <c r="B2041" s="2" t="s">
        <v>5449</v>
      </c>
      <c r="C2041" s="2" t="s">
        <v>28</v>
      </c>
      <c r="D2041" s="2" t="s">
        <v>37</v>
      </c>
      <c r="E2041" s="2" t="s">
        <v>79</v>
      </c>
      <c r="F2041" s="2" t="s">
        <v>131</v>
      </c>
      <c r="G2041" s="2" t="s">
        <v>139</v>
      </c>
      <c r="H2041" s="2" t="s">
        <v>21</v>
      </c>
      <c r="I2041" s="2">
        <v>24</v>
      </c>
      <c r="J2041" s="2" t="s">
        <v>187</v>
      </c>
      <c r="K2041" s="2" t="s">
        <v>5450</v>
      </c>
      <c r="L2041" s="2" t="s">
        <v>24</v>
      </c>
      <c r="M2041" s="2">
        <v>2</v>
      </c>
      <c r="N2041" s="2" t="s">
        <v>58</v>
      </c>
    </row>
    <row r="2042" spans="1:14" x14ac:dyDescent="0.25">
      <c r="A2042" s="2" t="s">
        <v>5451</v>
      </c>
      <c r="B2042" s="2" t="s">
        <v>5452</v>
      </c>
      <c r="C2042" s="2" t="s">
        <v>16</v>
      </c>
      <c r="D2042" s="2" t="s">
        <v>17</v>
      </c>
      <c r="E2042" s="2" t="s">
        <v>79</v>
      </c>
      <c r="F2042" s="2" t="s">
        <v>143</v>
      </c>
      <c r="G2042" s="2" t="s">
        <v>97</v>
      </c>
      <c r="H2042" s="2" t="s">
        <v>74</v>
      </c>
      <c r="I2042" s="2">
        <v>8</v>
      </c>
      <c r="J2042" s="2" t="s">
        <v>149</v>
      </c>
      <c r="K2042" s="2"/>
      <c r="L2042" s="2" t="s">
        <v>24</v>
      </c>
      <c r="M2042" s="2"/>
      <c r="N2042" s="2"/>
    </row>
    <row r="2043" spans="1:14" x14ac:dyDescent="0.25">
      <c r="A2043" s="2" t="s">
        <v>5453</v>
      </c>
      <c r="B2043" s="2" t="s">
        <v>5454</v>
      </c>
      <c r="C2043" s="2" t="s">
        <v>67</v>
      </c>
      <c r="D2043" s="2" t="s">
        <v>95</v>
      </c>
      <c r="E2043" s="2" t="s">
        <v>18</v>
      </c>
      <c r="F2043" s="2" t="s">
        <v>39</v>
      </c>
      <c r="G2043" s="2" t="s">
        <v>139</v>
      </c>
      <c r="H2043" s="2" t="s">
        <v>32</v>
      </c>
      <c r="I2043" s="2">
        <v>48</v>
      </c>
      <c r="J2043" s="2" t="s">
        <v>145</v>
      </c>
      <c r="K2043" s="2"/>
      <c r="L2043" s="2" t="s">
        <v>24</v>
      </c>
      <c r="M2043" s="2"/>
      <c r="N2043" s="2" t="s">
        <v>64</v>
      </c>
    </row>
    <row r="2044" spans="1:14" x14ac:dyDescent="0.25">
      <c r="A2044" s="2" t="s">
        <v>5455</v>
      </c>
      <c r="B2044" s="2" t="s">
        <v>5456</v>
      </c>
      <c r="C2044" s="2" t="s">
        <v>28</v>
      </c>
      <c r="D2044" s="2" t="s">
        <v>100</v>
      </c>
      <c r="E2044" s="2" t="s">
        <v>38</v>
      </c>
      <c r="F2044" s="2" t="s">
        <v>113</v>
      </c>
      <c r="G2044" s="2" t="s">
        <v>20</v>
      </c>
      <c r="H2044" s="2" t="s">
        <v>80</v>
      </c>
      <c r="I2044" s="2">
        <v>4</v>
      </c>
      <c r="J2044" s="2" t="s">
        <v>22</v>
      </c>
      <c r="K2044" s="2" t="s">
        <v>5457</v>
      </c>
      <c r="L2044" s="2" t="s">
        <v>24</v>
      </c>
      <c r="M2044" s="2">
        <v>5</v>
      </c>
      <c r="N2044" s="2" t="s">
        <v>25</v>
      </c>
    </row>
    <row r="2045" spans="1:14" x14ac:dyDescent="0.25">
      <c r="A2045" s="2" t="s">
        <v>5458</v>
      </c>
      <c r="B2045" s="2" t="s">
        <v>5459</v>
      </c>
      <c r="C2045" s="2" t="s">
        <v>16</v>
      </c>
      <c r="D2045" s="2" t="s">
        <v>84</v>
      </c>
      <c r="E2045" s="2" t="s">
        <v>85</v>
      </c>
      <c r="F2045" s="2" t="s">
        <v>131</v>
      </c>
      <c r="G2045" s="2" t="s">
        <v>101</v>
      </c>
      <c r="H2045" s="2" t="s">
        <v>74</v>
      </c>
      <c r="I2045" s="2">
        <v>8</v>
      </c>
      <c r="J2045" s="2" t="s">
        <v>48</v>
      </c>
      <c r="K2045" s="2"/>
      <c r="L2045" s="2" t="s">
        <v>24</v>
      </c>
      <c r="M2045" s="2">
        <v>4</v>
      </c>
      <c r="N2045" s="2"/>
    </row>
    <row r="2046" spans="1:14" x14ac:dyDescent="0.25">
      <c r="A2046" s="2" t="s">
        <v>5460</v>
      </c>
      <c r="B2046" s="2" t="s">
        <v>5461</v>
      </c>
      <c r="C2046" s="2" t="s">
        <v>67</v>
      </c>
      <c r="D2046" s="2" t="s">
        <v>95</v>
      </c>
      <c r="E2046" s="2" t="s">
        <v>38</v>
      </c>
      <c r="F2046" s="2" t="s">
        <v>113</v>
      </c>
      <c r="G2046" s="2" t="s">
        <v>158</v>
      </c>
      <c r="H2046" s="2" t="s">
        <v>21</v>
      </c>
      <c r="I2046" s="2">
        <v>24</v>
      </c>
      <c r="J2046" s="2" t="s">
        <v>48</v>
      </c>
      <c r="K2046" s="2" t="s">
        <v>5462</v>
      </c>
      <c r="L2046" s="2" t="s">
        <v>24</v>
      </c>
      <c r="M2046" s="2">
        <v>5</v>
      </c>
      <c r="N2046" s="2" t="s">
        <v>128</v>
      </c>
    </row>
    <row r="2047" spans="1:14" x14ac:dyDescent="0.25">
      <c r="A2047" s="2" t="s">
        <v>5463</v>
      </c>
      <c r="B2047" s="2" t="s">
        <v>5464</v>
      </c>
      <c r="C2047" s="2" t="s">
        <v>28</v>
      </c>
      <c r="D2047" s="2" t="s">
        <v>100</v>
      </c>
      <c r="E2047" s="2" t="s">
        <v>90</v>
      </c>
      <c r="F2047" s="2" t="s">
        <v>96</v>
      </c>
      <c r="G2047" s="2" t="s">
        <v>110</v>
      </c>
      <c r="H2047" s="2" t="s">
        <v>74</v>
      </c>
      <c r="I2047" s="2">
        <v>8</v>
      </c>
      <c r="J2047" s="2" t="s">
        <v>145</v>
      </c>
      <c r="K2047" s="2"/>
      <c r="L2047" s="2" t="s">
        <v>24</v>
      </c>
      <c r="M2047" s="2"/>
      <c r="N2047" s="2" t="s">
        <v>25</v>
      </c>
    </row>
    <row r="2048" spans="1:14" x14ac:dyDescent="0.25">
      <c r="A2048" s="2" t="s">
        <v>5465</v>
      </c>
      <c r="B2048" s="2" t="s">
        <v>5466</v>
      </c>
      <c r="C2048" s="2" t="s">
        <v>53</v>
      </c>
      <c r="D2048" s="2" t="s">
        <v>61</v>
      </c>
      <c r="E2048" s="2" t="s">
        <v>90</v>
      </c>
      <c r="F2048" s="2" t="s">
        <v>19</v>
      </c>
      <c r="G2048" s="2" t="s">
        <v>126</v>
      </c>
      <c r="H2048" s="2" t="s">
        <v>21</v>
      </c>
      <c r="I2048" s="2">
        <v>24</v>
      </c>
      <c r="J2048" s="2" t="s">
        <v>200</v>
      </c>
      <c r="K2048" s="2"/>
      <c r="L2048" s="2" t="s">
        <v>92</v>
      </c>
      <c r="M2048" s="2"/>
      <c r="N2048" s="2" t="s">
        <v>25</v>
      </c>
    </row>
    <row r="2049" spans="1:14" x14ac:dyDescent="0.25">
      <c r="A2049" s="2" t="s">
        <v>5467</v>
      </c>
      <c r="B2049" s="2" t="s">
        <v>5468</v>
      </c>
      <c r="C2049" s="2" t="s">
        <v>53</v>
      </c>
      <c r="D2049" s="2" t="s">
        <v>61</v>
      </c>
      <c r="E2049" s="2" t="s">
        <v>46</v>
      </c>
      <c r="F2049" s="2" t="s">
        <v>62</v>
      </c>
      <c r="G2049" s="2" t="s">
        <v>158</v>
      </c>
      <c r="H2049" s="2" t="s">
        <v>32</v>
      </c>
      <c r="I2049" s="2">
        <v>48</v>
      </c>
      <c r="J2049" s="2" t="s">
        <v>41</v>
      </c>
      <c r="K2049" s="2" t="s">
        <v>5469</v>
      </c>
      <c r="L2049" s="2" t="s">
        <v>24</v>
      </c>
      <c r="M2049" s="2"/>
      <c r="N2049" s="2" t="s">
        <v>34</v>
      </c>
    </row>
    <row r="2050" spans="1:14" x14ac:dyDescent="0.25">
      <c r="A2050" s="2" t="s">
        <v>5470</v>
      </c>
      <c r="B2050" s="2" t="s">
        <v>5471</v>
      </c>
      <c r="C2050" s="2" t="s">
        <v>28</v>
      </c>
      <c r="D2050" s="2" t="s">
        <v>37</v>
      </c>
      <c r="E2050" s="2" t="s">
        <v>18</v>
      </c>
      <c r="F2050" s="2" t="s">
        <v>30</v>
      </c>
      <c r="G2050" s="2" t="s">
        <v>20</v>
      </c>
      <c r="H2050" s="2" t="s">
        <v>32</v>
      </c>
      <c r="I2050" s="2">
        <v>48</v>
      </c>
      <c r="J2050" s="2" t="s">
        <v>48</v>
      </c>
      <c r="K2050" s="2" t="s">
        <v>5472</v>
      </c>
      <c r="L2050" s="2" t="s">
        <v>24</v>
      </c>
      <c r="M2050" s="2">
        <v>3</v>
      </c>
      <c r="N2050" s="2" t="s">
        <v>58</v>
      </c>
    </row>
    <row r="2051" spans="1:14" x14ac:dyDescent="0.25">
      <c r="A2051" s="2" t="s">
        <v>5473</v>
      </c>
      <c r="B2051" s="2" t="s">
        <v>5474</v>
      </c>
      <c r="C2051" s="2" t="s">
        <v>16</v>
      </c>
      <c r="D2051" s="2" t="s">
        <v>84</v>
      </c>
      <c r="E2051" s="2" t="s">
        <v>148</v>
      </c>
      <c r="F2051" s="2" t="s">
        <v>55</v>
      </c>
      <c r="G2051" s="2" t="s">
        <v>135</v>
      </c>
      <c r="H2051" s="2" t="s">
        <v>32</v>
      </c>
      <c r="I2051" s="2">
        <v>48</v>
      </c>
      <c r="J2051" s="2" t="s">
        <v>232</v>
      </c>
      <c r="K2051" s="2"/>
      <c r="L2051" s="2" t="s">
        <v>92</v>
      </c>
      <c r="M2051" s="2"/>
      <c r="N2051" s="2" t="s">
        <v>118</v>
      </c>
    </row>
    <row r="2052" spans="1:14" x14ac:dyDescent="0.25">
      <c r="A2052" s="2" t="s">
        <v>5475</v>
      </c>
      <c r="B2052" s="2" t="s">
        <v>5476</v>
      </c>
      <c r="C2052" s="2" t="s">
        <v>16</v>
      </c>
      <c r="D2052" s="2" t="s">
        <v>17</v>
      </c>
      <c r="E2052" s="2" t="s">
        <v>46</v>
      </c>
      <c r="F2052" s="2" t="s">
        <v>69</v>
      </c>
      <c r="G2052" s="2" t="s">
        <v>158</v>
      </c>
      <c r="H2052" s="2" t="s">
        <v>21</v>
      </c>
      <c r="I2052" s="2">
        <v>24</v>
      </c>
      <c r="J2052" s="2" t="s">
        <v>48</v>
      </c>
      <c r="K2052" s="2"/>
      <c r="L2052" s="2" t="s">
        <v>24</v>
      </c>
      <c r="M2052" s="2">
        <v>4</v>
      </c>
      <c r="N2052" s="2"/>
    </row>
    <row r="2053" spans="1:14" x14ac:dyDescent="0.25">
      <c r="A2053" s="2" t="s">
        <v>5477</v>
      </c>
      <c r="B2053" s="2" t="s">
        <v>5478</v>
      </c>
      <c r="C2053" s="2" t="s">
        <v>28</v>
      </c>
      <c r="D2053" s="2" t="s">
        <v>37</v>
      </c>
      <c r="E2053" s="2" t="s">
        <v>85</v>
      </c>
      <c r="F2053" s="2" t="s">
        <v>143</v>
      </c>
      <c r="G2053" s="2" t="s">
        <v>97</v>
      </c>
      <c r="H2053" s="2" t="s">
        <v>21</v>
      </c>
      <c r="I2053" s="2">
        <v>24</v>
      </c>
      <c r="J2053" s="2" t="s">
        <v>11</v>
      </c>
      <c r="K2053" s="2"/>
      <c r="L2053" s="2" t="s">
        <v>92</v>
      </c>
      <c r="M2053" s="2"/>
      <c r="N2053" s="2"/>
    </row>
    <row r="2054" spans="1:14" x14ac:dyDescent="0.25">
      <c r="A2054" s="2" t="s">
        <v>5406</v>
      </c>
      <c r="B2054" s="2" t="s">
        <v>5407</v>
      </c>
      <c r="C2054" s="2" t="s">
        <v>16</v>
      </c>
      <c r="D2054" s="2" t="s">
        <v>17</v>
      </c>
      <c r="E2054" s="2" t="s">
        <v>85</v>
      </c>
      <c r="F2054" s="2" t="s">
        <v>47</v>
      </c>
      <c r="G2054" s="2" t="s">
        <v>97</v>
      </c>
      <c r="H2054" s="2" t="s">
        <v>21</v>
      </c>
      <c r="I2054" s="2">
        <v>24</v>
      </c>
      <c r="J2054" s="2" t="s">
        <v>149</v>
      </c>
      <c r="K2054" s="2"/>
      <c r="L2054" s="2" t="s">
        <v>24</v>
      </c>
      <c r="M2054" s="2"/>
      <c r="N2054" s="2" t="s">
        <v>43</v>
      </c>
    </row>
    <row r="2055" spans="1:14" x14ac:dyDescent="0.25">
      <c r="A2055" s="2" t="s">
        <v>5479</v>
      </c>
      <c r="B2055" s="2" t="s">
        <v>5480</v>
      </c>
      <c r="C2055" s="2" t="s">
        <v>16</v>
      </c>
      <c r="D2055" s="2" t="s">
        <v>17</v>
      </c>
      <c r="E2055" s="2" t="s">
        <v>79</v>
      </c>
      <c r="F2055" s="2" t="s">
        <v>62</v>
      </c>
      <c r="G2055" s="2" t="s">
        <v>179</v>
      </c>
      <c r="H2055" s="2" t="s">
        <v>21</v>
      </c>
      <c r="I2055" s="2">
        <v>24</v>
      </c>
      <c r="J2055" s="2" t="s">
        <v>22</v>
      </c>
      <c r="K2055" s="2" t="s">
        <v>5481</v>
      </c>
      <c r="L2055" s="2" t="s">
        <v>24</v>
      </c>
      <c r="M2055" s="2"/>
      <c r="N2055" s="2" t="s">
        <v>25</v>
      </c>
    </row>
    <row r="2056" spans="1:14" x14ac:dyDescent="0.25">
      <c r="A2056" s="2" t="s">
        <v>5482</v>
      </c>
      <c r="B2056" s="2" t="s">
        <v>5483</v>
      </c>
      <c r="C2056" s="2" t="s">
        <v>16</v>
      </c>
      <c r="D2056" s="2" t="s">
        <v>17</v>
      </c>
      <c r="E2056" s="2" t="s">
        <v>38</v>
      </c>
      <c r="F2056" s="2" t="s">
        <v>69</v>
      </c>
      <c r="G2056" s="2" t="s">
        <v>101</v>
      </c>
      <c r="H2056" s="2" t="s">
        <v>74</v>
      </c>
      <c r="I2056" s="2">
        <v>8</v>
      </c>
      <c r="J2056" s="2" t="s">
        <v>75</v>
      </c>
      <c r="K2056" s="2" t="s">
        <v>5484</v>
      </c>
      <c r="L2056" s="2" t="s">
        <v>24</v>
      </c>
      <c r="M2056" s="2">
        <v>1</v>
      </c>
      <c r="N2056" s="2" t="s">
        <v>34</v>
      </c>
    </row>
    <row r="2057" spans="1:14" x14ac:dyDescent="0.25">
      <c r="A2057" s="2" t="s">
        <v>5485</v>
      </c>
      <c r="B2057" s="2" t="s">
        <v>5486</v>
      </c>
      <c r="C2057" s="2" t="s">
        <v>53</v>
      </c>
      <c r="D2057" s="2" t="s">
        <v>54</v>
      </c>
      <c r="E2057" s="2" t="s">
        <v>46</v>
      </c>
      <c r="F2057" s="2" t="s">
        <v>62</v>
      </c>
      <c r="G2057" s="2" t="s">
        <v>20</v>
      </c>
      <c r="H2057" s="2" t="s">
        <v>21</v>
      </c>
      <c r="I2057" s="2">
        <v>24</v>
      </c>
      <c r="J2057" s="2" t="s">
        <v>41</v>
      </c>
      <c r="K2057" s="2" t="s">
        <v>5487</v>
      </c>
      <c r="L2057" s="2" t="s">
        <v>24</v>
      </c>
      <c r="M2057" s="2"/>
      <c r="N2057" s="2" t="s">
        <v>64</v>
      </c>
    </row>
    <row r="2058" spans="1:14" x14ac:dyDescent="0.25">
      <c r="A2058" s="2" t="s">
        <v>5488</v>
      </c>
      <c r="B2058" s="2" t="s">
        <v>5489</v>
      </c>
      <c r="C2058" s="2" t="s">
        <v>67</v>
      </c>
      <c r="D2058" s="2" t="s">
        <v>68</v>
      </c>
      <c r="E2058" s="2" t="s">
        <v>18</v>
      </c>
      <c r="F2058" s="2" t="s">
        <v>143</v>
      </c>
      <c r="G2058" s="2" t="s">
        <v>20</v>
      </c>
      <c r="H2058" s="2" t="s">
        <v>21</v>
      </c>
      <c r="I2058" s="2">
        <v>24</v>
      </c>
      <c r="J2058" s="2" t="s">
        <v>56</v>
      </c>
      <c r="K2058" s="2" t="s">
        <v>5490</v>
      </c>
      <c r="L2058" s="2" t="s">
        <v>24</v>
      </c>
      <c r="M2058" s="2"/>
      <c r="N2058" s="2"/>
    </row>
    <row r="2059" spans="1:14" x14ac:dyDescent="0.25">
      <c r="A2059" s="2" t="s">
        <v>5491</v>
      </c>
      <c r="B2059" s="2" t="s">
        <v>5492</v>
      </c>
      <c r="C2059" s="2" t="s">
        <v>28</v>
      </c>
      <c r="D2059" s="2" t="s">
        <v>37</v>
      </c>
      <c r="E2059" s="2" t="s">
        <v>90</v>
      </c>
      <c r="F2059" s="2" t="s">
        <v>30</v>
      </c>
      <c r="G2059" s="2" t="s">
        <v>97</v>
      </c>
      <c r="H2059" s="2" t="s">
        <v>32</v>
      </c>
      <c r="I2059" s="2">
        <v>48</v>
      </c>
      <c r="J2059" s="2" t="s">
        <v>187</v>
      </c>
      <c r="K2059" s="2" t="s">
        <v>5493</v>
      </c>
      <c r="L2059" s="2" t="s">
        <v>24</v>
      </c>
      <c r="M2059" s="2"/>
      <c r="N2059" s="2"/>
    </row>
    <row r="2060" spans="1:14" x14ac:dyDescent="0.25">
      <c r="A2060" s="2" t="s">
        <v>5494</v>
      </c>
      <c r="B2060" s="2" t="s">
        <v>5495</v>
      </c>
      <c r="C2060" s="2" t="s">
        <v>16</v>
      </c>
      <c r="D2060" s="2" t="s">
        <v>84</v>
      </c>
      <c r="E2060" s="2" t="s">
        <v>90</v>
      </c>
      <c r="F2060" s="2" t="s">
        <v>131</v>
      </c>
      <c r="G2060" s="2" t="s">
        <v>139</v>
      </c>
      <c r="H2060" s="2" t="s">
        <v>21</v>
      </c>
      <c r="I2060" s="2">
        <v>24</v>
      </c>
      <c r="J2060" s="2" t="s">
        <v>11</v>
      </c>
      <c r="K2060" s="2"/>
      <c r="L2060" s="2" t="s">
        <v>92</v>
      </c>
      <c r="M2060" s="2"/>
      <c r="N2060" s="2" t="s">
        <v>25</v>
      </c>
    </row>
    <row r="2061" spans="1:14" x14ac:dyDescent="0.25">
      <c r="A2061" s="2" t="s">
        <v>5496</v>
      </c>
      <c r="B2061" s="2" t="s">
        <v>5497</v>
      </c>
      <c r="C2061" s="2" t="s">
        <v>28</v>
      </c>
      <c r="D2061" s="2" t="s">
        <v>100</v>
      </c>
      <c r="E2061" s="2" t="s">
        <v>46</v>
      </c>
      <c r="F2061" s="2" t="s">
        <v>96</v>
      </c>
      <c r="G2061" s="2" t="s">
        <v>20</v>
      </c>
      <c r="H2061" s="2" t="s">
        <v>32</v>
      </c>
      <c r="I2061" s="2">
        <v>48</v>
      </c>
      <c r="J2061" s="2" t="s">
        <v>155</v>
      </c>
      <c r="K2061" s="2"/>
      <c r="L2061" s="2" t="s">
        <v>24</v>
      </c>
      <c r="M2061" s="2"/>
      <c r="N2061" s="2"/>
    </row>
    <row r="2062" spans="1:14" x14ac:dyDescent="0.25">
      <c r="A2062" s="2" t="s">
        <v>5498</v>
      </c>
      <c r="B2062" s="2" t="s">
        <v>5499</v>
      </c>
      <c r="C2062" s="2" t="s">
        <v>16</v>
      </c>
      <c r="D2062" s="2" t="s">
        <v>17</v>
      </c>
      <c r="E2062" s="2" t="s">
        <v>85</v>
      </c>
      <c r="F2062" s="2" t="s">
        <v>143</v>
      </c>
      <c r="G2062" s="2" t="s">
        <v>179</v>
      </c>
      <c r="H2062" s="2" t="s">
        <v>32</v>
      </c>
      <c r="I2062" s="2">
        <v>48</v>
      </c>
      <c r="J2062" s="2" t="s">
        <v>149</v>
      </c>
      <c r="K2062" s="2"/>
      <c r="L2062" s="2" t="s">
        <v>24</v>
      </c>
      <c r="M2062" s="2"/>
      <c r="N2062" s="2" t="s">
        <v>50</v>
      </c>
    </row>
    <row r="2063" spans="1:14" x14ac:dyDescent="0.25">
      <c r="A2063" s="2" t="s">
        <v>5500</v>
      </c>
      <c r="B2063" s="2" t="s">
        <v>5501</v>
      </c>
      <c r="C2063" s="2" t="s">
        <v>67</v>
      </c>
      <c r="D2063" s="2" t="s">
        <v>95</v>
      </c>
      <c r="E2063" s="2" t="s">
        <v>90</v>
      </c>
      <c r="F2063" s="2" t="s">
        <v>47</v>
      </c>
      <c r="G2063" s="2" t="s">
        <v>110</v>
      </c>
      <c r="H2063" s="2" t="s">
        <v>32</v>
      </c>
      <c r="I2063" s="2">
        <v>48</v>
      </c>
      <c r="J2063" s="2" t="s">
        <v>106</v>
      </c>
      <c r="K2063" s="2" t="s">
        <v>5502</v>
      </c>
      <c r="L2063" s="2" t="s">
        <v>24</v>
      </c>
      <c r="M2063" s="2"/>
      <c r="N2063" s="2" t="s">
        <v>64</v>
      </c>
    </row>
    <row r="2064" spans="1:14" x14ac:dyDescent="0.25">
      <c r="A2064" s="2" t="s">
        <v>5503</v>
      </c>
      <c r="B2064" s="2" t="s">
        <v>5504</v>
      </c>
      <c r="C2064" s="2" t="s">
        <v>67</v>
      </c>
      <c r="D2064" s="2" t="s">
        <v>95</v>
      </c>
      <c r="E2064" s="2" t="s">
        <v>46</v>
      </c>
      <c r="F2064" s="2" t="s">
        <v>96</v>
      </c>
      <c r="G2064" s="2" t="s">
        <v>139</v>
      </c>
      <c r="H2064" s="2" t="s">
        <v>21</v>
      </c>
      <c r="I2064" s="2">
        <v>24</v>
      </c>
      <c r="J2064" s="2" t="s">
        <v>22</v>
      </c>
      <c r="K2064" s="2" t="s">
        <v>5505</v>
      </c>
      <c r="L2064" s="2" t="s">
        <v>24</v>
      </c>
      <c r="M2064" s="2"/>
      <c r="N2064" s="2" t="s">
        <v>43</v>
      </c>
    </row>
    <row r="2065" spans="1:14" x14ac:dyDescent="0.25">
      <c r="A2065" s="2" t="s">
        <v>5506</v>
      </c>
      <c r="B2065" s="2" t="s">
        <v>5507</v>
      </c>
      <c r="C2065" s="2" t="s">
        <v>67</v>
      </c>
      <c r="D2065" s="2" t="s">
        <v>95</v>
      </c>
      <c r="E2065" s="2" t="s">
        <v>38</v>
      </c>
      <c r="F2065" s="2" t="s">
        <v>113</v>
      </c>
      <c r="G2065" s="2" t="s">
        <v>110</v>
      </c>
      <c r="H2065" s="2" t="s">
        <v>21</v>
      </c>
      <c r="I2065" s="2">
        <v>24</v>
      </c>
      <c r="J2065" s="2" t="s">
        <v>48</v>
      </c>
      <c r="K2065" s="2" t="s">
        <v>5508</v>
      </c>
      <c r="L2065" s="2" t="s">
        <v>24</v>
      </c>
      <c r="M2065" s="2">
        <v>3</v>
      </c>
      <c r="N2065" s="2"/>
    </row>
    <row r="2066" spans="1:14" x14ac:dyDescent="0.25">
      <c r="A2066" s="2" t="s">
        <v>5509</v>
      </c>
      <c r="B2066" s="2" t="s">
        <v>5510</v>
      </c>
      <c r="C2066" s="2" t="s">
        <v>28</v>
      </c>
      <c r="D2066" s="2" t="s">
        <v>37</v>
      </c>
      <c r="E2066" s="2" t="s">
        <v>85</v>
      </c>
      <c r="F2066" s="2" t="s">
        <v>19</v>
      </c>
      <c r="G2066" s="2" t="s">
        <v>40</v>
      </c>
      <c r="H2066" s="2" t="s">
        <v>21</v>
      </c>
      <c r="I2066" s="2">
        <v>24</v>
      </c>
      <c r="J2066" s="2" t="s">
        <v>117</v>
      </c>
      <c r="K2066" s="2"/>
      <c r="L2066" s="2" t="s">
        <v>24</v>
      </c>
      <c r="M2066" s="2"/>
      <c r="N2066" s="2" t="s">
        <v>43</v>
      </c>
    </row>
    <row r="2067" spans="1:14" x14ac:dyDescent="0.25">
      <c r="A2067" s="2" t="s">
        <v>5511</v>
      </c>
      <c r="B2067" s="2" t="s">
        <v>5512</v>
      </c>
      <c r="C2067" s="2" t="s">
        <v>28</v>
      </c>
      <c r="D2067" s="2" t="s">
        <v>100</v>
      </c>
      <c r="E2067" s="2" t="s">
        <v>85</v>
      </c>
      <c r="F2067" s="2" t="s">
        <v>96</v>
      </c>
      <c r="G2067" s="2" t="s">
        <v>70</v>
      </c>
      <c r="H2067" s="2" t="s">
        <v>80</v>
      </c>
      <c r="I2067" s="2">
        <v>4</v>
      </c>
      <c r="J2067" s="2" t="s">
        <v>187</v>
      </c>
      <c r="K2067" s="2" t="s">
        <v>5513</v>
      </c>
      <c r="L2067" s="2" t="s">
        <v>24</v>
      </c>
      <c r="M2067" s="2"/>
      <c r="N2067" s="2"/>
    </row>
    <row r="2068" spans="1:14" x14ac:dyDescent="0.25">
      <c r="A2068" s="2" t="s">
        <v>5514</v>
      </c>
      <c r="B2068" s="2" t="s">
        <v>5515</v>
      </c>
      <c r="C2068" s="2" t="s">
        <v>28</v>
      </c>
      <c r="D2068" s="2" t="s">
        <v>37</v>
      </c>
      <c r="E2068" s="2" t="s">
        <v>79</v>
      </c>
      <c r="F2068" s="2" t="s">
        <v>125</v>
      </c>
      <c r="G2068" s="2" t="s">
        <v>101</v>
      </c>
      <c r="H2068" s="2" t="s">
        <v>80</v>
      </c>
      <c r="I2068" s="2">
        <v>4</v>
      </c>
      <c r="J2068" s="2" t="s">
        <v>287</v>
      </c>
      <c r="K2068" s="2"/>
      <c r="L2068" s="2" t="s">
        <v>92</v>
      </c>
      <c r="M2068" s="2"/>
      <c r="N2068" s="2"/>
    </row>
    <row r="2069" spans="1:14" x14ac:dyDescent="0.25">
      <c r="A2069" s="2" t="s">
        <v>797</v>
      </c>
      <c r="B2069" s="2" t="s">
        <v>798</v>
      </c>
      <c r="C2069" s="2" t="s">
        <v>53</v>
      </c>
      <c r="D2069" s="2" t="s">
        <v>61</v>
      </c>
      <c r="E2069" s="2" t="s">
        <v>148</v>
      </c>
      <c r="F2069" s="2" t="s">
        <v>113</v>
      </c>
      <c r="G2069" s="2" t="s">
        <v>158</v>
      </c>
      <c r="H2069" s="2" t="s">
        <v>80</v>
      </c>
      <c r="I2069" s="2">
        <v>4</v>
      </c>
      <c r="J2069" s="2" t="s">
        <v>75</v>
      </c>
      <c r="K2069" s="2" t="s">
        <v>799</v>
      </c>
      <c r="L2069" s="2" t="s">
        <v>24</v>
      </c>
      <c r="M2069" s="2"/>
      <c r="N2069" s="2" t="s">
        <v>128</v>
      </c>
    </row>
    <row r="2070" spans="1:14" x14ac:dyDescent="0.25">
      <c r="A2070" s="2" t="s">
        <v>5516</v>
      </c>
      <c r="B2070" s="2" t="s">
        <v>5517</v>
      </c>
      <c r="C2070" s="2" t="s">
        <v>67</v>
      </c>
      <c r="D2070" s="2" t="s">
        <v>68</v>
      </c>
      <c r="E2070" s="2" t="s">
        <v>148</v>
      </c>
      <c r="F2070" s="2" t="s">
        <v>47</v>
      </c>
      <c r="G2070" s="2" t="s">
        <v>139</v>
      </c>
      <c r="H2070" s="2" t="s">
        <v>21</v>
      </c>
      <c r="I2070" s="2">
        <v>24</v>
      </c>
      <c r="J2070" s="2" t="s">
        <v>155</v>
      </c>
      <c r="K2070" s="2"/>
      <c r="L2070" s="2" t="s">
        <v>24</v>
      </c>
      <c r="M2070" s="2"/>
      <c r="N2070" s="2" t="s">
        <v>34</v>
      </c>
    </row>
    <row r="2071" spans="1:14" x14ac:dyDescent="0.25">
      <c r="A2071" s="2" t="s">
        <v>5518</v>
      </c>
      <c r="B2071" s="2" t="s">
        <v>5519</v>
      </c>
      <c r="C2071" s="2" t="s">
        <v>16</v>
      </c>
      <c r="D2071" s="2" t="s">
        <v>17</v>
      </c>
      <c r="E2071" s="2" t="s">
        <v>38</v>
      </c>
      <c r="F2071" s="2" t="s">
        <v>55</v>
      </c>
      <c r="G2071" s="2" t="s">
        <v>91</v>
      </c>
      <c r="H2071" s="2" t="s">
        <v>32</v>
      </c>
      <c r="I2071" s="2">
        <v>48</v>
      </c>
      <c r="J2071" s="2" t="s">
        <v>106</v>
      </c>
      <c r="K2071" s="2" t="s">
        <v>5520</v>
      </c>
      <c r="L2071" s="2" t="s">
        <v>24</v>
      </c>
      <c r="M2071" s="2">
        <v>2</v>
      </c>
      <c r="N2071" s="2" t="s">
        <v>118</v>
      </c>
    </row>
    <row r="2072" spans="1:14" x14ac:dyDescent="0.25">
      <c r="A2072" s="2" t="s">
        <v>5521</v>
      </c>
      <c r="B2072" s="2" t="s">
        <v>5522</v>
      </c>
      <c r="C2072" s="2" t="s">
        <v>67</v>
      </c>
      <c r="D2072" s="2" t="s">
        <v>68</v>
      </c>
      <c r="E2072" s="2" t="s">
        <v>18</v>
      </c>
      <c r="F2072" s="2" t="s">
        <v>62</v>
      </c>
      <c r="G2072" s="2" t="s">
        <v>105</v>
      </c>
      <c r="H2072" s="2" t="s">
        <v>21</v>
      </c>
      <c r="I2072" s="2">
        <v>24</v>
      </c>
      <c r="J2072" s="2" t="s">
        <v>155</v>
      </c>
      <c r="K2072" s="2"/>
      <c r="L2072" s="2" t="s">
        <v>24</v>
      </c>
      <c r="M2072" s="2"/>
      <c r="N2072" s="2" t="s">
        <v>25</v>
      </c>
    </row>
    <row r="2073" spans="1:14" x14ac:dyDescent="0.25">
      <c r="A2073" s="2" t="s">
        <v>5523</v>
      </c>
      <c r="B2073" s="2" t="s">
        <v>5524</v>
      </c>
      <c r="C2073" s="2" t="s">
        <v>53</v>
      </c>
      <c r="D2073" s="2" t="s">
        <v>61</v>
      </c>
      <c r="E2073" s="2" t="s">
        <v>85</v>
      </c>
      <c r="F2073" s="2" t="s">
        <v>125</v>
      </c>
      <c r="G2073" s="2" t="s">
        <v>144</v>
      </c>
      <c r="H2073" s="2" t="s">
        <v>32</v>
      </c>
      <c r="I2073" s="2">
        <v>48</v>
      </c>
      <c r="J2073" s="2" t="s">
        <v>106</v>
      </c>
      <c r="K2073" s="2" t="s">
        <v>5525</v>
      </c>
      <c r="L2073" s="2" t="s">
        <v>24</v>
      </c>
      <c r="M2073" s="2">
        <v>4</v>
      </c>
      <c r="N2073" s="2" t="s">
        <v>58</v>
      </c>
    </row>
    <row r="2074" spans="1:14" x14ac:dyDescent="0.25">
      <c r="A2074" s="2" t="s">
        <v>5526</v>
      </c>
      <c r="B2074" s="2" t="s">
        <v>5527</v>
      </c>
      <c r="C2074" s="2" t="s">
        <v>67</v>
      </c>
      <c r="D2074" s="2" t="s">
        <v>68</v>
      </c>
      <c r="E2074" s="2" t="s">
        <v>85</v>
      </c>
      <c r="F2074" s="2" t="s">
        <v>30</v>
      </c>
      <c r="G2074" s="2" t="s">
        <v>126</v>
      </c>
      <c r="H2074" s="2" t="s">
        <v>74</v>
      </c>
      <c r="I2074" s="2">
        <v>8</v>
      </c>
      <c r="J2074" s="2" t="s">
        <v>41</v>
      </c>
      <c r="K2074" s="2" t="s">
        <v>5528</v>
      </c>
      <c r="L2074" s="2" t="s">
        <v>24</v>
      </c>
      <c r="M2074" s="2">
        <v>2</v>
      </c>
      <c r="N2074" s="2" t="s">
        <v>118</v>
      </c>
    </row>
    <row r="2075" spans="1:14" x14ac:dyDescent="0.25">
      <c r="A2075" s="2" t="s">
        <v>5529</v>
      </c>
      <c r="B2075" s="2" t="s">
        <v>5530</v>
      </c>
      <c r="C2075" s="2" t="s">
        <v>53</v>
      </c>
      <c r="D2075" s="2" t="s">
        <v>61</v>
      </c>
      <c r="E2075" s="2" t="s">
        <v>148</v>
      </c>
      <c r="F2075" s="2" t="s">
        <v>19</v>
      </c>
      <c r="G2075" s="2" t="s">
        <v>97</v>
      </c>
      <c r="H2075" s="2" t="s">
        <v>32</v>
      </c>
      <c r="I2075" s="2">
        <v>48</v>
      </c>
      <c r="J2075" s="2" t="s">
        <v>187</v>
      </c>
      <c r="K2075" s="2" t="s">
        <v>5531</v>
      </c>
      <c r="L2075" s="2" t="s">
        <v>92</v>
      </c>
      <c r="M2075" s="2"/>
      <c r="N2075" s="2" t="s">
        <v>128</v>
      </c>
    </row>
    <row r="2076" spans="1:14" x14ac:dyDescent="0.25">
      <c r="A2076" s="2" t="s">
        <v>5532</v>
      </c>
      <c r="B2076" s="2" t="s">
        <v>5533</v>
      </c>
      <c r="C2076" s="2" t="s">
        <v>28</v>
      </c>
      <c r="D2076" s="2" t="s">
        <v>100</v>
      </c>
      <c r="E2076" s="2" t="s">
        <v>148</v>
      </c>
      <c r="F2076" s="2" t="s">
        <v>131</v>
      </c>
      <c r="G2076" s="2" t="s">
        <v>158</v>
      </c>
      <c r="H2076" s="2" t="s">
        <v>21</v>
      </c>
      <c r="I2076" s="2">
        <v>24</v>
      </c>
      <c r="J2076" s="2" t="s">
        <v>22</v>
      </c>
      <c r="K2076" s="2" t="s">
        <v>5534</v>
      </c>
      <c r="L2076" s="2" t="s">
        <v>24</v>
      </c>
      <c r="M2076" s="2"/>
      <c r="N2076" s="2" t="s">
        <v>128</v>
      </c>
    </row>
    <row r="2077" spans="1:14" x14ac:dyDescent="0.25">
      <c r="A2077" s="2" t="s">
        <v>5535</v>
      </c>
      <c r="B2077" s="2" t="s">
        <v>5536</v>
      </c>
      <c r="C2077" s="2" t="s">
        <v>28</v>
      </c>
      <c r="D2077" s="2" t="s">
        <v>100</v>
      </c>
      <c r="E2077" s="2" t="s">
        <v>148</v>
      </c>
      <c r="F2077" s="2" t="s">
        <v>55</v>
      </c>
      <c r="G2077" s="2" t="s">
        <v>144</v>
      </c>
      <c r="H2077" s="2" t="s">
        <v>32</v>
      </c>
      <c r="I2077" s="2">
        <v>48</v>
      </c>
      <c r="J2077" s="2" t="s">
        <v>75</v>
      </c>
      <c r="K2077" s="2"/>
      <c r="L2077" s="2" t="s">
        <v>24</v>
      </c>
      <c r="M2077" s="2"/>
      <c r="N2077" s="2" t="s">
        <v>43</v>
      </c>
    </row>
    <row r="2078" spans="1:14" x14ac:dyDescent="0.25">
      <c r="A2078" s="2" t="s">
        <v>5537</v>
      </c>
      <c r="B2078" s="2" t="s">
        <v>5538</v>
      </c>
      <c r="C2078" s="2" t="s">
        <v>16</v>
      </c>
      <c r="D2078" s="2" t="s">
        <v>17</v>
      </c>
      <c r="E2078" s="2" t="s">
        <v>38</v>
      </c>
      <c r="F2078" s="2" t="s">
        <v>131</v>
      </c>
      <c r="G2078" s="2" t="s">
        <v>70</v>
      </c>
      <c r="H2078" s="2" t="s">
        <v>32</v>
      </c>
      <c r="I2078" s="2">
        <v>48</v>
      </c>
      <c r="J2078" s="2" t="s">
        <v>200</v>
      </c>
      <c r="K2078" s="2"/>
      <c r="L2078" s="2" t="s">
        <v>92</v>
      </c>
      <c r="M2078" s="2"/>
      <c r="N2078" s="2" t="s">
        <v>25</v>
      </c>
    </row>
    <row r="2079" spans="1:14" x14ac:dyDescent="0.25">
      <c r="A2079" s="2" t="s">
        <v>5539</v>
      </c>
      <c r="B2079" s="2" t="s">
        <v>5540</v>
      </c>
      <c r="C2079" s="2" t="s">
        <v>53</v>
      </c>
      <c r="D2079" s="2" t="s">
        <v>54</v>
      </c>
      <c r="E2079" s="2" t="s">
        <v>18</v>
      </c>
      <c r="F2079" s="2" t="s">
        <v>55</v>
      </c>
      <c r="G2079" s="2" t="s">
        <v>158</v>
      </c>
      <c r="H2079" s="2" t="s">
        <v>32</v>
      </c>
      <c r="I2079" s="2">
        <v>48</v>
      </c>
      <c r="J2079" s="2" t="s">
        <v>33</v>
      </c>
      <c r="K2079" s="2"/>
      <c r="L2079" s="2" t="s">
        <v>24</v>
      </c>
      <c r="M2079" s="2"/>
      <c r="N2079" s="2" t="s">
        <v>34</v>
      </c>
    </row>
    <row r="2080" spans="1:14" x14ac:dyDescent="0.25">
      <c r="A2080" s="2" t="s">
        <v>5541</v>
      </c>
      <c r="B2080" s="2" t="s">
        <v>5542</v>
      </c>
      <c r="C2080" s="2" t="s">
        <v>67</v>
      </c>
      <c r="D2080" s="2" t="s">
        <v>95</v>
      </c>
      <c r="E2080" s="2" t="s">
        <v>85</v>
      </c>
      <c r="F2080" s="2" t="s">
        <v>62</v>
      </c>
      <c r="G2080" s="2" t="s">
        <v>158</v>
      </c>
      <c r="H2080" s="2" t="s">
        <v>21</v>
      </c>
      <c r="I2080" s="2">
        <v>24</v>
      </c>
      <c r="J2080" s="2" t="s">
        <v>22</v>
      </c>
      <c r="K2080" s="2" t="s">
        <v>5543</v>
      </c>
      <c r="L2080" s="2" t="s">
        <v>24</v>
      </c>
      <c r="M2080" s="2">
        <v>3</v>
      </c>
      <c r="N2080" s="2" t="s">
        <v>64</v>
      </c>
    </row>
    <row r="2081" spans="1:14" x14ac:dyDescent="0.25">
      <c r="A2081" s="2" t="s">
        <v>5544</v>
      </c>
      <c r="B2081" s="2" t="s">
        <v>5545</v>
      </c>
      <c r="C2081" s="2" t="s">
        <v>67</v>
      </c>
      <c r="D2081" s="2" t="s">
        <v>95</v>
      </c>
      <c r="E2081" s="2" t="s">
        <v>148</v>
      </c>
      <c r="F2081" s="2" t="s">
        <v>131</v>
      </c>
      <c r="G2081" s="2" t="s">
        <v>110</v>
      </c>
      <c r="H2081" s="2" t="s">
        <v>32</v>
      </c>
      <c r="I2081" s="2">
        <v>48</v>
      </c>
      <c r="J2081" s="2" t="s">
        <v>187</v>
      </c>
      <c r="K2081" s="2" t="s">
        <v>5546</v>
      </c>
      <c r="L2081" s="2" t="s">
        <v>24</v>
      </c>
      <c r="M2081" s="2">
        <v>2</v>
      </c>
      <c r="N2081" s="2" t="s">
        <v>50</v>
      </c>
    </row>
    <row r="2082" spans="1:14" x14ac:dyDescent="0.25">
      <c r="A2082" s="2" t="s">
        <v>5547</v>
      </c>
      <c r="B2082" s="2" t="s">
        <v>5548</v>
      </c>
      <c r="C2082" s="2" t="s">
        <v>16</v>
      </c>
      <c r="D2082" s="2" t="s">
        <v>84</v>
      </c>
      <c r="E2082" s="2" t="s">
        <v>46</v>
      </c>
      <c r="F2082" s="2" t="s">
        <v>125</v>
      </c>
      <c r="G2082" s="2" t="s">
        <v>105</v>
      </c>
      <c r="H2082" s="2" t="s">
        <v>32</v>
      </c>
      <c r="I2082" s="2">
        <v>48</v>
      </c>
      <c r="J2082" s="2" t="s">
        <v>33</v>
      </c>
      <c r="K2082" s="2"/>
      <c r="L2082" s="2" t="s">
        <v>24</v>
      </c>
      <c r="M2082" s="2"/>
      <c r="N2082" s="2"/>
    </row>
    <row r="2083" spans="1:14" x14ac:dyDescent="0.25">
      <c r="A2083" s="2" t="s">
        <v>2595</v>
      </c>
      <c r="B2083" s="2" t="s">
        <v>2596</v>
      </c>
      <c r="C2083" s="2" t="s">
        <v>16</v>
      </c>
      <c r="D2083" s="2" t="s">
        <v>17</v>
      </c>
      <c r="E2083" s="2" t="s">
        <v>38</v>
      </c>
      <c r="F2083" s="2" t="s">
        <v>143</v>
      </c>
      <c r="G2083" s="2" t="s">
        <v>40</v>
      </c>
      <c r="H2083" s="2" t="s">
        <v>32</v>
      </c>
      <c r="I2083" s="2">
        <v>48</v>
      </c>
      <c r="J2083" s="2" t="s">
        <v>48</v>
      </c>
      <c r="K2083" s="2" t="s">
        <v>2597</v>
      </c>
      <c r="L2083" s="2" t="s">
        <v>24</v>
      </c>
      <c r="M2083" s="2"/>
      <c r="N2083" s="2" t="s">
        <v>25</v>
      </c>
    </row>
    <row r="2084" spans="1:14" x14ac:dyDescent="0.25">
      <c r="A2084" s="2" t="s">
        <v>5549</v>
      </c>
      <c r="B2084" s="2" t="s">
        <v>5550</v>
      </c>
      <c r="C2084" s="2" t="s">
        <v>53</v>
      </c>
      <c r="D2084" s="2" t="s">
        <v>61</v>
      </c>
      <c r="E2084" s="2" t="s">
        <v>46</v>
      </c>
      <c r="F2084" s="2" t="s">
        <v>125</v>
      </c>
      <c r="G2084" s="2" t="s">
        <v>20</v>
      </c>
      <c r="H2084" s="2" t="s">
        <v>74</v>
      </c>
      <c r="I2084" s="2">
        <v>8</v>
      </c>
      <c r="J2084" s="2" t="s">
        <v>22</v>
      </c>
      <c r="K2084" s="2" t="s">
        <v>5551</v>
      </c>
      <c r="L2084" s="2" t="s">
        <v>24</v>
      </c>
      <c r="M2084" s="2"/>
      <c r="N2084" s="2"/>
    </row>
    <row r="2085" spans="1:14" x14ac:dyDescent="0.25">
      <c r="A2085" s="2" t="s">
        <v>5552</v>
      </c>
      <c r="B2085" s="2" t="s">
        <v>5553</v>
      </c>
      <c r="C2085" s="2" t="s">
        <v>67</v>
      </c>
      <c r="D2085" s="2" t="s">
        <v>95</v>
      </c>
      <c r="E2085" s="2" t="s">
        <v>46</v>
      </c>
      <c r="F2085" s="2" t="s">
        <v>96</v>
      </c>
      <c r="G2085" s="2" t="s">
        <v>101</v>
      </c>
      <c r="H2085" s="2" t="s">
        <v>74</v>
      </c>
      <c r="I2085" s="2">
        <v>8</v>
      </c>
      <c r="J2085" s="2" t="s">
        <v>41</v>
      </c>
      <c r="K2085" s="2" t="s">
        <v>5554</v>
      </c>
      <c r="L2085" s="2" t="s">
        <v>24</v>
      </c>
      <c r="M2085" s="2">
        <v>4</v>
      </c>
      <c r="N2085" s="2"/>
    </row>
    <row r="2086" spans="1:14" x14ac:dyDescent="0.25">
      <c r="A2086" s="2" t="s">
        <v>5555</v>
      </c>
      <c r="B2086" s="2" t="s">
        <v>5556</v>
      </c>
      <c r="C2086" s="2" t="s">
        <v>67</v>
      </c>
      <c r="D2086" s="2" t="s">
        <v>95</v>
      </c>
      <c r="E2086" s="2" t="s">
        <v>18</v>
      </c>
      <c r="F2086" s="2" t="s">
        <v>39</v>
      </c>
      <c r="G2086" s="2" t="s">
        <v>211</v>
      </c>
      <c r="H2086" s="2" t="s">
        <v>74</v>
      </c>
      <c r="I2086" s="2">
        <v>8</v>
      </c>
      <c r="J2086" s="2" t="s">
        <v>149</v>
      </c>
      <c r="K2086" s="2"/>
      <c r="L2086" s="2" t="s">
        <v>24</v>
      </c>
      <c r="M2086" s="2"/>
      <c r="N2086" s="2" t="s">
        <v>118</v>
      </c>
    </row>
    <row r="2087" spans="1:14" x14ac:dyDescent="0.25">
      <c r="A2087" s="2" t="s">
        <v>5557</v>
      </c>
      <c r="B2087" s="2" t="s">
        <v>4879</v>
      </c>
      <c r="C2087" s="2" t="s">
        <v>16</v>
      </c>
      <c r="D2087" s="2" t="s">
        <v>84</v>
      </c>
      <c r="E2087" s="2" t="s">
        <v>46</v>
      </c>
      <c r="F2087" s="2" t="s">
        <v>62</v>
      </c>
      <c r="G2087" s="2" t="s">
        <v>110</v>
      </c>
      <c r="H2087" s="2" t="s">
        <v>32</v>
      </c>
      <c r="I2087" s="2">
        <v>48</v>
      </c>
      <c r="J2087" s="2" t="s">
        <v>75</v>
      </c>
      <c r="K2087" s="2" t="s">
        <v>5558</v>
      </c>
      <c r="L2087" s="2" t="s">
        <v>24</v>
      </c>
      <c r="M2087" s="2"/>
      <c r="N2087" s="2"/>
    </row>
    <row r="2088" spans="1:14" x14ac:dyDescent="0.25">
      <c r="A2088" s="2" t="s">
        <v>5559</v>
      </c>
      <c r="B2088" s="2" t="s">
        <v>5560</v>
      </c>
      <c r="C2088" s="2" t="s">
        <v>16</v>
      </c>
      <c r="D2088" s="2" t="s">
        <v>17</v>
      </c>
      <c r="E2088" s="2" t="s">
        <v>90</v>
      </c>
      <c r="F2088" s="2" t="s">
        <v>55</v>
      </c>
      <c r="G2088" s="2" t="s">
        <v>135</v>
      </c>
      <c r="H2088" s="2" t="s">
        <v>74</v>
      </c>
      <c r="I2088" s="2">
        <v>8</v>
      </c>
      <c r="J2088" s="2" t="s">
        <v>232</v>
      </c>
      <c r="K2088" s="2"/>
      <c r="L2088" s="2" t="s">
        <v>92</v>
      </c>
      <c r="M2088" s="2"/>
      <c r="N2088" s="2" t="s">
        <v>25</v>
      </c>
    </row>
    <row r="2089" spans="1:14" x14ac:dyDescent="0.25">
      <c r="A2089" s="2" t="s">
        <v>5561</v>
      </c>
      <c r="B2089" s="2" t="s">
        <v>5562</v>
      </c>
      <c r="C2089" s="2" t="s">
        <v>67</v>
      </c>
      <c r="D2089" s="2" t="s">
        <v>68</v>
      </c>
      <c r="E2089" s="2" t="s">
        <v>148</v>
      </c>
      <c r="F2089" s="2" t="s">
        <v>96</v>
      </c>
      <c r="G2089" s="2" t="s">
        <v>126</v>
      </c>
      <c r="H2089" s="2" t="s">
        <v>32</v>
      </c>
      <c r="I2089" s="2">
        <v>48</v>
      </c>
      <c r="J2089" s="2" t="s">
        <v>48</v>
      </c>
      <c r="K2089" s="2" t="s">
        <v>5563</v>
      </c>
      <c r="L2089" s="2" t="s">
        <v>24</v>
      </c>
      <c r="M2089" s="2">
        <v>1</v>
      </c>
      <c r="N2089" s="2" t="s">
        <v>43</v>
      </c>
    </row>
    <row r="2090" spans="1:14" x14ac:dyDescent="0.25">
      <c r="A2090" s="2" t="s">
        <v>5564</v>
      </c>
      <c r="B2090" s="2" t="s">
        <v>5565</v>
      </c>
      <c r="C2090" s="2" t="s">
        <v>16</v>
      </c>
      <c r="D2090" s="2" t="s">
        <v>240</v>
      </c>
      <c r="E2090" s="2" t="s">
        <v>79</v>
      </c>
      <c r="F2090" s="2" t="s">
        <v>39</v>
      </c>
      <c r="G2090" s="2" t="s">
        <v>105</v>
      </c>
      <c r="H2090" s="2" t="s">
        <v>21</v>
      </c>
      <c r="I2090" s="2">
        <v>24</v>
      </c>
      <c r="J2090" s="2" t="s">
        <v>75</v>
      </c>
      <c r="K2090" s="2" t="s">
        <v>5566</v>
      </c>
      <c r="L2090" s="2" t="s">
        <v>24</v>
      </c>
      <c r="M2090" s="2">
        <v>5</v>
      </c>
      <c r="N2090" s="2" t="s">
        <v>118</v>
      </c>
    </row>
    <row r="2091" spans="1:14" x14ac:dyDescent="0.25">
      <c r="A2091" s="2" t="s">
        <v>5567</v>
      </c>
      <c r="B2091" s="2" t="s">
        <v>5568</v>
      </c>
      <c r="C2091" s="2" t="s">
        <v>53</v>
      </c>
      <c r="D2091" s="2" t="s">
        <v>54</v>
      </c>
      <c r="E2091" s="2" t="s">
        <v>85</v>
      </c>
      <c r="F2091" s="2" t="s">
        <v>55</v>
      </c>
      <c r="G2091" s="2" t="s">
        <v>20</v>
      </c>
      <c r="H2091" s="2" t="s">
        <v>21</v>
      </c>
      <c r="I2091" s="2">
        <v>24</v>
      </c>
      <c r="J2091" s="2" t="s">
        <v>11</v>
      </c>
      <c r="K2091" s="2"/>
      <c r="L2091" s="2" t="s">
        <v>92</v>
      </c>
      <c r="M2091" s="2"/>
      <c r="N2091" s="2" t="s">
        <v>43</v>
      </c>
    </row>
    <row r="2092" spans="1:14" x14ac:dyDescent="0.25">
      <c r="A2092" s="2" t="s">
        <v>5569</v>
      </c>
      <c r="B2092" s="2" t="s">
        <v>5570</v>
      </c>
      <c r="C2092" s="2" t="s">
        <v>28</v>
      </c>
      <c r="D2092" s="2" t="s">
        <v>37</v>
      </c>
      <c r="E2092" s="2" t="s">
        <v>46</v>
      </c>
      <c r="F2092" s="2" t="s">
        <v>30</v>
      </c>
      <c r="G2092" s="2" t="s">
        <v>20</v>
      </c>
      <c r="H2092" s="2" t="s">
        <v>21</v>
      </c>
      <c r="I2092" s="2">
        <v>24</v>
      </c>
      <c r="J2092" s="2" t="s">
        <v>155</v>
      </c>
      <c r="K2092" s="2"/>
      <c r="L2092" s="2" t="s">
        <v>24</v>
      </c>
      <c r="M2092" s="2"/>
      <c r="N2092" s="2" t="s">
        <v>50</v>
      </c>
    </row>
    <row r="2093" spans="1:14" x14ac:dyDescent="0.25">
      <c r="A2093" s="2" t="s">
        <v>5571</v>
      </c>
      <c r="B2093" s="2" t="s">
        <v>5572</v>
      </c>
      <c r="C2093" s="2" t="s">
        <v>53</v>
      </c>
      <c r="D2093" s="2" t="s">
        <v>61</v>
      </c>
      <c r="E2093" s="2" t="s">
        <v>18</v>
      </c>
      <c r="F2093" s="2" t="s">
        <v>30</v>
      </c>
      <c r="G2093" s="2" t="s">
        <v>101</v>
      </c>
      <c r="H2093" s="2" t="s">
        <v>21</v>
      </c>
      <c r="I2093" s="2">
        <v>24</v>
      </c>
      <c r="J2093" s="2" t="s">
        <v>106</v>
      </c>
      <c r="K2093" s="2" t="s">
        <v>5573</v>
      </c>
      <c r="L2093" s="2" t="s">
        <v>24</v>
      </c>
      <c r="M2093" s="2"/>
      <c r="N2093" s="2" t="s">
        <v>43</v>
      </c>
    </row>
    <row r="2094" spans="1:14" x14ac:dyDescent="0.25">
      <c r="A2094" s="2" t="s">
        <v>5574</v>
      </c>
      <c r="B2094" s="2" t="s">
        <v>5575</v>
      </c>
      <c r="C2094" s="2" t="s">
        <v>16</v>
      </c>
      <c r="D2094" s="2" t="s">
        <v>84</v>
      </c>
      <c r="E2094" s="2" t="s">
        <v>79</v>
      </c>
      <c r="F2094" s="2" t="s">
        <v>143</v>
      </c>
      <c r="G2094" s="2" t="s">
        <v>144</v>
      </c>
      <c r="H2094" s="2" t="s">
        <v>74</v>
      </c>
      <c r="I2094" s="2">
        <v>8</v>
      </c>
      <c r="J2094" s="2" t="s">
        <v>149</v>
      </c>
      <c r="K2094" s="2"/>
      <c r="L2094" s="2" t="s">
        <v>24</v>
      </c>
      <c r="M2094" s="2"/>
      <c r="N2094" s="2" t="s">
        <v>128</v>
      </c>
    </row>
    <row r="2095" spans="1:14" x14ac:dyDescent="0.25">
      <c r="A2095" s="2" t="s">
        <v>5576</v>
      </c>
      <c r="B2095" s="2" t="s">
        <v>5577</v>
      </c>
      <c r="C2095" s="2" t="s">
        <v>16</v>
      </c>
      <c r="D2095" s="2" t="s">
        <v>17</v>
      </c>
      <c r="E2095" s="2" t="s">
        <v>79</v>
      </c>
      <c r="F2095" s="2" t="s">
        <v>62</v>
      </c>
      <c r="G2095" s="2" t="s">
        <v>121</v>
      </c>
      <c r="H2095" s="2" t="s">
        <v>21</v>
      </c>
      <c r="I2095" s="2">
        <v>24</v>
      </c>
      <c r="J2095" s="2" t="s">
        <v>106</v>
      </c>
      <c r="K2095" s="2" t="s">
        <v>5578</v>
      </c>
      <c r="L2095" s="2" t="s">
        <v>24</v>
      </c>
      <c r="M2095" s="2">
        <v>3</v>
      </c>
      <c r="N2095" s="2" t="s">
        <v>118</v>
      </c>
    </row>
    <row r="2096" spans="1:14" x14ac:dyDescent="0.25">
      <c r="A2096" s="2" t="s">
        <v>5579</v>
      </c>
      <c r="B2096" s="2" t="s">
        <v>5580</v>
      </c>
      <c r="C2096" s="2" t="s">
        <v>28</v>
      </c>
      <c r="D2096" s="2" t="s">
        <v>100</v>
      </c>
      <c r="E2096" s="2" t="s">
        <v>148</v>
      </c>
      <c r="F2096" s="2" t="s">
        <v>125</v>
      </c>
      <c r="G2096" s="2" t="s">
        <v>105</v>
      </c>
      <c r="H2096" s="2" t="s">
        <v>80</v>
      </c>
      <c r="I2096" s="2">
        <v>4</v>
      </c>
      <c r="J2096" s="2" t="s">
        <v>149</v>
      </c>
      <c r="K2096" s="2"/>
      <c r="L2096" s="2" t="s">
        <v>92</v>
      </c>
      <c r="M2096" s="2"/>
      <c r="N2096" s="2"/>
    </row>
    <row r="2097" spans="1:14" x14ac:dyDescent="0.25">
      <c r="A2097" s="2" t="s">
        <v>5581</v>
      </c>
      <c r="B2097" s="2" t="s">
        <v>5582</v>
      </c>
      <c r="C2097" s="2" t="s">
        <v>16</v>
      </c>
      <c r="D2097" s="2" t="s">
        <v>84</v>
      </c>
      <c r="E2097" s="2" t="s">
        <v>148</v>
      </c>
      <c r="F2097" s="2" t="s">
        <v>125</v>
      </c>
      <c r="G2097" s="2" t="s">
        <v>105</v>
      </c>
      <c r="H2097" s="2" t="s">
        <v>32</v>
      </c>
      <c r="I2097" s="2">
        <v>48</v>
      </c>
      <c r="J2097" s="2" t="s">
        <v>41</v>
      </c>
      <c r="K2097" s="2" t="s">
        <v>5583</v>
      </c>
      <c r="L2097" s="2" t="s">
        <v>24</v>
      </c>
      <c r="M2097" s="2"/>
      <c r="N2097" s="2" t="s">
        <v>34</v>
      </c>
    </row>
    <row r="2098" spans="1:14" x14ac:dyDescent="0.25">
      <c r="A2098" s="2" t="s">
        <v>5584</v>
      </c>
      <c r="B2098" s="2" t="s">
        <v>5585</v>
      </c>
      <c r="C2098" s="2" t="s">
        <v>53</v>
      </c>
      <c r="D2098" s="2" t="s">
        <v>61</v>
      </c>
      <c r="E2098" s="2" t="s">
        <v>18</v>
      </c>
      <c r="F2098" s="2" t="s">
        <v>47</v>
      </c>
      <c r="G2098" s="2" t="s">
        <v>110</v>
      </c>
      <c r="H2098" s="2" t="s">
        <v>32</v>
      </c>
      <c r="I2098" s="2">
        <v>48</v>
      </c>
      <c r="J2098" s="2" t="s">
        <v>106</v>
      </c>
      <c r="K2098" s="2" t="s">
        <v>5586</v>
      </c>
      <c r="L2098" s="2" t="s">
        <v>24</v>
      </c>
      <c r="M2098" s="2"/>
      <c r="N2098" s="2" t="s">
        <v>128</v>
      </c>
    </row>
    <row r="2099" spans="1:14" x14ac:dyDescent="0.25">
      <c r="A2099" s="2" t="s">
        <v>5587</v>
      </c>
      <c r="B2099" s="2" t="s">
        <v>5588</v>
      </c>
      <c r="C2099" s="2" t="s">
        <v>53</v>
      </c>
      <c r="D2099" s="2" t="s">
        <v>61</v>
      </c>
      <c r="E2099" s="2" t="s">
        <v>148</v>
      </c>
      <c r="F2099" s="2" t="s">
        <v>19</v>
      </c>
      <c r="G2099" s="2" t="s">
        <v>105</v>
      </c>
      <c r="H2099" s="2" t="s">
        <v>32</v>
      </c>
      <c r="I2099" s="2">
        <v>48</v>
      </c>
      <c r="J2099" s="2" t="s">
        <v>155</v>
      </c>
      <c r="K2099" s="2"/>
      <c r="L2099" s="2" t="s">
        <v>24</v>
      </c>
      <c r="M2099" s="2"/>
      <c r="N2099" s="2" t="s">
        <v>34</v>
      </c>
    </row>
    <row r="2100" spans="1:14" x14ac:dyDescent="0.25">
      <c r="A2100" s="2" t="s">
        <v>5589</v>
      </c>
      <c r="B2100" s="2" t="s">
        <v>5590</v>
      </c>
      <c r="C2100" s="2" t="s">
        <v>28</v>
      </c>
      <c r="D2100" s="2" t="s">
        <v>100</v>
      </c>
      <c r="E2100" s="2" t="s">
        <v>148</v>
      </c>
      <c r="F2100" s="2" t="s">
        <v>96</v>
      </c>
      <c r="G2100" s="2" t="s">
        <v>139</v>
      </c>
      <c r="H2100" s="2" t="s">
        <v>74</v>
      </c>
      <c r="I2100" s="2">
        <v>8</v>
      </c>
      <c r="J2100" s="2" t="s">
        <v>48</v>
      </c>
      <c r="K2100" s="2" t="s">
        <v>5591</v>
      </c>
      <c r="L2100" s="2" t="s">
        <v>24</v>
      </c>
      <c r="M2100" s="2"/>
      <c r="N2100" s="2"/>
    </row>
    <row r="2101" spans="1:14" x14ac:dyDescent="0.25">
      <c r="A2101" s="2" t="s">
        <v>5592</v>
      </c>
      <c r="B2101" s="2" t="s">
        <v>5593</v>
      </c>
      <c r="C2101" s="2" t="s">
        <v>53</v>
      </c>
      <c r="D2101" s="2" t="s">
        <v>61</v>
      </c>
      <c r="E2101" s="2" t="s">
        <v>46</v>
      </c>
      <c r="F2101" s="2" t="s">
        <v>39</v>
      </c>
      <c r="G2101" s="2" t="s">
        <v>110</v>
      </c>
      <c r="H2101" s="2" t="s">
        <v>32</v>
      </c>
      <c r="I2101" s="2">
        <v>48</v>
      </c>
      <c r="J2101" s="2" t="s">
        <v>155</v>
      </c>
      <c r="K2101" s="2"/>
      <c r="L2101" s="2" t="s">
        <v>24</v>
      </c>
      <c r="M2101" s="2"/>
      <c r="N2101" s="2" t="s">
        <v>25</v>
      </c>
    </row>
    <row r="2102" spans="1:14" x14ac:dyDescent="0.25">
      <c r="A2102" s="2" t="s">
        <v>5594</v>
      </c>
      <c r="B2102" s="2" t="s">
        <v>5595</v>
      </c>
      <c r="C2102" s="2" t="s">
        <v>53</v>
      </c>
      <c r="D2102" s="2" t="s">
        <v>61</v>
      </c>
      <c r="E2102" s="2" t="s">
        <v>148</v>
      </c>
      <c r="F2102" s="2" t="s">
        <v>69</v>
      </c>
      <c r="G2102" s="2" t="s">
        <v>110</v>
      </c>
      <c r="H2102" s="2" t="s">
        <v>32</v>
      </c>
      <c r="I2102" s="2">
        <v>48</v>
      </c>
      <c r="J2102" s="2" t="s">
        <v>22</v>
      </c>
      <c r="K2102" s="2" t="s">
        <v>5596</v>
      </c>
      <c r="L2102" s="2" t="s">
        <v>24</v>
      </c>
      <c r="M2102" s="2"/>
      <c r="N2102" s="2" t="s">
        <v>58</v>
      </c>
    </row>
    <row r="2103" spans="1:14" x14ac:dyDescent="0.25">
      <c r="A2103" s="2" t="s">
        <v>5597</v>
      </c>
      <c r="B2103" s="2" t="s">
        <v>5598</v>
      </c>
      <c r="C2103" s="2" t="s">
        <v>28</v>
      </c>
      <c r="D2103" s="2" t="s">
        <v>37</v>
      </c>
      <c r="E2103" s="2" t="s">
        <v>38</v>
      </c>
      <c r="F2103" s="2" t="s">
        <v>39</v>
      </c>
      <c r="G2103" s="2" t="s">
        <v>20</v>
      </c>
      <c r="H2103" s="2" t="s">
        <v>74</v>
      </c>
      <c r="I2103" s="2">
        <v>8</v>
      </c>
      <c r="J2103" s="2" t="s">
        <v>187</v>
      </c>
      <c r="K2103" s="2" t="s">
        <v>5599</v>
      </c>
      <c r="L2103" s="2" t="s">
        <v>24</v>
      </c>
      <c r="M2103" s="2">
        <v>5</v>
      </c>
      <c r="N2103" s="2" t="s">
        <v>43</v>
      </c>
    </row>
    <row r="2104" spans="1:14" x14ac:dyDescent="0.25">
      <c r="A2104" s="2" t="s">
        <v>5600</v>
      </c>
      <c r="B2104" s="2" t="s">
        <v>5601</v>
      </c>
      <c r="C2104" s="2" t="s">
        <v>28</v>
      </c>
      <c r="D2104" s="2" t="s">
        <v>37</v>
      </c>
      <c r="E2104" s="2" t="s">
        <v>46</v>
      </c>
      <c r="F2104" s="2" t="s">
        <v>113</v>
      </c>
      <c r="G2104" s="2" t="s">
        <v>126</v>
      </c>
      <c r="H2104" s="2" t="s">
        <v>32</v>
      </c>
      <c r="I2104" s="2">
        <v>48</v>
      </c>
      <c r="J2104" s="2" t="s">
        <v>106</v>
      </c>
      <c r="K2104" s="2" t="s">
        <v>5602</v>
      </c>
      <c r="L2104" s="2" t="s">
        <v>24</v>
      </c>
      <c r="M2104" s="2">
        <v>3</v>
      </c>
      <c r="N2104" s="2" t="s">
        <v>58</v>
      </c>
    </row>
    <row r="2105" spans="1:14" x14ac:dyDescent="0.25">
      <c r="A2105" s="2" t="s">
        <v>5603</v>
      </c>
      <c r="B2105" s="2" t="s">
        <v>5604</v>
      </c>
      <c r="C2105" s="2" t="s">
        <v>16</v>
      </c>
      <c r="D2105" s="2" t="s">
        <v>17</v>
      </c>
      <c r="E2105" s="2" t="s">
        <v>46</v>
      </c>
      <c r="F2105" s="2" t="s">
        <v>113</v>
      </c>
      <c r="G2105" s="2" t="s">
        <v>211</v>
      </c>
      <c r="H2105" s="2" t="s">
        <v>74</v>
      </c>
      <c r="I2105" s="2">
        <v>8</v>
      </c>
      <c r="J2105" s="2" t="s">
        <v>41</v>
      </c>
      <c r="K2105" s="2" t="s">
        <v>5605</v>
      </c>
      <c r="L2105" s="2" t="s">
        <v>24</v>
      </c>
      <c r="M2105" s="2">
        <v>5</v>
      </c>
      <c r="N2105" s="2" t="s">
        <v>50</v>
      </c>
    </row>
    <row r="2106" spans="1:14" x14ac:dyDescent="0.25">
      <c r="A2106" s="2" t="s">
        <v>5606</v>
      </c>
      <c r="B2106" s="2" t="s">
        <v>5607</v>
      </c>
      <c r="C2106" s="2" t="s">
        <v>16</v>
      </c>
      <c r="D2106" s="2" t="s">
        <v>84</v>
      </c>
      <c r="E2106" s="2" t="s">
        <v>90</v>
      </c>
      <c r="F2106" s="2" t="s">
        <v>55</v>
      </c>
      <c r="G2106" s="2" t="s">
        <v>110</v>
      </c>
      <c r="H2106" s="2" t="s">
        <v>80</v>
      </c>
      <c r="I2106" s="2">
        <v>4</v>
      </c>
      <c r="J2106" s="2" t="s">
        <v>11</v>
      </c>
      <c r="K2106" s="2"/>
      <c r="L2106" s="2" t="s">
        <v>92</v>
      </c>
      <c r="M2106" s="2"/>
      <c r="N2106" s="2" t="s">
        <v>25</v>
      </c>
    </row>
    <row r="2107" spans="1:14" x14ac:dyDescent="0.25">
      <c r="A2107" s="2" t="s">
        <v>5608</v>
      </c>
      <c r="B2107" s="2" t="s">
        <v>5609</v>
      </c>
      <c r="C2107" s="2" t="s">
        <v>53</v>
      </c>
      <c r="D2107" s="2" t="s">
        <v>61</v>
      </c>
      <c r="E2107" s="2" t="s">
        <v>46</v>
      </c>
      <c r="F2107" s="2" t="s">
        <v>131</v>
      </c>
      <c r="G2107" s="2" t="s">
        <v>179</v>
      </c>
      <c r="H2107" s="2" t="s">
        <v>74</v>
      </c>
      <c r="I2107" s="2">
        <v>8</v>
      </c>
      <c r="J2107" s="2" t="s">
        <v>106</v>
      </c>
      <c r="K2107" s="2" t="s">
        <v>5610</v>
      </c>
      <c r="L2107" s="2" t="s">
        <v>24</v>
      </c>
      <c r="M2107" s="2">
        <v>4</v>
      </c>
      <c r="N2107" s="2" t="s">
        <v>34</v>
      </c>
    </row>
    <row r="2108" spans="1:14" x14ac:dyDescent="0.25">
      <c r="A2108" s="2" t="s">
        <v>5611</v>
      </c>
      <c r="B2108" s="2" t="s">
        <v>5612</v>
      </c>
      <c r="C2108" s="2" t="s">
        <v>67</v>
      </c>
      <c r="D2108" s="2" t="s">
        <v>601</v>
      </c>
      <c r="E2108" s="2" t="s">
        <v>79</v>
      </c>
      <c r="F2108" s="2" t="s">
        <v>113</v>
      </c>
      <c r="G2108" s="2" t="s">
        <v>158</v>
      </c>
      <c r="H2108" s="2" t="s">
        <v>32</v>
      </c>
      <c r="I2108" s="2">
        <v>48</v>
      </c>
      <c r="J2108" s="2" t="s">
        <v>75</v>
      </c>
      <c r="K2108" s="2" t="s">
        <v>5613</v>
      </c>
      <c r="L2108" s="2" t="s">
        <v>24</v>
      </c>
      <c r="M2108" s="2">
        <v>5</v>
      </c>
      <c r="N2108" s="2" t="s">
        <v>25</v>
      </c>
    </row>
    <row r="2109" spans="1:14" x14ac:dyDescent="0.25">
      <c r="A2109" s="2" t="s">
        <v>5614</v>
      </c>
      <c r="B2109" s="2" t="s">
        <v>5615</v>
      </c>
      <c r="C2109" s="2" t="s">
        <v>67</v>
      </c>
      <c r="D2109" s="2" t="s">
        <v>95</v>
      </c>
      <c r="E2109" s="2" t="s">
        <v>79</v>
      </c>
      <c r="F2109" s="2" t="s">
        <v>55</v>
      </c>
      <c r="G2109" s="2" t="s">
        <v>31</v>
      </c>
      <c r="H2109" s="2" t="s">
        <v>80</v>
      </c>
      <c r="I2109" s="2">
        <v>4</v>
      </c>
      <c r="J2109" s="2" t="s">
        <v>287</v>
      </c>
      <c r="K2109" s="2"/>
      <c r="L2109" s="2" t="s">
        <v>24</v>
      </c>
      <c r="M2109" s="2"/>
      <c r="N2109" s="2" t="s">
        <v>128</v>
      </c>
    </row>
    <row r="2110" spans="1:14" x14ac:dyDescent="0.25">
      <c r="A2110" s="2" t="s">
        <v>5616</v>
      </c>
      <c r="B2110" s="2" t="s">
        <v>5617</v>
      </c>
      <c r="C2110" s="2" t="s">
        <v>16</v>
      </c>
      <c r="D2110" s="2" t="s">
        <v>17</v>
      </c>
      <c r="E2110" s="2" t="s">
        <v>46</v>
      </c>
      <c r="F2110" s="2" t="s">
        <v>47</v>
      </c>
      <c r="G2110" s="2" t="s">
        <v>183</v>
      </c>
      <c r="H2110" s="2" t="s">
        <v>32</v>
      </c>
      <c r="I2110" s="2">
        <v>48</v>
      </c>
      <c r="J2110" s="2" t="s">
        <v>41</v>
      </c>
      <c r="K2110" s="2" t="s">
        <v>5618</v>
      </c>
      <c r="L2110" s="2" t="s">
        <v>92</v>
      </c>
      <c r="M2110" s="2">
        <v>4</v>
      </c>
      <c r="N2110" s="2" t="s">
        <v>43</v>
      </c>
    </row>
    <row r="2111" spans="1:14" x14ac:dyDescent="0.25">
      <c r="A2111" s="2" t="s">
        <v>5619</v>
      </c>
      <c r="B2111" s="2" t="s">
        <v>5620</v>
      </c>
      <c r="C2111" s="2" t="s">
        <v>53</v>
      </c>
      <c r="D2111" s="2" t="s">
        <v>54</v>
      </c>
      <c r="E2111" s="2" t="s">
        <v>18</v>
      </c>
      <c r="F2111" s="2" t="s">
        <v>131</v>
      </c>
      <c r="G2111" s="2" t="s">
        <v>20</v>
      </c>
      <c r="H2111" s="2" t="s">
        <v>32</v>
      </c>
      <c r="I2111" s="2">
        <v>48</v>
      </c>
      <c r="J2111" s="2" t="s">
        <v>232</v>
      </c>
      <c r="K2111" s="2"/>
      <c r="L2111" s="2" t="s">
        <v>92</v>
      </c>
      <c r="M2111" s="2"/>
      <c r="N2111" s="2" t="s">
        <v>43</v>
      </c>
    </row>
    <row r="2112" spans="1:14" x14ac:dyDescent="0.25">
      <c r="A2112" s="2" t="s">
        <v>5621</v>
      </c>
      <c r="B2112" s="2" t="s">
        <v>5622</v>
      </c>
      <c r="C2112" s="2" t="s">
        <v>16</v>
      </c>
      <c r="D2112" s="2" t="s">
        <v>17</v>
      </c>
      <c r="E2112" s="2" t="s">
        <v>85</v>
      </c>
      <c r="F2112" s="2" t="s">
        <v>19</v>
      </c>
      <c r="G2112" s="2" t="s">
        <v>126</v>
      </c>
      <c r="H2112" s="2" t="s">
        <v>74</v>
      </c>
      <c r="I2112" s="2">
        <v>8</v>
      </c>
      <c r="J2112" s="2" t="s">
        <v>187</v>
      </c>
      <c r="K2112" s="2" t="s">
        <v>5623</v>
      </c>
      <c r="L2112" s="2" t="s">
        <v>24</v>
      </c>
      <c r="M2112" s="2"/>
      <c r="N2112" s="2" t="s">
        <v>118</v>
      </c>
    </row>
    <row r="2113" spans="1:14" x14ac:dyDescent="0.25">
      <c r="A2113" s="2" t="s">
        <v>5624</v>
      </c>
      <c r="B2113" s="2" t="s">
        <v>5625</v>
      </c>
      <c r="C2113" s="2" t="s">
        <v>67</v>
      </c>
      <c r="D2113" s="2" t="s">
        <v>68</v>
      </c>
      <c r="E2113" s="2" t="s">
        <v>46</v>
      </c>
      <c r="F2113" s="2" t="s">
        <v>30</v>
      </c>
      <c r="G2113" s="2" t="s">
        <v>70</v>
      </c>
      <c r="H2113" s="2" t="s">
        <v>74</v>
      </c>
      <c r="I2113" s="2">
        <v>8</v>
      </c>
      <c r="J2113" s="2" t="s">
        <v>41</v>
      </c>
      <c r="K2113" s="2" t="s">
        <v>5626</v>
      </c>
      <c r="L2113" s="2" t="s">
        <v>24</v>
      </c>
      <c r="M2113" s="2"/>
      <c r="N2113" s="2"/>
    </row>
    <row r="2114" spans="1:14" x14ac:dyDescent="0.25">
      <c r="A2114" s="2" t="s">
        <v>5627</v>
      </c>
      <c r="B2114" s="2" t="s">
        <v>5628</v>
      </c>
      <c r="C2114" s="2" t="s">
        <v>16</v>
      </c>
      <c r="D2114" s="2" t="s">
        <v>17</v>
      </c>
      <c r="E2114" s="2" t="s">
        <v>18</v>
      </c>
      <c r="F2114" s="2" t="s">
        <v>30</v>
      </c>
      <c r="G2114" s="2" t="s">
        <v>139</v>
      </c>
      <c r="H2114" s="2" t="s">
        <v>32</v>
      </c>
      <c r="I2114" s="2">
        <v>48</v>
      </c>
      <c r="J2114" s="2" t="s">
        <v>106</v>
      </c>
      <c r="K2114" s="2" t="s">
        <v>5629</v>
      </c>
      <c r="L2114" s="2" t="s">
        <v>24</v>
      </c>
      <c r="M2114" s="2"/>
      <c r="N2114" s="2"/>
    </row>
    <row r="2115" spans="1:14" x14ac:dyDescent="0.25">
      <c r="A2115" s="2" t="s">
        <v>5630</v>
      </c>
      <c r="B2115" s="2" t="s">
        <v>5631</v>
      </c>
      <c r="C2115" s="2" t="s">
        <v>67</v>
      </c>
      <c r="D2115" s="2" t="s">
        <v>95</v>
      </c>
      <c r="E2115" s="2" t="s">
        <v>90</v>
      </c>
      <c r="F2115" s="2" t="s">
        <v>143</v>
      </c>
      <c r="G2115" s="2" t="s">
        <v>20</v>
      </c>
      <c r="H2115" s="2" t="s">
        <v>32</v>
      </c>
      <c r="I2115" s="2">
        <v>48</v>
      </c>
      <c r="J2115" s="2" t="s">
        <v>22</v>
      </c>
      <c r="K2115" s="2" t="s">
        <v>5632</v>
      </c>
      <c r="L2115" s="2" t="s">
        <v>24</v>
      </c>
      <c r="M2115" s="2">
        <v>2</v>
      </c>
      <c r="N2115" s="2" t="s">
        <v>58</v>
      </c>
    </row>
    <row r="2116" spans="1:14" x14ac:dyDescent="0.25">
      <c r="A2116" s="2" t="s">
        <v>5633</v>
      </c>
      <c r="B2116" s="2" t="s">
        <v>5634</v>
      </c>
      <c r="C2116" s="2" t="s">
        <v>28</v>
      </c>
      <c r="D2116" s="2" t="s">
        <v>37</v>
      </c>
      <c r="E2116" s="2" t="s">
        <v>79</v>
      </c>
      <c r="F2116" s="2" t="s">
        <v>62</v>
      </c>
      <c r="G2116" s="2" t="s">
        <v>183</v>
      </c>
      <c r="H2116" s="2" t="s">
        <v>21</v>
      </c>
      <c r="I2116" s="2">
        <v>24</v>
      </c>
      <c r="J2116" s="2" t="s">
        <v>106</v>
      </c>
      <c r="K2116" s="2" t="s">
        <v>5635</v>
      </c>
      <c r="L2116" s="2" t="s">
        <v>92</v>
      </c>
      <c r="M2116" s="2"/>
      <c r="N2116" s="2" t="s">
        <v>118</v>
      </c>
    </row>
    <row r="2117" spans="1:14" x14ac:dyDescent="0.25">
      <c r="A2117" s="2" t="s">
        <v>5636</v>
      </c>
      <c r="B2117" s="2" t="s">
        <v>5637</v>
      </c>
      <c r="C2117" s="2" t="s">
        <v>28</v>
      </c>
      <c r="D2117" s="2" t="s">
        <v>100</v>
      </c>
      <c r="E2117" s="2" t="s">
        <v>46</v>
      </c>
      <c r="F2117" s="2" t="s">
        <v>62</v>
      </c>
      <c r="G2117" s="2" t="s">
        <v>211</v>
      </c>
      <c r="H2117" s="2" t="s">
        <v>80</v>
      </c>
      <c r="I2117" s="2">
        <v>4</v>
      </c>
      <c r="J2117" s="2" t="s">
        <v>11</v>
      </c>
      <c r="K2117" s="2"/>
      <c r="L2117" s="2" t="s">
        <v>92</v>
      </c>
      <c r="M2117" s="2"/>
      <c r="N2117" s="2" t="s">
        <v>34</v>
      </c>
    </row>
    <row r="2118" spans="1:14" x14ac:dyDescent="0.25">
      <c r="A2118" s="2" t="s">
        <v>5638</v>
      </c>
      <c r="B2118" s="2" t="s">
        <v>5639</v>
      </c>
      <c r="C2118" s="2" t="s">
        <v>53</v>
      </c>
      <c r="D2118" s="2" t="s">
        <v>61</v>
      </c>
      <c r="E2118" s="2" t="s">
        <v>148</v>
      </c>
      <c r="F2118" s="2" t="s">
        <v>19</v>
      </c>
      <c r="G2118" s="2" t="s">
        <v>40</v>
      </c>
      <c r="H2118" s="2" t="s">
        <v>80</v>
      </c>
      <c r="I2118" s="2">
        <v>4</v>
      </c>
      <c r="J2118" s="2" t="s">
        <v>41</v>
      </c>
      <c r="K2118" s="2" t="s">
        <v>5640</v>
      </c>
      <c r="L2118" s="2" t="s">
        <v>24</v>
      </c>
      <c r="M2118" s="2">
        <v>4</v>
      </c>
      <c r="N2118" s="2" t="s">
        <v>128</v>
      </c>
    </row>
    <row r="2119" spans="1:14" x14ac:dyDescent="0.25">
      <c r="A2119" s="2" t="s">
        <v>5641</v>
      </c>
      <c r="B2119" s="2" t="s">
        <v>5642</v>
      </c>
      <c r="C2119" s="2" t="s">
        <v>67</v>
      </c>
      <c r="D2119" s="2" t="s">
        <v>68</v>
      </c>
      <c r="E2119" s="2" t="s">
        <v>90</v>
      </c>
      <c r="F2119" s="2" t="s">
        <v>131</v>
      </c>
      <c r="G2119" s="2" t="s">
        <v>40</v>
      </c>
      <c r="H2119" s="2" t="s">
        <v>32</v>
      </c>
      <c r="I2119" s="2">
        <v>48</v>
      </c>
      <c r="J2119" s="2" t="s">
        <v>187</v>
      </c>
      <c r="K2119" s="2" t="s">
        <v>5643</v>
      </c>
      <c r="L2119" s="2" t="s">
        <v>24</v>
      </c>
      <c r="M2119" s="2"/>
      <c r="N2119" s="2" t="s">
        <v>43</v>
      </c>
    </row>
    <row r="2120" spans="1:14" x14ac:dyDescent="0.25">
      <c r="A2120" s="2" t="s">
        <v>2190</v>
      </c>
      <c r="B2120" s="2" t="s">
        <v>2191</v>
      </c>
      <c r="C2120" s="2" t="s">
        <v>28</v>
      </c>
      <c r="D2120" s="2" t="s">
        <v>37</v>
      </c>
      <c r="E2120" s="2" t="s">
        <v>46</v>
      </c>
      <c r="F2120" s="2" t="s">
        <v>131</v>
      </c>
      <c r="G2120" s="2" t="s">
        <v>183</v>
      </c>
      <c r="H2120" s="2" t="s">
        <v>74</v>
      </c>
      <c r="I2120" s="2">
        <v>8</v>
      </c>
      <c r="J2120" s="2" t="s">
        <v>48</v>
      </c>
      <c r="K2120" s="2" t="s">
        <v>2192</v>
      </c>
      <c r="L2120" s="2" t="s">
        <v>24</v>
      </c>
      <c r="M2120" s="2"/>
      <c r="N2120" s="2" t="s">
        <v>118</v>
      </c>
    </row>
    <row r="2121" spans="1:14" x14ac:dyDescent="0.25">
      <c r="A2121" s="2" t="s">
        <v>5644</v>
      </c>
      <c r="B2121" s="2" t="s">
        <v>5645</v>
      </c>
      <c r="C2121" s="2" t="s">
        <v>67</v>
      </c>
      <c r="D2121" s="2" t="s">
        <v>68</v>
      </c>
      <c r="E2121" s="2" t="s">
        <v>85</v>
      </c>
      <c r="F2121" s="2" t="s">
        <v>96</v>
      </c>
      <c r="G2121" s="2" t="s">
        <v>183</v>
      </c>
      <c r="H2121" s="2" t="s">
        <v>74</v>
      </c>
      <c r="I2121" s="2">
        <v>8</v>
      </c>
      <c r="J2121" s="2" t="s">
        <v>155</v>
      </c>
      <c r="K2121" s="2"/>
      <c r="L2121" s="2" t="s">
        <v>92</v>
      </c>
      <c r="M2121" s="2"/>
      <c r="N2121" s="2" t="s">
        <v>50</v>
      </c>
    </row>
    <row r="2122" spans="1:14" x14ac:dyDescent="0.25">
      <c r="A2122" s="2" t="s">
        <v>2168</v>
      </c>
      <c r="B2122" s="2" t="s">
        <v>2169</v>
      </c>
      <c r="C2122" s="2" t="s">
        <v>53</v>
      </c>
      <c r="D2122" s="2" t="s">
        <v>61</v>
      </c>
      <c r="E2122" s="2" t="s">
        <v>38</v>
      </c>
      <c r="F2122" s="2" t="s">
        <v>69</v>
      </c>
      <c r="G2122" s="2" t="s">
        <v>211</v>
      </c>
      <c r="H2122" s="2" t="s">
        <v>80</v>
      </c>
      <c r="I2122" s="2">
        <v>4</v>
      </c>
      <c r="J2122" s="2" t="s">
        <v>149</v>
      </c>
      <c r="K2122" s="2"/>
      <c r="L2122" s="2" t="s">
        <v>24</v>
      </c>
      <c r="M2122" s="2"/>
      <c r="N2122" s="2" t="s">
        <v>50</v>
      </c>
    </row>
    <row r="2123" spans="1:14" x14ac:dyDescent="0.25">
      <c r="A2123" s="2" t="s">
        <v>5646</v>
      </c>
      <c r="B2123" s="2" t="s">
        <v>5647</v>
      </c>
      <c r="C2123" s="2" t="s">
        <v>16</v>
      </c>
      <c r="D2123" s="2" t="s">
        <v>17</v>
      </c>
      <c r="E2123" s="2" t="s">
        <v>38</v>
      </c>
      <c r="F2123" s="2" t="s">
        <v>55</v>
      </c>
      <c r="G2123" s="2" t="s">
        <v>110</v>
      </c>
      <c r="H2123" s="2" t="s">
        <v>21</v>
      </c>
      <c r="I2123" s="2">
        <v>24</v>
      </c>
      <c r="J2123" s="2" t="s">
        <v>41</v>
      </c>
      <c r="K2123" s="2" t="s">
        <v>5648</v>
      </c>
      <c r="L2123" s="2" t="s">
        <v>24</v>
      </c>
      <c r="M2123" s="2">
        <v>3</v>
      </c>
      <c r="N2123" s="2"/>
    </row>
    <row r="2124" spans="1:14" x14ac:dyDescent="0.25">
      <c r="A2124" s="2" t="s">
        <v>5649</v>
      </c>
      <c r="B2124" s="2" t="s">
        <v>5650</v>
      </c>
      <c r="C2124" s="2" t="s">
        <v>16</v>
      </c>
      <c r="D2124" s="2" t="s">
        <v>84</v>
      </c>
      <c r="E2124" s="2" t="s">
        <v>38</v>
      </c>
      <c r="F2124" s="2" t="s">
        <v>62</v>
      </c>
      <c r="G2124" s="2" t="s">
        <v>70</v>
      </c>
      <c r="H2124" s="2" t="s">
        <v>74</v>
      </c>
      <c r="I2124" s="2">
        <v>8</v>
      </c>
      <c r="J2124" s="2" t="s">
        <v>106</v>
      </c>
      <c r="K2124" s="2" t="s">
        <v>5651</v>
      </c>
      <c r="L2124" s="2" t="s">
        <v>24</v>
      </c>
      <c r="M2124" s="2"/>
      <c r="N2124" s="2" t="s">
        <v>64</v>
      </c>
    </row>
    <row r="2125" spans="1:14" x14ac:dyDescent="0.25">
      <c r="A2125" s="2" t="s">
        <v>5652</v>
      </c>
      <c r="B2125" s="2" t="s">
        <v>5653</v>
      </c>
      <c r="C2125" s="2" t="s">
        <v>16</v>
      </c>
      <c r="D2125" s="2" t="s">
        <v>84</v>
      </c>
      <c r="E2125" s="2" t="s">
        <v>85</v>
      </c>
      <c r="F2125" s="2" t="s">
        <v>55</v>
      </c>
      <c r="G2125" s="2" t="s">
        <v>97</v>
      </c>
      <c r="H2125" s="2" t="s">
        <v>32</v>
      </c>
      <c r="I2125" s="2">
        <v>48</v>
      </c>
      <c r="J2125" s="2" t="s">
        <v>48</v>
      </c>
      <c r="K2125" s="2"/>
      <c r="L2125" s="2" t="s">
        <v>92</v>
      </c>
      <c r="M2125" s="2">
        <v>5</v>
      </c>
      <c r="N2125" s="2" t="s">
        <v>50</v>
      </c>
    </row>
    <row r="2126" spans="1:14" x14ac:dyDescent="0.25">
      <c r="A2126" s="2" t="s">
        <v>5654</v>
      </c>
      <c r="B2126" s="2" t="s">
        <v>5655</v>
      </c>
      <c r="C2126" s="2" t="s">
        <v>16</v>
      </c>
      <c r="D2126" s="2" t="s">
        <v>84</v>
      </c>
      <c r="E2126" s="2" t="s">
        <v>18</v>
      </c>
      <c r="F2126" s="2" t="s">
        <v>55</v>
      </c>
      <c r="G2126" s="2" t="s">
        <v>139</v>
      </c>
      <c r="H2126" s="2" t="s">
        <v>74</v>
      </c>
      <c r="I2126" s="2">
        <v>8</v>
      </c>
      <c r="J2126" s="2" t="s">
        <v>41</v>
      </c>
      <c r="K2126" s="2" t="s">
        <v>5656</v>
      </c>
      <c r="L2126" s="2" t="s">
        <v>24</v>
      </c>
      <c r="M2126" s="2"/>
      <c r="N2126" s="2" t="s">
        <v>50</v>
      </c>
    </row>
    <row r="2127" spans="1:14" x14ac:dyDescent="0.25">
      <c r="A2127" s="2" t="s">
        <v>5657</v>
      </c>
      <c r="B2127" s="2" t="s">
        <v>5658</v>
      </c>
      <c r="C2127" s="2" t="s">
        <v>53</v>
      </c>
      <c r="D2127" s="2" t="s">
        <v>54</v>
      </c>
      <c r="E2127" s="2" t="s">
        <v>38</v>
      </c>
      <c r="F2127" s="2" t="s">
        <v>47</v>
      </c>
      <c r="G2127" s="2" t="s">
        <v>211</v>
      </c>
      <c r="H2127" s="2" t="s">
        <v>21</v>
      </c>
      <c r="I2127" s="2">
        <v>24</v>
      </c>
      <c r="J2127" s="2" t="s">
        <v>75</v>
      </c>
      <c r="K2127" s="2" t="s">
        <v>5659</v>
      </c>
      <c r="L2127" s="2" t="s">
        <v>92</v>
      </c>
      <c r="M2127" s="2"/>
      <c r="N2127" s="2" t="s">
        <v>128</v>
      </c>
    </row>
    <row r="2128" spans="1:14" x14ac:dyDescent="0.25">
      <c r="A2128" s="2" t="s">
        <v>5660</v>
      </c>
      <c r="B2128" s="2" t="s">
        <v>5661</v>
      </c>
      <c r="C2128" s="2" t="s">
        <v>67</v>
      </c>
      <c r="D2128" s="2" t="s">
        <v>68</v>
      </c>
      <c r="E2128" s="2" t="s">
        <v>148</v>
      </c>
      <c r="F2128" s="2" t="s">
        <v>125</v>
      </c>
      <c r="G2128" s="2" t="s">
        <v>135</v>
      </c>
      <c r="H2128" s="2" t="s">
        <v>21</v>
      </c>
      <c r="I2128" s="2">
        <v>24</v>
      </c>
      <c r="J2128" s="2" t="s">
        <v>48</v>
      </c>
      <c r="K2128" s="2" t="s">
        <v>5662</v>
      </c>
      <c r="L2128" s="2" t="s">
        <v>24</v>
      </c>
      <c r="M2128" s="2">
        <v>5</v>
      </c>
      <c r="N2128" s="2" t="s">
        <v>58</v>
      </c>
    </row>
    <row r="2129" spans="1:14" x14ac:dyDescent="0.25">
      <c r="A2129" s="2" t="s">
        <v>5663</v>
      </c>
      <c r="B2129" s="2" t="s">
        <v>5664</v>
      </c>
      <c r="C2129" s="2" t="s">
        <v>53</v>
      </c>
      <c r="D2129" s="2" t="s">
        <v>61</v>
      </c>
      <c r="E2129" s="2" t="s">
        <v>90</v>
      </c>
      <c r="F2129" s="2" t="s">
        <v>39</v>
      </c>
      <c r="G2129" s="2" t="s">
        <v>183</v>
      </c>
      <c r="H2129" s="2" t="s">
        <v>21</v>
      </c>
      <c r="I2129" s="2">
        <v>24</v>
      </c>
      <c r="J2129" s="2" t="s">
        <v>56</v>
      </c>
      <c r="K2129" s="2" t="s">
        <v>5665</v>
      </c>
      <c r="L2129" s="2" t="s">
        <v>92</v>
      </c>
      <c r="M2129" s="2"/>
      <c r="N2129" s="2"/>
    </row>
    <row r="2130" spans="1:14" x14ac:dyDescent="0.25">
      <c r="A2130" s="2" t="s">
        <v>5666</v>
      </c>
      <c r="B2130" s="2" t="s">
        <v>5667</v>
      </c>
      <c r="C2130" s="2" t="s">
        <v>67</v>
      </c>
      <c r="D2130" s="2" t="s">
        <v>95</v>
      </c>
      <c r="E2130" s="2" t="s">
        <v>85</v>
      </c>
      <c r="F2130" s="2" t="s">
        <v>62</v>
      </c>
      <c r="G2130" s="2" t="s">
        <v>97</v>
      </c>
      <c r="H2130" s="2" t="s">
        <v>74</v>
      </c>
      <c r="I2130" s="2">
        <v>8</v>
      </c>
      <c r="J2130" s="2" t="s">
        <v>187</v>
      </c>
      <c r="K2130" s="2" t="s">
        <v>5668</v>
      </c>
      <c r="L2130" s="2" t="s">
        <v>24</v>
      </c>
      <c r="M2130" s="2">
        <v>4</v>
      </c>
      <c r="N2130" s="2" t="s">
        <v>50</v>
      </c>
    </row>
    <row r="2131" spans="1:14" x14ac:dyDescent="0.25">
      <c r="A2131" s="2" t="s">
        <v>5669</v>
      </c>
      <c r="B2131" s="2" t="s">
        <v>5670</v>
      </c>
      <c r="C2131" s="2" t="s">
        <v>53</v>
      </c>
      <c r="D2131" s="2" t="s">
        <v>54</v>
      </c>
      <c r="E2131" s="2" t="s">
        <v>90</v>
      </c>
      <c r="F2131" s="2" t="s">
        <v>96</v>
      </c>
      <c r="G2131" s="2" t="s">
        <v>121</v>
      </c>
      <c r="H2131" s="2" t="s">
        <v>80</v>
      </c>
      <c r="I2131" s="2">
        <v>4</v>
      </c>
      <c r="J2131" s="2" t="s">
        <v>155</v>
      </c>
      <c r="K2131" s="2"/>
      <c r="L2131" s="2" t="s">
        <v>24</v>
      </c>
      <c r="M2131" s="2"/>
      <c r="N2131" s="2" t="s">
        <v>43</v>
      </c>
    </row>
    <row r="2132" spans="1:14" x14ac:dyDescent="0.25">
      <c r="A2132" s="2" t="s">
        <v>5671</v>
      </c>
      <c r="B2132" s="2" t="s">
        <v>5672</v>
      </c>
      <c r="C2132" s="2" t="s">
        <v>28</v>
      </c>
      <c r="D2132" s="2" t="s">
        <v>37</v>
      </c>
      <c r="E2132" s="2" t="s">
        <v>90</v>
      </c>
      <c r="F2132" s="2" t="s">
        <v>39</v>
      </c>
      <c r="G2132" s="2" t="s">
        <v>105</v>
      </c>
      <c r="H2132" s="2" t="s">
        <v>21</v>
      </c>
      <c r="I2132" s="2">
        <v>24</v>
      </c>
      <c r="J2132" s="2" t="s">
        <v>106</v>
      </c>
      <c r="K2132" s="2" t="s">
        <v>5673</v>
      </c>
      <c r="L2132" s="2" t="s">
        <v>24</v>
      </c>
      <c r="M2132" s="2">
        <v>4</v>
      </c>
      <c r="N2132" s="2" t="s">
        <v>34</v>
      </c>
    </row>
    <row r="2133" spans="1:14" x14ac:dyDescent="0.25">
      <c r="A2133" s="2" t="s">
        <v>5674</v>
      </c>
      <c r="B2133" s="2" t="s">
        <v>5675</v>
      </c>
      <c r="C2133" s="2" t="s">
        <v>28</v>
      </c>
      <c r="D2133" s="2" t="s">
        <v>37</v>
      </c>
      <c r="E2133" s="2" t="s">
        <v>38</v>
      </c>
      <c r="F2133" s="2" t="s">
        <v>30</v>
      </c>
      <c r="G2133" s="2" t="s">
        <v>121</v>
      </c>
      <c r="H2133" s="2" t="s">
        <v>80</v>
      </c>
      <c r="I2133" s="2">
        <v>4</v>
      </c>
      <c r="J2133" s="2" t="s">
        <v>106</v>
      </c>
      <c r="K2133" s="2" t="s">
        <v>5676</v>
      </c>
      <c r="L2133" s="2" t="s">
        <v>24</v>
      </c>
      <c r="M2133" s="2"/>
      <c r="N2133" s="2" t="s">
        <v>58</v>
      </c>
    </row>
    <row r="2134" spans="1:14" x14ac:dyDescent="0.25">
      <c r="A2134" s="2" t="s">
        <v>5677</v>
      </c>
      <c r="B2134" s="2" t="s">
        <v>5678</v>
      </c>
      <c r="C2134" s="2" t="s">
        <v>67</v>
      </c>
      <c r="D2134" s="2" t="s">
        <v>89</v>
      </c>
      <c r="E2134" s="2" t="s">
        <v>148</v>
      </c>
      <c r="F2134" s="2" t="s">
        <v>19</v>
      </c>
      <c r="G2134" s="2" t="s">
        <v>135</v>
      </c>
      <c r="H2134" s="2" t="s">
        <v>21</v>
      </c>
      <c r="I2134" s="2">
        <v>24</v>
      </c>
      <c r="J2134" s="2" t="s">
        <v>22</v>
      </c>
      <c r="K2134" s="2" t="s">
        <v>5679</v>
      </c>
      <c r="L2134" s="2" t="s">
        <v>24</v>
      </c>
      <c r="M2134" s="2"/>
      <c r="N2134" s="2"/>
    </row>
    <row r="2135" spans="1:14" x14ac:dyDescent="0.25">
      <c r="A2135" s="2" t="s">
        <v>5680</v>
      </c>
      <c r="B2135" s="2" t="s">
        <v>5681</v>
      </c>
      <c r="C2135" s="2" t="s">
        <v>28</v>
      </c>
      <c r="D2135" s="2" t="s">
        <v>100</v>
      </c>
      <c r="E2135" s="2" t="s">
        <v>46</v>
      </c>
      <c r="F2135" s="2" t="s">
        <v>30</v>
      </c>
      <c r="G2135" s="2" t="s">
        <v>211</v>
      </c>
      <c r="H2135" s="2" t="s">
        <v>21</v>
      </c>
      <c r="I2135" s="2">
        <v>24</v>
      </c>
      <c r="J2135" s="2" t="s">
        <v>41</v>
      </c>
      <c r="K2135" s="2" t="s">
        <v>5682</v>
      </c>
      <c r="L2135" s="2" t="s">
        <v>24</v>
      </c>
      <c r="M2135" s="2">
        <v>3</v>
      </c>
      <c r="N2135" s="2" t="s">
        <v>58</v>
      </c>
    </row>
    <row r="2136" spans="1:14" x14ac:dyDescent="0.25">
      <c r="A2136" s="2" t="s">
        <v>5683</v>
      </c>
      <c r="B2136" s="2" t="s">
        <v>5684</v>
      </c>
      <c r="C2136" s="2" t="s">
        <v>53</v>
      </c>
      <c r="D2136" s="2" t="s">
        <v>61</v>
      </c>
      <c r="E2136" s="2" t="s">
        <v>148</v>
      </c>
      <c r="F2136" s="2" t="s">
        <v>125</v>
      </c>
      <c r="G2136" s="2" t="s">
        <v>105</v>
      </c>
      <c r="H2136" s="2" t="s">
        <v>74</v>
      </c>
      <c r="I2136" s="2">
        <v>8</v>
      </c>
      <c r="J2136" s="2" t="s">
        <v>75</v>
      </c>
      <c r="K2136" s="2" t="s">
        <v>5685</v>
      </c>
      <c r="L2136" s="2" t="s">
        <v>24</v>
      </c>
      <c r="M2136" s="2"/>
      <c r="N2136" s="2" t="s">
        <v>58</v>
      </c>
    </row>
    <row r="2137" spans="1:14" x14ac:dyDescent="0.25">
      <c r="A2137" s="2" t="s">
        <v>5686</v>
      </c>
      <c r="B2137" s="2" t="s">
        <v>5687</v>
      </c>
      <c r="C2137" s="2" t="s">
        <v>53</v>
      </c>
      <c r="D2137" s="2" t="s">
        <v>61</v>
      </c>
      <c r="E2137" s="2" t="s">
        <v>46</v>
      </c>
      <c r="F2137" s="2" t="s">
        <v>62</v>
      </c>
      <c r="G2137" s="2" t="s">
        <v>91</v>
      </c>
      <c r="H2137" s="2" t="s">
        <v>21</v>
      </c>
      <c r="I2137" s="2">
        <v>24</v>
      </c>
      <c r="J2137" s="2" t="s">
        <v>75</v>
      </c>
      <c r="K2137" s="2" t="s">
        <v>5688</v>
      </c>
      <c r="L2137" s="2" t="s">
        <v>24</v>
      </c>
      <c r="M2137" s="2">
        <v>5</v>
      </c>
      <c r="N2137" s="2" t="s">
        <v>34</v>
      </c>
    </row>
    <row r="2138" spans="1:14" x14ac:dyDescent="0.25">
      <c r="A2138" s="2" t="s">
        <v>5689</v>
      </c>
      <c r="B2138" s="2" t="s">
        <v>5690</v>
      </c>
      <c r="C2138" s="2" t="s">
        <v>67</v>
      </c>
      <c r="D2138" s="2" t="s">
        <v>68</v>
      </c>
      <c r="E2138" s="2" t="s">
        <v>148</v>
      </c>
      <c r="F2138" s="2" t="s">
        <v>62</v>
      </c>
      <c r="G2138" s="2" t="s">
        <v>121</v>
      </c>
      <c r="H2138" s="2" t="s">
        <v>74</v>
      </c>
      <c r="I2138" s="2">
        <v>8</v>
      </c>
      <c r="J2138" s="2" t="s">
        <v>41</v>
      </c>
      <c r="K2138" s="2" t="s">
        <v>5691</v>
      </c>
      <c r="L2138" s="2" t="s">
        <v>24</v>
      </c>
      <c r="M2138" s="2">
        <v>5</v>
      </c>
      <c r="N2138" s="2" t="s">
        <v>128</v>
      </c>
    </row>
    <row r="2139" spans="1:14" x14ac:dyDescent="0.25">
      <c r="A2139" s="2" t="s">
        <v>5692</v>
      </c>
      <c r="B2139" s="2" t="s">
        <v>5693</v>
      </c>
      <c r="C2139" s="2" t="s">
        <v>53</v>
      </c>
      <c r="D2139" s="2" t="s">
        <v>61</v>
      </c>
      <c r="E2139" s="2" t="s">
        <v>38</v>
      </c>
      <c r="F2139" s="2" t="s">
        <v>96</v>
      </c>
      <c r="G2139" s="2" t="s">
        <v>121</v>
      </c>
      <c r="H2139" s="2" t="s">
        <v>21</v>
      </c>
      <c r="I2139" s="2">
        <v>24</v>
      </c>
      <c r="J2139" s="2" t="s">
        <v>41</v>
      </c>
      <c r="K2139" s="2" t="s">
        <v>5694</v>
      </c>
      <c r="L2139" s="2" t="s">
        <v>24</v>
      </c>
      <c r="M2139" s="2">
        <v>3</v>
      </c>
      <c r="N2139" s="2" t="s">
        <v>34</v>
      </c>
    </row>
    <row r="2140" spans="1:14" x14ac:dyDescent="0.25">
      <c r="A2140" s="2" t="s">
        <v>5695</v>
      </c>
      <c r="B2140" s="2" t="s">
        <v>5696</v>
      </c>
      <c r="C2140" s="2" t="s">
        <v>53</v>
      </c>
      <c r="D2140" s="2" t="s">
        <v>61</v>
      </c>
      <c r="E2140" s="2" t="s">
        <v>79</v>
      </c>
      <c r="F2140" s="2" t="s">
        <v>125</v>
      </c>
      <c r="G2140" s="2" t="s">
        <v>105</v>
      </c>
      <c r="H2140" s="2" t="s">
        <v>21</v>
      </c>
      <c r="I2140" s="2">
        <v>24</v>
      </c>
      <c r="J2140" s="2" t="s">
        <v>41</v>
      </c>
      <c r="K2140" s="2" t="s">
        <v>5697</v>
      </c>
      <c r="L2140" s="2" t="s">
        <v>24</v>
      </c>
      <c r="M2140" s="2">
        <v>4</v>
      </c>
      <c r="N2140" s="2" t="s">
        <v>50</v>
      </c>
    </row>
    <row r="2141" spans="1:14" x14ac:dyDescent="0.25">
      <c r="A2141" s="2" t="s">
        <v>5698</v>
      </c>
      <c r="B2141" s="2" t="s">
        <v>5699</v>
      </c>
      <c r="C2141" s="2" t="s">
        <v>67</v>
      </c>
      <c r="D2141" s="2" t="s">
        <v>95</v>
      </c>
      <c r="E2141" s="2" t="s">
        <v>18</v>
      </c>
      <c r="F2141" s="2" t="s">
        <v>113</v>
      </c>
      <c r="G2141" s="2" t="s">
        <v>135</v>
      </c>
      <c r="H2141" s="2" t="s">
        <v>80</v>
      </c>
      <c r="I2141" s="2">
        <v>4</v>
      </c>
      <c r="J2141" s="2" t="s">
        <v>22</v>
      </c>
      <c r="K2141" s="2" t="s">
        <v>5700</v>
      </c>
      <c r="L2141" s="2" t="s">
        <v>24</v>
      </c>
      <c r="M2141" s="2">
        <v>1</v>
      </c>
      <c r="N2141" s="2" t="s">
        <v>118</v>
      </c>
    </row>
    <row r="2142" spans="1:14" x14ac:dyDescent="0.25">
      <c r="A2142" s="2" t="s">
        <v>5701</v>
      </c>
      <c r="B2142" s="2" t="s">
        <v>5702</v>
      </c>
      <c r="C2142" s="2" t="s">
        <v>53</v>
      </c>
      <c r="D2142" s="2" t="s">
        <v>61</v>
      </c>
      <c r="E2142" s="2" t="s">
        <v>79</v>
      </c>
      <c r="F2142" s="2" t="s">
        <v>62</v>
      </c>
      <c r="G2142" s="2" t="s">
        <v>70</v>
      </c>
      <c r="H2142" s="2" t="s">
        <v>74</v>
      </c>
      <c r="I2142" s="2">
        <v>8</v>
      </c>
      <c r="J2142" s="2" t="s">
        <v>145</v>
      </c>
      <c r="K2142" s="2"/>
      <c r="L2142" s="2" t="s">
        <v>24</v>
      </c>
      <c r="M2142" s="2"/>
      <c r="N2142" s="2" t="s">
        <v>34</v>
      </c>
    </row>
    <row r="2143" spans="1:14" x14ac:dyDescent="0.25">
      <c r="A2143" s="2" t="s">
        <v>5703</v>
      </c>
      <c r="B2143" s="2" t="s">
        <v>5704</v>
      </c>
      <c r="C2143" s="2" t="s">
        <v>53</v>
      </c>
      <c r="D2143" s="2" t="s">
        <v>54</v>
      </c>
      <c r="E2143" s="2" t="s">
        <v>46</v>
      </c>
      <c r="F2143" s="2" t="s">
        <v>62</v>
      </c>
      <c r="G2143" s="2" t="s">
        <v>31</v>
      </c>
      <c r="H2143" s="2" t="s">
        <v>32</v>
      </c>
      <c r="I2143" s="2">
        <v>48</v>
      </c>
      <c r="J2143" s="2" t="s">
        <v>75</v>
      </c>
      <c r="K2143" s="2" t="s">
        <v>5705</v>
      </c>
      <c r="L2143" s="2" t="s">
        <v>24</v>
      </c>
      <c r="M2143" s="2"/>
      <c r="N2143" s="2" t="s">
        <v>34</v>
      </c>
    </row>
    <row r="2144" spans="1:14" x14ac:dyDescent="0.25">
      <c r="A2144" s="2" t="s">
        <v>5706</v>
      </c>
      <c r="B2144" s="2" t="s">
        <v>5707</v>
      </c>
      <c r="C2144" s="2" t="s">
        <v>53</v>
      </c>
      <c r="D2144" s="2" t="s">
        <v>61</v>
      </c>
      <c r="E2144" s="2" t="s">
        <v>148</v>
      </c>
      <c r="F2144" s="2" t="s">
        <v>96</v>
      </c>
      <c r="G2144" s="2" t="s">
        <v>135</v>
      </c>
      <c r="H2144" s="2" t="s">
        <v>32</v>
      </c>
      <c r="I2144" s="2">
        <v>48</v>
      </c>
      <c r="J2144" s="2" t="s">
        <v>106</v>
      </c>
      <c r="K2144" s="2" t="s">
        <v>5708</v>
      </c>
      <c r="L2144" s="2" t="s">
        <v>24</v>
      </c>
      <c r="M2144" s="2">
        <v>5</v>
      </c>
      <c r="N2144" s="2"/>
    </row>
    <row r="2145" spans="1:14" x14ac:dyDescent="0.25">
      <c r="A2145" s="2" t="s">
        <v>5709</v>
      </c>
      <c r="B2145" s="2" t="s">
        <v>5710</v>
      </c>
      <c r="C2145" s="2" t="s">
        <v>53</v>
      </c>
      <c r="D2145" s="2" t="s">
        <v>54</v>
      </c>
      <c r="E2145" s="2" t="s">
        <v>18</v>
      </c>
      <c r="F2145" s="2" t="s">
        <v>30</v>
      </c>
      <c r="G2145" s="2" t="s">
        <v>211</v>
      </c>
      <c r="H2145" s="2" t="s">
        <v>32</v>
      </c>
      <c r="I2145" s="2">
        <v>48</v>
      </c>
      <c r="J2145" s="2" t="s">
        <v>11</v>
      </c>
      <c r="K2145" s="2"/>
      <c r="L2145" s="2" t="s">
        <v>92</v>
      </c>
      <c r="M2145" s="2"/>
      <c r="N2145" s="2" t="s">
        <v>118</v>
      </c>
    </row>
    <row r="2146" spans="1:14" x14ac:dyDescent="0.25">
      <c r="A2146" s="2" t="s">
        <v>5711</v>
      </c>
      <c r="B2146" s="2" t="s">
        <v>5712</v>
      </c>
      <c r="C2146" s="2" t="s">
        <v>67</v>
      </c>
      <c r="D2146" s="2" t="s">
        <v>95</v>
      </c>
      <c r="E2146" s="2" t="s">
        <v>18</v>
      </c>
      <c r="F2146" s="2" t="s">
        <v>96</v>
      </c>
      <c r="G2146" s="2" t="s">
        <v>135</v>
      </c>
      <c r="H2146" s="2" t="s">
        <v>74</v>
      </c>
      <c r="I2146" s="2">
        <v>8</v>
      </c>
      <c r="J2146" s="2" t="s">
        <v>117</v>
      </c>
      <c r="K2146" s="2"/>
      <c r="L2146" s="2" t="s">
        <v>24</v>
      </c>
      <c r="M2146" s="2"/>
      <c r="N2146" s="2"/>
    </row>
    <row r="2147" spans="1:14" x14ac:dyDescent="0.25">
      <c r="A2147" s="2" t="s">
        <v>5713</v>
      </c>
      <c r="B2147" s="2" t="s">
        <v>5714</v>
      </c>
      <c r="C2147" s="2" t="s">
        <v>67</v>
      </c>
      <c r="D2147" s="2" t="s">
        <v>95</v>
      </c>
      <c r="E2147" s="2" t="s">
        <v>46</v>
      </c>
      <c r="F2147" s="2" t="s">
        <v>143</v>
      </c>
      <c r="G2147" s="2" t="s">
        <v>144</v>
      </c>
      <c r="H2147" s="2" t="s">
        <v>21</v>
      </c>
      <c r="I2147" s="2">
        <v>24</v>
      </c>
      <c r="J2147" s="2" t="s">
        <v>48</v>
      </c>
      <c r="K2147" s="2" t="s">
        <v>5715</v>
      </c>
      <c r="L2147" s="2" t="s">
        <v>24</v>
      </c>
      <c r="M2147" s="2">
        <v>1</v>
      </c>
      <c r="N2147" s="2" t="s">
        <v>25</v>
      </c>
    </row>
    <row r="2148" spans="1:14" x14ac:dyDescent="0.25">
      <c r="A2148" s="2" t="s">
        <v>5716</v>
      </c>
      <c r="B2148" s="2" t="s">
        <v>5717</v>
      </c>
      <c r="C2148" s="2" t="s">
        <v>16</v>
      </c>
      <c r="D2148" s="2" t="s">
        <v>84</v>
      </c>
      <c r="E2148" s="2" t="s">
        <v>85</v>
      </c>
      <c r="F2148" s="2" t="s">
        <v>30</v>
      </c>
      <c r="G2148" s="2" t="s">
        <v>40</v>
      </c>
      <c r="H2148" s="2" t="s">
        <v>32</v>
      </c>
      <c r="I2148" s="2">
        <v>48</v>
      </c>
      <c r="J2148" s="2" t="s">
        <v>232</v>
      </c>
      <c r="K2148" s="2"/>
      <c r="L2148" s="2" t="s">
        <v>92</v>
      </c>
      <c r="M2148" s="2"/>
      <c r="N2148" s="2" t="s">
        <v>34</v>
      </c>
    </row>
    <row r="2149" spans="1:14" x14ac:dyDescent="0.25">
      <c r="A2149" s="2" t="s">
        <v>5718</v>
      </c>
      <c r="B2149" s="2" t="s">
        <v>5719</v>
      </c>
      <c r="C2149" s="2" t="s">
        <v>67</v>
      </c>
      <c r="D2149" s="2" t="s">
        <v>68</v>
      </c>
      <c r="E2149" s="2" t="s">
        <v>79</v>
      </c>
      <c r="F2149" s="2" t="s">
        <v>30</v>
      </c>
      <c r="G2149" s="2" t="s">
        <v>211</v>
      </c>
      <c r="H2149" s="2" t="s">
        <v>21</v>
      </c>
      <c r="I2149" s="2">
        <v>24</v>
      </c>
      <c r="J2149" s="2" t="s">
        <v>41</v>
      </c>
      <c r="K2149" s="2" t="s">
        <v>5720</v>
      </c>
      <c r="L2149" s="2" t="s">
        <v>24</v>
      </c>
      <c r="M2149" s="2">
        <v>2</v>
      </c>
      <c r="N2149" s="2" t="s">
        <v>118</v>
      </c>
    </row>
    <row r="2150" spans="1:14" x14ac:dyDescent="0.25">
      <c r="A2150" s="2" t="s">
        <v>1296</v>
      </c>
      <c r="B2150" s="2" t="s">
        <v>1297</v>
      </c>
      <c r="C2150" s="2" t="s">
        <v>28</v>
      </c>
      <c r="D2150" s="2" t="s">
        <v>37</v>
      </c>
      <c r="E2150" s="2" t="s">
        <v>46</v>
      </c>
      <c r="F2150" s="2" t="s">
        <v>30</v>
      </c>
      <c r="G2150" s="2" t="s">
        <v>139</v>
      </c>
      <c r="H2150" s="2" t="s">
        <v>21</v>
      </c>
      <c r="I2150" s="2">
        <v>24</v>
      </c>
      <c r="J2150" s="2" t="s">
        <v>287</v>
      </c>
      <c r="K2150" s="2"/>
      <c r="L2150" s="2" t="s">
        <v>92</v>
      </c>
      <c r="M2150" s="2"/>
      <c r="N2150" s="2"/>
    </row>
    <row r="2151" spans="1:14" x14ac:dyDescent="0.25">
      <c r="A2151" s="2" t="s">
        <v>5721</v>
      </c>
      <c r="B2151" s="2" t="s">
        <v>5722</v>
      </c>
      <c r="C2151" s="2" t="s">
        <v>28</v>
      </c>
      <c r="D2151" s="2" t="s">
        <v>37</v>
      </c>
      <c r="E2151" s="2" t="s">
        <v>90</v>
      </c>
      <c r="F2151" s="2" t="s">
        <v>55</v>
      </c>
      <c r="G2151" s="2" t="s">
        <v>144</v>
      </c>
      <c r="H2151" s="2" t="s">
        <v>32</v>
      </c>
      <c r="I2151" s="2">
        <v>48</v>
      </c>
      <c r="J2151" s="2" t="s">
        <v>232</v>
      </c>
      <c r="K2151" s="2"/>
      <c r="L2151" s="2" t="s">
        <v>92</v>
      </c>
      <c r="M2151" s="2"/>
      <c r="N2151" s="2" t="s">
        <v>25</v>
      </c>
    </row>
    <row r="2152" spans="1:14" x14ac:dyDescent="0.25">
      <c r="A2152" s="2" t="s">
        <v>5723</v>
      </c>
      <c r="B2152" s="2" t="s">
        <v>5724</v>
      </c>
      <c r="C2152" s="2" t="s">
        <v>16</v>
      </c>
      <c r="D2152" s="2" t="s">
        <v>84</v>
      </c>
      <c r="E2152" s="2" t="s">
        <v>148</v>
      </c>
      <c r="F2152" s="2" t="s">
        <v>96</v>
      </c>
      <c r="G2152" s="2" t="s">
        <v>70</v>
      </c>
      <c r="H2152" s="2" t="s">
        <v>32</v>
      </c>
      <c r="I2152" s="2">
        <v>48</v>
      </c>
      <c r="J2152" s="2" t="s">
        <v>48</v>
      </c>
      <c r="K2152" s="2"/>
      <c r="L2152" s="2" t="s">
        <v>24</v>
      </c>
      <c r="M2152" s="2">
        <v>5</v>
      </c>
      <c r="N2152" s="2" t="s">
        <v>25</v>
      </c>
    </row>
    <row r="2153" spans="1:14" x14ac:dyDescent="0.25">
      <c r="A2153" s="2" t="s">
        <v>5725</v>
      </c>
      <c r="B2153" s="2" t="s">
        <v>5726</v>
      </c>
      <c r="C2153" s="2" t="s">
        <v>16</v>
      </c>
      <c r="D2153" s="2" t="s">
        <v>17</v>
      </c>
      <c r="E2153" s="2" t="s">
        <v>90</v>
      </c>
      <c r="F2153" s="2" t="s">
        <v>55</v>
      </c>
      <c r="G2153" s="2" t="s">
        <v>20</v>
      </c>
      <c r="H2153" s="2" t="s">
        <v>32</v>
      </c>
      <c r="I2153" s="2">
        <v>48</v>
      </c>
      <c r="J2153" s="2" t="s">
        <v>22</v>
      </c>
      <c r="K2153" s="2" t="s">
        <v>5727</v>
      </c>
      <c r="L2153" s="2" t="s">
        <v>24</v>
      </c>
      <c r="M2153" s="2"/>
      <c r="N2153" s="2" t="s">
        <v>64</v>
      </c>
    </row>
    <row r="2154" spans="1:14" x14ac:dyDescent="0.25">
      <c r="A2154" s="2" t="s">
        <v>5728</v>
      </c>
      <c r="B2154" s="2" t="s">
        <v>5729</v>
      </c>
      <c r="C2154" s="2" t="s">
        <v>28</v>
      </c>
      <c r="D2154" s="2" t="s">
        <v>100</v>
      </c>
      <c r="E2154" s="2" t="s">
        <v>18</v>
      </c>
      <c r="F2154" s="2" t="s">
        <v>62</v>
      </c>
      <c r="G2154" s="2" t="s">
        <v>91</v>
      </c>
      <c r="H2154" s="2" t="s">
        <v>21</v>
      </c>
      <c r="I2154" s="2">
        <v>24</v>
      </c>
      <c r="J2154" s="2" t="s">
        <v>287</v>
      </c>
      <c r="K2154" s="2"/>
      <c r="L2154" s="2" t="s">
        <v>24</v>
      </c>
      <c r="M2154" s="2"/>
      <c r="N2154" s="2" t="s">
        <v>58</v>
      </c>
    </row>
    <row r="2155" spans="1:14" x14ac:dyDescent="0.25">
      <c r="A2155" s="2" t="s">
        <v>5730</v>
      </c>
      <c r="B2155" s="2" t="s">
        <v>5731</v>
      </c>
      <c r="C2155" s="2" t="s">
        <v>67</v>
      </c>
      <c r="D2155" s="2" t="s">
        <v>68</v>
      </c>
      <c r="E2155" s="2" t="s">
        <v>18</v>
      </c>
      <c r="F2155" s="2" t="s">
        <v>125</v>
      </c>
      <c r="G2155" s="2" t="s">
        <v>183</v>
      </c>
      <c r="H2155" s="2" t="s">
        <v>21</v>
      </c>
      <c r="I2155" s="2">
        <v>24</v>
      </c>
      <c r="J2155" s="2" t="s">
        <v>106</v>
      </c>
      <c r="K2155" s="2" t="s">
        <v>5732</v>
      </c>
      <c r="L2155" s="2" t="s">
        <v>24</v>
      </c>
      <c r="M2155" s="2"/>
      <c r="N2155" s="2"/>
    </row>
    <row r="2156" spans="1:14" x14ac:dyDescent="0.25">
      <c r="A2156" s="2" t="s">
        <v>5733</v>
      </c>
      <c r="B2156" s="2" t="s">
        <v>5734</v>
      </c>
      <c r="C2156" s="2" t="s">
        <v>16</v>
      </c>
      <c r="D2156" s="2" t="s">
        <v>17</v>
      </c>
      <c r="E2156" s="2" t="s">
        <v>18</v>
      </c>
      <c r="F2156" s="2" t="s">
        <v>131</v>
      </c>
      <c r="G2156" s="2" t="s">
        <v>70</v>
      </c>
      <c r="H2156" s="2" t="s">
        <v>32</v>
      </c>
      <c r="I2156" s="2">
        <v>48</v>
      </c>
      <c r="J2156" s="2" t="s">
        <v>106</v>
      </c>
      <c r="K2156" s="2" t="s">
        <v>5735</v>
      </c>
      <c r="L2156" s="2" t="s">
        <v>24</v>
      </c>
      <c r="M2156" s="2">
        <v>5</v>
      </c>
      <c r="N2156" s="2" t="s">
        <v>128</v>
      </c>
    </row>
    <row r="2157" spans="1:14" x14ac:dyDescent="0.25">
      <c r="A2157" s="2" t="s">
        <v>5736</v>
      </c>
      <c r="B2157" s="2" t="s">
        <v>5737</v>
      </c>
      <c r="C2157" s="2" t="s">
        <v>53</v>
      </c>
      <c r="D2157" s="2" t="s">
        <v>54</v>
      </c>
      <c r="E2157" s="2" t="s">
        <v>46</v>
      </c>
      <c r="F2157" s="2" t="s">
        <v>30</v>
      </c>
      <c r="G2157" s="2" t="s">
        <v>70</v>
      </c>
      <c r="H2157" s="2" t="s">
        <v>32</v>
      </c>
      <c r="I2157" s="2">
        <v>48</v>
      </c>
      <c r="J2157" s="2" t="s">
        <v>41</v>
      </c>
      <c r="K2157" s="2" t="s">
        <v>5738</v>
      </c>
      <c r="L2157" s="2" t="s">
        <v>24</v>
      </c>
      <c r="M2157" s="2">
        <v>5</v>
      </c>
      <c r="N2157" s="2" t="s">
        <v>64</v>
      </c>
    </row>
    <row r="2158" spans="1:14" x14ac:dyDescent="0.25">
      <c r="A2158" s="2" t="s">
        <v>5739</v>
      </c>
      <c r="B2158" s="2" t="s">
        <v>5740</v>
      </c>
      <c r="C2158" s="2" t="s">
        <v>67</v>
      </c>
      <c r="D2158" s="2" t="s">
        <v>89</v>
      </c>
      <c r="E2158" s="2" t="s">
        <v>148</v>
      </c>
      <c r="F2158" s="2" t="s">
        <v>62</v>
      </c>
      <c r="G2158" s="2" t="s">
        <v>31</v>
      </c>
      <c r="H2158" s="2" t="s">
        <v>74</v>
      </c>
      <c r="I2158" s="2">
        <v>8</v>
      </c>
      <c r="J2158" s="2" t="s">
        <v>149</v>
      </c>
      <c r="K2158" s="2"/>
      <c r="L2158" s="2" t="s">
        <v>24</v>
      </c>
      <c r="M2158" s="2"/>
      <c r="N2158" s="2"/>
    </row>
    <row r="2159" spans="1:14" x14ac:dyDescent="0.25">
      <c r="A2159" s="2" t="s">
        <v>5741</v>
      </c>
      <c r="B2159" s="2" t="s">
        <v>5742</v>
      </c>
      <c r="C2159" s="2" t="s">
        <v>67</v>
      </c>
      <c r="D2159" s="2" t="s">
        <v>68</v>
      </c>
      <c r="E2159" s="2" t="s">
        <v>148</v>
      </c>
      <c r="F2159" s="2" t="s">
        <v>131</v>
      </c>
      <c r="G2159" s="2" t="s">
        <v>158</v>
      </c>
      <c r="H2159" s="2" t="s">
        <v>32</v>
      </c>
      <c r="I2159" s="2">
        <v>48</v>
      </c>
      <c r="J2159" s="2" t="s">
        <v>48</v>
      </c>
      <c r="K2159" s="2" t="s">
        <v>5743</v>
      </c>
      <c r="L2159" s="2" t="s">
        <v>24</v>
      </c>
      <c r="M2159" s="2">
        <v>2</v>
      </c>
      <c r="N2159" s="2" t="s">
        <v>118</v>
      </c>
    </row>
    <row r="2160" spans="1:14" x14ac:dyDescent="0.25">
      <c r="A2160" s="2" t="s">
        <v>5744</v>
      </c>
      <c r="B2160" s="2" t="s">
        <v>5745</v>
      </c>
      <c r="C2160" s="2" t="s">
        <v>53</v>
      </c>
      <c r="D2160" s="2" t="s">
        <v>771</v>
      </c>
      <c r="E2160" s="2" t="s">
        <v>148</v>
      </c>
      <c r="F2160" s="2" t="s">
        <v>143</v>
      </c>
      <c r="G2160" s="2" t="s">
        <v>121</v>
      </c>
      <c r="H2160" s="2" t="s">
        <v>21</v>
      </c>
      <c r="I2160" s="2">
        <v>24</v>
      </c>
      <c r="J2160" s="2" t="s">
        <v>187</v>
      </c>
      <c r="K2160" s="2" t="s">
        <v>5746</v>
      </c>
      <c r="L2160" s="2" t="s">
        <v>24</v>
      </c>
      <c r="M2160" s="2">
        <v>4</v>
      </c>
      <c r="N2160" s="2"/>
    </row>
    <row r="2161" spans="1:14" x14ac:dyDescent="0.25">
      <c r="A2161" s="2" t="s">
        <v>5747</v>
      </c>
      <c r="B2161" s="2" t="s">
        <v>5748</v>
      </c>
      <c r="C2161" s="2" t="s">
        <v>53</v>
      </c>
      <c r="D2161" s="2" t="s">
        <v>61</v>
      </c>
      <c r="E2161" s="2" t="s">
        <v>79</v>
      </c>
      <c r="F2161" s="2" t="s">
        <v>131</v>
      </c>
      <c r="G2161" s="2" t="s">
        <v>183</v>
      </c>
      <c r="H2161" s="2" t="s">
        <v>80</v>
      </c>
      <c r="I2161" s="2">
        <v>4</v>
      </c>
      <c r="J2161" s="2" t="s">
        <v>22</v>
      </c>
      <c r="K2161" s="2" t="s">
        <v>5749</v>
      </c>
      <c r="L2161" s="2" t="s">
        <v>24</v>
      </c>
      <c r="M2161" s="2">
        <v>2</v>
      </c>
      <c r="N2161" s="2" t="s">
        <v>58</v>
      </c>
    </row>
    <row r="2162" spans="1:14" x14ac:dyDescent="0.25">
      <c r="A2162" s="2" t="s">
        <v>5750</v>
      </c>
      <c r="B2162" s="2" t="s">
        <v>5751</v>
      </c>
      <c r="C2162" s="2" t="s">
        <v>67</v>
      </c>
      <c r="D2162" s="2" t="s">
        <v>68</v>
      </c>
      <c r="E2162" s="2" t="s">
        <v>148</v>
      </c>
      <c r="F2162" s="2" t="s">
        <v>131</v>
      </c>
      <c r="G2162" s="2" t="s">
        <v>40</v>
      </c>
      <c r="H2162" s="2" t="s">
        <v>21</v>
      </c>
      <c r="I2162" s="2">
        <v>24</v>
      </c>
      <c r="J2162" s="2" t="s">
        <v>200</v>
      </c>
      <c r="K2162" s="2"/>
      <c r="L2162" s="2" t="s">
        <v>92</v>
      </c>
      <c r="M2162" s="2"/>
      <c r="N2162" s="2" t="s">
        <v>58</v>
      </c>
    </row>
    <row r="2163" spans="1:14" x14ac:dyDescent="0.25">
      <c r="A2163" s="2" t="s">
        <v>5752</v>
      </c>
      <c r="B2163" s="2" t="s">
        <v>5753</v>
      </c>
      <c r="C2163" s="2" t="s">
        <v>53</v>
      </c>
      <c r="D2163" s="2" t="s">
        <v>771</v>
      </c>
      <c r="E2163" s="2" t="s">
        <v>79</v>
      </c>
      <c r="F2163" s="2" t="s">
        <v>125</v>
      </c>
      <c r="G2163" s="2" t="s">
        <v>158</v>
      </c>
      <c r="H2163" s="2" t="s">
        <v>21</v>
      </c>
      <c r="I2163" s="2">
        <v>24</v>
      </c>
      <c r="J2163" s="2" t="s">
        <v>155</v>
      </c>
      <c r="K2163" s="2"/>
      <c r="L2163" s="2" t="s">
        <v>24</v>
      </c>
      <c r="M2163" s="2"/>
      <c r="N2163" s="2" t="s">
        <v>25</v>
      </c>
    </row>
    <row r="2164" spans="1:14" x14ac:dyDescent="0.25">
      <c r="A2164" s="2" t="s">
        <v>5754</v>
      </c>
      <c r="B2164" s="2" t="s">
        <v>5755</v>
      </c>
      <c r="C2164" s="2" t="s">
        <v>53</v>
      </c>
      <c r="D2164" s="2" t="s">
        <v>54</v>
      </c>
      <c r="E2164" s="2" t="s">
        <v>46</v>
      </c>
      <c r="F2164" s="2" t="s">
        <v>55</v>
      </c>
      <c r="G2164" s="2" t="s">
        <v>101</v>
      </c>
      <c r="H2164" s="2" t="s">
        <v>74</v>
      </c>
      <c r="I2164" s="2">
        <v>8</v>
      </c>
      <c r="J2164" s="2" t="s">
        <v>106</v>
      </c>
      <c r="K2164" s="2" t="s">
        <v>5756</v>
      </c>
      <c r="L2164" s="2" t="s">
        <v>24</v>
      </c>
      <c r="M2164" s="2"/>
      <c r="N2164" s="2"/>
    </row>
    <row r="2165" spans="1:14" x14ac:dyDescent="0.25">
      <c r="A2165" s="2" t="s">
        <v>5757</v>
      </c>
      <c r="B2165" s="2" t="s">
        <v>5758</v>
      </c>
      <c r="C2165" s="2" t="s">
        <v>53</v>
      </c>
      <c r="D2165" s="2" t="s">
        <v>61</v>
      </c>
      <c r="E2165" s="2" t="s">
        <v>85</v>
      </c>
      <c r="F2165" s="2" t="s">
        <v>30</v>
      </c>
      <c r="G2165" s="2" t="s">
        <v>110</v>
      </c>
      <c r="H2165" s="2" t="s">
        <v>32</v>
      </c>
      <c r="I2165" s="2">
        <v>48</v>
      </c>
      <c r="J2165" s="2" t="s">
        <v>106</v>
      </c>
      <c r="K2165" s="2" t="s">
        <v>5759</v>
      </c>
      <c r="L2165" s="2" t="s">
        <v>24</v>
      </c>
      <c r="M2165" s="2">
        <v>5</v>
      </c>
      <c r="N2165" s="2" t="s">
        <v>43</v>
      </c>
    </row>
    <row r="2166" spans="1:14" x14ac:dyDescent="0.25">
      <c r="A2166" s="2" t="s">
        <v>5760</v>
      </c>
      <c r="B2166" s="2" t="s">
        <v>5761</v>
      </c>
      <c r="C2166" s="2" t="s">
        <v>16</v>
      </c>
      <c r="D2166" s="2" t="s">
        <v>17</v>
      </c>
      <c r="E2166" s="2" t="s">
        <v>90</v>
      </c>
      <c r="F2166" s="2" t="s">
        <v>69</v>
      </c>
      <c r="G2166" s="2" t="s">
        <v>179</v>
      </c>
      <c r="H2166" s="2" t="s">
        <v>32</v>
      </c>
      <c r="I2166" s="2">
        <v>48</v>
      </c>
      <c r="J2166" s="2" t="s">
        <v>33</v>
      </c>
      <c r="K2166" s="2"/>
      <c r="L2166" s="2" t="s">
        <v>24</v>
      </c>
      <c r="M2166" s="2"/>
      <c r="N2166" s="2" t="s">
        <v>58</v>
      </c>
    </row>
    <row r="2167" spans="1:14" x14ac:dyDescent="0.25">
      <c r="A2167" s="2" t="s">
        <v>5762</v>
      </c>
      <c r="B2167" s="2" t="s">
        <v>5763</v>
      </c>
      <c r="C2167" s="2" t="s">
        <v>16</v>
      </c>
      <c r="D2167" s="2" t="s">
        <v>17</v>
      </c>
      <c r="E2167" s="2" t="s">
        <v>90</v>
      </c>
      <c r="F2167" s="2" t="s">
        <v>47</v>
      </c>
      <c r="G2167" s="2" t="s">
        <v>183</v>
      </c>
      <c r="H2167" s="2" t="s">
        <v>32</v>
      </c>
      <c r="I2167" s="2">
        <v>48</v>
      </c>
      <c r="J2167" s="2" t="s">
        <v>48</v>
      </c>
      <c r="K2167" s="2" t="s">
        <v>5764</v>
      </c>
      <c r="L2167" s="2" t="s">
        <v>24</v>
      </c>
      <c r="M2167" s="2">
        <v>4</v>
      </c>
      <c r="N2167" s="2" t="s">
        <v>58</v>
      </c>
    </row>
    <row r="2168" spans="1:14" x14ac:dyDescent="0.25">
      <c r="A2168" s="2" t="s">
        <v>5765</v>
      </c>
      <c r="B2168" s="2" t="s">
        <v>5766</v>
      </c>
      <c r="C2168" s="2" t="s">
        <v>67</v>
      </c>
      <c r="D2168" s="2" t="s">
        <v>95</v>
      </c>
      <c r="E2168" s="2" t="s">
        <v>148</v>
      </c>
      <c r="F2168" s="2" t="s">
        <v>55</v>
      </c>
      <c r="G2168" s="2" t="s">
        <v>40</v>
      </c>
      <c r="H2168" s="2" t="s">
        <v>21</v>
      </c>
      <c r="I2168" s="2">
        <v>24</v>
      </c>
      <c r="J2168" s="2" t="s">
        <v>41</v>
      </c>
      <c r="K2168" s="2" t="s">
        <v>5767</v>
      </c>
      <c r="L2168" s="2" t="s">
        <v>24</v>
      </c>
      <c r="M2168" s="2">
        <v>5</v>
      </c>
      <c r="N2168" s="2" t="s">
        <v>43</v>
      </c>
    </row>
    <row r="2169" spans="1:14" x14ac:dyDescent="0.25">
      <c r="A2169" s="2" t="s">
        <v>5768</v>
      </c>
      <c r="B2169" s="2" t="s">
        <v>5769</v>
      </c>
      <c r="C2169" s="2" t="s">
        <v>28</v>
      </c>
      <c r="D2169" s="2" t="s">
        <v>100</v>
      </c>
      <c r="E2169" s="2" t="s">
        <v>85</v>
      </c>
      <c r="F2169" s="2" t="s">
        <v>143</v>
      </c>
      <c r="G2169" s="2" t="s">
        <v>144</v>
      </c>
      <c r="H2169" s="2" t="s">
        <v>32</v>
      </c>
      <c r="I2169" s="2">
        <v>48</v>
      </c>
      <c r="J2169" s="2" t="s">
        <v>48</v>
      </c>
      <c r="K2169" s="2" t="s">
        <v>5770</v>
      </c>
      <c r="L2169" s="2" t="s">
        <v>24</v>
      </c>
      <c r="M2169" s="2"/>
      <c r="N2169" s="2" t="s">
        <v>58</v>
      </c>
    </row>
    <row r="2170" spans="1:14" x14ac:dyDescent="0.25">
      <c r="A2170" s="2" t="s">
        <v>5771</v>
      </c>
      <c r="B2170" s="2" t="s">
        <v>5772</v>
      </c>
      <c r="C2170" s="2" t="s">
        <v>28</v>
      </c>
      <c r="D2170" s="2" t="s">
        <v>100</v>
      </c>
      <c r="E2170" s="2" t="s">
        <v>18</v>
      </c>
      <c r="F2170" s="2" t="s">
        <v>55</v>
      </c>
      <c r="G2170" s="2" t="s">
        <v>20</v>
      </c>
      <c r="H2170" s="2" t="s">
        <v>21</v>
      </c>
      <c r="I2170" s="2">
        <v>24</v>
      </c>
      <c r="J2170" s="2" t="s">
        <v>48</v>
      </c>
      <c r="K2170" s="2" t="s">
        <v>5773</v>
      </c>
      <c r="L2170" s="2" t="s">
        <v>92</v>
      </c>
      <c r="M2170" s="2">
        <v>5</v>
      </c>
      <c r="N2170" s="2" t="s">
        <v>128</v>
      </c>
    </row>
    <row r="2171" spans="1:14" x14ac:dyDescent="0.25">
      <c r="A2171" s="2" t="s">
        <v>5774</v>
      </c>
      <c r="B2171" s="2" t="s">
        <v>5775</v>
      </c>
      <c r="C2171" s="2" t="s">
        <v>16</v>
      </c>
      <c r="D2171" s="2" t="s">
        <v>17</v>
      </c>
      <c r="E2171" s="2" t="s">
        <v>38</v>
      </c>
      <c r="F2171" s="2" t="s">
        <v>113</v>
      </c>
      <c r="G2171" s="2" t="s">
        <v>144</v>
      </c>
      <c r="H2171" s="2" t="s">
        <v>21</v>
      </c>
      <c r="I2171" s="2">
        <v>24</v>
      </c>
      <c r="J2171" s="2" t="s">
        <v>155</v>
      </c>
      <c r="K2171" s="2"/>
      <c r="L2171" s="2" t="s">
        <v>24</v>
      </c>
      <c r="M2171" s="2"/>
      <c r="N2171" s="2" t="s">
        <v>128</v>
      </c>
    </row>
    <row r="2172" spans="1:14" x14ac:dyDescent="0.25">
      <c r="A2172" s="2" t="s">
        <v>4306</v>
      </c>
      <c r="B2172" s="2" t="s">
        <v>4307</v>
      </c>
      <c r="C2172" s="2" t="s">
        <v>16</v>
      </c>
      <c r="D2172" s="2" t="s">
        <v>17</v>
      </c>
      <c r="E2172" s="2" t="s">
        <v>79</v>
      </c>
      <c r="F2172" s="2" t="s">
        <v>55</v>
      </c>
      <c r="G2172" s="2" t="s">
        <v>126</v>
      </c>
      <c r="H2172" s="2" t="s">
        <v>80</v>
      </c>
      <c r="I2172" s="2">
        <v>4</v>
      </c>
      <c r="J2172" s="2" t="s">
        <v>48</v>
      </c>
      <c r="K2172" s="2" t="s">
        <v>4308</v>
      </c>
      <c r="L2172" s="2" t="s">
        <v>24</v>
      </c>
      <c r="M2172" s="2">
        <v>4</v>
      </c>
      <c r="N2172" s="2" t="s">
        <v>118</v>
      </c>
    </row>
    <row r="2173" spans="1:14" x14ac:dyDescent="0.25">
      <c r="A2173" s="2" t="s">
        <v>5776</v>
      </c>
      <c r="B2173" s="2" t="s">
        <v>5777</v>
      </c>
      <c r="C2173" s="2" t="s">
        <v>28</v>
      </c>
      <c r="D2173" s="2" t="s">
        <v>100</v>
      </c>
      <c r="E2173" s="2" t="s">
        <v>85</v>
      </c>
      <c r="F2173" s="2" t="s">
        <v>62</v>
      </c>
      <c r="G2173" s="2" t="s">
        <v>158</v>
      </c>
      <c r="H2173" s="2" t="s">
        <v>21</v>
      </c>
      <c r="I2173" s="2">
        <v>24</v>
      </c>
      <c r="J2173" s="2" t="s">
        <v>232</v>
      </c>
      <c r="K2173" s="2"/>
      <c r="L2173" s="2" t="s">
        <v>92</v>
      </c>
      <c r="M2173" s="2"/>
      <c r="N2173" s="2" t="s">
        <v>58</v>
      </c>
    </row>
    <row r="2174" spans="1:14" x14ac:dyDescent="0.25">
      <c r="A2174" s="2" t="s">
        <v>5778</v>
      </c>
      <c r="B2174" s="2" t="s">
        <v>5779</v>
      </c>
      <c r="C2174" s="2" t="s">
        <v>53</v>
      </c>
      <c r="D2174" s="2" t="s">
        <v>54</v>
      </c>
      <c r="E2174" s="2" t="s">
        <v>18</v>
      </c>
      <c r="F2174" s="2" t="s">
        <v>131</v>
      </c>
      <c r="G2174" s="2" t="s">
        <v>135</v>
      </c>
      <c r="H2174" s="2" t="s">
        <v>21</v>
      </c>
      <c r="I2174" s="2">
        <v>24</v>
      </c>
      <c r="J2174" s="2" t="s">
        <v>22</v>
      </c>
      <c r="K2174" s="2" t="s">
        <v>5780</v>
      </c>
      <c r="L2174" s="2" t="s">
        <v>24</v>
      </c>
      <c r="M2174" s="2">
        <v>4</v>
      </c>
      <c r="N2174" s="2" t="s">
        <v>64</v>
      </c>
    </row>
    <row r="2175" spans="1:14" x14ac:dyDescent="0.25">
      <c r="A2175" s="2" t="s">
        <v>5781</v>
      </c>
      <c r="B2175" s="2" t="s">
        <v>5782</v>
      </c>
      <c r="C2175" s="2" t="s">
        <v>53</v>
      </c>
      <c r="D2175" s="2" t="s">
        <v>61</v>
      </c>
      <c r="E2175" s="2" t="s">
        <v>90</v>
      </c>
      <c r="F2175" s="2" t="s">
        <v>62</v>
      </c>
      <c r="G2175" s="2" t="s">
        <v>135</v>
      </c>
      <c r="H2175" s="2" t="s">
        <v>21</v>
      </c>
      <c r="I2175" s="2">
        <v>24</v>
      </c>
      <c r="J2175" s="2" t="s">
        <v>187</v>
      </c>
      <c r="K2175" s="2" t="s">
        <v>5783</v>
      </c>
      <c r="L2175" s="2" t="s">
        <v>24</v>
      </c>
      <c r="M2175" s="2">
        <v>5</v>
      </c>
      <c r="N2175" s="2" t="s">
        <v>64</v>
      </c>
    </row>
    <row r="2176" spans="1:14" x14ac:dyDescent="0.25">
      <c r="A2176" s="2" t="s">
        <v>5784</v>
      </c>
      <c r="B2176" s="2" t="s">
        <v>5785</v>
      </c>
      <c r="C2176" s="2" t="s">
        <v>53</v>
      </c>
      <c r="D2176" s="2" t="s">
        <v>54</v>
      </c>
      <c r="E2176" s="2" t="s">
        <v>79</v>
      </c>
      <c r="F2176" s="2" t="s">
        <v>131</v>
      </c>
      <c r="G2176" s="2" t="s">
        <v>183</v>
      </c>
      <c r="H2176" s="2" t="s">
        <v>21</v>
      </c>
      <c r="I2176" s="2">
        <v>24</v>
      </c>
      <c r="J2176" s="2" t="s">
        <v>200</v>
      </c>
      <c r="K2176" s="2"/>
      <c r="L2176" s="2" t="s">
        <v>92</v>
      </c>
      <c r="M2176" s="2"/>
      <c r="N2176" s="2"/>
    </row>
    <row r="2177" spans="1:14" x14ac:dyDescent="0.25">
      <c r="A2177" s="2" t="s">
        <v>5786</v>
      </c>
      <c r="B2177" s="2" t="s">
        <v>5787</v>
      </c>
      <c r="C2177" s="2" t="s">
        <v>28</v>
      </c>
      <c r="D2177" s="2" t="s">
        <v>100</v>
      </c>
      <c r="E2177" s="2" t="s">
        <v>85</v>
      </c>
      <c r="F2177" s="2" t="s">
        <v>69</v>
      </c>
      <c r="G2177" s="2" t="s">
        <v>20</v>
      </c>
      <c r="H2177" s="2" t="s">
        <v>21</v>
      </c>
      <c r="I2177" s="2">
        <v>24</v>
      </c>
      <c r="J2177" s="2" t="s">
        <v>145</v>
      </c>
      <c r="K2177" s="2"/>
      <c r="L2177" s="2" t="s">
        <v>24</v>
      </c>
      <c r="M2177" s="2"/>
      <c r="N2177" s="2" t="s">
        <v>64</v>
      </c>
    </row>
    <row r="2178" spans="1:14" x14ac:dyDescent="0.25">
      <c r="A2178" s="2" t="s">
        <v>5788</v>
      </c>
      <c r="B2178" s="2" t="s">
        <v>5789</v>
      </c>
      <c r="C2178" s="2" t="s">
        <v>16</v>
      </c>
      <c r="D2178" s="2" t="s">
        <v>17</v>
      </c>
      <c r="E2178" s="2" t="s">
        <v>46</v>
      </c>
      <c r="F2178" s="2" t="s">
        <v>125</v>
      </c>
      <c r="G2178" s="2" t="s">
        <v>110</v>
      </c>
      <c r="H2178" s="2" t="s">
        <v>21</v>
      </c>
      <c r="I2178" s="2">
        <v>24</v>
      </c>
      <c r="J2178" s="2" t="s">
        <v>41</v>
      </c>
      <c r="K2178" s="2" t="s">
        <v>5790</v>
      </c>
      <c r="L2178" s="2" t="s">
        <v>24</v>
      </c>
      <c r="M2178" s="2"/>
      <c r="N2178" s="2" t="s">
        <v>25</v>
      </c>
    </row>
    <row r="2179" spans="1:14" x14ac:dyDescent="0.25">
      <c r="A2179" s="2" t="s">
        <v>5791</v>
      </c>
      <c r="B2179" s="2" t="s">
        <v>5792</v>
      </c>
      <c r="C2179" s="2" t="s">
        <v>28</v>
      </c>
      <c r="D2179" s="2" t="s">
        <v>37</v>
      </c>
      <c r="E2179" s="2" t="s">
        <v>148</v>
      </c>
      <c r="F2179" s="2" t="s">
        <v>69</v>
      </c>
      <c r="G2179" s="2" t="s">
        <v>139</v>
      </c>
      <c r="H2179" s="2" t="s">
        <v>32</v>
      </c>
      <c r="I2179" s="2">
        <v>48</v>
      </c>
      <c r="J2179" s="2" t="s">
        <v>11</v>
      </c>
      <c r="K2179" s="2"/>
      <c r="L2179" s="2" t="s">
        <v>92</v>
      </c>
      <c r="M2179" s="2"/>
      <c r="N2179" s="2"/>
    </row>
    <row r="2180" spans="1:14" x14ac:dyDescent="0.25">
      <c r="A2180" s="2" t="s">
        <v>5793</v>
      </c>
      <c r="B2180" s="2" t="s">
        <v>5794</v>
      </c>
      <c r="C2180" s="2" t="s">
        <v>67</v>
      </c>
      <c r="D2180" s="2" t="s">
        <v>95</v>
      </c>
      <c r="E2180" s="2" t="s">
        <v>46</v>
      </c>
      <c r="F2180" s="2" t="s">
        <v>113</v>
      </c>
      <c r="G2180" s="2" t="s">
        <v>179</v>
      </c>
      <c r="H2180" s="2" t="s">
        <v>21</v>
      </c>
      <c r="I2180" s="2">
        <v>24</v>
      </c>
      <c r="J2180" s="2" t="s">
        <v>486</v>
      </c>
      <c r="K2180" s="2" t="s">
        <v>5795</v>
      </c>
      <c r="L2180" s="2" t="s">
        <v>24</v>
      </c>
      <c r="M2180" s="2"/>
      <c r="N2180" s="2" t="s">
        <v>34</v>
      </c>
    </row>
    <row r="2181" spans="1:14" x14ac:dyDescent="0.25">
      <c r="A2181" s="2" t="s">
        <v>5796</v>
      </c>
      <c r="B2181" s="2" t="s">
        <v>5797</v>
      </c>
      <c r="C2181" s="2" t="s">
        <v>28</v>
      </c>
      <c r="D2181" s="2" t="s">
        <v>37</v>
      </c>
      <c r="E2181" s="2" t="s">
        <v>46</v>
      </c>
      <c r="F2181" s="2" t="s">
        <v>69</v>
      </c>
      <c r="G2181" s="2" t="s">
        <v>105</v>
      </c>
      <c r="H2181" s="2" t="s">
        <v>74</v>
      </c>
      <c r="I2181" s="2">
        <v>8</v>
      </c>
      <c r="J2181" s="2" t="s">
        <v>33</v>
      </c>
      <c r="K2181" s="2"/>
      <c r="L2181" s="2" t="s">
        <v>24</v>
      </c>
      <c r="M2181" s="2"/>
      <c r="N2181" s="2" t="s">
        <v>118</v>
      </c>
    </row>
    <row r="2182" spans="1:14" x14ac:dyDescent="0.25">
      <c r="A2182" s="2" t="s">
        <v>5798</v>
      </c>
      <c r="B2182" s="2" t="s">
        <v>5799</v>
      </c>
      <c r="C2182" s="2" t="s">
        <v>67</v>
      </c>
      <c r="D2182" s="2" t="s">
        <v>95</v>
      </c>
      <c r="E2182" s="2" t="s">
        <v>148</v>
      </c>
      <c r="F2182" s="2" t="s">
        <v>113</v>
      </c>
      <c r="G2182" s="2" t="s">
        <v>20</v>
      </c>
      <c r="H2182" s="2" t="s">
        <v>32</v>
      </c>
      <c r="I2182" s="2">
        <v>48</v>
      </c>
      <c r="J2182" s="2" t="s">
        <v>117</v>
      </c>
      <c r="K2182" s="2"/>
      <c r="L2182" s="2" t="s">
        <v>24</v>
      </c>
      <c r="M2182" s="2"/>
      <c r="N2182" s="2"/>
    </row>
    <row r="2183" spans="1:14" x14ac:dyDescent="0.25">
      <c r="A2183" s="2" t="s">
        <v>5800</v>
      </c>
      <c r="B2183" s="2" t="s">
        <v>5801</v>
      </c>
      <c r="C2183" s="2" t="s">
        <v>53</v>
      </c>
      <c r="D2183" s="2" t="s">
        <v>61</v>
      </c>
      <c r="E2183" s="2" t="s">
        <v>79</v>
      </c>
      <c r="F2183" s="2" t="s">
        <v>19</v>
      </c>
      <c r="G2183" s="2" t="s">
        <v>110</v>
      </c>
      <c r="H2183" s="2" t="s">
        <v>32</v>
      </c>
      <c r="I2183" s="2">
        <v>48</v>
      </c>
      <c r="J2183" s="2" t="s">
        <v>106</v>
      </c>
      <c r="K2183" s="2" t="s">
        <v>5802</v>
      </c>
      <c r="L2183" s="2" t="s">
        <v>24</v>
      </c>
      <c r="M2183" s="2"/>
      <c r="N2183" s="2" t="s">
        <v>64</v>
      </c>
    </row>
    <row r="2184" spans="1:14" x14ac:dyDescent="0.25">
      <c r="A2184" s="2" t="s">
        <v>5803</v>
      </c>
      <c r="B2184" s="2" t="s">
        <v>5804</v>
      </c>
      <c r="C2184" s="2" t="s">
        <v>67</v>
      </c>
      <c r="D2184" s="2" t="s">
        <v>95</v>
      </c>
      <c r="E2184" s="2" t="s">
        <v>38</v>
      </c>
      <c r="F2184" s="2" t="s">
        <v>69</v>
      </c>
      <c r="G2184" s="2" t="s">
        <v>144</v>
      </c>
      <c r="H2184" s="2" t="s">
        <v>80</v>
      </c>
      <c r="I2184" s="2">
        <v>4</v>
      </c>
      <c r="J2184" s="2" t="s">
        <v>486</v>
      </c>
      <c r="K2184" s="2" t="s">
        <v>5805</v>
      </c>
      <c r="L2184" s="2" t="s">
        <v>24</v>
      </c>
      <c r="M2184" s="2"/>
      <c r="N2184" s="2"/>
    </row>
    <row r="2185" spans="1:14" x14ac:dyDescent="0.25">
      <c r="A2185" s="2" t="s">
        <v>5806</v>
      </c>
      <c r="B2185" s="2" t="s">
        <v>5807</v>
      </c>
      <c r="C2185" s="2" t="s">
        <v>67</v>
      </c>
      <c r="D2185" s="2" t="s">
        <v>68</v>
      </c>
      <c r="E2185" s="2" t="s">
        <v>46</v>
      </c>
      <c r="F2185" s="2" t="s">
        <v>39</v>
      </c>
      <c r="G2185" s="2" t="s">
        <v>139</v>
      </c>
      <c r="H2185" s="2" t="s">
        <v>74</v>
      </c>
      <c r="I2185" s="2">
        <v>8</v>
      </c>
      <c r="J2185" s="2" t="s">
        <v>117</v>
      </c>
      <c r="K2185" s="2"/>
      <c r="L2185" s="2" t="s">
        <v>24</v>
      </c>
      <c r="M2185" s="2"/>
      <c r="N2185" s="2" t="s">
        <v>64</v>
      </c>
    </row>
    <row r="2186" spans="1:14" x14ac:dyDescent="0.25">
      <c r="A2186" s="2" t="s">
        <v>5808</v>
      </c>
      <c r="B2186" s="2" t="s">
        <v>5809</v>
      </c>
      <c r="C2186" s="2" t="s">
        <v>53</v>
      </c>
      <c r="D2186" s="2" t="s">
        <v>61</v>
      </c>
      <c r="E2186" s="2" t="s">
        <v>38</v>
      </c>
      <c r="F2186" s="2" t="s">
        <v>62</v>
      </c>
      <c r="G2186" s="2" t="s">
        <v>91</v>
      </c>
      <c r="H2186" s="2" t="s">
        <v>74</v>
      </c>
      <c r="I2186" s="2">
        <v>8</v>
      </c>
      <c r="J2186" s="2" t="s">
        <v>106</v>
      </c>
      <c r="K2186" s="2" t="s">
        <v>5810</v>
      </c>
      <c r="L2186" s="2" t="s">
        <v>24</v>
      </c>
      <c r="M2186" s="2"/>
      <c r="N2186" s="2" t="s">
        <v>64</v>
      </c>
    </row>
    <row r="2187" spans="1:14" x14ac:dyDescent="0.25">
      <c r="A2187" s="2" t="s">
        <v>5811</v>
      </c>
      <c r="B2187" s="2" t="s">
        <v>5812</v>
      </c>
      <c r="C2187" s="2" t="s">
        <v>16</v>
      </c>
      <c r="D2187" s="2" t="s">
        <v>17</v>
      </c>
      <c r="E2187" s="2" t="s">
        <v>46</v>
      </c>
      <c r="F2187" s="2" t="s">
        <v>143</v>
      </c>
      <c r="G2187" s="2" t="s">
        <v>144</v>
      </c>
      <c r="H2187" s="2" t="s">
        <v>21</v>
      </c>
      <c r="I2187" s="2">
        <v>24</v>
      </c>
      <c r="J2187" s="2" t="s">
        <v>48</v>
      </c>
      <c r="K2187" s="2" t="s">
        <v>5813</v>
      </c>
      <c r="L2187" s="2" t="s">
        <v>24</v>
      </c>
      <c r="M2187" s="2">
        <v>4</v>
      </c>
      <c r="N2187" s="2" t="s">
        <v>25</v>
      </c>
    </row>
    <row r="2188" spans="1:14" x14ac:dyDescent="0.25">
      <c r="A2188" s="2" t="s">
        <v>5814</v>
      </c>
      <c r="B2188" s="2" t="s">
        <v>5815</v>
      </c>
      <c r="C2188" s="2" t="s">
        <v>53</v>
      </c>
      <c r="D2188" s="2" t="s">
        <v>61</v>
      </c>
      <c r="E2188" s="2" t="s">
        <v>18</v>
      </c>
      <c r="F2188" s="2" t="s">
        <v>30</v>
      </c>
      <c r="G2188" s="2" t="s">
        <v>126</v>
      </c>
      <c r="H2188" s="2" t="s">
        <v>32</v>
      </c>
      <c r="I2188" s="2">
        <v>48</v>
      </c>
      <c r="J2188" s="2" t="s">
        <v>33</v>
      </c>
      <c r="K2188" s="2"/>
      <c r="L2188" s="2" t="s">
        <v>24</v>
      </c>
      <c r="M2188" s="2"/>
      <c r="N2188" s="2" t="s">
        <v>58</v>
      </c>
    </row>
    <row r="2189" spans="1:14" x14ac:dyDescent="0.25">
      <c r="A2189" s="2" t="s">
        <v>5816</v>
      </c>
      <c r="B2189" s="2" t="s">
        <v>5817</v>
      </c>
      <c r="C2189" s="2" t="s">
        <v>53</v>
      </c>
      <c r="D2189" s="2" t="s">
        <v>54</v>
      </c>
      <c r="E2189" s="2" t="s">
        <v>46</v>
      </c>
      <c r="F2189" s="2" t="s">
        <v>143</v>
      </c>
      <c r="G2189" s="2" t="s">
        <v>121</v>
      </c>
      <c r="H2189" s="2" t="s">
        <v>32</v>
      </c>
      <c r="I2189" s="2">
        <v>48</v>
      </c>
      <c r="J2189" s="2" t="s">
        <v>48</v>
      </c>
      <c r="K2189" s="2" t="s">
        <v>5818</v>
      </c>
      <c r="L2189" s="2" t="s">
        <v>24</v>
      </c>
      <c r="M2189" s="2">
        <v>4</v>
      </c>
      <c r="N2189" s="2" t="s">
        <v>118</v>
      </c>
    </row>
    <row r="2190" spans="1:14" x14ac:dyDescent="0.25">
      <c r="A2190" s="2" t="s">
        <v>5819</v>
      </c>
      <c r="B2190" s="2" t="s">
        <v>5820</v>
      </c>
      <c r="C2190" s="2" t="s">
        <v>28</v>
      </c>
      <c r="D2190" s="2" t="s">
        <v>37</v>
      </c>
      <c r="E2190" s="2" t="s">
        <v>85</v>
      </c>
      <c r="F2190" s="2" t="s">
        <v>47</v>
      </c>
      <c r="G2190" s="2" t="s">
        <v>144</v>
      </c>
      <c r="H2190" s="2" t="s">
        <v>80</v>
      </c>
      <c r="I2190" s="2">
        <v>4</v>
      </c>
      <c r="J2190" s="2" t="s">
        <v>145</v>
      </c>
      <c r="K2190" s="2"/>
      <c r="L2190" s="2" t="s">
        <v>24</v>
      </c>
      <c r="M2190" s="2"/>
      <c r="N2190" s="2"/>
    </row>
    <row r="2191" spans="1:14" x14ac:dyDescent="0.25">
      <c r="A2191" s="2" t="s">
        <v>5821</v>
      </c>
      <c r="B2191" s="2" t="s">
        <v>5822</v>
      </c>
      <c r="C2191" s="2" t="s">
        <v>53</v>
      </c>
      <c r="D2191" s="2" t="s">
        <v>61</v>
      </c>
      <c r="E2191" s="2" t="s">
        <v>79</v>
      </c>
      <c r="F2191" s="2" t="s">
        <v>125</v>
      </c>
      <c r="G2191" s="2" t="s">
        <v>91</v>
      </c>
      <c r="H2191" s="2" t="s">
        <v>74</v>
      </c>
      <c r="I2191" s="2">
        <v>8</v>
      </c>
      <c r="J2191" s="2" t="s">
        <v>106</v>
      </c>
      <c r="K2191" s="2" t="s">
        <v>5823</v>
      </c>
      <c r="L2191" s="2" t="s">
        <v>24</v>
      </c>
      <c r="M2191" s="2"/>
      <c r="N2191" s="2"/>
    </row>
    <row r="2192" spans="1:14" x14ac:dyDescent="0.25">
      <c r="A2192" s="2" t="s">
        <v>5824</v>
      </c>
      <c r="B2192" s="2" t="s">
        <v>5825</v>
      </c>
      <c r="C2192" s="2" t="s">
        <v>67</v>
      </c>
      <c r="D2192" s="2" t="s">
        <v>95</v>
      </c>
      <c r="E2192" s="2" t="s">
        <v>18</v>
      </c>
      <c r="F2192" s="2" t="s">
        <v>39</v>
      </c>
      <c r="G2192" s="2" t="s">
        <v>20</v>
      </c>
      <c r="H2192" s="2" t="s">
        <v>32</v>
      </c>
      <c r="I2192" s="2">
        <v>48</v>
      </c>
      <c r="J2192" s="2" t="s">
        <v>106</v>
      </c>
      <c r="K2192" s="2" t="s">
        <v>5826</v>
      </c>
      <c r="L2192" s="2" t="s">
        <v>24</v>
      </c>
      <c r="M2192" s="2">
        <v>5</v>
      </c>
      <c r="N2192" s="2" t="s">
        <v>118</v>
      </c>
    </row>
    <row r="2193" spans="1:14" x14ac:dyDescent="0.25">
      <c r="A2193" s="2" t="s">
        <v>5827</v>
      </c>
      <c r="B2193" s="2" t="s">
        <v>5828</v>
      </c>
      <c r="C2193" s="2" t="s">
        <v>67</v>
      </c>
      <c r="D2193" s="2" t="s">
        <v>95</v>
      </c>
      <c r="E2193" s="2" t="s">
        <v>148</v>
      </c>
      <c r="F2193" s="2" t="s">
        <v>62</v>
      </c>
      <c r="G2193" s="2" t="s">
        <v>139</v>
      </c>
      <c r="H2193" s="2" t="s">
        <v>74</v>
      </c>
      <c r="I2193" s="2">
        <v>8</v>
      </c>
      <c r="J2193" s="2" t="s">
        <v>155</v>
      </c>
      <c r="K2193" s="2"/>
      <c r="L2193" s="2" t="s">
        <v>24</v>
      </c>
      <c r="M2193" s="2"/>
      <c r="N2193" s="2"/>
    </row>
    <row r="2194" spans="1:14" x14ac:dyDescent="0.25">
      <c r="A2194" s="2" t="s">
        <v>5829</v>
      </c>
      <c r="B2194" s="2" t="s">
        <v>5830</v>
      </c>
      <c r="C2194" s="2" t="s">
        <v>28</v>
      </c>
      <c r="D2194" s="2" t="s">
        <v>100</v>
      </c>
      <c r="E2194" s="2" t="s">
        <v>79</v>
      </c>
      <c r="F2194" s="2" t="s">
        <v>62</v>
      </c>
      <c r="G2194" s="2" t="s">
        <v>211</v>
      </c>
      <c r="H2194" s="2" t="s">
        <v>74</v>
      </c>
      <c r="I2194" s="2">
        <v>8</v>
      </c>
      <c r="J2194" s="2" t="s">
        <v>22</v>
      </c>
      <c r="K2194" s="2" t="s">
        <v>5831</v>
      </c>
      <c r="L2194" s="2" t="s">
        <v>24</v>
      </c>
      <c r="M2194" s="2">
        <v>1</v>
      </c>
      <c r="N2194" s="2" t="s">
        <v>58</v>
      </c>
    </row>
    <row r="2195" spans="1:14" x14ac:dyDescent="0.25">
      <c r="A2195" s="2" t="s">
        <v>5832</v>
      </c>
      <c r="B2195" s="2" t="s">
        <v>5833</v>
      </c>
      <c r="C2195" s="2" t="s">
        <v>67</v>
      </c>
      <c r="D2195" s="2" t="s">
        <v>68</v>
      </c>
      <c r="E2195" s="2" t="s">
        <v>85</v>
      </c>
      <c r="F2195" s="2" t="s">
        <v>69</v>
      </c>
      <c r="G2195" s="2" t="s">
        <v>40</v>
      </c>
      <c r="H2195" s="2" t="s">
        <v>21</v>
      </c>
      <c r="I2195" s="2">
        <v>24</v>
      </c>
      <c r="J2195" s="2" t="s">
        <v>187</v>
      </c>
      <c r="K2195" s="2" t="s">
        <v>5834</v>
      </c>
      <c r="L2195" s="2" t="s">
        <v>24</v>
      </c>
      <c r="M2195" s="2">
        <v>5</v>
      </c>
      <c r="N2195" s="2" t="s">
        <v>25</v>
      </c>
    </row>
    <row r="2196" spans="1:14" x14ac:dyDescent="0.25">
      <c r="A2196" s="2" t="s">
        <v>5835</v>
      </c>
      <c r="B2196" s="2" t="s">
        <v>5836</v>
      </c>
      <c r="C2196" s="2" t="s">
        <v>16</v>
      </c>
      <c r="D2196" s="2" t="s">
        <v>17</v>
      </c>
      <c r="E2196" s="2" t="s">
        <v>90</v>
      </c>
      <c r="F2196" s="2" t="s">
        <v>39</v>
      </c>
      <c r="G2196" s="2" t="s">
        <v>40</v>
      </c>
      <c r="H2196" s="2" t="s">
        <v>74</v>
      </c>
      <c r="I2196" s="2">
        <v>8</v>
      </c>
      <c r="J2196" s="2" t="s">
        <v>22</v>
      </c>
      <c r="K2196" s="2" t="s">
        <v>5837</v>
      </c>
      <c r="L2196" s="2" t="s">
        <v>24</v>
      </c>
      <c r="M2196" s="2">
        <v>1</v>
      </c>
      <c r="N2196" s="2" t="s">
        <v>58</v>
      </c>
    </row>
    <row r="2197" spans="1:14" x14ac:dyDescent="0.25">
      <c r="A2197" s="2" t="s">
        <v>5838</v>
      </c>
      <c r="B2197" s="2" t="s">
        <v>5839</v>
      </c>
      <c r="C2197" s="2" t="s">
        <v>16</v>
      </c>
      <c r="D2197" s="2" t="s">
        <v>84</v>
      </c>
      <c r="E2197" s="2" t="s">
        <v>18</v>
      </c>
      <c r="F2197" s="2" t="s">
        <v>19</v>
      </c>
      <c r="G2197" s="2" t="s">
        <v>70</v>
      </c>
      <c r="H2197" s="2" t="s">
        <v>32</v>
      </c>
      <c r="I2197" s="2">
        <v>48</v>
      </c>
      <c r="J2197" s="2" t="s">
        <v>48</v>
      </c>
      <c r="K2197" s="2" t="s">
        <v>5840</v>
      </c>
      <c r="L2197" s="2" t="s">
        <v>24</v>
      </c>
      <c r="M2197" s="2">
        <v>1</v>
      </c>
      <c r="N2197" s="2" t="s">
        <v>25</v>
      </c>
    </row>
    <row r="2198" spans="1:14" x14ac:dyDescent="0.25">
      <c r="A2198" s="2" t="s">
        <v>5841</v>
      </c>
      <c r="B2198" s="2" t="s">
        <v>5842</v>
      </c>
      <c r="C2198" s="2" t="s">
        <v>16</v>
      </c>
      <c r="D2198" s="2" t="s">
        <v>84</v>
      </c>
      <c r="E2198" s="2" t="s">
        <v>18</v>
      </c>
      <c r="F2198" s="2" t="s">
        <v>47</v>
      </c>
      <c r="G2198" s="2" t="s">
        <v>135</v>
      </c>
      <c r="H2198" s="2" t="s">
        <v>80</v>
      </c>
      <c r="I2198" s="2">
        <v>4</v>
      </c>
      <c r="J2198" s="2" t="s">
        <v>486</v>
      </c>
      <c r="K2198" s="2" t="s">
        <v>5843</v>
      </c>
      <c r="L2198" s="2" t="s">
        <v>24</v>
      </c>
      <c r="M2198" s="2"/>
      <c r="N2198" s="2"/>
    </row>
    <row r="2199" spans="1:14" x14ac:dyDescent="0.25">
      <c r="A2199" s="2" t="s">
        <v>5844</v>
      </c>
      <c r="B2199" s="2" t="s">
        <v>5845</v>
      </c>
      <c r="C2199" s="2" t="s">
        <v>28</v>
      </c>
      <c r="D2199" s="2" t="s">
        <v>37</v>
      </c>
      <c r="E2199" s="2" t="s">
        <v>18</v>
      </c>
      <c r="F2199" s="2" t="s">
        <v>131</v>
      </c>
      <c r="G2199" s="2" t="s">
        <v>158</v>
      </c>
      <c r="H2199" s="2" t="s">
        <v>74</v>
      </c>
      <c r="I2199" s="2">
        <v>8</v>
      </c>
      <c r="J2199" s="2" t="s">
        <v>187</v>
      </c>
      <c r="K2199" s="2" t="s">
        <v>5846</v>
      </c>
      <c r="L2199" s="2" t="s">
        <v>92</v>
      </c>
      <c r="M2199" s="2"/>
      <c r="N2199" s="2"/>
    </row>
    <row r="2200" spans="1:14" x14ac:dyDescent="0.25">
      <c r="A2200" s="2" t="s">
        <v>5847</v>
      </c>
      <c r="B2200" s="2" t="s">
        <v>5848</v>
      </c>
      <c r="C2200" s="2" t="s">
        <v>67</v>
      </c>
      <c r="D2200" s="2" t="s">
        <v>95</v>
      </c>
      <c r="E2200" s="2" t="s">
        <v>18</v>
      </c>
      <c r="F2200" s="2" t="s">
        <v>19</v>
      </c>
      <c r="G2200" s="2" t="s">
        <v>40</v>
      </c>
      <c r="H2200" s="2" t="s">
        <v>32</v>
      </c>
      <c r="I2200" s="2">
        <v>48</v>
      </c>
      <c r="J2200" s="2" t="s">
        <v>149</v>
      </c>
      <c r="K2200" s="2"/>
      <c r="L2200" s="2" t="s">
        <v>24</v>
      </c>
      <c r="M2200" s="2"/>
      <c r="N2200" s="2" t="s">
        <v>58</v>
      </c>
    </row>
    <row r="2201" spans="1:14" x14ac:dyDescent="0.25">
      <c r="A2201" s="2" t="s">
        <v>5849</v>
      </c>
      <c r="B2201" s="2" t="s">
        <v>5850</v>
      </c>
      <c r="C2201" s="2" t="s">
        <v>16</v>
      </c>
      <c r="D2201" s="2" t="s">
        <v>17</v>
      </c>
      <c r="E2201" s="2" t="s">
        <v>148</v>
      </c>
      <c r="F2201" s="2" t="s">
        <v>19</v>
      </c>
      <c r="G2201" s="2" t="s">
        <v>211</v>
      </c>
      <c r="H2201" s="2" t="s">
        <v>74</v>
      </c>
      <c r="I2201" s="2">
        <v>8</v>
      </c>
      <c r="J2201" s="2" t="s">
        <v>75</v>
      </c>
      <c r="K2201" s="2" t="s">
        <v>5851</v>
      </c>
      <c r="L2201" s="2" t="s">
        <v>24</v>
      </c>
      <c r="M2201" s="2">
        <v>4</v>
      </c>
      <c r="N2201" s="2" t="s">
        <v>58</v>
      </c>
    </row>
    <row r="2202" spans="1:14" x14ac:dyDescent="0.25">
      <c r="A2202" s="2" t="s">
        <v>5852</v>
      </c>
      <c r="B2202" s="2" t="s">
        <v>5853</v>
      </c>
      <c r="C2202" s="2" t="s">
        <v>16</v>
      </c>
      <c r="D2202" s="2" t="s">
        <v>240</v>
      </c>
      <c r="E2202" s="2" t="s">
        <v>90</v>
      </c>
      <c r="F2202" s="2" t="s">
        <v>39</v>
      </c>
      <c r="G2202" s="2" t="s">
        <v>105</v>
      </c>
      <c r="H2202" s="2" t="s">
        <v>32</v>
      </c>
      <c r="I2202" s="2">
        <v>48</v>
      </c>
      <c r="J2202" s="2" t="s">
        <v>106</v>
      </c>
      <c r="K2202" s="2" t="s">
        <v>5854</v>
      </c>
      <c r="L2202" s="2" t="s">
        <v>24</v>
      </c>
      <c r="M2202" s="2">
        <v>2</v>
      </c>
      <c r="N2202" s="2" t="s">
        <v>34</v>
      </c>
    </row>
    <row r="2203" spans="1:14" x14ac:dyDescent="0.25">
      <c r="A2203" s="2" t="s">
        <v>5855</v>
      </c>
      <c r="B2203" s="2" t="s">
        <v>5856</v>
      </c>
      <c r="C2203" s="2" t="s">
        <v>28</v>
      </c>
      <c r="D2203" s="2" t="s">
        <v>37</v>
      </c>
      <c r="E2203" s="2" t="s">
        <v>148</v>
      </c>
      <c r="F2203" s="2" t="s">
        <v>30</v>
      </c>
      <c r="G2203" s="2" t="s">
        <v>31</v>
      </c>
      <c r="H2203" s="2" t="s">
        <v>21</v>
      </c>
      <c r="I2203" s="2">
        <v>24</v>
      </c>
      <c r="J2203" s="2" t="s">
        <v>106</v>
      </c>
      <c r="K2203" s="2" t="s">
        <v>5857</v>
      </c>
      <c r="L2203" s="2" t="s">
        <v>24</v>
      </c>
      <c r="M2203" s="2"/>
      <c r="N2203" s="2" t="s">
        <v>43</v>
      </c>
    </row>
    <row r="2204" spans="1:14" x14ac:dyDescent="0.25">
      <c r="A2204" s="2" t="s">
        <v>5858</v>
      </c>
      <c r="B2204" s="2" t="s">
        <v>5859</v>
      </c>
      <c r="C2204" s="2" t="s">
        <v>28</v>
      </c>
      <c r="D2204" s="2" t="s">
        <v>100</v>
      </c>
      <c r="E2204" s="2" t="s">
        <v>46</v>
      </c>
      <c r="F2204" s="2" t="s">
        <v>143</v>
      </c>
      <c r="G2204" s="2" t="s">
        <v>110</v>
      </c>
      <c r="H2204" s="2" t="s">
        <v>80</v>
      </c>
      <c r="I2204" s="2">
        <v>4</v>
      </c>
      <c r="J2204" s="2" t="s">
        <v>155</v>
      </c>
      <c r="K2204" s="2"/>
      <c r="L2204" s="2" t="s">
        <v>24</v>
      </c>
      <c r="M2204" s="2"/>
      <c r="N2204" s="2"/>
    </row>
    <row r="2205" spans="1:14" x14ac:dyDescent="0.25">
      <c r="A2205" s="2" t="s">
        <v>5860</v>
      </c>
      <c r="B2205" s="2" t="s">
        <v>5861</v>
      </c>
      <c r="C2205" s="2" t="s">
        <v>16</v>
      </c>
      <c r="D2205" s="2" t="s">
        <v>84</v>
      </c>
      <c r="E2205" s="2" t="s">
        <v>85</v>
      </c>
      <c r="F2205" s="2" t="s">
        <v>125</v>
      </c>
      <c r="G2205" s="2" t="s">
        <v>110</v>
      </c>
      <c r="H2205" s="2" t="s">
        <v>21</v>
      </c>
      <c r="I2205" s="2">
        <v>24</v>
      </c>
      <c r="J2205" s="2" t="s">
        <v>22</v>
      </c>
      <c r="K2205" s="2" t="s">
        <v>5862</v>
      </c>
      <c r="L2205" s="2" t="s">
        <v>24</v>
      </c>
      <c r="M2205" s="2">
        <v>2</v>
      </c>
      <c r="N2205" s="2" t="s">
        <v>118</v>
      </c>
    </row>
    <row r="2206" spans="1:14" x14ac:dyDescent="0.25">
      <c r="A2206" s="2" t="s">
        <v>5863</v>
      </c>
      <c r="B2206" s="2" t="s">
        <v>4737</v>
      </c>
      <c r="C2206" s="2" t="s">
        <v>16</v>
      </c>
      <c r="D2206" s="2" t="s">
        <v>17</v>
      </c>
      <c r="E2206" s="2" t="s">
        <v>85</v>
      </c>
      <c r="F2206" s="2" t="s">
        <v>30</v>
      </c>
      <c r="G2206" s="2" t="s">
        <v>135</v>
      </c>
      <c r="H2206" s="2" t="s">
        <v>21</v>
      </c>
      <c r="I2206" s="2">
        <v>24</v>
      </c>
      <c r="J2206" s="2" t="s">
        <v>11</v>
      </c>
      <c r="K2206" s="2"/>
      <c r="L2206" s="2" t="s">
        <v>92</v>
      </c>
      <c r="M2206" s="2"/>
      <c r="N2206" s="2"/>
    </row>
    <row r="2207" spans="1:14" x14ac:dyDescent="0.25">
      <c r="A2207" s="2" t="s">
        <v>5864</v>
      </c>
      <c r="B2207" s="2" t="s">
        <v>5865</v>
      </c>
      <c r="C2207" s="2" t="s">
        <v>67</v>
      </c>
      <c r="D2207" s="2" t="s">
        <v>68</v>
      </c>
      <c r="E2207" s="2" t="s">
        <v>46</v>
      </c>
      <c r="F2207" s="2" t="s">
        <v>39</v>
      </c>
      <c r="G2207" s="2" t="s">
        <v>126</v>
      </c>
      <c r="H2207" s="2" t="s">
        <v>32</v>
      </c>
      <c r="I2207" s="2">
        <v>48</v>
      </c>
      <c r="J2207" s="2" t="s">
        <v>187</v>
      </c>
      <c r="K2207" s="2" t="s">
        <v>5866</v>
      </c>
      <c r="L2207" s="2" t="s">
        <v>24</v>
      </c>
      <c r="M2207" s="2">
        <v>1</v>
      </c>
      <c r="N2207" s="2" t="s">
        <v>128</v>
      </c>
    </row>
    <row r="2208" spans="1:14" x14ac:dyDescent="0.25">
      <c r="A2208" s="2" t="s">
        <v>5867</v>
      </c>
      <c r="B2208" s="2" t="s">
        <v>5868</v>
      </c>
      <c r="C2208" s="2" t="s">
        <v>28</v>
      </c>
      <c r="D2208" s="2" t="s">
        <v>37</v>
      </c>
      <c r="E2208" s="2" t="s">
        <v>85</v>
      </c>
      <c r="F2208" s="2" t="s">
        <v>39</v>
      </c>
      <c r="G2208" s="2" t="s">
        <v>40</v>
      </c>
      <c r="H2208" s="2" t="s">
        <v>21</v>
      </c>
      <c r="I2208" s="2">
        <v>24</v>
      </c>
      <c r="J2208" s="2" t="s">
        <v>41</v>
      </c>
      <c r="K2208" s="2" t="s">
        <v>5869</v>
      </c>
      <c r="L2208" s="2" t="s">
        <v>24</v>
      </c>
      <c r="M2208" s="2">
        <v>2</v>
      </c>
      <c r="N2208" s="2" t="s">
        <v>34</v>
      </c>
    </row>
    <row r="2209" spans="1:14" x14ac:dyDescent="0.25">
      <c r="A2209" s="2" t="s">
        <v>5870</v>
      </c>
      <c r="B2209" s="2" t="s">
        <v>2850</v>
      </c>
      <c r="C2209" s="2" t="s">
        <v>67</v>
      </c>
      <c r="D2209" s="2" t="s">
        <v>95</v>
      </c>
      <c r="E2209" s="2" t="s">
        <v>148</v>
      </c>
      <c r="F2209" s="2" t="s">
        <v>131</v>
      </c>
      <c r="G2209" s="2" t="s">
        <v>158</v>
      </c>
      <c r="H2209" s="2" t="s">
        <v>21</v>
      </c>
      <c r="I2209" s="2">
        <v>24</v>
      </c>
      <c r="J2209" s="2" t="s">
        <v>106</v>
      </c>
      <c r="K2209" s="2" t="s">
        <v>5871</v>
      </c>
      <c r="L2209" s="2" t="s">
        <v>24</v>
      </c>
      <c r="M2209" s="2">
        <v>5</v>
      </c>
      <c r="N2209" s="2" t="s">
        <v>58</v>
      </c>
    </row>
    <row r="2210" spans="1:14" x14ac:dyDescent="0.25">
      <c r="A2210" s="2" t="s">
        <v>5872</v>
      </c>
      <c r="B2210" s="2" t="s">
        <v>5873</v>
      </c>
      <c r="C2210" s="2" t="s">
        <v>16</v>
      </c>
      <c r="D2210" s="2" t="s">
        <v>17</v>
      </c>
      <c r="E2210" s="2" t="s">
        <v>46</v>
      </c>
      <c r="F2210" s="2" t="s">
        <v>19</v>
      </c>
      <c r="G2210" s="2" t="s">
        <v>70</v>
      </c>
      <c r="H2210" s="2" t="s">
        <v>32</v>
      </c>
      <c r="I2210" s="2">
        <v>48</v>
      </c>
      <c r="J2210" s="2" t="s">
        <v>22</v>
      </c>
      <c r="K2210" s="2"/>
      <c r="L2210" s="2" t="s">
        <v>24</v>
      </c>
      <c r="M2210" s="2">
        <v>5</v>
      </c>
      <c r="N2210" s="2" t="s">
        <v>25</v>
      </c>
    </row>
    <row r="2211" spans="1:14" x14ac:dyDescent="0.25">
      <c r="A2211" s="2" t="s">
        <v>5874</v>
      </c>
      <c r="B2211" s="2" t="s">
        <v>5875</v>
      </c>
      <c r="C2211" s="2" t="s">
        <v>53</v>
      </c>
      <c r="D2211" s="2" t="s">
        <v>54</v>
      </c>
      <c r="E2211" s="2" t="s">
        <v>79</v>
      </c>
      <c r="F2211" s="2" t="s">
        <v>69</v>
      </c>
      <c r="G2211" s="2" t="s">
        <v>97</v>
      </c>
      <c r="H2211" s="2" t="s">
        <v>21</v>
      </c>
      <c r="I2211" s="2">
        <v>24</v>
      </c>
      <c r="J2211" s="2" t="s">
        <v>41</v>
      </c>
      <c r="K2211" s="2" t="s">
        <v>5876</v>
      </c>
      <c r="L2211" s="2" t="s">
        <v>24</v>
      </c>
      <c r="M2211" s="2">
        <v>4</v>
      </c>
      <c r="N2211" s="2" t="s">
        <v>118</v>
      </c>
    </row>
    <row r="2212" spans="1:14" x14ac:dyDescent="0.25">
      <c r="A2212" s="2" t="s">
        <v>5877</v>
      </c>
      <c r="B2212" s="2" t="s">
        <v>5878</v>
      </c>
      <c r="C2212" s="2" t="s">
        <v>53</v>
      </c>
      <c r="D2212" s="2" t="s">
        <v>61</v>
      </c>
      <c r="E2212" s="2" t="s">
        <v>38</v>
      </c>
      <c r="F2212" s="2" t="s">
        <v>96</v>
      </c>
      <c r="G2212" s="2" t="s">
        <v>139</v>
      </c>
      <c r="H2212" s="2" t="s">
        <v>80</v>
      </c>
      <c r="I2212" s="2">
        <v>4</v>
      </c>
      <c r="J2212" s="2" t="s">
        <v>187</v>
      </c>
      <c r="K2212" s="2" t="s">
        <v>5879</v>
      </c>
      <c r="L2212" s="2" t="s">
        <v>24</v>
      </c>
      <c r="M2212" s="2">
        <v>1</v>
      </c>
      <c r="N2212" s="2" t="s">
        <v>43</v>
      </c>
    </row>
    <row r="2213" spans="1:14" x14ac:dyDescent="0.25">
      <c r="A2213" s="2" t="s">
        <v>5880</v>
      </c>
      <c r="B2213" s="2" t="s">
        <v>5881</v>
      </c>
      <c r="C2213" s="2" t="s">
        <v>53</v>
      </c>
      <c r="D2213" s="2" t="s">
        <v>54</v>
      </c>
      <c r="E2213" s="2" t="s">
        <v>148</v>
      </c>
      <c r="F2213" s="2" t="s">
        <v>19</v>
      </c>
      <c r="G2213" s="2" t="s">
        <v>211</v>
      </c>
      <c r="H2213" s="2" t="s">
        <v>74</v>
      </c>
      <c r="I2213" s="2">
        <v>8</v>
      </c>
      <c r="J2213" s="2" t="s">
        <v>155</v>
      </c>
      <c r="K2213" s="2"/>
      <c r="L2213" s="2" t="s">
        <v>24</v>
      </c>
      <c r="M2213" s="2"/>
      <c r="N2213" s="2" t="s">
        <v>25</v>
      </c>
    </row>
    <row r="2214" spans="1:14" x14ac:dyDescent="0.25">
      <c r="A2214" s="2" t="s">
        <v>5882</v>
      </c>
      <c r="B2214" s="2" t="s">
        <v>5883</v>
      </c>
      <c r="C2214" s="2" t="s">
        <v>67</v>
      </c>
      <c r="D2214" s="2" t="s">
        <v>95</v>
      </c>
      <c r="E2214" s="2" t="s">
        <v>79</v>
      </c>
      <c r="F2214" s="2" t="s">
        <v>125</v>
      </c>
      <c r="G2214" s="2" t="s">
        <v>101</v>
      </c>
      <c r="H2214" s="2" t="s">
        <v>80</v>
      </c>
      <c r="I2214" s="2">
        <v>4</v>
      </c>
      <c r="J2214" s="2" t="s">
        <v>41</v>
      </c>
      <c r="K2214" s="2" t="s">
        <v>5884</v>
      </c>
      <c r="L2214" s="2" t="s">
        <v>24</v>
      </c>
      <c r="M2214" s="2"/>
      <c r="N2214" s="2"/>
    </row>
    <row r="2215" spans="1:14" x14ac:dyDescent="0.25">
      <c r="A2215" s="2" t="s">
        <v>5885</v>
      </c>
      <c r="B2215" s="2" t="s">
        <v>5886</v>
      </c>
      <c r="C2215" s="2" t="s">
        <v>16</v>
      </c>
      <c r="D2215" s="2" t="s">
        <v>84</v>
      </c>
      <c r="E2215" s="2" t="s">
        <v>85</v>
      </c>
      <c r="F2215" s="2" t="s">
        <v>39</v>
      </c>
      <c r="G2215" s="2" t="s">
        <v>70</v>
      </c>
      <c r="H2215" s="2" t="s">
        <v>32</v>
      </c>
      <c r="I2215" s="2">
        <v>48</v>
      </c>
      <c r="J2215" s="2" t="s">
        <v>149</v>
      </c>
      <c r="K2215" s="2"/>
      <c r="L2215" s="2" t="s">
        <v>24</v>
      </c>
      <c r="M2215" s="2"/>
      <c r="N2215" s="2"/>
    </row>
    <row r="2216" spans="1:14" x14ac:dyDescent="0.25">
      <c r="A2216" s="2" t="s">
        <v>5887</v>
      </c>
      <c r="B2216" s="2" t="s">
        <v>5888</v>
      </c>
      <c r="C2216" s="2" t="s">
        <v>53</v>
      </c>
      <c r="D2216" s="2" t="s">
        <v>54</v>
      </c>
      <c r="E2216" s="2" t="s">
        <v>46</v>
      </c>
      <c r="F2216" s="2" t="s">
        <v>131</v>
      </c>
      <c r="G2216" s="2" t="s">
        <v>70</v>
      </c>
      <c r="H2216" s="2" t="s">
        <v>74</v>
      </c>
      <c r="I2216" s="2">
        <v>8</v>
      </c>
      <c r="J2216" s="2" t="s">
        <v>145</v>
      </c>
      <c r="K2216" s="2"/>
      <c r="L2216" s="2" t="s">
        <v>24</v>
      </c>
      <c r="M2216" s="2"/>
      <c r="N2216" s="2" t="s">
        <v>64</v>
      </c>
    </row>
    <row r="2217" spans="1:14" x14ac:dyDescent="0.25">
      <c r="A2217" s="2" t="s">
        <v>5889</v>
      </c>
      <c r="B2217" s="2" t="s">
        <v>5890</v>
      </c>
      <c r="C2217" s="2" t="s">
        <v>16</v>
      </c>
      <c r="D2217" s="2" t="s">
        <v>84</v>
      </c>
      <c r="E2217" s="2" t="s">
        <v>148</v>
      </c>
      <c r="F2217" s="2" t="s">
        <v>143</v>
      </c>
      <c r="G2217" s="2" t="s">
        <v>144</v>
      </c>
      <c r="H2217" s="2" t="s">
        <v>80</v>
      </c>
      <c r="I2217" s="2">
        <v>4</v>
      </c>
      <c r="J2217" s="2" t="s">
        <v>232</v>
      </c>
      <c r="K2217" s="2"/>
      <c r="L2217" s="2" t="s">
        <v>92</v>
      </c>
      <c r="M2217" s="2"/>
      <c r="N2217" s="2" t="s">
        <v>34</v>
      </c>
    </row>
    <row r="2218" spans="1:14" x14ac:dyDescent="0.25">
      <c r="A2218" s="2" t="s">
        <v>5891</v>
      </c>
      <c r="B2218" s="2" t="s">
        <v>5892</v>
      </c>
      <c r="C2218" s="2" t="s">
        <v>28</v>
      </c>
      <c r="D2218" s="2" t="s">
        <v>100</v>
      </c>
      <c r="E2218" s="2" t="s">
        <v>79</v>
      </c>
      <c r="F2218" s="2" t="s">
        <v>125</v>
      </c>
      <c r="G2218" s="2" t="s">
        <v>139</v>
      </c>
      <c r="H2218" s="2" t="s">
        <v>32</v>
      </c>
      <c r="I2218" s="2">
        <v>48</v>
      </c>
      <c r="J2218" s="2" t="s">
        <v>48</v>
      </c>
      <c r="K2218" s="2" t="s">
        <v>5893</v>
      </c>
      <c r="L2218" s="2" t="s">
        <v>24</v>
      </c>
      <c r="M2218" s="2">
        <v>4</v>
      </c>
      <c r="N2218" s="2" t="s">
        <v>50</v>
      </c>
    </row>
    <row r="2219" spans="1:14" x14ac:dyDescent="0.25">
      <c r="A2219" s="2" t="s">
        <v>5894</v>
      </c>
      <c r="B2219" s="2" t="s">
        <v>5895</v>
      </c>
      <c r="C2219" s="2" t="s">
        <v>16</v>
      </c>
      <c r="D2219" s="2" t="s">
        <v>17</v>
      </c>
      <c r="E2219" s="2" t="s">
        <v>46</v>
      </c>
      <c r="F2219" s="2" t="s">
        <v>39</v>
      </c>
      <c r="G2219" s="2" t="s">
        <v>144</v>
      </c>
      <c r="H2219" s="2" t="s">
        <v>21</v>
      </c>
      <c r="I2219" s="2">
        <v>24</v>
      </c>
      <c r="J2219" s="2" t="s">
        <v>106</v>
      </c>
      <c r="K2219" s="2" t="s">
        <v>5896</v>
      </c>
      <c r="L2219" s="2" t="s">
        <v>24</v>
      </c>
      <c r="M2219" s="2"/>
      <c r="N2219" s="2" t="s">
        <v>128</v>
      </c>
    </row>
    <row r="2220" spans="1:14" x14ac:dyDescent="0.25">
      <c r="A2220" s="2" t="s">
        <v>5897</v>
      </c>
      <c r="B2220" s="2" t="s">
        <v>5898</v>
      </c>
      <c r="C2220" s="2" t="s">
        <v>53</v>
      </c>
      <c r="D2220" s="2" t="s">
        <v>54</v>
      </c>
      <c r="E2220" s="2" t="s">
        <v>148</v>
      </c>
      <c r="F2220" s="2" t="s">
        <v>125</v>
      </c>
      <c r="G2220" s="2" t="s">
        <v>110</v>
      </c>
      <c r="H2220" s="2" t="s">
        <v>21</v>
      </c>
      <c r="I2220" s="2">
        <v>24</v>
      </c>
      <c r="J2220" s="2" t="s">
        <v>155</v>
      </c>
      <c r="K2220" s="2"/>
      <c r="L2220" s="2" t="s">
        <v>24</v>
      </c>
      <c r="M2220" s="2"/>
      <c r="N2220" s="2" t="s">
        <v>58</v>
      </c>
    </row>
    <row r="2221" spans="1:14" x14ac:dyDescent="0.25">
      <c r="A2221" s="2" t="s">
        <v>5899</v>
      </c>
      <c r="B2221" s="2" t="s">
        <v>5900</v>
      </c>
      <c r="C2221" s="2" t="s">
        <v>67</v>
      </c>
      <c r="D2221" s="2" t="s">
        <v>68</v>
      </c>
      <c r="E2221" s="2" t="s">
        <v>46</v>
      </c>
      <c r="F2221" s="2" t="s">
        <v>125</v>
      </c>
      <c r="G2221" s="2" t="s">
        <v>105</v>
      </c>
      <c r="H2221" s="2" t="s">
        <v>21</v>
      </c>
      <c r="I2221" s="2">
        <v>24</v>
      </c>
      <c r="J2221" s="2" t="s">
        <v>232</v>
      </c>
      <c r="K2221" s="2"/>
      <c r="L2221" s="2" t="s">
        <v>92</v>
      </c>
      <c r="M2221" s="2"/>
      <c r="N2221" s="2" t="s">
        <v>43</v>
      </c>
    </row>
    <row r="2222" spans="1:14" x14ac:dyDescent="0.25">
      <c r="A2222" s="2" t="s">
        <v>5901</v>
      </c>
      <c r="B2222" s="2" t="s">
        <v>5902</v>
      </c>
      <c r="C2222" s="2" t="s">
        <v>53</v>
      </c>
      <c r="D2222" s="2" t="s">
        <v>54</v>
      </c>
      <c r="E2222" s="2" t="s">
        <v>79</v>
      </c>
      <c r="F2222" s="2" t="s">
        <v>19</v>
      </c>
      <c r="G2222" s="2" t="s">
        <v>91</v>
      </c>
      <c r="H2222" s="2" t="s">
        <v>21</v>
      </c>
      <c r="I2222" s="2">
        <v>24</v>
      </c>
      <c r="J2222" s="2" t="s">
        <v>22</v>
      </c>
      <c r="K2222" s="2" t="s">
        <v>5903</v>
      </c>
      <c r="L2222" s="2" t="s">
        <v>24</v>
      </c>
      <c r="M2222" s="2">
        <v>2</v>
      </c>
      <c r="N2222" s="2" t="s">
        <v>118</v>
      </c>
    </row>
    <row r="2223" spans="1:14" x14ac:dyDescent="0.25">
      <c r="A2223" s="2" t="s">
        <v>5904</v>
      </c>
      <c r="B2223" s="2" t="s">
        <v>5905</v>
      </c>
      <c r="C2223" s="2" t="s">
        <v>53</v>
      </c>
      <c r="D2223" s="2" t="s">
        <v>54</v>
      </c>
      <c r="E2223" s="2" t="s">
        <v>18</v>
      </c>
      <c r="F2223" s="2" t="s">
        <v>125</v>
      </c>
      <c r="G2223" s="2" t="s">
        <v>183</v>
      </c>
      <c r="H2223" s="2" t="s">
        <v>32</v>
      </c>
      <c r="I2223" s="2">
        <v>48</v>
      </c>
      <c r="J2223" s="2" t="s">
        <v>200</v>
      </c>
      <c r="K2223" s="2"/>
      <c r="L2223" s="2" t="s">
        <v>92</v>
      </c>
      <c r="M2223" s="2"/>
      <c r="N2223" s="2" t="s">
        <v>34</v>
      </c>
    </row>
    <row r="2224" spans="1:14" x14ac:dyDescent="0.25">
      <c r="A2224" s="2" t="s">
        <v>5906</v>
      </c>
      <c r="B2224" s="2" t="s">
        <v>5907</v>
      </c>
      <c r="C2224" s="2" t="s">
        <v>28</v>
      </c>
      <c r="D2224" s="2" t="s">
        <v>100</v>
      </c>
      <c r="E2224" s="2" t="s">
        <v>18</v>
      </c>
      <c r="F2224" s="2" t="s">
        <v>47</v>
      </c>
      <c r="G2224" s="2" t="s">
        <v>101</v>
      </c>
      <c r="H2224" s="2" t="s">
        <v>74</v>
      </c>
      <c r="I2224" s="2">
        <v>8</v>
      </c>
      <c r="J2224" s="2" t="s">
        <v>22</v>
      </c>
      <c r="K2224" s="2" t="s">
        <v>5908</v>
      </c>
      <c r="L2224" s="2" t="s">
        <v>24</v>
      </c>
      <c r="M2224" s="2"/>
      <c r="N2224" s="2" t="s">
        <v>34</v>
      </c>
    </row>
    <row r="2225" spans="1:14" x14ac:dyDescent="0.25">
      <c r="A2225" s="2" t="s">
        <v>5909</v>
      </c>
      <c r="B2225" s="2" t="s">
        <v>5910</v>
      </c>
      <c r="C2225" s="2" t="s">
        <v>67</v>
      </c>
      <c r="D2225" s="2" t="s">
        <v>95</v>
      </c>
      <c r="E2225" s="2" t="s">
        <v>38</v>
      </c>
      <c r="F2225" s="2" t="s">
        <v>143</v>
      </c>
      <c r="G2225" s="2" t="s">
        <v>139</v>
      </c>
      <c r="H2225" s="2" t="s">
        <v>80</v>
      </c>
      <c r="I2225" s="2">
        <v>4</v>
      </c>
      <c r="J2225" s="2" t="s">
        <v>106</v>
      </c>
      <c r="K2225" s="2" t="s">
        <v>5911</v>
      </c>
      <c r="L2225" s="2" t="s">
        <v>24</v>
      </c>
      <c r="M2225" s="2">
        <v>4</v>
      </c>
      <c r="N2225" s="2" t="s">
        <v>43</v>
      </c>
    </row>
    <row r="2226" spans="1:14" x14ac:dyDescent="0.25">
      <c r="A2226" s="2" t="s">
        <v>5912</v>
      </c>
      <c r="B2226" s="2" t="s">
        <v>5913</v>
      </c>
      <c r="C2226" s="2" t="s">
        <v>16</v>
      </c>
      <c r="D2226" s="2" t="s">
        <v>17</v>
      </c>
      <c r="E2226" s="2" t="s">
        <v>148</v>
      </c>
      <c r="F2226" s="2" t="s">
        <v>69</v>
      </c>
      <c r="G2226" s="2" t="s">
        <v>183</v>
      </c>
      <c r="H2226" s="2" t="s">
        <v>32</v>
      </c>
      <c r="I2226" s="2">
        <v>48</v>
      </c>
      <c r="J2226" s="2" t="s">
        <v>22</v>
      </c>
      <c r="K2226" s="2" t="s">
        <v>5914</v>
      </c>
      <c r="L2226" s="2" t="s">
        <v>24</v>
      </c>
      <c r="M2226" s="2">
        <v>2</v>
      </c>
      <c r="N2226" s="2" t="s">
        <v>50</v>
      </c>
    </row>
    <row r="2227" spans="1:14" x14ac:dyDescent="0.25">
      <c r="A2227" s="2" t="s">
        <v>5915</v>
      </c>
      <c r="B2227" s="2" t="s">
        <v>5916</v>
      </c>
      <c r="C2227" s="2" t="s">
        <v>67</v>
      </c>
      <c r="D2227" s="2" t="s">
        <v>68</v>
      </c>
      <c r="E2227" s="2" t="s">
        <v>46</v>
      </c>
      <c r="F2227" s="2" t="s">
        <v>62</v>
      </c>
      <c r="G2227" s="2" t="s">
        <v>105</v>
      </c>
      <c r="H2227" s="2" t="s">
        <v>21</v>
      </c>
      <c r="I2227" s="2">
        <v>24</v>
      </c>
      <c r="J2227" s="2" t="s">
        <v>287</v>
      </c>
      <c r="K2227" s="2"/>
      <c r="L2227" s="2" t="s">
        <v>24</v>
      </c>
      <c r="M2227" s="2"/>
      <c r="N2227" s="2" t="s">
        <v>50</v>
      </c>
    </row>
    <row r="2228" spans="1:14" x14ac:dyDescent="0.25">
      <c r="A2228" s="2" t="s">
        <v>5917</v>
      </c>
      <c r="B2228" s="2" t="s">
        <v>5918</v>
      </c>
      <c r="C2228" s="2" t="s">
        <v>53</v>
      </c>
      <c r="D2228" s="2" t="s">
        <v>61</v>
      </c>
      <c r="E2228" s="2" t="s">
        <v>38</v>
      </c>
      <c r="F2228" s="2" t="s">
        <v>69</v>
      </c>
      <c r="G2228" s="2" t="s">
        <v>126</v>
      </c>
      <c r="H2228" s="2" t="s">
        <v>21</v>
      </c>
      <c r="I2228" s="2">
        <v>24</v>
      </c>
      <c r="J2228" s="2" t="s">
        <v>232</v>
      </c>
      <c r="K2228" s="2"/>
      <c r="L2228" s="2" t="s">
        <v>92</v>
      </c>
      <c r="M2228" s="2"/>
      <c r="N2228" s="2"/>
    </row>
    <row r="2229" spans="1:14" x14ac:dyDescent="0.25">
      <c r="A2229" s="2" t="s">
        <v>5919</v>
      </c>
      <c r="B2229" s="2" t="s">
        <v>5920</v>
      </c>
      <c r="C2229" s="2" t="s">
        <v>67</v>
      </c>
      <c r="D2229" s="2" t="s">
        <v>89</v>
      </c>
      <c r="E2229" s="2" t="s">
        <v>46</v>
      </c>
      <c r="F2229" s="2" t="s">
        <v>113</v>
      </c>
      <c r="G2229" s="2" t="s">
        <v>97</v>
      </c>
      <c r="H2229" s="2" t="s">
        <v>21</v>
      </c>
      <c r="I2229" s="2">
        <v>24</v>
      </c>
      <c r="J2229" s="2" t="s">
        <v>191</v>
      </c>
      <c r="K2229" s="2" t="s">
        <v>5921</v>
      </c>
      <c r="L2229" s="2" t="s">
        <v>24</v>
      </c>
      <c r="M2229" s="2"/>
      <c r="N2229" s="2" t="s">
        <v>25</v>
      </c>
    </row>
    <row r="2230" spans="1:14" x14ac:dyDescent="0.25">
      <c r="A2230" s="2" t="s">
        <v>5922</v>
      </c>
      <c r="B2230" s="2" t="s">
        <v>5923</v>
      </c>
      <c r="C2230" s="2" t="s">
        <v>67</v>
      </c>
      <c r="D2230" s="2" t="s">
        <v>95</v>
      </c>
      <c r="E2230" s="2" t="s">
        <v>148</v>
      </c>
      <c r="F2230" s="2" t="s">
        <v>131</v>
      </c>
      <c r="G2230" s="2" t="s">
        <v>31</v>
      </c>
      <c r="H2230" s="2" t="s">
        <v>74</v>
      </c>
      <c r="I2230" s="2">
        <v>8</v>
      </c>
      <c r="J2230" s="2" t="s">
        <v>11</v>
      </c>
      <c r="K2230" s="2"/>
      <c r="L2230" s="2" t="s">
        <v>92</v>
      </c>
      <c r="M2230" s="2"/>
      <c r="N2230" s="2" t="s">
        <v>128</v>
      </c>
    </row>
    <row r="2231" spans="1:14" x14ac:dyDescent="0.25">
      <c r="A2231" s="2" t="s">
        <v>5924</v>
      </c>
      <c r="B2231" s="2" t="s">
        <v>5925</v>
      </c>
      <c r="C2231" s="2" t="s">
        <v>16</v>
      </c>
      <c r="D2231" s="2" t="s">
        <v>17</v>
      </c>
      <c r="E2231" s="2" t="s">
        <v>85</v>
      </c>
      <c r="F2231" s="2" t="s">
        <v>39</v>
      </c>
      <c r="G2231" s="2" t="s">
        <v>144</v>
      </c>
      <c r="H2231" s="2" t="s">
        <v>74</v>
      </c>
      <c r="I2231" s="2">
        <v>8</v>
      </c>
      <c r="J2231" s="2" t="s">
        <v>145</v>
      </c>
      <c r="K2231" s="2"/>
      <c r="L2231" s="2" t="s">
        <v>24</v>
      </c>
      <c r="M2231" s="2"/>
      <c r="N2231" s="2" t="s">
        <v>128</v>
      </c>
    </row>
    <row r="2232" spans="1:14" x14ac:dyDescent="0.25">
      <c r="A2232" s="2" t="s">
        <v>5926</v>
      </c>
      <c r="B2232" s="2" t="s">
        <v>5927</v>
      </c>
      <c r="C2232" s="2" t="s">
        <v>16</v>
      </c>
      <c r="D2232" s="2" t="s">
        <v>17</v>
      </c>
      <c r="E2232" s="2" t="s">
        <v>18</v>
      </c>
      <c r="F2232" s="2" t="s">
        <v>19</v>
      </c>
      <c r="G2232" s="2" t="s">
        <v>144</v>
      </c>
      <c r="H2232" s="2" t="s">
        <v>21</v>
      </c>
      <c r="I2232" s="2">
        <v>24</v>
      </c>
      <c r="J2232" s="2" t="s">
        <v>200</v>
      </c>
      <c r="K2232" s="2"/>
      <c r="L2232" s="2" t="s">
        <v>92</v>
      </c>
      <c r="M2232" s="2"/>
      <c r="N2232" s="2" t="s">
        <v>64</v>
      </c>
    </row>
    <row r="2233" spans="1:14" x14ac:dyDescent="0.25">
      <c r="A2233" s="2" t="s">
        <v>5928</v>
      </c>
      <c r="B2233" s="2" t="s">
        <v>5929</v>
      </c>
      <c r="C2233" s="2" t="s">
        <v>67</v>
      </c>
      <c r="D2233" s="2" t="s">
        <v>95</v>
      </c>
      <c r="E2233" s="2" t="s">
        <v>38</v>
      </c>
      <c r="F2233" s="2" t="s">
        <v>143</v>
      </c>
      <c r="G2233" s="2" t="s">
        <v>135</v>
      </c>
      <c r="H2233" s="2" t="s">
        <v>21</v>
      </c>
      <c r="I2233" s="2">
        <v>24</v>
      </c>
      <c r="J2233" s="2" t="s">
        <v>48</v>
      </c>
      <c r="K2233" s="2" t="s">
        <v>5930</v>
      </c>
      <c r="L2233" s="2" t="s">
        <v>24</v>
      </c>
      <c r="M2233" s="2"/>
      <c r="N2233" s="2" t="s">
        <v>118</v>
      </c>
    </row>
    <row r="2234" spans="1:14" x14ac:dyDescent="0.25">
      <c r="A2234" s="2" t="s">
        <v>5931</v>
      </c>
      <c r="B2234" s="2" t="s">
        <v>5932</v>
      </c>
      <c r="C2234" s="2" t="s">
        <v>28</v>
      </c>
      <c r="D2234" s="2" t="s">
        <v>100</v>
      </c>
      <c r="E2234" s="2" t="s">
        <v>38</v>
      </c>
      <c r="F2234" s="2" t="s">
        <v>30</v>
      </c>
      <c r="G2234" s="2" t="s">
        <v>31</v>
      </c>
      <c r="H2234" s="2" t="s">
        <v>74</v>
      </c>
      <c r="I2234" s="2">
        <v>8</v>
      </c>
      <c r="J2234" s="2" t="s">
        <v>232</v>
      </c>
      <c r="K2234" s="2"/>
      <c r="L2234" s="2" t="s">
        <v>92</v>
      </c>
      <c r="M2234" s="2"/>
      <c r="N2234" s="2"/>
    </row>
    <row r="2235" spans="1:14" x14ac:dyDescent="0.25">
      <c r="A2235" s="2" t="s">
        <v>5933</v>
      </c>
      <c r="B2235" s="2" t="s">
        <v>5934</v>
      </c>
      <c r="C2235" s="2" t="s">
        <v>53</v>
      </c>
      <c r="D2235" s="2" t="s">
        <v>61</v>
      </c>
      <c r="E2235" s="2" t="s">
        <v>90</v>
      </c>
      <c r="F2235" s="2" t="s">
        <v>47</v>
      </c>
      <c r="G2235" s="2" t="s">
        <v>105</v>
      </c>
      <c r="H2235" s="2" t="s">
        <v>21</v>
      </c>
      <c r="I2235" s="2">
        <v>24</v>
      </c>
      <c r="J2235" s="2" t="s">
        <v>106</v>
      </c>
      <c r="K2235" s="2" t="s">
        <v>5935</v>
      </c>
      <c r="L2235" s="2" t="s">
        <v>24</v>
      </c>
      <c r="M2235" s="2">
        <v>5</v>
      </c>
      <c r="N2235" s="2" t="s">
        <v>118</v>
      </c>
    </row>
    <row r="2236" spans="1:14" x14ac:dyDescent="0.25">
      <c r="A2236" s="2" t="s">
        <v>5936</v>
      </c>
      <c r="B2236" s="2" t="s">
        <v>5937</v>
      </c>
      <c r="C2236" s="2" t="s">
        <v>16</v>
      </c>
      <c r="D2236" s="2" t="s">
        <v>84</v>
      </c>
      <c r="E2236" s="2" t="s">
        <v>38</v>
      </c>
      <c r="F2236" s="2" t="s">
        <v>39</v>
      </c>
      <c r="G2236" s="2" t="s">
        <v>20</v>
      </c>
      <c r="H2236" s="2" t="s">
        <v>32</v>
      </c>
      <c r="I2236" s="2">
        <v>48</v>
      </c>
      <c r="J2236" s="2" t="s">
        <v>41</v>
      </c>
      <c r="K2236" s="2" t="s">
        <v>5938</v>
      </c>
      <c r="L2236" s="2" t="s">
        <v>24</v>
      </c>
      <c r="M2236" s="2"/>
      <c r="N2236" s="2" t="s">
        <v>25</v>
      </c>
    </row>
    <row r="2237" spans="1:14" x14ac:dyDescent="0.25">
      <c r="A2237" s="2" t="s">
        <v>5939</v>
      </c>
      <c r="B2237" s="2" t="s">
        <v>5940</v>
      </c>
      <c r="C2237" s="2" t="s">
        <v>67</v>
      </c>
      <c r="D2237" s="2" t="s">
        <v>68</v>
      </c>
      <c r="E2237" s="2" t="s">
        <v>90</v>
      </c>
      <c r="F2237" s="2" t="s">
        <v>69</v>
      </c>
      <c r="G2237" s="2" t="s">
        <v>97</v>
      </c>
      <c r="H2237" s="2" t="s">
        <v>21</v>
      </c>
      <c r="I2237" s="2">
        <v>24</v>
      </c>
      <c r="J2237" s="2" t="s">
        <v>149</v>
      </c>
      <c r="K2237" s="2"/>
      <c r="L2237" s="2" t="s">
        <v>92</v>
      </c>
      <c r="M2237" s="2"/>
      <c r="N2237" s="2" t="s">
        <v>128</v>
      </c>
    </row>
    <row r="2238" spans="1:14" x14ac:dyDescent="0.25">
      <c r="A2238" s="2" t="s">
        <v>5941</v>
      </c>
      <c r="B2238" s="2" t="s">
        <v>5942</v>
      </c>
      <c r="C2238" s="2" t="s">
        <v>28</v>
      </c>
      <c r="D2238" s="2" t="s">
        <v>37</v>
      </c>
      <c r="E2238" s="2" t="s">
        <v>18</v>
      </c>
      <c r="F2238" s="2" t="s">
        <v>125</v>
      </c>
      <c r="G2238" s="2" t="s">
        <v>40</v>
      </c>
      <c r="H2238" s="2" t="s">
        <v>80</v>
      </c>
      <c r="I2238" s="2">
        <v>4</v>
      </c>
      <c r="J2238" s="2" t="s">
        <v>106</v>
      </c>
      <c r="K2238" s="2" t="s">
        <v>5943</v>
      </c>
      <c r="L2238" s="2" t="s">
        <v>24</v>
      </c>
      <c r="M2238" s="2">
        <v>5</v>
      </c>
      <c r="N2238" s="2" t="s">
        <v>34</v>
      </c>
    </row>
    <row r="2239" spans="1:14" x14ac:dyDescent="0.25">
      <c r="A2239" s="2" t="s">
        <v>5944</v>
      </c>
      <c r="B2239" s="2" t="s">
        <v>5945</v>
      </c>
      <c r="C2239" s="2" t="s">
        <v>67</v>
      </c>
      <c r="D2239" s="2" t="s">
        <v>68</v>
      </c>
      <c r="E2239" s="2" t="s">
        <v>90</v>
      </c>
      <c r="F2239" s="2" t="s">
        <v>113</v>
      </c>
      <c r="G2239" s="2" t="s">
        <v>183</v>
      </c>
      <c r="H2239" s="2" t="s">
        <v>80</v>
      </c>
      <c r="I2239" s="2">
        <v>4</v>
      </c>
      <c r="J2239" s="2" t="s">
        <v>117</v>
      </c>
      <c r="K2239" s="2"/>
      <c r="L2239" s="2" t="s">
        <v>24</v>
      </c>
      <c r="M2239" s="2"/>
      <c r="N2239" s="2" t="s">
        <v>43</v>
      </c>
    </row>
    <row r="2240" spans="1:14" x14ac:dyDescent="0.25">
      <c r="A2240" s="2" t="s">
        <v>5946</v>
      </c>
      <c r="B2240" s="2" t="s">
        <v>5947</v>
      </c>
      <c r="C2240" s="2" t="s">
        <v>28</v>
      </c>
      <c r="D2240" s="2" t="s">
        <v>100</v>
      </c>
      <c r="E2240" s="2" t="s">
        <v>85</v>
      </c>
      <c r="F2240" s="2" t="s">
        <v>47</v>
      </c>
      <c r="G2240" s="2" t="s">
        <v>97</v>
      </c>
      <c r="H2240" s="2" t="s">
        <v>21</v>
      </c>
      <c r="I2240" s="2">
        <v>24</v>
      </c>
      <c r="J2240" s="2" t="s">
        <v>48</v>
      </c>
      <c r="K2240" s="2" t="s">
        <v>5948</v>
      </c>
      <c r="L2240" s="2" t="s">
        <v>24</v>
      </c>
      <c r="M2240" s="2">
        <v>2</v>
      </c>
      <c r="N2240" s="2" t="s">
        <v>64</v>
      </c>
    </row>
    <row r="2241" spans="1:14" x14ac:dyDescent="0.25">
      <c r="A2241" s="2" t="s">
        <v>5949</v>
      </c>
      <c r="B2241" s="2" t="s">
        <v>5950</v>
      </c>
      <c r="C2241" s="2" t="s">
        <v>28</v>
      </c>
      <c r="D2241" s="2" t="s">
        <v>100</v>
      </c>
      <c r="E2241" s="2" t="s">
        <v>18</v>
      </c>
      <c r="F2241" s="2" t="s">
        <v>143</v>
      </c>
      <c r="G2241" s="2" t="s">
        <v>144</v>
      </c>
      <c r="H2241" s="2" t="s">
        <v>74</v>
      </c>
      <c r="I2241" s="2">
        <v>8</v>
      </c>
      <c r="J2241" s="2" t="s">
        <v>187</v>
      </c>
      <c r="K2241" s="2" t="s">
        <v>5951</v>
      </c>
      <c r="L2241" s="2" t="s">
        <v>24</v>
      </c>
      <c r="M2241" s="2"/>
      <c r="N2241" s="2" t="s">
        <v>50</v>
      </c>
    </row>
    <row r="2242" spans="1:14" x14ac:dyDescent="0.25">
      <c r="A2242" s="2" t="s">
        <v>5952</v>
      </c>
      <c r="B2242" s="2" t="s">
        <v>5953</v>
      </c>
      <c r="C2242" s="2" t="s">
        <v>67</v>
      </c>
      <c r="D2242" s="2" t="s">
        <v>68</v>
      </c>
      <c r="E2242" s="2" t="s">
        <v>46</v>
      </c>
      <c r="F2242" s="2" t="s">
        <v>55</v>
      </c>
      <c r="G2242" s="2" t="s">
        <v>126</v>
      </c>
      <c r="H2242" s="2" t="s">
        <v>32</v>
      </c>
      <c r="I2242" s="2">
        <v>48</v>
      </c>
      <c r="J2242" s="2" t="s">
        <v>22</v>
      </c>
      <c r="K2242" s="2" t="s">
        <v>5954</v>
      </c>
      <c r="L2242" s="2" t="s">
        <v>24</v>
      </c>
      <c r="M2242" s="2"/>
      <c r="N2242" s="2" t="s">
        <v>34</v>
      </c>
    </row>
    <row r="2243" spans="1:14" x14ac:dyDescent="0.25">
      <c r="A2243" s="2" t="s">
        <v>5955</v>
      </c>
      <c r="B2243" s="2" t="s">
        <v>5956</v>
      </c>
      <c r="C2243" s="2" t="s">
        <v>28</v>
      </c>
      <c r="D2243" s="2" t="s">
        <v>100</v>
      </c>
      <c r="E2243" s="2" t="s">
        <v>148</v>
      </c>
      <c r="F2243" s="2" t="s">
        <v>96</v>
      </c>
      <c r="G2243" s="2" t="s">
        <v>135</v>
      </c>
      <c r="H2243" s="2" t="s">
        <v>32</v>
      </c>
      <c r="I2243" s="2">
        <v>48</v>
      </c>
      <c r="J2243" s="2" t="s">
        <v>149</v>
      </c>
      <c r="K2243" s="2"/>
      <c r="L2243" s="2" t="s">
        <v>24</v>
      </c>
      <c r="M2243" s="2"/>
      <c r="N2243" s="2"/>
    </row>
    <row r="2244" spans="1:14" x14ac:dyDescent="0.25">
      <c r="A2244" s="2" t="s">
        <v>5957</v>
      </c>
      <c r="B2244" s="2" t="s">
        <v>5958</v>
      </c>
      <c r="C2244" s="2" t="s">
        <v>53</v>
      </c>
      <c r="D2244" s="2" t="s">
        <v>54</v>
      </c>
      <c r="E2244" s="2" t="s">
        <v>148</v>
      </c>
      <c r="F2244" s="2" t="s">
        <v>113</v>
      </c>
      <c r="G2244" s="2" t="s">
        <v>183</v>
      </c>
      <c r="H2244" s="2" t="s">
        <v>21</v>
      </c>
      <c r="I2244" s="2">
        <v>24</v>
      </c>
      <c r="J2244" s="2" t="s">
        <v>149</v>
      </c>
      <c r="K2244" s="2"/>
      <c r="L2244" s="2" t="s">
        <v>24</v>
      </c>
      <c r="M2244" s="2"/>
      <c r="N2244" s="2" t="s">
        <v>118</v>
      </c>
    </row>
    <row r="2245" spans="1:14" x14ac:dyDescent="0.25">
      <c r="A2245" s="2" t="s">
        <v>5959</v>
      </c>
      <c r="B2245" s="2" t="s">
        <v>5960</v>
      </c>
      <c r="C2245" s="2" t="s">
        <v>67</v>
      </c>
      <c r="D2245" s="2" t="s">
        <v>95</v>
      </c>
      <c r="E2245" s="2" t="s">
        <v>38</v>
      </c>
      <c r="F2245" s="2" t="s">
        <v>125</v>
      </c>
      <c r="G2245" s="2" t="s">
        <v>179</v>
      </c>
      <c r="H2245" s="2" t="s">
        <v>21</v>
      </c>
      <c r="I2245" s="2">
        <v>24</v>
      </c>
      <c r="J2245" s="2" t="s">
        <v>117</v>
      </c>
      <c r="K2245" s="2"/>
      <c r="L2245" s="2" t="s">
        <v>24</v>
      </c>
      <c r="M2245" s="2"/>
      <c r="N2245" s="2" t="s">
        <v>50</v>
      </c>
    </row>
    <row r="2246" spans="1:14" x14ac:dyDescent="0.25">
      <c r="A2246" s="2" t="s">
        <v>5961</v>
      </c>
      <c r="B2246" s="2" t="s">
        <v>5962</v>
      </c>
      <c r="C2246" s="2" t="s">
        <v>53</v>
      </c>
      <c r="D2246" s="2" t="s">
        <v>54</v>
      </c>
      <c r="E2246" s="2" t="s">
        <v>148</v>
      </c>
      <c r="F2246" s="2" t="s">
        <v>125</v>
      </c>
      <c r="G2246" s="2" t="s">
        <v>91</v>
      </c>
      <c r="H2246" s="2" t="s">
        <v>74</v>
      </c>
      <c r="I2246" s="2">
        <v>8</v>
      </c>
      <c r="J2246" s="2" t="s">
        <v>22</v>
      </c>
      <c r="K2246" s="2" t="s">
        <v>5963</v>
      </c>
      <c r="L2246" s="2" t="s">
        <v>24</v>
      </c>
      <c r="M2246" s="2">
        <v>2</v>
      </c>
      <c r="N2246" s="2"/>
    </row>
    <row r="2247" spans="1:14" x14ac:dyDescent="0.25">
      <c r="A2247" s="2" t="s">
        <v>5964</v>
      </c>
      <c r="B2247" s="2" t="s">
        <v>5965</v>
      </c>
      <c r="C2247" s="2" t="s">
        <v>16</v>
      </c>
      <c r="D2247" s="2" t="s">
        <v>84</v>
      </c>
      <c r="E2247" s="2" t="s">
        <v>46</v>
      </c>
      <c r="F2247" s="2" t="s">
        <v>19</v>
      </c>
      <c r="G2247" s="2" t="s">
        <v>105</v>
      </c>
      <c r="H2247" s="2" t="s">
        <v>21</v>
      </c>
      <c r="I2247" s="2">
        <v>24</v>
      </c>
      <c r="J2247" s="2" t="s">
        <v>117</v>
      </c>
      <c r="K2247" s="2"/>
      <c r="L2247" s="2" t="s">
        <v>24</v>
      </c>
      <c r="M2247" s="2"/>
      <c r="N2247" s="2" t="s">
        <v>34</v>
      </c>
    </row>
    <row r="2248" spans="1:14" x14ac:dyDescent="0.25">
      <c r="A2248" s="2" t="s">
        <v>5966</v>
      </c>
      <c r="B2248" s="2" t="s">
        <v>5967</v>
      </c>
      <c r="C2248" s="2" t="s">
        <v>53</v>
      </c>
      <c r="D2248" s="2" t="s">
        <v>61</v>
      </c>
      <c r="E2248" s="2" t="s">
        <v>38</v>
      </c>
      <c r="F2248" s="2" t="s">
        <v>47</v>
      </c>
      <c r="G2248" s="2" t="s">
        <v>20</v>
      </c>
      <c r="H2248" s="2" t="s">
        <v>32</v>
      </c>
      <c r="I2248" s="2">
        <v>48</v>
      </c>
      <c r="J2248" s="2" t="s">
        <v>200</v>
      </c>
      <c r="K2248" s="2"/>
      <c r="L2248" s="2" t="s">
        <v>92</v>
      </c>
      <c r="M2248" s="2"/>
      <c r="N2248" s="2"/>
    </row>
    <row r="2249" spans="1:14" x14ac:dyDescent="0.25">
      <c r="A2249" s="2" t="s">
        <v>5968</v>
      </c>
      <c r="B2249" s="2" t="s">
        <v>5969</v>
      </c>
      <c r="C2249" s="2" t="s">
        <v>53</v>
      </c>
      <c r="D2249" s="2" t="s">
        <v>61</v>
      </c>
      <c r="E2249" s="2" t="s">
        <v>46</v>
      </c>
      <c r="F2249" s="2" t="s">
        <v>113</v>
      </c>
      <c r="G2249" s="2" t="s">
        <v>135</v>
      </c>
      <c r="H2249" s="2" t="s">
        <v>21</v>
      </c>
      <c r="I2249" s="2">
        <v>24</v>
      </c>
      <c r="J2249" s="2" t="s">
        <v>41</v>
      </c>
      <c r="K2249" s="2" t="s">
        <v>5970</v>
      </c>
      <c r="L2249" s="2" t="s">
        <v>92</v>
      </c>
      <c r="M2249" s="2"/>
      <c r="N2249" s="2" t="s">
        <v>128</v>
      </c>
    </row>
    <row r="2250" spans="1:14" x14ac:dyDescent="0.25">
      <c r="A2250" s="2" t="s">
        <v>5971</v>
      </c>
      <c r="B2250" s="2" t="s">
        <v>5972</v>
      </c>
      <c r="C2250" s="2" t="s">
        <v>53</v>
      </c>
      <c r="D2250" s="2" t="s">
        <v>61</v>
      </c>
      <c r="E2250" s="2" t="s">
        <v>79</v>
      </c>
      <c r="F2250" s="2" t="s">
        <v>19</v>
      </c>
      <c r="G2250" s="2" t="s">
        <v>91</v>
      </c>
      <c r="H2250" s="2" t="s">
        <v>74</v>
      </c>
      <c r="I2250" s="2">
        <v>8</v>
      </c>
      <c r="J2250" s="2" t="s">
        <v>11</v>
      </c>
      <c r="K2250" s="2"/>
      <c r="L2250" s="2" t="s">
        <v>92</v>
      </c>
      <c r="M2250" s="2"/>
      <c r="N2250" s="2" t="s">
        <v>64</v>
      </c>
    </row>
    <row r="2251" spans="1:14" x14ac:dyDescent="0.25">
      <c r="A2251" s="2" t="s">
        <v>5973</v>
      </c>
      <c r="B2251" s="2" t="s">
        <v>5974</v>
      </c>
      <c r="C2251" s="2" t="s">
        <v>28</v>
      </c>
      <c r="D2251" s="2" t="s">
        <v>37</v>
      </c>
      <c r="E2251" s="2" t="s">
        <v>85</v>
      </c>
      <c r="F2251" s="2" t="s">
        <v>30</v>
      </c>
      <c r="G2251" s="2" t="s">
        <v>135</v>
      </c>
      <c r="H2251" s="2" t="s">
        <v>32</v>
      </c>
      <c r="I2251" s="2">
        <v>48</v>
      </c>
      <c r="J2251" s="2" t="s">
        <v>11</v>
      </c>
      <c r="K2251" s="2"/>
      <c r="L2251" s="2" t="s">
        <v>92</v>
      </c>
      <c r="M2251" s="2"/>
      <c r="N2251" s="2"/>
    </row>
    <row r="2252" spans="1:14" x14ac:dyDescent="0.25">
      <c r="A2252" s="2" t="s">
        <v>5975</v>
      </c>
      <c r="B2252" s="2" t="s">
        <v>5976</v>
      </c>
      <c r="C2252" s="2" t="s">
        <v>53</v>
      </c>
      <c r="D2252" s="2" t="s">
        <v>54</v>
      </c>
      <c r="E2252" s="2" t="s">
        <v>148</v>
      </c>
      <c r="F2252" s="2" t="s">
        <v>62</v>
      </c>
      <c r="G2252" s="2" t="s">
        <v>70</v>
      </c>
      <c r="H2252" s="2" t="s">
        <v>21</v>
      </c>
      <c r="I2252" s="2">
        <v>24</v>
      </c>
      <c r="J2252" s="2" t="s">
        <v>48</v>
      </c>
      <c r="K2252" s="2" t="s">
        <v>5977</v>
      </c>
      <c r="L2252" s="2" t="s">
        <v>24</v>
      </c>
      <c r="M2252" s="2"/>
      <c r="N2252" s="2" t="s">
        <v>43</v>
      </c>
    </row>
    <row r="2253" spans="1:14" x14ac:dyDescent="0.25">
      <c r="A2253" s="2" t="s">
        <v>5978</v>
      </c>
      <c r="B2253" s="2" t="s">
        <v>5979</v>
      </c>
      <c r="C2253" s="2" t="s">
        <v>53</v>
      </c>
      <c r="D2253" s="2" t="s">
        <v>54</v>
      </c>
      <c r="E2253" s="2" t="s">
        <v>90</v>
      </c>
      <c r="F2253" s="2" t="s">
        <v>143</v>
      </c>
      <c r="G2253" s="2" t="s">
        <v>121</v>
      </c>
      <c r="H2253" s="2" t="s">
        <v>21</v>
      </c>
      <c r="I2253" s="2">
        <v>24</v>
      </c>
      <c r="J2253" s="2" t="s">
        <v>149</v>
      </c>
      <c r="K2253" s="2"/>
      <c r="L2253" s="2" t="s">
        <v>24</v>
      </c>
      <c r="M2253" s="2"/>
      <c r="N2253" s="2" t="s">
        <v>50</v>
      </c>
    </row>
    <row r="2254" spans="1:14" x14ac:dyDescent="0.25">
      <c r="A2254" s="2" t="s">
        <v>5980</v>
      </c>
      <c r="B2254" s="2" t="s">
        <v>5981</v>
      </c>
      <c r="C2254" s="2" t="s">
        <v>53</v>
      </c>
      <c r="D2254" s="2" t="s">
        <v>61</v>
      </c>
      <c r="E2254" s="2" t="s">
        <v>85</v>
      </c>
      <c r="F2254" s="2" t="s">
        <v>55</v>
      </c>
      <c r="G2254" s="2" t="s">
        <v>211</v>
      </c>
      <c r="H2254" s="2" t="s">
        <v>21</v>
      </c>
      <c r="I2254" s="2">
        <v>24</v>
      </c>
      <c r="J2254" s="2" t="s">
        <v>41</v>
      </c>
      <c r="K2254" s="2" t="s">
        <v>5982</v>
      </c>
      <c r="L2254" s="2" t="s">
        <v>24</v>
      </c>
      <c r="M2254" s="2">
        <v>4</v>
      </c>
      <c r="N2254" s="2" t="s">
        <v>43</v>
      </c>
    </row>
    <row r="2255" spans="1:14" x14ac:dyDescent="0.25">
      <c r="A2255" s="2" t="s">
        <v>5983</v>
      </c>
      <c r="B2255" s="2" t="s">
        <v>5984</v>
      </c>
      <c r="C2255" s="2" t="s">
        <v>28</v>
      </c>
      <c r="D2255" s="2" t="s">
        <v>100</v>
      </c>
      <c r="E2255" s="2" t="s">
        <v>79</v>
      </c>
      <c r="F2255" s="2" t="s">
        <v>47</v>
      </c>
      <c r="G2255" s="2" t="s">
        <v>20</v>
      </c>
      <c r="H2255" s="2" t="s">
        <v>21</v>
      </c>
      <c r="I2255" s="2">
        <v>24</v>
      </c>
      <c r="J2255" s="2" t="s">
        <v>232</v>
      </c>
      <c r="K2255" s="2"/>
      <c r="L2255" s="2" t="s">
        <v>92</v>
      </c>
      <c r="M2255" s="2"/>
      <c r="N2255" s="2" t="s">
        <v>64</v>
      </c>
    </row>
    <row r="2256" spans="1:14" x14ac:dyDescent="0.25">
      <c r="A2256" s="2" t="s">
        <v>5985</v>
      </c>
      <c r="B2256" s="2" t="s">
        <v>5986</v>
      </c>
      <c r="C2256" s="2" t="s">
        <v>67</v>
      </c>
      <c r="D2256" s="2" t="s">
        <v>95</v>
      </c>
      <c r="E2256" s="2" t="s">
        <v>38</v>
      </c>
      <c r="F2256" s="2" t="s">
        <v>47</v>
      </c>
      <c r="G2256" s="2" t="s">
        <v>139</v>
      </c>
      <c r="H2256" s="2" t="s">
        <v>21</v>
      </c>
      <c r="I2256" s="2">
        <v>24</v>
      </c>
      <c r="J2256" s="2" t="s">
        <v>75</v>
      </c>
      <c r="K2256" s="2" t="s">
        <v>5987</v>
      </c>
      <c r="L2256" s="2" t="s">
        <v>24</v>
      </c>
      <c r="M2256" s="2">
        <v>5</v>
      </c>
      <c r="N2256" s="2" t="s">
        <v>25</v>
      </c>
    </row>
    <row r="2257" spans="1:14" x14ac:dyDescent="0.25">
      <c r="A2257" s="2" t="s">
        <v>5988</v>
      </c>
      <c r="B2257" s="2" t="s">
        <v>5989</v>
      </c>
      <c r="C2257" s="2" t="s">
        <v>67</v>
      </c>
      <c r="D2257" s="2" t="s">
        <v>95</v>
      </c>
      <c r="E2257" s="2" t="s">
        <v>79</v>
      </c>
      <c r="F2257" s="2" t="s">
        <v>47</v>
      </c>
      <c r="G2257" s="2" t="s">
        <v>211</v>
      </c>
      <c r="H2257" s="2" t="s">
        <v>32</v>
      </c>
      <c r="I2257" s="2">
        <v>48</v>
      </c>
      <c r="J2257" s="2" t="s">
        <v>41</v>
      </c>
      <c r="K2257" s="2" t="s">
        <v>5990</v>
      </c>
      <c r="L2257" s="2" t="s">
        <v>24</v>
      </c>
      <c r="M2257" s="2">
        <v>3</v>
      </c>
      <c r="N2257" s="2" t="s">
        <v>128</v>
      </c>
    </row>
    <row r="2258" spans="1:14" x14ac:dyDescent="0.25">
      <c r="A2258" s="2" t="s">
        <v>5991</v>
      </c>
      <c r="B2258" s="2" t="s">
        <v>5992</v>
      </c>
      <c r="C2258" s="2" t="s">
        <v>16</v>
      </c>
      <c r="D2258" s="2" t="s">
        <v>84</v>
      </c>
      <c r="E2258" s="2" t="s">
        <v>79</v>
      </c>
      <c r="F2258" s="2" t="s">
        <v>125</v>
      </c>
      <c r="G2258" s="2" t="s">
        <v>211</v>
      </c>
      <c r="H2258" s="2" t="s">
        <v>80</v>
      </c>
      <c r="I2258" s="2">
        <v>4</v>
      </c>
      <c r="J2258" s="2" t="s">
        <v>41</v>
      </c>
      <c r="K2258" s="2" t="s">
        <v>5993</v>
      </c>
      <c r="L2258" s="2" t="s">
        <v>24</v>
      </c>
      <c r="M2258" s="2">
        <v>4</v>
      </c>
      <c r="N2258" s="2" t="s">
        <v>50</v>
      </c>
    </row>
    <row r="2259" spans="1:14" x14ac:dyDescent="0.25">
      <c r="A2259" s="2" t="s">
        <v>5994</v>
      </c>
      <c r="B2259" s="2" t="s">
        <v>5995</v>
      </c>
      <c r="C2259" s="2" t="s">
        <v>53</v>
      </c>
      <c r="D2259" s="2" t="s">
        <v>54</v>
      </c>
      <c r="E2259" s="2" t="s">
        <v>79</v>
      </c>
      <c r="F2259" s="2" t="s">
        <v>62</v>
      </c>
      <c r="G2259" s="2" t="s">
        <v>110</v>
      </c>
      <c r="H2259" s="2" t="s">
        <v>80</v>
      </c>
      <c r="I2259" s="2">
        <v>4</v>
      </c>
      <c r="J2259" s="2" t="s">
        <v>48</v>
      </c>
      <c r="K2259" s="2" t="s">
        <v>5996</v>
      </c>
      <c r="L2259" s="2" t="s">
        <v>24</v>
      </c>
      <c r="M2259" s="2"/>
      <c r="N2259" s="2" t="s">
        <v>25</v>
      </c>
    </row>
    <row r="2260" spans="1:14" x14ac:dyDescent="0.25">
      <c r="A2260" s="2" t="s">
        <v>5997</v>
      </c>
      <c r="B2260" s="2" t="s">
        <v>5998</v>
      </c>
      <c r="C2260" s="2" t="s">
        <v>53</v>
      </c>
      <c r="D2260" s="2" t="s">
        <v>61</v>
      </c>
      <c r="E2260" s="2" t="s">
        <v>79</v>
      </c>
      <c r="F2260" s="2" t="s">
        <v>96</v>
      </c>
      <c r="G2260" s="2" t="s">
        <v>158</v>
      </c>
      <c r="H2260" s="2" t="s">
        <v>74</v>
      </c>
      <c r="I2260" s="2">
        <v>8</v>
      </c>
      <c r="J2260" s="2" t="s">
        <v>149</v>
      </c>
      <c r="K2260" s="2"/>
      <c r="L2260" s="2" t="s">
        <v>24</v>
      </c>
      <c r="M2260" s="2"/>
      <c r="N2260" s="2"/>
    </row>
    <row r="2261" spans="1:14" x14ac:dyDescent="0.25">
      <c r="A2261" s="2" t="s">
        <v>5999</v>
      </c>
      <c r="B2261" s="2" t="s">
        <v>6000</v>
      </c>
      <c r="C2261" s="2" t="s">
        <v>67</v>
      </c>
      <c r="D2261" s="2" t="s">
        <v>95</v>
      </c>
      <c r="E2261" s="2" t="s">
        <v>38</v>
      </c>
      <c r="F2261" s="2" t="s">
        <v>131</v>
      </c>
      <c r="G2261" s="2" t="s">
        <v>211</v>
      </c>
      <c r="H2261" s="2" t="s">
        <v>21</v>
      </c>
      <c r="I2261" s="2">
        <v>24</v>
      </c>
      <c r="J2261" s="2" t="s">
        <v>22</v>
      </c>
      <c r="K2261" s="2" t="s">
        <v>6001</v>
      </c>
      <c r="L2261" s="2" t="s">
        <v>24</v>
      </c>
      <c r="M2261" s="2">
        <v>4</v>
      </c>
      <c r="N2261" s="2"/>
    </row>
    <row r="2262" spans="1:14" x14ac:dyDescent="0.25">
      <c r="A2262" s="2" t="s">
        <v>6002</v>
      </c>
      <c r="B2262" s="2" t="s">
        <v>6003</v>
      </c>
      <c r="C2262" s="2" t="s">
        <v>16</v>
      </c>
      <c r="D2262" s="2" t="s">
        <v>17</v>
      </c>
      <c r="E2262" s="2" t="s">
        <v>79</v>
      </c>
      <c r="F2262" s="2" t="s">
        <v>69</v>
      </c>
      <c r="G2262" s="2" t="s">
        <v>211</v>
      </c>
      <c r="H2262" s="2" t="s">
        <v>21</v>
      </c>
      <c r="I2262" s="2">
        <v>24</v>
      </c>
      <c r="J2262" s="2" t="s">
        <v>145</v>
      </c>
      <c r="K2262" s="2"/>
      <c r="L2262" s="2" t="s">
        <v>24</v>
      </c>
      <c r="M2262" s="2"/>
      <c r="N2262" s="2" t="s">
        <v>118</v>
      </c>
    </row>
    <row r="2263" spans="1:14" x14ac:dyDescent="0.25">
      <c r="A2263" s="2" t="s">
        <v>6004</v>
      </c>
      <c r="B2263" s="2" t="s">
        <v>6005</v>
      </c>
      <c r="C2263" s="2" t="s">
        <v>28</v>
      </c>
      <c r="D2263" s="2" t="s">
        <v>100</v>
      </c>
      <c r="E2263" s="2" t="s">
        <v>18</v>
      </c>
      <c r="F2263" s="2" t="s">
        <v>62</v>
      </c>
      <c r="G2263" s="2" t="s">
        <v>135</v>
      </c>
      <c r="H2263" s="2" t="s">
        <v>74</v>
      </c>
      <c r="I2263" s="2">
        <v>8</v>
      </c>
      <c r="J2263" s="2" t="s">
        <v>106</v>
      </c>
      <c r="K2263" s="2" t="s">
        <v>6006</v>
      </c>
      <c r="L2263" s="2" t="s">
        <v>24</v>
      </c>
      <c r="M2263" s="2"/>
      <c r="N2263" s="2" t="s">
        <v>118</v>
      </c>
    </row>
    <row r="2264" spans="1:14" x14ac:dyDescent="0.25">
      <c r="A2264" s="2" t="s">
        <v>6007</v>
      </c>
      <c r="B2264" s="2" t="s">
        <v>6008</v>
      </c>
      <c r="C2264" s="2" t="s">
        <v>67</v>
      </c>
      <c r="D2264" s="2" t="s">
        <v>95</v>
      </c>
      <c r="E2264" s="2" t="s">
        <v>79</v>
      </c>
      <c r="F2264" s="2" t="s">
        <v>143</v>
      </c>
      <c r="G2264" s="2" t="s">
        <v>126</v>
      </c>
      <c r="H2264" s="2" t="s">
        <v>21</v>
      </c>
      <c r="I2264" s="2">
        <v>24</v>
      </c>
      <c r="J2264" s="2" t="s">
        <v>145</v>
      </c>
      <c r="K2264" s="2"/>
      <c r="L2264" s="2" t="s">
        <v>24</v>
      </c>
      <c r="M2264" s="2"/>
      <c r="N2264" s="2" t="s">
        <v>43</v>
      </c>
    </row>
    <row r="2265" spans="1:14" x14ac:dyDescent="0.25">
      <c r="A2265" s="2" t="s">
        <v>6009</v>
      </c>
      <c r="B2265" s="2" t="s">
        <v>6010</v>
      </c>
      <c r="C2265" s="2" t="s">
        <v>53</v>
      </c>
      <c r="D2265" s="2" t="s">
        <v>61</v>
      </c>
      <c r="E2265" s="2" t="s">
        <v>46</v>
      </c>
      <c r="F2265" s="2" t="s">
        <v>69</v>
      </c>
      <c r="G2265" s="2" t="s">
        <v>20</v>
      </c>
      <c r="H2265" s="2" t="s">
        <v>21</v>
      </c>
      <c r="I2265" s="2">
        <v>24</v>
      </c>
      <c r="J2265" s="2" t="s">
        <v>75</v>
      </c>
      <c r="K2265" s="2" t="s">
        <v>6011</v>
      </c>
      <c r="L2265" s="2" t="s">
        <v>24</v>
      </c>
      <c r="M2265" s="2"/>
      <c r="N2265" s="2"/>
    </row>
    <row r="2266" spans="1:14" x14ac:dyDescent="0.25">
      <c r="A2266" s="2" t="s">
        <v>6012</v>
      </c>
      <c r="B2266" s="2" t="s">
        <v>6013</v>
      </c>
      <c r="C2266" s="2" t="s">
        <v>28</v>
      </c>
      <c r="D2266" s="2" t="s">
        <v>37</v>
      </c>
      <c r="E2266" s="2" t="s">
        <v>46</v>
      </c>
      <c r="F2266" s="2" t="s">
        <v>47</v>
      </c>
      <c r="G2266" s="2" t="s">
        <v>40</v>
      </c>
      <c r="H2266" s="2" t="s">
        <v>21</v>
      </c>
      <c r="I2266" s="2">
        <v>24</v>
      </c>
      <c r="J2266" s="2" t="s">
        <v>155</v>
      </c>
      <c r="K2266" s="2"/>
      <c r="L2266" s="2" t="s">
        <v>24</v>
      </c>
      <c r="M2266" s="2"/>
      <c r="N2266" s="2"/>
    </row>
    <row r="2267" spans="1:14" x14ac:dyDescent="0.25">
      <c r="A2267" s="2" t="s">
        <v>6014</v>
      </c>
      <c r="B2267" s="2" t="s">
        <v>6015</v>
      </c>
      <c r="C2267" s="2" t="s">
        <v>16</v>
      </c>
      <c r="D2267" s="2" t="s">
        <v>84</v>
      </c>
      <c r="E2267" s="2" t="s">
        <v>85</v>
      </c>
      <c r="F2267" s="2" t="s">
        <v>131</v>
      </c>
      <c r="G2267" s="2" t="s">
        <v>135</v>
      </c>
      <c r="H2267" s="2" t="s">
        <v>21</v>
      </c>
      <c r="I2267" s="2">
        <v>24</v>
      </c>
      <c r="J2267" s="2" t="s">
        <v>33</v>
      </c>
      <c r="K2267" s="2"/>
      <c r="L2267" s="2" t="s">
        <v>24</v>
      </c>
      <c r="M2267" s="2"/>
      <c r="N2267" s="2" t="s">
        <v>118</v>
      </c>
    </row>
    <row r="2268" spans="1:14" x14ac:dyDescent="0.25">
      <c r="A2268" s="2" t="s">
        <v>2538</v>
      </c>
      <c r="B2268" s="2" t="s">
        <v>2539</v>
      </c>
      <c r="C2268" s="2" t="s">
        <v>28</v>
      </c>
      <c r="D2268" s="2" t="s">
        <v>37</v>
      </c>
      <c r="E2268" s="2" t="s">
        <v>38</v>
      </c>
      <c r="F2268" s="2" t="s">
        <v>113</v>
      </c>
      <c r="G2268" s="2" t="s">
        <v>144</v>
      </c>
      <c r="H2268" s="2" t="s">
        <v>32</v>
      </c>
      <c r="I2268" s="2">
        <v>48</v>
      </c>
      <c r="J2268" s="2" t="s">
        <v>22</v>
      </c>
      <c r="K2268" s="2" t="s">
        <v>2540</v>
      </c>
      <c r="L2268" s="2" t="s">
        <v>24</v>
      </c>
      <c r="M2268" s="2">
        <v>2</v>
      </c>
      <c r="N2268" s="2" t="s">
        <v>118</v>
      </c>
    </row>
    <row r="2269" spans="1:14" x14ac:dyDescent="0.25">
      <c r="A2269" s="2" t="s">
        <v>6016</v>
      </c>
      <c r="B2269" s="2" t="s">
        <v>6017</v>
      </c>
      <c r="C2269" s="2" t="s">
        <v>67</v>
      </c>
      <c r="D2269" s="2" t="s">
        <v>95</v>
      </c>
      <c r="E2269" s="2" t="s">
        <v>90</v>
      </c>
      <c r="F2269" s="2" t="s">
        <v>96</v>
      </c>
      <c r="G2269" s="2" t="s">
        <v>31</v>
      </c>
      <c r="H2269" s="2" t="s">
        <v>74</v>
      </c>
      <c r="I2269" s="2">
        <v>8</v>
      </c>
      <c r="J2269" s="2" t="s">
        <v>41</v>
      </c>
      <c r="K2269" s="2" t="s">
        <v>6018</v>
      </c>
      <c r="L2269" s="2" t="s">
        <v>24</v>
      </c>
      <c r="M2269" s="2">
        <v>4</v>
      </c>
      <c r="N2269" s="2" t="s">
        <v>50</v>
      </c>
    </row>
    <row r="2270" spans="1:14" x14ac:dyDescent="0.25">
      <c r="A2270" s="2" t="s">
        <v>6019</v>
      </c>
      <c r="B2270" s="2" t="s">
        <v>6020</v>
      </c>
      <c r="C2270" s="2" t="s">
        <v>53</v>
      </c>
      <c r="D2270" s="2" t="s">
        <v>61</v>
      </c>
      <c r="E2270" s="2" t="s">
        <v>90</v>
      </c>
      <c r="F2270" s="2" t="s">
        <v>47</v>
      </c>
      <c r="G2270" s="2" t="s">
        <v>144</v>
      </c>
      <c r="H2270" s="2" t="s">
        <v>80</v>
      </c>
      <c r="I2270" s="2">
        <v>4</v>
      </c>
      <c r="J2270" s="2" t="s">
        <v>41</v>
      </c>
      <c r="K2270" s="2" t="s">
        <v>6021</v>
      </c>
      <c r="L2270" s="2" t="s">
        <v>24</v>
      </c>
      <c r="M2270" s="2"/>
      <c r="N2270" s="2" t="s">
        <v>43</v>
      </c>
    </row>
    <row r="2271" spans="1:14" x14ac:dyDescent="0.25">
      <c r="A2271" s="2" t="s">
        <v>6022</v>
      </c>
      <c r="B2271" s="2" t="s">
        <v>6023</v>
      </c>
      <c r="C2271" s="2" t="s">
        <v>67</v>
      </c>
      <c r="D2271" s="2" t="s">
        <v>95</v>
      </c>
      <c r="E2271" s="2" t="s">
        <v>46</v>
      </c>
      <c r="F2271" s="2" t="s">
        <v>143</v>
      </c>
      <c r="G2271" s="2" t="s">
        <v>91</v>
      </c>
      <c r="H2271" s="2" t="s">
        <v>21</v>
      </c>
      <c r="I2271" s="2">
        <v>24</v>
      </c>
      <c r="J2271" s="2" t="s">
        <v>11</v>
      </c>
      <c r="K2271" s="2"/>
      <c r="L2271" s="2" t="s">
        <v>92</v>
      </c>
      <c r="M2271" s="2"/>
      <c r="N2271" s="2" t="s">
        <v>64</v>
      </c>
    </row>
    <row r="2272" spans="1:14" x14ac:dyDescent="0.25">
      <c r="A2272" s="2" t="s">
        <v>6024</v>
      </c>
      <c r="B2272" s="2" t="s">
        <v>6025</v>
      </c>
      <c r="C2272" s="2" t="s">
        <v>28</v>
      </c>
      <c r="D2272" s="2" t="s">
        <v>37</v>
      </c>
      <c r="E2272" s="2" t="s">
        <v>148</v>
      </c>
      <c r="F2272" s="2" t="s">
        <v>19</v>
      </c>
      <c r="G2272" s="2" t="s">
        <v>158</v>
      </c>
      <c r="H2272" s="2" t="s">
        <v>74</v>
      </c>
      <c r="I2272" s="2">
        <v>8</v>
      </c>
      <c r="J2272" s="2" t="s">
        <v>106</v>
      </c>
      <c r="K2272" s="2" t="s">
        <v>6026</v>
      </c>
      <c r="L2272" s="2" t="s">
        <v>24</v>
      </c>
      <c r="M2272" s="2">
        <v>4</v>
      </c>
      <c r="N2272" s="2"/>
    </row>
    <row r="2273" spans="1:14" x14ac:dyDescent="0.25">
      <c r="A2273" s="2" t="s">
        <v>6027</v>
      </c>
      <c r="B2273" s="2" t="s">
        <v>6028</v>
      </c>
      <c r="C2273" s="2" t="s">
        <v>67</v>
      </c>
      <c r="D2273" s="2" t="s">
        <v>95</v>
      </c>
      <c r="E2273" s="2" t="s">
        <v>18</v>
      </c>
      <c r="F2273" s="2" t="s">
        <v>19</v>
      </c>
      <c r="G2273" s="2" t="s">
        <v>121</v>
      </c>
      <c r="H2273" s="2" t="s">
        <v>21</v>
      </c>
      <c r="I2273" s="2">
        <v>24</v>
      </c>
      <c r="J2273" s="2" t="s">
        <v>48</v>
      </c>
      <c r="K2273" s="2" t="s">
        <v>6029</v>
      </c>
      <c r="L2273" s="2" t="s">
        <v>24</v>
      </c>
      <c r="M2273" s="2"/>
      <c r="N2273" s="2" t="s">
        <v>50</v>
      </c>
    </row>
    <row r="2274" spans="1:14" x14ac:dyDescent="0.25">
      <c r="A2274" s="2" t="s">
        <v>6030</v>
      </c>
      <c r="B2274" s="2" t="s">
        <v>6031</v>
      </c>
      <c r="C2274" s="2" t="s">
        <v>67</v>
      </c>
      <c r="D2274" s="2" t="s">
        <v>68</v>
      </c>
      <c r="E2274" s="2" t="s">
        <v>38</v>
      </c>
      <c r="F2274" s="2" t="s">
        <v>62</v>
      </c>
      <c r="G2274" s="2" t="s">
        <v>20</v>
      </c>
      <c r="H2274" s="2" t="s">
        <v>32</v>
      </c>
      <c r="I2274" s="2">
        <v>48</v>
      </c>
      <c r="J2274" s="2" t="s">
        <v>117</v>
      </c>
      <c r="K2274" s="2"/>
      <c r="L2274" s="2" t="s">
        <v>24</v>
      </c>
      <c r="M2274" s="2"/>
      <c r="N2274" s="2" t="s">
        <v>64</v>
      </c>
    </row>
    <row r="2275" spans="1:14" x14ac:dyDescent="0.25">
      <c r="A2275" s="2" t="s">
        <v>6032</v>
      </c>
      <c r="B2275" s="2" t="s">
        <v>6033</v>
      </c>
      <c r="C2275" s="2" t="s">
        <v>28</v>
      </c>
      <c r="D2275" s="2" t="s">
        <v>37</v>
      </c>
      <c r="E2275" s="2" t="s">
        <v>85</v>
      </c>
      <c r="F2275" s="2" t="s">
        <v>55</v>
      </c>
      <c r="G2275" s="2" t="s">
        <v>97</v>
      </c>
      <c r="H2275" s="2" t="s">
        <v>32</v>
      </c>
      <c r="I2275" s="2">
        <v>48</v>
      </c>
      <c r="J2275" s="2" t="s">
        <v>41</v>
      </c>
      <c r="K2275" s="2" t="s">
        <v>6034</v>
      </c>
      <c r="L2275" s="2" t="s">
        <v>24</v>
      </c>
      <c r="M2275" s="2">
        <v>4</v>
      </c>
      <c r="N2275" s="2" t="s">
        <v>25</v>
      </c>
    </row>
    <row r="2276" spans="1:14" x14ac:dyDescent="0.25">
      <c r="A2276" s="2" t="s">
        <v>6035</v>
      </c>
      <c r="B2276" s="2" t="s">
        <v>6036</v>
      </c>
      <c r="C2276" s="2" t="s">
        <v>16</v>
      </c>
      <c r="D2276" s="2" t="s">
        <v>84</v>
      </c>
      <c r="E2276" s="2" t="s">
        <v>38</v>
      </c>
      <c r="F2276" s="2" t="s">
        <v>131</v>
      </c>
      <c r="G2276" s="2" t="s">
        <v>135</v>
      </c>
      <c r="H2276" s="2" t="s">
        <v>80</v>
      </c>
      <c r="I2276" s="2">
        <v>4</v>
      </c>
      <c r="J2276" s="2" t="s">
        <v>41</v>
      </c>
      <c r="K2276" s="2" t="s">
        <v>6037</v>
      </c>
      <c r="L2276" s="2" t="s">
        <v>24</v>
      </c>
      <c r="M2276" s="2">
        <v>4</v>
      </c>
      <c r="N2276" s="2"/>
    </row>
    <row r="2277" spans="1:14" x14ac:dyDescent="0.25">
      <c r="A2277" s="2" t="s">
        <v>6038</v>
      </c>
      <c r="B2277" s="2" t="s">
        <v>6039</v>
      </c>
      <c r="C2277" s="2" t="s">
        <v>67</v>
      </c>
      <c r="D2277" s="2" t="s">
        <v>68</v>
      </c>
      <c r="E2277" s="2" t="s">
        <v>18</v>
      </c>
      <c r="F2277" s="2" t="s">
        <v>125</v>
      </c>
      <c r="G2277" s="2" t="s">
        <v>211</v>
      </c>
      <c r="H2277" s="2" t="s">
        <v>74</v>
      </c>
      <c r="I2277" s="2">
        <v>8</v>
      </c>
      <c r="J2277" s="2" t="s">
        <v>155</v>
      </c>
      <c r="K2277" s="2"/>
      <c r="L2277" s="2" t="s">
        <v>92</v>
      </c>
      <c r="M2277" s="2"/>
      <c r="N2277" s="2" t="s">
        <v>64</v>
      </c>
    </row>
    <row r="2278" spans="1:14" x14ac:dyDescent="0.25">
      <c r="A2278" s="2" t="s">
        <v>6040</v>
      </c>
      <c r="B2278" s="2" t="s">
        <v>6041</v>
      </c>
      <c r="C2278" s="2" t="s">
        <v>53</v>
      </c>
      <c r="D2278" s="2" t="s">
        <v>54</v>
      </c>
      <c r="E2278" s="2" t="s">
        <v>18</v>
      </c>
      <c r="F2278" s="2" t="s">
        <v>125</v>
      </c>
      <c r="G2278" s="2" t="s">
        <v>183</v>
      </c>
      <c r="H2278" s="2" t="s">
        <v>21</v>
      </c>
      <c r="I2278" s="2">
        <v>24</v>
      </c>
      <c r="J2278" s="2" t="s">
        <v>200</v>
      </c>
      <c r="K2278" s="2"/>
      <c r="L2278" s="2" t="s">
        <v>92</v>
      </c>
      <c r="M2278" s="2"/>
      <c r="N2278" s="2" t="s">
        <v>43</v>
      </c>
    </row>
    <row r="2279" spans="1:14" x14ac:dyDescent="0.25">
      <c r="A2279" s="2" t="s">
        <v>6042</v>
      </c>
      <c r="B2279" s="2" t="s">
        <v>6043</v>
      </c>
      <c r="C2279" s="2" t="s">
        <v>53</v>
      </c>
      <c r="D2279" s="2" t="s">
        <v>54</v>
      </c>
      <c r="E2279" s="2" t="s">
        <v>79</v>
      </c>
      <c r="F2279" s="2" t="s">
        <v>30</v>
      </c>
      <c r="G2279" s="2" t="s">
        <v>144</v>
      </c>
      <c r="H2279" s="2" t="s">
        <v>74</v>
      </c>
      <c r="I2279" s="2">
        <v>8</v>
      </c>
      <c r="J2279" s="2" t="s">
        <v>149</v>
      </c>
      <c r="K2279" s="2"/>
      <c r="L2279" s="2" t="s">
        <v>24</v>
      </c>
      <c r="M2279" s="2"/>
      <c r="N2279" s="2" t="s">
        <v>43</v>
      </c>
    </row>
    <row r="2280" spans="1:14" x14ac:dyDescent="0.25">
      <c r="A2280" s="2" t="s">
        <v>6044</v>
      </c>
      <c r="B2280" s="2" t="s">
        <v>6045</v>
      </c>
      <c r="C2280" s="2" t="s">
        <v>16</v>
      </c>
      <c r="D2280" s="2" t="s">
        <v>84</v>
      </c>
      <c r="E2280" s="2" t="s">
        <v>18</v>
      </c>
      <c r="F2280" s="2" t="s">
        <v>55</v>
      </c>
      <c r="G2280" s="2" t="s">
        <v>91</v>
      </c>
      <c r="H2280" s="2" t="s">
        <v>32</v>
      </c>
      <c r="I2280" s="2">
        <v>48</v>
      </c>
      <c r="J2280" s="2" t="s">
        <v>41</v>
      </c>
      <c r="K2280" s="2" t="s">
        <v>2363</v>
      </c>
      <c r="L2280" s="2" t="s">
        <v>24</v>
      </c>
      <c r="M2280" s="2">
        <v>1</v>
      </c>
      <c r="N2280" s="2" t="s">
        <v>25</v>
      </c>
    </row>
    <row r="2281" spans="1:14" x14ac:dyDescent="0.25">
      <c r="A2281" s="2" t="s">
        <v>6046</v>
      </c>
      <c r="B2281" s="2" t="s">
        <v>6047</v>
      </c>
      <c r="C2281" s="2" t="s">
        <v>53</v>
      </c>
      <c r="D2281" s="2" t="s">
        <v>54</v>
      </c>
      <c r="E2281" s="2" t="s">
        <v>18</v>
      </c>
      <c r="F2281" s="2" t="s">
        <v>19</v>
      </c>
      <c r="G2281" s="2" t="s">
        <v>105</v>
      </c>
      <c r="H2281" s="2" t="s">
        <v>74</v>
      </c>
      <c r="I2281" s="2">
        <v>8</v>
      </c>
      <c r="J2281" s="2" t="s">
        <v>41</v>
      </c>
      <c r="K2281" s="2" t="s">
        <v>6048</v>
      </c>
      <c r="L2281" s="2" t="s">
        <v>24</v>
      </c>
      <c r="M2281" s="2">
        <v>4</v>
      </c>
      <c r="N2281" s="2" t="s">
        <v>43</v>
      </c>
    </row>
    <row r="2282" spans="1:14" x14ac:dyDescent="0.25">
      <c r="A2282" s="2" t="s">
        <v>6049</v>
      </c>
      <c r="B2282" s="2" t="s">
        <v>6050</v>
      </c>
      <c r="C2282" s="2" t="s">
        <v>53</v>
      </c>
      <c r="D2282" s="2" t="s">
        <v>61</v>
      </c>
      <c r="E2282" s="2" t="s">
        <v>85</v>
      </c>
      <c r="F2282" s="2" t="s">
        <v>30</v>
      </c>
      <c r="G2282" s="2" t="s">
        <v>179</v>
      </c>
      <c r="H2282" s="2" t="s">
        <v>74</v>
      </c>
      <c r="I2282" s="2">
        <v>8</v>
      </c>
      <c r="J2282" s="2" t="s">
        <v>155</v>
      </c>
      <c r="K2282" s="2"/>
      <c r="L2282" s="2" t="s">
        <v>24</v>
      </c>
      <c r="M2282" s="2"/>
      <c r="N2282" s="2"/>
    </row>
    <row r="2283" spans="1:14" x14ac:dyDescent="0.25">
      <c r="A2283" s="2" t="s">
        <v>6051</v>
      </c>
      <c r="B2283" s="2" t="s">
        <v>6052</v>
      </c>
      <c r="C2283" s="2" t="s">
        <v>16</v>
      </c>
      <c r="D2283" s="2" t="s">
        <v>17</v>
      </c>
      <c r="E2283" s="2" t="s">
        <v>38</v>
      </c>
      <c r="F2283" s="2" t="s">
        <v>131</v>
      </c>
      <c r="G2283" s="2" t="s">
        <v>110</v>
      </c>
      <c r="H2283" s="2" t="s">
        <v>32</v>
      </c>
      <c r="I2283" s="2">
        <v>48</v>
      </c>
      <c r="J2283" s="2" t="s">
        <v>187</v>
      </c>
      <c r="K2283" s="2" t="s">
        <v>6053</v>
      </c>
      <c r="L2283" s="2" t="s">
        <v>24</v>
      </c>
      <c r="M2283" s="2">
        <v>2</v>
      </c>
      <c r="N2283" s="2"/>
    </row>
    <row r="2284" spans="1:14" x14ac:dyDescent="0.25">
      <c r="A2284" s="2" t="s">
        <v>6054</v>
      </c>
      <c r="B2284" s="2" t="s">
        <v>6055</v>
      </c>
      <c r="C2284" s="2" t="s">
        <v>16</v>
      </c>
      <c r="D2284" s="2" t="s">
        <v>17</v>
      </c>
      <c r="E2284" s="2" t="s">
        <v>46</v>
      </c>
      <c r="F2284" s="2" t="s">
        <v>62</v>
      </c>
      <c r="G2284" s="2" t="s">
        <v>20</v>
      </c>
      <c r="H2284" s="2" t="s">
        <v>21</v>
      </c>
      <c r="I2284" s="2">
        <v>24</v>
      </c>
      <c r="J2284" s="2" t="s">
        <v>145</v>
      </c>
      <c r="K2284" s="2"/>
      <c r="L2284" s="2" t="s">
        <v>24</v>
      </c>
      <c r="M2284" s="2"/>
      <c r="N2284" s="2" t="s">
        <v>58</v>
      </c>
    </row>
    <row r="2285" spans="1:14" x14ac:dyDescent="0.25">
      <c r="A2285" s="2" t="s">
        <v>6056</v>
      </c>
      <c r="B2285" s="2" t="s">
        <v>6057</v>
      </c>
      <c r="C2285" s="2" t="s">
        <v>67</v>
      </c>
      <c r="D2285" s="2" t="s">
        <v>89</v>
      </c>
      <c r="E2285" s="2" t="s">
        <v>148</v>
      </c>
      <c r="F2285" s="2" t="s">
        <v>47</v>
      </c>
      <c r="G2285" s="2" t="s">
        <v>121</v>
      </c>
      <c r="H2285" s="2" t="s">
        <v>21</v>
      </c>
      <c r="I2285" s="2">
        <v>24</v>
      </c>
      <c r="J2285" s="2" t="s">
        <v>106</v>
      </c>
      <c r="K2285" s="2" t="s">
        <v>6058</v>
      </c>
      <c r="L2285" s="2" t="s">
        <v>24</v>
      </c>
      <c r="M2285" s="2">
        <v>1</v>
      </c>
      <c r="N2285" s="2" t="s">
        <v>43</v>
      </c>
    </row>
    <row r="2286" spans="1:14" x14ac:dyDescent="0.25">
      <c r="A2286" s="2" t="s">
        <v>6059</v>
      </c>
      <c r="B2286" s="2" t="s">
        <v>4302</v>
      </c>
      <c r="C2286" s="2" t="s">
        <v>67</v>
      </c>
      <c r="D2286" s="2" t="s">
        <v>68</v>
      </c>
      <c r="E2286" s="2" t="s">
        <v>85</v>
      </c>
      <c r="F2286" s="2" t="s">
        <v>96</v>
      </c>
      <c r="G2286" s="2" t="s">
        <v>20</v>
      </c>
      <c r="H2286" s="2" t="s">
        <v>74</v>
      </c>
      <c r="I2286" s="2">
        <v>8</v>
      </c>
      <c r="J2286" s="2" t="s">
        <v>106</v>
      </c>
      <c r="K2286" s="2" t="s">
        <v>6060</v>
      </c>
      <c r="L2286" s="2" t="s">
        <v>92</v>
      </c>
      <c r="M2286" s="2">
        <v>5</v>
      </c>
      <c r="N2286" s="2" t="s">
        <v>58</v>
      </c>
    </row>
    <row r="2287" spans="1:14" x14ac:dyDescent="0.25">
      <c r="A2287" s="2" t="s">
        <v>6061</v>
      </c>
      <c r="B2287" s="2" t="s">
        <v>6062</v>
      </c>
      <c r="C2287" s="2" t="s">
        <v>67</v>
      </c>
      <c r="D2287" s="2" t="s">
        <v>68</v>
      </c>
      <c r="E2287" s="2" t="s">
        <v>85</v>
      </c>
      <c r="F2287" s="2" t="s">
        <v>19</v>
      </c>
      <c r="G2287" s="2" t="s">
        <v>31</v>
      </c>
      <c r="H2287" s="2" t="s">
        <v>74</v>
      </c>
      <c r="I2287" s="2">
        <v>8</v>
      </c>
      <c r="J2287" s="2" t="s">
        <v>145</v>
      </c>
      <c r="K2287" s="2"/>
      <c r="L2287" s="2" t="s">
        <v>24</v>
      </c>
      <c r="M2287" s="2"/>
      <c r="N2287" s="2"/>
    </row>
    <row r="2288" spans="1:14" x14ac:dyDescent="0.25">
      <c r="A2288" s="2" t="s">
        <v>6063</v>
      </c>
      <c r="B2288" s="2" t="s">
        <v>6064</v>
      </c>
      <c r="C2288" s="2" t="s">
        <v>16</v>
      </c>
      <c r="D2288" s="2" t="s">
        <v>17</v>
      </c>
      <c r="E2288" s="2" t="s">
        <v>18</v>
      </c>
      <c r="F2288" s="2" t="s">
        <v>19</v>
      </c>
      <c r="G2288" s="2" t="s">
        <v>144</v>
      </c>
      <c r="H2288" s="2" t="s">
        <v>32</v>
      </c>
      <c r="I2288" s="2">
        <v>48</v>
      </c>
      <c r="J2288" s="2" t="s">
        <v>22</v>
      </c>
      <c r="K2288" s="2" t="s">
        <v>6065</v>
      </c>
      <c r="L2288" s="2" t="s">
        <v>24</v>
      </c>
      <c r="M2288" s="2">
        <v>2</v>
      </c>
      <c r="N2288" s="2" t="s">
        <v>25</v>
      </c>
    </row>
    <row r="2289" spans="1:14" x14ac:dyDescent="0.25">
      <c r="A2289" s="2" t="s">
        <v>3653</v>
      </c>
      <c r="B2289" s="2" t="s">
        <v>3654</v>
      </c>
      <c r="C2289" s="2" t="s">
        <v>28</v>
      </c>
      <c r="D2289" s="2" t="s">
        <v>37</v>
      </c>
      <c r="E2289" s="2" t="s">
        <v>79</v>
      </c>
      <c r="F2289" s="2" t="s">
        <v>30</v>
      </c>
      <c r="G2289" s="2" t="s">
        <v>158</v>
      </c>
      <c r="H2289" s="2" t="s">
        <v>21</v>
      </c>
      <c r="I2289" s="2">
        <v>24</v>
      </c>
      <c r="J2289" s="2" t="s">
        <v>145</v>
      </c>
      <c r="K2289" s="2"/>
      <c r="L2289" s="2" t="s">
        <v>24</v>
      </c>
      <c r="M2289" s="2"/>
      <c r="N2289" s="2" t="s">
        <v>34</v>
      </c>
    </row>
    <row r="2290" spans="1:14" x14ac:dyDescent="0.25">
      <c r="A2290" s="2" t="s">
        <v>6066</v>
      </c>
      <c r="B2290" s="2" t="s">
        <v>6067</v>
      </c>
      <c r="C2290" s="2" t="s">
        <v>53</v>
      </c>
      <c r="D2290" s="2" t="s">
        <v>54</v>
      </c>
      <c r="E2290" s="2" t="s">
        <v>38</v>
      </c>
      <c r="F2290" s="2" t="s">
        <v>143</v>
      </c>
      <c r="G2290" s="2" t="s">
        <v>91</v>
      </c>
      <c r="H2290" s="2" t="s">
        <v>80</v>
      </c>
      <c r="I2290" s="2">
        <v>4</v>
      </c>
      <c r="J2290" s="2" t="s">
        <v>191</v>
      </c>
      <c r="K2290" s="2" t="s">
        <v>6068</v>
      </c>
      <c r="L2290" s="2" t="s">
        <v>24</v>
      </c>
      <c r="M2290" s="2"/>
      <c r="N2290" s="2" t="s">
        <v>58</v>
      </c>
    </row>
    <row r="2291" spans="1:14" x14ac:dyDescent="0.25">
      <c r="A2291" s="2" t="s">
        <v>6069</v>
      </c>
      <c r="B2291" s="2" t="s">
        <v>6070</v>
      </c>
      <c r="C2291" s="2" t="s">
        <v>53</v>
      </c>
      <c r="D2291" s="2" t="s">
        <v>61</v>
      </c>
      <c r="E2291" s="2" t="s">
        <v>148</v>
      </c>
      <c r="F2291" s="2" t="s">
        <v>143</v>
      </c>
      <c r="G2291" s="2" t="s">
        <v>101</v>
      </c>
      <c r="H2291" s="2" t="s">
        <v>32</v>
      </c>
      <c r="I2291" s="2">
        <v>48</v>
      </c>
      <c r="J2291" s="2" t="s">
        <v>75</v>
      </c>
      <c r="K2291" s="2" t="s">
        <v>6071</v>
      </c>
      <c r="L2291" s="2" t="s">
        <v>92</v>
      </c>
      <c r="M2291" s="2"/>
      <c r="N2291" s="2" t="s">
        <v>64</v>
      </c>
    </row>
    <row r="2292" spans="1:14" x14ac:dyDescent="0.25">
      <c r="A2292" s="2" t="s">
        <v>6072</v>
      </c>
      <c r="B2292" s="2" t="s">
        <v>6073</v>
      </c>
      <c r="C2292" s="2" t="s">
        <v>16</v>
      </c>
      <c r="D2292" s="2" t="s">
        <v>84</v>
      </c>
      <c r="E2292" s="2" t="s">
        <v>38</v>
      </c>
      <c r="F2292" s="2" t="s">
        <v>19</v>
      </c>
      <c r="G2292" s="2" t="s">
        <v>211</v>
      </c>
      <c r="H2292" s="2" t="s">
        <v>21</v>
      </c>
      <c r="I2292" s="2">
        <v>24</v>
      </c>
      <c r="J2292" s="2" t="s">
        <v>106</v>
      </c>
      <c r="K2292" s="2" t="s">
        <v>6074</v>
      </c>
      <c r="L2292" s="2" t="s">
        <v>24</v>
      </c>
      <c r="M2292" s="2">
        <v>5</v>
      </c>
      <c r="N2292" s="2" t="s">
        <v>50</v>
      </c>
    </row>
    <row r="2293" spans="1:14" x14ac:dyDescent="0.25">
      <c r="A2293" s="2" t="s">
        <v>6075</v>
      </c>
      <c r="B2293" s="2" t="s">
        <v>6076</v>
      </c>
      <c r="C2293" s="2" t="s">
        <v>28</v>
      </c>
      <c r="D2293" s="2" t="s">
        <v>100</v>
      </c>
      <c r="E2293" s="2" t="s">
        <v>79</v>
      </c>
      <c r="F2293" s="2" t="s">
        <v>131</v>
      </c>
      <c r="G2293" s="2" t="s">
        <v>31</v>
      </c>
      <c r="H2293" s="2" t="s">
        <v>21</v>
      </c>
      <c r="I2293" s="2">
        <v>24</v>
      </c>
      <c r="J2293" s="2" t="s">
        <v>232</v>
      </c>
      <c r="K2293" s="2"/>
      <c r="L2293" s="2" t="s">
        <v>92</v>
      </c>
      <c r="M2293" s="2"/>
      <c r="N2293" s="2" t="s">
        <v>50</v>
      </c>
    </row>
    <row r="2294" spans="1:14" x14ac:dyDescent="0.25">
      <c r="A2294" s="2" t="s">
        <v>6077</v>
      </c>
      <c r="B2294" s="2" t="s">
        <v>6078</v>
      </c>
      <c r="C2294" s="2" t="s">
        <v>16</v>
      </c>
      <c r="D2294" s="2" t="s">
        <v>17</v>
      </c>
      <c r="E2294" s="2" t="s">
        <v>90</v>
      </c>
      <c r="F2294" s="2" t="s">
        <v>47</v>
      </c>
      <c r="G2294" s="2" t="s">
        <v>101</v>
      </c>
      <c r="H2294" s="2" t="s">
        <v>21</v>
      </c>
      <c r="I2294" s="2">
        <v>24</v>
      </c>
      <c r="J2294" s="2" t="s">
        <v>48</v>
      </c>
      <c r="K2294" s="2" t="s">
        <v>6079</v>
      </c>
      <c r="L2294" s="2" t="s">
        <v>92</v>
      </c>
      <c r="M2294" s="2">
        <v>4</v>
      </c>
      <c r="N2294" s="2" t="s">
        <v>118</v>
      </c>
    </row>
    <row r="2295" spans="1:14" x14ac:dyDescent="0.25">
      <c r="A2295" s="2" t="s">
        <v>6080</v>
      </c>
      <c r="B2295" s="2" t="s">
        <v>6081</v>
      </c>
      <c r="C2295" s="2" t="s">
        <v>67</v>
      </c>
      <c r="D2295" s="2" t="s">
        <v>68</v>
      </c>
      <c r="E2295" s="2" t="s">
        <v>79</v>
      </c>
      <c r="F2295" s="2" t="s">
        <v>47</v>
      </c>
      <c r="G2295" s="2" t="s">
        <v>70</v>
      </c>
      <c r="H2295" s="2" t="s">
        <v>32</v>
      </c>
      <c r="I2295" s="2">
        <v>48</v>
      </c>
      <c r="J2295" s="2" t="s">
        <v>155</v>
      </c>
      <c r="K2295" s="2"/>
      <c r="L2295" s="2" t="s">
        <v>24</v>
      </c>
      <c r="M2295" s="2"/>
      <c r="N2295" s="2" t="s">
        <v>34</v>
      </c>
    </row>
    <row r="2296" spans="1:14" x14ac:dyDescent="0.25">
      <c r="A2296" s="2" t="s">
        <v>6082</v>
      </c>
      <c r="B2296" s="2" t="s">
        <v>6083</v>
      </c>
      <c r="C2296" s="2" t="s">
        <v>28</v>
      </c>
      <c r="D2296" s="2" t="s">
        <v>37</v>
      </c>
      <c r="E2296" s="2" t="s">
        <v>79</v>
      </c>
      <c r="F2296" s="2" t="s">
        <v>55</v>
      </c>
      <c r="G2296" s="2" t="s">
        <v>101</v>
      </c>
      <c r="H2296" s="2" t="s">
        <v>32</v>
      </c>
      <c r="I2296" s="2">
        <v>48</v>
      </c>
      <c r="J2296" s="2" t="s">
        <v>187</v>
      </c>
      <c r="K2296" s="2" t="s">
        <v>6084</v>
      </c>
      <c r="L2296" s="2" t="s">
        <v>24</v>
      </c>
      <c r="M2296" s="2">
        <v>5</v>
      </c>
      <c r="N2296" s="2"/>
    </row>
    <row r="2297" spans="1:14" x14ac:dyDescent="0.25">
      <c r="A2297" s="2" t="s">
        <v>476</v>
      </c>
      <c r="B2297" s="2" t="s">
        <v>477</v>
      </c>
      <c r="C2297" s="2" t="s">
        <v>67</v>
      </c>
      <c r="D2297" s="2" t="s">
        <v>68</v>
      </c>
      <c r="E2297" s="2" t="s">
        <v>46</v>
      </c>
      <c r="F2297" s="2" t="s">
        <v>113</v>
      </c>
      <c r="G2297" s="2" t="s">
        <v>183</v>
      </c>
      <c r="H2297" s="2" t="s">
        <v>21</v>
      </c>
      <c r="I2297" s="2">
        <v>24</v>
      </c>
      <c r="J2297" s="2" t="s">
        <v>22</v>
      </c>
      <c r="K2297" s="2" t="s">
        <v>478</v>
      </c>
      <c r="L2297" s="2" t="s">
        <v>24</v>
      </c>
      <c r="M2297" s="2"/>
      <c r="N2297" s="2" t="s">
        <v>58</v>
      </c>
    </row>
    <row r="2298" spans="1:14" x14ac:dyDescent="0.25">
      <c r="A2298" s="2" t="s">
        <v>6085</v>
      </c>
      <c r="B2298" s="2" t="s">
        <v>6086</v>
      </c>
      <c r="C2298" s="2" t="s">
        <v>53</v>
      </c>
      <c r="D2298" s="2" t="s">
        <v>61</v>
      </c>
      <c r="E2298" s="2" t="s">
        <v>148</v>
      </c>
      <c r="F2298" s="2" t="s">
        <v>125</v>
      </c>
      <c r="G2298" s="2" t="s">
        <v>179</v>
      </c>
      <c r="H2298" s="2" t="s">
        <v>21</v>
      </c>
      <c r="I2298" s="2">
        <v>24</v>
      </c>
      <c r="J2298" s="2" t="s">
        <v>117</v>
      </c>
      <c r="K2298" s="2"/>
      <c r="L2298" s="2" t="s">
        <v>24</v>
      </c>
      <c r="M2298" s="2"/>
      <c r="N2298" s="2" t="s">
        <v>118</v>
      </c>
    </row>
    <row r="2299" spans="1:14" x14ac:dyDescent="0.25">
      <c r="A2299" s="2" t="s">
        <v>6087</v>
      </c>
      <c r="B2299" s="2" t="s">
        <v>6088</v>
      </c>
      <c r="C2299" s="2" t="s">
        <v>16</v>
      </c>
      <c r="D2299" s="2" t="s">
        <v>84</v>
      </c>
      <c r="E2299" s="2" t="s">
        <v>46</v>
      </c>
      <c r="F2299" s="2" t="s">
        <v>62</v>
      </c>
      <c r="G2299" s="2" t="s">
        <v>101</v>
      </c>
      <c r="H2299" s="2" t="s">
        <v>21</v>
      </c>
      <c r="I2299" s="2">
        <v>24</v>
      </c>
      <c r="J2299" s="2" t="s">
        <v>22</v>
      </c>
      <c r="K2299" s="2" t="s">
        <v>6089</v>
      </c>
      <c r="L2299" s="2" t="s">
        <v>24</v>
      </c>
      <c r="M2299" s="2"/>
      <c r="N2299" s="2" t="s">
        <v>43</v>
      </c>
    </row>
    <row r="2300" spans="1:14" x14ac:dyDescent="0.25">
      <c r="A2300" s="2" t="s">
        <v>6090</v>
      </c>
      <c r="B2300" s="2" t="s">
        <v>6091</v>
      </c>
      <c r="C2300" s="2" t="s">
        <v>16</v>
      </c>
      <c r="D2300" s="2" t="s">
        <v>17</v>
      </c>
      <c r="E2300" s="2" t="s">
        <v>90</v>
      </c>
      <c r="F2300" s="2" t="s">
        <v>39</v>
      </c>
      <c r="G2300" s="2" t="s">
        <v>183</v>
      </c>
      <c r="H2300" s="2" t="s">
        <v>32</v>
      </c>
      <c r="I2300" s="2">
        <v>48</v>
      </c>
      <c r="J2300" s="2" t="s">
        <v>106</v>
      </c>
      <c r="K2300" s="2" t="s">
        <v>6092</v>
      </c>
      <c r="L2300" s="2" t="s">
        <v>24</v>
      </c>
      <c r="M2300" s="2">
        <v>4</v>
      </c>
      <c r="N2300" s="2" t="s">
        <v>34</v>
      </c>
    </row>
    <row r="2301" spans="1:14" x14ac:dyDescent="0.25">
      <c r="A2301" s="2" t="s">
        <v>6093</v>
      </c>
      <c r="B2301" s="2" t="s">
        <v>6094</v>
      </c>
      <c r="C2301" s="2" t="s">
        <v>67</v>
      </c>
      <c r="D2301" s="2" t="s">
        <v>95</v>
      </c>
      <c r="E2301" s="2" t="s">
        <v>90</v>
      </c>
      <c r="F2301" s="2" t="s">
        <v>62</v>
      </c>
      <c r="G2301" s="2" t="s">
        <v>110</v>
      </c>
      <c r="H2301" s="2" t="s">
        <v>32</v>
      </c>
      <c r="I2301" s="2">
        <v>48</v>
      </c>
      <c r="J2301" s="2" t="s">
        <v>232</v>
      </c>
      <c r="K2301" s="2"/>
      <c r="L2301" s="2" t="s">
        <v>92</v>
      </c>
      <c r="M2301" s="2"/>
      <c r="N2301" s="2" t="s">
        <v>64</v>
      </c>
    </row>
    <row r="2302" spans="1:14" x14ac:dyDescent="0.25">
      <c r="A2302" s="2" t="s">
        <v>6095</v>
      </c>
      <c r="B2302" s="2" t="s">
        <v>6096</v>
      </c>
      <c r="C2302" s="2" t="s">
        <v>53</v>
      </c>
      <c r="D2302" s="2" t="s">
        <v>61</v>
      </c>
      <c r="E2302" s="2" t="s">
        <v>38</v>
      </c>
      <c r="F2302" s="2" t="s">
        <v>131</v>
      </c>
      <c r="G2302" s="2" t="s">
        <v>110</v>
      </c>
      <c r="H2302" s="2" t="s">
        <v>21</v>
      </c>
      <c r="I2302" s="2">
        <v>24</v>
      </c>
      <c r="J2302" s="2" t="s">
        <v>75</v>
      </c>
      <c r="K2302" s="2" t="s">
        <v>6097</v>
      </c>
      <c r="L2302" s="2" t="s">
        <v>24</v>
      </c>
      <c r="M2302" s="2"/>
      <c r="N2302" s="2" t="s">
        <v>25</v>
      </c>
    </row>
    <row r="2303" spans="1:14" x14ac:dyDescent="0.25">
      <c r="A2303" s="2" t="s">
        <v>6098</v>
      </c>
      <c r="B2303" s="2" t="s">
        <v>6099</v>
      </c>
      <c r="C2303" s="2" t="s">
        <v>16</v>
      </c>
      <c r="D2303" s="2" t="s">
        <v>84</v>
      </c>
      <c r="E2303" s="2" t="s">
        <v>90</v>
      </c>
      <c r="F2303" s="2" t="s">
        <v>143</v>
      </c>
      <c r="G2303" s="2" t="s">
        <v>135</v>
      </c>
      <c r="H2303" s="2" t="s">
        <v>32</v>
      </c>
      <c r="I2303" s="2">
        <v>48</v>
      </c>
      <c r="J2303" s="2" t="s">
        <v>48</v>
      </c>
      <c r="K2303" s="2" t="s">
        <v>6100</v>
      </c>
      <c r="L2303" s="2" t="s">
        <v>24</v>
      </c>
      <c r="M2303" s="2">
        <v>5</v>
      </c>
      <c r="N2303" s="2" t="s">
        <v>50</v>
      </c>
    </row>
    <row r="2304" spans="1:14" x14ac:dyDescent="0.25">
      <c r="A2304" s="2" t="s">
        <v>6101</v>
      </c>
      <c r="B2304" s="2" t="s">
        <v>6102</v>
      </c>
      <c r="C2304" s="2" t="s">
        <v>28</v>
      </c>
      <c r="D2304" s="2" t="s">
        <v>37</v>
      </c>
      <c r="E2304" s="2" t="s">
        <v>18</v>
      </c>
      <c r="F2304" s="2" t="s">
        <v>113</v>
      </c>
      <c r="G2304" s="2" t="s">
        <v>105</v>
      </c>
      <c r="H2304" s="2" t="s">
        <v>32</v>
      </c>
      <c r="I2304" s="2">
        <v>48</v>
      </c>
      <c r="J2304" s="2" t="s">
        <v>41</v>
      </c>
      <c r="K2304" s="2" t="s">
        <v>6103</v>
      </c>
      <c r="L2304" s="2" t="s">
        <v>92</v>
      </c>
      <c r="M2304" s="2">
        <v>2</v>
      </c>
      <c r="N2304" s="2" t="s">
        <v>58</v>
      </c>
    </row>
    <row r="2305" spans="1:14" x14ac:dyDescent="0.25">
      <c r="A2305" s="2" t="s">
        <v>6104</v>
      </c>
      <c r="B2305" s="2" t="s">
        <v>6105</v>
      </c>
      <c r="C2305" s="2" t="s">
        <v>28</v>
      </c>
      <c r="D2305" s="2" t="s">
        <v>100</v>
      </c>
      <c r="E2305" s="2" t="s">
        <v>18</v>
      </c>
      <c r="F2305" s="2" t="s">
        <v>125</v>
      </c>
      <c r="G2305" s="2" t="s">
        <v>144</v>
      </c>
      <c r="H2305" s="2" t="s">
        <v>32</v>
      </c>
      <c r="I2305" s="2">
        <v>48</v>
      </c>
      <c r="J2305" s="2" t="s">
        <v>287</v>
      </c>
      <c r="K2305" s="2"/>
      <c r="L2305" s="2" t="s">
        <v>24</v>
      </c>
      <c r="M2305" s="2"/>
      <c r="N2305" s="2" t="s">
        <v>128</v>
      </c>
    </row>
    <row r="2306" spans="1:14" x14ac:dyDescent="0.25">
      <c r="A2306" s="2" t="s">
        <v>6106</v>
      </c>
      <c r="B2306" s="2" t="s">
        <v>6107</v>
      </c>
      <c r="C2306" s="2" t="s">
        <v>53</v>
      </c>
      <c r="D2306" s="2" t="s">
        <v>61</v>
      </c>
      <c r="E2306" s="2" t="s">
        <v>18</v>
      </c>
      <c r="F2306" s="2" t="s">
        <v>55</v>
      </c>
      <c r="G2306" s="2" t="s">
        <v>179</v>
      </c>
      <c r="H2306" s="2" t="s">
        <v>32</v>
      </c>
      <c r="I2306" s="2">
        <v>48</v>
      </c>
      <c r="J2306" s="2" t="s">
        <v>117</v>
      </c>
      <c r="K2306" s="2"/>
      <c r="L2306" s="2" t="s">
        <v>24</v>
      </c>
      <c r="M2306" s="2"/>
      <c r="N2306" s="2" t="s">
        <v>43</v>
      </c>
    </row>
    <row r="2307" spans="1:14" x14ac:dyDescent="0.25">
      <c r="A2307" s="2" t="s">
        <v>6108</v>
      </c>
      <c r="B2307" s="2" t="s">
        <v>6109</v>
      </c>
      <c r="C2307" s="2" t="s">
        <v>53</v>
      </c>
      <c r="D2307" s="2" t="s">
        <v>54</v>
      </c>
      <c r="E2307" s="2" t="s">
        <v>38</v>
      </c>
      <c r="F2307" s="2" t="s">
        <v>19</v>
      </c>
      <c r="G2307" s="2" t="s">
        <v>211</v>
      </c>
      <c r="H2307" s="2" t="s">
        <v>32</v>
      </c>
      <c r="I2307" s="2">
        <v>48</v>
      </c>
      <c r="J2307" s="2" t="s">
        <v>155</v>
      </c>
      <c r="K2307" s="2"/>
      <c r="L2307" s="2" t="s">
        <v>24</v>
      </c>
      <c r="M2307" s="2"/>
      <c r="N2307" s="2"/>
    </row>
    <row r="2308" spans="1:14" x14ac:dyDescent="0.25">
      <c r="A2308" s="2" t="s">
        <v>6110</v>
      </c>
      <c r="B2308" s="2" t="s">
        <v>6111</v>
      </c>
      <c r="C2308" s="2" t="s">
        <v>67</v>
      </c>
      <c r="D2308" s="2" t="s">
        <v>68</v>
      </c>
      <c r="E2308" s="2" t="s">
        <v>90</v>
      </c>
      <c r="F2308" s="2" t="s">
        <v>131</v>
      </c>
      <c r="G2308" s="2" t="s">
        <v>211</v>
      </c>
      <c r="H2308" s="2" t="s">
        <v>21</v>
      </c>
      <c r="I2308" s="2">
        <v>24</v>
      </c>
      <c r="J2308" s="2" t="s">
        <v>11</v>
      </c>
      <c r="K2308" s="2"/>
      <c r="L2308" s="2" t="s">
        <v>92</v>
      </c>
      <c r="M2308" s="2"/>
      <c r="N2308" s="2" t="s">
        <v>25</v>
      </c>
    </row>
    <row r="2309" spans="1:14" x14ac:dyDescent="0.25">
      <c r="A2309" s="2" t="s">
        <v>6112</v>
      </c>
      <c r="B2309" s="2" t="s">
        <v>6113</v>
      </c>
      <c r="C2309" s="2" t="s">
        <v>53</v>
      </c>
      <c r="D2309" s="2" t="s">
        <v>54</v>
      </c>
      <c r="E2309" s="2" t="s">
        <v>46</v>
      </c>
      <c r="F2309" s="2" t="s">
        <v>131</v>
      </c>
      <c r="G2309" s="2" t="s">
        <v>179</v>
      </c>
      <c r="H2309" s="2" t="s">
        <v>74</v>
      </c>
      <c r="I2309" s="2">
        <v>8</v>
      </c>
      <c r="J2309" s="2" t="s">
        <v>145</v>
      </c>
      <c r="K2309" s="2"/>
      <c r="L2309" s="2" t="s">
        <v>24</v>
      </c>
      <c r="M2309" s="2"/>
      <c r="N2309" s="2" t="s">
        <v>58</v>
      </c>
    </row>
    <row r="2310" spans="1:14" x14ac:dyDescent="0.25">
      <c r="A2310" s="2" t="s">
        <v>6114</v>
      </c>
      <c r="B2310" s="2" t="s">
        <v>6115</v>
      </c>
      <c r="C2310" s="2" t="s">
        <v>53</v>
      </c>
      <c r="D2310" s="2" t="s">
        <v>54</v>
      </c>
      <c r="E2310" s="2" t="s">
        <v>18</v>
      </c>
      <c r="F2310" s="2" t="s">
        <v>96</v>
      </c>
      <c r="G2310" s="2" t="s">
        <v>40</v>
      </c>
      <c r="H2310" s="2" t="s">
        <v>80</v>
      </c>
      <c r="I2310" s="2">
        <v>4</v>
      </c>
      <c r="J2310" s="2" t="s">
        <v>75</v>
      </c>
      <c r="K2310" s="2" t="s">
        <v>6116</v>
      </c>
      <c r="L2310" s="2" t="s">
        <v>24</v>
      </c>
      <c r="M2310" s="2">
        <v>1</v>
      </c>
      <c r="N2310" s="2" t="s">
        <v>58</v>
      </c>
    </row>
    <row r="2311" spans="1:14" x14ac:dyDescent="0.25">
      <c r="A2311" s="2" t="s">
        <v>6117</v>
      </c>
      <c r="B2311" s="2" t="s">
        <v>6118</v>
      </c>
      <c r="C2311" s="2" t="s">
        <v>28</v>
      </c>
      <c r="D2311" s="2" t="s">
        <v>37</v>
      </c>
      <c r="E2311" s="2" t="s">
        <v>85</v>
      </c>
      <c r="F2311" s="2" t="s">
        <v>143</v>
      </c>
      <c r="G2311" s="2" t="s">
        <v>97</v>
      </c>
      <c r="H2311" s="2" t="s">
        <v>21</v>
      </c>
      <c r="I2311" s="2">
        <v>24</v>
      </c>
      <c r="J2311" s="2" t="s">
        <v>106</v>
      </c>
      <c r="K2311" s="2" t="s">
        <v>6119</v>
      </c>
      <c r="L2311" s="2" t="s">
        <v>24</v>
      </c>
      <c r="M2311" s="2">
        <v>1</v>
      </c>
      <c r="N2311" s="2" t="s">
        <v>43</v>
      </c>
    </row>
    <row r="2312" spans="1:14" x14ac:dyDescent="0.25">
      <c r="A2312" s="2" t="s">
        <v>6120</v>
      </c>
      <c r="B2312" s="2" t="s">
        <v>6121</v>
      </c>
      <c r="C2312" s="2" t="s">
        <v>16</v>
      </c>
      <c r="D2312" s="2" t="s">
        <v>17</v>
      </c>
      <c r="E2312" s="2" t="s">
        <v>148</v>
      </c>
      <c r="F2312" s="2" t="s">
        <v>69</v>
      </c>
      <c r="G2312" s="2" t="s">
        <v>40</v>
      </c>
      <c r="H2312" s="2" t="s">
        <v>74</v>
      </c>
      <c r="I2312" s="2">
        <v>8</v>
      </c>
      <c r="J2312" s="2" t="s">
        <v>41</v>
      </c>
      <c r="K2312" s="2" t="s">
        <v>6122</v>
      </c>
      <c r="L2312" s="2" t="s">
        <v>24</v>
      </c>
      <c r="M2312" s="2">
        <v>5</v>
      </c>
      <c r="N2312" s="2" t="s">
        <v>34</v>
      </c>
    </row>
    <row r="2313" spans="1:14" x14ac:dyDescent="0.25">
      <c r="A2313" s="2" t="s">
        <v>6123</v>
      </c>
      <c r="B2313" s="2" t="s">
        <v>6124</v>
      </c>
      <c r="C2313" s="2" t="s">
        <v>28</v>
      </c>
      <c r="D2313" s="2" t="s">
        <v>37</v>
      </c>
      <c r="E2313" s="2" t="s">
        <v>46</v>
      </c>
      <c r="F2313" s="2" t="s">
        <v>131</v>
      </c>
      <c r="G2313" s="2" t="s">
        <v>105</v>
      </c>
      <c r="H2313" s="2" t="s">
        <v>21</v>
      </c>
      <c r="I2313" s="2">
        <v>24</v>
      </c>
      <c r="J2313" s="2" t="s">
        <v>106</v>
      </c>
      <c r="K2313" s="2"/>
      <c r="L2313" s="2" t="s">
        <v>24</v>
      </c>
      <c r="M2313" s="2">
        <v>5</v>
      </c>
      <c r="N2313" s="2" t="s">
        <v>34</v>
      </c>
    </row>
    <row r="2314" spans="1:14" x14ac:dyDescent="0.25">
      <c r="A2314" s="2" t="s">
        <v>6125</v>
      </c>
      <c r="B2314" s="2" t="s">
        <v>6126</v>
      </c>
      <c r="C2314" s="2" t="s">
        <v>67</v>
      </c>
      <c r="D2314" s="2" t="s">
        <v>68</v>
      </c>
      <c r="E2314" s="2" t="s">
        <v>46</v>
      </c>
      <c r="F2314" s="2" t="s">
        <v>113</v>
      </c>
      <c r="G2314" s="2" t="s">
        <v>121</v>
      </c>
      <c r="H2314" s="2" t="s">
        <v>32</v>
      </c>
      <c r="I2314" s="2">
        <v>48</v>
      </c>
      <c r="J2314" s="2" t="s">
        <v>22</v>
      </c>
      <c r="K2314" s="2" t="s">
        <v>6127</v>
      </c>
      <c r="L2314" s="2" t="s">
        <v>24</v>
      </c>
      <c r="M2314" s="2">
        <v>1</v>
      </c>
      <c r="N2314" s="2"/>
    </row>
    <row r="2315" spans="1:14" x14ac:dyDescent="0.25">
      <c r="A2315" s="2" t="s">
        <v>6128</v>
      </c>
      <c r="B2315" s="2" t="s">
        <v>6129</v>
      </c>
      <c r="C2315" s="2" t="s">
        <v>53</v>
      </c>
      <c r="D2315" s="2" t="s">
        <v>61</v>
      </c>
      <c r="E2315" s="2" t="s">
        <v>85</v>
      </c>
      <c r="F2315" s="2" t="s">
        <v>69</v>
      </c>
      <c r="G2315" s="2" t="s">
        <v>144</v>
      </c>
      <c r="H2315" s="2" t="s">
        <v>32</v>
      </c>
      <c r="I2315" s="2">
        <v>48</v>
      </c>
      <c r="J2315" s="2" t="s">
        <v>48</v>
      </c>
      <c r="K2315" s="2" t="s">
        <v>6130</v>
      </c>
      <c r="L2315" s="2" t="s">
        <v>24</v>
      </c>
      <c r="M2315" s="2"/>
      <c r="N2315" s="2"/>
    </row>
    <row r="2316" spans="1:14" x14ac:dyDescent="0.25">
      <c r="A2316" s="2" t="s">
        <v>6131</v>
      </c>
      <c r="B2316" s="2" t="s">
        <v>6132</v>
      </c>
      <c r="C2316" s="2" t="s">
        <v>16</v>
      </c>
      <c r="D2316" s="2" t="s">
        <v>17</v>
      </c>
      <c r="E2316" s="2" t="s">
        <v>79</v>
      </c>
      <c r="F2316" s="2" t="s">
        <v>47</v>
      </c>
      <c r="G2316" s="2" t="s">
        <v>139</v>
      </c>
      <c r="H2316" s="2" t="s">
        <v>21</v>
      </c>
      <c r="I2316" s="2">
        <v>24</v>
      </c>
      <c r="J2316" s="2" t="s">
        <v>48</v>
      </c>
      <c r="K2316" s="2" t="s">
        <v>6133</v>
      </c>
      <c r="L2316" s="2" t="s">
        <v>24</v>
      </c>
      <c r="M2316" s="2"/>
      <c r="N2316" s="2" t="s">
        <v>25</v>
      </c>
    </row>
    <row r="2317" spans="1:14" x14ac:dyDescent="0.25">
      <c r="A2317" s="2" t="s">
        <v>6134</v>
      </c>
      <c r="B2317" s="2" t="s">
        <v>6135</v>
      </c>
      <c r="C2317" s="2" t="s">
        <v>53</v>
      </c>
      <c r="D2317" s="2" t="s">
        <v>54</v>
      </c>
      <c r="E2317" s="2" t="s">
        <v>79</v>
      </c>
      <c r="F2317" s="2" t="s">
        <v>47</v>
      </c>
      <c r="G2317" s="2" t="s">
        <v>110</v>
      </c>
      <c r="H2317" s="2" t="s">
        <v>21</v>
      </c>
      <c r="I2317" s="2">
        <v>24</v>
      </c>
      <c r="J2317" s="2" t="s">
        <v>22</v>
      </c>
      <c r="K2317" s="2" t="s">
        <v>6136</v>
      </c>
      <c r="L2317" s="2" t="s">
        <v>24</v>
      </c>
      <c r="M2317" s="2">
        <v>2</v>
      </c>
      <c r="N2317" s="2" t="s">
        <v>34</v>
      </c>
    </row>
    <row r="2318" spans="1:14" x14ac:dyDescent="0.25">
      <c r="A2318" s="2" t="s">
        <v>6137</v>
      </c>
      <c r="B2318" s="2" t="s">
        <v>6138</v>
      </c>
      <c r="C2318" s="2" t="s">
        <v>16</v>
      </c>
      <c r="D2318" s="2" t="s">
        <v>84</v>
      </c>
      <c r="E2318" s="2" t="s">
        <v>148</v>
      </c>
      <c r="F2318" s="2" t="s">
        <v>55</v>
      </c>
      <c r="G2318" s="2" t="s">
        <v>183</v>
      </c>
      <c r="H2318" s="2" t="s">
        <v>32</v>
      </c>
      <c r="I2318" s="2">
        <v>48</v>
      </c>
      <c r="J2318" s="2" t="s">
        <v>145</v>
      </c>
      <c r="K2318" s="2"/>
      <c r="L2318" s="2" t="s">
        <v>24</v>
      </c>
      <c r="M2318" s="2"/>
      <c r="N2318" s="2"/>
    </row>
    <row r="2319" spans="1:14" x14ac:dyDescent="0.25">
      <c r="A2319" s="2" t="s">
        <v>6139</v>
      </c>
      <c r="B2319" s="2" t="s">
        <v>6140</v>
      </c>
      <c r="C2319" s="2" t="s">
        <v>28</v>
      </c>
      <c r="D2319" s="2" t="s">
        <v>100</v>
      </c>
      <c r="E2319" s="2" t="s">
        <v>38</v>
      </c>
      <c r="F2319" s="2" t="s">
        <v>131</v>
      </c>
      <c r="G2319" s="2" t="s">
        <v>183</v>
      </c>
      <c r="H2319" s="2" t="s">
        <v>74</v>
      </c>
      <c r="I2319" s="2">
        <v>8</v>
      </c>
      <c r="J2319" s="2" t="s">
        <v>200</v>
      </c>
      <c r="K2319" s="2"/>
      <c r="L2319" s="2" t="s">
        <v>92</v>
      </c>
      <c r="M2319" s="2"/>
      <c r="N2319" s="2" t="s">
        <v>118</v>
      </c>
    </row>
    <row r="2320" spans="1:14" x14ac:dyDescent="0.25">
      <c r="A2320" s="2" t="s">
        <v>6141</v>
      </c>
      <c r="B2320" s="2" t="s">
        <v>6142</v>
      </c>
      <c r="C2320" s="2" t="s">
        <v>53</v>
      </c>
      <c r="D2320" s="2" t="s">
        <v>61</v>
      </c>
      <c r="E2320" s="2" t="s">
        <v>90</v>
      </c>
      <c r="F2320" s="2" t="s">
        <v>47</v>
      </c>
      <c r="G2320" s="2" t="s">
        <v>135</v>
      </c>
      <c r="H2320" s="2" t="s">
        <v>80</v>
      </c>
      <c r="I2320" s="2">
        <v>4</v>
      </c>
      <c r="J2320" s="2" t="s">
        <v>117</v>
      </c>
      <c r="K2320" s="2"/>
      <c r="L2320" s="2" t="s">
        <v>92</v>
      </c>
      <c r="M2320" s="2"/>
      <c r="N2320" s="2" t="s">
        <v>25</v>
      </c>
    </row>
    <row r="2321" spans="1:14" x14ac:dyDescent="0.25">
      <c r="A2321" s="2" t="s">
        <v>6143</v>
      </c>
      <c r="B2321" s="2" t="s">
        <v>6144</v>
      </c>
      <c r="C2321" s="2" t="s">
        <v>16</v>
      </c>
      <c r="D2321" s="2" t="s">
        <v>17</v>
      </c>
      <c r="E2321" s="2" t="s">
        <v>90</v>
      </c>
      <c r="F2321" s="2" t="s">
        <v>131</v>
      </c>
      <c r="G2321" s="2" t="s">
        <v>158</v>
      </c>
      <c r="H2321" s="2" t="s">
        <v>32</v>
      </c>
      <c r="I2321" s="2">
        <v>48</v>
      </c>
      <c r="J2321" s="2" t="s">
        <v>48</v>
      </c>
      <c r="K2321" s="2" t="s">
        <v>6145</v>
      </c>
      <c r="L2321" s="2" t="s">
        <v>24</v>
      </c>
      <c r="M2321" s="2"/>
      <c r="N2321" s="2" t="s">
        <v>58</v>
      </c>
    </row>
    <row r="2322" spans="1:14" x14ac:dyDescent="0.25">
      <c r="A2322" s="2" t="s">
        <v>6146</v>
      </c>
      <c r="B2322" s="2" t="s">
        <v>6147</v>
      </c>
      <c r="C2322" s="2" t="s">
        <v>67</v>
      </c>
      <c r="D2322" s="2" t="s">
        <v>68</v>
      </c>
      <c r="E2322" s="2" t="s">
        <v>38</v>
      </c>
      <c r="F2322" s="2" t="s">
        <v>55</v>
      </c>
      <c r="G2322" s="2" t="s">
        <v>40</v>
      </c>
      <c r="H2322" s="2" t="s">
        <v>32</v>
      </c>
      <c r="I2322" s="2">
        <v>48</v>
      </c>
      <c r="J2322" s="2" t="s">
        <v>41</v>
      </c>
      <c r="K2322" s="2" t="s">
        <v>6148</v>
      </c>
      <c r="L2322" s="2" t="s">
        <v>24</v>
      </c>
      <c r="M2322" s="2">
        <v>5</v>
      </c>
      <c r="N2322" s="2" t="s">
        <v>58</v>
      </c>
    </row>
    <row r="2323" spans="1:14" x14ac:dyDescent="0.25">
      <c r="A2323" s="2" t="s">
        <v>6149</v>
      </c>
      <c r="B2323" s="2" t="s">
        <v>6150</v>
      </c>
      <c r="C2323" s="2" t="s">
        <v>67</v>
      </c>
      <c r="D2323" s="2" t="s">
        <v>95</v>
      </c>
      <c r="E2323" s="2" t="s">
        <v>46</v>
      </c>
      <c r="F2323" s="2" t="s">
        <v>62</v>
      </c>
      <c r="G2323" s="2" t="s">
        <v>139</v>
      </c>
      <c r="H2323" s="2" t="s">
        <v>21</v>
      </c>
      <c r="I2323" s="2">
        <v>24</v>
      </c>
      <c r="J2323" s="2" t="s">
        <v>33</v>
      </c>
      <c r="K2323" s="2"/>
      <c r="L2323" s="2" t="s">
        <v>24</v>
      </c>
      <c r="M2323" s="2"/>
      <c r="N2323" s="2" t="s">
        <v>50</v>
      </c>
    </row>
    <row r="2324" spans="1:14" x14ac:dyDescent="0.25">
      <c r="A2324" s="2" t="s">
        <v>6151</v>
      </c>
      <c r="B2324" s="2" t="s">
        <v>6152</v>
      </c>
      <c r="C2324" s="2" t="s">
        <v>53</v>
      </c>
      <c r="D2324" s="2" t="s">
        <v>61</v>
      </c>
      <c r="E2324" s="2" t="s">
        <v>38</v>
      </c>
      <c r="F2324" s="2" t="s">
        <v>96</v>
      </c>
      <c r="G2324" s="2" t="s">
        <v>211</v>
      </c>
      <c r="H2324" s="2" t="s">
        <v>21</v>
      </c>
      <c r="I2324" s="2">
        <v>24</v>
      </c>
      <c r="J2324" s="2" t="s">
        <v>187</v>
      </c>
      <c r="K2324" s="2" t="s">
        <v>6153</v>
      </c>
      <c r="L2324" s="2" t="s">
        <v>24</v>
      </c>
      <c r="M2324" s="2"/>
      <c r="N2324" s="2" t="s">
        <v>118</v>
      </c>
    </row>
    <row r="2325" spans="1:14" x14ac:dyDescent="0.25">
      <c r="A2325" s="2" t="s">
        <v>6154</v>
      </c>
      <c r="B2325" s="2" t="s">
        <v>6155</v>
      </c>
      <c r="C2325" s="2" t="s">
        <v>53</v>
      </c>
      <c r="D2325" s="2" t="s">
        <v>61</v>
      </c>
      <c r="E2325" s="2" t="s">
        <v>148</v>
      </c>
      <c r="F2325" s="2" t="s">
        <v>30</v>
      </c>
      <c r="G2325" s="2" t="s">
        <v>91</v>
      </c>
      <c r="H2325" s="2" t="s">
        <v>21</v>
      </c>
      <c r="I2325" s="2">
        <v>24</v>
      </c>
      <c r="J2325" s="2" t="s">
        <v>149</v>
      </c>
      <c r="K2325" s="2"/>
      <c r="L2325" s="2" t="s">
        <v>24</v>
      </c>
      <c r="M2325" s="2"/>
      <c r="N2325" s="2" t="s">
        <v>58</v>
      </c>
    </row>
    <row r="2326" spans="1:14" x14ac:dyDescent="0.25">
      <c r="A2326" s="2" t="s">
        <v>6156</v>
      </c>
      <c r="B2326" s="2" t="s">
        <v>6157</v>
      </c>
      <c r="C2326" s="2" t="s">
        <v>53</v>
      </c>
      <c r="D2326" s="2" t="s">
        <v>61</v>
      </c>
      <c r="E2326" s="2" t="s">
        <v>148</v>
      </c>
      <c r="F2326" s="2" t="s">
        <v>69</v>
      </c>
      <c r="G2326" s="2" t="s">
        <v>139</v>
      </c>
      <c r="H2326" s="2" t="s">
        <v>21</v>
      </c>
      <c r="I2326" s="2">
        <v>24</v>
      </c>
      <c r="J2326" s="2" t="s">
        <v>56</v>
      </c>
      <c r="K2326" s="2" t="s">
        <v>6158</v>
      </c>
      <c r="L2326" s="2" t="s">
        <v>24</v>
      </c>
      <c r="M2326" s="2"/>
      <c r="N2326" s="2" t="s">
        <v>128</v>
      </c>
    </row>
    <row r="2327" spans="1:14" x14ac:dyDescent="0.25">
      <c r="A2327" s="2" t="s">
        <v>6159</v>
      </c>
      <c r="B2327" s="2" t="s">
        <v>6160</v>
      </c>
      <c r="C2327" s="2" t="s">
        <v>67</v>
      </c>
      <c r="D2327" s="2" t="s">
        <v>68</v>
      </c>
      <c r="E2327" s="2" t="s">
        <v>90</v>
      </c>
      <c r="F2327" s="2" t="s">
        <v>62</v>
      </c>
      <c r="G2327" s="2" t="s">
        <v>31</v>
      </c>
      <c r="H2327" s="2" t="s">
        <v>74</v>
      </c>
      <c r="I2327" s="2">
        <v>8</v>
      </c>
      <c r="J2327" s="2" t="s">
        <v>22</v>
      </c>
      <c r="K2327" s="2" t="s">
        <v>6161</v>
      </c>
      <c r="L2327" s="2" t="s">
        <v>24</v>
      </c>
      <c r="M2327" s="2">
        <v>1</v>
      </c>
      <c r="N2327" s="2" t="s">
        <v>118</v>
      </c>
    </row>
    <row r="2328" spans="1:14" x14ac:dyDescent="0.25">
      <c r="A2328" s="2" t="s">
        <v>6162</v>
      </c>
      <c r="B2328" s="2" t="s">
        <v>6163</v>
      </c>
      <c r="C2328" s="2" t="s">
        <v>28</v>
      </c>
      <c r="D2328" s="2" t="s">
        <v>37</v>
      </c>
      <c r="E2328" s="2" t="s">
        <v>18</v>
      </c>
      <c r="F2328" s="2" t="s">
        <v>30</v>
      </c>
      <c r="G2328" s="2" t="s">
        <v>105</v>
      </c>
      <c r="H2328" s="2" t="s">
        <v>21</v>
      </c>
      <c r="I2328" s="2">
        <v>24</v>
      </c>
      <c r="J2328" s="2" t="s">
        <v>155</v>
      </c>
      <c r="K2328" s="2"/>
      <c r="L2328" s="2" t="s">
        <v>24</v>
      </c>
      <c r="M2328" s="2"/>
      <c r="N2328" s="2" t="s">
        <v>118</v>
      </c>
    </row>
    <row r="2329" spans="1:14" x14ac:dyDescent="0.25">
      <c r="A2329" s="2" t="s">
        <v>6164</v>
      </c>
      <c r="B2329" s="2" t="s">
        <v>6165</v>
      </c>
      <c r="C2329" s="2" t="s">
        <v>16</v>
      </c>
      <c r="D2329" s="2" t="s">
        <v>17</v>
      </c>
      <c r="E2329" s="2" t="s">
        <v>85</v>
      </c>
      <c r="F2329" s="2" t="s">
        <v>55</v>
      </c>
      <c r="G2329" s="2" t="s">
        <v>211</v>
      </c>
      <c r="H2329" s="2" t="s">
        <v>21</v>
      </c>
      <c r="I2329" s="2">
        <v>24</v>
      </c>
      <c r="J2329" s="2" t="s">
        <v>145</v>
      </c>
      <c r="K2329" s="2"/>
      <c r="L2329" s="2" t="s">
        <v>24</v>
      </c>
      <c r="M2329" s="2"/>
      <c r="N2329" s="2" t="s">
        <v>58</v>
      </c>
    </row>
    <row r="2330" spans="1:14" x14ac:dyDescent="0.25">
      <c r="A2330" s="2" t="s">
        <v>6166</v>
      </c>
      <c r="B2330" s="2" t="s">
        <v>6167</v>
      </c>
      <c r="C2330" s="2" t="s">
        <v>53</v>
      </c>
      <c r="D2330" s="2" t="s">
        <v>61</v>
      </c>
      <c r="E2330" s="2" t="s">
        <v>46</v>
      </c>
      <c r="F2330" s="2" t="s">
        <v>131</v>
      </c>
      <c r="G2330" s="2" t="s">
        <v>91</v>
      </c>
      <c r="H2330" s="2" t="s">
        <v>21</v>
      </c>
      <c r="I2330" s="2">
        <v>24</v>
      </c>
      <c r="J2330" s="2" t="s">
        <v>117</v>
      </c>
      <c r="K2330" s="2"/>
      <c r="L2330" s="2" t="s">
        <v>24</v>
      </c>
      <c r="M2330" s="2"/>
      <c r="N2330" s="2" t="s">
        <v>25</v>
      </c>
    </row>
    <row r="2331" spans="1:14" x14ac:dyDescent="0.25">
      <c r="A2331" s="2" t="s">
        <v>6168</v>
      </c>
      <c r="B2331" s="2" t="s">
        <v>6169</v>
      </c>
      <c r="C2331" s="2" t="s">
        <v>28</v>
      </c>
      <c r="D2331" s="2" t="s">
        <v>37</v>
      </c>
      <c r="E2331" s="2" t="s">
        <v>38</v>
      </c>
      <c r="F2331" s="2" t="s">
        <v>96</v>
      </c>
      <c r="G2331" s="2" t="s">
        <v>40</v>
      </c>
      <c r="H2331" s="2" t="s">
        <v>32</v>
      </c>
      <c r="I2331" s="2">
        <v>48</v>
      </c>
      <c r="J2331" s="2" t="s">
        <v>155</v>
      </c>
      <c r="K2331" s="2"/>
      <c r="L2331" s="2" t="s">
        <v>24</v>
      </c>
      <c r="M2331" s="2"/>
      <c r="N2331" s="2" t="s">
        <v>43</v>
      </c>
    </row>
    <row r="2332" spans="1:14" x14ac:dyDescent="0.25">
      <c r="A2332" s="2" t="s">
        <v>6170</v>
      </c>
      <c r="B2332" s="2" t="s">
        <v>6171</v>
      </c>
      <c r="C2332" s="2" t="s">
        <v>53</v>
      </c>
      <c r="D2332" s="2" t="s">
        <v>54</v>
      </c>
      <c r="E2332" s="2" t="s">
        <v>38</v>
      </c>
      <c r="F2332" s="2" t="s">
        <v>96</v>
      </c>
      <c r="G2332" s="2" t="s">
        <v>211</v>
      </c>
      <c r="H2332" s="2" t="s">
        <v>74</v>
      </c>
      <c r="I2332" s="2">
        <v>8</v>
      </c>
      <c r="J2332" s="2" t="s">
        <v>75</v>
      </c>
      <c r="K2332" s="2" t="s">
        <v>6172</v>
      </c>
      <c r="L2332" s="2" t="s">
        <v>24</v>
      </c>
      <c r="M2332" s="2"/>
      <c r="N2332" s="2" t="s">
        <v>25</v>
      </c>
    </row>
    <row r="2333" spans="1:14" x14ac:dyDescent="0.25">
      <c r="A2333" s="2" t="s">
        <v>6173</v>
      </c>
      <c r="B2333" s="2" t="s">
        <v>6174</v>
      </c>
      <c r="C2333" s="2" t="s">
        <v>28</v>
      </c>
      <c r="D2333" s="2" t="s">
        <v>100</v>
      </c>
      <c r="E2333" s="2" t="s">
        <v>90</v>
      </c>
      <c r="F2333" s="2" t="s">
        <v>125</v>
      </c>
      <c r="G2333" s="2" t="s">
        <v>144</v>
      </c>
      <c r="H2333" s="2" t="s">
        <v>74</v>
      </c>
      <c r="I2333" s="2">
        <v>8</v>
      </c>
      <c r="J2333" s="2" t="s">
        <v>41</v>
      </c>
      <c r="K2333" s="2" t="s">
        <v>6175</v>
      </c>
      <c r="L2333" s="2" t="s">
        <v>24</v>
      </c>
      <c r="M2333" s="2">
        <v>1</v>
      </c>
      <c r="N2333" s="2" t="s">
        <v>58</v>
      </c>
    </row>
    <row r="2334" spans="1:14" x14ac:dyDescent="0.25">
      <c r="A2334" s="2" t="s">
        <v>6176</v>
      </c>
      <c r="B2334" s="2" t="s">
        <v>6177</v>
      </c>
      <c r="C2334" s="2" t="s">
        <v>53</v>
      </c>
      <c r="D2334" s="2" t="s">
        <v>61</v>
      </c>
      <c r="E2334" s="2" t="s">
        <v>85</v>
      </c>
      <c r="F2334" s="2" t="s">
        <v>125</v>
      </c>
      <c r="G2334" s="2" t="s">
        <v>105</v>
      </c>
      <c r="H2334" s="2" t="s">
        <v>74</v>
      </c>
      <c r="I2334" s="2">
        <v>8</v>
      </c>
      <c r="J2334" s="2" t="s">
        <v>200</v>
      </c>
      <c r="K2334" s="2"/>
      <c r="L2334" s="2" t="s">
        <v>92</v>
      </c>
      <c r="M2334" s="2"/>
      <c r="N2334" s="2"/>
    </row>
    <row r="2335" spans="1:14" x14ac:dyDescent="0.25">
      <c r="A2335" s="2" t="s">
        <v>6178</v>
      </c>
      <c r="B2335" s="2" t="s">
        <v>6179</v>
      </c>
      <c r="C2335" s="2" t="s">
        <v>53</v>
      </c>
      <c r="D2335" s="2" t="s">
        <v>54</v>
      </c>
      <c r="E2335" s="2" t="s">
        <v>38</v>
      </c>
      <c r="F2335" s="2" t="s">
        <v>96</v>
      </c>
      <c r="G2335" s="2" t="s">
        <v>31</v>
      </c>
      <c r="H2335" s="2" t="s">
        <v>32</v>
      </c>
      <c r="I2335" s="2">
        <v>48</v>
      </c>
      <c r="J2335" s="2" t="s">
        <v>287</v>
      </c>
      <c r="K2335" s="2"/>
      <c r="L2335" s="2" t="s">
        <v>24</v>
      </c>
      <c r="M2335" s="2"/>
      <c r="N2335" s="2" t="s">
        <v>25</v>
      </c>
    </row>
    <row r="2336" spans="1:14" x14ac:dyDescent="0.25">
      <c r="A2336" s="2" t="s">
        <v>6180</v>
      </c>
      <c r="B2336" s="2" t="s">
        <v>6181</v>
      </c>
      <c r="C2336" s="2" t="s">
        <v>28</v>
      </c>
      <c r="D2336" s="2" t="s">
        <v>37</v>
      </c>
      <c r="E2336" s="2" t="s">
        <v>148</v>
      </c>
      <c r="F2336" s="2" t="s">
        <v>30</v>
      </c>
      <c r="G2336" s="2" t="s">
        <v>183</v>
      </c>
      <c r="H2336" s="2" t="s">
        <v>80</v>
      </c>
      <c r="I2336" s="2">
        <v>4</v>
      </c>
      <c r="J2336" s="2" t="s">
        <v>22</v>
      </c>
      <c r="K2336" s="2" t="s">
        <v>6182</v>
      </c>
      <c r="L2336" s="2" t="s">
        <v>24</v>
      </c>
      <c r="M2336" s="2">
        <v>4</v>
      </c>
      <c r="N2336" s="2" t="s">
        <v>50</v>
      </c>
    </row>
    <row r="2337" spans="1:14" x14ac:dyDescent="0.25">
      <c r="A2337" s="2" t="s">
        <v>6183</v>
      </c>
      <c r="B2337" s="2" t="s">
        <v>6184</v>
      </c>
      <c r="C2337" s="2" t="s">
        <v>16</v>
      </c>
      <c r="D2337" s="2" t="s">
        <v>84</v>
      </c>
      <c r="E2337" s="2" t="s">
        <v>46</v>
      </c>
      <c r="F2337" s="2" t="s">
        <v>62</v>
      </c>
      <c r="G2337" s="2" t="s">
        <v>101</v>
      </c>
      <c r="H2337" s="2" t="s">
        <v>74</v>
      </c>
      <c r="I2337" s="2">
        <v>8</v>
      </c>
      <c r="J2337" s="2" t="s">
        <v>75</v>
      </c>
      <c r="K2337" s="2" t="s">
        <v>6185</v>
      </c>
      <c r="L2337" s="2" t="s">
        <v>24</v>
      </c>
      <c r="M2337" s="2">
        <v>5</v>
      </c>
      <c r="N2337" s="2" t="s">
        <v>50</v>
      </c>
    </row>
    <row r="2338" spans="1:14" x14ac:dyDescent="0.25">
      <c r="A2338" s="2" t="s">
        <v>6186</v>
      </c>
      <c r="B2338" s="2" t="s">
        <v>6187</v>
      </c>
      <c r="C2338" s="2" t="s">
        <v>16</v>
      </c>
      <c r="D2338" s="2" t="s">
        <v>84</v>
      </c>
      <c r="E2338" s="2" t="s">
        <v>46</v>
      </c>
      <c r="F2338" s="2" t="s">
        <v>30</v>
      </c>
      <c r="G2338" s="2" t="s">
        <v>101</v>
      </c>
      <c r="H2338" s="2" t="s">
        <v>80</v>
      </c>
      <c r="I2338" s="2">
        <v>4</v>
      </c>
      <c r="J2338" s="2" t="s">
        <v>149</v>
      </c>
      <c r="K2338" s="2"/>
      <c r="L2338" s="2" t="s">
        <v>24</v>
      </c>
      <c r="M2338" s="2"/>
      <c r="N2338" s="2" t="s">
        <v>50</v>
      </c>
    </row>
    <row r="2339" spans="1:14" x14ac:dyDescent="0.25">
      <c r="A2339" s="2" t="s">
        <v>6188</v>
      </c>
      <c r="B2339" s="2" t="s">
        <v>6189</v>
      </c>
      <c r="C2339" s="2" t="s">
        <v>53</v>
      </c>
      <c r="D2339" s="2" t="s">
        <v>54</v>
      </c>
      <c r="E2339" s="2" t="s">
        <v>90</v>
      </c>
      <c r="F2339" s="2" t="s">
        <v>55</v>
      </c>
      <c r="G2339" s="2" t="s">
        <v>110</v>
      </c>
      <c r="H2339" s="2" t="s">
        <v>80</v>
      </c>
      <c r="I2339" s="2">
        <v>4</v>
      </c>
      <c r="J2339" s="2" t="s">
        <v>287</v>
      </c>
      <c r="K2339" s="2"/>
      <c r="L2339" s="2" t="s">
        <v>24</v>
      </c>
      <c r="M2339" s="2"/>
      <c r="N2339" s="2"/>
    </row>
    <row r="2340" spans="1:14" x14ac:dyDescent="0.25">
      <c r="A2340" s="2" t="s">
        <v>6190</v>
      </c>
      <c r="B2340" s="2" t="s">
        <v>6191</v>
      </c>
      <c r="C2340" s="2" t="s">
        <v>67</v>
      </c>
      <c r="D2340" s="2" t="s">
        <v>68</v>
      </c>
      <c r="E2340" s="2" t="s">
        <v>85</v>
      </c>
      <c r="F2340" s="2" t="s">
        <v>55</v>
      </c>
      <c r="G2340" s="2" t="s">
        <v>31</v>
      </c>
      <c r="H2340" s="2" t="s">
        <v>74</v>
      </c>
      <c r="I2340" s="2">
        <v>8</v>
      </c>
      <c r="J2340" s="2" t="s">
        <v>75</v>
      </c>
      <c r="K2340" s="2" t="s">
        <v>6192</v>
      </c>
      <c r="L2340" s="2" t="s">
        <v>92</v>
      </c>
      <c r="M2340" s="2">
        <v>5</v>
      </c>
      <c r="N2340" s="2" t="s">
        <v>50</v>
      </c>
    </row>
    <row r="2341" spans="1:14" x14ac:dyDescent="0.25">
      <c r="A2341" s="2" t="s">
        <v>1484</v>
      </c>
      <c r="B2341" s="2" t="s">
        <v>1485</v>
      </c>
      <c r="C2341" s="2" t="s">
        <v>67</v>
      </c>
      <c r="D2341" s="2" t="s">
        <v>68</v>
      </c>
      <c r="E2341" s="2" t="s">
        <v>79</v>
      </c>
      <c r="F2341" s="2" t="s">
        <v>19</v>
      </c>
      <c r="G2341" s="2" t="s">
        <v>179</v>
      </c>
      <c r="H2341" s="2" t="s">
        <v>21</v>
      </c>
      <c r="I2341" s="2">
        <v>24</v>
      </c>
      <c r="J2341" s="2" t="s">
        <v>41</v>
      </c>
      <c r="K2341" s="2" t="s">
        <v>1486</v>
      </c>
      <c r="L2341" s="2" t="s">
        <v>24</v>
      </c>
      <c r="M2341" s="2">
        <v>3</v>
      </c>
      <c r="N2341" s="2"/>
    </row>
    <row r="2342" spans="1:14" x14ac:dyDescent="0.25">
      <c r="A2342" s="2" t="s">
        <v>6193</v>
      </c>
      <c r="B2342" s="2" t="s">
        <v>6194</v>
      </c>
      <c r="C2342" s="2" t="s">
        <v>16</v>
      </c>
      <c r="D2342" s="2" t="s">
        <v>240</v>
      </c>
      <c r="E2342" s="2" t="s">
        <v>148</v>
      </c>
      <c r="F2342" s="2" t="s">
        <v>125</v>
      </c>
      <c r="G2342" s="2" t="s">
        <v>179</v>
      </c>
      <c r="H2342" s="2" t="s">
        <v>74</v>
      </c>
      <c r="I2342" s="2">
        <v>8</v>
      </c>
      <c r="J2342" s="2" t="s">
        <v>33</v>
      </c>
      <c r="K2342" s="2"/>
      <c r="L2342" s="2" t="s">
        <v>24</v>
      </c>
      <c r="M2342" s="2"/>
      <c r="N2342" s="2" t="s">
        <v>50</v>
      </c>
    </row>
    <row r="2343" spans="1:14" x14ac:dyDescent="0.25">
      <c r="A2343" s="2" t="s">
        <v>6195</v>
      </c>
      <c r="B2343" s="2" t="s">
        <v>6196</v>
      </c>
      <c r="C2343" s="2" t="s">
        <v>53</v>
      </c>
      <c r="D2343" s="2" t="s">
        <v>61</v>
      </c>
      <c r="E2343" s="2" t="s">
        <v>79</v>
      </c>
      <c r="F2343" s="2" t="s">
        <v>125</v>
      </c>
      <c r="G2343" s="2" t="s">
        <v>139</v>
      </c>
      <c r="H2343" s="2" t="s">
        <v>32</v>
      </c>
      <c r="I2343" s="2">
        <v>48</v>
      </c>
      <c r="J2343" s="2" t="s">
        <v>41</v>
      </c>
      <c r="K2343" s="2" t="s">
        <v>6197</v>
      </c>
      <c r="L2343" s="2" t="s">
        <v>24</v>
      </c>
      <c r="M2343" s="2">
        <v>3</v>
      </c>
      <c r="N2343" s="2" t="s">
        <v>25</v>
      </c>
    </row>
    <row r="2344" spans="1:14" x14ac:dyDescent="0.25">
      <c r="A2344" s="2" t="s">
        <v>6198</v>
      </c>
      <c r="B2344" s="2" t="s">
        <v>6199</v>
      </c>
      <c r="C2344" s="2" t="s">
        <v>28</v>
      </c>
      <c r="D2344" s="2" t="s">
        <v>37</v>
      </c>
      <c r="E2344" s="2" t="s">
        <v>90</v>
      </c>
      <c r="F2344" s="2" t="s">
        <v>131</v>
      </c>
      <c r="G2344" s="2" t="s">
        <v>110</v>
      </c>
      <c r="H2344" s="2" t="s">
        <v>74</v>
      </c>
      <c r="I2344" s="2">
        <v>8</v>
      </c>
      <c r="J2344" s="2" t="s">
        <v>155</v>
      </c>
      <c r="K2344" s="2"/>
      <c r="L2344" s="2" t="s">
        <v>24</v>
      </c>
      <c r="M2344" s="2"/>
      <c r="N2344" s="2" t="s">
        <v>25</v>
      </c>
    </row>
    <row r="2345" spans="1:14" x14ac:dyDescent="0.25">
      <c r="A2345" s="2" t="s">
        <v>6200</v>
      </c>
      <c r="B2345" s="2" t="s">
        <v>6201</v>
      </c>
      <c r="C2345" s="2" t="s">
        <v>28</v>
      </c>
      <c r="D2345" s="2" t="s">
        <v>37</v>
      </c>
      <c r="E2345" s="2" t="s">
        <v>79</v>
      </c>
      <c r="F2345" s="2" t="s">
        <v>125</v>
      </c>
      <c r="G2345" s="2" t="s">
        <v>40</v>
      </c>
      <c r="H2345" s="2" t="s">
        <v>21</v>
      </c>
      <c r="I2345" s="2">
        <v>24</v>
      </c>
      <c r="J2345" s="2" t="s">
        <v>187</v>
      </c>
      <c r="K2345" s="2" t="s">
        <v>6202</v>
      </c>
      <c r="L2345" s="2" t="s">
        <v>24</v>
      </c>
      <c r="M2345" s="2">
        <v>4</v>
      </c>
      <c r="N2345" s="2" t="s">
        <v>58</v>
      </c>
    </row>
    <row r="2346" spans="1:14" x14ac:dyDescent="0.25">
      <c r="A2346" s="2" t="s">
        <v>6203</v>
      </c>
      <c r="B2346" s="2" t="s">
        <v>6204</v>
      </c>
      <c r="C2346" s="2" t="s">
        <v>28</v>
      </c>
      <c r="D2346" s="2" t="s">
        <v>100</v>
      </c>
      <c r="E2346" s="2" t="s">
        <v>38</v>
      </c>
      <c r="F2346" s="2" t="s">
        <v>62</v>
      </c>
      <c r="G2346" s="2" t="s">
        <v>144</v>
      </c>
      <c r="H2346" s="2" t="s">
        <v>32</v>
      </c>
      <c r="I2346" s="2">
        <v>48</v>
      </c>
      <c r="J2346" s="2" t="s">
        <v>41</v>
      </c>
      <c r="K2346" s="2" t="s">
        <v>6205</v>
      </c>
      <c r="L2346" s="2" t="s">
        <v>24</v>
      </c>
      <c r="M2346" s="2">
        <v>5</v>
      </c>
      <c r="N2346" s="2" t="s">
        <v>25</v>
      </c>
    </row>
    <row r="2347" spans="1:14" x14ac:dyDescent="0.25">
      <c r="A2347" s="2" t="s">
        <v>6206</v>
      </c>
      <c r="B2347" s="2" t="s">
        <v>6207</v>
      </c>
      <c r="C2347" s="2" t="s">
        <v>67</v>
      </c>
      <c r="D2347" s="2" t="s">
        <v>95</v>
      </c>
      <c r="E2347" s="2" t="s">
        <v>90</v>
      </c>
      <c r="F2347" s="2" t="s">
        <v>47</v>
      </c>
      <c r="G2347" s="2" t="s">
        <v>183</v>
      </c>
      <c r="H2347" s="2" t="s">
        <v>74</v>
      </c>
      <c r="I2347" s="2">
        <v>8</v>
      </c>
      <c r="J2347" s="2" t="s">
        <v>117</v>
      </c>
      <c r="K2347" s="2"/>
      <c r="L2347" s="2" t="s">
        <v>92</v>
      </c>
      <c r="M2347" s="2"/>
      <c r="N2347" s="2" t="s">
        <v>64</v>
      </c>
    </row>
    <row r="2348" spans="1:14" x14ac:dyDescent="0.25">
      <c r="A2348" s="2" t="s">
        <v>6208</v>
      </c>
      <c r="B2348" s="2" t="s">
        <v>6209</v>
      </c>
      <c r="C2348" s="2" t="s">
        <v>53</v>
      </c>
      <c r="D2348" s="2" t="s">
        <v>54</v>
      </c>
      <c r="E2348" s="2" t="s">
        <v>18</v>
      </c>
      <c r="F2348" s="2" t="s">
        <v>47</v>
      </c>
      <c r="G2348" s="2" t="s">
        <v>179</v>
      </c>
      <c r="H2348" s="2" t="s">
        <v>21</v>
      </c>
      <c r="I2348" s="2">
        <v>24</v>
      </c>
      <c r="J2348" s="2" t="s">
        <v>106</v>
      </c>
      <c r="K2348" s="2" t="s">
        <v>6210</v>
      </c>
      <c r="L2348" s="2" t="s">
        <v>24</v>
      </c>
      <c r="M2348" s="2">
        <v>1</v>
      </c>
      <c r="N2348" s="2"/>
    </row>
    <row r="2349" spans="1:14" x14ac:dyDescent="0.25">
      <c r="A2349" s="2" t="s">
        <v>6211</v>
      </c>
      <c r="B2349" s="2" t="s">
        <v>6212</v>
      </c>
      <c r="C2349" s="2" t="s">
        <v>16</v>
      </c>
      <c r="D2349" s="2" t="s">
        <v>84</v>
      </c>
      <c r="E2349" s="2" t="s">
        <v>79</v>
      </c>
      <c r="F2349" s="2" t="s">
        <v>131</v>
      </c>
      <c r="G2349" s="2" t="s">
        <v>183</v>
      </c>
      <c r="H2349" s="2" t="s">
        <v>80</v>
      </c>
      <c r="I2349" s="2">
        <v>4</v>
      </c>
      <c r="J2349" s="2" t="s">
        <v>187</v>
      </c>
      <c r="K2349" s="2" t="s">
        <v>6213</v>
      </c>
      <c r="L2349" s="2" t="s">
        <v>24</v>
      </c>
      <c r="M2349" s="2"/>
      <c r="N2349" s="2" t="s">
        <v>118</v>
      </c>
    </row>
    <row r="2350" spans="1:14" x14ac:dyDescent="0.25">
      <c r="A2350" s="2" t="s">
        <v>6214</v>
      </c>
      <c r="B2350" s="2" t="s">
        <v>6215</v>
      </c>
      <c r="C2350" s="2" t="s">
        <v>67</v>
      </c>
      <c r="D2350" s="2" t="s">
        <v>68</v>
      </c>
      <c r="E2350" s="2" t="s">
        <v>46</v>
      </c>
      <c r="F2350" s="2" t="s">
        <v>47</v>
      </c>
      <c r="G2350" s="2" t="s">
        <v>121</v>
      </c>
      <c r="H2350" s="2" t="s">
        <v>21</v>
      </c>
      <c r="I2350" s="2">
        <v>24</v>
      </c>
      <c r="J2350" s="2" t="s">
        <v>48</v>
      </c>
      <c r="K2350" s="2" t="s">
        <v>6216</v>
      </c>
      <c r="L2350" s="2" t="s">
        <v>24</v>
      </c>
      <c r="M2350" s="2">
        <v>5</v>
      </c>
      <c r="N2350" s="2"/>
    </row>
    <row r="2351" spans="1:14" x14ac:dyDescent="0.25">
      <c r="A2351" s="2" t="s">
        <v>6217</v>
      </c>
      <c r="B2351" s="2" t="s">
        <v>6218</v>
      </c>
      <c r="C2351" s="2" t="s">
        <v>67</v>
      </c>
      <c r="D2351" s="2" t="s">
        <v>68</v>
      </c>
      <c r="E2351" s="2" t="s">
        <v>46</v>
      </c>
      <c r="F2351" s="2" t="s">
        <v>47</v>
      </c>
      <c r="G2351" s="2" t="s">
        <v>105</v>
      </c>
      <c r="H2351" s="2" t="s">
        <v>21</v>
      </c>
      <c r="I2351" s="2">
        <v>24</v>
      </c>
      <c r="J2351" s="2" t="s">
        <v>22</v>
      </c>
      <c r="K2351" s="2" t="s">
        <v>6219</v>
      </c>
      <c r="L2351" s="2" t="s">
        <v>24</v>
      </c>
      <c r="M2351" s="2">
        <v>2</v>
      </c>
      <c r="N2351" s="2"/>
    </row>
    <row r="2352" spans="1:14" x14ac:dyDescent="0.25">
      <c r="A2352" s="2" t="s">
        <v>6220</v>
      </c>
      <c r="B2352" s="2" t="s">
        <v>6221</v>
      </c>
      <c r="C2352" s="2" t="s">
        <v>53</v>
      </c>
      <c r="D2352" s="2" t="s">
        <v>162</v>
      </c>
      <c r="E2352" s="2" t="s">
        <v>90</v>
      </c>
      <c r="F2352" s="2" t="s">
        <v>47</v>
      </c>
      <c r="G2352" s="2" t="s">
        <v>20</v>
      </c>
      <c r="H2352" s="2" t="s">
        <v>32</v>
      </c>
      <c r="I2352" s="2">
        <v>48</v>
      </c>
      <c r="J2352" s="2" t="s">
        <v>75</v>
      </c>
      <c r="K2352" s="2" t="s">
        <v>6222</v>
      </c>
      <c r="L2352" s="2" t="s">
        <v>24</v>
      </c>
      <c r="M2352" s="2"/>
      <c r="N2352" s="2" t="s">
        <v>43</v>
      </c>
    </row>
    <row r="2353" spans="1:14" x14ac:dyDescent="0.25">
      <c r="A2353" s="2" t="s">
        <v>6223</v>
      </c>
      <c r="B2353" s="2" t="s">
        <v>6224</v>
      </c>
      <c r="C2353" s="2" t="s">
        <v>53</v>
      </c>
      <c r="D2353" s="2" t="s">
        <v>61</v>
      </c>
      <c r="E2353" s="2" t="s">
        <v>85</v>
      </c>
      <c r="F2353" s="2" t="s">
        <v>55</v>
      </c>
      <c r="G2353" s="2" t="s">
        <v>211</v>
      </c>
      <c r="H2353" s="2" t="s">
        <v>74</v>
      </c>
      <c r="I2353" s="2">
        <v>8</v>
      </c>
      <c r="J2353" s="2" t="s">
        <v>106</v>
      </c>
      <c r="K2353" s="2" t="s">
        <v>6225</v>
      </c>
      <c r="L2353" s="2" t="s">
        <v>24</v>
      </c>
      <c r="M2353" s="2">
        <v>5</v>
      </c>
      <c r="N2353" s="2" t="s">
        <v>50</v>
      </c>
    </row>
    <row r="2354" spans="1:14" x14ac:dyDescent="0.25">
      <c r="A2354" s="2" t="s">
        <v>6226</v>
      </c>
      <c r="B2354" s="2" t="s">
        <v>6227</v>
      </c>
      <c r="C2354" s="2" t="s">
        <v>67</v>
      </c>
      <c r="D2354" s="2" t="s">
        <v>95</v>
      </c>
      <c r="E2354" s="2" t="s">
        <v>46</v>
      </c>
      <c r="F2354" s="2" t="s">
        <v>125</v>
      </c>
      <c r="G2354" s="2" t="s">
        <v>179</v>
      </c>
      <c r="H2354" s="2" t="s">
        <v>32</v>
      </c>
      <c r="I2354" s="2">
        <v>48</v>
      </c>
      <c r="J2354" s="2" t="s">
        <v>41</v>
      </c>
      <c r="K2354" s="2" t="s">
        <v>6228</v>
      </c>
      <c r="L2354" s="2" t="s">
        <v>24</v>
      </c>
      <c r="M2354" s="2">
        <v>2</v>
      </c>
      <c r="N2354" s="2" t="s">
        <v>128</v>
      </c>
    </row>
    <row r="2355" spans="1:14" x14ac:dyDescent="0.25">
      <c r="A2355" s="2" t="s">
        <v>6229</v>
      </c>
      <c r="B2355" s="2" t="s">
        <v>6230</v>
      </c>
      <c r="C2355" s="2" t="s">
        <v>53</v>
      </c>
      <c r="D2355" s="2" t="s">
        <v>54</v>
      </c>
      <c r="E2355" s="2" t="s">
        <v>46</v>
      </c>
      <c r="F2355" s="2" t="s">
        <v>96</v>
      </c>
      <c r="G2355" s="2" t="s">
        <v>97</v>
      </c>
      <c r="H2355" s="2" t="s">
        <v>21</v>
      </c>
      <c r="I2355" s="2">
        <v>24</v>
      </c>
      <c r="J2355" s="2" t="s">
        <v>106</v>
      </c>
      <c r="K2355" s="2" t="s">
        <v>6231</v>
      </c>
      <c r="L2355" s="2" t="s">
        <v>24</v>
      </c>
      <c r="M2355" s="2">
        <v>4</v>
      </c>
      <c r="N2355" s="2" t="s">
        <v>64</v>
      </c>
    </row>
    <row r="2356" spans="1:14" x14ac:dyDescent="0.25">
      <c r="A2356" s="2" t="s">
        <v>6232</v>
      </c>
      <c r="B2356" s="2" t="s">
        <v>6233</v>
      </c>
      <c r="C2356" s="2" t="s">
        <v>16</v>
      </c>
      <c r="D2356" s="2" t="s">
        <v>84</v>
      </c>
      <c r="E2356" s="2" t="s">
        <v>148</v>
      </c>
      <c r="F2356" s="2" t="s">
        <v>131</v>
      </c>
      <c r="G2356" s="2" t="s">
        <v>144</v>
      </c>
      <c r="H2356" s="2" t="s">
        <v>32</v>
      </c>
      <c r="I2356" s="2">
        <v>48</v>
      </c>
      <c r="J2356" s="2" t="s">
        <v>22</v>
      </c>
      <c r="K2356" s="2" t="s">
        <v>6234</v>
      </c>
      <c r="L2356" s="2" t="s">
        <v>24</v>
      </c>
      <c r="M2356" s="2"/>
      <c r="N2356" s="2" t="s">
        <v>58</v>
      </c>
    </row>
    <row r="2357" spans="1:14" x14ac:dyDescent="0.25">
      <c r="A2357" s="2" t="s">
        <v>6235</v>
      </c>
      <c r="B2357" s="2" t="s">
        <v>6236</v>
      </c>
      <c r="C2357" s="2" t="s">
        <v>67</v>
      </c>
      <c r="D2357" s="2" t="s">
        <v>68</v>
      </c>
      <c r="E2357" s="2" t="s">
        <v>90</v>
      </c>
      <c r="F2357" s="2" t="s">
        <v>47</v>
      </c>
      <c r="G2357" s="2" t="s">
        <v>144</v>
      </c>
      <c r="H2357" s="2" t="s">
        <v>74</v>
      </c>
      <c r="I2357" s="2">
        <v>8</v>
      </c>
      <c r="J2357" s="2" t="s">
        <v>56</v>
      </c>
      <c r="K2357" s="2" t="s">
        <v>6237</v>
      </c>
      <c r="L2357" s="2" t="s">
        <v>24</v>
      </c>
      <c r="M2357" s="2"/>
      <c r="N2357" s="2"/>
    </row>
    <row r="2358" spans="1:14" x14ac:dyDescent="0.25">
      <c r="A2358" s="2" t="s">
        <v>6238</v>
      </c>
      <c r="B2358" s="2" t="s">
        <v>6239</v>
      </c>
      <c r="C2358" s="2" t="s">
        <v>67</v>
      </c>
      <c r="D2358" s="2" t="s">
        <v>68</v>
      </c>
      <c r="E2358" s="2" t="s">
        <v>38</v>
      </c>
      <c r="F2358" s="2" t="s">
        <v>47</v>
      </c>
      <c r="G2358" s="2" t="s">
        <v>101</v>
      </c>
      <c r="H2358" s="2" t="s">
        <v>32</v>
      </c>
      <c r="I2358" s="2">
        <v>48</v>
      </c>
      <c r="J2358" s="2" t="s">
        <v>41</v>
      </c>
      <c r="K2358" s="2" t="s">
        <v>6240</v>
      </c>
      <c r="L2358" s="2" t="s">
        <v>24</v>
      </c>
      <c r="M2358" s="2">
        <v>3</v>
      </c>
      <c r="N2358" s="2"/>
    </row>
    <row r="2359" spans="1:14" x14ac:dyDescent="0.25">
      <c r="A2359" s="2" t="s">
        <v>6241</v>
      </c>
      <c r="B2359" s="2" t="s">
        <v>6242</v>
      </c>
      <c r="C2359" s="2" t="s">
        <v>53</v>
      </c>
      <c r="D2359" s="2" t="s">
        <v>54</v>
      </c>
      <c r="E2359" s="2" t="s">
        <v>79</v>
      </c>
      <c r="F2359" s="2" t="s">
        <v>69</v>
      </c>
      <c r="G2359" s="2" t="s">
        <v>144</v>
      </c>
      <c r="H2359" s="2" t="s">
        <v>80</v>
      </c>
      <c r="I2359" s="2">
        <v>4</v>
      </c>
      <c r="J2359" s="2" t="s">
        <v>75</v>
      </c>
      <c r="K2359" s="2" t="s">
        <v>6243</v>
      </c>
      <c r="L2359" s="2" t="s">
        <v>24</v>
      </c>
      <c r="M2359" s="2">
        <v>5</v>
      </c>
      <c r="N2359" s="2" t="s">
        <v>25</v>
      </c>
    </row>
    <row r="2360" spans="1:14" x14ac:dyDescent="0.25">
      <c r="A2360" s="2" t="s">
        <v>6244</v>
      </c>
      <c r="B2360" s="2" t="s">
        <v>6245</v>
      </c>
      <c r="C2360" s="2" t="s">
        <v>28</v>
      </c>
      <c r="D2360" s="2" t="s">
        <v>100</v>
      </c>
      <c r="E2360" s="2" t="s">
        <v>90</v>
      </c>
      <c r="F2360" s="2" t="s">
        <v>96</v>
      </c>
      <c r="G2360" s="2" t="s">
        <v>91</v>
      </c>
      <c r="H2360" s="2" t="s">
        <v>32</v>
      </c>
      <c r="I2360" s="2">
        <v>48</v>
      </c>
      <c r="J2360" s="2" t="s">
        <v>75</v>
      </c>
      <c r="K2360" s="2" t="s">
        <v>6246</v>
      </c>
      <c r="L2360" s="2" t="s">
        <v>24</v>
      </c>
      <c r="M2360" s="2"/>
      <c r="N2360" s="2" t="s">
        <v>64</v>
      </c>
    </row>
    <row r="2361" spans="1:14" x14ac:dyDescent="0.25">
      <c r="A2361" s="2" t="s">
        <v>6247</v>
      </c>
      <c r="B2361" s="2" t="s">
        <v>6248</v>
      </c>
      <c r="C2361" s="2" t="s">
        <v>53</v>
      </c>
      <c r="D2361" s="2" t="s">
        <v>54</v>
      </c>
      <c r="E2361" s="2" t="s">
        <v>90</v>
      </c>
      <c r="F2361" s="2" t="s">
        <v>39</v>
      </c>
      <c r="G2361" s="2" t="s">
        <v>31</v>
      </c>
      <c r="H2361" s="2" t="s">
        <v>32</v>
      </c>
      <c r="I2361" s="2">
        <v>48</v>
      </c>
      <c r="J2361" s="2" t="s">
        <v>149</v>
      </c>
      <c r="K2361" s="2"/>
      <c r="L2361" s="2" t="s">
        <v>92</v>
      </c>
      <c r="M2361" s="2"/>
      <c r="N2361" s="2" t="s">
        <v>128</v>
      </c>
    </row>
    <row r="2362" spans="1:14" x14ac:dyDescent="0.25">
      <c r="A2362" s="2" t="s">
        <v>6249</v>
      </c>
      <c r="B2362" s="2" t="s">
        <v>6250</v>
      </c>
      <c r="C2362" s="2" t="s">
        <v>16</v>
      </c>
      <c r="D2362" s="2" t="s">
        <v>84</v>
      </c>
      <c r="E2362" s="2" t="s">
        <v>148</v>
      </c>
      <c r="F2362" s="2" t="s">
        <v>113</v>
      </c>
      <c r="G2362" s="2" t="s">
        <v>91</v>
      </c>
      <c r="H2362" s="2" t="s">
        <v>74</v>
      </c>
      <c r="I2362" s="2">
        <v>8</v>
      </c>
      <c r="J2362" s="2" t="s">
        <v>41</v>
      </c>
      <c r="K2362" s="2" t="s">
        <v>6251</v>
      </c>
      <c r="L2362" s="2" t="s">
        <v>24</v>
      </c>
      <c r="M2362" s="2">
        <v>1</v>
      </c>
      <c r="N2362" s="2"/>
    </row>
    <row r="2363" spans="1:14" x14ac:dyDescent="0.25">
      <c r="A2363" s="2" t="s">
        <v>6252</v>
      </c>
      <c r="B2363" s="2" t="s">
        <v>6253</v>
      </c>
      <c r="C2363" s="2" t="s">
        <v>16</v>
      </c>
      <c r="D2363" s="2" t="s">
        <v>17</v>
      </c>
      <c r="E2363" s="2" t="s">
        <v>90</v>
      </c>
      <c r="F2363" s="2" t="s">
        <v>55</v>
      </c>
      <c r="G2363" s="2" t="s">
        <v>179</v>
      </c>
      <c r="H2363" s="2" t="s">
        <v>21</v>
      </c>
      <c r="I2363" s="2">
        <v>24</v>
      </c>
      <c r="J2363" s="2" t="s">
        <v>187</v>
      </c>
      <c r="K2363" s="2" t="s">
        <v>6254</v>
      </c>
      <c r="L2363" s="2" t="s">
        <v>92</v>
      </c>
      <c r="M2363" s="2">
        <v>5</v>
      </c>
      <c r="N2363" s="2" t="s">
        <v>64</v>
      </c>
    </row>
    <row r="2364" spans="1:14" x14ac:dyDescent="0.25">
      <c r="A2364" s="2" t="s">
        <v>6255</v>
      </c>
      <c r="B2364" s="2" t="s">
        <v>6256</v>
      </c>
      <c r="C2364" s="2" t="s">
        <v>53</v>
      </c>
      <c r="D2364" s="2" t="s">
        <v>54</v>
      </c>
      <c r="E2364" s="2" t="s">
        <v>148</v>
      </c>
      <c r="F2364" s="2" t="s">
        <v>125</v>
      </c>
      <c r="G2364" s="2" t="s">
        <v>179</v>
      </c>
      <c r="H2364" s="2" t="s">
        <v>74</v>
      </c>
      <c r="I2364" s="2">
        <v>8</v>
      </c>
      <c r="J2364" s="2" t="s">
        <v>11</v>
      </c>
      <c r="K2364" s="2"/>
      <c r="L2364" s="2" t="s">
        <v>92</v>
      </c>
      <c r="M2364" s="2"/>
      <c r="N2364" s="2" t="s">
        <v>34</v>
      </c>
    </row>
    <row r="2365" spans="1:14" x14ac:dyDescent="0.25">
      <c r="A2365" s="2" t="s">
        <v>6257</v>
      </c>
      <c r="B2365" s="2" t="s">
        <v>6258</v>
      </c>
      <c r="C2365" s="2" t="s">
        <v>67</v>
      </c>
      <c r="D2365" s="2" t="s">
        <v>68</v>
      </c>
      <c r="E2365" s="2" t="s">
        <v>85</v>
      </c>
      <c r="F2365" s="2" t="s">
        <v>113</v>
      </c>
      <c r="G2365" s="2" t="s">
        <v>101</v>
      </c>
      <c r="H2365" s="2" t="s">
        <v>32</v>
      </c>
      <c r="I2365" s="2">
        <v>48</v>
      </c>
      <c r="J2365" s="2" t="s">
        <v>149</v>
      </c>
      <c r="K2365" s="2"/>
      <c r="L2365" s="2" t="s">
        <v>92</v>
      </c>
      <c r="M2365" s="2"/>
      <c r="N2365" s="2" t="s">
        <v>43</v>
      </c>
    </row>
    <row r="2366" spans="1:14" x14ac:dyDescent="0.25">
      <c r="A2366" s="2" t="s">
        <v>6259</v>
      </c>
      <c r="B2366" s="2" t="s">
        <v>6260</v>
      </c>
      <c r="C2366" s="2" t="s">
        <v>53</v>
      </c>
      <c r="D2366" s="2" t="s">
        <v>54</v>
      </c>
      <c r="E2366" s="2" t="s">
        <v>85</v>
      </c>
      <c r="F2366" s="2" t="s">
        <v>62</v>
      </c>
      <c r="G2366" s="2" t="s">
        <v>20</v>
      </c>
      <c r="H2366" s="2" t="s">
        <v>21</v>
      </c>
      <c r="I2366" s="2">
        <v>24</v>
      </c>
      <c r="J2366" s="2" t="s">
        <v>22</v>
      </c>
      <c r="K2366" s="2" t="s">
        <v>6261</v>
      </c>
      <c r="L2366" s="2" t="s">
        <v>24</v>
      </c>
      <c r="M2366" s="2"/>
      <c r="N2366" s="2" t="s">
        <v>25</v>
      </c>
    </row>
    <row r="2367" spans="1:14" x14ac:dyDescent="0.25">
      <c r="A2367" s="2" t="s">
        <v>6262</v>
      </c>
      <c r="B2367" s="2" t="s">
        <v>6263</v>
      </c>
      <c r="C2367" s="2" t="s">
        <v>28</v>
      </c>
      <c r="D2367" s="2" t="s">
        <v>37</v>
      </c>
      <c r="E2367" s="2" t="s">
        <v>38</v>
      </c>
      <c r="F2367" s="2" t="s">
        <v>19</v>
      </c>
      <c r="G2367" s="2" t="s">
        <v>135</v>
      </c>
      <c r="H2367" s="2" t="s">
        <v>21</v>
      </c>
      <c r="I2367" s="2">
        <v>24</v>
      </c>
      <c r="J2367" s="2" t="s">
        <v>22</v>
      </c>
      <c r="K2367" s="2" t="s">
        <v>6264</v>
      </c>
      <c r="L2367" s="2" t="s">
        <v>24</v>
      </c>
      <c r="M2367" s="2"/>
      <c r="N2367" s="2" t="s">
        <v>128</v>
      </c>
    </row>
    <row r="2368" spans="1:14" x14ac:dyDescent="0.25">
      <c r="A2368" s="2" t="s">
        <v>6265</v>
      </c>
      <c r="B2368" s="2" t="s">
        <v>6266</v>
      </c>
      <c r="C2368" s="2" t="s">
        <v>28</v>
      </c>
      <c r="D2368" s="2" t="s">
        <v>37</v>
      </c>
      <c r="E2368" s="2" t="s">
        <v>18</v>
      </c>
      <c r="F2368" s="2" t="s">
        <v>143</v>
      </c>
      <c r="G2368" s="2" t="s">
        <v>105</v>
      </c>
      <c r="H2368" s="2" t="s">
        <v>74</v>
      </c>
      <c r="I2368" s="2">
        <v>8</v>
      </c>
      <c r="J2368" s="2" t="s">
        <v>48</v>
      </c>
      <c r="K2368" s="2" t="s">
        <v>6267</v>
      </c>
      <c r="L2368" s="2" t="s">
        <v>24</v>
      </c>
      <c r="M2368" s="2">
        <v>5</v>
      </c>
      <c r="N2368" s="2" t="s">
        <v>128</v>
      </c>
    </row>
    <row r="2369" spans="1:14" x14ac:dyDescent="0.25">
      <c r="A2369" s="2" t="s">
        <v>6268</v>
      </c>
      <c r="B2369" s="2" t="s">
        <v>6269</v>
      </c>
      <c r="C2369" s="2" t="s">
        <v>16</v>
      </c>
      <c r="D2369" s="2" t="s">
        <v>84</v>
      </c>
      <c r="E2369" s="2" t="s">
        <v>148</v>
      </c>
      <c r="F2369" s="2" t="s">
        <v>30</v>
      </c>
      <c r="G2369" s="2" t="s">
        <v>211</v>
      </c>
      <c r="H2369" s="2" t="s">
        <v>74</v>
      </c>
      <c r="I2369" s="2">
        <v>8</v>
      </c>
      <c r="J2369" s="2" t="s">
        <v>22</v>
      </c>
      <c r="K2369" s="2" t="s">
        <v>6270</v>
      </c>
      <c r="L2369" s="2" t="s">
        <v>24</v>
      </c>
      <c r="M2369" s="2"/>
      <c r="N2369" s="2" t="s">
        <v>58</v>
      </c>
    </row>
    <row r="2370" spans="1:14" x14ac:dyDescent="0.25">
      <c r="A2370" s="2" t="s">
        <v>6271</v>
      </c>
      <c r="B2370" s="2" t="s">
        <v>6272</v>
      </c>
      <c r="C2370" s="2" t="s">
        <v>53</v>
      </c>
      <c r="D2370" s="2" t="s">
        <v>61</v>
      </c>
      <c r="E2370" s="2" t="s">
        <v>85</v>
      </c>
      <c r="F2370" s="2" t="s">
        <v>39</v>
      </c>
      <c r="G2370" s="2" t="s">
        <v>70</v>
      </c>
      <c r="H2370" s="2" t="s">
        <v>74</v>
      </c>
      <c r="I2370" s="2">
        <v>8</v>
      </c>
      <c r="J2370" s="2" t="s">
        <v>11</v>
      </c>
      <c r="K2370" s="2"/>
      <c r="L2370" s="2" t="s">
        <v>92</v>
      </c>
      <c r="M2370" s="2"/>
      <c r="N2370" s="2"/>
    </row>
    <row r="2371" spans="1:14" x14ac:dyDescent="0.25">
      <c r="A2371" s="2" t="s">
        <v>6273</v>
      </c>
      <c r="B2371" s="2" t="s">
        <v>6274</v>
      </c>
      <c r="C2371" s="2" t="s">
        <v>16</v>
      </c>
      <c r="D2371" s="2" t="s">
        <v>17</v>
      </c>
      <c r="E2371" s="2" t="s">
        <v>148</v>
      </c>
      <c r="F2371" s="2" t="s">
        <v>131</v>
      </c>
      <c r="G2371" s="2" t="s">
        <v>121</v>
      </c>
      <c r="H2371" s="2" t="s">
        <v>32</v>
      </c>
      <c r="I2371" s="2">
        <v>48</v>
      </c>
      <c r="J2371" s="2" t="s">
        <v>22</v>
      </c>
      <c r="K2371" s="2" t="s">
        <v>6275</v>
      </c>
      <c r="L2371" s="2" t="s">
        <v>24</v>
      </c>
      <c r="M2371" s="2">
        <v>3</v>
      </c>
      <c r="N2371" s="2" t="s">
        <v>43</v>
      </c>
    </row>
    <row r="2372" spans="1:14" x14ac:dyDescent="0.25">
      <c r="A2372" s="2" t="s">
        <v>6276</v>
      </c>
      <c r="B2372" s="2" t="s">
        <v>6277</v>
      </c>
      <c r="C2372" s="2" t="s">
        <v>28</v>
      </c>
      <c r="D2372" s="2" t="s">
        <v>100</v>
      </c>
      <c r="E2372" s="2" t="s">
        <v>18</v>
      </c>
      <c r="F2372" s="2" t="s">
        <v>96</v>
      </c>
      <c r="G2372" s="2" t="s">
        <v>139</v>
      </c>
      <c r="H2372" s="2" t="s">
        <v>21</v>
      </c>
      <c r="I2372" s="2">
        <v>24</v>
      </c>
      <c r="J2372" s="2" t="s">
        <v>106</v>
      </c>
      <c r="K2372" s="2" t="s">
        <v>6278</v>
      </c>
      <c r="L2372" s="2" t="s">
        <v>24</v>
      </c>
      <c r="M2372" s="2">
        <v>3</v>
      </c>
      <c r="N2372" s="2" t="s">
        <v>128</v>
      </c>
    </row>
    <row r="2373" spans="1:14" x14ac:dyDescent="0.25">
      <c r="A2373" s="2" t="s">
        <v>6279</v>
      </c>
      <c r="B2373" s="2" t="s">
        <v>6280</v>
      </c>
      <c r="C2373" s="2" t="s">
        <v>16</v>
      </c>
      <c r="D2373" s="2" t="s">
        <v>84</v>
      </c>
      <c r="E2373" s="2" t="s">
        <v>90</v>
      </c>
      <c r="F2373" s="2" t="s">
        <v>47</v>
      </c>
      <c r="G2373" s="2" t="s">
        <v>211</v>
      </c>
      <c r="H2373" s="2" t="s">
        <v>74</v>
      </c>
      <c r="I2373" s="2">
        <v>8</v>
      </c>
      <c r="J2373" s="2" t="s">
        <v>56</v>
      </c>
      <c r="K2373" s="2" t="s">
        <v>1431</v>
      </c>
      <c r="L2373" s="2" t="s">
        <v>24</v>
      </c>
      <c r="M2373" s="2"/>
      <c r="N2373" s="2"/>
    </row>
    <row r="2374" spans="1:14" x14ac:dyDescent="0.25">
      <c r="A2374" s="2" t="s">
        <v>6281</v>
      </c>
      <c r="B2374" s="2" t="s">
        <v>6282</v>
      </c>
      <c r="C2374" s="2" t="s">
        <v>16</v>
      </c>
      <c r="D2374" s="2" t="s">
        <v>17</v>
      </c>
      <c r="E2374" s="2" t="s">
        <v>46</v>
      </c>
      <c r="F2374" s="2" t="s">
        <v>113</v>
      </c>
      <c r="G2374" s="2" t="s">
        <v>101</v>
      </c>
      <c r="H2374" s="2" t="s">
        <v>32</v>
      </c>
      <c r="I2374" s="2">
        <v>48</v>
      </c>
      <c r="J2374" s="2" t="s">
        <v>33</v>
      </c>
      <c r="K2374" s="2"/>
      <c r="L2374" s="2" t="s">
        <v>24</v>
      </c>
      <c r="M2374" s="2"/>
      <c r="N2374" s="2"/>
    </row>
    <row r="2375" spans="1:14" x14ac:dyDescent="0.25">
      <c r="A2375" s="2" t="s">
        <v>6283</v>
      </c>
      <c r="B2375" s="2" t="s">
        <v>6284</v>
      </c>
      <c r="C2375" s="2" t="s">
        <v>16</v>
      </c>
      <c r="D2375" s="2" t="s">
        <v>17</v>
      </c>
      <c r="E2375" s="2" t="s">
        <v>85</v>
      </c>
      <c r="F2375" s="2" t="s">
        <v>113</v>
      </c>
      <c r="G2375" s="2" t="s">
        <v>110</v>
      </c>
      <c r="H2375" s="2" t="s">
        <v>80</v>
      </c>
      <c r="I2375" s="2">
        <v>4</v>
      </c>
      <c r="J2375" s="2" t="s">
        <v>106</v>
      </c>
      <c r="K2375" s="2" t="s">
        <v>6285</v>
      </c>
      <c r="L2375" s="2" t="s">
        <v>24</v>
      </c>
      <c r="M2375" s="2">
        <v>5</v>
      </c>
      <c r="N2375" s="2" t="s">
        <v>64</v>
      </c>
    </row>
    <row r="2376" spans="1:14" x14ac:dyDescent="0.25">
      <c r="A2376" s="2" t="s">
        <v>6286</v>
      </c>
      <c r="B2376" s="2" t="s">
        <v>6287</v>
      </c>
      <c r="C2376" s="2" t="s">
        <v>16</v>
      </c>
      <c r="D2376" s="2" t="s">
        <v>17</v>
      </c>
      <c r="E2376" s="2" t="s">
        <v>38</v>
      </c>
      <c r="F2376" s="2" t="s">
        <v>131</v>
      </c>
      <c r="G2376" s="2" t="s">
        <v>110</v>
      </c>
      <c r="H2376" s="2" t="s">
        <v>32</v>
      </c>
      <c r="I2376" s="2">
        <v>48</v>
      </c>
      <c r="J2376" s="2" t="s">
        <v>187</v>
      </c>
      <c r="K2376" s="2" t="s">
        <v>6288</v>
      </c>
      <c r="L2376" s="2" t="s">
        <v>24</v>
      </c>
      <c r="M2376" s="2">
        <v>5</v>
      </c>
      <c r="N2376" s="2"/>
    </row>
    <row r="2377" spans="1:14" x14ac:dyDescent="0.25">
      <c r="A2377" s="2" t="s">
        <v>6289</v>
      </c>
      <c r="B2377" s="2" t="s">
        <v>6290</v>
      </c>
      <c r="C2377" s="2" t="s">
        <v>28</v>
      </c>
      <c r="D2377" s="2" t="s">
        <v>100</v>
      </c>
      <c r="E2377" s="2" t="s">
        <v>79</v>
      </c>
      <c r="F2377" s="2" t="s">
        <v>113</v>
      </c>
      <c r="G2377" s="2" t="s">
        <v>183</v>
      </c>
      <c r="H2377" s="2" t="s">
        <v>32</v>
      </c>
      <c r="I2377" s="2">
        <v>48</v>
      </c>
      <c r="J2377" s="2" t="s">
        <v>48</v>
      </c>
      <c r="K2377" s="2" t="s">
        <v>6291</v>
      </c>
      <c r="L2377" s="2" t="s">
        <v>24</v>
      </c>
      <c r="M2377" s="2"/>
      <c r="N2377" s="2" t="s">
        <v>34</v>
      </c>
    </row>
    <row r="2378" spans="1:14" x14ac:dyDescent="0.25">
      <c r="A2378" s="2" t="s">
        <v>6292</v>
      </c>
      <c r="B2378" s="2" t="s">
        <v>6293</v>
      </c>
      <c r="C2378" s="2" t="s">
        <v>28</v>
      </c>
      <c r="D2378" s="2" t="s">
        <v>220</v>
      </c>
      <c r="E2378" s="2" t="s">
        <v>18</v>
      </c>
      <c r="F2378" s="2" t="s">
        <v>69</v>
      </c>
      <c r="G2378" s="2" t="s">
        <v>105</v>
      </c>
      <c r="H2378" s="2" t="s">
        <v>21</v>
      </c>
      <c r="I2378" s="2">
        <v>24</v>
      </c>
      <c r="J2378" s="2" t="s">
        <v>155</v>
      </c>
      <c r="K2378" s="2"/>
      <c r="L2378" s="2" t="s">
        <v>24</v>
      </c>
      <c r="M2378" s="2"/>
      <c r="N2378" s="2" t="s">
        <v>43</v>
      </c>
    </row>
    <row r="2379" spans="1:14" x14ac:dyDescent="0.25">
      <c r="A2379" s="2" t="s">
        <v>6294</v>
      </c>
      <c r="B2379" s="2" t="s">
        <v>6295</v>
      </c>
      <c r="C2379" s="2" t="s">
        <v>28</v>
      </c>
      <c r="D2379" s="2" t="s">
        <v>29</v>
      </c>
      <c r="E2379" s="2" t="s">
        <v>18</v>
      </c>
      <c r="F2379" s="2" t="s">
        <v>113</v>
      </c>
      <c r="G2379" s="2" t="s">
        <v>183</v>
      </c>
      <c r="H2379" s="2" t="s">
        <v>32</v>
      </c>
      <c r="I2379" s="2">
        <v>48</v>
      </c>
      <c r="J2379" s="2" t="s">
        <v>41</v>
      </c>
      <c r="K2379" s="2" t="s">
        <v>6296</v>
      </c>
      <c r="L2379" s="2" t="s">
        <v>92</v>
      </c>
      <c r="M2379" s="2">
        <v>4</v>
      </c>
      <c r="N2379" s="2" t="s">
        <v>34</v>
      </c>
    </row>
    <row r="2380" spans="1:14" x14ac:dyDescent="0.25">
      <c r="A2380" s="2" t="s">
        <v>6297</v>
      </c>
      <c r="B2380" s="2" t="s">
        <v>6298</v>
      </c>
      <c r="C2380" s="2" t="s">
        <v>53</v>
      </c>
      <c r="D2380" s="2" t="s">
        <v>771</v>
      </c>
      <c r="E2380" s="2" t="s">
        <v>38</v>
      </c>
      <c r="F2380" s="2" t="s">
        <v>143</v>
      </c>
      <c r="G2380" s="2" t="s">
        <v>139</v>
      </c>
      <c r="H2380" s="2" t="s">
        <v>21</v>
      </c>
      <c r="I2380" s="2">
        <v>24</v>
      </c>
      <c r="J2380" s="2" t="s">
        <v>106</v>
      </c>
      <c r="K2380" s="2" t="s">
        <v>6299</v>
      </c>
      <c r="L2380" s="2" t="s">
        <v>24</v>
      </c>
      <c r="M2380" s="2">
        <v>5</v>
      </c>
      <c r="N2380" s="2" t="s">
        <v>128</v>
      </c>
    </row>
    <row r="2381" spans="1:14" x14ac:dyDescent="0.25">
      <c r="A2381" s="2" t="s">
        <v>6300</v>
      </c>
      <c r="B2381" s="2" t="s">
        <v>6301</v>
      </c>
      <c r="C2381" s="2" t="s">
        <v>28</v>
      </c>
      <c r="D2381" s="2" t="s">
        <v>100</v>
      </c>
      <c r="E2381" s="2" t="s">
        <v>38</v>
      </c>
      <c r="F2381" s="2" t="s">
        <v>19</v>
      </c>
      <c r="G2381" s="2" t="s">
        <v>183</v>
      </c>
      <c r="H2381" s="2" t="s">
        <v>21</v>
      </c>
      <c r="I2381" s="2">
        <v>24</v>
      </c>
      <c r="J2381" s="2" t="s">
        <v>22</v>
      </c>
      <c r="K2381" s="2" t="s">
        <v>6302</v>
      </c>
      <c r="L2381" s="2" t="s">
        <v>24</v>
      </c>
      <c r="M2381" s="2">
        <v>2</v>
      </c>
      <c r="N2381" s="2" t="s">
        <v>43</v>
      </c>
    </row>
    <row r="2382" spans="1:14" x14ac:dyDescent="0.25">
      <c r="A2382" s="2" t="s">
        <v>6303</v>
      </c>
      <c r="B2382" s="2" t="s">
        <v>6304</v>
      </c>
      <c r="C2382" s="2" t="s">
        <v>67</v>
      </c>
      <c r="D2382" s="2" t="s">
        <v>95</v>
      </c>
      <c r="E2382" s="2" t="s">
        <v>85</v>
      </c>
      <c r="F2382" s="2" t="s">
        <v>131</v>
      </c>
      <c r="G2382" s="2" t="s">
        <v>40</v>
      </c>
      <c r="H2382" s="2" t="s">
        <v>74</v>
      </c>
      <c r="I2382" s="2">
        <v>8</v>
      </c>
      <c r="J2382" s="2" t="s">
        <v>56</v>
      </c>
      <c r="K2382" s="2" t="s">
        <v>6305</v>
      </c>
      <c r="L2382" s="2" t="s">
        <v>24</v>
      </c>
      <c r="M2382" s="2"/>
      <c r="N2382" s="2" t="s">
        <v>64</v>
      </c>
    </row>
    <row r="2383" spans="1:14" x14ac:dyDescent="0.25">
      <c r="A2383" s="2" t="s">
        <v>6306</v>
      </c>
      <c r="B2383" s="2" t="s">
        <v>6307</v>
      </c>
      <c r="C2383" s="2" t="s">
        <v>28</v>
      </c>
      <c r="D2383" s="2" t="s">
        <v>37</v>
      </c>
      <c r="E2383" s="2" t="s">
        <v>18</v>
      </c>
      <c r="F2383" s="2" t="s">
        <v>69</v>
      </c>
      <c r="G2383" s="2" t="s">
        <v>101</v>
      </c>
      <c r="H2383" s="2" t="s">
        <v>21</v>
      </c>
      <c r="I2383" s="2">
        <v>24</v>
      </c>
      <c r="J2383" s="2" t="s">
        <v>191</v>
      </c>
      <c r="K2383" s="2" t="s">
        <v>6308</v>
      </c>
      <c r="L2383" s="2" t="s">
        <v>24</v>
      </c>
      <c r="M2383" s="2"/>
      <c r="N2383" s="2" t="s">
        <v>58</v>
      </c>
    </row>
    <row r="2384" spans="1:14" x14ac:dyDescent="0.25">
      <c r="A2384" s="2" t="s">
        <v>6309</v>
      </c>
      <c r="B2384" s="2" t="s">
        <v>6310</v>
      </c>
      <c r="C2384" s="2" t="s">
        <v>67</v>
      </c>
      <c r="D2384" s="2" t="s">
        <v>68</v>
      </c>
      <c r="E2384" s="2" t="s">
        <v>38</v>
      </c>
      <c r="F2384" s="2" t="s">
        <v>69</v>
      </c>
      <c r="G2384" s="2" t="s">
        <v>40</v>
      </c>
      <c r="H2384" s="2" t="s">
        <v>32</v>
      </c>
      <c r="I2384" s="2">
        <v>48</v>
      </c>
      <c r="J2384" s="2" t="s">
        <v>187</v>
      </c>
      <c r="K2384" s="2" t="s">
        <v>6311</v>
      </c>
      <c r="L2384" s="2" t="s">
        <v>24</v>
      </c>
      <c r="M2384" s="2">
        <v>5</v>
      </c>
      <c r="N2384" s="2" t="s">
        <v>118</v>
      </c>
    </row>
    <row r="2385" spans="1:14" x14ac:dyDescent="0.25">
      <c r="A2385" s="2" t="s">
        <v>6312</v>
      </c>
      <c r="B2385" s="2" t="s">
        <v>6313</v>
      </c>
      <c r="C2385" s="2" t="s">
        <v>28</v>
      </c>
      <c r="D2385" s="2" t="s">
        <v>37</v>
      </c>
      <c r="E2385" s="2" t="s">
        <v>38</v>
      </c>
      <c r="F2385" s="2" t="s">
        <v>69</v>
      </c>
      <c r="G2385" s="2" t="s">
        <v>40</v>
      </c>
      <c r="H2385" s="2" t="s">
        <v>74</v>
      </c>
      <c r="I2385" s="2">
        <v>8</v>
      </c>
      <c r="J2385" s="2" t="s">
        <v>191</v>
      </c>
      <c r="K2385" s="2" t="s">
        <v>6314</v>
      </c>
      <c r="L2385" s="2" t="s">
        <v>24</v>
      </c>
      <c r="M2385" s="2"/>
      <c r="N2385" s="2" t="s">
        <v>64</v>
      </c>
    </row>
    <row r="2386" spans="1:14" x14ac:dyDescent="0.25">
      <c r="A2386" s="2" t="s">
        <v>6315</v>
      </c>
      <c r="B2386" s="2" t="s">
        <v>6316</v>
      </c>
      <c r="C2386" s="2" t="s">
        <v>53</v>
      </c>
      <c r="D2386" s="2" t="s">
        <v>54</v>
      </c>
      <c r="E2386" s="2" t="s">
        <v>148</v>
      </c>
      <c r="F2386" s="2" t="s">
        <v>143</v>
      </c>
      <c r="G2386" s="2" t="s">
        <v>183</v>
      </c>
      <c r="H2386" s="2" t="s">
        <v>21</v>
      </c>
      <c r="I2386" s="2">
        <v>24</v>
      </c>
      <c r="J2386" s="2" t="s">
        <v>22</v>
      </c>
      <c r="K2386" s="2" t="s">
        <v>6317</v>
      </c>
      <c r="L2386" s="2" t="s">
        <v>24</v>
      </c>
      <c r="M2386" s="2"/>
      <c r="N2386" s="2" t="s">
        <v>58</v>
      </c>
    </row>
    <row r="2387" spans="1:14" x14ac:dyDescent="0.25">
      <c r="A2387" s="2" t="s">
        <v>6318</v>
      </c>
      <c r="B2387" s="2" t="s">
        <v>6319</v>
      </c>
      <c r="C2387" s="2" t="s">
        <v>16</v>
      </c>
      <c r="D2387" s="2" t="s">
        <v>765</v>
      </c>
      <c r="E2387" s="2" t="s">
        <v>18</v>
      </c>
      <c r="F2387" s="2" t="s">
        <v>30</v>
      </c>
      <c r="G2387" s="2" t="s">
        <v>91</v>
      </c>
      <c r="H2387" s="2" t="s">
        <v>32</v>
      </c>
      <c r="I2387" s="2">
        <v>48</v>
      </c>
      <c r="J2387" s="2" t="s">
        <v>287</v>
      </c>
      <c r="K2387" s="2"/>
      <c r="L2387" s="2" t="s">
        <v>24</v>
      </c>
      <c r="M2387" s="2"/>
      <c r="N2387" s="2" t="s">
        <v>64</v>
      </c>
    </row>
    <row r="2388" spans="1:14" x14ac:dyDescent="0.25">
      <c r="A2388" s="2" t="s">
        <v>6320</v>
      </c>
      <c r="B2388" s="2" t="s">
        <v>6321</v>
      </c>
      <c r="C2388" s="2" t="s">
        <v>28</v>
      </c>
      <c r="D2388" s="2" t="s">
        <v>37</v>
      </c>
      <c r="E2388" s="2" t="s">
        <v>148</v>
      </c>
      <c r="F2388" s="2" t="s">
        <v>62</v>
      </c>
      <c r="G2388" s="2" t="s">
        <v>135</v>
      </c>
      <c r="H2388" s="2" t="s">
        <v>21</v>
      </c>
      <c r="I2388" s="2">
        <v>24</v>
      </c>
      <c r="J2388" s="2" t="s">
        <v>75</v>
      </c>
      <c r="K2388" s="2" t="s">
        <v>6322</v>
      </c>
      <c r="L2388" s="2" t="s">
        <v>24</v>
      </c>
      <c r="M2388" s="2">
        <v>3</v>
      </c>
      <c r="N2388" s="2" t="s">
        <v>128</v>
      </c>
    </row>
    <row r="2389" spans="1:14" x14ac:dyDescent="0.25">
      <c r="A2389" s="2" t="s">
        <v>6323</v>
      </c>
      <c r="B2389" s="2" t="s">
        <v>6324</v>
      </c>
      <c r="C2389" s="2" t="s">
        <v>28</v>
      </c>
      <c r="D2389" s="2" t="s">
        <v>100</v>
      </c>
      <c r="E2389" s="2" t="s">
        <v>38</v>
      </c>
      <c r="F2389" s="2" t="s">
        <v>19</v>
      </c>
      <c r="G2389" s="2" t="s">
        <v>101</v>
      </c>
      <c r="H2389" s="2" t="s">
        <v>21</v>
      </c>
      <c r="I2389" s="2">
        <v>24</v>
      </c>
      <c r="J2389" s="2" t="s">
        <v>232</v>
      </c>
      <c r="K2389" s="2"/>
      <c r="L2389" s="2" t="s">
        <v>92</v>
      </c>
      <c r="M2389" s="2"/>
      <c r="N2389" s="2" t="s">
        <v>58</v>
      </c>
    </row>
    <row r="2390" spans="1:14" x14ac:dyDescent="0.25">
      <c r="A2390" s="2" t="s">
        <v>6325</v>
      </c>
      <c r="B2390" s="2" t="s">
        <v>6326</v>
      </c>
      <c r="C2390" s="2" t="s">
        <v>28</v>
      </c>
      <c r="D2390" s="2" t="s">
        <v>100</v>
      </c>
      <c r="E2390" s="2" t="s">
        <v>90</v>
      </c>
      <c r="F2390" s="2" t="s">
        <v>131</v>
      </c>
      <c r="G2390" s="2" t="s">
        <v>91</v>
      </c>
      <c r="H2390" s="2" t="s">
        <v>80</v>
      </c>
      <c r="I2390" s="2">
        <v>4</v>
      </c>
      <c r="J2390" s="2" t="s">
        <v>287</v>
      </c>
      <c r="K2390" s="2"/>
      <c r="L2390" s="2" t="s">
        <v>24</v>
      </c>
      <c r="M2390" s="2"/>
      <c r="N2390" s="2" t="s">
        <v>25</v>
      </c>
    </row>
    <row r="2391" spans="1:14" x14ac:dyDescent="0.25">
      <c r="A2391" s="2" t="s">
        <v>6327</v>
      </c>
      <c r="B2391" s="2" t="s">
        <v>6328</v>
      </c>
      <c r="C2391" s="2" t="s">
        <v>16</v>
      </c>
      <c r="D2391" s="2" t="s">
        <v>84</v>
      </c>
      <c r="E2391" s="2" t="s">
        <v>85</v>
      </c>
      <c r="F2391" s="2" t="s">
        <v>143</v>
      </c>
      <c r="G2391" s="2" t="s">
        <v>91</v>
      </c>
      <c r="H2391" s="2" t="s">
        <v>21</v>
      </c>
      <c r="I2391" s="2">
        <v>24</v>
      </c>
      <c r="J2391" s="2" t="s">
        <v>41</v>
      </c>
      <c r="K2391" s="2" t="s">
        <v>6329</v>
      </c>
      <c r="L2391" s="2" t="s">
        <v>24</v>
      </c>
      <c r="M2391" s="2">
        <v>4</v>
      </c>
      <c r="N2391" s="2" t="s">
        <v>64</v>
      </c>
    </row>
    <row r="2392" spans="1:14" x14ac:dyDescent="0.25">
      <c r="A2392" s="2" t="s">
        <v>6330</v>
      </c>
      <c r="B2392" s="2" t="s">
        <v>6331</v>
      </c>
      <c r="C2392" s="2" t="s">
        <v>67</v>
      </c>
      <c r="D2392" s="2" t="s">
        <v>68</v>
      </c>
      <c r="E2392" s="2" t="s">
        <v>46</v>
      </c>
      <c r="F2392" s="2" t="s">
        <v>125</v>
      </c>
      <c r="G2392" s="2" t="s">
        <v>179</v>
      </c>
      <c r="H2392" s="2" t="s">
        <v>21</v>
      </c>
      <c r="I2392" s="2">
        <v>24</v>
      </c>
      <c r="J2392" s="2" t="s">
        <v>117</v>
      </c>
      <c r="K2392" s="2"/>
      <c r="L2392" s="2" t="s">
        <v>24</v>
      </c>
      <c r="M2392" s="2"/>
      <c r="N2392" s="2" t="s">
        <v>118</v>
      </c>
    </row>
    <row r="2393" spans="1:14" x14ac:dyDescent="0.25">
      <c r="A2393" s="2" t="s">
        <v>6332</v>
      </c>
      <c r="B2393" s="2" t="s">
        <v>6333</v>
      </c>
      <c r="C2393" s="2" t="s">
        <v>28</v>
      </c>
      <c r="D2393" s="2" t="s">
        <v>37</v>
      </c>
      <c r="E2393" s="2" t="s">
        <v>46</v>
      </c>
      <c r="F2393" s="2" t="s">
        <v>39</v>
      </c>
      <c r="G2393" s="2" t="s">
        <v>97</v>
      </c>
      <c r="H2393" s="2" t="s">
        <v>32</v>
      </c>
      <c r="I2393" s="2">
        <v>48</v>
      </c>
      <c r="J2393" s="2" t="s">
        <v>22</v>
      </c>
      <c r="K2393" s="2" t="s">
        <v>6334</v>
      </c>
      <c r="L2393" s="2" t="s">
        <v>24</v>
      </c>
      <c r="M2393" s="2">
        <v>2</v>
      </c>
      <c r="N2393" s="2" t="s">
        <v>50</v>
      </c>
    </row>
    <row r="2394" spans="1:14" x14ac:dyDescent="0.25">
      <c r="A2394" s="2" t="s">
        <v>6335</v>
      </c>
      <c r="B2394" s="2" t="s">
        <v>6336</v>
      </c>
      <c r="C2394" s="2" t="s">
        <v>28</v>
      </c>
      <c r="D2394" s="2" t="s">
        <v>37</v>
      </c>
      <c r="E2394" s="2" t="s">
        <v>18</v>
      </c>
      <c r="F2394" s="2" t="s">
        <v>69</v>
      </c>
      <c r="G2394" s="2" t="s">
        <v>144</v>
      </c>
      <c r="H2394" s="2" t="s">
        <v>21</v>
      </c>
      <c r="I2394" s="2">
        <v>24</v>
      </c>
      <c r="J2394" s="2" t="s">
        <v>200</v>
      </c>
      <c r="K2394" s="2"/>
      <c r="L2394" s="2" t="s">
        <v>92</v>
      </c>
      <c r="M2394" s="2"/>
      <c r="N2394" s="2" t="s">
        <v>43</v>
      </c>
    </row>
    <row r="2395" spans="1:14" x14ac:dyDescent="0.25">
      <c r="A2395" s="2" t="s">
        <v>6337</v>
      </c>
      <c r="B2395" s="2" t="s">
        <v>6338</v>
      </c>
      <c r="C2395" s="2" t="s">
        <v>28</v>
      </c>
      <c r="D2395" s="2" t="s">
        <v>100</v>
      </c>
      <c r="E2395" s="2" t="s">
        <v>79</v>
      </c>
      <c r="F2395" s="2" t="s">
        <v>62</v>
      </c>
      <c r="G2395" s="2" t="s">
        <v>158</v>
      </c>
      <c r="H2395" s="2" t="s">
        <v>32</v>
      </c>
      <c r="I2395" s="2">
        <v>48</v>
      </c>
      <c r="J2395" s="2" t="s">
        <v>11</v>
      </c>
      <c r="K2395" s="2"/>
      <c r="L2395" s="2" t="s">
        <v>92</v>
      </c>
      <c r="M2395" s="2"/>
      <c r="N2395" s="2" t="s">
        <v>34</v>
      </c>
    </row>
    <row r="2396" spans="1:14" x14ac:dyDescent="0.25">
      <c r="A2396" s="2" t="s">
        <v>6339</v>
      </c>
      <c r="B2396" s="2" t="s">
        <v>6340</v>
      </c>
      <c r="C2396" s="2" t="s">
        <v>53</v>
      </c>
      <c r="D2396" s="2" t="s">
        <v>61</v>
      </c>
      <c r="E2396" s="2" t="s">
        <v>18</v>
      </c>
      <c r="F2396" s="2" t="s">
        <v>131</v>
      </c>
      <c r="G2396" s="2" t="s">
        <v>211</v>
      </c>
      <c r="H2396" s="2" t="s">
        <v>32</v>
      </c>
      <c r="I2396" s="2">
        <v>48</v>
      </c>
      <c r="J2396" s="2" t="s">
        <v>22</v>
      </c>
      <c r="K2396" s="2" t="s">
        <v>6341</v>
      </c>
      <c r="L2396" s="2" t="s">
        <v>24</v>
      </c>
      <c r="M2396" s="2"/>
      <c r="N2396" s="2"/>
    </row>
    <row r="2397" spans="1:14" x14ac:dyDescent="0.25">
      <c r="A2397" s="2" t="s">
        <v>6342</v>
      </c>
      <c r="B2397" s="2" t="s">
        <v>6343</v>
      </c>
      <c r="C2397" s="2" t="s">
        <v>16</v>
      </c>
      <c r="D2397" s="2" t="s">
        <v>84</v>
      </c>
      <c r="E2397" s="2" t="s">
        <v>148</v>
      </c>
      <c r="F2397" s="2" t="s">
        <v>131</v>
      </c>
      <c r="G2397" s="2" t="s">
        <v>31</v>
      </c>
      <c r="H2397" s="2" t="s">
        <v>21</v>
      </c>
      <c r="I2397" s="2">
        <v>24</v>
      </c>
      <c r="J2397" s="2" t="s">
        <v>22</v>
      </c>
      <c r="K2397" s="2" t="s">
        <v>6344</v>
      </c>
      <c r="L2397" s="2" t="s">
        <v>24</v>
      </c>
      <c r="M2397" s="2"/>
      <c r="N2397" s="2" t="s">
        <v>50</v>
      </c>
    </row>
    <row r="2398" spans="1:14" x14ac:dyDescent="0.25">
      <c r="A2398" s="2" t="s">
        <v>6345</v>
      </c>
      <c r="B2398" s="2" t="s">
        <v>6346</v>
      </c>
      <c r="C2398" s="2" t="s">
        <v>53</v>
      </c>
      <c r="D2398" s="2" t="s">
        <v>61</v>
      </c>
      <c r="E2398" s="2" t="s">
        <v>85</v>
      </c>
      <c r="F2398" s="2" t="s">
        <v>19</v>
      </c>
      <c r="G2398" s="2" t="s">
        <v>101</v>
      </c>
      <c r="H2398" s="2" t="s">
        <v>32</v>
      </c>
      <c r="I2398" s="2">
        <v>48</v>
      </c>
      <c r="J2398" s="2" t="s">
        <v>41</v>
      </c>
      <c r="K2398" s="2" t="s">
        <v>6347</v>
      </c>
      <c r="L2398" s="2" t="s">
        <v>92</v>
      </c>
      <c r="M2398" s="2"/>
      <c r="N2398" s="2"/>
    </row>
    <row r="2399" spans="1:14" x14ac:dyDescent="0.25">
      <c r="A2399" s="2" t="s">
        <v>6348</v>
      </c>
      <c r="B2399" s="2" t="s">
        <v>6349</v>
      </c>
      <c r="C2399" s="2" t="s">
        <v>16</v>
      </c>
      <c r="D2399" s="2" t="s">
        <v>765</v>
      </c>
      <c r="E2399" s="2" t="s">
        <v>46</v>
      </c>
      <c r="F2399" s="2" t="s">
        <v>143</v>
      </c>
      <c r="G2399" s="2" t="s">
        <v>101</v>
      </c>
      <c r="H2399" s="2" t="s">
        <v>21</v>
      </c>
      <c r="I2399" s="2">
        <v>24</v>
      </c>
      <c r="J2399" s="2" t="s">
        <v>486</v>
      </c>
      <c r="K2399" s="2" t="s">
        <v>6350</v>
      </c>
      <c r="L2399" s="2" t="s">
        <v>24</v>
      </c>
      <c r="M2399" s="2"/>
      <c r="N2399" s="2" t="s">
        <v>43</v>
      </c>
    </row>
    <row r="2400" spans="1:14" x14ac:dyDescent="0.25">
      <c r="A2400" s="2" t="s">
        <v>6351</v>
      </c>
      <c r="B2400" s="2" t="s">
        <v>6352</v>
      </c>
      <c r="C2400" s="2" t="s">
        <v>67</v>
      </c>
      <c r="D2400" s="2" t="s">
        <v>68</v>
      </c>
      <c r="E2400" s="2" t="s">
        <v>38</v>
      </c>
      <c r="F2400" s="2" t="s">
        <v>55</v>
      </c>
      <c r="G2400" s="2" t="s">
        <v>121</v>
      </c>
      <c r="H2400" s="2" t="s">
        <v>21</v>
      </c>
      <c r="I2400" s="2">
        <v>24</v>
      </c>
      <c r="J2400" s="2" t="s">
        <v>187</v>
      </c>
      <c r="K2400" s="2" t="s">
        <v>6353</v>
      </c>
      <c r="L2400" s="2" t="s">
        <v>24</v>
      </c>
      <c r="M2400" s="2">
        <v>3</v>
      </c>
      <c r="N2400" s="2" t="s">
        <v>118</v>
      </c>
    </row>
    <row r="2401" spans="1:14" x14ac:dyDescent="0.25">
      <c r="A2401" s="2" t="s">
        <v>2338</v>
      </c>
      <c r="B2401" s="2" t="s">
        <v>2339</v>
      </c>
      <c r="C2401" s="2" t="s">
        <v>53</v>
      </c>
      <c r="D2401" s="2" t="s">
        <v>61</v>
      </c>
      <c r="E2401" s="2" t="s">
        <v>90</v>
      </c>
      <c r="F2401" s="2" t="s">
        <v>62</v>
      </c>
      <c r="G2401" s="2" t="s">
        <v>101</v>
      </c>
      <c r="H2401" s="2" t="s">
        <v>21</v>
      </c>
      <c r="I2401" s="2">
        <v>24</v>
      </c>
      <c r="J2401" s="2" t="s">
        <v>200</v>
      </c>
      <c r="K2401" s="2"/>
      <c r="L2401" s="2" t="s">
        <v>92</v>
      </c>
      <c r="M2401" s="2"/>
      <c r="N2401" s="2" t="s">
        <v>50</v>
      </c>
    </row>
    <row r="2402" spans="1:14" x14ac:dyDescent="0.25">
      <c r="A2402" s="2" t="s">
        <v>6354</v>
      </c>
      <c r="B2402" s="2" t="s">
        <v>6355</v>
      </c>
      <c r="C2402" s="2" t="s">
        <v>53</v>
      </c>
      <c r="D2402" s="2" t="s">
        <v>54</v>
      </c>
      <c r="E2402" s="2" t="s">
        <v>38</v>
      </c>
      <c r="F2402" s="2" t="s">
        <v>30</v>
      </c>
      <c r="G2402" s="2" t="s">
        <v>101</v>
      </c>
      <c r="H2402" s="2" t="s">
        <v>21</v>
      </c>
      <c r="I2402" s="2">
        <v>24</v>
      </c>
      <c r="J2402" s="2" t="s">
        <v>287</v>
      </c>
      <c r="K2402" s="2"/>
      <c r="L2402" s="2" t="s">
        <v>24</v>
      </c>
      <c r="M2402" s="2"/>
      <c r="N2402" s="2"/>
    </row>
    <row r="2403" spans="1:14" x14ac:dyDescent="0.25">
      <c r="A2403" s="2" t="s">
        <v>6356</v>
      </c>
      <c r="B2403" s="2" t="s">
        <v>6357</v>
      </c>
      <c r="C2403" s="2" t="s">
        <v>53</v>
      </c>
      <c r="D2403" s="2" t="s">
        <v>61</v>
      </c>
      <c r="E2403" s="2" t="s">
        <v>18</v>
      </c>
      <c r="F2403" s="2" t="s">
        <v>62</v>
      </c>
      <c r="G2403" s="2" t="s">
        <v>70</v>
      </c>
      <c r="H2403" s="2" t="s">
        <v>21</v>
      </c>
      <c r="I2403" s="2">
        <v>24</v>
      </c>
      <c r="J2403" s="2" t="s">
        <v>41</v>
      </c>
      <c r="K2403" s="2" t="s">
        <v>6358</v>
      </c>
      <c r="L2403" s="2" t="s">
        <v>24</v>
      </c>
      <c r="M2403" s="2">
        <v>2</v>
      </c>
      <c r="N2403" s="2"/>
    </row>
    <row r="2404" spans="1:14" x14ac:dyDescent="0.25">
      <c r="A2404" s="2" t="s">
        <v>6359</v>
      </c>
      <c r="B2404" s="2" t="s">
        <v>6360</v>
      </c>
      <c r="C2404" s="2" t="s">
        <v>67</v>
      </c>
      <c r="D2404" s="2" t="s">
        <v>68</v>
      </c>
      <c r="E2404" s="2" t="s">
        <v>148</v>
      </c>
      <c r="F2404" s="2" t="s">
        <v>62</v>
      </c>
      <c r="G2404" s="2" t="s">
        <v>91</v>
      </c>
      <c r="H2404" s="2" t="s">
        <v>74</v>
      </c>
      <c r="I2404" s="2">
        <v>8</v>
      </c>
      <c r="J2404" s="2" t="s">
        <v>187</v>
      </c>
      <c r="K2404" s="2" t="s">
        <v>6361</v>
      </c>
      <c r="L2404" s="2" t="s">
        <v>24</v>
      </c>
      <c r="M2404" s="2"/>
      <c r="N2404" s="2" t="s">
        <v>118</v>
      </c>
    </row>
    <row r="2405" spans="1:14" x14ac:dyDescent="0.25">
      <c r="A2405" s="2" t="s">
        <v>6362</v>
      </c>
      <c r="B2405" s="2" t="s">
        <v>6363</v>
      </c>
      <c r="C2405" s="2" t="s">
        <v>53</v>
      </c>
      <c r="D2405" s="2" t="s">
        <v>61</v>
      </c>
      <c r="E2405" s="2" t="s">
        <v>148</v>
      </c>
      <c r="F2405" s="2" t="s">
        <v>125</v>
      </c>
      <c r="G2405" s="2" t="s">
        <v>101</v>
      </c>
      <c r="H2405" s="2" t="s">
        <v>32</v>
      </c>
      <c r="I2405" s="2">
        <v>48</v>
      </c>
      <c r="J2405" s="2" t="s">
        <v>287</v>
      </c>
      <c r="K2405" s="2"/>
      <c r="L2405" s="2" t="s">
        <v>24</v>
      </c>
      <c r="M2405" s="2"/>
      <c r="N2405" s="2" t="s">
        <v>58</v>
      </c>
    </row>
    <row r="2406" spans="1:14" x14ac:dyDescent="0.25">
      <c r="A2406" s="2" t="s">
        <v>6364</v>
      </c>
      <c r="B2406" s="2" t="s">
        <v>6365</v>
      </c>
      <c r="C2406" s="2" t="s">
        <v>16</v>
      </c>
      <c r="D2406" s="2" t="s">
        <v>84</v>
      </c>
      <c r="E2406" s="2" t="s">
        <v>18</v>
      </c>
      <c r="F2406" s="2" t="s">
        <v>47</v>
      </c>
      <c r="G2406" s="2" t="s">
        <v>105</v>
      </c>
      <c r="H2406" s="2" t="s">
        <v>80</v>
      </c>
      <c r="I2406" s="2">
        <v>4</v>
      </c>
      <c r="J2406" s="2" t="s">
        <v>56</v>
      </c>
      <c r="K2406" s="2" t="s">
        <v>6366</v>
      </c>
      <c r="L2406" s="2" t="s">
        <v>24</v>
      </c>
      <c r="M2406" s="2"/>
      <c r="N2406" s="2" t="s">
        <v>50</v>
      </c>
    </row>
    <row r="2407" spans="1:14" x14ac:dyDescent="0.25">
      <c r="A2407" s="2" t="s">
        <v>6367</v>
      </c>
      <c r="B2407" s="2" t="s">
        <v>6368</v>
      </c>
      <c r="C2407" s="2" t="s">
        <v>16</v>
      </c>
      <c r="D2407" s="2" t="s">
        <v>17</v>
      </c>
      <c r="E2407" s="2" t="s">
        <v>79</v>
      </c>
      <c r="F2407" s="2" t="s">
        <v>39</v>
      </c>
      <c r="G2407" s="2" t="s">
        <v>158</v>
      </c>
      <c r="H2407" s="2" t="s">
        <v>74</v>
      </c>
      <c r="I2407" s="2">
        <v>8</v>
      </c>
      <c r="J2407" s="2" t="s">
        <v>155</v>
      </c>
      <c r="K2407" s="2"/>
      <c r="L2407" s="2" t="s">
        <v>24</v>
      </c>
      <c r="M2407" s="2"/>
      <c r="N2407" s="2" t="s">
        <v>50</v>
      </c>
    </row>
    <row r="2408" spans="1:14" x14ac:dyDescent="0.25">
      <c r="A2408" s="2" t="s">
        <v>6369</v>
      </c>
      <c r="B2408" s="2" t="s">
        <v>6370</v>
      </c>
      <c r="C2408" s="2" t="s">
        <v>28</v>
      </c>
      <c r="D2408" s="2" t="s">
        <v>37</v>
      </c>
      <c r="E2408" s="2" t="s">
        <v>79</v>
      </c>
      <c r="F2408" s="2" t="s">
        <v>69</v>
      </c>
      <c r="G2408" s="2" t="s">
        <v>91</v>
      </c>
      <c r="H2408" s="2" t="s">
        <v>32</v>
      </c>
      <c r="I2408" s="2">
        <v>48</v>
      </c>
      <c r="J2408" s="2" t="s">
        <v>191</v>
      </c>
      <c r="K2408" s="2" t="s">
        <v>6371</v>
      </c>
      <c r="L2408" s="2" t="s">
        <v>24</v>
      </c>
      <c r="M2408" s="2"/>
      <c r="N2408" s="2"/>
    </row>
    <row r="2409" spans="1:14" x14ac:dyDescent="0.25">
      <c r="A2409" s="2" t="s">
        <v>6372</v>
      </c>
      <c r="B2409" s="2" t="s">
        <v>6373</v>
      </c>
      <c r="C2409" s="2" t="s">
        <v>53</v>
      </c>
      <c r="D2409" s="2" t="s">
        <v>54</v>
      </c>
      <c r="E2409" s="2" t="s">
        <v>148</v>
      </c>
      <c r="F2409" s="2" t="s">
        <v>96</v>
      </c>
      <c r="G2409" s="2" t="s">
        <v>158</v>
      </c>
      <c r="H2409" s="2" t="s">
        <v>21</v>
      </c>
      <c r="I2409" s="2">
        <v>24</v>
      </c>
      <c r="J2409" s="2" t="s">
        <v>106</v>
      </c>
      <c r="K2409" s="2" t="s">
        <v>6374</v>
      </c>
      <c r="L2409" s="2" t="s">
        <v>24</v>
      </c>
      <c r="M2409" s="2"/>
      <c r="N2409" s="2" t="s">
        <v>128</v>
      </c>
    </row>
    <row r="2410" spans="1:14" x14ac:dyDescent="0.25">
      <c r="A2410" s="2" t="s">
        <v>6375</v>
      </c>
      <c r="B2410" s="2" t="s">
        <v>6376</v>
      </c>
      <c r="C2410" s="2" t="s">
        <v>67</v>
      </c>
      <c r="D2410" s="2" t="s">
        <v>95</v>
      </c>
      <c r="E2410" s="2" t="s">
        <v>38</v>
      </c>
      <c r="F2410" s="2" t="s">
        <v>47</v>
      </c>
      <c r="G2410" s="2" t="s">
        <v>144</v>
      </c>
      <c r="H2410" s="2" t="s">
        <v>21</v>
      </c>
      <c r="I2410" s="2">
        <v>24</v>
      </c>
      <c r="J2410" s="2" t="s">
        <v>75</v>
      </c>
      <c r="K2410" s="2" t="s">
        <v>6377</v>
      </c>
      <c r="L2410" s="2" t="s">
        <v>24</v>
      </c>
      <c r="M2410" s="2">
        <v>3</v>
      </c>
      <c r="N2410" s="2" t="s">
        <v>25</v>
      </c>
    </row>
    <row r="2411" spans="1:14" x14ac:dyDescent="0.25">
      <c r="A2411" s="2" t="s">
        <v>6378</v>
      </c>
      <c r="B2411" s="2" t="s">
        <v>6379</v>
      </c>
      <c r="C2411" s="2" t="s">
        <v>16</v>
      </c>
      <c r="D2411" s="2" t="s">
        <v>84</v>
      </c>
      <c r="E2411" s="2" t="s">
        <v>79</v>
      </c>
      <c r="F2411" s="2" t="s">
        <v>96</v>
      </c>
      <c r="G2411" s="2" t="s">
        <v>179</v>
      </c>
      <c r="H2411" s="2" t="s">
        <v>21</v>
      </c>
      <c r="I2411" s="2">
        <v>24</v>
      </c>
      <c r="J2411" s="2" t="s">
        <v>106</v>
      </c>
      <c r="K2411" s="2" t="s">
        <v>6380</v>
      </c>
      <c r="L2411" s="2" t="s">
        <v>24</v>
      </c>
      <c r="M2411" s="2"/>
      <c r="N2411" s="2" t="s">
        <v>34</v>
      </c>
    </row>
    <row r="2412" spans="1:14" x14ac:dyDescent="0.25">
      <c r="A2412" s="2" t="s">
        <v>6381</v>
      </c>
      <c r="B2412" s="2" t="s">
        <v>6382</v>
      </c>
      <c r="C2412" s="2" t="s">
        <v>28</v>
      </c>
      <c r="D2412" s="2" t="s">
        <v>37</v>
      </c>
      <c r="E2412" s="2" t="s">
        <v>46</v>
      </c>
      <c r="F2412" s="2" t="s">
        <v>47</v>
      </c>
      <c r="G2412" s="2" t="s">
        <v>135</v>
      </c>
      <c r="H2412" s="2" t="s">
        <v>74</v>
      </c>
      <c r="I2412" s="2">
        <v>8</v>
      </c>
      <c r="J2412" s="2" t="s">
        <v>117</v>
      </c>
      <c r="K2412" s="2"/>
      <c r="L2412" s="2" t="s">
        <v>24</v>
      </c>
      <c r="M2412" s="2"/>
      <c r="N2412" s="2" t="s">
        <v>43</v>
      </c>
    </row>
    <row r="2413" spans="1:14" x14ac:dyDescent="0.25">
      <c r="A2413" s="2" t="s">
        <v>6383</v>
      </c>
      <c r="B2413" s="2" t="s">
        <v>6384</v>
      </c>
      <c r="C2413" s="2" t="s">
        <v>53</v>
      </c>
      <c r="D2413" s="2" t="s">
        <v>61</v>
      </c>
      <c r="E2413" s="2" t="s">
        <v>85</v>
      </c>
      <c r="F2413" s="2" t="s">
        <v>125</v>
      </c>
      <c r="G2413" s="2" t="s">
        <v>121</v>
      </c>
      <c r="H2413" s="2" t="s">
        <v>21</v>
      </c>
      <c r="I2413" s="2">
        <v>24</v>
      </c>
      <c r="J2413" s="2" t="s">
        <v>287</v>
      </c>
      <c r="K2413" s="2"/>
      <c r="L2413" s="2" t="s">
        <v>24</v>
      </c>
      <c r="M2413" s="2"/>
      <c r="N2413" s="2"/>
    </row>
    <row r="2414" spans="1:14" x14ac:dyDescent="0.25">
      <c r="A2414" s="2" t="s">
        <v>6385</v>
      </c>
      <c r="B2414" s="2" t="s">
        <v>6386</v>
      </c>
      <c r="C2414" s="2" t="s">
        <v>16</v>
      </c>
      <c r="D2414" s="2" t="s">
        <v>17</v>
      </c>
      <c r="E2414" s="2" t="s">
        <v>90</v>
      </c>
      <c r="F2414" s="2" t="s">
        <v>125</v>
      </c>
      <c r="G2414" s="2" t="s">
        <v>126</v>
      </c>
      <c r="H2414" s="2" t="s">
        <v>21</v>
      </c>
      <c r="I2414" s="2">
        <v>24</v>
      </c>
      <c r="J2414" s="2" t="s">
        <v>11</v>
      </c>
      <c r="K2414" s="2"/>
      <c r="L2414" s="2" t="s">
        <v>92</v>
      </c>
      <c r="M2414" s="2"/>
      <c r="N2414" s="2"/>
    </row>
    <row r="2415" spans="1:14" x14ac:dyDescent="0.25">
      <c r="A2415" s="2" t="s">
        <v>6387</v>
      </c>
      <c r="B2415" s="2" t="s">
        <v>6388</v>
      </c>
      <c r="C2415" s="2" t="s">
        <v>53</v>
      </c>
      <c r="D2415" s="2" t="s">
        <v>61</v>
      </c>
      <c r="E2415" s="2" t="s">
        <v>85</v>
      </c>
      <c r="F2415" s="2" t="s">
        <v>69</v>
      </c>
      <c r="G2415" s="2" t="s">
        <v>183</v>
      </c>
      <c r="H2415" s="2" t="s">
        <v>74</v>
      </c>
      <c r="I2415" s="2">
        <v>8</v>
      </c>
      <c r="J2415" s="2" t="s">
        <v>149</v>
      </c>
      <c r="K2415" s="2"/>
      <c r="L2415" s="2" t="s">
        <v>24</v>
      </c>
      <c r="M2415" s="2"/>
      <c r="N2415" s="2" t="s">
        <v>58</v>
      </c>
    </row>
    <row r="2416" spans="1:14" x14ac:dyDescent="0.25">
      <c r="A2416" s="2" t="s">
        <v>6389</v>
      </c>
      <c r="B2416" s="2" t="s">
        <v>6390</v>
      </c>
      <c r="C2416" s="2" t="s">
        <v>16</v>
      </c>
      <c r="D2416" s="2" t="s">
        <v>84</v>
      </c>
      <c r="E2416" s="2" t="s">
        <v>85</v>
      </c>
      <c r="F2416" s="2" t="s">
        <v>62</v>
      </c>
      <c r="G2416" s="2" t="s">
        <v>40</v>
      </c>
      <c r="H2416" s="2" t="s">
        <v>32</v>
      </c>
      <c r="I2416" s="2">
        <v>48</v>
      </c>
      <c r="J2416" s="2" t="s">
        <v>232</v>
      </c>
      <c r="K2416" s="2"/>
      <c r="L2416" s="2" t="s">
        <v>92</v>
      </c>
      <c r="M2416" s="2"/>
      <c r="N2416" s="2"/>
    </row>
    <row r="2417" spans="1:14" x14ac:dyDescent="0.25">
      <c r="A2417" s="2" t="s">
        <v>6391</v>
      </c>
      <c r="B2417" s="2" t="s">
        <v>6392</v>
      </c>
      <c r="C2417" s="2" t="s">
        <v>16</v>
      </c>
      <c r="D2417" s="2" t="s">
        <v>84</v>
      </c>
      <c r="E2417" s="2" t="s">
        <v>90</v>
      </c>
      <c r="F2417" s="2" t="s">
        <v>96</v>
      </c>
      <c r="G2417" s="2" t="s">
        <v>70</v>
      </c>
      <c r="H2417" s="2" t="s">
        <v>74</v>
      </c>
      <c r="I2417" s="2">
        <v>8</v>
      </c>
      <c r="J2417" s="2" t="s">
        <v>200</v>
      </c>
      <c r="K2417" s="2"/>
      <c r="L2417" s="2" t="s">
        <v>92</v>
      </c>
      <c r="M2417" s="2"/>
      <c r="N2417" s="2" t="s">
        <v>43</v>
      </c>
    </row>
    <row r="2418" spans="1:14" x14ac:dyDescent="0.25">
      <c r="A2418" s="2" t="s">
        <v>6393</v>
      </c>
      <c r="B2418" s="2" t="s">
        <v>6394</v>
      </c>
      <c r="C2418" s="2" t="s">
        <v>28</v>
      </c>
      <c r="D2418" s="2" t="s">
        <v>37</v>
      </c>
      <c r="E2418" s="2" t="s">
        <v>85</v>
      </c>
      <c r="F2418" s="2" t="s">
        <v>62</v>
      </c>
      <c r="G2418" s="2" t="s">
        <v>121</v>
      </c>
      <c r="H2418" s="2" t="s">
        <v>32</v>
      </c>
      <c r="I2418" s="2">
        <v>48</v>
      </c>
      <c r="J2418" s="2" t="s">
        <v>48</v>
      </c>
      <c r="K2418" s="2" t="s">
        <v>6395</v>
      </c>
      <c r="L2418" s="2" t="s">
        <v>24</v>
      </c>
      <c r="M2418" s="2">
        <v>5</v>
      </c>
      <c r="N2418" s="2" t="s">
        <v>34</v>
      </c>
    </row>
    <row r="2419" spans="1:14" x14ac:dyDescent="0.25">
      <c r="A2419" s="2" t="s">
        <v>6396</v>
      </c>
      <c r="B2419" s="2" t="s">
        <v>6397</v>
      </c>
      <c r="C2419" s="2" t="s">
        <v>16</v>
      </c>
      <c r="D2419" s="2" t="s">
        <v>84</v>
      </c>
      <c r="E2419" s="2" t="s">
        <v>90</v>
      </c>
      <c r="F2419" s="2" t="s">
        <v>55</v>
      </c>
      <c r="G2419" s="2" t="s">
        <v>110</v>
      </c>
      <c r="H2419" s="2" t="s">
        <v>32</v>
      </c>
      <c r="I2419" s="2">
        <v>48</v>
      </c>
      <c r="J2419" s="2" t="s">
        <v>75</v>
      </c>
      <c r="K2419" s="2" t="s">
        <v>6398</v>
      </c>
      <c r="L2419" s="2" t="s">
        <v>24</v>
      </c>
      <c r="M2419" s="2">
        <v>4</v>
      </c>
      <c r="N2419" s="2" t="s">
        <v>50</v>
      </c>
    </row>
    <row r="2420" spans="1:14" x14ac:dyDescent="0.25">
      <c r="A2420" s="2" t="s">
        <v>6399</v>
      </c>
      <c r="B2420" s="2" t="s">
        <v>6400</v>
      </c>
      <c r="C2420" s="2" t="s">
        <v>67</v>
      </c>
      <c r="D2420" s="2" t="s">
        <v>95</v>
      </c>
      <c r="E2420" s="2" t="s">
        <v>148</v>
      </c>
      <c r="F2420" s="2" t="s">
        <v>96</v>
      </c>
      <c r="G2420" s="2" t="s">
        <v>91</v>
      </c>
      <c r="H2420" s="2" t="s">
        <v>21</v>
      </c>
      <c r="I2420" s="2">
        <v>24</v>
      </c>
      <c r="J2420" s="2" t="s">
        <v>22</v>
      </c>
      <c r="K2420" s="2" t="s">
        <v>6401</v>
      </c>
      <c r="L2420" s="2" t="s">
        <v>24</v>
      </c>
      <c r="M2420" s="2"/>
      <c r="N2420" s="2"/>
    </row>
    <row r="2421" spans="1:14" x14ac:dyDescent="0.25">
      <c r="A2421" s="2" t="s">
        <v>6402</v>
      </c>
      <c r="B2421" s="2" t="s">
        <v>6403</v>
      </c>
      <c r="C2421" s="2" t="s">
        <v>67</v>
      </c>
      <c r="D2421" s="2" t="s">
        <v>68</v>
      </c>
      <c r="E2421" s="2" t="s">
        <v>148</v>
      </c>
      <c r="F2421" s="2" t="s">
        <v>69</v>
      </c>
      <c r="G2421" s="2" t="s">
        <v>40</v>
      </c>
      <c r="H2421" s="2" t="s">
        <v>74</v>
      </c>
      <c r="I2421" s="2">
        <v>8</v>
      </c>
      <c r="J2421" s="2" t="s">
        <v>75</v>
      </c>
      <c r="K2421" s="2" t="s">
        <v>6404</v>
      </c>
      <c r="L2421" s="2" t="s">
        <v>24</v>
      </c>
      <c r="M2421" s="2">
        <v>4</v>
      </c>
      <c r="N2421" s="2" t="s">
        <v>25</v>
      </c>
    </row>
    <row r="2422" spans="1:14" x14ac:dyDescent="0.25">
      <c r="A2422" s="2" t="s">
        <v>6405</v>
      </c>
      <c r="B2422" s="2" t="s">
        <v>6406</v>
      </c>
      <c r="C2422" s="2" t="s">
        <v>28</v>
      </c>
      <c r="D2422" s="2" t="s">
        <v>37</v>
      </c>
      <c r="E2422" s="2" t="s">
        <v>38</v>
      </c>
      <c r="F2422" s="2" t="s">
        <v>47</v>
      </c>
      <c r="G2422" s="2" t="s">
        <v>20</v>
      </c>
      <c r="H2422" s="2" t="s">
        <v>21</v>
      </c>
      <c r="I2422" s="2">
        <v>24</v>
      </c>
      <c r="J2422" s="2" t="s">
        <v>200</v>
      </c>
      <c r="K2422" s="2"/>
      <c r="L2422" s="2" t="s">
        <v>92</v>
      </c>
      <c r="M2422" s="2"/>
      <c r="N2422" s="2" t="s">
        <v>50</v>
      </c>
    </row>
    <row r="2423" spans="1:14" x14ac:dyDescent="0.25">
      <c r="A2423" s="2" t="s">
        <v>6407</v>
      </c>
      <c r="B2423" s="2" t="s">
        <v>6408</v>
      </c>
      <c r="C2423" s="2" t="s">
        <v>53</v>
      </c>
      <c r="D2423" s="2" t="s">
        <v>61</v>
      </c>
      <c r="E2423" s="2" t="s">
        <v>90</v>
      </c>
      <c r="F2423" s="2" t="s">
        <v>47</v>
      </c>
      <c r="G2423" s="2" t="s">
        <v>121</v>
      </c>
      <c r="H2423" s="2" t="s">
        <v>74</v>
      </c>
      <c r="I2423" s="2">
        <v>8</v>
      </c>
      <c r="J2423" s="2" t="s">
        <v>106</v>
      </c>
      <c r="K2423" s="2" t="s">
        <v>6409</v>
      </c>
      <c r="L2423" s="2" t="s">
        <v>24</v>
      </c>
      <c r="M2423" s="2">
        <v>5</v>
      </c>
      <c r="N2423" s="2" t="s">
        <v>25</v>
      </c>
    </row>
    <row r="2424" spans="1:14" x14ac:dyDescent="0.25">
      <c r="A2424" s="2" t="s">
        <v>6410</v>
      </c>
      <c r="B2424" s="2" t="s">
        <v>6411</v>
      </c>
      <c r="C2424" s="2" t="s">
        <v>28</v>
      </c>
      <c r="D2424" s="2" t="s">
        <v>100</v>
      </c>
      <c r="E2424" s="2" t="s">
        <v>90</v>
      </c>
      <c r="F2424" s="2" t="s">
        <v>125</v>
      </c>
      <c r="G2424" s="2" t="s">
        <v>179</v>
      </c>
      <c r="H2424" s="2" t="s">
        <v>21</v>
      </c>
      <c r="I2424" s="2">
        <v>24</v>
      </c>
      <c r="J2424" s="2" t="s">
        <v>149</v>
      </c>
      <c r="K2424" s="2"/>
      <c r="L2424" s="2" t="s">
        <v>92</v>
      </c>
      <c r="M2424" s="2"/>
      <c r="N2424" s="2" t="s">
        <v>43</v>
      </c>
    </row>
    <row r="2425" spans="1:14" x14ac:dyDescent="0.25">
      <c r="A2425" s="2" t="s">
        <v>6412</v>
      </c>
      <c r="B2425" s="2" t="s">
        <v>6413</v>
      </c>
      <c r="C2425" s="2" t="s">
        <v>28</v>
      </c>
      <c r="D2425" s="2" t="s">
        <v>100</v>
      </c>
      <c r="E2425" s="2" t="s">
        <v>38</v>
      </c>
      <c r="F2425" s="2" t="s">
        <v>39</v>
      </c>
      <c r="G2425" s="2" t="s">
        <v>97</v>
      </c>
      <c r="H2425" s="2" t="s">
        <v>21</v>
      </c>
      <c r="I2425" s="2">
        <v>24</v>
      </c>
      <c r="J2425" s="2" t="s">
        <v>106</v>
      </c>
      <c r="K2425" s="2" t="s">
        <v>6414</v>
      </c>
      <c r="L2425" s="2" t="s">
        <v>24</v>
      </c>
      <c r="M2425" s="2"/>
      <c r="N2425" s="2" t="s">
        <v>128</v>
      </c>
    </row>
    <row r="2426" spans="1:14" x14ac:dyDescent="0.25">
      <c r="A2426" s="2" t="s">
        <v>6415</v>
      </c>
      <c r="B2426" s="2" t="s">
        <v>6416</v>
      </c>
      <c r="C2426" s="2" t="s">
        <v>53</v>
      </c>
      <c r="D2426" s="2" t="s">
        <v>54</v>
      </c>
      <c r="E2426" s="2" t="s">
        <v>90</v>
      </c>
      <c r="F2426" s="2" t="s">
        <v>30</v>
      </c>
      <c r="G2426" s="2" t="s">
        <v>158</v>
      </c>
      <c r="H2426" s="2" t="s">
        <v>21</v>
      </c>
      <c r="I2426" s="2">
        <v>24</v>
      </c>
      <c r="J2426" s="2" t="s">
        <v>22</v>
      </c>
      <c r="K2426" s="2" t="s">
        <v>6417</v>
      </c>
      <c r="L2426" s="2" t="s">
        <v>24</v>
      </c>
      <c r="M2426" s="2">
        <v>2</v>
      </c>
      <c r="N2426" s="2" t="s">
        <v>64</v>
      </c>
    </row>
    <row r="2427" spans="1:14" x14ac:dyDescent="0.25">
      <c r="A2427" s="2" t="s">
        <v>6418</v>
      </c>
      <c r="B2427" s="2" t="s">
        <v>6419</v>
      </c>
      <c r="C2427" s="2" t="s">
        <v>16</v>
      </c>
      <c r="D2427" s="2" t="s">
        <v>17</v>
      </c>
      <c r="E2427" s="2" t="s">
        <v>90</v>
      </c>
      <c r="F2427" s="2" t="s">
        <v>39</v>
      </c>
      <c r="G2427" s="2" t="s">
        <v>97</v>
      </c>
      <c r="H2427" s="2" t="s">
        <v>74</v>
      </c>
      <c r="I2427" s="2">
        <v>8</v>
      </c>
      <c r="J2427" s="2" t="s">
        <v>145</v>
      </c>
      <c r="K2427" s="2"/>
      <c r="L2427" s="2" t="s">
        <v>92</v>
      </c>
      <c r="M2427" s="2"/>
      <c r="N2427" s="2" t="s">
        <v>118</v>
      </c>
    </row>
    <row r="2428" spans="1:14" x14ac:dyDescent="0.25">
      <c r="A2428" s="2" t="s">
        <v>6420</v>
      </c>
      <c r="B2428" s="2" t="s">
        <v>6421</v>
      </c>
      <c r="C2428" s="2" t="s">
        <v>53</v>
      </c>
      <c r="D2428" s="2" t="s">
        <v>54</v>
      </c>
      <c r="E2428" s="2" t="s">
        <v>90</v>
      </c>
      <c r="F2428" s="2" t="s">
        <v>39</v>
      </c>
      <c r="G2428" s="2" t="s">
        <v>179</v>
      </c>
      <c r="H2428" s="2" t="s">
        <v>32</v>
      </c>
      <c r="I2428" s="2">
        <v>48</v>
      </c>
      <c r="J2428" s="2" t="s">
        <v>22</v>
      </c>
      <c r="K2428" s="2"/>
      <c r="L2428" s="2" t="s">
        <v>24</v>
      </c>
      <c r="M2428" s="2">
        <v>5</v>
      </c>
      <c r="N2428" s="2"/>
    </row>
    <row r="2429" spans="1:14" x14ac:dyDescent="0.25">
      <c r="A2429" s="2" t="s">
        <v>6422</v>
      </c>
      <c r="B2429" s="2" t="s">
        <v>6423</v>
      </c>
      <c r="C2429" s="2" t="s">
        <v>53</v>
      </c>
      <c r="D2429" s="2" t="s">
        <v>54</v>
      </c>
      <c r="E2429" s="2" t="s">
        <v>85</v>
      </c>
      <c r="F2429" s="2" t="s">
        <v>30</v>
      </c>
      <c r="G2429" s="2" t="s">
        <v>211</v>
      </c>
      <c r="H2429" s="2" t="s">
        <v>32</v>
      </c>
      <c r="I2429" s="2">
        <v>48</v>
      </c>
      <c r="J2429" s="2" t="s">
        <v>145</v>
      </c>
      <c r="K2429" s="2"/>
      <c r="L2429" s="2" t="s">
        <v>24</v>
      </c>
      <c r="M2429" s="2"/>
      <c r="N2429" s="2" t="s">
        <v>43</v>
      </c>
    </row>
    <row r="2430" spans="1:14" x14ac:dyDescent="0.25">
      <c r="A2430" s="2" t="s">
        <v>6424</v>
      </c>
      <c r="B2430" s="2" t="s">
        <v>6425</v>
      </c>
      <c r="C2430" s="2" t="s">
        <v>16</v>
      </c>
      <c r="D2430" s="2" t="s">
        <v>17</v>
      </c>
      <c r="E2430" s="2" t="s">
        <v>18</v>
      </c>
      <c r="F2430" s="2" t="s">
        <v>113</v>
      </c>
      <c r="G2430" s="2" t="s">
        <v>97</v>
      </c>
      <c r="H2430" s="2" t="s">
        <v>21</v>
      </c>
      <c r="I2430" s="2">
        <v>24</v>
      </c>
      <c r="J2430" s="2" t="s">
        <v>106</v>
      </c>
      <c r="K2430" s="2" t="s">
        <v>6426</v>
      </c>
      <c r="L2430" s="2" t="s">
        <v>24</v>
      </c>
      <c r="M2430" s="2">
        <v>1</v>
      </c>
      <c r="N2430" s="2" t="s">
        <v>64</v>
      </c>
    </row>
    <row r="2431" spans="1:14" x14ac:dyDescent="0.25">
      <c r="A2431" s="2" t="s">
        <v>6427</v>
      </c>
      <c r="B2431" s="2" t="s">
        <v>6428</v>
      </c>
      <c r="C2431" s="2" t="s">
        <v>16</v>
      </c>
      <c r="D2431" s="2" t="s">
        <v>240</v>
      </c>
      <c r="E2431" s="2" t="s">
        <v>148</v>
      </c>
      <c r="F2431" s="2" t="s">
        <v>69</v>
      </c>
      <c r="G2431" s="2" t="s">
        <v>97</v>
      </c>
      <c r="H2431" s="2" t="s">
        <v>74</v>
      </c>
      <c r="I2431" s="2">
        <v>8</v>
      </c>
      <c r="J2431" s="2" t="s">
        <v>22</v>
      </c>
      <c r="K2431" s="2" t="s">
        <v>6429</v>
      </c>
      <c r="L2431" s="2" t="s">
        <v>24</v>
      </c>
      <c r="M2431" s="2">
        <v>2</v>
      </c>
      <c r="N2431" s="2" t="s">
        <v>50</v>
      </c>
    </row>
    <row r="2432" spans="1:14" x14ac:dyDescent="0.25">
      <c r="A2432" s="2" t="s">
        <v>6430</v>
      </c>
      <c r="B2432" s="2" t="s">
        <v>6431</v>
      </c>
      <c r="C2432" s="2" t="s">
        <v>28</v>
      </c>
      <c r="D2432" s="2" t="s">
        <v>37</v>
      </c>
      <c r="E2432" s="2" t="s">
        <v>148</v>
      </c>
      <c r="F2432" s="2" t="s">
        <v>47</v>
      </c>
      <c r="G2432" s="2" t="s">
        <v>158</v>
      </c>
      <c r="H2432" s="2" t="s">
        <v>21</v>
      </c>
      <c r="I2432" s="2">
        <v>24</v>
      </c>
      <c r="J2432" s="2" t="s">
        <v>155</v>
      </c>
      <c r="K2432" s="2"/>
      <c r="L2432" s="2" t="s">
        <v>24</v>
      </c>
      <c r="M2432" s="2"/>
      <c r="N2432" s="2" t="s">
        <v>50</v>
      </c>
    </row>
    <row r="2433" spans="1:14" x14ac:dyDescent="0.25">
      <c r="A2433" s="2" t="s">
        <v>6432</v>
      </c>
      <c r="B2433" s="2" t="s">
        <v>6433</v>
      </c>
      <c r="C2433" s="2" t="s">
        <v>28</v>
      </c>
      <c r="D2433" s="2" t="s">
        <v>100</v>
      </c>
      <c r="E2433" s="2" t="s">
        <v>85</v>
      </c>
      <c r="F2433" s="2" t="s">
        <v>30</v>
      </c>
      <c r="G2433" s="2" t="s">
        <v>97</v>
      </c>
      <c r="H2433" s="2" t="s">
        <v>74</v>
      </c>
      <c r="I2433" s="2">
        <v>8</v>
      </c>
      <c r="J2433" s="2" t="s">
        <v>191</v>
      </c>
      <c r="K2433" s="2" t="s">
        <v>6434</v>
      </c>
      <c r="L2433" s="2" t="s">
        <v>24</v>
      </c>
      <c r="M2433" s="2"/>
      <c r="N2433" s="2" t="s">
        <v>43</v>
      </c>
    </row>
    <row r="2434" spans="1:14" x14ac:dyDescent="0.25">
      <c r="A2434" s="2" t="s">
        <v>6435</v>
      </c>
      <c r="B2434" s="2" t="s">
        <v>6436</v>
      </c>
      <c r="C2434" s="2" t="s">
        <v>53</v>
      </c>
      <c r="D2434" s="2" t="s">
        <v>61</v>
      </c>
      <c r="E2434" s="2" t="s">
        <v>46</v>
      </c>
      <c r="F2434" s="2" t="s">
        <v>113</v>
      </c>
      <c r="G2434" s="2" t="s">
        <v>139</v>
      </c>
      <c r="H2434" s="2" t="s">
        <v>74</v>
      </c>
      <c r="I2434" s="2">
        <v>8</v>
      </c>
      <c r="J2434" s="2" t="s">
        <v>41</v>
      </c>
      <c r="K2434" s="2" t="s">
        <v>6437</v>
      </c>
      <c r="L2434" s="2" t="s">
        <v>24</v>
      </c>
      <c r="M2434" s="2">
        <v>3</v>
      </c>
      <c r="N2434" s="2" t="s">
        <v>50</v>
      </c>
    </row>
    <row r="2435" spans="1:14" x14ac:dyDescent="0.25">
      <c r="A2435" s="2" t="s">
        <v>6438</v>
      </c>
      <c r="B2435" s="2" t="s">
        <v>6439</v>
      </c>
      <c r="C2435" s="2" t="s">
        <v>53</v>
      </c>
      <c r="D2435" s="2" t="s">
        <v>54</v>
      </c>
      <c r="E2435" s="2" t="s">
        <v>46</v>
      </c>
      <c r="F2435" s="2" t="s">
        <v>96</v>
      </c>
      <c r="G2435" s="2" t="s">
        <v>135</v>
      </c>
      <c r="H2435" s="2" t="s">
        <v>32</v>
      </c>
      <c r="I2435" s="2">
        <v>48</v>
      </c>
      <c r="J2435" s="2" t="s">
        <v>117</v>
      </c>
      <c r="K2435" s="2"/>
      <c r="L2435" s="2" t="s">
        <v>24</v>
      </c>
      <c r="M2435" s="2"/>
      <c r="N2435" s="2" t="s">
        <v>58</v>
      </c>
    </row>
    <row r="2436" spans="1:14" x14ac:dyDescent="0.25">
      <c r="A2436" s="2" t="s">
        <v>6440</v>
      </c>
      <c r="B2436" s="2" t="s">
        <v>6441</v>
      </c>
      <c r="C2436" s="2" t="s">
        <v>67</v>
      </c>
      <c r="D2436" s="2" t="s">
        <v>95</v>
      </c>
      <c r="E2436" s="2" t="s">
        <v>90</v>
      </c>
      <c r="F2436" s="2" t="s">
        <v>47</v>
      </c>
      <c r="G2436" s="2" t="s">
        <v>70</v>
      </c>
      <c r="H2436" s="2" t="s">
        <v>21</v>
      </c>
      <c r="I2436" s="2">
        <v>24</v>
      </c>
      <c r="J2436" s="2" t="s">
        <v>145</v>
      </c>
      <c r="K2436" s="2"/>
      <c r="L2436" s="2" t="s">
        <v>24</v>
      </c>
      <c r="M2436" s="2"/>
      <c r="N2436" s="2" t="s">
        <v>43</v>
      </c>
    </row>
    <row r="2437" spans="1:14" x14ac:dyDescent="0.25">
      <c r="A2437" s="2" t="s">
        <v>6442</v>
      </c>
      <c r="B2437" s="2" t="s">
        <v>6443</v>
      </c>
      <c r="C2437" s="2" t="s">
        <v>53</v>
      </c>
      <c r="D2437" s="2" t="s">
        <v>61</v>
      </c>
      <c r="E2437" s="2" t="s">
        <v>85</v>
      </c>
      <c r="F2437" s="2" t="s">
        <v>69</v>
      </c>
      <c r="G2437" s="2" t="s">
        <v>97</v>
      </c>
      <c r="H2437" s="2" t="s">
        <v>74</v>
      </c>
      <c r="I2437" s="2">
        <v>8</v>
      </c>
      <c r="J2437" s="2" t="s">
        <v>41</v>
      </c>
      <c r="K2437" s="2"/>
      <c r="L2437" s="2" t="s">
        <v>24</v>
      </c>
      <c r="M2437" s="2">
        <v>5</v>
      </c>
      <c r="N2437" s="2" t="s">
        <v>34</v>
      </c>
    </row>
    <row r="2438" spans="1:14" x14ac:dyDescent="0.25">
      <c r="A2438" s="2" t="s">
        <v>6444</v>
      </c>
      <c r="B2438" s="2" t="s">
        <v>6445</v>
      </c>
      <c r="C2438" s="2" t="s">
        <v>67</v>
      </c>
      <c r="D2438" s="2" t="s">
        <v>95</v>
      </c>
      <c r="E2438" s="2" t="s">
        <v>18</v>
      </c>
      <c r="F2438" s="2" t="s">
        <v>69</v>
      </c>
      <c r="G2438" s="2" t="s">
        <v>179</v>
      </c>
      <c r="H2438" s="2" t="s">
        <v>21</v>
      </c>
      <c r="I2438" s="2">
        <v>24</v>
      </c>
      <c r="J2438" s="2" t="s">
        <v>41</v>
      </c>
      <c r="K2438" s="2" t="s">
        <v>2729</v>
      </c>
      <c r="L2438" s="2" t="s">
        <v>92</v>
      </c>
      <c r="M2438" s="2"/>
      <c r="N2438" s="2" t="s">
        <v>34</v>
      </c>
    </row>
    <row r="2439" spans="1:14" x14ac:dyDescent="0.25">
      <c r="A2439" s="2" t="s">
        <v>6446</v>
      </c>
      <c r="B2439" s="2" t="s">
        <v>6447</v>
      </c>
      <c r="C2439" s="2" t="s">
        <v>67</v>
      </c>
      <c r="D2439" s="2" t="s">
        <v>95</v>
      </c>
      <c r="E2439" s="2" t="s">
        <v>90</v>
      </c>
      <c r="F2439" s="2" t="s">
        <v>143</v>
      </c>
      <c r="G2439" s="2" t="s">
        <v>91</v>
      </c>
      <c r="H2439" s="2" t="s">
        <v>74</v>
      </c>
      <c r="I2439" s="2">
        <v>8</v>
      </c>
      <c r="J2439" s="2" t="s">
        <v>106</v>
      </c>
      <c r="K2439" s="2" t="s">
        <v>6448</v>
      </c>
      <c r="L2439" s="2" t="s">
        <v>24</v>
      </c>
      <c r="M2439" s="2">
        <v>3</v>
      </c>
      <c r="N2439" s="2" t="s">
        <v>128</v>
      </c>
    </row>
    <row r="2440" spans="1:14" x14ac:dyDescent="0.25">
      <c r="A2440" s="2" t="s">
        <v>6449</v>
      </c>
      <c r="B2440" s="2" t="s">
        <v>6450</v>
      </c>
      <c r="C2440" s="2" t="s">
        <v>53</v>
      </c>
      <c r="D2440" s="2" t="s">
        <v>61</v>
      </c>
      <c r="E2440" s="2" t="s">
        <v>79</v>
      </c>
      <c r="F2440" s="2" t="s">
        <v>62</v>
      </c>
      <c r="G2440" s="2" t="s">
        <v>97</v>
      </c>
      <c r="H2440" s="2" t="s">
        <v>74</v>
      </c>
      <c r="I2440" s="2">
        <v>8</v>
      </c>
      <c r="J2440" s="2" t="s">
        <v>22</v>
      </c>
      <c r="K2440" s="2" t="s">
        <v>6451</v>
      </c>
      <c r="L2440" s="2" t="s">
        <v>24</v>
      </c>
      <c r="M2440" s="2">
        <v>3</v>
      </c>
      <c r="N2440" s="2" t="s">
        <v>43</v>
      </c>
    </row>
    <row r="2441" spans="1:14" x14ac:dyDescent="0.25">
      <c r="A2441" s="2" t="s">
        <v>6452</v>
      </c>
      <c r="B2441" s="2" t="s">
        <v>6453</v>
      </c>
      <c r="C2441" s="2" t="s">
        <v>28</v>
      </c>
      <c r="D2441" s="2" t="s">
        <v>37</v>
      </c>
      <c r="E2441" s="2" t="s">
        <v>38</v>
      </c>
      <c r="F2441" s="2" t="s">
        <v>113</v>
      </c>
      <c r="G2441" s="2" t="s">
        <v>31</v>
      </c>
      <c r="H2441" s="2" t="s">
        <v>74</v>
      </c>
      <c r="I2441" s="2">
        <v>8</v>
      </c>
      <c r="J2441" s="2" t="s">
        <v>41</v>
      </c>
      <c r="K2441" s="2" t="s">
        <v>6454</v>
      </c>
      <c r="L2441" s="2" t="s">
        <v>24</v>
      </c>
      <c r="M2441" s="2">
        <v>4</v>
      </c>
      <c r="N2441" s="2" t="s">
        <v>58</v>
      </c>
    </row>
    <row r="2442" spans="1:14" x14ac:dyDescent="0.25">
      <c r="A2442" s="2" t="s">
        <v>6455</v>
      </c>
      <c r="B2442" s="2" t="s">
        <v>6456</v>
      </c>
      <c r="C2442" s="2" t="s">
        <v>28</v>
      </c>
      <c r="D2442" s="2" t="s">
        <v>100</v>
      </c>
      <c r="E2442" s="2" t="s">
        <v>38</v>
      </c>
      <c r="F2442" s="2" t="s">
        <v>96</v>
      </c>
      <c r="G2442" s="2" t="s">
        <v>105</v>
      </c>
      <c r="H2442" s="2" t="s">
        <v>32</v>
      </c>
      <c r="I2442" s="2">
        <v>48</v>
      </c>
      <c r="J2442" s="2" t="s">
        <v>56</v>
      </c>
      <c r="K2442" s="2" t="s">
        <v>6457</v>
      </c>
      <c r="L2442" s="2" t="s">
        <v>24</v>
      </c>
      <c r="M2442" s="2"/>
      <c r="N2442" s="2" t="s">
        <v>118</v>
      </c>
    </row>
    <row r="2443" spans="1:14" x14ac:dyDescent="0.25">
      <c r="A2443" s="2" t="s">
        <v>6458</v>
      </c>
      <c r="B2443" s="2" t="s">
        <v>6459</v>
      </c>
      <c r="C2443" s="2" t="s">
        <v>28</v>
      </c>
      <c r="D2443" s="2" t="s">
        <v>37</v>
      </c>
      <c r="E2443" s="2" t="s">
        <v>38</v>
      </c>
      <c r="F2443" s="2" t="s">
        <v>69</v>
      </c>
      <c r="G2443" s="2" t="s">
        <v>110</v>
      </c>
      <c r="H2443" s="2" t="s">
        <v>80</v>
      </c>
      <c r="I2443" s="2">
        <v>4</v>
      </c>
      <c r="J2443" s="2" t="s">
        <v>149</v>
      </c>
      <c r="K2443" s="2"/>
      <c r="L2443" s="2" t="s">
        <v>24</v>
      </c>
      <c r="M2443" s="2"/>
      <c r="N2443" s="2" t="s">
        <v>128</v>
      </c>
    </row>
    <row r="2444" spans="1:14" x14ac:dyDescent="0.25">
      <c r="A2444" s="2" t="s">
        <v>6460</v>
      </c>
      <c r="B2444" s="2" t="s">
        <v>6461</v>
      </c>
      <c r="C2444" s="2" t="s">
        <v>67</v>
      </c>
      <c r="D2444" s="2" t="s">
        <v>68</v>
      </c>
      <c r="E2444" s="2" t="s">
        <v>79</v>
      </c>
      <c r="F2444" s="2" t="s">
        <v>62</v>
      </c>
      <c r="G2444" s="2" t="s">
        <v>31</v>
      </c>
      <c r="H2444" s="2" t="s">
        <v>32</v>
      </c>
      <c r="I2444" s="2">
        <v>48</v>
      </c>
      <c r="J2444" s="2" t="s">
        <v>56</v>
      </c>
      <c r="K2444" s="2" t="s">
        <v>6462</v>
      </c>
      <c r="L2444" s="2" t="s">
        <v>24</v>
      </c>
      <c r="M2444" s="2"/>
      <c r="N2444" s="2" t="s">
        <v>128</v>
      </c>
    </row>
    <row r="2445" spans="1:14" x14ac:dyDescent="0.25">
      <c r="A2445" s="2" t="s">
        <v>6463</v>
      </c>
      <c r="B2445" s="2" t="s">
        <v>6464</v>
      </c>
      <c r="C2445" s="2" t="s">
        <v>28</v>
      </c>
      <c r="D2445" s="2" t="s">
        <v>37</v>
      </c>
      <c r="E2445" s="2" t="s">
        <v>79</v>
      </c>
      <c r="F2445" s="2" t="s">
        <v>125</v>
      </c>
      <c r="G2445" s="2" t="s">
        <v>110</v>
      </c>
      <c r="H2445" s="2" t="s">
        <v>21</v>
      </c>
      <c r="I2445" s="2">
        <v>24</v>
      </c>
      <c r="J2445" s="2" t="s">
        <v>106</v>
      </c>
      <c r="K2445" s="2" t="s">
        <v>6465</v>
      </c>
      <c r="L2445" s="2" t="s">
        <v>24</v>
      </c>
      <c r="M2445" s="2"/>
      <c r="N2445" s="2" t="s">
        <v>128</v>
      </c>
    </row>
    <row r="2446" spans="1:14" x14ac:dyDescent="0.25">
      <c r="A2446" s="2" t="s">
        <v>6466</v>
      </c>
      <c r="B2446" s="2" t="s">
        <v>6467</v>
      </c>
      <c r="C2446" s="2" t="s">
        <v>67</v>
      </c>
      <c r="D2446" s="2" t="s">
        <v>95</v>
      </c>
      <c r="E2446" s="2" t="s">
        <v>148</v>
      </c>
      <c r="F2446" s="2" t="s">
        <v>62</v>
      </c>
      <c r="G2446" s="2" t="s">
        <v>135</v>
      </c>
      <c r="H2446" s="2" t="s">
        <v>32</v>
      </c>
      <c r="I2446" s="2">
        <v>48</v>
      </c>
      <c r="J2446" s="2" t="s">
        <v>75</v>
      </c>
      <c r="K2446" s="2" t="s">
        <v>6468</v>
      </c>
      <c r="L2446" s="2" t="s">
        <v>24</v>
      </c>
      <c r="M2446" s="2">
        <v>3</v>
      </c>
      <c r="N2446" s="2"/>
    </row>
    <row r="2447" spans="1:14" x14ac:dyDescent="0.25">
      <c r="A2447" s="2" t="s">
        <v>6469</v>
      </c>
      <c r="B2447" s="2" t="s">
        <v>6470</v>
      </c>
      <c r="C2447" s="2" t="s">
        <v>16</v>
      </c>
      <c r="D2447" s="2" t="s">
        <v>17</v>
      </c>
      <c r="E2447" s="2" t="s">
        <v>18</v>
      </c>
      <c r="F2447" s="2" t="s">
        <v>30</v>
      </c>
      <c r="G2447" s="2" t="s">
        <v>91</v>
      </c>
      <c r="H2447" s="2" t="s">
        <v>32</v>
      </c>
      <c r="I2447" s="2">
        <v>48</v>
      </c>
      <c r="J2447" s="2" t="s">
        <v>106</v>
      </c>
      <c r="K2447" s="2" t="s">
        <v>6471</v>
      </c>
      <c r="L2447" s="2" t="s">
        <v>24</v>
      </c>
      <c r="M2447" s="2">
        <v>5</v>
      </c>
      <c r="N2447" s="2"/>
    </row>
    <row r="2448" spans="1:14" x14ac:dyDescent="0.25">
      <c r="A2448" s="2" t="s">
        <v>6472</v>
      </c>
      <c r="B2448" s="2" t="s">
        <v>6473</v>
      </c>
      <c r="C2448" s="2" t="s">
        <v>53</v>
      </c>
      <c r="D2448" s="2" t="s">
        <v>61</v>
      </c>
      <c r="E2448" s="2" t="s">
        <v>46</v>
      </c>
      <c r="F2448" s="2" t="s">
        <v>131</v>
      </c>
      <c r="G2448" s="2" t="s">
        <v>144</v>
      </c>
      <c r="H2448" s="2" t="s">
        <v>21</v>
      </c>
      <c r="I2448" s="2">
        <v>24</v>
      </c>
      <c r="J2448" s="2" t="s">
        <v>155</v>
      </c>
      <c r="K2448" s="2"/>
      <c r="L2448" s="2" t="s">
        <v>24</v>
      </c>
      <c r="M2448" s="2"/>
      <c r="N2448" s="2" t="s">
        <v>34</v>
      </c>
    </row>
    <row r="2449" spans="1:14" x14ac:dyDescent="0.25">
      <c r="A2449" s="2" t="s">
        <v>6474</v>
      </c>
      <c r="B2449" s="2" t="s">
        <v>6475</v>
      </c>
      <c r="C2449" s="2" t="s">
        <v>67</v>
      </c>
      <c r="D2449" s="2" t="s">
        <v>68</v>
      </c>
      <c r="E2449" s="2" t="s">
        <v>90</v>
      </c>
      <c r="F2449" s="2" t="s">
        <v>125</v>
      </c>
      <c r="G2449" s="2" t="s">
        <v>211</v>
      </c>
      <c r="H2449" s="2" t="s">
        <v>32</v>
      </c>
      <c r="I2449" s="2">
        <v>48</v>
      </c>
      <c r="J2449" s="2" t="s">
        <v>486</v>
      </c>
      <c r="K2449" s="2" t="s">
        <v>6476</v>
      </c>
      <c r="L2449" s="2" t="s">
        <v>24</v>
      </c>
      <c r="M2449" s="2"/>
      <c r="N2449" s="2"/>
    </row>
    <row r="2450" spans="1:14" x14ac:dyDescent="0.25">
      <c r="A2450" s="2" t="s">
        <v>6477</v>
      </c>
      <c r="B2450" s="2" t="s">
        <v>6478</v>
      </c>
      <c r="C2450" s="2" t="s">
        <v>67</v>
      </c>
      <c r="D2450" s="2" t="s">
        <v>95</v>
      </c>
      <c r="E2450" s="2" t="s">
        <v>85</v>
      </c>
      <c r="F2450" s="2" t="s">
        <v>96</v>
      </c>
      <c r="G2450" s="2" t="s">
        <v>126</v>
      </c>
      <c r="H2450" s="2" t="s">
        <v>32</v>
      </c>
      <c r="I2450" s="2">
        <v>48</v>
      </c>
      <c r="J2450" s="2" t="s">
        <v>287</v>
      </c>
      <c r="K2450" s="2"/>
      <c r="L2450" s="2" t="s">
        <v>24</v>
      </c>
      <c r="M2450" s="2"/>
      <c r="N2450" s="2" t="s">
        <v>43</v>
      </c>
    </row>
    <row r="2451" spans="1:14" x14ac:dyDescent="0.25">
      <c r="A2451" s="2" t="s">
        <v>6479</v>
      </c>
      <c r="B2451" s="2" t="s">
        <v>6480</v>
      </c>
      <c r="C2451" s="2" t="s">
        <v>53</v>
      </c>
      <c r="D2451" s="2" t="s">
        <v>61</v>
      </c>
      <c r="E2451" s="2" t="s">
        <v>79</v>
      </c>
      <c r="F2451" s="2" t="s">
        <v>143</v>
      </c>
      <c r="G2451" s="2" t="s">
        <v>40</v>
      </c>
      <c r="H2451" s="2" t="s">
        <v>74</v>
      </c>
      <c r="I2451" s="2">
        <v>8</v>
      </c>
      <c r="J2451" s="2" t="s">
        <v>33</v>
      </c>
      <c r="K2451" s="2"/>
      <c r="L2451" s="2" t="s">
        <v>92</v>
      </c>
      <c r="M2451" s="2"/>
      <c r="N2451" s="2" t="s">
        <v>43</v>
      </c>
    </row>
    <row r="2452" spans="1:14" x14ac:dyDescent="0.25">
      <c r="A2452" s="2" t="s">
        <v>6481</v>
      </c>
      <c r="B2452" s="2" t="s">
        <v>6482</v>
      </c>
      <c r="C2452" s="2" t="s">
        <v>67</v>
      </c>
      <c r="D2452" s="2" t="s">
        <v>95</v>
      </c>
      <c r="E2452" s="2" t="s">
        <v>38</v>
      </c>
      <c r="F2452" s="2" t="s">
        <v>113</v>
      </c>
      <c r="G2452" s="2" t="s">
        <v>70</v>
      </c>
      <c r="H2452" s="2" t="s">
        <v>21</v>
      </c>
      <c r="I2452" s="2">
        <v>24</v>
      </c>
      <c r="J2452" s="2" t="s">
        <v>232</v>
      </c>
      <c r="K2452" s="2"/>
      <c r="L2452" s="2" t="s">
        <v>92</v>
      </c>
      <c r="M2452" s="2"/>
      <c r="N2452" s="2" t="s">
        <v>25</v>
      </c>
    </row>
    <row r="2453" spans="1:14" x14ac:dyDescent="0.25">
      <c r="A2453" s="2" t="s">
        <v>4458</v>
      </c>
      <c r="B2453" s="2" t="s">
        <v>4459</v>
      </c>
      <c r="C2453" s="2" t="s">
        <v>53</v>
      </c>
      <c r="D2453" s="2" t="s">
        <v>61</v>
      </c>
      <c r="E2453" s="2" t="s">
        <v>79</v>
      </c>
      <c r="F2453" s="2" t="s">
        <v>47</v>
      </c>
      <c r="G2453" s="2" t="s">
        <v>91</v>
      </c>
      <c r="H2453" s="2" t="s">
        <v>21</v>
      </c>
      <c r="I2453" s="2">
        <v>24</v>
      </c>
      <c r="J2453" s="2" t="s">
        <v>191</v>
      </c>
      <c r="K2453" s="2" t="s">
        <v>4460</v>
      </c>
      <c r="L2453" s="2" t="s">
        <v>24</v>
      </c>
      <c r="M2453" s="2"/>
      <c r="N2453" s="2" t="s">
        <v>118</v>
      </c>
    </row>
    <row r="2454" spans="1:14" x14ac:dyDescent="0.25">
      <c r="A2454" s="2" t="s">
        <v>6483</v>
      </c>
      <c r="B2454" s="2" t="s">
        <v>6484</v>
      </c>
      <c r="C2454" s="2" t="s">
        <v>53</v>
      </c>
      <c r="D2454" s="2" t="s">
        <v>61</v>
      </c>
      <c r="E2454" s="2" t="s">
        <v>85</v>
      </c>
      <c r="F2454" s="2" t="s">
        <v>47</v>
      </c>
      <c r="G2454" s="2" t="s">
        <v>20</v>
      </c>
      <c r="H2454" s="2" t="s">
        <v>74</v>
      </c>
      <c r="I2454" s="2">
        <v>8</v>
      </c>
      <c r="J2454" s="2" t="s">
        <v>22</v>
      </c>
      <c r="K2454" s="2" t="s">
        <v>6485</v>
      </c>
      <c r="L2454" s="2" t="s">
        <v>24</v>
      </c>
      <c r="M2454" s="2">
        <v>4</v>
      </c>
      <c r="N2454" s="2" t="s">
        <v>58</v>
      </c>
    </row>
    <row r="2455" spans="1:14" x14ac:dyDescent="0.25">
      <c r="A2455" s="2" t="s">
        <v>6486</v>
      </c>
      <c r="B2455" s="2" t="s">
        <v>6487</v>
      </c>
      <c r="C2455" s="2" t="s">
        <v>16</v>
      </c>
      <c r="D2455" s="2" t="s">
        <v>765</v>
      </c>
      <c r="E2455" s="2" t="s">
        <v>90</v>
      </c>
      <c r="F2455" s="2" t="s">
        <v>19</v>
      </c>
      <c r="G2455" s="2" t="s">
        <v>40</v>
      </c>
      <c r="H2455" s="2" t="s">
        <v>21</v>
      </c>
      <c r="I2455" s="2">
        <v>24</v>
      </c>
      <c r="J2455" s="2" t="s">
        <v>117</v>
      </c>
      <c r="K2455" s="2"/>
      <c r="L2455" s="2" t="s">
        <v>24</v>
      </c>
      <c r="M2455" s="2"/>
      <c r="N2455" s="2" t="s">
        <v>34</v>
      </c>
    </row>
    <row r="2456" spans="1:14" x14ac:dyDescent="0.25">
      <c r="A2456" s="2" t="s">
        <v>6488</v>
      </c>
      <c r="B2456" s="2" t="s">
        <v>6489</v>
      </c>
      <c r="C2456" s="2" t="s">
        <v>67</v>
      </c>
      <c r="D2456" s="2" t="s">
        <v>68</v>
      </c>
      <c r="E2456" s="2" t="s">
        <v>90</v>
      </c>
      <c r="F2456" s="2" t="s">
        <v>47</v>
      </c>
      <c r="G2456" s="2" t="s">
        <v>158</v>
      </c>
      <c r="H2456" s="2" t="s">
        <v>21</v>
      </c>
      <c r="I2456" s="2">
        <v>24</v>
      </c>
      <c r="J2456" s="2" t="s">
        <v>106</v>
      </c>
      <c r="K2456" s="2" t="s">
        <v>6490</v>
      </c>
      <c r="L2456" s="2" t="s">
        <v>24</v>
      </c>
      <c r="M2456" s="2"/>
      <c r="N2456" s="2" t="s">
        <v>64</v>
      </c>
    </row>
    <row r="2457" spans="1:14" x14ac:dyDescent="0.25">
      <c r="A2457" s="2" t="s">
        <v>6491</v>
      </c>
      <c r="B2457" s="2" t="s">
        <v>6492</v>
      </c>
      <c r="C2457" s="2" t="s">
        <v>16</v>
      </c>
      <c r="D2457" s="2" t="s">
        <v>84</v>
      </c>
      <c r="E2457" s="2" t="s">
        <v>148</v>
      </c>
      <c r="F2457" s="2" t="s">
        <v>47</v>
      </c>
      <c r="G2457" s="2" t="s">
        <v>101</v>
      </c>
      <c r="H2457" s="2" t="s">
        <v>21</v>
      </c>
      <c r="I2457" s="2">
        <v>24</v>
      </c>
      <c r="J2457" s="2" t="s">
        <v>56</v>
      </c>
      <c r="K2457" s="2" t="s">
        <v>6493</v>
      </c>
      <c r="L2457" s="2" t="s">
        <v>24</v>
      </c>
      <c r="M2457" s="2"/>
      <c r="N2457" s="2" t="s">
        <v>128</v>
      </c>
    </row>
    <row r="2458" spans="1:14" x14ac:dyDescent="0.25">
      <c r="A2458" s="2" t="s">
        <v>6494</v>
      </c>
      <c r="B2458" s="2" t="s">
        <v>6495</v>
      </c>
      <c r="C2458" s="2" t="s">
        <v>67</v>
      </c>
      <c r="D2458" s="2" t="s">
        <v>68</v>
      </c>
      <c r="E2458" s="2" t="s">
        <v>38</v>
      </c>
      <c r="F2458" s="2" t="s">
        <v>19</v>
      </c>
      <c r="G2458" s="2" t="s">
        <v>40</v>
      </c>
      <c r="H2458" s="2" t="s">
        <v>74</v>
      </c>
      <c r="I2458" s="2">
        <v>8</v>
      </c>
      <c r="J2458" s="2" t="s">
        <v>106</v>
      </c>
      <c r="K2458" s="2" t="s">
        <v>6496</v>
      </c>
      <c r="L2458" s="2" t="s">
        <v>24</v>
      </c>
      <c r="M2458" s="2">
        <v>5</v>
      </c>
      <c r="N2458" s="2" t="s">
        <v>25</v>
      </c>
    </row>
    <row r="2459" spans="1:14" x14ac:dyDescent="0.25">
      <c r="A2459" s="2" t="s">
        <v>6497</v>
      </c>
      <c r="B2459" s="2" t="s">
        <v>6498</v>
      </c>
      <c r="C2459" s="2" t="s">
        <v>16</v>
      </c>
      <c r="D2459" s="2" t="s">
        <v>17</v>
      </c>
      <c r="E2459" s="2" t="s">
        <v>90</v>
      </c>
      <c r="F2459" s="2" t="s">
        <v>125</v>
      </c>
      <c r="G2459" s="2" t="s">
        <v>97</v>
      </c>
      <c r="H2459" s="2" t="s">
        <v>21</v>
      </c>
      <c r="I2459" s="2">
        <v>24</v>
      </c>
      <c r="J2459" s="2" t="s">
        <v>106</v>
      </c>
      <c r="K2459" s="2" t="s">
        <v>6499</v>
      </c>
      <c r="L2459" s="2" t="s">
        <v>24</v>
      </c>
      <c r="M2459" s="2">
        <v>4</v>
      </c>
      <c r="N2459" s="2" t="s">
        <v>34</v>
      </c>
    </row>
    <row r="2460" spans="1:14" x14ac:dyDescent="0.25">
      <c r="A2460" s="2" t="s">
        <v>6500</v>
      </c>
      <c r="B2460" s="2" t="s">
        <v>6501</v>
      </c>
      <c r="C2460" s="2" t="s">
        <v>28</v>
      </c>
      <c r="D2460" s="2" t="s">
        <v>220</v>
      </c>
      <c r="E2460" s="2" t="s">
        <v>79</v>
      </c>
      <c r="F2460" s="2" t="s">
        <v>113</v>
      </c>
      <c r="G2460" s="2" t="s">
        <v>110</v>
      </c>
      <c r="H2460" s="2" t="s">
        <v>80</v>
      </c>
      <c r="I2460" s="2">
        <v>4</v>
      </c>
      <c r="J2460" s="2" t="s">
        <v>22</v>
      </c>
      <c r="K2460" s="2" t="s">
        <v>6502</v>
      </c>
      <c r="L2460" s="2" t="s">
        <v>92</v>
      </c>
      <c r="M2460" s="2">
        <v>4</v>
      </c>
      <c r="N2460" s="2" t="s">
        <v>50</v>
      </c>
    </row>
    <row r="2461" spans="1:14" x14ac:dyDescent="0.25">
      <c r="A2461" s="2" t="s">
        <v>6503</v>
      </c>
      <c r="B2461" s="2" t="s">
        <v>6504</v>
      </c>
      <c r="C2461" s="2" t="s">
        <v>53</v>
      </c>
      <c r="D2461" s="2" t="s">
        <v>54</v>
      </c>
      <c r="E2461" s="2" t="s">
        <v>148</v>
      </c>
      <c r="F2461" s="2" t="s">
        <v>113</v>
      </c>
      <c r="G2461" s="2" t="s">
        <v>183</v>
      </c>
      <c r="H2461" s="2" t="s">
        <v>74</v>
      </c>
      <c r="I2461" s="2">
        <v>8</v>
      </c>
      <c r="J2461" s="2" t="s">
        <v>232</v>
      </c>
      <c r="K2461" s="2"/>
      <c r="L2461" s="2" t="s">
        <v>92</v>
      </c>
      <c r="M2461" s="2"/>
      <c r="N2461" s="2" t="s">
        <v>43</v>
      </c>
    </row>
    <row r="2462" spans="1:14" x14ac:dyDescent="0.25">
      <c r="A2462" s="2" t="s">
        <v>6505</v>
      </c>
      <c r="B2462" s="2" t="s">
        <v>6506</v>
      </c>
      <c r="C2462" s="2" t="s">
        <v>53</v>
      </c>
      <c r="D2462" s="2" t="s">
        <v>54</v>
      </c>
      <c r="E2462" s="2" t="s">
        <v>18</v>
      </c>
      <c r="F2462" s="2" t="s">
        <v>69</v>
      </c>
      <c r="G2462" s="2" t="s">
        <v>158</v>
      </c>
      <c r="H2462" s="2" t="s">
        <v>74</v>
      </c>
      <c r="I2462" s="2">
        <v>8</v>
      </c>
      <c r="J2462" s="2" t="s">
        <v>287</v>
      </c>
      <c r="K2462" s="2"/>
      <c r="L2462" s="2" t="s">
        <v>24</v>
      </c>
      <c r="M2462" s="2"/>
      <c r="N2462" s="2"/>
    </row>
    <row r="2463" spans="1:14" x14ac:dyDescent="0.25">
      <c r="A2463" s="2" t="s">
        <v>6507</v>
      </c>
      <c r="B2463" s="2" t="s">
        <v>6508</v>
      </c>
      <c r="C2463" s="2" t="s">
        <v>53</v>
      </c>
      <c r="D2463" s="2" t="s">
        <v>54</v>
      </c>
      <c r="E2463" s="2" t="s">
        <v>79</v>
      </c>
      <c r="F2463" s="2" t="s">
        <v>125</v>
      </c>
      <c r="G2463" s="2" t="s">
        <v>70</v>
      </c>
      <c r="H2463" s="2" t="s">
        <v>74</v>
      </c>
      <c r="I2463" s="2">
        <v>8</v>
      </c>
      <c r="J2463" s="2" t="s">
        <v>75</v>
      </c>
      <c r="K2463" s="2" t="s">
        <v>6509</v>
      </c>
      <c r="L2463" s="2" t="s">
        <v>24</v>
      </c>
      <c r="M2463" s="2"/>
      <c r="N2463" s="2"/>
    </row>
    <row r="2464" spans="1:14" x14ac:dyDescent="0.25">
      <c r="A2464" s="2" t="s">
        <v>6510</v>
      </c>
      <c r="B2464" s="2" t="s">
        <v>6511</v>
      </c>
      <c r="C2464" s="2" t="s">
        <v>67</v>
      </c>
      <c r="D2464" s="2" t="s">
        <v>68</v>
      </c>
      <c r="E2464" s="2" t="s">
        <v>46</v>
      </c>
      <c r="F2464" s="2" t="s">
        <v>30</v>
      </c>
      <c r="G2464" s="2" t="s">
        <v>135</v>
      </c>
      <c r="H2464" s="2" t="s">
        <v>80</v>
      </c>
      <c r="I2464" s="2">
        <v>4</v>
      </c>
      <c r="J2464" s="2" t="s">
        <v>11</v>
      </c>
      <c r="K2464" s="2"/>
      <c r="L2464" s="2" t="s">
        <v>92</v>
      </c>
      <c r="M2464" s="2"/>
      <c r="N2464" s="2" t="s">
        <v>118</v>
      </c>
    </row>
    <row r="2465" spans="1:14" x14ac:dyDescent="0.25">
      <c r="A2465" s="2" t="s">
        <v>6512</v>
      </c>
      <c r="B2465" s="2" t="s">
        <v>6513</v>
      </c>
      <c r="C2465" s="2" t="s">
        <v>16</v>
      </c>
      <c r="D2465" s="2" t="s">
        <v>84</v>
      </c>
      <c r="E2465" s="2" t="s">
        <v>148</v>
      </c>
      <c r="F2465" s="2" t="s">
        <v>39</v>
      </c>
      <c r="G2465" s="2" t="s">
        <v>126</v>
      </c>
      <c r="H2465" s="2" t="s">
        <v>74</v>
      </c>
      <c r="I2465" s="2">
        <v>8</v>
      </c>
      <c r="J2465" s="2" t="s">
        <v>22</v>
      </c>
      <c r="K2465" s="2" t="s">
        <v>6514</v>
      </c>
      <c r="L2465" s="2" t="s">
        <v>24</v>
      </c>
      <c r="M2465" s="2"/>
      <c r="N2465" s="2" t="s">
        <v>118</v>
      </c>
    </row>
    <row r="2466" spans="1:14" x14ac:dyDescent="0.25">
      <c r="A2466" s="2" t="s">
        <v>6515</v>
      </c>
      <c r="B2466" s="2" t="s">
        <v>6516</v>
      </c>
      <c r="C2466" s="2" t="s">
        <v>28</v>
      </c>
      <c r="D2466" s="2" t="s">
        <v>100</v>
      </c>
      <c r="E2466" s="2" t="s">
        <v>85</v>
      </c>
      <c r="F2466" s="2" t="s">
        <v>47</v>
      </c>
      <c r="G2466" s="2" t="s">
        <v>101</v>
      </c>
      <c r="H2466" s="2" t="s">
        <v>74</v>
      </c>
      <c r="I2466" s="2">
        <v>8</v>
      </c>
      <c r="J2466" s="2" t="s">
        <v>106</v>
      </c>
      <c r="K2466" s="2" t="s">
        <v>6517</v>
      </c>
      <c r="L2466" s="2" t="s">
        <v>24</v>
      </c>
      <c r="M2466" s="2">
        <v>2</v>
      </c>
      <c r="N2466" s="2" t="s">
        <v>64</v>
      </c>
    </row>
    <row r="2467" spans="1:14" x14ac:dyDescent="0.25">
      <c r="A2467" s="2" t="s">
        <v>6518</v>
      </c>
      <c r="B2467" s="2" t="s">
        <v>6519</v>
      </c>
      <c r="C2467" s="2" t="s">
        <v>16</v>
      </c>
      <c r="D2467" s="2" t="s">
        <v>84</v>
      </c>
      <c r="E2467" s="2" t="s">
        <v>90</v>
      </c>
      <c r="F2467" s="2" t="s">
        <v>125</v>
      </c>
      <c r="G2467" s="2" t="s">
        <v>183</v>
      </c>
      <c r="H2467" s="2" t="s">
        <v>32</v>
      </c>
      <c r="I2467" s="2">
        <v>48</v>
      </c>
      <c r="J2467" s="2" t="s">
        <v>117</v>
      </c>
      <c r="K2467" s="2"/>
      <c r="L2467" s="2" t="s">
        <v>24</v>
      </c>
      <c r="M2467" s="2"/>
      <c r="N2467" s="2" t="s">
        <v>50</v>
      </c>
    </row>
    <row r="2468" spans="1:14" x14ac:dyDescent="0.25">
      <c r="A2468" s="2" t="s">
        <v>6520</v>
      </c>
      <c r="B2468" s="2" t="s">
        <v>6521</v>
      </c>
      <c r="C2468" s="2" t="s">
        <v>67</v>
      </c>
      <c r="D2468" s="2" t="s">
        <v>95</v>
      </c>
      <c r="E2468" s="2" t="s">
        <v>46</v>
      </c>
      <c r="F2468" s="2" t="s">
        <v>143</v>
      </c>
      <c r="G2468" s="2" t="s">
        <v>110</v>
      </c>
      <c r="H2468" s="2" t="s">
        <v>32</v>
      </c>
      <c r="I2468" s="2">
        <v>48</v>
      </c>
      <c r="J2468" s="2" t="s">
        <v>145</v>
      </c>
      <c r="K2468" s="2"/>
      <c r="L2468" s="2" t="s">
        <v>24</v>
      </c>
      <c r="M2468" s="2"/>
      <c r="N2468" s="2" t="s">
        <v>128</v>
      </c>
    </row>
    <row r="2469" spans="1:14" x14ac:dyDescent="0.25">
      <c r="A2469" s="2" t="s">
        <v>6522</v>
      </c>
      <c r="B2469" s="2" t="s">
        <v>6523</v>
      </c>
      <c r="C2469" s="2" t="s">
        <v>53</v>
      </c>
      <c r="D2469" s="2" t="s">
        <v>61</v>
      </c>
      <c r="E2469" s="2" t="s">
        <v>85</v>
      </c>
      <c r="F2469" s="2" t="s">
        <v>96</v>
      </c>
      <c r="G2469" s="2" t="s">
        <v>158</v>
      </c>
      <c r="H2469" s="2" t="s">
        <v>80</v>
      </c>
      <c r="I2469" s="2">
        <v>4</v>
      </c>
      <c r="J2469" s="2" t="s">
        <v>106</v>
      </c>
      <c r="K2469" s="2" t="s">
        <v>6524</v>
      </c>
      <c r="L2469" s="2" t="s">
        <v>24</v>
      </c>
      <c r="M2469" s="2"/>
      <c r="N2469" s="2" t="s">
        <v>64</v>
      </c>
    </row>
    <row r="2470" spans="1:14" x14ac:dyDescent="0.25">
      <c r="A2470" s="2" t="s">
        <v>6525</v>
      </c>
      <c r="B2470" s="2" t="s">
        <v>6526</v>
      </c>
      <c r="C2470" s="2" t="s">
        <v>28</v>
      </c>
      <c r="D2470" s="2" t="s">
        <v>100</v>
      </c>
      <c r="E2470" s="2" t="s">
        <v>18</v>
      </c>
      <c r="F2470" s="2" t="s">
        <v>113</v>
      </c>
      <c r="G2470" s="2" t="s">
        <v>126</v>
      </c>
      <c r="H2470" s="2" t="s">
        <v>21</v>
      </c>
      <c r="I2470" s="2">
        <v>24</v>
      </c>
      <c r="J2470" s="2" t="s">
        <v>145</v>
      </c>
      <c r="K2470" s="2"/>
      <c r="L2470" s="2" t="s">
        <v>24</v>
      </c>
      <c r="M2470" s="2"/>
      <c r="N2470" s="2"/>
    </row>
    <row r="2471" spans="1:14" x14ac:dyDescent="0.25">
      <c r="A2471" s="2" t="s">
        <v>6527</v>
      </c>
      <c r="B2471" s="2" t="s">
        <v>6528</v>
      </c>
      <c r="C2471" s="2" t="s">
        <v>53</v>
      </c>
      <c r="D2471" s="2" t="s">
        <v>54</v>
      </c>
      <c r="E2471" s="2" t="s">
        <v>18</v>
      </c>
      <c r="F2471" s="2" t="s">
        <v>131</v>
      </c>
      <c r="G2471" s="2" t="s">
        <v>158</v>
      </c>
      <c r="H2471" s="2" t="s">
        <v>21</v>
      </c>
      <c r="I2471" s="2">
        <v>24</v>
      </c>
      <c r="J2471" s="2" t="s">
        <v>232</v>
      </c>
      <c r="K2471" s="2"/>
      <c r="L2471" s="2" t="s">
        <v>92</v>
      </c>
      <c r="M2471" s="2"/>
      <c r="N2471" s="2" t="s">
        <v>128</v>
      </c>
    </row>
    <row r="2472" spans="1:14" x14ac:dyDescent="0.25">
      <c r="A2472" s="2" t="s">
        <v>6529</v>
      </c>
      <c r="B2472" s="2" t="s">
        <v>6530</v>
      </c>
      <c r="C2472" s="2" t="s">
        <v>28</v>
      </c>
      <c r="D2472" s="2" t="s">
        <v>37</v>
      </c>
      <c r="E2472" s="2" t="s">
        <v>46</v>
      </c>
      <c r="F2472" s="2" t="s">
        <v>55</v>
      </c>
      <c r="G2472" s="2" t="s">
        <v>121</v>
      </c>
      <c r="H2472" s="2" t="s">
        <v>21</v>
      </c>
      <c r="I2472" s="2">
        <v>24</v>
      </c>
      <c r="J2472" s="2" t="s">
        <v>41</v>
      </c>
      <c r="K2472" s="2" t="s">
        <v>6531</v>
      </c>
      <c r="L2472" s="2" t="s">
        <v>24</v>
      </c>
      <c r="M2472" s="2"/>
      <c r="N2472" s="2"/>
    </row>
    <row r="2473" spans="1:14" x14ac:dyDescent="0.25">
      <c r="A2473" s="2" t="s">
        <v>6532</v>
      </c>
      <c r="B2473" s="2" t="s">
        <v>6533</v>
      </c>
      <c r="C2473" s="2" t="s">
        <v>67</v>
      </c>
      <c r="D2473" s="2" t="s">
        <v>68</v>
      </c>
      <c r="E2473" s="2" t="s">
        <v>46</v>
      </c>
      <c r="F2473" s="2" t="s">
        <v>125</v>
      </c>
      <c r="G2473" s="2" t="s">
        <v>70</v>
      </c>
      <c r="H2473" s="2" t="s">
        <v>32</v>
      </c>
      <c r="I2473" s="2">
        <v>48</v>
      </c>
      <c r="J2473" s="2" t="s">
        <v>41</v>
      </c>
      <c r="K2473" s="2" t="s">
        <v>6534</v>
      </c>
      <c r="L2473" s="2" t="s">
        <v>24</v>
      </c>
      <c r="M2473" s="2"/>
      <c r="N2473" s="2" t="s">
        <v>58</v>
      </c>
    </row>
    <row r="2474" spans="1:14" x14ac:dyDescent="0.25">
      <c r="A2474" s="2" t="s">
        <v>6535</v>
      </c>
      <c r="B2474" s="2" t="s">
        <v>6536</v>
      </c>
      <c r="C2474" s="2" t="s">
        <v>28</v>
      </c>
      <c r="D2474" s="2" t="s">
        <v>37</v>
      </c>
      <c r="E2474" s="2" t="s">
        <v>46</v>
      </c>
      <c r="F2474" s="2" t="s">
        <v>62</v>
      </c>
      <c r="G2474" s="2" t="s">
        <v>144</v>
      </c>
      <c r="H2474" s="2" t="s">
        <v>21</v>
      </c>
      <c r="I2474" s="2">
        <v>24</v>
      </c>
      <c r="J2474" s="2" t="s">
        <v>486</v>
      </c>
      <c r="K2474" s="2" t="s">
        <v>6537</v>
      </c>
      <c r="L2474" s="2" t="s">
        <v>24</v>
      </c>
      <c r="M2474" s="2"/>
      <c r="N2474" s="2" t="s">
        <v>25</v>
      </c>
    </row>
    <row r="2475" spans="1:14" x14ac:dyDescent="0.25">
      <c r="A2475" s="2" t="s">
        <v>6538</v>
      </c>
      <c r="B2475" s="2" t="s">
        <v>6539</v>
      </c>
      <c r="C2475" s="2" t="s">
        <v>28</v>
      </c>
      <c r="D2475" s="2" t="s">
        <v>100</v>
      </c>
      <c r="E2475" s="2" t="s">
        <v>85</v>
      </c>
      <c r="F2475" s="2" t="s">
        <v>55</v>
      </c>
      <c r="G2475" s="2" t="s">
        <v>158</v>
      </c>
      <c r="H2475" s="2" t="s">
        <v>21</v>
      </c>
      <c r="I2475" s="2">
        <v>24</v>
      </c>
      <c r="J2475" s="2" t="s">
        <v>11</v>
      </c>
      <c r="K2475" s="2"/>
      <c r="L2475" s="2" t="s">
        <v>92</v>
      </c>
      <c r="M2475" s="2"/>
      <c r="N2475" s="2"/>
    </row>
    <row r="2476" spans="1:14" x14ac:dyDescent="0.25">
      <c r="A2476" s="2" t="s">
        <v>6540</v>
      </c>
      <c r="B2476" s="2" t="s">
        <v>6541</v>
      </c>
      <c r="C2476" s="2" t="s">
        <v>16</v>
      </c>
      <c r="D2476" s="2" t="s">
        <v>17</v>
      </c>
      <c r="E2476" s="2" t="s">
        <v>38</v>
      </c>
      <c r="F2476" s="2" t="s">
        <v>96</v>
      </c>
      <c r="G2476" s="2" t="s">
        <v>91</v>
      </c>
      <c r="H2476" s="2" t="s">
        <v>21</v>
      </c>
      <c r="I2476" s="2">
        <v>24</v>
      </c>
      <c r="J2476" s="2" t="s">
        <v>149</v>
      </c>
      <c r="K2476" s="2"/>
      <c r="L2476" s="2" t="s">
        <v>24</v>
      </c>
      <c r="M2476" s="2"/>
      <c r="N2476" s="2" t="s">
        <v>43</v>
      </c>
    </row>
    <row r="2477" spans="1:14" x14ac:dyDescent="0.25">
      <c r="A2477" s="2" t="s">
        <v>6542</v>
      </c>
      <c r="B2477" s="2" t="s">
        <v>6543</v>
      </c>
      <c r="C2477" s="2" t="s">
        <v>16</v>
      </c>
      <c r="D2477" s="2" t="s">
        <v>17</v>
      </c>
      <c r="E2477" s="2" t="s">
        <v>85</v>
      </c>
      <c r="F2477" s="2" t="s">
        <v>69</v>
      </c>
      <c r="G2477" s="2" t="s">
        <v>135</v>
      </c>
      <c r="H2477" s="2" t="s">
        <v>21</v>
      </c>
      <c r="I2477" s="2">
        <v>24</v>
      </c>
      <c r="J2477" s="2" t="s">
        <v>56</v>
      </c>
      <c r="K2477" s="2" t="s">
        <v>6544</v>
      </c>
      <c r="L2477" s="2" t="s">
        <v>24</v>
      </c>
      <c r="M2477" s="2"/>
      <c r="N2477" s="2" t="s">
        <v>43</v>
      </c>
    </row>
    <row r="2478" spans="1:14" x14ac:dyDescent="0.25">
      <c r="A2478" s="2" t="s">
        <v>6545</v>
      </c>
      <c r="B2478" s="2" t="s">
        <v>6546</v>
      </c>
      <c r="C2478" s="2" t="s">
        <v>16</v>
      </c>
      <c r="D2478" s="2" t="s">
        <v>84</v>
      </c>
      <c r="E2478" s="2" t="s">
        <v>85</v>
      </c>
      <c r="F2478" s="2" t="s">
        <v>113</v>
      </c>
      <c r="G2478" s="2" t="s">
        <v>110</v>
      </c>
      <c r="H2478" s="2" t="s">
        <v>21</v>
      </c>
      <c r="I2478" s="2">
        <v>24</v>
      </c>
      <c r="J2478" s="2" t="s">
        <v>48</v>
      </c>
      <c r="K2478" s="2" t="s">
        <v>6547</v>
      </c>
      <c r="L2478" s="2" t="s">
        <v>24</v>
      </c>
      <c r="M2478" s="2">
        <v>1</v>
      </c>
      <c r="N2478" s="2" t="s">
        <v>128</v>
      </c>
    </row>
    <row r="2479" spans="1:14" x14ac:dyDescent="0.25">
      <c r="A2479" s="2" t="s">
        <v>6548</v>
      </c>
      <c r="B2479" s="2" t="s">
        <v>6549</v>
      </c>
      <c r="C2479" s="2" t="s">
        <v>53</v>
      </c>
      <c r="D2479" s="2" t="s">
        <v>61</v>
      </c>
      <c r="E2479" s="2" t="s">
        <v>38</v>
      </c>
      <c r="F2479" s="2" t="s">
        <v>143</v>
      </c>
      <c r="G2479" s="2" t="s">
        <v>40</v>
      </c>
      <c r="H2479" s="2" t="s">
        <v>74</v>
      </c>
      <c r="I2479" s="2">
        <v>8</v>
      </c>
      <c r="J2479" s="2" t="s">
        <v>287</v>
      </c>
      <c r="K2479" s="2"/>
      <c r="L2479" s="2" t="s">
        <v>24</v>
      </c>
      <c r="M2479" s="2"/>
      <c r="N2479" s="2" t="s">
        <v>50</v>
      </c>
    </row>
    <row r="2480" spans="1:14" x14ac:dyDescent="0.25">
      <c r="A2480" s="2" t="s">
        <v>6550</v>
      </c>
      <c r="B2480" s="2" t="s">
        <v>6551</v>
      </c>
      <c r="C2480" s="2" t="s">
        <v>28</v>
      </c>
      <c r="D2480" s="2" t="s">
        <v>37</v>
      </c>
      <c r="E2480" s="2" t="s">
        <v>148</v>
      </c>
      <c r="F2480" s="2" t="s">
        <v>113</v>
      </c>
      <c r="G2480" s="2" t="s">
        <v>126</v>
      </c>
      <c r="H2480" s="2" t="s">
        <v>21</v>
      </c>
      <c r="I2480" s="2">
        <v>24</v>
      </c>
      <c r="J2480" s="2" t="s">
        <v>41</v>
      </c>
      <c r="K2480" s="2" t="s">
        <v>6552</v>
      </c>
      <c r="L2480" s="2" t="s">
        <v>24</v>
      </c>
      <c r="M2480" s="2"/>
      <c r="N2480" s="2" t="s">
        <v>128</v>
      </c>
    </row>
    <row r="2481" spans="1:14" x14ac:dyDescent="0.25">
      <c r="A2481" s="2" t="s">
        <v>6553</v>
      </c>
      <c r="B2481" s="2" t="s">
        <v>6554</v>
      </c>
      <c r="C2481" s="2" t="s">
        <v>53</v>
      </c>
      <c r="D2481" s="2" t="s">
        <v>54</v>
      </c>
      <c r="E2481" s="2" t="s">
        <v>85</v>
      </c>
      <c r="F2481" s="2" t="s">
        <v>47</v>
      </c>
      <c r="G2481" s="2" t="s">
        <v>183</v>
      </c>
      <c r="H2481" s="2" t="s">
        <v>32</v>
      </c>
      <c r="I2481" s="2">
        <v>48</v>
      </c>
      <c r="J2481" s="2" t="s">
        <v>117</v>
      </c>
      <c r="K2481" s="2"/>
      <c r="L2481" s="2" t="s">
        <v>24</v>
      </c>
      <c r="M2481" s="2"/>
      <c r="N2481" s="2" t="s">
        <v>118</v>
      </c>
    </row>
    <row r="2482" spans="1:14" x14ac:dyDescent="0.25">
      <c r="A2482" s="2" t="s">
        <v>6555</v>
      </c>
      <c r="B2482" s="2" t="s">
        <v>6556</v>
      </c>
      <c r="C2482" s="2" t="s">
        <v>16</v>
      </c>
      <c r="D2482" s="2" t="s">
        <v>84</v>
      </c>
      <c r="E2482" s="2" t="s">
        <v>79</v>
      </c>
      <c r="F2482" s="2" t="s">
        <v>143</v>
      </c>
      <c r="G2482" s="2" t="s">
        <v>20</v>
      </c>
      <c r="H2482" s="2" t="s">
        <v>74</v>
      </c>
      <c r="I2482" s="2">
        <v>8</v>
      </c>
      <c r="J2482" s="2" t="s">
        <v>145</v>
      </c>
      <c r="K2482" s="2"/>
      <c r="L2482" s="2" t="s">
        <v>24</v>
      </c>
      <c r="M2482" s="2"/>
      <c r="N2482" s="2" t="s">
        <v>64</v>
      </c>
    </row>
    <row r="2483" spans="1:14" x14ac:dyDescent="0.25">
      <c r="A2483" s="2" t="s">
        <v>6557</v>
      </c>
      <c r="B2483" s="2" t="s">
        <v>6558</v>
      </c>
      <c r="C2483" s="2" t="s">
        <v>16</v>
      </c>
      <c r="D2483" s="2" t="s">
        <v>765</v>
      </c>
      <c r="E2483" s="2" t="s">
        <v>79</v>
      </c>
      <c r="F2483" s="2" t="s">
        <v>69</v>
      </c>
      <c r="G2483" s="2" t="s">
        <v>20</v>
      </c>
      <c r="H2483" s="2" t="s">
        <v>74</v>
      </c>
      <c r="I2483" s="2">
        <v>8</v>
      </c>
      <c r="J2483" s="2" t="s">
        <v>48</v>
      </c>
      <c r="K2483" s="2" t="s">
        <v>6559</v>
      </c>
      <c r="L2483" s="2" t="s">
        <v>24</v>
      </c>
      <c r="M2483" s="2"/>
      <c r="N2483" s="2" t="s">
        <v>25</v>
      </c>
    </row>
    <row r="2484" spans="1:14" x14ac:dyDescent="0.25">
      <c r="A2484" s="2" t="s">
        <v>6560</v>
      </c>
      <c r="B2484" s="2" t="s">
        <v>6561</v>
      </c>
      <c r="C2484" s="2" t="s">
        <v>28</v>
      </c>
      <c r="D2484" s="2" t="s">
        <v>37</v>
      </c>
      <c r="E2484" s="2" t="s">
        <v>90</v>
      </c>
      <c r="F2484" s="2" t="s">
        <v>143</v>
      </c>
      <c r="G2484" s="2" t="s">
        <v>121</v>
      </c>
      <c r="H2484" s="2" t="s">
        <v>32</v>
      </c>
      <c r="I2484" s="2">
        <v>48</v>
      </c>
      <c r="J2484" s="2" t="s">
        <v>22</v>
      </c>
      <c r="K2484" s="2" t="s">
        <v>6562</v>
      </c>
      <c r="L2484" s="2" t="s">
        <v>24</v>
      </c>
      <c r="M2484" s="2">
        <v>3</v>
      </c>
      <c r="N2484" s="2"/>
    </row>
    <row r="2485" spans="1:14" x14ac:dyDescent="0.25">
      <c r="A2485" s="2" t="s">
        <v>6563</v>
      </c>
      <c r="B2485" s="2" t="s">
        <v>6564</v>
      </c>
      <c r="C2485" s="2" t="s">
        <v>53</v>
      </c>
      <c r="D2485" s="2" t="s">
        <v>54</v>
      </c>
      <c r="E2485" s="2" t="s">
        <v>38</v>
      </c>
      <c r="F2485" s="2" t="s">
        <v>47</v>
      </c>
      <c r="G2485" s="2" t="s">
        <v>31</v>
      </c>
      <c r="H2485" s="2" t="s">
        <v>32</v>
      </c>
      <c r="I2485" s="2">
        <v>48</v>
      </c>
      <c r="J2485" s="2" t="s">
        <v>41</v>
      </c>
      <c r="K2485" s="2" t="s">
        <v>6565</v>
      </c>
      <c r="L2485" s="2" t="s">
        <v>24</v>
      </c>
      <c r="M2485" s="2">
        <v>3</v>
      </c>
      <c r="N2485" s="2" t="s">
        <v>118</v>
      </c>
    </row>
    <row r="2486" spans="1:14" x14ac:dyDescent="0.25">
      <c r="A2486" s="2" t="s">
        <v>6566</v>
      </c>
      <c r="B2486" s="2" t="s">
        <v>6567</v>
      </c>
      <c r="C2486" s="2" t="s">
        <v>28</v>
      </c>
      <c r="D2486" s="2" t="s">
        <v>29</v>
      </c>
      <c r="E2486" s="2" t="s">
        <v>90</v>
      </c>
      <c r="F2486" s="2" t="s">
        <v>143</v>
      </c>
      <c r="G2486" s="2" t="s">
        <v>183</v>
      </c>
      <c r="H2486" s="2" t="s">
        <v>74</v>
      </c>
      <c r="I2486" s="2">
        <v>8</v>
      </c>
      <c r="J2486" s="2" t="s">
        <v>117</v>
      </c>
      <c r="K2486" s="2"/>
      <c r="L2486" s="2" t="s">
        <v>24</v>
      </c>
      <c r="M2486" s="2"/>
      <c r="N2486" s="2"/>
    </row>
    <row r="2487" spans="1:14" x14ac:dyDescent="0.25">
      <c r="A2487" s="2" t="s">
        <v>6568</v>
      </c>
      <c r="B2487" s="2" t="s">
        <v>6569</v>
      </c>
      <c r="C2487" s="2" t="s">
        <v>16</v>
      </c>
      <c r="D2487" s="2" t="s">
        <v>17</v>
      </c>
      <c r="E2487" s="2" t="s">
        <v>90</v>
      </c>
      <c r="F2487" s="2" t="s">
        <v>131</v>
      </c>
      <c r="G2487" s="2" t="s">
        <v>40</v>
      </c>
      <c r="H2487" s="2" t="s">
        <v>32</v>
      </c>
      <c r="I2487" s="2">
        <v>48</v>
      </c>
      <c r="J2487" s="2" t="s">
        <v>33</v>
      </c>
      <c r="K2487" s="2"/>
      <c r="L2487" s="2" t="s">
        <v>24</v>
      </c>
      <c r="M2487" s="2"/>
      <c r="N2487" s="2" t="s">
        <v>128</v>
      </c>
    </row>
    <row r="2488" spans="1:14" x14ac:dyDescent="0.25">
      <c r="A2488" s="2" t="s">
        <v>6570</v>
      </c>
      <c r="B2488" s="2" t="s">
        <v>6571</v>
      </c>
      <c r="C2488" s="2" t="s">
        <v>67</v>
      </c>
      <c r="D2488" s="2" t="s">
        <v>68</v>
      </c>
      <c r="E2488" s="2" t="s">
        <v>85</v>
      </c>
      <c r="F2488" s="2" t="s">
        <v>131</v>
      </c>
      <c r="G2488" s="2" t="s">
        <v>126</v>
      </c>
      <c r="H2488" s="2" t="s">
        <v>21</v>
      </c>
      <c r="I2488" s="2">
        <v>24</v>
      </c>
      <c r="J2488" s="2" t="s">
        <v>149</v>
      </c>
      <c r="K2488" s="2"/>
      <c r="L2488" s="2" t="s">
        <v>24</v>
      </c>
      <c r="M2488" s="2"/>
      <c r="N2488" s="2" t="s">
        <v>25</v>
      </c>
    </row>
    <row r="2489" spans="1:14" x14ac:dyDescent="0.25">
      <c r="A2489" s="2" t="s">
        <v>6572</v>
      </c>
      <c r="B2489" s="2" t="s">
        <v>6573</v>
      </c>
      <c r="C2489" s="2" t="s">
        <v>67</v>
      </c>
      <c r="D2489" s="2" t="s">
        <v>68</v>
      </c>
      <c r="E2489" s="2" t="s">
        <v>85</v>
      </c>
      <c r="F2489" s="2" t="s">
        <v>39</v>
      </c>
      <c r="G2489" s="2" t="s">
        <v>126</v>
      </c>
      <c r="H2489" s="2" t="s">
        <v>74</v>
      </c>
      <c r="I2489" s="2">
        <v>8</v>
      </c>
      <c r="J2489" s="2" t="s">
        <v>106</v>
      </c>
      <c r="K2489" s="2" t="s">
        <v>6574</v>
      </c>
      <c r="L2489" s="2" t="s">
        <v>92</v>
      </c>
      <c r="M2489" s="2"/>
      <c r="N2489" s="2"/>
    </row>
    <row r="2490" spans="1:14" x14ac:dyDescent="0.25">
      <c r="A2490" s="2" t="s">
        <v>6575</v>
      </c>
      <c r="B2490" s="2" t="s">
        <v>6576</v>
      </c>
      <c r="C2490" s="2" t="s">
        <v>28</v>
      </c>
      <c r="D2490" s="2" t="s">
        <v>37</v>
      </c>
      <c r="E2490" s="2" t="s">
        <v>38</v>
      </c>
      <c r="F2490" s="2" t="s">
        <v>19</v>
      </c>
      <c r="G2490" s="2" t="s">
        <v>121</v>
      </c>
      <c r="H2490" s="2" t="s">
        <v>21</v>
      </c>
      <c r="I2490" s="2">
        <v>24</v>
      </c>
      <c r="J2490" s="2" t="s">
        <v>41</v>
      </c>
      <c r="K2490" s="2" t="s">
        <v>6577</v>
      </c>
      <c r="L2490" s="2" t="s">
        <v>24</v>
      </c>
      <c r="M2490" s="2"/>
      <c r="N2490" s="2" t="s">
        <v>58</v>
      </c>
    </row>
    <row r="2491" spans="1:14" x14ac:dyDescent="0.25">
      <c r="A2491" s="2" t="s">
        <v>6578</v>
      </c>
      <c r="B2491" s="2" t="s">
        <v>6579</v>
      </c>
      <c r="C2491" s="2" t="s">
        <v>28</v>
      </c>
      <c r="D2491" s="2" t="s">
        <v>37</v>
      </c>
      <c r="E2491" s="2" t="s">
        <v>18</v>
      </c>
      <c r="F2491" s="2" t="s">
        <v>113</v>
      </c>
      <c r="G2491" s="2" t="s">
        <v>144</v>
      </c>
      <c r="H2491" s="2" t="s">
        <v>74</v>
      </c>
      <c r="I2491" s="2">
        <v>8</v>
      </c>
      <c r="J2491" s="2" t="s">
        <v>56</v>
      </c>
      <c r="K2491" s="2" t="s">
        <v>6580</v>
      </c>
      <c r="L2491" s="2" t="s">
        <v>24</v>
      </c>
      <c r="M2491" s="2"/>
      <c r="N2491" s="2" t="s">
        <v>118</v>
      </c>
    </row>
    <row r="2492" spans="1:14" x14ac:dyDescent="0.25">
      <c r="A2492" s="2" t="s">
        <v>6581</v>
      </c>
      <c r="B2492" s="2" t="s">
        <v>6582</v>
      </c>
      <c r="C2492" s="2" t="s">
        <v>28</v>
      </c>
      <c r="D2492" s="2" t="s">
        <v>37</v>
      </c>
      <c r="E2492" s="2" t="s">
        <v>79</v>
      </c>
      <c r="F2492" s="2" t="s">
        <v>125</v>
      </c>
      <c r="G2492" s="2" t="s">
        <v>121</v>
      </c>
      <c r="H2492" s="2" t="s">
        <v>80</v>
      </c>
      <c r="I2492" s="2">
        <v>4</v>
      </c>
      <c r="J2492" s="2" t="s">
        <v>106</v>
      </c>
      <c r="K2492" s="2" t="s">
        <v>6583</v>
      </c>
      <c r="L2492" s="2" t="s">
        <v>24</v>
      </c>
      <c r="M2492" s="2"/>
      <c r="N2492" s="2" t="s">
        <v>64</v>
      </c>
    </row>
    <row r="2493" spans="1:14" x14ac:dyDescent="0.25">
      <c r="A2493" s="2" t="s">
        <v>6584</v>
      </c>
      <c r="B2493" s="2" t="s">
        <v>6585</v>
      </c>
      <c r="C2493" s="2" t="s">
        <v>16</v>
      </c>
      <c r="D2493" s="2" t="s">
        <v>17</v>
      </c>
      <c r="E2493" s="2" t="s">
        <v>79</v>
      </c>
      <c r="F2493" s="2" t="s">
        <v>39</v>
      </c>
      <c r="G2493" s="2" t="s">
        <v>121</v>
      </c>
      <c r="H2493" s="2" t="s">
        <v>32</v>
      </c>
      <c r="I2493" s="2">
        <v>48</v>
      </c>
      <c r="J2493" s="2" t="s">
        <v>48</v>
      </c>
      <c r="K2493" s="2" t="s">
        <v>6586</v>
      </c>
      <c r="L2493" s="2" t="s">
        <v>24</v>
      </c>
      <c r="M2493" s="2">
        <v>4</v>
      </c>
      <c r="N2493" s="2" t="s">
        <v>50</v>
      </c>
    </row>
    <row r="2494" spans="1:14" x14ac:dyDescent="0.25">
      <c r="A2494" s="2" t="s">
        <v>6587</v>
      </c>
      <c r="B2494" s="2" t="s">
        <v>6588</v>
      </c>
      <c r="C2494" s="2" t="s">
        <v>28</v>
      </c>
      <c r="D2494" s="2" t="s">
        <v>100</v>
      </c>
      <c r="E2494" s="2" t="s">
        <v>90</v>
      </c>
      <c r="F2494" s="2" t="s">
        <v>62</v>
      </c>
      <c r="G2494" s="2" t="s">
        <v>126</v>
      </c>
      <c r="H2494" s="2" t="s">
        <v>21</v>
      </c>
      <c r="I2494" s="2">
        <v>24</v>
      </c>
      <c r="J2494" s="2" t="s">
        <v>48</v>
      </c>
      <c r="K2494" s="2" t="s">
        <v>6589</v>
      </c>
      <c r="L2494" s="2" t="s">
        <v>24</v>
      </c>
      <c r="M2494" s="2">
        <v>3</v>
      </c>
      <c r="N2494" s="2" t="s">
        <v>43</v>
      </c>
    </row>
    <row r="2495" spans="1:14" x14ac:dyDescent="0.25">
      <c r="A2495" s="2" t="s">
        <v>6590</v>
      </c>
      <c r="B2495" s="2" t="s">
        <v>6591</v>
      </c>
      <c r="C2495" s="2" t="s">
        <v>16</v>
      </c>
      <c r="D2495" s="2" t="s">
        <v>84</v>
      </c>
      <c r="E2495" s="2" t="s">
        <v>79</v>
      </c>
      <c r="F2495" s="2" t="s">
        <v>96</v>
      </c>
      <c r="G2495" s="2" t="s">
        <v>110</v>
      </c>
      <c r="H2495" s="2" t="s">
        <v>32</v>
      </c>
      <c r="I2495" s="2">
        <v>48</v>
      </c>
      <c r="J2495" s="2" t="s">
        <v>22</v>
      </c>
      <c r="K2495" s="2" t="s">
        <v>6592</v>
      </c>
      <c r="L2495" s="2" t="s">
        <v>24</v>
      </c>
      <c r="M2495" s="2">
        <v>5</v>
      </c>
      <c r="N2495" s="2" t="s">
        <v>58</v>
      </c>
    </row>
    <row r="2496" spans="1:14" x14ac:dyDescent="0.25">
      <c r="A2496" s="2" t="s">
        <v>6593</v>
      </c>
      <c r="B2496" s="2" t="s">
        <v>6594</v>
      </c>
      <c r="C2496" s="2" t="s">
        <v>53</v>
      </c>
      <c r="D2496" s="2" t="s">
        <v>54</v>
      </c>
      <c r="E2496" s="2" t="s">
        <v>46</v>
      </c>
      <c r="F2496" s="2" t="s">
        <v>69</v>
      </c>
      <c r="G2496" s="2" t="s">
        <v>144</v>
      </c>
      <c r="H2496" s="2" t="s">
        <v>21</v>
      </c>
      <c r="I2496" s="2">
        <v>24</v>
      </c>
      <c r="J2496" s="2" t="s">
        <v>41</v>
      </c>
      <c r="K2496" s="2"/>
      <c r="L2496" s="2" t="s">
        <v>24</v>
      </c>
      <c r="M2496" s="2">
        <v>2</v>
      </c>
      <c r="N2496" s="2" t="s">
        <v>64</v>
      </c>
    </row>
    <row r="2497" spans="1:14" x14ac:dyDescent="0.25">
      <c r="A2497" s="2" t="s">
        <v>6595</v>
      </c>
      <c r="B2497" s="2" t="s">
        <v>6596</v>
      </c>
      <c r="C2497" s="2" t="s">
        <v>16</v>
      </c>
      <c r="D2497" s="2" t="s">
        <v>84</v>
      </c>
      <c r="E2497" s="2" t="s">
        <v>38</v>
      </c>
      <c r="F2497" s="2" t="s">
        <v>39</v>
      </c>
      <c r="G2497" s="2" t="s">
        <v>110</v>
      </c>
      <c r="H2497" s="2" t="s">
        <v>21</v>
      </c>
      <c r="I2497" s="2">
        <v>24</v>
      </c>
      <c r="J2497" s="2" t="s">
        <v>187</v>
      </c>
      <c r="K2497" s="2" t="s">
        <v>6597</v>
      </c>
      <c r="L2497" s="2" t="s">
        <v>24</v>
      </c>
      <c r="M2497" s="2">
        <v>4</v>
      </c>
      <c r="N2497" s="2" t="s">
        <v>118</v>
      </c>
    </row>
    <row r="2498" spans="1:14" x14ac:dyDescent="0.25">
      <c r="A2498" s="2" t="s">
        <v>6598</v>
      </c>
      <c r="B2498" s="2" t="s">
        <v>6599</v>
      </c>
      <c r="C2498" s="2" t="s">
        <v>67</v>
      </c>
      <c r="D2498" s="2" t="s">
        <v>68</v>
      </c>
      <c r="E2498" s="2" t="s">
        <v>90</v>
      </c>
      <c r="F2498" s="2" t="s">
        <v>69</v>
      </c>
      <c r="G2498" s="2" t="s">
        <v>40</v>
      </c>
      <c r="H2498" s="2" t="s">
        <v>32</v>
      </c>
      <c r="I2498" s="2">
        <v>48</v>
      </c>
      <c r="J2498" s="2" t="s">
        <v>48</v>
      </c>
      <c r="K2498" s="2" t="s">
        <v>6600</v>
      </c>
      <c r="L2498" s="2" t="s">
        <v>24</v>
      </c>
      <c r="M2498" s="2">
        <v>3</v>
      </c>
      <c r="N2498" s="2" t="s">
        <v>58</v>
      </c>
    </row>
    <row r="2499" spans="1:14" x14ac:dyDescent="0.25">
      <c r="A2499" s="2" t="s">
        <v>6601</v>
      </c>
      <c r="B2499" s="2" t="s">
        <v>6602</v>
      </c>
      <c r="C2499" s="2" t="s">
        <v>67</v>
      </c>
      <c r="D2499" s="2" t="s">
        <v>68</v>
      </c>
      <c r="E2499" s="2" t="s">
        <v>79</v>
      </c>
      <c r="F2499" s="2" t="s">
        <v>19</v>
      </c>
      <c r="G2499" s="2" t="s">
        <v>70</v>
      </c>
      <c r="H2499" s="2" t="s">
        <v>74</v>
      </c>
      <c r="I2499" s="2">
        <v>8</v>
      </c>
      <c r="J2499" s="2" t="s">
        <v>287</v>
      </c>
      <c r="K2499" s="2"/>
      <c r="L2499" s="2" t="s">
        <v>92</v>
      </c>
      <c r="M2499" s="2"/>
      <c r="N2499" s="2"/>
    </row>
    <row r="2500" spans="1:14" x14ac:dyDescent="0.25">
      <c r="A2500" s="2" t="s">
        <v>6603</v>
      </c>
      <c r="B2500" s="2" t="s">
        <v>6604</v>
      </c>
      <c r="C2500" s="2" t="s">
        <v>28</v>
      </c>
      <c r="D2500" s="2" t="s">
        <v>100</v>
      </c>
      <c r="E2500" s="2" t="s">
        <v>46</v>
      </c>
      <c r="F2500" s="2" t="s">
        <v>131</v>
      </c>
      <c r="G2500" s="2" t="s">
        <v>101</v>
      </c>
      <c r="H2500" s="2" t="s">
        <v>21</v>
      </c>
      <c r="I2500" s="2">
        <v>24</v>
      </c>
      <c r="J2500" s="2" t="s">
        <v>232</v>
      </c>
      <c r="K2500" s="2"/>
      <c r="L2500" s="2" t="s">
        <v>92</v>
      </c>
      <c r="M2500" s="2"/>
      <c r="N2500" s="2"/>
    </row>
    <row r="2501" spans="1:14" x14ac:dyDescent="0.25">
      <c r="A2501" s="2" t="s">
        <v>6605</v>
      </c>
      <c r="B2501" s="2" t="s">
        <v>6606</v>
      </c>
      <c r="C2501" s="2" t="s">
        <v>67</v>
      </c>
      <c r="D2501" s="2" t="s">
        <v>95</v>
      </c>
      <c r="E2501" s="2" t="s">
        <v>18</v>
      </c>
      <c r="F2501" s="2" t="s">
        <v>69</v>
      </c>
      <c r="G2501" s="2" t="s">
        <v>183</v>
      </c>
      <c r="H2501" s="2" t="s">
        <v>21</v>
      </c>
      <c r="I2501" s="2">
        <v>24</v>
      </c>
      <c r="J2501" s="2" t="s">
        <v>41</v>
      </c>
      <c r="K2501" s="2" t="s">
        <v>6607</v>
      </c>
      <c r="L2501" s="2" t="s">
        <v>24</v>
      </c>
      <c r="M2501" s="2">
        <v>4</v>
      </c>
      <c r="N2501" s="2"/>
    </row>
    <row r="2502" spans="1:14" x14ac:dyDescent="0.25">
      <c r="A2502" s="2" t="s">
        <v>6608</v>
      </c>
      <c r="B2502" s="2" t="s">
        <v>6609</v>
      </c>
      <c r="C2502" s="2" t="s">
        <v>28</v>
      </c>
      <c r="D2502" s="2" t="s">
        <v>100</v>
      </c>
      <c r="E2502" s="2" t="s">
        <v>85</v>
      </c>
      <c r="F2502" s="2" t="s">
        <v>69</v>
      </c>
      <c r="G2502" s="2" t="s">
        <v>211</v>
      </c>
      <c r="H2502" s="2" t="s">
        <v>21</v>
      </c>
      <c r="I2502" s="2">
        <v>24</v>
      </c>
      <c r="J2502" s="2" t="s">
        <v>106</v>
      </c>
      <c r="K2502" s="2" t="s">
        <v>6610</v>
      </c>
      <c r="L2502" s="2" t="s">
        <v>24</v>
      </c>
      <c r="M2502" s="2">
        <v>1</v>
      </c>
      <c r="N2502" s="2"/>
    </row>
    <row r="2503" spans="1:14" x14ac:dyDescent="0.25">
      <c r="A2503" s="2" t="s">
        <v>6611</v>
      </c>
      <c r="B2503" s="2" t="s">
        <v>6612</v>
      </c>
      <c r="C2503" s="2" t="s">
        <v>53</v>
      </c>
      <c r="D2503" s="2" t="s">
        <v>61</v>
      </c>
      <c r="E2503" s="2" t="s">
        <v>85</v>
      </c>
      <c r="F2503" s="2" t="s">
        <v>19</v>
      </c>
      <c r="G2503" s="2" t="s">
        <v>110</v>
      </c>
      <c r="H2503" s="2" t="s">
        <v>21</v>
      </c>
      <c r="I2503" s="2">
        <v>24</v>
      </c>
      <c r="J2503" s="2" t="s">
        <v>117</v>
      </c>
      <c r="K2503" s="2"/>
      <c r="L2503" s="2" t="s">
        <v>24</v>
      </c>
      <c r="M2503" s="2"/>
      <c r="N2503" s="2" t="s">
        <v>43</v>
      </c>
    </row>
    <row r="2504" spans="1:14" x14ac:dyDescent="0.25">
      <c r="A2504" s="2" t="s">
        <v>6613</v>
      </c>
      <c r="B2504" s="2" t="s">
        <v>6614</v>
      </c>
      <c r="C2504" s="2" t="s">
        <v>53</v>
      </c>
      <c r="D2504" s="2" t="s">
        <v>54</v>
      </c>
      <c r="E2504" s="2" t="s">
        <v>90</v>
      </c>
      <c r="F2504" s="2" t="s">
        <v>30</v>
      </c>
      <c r="G2504" s="2" t="s">
        <v>211</v>
      </c>
      <c r="H2504" s="2" t="s">
        <v>21</v>
      </c>
      <c r="I2504" s="2">
        <v>24</v>
      </c>
      <c r="J2504" s="2" t="s">
        <v>106</v>
      </c>
      <c r="K2504" s="2" t="s">
        <v>6615</v>
      </c>
      <c r="L2504" s="2" t="s">
        <v>24</v>
      </c>
      <c r="M2504" s="2">
        <v>5</v>
      </c>
      <c r="N2504" s="2" t="s">
        <v>64</v>
      </c>
    </row>
    <row r="2505" spans="1:14" x14ac:dyDescent="0.25">
      <c r="A2505" s="2" t="s">
        <v>6616</v>
      </c>
      <c r="B2505" s="2" t="s">
        <v>6617</v>
      </c>
      <c r="C2505" s="2" t="s">
        <v>16</v>
      </c>
      <c r="D2505" s="2" t="s">
        <v>17</v>
      </c>
      <c r="E2505" s="2" t="s">
        <v>38</v>
      </c>
      <c r="F2505" s="2" t="s">
        <v>39</v>
      </c>
      <c r="G2505" s="2" t="s">
        <v>121</v>
      </c>
      <c r="H2505" s="2" t="s">
        <v>21</v>
      </c>
      <c r="I2505" s="2">
        <v>24</v>
      </c>
      <c r="J2505" s="2" t="s">
        <v>22</v>
      </c>
      <c r="K2505" s="2" t="s">
        <v>6618</v>
      </c>
      <c r="L2505" s="2" t="s">
        <v>24</v>
      </c>
      <c r="M2505" s="2">
        <v>5</v>
      </c>
      <c r="N2505" s="2" t="s">
        <v>118</v>
      </c>
    </row>
    <row r="2506" spans="1:14" x14ac:dyDescent="0.25">
      <c r="A2506" s="2" t="s">
        <v>6619</v>
      </c>
      <c r="B2506" s="2" t="s">
        <v>6620</v>
      </c>
      <c r="C2506" s="2" t="s">
        <v>28</v>
      </c>
      <c r="D2506" s="2" t="s">
        <v>100</v>
      </c>
      <c r="E2506" s="2" t="s">
        <v>90</v>
      </c>
      <c r="F2506" s="2" t="s">
        <v>47</v>
      </c>
      <c r="G2506" s="2" t="s">
        <v>110</v>
      </c>
      <c r="H2506" s="2" t="s">
        <v>21</v>
      </c>
      <c r="I2506" s="2">
        <v>24</v>
      </c>
      <c r="J2506" s="2" t="s">
        <v>106</v>
      </c>
      <c r="K2506" s="2"/>
      <c r="L2506" s="2" t="s">
        <v>24</v>
      </c>
      <c r="M2506" s="2"/>
      <c r="N2506" s="2"/>
    </row>
    <row r="2507" spans="1:14" x14ac:dyDescent="0.25">
      <c r="A2507" s="2" t="s">
        <v>6621</v>
      </c>
      <c r="B2507" s="2" t="s">
        <v>6622</v>
      </c>
      <c r="C2507" s="2" t="s">
        <v>28</v>
      </c>
      <c r="D2507" s="2" t="s">
        <v>37</v>
      </c>
      <c r="E2507" s="2" t="s">
        <v>38</v>
      </c>
      <c r="F2507" s="2" t="s">
        <v>30</v>
      </c>
      <c r="G2507" s="2" t="s">
        <v>91</v>
      </c>
      <c r="H2507" s="2" t="s">
        <v>21</v>
      </c>
      <c r="I2507" s="2">
        <v>24</v>
      </c>
      <c r="J2507" s="2" t="s">
        <v>117</v>
      </c>
      <c r="K2507" s="2"/>
      <c r="L2507" s="2" t="s">
        <v>24</v>
      </c>
      <c r="M2507" s="2"/>
      <c r="N2507" s="2"/>
    </row>
    <row r="2508" spans="1:14" x14ac:dyDescent="0.25">
      <c r="A2508" s="2" t="s">
        <v>6623</v>
      </c>
      <c r="B2508" s="2" t="s">
        <v>6624</v>
      </c>
      <c r="C2508" s="2" t="s">
        <v>16</v>
      </c>
      <c r="D2508" s="2" t="s">
        <v>84</v>
      </c>
      <c r="E2508" s="2" t="s">
        <v>79</v>
      </c>
      <c r="F2508" s="2" t="s">
        <v>125</v>
      </c>
      <c r="G2508" s="2" t="s">
        <v>144</v>
      </c>
      <c r="H2508" s="2" t="s">
        <v>32</v>
      </c>
      <c r="I2508" s="2">
        <v>48</v>
      </c>
      <c r="J2508" s="2" t="s">
        <v>106</v>
      </c>
      <c r="K2508" s="2" t="s">
        <v>6625</v>
      </c>
      <c r="L2508" s="2" t="s">
        <v>24</v>
      </c>
      <c r="M2508" s="2">
        <v>5</v>
      </c>
      <c r="N2508" s="2" t="s">
        <v>50</v>
      </c>
    </row>
    <row r="2509" spans="1:14" x14ac:dyDescent="0.25">
      <c r="A2509" s="2" t="s">
        <v>6626</v>
      </c>
      <c r="B2509" s="2" t="s">
        <v>6627</v>
      </c>
      <c r="C2509" s="2" t="s">
        <v>28</v>
      </c>
      <c r="D2509" s="2" t="s">
        <v>100</v>
      </c>
      <c r="E2509" s="2" t="s">
        <v>148</v>
      </c>
      <c r="F2509" s="2" t="s">
        <v>131</v>
      </c>
      <c r="G2509" s="2" t="s">
        <v>105</v>
      </c>
      <c r="H2509" s="2" t="s">
        <v>21</v>
      </c>
      <c r="I2509" s="2">
        <v>24</v>
      </c>
      <c r="J2509" s="2" t="s">
        <v>48</v>
      </c>
      <c r="K2509" s="2" t="s">
        <v>6628</v>
      </c>
      <c r="L2509" s="2" t="s">
        <v>24</v>
      </c>
      <c r="M2509" s="2">
        <v>4</v>
      </c>
      <c r="N2509" s="2" t="s">
        <v>128</v>
      </c>
    </row>
    <row r="2510" spans="1:14" x14ac:dyDescent="0.25">
      <c r="A2510" s="2" t="s">
        <v>6629</v>
      </c>
      <c r="B2510" s="2" t="s">
        <v>6630</v>
      </c>
      <c r="C2510" s="2" t="s">
        <v>67</v>
      </c>
      <c r="D2510" s="2" t="s">
        <v>68</v>
      </c>
      <c r="E2510" s="2" t="s">
        <v>79</v>
      </c>
      <c r="F2510" s="2" t="s">
        <v>30</v>
      </c>
      <c r="G2510" s="2" t="s">
        <v>135</v>
      </c>
      <c r="H2510" s="2" t="s">
        <v>32</v>
      </c>
      <c r="I2510" s="2">
        <v>48</v>
      </c>
      <c r="J2510" s="2" t="s">
        <v>41</v>
      </c>
      <c r="K2510" s="2" t="s">
        <v>6631</v>
      </c>
      <c r="L2510" s="2" t="s">
        <v>24</v>
      </c>
      <c r="M2510" s="2">
        <v>3</v>
      </c>
      <c r="N2510" s="2" t="s">
        <v>128</v>
      </c>
    </row>
    <row r="2511" spans="1:14" x14ac:dyDescent="0.25">
      <c r="A2511" s="2" t="s">
        <v>6632</v>
      </c>
      <c r="B2511" s="2" t="s">
        <v>6633</v>
      </c>
      <c r="C2511" s="2" t="s">
        <v>53</v>
      </c>
      <c r="D2511" s="2" t="s">
        <v>61</v>
      </c>
      <c r="E2511" s="2" t="s">
        <v>79</v>
      </c>
      <c r="F2511" s="2" t="s">
        <v>47</v>
      </c>
      <c r="G2511" s="2" t="s">
        <v>211</v>
      </c>
      <c r="H2511" s="2" t="s">
        <v>32</v>
      </c>
      <c r="I2511" s="2">
        <v>48</v>
      </c>
      <c r="J2511" s="2" t="s">
        <v>22</v>
      </c>
      <c r="K2511" s="2" t="s">
        <v>6634</v>
      </c>
      <c r="L2511" s="2" t="s">
        <v>24</v>
      </c>
      <c r="M2511" s="2">
        <v>5</v>
      </c>
      <c r="N2511" s="2" t="s">
        <v>58</v>
      </c>
    </row>
    <row r="2512" spans="1:14" x14ac:dyDescent="0.25">
      <c r="A2512" s="2" t="s">
        <v>6635</v>
      </c>
      <c r="B2512" s="2" t="s">
        <v>6636</v>
      </c>
      <c r="C2512" s="2" t="s">
        <v>28</v>
      </c>
      <c r="D2512" s="2" t="s">
        <v>100</v>
      </c>
      <c r="E2512" s="2" t="s">
        <v>85</v>
      </c>
      <c r="F2512" s="2" t="s">
        <v>30</v>
      </c>
      <c r="G2512" s="2" t="s">
        <v>126</v>
      </c>
      <c r="H2512" s="2" t="s">
        <v>74</v>
      </c>
      <c r="I2512" s="2">
        <v>8</v>
      </c>
      <c r="J2512" s="2" t="s">
        <v>41</v>
      </c>
      <c r="K2512" s="2" t="s">
        <v>6637</v>
      </c>
      <c r="L2512" s="2" t="s">
        <v>92</v>
      </c>
      <c r="M2512" s="2">
        <v>5</v>
      </c>
      <c r="N2512" s="2"/>
    </row>
    <row r="2513" spans="1:14" x14ac:dyDescent="0.25">
      <c r="A2513" s="2" t="s">
        <v>6638</v>
      </c>
      <c r="B2513" s="2" t="s">
        <v>6639</v>
      </c>
      <c r="C2513" s="2" t="s">
        <v>67</v>
      </c>
      <c r="D2513" s="2" t="s">
        <v>68</v>
      </c>
      <c r="E2513" s="2" t="s">
        <v>79</v>
      </c>
      <c r="F2513" s="2" t="s">
        <v>143</v>
      </c>
      <c r="G2513" s="2" t="s">
        <v>144</v>
      </c>
      <c r="H2513" s="2" t="s">
        <v>21</v>
      </c>
      <c r="I2513" s="2">
        <v>24</v>
      </c>
      <c r="J2513" s="2" t="s">
        <v>48</v>
      </c>
      <c r="K2513" s="2" t="s">
        <v>6640</v>
      </c>
      <c r="L2513" s="2" t="s">
        <v>24</v>
      </c>
      <c r="M2513" s="2"/>
      <c r="N2513" s="2"/>
    </row>
    <row r="2514" spans="1:14" x14ac:dyDescent="0.25">
      <c r="A2514" s="2" t="s">
        <v>6641</v>
      </c>
      <c r="B2514" s="2" t="s">
        <v>6642</v>
      </c>
      <c r="C2514" s="2" t="s">
        <v>16</v>
      </c>
      <c r="D2514" s="2" t="s">
        <v>17</v>
      </c>
      <c r="E2514" s="2" t="s">
        <v>85</v>
      </c>
      <c r="F2514" s="2" t="s">
        <v>47</v>
      </c>
      <c r="G2514" s="2" t="s">
        <v>70</v>
      </c>
      <c r="H2514" s="2" t="s">
        <v>21</v>
      </c>
      <c r="I2514" s="2">
        <v>24</v>
      </c>
      <c r="J2514" s="2" t="s">
        <v>41</v>
      </c>
      <c r="K2514" s="2" t="s">
        <v>6643</v>
      </c>
      <c r="L2514" s="2" t="s">
        <v>24</v>
      </c>
      <c r="M2514" s="2">
        <v>4</v>
      </c>
      <c r="N2514" s="2" t="s">
        <v>43</v>
      </c>
    </row>
    <row r="2515" spans="1:14" x14ac:dyDescent="0.25">
      <c r="A2515" s="2" t="s">
        <v>6644</v>
      </c>
      <c r="B2515" s="2" t="s">
        <v>6645</v>
      </c>
      <c r="C2515" s="2" t="s">
        <v>28</v>
      </c>
      <c r="D2515" s="2" t="s">
        <v>100</v>
      </c>
      <c r="E2515" s="2" t="s">
        <v>18</v>
      </c>
      <c r="F2515" s="2" t="s">
        <v>131</v>
      </c>
      <c r="G2515" s="2" t="s">
        <v>126</v>
      </c>
      <c r="H2515" s="2" t="s">
        <v>21</v>
      </c>
      <c r="I2515" s="2">
        <v>24</v>
      </c>
      <c r="J2515" s="2" t="s">
        <v>187</v>
      </c>
      <c r="K2515" s="2" t="s">
        <v>6646</v>
      </c>
      <c r="L2515" s="2" t="s">
        <v>24</v>
      </c>
      <c r="M2515" s="2">
        <v>5</v>
      </c>
      <c r="N2515" s="2" t="s">
        <v>43</v>
      </c>
    </row>
    <row r="2516" spans="1:14" x14ac:dyDescent="0.25">
      <c r="A2516" s="2" t="s">
        <v>6647</v>
      </c>
      <c r="B2516" s="2" t="s">
        <v>6648</v>
      </c>
      <c r="C2516" s="2" t="s">
        <v>53</v>
      </c>
      <c r="D2516" s="2" t="s">
        <v>54</v>
      </c>
      <c r="E2516" s="2" t="s">
        <v>148</v>
      </c>
      <c r="F2516" s="2" t="s">
        <v>143</v>
      </c>
      <c r="G2516" s="2" t="s">
        <v>40</v>
      </c>
      <c r="H2516" s="2" t="s">
        <v>21</v>
      </c>
      <c r="I2516" s="2">
        <v>24</v>
      </c>
      <c r="J2516" s="2" t="s">
        <v>48</v>
      </c>
      <c r="K2516" s="2" t="s">
        <v>6649</v>
      </c>
      <c r="L2516" s="2" t="s">
        <v>24</v>
      </c>
      <c r="M2516" s="2">
        <v>4</v>
      </c>
      <c r="N2516" s="2"/>
    </row>
    <row r="2517" spans="1:14" x14ac:dyDescent="0.25">
      <c r="A2517" s="2" t="s">
        <v>6650</v>
      </c>
      <c r="B2517" s="2" t="s">
        <v>6651</v>
      </c>
      <c r="C2517" s="2" t="s">
        <v>16</v>
      </c>
      <c r="D2517" s="2" t="s">
        <v>84</v>
      </c>
      <c r="E2517" s="2" t="s">
        <v>38</v>
      </c>
      <c r="F2517" s="2" t="s">
        <v>125</v>
      </c>
      <c r="G2517" s="2" t="s">
        <v>40</v>
      </c>
      <c r="H2517" s="2" t="s">
        <v>21</v>
      </c>
      <c r="I2517" s="2">
        <v>24</v>
      </c>
      <c r="J2517" s="2" t="s">
        <v>41</v>
      </c>
      <c r="K2517" s="2" t="s">
        <v>6652</v>
      </c>
      <c r="L2517" s="2" t="s">
        <v>24</v>
      </c>
      <c r="M2517" s="2">
        <v>5</v>
      </c>
      <c r="N2517" s="2"/>
    </row>
    <row r="2518" spans="1:14" x14ac:dyDescent="0.25">
      <c r="A2518" s="2" t="s">
        <v>6653</v>
      </c>
      <c r="B2518" s="2" t="s">
        <v>6654</v>
      </c>
      <c r="C2518" s="2" t="s">
        <v>67</v>
      </c>
      <c r="D2518" s="2" t="s">
        <v>95</v>
      </c>
      <c r="E2518" s="2" t="s">
        <v>148</v>
      </c>
      <c r="F2518" s="2" t="s">
        <v>143</v>
      </c>
      <c r="G2518" s="2" t="s">
        <v>20</v>
      </c>
      <c r="H2518" s="2" t="s">
        <v>21</v>
      </c>
      <c r="I2518" s="2">
        <v>24</v>
      </c>
      <c r="J2518" s="2" t="s">
        <v>232</v>
      </c>
      <c r="K2518" s="2"/>
      <c r="L2518" s="2" t="s">
        <v>92</v>
      </c>
      <c r="M2518" s="2"/>
      <c r="N2518" s="2"/>
    </row>
    <row r="2519" spans="1:14" x14ac:dyDescent="0.25">
      <c r="A2519" s="2" t="s">
        <v>6655</v>
      </c>
      <c r="B2519" s="2" t="s">
        <v>6656</v>
      </c>
      <c r="C2519" s="2" t="s">
        <v>67</v>
      </c>
      <c r="D2519" s="2" t="s">
        <v>68</v>
      </c>
      <c r="E2519" s="2" t="s">
        <v>46</v>
      </c>
      <c r="F2519" s="2" t="s">
        <v>39</v>
      </c>
      <c r="G2519" s="2" t="s">
        <v>31</v>
      </c>
      <c r="H2519" s="2" t="s">
        <v>32</v>
      </c>
      <c r="I2519" s="2">
        <v>48</v>
      </c>
      <c r="J2519" s="2" t="s">
        <v>75</v>
      </c>
      <c r="K2519" s="2" t="s">
        <v>6657</v>
      </c>
      <c r="L2519" s="2" t="s">
        <v>24</v>
      </c>
      <c r="M2519" s="2">
        <v>4</v>
      </c>
      <c r="N2519" s="2"/>
    </row>
    <row r="2520" spans="1:14" x14ac:dyDescent="0.25">
      <c r="A2520" s="2" t="s">
        <v>6658</v>
      </c>
      <c r="B2520" s="2" t="s">
        <v>6659</v>
      </c>
      <c r="C2520" s="2" t="s">
        <v>67</v>
      </c>
      <c r="D2520" s="2" t="s">
        <v>68</v>
      </c>
      <c r="E2520" s="2" t="s">
        <v>38</v>
      </c>
      <c r="F2520" s="2" t="s">
        <v>131</v>
      </c>
      <c r="G2520" s="2" t="s">
        <v>126</v>
      </c>
      <c r="H2520" s="2" t="s">
        <v>21</v>
      </c>
      <c r="I2520" s="2">
        <v>24</v>
      </c>
      <c r="J2520" s="2" t="s">
        <v>75</v>
      </c>
      <c r="K2520" s="2" t="s">
        <v>6660</v>
      </c>
      <c r="L2520" s="2" t="s">
        <v>24</v>
      </c>
      <c r="M2520" s="2">
        <v>5</v>
      </c>
      <c r="N2520" s="2" t="s">
        <v>43</v>
      </c>
    </row>
    <row r="2521" spans="1:14" x14ac:dyDescent="0.25">
      <c r="A2521" s="2" t="s">
        <v>6661</v>
      </c>
      <c r="B2521" s="2" t="s">
        <v>6662</v>
      </c>
      <c r="C2521" s="2" t="s">
        <v>67</v>
      </c>
      <c r="D2521" s="2" t="s">
        <v>68</v>
      </c>
      <c r="E2521" s="2" t="s">
        <v>90</v>
      </c>
      <c r="F2521" s="2" t="s">
        <v>131</v>
      </c>
      <c r="G2521" s="2" t="s">
        <v>158</v>
      </c>
      <c r="H2521" s="2" t="s">
        <v>21</v>
      </c>
      <c r="I2521" s="2">
        <v>24</v>
      </c>
      <c r="J2521" s="2" t="s">
        <v>232</v>
      </c>
      <c r="K2521" s="2"/>
      <c r="L2521" s="2" t="s">
        <v>92</v>
      </c>
      <c r="M2521" s="2"/>
      <c r="N2521" s="2" t="s">
        <v>25</v>
      </c>
    </row>
    <row r="2522" spans="1:14" x14ac:dyDescent="0.25">
      <c r="A2522" s="2" t="s">
        <v>6663</v>
      </c>
      <c r="B2522" s="2" t="s">
        <v>6664</v>
      </c>
      <c r="C2522" s="2" t="s">
        <v>67</v>
      </c>
      <c r="D2522" s="2" t="s">
        <v>68</v>
      </c>
      <c r="E2522" s="2" t="s">
        <v>79</v>
      </c>
      <c r="F2522" s="2" t="s">
        <v>47</v>
      </c>
      <c r="G2522" s="2" t="s">
        <v>97</v>
      </c>
      <c r="H2522" s="2" t="s">
        <v>32</v>
      </c>
      <c r="I2522" s="2">
        <v>48</v>
      </c>
      <c r="J2522" s="2" t="s">
        <v>200</v>
      </c>
      <c r="K2522" s="2"/>
      <c r="L2522" s="2" t="s">
        <v>92</v>
      </c>
      <c r="M2522" s="2"/>
      <c r="N2522" s="2" t="s">
        <v>50</v>
      </c>
    </row>
    <row r="2523" spans="1:14" x14ac:dyDescent="0.25">
      <c r="A2523" s="2" t="s">
        <v>6665</v>
      </c>
      <c r="B2523" s="2" t="s">
        <v>6666</v>
      </c>
      <c r="C2523" s="2" t="s">
        <v>28</v>
      </c>
      <c r="D2523" s="2" t="s">
        <v>37</v>
      </c>
      <c r="E2523" s="2" t="s">
        <v>90</v>
      </c>
      <c r="F2523" s="2" t="s">
        <v>69</v>
      </c>
      <c r="G2523" s="2" t="s">
        <v>158</v>
      </c>
      <c r="H2523" s="2" t="s">
        <v>21</v>
      </c>
      <c r="I2523" s="2">
        <v>24</v>
      </c>
      <c r="J2523" s="2" t="s">
        <v>56</v>
      </c>
      <c r="K2523" s="2"/>
      <c r="L2523" s="2" t="s">
        <v>24</v>
      </c>
      <c r="M2523" s="2"/>
      <c r="N2523" s="2"/>
    </row>
    <row r="2524" spans="1:14" x14ac:dyDescent="0.25">
      <c r="A2524" s="2" t="s">
        <v>6667</v>
      </c>
      <c r="B2524" s="2" t="s">
        <v>6668</v>
      </c>
      <c r="C2524" s="2" t="s">
        <v>53</v>
      </c>
      <c r="D2524" s="2" t="s">
        <v>61</v>
      </c>
      <c r="E2524" s="2" t="s">
        <v>18</v>
      </c>
      <c r="F2524" s="2" t="s">
        <v>30</v>
      </c>
      <c r="G2524" s="2" t="s">
        <v>211</v>
      </c>
      <c r="H2524" s="2" t="s">
        <v>21</v>
      </c>
      <c r="I2524" s="2">
        <v>24</v>
      </c>
      <c r="J2524" s="2" t="s">
        <v>75</v>
      </c>
      <c r="K2524" s="2" t="s">
        <v>6669</v>
      </c>
      <c r="L2524" s="2" t="s">
        <v>24</v>
      </c>
      <c r="M2524" s="2">
        <v>4</v>
      </c>
      <c r="N2524" s="2" t="s">
        <v>50</v>
      </c>
    </row>
    <row r="2525" spans="1:14" x14ac:dyDescent="0.25">
      <c r="A2525" s="2" t="s">
        <v>6670</v>
      </c>
      <c r="B2525" s="2" t="s">
        <v>6671</v>
      </c>
      <c r="C2525" s="2" t="s">
        <v>28</v>
      </c>
      <c r="D2525" s="2" t="s">
        <v>37</v>
      </c>
      <c r="E2525" s="2" t="s">
        <v>38</v>
      </c>
      <c r="F2525" s="2" t="s">
        <v>96</v>
      </c>
      <c r="G2525" s="2" t="s">
        <v>110</v>
      </c>
      <c r="H2525" s="2" t="s">
        <v>80</v>
      </c>
      <c r="I2525" s="2">
        <v>4</v>
      </c>
      <c r="J2525" s="2" t="s">
        <v>11</v>
      </c>
      <c r="K2525" s="2"/>
      <c r="L2525" s="2" t="s">
        <v>92</v>
      </c>
      <c r="M2525" s="2"/>
      <c r="N2525" s="2"/>
    </row>
    <row r="2526" spans="1:14" x14ac:dyDescent="0.25">
      <c r="A2526" s="2" t="s">
        <v>6672</v>
      </c>
      <c r="B2526" s="2" t="s">
        <v>6673</v>
      </c>
      <c r="C2526" s="2" t="s">
        <v>28</v>
      </c>
      <c r="D2526" s="2" t="s">
        <v>29</v>
      </c>
      <c r="E2526" s="2"/>
      <c r="F2526" s="2" t="s">
        <v>55</v>
      </c>
      <c r="G2526" s="2" t="s">
        <v>139</v>
      </c>
      <c r="H2526" s="2" t="s">
        <v>32</v>
      </c>
      <c r="I2526" s="2">
        <v>48</v>
      </c>
      <c r="J2526" s="2" t="s">
        <v>22</v>
      </c>
      <c r="K2526" s="2" t="s">
        <v>6674</v>
      </c>
      <c r="L2526" s="2" t="s">
        <v>24</v>
      </c>
      <c r="M2526" s="2">
        <v>4</v>
      </c>
      <c r="N2526" s="2" t="s">
        <v>34</v>
      </c>
    </row>
    <row r="2527" spans="1:14" x14ac:dyDescent="0.25">
      <c r="A2527" s="2" t="s">
        <v>6675</v>
      </c>
      <c r="B2527" s="2" t="s">
        <v>6676</v>
      </c>
      <c r="C2527" s="2" t="s">
        <v>67</v>
      </c>
      <c r="D2527" s="2" t="s">
        <v>601</v>
      </c>
      <c r="E2527" s="2" t="s">
        <v>18</v>
      </c>
      <c r="F2527" s="2" t="s">
        <v>47</v>
      </c>
      <c r="G2527" s="2" t="s">
        <v>31</v>
      </c>
      <c r="H2527" s="2" t="s">
        <v>21</v>
      </c>
      <c r="I2527" s="2">
        <v>24</v>
      </c>
      <c r="J2527" s="2" t="s">
        <v>48</v>
      </c>
      <c r="K2527" s="2" t="s">
        <v>6677</v>
      </c>
      <c r="L2527" s="2" t="s">
        <v>24</v>
      </c>
      <c r="M2527" s="2">
        <v>3</v>
      </c>
      <c r="N2527" s="2"/>
    </row>
    <row r="2528" spans="1:14" x14ac:dyDescent="0.25">
      <c r="A2528" s="2" t="s">
        <v>6678</v>
      </c>
      <c r="B2528" s="2" t="s">
        <v>6679</v>
      </c>
      <c r="C2528" s="2" t="s">
        <v>16</v>
      </c>
      <c r="D2528" s="2" t="s">
        <v>17</v>
      </c>
      <c r="E2528" s="2" t="s">
        <v>46</v>
      </c>
      <c r="F2528" s="2" t="s">
        <v>69</v>
      </c>
      <c r="G2528" s="2" t="s">
        <v>211</v>
      </c>
      <c r="H2528" s="2" t="s">
        <v>21</v>
      </c>
      <c r="I2528" s="2">
        <v>24</v>
      </c>
      <c r="J2528" s="2" t="s">
        <v>48</v>
      </c>
      <c r="K2528" s="2" t="s">
        <v>6680</v>
      </c>
      <c r="L2528" s="2" t="s">
        <v>24</v>
      </c>
      <c r="M2528" s="2">
        <v>1</v>
      </c>
      <c r="N2528" s="2" t="s">
        <v>43</v>
      </c>
    </row>
    <row r="2529" spans="1:14" x14ac:dyDescent="0.25">
      <c r="A2529" s="2" t="s">
        <v>6681</v>
      </c>
      <c r="B2529" s="2" t="s">
        <v>6682</v>
      </c>
      <c r="C2529" s="2" t="s">
        <v>28</v>
      </c>
      <c r="D2529" s="2" t="s">
        <v>100</v>
      </c>
      <c r="E2529" s="2" t="s">
        <v>46</v>
      </c>
      <c r="F2529" s="2" t="s">
        <v>69</v>
      </c>
      <c r="G2529" s="2" t="s">
        <v>70</v>
      </c>
      <c r="H2529" s="2" t="s">
        <v>21</v>
      </c>
      <c r="I2529" s="2">
        <v>24</v>
      </c>
      <c r="J2529" s="2" t="s">
        <v>106</v>
      </c>
      <c r="K2529" s="2" t="s">
        <v>6683</v>
      </c>
      <c r="L2529" s="2" t="s">
        <v>24</v>
      </c>
      <c r="M2529" s="2"/>
      <c r="N2529" s="2" t="s">
        <v>43</v>
      </c>
    </row>
    <row r="2530" spans="1:14" x14ac:dyDescent="0.25">
      <c r="A2530" s="2" t="s">
        <v>6684</v>
      </c>
      <c r="B2530" s="2" t="s">
        <v>6685</v>
      </c>
      <c r="C2530" s="2" t="s">
        <v>28</v>
      </c>
      <c r="D2530" s="2" t="s">
        <v>100</v>
      </c>
      <c r="E2530" s="2" t="s">
        <v>85</v>
      </c>
      <c r="F2530" s="2" t="s">
        <v>113</v>
      </c>
      <c r="G2530" s="2" t="s">
        <v>105</v>
      </c>
      <c r="H2530" s="2" t="s">
        <v>21</v>
      </c>
      <c r="I2530" s="2">
        <v>24</v>
      </c>
      <c r="J2530" s="2" t="s">
        <v>200</v>
      </c>
      <c r="K2530" s="2"/>
      <c r="L2530" s="2" t="s">
        <v>92</v>
      </c>
      <c r="M2530" s="2"/>
      <c r="N2530" s="2" t="s">
        <v>118</v>
      </c>
    </row>
    <row r="2531" spans="1:14" x14ac:dyDescent="0.25">
      <c r="A2531" s="2" t="s">
        <v>6686</v>
      </c>
      <c r="B2531" s="2" t="s">
        <v>6687</v>
      </c>
      <c r="C2531" s="2" t="s">
        <v>53</v>
      </c>
      <c r="D2531" s="2" t="s">
        <v>61</v>
      </c>
      <c r="E2531" s="2" t="s">
        <v>79</v>
      </c>
      <c r="F2531" s="2" t="s">
        <v>39</v>
      </c>
      <c r="G2531" s="2" t="s">
        <v>158</v>
      </c>
      <c r="H2531" s="2" t="s">
        <v>80</v>
      </c>
      <c r="I2531" s="2">
        <v>4</v>
      </c>
      <c r="J2531" s="2" t="s">
        <v>200</v>
      </c>
      <c r="K2531" s="2"/>
      <c r="L2531" s="2" t="s">
        <v>92</v>
      </c>
      <c r="M2531" s="2"/>
      <c r="N2531" s="2" t="s">
        <v>128</v>
      </c>
    </row>
    <row r="2532" spans="1:14" x14ac:dyDescent="0.25">
      <c r="A2532" s="2" t="s">
        <v>6688</v>
      </c>
      <c r="B2532" s="2" t="s">
        <v>6689</v>
      </c>
      <c r="C2532" s="2" t="s">
        <v>53</v>
      </c>
      <c r="D2532" s="2" t="s">
        <v>61</v>
      </c>
      <c r="E2532" s="2" t="s">
        <v>46</v>
      </c>
      <c r="F2532" s="2" t="s">
        <v>30</v>
      </c>
      <c r="G2532" s="2" t="s">
        <v>126</v>
      </c>
      <c r="H2532" s="2" t="s">
        <v>74</v>
      </c>
      <c r="I2532" s="2">
        <v>8</v>
      </c>
      <c r="J2532" s="2" t="s">
        <v>22</v>
      </c>
      <c r="K2532" s="2" t="s">
        <v>6690</v>
      </c>
      <c r="L2532" s="2" t="s">
        <v>24</v>
      </c>
      <c r="M2532" s="2">
        <v>1</v>
      </c>
      <c r="N2532" s="2"/>
    </row>
    <row r="2533" spans="1:14" x14ac:dyDescent="0.25">
      <c r="A2533" s="2" t="s">
        <v>4797</v>
      </c>
      <c r="B2533" s="2" t="s">
        <v>4798</v>
      </c>
      <c r="C2533" s="2" t="s">
        <v>16</v>
      </c>
      <c r="D2533" s="2" t="s">
        <v>240</v>
      </c>
      <c r="E2533" s="2" t="s">
        <v>90</v>
      </c>
      <c r="F2533" s="2" t="s">
        <v>143</v>
      </c>
      <c r="G2533" s="2" t="s">
        <v>183</v>
      </c>
      <c r="H2533" s="2" t="s">
        <v>74</v>
      </c>
      <c r="I2533" s="2">
        <v>8</v>
      </c>
      <c r="J2533" s="2" t="s">
        <v>106</v>
      </c>
      <c r="K2533" s="2" t="s">
        <v>4799</v>
      </c>
      <c r="L2533" s="2" t="s">
        <v>92</v>
      </c>
      <c r="M2533" s="2">
        <v>5</v>
      </c>
      <c r="N2533" s="2" t="s">
        <v>118</v>
      </c>
    </row>
    <row r="2534" spans="1:14" x14ac:dyDescent="0.25">
      <c r="A2534" s="2" t="s">
        <v>6691</v>
      </c>
      <c r="B2534" s="2" t="s">
        <v>6692</v>
      </c>
      <c r="C2534" s="2" t="s">
        <v>53</v>
      </c>
      <c r="D2534" s="2" t="s">
        <v>61</v>
      </c>
      <c r="E2534" s="2" t="s">
        <v>46</v>
      </c>
      <c r="F2534" s="2" t="s">
        <v>113</v>
      </c>
      <c r="G2534" s="2" t="s">
        <v>135</v>
      </c>
      <c r="H2534" s="2" t="s">
        <v>21</v>
      </c>
      <c r="I2534" s="2">
        <v>24</v>
      </c>
      <c r="J2534" s="2" t="s">
        <v>41</v>
      </c>
      <c r="K2534" s="2" t="s">
        <v>6693</v>
      </c>
      <c r="L2534" s="2" t="s">
        <v>24</v>
      </c>
      <c r="M2534" s="2">
        <v>2</v>
      </c>
      <c r="N2534" s="2" t="s">
        <v>64</v>
      </c>
    </row>
    <row r="2535" spans="1:14" x14ac:dyDescent="0.25">
      <c r="A2535" s="2" t="s">
        <v>6694</v>
      </c>
      <c r="B2535" s="2" t="s">
        <v>6695</v>
      </c>
      <c r="C2535" s="2" t="s">
        <v>53</v>
      </c>
      <c r="D2535" s="2" t="s">
        <v>54</v>
      </c>
      <c r="E2535" s="2" t="s">
        <v>38</v>
      </c>
      <c r="F2535" s="2" t="s">
        <v>30</v>
      </c>
      <c r="G2535" s="2" t="s">
        <v>91</v>
      </c>
      <c r="H2535" s="2" t="s">
        <v>32</v>
      </c>
      <c r="I2535" s="2">
        <v>48</v>
      </c>
      <c r="J2535" s="2" t="s">
        <v>187</v>
      </c>
      <c r="K2535" s="2" t="s">
        <v>6696</v>
      </c>
      <c r="L2535" s="2" t="s">
        <v>24</v>
      </c>
      <c r="M2535" s="2">
        <v>3</v>
      </c>
      <c r="N2535" s="2" t="s">
        <v>43</v>
      </c>
    </row>
    <row r="2536" spans="1:14" x14ac:dyDescent="0.25">
      <c r="A2536" s="2" t="s">
        <v>6697</v>
      </c>
      <c r="B2536" s="2" t="s">
        <v>6698</v>
      </c>
      <c r="C2536" s="2" t="s">
        <v>16</v>
      </c>
      <c r="D2536" s="2" t="s">
        <v>240</v>
      </c>
      <c r="E2536" s="2" t="s">
        <v>38</v>
      </c>
      <c r="F2536" s="2" t="s">
        <v>96</v>
      </c>
      <c r="G2536" s="2" t="s">
        <v>31</v>
      </c>
      <c r="H2536" s="2" t="s">
        <v>74</v>
      </c>
      <c r="I2536" s="2">
        <v>8</v>
      </c>
      <c r="J2536" s="2" t="s">
        <v>149</v>
      </c>
      <c r="K2536" s="2"/>
      <c r="L2536" s="2" t="s">
        <v>24</v>
      </c>
      <c r="M2536" s="2"/>
      <c r="N2536" s="2"/>
    </row>
    <row r="2537" spans="1:14" x14ac:dyDescent="0.25">
      <c r="A2537" s="2" t="s">
        <v>3779</v>
      </c>
      <c r="B2537" s="2" t="s">
        <v>3780</v>
      </c>
      <c r="C2537" s="2" t="s">
        <v>67</v>
      </c>
      <c r="D2537" s="2" t="s">
        <v>95</v>
      </c>
      <c r="E2537" s="2" t="s">
        <v>79</v>
      </c>
      <c r="F2537" s="2" t="s">
        <v>55</v>
      </c>
      <c r="G2537" s="2" t="s">
        <v>40</v>
      </c>
      <c r="H2537" s="2" t="s">
        <v>21</v>
      </c>
      <c r="I2537" s="2">
        <v>24</v>
      </c>
      <c r="J2537" s="2" t="s">
        <v>187</v>
      </c>
      <c r="K2537" s="2" t="s">
        <v>3781</v>
      </c>
      <c r="L2537" s="2" t="s">
        <v>24</v>
      </c>
      <c r="M2537" s="2"/>
      <c r="N2537" s="2" t="s">
        <v>34</v>
      </c>
    </row>
    <row r="2538" spans="1:14" x14ac:dyDescent="0.25">
      <c r="A2538" s="2" t="s">
        <v>6699</v>
      </c>
      <c r="B2538" s="2" t="s">
        <v>6700</v>
      </c>
      <c r="C2538" s="2" t="s">
        <v>67</v>
      </c>
      <c r="D2538" s="2" t="s">
        <v>68</v>
      </c>
      <c r="E2538" s="2" t="s">
        <v>46</v>
      </c>
      <c r="F2538" s="2" t="s">
        <v>131</v>
      </c>
      <c r="G2538" s="2" t="s">
        <v>144</v>
      </c>
      <c r="H2538" s="2" t="s">
        <v>80</v>
      </c>
      <c r="I2538" s="2">
        <v>4</v>
      </c>
      <c r="J2538" s="2" t="s">
        <v>22</v>
      </c>
      <c r="K2538" s="2" t="s">
        <v>6701</v>
      </c>
      <c r="L2538" s="2" t="s">
        <v>24</v>
      </c>
      <c r="M2538" s="2">
        <v>2</v>
      </c>
      <c r="N2538" s="2"/>
    </row>
    <row r="2539" spans="1:14" x14ac:dyDescent="0.25">
      <c r="A2539" s="2" t="s">
        <v>6702</v>
      </c>
      <c r="B2539" s="2" t="s">
        <v>6703</v>
      </c>
      <c r="C2539" s="2" t="s">
        <v>16</v>
      </c>
      <c r="D2539" s="2" t="s">
        <v>84</v>
      </c>
      <c r="E2539" s="2" t="s">
        <v>90</v>
      </c>
      <c r="F2539" s="2" t="s">
        <v>69</v>
      </c>
      <c r="G2539" s="2" t="s">
        <v>126</v>
      </c>
      <c r="H2539" s="2" t="s">
        <v>21</v>
      </c>
      <c r="I2539" s="2">
        <v>24</v>
      </c>
      <c r="J2539" s="2" t="s">
        <v>41</v>
      </c>
      <c r="K2539" s="2" t="s">
        <v>6704</v>
      </c>
      <c r="L2539" s="2" t="s">
        <v>24</v>
      </c>
      <c r="M2539" s="2">
        <v>4</v>
      </c>
      <c r="N2539" s="2" t="s">
        <v>128</v>
      </c>
    </row>
    <row r="2540" spans="1:14" x14ac:dyDescent="0.25">
      <c r="A2540" s="2" t="s">
        <v>6705</v>
      </c>
      <c r="B2540" s="2" t="s">
        <v>6706</v>
      </c>
      <c r="C2540" s="2" t="s">
        <v>53</v>
      </c>
      <c r="D2540" s="2" t="s">
        <v>54</v>
      </c>
      <c r="E2540" s="2" t="s">
        <v>38</v>
      </c>
      <c r="F2540" s="2" t="s">
        <v>143</v>
      </c>
      <c r="G2540" s="2" t="s">
        <v>135</v>
      </c>
      <c r="H2540" s="2" t="s">
        <v>80</v>
      </c>
      <c r="I2540" s="2">
        <v>4</v>
      </c>
      <c r="J2540" s="2" t="s">
        <v>187</v>
      </c>
      <c r="K2540" s="2" t="s">
        <v>6707</v>
      </c>
      <c r="L2540" s="2" t="s">
        <v>24</v>
      </c>
      <c r="M2540" s="2"/>
      <c r="N2540" s="2" t="s">
        <v>34</v>
      </c>
    </row>
    <row r="2541" spans="1:14" x14ac:dyDescent="0.25">
      <c r="A2541" s="2" t="s">
        <v>6708</v>
      </c>
      <c r="B2541" s="2" t="s">
        <v>6709</v>
      </c>
      <c r="C2541" s="2" t="s">
        <v>53</v>
      </c>
      <c r="D2541" s="2" t="s">
        <v>61</v>
      </c>
      <c r="E2541" s="2" t="s">
        <v>38</v>
      </c>
      <c r="F2541" s="2" t="s">
        <v>113</v>
      </c>
      <c r="G2541" s="2" t="s">
        <v>40</v>
      </c>
      <c r="H2541" s="2" t="s">
        <v>21</v>
      </c>
      <c r="I2541" s="2">
        <v>24</v>
      </c>
      <c r="J2541" s="2" t="s">
        <v>56</v>
      </c>
      <c r="K2541" s="2" t="s">
        <v>6710</v>
      </c>
      <c r="L2541" s="2" t="s">
        <v>24</v>
      </c>
      <c r="M2541" s="2"/>
      <c r="N2541" s="2" t="s">
        <v>128</v>
      </c>
    </row>
    <row r="2542" spans="1:14" x14ac:dyDescent="0.25">
      <c r="A2542" s="2" t="s">
        <v>6711</v>
      </c>
      <c r="B2542" s="2" t="s">
        <v>6712</v>
      </c>
      <c r="C2542" s="2" t="s">
        <v>53</v>
      </c>
      <c r="D2542" s="2" t="s">
        <v>54</v>
      </c>
      <c r="E2542" s="2" t="s">
        <v>148</v>
      </c>
      <c r="F2542" s="2" t="s">
        <v>113</v>
      </c>
      <c r="G2542" s="2" t="s">
        <v>91</v>
      </c>
      <c r="H2542" s="2" t="s">
        <v>74</v>
      </c>
      <c r="I2542" s="2">
        <v>8</v>
      </c>
      <c r="J2542" s="2" t="s">
        <v>75</v>
      </c>
      <c r="K2542" s="2" t="s">
        <v>6713</v>
      </c>
      <c r="L2542" s="2" t="s">
        <v>24</v>
      </c>
      <c r="M2542" s="2">
        <v>5</v>
      </c>
      <c r="N2542" s="2"/>
    </row>
    <row r="2543" spans="1:14" x14ac:dyDescent="0.25">
      <c r="A2543" s="2" t="s">
        <v>6714</v>
      </c>
      <c r="B2543" s="2" t="s">
        <v>6715</v>
      </c>
      <c r="C2543" s="2" t="s">
        <v>67</v>
      </c>
      <c r="D2543" s="2" t="s">
        <v>68</v>
      </c>
      <c r="E2543" s="2" t="s">
        <v>79</v>
      </c>
      <c r="F2543" s="2" t="s">
        <v>96</v>
      </c>
      <c r="G2543" s="2" t="s">
        <v>126</v>
      </c>
      <c r="H2543" s="2" t="s">
        <v>32</v>
      </c>
      <c r="I2543" s="2">
        <v>48</v>
      </c>
      <c r="J2543" s="2" t="s">
        <v>200</v>
      </c>
      <c r="K2543" s="2"/>
      <c r="L2543" s="2" t="s">
        <v>92</v>
      </c>
      <c r="M2543" s="2"/>
      <c r="N2543" s="2" t="s">
        <v>43</v>
      </c>
    </row>
    <row r="2544" spans="1:14" x14ac:dyDescent="0.25">
      <c r="A2544" s="2" t="s">
        <v>6716</v>
      </c>
      <c r="B2544" s="2" t="s">
        <v>6717</v>
      </c>
      <c r="C2544" s="2" t="s">
        <v>16</v>
      </c>
      <c r="D2544" s="2" t="s">
        <v>84</v>
      </c>
      <c r="E2544" s="2" t="s">
        <v>85</v>
      </c>
      <c r="F2544" s="2" t="s">
        <v>96</v>
      </c>
      <c r="G2544" s="2" t="s">
        <v>91</v>
      </c>
      <c r="H2544" s="2" t="s">
        <v>74</v>
      </c>
      <c r="I2544" s="2">
        <v>8</v>
      </c>
      <c r="J2544" s="2" t="s">
        <v>48</v>
      </c>
      <c r="K2544" s="2" t="s">
        <v>6718</v>
      </c>
      <c r="L2544" s="2" t="s">
        <v>24</v>
      </c>
      <c r="M2544" s="2">
        <v>2</v>
      </c>
      <c r="N2544" s="2" t="s">
        <v>128</v>
      </c>
    </row>
    <row r="2545" spans="1:14" x14ac:dyDescent="0.25">
      <c r="A2545" s="2" t="s">
        <v>6719</v>
      </c>
      <c r="B2545" s="2" t="s">
        <v>6720</v>
      </c>
      <c r="C2545" s="2" t="s">
        <v>53</v>
      </c>
      <c r="D2545" s="2" t="s">
        <v>162</v>
      </c>
      <c r="E2545" s="2" t="s">
        <v>18</v>
      </c>
      <c r="F2545" s="2" t="s">
        <v>96</v>
      </c>
      <c r="G2545" s="2" t="s">
        <v>179</v>
      </c>
      <c r="H2545" s="2" t="s">
        <v>74</v>
      </c>
      <c r="I2545" s="2">
        <v>8</v>
      </c>
      <c r="J2545" s="2" t="s">
        <v>48</v>
      </c>
      <c r="K2545" s="2" t="s">
        <v>6721</v>
      </c>
      <c r="L2545" s="2" t="s">
        <v>24</v>
      </c>
      <c r="M2545" s="2">
        <v>5</v>
      </c>
      <c r="N2545" s="2" t="s">
        <v>50</v>
      </c>
    </row>
    <row r="2546" spans="1:14" x14ac:dyDescent="0.25">
      <c r="A2546" s="2" t="s">
        <v>6722</v>
      </c>
      <c r="B2546" s="2" t="s">
        <v>6723</v>
      </c>
      <c r="C2546" s="2" t="s">
        <v>67</v>
      </c>
      <c r="D2546" s="2" t="s">
        <v>68</v>
      </c>
      <c r="E2546" s="2" t="s">
        <v>18</v>
      </c>
      <c r="F2546" s="2" t="s">
        <v>19</v>
      </c>
      <c r="G2546" s="2" t="s">
        <v>20</v>
      </c>
      <c r="H2546" s="2" t="s">
        <v>32</v>
      </c>
      <c r="I2546" s="2">
        <v>48</v>
      </c>
      <c r="J2546" s="2" t="s">
        <v>106</v>
      </c>
      <c r="K2546" s="2" t="s">
        <v>5416</v>
      </c>
      <c r="L2546" s="2" t="s">
        <v>92</v>
      </c>
      <c r="M2546" s="2">
        <v>5</v>
      </c>
      <c r="N2546" s="2" t="s">
        <v>118</v>
      </c>
    </row>
    <row r="2547" spans="1:14" x14ac:dyDescent="0.25">
      <c r="A2547" s="2" t="s">
        <v>6724</v>
      </c>
      <c r="B2547" s="2" t="s">
        <v>6725</v>
      </c>
      <c r="C2547" s="2" t="s">
        <v>67</v>
      </c>
      <c r="D2547" s="2" t="s">
        <v>95</v>
      </c>
      <c r="E2547" s="2" t="s">
        <v>148</v>
      </c>
      <c r="F2547" s="2" t="s">
        <v>55</v>
      </c>
      <c r="G2547" s="2" t="s">
        <v>31</v>
      </c>
      <c r="H2547" s="2" t="s">
        <v>21</v>
      </c>
      <c r="I2547" s="2">
        <v>24</v>
      </c>
      <c r="J2547" s="2" t="s">
        <v>75</v>
      </c>
      <c r="K2547" s="2" t="s">
        <v>6726</v>
      </c>
      <c r="L2547" s="2" t="s">
        <v>24</v>
      </c>
      <c r="M2547" s="2">
        <v>1</v>
      </c>
      <c r="N2547" s="2" t="s">
        <v>50</v>
      </c>
    </row>
    <row r="2548" spans="1:14" x14ac:dyDescent="0.25">
      <c r="A2548" s="2" t="s">
        <v>6727</v>
      </c>
      <c r="B2548" s="2" t="s">
        <v>6728</v>
      </c>
      <c r="C2548" s="2" t="s">
        <v>53</v>
      </c>
      <c r="D2548" s="2" t="s">
        <v>54</v>
      </c>
      <c r="E2548" s="2" t="s">
        <v>79</v>
      </c>
      <c r="F2548" s="2" t="s">
        <v>47</v>
      </c>
      <c r="G2548" s="2" t="s">
        <v>91</v>
      </c>
      <c r="H2548" s="2" t="s">
        <v>74</v>
      </c>
      <c r="I2548" s="2">
        <v>8</v>
      </c>
      <c r="J2548" s="2" t="s">
        <v>187</v>
      </c>
      <c r="K2548" s="2" t="s">
        <v>6729</v>
      </c>
      <c r="L2548" s="2" t="s">
        <v>24</v>
      </c>
      <c r="M2548" s="2">
        <v>5</v>
      </c>
      <c r="N2548" s="2" t="s">
        <v>128</v>
      </c>
    </row>
    <row r="2549" spans="1:14" x14ac:dyDescent="0.25">
      <c r="A2549" s="2" t="s">
        <v>6730</v>
      </c>
      <c r="B2549" s="2" t="s">
        <v>6731</v>
      </c>
      <c r="C2549" s="2" t="s">
        <v>16</v>
      </c>
      <c r="D2549" s="2" t="s">
        <v>84</v>
      </c>
      <c r="E2549" s="2" t="s">
        <v>79</v>
      </c>
      <c r="F2549" s="2" t="s">
        <v>19</v>
      </c>
      <c r="G2549" s="2" t="s">
        <v>211</v>
      </c>
      <c r="H2549" s="2" t="s">
        <v>21</v>
      </c>
      <c r="I2549" s="2">
        <v>24</v>
      </c>
      <c r="J2549" s="2" t="s">
        <v>41</v>
      </c>
      <c r="K2549" s="2" t="s">
        <v>6732</v>
      </c>
      <c r="L2549" s="2" t="s">
        <v>24</v>
      </c>
      <c r="M2549" s="2"/>
      <c r="N2549" s="2" t="s">
        <v>118</v>
      </c>
    </row>
    <row r="2550" spans="1:14" x14ac:dyDescent="0.25">
      <c r="A2550" s="2" t="s">
        <v>6733</v>
      </c>
      <c r="B2550" s="2" t="s">
        <v>6734</v>
      </c>
      <c r="C2550" s="2" t="s">
        <v>67</v>
      </c>
      <c r="D2550" s="2" t="s">
        <v>95</v>
      </c>
      <c r="E2550" s="2" t="s">
        <v>46</v>
      </c>
      <c r="F2550" s="2" t="s">
        <v>55</v>
      </c>
      <c r="G2550" s="2" t="s">
        <v>121</v>
      </c>
      <c r="H2550" s="2" t="s">
        <v>80</v>
      </c>
      <c r="I2550" s="2">
        <v>4</v>
      </c>
      <c r="J2550" s="2" t="s">
        <v>106</v>
      </c>
      <c r="K2550" s="2" t="s">
        <v>6735</v>
      </c>
      <c r="L2550" s="2" t="s">
        <v>24</v>
      </c>
      <c r="M2550" s="2">
        <v>5</v>
      </c>
      <c r="N2550" s="2" t="s">
        <v>118</v>
      </c>
    </row>
    <row r="2551" spans="1:14" x14ac:dyDescent="0.25">
      <c r="A2551" s="2" t="s">
        <v>6736</v>
      </c>
      <c r="B2551" s="2" t="s">
        <v>6737</v>
      </c>
      <c r="C2551" s="2" t="s">
        <v>67</v>
      </c>
      <c r="D2551" s="2" t="s">
        <v>95</v>
      </c>
      <c r="E2551" s="2" t="s">
        <v>18</v>
      </c>
      <c r="F2551" s="2" t="s">
        <v>96</v>
      </c>
      <c r="G2551" s="2" t="s">
        <v>121</v>
      </c>
      <c r="H2551" s="2" t="s">
        <v>21</v>
      </c>
      <c r="I2551" s="2">
        <v>24</v>
      </c>
      <c r="J2551" s="2" t="s">
        <v>22</v>
      </c>
      <c r="K2551" s="2" t="s">
        <v>6738</v>
      </c>
      <c r="L2551" s="2" t="s">
        <v>24</v>
      </c>
      <c r="M2551" s="2">
        <v>2</v>
      </c>
      <c r="N2551" s="2" t="s">
        <v>50</v>
      </c>
    </row>
    <row r="2552" spans="1:14" x14ac:dyDescent="0.25">
      <c r="A2552" s="2" t="s">
        <v>2400</v>
      </c>
      <c r="B2552" s="2" t="s">
        <v>2401</v>
      </c>
      <c r="C2552" s="2" t="s">
        <v>28</v>
      </c>
      <c r="D2552" s="2" t="s">
        <v>37</v>
      </c>
      <c r="E2552" s="2" t="s">
        <v>79</v>
      </c>
      <c r="F2552" s="2" t="s">
        <v>113</v>
      </c>
      <c r="G2552" s="2" t="s">
        <v>101</v>
      </c>
      <c r="H2552" s="2" t="s">
        <v>74</v>
      </c>
      <c r="I2552" s="2">
        <v>8</v>
      </c>
      <c r="J2552" s="2" t="s">
        <v>155</v>
      </c>
      <c r="K2552" s="2"/>
      <c r="L2552" s="2" t="s">
        <v>24</v>
      </c>
      <c r="M2552" s="2"/>
      <c r="N2552" s="2"/>
    </row>
    <row r="2553" spans="1:14" x14ac:dyDescent="0.25">
      <c r="A2553" s="2" t="s">
        <v>6739</v>
      </c>
      <c r="B2553" s="2" t="s">
        <v>6740</v>
      </c>
      <c r="C2553" s="2" t="s">
        <v>16</v>
      </c>
      <c r="D2553" s="2" t="s">
        <v>17</v>
      </c>
      <c r="E2553" s="2" t="s">
        <v>90</v>
      </c>
      <c r="F2553" s="2" t="s">
        <v>30</v>
      </c>
      <c r="G2553" s="2" t="s">
        <v>144</v>
      </c>
      <c r="H2553" s="2" t="s">
        <v>21</v>
      </c>
      <c r="I2553" s="2">
        <v>24</v>
      </c>
      <c r="J2553" s="2" t="s">
        <v>106</v>
      </c>
      <c r="K2553" s="2" t="s">
        <v>6741</v>
      </c>
      <c r="L2553" s="2" t="s">
        <v>24</v>
      </c>
      <c r="M2553" s="2">
        <v>3</v>
      </c>
      <c r="N2553" s="2" t="s">
        <v>58</v>
      </c>
    </row>
    <row r="2554" spans="1:14" x14ac:dyDescent="0.25">
      <c r="A2554" s="2" t="s">
        <v>6742</v>
      </c>
      <c r="B2554" s="2" t="s">
        <v>6743</v>
      </c>
      <c r="C2554" s="2" t="s">
        <v>28</v>
      </c>
      <c r="D2554" s="2" t="s">
        <v>100</v>
      </c>
      <c r="E2554" s="2" t="s">
        <v>46</v>
      </c>
      <c r="F2554" s="2" t="s">
        <v>55</v>
      </c>
      <c r="G2554" s="2" t="s">
        <v>126</v>
      </c>
      <c r="H2554" s="2" t="s">
        <v>80</v>
      </c>
      <c r="I2554" s="2">
        <v>4</v>
      </c>
      <c r="J2554" s="2" t="s">
        <v>187</v>
      </c>
      <c r="K2554" s="2" t="s">
        <v>6744</v>
      </c>
      <c r="L2554" s="2" t="s">
        <v>24</v>
      </c>
      <c r="M2554" s="2"/>
      <c r="N2554" s="2" t="s">
        <v>128</v>
      </c>
    </row>
    <row r="2555" spans="1:14" x14ac:dyDescent="0.25">
      <c r="A2555" s="2" t="s">
        <v>6745</v>
      </c>
      <c r="B2555" s="2" t="s">
        <v>6746</v>
      </c>
      <c r="C2555" s="2" t="s">
        <v>28</v>
      </c>
      <c r="D2555" s="2" t="s">
        <v>100</v>
      </c>
      <c r="E2555" s="2" t="s">
        <v>148</v>
      </c>
      <c r="F2555" s="2" t="s">
        <v>113</v>
      </c>
      <c r="G2555" s="2" t="s">
        <v>139</v>
      </c>
      <c r="H2555" s="2" t="s">
        <v>32</v>
      </c>
      <c r="I2555" s="2">
        <v>48</v>
      </c>
      <c r="J2555" s="2" t="s">
        <v>106</v>
      </c>
      <c r="K2555" s="2" t="s">
        <v>6747</v>
      </c>
      <c r="L2555" s="2" t="s">
        <v>24</v>
      </c>
      <c r="M2555" s="2"/>
      <c r="N2555" s="2" t="s">
        <v>34</v>
      </c>
    </row>
    <row r="2556" spans="1:14" x14ac:dyDescent="0.25">
      <c r="A2556" s="2" t="s">
        <v>6748</v>
      </c>
      <c r="B2556" s="2" t="s">
        <v>6749</v>
      </c>
      <c r="C2556" s="2" t="s">
        <v>67</v>
      </c>
      <c r="D2556" s="2" t="s">
        <v>68</v>
      </c>
      <c r="E2556" s="2" t="s">
        <v>90</v>
      </c>
      <c r="F2556" s="2" t="s">
        <v>55</v>
      </c>
      <c r="G2556" s="2" t="s">
        <v>31</v>
      </c>
      <c r="H2556" s="2" t="s">
        <v>32</v>
      </c>
      <c r="I2556" s="2">
        <v>48</v>
      </c>
      <c r="J2556" s="2" t="s">
        <v>75</v>
      </c>
      <c r="K2556" s="2" t="s">
        <v>6750</v>
      </c>
      <c r="L2556" s="2" t="s">
        <v>24</v>
      </c>
      <c r="M2556" s="2">
        <v>2</v>
      </c>
      <c r="N2556" s="2"/>
    </row>
    <row r="2557" spans="1:14" x14ac:dyDescent="0.25">
      <c r="A2557" s="2" t="s">
        <v>6751</v>
      </c>
      <c r="B2557" s="2" t="s">
        <v>6752</v>
      </c>
      <c r="C2557" s="2" t="s">
        <v>16</v>
      </c>
      <c r="D2557" s="2" t="s">
        <v>17</v>
      </c>
      <c r="E2557" s="2" t="s">
        <v>79</v>
      </c>
      <c r="F2557" s="2" t="s">
        <v>39</v>
      </c>
      <c r="G2557" s="2" t="s">
        <v>101</v>
      </c>
      <c r="H2557" s="2" t="s">
        <v>74</v>
      </c>
      <c r="I2557" s="2">
        <v>8</v>
      </c>
      <c r="J2557" s="2" t="s">
        <v>41</v>
      </c>
      <c r="K2557" s="2" t="s">
        <v>6753</v>
      </c>
      <c r="L2557" s="2" t="s">
        <v>24</v>
      </c>
      <c r="M2557" s="2"/>
      <c r="N2557" s="2"/>
    </row>
    <row r="2558" spans="1:14" x14ac:dyDescent="0.25">
      <c r="A2558" s="2" t="s">
        <v>6754</v>
      </c>
      <c r="B2558" s="2" t="s">
        <v>6755</v>
      </c>
      <c r="C2558" s="2" t="s">
        <v>28</v>
      </c>
      <c r="D2558" s="2" t="s">
        <v>37</v>
      </c>
      <c r="E2558" s="2" t="s">
        <v>18</v>
      </c>
      <c r="F2558" s="2" t="s">
        <v>131</v>
      </c>
      <c r="G2558" s="2" t="s">
        <v>97</v>
      </c>
      <c r="H2558" s="2" t="s">
        <v>74</v>
      </c>
      <c r="I2558" s="2">
        <v>8</v>
      </c>
      <c r="J2558" s="2" t="s">
        <v>41</v>
      </c>
      <c r="K2558" s="2" t="s">
        <v>6756</v>
      </c>
      <c r="L2558" s="2" t="s">
        <v>24</v>
      </c>
      <c r="M2558" s="2">
        <v>4</v>
      </c>
      <c r="N2558" s="2" t="s">
        <v>128</v>
      </c>
    </row>
    <row r="2559" spans="1:14" x14ac:dyDescent="0.25">
      <c r="A2559" s="2" t="s">
        <v>6757</v>
      </c>
      <c r="B2559" s="2" t="s">
        <v>6758</v>
      </c>
      <c r="C2559" s="2" t="s">
        <v>67</v>
      </c>
      <c r="D2559" s="2" t="s">
        <v>68</v>
      </c>
      <c r="E2559" s="2" t="s">
        <v>79</v>
      </c>
      <c r="F2559" s="2" t="s">
        <v>143</v>
      </c>
      <c r="G2559" s="2" t="s">
        <v>126</v>
      </c>
      <c r="H2559" s="2" t="s">
        <v>32</v>
      </c>
      <c r="I2559" s="2">
        <v>48</v>
      </c>
      <c r="J2559" s="2" t="s">
        <v>56</v>
      </c>
      <c r="K2559" s="2" t="s">
        <v>6759</v>
      </c>
      <c r="L2559" s="2" t="s">
        <v>24</v>
      </c>
      <c r="M2559" s="2"/>
      <c r="N2559" s="2" t="s">
        <v>43</v>
      </c>
    </row>
    <row r="2560" spans="1:14" x14ac:dyDescent="0.25">
      <c r="A2560" s="2" t="s">
        <v>6760</v>
      </c>
      <c r="B2560" s="2" t="s">
        <v>6761</v>
      </c>
      <c r="C2560" s="2" t="s">
        <v>28</v>
      </c>
      <c r="D2560" s="2" t="s">
        <v>100</v>
      </c>
      <c r="E2560" s="2" t="s">
        <v>18</v>
      </c>
      <c r="F2560" s="2" t="s">
        <v>125</v>
      </c>
      <c r="G2560" s="2" t="s">
        <v>183</v>
      </c>
      <c r="H2560" s="2" t="s">
        <v>74</v>
      </c>
      <c r="I2560" s="2">
        <v>8</v>
      </c>
      <c r="J2560" s="2" t="s">
        <v>187</v>
      </c>
      <c r="K2560" s="2" t="s">
        <v>6762</v>
      </c>
      <c r="L2560" s="2" t="s">
        <v>24</v>
      </c>
      <c r="M2560" s="2">
        <v>3</v>
      </c>
      <c r="N2560" s="2"/>
    </row>
    <row r="2561" spans="1:14" x14ac:dyDescent="0.25">
      <c r="A2561" s="2" t="s">
        <v>6763</v>
      </c>
      <c r="B2561" s="2" t="s">
        <v>6764</v>
      </c>
      <c r="C2561" s="2" t="s">
        <v>28</v>
      </c>
      <c r="D2561" s="2" t="s">
        <v>37</v>
      </c>
      <c r="E2561" s="2" t="s">
        <v>18</v>
      </c>
      <c r="F2561" s="2" t="s">
        <v>39</v>
      </c>
      <c r="G2561" s="2" t="s">
        <v>139</v>
      </c>
      <c r="H2561" s="2" t="s">
        <v>74</v>
      </c>
      <c r="I2561" s="2">
        <v>8</v>
      </c>
      <c r="J2561" s="2" t="s">
        <v>106</v>
      </c>
      <c r="K2561" s="2" t="s">
        <v>6765</v>
      </c>
      <c r="L2561" s="2" t="s">
        <v>24</v>
      </c>
      <c r="M2561" s="2"/>
      <c r="N2561" s="2" t="s">
        <v>64</v>
      </c>
    </row>
    <row r="2562" spans="1:14" x14ac:dyDescent="0.25">
      <c r="A2562" s="2" t="s">
        <v>6766</v>
      </c>
      <c r="B2562" s="2" t="s">
        <v>6767</v>
      </c>
      <c r="C2562" s="2" t="s">
        <v>16</v>
      </c>
      <c r="D2562" s="2" t="s">
        <v>84</v>
      </c>
      <c r="E2562" s="2" t="s">
        <v>46</v>
      </c>
      <c r="F2562" s="2" t="s">
        <v>131</v>
      </c>
      <c r="G2562" s="2" t="s">
        <v>31</v>
      </c>
      <c r="H2562" s="2" t="s">
        <v>32</v>
      </c>
      <c r="I2562" s="2">
        <v>48</v>
      </c>
      <c r="J2562" s="2" t="s">
        <v>187</v>
      </c>
      <c r="K2562" s="2" t="s">
        <v>6768</v>
      </c>
      <c r="L2562" s="2" t="s">
        <v>24</v>
      </c>
      <c r="M2562" s="2"/>
      <c r="N2562" s="2" t="s">
        <v>58</v>
      </c>
    </row>
    <row r="2563" spans="1:14" x14ac:dyDescent="0.25">
      <c r="A2563" s="2" t="s">
        <v>6769</v>
      </c>
      <c r="B2563" s="2" t="s">
        <v>6770</v>
      </c>
      <c r="C2563" s="2" t="s">
        <v>67</v>
      </c>
      <c r="D2563" s="2" t="s">
        <v>68</v>
      </c>
      <c r="E2563" s="2" t="s">
        <v>79</v>
      </c>
      <c r="F2563" s="2" t="s">
        <v>55</v>
      </c>
      <c r="G2563" s="2" t="s">
        <v>101</v>
      </c>
      <c r="H2563" s="2" t="s">
        <v>74</v>
      </c>
      <c r="I2563" s="2">
        <v>8</v>
      </c>
      <c r="J2563" s="2" t="s">
        <v>106</v>
      </c>
      <c r="K2563" s="2" t="s">
        <v>6771</v>
      </c>
      <c r="L2563" s="2" t="s">
        <v>24</v>
      </c>
      <c r="M2563" s="2"/>
      <c r="N2563" s="2" t="s">
        <v>128</v>
      </c>
    </row>
    <row r="2564" spans="1:14" x14ac:dyDescent="0.25">
      <c r="A2564" s="2" t="s">
        <v>6772</v>
      </c>
      <c r="B2564" s="2" t="s">
        <v>6773</v>
      </c>
      <c r="C2564" s="2" t="s">
        <v>53</v>
      </c>
      <c r="D2564" s="2" t="s">
        <v>54</v>
      </c>
      <c r="E2564" s="2" t="s">
        <v>38</v>
      </c>
      <c r="F2564" s="2" t="s">
        <v>62</v>
      </c>
      <c r="G2564" s="2" t="s">
        <v>179</v>
      </c>
      <c r="H2564" s="2" t="s">
        <v>21</v>
      </c>
      <c r="I2564" s="2">
        <v>24</v>
      </c>
      <c r="J2564" s="2" t="s">
        <v>155</v>
      </c>
      <c r="K2564" s="2"/>
      <c r="L2564" s="2" t="s">
        <v>24</v>
      </c>
      <c r="M2564" s="2"/>
      <c r="N2564" s="2" t="s">
        <v>64</v>
      </c>
    </row>
    <row r="2565" spans="1:14" x14ac:dyDescent="0.25">
      <c r="A2565" s="2" t="s">
        <v>6774</v>
      </c>
      <c r="B2565" s="2" t="s">
        <v>6775</v>
      </c>
      <c r="C2565" s="2" t="s">
        <v>53</v>
      </c>
      <c r="D2565" s="2" t="s">
        <v>61</v>
      </c>
      <c r="E2565" s="2" t="s">
        <v>38</v>
      </c>
      <c r="F2565" s="2" t="s">
        <v>96</v>
      </c>
      <c r="G2565" s="2" t="s">
        <v>144</v>
      </c>
      <c r="H2565" s="2" t="s">
        <v>21</v>
      </c>
      <c r="I2565" s="2">
        <v>24</v>
      </c>
      <c r="J2565" s="2" t="s">
        <v>11</v>
      </c>
      <c r="K2565" s="2"/>
      <c r="L2565" s="2" t="s">
        <v>92</v>
      </c>
      <c r="M2565" s="2"/>
      <c r="N2565" s="2" t="s">
        <v>43</v>
      </c>
    </row>
    <row r="2566" spans="1:14" x14ac:dyDescent="0.25">
      <c r="A2566" s="2" t="s">
        <v>6776</v>
      </c>
      <c r="B2566" s="2" t="s">
        <v>6777</v>
      </c>
      <c r="C2566" s="2" t="s">
        <v>67</v>
      </c>
      <c r="D2566" s="2" t="s">
        <v>68</v>
      </c>
      <c r="E2566" s="2" t="s">
        <v>18</v>
      </c>
      <c r="F2566" s="2" t="s">
        <v>125</v>
      </c>
      <c r="G2566" s="2" t="s">
        <v>101</v>
      </c>
      <c r="H2566" s="2" t="s">
        <v>74</v>
      </c>
      <c r="I2566" s="2">
        <v>8</v>
      </c>
      <c r="J2566" s="2" t="s">
        <v>41</v>
      </c>
      <c r="K2566" s="2" t="s">
        <v>6778</v>
      </c>
      <c r="L2566" s="2" t="s">
        <v>24</v>
      </c>
      <c r="M2566" s="2"/>
      <c r="N2566" s="2" t="s">
        <v>34</v>
      </c>
    </row>
    <row r="2567" spans="1:14" x14ac:dyDescent="0.25">
      <c r="A2567" s="2" t="s">
        <v>6779</v>
      </c>
      <c r="B2567" s="2" t="s">
        <v>6780</v>
      </c>
      <c r="C2567" s="2" t="s">
        <v>53</v>
      </c>
      <c r="D2567" s="2" t="s">
        <v>54</v>
      </c>
      <c r="E2567" s="2" t="s">
        <v>18</v>
      </c>
      <c r="F2567" s="2" t="s">
        <v>143</v>
      </c>
      <c r="G2567" s="2" t="s">
        <v>101</v>
      </c>
      <c r="H2567" s="2" t="s">
        <v>74</v>
      </c>
      <c r="I2567" s="2">
        <v>8</v>
      </c>
      <c r="J2567" s="2" t="s">
        <v>48</v>
      </c>
      <c r="K2567" s="2" t="s">
        <v>6781</v>
      </c>
      <c r="L2567" s="2" t="s">
        <v>24</v>
      </c>
      <c r="M2567" s="2"/>
      <c r="N2567" s="2"/>
    </row>
    <row r="2568" spans="1:14" x14ac:dyDescent="0.25">
      <c r="A2568" s="2" t="s">
        <v>6782</v>
      </c>
      <c r="B2568" s="2" t="s">
        <v>6783</v>
      </c>
      <c r="C2568" s="2" t="s">
        <v>28</v>
      </c>
      <c r="D2568" s="2" t="s">
        <v>100</v>
      </c>
      <c r="E2568" s="2" t="s">
        <v>90</v>
      </c>
      <c r="F2568" s="2" t="s">
        <v>55</v>
      </c>
      <c r="G2568" s="2" t="s">
        <v>144</v>
      </c>
      <c r="H2568" s="2" t="s">
        <v>21</v>
      </c>
      <c r="I2568" s="2">
        <v>24</v>
      </c>
      <c r="J2568" s="2" t="s">
        <v>41</v>
      </c>
      <c r="K2568" s="2" t="s">
        <v>6784</v>
      </c>
      <c r="L2568" s="2" t="s">
        <v>24</v>
      </c>
      <c r="M2568" s="2"/>
      <c r="N2568" s="2"/>
    </row>
    <row r="2569" spans="1:14" x14ac:dyDescent="0.25">
      <c r="A2569" s="2" t="s">
        <v>6785</v>
      </c>
      <c r="B2569" s="2" t="s">
        <v>6786</v>
      </c>
      <c r="C2569" s="2" t="s">
        <v>67</v>
      </c>
      <c r="D2569" s="2" t="s">
        <v>95</v>
      </c>
      <c r="E2569" s="2" t="s">
        <v>148</v>
      </c>
      <c r="F2569" s="2" t="s">
        <v>47</v>
      </c>
      <c r="G2569" s="2" t="s">
        <v>144</v>
      </c>
      <c r="H2569" s="2" t="s">
        <v>32</v>
      </c>
      <c r="I2569" s="2">
        <v>48</v>
      </c>
      <c r="J2569" s="2" t="s">
        <v>41</v>
      </c>
      <c r="K2569" s="2" t="s">
        <v>6787</v>
      </c>
      <c r="L2569" s="2" t="s">
        <v>92</v>
      </c>
      <c r="M2569" s="2">
        <v>5</v>
      </c>
      <c r="N2569" s="2" t="s">
        <v>50</v>
      </c>
    </row>
    <row r="2570" spans="1:14" x14ac:dyDescent="0.25">
      <c r="A2570" s="2" t="s">
        <v>6788</v>
      </c>
      <c r="B2570" s="2" t="s">
        <v>6789</v>
      </c>
      <c r="C2570" s="2" t="s">
        <v>28</v>
      </c>
      <c r="D2570" s="2" t="s">
        <v>37</v>
      </c>
      <c r="E2570" s="2" t="s">
        <v>85</v>
      </c>
      <c r="F2570" s="2" t="s">
        <v>125</v>
      </c>
      <c r="G2570" s="2" t="s">
        <v>211</v>
      </c>
      <c r="H2570" s="2" t="s">
        <v>74</v>
      </c>
      <c r="I2570" s="2">
        <v>8</v>
      </c>
      <c r="J2570" s="2" t="s">
        <v>187</v>
      </c>
      <c r="K2570" s="2" t="s">
        <v>6790</v>
      </c>
      <c r="L2570" s="2" t="s">
        <v>24</v>
      </c>
      <c r="M2570" s="2"/>
      <c r="N2570" s="2" t="s">
        <v>64</v>
      </c>
    </row>
    <row r="2571" spans="1:14" x14ac:dyDescent="0.25">
      <c r="A2571" s="2" t="s">
        <v>6791</v>
      </c>
      <c r="B2571" s="2" t="s">
        <v>6792</v>
      </c>
      <c r="C2571" s="2" t="s">
        <v>53</v>
      </c>
      <c r="D2571" s="2" t="s">
        <v>54</v>
      </c>
      <c r="E2571" s="2" t="s">
        <v>148</v>
      </c>
      <c r="F2571" s="2" t="s">
        <v>113</v>
      </c>
      <c r="G2571" s="2" t="s">
        <v>31</v>
      </c>
      <c r="H2571" s="2" t="s">
        <v>74</v>
      </c>
      <c r="I2571" s="2">
        <v>8</v>
      </c>
      <c r="J2571" s="2" t="s">
        <v>106</v>
      </c>
      <c r="K2571" s="2" t="s">
        <v>6793</v>
      </c>
      <c r="L2571" s="2" t="s">
        <v>24</v>
      </c>
      <c r="M2571" s="2">
        <v>1</v>
      </c>
      <c r="N2571" s="2" t="s">
        <v>50</v>
      </c>
    </row>
    <row r="2572" spans="1:14" x14ac:dyDescent="0.25">
      <c r="A2572" s="2" t="s">
        <v>6794</v>
      </c>
      <c r="B2572" s="2" t="s">
        <v>6795</v>
      </c>
      <c r="C2572" s="2" t="s">
        <v>16</v>
      </c>
      <c r="D2572" s="2" t="s">
        <v>17</v>
      </c>
      <c r="E2572" s="2" t="s">
        <v>18</v>
      </c>
      <c r="F2572" s="2" t="s">
        <v>113</v>
      </c>
      <c r="G2572" s="2" t="s">
        <v>110</v>
      </c>
      <c r="H2572" s="2" t="s">
        <v>21</v>
      </c>
      <c r="I2572" s="2">
        <v>24</v>
      </c>
      <c r="J2572" s="2" t="s">
        <v>22</v>
      </c>
      <c r="K2572" s="2" t="s">
        <v>6796</v>
      </c>
      <c r="L2572" s="2" t="s">
        <v>24</v>
      </c>
      <c r="M2572" s="2">
        <v>2</v>
      </c>
      <c r="N2572" s="2" t="s">
        <v>43</v>
      </c>
    </row>
    <row r="2573" spans="1:14" x14ac:dyDescent="0.25">
      <c r="A2573" s="2" t="s">
        <v>6797</v>
      </c>
      <c r="B2573" s="2" t="s">
        <v>6798</v>
      </c>
      <c r="C2573" s="2" t="s">
        <v>67</v>
      </c>
      <c r="D2573" s="2" t="s">
        <v>68</v>
      </c>
      <c r="E2573" s="2" t="s">
        <v>79</v>
      </c>
      <c r="F2573" s="2" t="s">
        <v>125</v>
      </c>
      <c r="G2573" s="2" t="s">
        <v>126</v>
      </c>
      <c r="H2573" s="2" t="s">
        <v>32</v>
      </c>
      <c r="I2573" s="2">
        <v>48</v>
      </c>
      <c r="J2573" s="2" t="s">
        <v>287</v>
      </c>
      <c r="K2573" s="2"/>
      <c r="L2573" s="2" t="s">
        <v>24</v>
      </c>
      <c r="M2573" s="2"/>
      <c r="N2573" s="2" t="s">
        <v>50</v>
      </c>
    </row>
    <row r="2574" spans="1:14" x14ac:dyDescent="0.25">
      <c r="A2574" s="2" t="s">
        <v>6799</v>
      </c>
      <c r="B2574" s="2" t="s">
        <v>6800</v>
      </c>
      <c r="C2574" s="2" t="s">
        <v>28</v>
      </c>
      <c r="D2574" s="2" t="s">
        <v>100</v>
      </c>
      <c r="E2574" s="2" t="s">
        <v>85</v>
      </c>
      <c r="F2574" s="2" t="s">
        <v>30</v>
      </c>
      <c r="G2574" s="2" t="s">
        <v>31</v>
      </c>
      <c r="H2574" s="2" t="s">
        <v>21</v>
      </c>
      <c r="I2574" s="2">
        <v>24</v>
      </c>
      <c r="J2574" s="2" t="s">
        <v>56</v>
      </c>
      <c r="K2574" s="2"/>
      <c r="L2574" s="2" t="s">
        <v>24</v>
      </c>
      <c r="M2574" s="2"/>
      <c r="N2574" s="2"/>
    </row>
    <row r="2575" spans="1:14" x14ac:dyDescent="0.25">
      <c r="A2575" s="2" t="s">
        <v>6801</v>
      </c>
      <c r="B2575" s="2" t="s">
        <v>6802</v>
      </c>
      <c r="C2575" s="2" t="s">
        <v>53</v>
      </c>
      <c r="D2575" s="2" t="s">
        <v>54</v>
      </c>
      <c r="E2575" s="2" t="s">
        <v>148</v>
      </c>
      <c r="F2575" s="2" t="s">
        <v>69</v>
      </c>
      <c r="G2575" s="2" t="s">
        <v>101</v>
      </c>
      <c r="H2575" s="2" t="s">
        <v>21</v>
      </c>
      <c r="I2575" s="2">
        <v>24</v>
      </c>
      <c r="J2575" s="2" t="s">
        <v>187</v>
      </c>
      <c r="K2575" s="2" t="s">
        <v>6803</v>
      </c>
      <c r="L2575" s="2" t="s">
        <v>24</v>
      </c>
      <c r="M2575" s="2"/>
      <c r="N2575" s="2" t="s">
        <v>25</v>
      </c>
    </row>
    <row r="2576" spans="1:14" x14ac:dyDescent="0.25">
      <c r="A2576" s="2" t="s">
        <v>6804</v>
      </c>
      <c r="B2576" s="2" t="s">
        <v>6805</v>
      </c>
      <c r="C2576" s="2" t="s">
        <v>28</v>
      </c>
      <c r="D2576" s="2" t="s">
        <v>37</v>
      </c>
      <c r="E2576" s="2" t="s">
        <v>90</v>
      </c>
      <c r="F2576" s="2" t="s">
        <v>113</v>
      </c>
      <c r="G2576" s="2" t="s">
        <v>110</v>
      </c>
      <c r="H2576" s="2" t="s">
        <v>80</v>
      </c>
      <c r="I2576" s="2">
        <v>4</v>
      </c>
      <c r="J2576" s="2" t="s">
        <v>106</v>
      </c>
      <c r="K2576" s="2" t="s">
        <v>6806</v>
      </c>
      <c r="L2576" s="2" t="s">
        <v>24</v>
      </c>
      <c r="M2576" s="2"/>
      <c r="N2576" s="2"/>
    </row>
    <row r="2577" spans="1:14" x14ac:dyDescent="0.25">
      <c r="A2577" s="2" t="s">
        <v>6807</v>
      </c>
      <c r="B2577" s="2" t="s">
        <v>6808</v>
      </c>
      <c r="C2577" s="2" t="s">
        <v>67</v>
      </c>
      <c r="D2577" s="2" t="s">
        <v>68</v>
      </c>
      <c r="E2577" s="2" t="s">
        <v>79</v>
      </c>
      <c r="F2577" s="2" t="s">
        <v>131</v>
      </c>
      <c r="G2577" s="2" t="s">
        <v>121</v>
      </c>
      <c r="H2577" s="2" t="s">
        <v>21</v>
      </c>
      <c r="I2577" s="2">
        <v>24</v>
      </c>
      <c r="J2577" s="2" t="s">
        <v>48</v>
      </c>
      <c r="K2577" s="2" t="s">
        <v>6809</v>
      </c>
      <c r="L2577" s="2" t="s">
        <v>24</v>
      </c>
      <c r="M2577" s="2">
        <v>3</v>
      </c>
      <c r="N2577" s="2" t="s">
        <v>128</v>
      </c>
    </row>
    <row r="2578" spans="1:14" x14ac:dyDescent="0.25">
      <c r="A2578" s="2" t="s">
        <v>6810</v>
      </c>
      <c r="B2578" s="2" t="s">
        <v>6811</v>
      </c>
      <c r="C2578" s="2" t="s">
        <v>16</v>
      </c>
      <c r="D2578" s="2" t="s">
        <v>84</v>
      </c>
      <c r="E2578" s="2" t="s">
        <v>46</v>
      </c>
      <c r="F2578" s="2" t="s">
        <v>143</v>
      </c>
      <c r="G2578" s="2" t="s">
        <v>105</v>
      </c>
      <c r="H2578" s="2" t="s">
        <v>74</v>
      </c>
      <c r="I2578" s="2">
        <v>8</v>
      </c>
      <c r="J2578" s="2" t="s">
        <v>200</v>
      </c>
      <c r="K2578" s="2"/>
      <c r="L2578" s="2" t="s">
        <v>92</v>
      </c>
      <c r="M2578" s="2"/>
      <c r="N2578" s="2" t="s">
        <v>25</v>
      </c>
    </row>
    <row r="2579" spans="1:14" x14ac:dyDescent="0.25">
      <c r="A2579" s="2" t="s">
        <v>6812</v>
      </c>
      <c r="B2579" s="2" t="s">
        <v>6813</v>
      </c>
      <c r="C2579" s="2" t="s">
        <v>28</v>
      </c>
      <c r="D2579" s="2" t="s">
        <v>37</v>
      </c>
      <c r="E2579" s="2" t="s">
        <v>38</v>
      </c>
      <c r="F2579" s="2" t="s">
        <v>96</v>
      </c>
      <c r="G2579" s="2" t="s">
        <v>183</v>
      </c>
      <c r="H2579" s="2" t="s">
        <v>21</v>
      </c>
      <c r="I2579" s="2">
        <v>24</v>
      </c>
      <c r="J2579" s="2" t="s">
        <v>41</v>
      </c>
      <c r="K2579" s="2" t="s">
        <v>6814</v>
      </c>
      <c r="L2579" s="2" t="s">
        <v>24</v>
      </c>
      <c r="M2579" s="2">
        <v>1</v>
      </c>
      <c r="N2579" s="2"/>
    </row>
    <row r="2580" spans="1:14" x14ac:dyDescent="0.25">
      <c r="A2580" s="2" t="s">
        <v>6815</v>
      </c>
      <c r="B2580" s="2" t="s">
        <v>6816</v>
      </c>
      <c r="C2580" s="2" t="s">
        <v>67</v>
      </c>
      <c r="D2580" s="2" t="s">
        <v>68</v>
      </c>
      <c r="E2580" s="2" t="s">
        <v>90</v>
      </c>
      <c r="F2580" s="2" t="s">
        <v>19</v>
      </c>
      <c r="G2580" s="2" t="s">
        <v>144</v>
      </c>
      <c r="H2580" s="2" t="s">
        <v>80</v>
      </c>
      <c r="I2580" s="2">
        <v>4</v>
      </c>
      <c r="J2580" s="2" t="s">
        <v>22</v>
      </c>
      <c r="K2580" s="2" t="s">
        <v>6817</v>
      </c>
      <c r="L2580" s="2" t="s">
        <v>24</v>
      </c>
      <c r="M2580" s="2">
        <v>4</v>
      </c>
      <c r="N2580" s="2" t="s">
        <v>64</v>
      </c>
    </row>
    <row r="2581" spans="1:14" x14ac:dyDescent="0.25">
      <c r="A2581" s="2" t="s">
        <v>6818</v>
      </c>
      <c r="B2581" s="2" t="s">
        <v>6819</v>
      </c>
      <c r="C2581" s="2" t="s">
        <v>67</v>
      </c>
      <c r="D2581" s="2" t="s">
        <v>68</v>
      </c>
      <c r="E2581" s="2" t="s">
        <v>79</v>
      </c>
      <c r="F2581" s="2" t="s">
        <v>125</v>
      </c>
      <c r="G2581" s="2" t="s">
        <v>97</v>
      </c>
      <c r="H2581" s="2" t="s">
        <v>74</v>
      </c>
      <c r="I2581" s="2">
        <v>8</v>
      </c>
      <c r="J2581" s="2" t="s">
        <v>145</v>
      </c>
      <c r="K2581" s="2"/>
      <c r="L2581" s="2" t="s">
        <v>24</v>
      </c>
      <c r="M2581" s="2"/>
      <c r="N2581" s="2" t="s">
        <v>128</v>
      </c>
    </row>
    <row r="2582" spans="1:14" x14ac:dyDescent="0.25">
      <c r="A2582" s="2" t="s">
        <v>6820</v>
      </c>
      <c r="B2582" s="2" t="s">
        <v>6821</v>
      </c>
      <c r="C2582" s="2" t="s">
        <v>67</v>
      </c>
      <c r="D2582" s="2" t="s">
        <v>95</v>
      </c>
      <c r="E2582" s="2" t="s">
        <v>148</v>
      </c>
      <c r="F2582" s="2" t="s">
        <v>39</v>
      </c>
      <c r="G2582" s="2" t="s">
        <v>91</v>
      </c>
      <c r="H2582" s="2" t="s">
        <v>32</v>
      </c>
      <c r="I2582" s="2">
        <v>48</v>
      </c>
      <c r="J2582" s="2" t="s">
        <v>48</v>
      </c>
      <c r="K2582" s="2" t="s">
        <v>6822</v>
      </c>
      <c r="L2582" s="2" t="s">
        <v>92</v>
      </c>
      <c r="M2582" s="2">
        <v>2</v>
      </c>
      <c r="N2582" s="2"/>
    </row>
    <row r="2583" spans="1:14" x14ac:dyDescent="0.25">
      <c r="A2583" s="2" t="s">
        <v>6823</v>
      </c>
      <c r="B2583" s="2" t="s">
        <v>6824</v>
      </c>
      <c r="C2583" s="2" t="s">
        <v>67</v>
      </c>
      <c r="D2583" s="2" t="s">
        <v>95</v>
      </c>
      <c r="E2583" s="2" t="s">
        <v>79</v>
      </c>
      <c r="F2583" s="2" t="s">
        <v>62</v>
      </c>
      <c r="G2583" s="2" t="s">
        <v>211</v>
      </c>
      <c r="H2583" s="2" t="s">
        <v>21</v>
      </c>
      <c r="I2583" s="2">
        <v>24</v>
      </c>
      <c r="J2583" s="2" t="s">
        <v>41</v>
      </c>
      <c r="K2583" s="2" t="s">
        <v>6825</v>
      </c>
      <c r="L2583" s="2" t="s">
        <v>24</v>
      </c>
      <c r="M2583" s="2"/>
      <c r="N2583" s="2" t="s">
        <v>128</v>
      </c>
    </row>
    <row r="2584" spans="1:14" x14ac:dyDescent="0.25">
      <c r="A2584" s="2" t="s">
        <v>6826</v>
      </c>
      <c r="B2584" s="2" t="s">
        <v>6827</v>
      </c>
      <c r="C2584" s="2" t="s">
        <v>53</v>
      </c>
      <c r="D2584" s="2" t="s">
        <v>54</v>
      </c>
      <c r="E2584" s="2" t="s">
        <v>18</v>
      </c>
      <c r="F2584" s="2" t="s">
        <v>69</v>
      </c>
      <c r="G2584" s="2" t="s">
        <v>158</v>
      </c>
      <c r="H2584" s="2" t="s">
        <v>32</v>
      </c>
      <c r="I2584" s="2">
        <v>48</v>
      </c>
      <c r="J2584" s="2" t="s">
        <v>106</v>
      </c>
      <c r="K2584" s="2" t="s">
        <v>6828</v>
      </c>
      <c r="L2584" s="2" t="s">
        <v>24</v>
      </c>
      <c r="M2584" s="2"/>
      <c r="N2584" s="2" t="s">
        <v>128</v>
      </c>
    </row>
    <row r="2585" spans="1:14" x14ac:dyDescent="0.25">
      <c r="A2585" s="2" t="s">
        <v>6829</v>
      </c>
      <c r="B2585" s="2" t="s">
        <v>6830</v>
      </c>
      <c r="C2585" s="2" t="s">
        <v>53</v>
      </c>
      <c r="D2585" s="2" t="s">
        <v>61</v>
      </c>
      <c r="E2585" s="2" t="s">
        <v>18</v>
      </c>
      <c r="F2585" s="2" t="s">
        <v>113</v>
      </c>
      <c r="G2585" s="2" t="s">
        <v>144</v>
      </c>
      <c r="H2585" s="2" t="s">
        <v>21</v>
      </c>
      <c r="I2585" s="2">
        <v>24</v>
      </c>
      <c r="J2585" s="2" t="s">
        <v>200</v>
      </c>
      <c r="K2585" s="2"/>
      <c r="L2585" s="2" t="s">
        <v>92</v>
      </c>
      <c r="M2585" s="2"/>
      <c r="N2585" s="2" t="s">
        <v>25</v>
      </c>
    </row>
    <row r="2586" spans="1:14" x14ac:dyDescent="0.25">
      <c r="A2586" s="2" t="s">
        <v>6831</v>
      </c>
      <c r="B2586" s="2" t="s">
        <v>6832</v>
      </c>
      <c r="C2586" s="2" t="s">
        <v>16</v>
      </c>
      <c r="D2586" s="2" t="s">
        <v>17</v>
      </c>
      <c r="E2586" s="2" t="s">
        <v>90</v>
      </c>
      <c r="F2586" s="2" t="s">
        <v>47</v>
      </c>
      <c r="G2586" s="2" t="s">
        <v>183</v>
      </c>
      <c r="H2586" s="2" t="s">
        <v>21</v>
      </c>
      <c r="I2586" s="2">
        <v>24</v>
      </c>
      <c r="J2586" s="2" t="s">
        <v>187</v>
      </c>
      <c r="K2586" s="2" t="s">
        <v>6833</v>
      </c>
      <c r="L2586" s="2" t="s">
        <v>24</v>
      </c>
      <c r="M2586" s="2">
        <v>5</v>
      </c>
      <c r="N2586" s="2" t="s">
        <v>43</v>
      </c>
    </row>
    <row r="2587" spans="1:14" x14ac:dyDescent="0.25">
      <c r="A2587" s="2" t="s">
        <v>6834</v>
      </c>
      <c r="B2587" s="2" t="s">
        <v>6835</v>
      </c>
      <c r="C2587" s="2" t="s">
        <v>53</v>
      </c>
      <c r="D2587" s="2" t="s">
        <v>61</v>
      </c>
      <c r="E2587" s="2" t="s">
        <v>38</v>
      </c>
      <c r="F2587" s="2" t="s">
        <v>125</v>
      </c>
      <c r="G2587" s="2" t="s">
        <v>20</v>
      </c>
      <c r="H2587" s="2" t="s">
        <v>74</v>
      </c>
      <c r="I2587" s="2">
        <v>8</v>
      </c>
      <c r="J2587" s="2" t="s">
        <v>191</v>
      </c>
      <c r="K2587" s="2" t="s">
        <v>6836</v>
      </c>
      <c r="L2587" s="2" t="s">
        <v>24</v>
      </c>
      <c r="M2587" s="2"/>
      <c r="N2587" s="2" t="s">
        <v>128</v>
      </c>
    </row>
    <row r="2588" spans="1:14" x14ac:dyDescent="0.25">
      <c r="A2588" s="2" t="s">
        <v>6837</v>
      </c>
      <c r="B2588" s="2" t="s">
        <v>6838</v>
      </c>
      <c r="C2588" s="2" t="s">
        <v>16</v>
      </c>
      <c r="D2588" s="2" t="s">
        <v>84</v>
      </c>
      <c r="E2588" s="2" t="s">
        <v>90</v>
      </c>
      <c r="F2588" s="2" t="s">
        <v>131</v>
      </c>
      <c r="G2588" s="2" t="s">
        <v>183</v>
      </c>
      <c r="H2588" s="2" t="s">
        <v>32</v>
      </c>
      <c r="I2588" s="2">
        <v>48</v>
      </c>
      <c r="J2588" s="2" t="s">
        <v>22</v>
      </c>
      <c r="K2588" s="2" t="s">
        <v>6839</v>
      </c>
      <c r="L2588" s="2" t="s">
        <v>24</v>
      </c>
      <c r="M2588" s="2">
        <v>1</v>
      </c>
      <c r="N2588" s="2" t="s">
        <v>43</v>
      </c>
    </row>
    <row r="2589" spans="1:14" x14ac:dyDescent="0.25">
      <c r="A2589" s="2" t="s">
        <v>6840</v>
      </c>
      <c r="B2589" s="2" t="s">
        <v>6841</v>
      </c>
      <c r="C2589" s="2" t="s">
        <v>67</v>
      </c>
      <c r="D2589" s="2" t="s">
        <v>95</v>
      </c>
      <c r="E2589" s="2" t="s">
        <v>85</v>
      </c>
      <c r="F2589" s="2" t="s">
        <v>39</v>
      </c>
      <c r="G2589" s="2" t="s">
        <v>144</v>
      </c>
      <c r="H2589" s="2" t="s">
        <v>74</v>
      </c>
      <c r="I2589" s="2">
        <v>8</v>
      </c>
      <c r="J2589" s="2" t="s">
        <v>287</v>
      </c>
      <c r="K2589" s="2"/>
      <c r="L2589" s="2" t="s">
        <v>24</v>
      </c>
      <c r="M2589" s="2"/>
      <c r="N2589" s="2" t="s">
        <v>58</v>
      </c>
    </row>
    <row r="2590" spans="1:14" x14ac:dyDescent="0.25">
      <c r="A2590" s="2" t="s">
        <v>6842</v>
      </c>
      <c r="B2590" s="2" t="s">
        <v>6843</v>
      </c>
      <c r="C2590" s="2" t="s">
        <v>16</v>
      </c>
      <c r="D2590" s="2" t="s">
        <v>17</v>
      </c>
      <c r="E2590" s="2" t="s">
        <v>79</v>
      </c>
      <c r="F2590" s="2" t="s">
        <v>39</v>
      </c>
      <c r="G2590" s="2" t="s">
        <v>91</v>
      </c>
      <c r="H2590" s="2" t="s">
        <v>21</v>
      </c>
      <c r="I2590" s="2">
        <v>24</v>
      </c>
      <c r="J2590" s="2" t="s">
        <v>149</v>
      </c>
      <c r="K2590" s="2"/>
      <c r="L2590" s="2" t="s">
        <v>24</v>
      </c>
      <c r="M2590" s="2"/>
      <c r="N2590" s="2" t="s">
        <v>25</v>
      </c>
    </row>
    <row r="2591" spans="1:14" x14ac:dyDescent="0.25">
      <c r="A2591" s="2" t="s">
        <v>6844</v>
      </c>
      <c r="B2591" s="2" t="s">
        <v>6845</v>
      </c>
      <c r="C2591" s="2" t="s">
        <v>16</v>
      </c>
      <c r="D2591" s="2" t="s">
        <v>17</v>
      </c>
      <c r="E2591" s="2" t="s">
        <v>79</v>
      </c>
      <c r="F2591" s="2" t="s">
        <v>125</v>
      </c>
      <c r="G2591" s="2" t="s">
        <v>158</v>
      </c>
      <c r="H2591" s="2" t="s">
        <v>21</v>
      </c>
      <c r="I2591" s="2">
        <v>24</v>
      </c>
      <c r="J2591" s="2" t="s">
        <v>191</v>
      </c>
      <c r="K2591" s="2" t="s">
        <v>6846</v>
      </c>
      <c r="L2591" s="2" t="s">
        <v>24</v>
      </c>
      <c r="M2591" s="2"/>
      <c r="N2591" s="2" t="s">
        <v>34</v>
      </c>
    </row>
    <row r="2592" spans="1:14" x14ac:dyDescent="0.25">
      <c r="A2592" s="2" t="s">
        <v>6847</v>
      </c>
      <c r="B2592" s="2" t="s">
        <v>6848</v>
      </c>
      <c r="C2592" s="2" t="s">
        <v>53</v>
      </c>
      <c r="D2592" s="2" t="s">
        <v>54</v>
      </c>
      <c r="E2592" s="2" t="s">
        <v>38</v>
      </c>
      <c r="F2592" s="2" t="s">
        <v>143</v>
      </c>
      <c r="G2592" s="2" t="s">
        <v>144</v>
      </c>
      <c r="H2592" s="2" t="s">
        <v>21</v>
      </c>
      <c r="I2592" s="2">
        <v>24</v>
      </c>
      <c r="J2592" s="2" t="s">
        <v>22</v>
      </c>
      <c r="K2592" s="2" t="s">
        <v>6849</v>
      </c>
      <c r="L2592" s="2" t="s">
        <v>24</v>
      </c>
      <c r="M2592" s="2">
        <v>5</v>
      </c>
      <c r="N2592" s="2" t="s">
        <v>43</v>
      </c>
    </row>
    <row r="2593" spans="1:14" x14ac:dyDescent="0.25">
      <c r="A2593" s="2" t="s">
        <v>6850</v>
      </c>
      <c r="B2593" s="2" t="s">
        <v>6851</v>
      </c>
      <c r="C2593" s="2" t="s">
        <v>28</v>
      </c>
      <c r="D2593" s="2" t="s">
        <v>100</v>
      </c>
      <c r="E2593" s="2" t="s">
        <v>85</v>
      </c>
      <c r="F2593" s="2" t="s">
        <v>62</v>
      </c>
      <c r="G2593" s="2" t="s">
        <v>126</v>
      </c>
      <c r="H2593" s="2" t="s">
        <v>32</v>
      </c>
      <c r="I2593" s="2">
        <v>48</v>
      </c>
      <c r="J2593" s="2" t="s">
        <v>22</v>
      </c>
      <c r="K2593" s="2" t="s">
        <v>6852</v>
      </c>
      <c r="L2593" s="2" t="s">
        <v>24</v>
      </c>
      <c r="M2593" s="2">
        <v>5</v>
      </c>
      <c r="N2593" s="2" t="s">
        <v>128</v>
      </c>
    </row>
    <row r="2594" spans="1:14" x14ac:dyDescent="0.25">
      <c r="A2594" s="2" t="s">
        <v>6853</v>
      </c>
      <c r="B2594" s="2" t="s">
        <v>6854</v>
      </c>
      <c r="C2594" s="2" t="s">
        <v>53</v>
      </c>
      <c r="D2594" s="2" t="s">
        <v>54</v>
      </c>
      <c r="E2594" s="2" t="s">
        <v>79</v>
      </c>
      <c r="F2594" s="2" t="s">
        <v>47</v>
      </c>
      <c r="G2594" s="2" t="s">
        <v>20</v>
      </c>
      <c r="H2594" s="2" t="s">
        <v>74</v>
      </c>
      <c r="I2594" s="2">
        <v>8</v>
      </c>
      <c r="J2594" s="2" t="s">
        <v>41</v>
      </c>
      <c r="K2594" s="2" t="s">
        <v>6855</v>
      </c>
      <c r="L2594" s="2" t="s">
        <v>24</v>
      </c>
      <c r="M2594" s="2"/>
      <c r="N2594" s="2" t="s">
        <v>50</v>
      </c>
    </row>
    <row r="2595" spans="1:14" x14ac:dyDescent="0.25">
      <c r="A2595" s="2" t="s">
        <v>6856</v>
      </c>
      <c r="B2595" s="2" t="s">
        <v>6857</v>
      </c>
      <c r="C2595" s="2" t="s">
        <v>28</v>
      </c>
      <c r="D2595" s="2" t="s">
        <v>100</v>
      </c>
      <c r="E2595" s="2" t="s">
        <v>148</v>
      </c>
      <c r="F2595" s="2" t="s">
        <v>30</v>
      </c>
      <c r="G2595" s="2" t="s">
        <v>105</v>
      </c>
      <c r="H2595" s="2" t="s">
        <v>21</v>
      </c>
      <c r="I2595" s="2">
        <v>24</v>
      </c>
      <c r="J2595" s="2" t="s">
        <v>33</v>
      </c>
      <c r="K2595" s="2"/>
      <c r="L2595" s="2" t="s">
        <v>24</v>
      </c>
      <c r="M2595" s="2"/>
      <c r="N2595" s="2"/>
    </row>
    <row r="2596" spans="1:14" x14ac:dyDescent="0.25">
      <c r="A2596" s="2" t="s">
        <v>6858</v>
      </c>
      <c r="B2596" s="2" t="s">
        <v>6859</v>
      </c>
      <c r="C2596" s="2" t="s">
        <v>28</v>
      </c>
      <c r="D2596" s="2" t="s">
        <v>37</v>
      </c>
      <c r="E2596" s="2" t="s">
        <v>18</v>
      </c>
      <c r="F2596" s="2" t="s">
        <v>113</v>
      </c>
      <c r="G2596" s="2" t="s">
        <v>126</v>
      </c>
      <c r="H2596" s="2" t="s">
        <v>21</v>
      </c>
      <c r="I2596" s="2">
        <v>24</v>
      </c>
      <c r="J2596" s="2" t="s">
        <v>200</v>
      </c>
      <c r="K2596" s="2"/>
      <c r="L2596" s="2" t="s">
        <v>92</v>
      </c>
      <c r="M2596" s="2"/>
      <c r="N2596" s="2" t="s">
        <v>128</v>
      </c>
    </row>
    <row r="2597" spans="1:14" x14ac:dyDescent="0.25">
      <c r="A2597" s="2" t="s">
        <v>6860</v>
      </c>
      <c r="B2597" s="2" t="s">
        <v>6861</v>
      </c>
      <c r="C2597" s="2" t="s">
        <v>67</v>
      </c>
      <c r="D2597" s="2" t="s">
        <v>95</v>
      </c>
      <c r="E2597" s="2" t="s">
        <v>85</v>
      </c>
      <c r="F2597" s="2" t="s">
        <v>131</v>
      </c>
      <c r="G2597" s="2" t="s">
        <v>20</v>
      </c>
      <c r="H2597" s="2" t="s">
        <v>32</v>
      </c>
      <c r="I2597" s="2">
        <v>48</v>
      </c>
      <c r="J2597" s="2" t="s">
        <v>75</v>
      </c>
      <c r="K2597" s="2" t="s">
        <v>6862</v>
      </c>
      <c r="L2597" s="2" t="s">
        <v>24</v>
      </c>
      <c r="M2597" s="2">
        <v>5</v>
      </c>
      <c r="N2597" s="2" t="s">
        <v>50</v>
      </c>
    </row>
    <row r="2598" spans="1:14" x14ac:dyDescent="0.25">
      <c r="A2598" s="2" t="s">
        <v>6863</v>
      </c>
      <c r="B2598" s="2" t="s">
        <v>6864</v>
      </c>
      <c r="C2598" s="2" t="s">
        <v>16</v>
      </c>
      <c r="D2598" s="2" t="s">
        <v>84</v>
      </c>
      <c r="E2598" s="2" t="s">
        <v>79</v>
      </c>
      <c r="F2598" s="2" t="s">
        <v>39</v>
      </c>
      <c r="G2598" s="2" t="s">
        <v>40</v>
      </c>
      <c r="H2598" s="2" t="s">
        <v>21</v>
      </c>
      <c r="I2598" s="2">
        <v>24</v>
      </c>
      <c r="J2598" s="2" t="s">
        <v>41</v>
      </c>
      <c r="K2598" s="2" t="s">
        <v>6865</v>
      </c>
      <c r="L2598" s="2" t="s">
        <v>24</v>
      </c>
      <c r="M2598" s="2"/>
      <c r="N2598" s="2" t="s">
        <v>128</v>
      </c>
    </row>
    <row r="2599" spans="1:14" x14ac:dyDescent="0.25">
      <c r="A2599" s="2" t="s">
        <v>6866</v>
      </c>
      <c r="B2599" s="2" t="s">
        <v>6867</v>
      </c>
      <c r="C2599" s="2" t="s">
        <v>67</v>
      </c>
      <c r="D2599" s="2" t="s">
        <v>95</v>
      </c>
      <c r="E2599" s="2" t="s">
        <v>46</v>
      </c>
      <c r="F2599" s="2" t="s">
        <v>47</v>
      </c>
      <c r="G2599" s="2" t="s">
        <v>126</v>
      </c>
      <c r="H2599" s="2" t="s">
        <v>21</v>
      </c>
      <c r="I2599" s="2">
        <v>24</v>
      </c>
      <c r="J2599" s="2" t="s">
        <v>187</v>
      </c>
      <c r="K2599" s="2" t="s">
        <v>6868</v>
      </c>
      <c r="L2599" s="2" t="s">
        <v>92</v>
      </c>
      <c r="M2599" s="2"/>
      <c r="N2599" s="2" t="s">
        <v>58</v>
      </c>
    </row>
    <row r="2600" spans="1:14" x14ac:dyDescent="0.25">
      <c r="A2600" s="2" t="s">
        <v>6869</v>
      </c>
      <c r="B2600" s="2" t="s">
        <v>6870</v>
      </c>
      <c r="C2600" s="2" t="s">
        <v>53</v>
      </c>
      <c r="D2600" s="2" t="s">
        <v>54</v>
      </c>
      <c r="E2600" s="2" t="s">
        <v>79</v>
      </c>
      <c r="F2600" s="2" t="s">
        <v>69</v>
      </c>
      <c r="G2600" s="2" t="s">
        <v>70</v>
      </c>
      <c r="H2600" s="2" t="s">
        <v>21</v>
      </c>
      <c r="I2600" s="2">
        <v>24</v>
      </c>
      <c r="J2600" s="2" t="s">
        <v>41</v>
      </c>
      <c r="K2600" s="2" t="s">
        <v>6871</v>
      </c>
      <c r="L2600" s="2" t="s">
        <v>24</v>
      </c>
      <c r="M2600" s="2">
        <v>3</v>
      </c>
      <c r="N2600" s="2"/>
    </row>
    <row r="2601" spans="1:14" x14ac:dyDescent="0.25">
      <c r="A2601" s="2" t="s">
        <v>6872</v>
      </c>
      <c r="B2601" s="2" t="s">
        <v>6873</v>
      </c>
      <c r="C2601" s="2" t="s">
        <v>67</v>
      </c>
      <c r="D2601" s="2" t="s">
        <v>95</v>
      </c>
      <c r="E2601" s="2" t="s">
        <v>90</v>
      </c>
      <c r="F2601" s="2" t="s">
        <v>113</v>
      </c>
      <c r="G2601" s="2" t="s">
        <v>20</v>
      </c>
      <c r="H2601" s="2" t="s">
        <v>74</v>
      </c>
      <c r="I2601" s="2">
        <v>8</v>
      </c>
      <c r="J2601" s="2" t="s">
        <v>149</v>
      </c>
      <c r="K2601" s="2"/>
      <c r="L2601" s="2" t="s">
        <v>24</v>
      </c>
      <c r="M2601" s="2"/>
      <c r="N2601" s="2"/>
    </row>
    <row r="2602" spans="1:14" x14ac:dyDescent="0.25">
      <c r="A2602" s="2" t="s">
        <v>6874</v>
      </c>
      <c r="B2602" s="2" t="s">
        <v>6875</v>
      </c>
      <c r="C2602" s="2" t="s">
        <v>67</v>
      </c>
      <c r="D2602" s="2" t="s">
        <v>68</v>
      </c>
      <c r="E2602" s="2" t="s">
        <v>38</v>
      </c>
      <c r="F2602" s="2" t="s">
        <v>131</v>
      </c>
      <c r="G2602" s="2" t="s">
        <v>211</v>
      </c>
      <c r="H2602" s="2" t="s">
        <v>32</v>
      </c>
      <c r="I2602" s="2">
        <v>48</v>
      </c>
      <c r="J2602" s="2" t="s">
        <v>117</v>
      </c>
      <c r="K2602" s="2"/>
      <c r="L2602" s="2" t="s">
        <v>24</v>
      </c>
      <c r="M2602" s="2"/>
      <c r="N2602" s="2"/>
    </row>
    <row r="2603" spans="1:14" x14ac:dyDescent="0.25">
      <c r="A2603" s="2" t="s">
        <v>6876</v>
      </c>
      <c r="B2603" s="2" t="s">
        <v>6877</v>
      </c>
      <c r="C2603" s="2" t="s">
        <v>53</v>
      </c>
      <c r="D2603" s="2" t="s">
        <v>61</v>
      </c>
      <c r="E2603" s="2" t="s">
        <v>148</v>
      </c>
      <c r="F2603" s="2" t="s">
        <v>125</v>
      </c>
      <c r="G2603" s="2" t="s">
        <v>91</v>
      </c>
      <c r="H2603" s="2" t="s">
        <v>74</v>
      </c>
      <c r="I2603" s="2">
        <v>8</v>
      </c>
      <c r="J2603" s="2" t="s">
        <v>155</v>
      </c>
      <c r="K2603" s="2"/>
      <c r="L2603" s="2" t="s">
        <v>24</v>
      </c>
      <c r="M2603" s="2"/>
      <c r="N2603" s="2"/>
    </row>
    <row r="2604" spans="1:14" x14ac:dyDescent="0.25">
      <c r="A2604" s="2" t="s">
        <v>6878</v>
      </c>
      <c r="B2604" s="2" t="s">
        <v>2855</v>
      </c>
      <c r="C2604" s="2" t="s">
        <v>16</v>
      </c>
      <c r="D2604" s="2" t="s">
        <v>84</v>
      </c>
      <c r="E2604" s="2" t="s">
        <v>90</v>
      </c>
      <c r="F2604" s="2" t="s">
        <v>62</v>
      </c>
      <c r="G2604" s="2" t="s">
        <v>144</v>
      </c>
      <c r="H2604" s="2" t="s">
        <v>32</v>
      </c>
      <c r="I2604" s="2">
        <v>48</v>
      </c>
      <c r="J2604" s="2" t="s">
        <v>22</v>
      </c>
      <c r="K2604" s="2" t="s">
        <v>6879</v>
      </c>
      <c r="L2604" s="2" t="s">
        <v>24</v>
      </c>
      <c r="M2604" s="2"/>
      <c r="N2604" s="2" t="s">
        <v>128</v>
      </c>
    </row>
    <row r="2605" spans="1:14" x14ac:dyDescent="0.25">
      <c r="A2605" s="2" t="s">
        <v>6880</v>
      </c>
      <c r="B2605" s="2" t="s">
        <v>6881</v>
      </c>
      <c r="C2605" s="2" t="s">
        <v>67</v>
      </c>
      <c r="D2605" s="2" t="s">
        <v>95</v>
      </c>
      <c r="E2605" s="2" t="s">
        <v>38</v>
      </c>
      <c r="F2605" s="2" t="s">
        <v>39</v>
      </c>
      <c r="G2605" s="2" t="s">
        <v>105</v>
      </c>
      <c r="H2605" s="2" t="s">
        <v>21</v>
      </c>
      <c r="I2605" s="2">
        <v>24</v>
      </c>
      <c r="J2605" s="2" t="s">
        <v>22</v>
      </c>
      <c r="K2605" s="2"/>
      <c r="L2605" s="2" t="s">
        <v>24</v>
      </c>
      <c r="M2605" s="2"/>
      <c r="N2605" s="2"/>
    </row>
    <row r="2606" spans="1:14" x14ac:dyDescent="0.25">
      <c r="A2606" s="2" t="s">
        <v>6882</v>
      </c>
      <c r="B2606" s="2" t="s">
        <v>6883</v>
      </c>
      <c r="C2606" s="2" t="s">
        <v>53</v>
      </c>
      <c r="D2606" s="2" t="s">
        <v>54</v>
      </c>
      <c r="E2606" s="2" t="s">
        <v>18</v>
      </c>
      <c r="F2606" s="2" t="s">
        <v>19</v>
      </c>
      <c r="G2606" s="2" t="s">
        <v>158</v>
      </c>
      <c r="H2606" s="2" t="s">
        <v>21</v>
      </c>
      <c r="I2606" s="2">
        <v>24</v>
      </c>
      <c r="J2606" s="2" t="s">
        <v>41</v>
      </c>
      <c r="K2606" s="2" t="s">
        <v>6884</v>
      </c>
      <c r="L2606" s="2" t="s">
        <v>92</v>
      </c>
      <c r="M2606" s="2">
        <v>5</v>
      </c>
      <c r="N2606" s="2" t="s">
        <v>34</v>
      </c>
    </row>
    <row r="2607" spans="1:14" x14ac:dyDescent="0.25">
      <c r="A2607" s="2" t="s">
        <v>6885</v>
      </c>
      <c r="B2607" s="2" t="s">
        <v>6886</v>
      </c>
      <c r="C2607" s="2" t="s">
        <v>16</v>
      </c>
      <c r="D2607" s="2" t="s">
        <v>84</v>
      </c>
      <c r="E2607" s="2" t="s">
        <v>79</v>
      </c>
      <c r="F2607" s="2" t="s">
        <v>96</v>
      </c>
      <c r="G2607" s="2" t="s">
        <v>211</v>
      </c>
      <c r="H2607" s="2" t="s">
        <v>74</v>
      </c>
      <c r="I2607" s="2">
        <v>8</v>
      </c>
      <c r="J2607" s="2" t="s">
        <v>187</v>
      </c>
      <c r="K2607" s="2"/>
      <c r="L2607" s="2" t="s">
        <v>24</v>
      </c>
      <c r="M2607" s="2">
        <v>5</v>
      </c>
      <c r="N2607" s="2" t="s">
        <v>118</v>
      </c>
    </row>
    <row r="2608" spans="1:14" x14ac:dyDescent="0.25">
      <c r="A2608" s="2" t="s">
        <v>6887</v>
      </c>
      <c r="B2608" s="2" t="s">
        <v>6888</v>
      </c>
      <c r="C2608" s="2" t="s">
        <v>67</v>
      </c>
      <c r="D2608" s="2" t="s">
        <v>95</v>
      </c>
      <c r="E2608" s="2" t="s">
        <v>148</v>
      </c>
      <c r="F2608" s="2" t="s">
        <v>39</v>
      </c>
      <c r="G2608" s="2" t="s">
        <v>70</v>
      </c>
      <c r="H2608" s="2" t="s">
        <v>21</v>
      </c>
      <c r="I2608" s="2">
        <v>24</v>
      </c>
      <c r="J2608" s="2" t="s">
        <v>22</v>
      </c>
      <c r="K2608" s="2" t="s">
        <v>6889</v>
      </c>
      <c r="L2608" s="2" t="s">
        <v>24</v>
      </c>
      <c r="M2608" s="2">
        <v>4</v>
      </c>
      <c r="N2608" s="2"/>
    </row>
    <row r="2609" spans="1:14" x14ac:dyDescent="0.25">
      <c r="A2609" s="2" t="s">
        <v>6890</v>
      </c>
      <c r="B2609" s="2" t="s">
        <v>6891</v>
      </c>
      <c r="C2609" s="2" t="s">
        <v>28</v>
      </c>
      <c r="D2609" s="2" t="s">
        <v>37</v>
      </c>
      <c r="E2609" s="2" t="s">
        <v>79</v>
      </c>
      <c r="F2609" s="2" t="s">
        <v>96</v>
      </c>
      <c r="G2609" s="2" t="s">
        <v>20</v>
      </c>
      <c r="H2609" s="2" t="s">
        <v>21</v>
      </c>
      <c r="I2609" s="2">
        <v>24</v>
      </c>
      <c r="J2609" s="2" t="s">
        <v>75</v>
      </c>
      <c r="K2609" s="2" t="s">
        <v>6892</v>
      </c>
      <c r="L2609" s="2" t="s">
        <v>24</v>
      </c>
      <c r="M2609" s="2">
        <v>4</v>
      </c>
      <c r="N2609" s="2"/>
    </row>
    <row r="2610" spans="1:14" x14ac:dyDescent="0.25">
      <c r="A2610" s="2" t="s">
        <v>6893</v>
      </c>
      <c r="B2610" s="2" t="s">
        <v>6894</v>
      </c>
      <c r="C2610" s="2" t="s">
        <v>16</v>
      </c>
      <c r="D2610" s="2" t="s">
        <v>84</v>
      </c>
      <c r="E2610" s="2" t="s">
        <v>38</v>
      </c>
      <c r="F2610" s="2" t="s">
        <v>62</v>
      </c>
      <c r="G2610" s="2" t="s">
        <v>183</v>
      </c>
      <c r="H2610" s="2" t="s">
        <v>32</v>
      </c>
      <c r="I2610" s="2">
        <v>48</v>
      </c>
      <c r="J2610" s="2" t="s">
        <v>11</v>
      </c>
      <c r="K2610" s="2"/>
      <c r="L2610" s="2" t="s">
        <v>92</v>
      </c>
      <c r="M2610" s="2"/>
      <c r="N2610" s="2" t="s">
        <v>34</v>
      </c>
    </row>
    <row r="2611" spans="1:14" x14ac:dyDescent="0.25">
      <c r="A2611" s="2" t="s">
        <v>6895</v>
      </c>
      <c r="B2611" s="2" t="s">
        <v>6896</v>
      </c>
      <c r="C2611" s="2" t="s">
        <v>53</v>
      </c>
      <c r="D2611" s="2" t="s">
        <v>54</v>
      </c>
      <c r="E2611" s="2" t="s">
        <v>85</v>
      </c>
      <c r="F2611" s="2" t="s">
        <v>19</v>
      </c>
      <c r="G2611" s="2" t="s">
        <v>110</v>
      </c>
      <c r="H2611" s="2" t="s">
        <v>32</v>
      </c>
      <c r="I2611" s="2">
        <v>48</v>
      </c>
      <c r="J2611" s="2" t="s">
        <v>106</v>
      </c>
      <c r="K2611" s="2" t="s">
        <v>6897</v>
      </c>
      <c r="L2611" s="2" t="s">
        <v>24</v>
      </c>
      <c r="M2611" s="2">
        <v>3</v>
      </c>
      <c r="N2611" s="2" t="s">
        <v>50</v>
      </c>
    </row>
    <row r="2612" spans="1:14" x14ac:dyDescent="0.25">
      <c r="A2612" s="2" t="s">
        <v>6898</v>
      </c>
      <c r="B2612" s="2" t="s">
        <v>6899</v>
      </c>
      <c r="C2612" s="2" t="s">
        <v>67</v>
      </c>
      <c r="D2612" s="2" t="s">
        <v>95</v>
      </c>
      <c r="E2612" s="2" t="s">
        <v>79</v>
      </c>
      <c r="F2612" s="2" t="s">
        <v>39</v>
      </c>
      <c r="G2612" s="2" t="s">
        <v>144</v>
      </c>
      <c r="H2612" s="2" t="s">
        <v>74</v>
      </c>
      <c r="I2612" s="2">
        <v>8</v>
      </c>
      <c r="J2612" s="2" t="s">
        <v>75</v>
      </c>
      <c r="K2612" s="2" t="s">
        <v>6900</v>
      </c>
      <c r="L2612" s="2" t="s">
        <v>24</v>
      </c>
      <c r="M2612" s="2">
        <v>3</v>
      </c>
      <c r="N2612" s="2" t="s">
        <v>50</v>
      </c>
    </row>
    <row r="2613" spans="1:14" x14ac:dyDescent="0.25">
      <c r="A2613" s="2" t="s">
        <v>6901</v>
      </c>
      <c r="B2613" s="2" t="s">
        <v>6902</v>
      </c>
      <c r="C2613" s="2" t="s">
        <v>53</v>
      </c>
      <c r="D2613" s="2" t="s">
        <v>61</v>
      </c>
      <c r="E2613" s="2" t="s">
        <v>79</v>
      </c>
      <c r="F2613" s="2" t="s">
        <v>131</v>
      </c>
      <c r="G2613" s="2" t="s">
        <v>183</v>
      </c>
      <c r="H2613" s="2" t="s">
        <v>21</v>
      </c>
      <c r="I2613" s="2">
        <v>24</v>
      </c>
      <c r="J2613" s="2" t="s">
        <v>232</v>
      </c>
      <c r="K2613" s="2"/>
      <c r="L2613" s="2" t="s">
        <v>92</v>
      </c>
      <c r="M2613" s="2"/>
      <c r="N2613" s="2" t="s">
        <v>118</v>
      </c>
    </row>
    <row r="2614" spans="1:14" x14ac:dyDescent="0.25">
      <c r="A2614" s="2" t="s">
        <v>6903</v>
      </c>
      <c r="B2614" s="2" t="s">
        <v>6904</v>
      </c>
      <c r="C2614" s="2" t="s">
        <v>67</v>
      </c>
      <c r="D2614" s="2" t="s">
        <v>68</v>
      </c>
      <c r="E2614" s="2" t="s">
        <v>79</v>
      </c>
      <c r="F2614" s="2" t="s">
        <v>39</v>
      </c>
      <c r="G2614" s="2" t="s">
        <v>105</v>
      </c>
      <c r="H2614" s="2" t="s">
        <v>21</v>
      </c>
      <c r="I2614" s="2">
        <v>24</v>
      </c>
      <c r="J2614" s="2" t="s">
        <v>56</v>
      </c>
      <c r="K2614" s="2" t="s">
        <v>6905</v>
      </c>
      <c r="L2614" s="2" t="s">
        <v>24</v>
      </c>
      <c r="M2614" s="2"/>
      <c r="N2614" s="2"/>
    </row>
    <row r="2615" spans="1:14" x14ac:dyDescent="0.25">
      <c r="A2615" s="2" t="s">
        <v>6906</v>
      </c>
      <c r="B2615" s="2" t="s">
        <v>6907</v>
      </c>
      <c r="C2615" s="2" t="s">
        <v>53</v>
      </c>
      <c r="D2615" s="2" t="s">
        <v>54</v>
      </c>
      <c r="E2615" s="2" t="s">
        <v>79</v>
      </c>
      <c r="F2615" s="2" t="s">
        <v>125</v>
      </c>
      <c r="G2615" s="2" t="s">
        <v>183</v>
      </c>
      <c r="H2615" s="2" t="s">
        <v>32</v>
      </c>
      <c r="I2615" s="2">
        <v>48</v>
      </c>
      <c r="J2615" s="2" t="s">
        <v>48</v>
      </c>
      <c r="K2615" s="2" t="s">
        <v>6908</v>
      </c>
      <c r="L2615" s="2" t="s">
        <v>24</v>
      </c>
      <c r="M2615" s="2"/>
      <c r="N2615" s="2"/>
    </row>
    <row r="2616" spans="1:14" x14ac:dyDescent="0.25">
      <c r="A2616" s="2" t="s">
        <v>6909</v>
      </c>
      <c r="B2616" s="2" t="s">
        <v>6910</v>
      </c>
      <c r="C2616" s="2" t="s">
        <v>67</v>
      </c>
      <c r="D2616" s="2" t="s">
        <v>95</v>
      </c>
      <c r="E2616" s="2" t="s">
        <v>85</v>
      </c>
      <c r="F2616" s="2" t="s">
        <v>30</v>
      </c>
      <c r="G2616" s="2" t="s">
        <v>101</v>
      </c>
      <c r="H2616" s="2" t="s">
        <v>74</v>
      </c>
      <c r="I2616" s="2">
        <v>8</v>
      </c>
      <c r="J2616" s="2" t="s">
        <v>22</v>
      </c>
      <c r="K2616" s="2" t="s">
        <v>6911</v>
      </c>
      <c r="L2616" s="2" t="s">
        <v>92</v>
      </c>
      <c r="M2616" s="2">
        <v>5</v>
      </c>
      <c r="N2616" s="2"/>
    </row>
    <row r="2617" spans="1:14" x14ac:dyDescent="0.25">
      <c r="A2617" s="2" t="s">
        <v>6912</v>
      </c>
      <c r="B2617" s="2" t="s">
        <v>6913</v>
      </c>
      <c r="C2617" s="2" t="s">
        <v>28</v>
      </c>
      <c r="D2617" s="2" t="s">
        <v>37</v>
      </c>
      <c r="E2617" s="2" t="s">
        <v>90</v>
      </c>
      <c r="F2617" s="2" t="s">
        <v>19</v>
      </c>
      <c r="G2617" s="2" t="s">
        <v>40</v>
      </c>
      <c r="H2617" s="2" t="s">
        <v>21</v>
      </c>
      <c r="I2617" s="2">
        <v>24</v>
      </c>
      <c r="J2617" s="2" t="s">
        <v>145</v>
      </c>
      <c r="K2617" s="2"/>
      <c r="L2617" s="2" t="s">
        <v>24</v>
      </c>
      <c r="M2617" s="2"/>
      <c r="N2617" s="2" t="s">
        <v>58</v>
      </c>
    </row>
    <row r="2618" spans="1:14" x14ac:dyDescent="0.25">
      <c r="A2618" s="2" t="s">
        <v>6914</v>
      </c>
      <c r="B2618" s="2" t="s">
        <v>6915</v>
      </c>
      <c r="C2618" s="2" t="s">
        <v>16</v>
      </c>
      <c r="D2618" s="2" t="s">
        <v>17</v>
      </c>
      <c r="E2618" s="2" t="s">
        <v>85</v>
      </c>
      <c r="F2618" s="2" t="s">
        <v>62</v>
      </c>
      <c r="G2618" s="2" t="s">
        <v>121</v>
      </c>
      <c r="H2618" s="2" t="s">
        <v>21</v>
      </c>
      <c r="I2618" s="2">
        <v>24</v>
      </c>
      <c r="J2618" s="2" t="s">
        <v>106</v>
      </c>
      <c r="K2618" s="2" t="s">
        <v>6916</v>
      </c>
      <c r="L2618" s="2" t="s">
        <v>24</v>
      </c>
      <c r="M2618" s="2">
        <v>4</v>
      </c>
      <c r="N2618" s="2"/>
    </row>
    <row r="2619" spans="1:14" x14ac:dyDescent="0.25">
      <c r="A2619" s="2" t="s">
        <v>6917</v>
      </c>
      <c r="B2619" s="2" t="s">
        <v>6918</v>
      </c>
      <c r="C2619" s="2" t="s">
        <v>67</v>
      </c>
      <c r="D2619" s="2" t="s">
        <v>68</v>
      </c>
      <c r="E2619" s="2" t="s">
        <v>46</v>
      </c>
      <c r="F2619" s="2" t="s">
        <v>30</v>
      </c>
      <c r="G2619" s="2" t="s">
        <v>31</v>
      </c>
      <c r="H2619" s="2" t="s">
        <v>32</v>
      </c>
      <c r="I2619" s="2">
        <v>48</v>
      </c>
      <c r="J2619" s="2" t="s">
        <v>48</v>
      </c>
      <c r="K2619" s="2" t="s">
        <v>6919</v>
      </c>
      <c r="L2619" s="2" t="s">
        <v>24</v>
      </c>
      <c r="M2619" s="2">
        <v>4</v>
      </c>
      <c r="N2619" s="2" t="s">
        <v>128</v>
      </c>
    </row>
    <row r="2620" spans="1:14" x14ac:dyDescent="0.25">
      <c r="A2620" s="2" t="s">
        <v>6920</v>
      </c>
      <c r="B2620" s="2" t="s">
        <v>6921</v>
      </c>
      <c r="C2620" s="2" t="s">
        <v>28</v>
      </c>
      <c r="D2620" s="2" t="s">
        <v>100</v>
      </c>
      <c r="E2620" s="2" t="s">
        <v>85</v>
      </c>
      <c r="F2620" s="2" t="s">
        <v>39</v>
      </c>
      <c r="G2620" s="2" t="s">
        <v>179</v>
      </c>
      <c r="H2620" s="2" t="s">
        <v>21</v>
      </c>
      <c r="I2620" s="2">
        <v>24</v>
      </c>
      <c r="J2620" s="2" t="s">
        <v>22</v>
      </c>
      <c r="K2620" s="2" t="s">
        <v>6922</v>
      </c>
      <c r="L2620" s="2" t="s">
        <v>24</v>
      </c>
      <c r="M2620" s="2"/>
      <c r="N2620" s="2"/>
    </row>
    <row r="2621" spans="1:14" x14ac:dyDescent="0.25">
      <c r="A2621" s="2" t="s">
        <v>6923</v>
      </c>
      <c r="B2621" s="2" t="s">
        <v>6924</v>
      </c>
      <c r="C2621" s="2" t="s">
        <v>67</v>
      </c>
      <c r="D2621" s="2" t="s">
        <v>68</v>
      </c>
      <c r="E2621" s="2" t="s">
        <v>79</v>
      </c>
      <c r="F2621" s="2" t="s">
        <v>19</v>
      </c>
      <c r="G2621" s="2" t="s">
        <v>40</v>
      </c>
      <c r="H2621" s="2" t="s">
        <v>32</v>
      </c>
      <c r="I2621" s="2">
        <v>48</v>
      </c>
      <c r="J2621" s="2" t="s">
        <v>232</v>
      </c>
      <c r="K2621" s="2"/>
      <c r="L2621" s="2" t="s">
        <v>92</v>
      </c>
      <c r="M2621" s="2"/>
      <c r="N2621" s="2" t="s">
        <v>118</v>
      </c>
    </row>
    <row r="2622" spans="1:14" x14ac:dyDescent="0.25">
      <c r="A2622" s="2" t="s">
        <v>6925</v>
      </c>
      <c r="B2622" s="2" t="s">
        <v>6926</v>
      </c>
      <c r="C2622" s="2" t="s">
        <v>16</v>
      </c>
      <c r="D2622" s="2" t="s">
        <v>17</v>
      </c>
      <c r="E2622" s="2" t="s">
        <v>148</v>
      </c>
      <c r="F2622" s="2" t="s">
        <v>125</v>
      </c>
      <c r="G2622" s="2" t="s">
        <v>135</v>
      </c>
      <c r="H2622" s="2" t="s">
        <v>74</v>
      </c>
      <c r="I2622" s="2">
        <v>8</v>
      </c>
      <c r="J2622" s="2" t="s">
        <v>232</v>
      </c>
      <c r="K2622" s="2"/>
      <c r="L2622" s="2" t="s">
        <v>92</v>
      </c>
      <c r="M2622" s="2"/>
      <c r="N2622" s="2" t="s">
        <v>64</v>
      </c>
    </row>
    <row r="2623" spans="1:14" x14ac:dyDescent="0.25">
      <c r="A2623" s="2" t="s">
        <v>6927</v>
      </c>
      <c r="B2623" s="2" t="s">
        <v>6928</v>
      </c>
      <c r="C2623" s="2" t="s">
        <v>16</v>
      </c>
      <c r="D2623" s="2" t="s">
        <v>84</v>
      </c>
      <c r="E2623" s="2" t="s">
        <v>148</v>
      </c>
      <c r="F2623" s="2" t="s">
        <v>69</v>
      </c>
      <c r="G2623" s="2" t="s">
        <v>70</v>
      </c>
      <c r="H2623" s="2" t="s">
        <v>32</v>
      </c>
      <c r="I2623" s="2">
        <v>48</v>
      </c>
      <c r="J2623" s="2" t="s">
        <v>22</v>
      </c>
      <c r="K2623" s="2"/>
      <c r="L2623" s="2" t="s">
        <v>24</v>
      </c>
      <c r="M2623" s="2">
        <v>4</v>
      </c>
      <c r="N2623" s="2"/>
    </row>
    <row r="2624" spans="1:14" x14ac:dyDescent="0.25">
      <c r="A2624" s="2" t="s">
        <v>6929</v>
      </c>
      <c r="B2624" s="2" t="s">
        <v>6930</v>
      </c>
      <c r="C2624" s="2" t="s">
        <v>53</v>
      </c>
      <c r="D2624" s="2" t="s">
        <v>54</v>
      </c>
      <c r="E2624" s="2" t="s">
        <v>85</v>
      </c>
      <c r="F2624" s="2" t="s">
        <v>30</v>
      </c>
      <c r="G2624" s="2" t="s">
        <v>135</v>
      </c>
      <c r="H2624" s="2" t="s">
        <v>74</v>
      </c>
      <c r="I2624" s="2">
        <v>8</v>
      </c>
      <c r="J2624" s="2" t="s">
        <v>41</v>
      </c>
      <c r="K2624" s="2" t="s">
        <v>6931</v>
      </c>
      <c r="L2624" s="2" t="s">
        <v>24</v>
      </c>
      <c r="M2624" s="2">
        <v>4</v>
      </c>
      <c r="N2624" s="2" t="s">
        <v>64</v>
      </c>
    </row>
    <row r="2625" spans="1:14" x14ac:dyDescent="0.25">
      <c r="A2625" s="2" t="s">
        <v>6932</v>
      </c>
      <c r="B2625" s="2" t="s">
        <v>6933</v>
      </c>
      <c r="C2625" s="2" t="s">
        <v>28</v>
      </c>
      <c r="D2625" s="2" t="s">
        <v>37</v>
      </c>
      <c r="E2625" s="2" t="s">
        <v>90</v>
      </c>
      <c r="F2625" s="2" t="s">
        <v>143</v>
      </c>
      <c r="G2625" s="2" t="s">
        <v>211</v>
      </c>
      <c r="H2625" s="2" t="s">
        <v>21</v>
      </c>
      <c r="I2625" s="2">
        <v>24</v>
      </c>
      <c r="J2625" s="2" t="s">
        <v>22</v>
      </c>
      <c r="K2625" s="2" t="s">
        <v>6934</v>
      </c>
      <c r="L2625" s="2" t="s">
        <v>24</v>
      </c>
      <c r="M2625" s="2"/>
      <c r="N2625" s="2" t="s">
        <v>128</v>
      </c>
    </row>
    <row r="2626" spans="1:14" x14ac:dyDescent="0.25">
      <c r="A2626" s="2" t="s">
        <v>6935</v>
      </c>
      <c r="B2626" s="2" t="s">
        <v>6936</v>
      </c>
      <c r="C2626" s="2" t="s">
        <v>53</v>
      </c>
      <c r="D2626" s="2" t="s">
        <v>61</v>
      </c>
      <c r="E2626" s="2" t="s">
        <v>79</v>
      </c>
      <c r="F2626" s="2" t="s">
        <v>62</v>
      </c>
      <c r="G2626" s="2" t="s">
        <v>183</v>
      </c>
      <c r="H2626" s="2" t="s">
        <v>74</v>
      </c>
      <c r="I2626" s="2">
        <v>8</v>
      </c>
      <c r="J2626" s="2" t="s">
        <v>41</v>
      </c>
      <c r="K2626" s="2" t="s">
        <v>6937</v>
      </c>
      <c r="L2626" s="2" t="s">
        <v>24</v>
      </c>
      <c r="M2626" s="2"/>
      <c r="N2626" s="2"/>
    </row>
    <row r="2627" spans="1:14" x14ac:dyDescent="0.25">
      <c r="A2627" s="2" t="s">
        <v>6938</v>
      </c>
      <c r="B2627" s="2" t="s">
        <v>6939</v>
      </c>
      <c r="C2627" s="2" t="s">
        <v>28</v>
      </c>
      <c r="D2627" s="2" t="s">
        <v>100</v>
      </c>
      <c r="E2627" s="2" t="s">
        <v>79</v>
      </c>
      <c r="F2627" s="2" t="s">
        <v>113</v>
      </c>
      <c r="G2627" s="2" t="s">
        <v>105</v>
      </c>
      <c r="H2627" s="2" t="s">
        <v>32</v>
      </c>
      <c r="I2627" s="2">
        <v>48</v>
      </c>
      <c r="J2627" s="2" t="s">
        <v>48</v>
      </c>
      <c r="K2627" s="2" t="s">
        <v>6940</v>
      </c>
      <c r="L2627" s="2" t="s">
        <v>24</v>
      </c>
      <c r="M2627" s="2">
        <v>4</v>
      </c>
      <c r="N2627" s="2" t="s">
        <v>128</v>
      </c>
    </row>
    <row r="2628" spans="1:14" x14ac:dyDescent="0.25">
      <c r="A2628" s="2" t="s">
        <v>6941</v>
      </c>
      <c r="B2628" s="2" t="s">
        <v>6942</v>
      </c>
      <c r="C2628" s="2" t="s">
        <v>67</v>
      </c>
      <c r="D2628" s="2" t="s">
        <v>68</v>
      </c>
      <c r="E2628" s="2" t="s">
        <v>46</v>
      </c>
      <c r="F2628" s="2" t="s">
        <v>39</v>
      </c>
      <c r="G2628" s="2" t="s">
        <v>110</v>
      </c>
      <c r="H2628" s="2" t="s">
        <v>74</v>
      </c>
      <c r="I2628" s="2">
        <v>8</v>
      </c>
      <c r="J2628" s="2" t="s">
        <v>106</v>
      </c>
      <c r="K2628" s="2" t="s">
        <v>6943</v>
      </c>
      <c r="L2628" s="2" t="s">
        <v>24</v>
      </c>
      <c r="M2628" s="2"/>
      <c r="N2628" s="2"/>
    </row>
    <row r="2629" spans="1:14" x14ac:dyDescent="0.25">
      <c r="A2629" s="2" t="s">
        <v>6944</v>
      </c>
      <c r="B2629" s="2" t="s">
        <v>6945</v>
      </c>
      <c r="C2629" s="2" t="s">
        <v>28</v>
      </c>
      <c r="D2629" s="2" t="s">
        <v>100</v>
      </c>
      <c r="E2629" s="2" t="s">
        <v>46</v>
      </c>
      <c r="F2629" s="2" t="s">
        <v>113</v>
      </c>
      <c r="G2629" s="2" t="s">
        <v>97</v>
      </c>
      <c r="H2629" s="2" t="s">
        <v>74</v>
      </c>
      <c r="I2629" s="2">
        <v>8</v>
      </c>
      <c r="J2629" s="2" t="s">
        <v>187</v>
      </c>
      <c r="K2629" s="2" t="s">
        <v>6946</v>
      </c>
      <c r="L2629" s="2" t="s">
        <v>92</v>
      </c>
      <c r="M2629" s="2"/>
      <c r="N2629" s="2"/>
    </row>
    <row r="2630" spans="1:14" x14ac:dyDescent="0.25">
      <c r="A2630" s="2" t="s">
        <v>6947</v>
      </c>
      <c r="B2630" s="2" t="s">
        <v>6948</v>
      </c>
      <c r="C2630" s="2" t="s">
        <v>53</v>
      </c>
      <c r="D2630" s="2" t="s">
        <v>61</v>
      </c>
      <c r="E2630" s="2" t="s">
        <v>85</v>
      </c>
      <c r="F2630" s="2" t="s">
        <v>55</v>
      </c>
      <c r="G2630" s="2" t="s">
        <v>126</v>
      </c>
      <c r="H2630" s="2" t="s">
        <v>32</v>
      </c>
      <c r="I2630" s="2">
        <v>48</v>
      </c>
      <c r="J2630" s="2" t="s">
        <v>56</v>
      </c>
      <c r="K2630" s="2" t="s">
        <v>6949</v>
      </c>
      <c r="L2630" s="2" t="s">
        <v>24</v>
      </c>
      <c r="M2630" s="2"/>
      <c r="N2630" s="2" t="s">
        <v>58</v>
      </c>
    </row>
    <row r="2631" spans="1:14" x14ac:dyDescent="0.25">
      <c r="A2631" s="2" t="s">
        <v>4945</v>
      </c>
      <c r="B2631" s="2" t="s">
        <v>4946</v>
      </c>
      <c r="C2631" s="2" t="s">
        <v>53</v>
      </c>
      <c r="D2631" s="2" t="s">
        <v>54</v>
      </c>
      <c r="E2631" s="2" t="s">
        <v>79</v>
      </c>
      <c r="F2631" s="2" t="s">
        <v>47</v>
      </c>
      <c r="G2631" s="2" t="s">
        <v>139</v>
      </c>
      <c r="H2631" s="2" t="s">
        <v>21</v>
      </c>
      <c r="I2631" s="2">
        <v>24</v>
      </c>
      <c r="J2631" s="2" t="s">
        <v>155</v>
      </c>
      <c r="K2631" s="2"/>
      <c r="L2631" s="2" t="s">
        <v>24</v>
      </c>
      <c r="M2631" s="2"/>
      <c r="N2631" s="2"/>
    </row>
    <row r="2632" spans="1:14" x14ac:dyDescent="0.25">
      <c r="A2632" s="2" t="s">
        <v>6950</v>
      </c>
      <c r="B2632" s="2" t="s">
        <v>6951</v>
      </c>
      <c r="C2632" s="2" t="s">
        <v>67</v>
      </c>
      <c r="D2632" s="2" t="s">
        <v>68</v>
      </c>
      <c r="E2632" s="2" t="s">
        <v>18</v>
      </c>
      <c r="F2632" s="2" t="s">
        <v>131</v>
      </c>
      <c r="G2632" s="2" t="s">
        <v>97</v>
      </c>
      <c r="H2632" s="2" t="s">
        <v>21</v>
      </c>
      <c r="I2632" s="2">
        <v>24</v>
      </c>
      <c r="J2632" s="2" t="s">
        <v>106</v>
      </c>
      <c r="K2632" s="2" t="s">
        <v>6952</v>
      </c>
      <c r="L2632" s="2" t="s">
        <v>24</v>
      </c>
      <c r="M2632" s="2">
        <v>5</v>
      </c>
      <c r="N2632" s="2"/>
    </row>
    <row r="2633" spans="1:14" x14ac:dyDescent="0.25">
      <c r="A2633" s="2" t="s">
        <v>6953</v>
      </c>
      <c r="B2633" s="2" t="s">
        <v>6954</v>
      </c>
      <c r="C2633" s="2" t="s">
        <v>28</v>
      </c>
      <c r="D2633" s="2" t="s">
        <v>37</v>
      </c>
      <c r="E2633" s="2" t="s">
        <v>38</v>
      </c>
      <c r="F2633" s="2" t="s">
        <v>55</v>
      </c>
      <c r="G2633" s="2" t="s">
        <v>121</v>
      </c>
      <c r="H2633" s="2" t="s">
        <v>74</v>
      </c>
      <c r="I2633" s="2">
        <v>8</v>
      </c>
      <c r="J2633" s="2" t="s">
        <v>22</v>
      </c>
      <c r="K2633" s="2" t="s">
        <v>6955</v>
      </c>
      <c r="L2633" s="2" t="s">
        <v>24</v>
      </c>
      <c r="M2633" s="2">
        <v>5</v>
      </c>
      <c r="N2633" s="2" t="s">
        <v>58</v>
      </c>
    </row>
    <row r="2634" spans="1:14" x14ac:dyDescent="0.25">
      <c r="A2634" s="2" t="s">
        <v>6956</v>
      </c>
      <c r="B2634" s="2" t="s">
        <v>6957</v>
      </c>
      <c r="C2634" s="2" t="s">
        <v>28</v>
      </c>
      <c r="D2634" s="2" t="s">
        <v>100</v>
      </c>
      <c r="E2634" s="2" t="s">
        <v>85</v>
      </c>
      <c r="F2634" s="2" t="s">
        <v>96</v>
      </c>
      <c r="G2634" s="2" t="s">
        <v>70</v>
      </c>
      <c r="H2634" s="2" t="s">
        <v>32</v>
      </c>
      <c r="I2634" s="2">
        <v>48</v>
      </c>
      <c r="J2634" s="2" t="s">
        <v>191</v>
      </c>
      <c r="K2634" s="2" t="s">
        <v>6958</v>
      </c>
      <c r="L2634" s="2" t="s">
        <v>24</v>
      </c>
      <c r="M2634" s="2"/>
      <c r="N2634" s="2" t="s">
        <v>25</v>
      </c>
    </row>
    <row r="2635" spans="1:14" x14ac:dyDescent="0.25">
      <c r="A2635" s="2" t="s">
        <v>6959</v>
      </c>
      <c r="B2635" s="2" t="s">
        <v>6960</v>
      </c>
      <c r="C2635" s="2" t="s">
        <v>28</v>
      </c>
      <c r="D2635" s="2" t="s">
        <v>100</v>
      </c>
      <c r="E2635" s="2" t="s">
        <v>90</v>
      </c>
      <c r="F2635" s="2" t="s">
        <v>143</v>
      </c>
      <c r="G2635" s="2" t="s">
        <v>158</v>
      </c>
      <c r="H2635" s="2" t="s">
        <v>21</v>
      </c>
      <c r="I2635" s="2">
        <v>24</v>
      </c>
      <c r="J2635" s="2" t="s">
        <v>33</v>
      </c>
      <c r="K2635" s="2"/>
      <c r="L2635" s="2" t="s">
        <v>24</v>
      </c>
      <c r="M2635" s="2"/>
      <c r="N2635" s="2" t="s">
        <v>58</v>
      </c>
    </row>
    <row r="2636" spans="1:14" x14ac:dyDescent="0.25">
      <c r="A2636" s="2" t="s">
        <v>6961</v>
      </c>
      <c r="B2636" s="2" t="s">
        <v>6962</v>
      </c>
      <c r="C2636" s="2" t="s">
        <v>67</v>
      </c>
      <c r="D2636" s="2" t="s">
        <v>89</v>
      </c>
      <c r="E2636" s="2" t="s">
        <v>79</v>
      </c>
      <c r="F2636" s="2" t="s">
        <v>96</v>
      </c>
      <c r="G2636" s="2" t="s">
        <v>40</v>
      </c>
      <c r="H2636" s="2" t="s">
        <v>32</v>
      </c>
      <c r="I2636" s="2">
        <v>48</v>
      </c>
      <c r="J2636" s="2" t="s">
        <v>22</v>
      </c>
      <c r="K2636" s="2" t="s">
        <v>6963</v>
      </c>
      <c r="L2636" s="2" t="s">
        <v>24</v>
      </c>
      <c r="M2636" s="2">
        <v>3</v>
      </c>
      <c r="N2636" s="2" t="s">
        <v>43</v>
      </c>
    </row>
    <row r="2637" spans="1:14" x14ac:dyDescent="0.25">
      <c r="A2637" s="2" t="s">
        <v>6964</v>
      </c>
      <c r="B2637" s="2" t="s">
        <v>6965</v>
      </c>
      <c r="C2637" s="2" t="s">
        <v>53</v>
      </c>
      <c r="D2637" s="2" t="s">
        <v>61</v>
      </c>
      <c r="E2637" s="2" t="s">
        <v>90</v>
      </c>
      <c r="F2637" s="2" t="s">
        <v>125</v>
      </c>
      <c r="G2637" s="2" t="s">
        <v>31</v>
      </c>
      <c r="H2637" s="2" t="s">
        <v>74</v>
      </c>
      <c r="I2637" s="2">
        <v>8</v>
      </c>
      <c r="J2637" s="2" t="s">
        <v>48</v>
      </c>
      <c r="K2637" s="2" t="s">
        <v>6966</v>
      </c>
      <c r="L2637" s="2" t="s">
        <v>92</v>
      </c>
      <c r="M2637" s="2">
        <v>3</v>
      </c>
      <c r="N2637" s="2" t="s">
        <v>34</v>
      </c>
    </row>
    <row r="2638" spans="1:14" x14ac:dyDescent="0.25">
      <c r="A2638" s="2" t="s">
        <v>6967</v>
      </c>
      <c r="B2638" s="2" t="s">
        <v>6968</v>
      </c>
      <c r="C2638" s="2" t="s">
        <v>53</v>
      </c>
      <c r="D2638" s="2" t="s">
        <v>61</v>
      </c>
      <c r="E2638" s="2" t="s">
        <v>46</v>
      </c>
      <c r="F2638" s="2" t="s">
        <v>113</v>
      </c>
      <c r="G2638" s="2" t="s">
        <v>139</v>
      </c>
      <c r="H2638" s="2" t="s">
        <v>21</v>
      </c>
      <c r="I2638" s="2">
        <v>24</v>
      </c>
      <c r="J2638" s="2" t="s">
        <v>200</v>
      </c>
      <c r="K2638" s="2"/>
      <c r="L2638" s="2" t="s">
        <v>92</v>
      </c>
      <c r="M2638" s="2"/>
      <c r="N2638" s="2" t="s">
        <v>25</v>
      </c>
    </row>
    <row r="2639" spans="1:14" x14ac:dyDescent="0.25">
      <c r="A2639" s="2" t="s">
        <v>6969</v>
      </c>
      <c r="B2639" s="2" t="s">
        <v>6970</v>
      </c>
      <c r="C2639" s="2" t="s">
        <v>67</v>
      </c>
      <c r="D2639" s="2" t="s">
        <v>95</v>
      </c>
      <c r="E2639" s="2" t="s">
        <v>85</v>
      </c>
      <c r="F2639" s="2" t="s">
        <v>47</v>
      </c>
      <c r="G2639" s="2" t="s">
        <v>97</v>
      </c>
      <c r="H2639" s="2" t="s">
        <v>21</v>
      </c>
      <c r="I2639" s="2">
        <v>24</v>
      </c>
      <c r="J2639" s="2" t="s">
        <v>106</v>
      </c>
      <c r="K2639" s="2" t="s">
        <v>6971</v>
      </c>
      <c r="L2639" s="2" t="s">
        <v>24</v>
      </c>
      <c r="M2639" s="2"/>
      <c r="N2639" s="2" t="s">
        <v>43</v>
      </c>
    </row>
    <row r="2640" spans="1:14" x14ac:dyDescent="0.25">
      <c r="A2640" s="2" t="s">
        <v>6972</v>
      </c>
      <c r="B2640" s="2" t="s">
        <v>6973</v>
      </c>
      <c r="C2640" s="2" t="s">
        <v>16</v>
      </c>
      <c r="D2640" s="2" t="s">
        <v>17</v>
      </c>
      <c r="E2640" s="2" t="s">
        <v>148</v>
      </c>
      <c r="F2640" s="2" t="s">
        <v>113</v>
      </c>
      <c r="G2640" s="2" t="s">
        <v>135</v>
      </c>
      <c r="H2640" s="2" t="s">
        <v>74</v>
      </c>
      <c r="I2640" s="2">
        <v>8</v>
      </c>
      <c r="J2640" s="2" t="s">
        <v>41</v>
      </c>
      <c r="K2640" s="2" t="s">
        <v>6974</v>
      </c>
      <c r="L2640" s="2" t="s">
        <v>24</v>
      </c>
      <c r="M2640" s="2">
        <v>4</v>
      </c>
      <c r="N2640" s="2" t="s">
        <v>118</v>
      </c>
    </row>
    <row r="2641" spans="1:14" x14ac:dyDescent="0.25">
      <c r="A2641" s="2" t="s">
        <v>6975</v>
      </c>
      <c r="B2641" s="2" t="s">
        <v>6976</v>
      </c>
      <c r="C2641" s="2" t="s">
        <v>67</v>
      </c>
      <c r="D2641" s="2" t="s">
        <v>95</v>
      </c>
      <c r="E2641" s="2" t="s">
        <v>85</v>
      </c>
      <c r="F2641" s="2" t="s">
        <v>125</v>
      </c>
      <c r="G2641" s="2" t="s">
        <v>31</v>
      </c>
      <c r="H2641" s="2" t="s">
        <v>74</v>
      </c>
      <c r="I2641" s="2">
        <v>8</v>
      </c>
      <c r="J2641" s="2" t="s">
        <v>187</v>
      </c>
      <c r="K2641" s="2" t="s">
        <v>6977</v>
      </c>
      <c r="L2641" s="2" t="s">
        <v>24</v>
      </c>
      <c r="M2641" s="2"/>
      <c r="N2641" s="2" t="s">
        <v>58</v>
      </c>
    </row>
    <row r="2642" spans="1:14" x14ac:dyDescent="0.25">
      <c r="A2642" s="2" t="s">
        <v>6978</v>
      </c>
      <c r="B2642" s="2" t="s">
        <v>6979</v>
      </c>
      <c r="C2642" s="2" t="s">
        <v>16</v>
      </c>
      <c r="D2642" s="2" t="s">
        <v>17</v>
      </c>
      <c r="E2642" s="2" t="s">
        <v>18</v>
      </c>
      <c r="F2642" s="2" t="s">
        <v>69</v>
      </c>
      <c r="G2642" s="2" t="s">
        <v>70</v>
      </c>
      <c r="H2642" s="2" t="s">
        <v>80</v>
      </c>
      <c r="I2642" s="2">
        <v>4</v>
      </c>
      <c r="J2642" s="2" t="s">
        <v>106</v>
      </c>
      <c r="K2642" s="2" t="s">
        <v>6980</v>
      </c>
      <c r="L2642" s="2" t="s">
        <v>24</v>
      </c>
      <c r="M2642" s="2"/>
      <c r="N2642" s="2" t="s">
        <v>25</v>
      </c>
    </row>
    <row r="2643" spans="1:14" x14ac:dyDescent="0.25">
      <c r="A2643" s="2" t="s">
        <v>6981</v>
      </c>
      <c r="B2643" s="2" t="s">
        <v>6982</v>
      </c>
      <c r="C2643" s="2" t="s">
        <v>67</v>
      </c>
      <c r="D2643" s="2" t="s">
        <v>95</v>
      </c>
      <c r="E2643" s="2" t="s">
        <v>85</v>
      </c>
      <c r="F2643" s="2" t="s">
        <v>69</v>
      </c>
      <c r="G2643" s="2" t="s">
        <v>139</v>
      </c>
      <c r="H2643" s="2" t="s">
        <v>80</v>
      </c>
      <c r="I2643" s="2">
        <v>4</v>
      </c>
      <c r="J2643" s="2" t="s">
        <v>48</v>
      </c>
      <c r="K2643" s="2" t="s">
        <v>6983</v>
      </c>
      <c r="L2643" s="2" t="s">
        <v>24</v>
      </c>
      <c r="M2643" s="2">
        <v>3</v>
      </c>
      <c r="N2643" s="2" t="s">
        <v>50</v>
      </c>
    </row>
    <row r="2644" spans="1:14" x14ac:dyDescent="0.25">
      <c r="A2644" s="2" t="s">
        <v>6984</v>
      </c>
      <c r="B2644" s="2" t="s">
        <v>6985</v>
      </c>
      <c r="C2644" s="2" t="s">
        <v>67</v>
      </c>
      <c r="D2644" s="2" t="s">
        <v>68</v>
      </c>
      <c r="E2644" s="2" t="s">
        <v>90</v>
      </c>
      <c r="F2644" s="2" t="s">
        <v>19</v>
      </c>
      <c r="G2644" s="2" t="s">
        <v>91</v>
      </c>
      <c r="H2644" s="2" t="s">
        <v>32</v>
      </c>
      <c r="I2644" s="2">
        <v>48</v>
      </c>
      <c r="J2644" s="2" t="s">
        <v>200</v>
      </c>
      <c r="K2644" s="2"/>
      <c r="L2644" s="2" t="s">
        <v>92</v>
      </c>
      <c r="M2644" s="2"/>
      <c r="N2644" s="2"/>
    </row>
    <row r="2645" spans="1:14" x14ac:dyDescent="0.25">
      <c r="A2645" s="2" t="s">
        <v>6986</v>
      </c>
      <c r="B2645" s="2" t="s">
        <v>6987</v>
      </c>
      <c r="C2645" s="2" t="s">
        <v>16</v>
      </c>
      <c r="D2645" s="2" t="s">
        <v>765</v>
      </c>
      <c r="E2645" s="2" t="s">
        <v>46</v>
      </c>
      <c r="F2645" s="2" t="s">
        <v>113</v>
      </c>
      <c r="G2645" s="2" t="s">
        <v>179</v>
      </c>
      <c r="H2645" s="2" t="s">
        <v>32</v>
      </c>
      <c r="I2645" s="2">
        <v>48</v>
      </c>
      <c r="J2645" s="2" t="s">
        <v>22</v>
      </c>
      <c r="K2645" s="2" t="s">
        <v>6988</v>
      </c>
      <c r="L2645" s="2" t="s">
        <v>24</v>
      </c>
      <c r="M2645" s="2">
        <v>5</v>
      </c>
      <c r="N2645" s="2" t="s">
        <v>128</v>
      </c>
    </row>
    <row r="2646" spans="1:14" x14ac:dyDescent="0.25">
      <c r="A2646" s="2" t="s">
        <v>6989</v>
      </c>
      <c r="B2646" s="2" t="s">
        <v>6990</v>
      </c>
      <c r="C2646" s="2" t="s">
        <v>16</v>
      </c>
      <c r="D2646" s="2" t="s">
        <v>84</v>
      </c>
      <c r="E2646" s="2" t="s">
        <v>148</v>
      </c>
      <c r="F2646" s="2" t="s">
        <v>47</v>
      </c>
      <c r="G2646" s="2" t="s">
        <v>183</v>
      </c>
      <c r="H2646" s="2" t="s">
        <v>21</v>
      </c>
      <c r="I2646" s="2">
        <v>24</v>
      </c>
      <c r="J2646" s="2" t="s">
        <v>33</v>
      </c>
      <c r="K2646" s="2"/>
      <c r="L2646" s="2" t="s">
        <v>24</v>
      </c>
      <c r="M2646" s="2"/>
      <c r="N2646" s="2"/>
    </row>
    <row r="2647" spans="1:14" x14ac:dyDescent="0.25">
      <c r="A2647" s="2" t="s">
        <v>6991</v>
      </c>
      <c r="B2647" s="2" t="s">
        <v>6992</v>
      </c>
      <c r="C2647" s="2" t="s">
        <v>53</v>
      </c>
      <c r="D2647" s="2" t="s">
        <v>54</v>
      </c>
      <c r="E2647" s="2" t="s">
        <v>79</v>
      </c>
      <c r="F2647" s="2" t="s">
        <v>39</v>
      </c>
      <c r="G2647" s="2" t="s">
        <v>121</v>
      </c>
      <c r="H2647" s="2" t="s">
        <v>74</v>
      </c>
      <c r="I2647" s="2">
        <v>8</v>
      </c>
      <c r="J2647" s="2" t="s">
        <v>232</v>
      </c>
      <c r="K2647" s="2"/>
      <c r="L2647" s="2" t="s">
        <v>92</v>
      </c>
      <c r="M2647" s="2"/>
      <c r="N2647" s="2" t="s">
        <v>58</v>
      </c>
    </row>
    <row r="2648" spans="1:14" x14ac:dyDescent="0.25">
      <c r="A2648" s="2" t="s">
        <v>6993</v>
      </c>
      <c r="B2648" s="2" t="s">
        <v>6994</v>
      </c>
      <c r="C2648" s="2" t="s">
        <v>28</v>
      </c>
      <c r="D2648" s="2" t="s">
        <v>37</v>
      </c>
      <c r="E2648" s="2" t="s">
        <v>90</v>
      </c>
      <c r="F2648" s="2" t="s">
        <v>131</v>
      </c>
      <c r="G2648" s="2" t="s">
        <v>105</v>
      </c>
      <c r="H2648" s="2" t="s">
        <v>21</v>
      </c>
      <c r="I2648" s="2">
        <v>24</v>
      </c>
      <c r="J2648" s="2" t="s">
        <v>22</v>
      </c>
      <c r="K2648" s="2" t="s">
        <v>6995</v>
      </c>
      <c r="L2648" s="2" t="s">
        <v>92</v>
      </c>
      <c r="M2648" s="2"/>
      <c r="N2648" s="2" t="s">
        <v>50</v>
      </c>
    </row>
    <row r="2649" spans="1:14" x14ac:dyDescent="0.25">
      <c r="A2649" s="2" t="s">
        <v>6996</v>
      </c>
      <c r="B2649" s="2" t="s">
        <v>6997</v>
      </c>
      <c r="C2649" s="2" t="s">
        <v>28</v>
      </c>
      <c r="D2649" s="2" t="s">
        <v>37</v>
      </c>
      <c r="E2649" s="2" t="s">
        <v>79</v>
      </c>
      <c r="F2649" s="2" t="s">
        <v>69</v>
      </c>
      <c r="G2649" s="2" t="s">
        <v>121</v>
      </c>
      <c r="H2649" s="2" t="s">
        <v>32</v>
      </c>
      <c r="I2649" s="2">
        <v>48</v>
      </c>
      <c r="J2649" s="2" t="s">
        <v>48</v>
      </c>
      <c r="K2649" s="2" t="s">
        <v>6998</v>
      </c>
      <c r="L2649" s="2" t="s">
        <v>24</v>
      </c>
      <c r="M2649" s="2">
        <v>5</v>
      </c>
      <c r="N2649" s="2" t="s">
        <v>50</v>
      </c>
    </row>
    <row r="2650" spans="1:14" x14ac:dyDescent="0.25">
      <c r="A2650" s="2" t="s">
        <v>6999</v>
      </c>
      <c r="B2650" s="2" t="s">
        <v>6282</v>
      </c>
      <c r="C2650" s="2" t="s">
        <v>53</v>
      </c>
      <c r="D2650" s="2" t="s">
        <v>61</v>
      </c>
      <c r="E2650" s="2" t="s">
        <v>148</v>
      </c>
      <c r="F2650" s="2" t="s">
        <v>62</v>
      </c>
      <c r="G2650" s="2" t="s">
        <v>144</v>
      </c>
      <c r="H2650" s="2" t="s">
        <v>80</v>
      </c>
      <c r="I2650" s="2">
        <v>4</v>
      </c>
      <c r="J2650" s="2" t="s">
        <v>75</v>
      </c>
      <c r="K2650" s="2" t="s">
        <v>7000</v>
      </c>
      <c r="L2650" s="2" t="s">
        <v>24</v>
      </c>
      <c r="M2650" s="2">
        <v>5</v>
      </c>
      <c r="N2650" s="2" t="s">
        <v>25</v>
      </c>
    </row>
    <row r="2651" spans="1:14" x14ac:dyDescent="0.25">
      <c r="A2651" s="2" t="s">
        <v>7001</v>
      </c>
      <c r="B2651" s="2" t="s">
        <v>7002</v>
      </c>
      <c r="C2651" s="2" t="s">
        <v>28</v>
      </c>
      <c r="D2651" s="2" t="s">
        <v>100</v>
      </c>
      <c r="E2651" s="2" t="s">
        <v>148</v>
      </c>
      <c r="F2651" s="2" t="s">
        <v>47</v>
      </c>
      <c r="G2651" s="2" t="s">
        <v>31</v>
      </c>
      <c r="H2651" s="2" t="s">
        <v>32</v>
      </c>
      <c r="I2651" s="2">
        <v>48</v>
      </c>
      <c r="J2651" s="2" t="s">
        <v>117</v>
      </c>
      <c r="K2651" s="2"/>
      <c r="L2651" s="2" t="s">
        <v>24</v>
      </c>
      <c r="M2651" s="2"/>
      <c r="N2651" s="2" t="s">
        <v>34</v>
      </c>
    </row>
    <row r="2652" spans="1:14" x14ac:dyDescent="0.25">
      <c r="A2652" s="2" t="s">
        <v>7003</v>
      </c>
      <c r="B2652" s="2" t="s">
        <v>7004</v>
      </c>
      <c r="C2652" s="2" t="s">
        <v>16</v>
      </c>
      <c r="D2652" s="2" t="s">
        <v>84</v>
      </c>
      <c r="E2652" s="2" t="s">
        <v>85</v>
      </c>
      <c r="F2652" s="2" t="s">
        <v>39</v>
      </c>
      <c r="G2652" s="2" t="s">
        <v>40</v>
      </c>
      <c r="H2652" s="2" t="s">
        <v>74</v>
      </c>
      <c r="I2652" s="2">
        <v>8</v>
      </c>
      <c r="J2652" s="2" t="s">
        <v>22</v>
      </c>
      <c r="K2652" s="2" t="s">
        <v>7005</v>
      </c>
      <c r="L2652" s="2" t="s">
        <v>24</v>
      </c>
      <c r="M2652" s="2">
        <v>4</v>
      </c>
      <c r="N2652" s="2" t="s">
        <v>34</v>
      </c>
    </row>
    <row r="2653" spans="1:14" x14ac:dyDescent="0.25">
      <c r="A2653" s="2" t="s">
        <v>7006</v>
      </c>
      <c r="B2653" s="2" t="s">
        <v>7007</v>
      </c>
      <c r="C2653" s="2" t="s">
        <v>53</v>
      </c>
      <c r="D2653" s="2" t="s">
        <v>61</v>
      </c>
      <c r="E2653" s="2" t="s">
        <v>18</v>
      </c>
      <c r="F2653" s="2" t="s">
        <v>55</v>
      </c>
      <c r="G2653" s="2" t="s">
        <v>139</v>
      </c>
      <c r="H2653" s="2" t="s">
        <v>74</v>
      </c>
      <c r="I2653" s="2">
        <v>8</v>
      </c>
      <c r="J2653" s="2" t="s">
        <v>41</v>
      </c>
      <c r="K2653" s="2" t="s">
        <v>7008</v>
      </c>
      <c r="L2653" s="2" t="s">
        <v>24</v>
      </c>
      <c r="M2653" s="2">
        <v>5</v>
      </c>
      <c r="N2653" s="2" t="s">
        <v>50</v>
      </c>
    </row>
    <row r="2654" spans="1:14" x14ac:dyDescent="0.25">
      <c r="A2654" s="2" t="s">
        <v>7009</v>
      </c>
      <c r="B2654" s="2" t="s">
        <v>7010</v>
      </c>
      <c r="C2654" s="2" t="s">
        <v>28</v>
      </c>
      <c r="D2654" s="2" t="s">
        <v>100</v>
      </c>
      <c r="E2654" s="2" t="s">
        <v>148</v>
      </c>
      <c r="F2654" s="2" t="s">
        <v>30</v>
      </c>
      <c r="G2654" s="2" t="s">
        <v>40</v>
      </c>
      <c r="H2654" s="2" t="s">
        <v>21</v>
      </c>
      <c r="I2654" s="2">
        <v>24</v>
      </c>
      <c r="J2654" s="2" t="s">
        <v>33</v>
      </c>
      <c r="K2654" s="2"/>
      <c r="L2654" s="2" t="s">
        <v>24</v>
      </c>
      <c r="M2654" s="2"/>
      <c r="N2654" s="2" t="s">
        <v>50</v>
      </c>
    </row>
    <row r="2655" spans="1:14" x14ac:dyDescent="0.25">
      <c r="A2655" s="2" t="s">
        <v>7011</v>
      </c>
      <c r="B2655" s="2" t="s">
        <v>7012</v>
      </c>
      <c r="C2655" s="2" t="s">
        <v>53</v>
      </c>
      <c r="D2655" s="2" t="s">
        <v>54</v>
      </c>
      <c r="E2655" s="2" t="s">
        <v>38</v>
      </c>
      <c r="F2655" s="2" t="s">
        <v>47</v>
      </c>
      <c r="G2655" s="2" t="s">
        <v>144</v>
      </c>
      <c r="H2655" s="2" t="s">
        <v>21</v>
      </c>
      <c r="I2655" s="2">
        <v>24</v>
      </c>
      <c r="J2655" s="2" t="s">
        <v>149</v>
      </c>
      <c r="K2655" s="2"/>
      <c r="L2655" s="2" t="s">
        <v>24</v>
      </c>
      <c r="M2655" s="2"/>
      <c r="N2655" s="2" t="s">
        <v>25</v>
      </c>
    </row>
    <row r="2656" spans="1:14" x14ac:dyDescent="0.25">
      <c r="A2656" s="2" t="s">
        <v>7013</v>
      </c>
      <c r="B2656" s="2" t="s">
        <v>7014</v>
      </c>
      <c r="C2656" s="2" t="s">
        <v>67</v>
      </c>
      <c r="D2656" s="2" t="s">
        <v>95</v>
      </c>
      <c r="E2656" s="2" t="s">
        <v>90</v>
      </c>
      <c r="F2656" s="2" t="s">
        <v>62</v>
      </c>
      <c r="G2656" s="2" t="s">
        <v>158</v>
      </c>
      <c r="H2656" s="2" t="s">
        <v>32</v>
      </c>
      <c r="I2656" s="2">
        <v>48</v>
      </c>
      <c r="J2656" s="2" t="s">
        <v>232</v>
      </c>
      <c r="K2656" s="2"/>
      <c r="L2656" s="2" t="s">
        <v>92</v>
      </c>
      <c r="M2656" s="2"/>
      <c r="N2656" s="2" t="s">
        <v>58</v>
      </c>
    </row>
    <row r="2657" spans="1:14" x14ac:dyDescent="0.25">
      <c r="A2657" s="2" t="s">
        <v>2131</v>
      </c>
      <c r="B2657" s="2" t="s">
        <v>2132</v>
      </c>
      <c r="C2657" s="2" t="s">
        <v>53</v>
      </c>
      <c r="D2657" s="2" t="s">
        <v>61</v>
      </c>
      <c r="E2657" s="2" t="s">
        <v>90</v>
      </c>
      <c r="F2657" s="2" t="s">
        <v>62</v>
      </c>
      <c r="G2657" s="2" t="s">
        <v>97</v>
      </c>
      <c r="H2657" s="2" t="s">
        <v>21</v>
      </c>
      <c r="I2657" s="2">
        <v>24</v>
      </c>
      <c r="J2657" s="2" t="s">
        <v>155</v>
      </c>
      <c r="K2657" s="2"/>
      <c r="L2657" s="2" t="s">
        <v>24</v>
      </c>
      <c r="M2657" s="2"/>
      <c r="N2657" s="2" t="s">
        <v>64</v>
      </c>
    </row>
    <row r="2658" spans="1:14" x14ac:dyDescent="0.25">
      <c r="A2658" s="2" t="s">
        <v>7015</v>
      </c>
      <c r="B2658" s="2" t="s">
        <v>7016</v>
      </c>
      <c r="C2658" s="2" t="s">
        <v>67</v>
      </c>
      <c r="D2658" s="2" t="s">
        <v>68</v>
      </c>
      <c r="E2658" s="2" t="s">
        <v>85</v>
      </c>
      <c r="F2658" s="2" t="s">
        <v>19</v>
      </c>
      <c r="G2658" s="2" t="s">
        <v>70</v>
      </c>
      <c r="H2658" s="2" t="s">
        <v>80</v>
      </c>
      <c r="I2658" s="2">
        <v>4</v>
      </c>
      <c r="J2658" s="2" t="s">
        <v>48</v>
      </c>
      <c r="K2658" s="2" t="s">
        <v>7017</v>
      </c>
      <c r="L2658" s="2" t="s">
        <v>24</v>
      </c>
      <c r="M2658" s="2">
        <v>5</v>
      </c>
      <c r="N2658" s="2" t="s">
        <v>34</v>
      </c>
    </row>
    <row r="2659" spans="1:14" x14ac:dyDescent="0.25">
      <c r="A2659" s="2" t="s">
        <v>7018</v>
      </c>
      <c r="B2659" s="2" t="s">
        <v>7019</v>
      </c>
      <c r="C2659" s="2" t="s">
        <v>53</v>
      </c>
      <c r="D2659" s="2" t="s">
        <v>54</v>
      </c>
      <c r="E2659" s="2" t="s">
        <v>46</v>
      </c>
      <c r="F2659" s="2" t="s">
        <v>55</v>
      </c>
      <c r="G2659" s="2" t="s">
        <v>40</v>
      </c>
      <c r="H2659" s="2" t="s">
        <v>32</v>
      </c>
      <c r="I2659" s="2">
        <v>48</v>
      </c>
      <c r="J2659" s="2" t="s">
        <v>106</v>
      </c>
      <c r="K2659" s="2" t="s">
        <v>7020</v>
      </c>
      <c r="L2659" s="2" t="s">
        <v>24</v>
      </c>
      <c r="M2659" s="2"/>
      <c r="N2659" s="2"/>
    </row>
    <row r="2660" spans="1:14" x14ac:dyDescent="0.25">
      <c r="A2660" s="2" t="s">
        <v>7021</v>
      </c>
      <c r="B2660" s="2" t="s">
        <v>7022</v>
      </c>
      <c r="C2660" s="2" t="s">
        <v>53</v>
      </c>
      <c r="D2660" s="2" t="s">
        <v>61</v>
      </c>
      <c r="E2660" s="2" t="s">
        <v>90</v>
      </c>
      <c r="F2660" s="2" t="s">
        <v>96</v>
      </c>
      <c r="G2660" s="2" t="s">
        <v>158</v>
      </c>
      <c r="H2660" s="2" t="s">
        <v>80</v>
      </c>
      <c r="I2660" s="2">
        <v>4</v>
      </c>
      <c r="J2660" s="2" t="s">
        <v>41</v>
      </c>
      <c r="K2660" s="2" t="s">
        <v>7023</v>
      </c>
      <c r="L2660" s="2" t="s">
        <v>24</v>
      </c>
      <c r="M2660" s="2">
        <v>3</v>
      </c>
      <c r="N2660" s="2" t="s">
        <v>118</v>
      </c>
    </row>
    <row r="2661" spans="1:14" x14ac:dyDescent="0.25">
      <c r="A2661" s="2" t="s">
        <v>7024</v>
      </c>
      <c r="B2661" s="2" t="s">
        <v>7025</v>
      </c>
      <c r="C2661" s="2" t="s">
        <v>67</v>
      </c>
      <c r="D2661" s="2" t="s">
        <v>68</v>
      </c>
      <c r="E2661" s="2" t="s">
        <v>79</v>
      </c>
      <c r="F2661" s="2" t="s">
        <v>113</v>
      </c>
      <c r="G2661" s="2" t="s">
        <v>135</v>
      </c>
      <c r="H2661" s="2" t="s">
        <v>80</v>
      </c>
      <c r="I2661" s="2">
        <v>4</v>
      </c>
      <c r="J2661" s="2" t="s">
        <v>106</v>
      </c>
      <c r="K2661" s="2" t="s">
        <v>7026</v>
      </c>
      <c r="L2661" s="2" t="s">
        <v>24</v>
      </c>
      <c r="M2661" s="2">
        <v>3</v>
      </c>
      <c r="N2661" s="2" t="s">
        <v>128</v>
      </c>
    </row>
    <row r="2662" spans="1:14" x14ac:dyDescent="0.25">
      <c r="A2662" s="2" t="s">
        <v>7027</v>
      </c>
      <c r="B2662" s="2" t="s">
        <v>7028</v>
      </c>
      <c r="C2662" s="2" t="s">
        <v>28</v>
      </c>
      <c r="D2662" s="2" t="s">
        <v>100</v>
      </c>
      <c r="E2662" s="2" t="s">
        <v>38</v>
      </c>
      <c r="F2662" s="2" t="s">
        <v>69</v>
      </c>
      <c r="G2662" s="2" t="s">
        <v>31</v>
      </c>
      <c r="H2662" s="2" t="s">
        <v>32</v>
      </c>
      <c r="I2662" s="2">
        <v>48</v>
      </c>
      <c r="J2662" s="2" t="s">
        <v>48</v>
      </c>
      <c r="K2662" s="2" t="s">
        <v>7029</v>
      </c>
      <c r="L2662" s="2" t="s">
        <v>24</v>
      </c>
      <c r="M2662" s="2">
        <v>2</v>
      </c>
      <c r="N2662" s="2" t="s">
        <v>50</v>
      </c>
    </row>
    <row r="2663" spans="1:14" x14ac:dyDescent="0.25">
      <c r="A2663" s="2" t="s">
        <v>7030</v>
      </c>
      <c r="B2663" s="2" t="s">
        <v>7031</v>
      </c>
      <c r="C2663" s="2" t="s">
        <v>16</v>
      </c>
      <c r="D2663" s="2" t="s">
        <v>84</v>
      </c>
      <c r="E2663" s="2" t="s">
        <v>79</v>
      </c>
      <c r="F2663" s="2" t="s">
        <v>96</v>
      </c>
      <c r="G2663" s="2" t="s">
        <v>179</v>
      </c>
      <c r="H2663" s="2" t="s">
        <v>21</v>
      </c>
      <c r="I2663" s="2">
        <v>24</v>
      </c>
      <c r="J2663" s="2" t="s">
        <v>48</v>
      </c>
      <c r="K2663" s="2" t="s">
        <v>7032</v>
      </c>
      <c r="L2663" s="2" t="s">
        <v>24</v>
      </c>
      <c r="M2663" s="2"/>
      <c r="N2663" s="2" t="s">
        <v>118</v>
      </c>
    </row>
    <row r="2664" spans="1:14" x14ac:dyDescent="0.25">
      <c r="A2664" s="2" t="s">
        <v>7033</v>
      </c>
      <c r="B2664" s="2" t="s">
        <v>7034</v>
      </c>
      <c r="C2664" s="2" t="s">
        <v>16</v>
      </c>
      <c r="D2664" s="2" t="s">
        <v>17</v>
      </c>
      <c r="E2664" s="2" t="s">
        <v>79</v>
      </c>
      <c r="F2664" s="2" t="s">
        <v>19</v>
      </c>
      <c r="G2664" s="2" t="s">
        <v>144</v>
      </c>
      <c r="H2664" s="2" t="s">
        <v>32</v>
      </c>
      <c r="I2664" s="2">
        <v>48</v>
      </c>
      <c r="J2664" s="2" t="s">
        <v>106</v>
      </c>
      <c r="K2664" s="2" t="s">
        <v>7035</v>
      </c>
      <c r="L2664" s="2" t="s">
        <v>24</v>
      </c>
      <c r="M2664" s="2">
        <v>3</v>
      </c>
      <c r="N2664" s="2" t="s">
        <v>118</v>
      </c>
    </row>
    <row r="2665" spans="1:14" x14ac:dyDescent="0.25">
      <c r="A2665" s="2" t="s">
        <v>7036</v>
      </c>
      <c r="B2665" s="2" t="s">
        <v>7037</v>
      </c>
      <c r="C2665" s="2" t="s">
        <v>16</v>
      </c>
      <c r="D2665" s="2" t="s">
        <v>84</v>
      </c>
      <c r="E2665" s="2" t="s">
        <v>79</v>
      </c>
      <c r="F2665" s="2" t="s">
        <v>47</v>
      </c>
      <c r="G2665" s="2" t="s">
        <v>179</v>
      </c>
      <c r="H2665" s="2" t="s">
        <v>32</v>
      </c>
      <c r="I2665" s="2">
        <v>48</v>
      </c>
      <c r="J2665" s="2" t="s">
        <v>117</v>
      </c>
      <c r="K2665" s="2"/>
      <c r="L2665" s="2" t="s">
        <v>24</v>
      </c>
      <c r="M2665" s="2"/>
      <c r="N2665" s="2" t="s">
        <v>34</v>
      </c>
    </row>
    <row r="2666" spans="1:14" x14ac:dyDescent="0.25">
      <c r="A2666" s="2" t="s">
        <v>7038</v>
      </c>
      <c r="B2666" s="2" t="s">
        <v>7039</v>
      </c>
      <c r="C2666" s="2" t="s">
        <v>53</v>
      </c>
      <c r="D2666" s="2" t="s">
        <v>61</v>
      </c>
      <c r="E2666" s="2" t="s">
        <v>148</v>
      </c>
      <c r="F2666" s="2" t="s">
        <v>96</v>
      </c>
      <c r="G2666" s="2" t="s">
        <v>135</v>
      </c>
      <c r="H2666" s="2" t="s">
        <v>21</v>
      </c>
      <c r="I2666" s="2">
        <v>24</v>
      </c>
      <c r="J2666" s="2" t="s">
        <v>22</v>
      </c>
      <c r="K2666" s="2" t="s">
        <v>7040</v>
      </c>
      <c r="L2666" s="2" t="s">
        <v>24</v>
      </c>
      <c r="M2666" s="2">
        <v>1</v>
      </c>
      <c r="N2666" s="2" t="s">
        <v>34</v>
      </c>
    </row>
    <row r="2667" spans="1:14" x14ac:dyDescent="0.25">
      <c r="A2667" s="2" t="s">
        <v>7041</v>
      </c>
      <c r="B2667" s="2" t="s">
        <v>7042</v>
      </c>
      <c r="C2667" s="2" t="s">
        <v>67</v>
      </c>
      <c r="D2667" s="2" t="s">
        <v>95</v>
      </c>
      <c r="E2667" s="2" t="s">
        <v>38</v>
      </c>
      <c r="F2667" s="2" t="s">
        <v>96</v>
      </c>
      <c r="G2667" s="2" t="s">
        <v>126</v>
      </c>
      <c r="H2667" s="2" t="s">
        <v>21</v>
      </c>
      <c r="I2667" s="2">
        <v>24</v>
      </c>
      <c r="J2667" s="2" t="s">
        <v>22</v>
      </c>
      <c r="K2667" s="2" t="s">
        <v>7043</v>
      </c>
      <c r="L2667" s="2" t="s">
        <v>24</v>
      </c>
      <c r="M2667" s="2">
        <v>1</v>
      </c>
      <c r="N2667" s="2" t="s">
        <v>25</v>
      </c>
    </row>
    <row r="2668" spans="1:14" x14ac:dyDescent="0.25">
      <c r="A2668" s="2" t="s">
        <v>7044</v>
      </c>
      <c r="B2668" s="2" t="s">
        <v>7045</v>
      </c>
      <c r="C2668" s="2" t="s">
        <v>16</v>
      </c>
      <c r="D2668" s="2" t="s">
        <v>17</v>
      </c>
      <c r="E2668" s="2" t="s">
        <v>85</v>
      </c>
      <c r="F2668" s="2" t="s">
        <v>96</v>
      </c>
      <c r="G2668" s="2" t="s">
        <v>135</v>
      </c>
      <c r="H2668" s="2" t="s">
        <v>21</v>
      </c>
      <c r="I2668" s="2">
        <v>24</v>
      </c>
      <c r="J2668" s="2" t="s">
        <v>187</v>
      </c>
      <c r="K2668" s="2" t="s">
        <v>7046</v>
      </c>
      <c r="L2668" s="2" t="s">
        <v>24</v>
      </c>
      <c r="M2668" s="2">
        <v>2</v>
      </c>
      <c r="N2668" s="2" t="s">
        <v>50</v>
      </c>
    </row>
    <row r="2669" spans="1:14" x14ac:dyDescent="0.25">
      <c r="A2669" s="2" t="s">
        <v>7047</v>
      </c>
      <c r="B2669" s="2" t="s">
        <v>7048</v>
      </c>
      <c r="C2669" s="2" t="s">
        <v>16</v>
      </c>
      <c r="D2669" s="2" t="s">
        <v>84</v>
      </c>
      <c r="E2669" s="2" t="s">
        <v>90</v>
      </c>
      <c r="F2669" s="2" t="s">
        <v>143</v>
      </c>
      <c r="G2669" s="2" t="s">
        <v>101</v>
      </c>
      <c r="H2669" s="2" t="s">
        <v>74</v>
      </c>
      <c r="I2669" s="2">
        <v>8</v>
      </c>
      <c r="J2669" s="2" t="s">
        <v>187</v>
      </c>
      <c r="K2669" s="2" t="s">
        <v>7049</v>
      </c>
      <c r="L2669" s="2" t="s">
        <v>24</v>
      </c>
      <c r="M2669" s="2"/>
      <c r="N2669" s="2" t="s">
        <v>64</v>
      </c>
    </row>
    <row r="2670" spans="1:14" x14ac:dyDescent="0.25">
      <c r="A2670" s="2" t="s">
        <v>7050</v>
      </c>
      <c r="B2670" s="2" t="s">
        <v>7051</v>
      </c>
      <c r="C2670" s="2" t="s">
        <v>67</v>
      </c>
      <c r="D2670" s="2" t="s">
        <v>68</v>
      </c>
      <c r="E2670" s="2" t="s">
        <v>85</v>
      </c>
      <c r="F2670" s="2" t="s">
        <v>131</v>
      </c>
      <c r="G2670" s="2" t="s">
        <v>20</v>
      </c>
      <c r="H2670" s="2" t="s">
        <v>74</v>
      </c>
      <c r="I2670" s="2">
        <v>8</v>
      </c>
      <c r="J2670" s="2" t="s">
        <v>106</v>
      </c>
      <c r="K2670" s="2" t="s">
        <v>7052</v>
      </c>
      <c r="L2670" s="2" t="s">
        <v>24</v>
      </c>
      <c r="M2670" s="2">
        <v>3</v>
      </c>
      <c r="N2670" s="2"/>
    </row>
    <row r="2671" spans="1:14" x14ac:dyDescent="0.25">
      <c r="A2671" s="2" t="s">
        <v>7053</v>
      </c>
      <c r="B2671" s="2" t="s">
        <v>7054</v>
      </c>
      <c r="C2671" s="2" t="s">
        <v>67</v>
      </c>
      <c r="D2671" s="2" t="s">
        <v>68</v>
      </c>
      <c r="E2671" s="2" t="s">
        <v>46</v>
      </c>
      <c r="F2671" s="2" t="s">
        <v>55</v>
      </c>
      <c r="G2671" s="2" t="s">
        <v>144</v>
      </c>
      <c r="H2671" s="2" t="s">
        <v>21</v>
      </c>
      <c r="I2671" s="2">
        <v>24</v>
      </c>
      <c r="J2671" s="2" t="s">
        <v>106</v>
      </c>
      <c r="K2671" s="2" t="s">
        <v>7055</v>
      </c>
      <c r="L2671" s="2" t="s">
        <v>24</v>
      </c>
      <c r="M2671" s="2">
        <v>5</v>
      </c>
      <c r="N2671" s="2" t="s">
        <v>128</v>
      </c>
    </row>
    <row r="2672" spans="1:14" x14ac:dyDescent="0.25">
      <c r="A2672" s="2" t="s">
        <v>7056</v>
      </c>
      <c r="B2672" s="2" t="s">
        <v>7057</v>
      </c>
      <c r="C2672" s="2" t="s">
        <v>16</v>
      </c>
      <c r="D2672" s="2" t="s">
        <v>17</v>
      </c>
      <c r="E2672" s="2" t="s">
        <v>90</v>
      </c>
      <c r="F2672" s="2" t="s">
        <v>125</v>
      </c>
      <c r="G2672" s="2" t="s">
        <v>20</v>
      </c>
      <c r="H2672" s="2" t="s">
        <v>74</v>
      </c>
      <c r="I2672" s="2">
        <v>8</v>
      </c>
      <c r="J2672" s="2" t="s">
        <v>149</v>
      </c>
      <c r="K2672" s="2"/>
      <c r="L2672" s="2" t="s">
        <v>92</v>
      </c>
      <c r="M2672" s="2"/>
      <c r="N2672" s="2" t="s">
        <v>64</v>
      </c>
    </row>
    <row r="2673" spans="1:14" x14ac:dyDescent="0.25">
      <c r="A2673" s="2" t="s">
        <v>7058</v>
      </c>
      <c r="B2673" s="2" t="s">
        <v>7059</v>
      </c>
      <c r="C2673" s="2" t="s">
        <v>67</v>
      </c>
      <c r="D2673" s="2" t="s">
        <v>68</v>
      </c>
      <c r="E2673" s="2" t="s">
        <v>18</v>
      </c>
      <c r="F2673" s="2" t="s">
        <v>55</v>
      </c>
      <c r="G2673" s="2" t="s">
        <v>183</v>
      </c>
      <c r="H2673" s="2" t="s">
        <v>32</v>
      </c>
      <c r="I2673" s="2">
        <v>48</v>
      </c>
      <c r="J2673" s="2" t="s">
        <v>56</v>
      </c>
      <c r="K2673" s="2" t="s">
        <v>7060</v>
      </c>
      <c r="L2673" s="2" t="s">
        <v>24</v>
      </c>
      <c r="M2673" s="2"/>
      <c r="N2673" s="2" t="s">
        <v>34</v>
      </c>
    </row>
    <row r="2674" spans="1:14" x14ac:dyDescent="0.25">
      <c r="A2674" s="2" t="s">
        <v>7061</v>
      </c>
      <c r="B2674" s="2" t="s">
        <v>7062</v>
      </c>
      <c r="C2674" s="2" t="s">
        <v>16</v>
      </c>
      <c r="D2674" s="2" t="s">
        <v>84</v>
      </c>
      <c r="E2674" s="2" t="s">
        <v>18</v>
      </c>
      <c r="F2674" s="2" t="s">
        <v>19</v>
      </c>
      <c r="G2674" s="2" t="s">
        <v>183</v>
      </c>
      <c r="H2674" s="2" t="s">
        <v>74</v>
      </c>
      <c r="I2674" s="2">
        <v>8</v>
      </c>
      <c r="J2674" s="2" t="s">
        <v>11</v>
      </c>
      <c r="K2674" s="2"/>
      <c r="L2674" s="2" t="s">
        <v>92</v>
      </c>
      <c r="M2674" s="2"/>
      <c r="N2674" s="2" t="s">
        <v>118</v>
      </c>
    </row>
    <row r="2675" spans="1:14" x14ac:dyDescent="0.25">
      <c r="A2675" s="2" t="s">
        <v>7063</v>
      </c>
      <c r="B2675" s="2" t="s">
        <v>7064</v>
      </c>
      <c r="C2675" s="2" t="s">
        <v>16</v>
      </c>
      <c r="D2675" s="2" t="s">
        <v>17</v>
      </c>
      <c r="E2675" s="2" t="s">
        <v>46</v>
      </c>
      <c r="F2675" s="2" t="s">
        <v>39</v>
      </c>
      <c r="G2675" s="2" t="s">
        <v>101</v>
      </c>
      <c r="H2675" s="2" t="s">
        <v>21</v>
      </c>
      <c r="I2675" s="2">
        <v>24</v>
      </c>
      <c r="J2675" s="2" t="s">
        <v>117</v>
      </c>
      <c r="K2675" s="2"/>
      <c r="L2675" s="2" t="s">
        <v>24</v>
      </c>
      <c r="M2675" s="2"/>
      <c r="N2675" s="2" t="s">
        <v>58</v>
      </c>
    </row>
    <row r="2676" spans="1:14" x14ac:dyDescent="0.25">
      <c r="A2676" s="2" t="s">
        <v>7065</v>
      </c>
      <c r="B2676" s="2" t="s">
        <v>3715</v>
      </c>
      <c r="C2676" s="2" t="s">
        <v>67</v>
      </c>
      <c r="D2676" s="2" t="s">
        <v>68</v>
      </c>
      <c r="E2676" s="2" t="s">
        <v>38</v>
      </c>
      <c r="F2676" s="2" t="s">
        <v>125</v>
      </c>
      <c r="G2676" s="2" t="s">
        <v>158</v>
      </c>
      <c r="H2676" s="2" t="s">
        <v>21</v>
      </c>
      <c r="I2676" s="2">
        <v>24</v>
      </c>
      <c r="J2676" s="2" t="s">
        <v>75</v>
      </c>
      <c r="K2676" s="2" t="s">
        <v>7066</v>
      </c>
      <c r="L2676" s="2" t="s">
        <v>24</v>
      </c>
      <c r="M2676" s="2">
        <v>5</v>
      </c>
      <c r="N2676" s="2" t="s">
        <v>50</v>
      </c>
    </row>
    <row r="2677" spans="1:14" x14ac:dyDescent="0.25">
      <c r="A2677" s="2" t="s">
        <v>7067</v>
      </c>
      <c r="B2677" s="2" t="s">
        <v>7068</v>
      </c>
      <c r="C2677" s="2" t="s">
        <v>28</v>
      </c>
      <c r="D2677" s="2" t="s">
        <v>100</v>
      </c>
      <c r="E2677" s="2" t="s">
        <v>46</v>
      </c>
      <c r="F2677" s="2" t="s">
        <v>125</v>
      </c>
      <c r="G2677" s="2" t="s">
        <v>183</v>
      </c>
      <c r="H2677" s="2" t="s">
        <v>21</v>
      </c>
      <c r="I2677" s="2">
        <v>24</v>
      </c>
      <c r="J2677" s="2" t="s">
        <v>187</v>
      </c>
      <c r="K2677" s="2" t="s">
        <v>7069</v>
      </c>
      <c r="L2677" s="2" t="s">
        <v>24</v>
      </c>
      <c r="M2677" s="2">
        <v>5</v>
      </c>
      <c r="N2677" s="2"/>
    </row>
    <row r="2678" spans="1:14" x14ac:dyDescent="0.25">
      <c r="A2678" s="2" t="s">
        <v>7070</v>
      </c>
      <c r="B2678" s="2" t="s">
        <v>7071</v>
      </c>
      <c r="C2678" s="2" t="s">
        <v>53</v>
      </c>
      <c r="D2678" s="2" t="s">
        <v>54</v>
      </c>
      <c r="E2678" s="2" t="s">
        <v>85</v>
      </c>
      <c r="F2678" s="2" t="s">
        <v>55</v>
      </c>
      <c r="G2678" s="2" t="s">
        <v>20</v>
      </c>
      <c r="H2678" s="2" t="s">
        <v>21</v>
      </c>
      <c r="I2678" s="2">
        <v>24</v>
      </c>
      <c r="J2678" s="2" t="s">
        <v>106</v>
      </c>
      <c r="K2678" s="2" t="s">
        <v>7072</v>
      </c>
      <c r="L2678" s="2" t="s">
        <v>24</v>
      </c>
      <c r="M2678" s="2">
        <v>5</v>
      </c>
      <c r="N2678" s="2" t="s">
        <v>34</v>
      </c>
    </row>
    <row r="2679" spans="1:14" x14ac:dyDescent="0.25">
      <c r="A2679" s="2" t="s">
        <v>7073</v>
      </c>
      <c r="B2679" s="2" t="s">
        <v>7074</v>
      </c>
      <c r="C2679" s="2" t="s">
        <v>28</v>
      </c>
      <c r="D2679" s="2" t="s">
        <v>37</v>
      </c>
      <c r="E2679" s="2" t="s">
        <v>18</v>
      </c>
      <c r="F2679" s="2" t="s">
        <v>131</v>
      </c>
      <c r="G2679" s="2" t="s">
        <v>91</v>
      </c>
      <c r="H2679" s="2" t="s">
        <v>32</v>
      </c>
      <c r="I2679" s="2">
        <v>48</v>
      </c>
      <c r="J2679" s="2" t="s">
        <v>11</v>
      </c>
      <c r="K2679" s="2"/>
      <c r="L2679" s="2" t="s">
        <v>92</v>
      </c>
      <c r="M2679" s="2"/>
      <c r="N2679" s="2" t="s">
        <v>43</v>
      </c>
    </row>
    <row r="2680" spans="1:14" x14ac:dyDescent="0.25">
      <c r="A2680" s="2" t="s">
        <v>7075</v>
      </c>
      <c r="B2680" s="2" t="s">
        <v>7076</v>
      </c>
      <c r="C2680" s="2" t="s">
        <v>28</v>
      </c>
      <c r="D2680" s="2" t="s">
        <v>37</v>
      </c>
      <c r="E2680" s="2" t="s">
        <v>148</v>
      </c>
      <c r="F2680" s="2" t="s">
        <v>30</v>
      </c>
      <c r="G2680" s="2" t="s">
        <v>40</v>
      </c>
      <c r="H2680" s="2" t="s">
        <v>74</v>
      </c>
      <c r="I2680" s="2">
        <v>8</v>
      </c>
      <c r="J2680" s="2" t="s">
        <v>232</v>
      </c>
      <c r="K2680" s="2"/>
      <c r="L2680" s="2" t="s">
        <v>92</v>
      </c>
      <c r="M2680" s="2"/>
      <c r="N2680" s="2" t="s">
        <v>50</v>
      </c>
    </row>
    <row r="2681" spans="1:14" x14ac:dyDescent="0.25">
      <c r="A2681" s="2" t="s">
        <v>7077</v>
      </c>
      <c r="B2681" s="2" t="s">
        <v>7078</v>
      </c>
      <c r="C2681" s="2" t="s">
        <v>28</v>
      </c>
      <c r="D2681" s="2" t="s">
        <v>100</v>
      </c>
      <c r="E2681" s="2" t="s">
        <v>90</v>
      </c>
      <c r="F2681" s="2" t="s">
        <v>125</v>
      </c>
      <c r="G2681" s="2" t="s">
        <v>179</v>
      </c>
      <c r="H2681" s="2" t="s">
        <v>32</v>
      </c>
      <c r="I2681" s="2">
        <v>48</v>
      </c>
      <c r="J2681" s="2" t="s">
        <v>11</v>
      </c>
      <c r="K2681" s="2"/>
      <c r="L2681" s="2" t="s">
        <v>92</v>
      </c>
      <c r="M2681" s="2"/>
      <c r="N2681" s="2" t="s">
        <v>64</v>
      </c>
    </row>
    <row r="2682" spans="1:14" x14ac:dyDescent="0.25">
      <c r="A2682" s="2" t="s">
        <v>7079</v>
      </c>
      <c r="B2682" s="2" t="s">
        <v>7080</v>
      </c>
      <c r="C2682" s="2" t="s">
        <v>53</v>
      </c>
      <c r="D2682" s="2" t="s">
        <v>61</v>
      </c>
      <c r="E2682" s="2" t="s">
        <v>79</v>
      </c>
      <c r="F2682" s="2" t="s">
        <v>19</v>
      </c>
      <c r="G2682" s="2" t="s">
        <v>97</v>
      </c>
      <c r="H2682" s="2" t="s">
        <v>32</v>
      </c>
      <c r="I2682" s="2">
        <v>48</v>
      </c>
      <c r="J2682" s="2" t="s">
        <v>41</v>
      </c>
      <c r="K2682" s="2" t="s">
        <v>7081</v>
      </c>
      <c r="L2682" s="2" t="s">
        <v>24</v>
      </c>
      <c r="M2682" s="2">
        <v>4</v>
      </c>
      <c r="N2682" s="2" t="s">
        <v>128</v>
      </c>
    </row>
    <row r="2683" spans="1:14" x14ac:dyDescent="0.25">
      <c r="A2683" s="2" t="s">
        <v>7082</v>
      </c>
      <c r="B2683" s="2" t="s">
        <v>7083</v>
      </c>
      <c r="C2683" s="2" t="s">
        <v>28</v>
      </c>
      <c r="D2683" s="2" t="s">
        <v>37</v>
      </c>
      <c r="E2683" s="2" t="s">
        <v>90</v>
      </c>
      <c r="F2683" s="2" t="s">
        <v>62</v>
      </c>
      <c r="G2683" s="2" t="s">
        <v>70</v>
      </c>
      <c r="H2683" s="2" t="s">
        <v>74</v>
      </c>
      <c r="I2683" s="2">
        <v>8</v>
      </c>
      <c r="J2683" s="2" t="s">
        <v>41</v>
      </c>
      <c r="K2683" s="2" t="s">
        <v>7084</v>
      </c>
      <c r="L2683" s="2" t="s">
        <v>24</v>
      </c>
      <c r="M2683" s="2"/>
      <c r="N2683" s="2" t="s">
        <v>58</v>
      </c>
    </row>
    <row r="2684" spans="1:14" x14ac:dyDescent="0.25">
      <c r="A2684" s="2" t="s">
        <v>7085</v>
      </c>
      <c r="B2684" s="2" t="s">
        <v>7086</v>
      </c>
      <c r="C2684" s="2" t="s">
        <v>16</v>
      </c>
      <c r="D2684" s="2" t="s">
        <v>17</v>
      </c>
      <c r="E2684" s="2" t="s">
        <v>38</v>
      </c>
      <c r="F2684" s="2" t="s">
        <v>30</v>
      </c>
      <c r="G2684" s="2" t="s">
        <v>135</v>
      </c>
      <c r="H2684" s="2" t="s">
        <v>32</v>
      </c>
      <c r="I2684" s="2">
        <v>48</v>
      </c>
      <c r="J2684" s="2" t="s">
        <v>187</v>
      </c>
      <c r="K2684" s="2" t="s">
        <v>7087</v>
      </c>
      <c r="L2684" s="2" t="s">
        <v>24</v>
      </c>
      <c r="M2684" s="2">
        <v>3</v>
      </c>
      <c r="N2684" s="2" t="s">
        <v>34</v>
      </c>
    </row>
    <row r="2685" spans="1:14" x14ac:dyDescent="0.25">
      <c r="A2685" s="2" t="s">
        <v>7088</v>
      </c>
      <c r="B2685" s="2" t="s">
        <v>7089</v>
      </c>
      <c r="C2685" s="2" t="s">
        <v>67</v>
      </c>
      <c r="D2685" s="2" t="s">
        <v>68</v>
      </c>
      <c r="E2685" s="2" t="s">
        <v>85</v>
      </c>
      <c r="F2685" s="2" t="s">
        <v>30</v>
      </c>
      <c r="G2685" s="2" t="s">
        <v>139</v>
      </c>
      <c r="H2685" s="2" t="s">
        <v>21</v>
      </c>
      <c r="I2685" s="2">
        <v>24</v>
      </c>
      <c r="J2685" s="2" t="s">
        <v>187</v>
      </c>
      <c r="K2685" s="2" t="s">
        <v>7090</v>
      </c>
      <c r="L2685" s="2" t="s">
        <v>24</v>
      </c>
      <c r="M2685" s="2"/>
      <c r="N2685" s="2" t="s">
        <v>128</v>
      </c>
    </row>
    <row r="2686" spans="1:14" x14ac:dyDescent="0.25">
      <c r="A2686" s="2" t="s">
        <v>7091</v>
      </c>
      <c r="B2686" s="2" t="s">
        <v>7092</v>
      </c>
      <c r="C2686" s="2" t="s">
        <v>16</v>
      </c>
      <c r="D2686" s="2" t="s">
        <v>84</v>
      </c>
      <c r="E2686" s="2" t="s">
        <v>38</v>
      </c>
      <c r="F2686" s="2" t="s">
        <v>62</v>
      </c>
      <c r="G2686" s="2" t="s">
        <v>105</v>
      </c>
      <c r="H2686" s="2" t="s">
        <v>21</v>
      </c>
      <c r="I2686" s="2">
        <v>24</v>
      </c>
      <c r="J2686" s="2" t="s">
        <v>33</v>
      </c>
      <c r="K2686" s="2"/>
      <c r="L2686" s="2" t="s">
        <v>92</v>
      </c>
      <c r="M2686" s="2"/>
      <c r="N2686" s="2" t="s">
        <v>128</v>
      </c>
    </row>
    <row r="2687" spans="1:14" x14ac:dyDescent="0.25">
      <c r="A2687" s="2" t="s">
        <v>7093</v>
      </c>
      <c r="B2687" s="2" t="s">
        <v>7094</v>
      </c>
      <c r="C2687" s="2" t="s">
        <v>53</v>
      </c>
      <c r="D2687" s="2" t="s">
        <v>54</v>
      </c>
      <c r="E2687" s="2" t="s">
        <v>38</v>
      </c>
      <c r="F2687" s="2" t="s">
        <v>30</v>
      </c>
      <c r="G2687" s="2" t="s">
        <v>91</v>
      </c>
      <c r="H2687" s="2" t="s">
        <v>80</v>
      </c>
      <c r="I2687" s="2">
        <v>4</v>
      </c>
      <c r="J2687" s="2" t="s">
        <v>106</v>
      </c>
      <c r="K2687" s="2" t="s">
        <v>7095</v>
      </c>
      <c r="L2687" s="2" t="s">
        <v>24</v>
      </c>
      <c r="M2687" s="2">
        <v>1</v>
      </c>
      <c r="N2687" s="2"/>
    </row>
    <row r="2688" spans="1:14" x14ac:dyDescent="0.25">
      <c r="A2688" s="2" t="s">
        <v>7096</v>
      </c>
      <c r="B2688" s="2" t="s">
        <v>7097</v>
      </c>
      <c r="C2688" s="2" t="s">
        <v>53</v>
      </c>
      <c r="D2688" s="2" t="s">
        <v>54</v>
      </c>
      <c r="E2688" s="2" t="s">
        <v>38</v>
      </c>
      <c r="F2688" s="2" t="s">
        <v>47</v>
      </c>
      <c r="G2688" s="2" t="s">
        <v>31</v>
      </c>
      <c r="H2688" s="2" t="s">
        <v>80</v>
      </c>
      <c r="I2688" s="2">
        <v>4</v>
      </c>
      <c r="J2688" s="2" t="s">
        <v>155</v>
      </c>
      <c r="K2688" s="2"/>
      <c r="L2688" s="2" t="s">
        <v>24</v>
      </c>
      <c r="M2688" s="2"/>
      <c r="N2688" s="2" t="s">
        <v>43</v>
      </c>
    </row>
    <row r="2689" spans="1:14" x14ac:dyDescent="0.25">
      <c r="A2689" s="2" t="s">
        <v>7098</v>
      </c>
      <c r="B2689" s="2" t="s">
        <v>7099</v>
      </c>
      <c r="C2689" s="2" t="s">
        <v>53</v>
      </c>
      <c r="D2689" s="2" t="s">
        <v>54</v>
      </c>
      <c r="E2689" s="2" t="s">
        <v>46</v>
      </c>
      <c r="F2689" s="2" t="s">
        <v>69</v>
      </c>
      <c r="G2689" s="2" t="s">
        <v>121</v>
      </c>
      <c r="H2689" s="2" t="s">
        <v>21</v>
      </c>
      <c r="I2689" s="2">
        <v>24</v>
      </c>
      <c r="J2689" s="2" t="s">
        <v>106</v>
      </c>
      <c r="K2689" s="2" t="s">
        <v>7100</v>
      </c>
      <c r="L2689" s="2" t="s">
        <v>24</v>
      </c>
      <c r="M2689" s="2">
        <v>2</v>
      </c>
      <c r="N2689" s="2" t="s">
        <v>128</v>
      </c>
    </row>
    <row r="2690" spans="1:14" x14ac:dyDescent="0.25">
      <c r="A2690" s="2" t="s">
        <v>7101</v>
      </c>
      <c r="B2690" s="2" t="s">
        <v>7102</v>
      </c>
      <c r="C2690" s="2" t="s">
        <v>28</v>
      </c>
      <c r="D2690" s="2" t="s">
        <v>37</v>
      </c>
      <c r="E2690" s="2" t="s">
        <v>38</v>
      </c>
      <c r="F2690" s="2" t="s">
        <v>62</v>
      </c>
      <c r="G2690" s="2" t="s">
        <v>126</v>
      </c>
      <c r="H2690" s="2" t="s">
        <v>21</v>
      </c>
      <c r="I2690" s="2">
        <v>24</v>
      </c>
      <c r="J2690" s="2" t="s">
        <v>48</v>
      </c>
      <c r="K2690" s="2" t="s">
        <v>7103</v>
      </c>
      <c r="L2690" s="2" t="s">
        <v>24</v>
      </c>
      <c r="M2690" s="2"/>
      <c r="N2690" s="2" t="s">
        <v>25</v>
      </c>
    </row>
    <row r="2691" spans="1:14" x14ac:dyDescent="0.25">
      <c r="A2691" s="2" t="s">
        <v>7104</v>
      </c>
      <c r="B2691" s="2" t="s">
        <v>7105</v>
      </c>
      <c r="C2691" s="2" t="s">
        <v>16</v>
      </c>
      <c r="D2691" s="2" t="s">
        <v>17</v>
      </c>
      <c r="E2691" s="2" t="s">
        <v>18</v>
      </c>
      <c r="F2691" s="2" t="s">
        <v>39</v>
      </c>
      <c r="G2691" s="2" t="s">
        <v>121</v>
      </c>
      <c r="H2691" s="2" t="s">
        <v>21</v>
      </c>
      <c r="I2691" s="2">
        <v>24</v>
      </c>
      <c r="J2691" s="2" t="s">
        <v>106</v>
      </c>
      <c r="K2691" s="2" t="s">
        <v>7106</v>
      </c>
      <c r="L2691" s="2" t="s">
        <v>24</v>
      </c>
      <c r="M2691" s="2"/>
      <c r="N2691" s="2" t="s">
        <v>118</v>
      </c>
    </row>
    <row r="2692" spans="1:14" x14ac:dyDescent="0.25">
      <c r="A2692" s="2" t="s">
        <v>7107</v>
      </c>
      <c r="B2692" s="2" t="s">
        <v>7108</v>
      </c>
      <c r="C2692" s="2" t="s">
        <v>67</v>
      </c>
      <c r="D2692" s="2" t="s">
        <v>68</v>
      </c>
      <c r="E2692" s="2" t="s">
        <v>90</v>
      </c>
      <c r="F2692" s="2" t="s">
        <v>113</v>
      </c>
      <c r="G2692" s="2" t="s">
        <v>158</v>
      </c>
      <c r="H2692" s="2" t="s">
        <v>21</v>
      </c>
      <c r="I2692" s="2">
        <v>24</v>
      </c>
      <c r="J2692" s="2" t="s">
        <v>187</v>
      </c>
      <c r="K2692" s="2" t="s">
        <v>7109</v>
      </c>
      <c r="L2692" s="2" t="s">
        <v>24</v>
      </c>
      <c r="M2692" s="2"/>
      <c r="N2692" s="2" t="s">
        <v>118</v>
      </c>
    </row>
    <row r="2693" spans="1:14" x14ac:dyDescent="0.25">
      <c r="A2693" s="2" t="s">
        <v>7110</v>
      </c>
      <c r="B2693" s="2" t="s">
        <v>7111</v>
      </c>
      <c r="C2693" s="2" t="s">
        <v>16</v>
      </c>
      <c r="D2693" s="2" t="s">
        <v>240</v>
      </c>
      <c r="E2693" s="2" t="s">
        <v>18</v>
      </c>
      <c r="F2693" s="2" t="s">
        <v>69</v>
      </c>
      <c r="G2693" s="2" t="s">
        <v>158</v>
      </c>
      <c r="H2693" s="2" t="s">
        <v>32</v>
      </c>
      <c r="I2693" s="2">
        <v>48</v>
      </c>
      <c r="J2693" s="2" t="s">
        <v>48</v>
      </c>
      <c r="K2693" s="2" t="s">
        <v>7112</v>
      </c>
      <c r="L2693" s="2" t="s">
        <v>24</v>
      </c>
      <c r="M2693" s="2"/>
      <c r="N2693" s="2" t="s">
        <v>34</v>
      </c>
    </row>
    <row r="2694" spans="1:14" x14ac:dyDescent="0.25">
      <c r="A2694" s="2" t="s">
        <v>7113</v>
      </c>
      <c r="B2694" s="2" t="s">
        <v>7114</v>
      </c>
      <c r="C2694" s="2" t="s">
        <v>28</v>
      </c>
      <c r="D2694" s="2" t="s">
        <v>100</v>
      </c>
      <c r="E2694" s="2" t="s">
        <v>79</v>
      </c>
      <c r="F2694" s="2" t="s">
        <v>30</v>
      </c>
      <c r="G2694" s="2" t="s">
        <v>70</v>
      </c>
      <c r="H2694" s="2" t="s">
        <v>21</v>
      </c>
      <c r="I2694" s="2">
        <v>24</v>
      </c>
      <c r="J2694" s="2" t="s">
        <v>22</v>
      </c>
      <c r="K2694" s="2" t="s">
        <v>7115</v>
      </c>
      <c r="L2694" s="2" t="s">
        <v>24</v>
      </c>
      <c r="M2694" s="2">
        <v>1</v>
      </c>
      <c r="N2694" s="2" t="s">
        <v>128</v>
      </c>
    </row>
    <row r="2695" spans="1:14" x14ac:dyDescent="0.25">
      <c r="A2695" s="2" t="s">
        <v>7116</v>
      </c>
      <c r="B2695" s="2" t="s">
        <v>7117</v>
      </c>
      <c r="C2695" s="2" t="s">
        <v>28</v>
      </c>
      <c r="D2695" s="2" t="s">
        <v>37</v>
      </c>
      <c r="E2695" s="2" t="s">
        <v>85</v>
      </c>
      <c r="F2695" s="2" t="s">
        <v>143</v>
      </c>
      <c r="G2695" s="2" t="s">
        <v>183</v>
      </c>
      <c r="H2695" s="2" t="s">
        <v>32</v>
      </c>
      <c r="I2695" s="2">
        <v>48</v>
      </c>
      <c r="J2695" s="2" t="s">
        <v>155</v>
      </c>
      <c r="K2695" s="2"/>
      <c r="L2695" s="2" t="s">
        <v>24</v>
      </c>
      <c r="M2695" s="2"/>
      <c r="N2695" s="2"/>
    </row>
    <row r="2696" spans="1:14" x14ac:dyDescent="0.25">
      <c r="A2696" s="2" t="s">
        <v>7118</v>
      </c>
      <c r="B2696" s="2" t="s">
        <v>7119</v>
      </c>
      <c r="C2696" s="2" t="s">
        <v>67</v>
      </c>
      <c r="D2696" s="2" t="s">
        <v>68</v>
      </c>
      <c r="E2696" s="2" t="s">
        <v>38</v>
      </c>
      <c r="F2696" s="2" t="s">
        <v>96</v>
      </c>
      <c r="G2696" s="2" t="s">
        <v>97</v>
      </c>
      <c r="H2696" s="2" t="s">
        <v>80</v>
      </c>
      <c r="I2696" s="2">
        <v>4</v>
      </c>
      <c r="J2696" s="2" t="s">
        <v>56</v>
      </c>
      <c r="K2696" s="2" t="s">
        <v>7120</v>
      </c>
      <c r="L2696" s="2" t="s">
        <v>24</v>
      </c>
      <c r="M2696" s="2"/>
      <c r="N2696" s="2" t="s">
        <v>118</v>
      </c>
    </row>
    <row r="2697" spans="1:14" x14ac:dyDescent="0.25">
      <c r="A2697" s="2" t="s">
        <v>7121</v>
      </c>
      <c r="B2697" s="2" t="s">
        <v>7122</v>
      </c>
      <c r="C2697" s="2" t="s">
        <v>67</v>
      </c>
      <c r="D2697" s="2" t="s">
        <v>95</v>
      </c>
      <c r="E2697" s="2" t="s">
        <v>79</v>
      </c>
      <c r="F2697" s="2" t="s">
        <v>143</v>
      </c>
      <c r="G2697" s="2" t="s">
        <v>158</v>
      </c>
      <c r="H2697" s="2" t="s">
        <v>74</v>
      </c>
      <c r="I2697" s="2">
        <v>8</v>
      </c>
      <c r="J2697" s="2" t="s">
        <v>117</v>
      </c>
      <c r="K2697" s="2"/>
      <c r="L2697" s="2" t="s">
        <v>24</v>
      </c>
      <c r="M2697" s="2"/>
      <c r="N2697" s="2" t="s">
        <v>118</v>
      </c>
    </row>
    <row r="2698" spans="1:14" x14ac:dyDescent="0.25">
      <c r="A2698" s="2" t="s">
        <v>7123</v>
      </c>
      <c r="B2698" s="2" t="s">
        <v>7124</v>
      </c>
      <c r="C2698" s="2" t="s">
        <v>16</v>
      </c>
      <c r="D2698" s="2" t="s">
        <v>17</v>
      </c>
      <c r="E2698" s="2" t="s">
        <v>46</v>
      </c>
      <c r="F2698" s="2" t="s">
        <v>47</v>
      </c>
      <c r="G2698" s="2" t="s">
        <v>183</v>
      </c>
      <c r="H2698" s="2" t="s">
        <v>21</v>
      </c>
      <c r="I2698" s="2">
        <v>24</v>
      </c>
      <c r="J2698" s="2" t="s">
        <v>41</v>
      </c>
      <c r="K2698" s="2" t="s">
        <v>7125</v>
      </c>
      <c r="L2698" s="2" t="s">
        <v>24</v>
      </c>
      <c r="M2698" s="2">
        <v>3</v>
      </c>
      <c r="N2698" s="2" t="s">
        <v>64</v>
      </c>
    </row>
    <row r="2699" spans="1:14" x14ac:dyDescent="0.25">
      <c r="A2699" s="2" t="s">
        <v>7126</v>
      </c>
      <c r="B2699" s="2" t="s">
        <v>7127</v>
      </c>
      <c r="C2699" s="2" t="s">
        <v>53</v>
      </c>
      <c r="D2699" s="2" t="s">
        <v>54</v>
      </c>
      <c r="E2699" s="2" t="s">
        <v>38</v>
      </c>
      <c r="F2699" s="2" t="s">
        <v>19</v>
      </c>
      <c r="G2699" s="2" t="s">
        <v>139</v>
      </c>
      <c r="H2699" s="2" t="s">
        <v>74</v>
      </c>
      <c r="I2699" s="2">
        <v>8</v>
      </c>
      <c r="J2699" s="2" t="s">
        <v>41</v>
      </c>
      <c r="K2699" s="2" t="s">
        <v>7128</v>
      </c>
      <c r="L2699" s="2" t="s">
        <v>24</v>
      </c>
      <c r="M2699" s="2"/>
      <c r="N2699" s="2" t="s">
        <v>50</v>
      </c>
    </row>
    <row r="2700" spans="1:14" x14ac:dyDescent="0.25">
      <c r="A2700" s="2" t="s">
        <v>7129</v>
      </c>
      <c r="B2700" s="2" t="s">
        <v>7130</v>
      </c>
      <c r="C2700" s="2" t="s">
        <v>16</v>
      </c>
      <c r="D2700" s="2" t="s">
        <v>17</v>
      </c>
      <c r="E2700" s="2" t="s">
        <v>79</v>
      </c>
      <c r="F2700" s="2" t="s">
        <v>131</v>
      </c>
      <c r="G2700" s="2" t="s">
        <v>144</v>
      </c>
      <c r="H2700" s="2" t="s">
        <v>21</v>
      </c>
      <c r="I2700" s="2">
        <v>24</v>
      </c>
      <c r="J2700" s="2" t="s">
        <v>117</v>
      </c>
      <c r="K2700" s="2"/>
      <c r="L2700" s="2" t="s">
        <v>24</v>
      </c>
      <c r="M2700" s="2"/>
      <c r="N2700" s="2" t="s">
        <v>50</v>
      </c>
    </row>
    <row r="2701" spans="1:14" x14ac:dyDescent="0.25">
      <c r="A2701" s="2" t="s">
        <v>7131</v>
      </c>
      <c r="B2701" s="2" t="s">
        <v>7132</v>
      </c>
      <c r="C2701" s="2" t="s">
        <v>53</v>
      </c>
      <c r="D2701" s="2" t="s">
        <v>54</v>
      </c>
      <c r="E2701" s="2" t="s">
        <v>79</v>
      </c>
      <c r="F2701" s="2" t="s">
        <v>143</v>
      </c>
      <c r="G2701" s="2" t="s">
        <v>126</v>
      </c>
      <c r="H2701" s="2" t="s">
        <v>80</v>
      </c>
      <c r="I2701" s="2">
        <v>4</v>
      </c>
      <c r="J2701" s="2" t="s">
        <v>41</v>
      </c>
      <c r="K2701" s="2" t="s">
        <v>7133</v>
      </c>
      <c r="L2701" s="2" t="s">
        <v>24</v>
      </c>
      <c r="M2701" s="2"/>
      <c r="N2701" s="2" t="s">
        <v>50</v>
      </c>
    </row>
    <row r="2702" spans="1:14" x14ac:dyDescent="0.25">
      <c r="A2702" s="2" t="s">
        <v>7134</v>
      </c>
      <c r="B2702" s="2" t="s">
        <v>7135</v>
      </c>
      <c r="C2702" s="2" t="s">
        <v>16</v>
      </c>
      <c r="D2702" s="2" t="s">
        <v>84</v>
      </c>
      <c r="E2702" s="2" t="s">
        <v>90</v>
      </c>
      <c r="F2702" s="2" t="s">
        <v>131</v>
      </c>
      <c r="G2702" s="2" t="s">
        <v>183</v>
      </c>
      <c r="H2702" s="2" t="s">
        <v>74</v>
      </c>
      <c r="I2702" s="2">
        <v>8</v>
      </c>
      <c r="J2702" s="2" t="s">
        <v>145</v>
      </c>
      <c r="K2702" s="2"/>
      <c r="L2702" s="2" t="s">
        <v>24</v>
      </c>
      <c r="M2702" s="2"/>
      <c r="N2702" s="2"/>
    </row>
    <row r="2703" spans="1:14" x14ac:dyDescent="0.25">
      <c r="A2703" s="2" t="s">
        <v>7136</v>
      </c>
      <c r="B2703" s="2" t="s">
        <v>7137</v>
      </c>
      <c r="C2703" s="2" t="s">
        <v>53</v>
      </c>
      <c r="D2703" s="2" t="s">
        <v>162</v>
      </c>
      <c r="E2703" s="2" t="s">
        <v>148</v>
      </c>
      <c r="F2703" s="2" t="s">
        <v>113</v>
      </c>
      <c r="G2703" s="2" t="s">
        <v>158</v>
      </c>
      <c r="H2703" s="2" t="s">
        <v>21</v>
      </c>
      <c r="I2703" s="2">
        <v>24</v>
      </c>
      <c r="J2703" s="2" t="s">
        <v>200</v>
      </c>
      <c r="K2703" s="2"/>
      <c r="L2703" s="2" t="s">
        <v>92</v>
      </c>
      <c r="M2703" s="2"/>
      <c r="N2703" s="2"/>
    </row>
    <row r="2704" spans="1:14" x14ac:dyDescent="0.25">
      <c r="A2704" s="2" t="s">
        <v>7138</v>
      </c>
      <c r="B2704" s="2" t="s">
        <v>7139</v>
      </c>
      <c r="C2704" s="2" t="s">
        <v>28</v>
      </c>
      <c r="D2704" s="2" t="s">
        <v>37</v>
      </c>
      <c r="E2704" s="2" t="s">
        <v>148</v>
      </c>
      <c r="F2704" s="2" t="s">
        <v>96</v>
      </c>
      <c r="G2704" s="2" t="s">
        <v>40</v>
      </c>
      <c r="H2704" s="2" t="s">
        <v>74</v>
      </c>
      <c r="I2704" s="2">
        <v>8</v>
      </c>
      <c r="J2704" s="2" t="s">
        <v>191</v>
      </c>
      <c r="K2704" s="2" t="s">
        <v>7140</v>
      </c>
      <c r="L2704" s="2" t="s">
        <v>24</v>
      </c>
      <c r="M2704" s="2"/>
      <c r="N2704" s="2" t="s">
        <v>25</v>
      </c>
    </row>
    <row r="2705" spans="1:14" x14ac:dyDescent="0.25">
      <c r="A2705" s="2" t="s">
        <v>7141</v>
      </c>
      <c r="B2705" s="2" t="s">
        <v>7142</v>
      </c>
      <c r="C2705" s="2" t="s">
        <v>53</v>
      </c>
      <c r="D2705" s="2" t="s">
        <v>61</v>
      </c>
      <c r="E2705" s="2" t="s">
        <v>148</v>
      </c>
      <c r="F2705" s="2" t="s">
        <v>143</v>
      </c>
      <c r="G2705" s="2" t="s">
        <v>70</v>
      </c>
      <c r="H2705" s="2" t="s">
        <v>21</v>
      </c>
      <c r="I2705" s="2">
        <v>24</v>
      </c>
      <c r="J2705" s="2" t="s">
        <v>106</v>
      </c>
      <c r="K2705" s="2" t="s">
        <v>7143</v>
      </c>
      <c r="L2705" s="2" t="s">
        <v>24</v>
      </c>
      <c r="M2705" s="2">
        <v>2</v>
      </c>
      <c r="N2705" s="2" t="s">
        <v>34</v>
      </c>
    </row>
    <row r="2706" spans="1:14" x14ac:dyDescent="0.25">
      <c r="A2706" s="2" t="s">
        <v>7144</v>
      </c>
      <c r="B2706" s="2" t="s">
        <v>7145</v>
      </c>
      <c r="C2706" s="2" t="s">
        <v>53</v>
      </c>
      <c r="D2706" s="2" t="s">
        <v>61</v>
      </c>
      <c r="E2706" s="2" t="s">
        <v>18</v>
      </c>
      <c r="F2706" s="2" t="s">
        <v>30</v>
      </c>
      <c r="G2706" s="2" t="s">
        <v>91</v>
      </c>
      <c r="H2706" s="2" t="s">
        <v>32</v>
      </c>
      <c r="I2706" s="2">
        <v>48</v>
      </c>
      <c r="J2706" s="2" t="s">
        <v>187</v>
      </c>
      <c r="K2706" s="2" t="s">
        <v>7146</v>
      </c>
      <c r="L2706" s="2" t="s">
        <v>24</v>
      </c>
      <c r="M2706" s="2"/>
      <c r="N2706" s="2" t="s">
        <v>64</v>
      </c>
    </row>
    <row r="2707" spans="1:14" x14ac:dyDescent="0.25">
      <c r="A2707" s="2" t="s">
        <v>7147</v>
      </c>
      <c r="B2707" s="2" t="s">
        <v>7148</v>
      </c>
      <c r="C2707" s="2" t="s">
        <v>53</v>
      </c>
      <c r="D2707" s="2" t="s">
        <v>54</v>
      </c>
      <c r="E2707" s="2" t="s">
        <v>148</v>
      </c>
      <c r="F2707" s="2" t="s">
        <v>55</v>
      </c>
      <c r="G2707" s="2" t="s">
        <v>126</v>
      </c>
      <c r="H2707" s="2" t="s">
        <v>21</v>
      </c>
      <c r="I2707" s="2">
        <v>24</v>
      </c>
      <c r="J2707" s="2" t="s">
        <v>75</v>
      </c>
      <c r="K2707" s="2" t="s">
        <v>7149</v>
      </c>
      <c r="L2707" s="2" t="s">
        <v>24</v>
      </c>
      <c r="M2707" s="2">
        <v>4</v>
      </c>
      <c r="N2707" s="2" t="s">
        <v>118</v>
      </c>
    </row>
    <row r="2708" spans="1:14" x14ac:dyDescent="0.25">
      <c r="A2708" s="2" t="s">
        <v>7150</v>
      </c>
      <c r="B2708" s="2" t="s">
        <v>7151</v>
      </c>
      <c r="C2708" s="2" t="s">
        <v>28</v>
      </c>
      <c r="D2708" s="2" t="s">
        <v>37</v>
      </c>
      <c r="E2708" s="2" t="s">
        <v>148</v>
      </c>
      <c r="F2708" s="2" t="s">
        <v>113</v>
      </c>
      <c r="G2708" s="2" t="s">
        <v>158</v>
      </c>
      <c r="H2708" s="2" t="s">
        <v>74</v>
      </c>
      <c r="I2708" s="2">
        <v>8</v>
      </c>
      <c r="J2708" s="2" t="s">
        <v>48</v>
      </c>
      <c r="K2708" s="2" t="s">
        <v>7152</v>
      </c>
      <c r="L2708" s="2" t="s">
        <v>92</v>
      </c>
      <c r="M2708" s="2">
        <v>1</v>
      </c>
      <c r="N2708" s="2" t="s">
        <v>43</v>
      </c>
    </row>
    <row r="2709" spans="1:14" x14ac:dyDescent="0.25">
      <c r="A2709" s="2" t="s">
        <v>7153</v>
      </c>
      <c r="B2709" s="2" t="s">
        <v>7154</v>
      </c>
      <c r="C2709" s="2" t="s">
        <v>67</v>
      </c>
      <c r="D2709" s="2" t="s">
        <v>95</v>
      </c>
      <c r="E2709" s="2" t="s">
        <v>18</v>
      </c>
      <c r="F2709" s="2" t="s">
        <v>96</v>
      </c>
      <c r="G2709" s="2" t="s">
        <v>135</v>
      </c>
      <c r="H2709" s="2" t="s">
        <v>74</v>
      </c>
      <c r="I2709" s="2">
        <v>8</v>
      </c>
      <c r="J2709" s="2" t="s">
        <v>33</v>
      </c>
      <c r="K2709" s="2"/>
      <c r="L2709" s="2" t="s">
        <v>24</v>
      </c>
      <c r="M2709" s="2"/>
      <c r="N2709" s="2" t="s">
        <v>64</v>
      </c>
    </row>
    <row r="2710" spans="1:14" x14ac:dyDescent="0.25">
      <c r="A2710" s="2" t="s">
        <v>7155</v>
      </c>
      <c r="B2710" s="2" t="s">
        <v>7156</v>
      </c>
      <c r="C2710" s="2" t="s">
        <v>28</v>
      </c>
      <c r="D2710" s="2" t="s">
        <v>29</v>
      </c>
      <c r="E2710" s="2" t="s">
        <v>46</v>
      </c>
      <c r="F2710" s="2" t="s">
        <v>96</v>
      </c>
      <c r="G2710" s="2" t="s">
        <v>158</v>
      </c>
      <c r="H2710" s="2" t="s">
        <v>32</v>
      </c>
      <c r="I2710" s="2">
        <v>48</v>
      </c>
      <c r="J2710" s="2" t="s">
        <v>48</v>
      </c>
      <c r="K2710" s="2" t="s">
        <v>7157</v>
      </c>
      <c r="L2710" s="2" t="s">
        <v>24</v>
      </c>
      <c r="M2710" s="2">
        <v>3</v>
      </c>
      <c r="N2710" s="2" t="s">
        <v>64</v>
      </c>
    </row>
    <row r="2711" spans="1:14" x14ac:dyDescent="0.25">
      <c r="A2711" s="2" t="s">
        <v>7158</v>
      </c>
      <c r="B2711" s="2" t="s">
        <v>7159</v>
      </c>
      <c r="C2711" s="2" t="s">
        <v>53</v>
      </c>
      <c r="D2711" s="2" t="s">
        <v>61</v>
      </c>
      <c r="E2711" s="2" t="s">
        <v>46</v>
      </c>
      <c r="F2711" s="2" t="s">
        <v>19</v>
      </c>
      <c r="G2711" s="2" t="s">
        <v>110</v>
      </c>
      <c r="H2711" s="2" t="s">
        <v>32</v>
      </c>
      <c r="I2711" s="2">
        <v>48</v>
      </c>
      <c r="J2711" s="2" t="s">
        <v>187</v>
      </c>
      <c r="K2711" s="2" t="s">
        <v>7160</v>
      </c>
      <c r="L2711" s="2" t="s">
        <v>24</v>
      </c>
      <c r="M2711" s="2">
        <v>5</v>
      </c>
      <c r="N2711" s="2" t="s">
        <v>64</v>
      </c>
    </row>
    <row r="2712" spans="1:14" x14ac:dyDescent="0.25">
      <c r="A2712" s="2" t="s">
        <v>7161</v>
      </c>
      <c r="B2712" s="2" t="s">
        <v>7162</v>
      </c>
      <c r="C2712" s="2" t="s">
        <v>16</v>
      </c>
      <c r="D2712" s="2" t="s">
        <v>17</v>
      </c>
      <c r="E2712" s="2" t="s">
        <v>85</v>
      </c>
      <c r="F2712" s="2" t="s">
        <v>131</v>
      </c>
      <c r="G2712" s="2" t="s">
        <v>139</v>
      </c>
      <c r="H2712" s="2" t="s">
        <v>32</v>
      </c>
      <c r="I2712" s="2">
        <v>48</v>
      </c>
      <c r="J2712" s="2" t="s">
        <v>106</v>
      </c>
      <c r="K2712" s="2" t="s">
        <v>7163</v>
      </c>
      <c r="L2712" s="2" t="s">
        <v>24</v>
      </c>
      <c r="M2712" s="2"/>
      <c r="N2712" s="2" t="s">
        <v>118</v>
      </c>
    </row>
    <row r="2713" spans="1:14" x14ac:dyDescent="0.25">
      <c r="A2713" s="2" t="s">
        <v>7164</v>
      </c>
      <c r="B2713" s="2" t="s">
        <v>7165</v>
      </c>
      <c r="C2713" s="2" t="s">
        <v>67</v>
      </c>
      <c r="D2713" s="2" t="s">
        <v>68</v>
      </c>
      <c r="E2713" s="2" t="s">
        <v>85</v>
      </c>
      <c r="F2713" s="2" t="s">
        <v>55</v>
      </c>
      <c r="G2713" s="2" t="s">
        <v>105</v>
      </c>
      <c r="H2713" s="2" t="s">
        <v>21</v>
      </c>
      <c r="I2713" s="2">
        <v>24</v>
      </c>
      <c r="J2713" s="2" t="s">
        <v>41</v>
      </c>
      <c r="K2713" s="2" t="s">
        <v>7166</v>
      </c>
      <c r="L2713" s="2" t="s">
        <v>24</v>
      </c>
      <c r="M2713" s="2"/>
      <c r="N2713" s="2" t="s">
        <v>50</v>
      </c>
    </row>
    <row r="2714" spans="1:14" x14ac:dyDescent="0.25">
      <c r="A2714" s="2" t="s">
        <v>7167</v>
      </c>
      <c r="B2714" s="2" t="s">
        <v>7168</v>
      </c>
      <c r="C2714" s="2" t="s">
        <v>16</v>
      </c>
      <c r="D2714" s="2" t="s">
        <v>84</v>
      </c>
      <c r="E2714" s="2" t="s">
        <v>90</v>
      </c>
      <c r="F2714" s="2" t="s">
        <v>47</v>
      </c>
      <c r="G2714" s="2" t="s">
        <v>101</v>
      </c>
      <c r="H2714" s="2" t="s">
        <v>80</v>
      </c>
      <c r="I2714" s="2">
        <v>4</v>
      </c>
      <c r="J2714" s="2" t="s">
        <v>22</v>
      </c>
      <c r="K2714" s="2" t="s">
        <v>7169</v>
      </c>
      <c r="L2714" s="2" t="s">
        <v>24</v>
      </c>
      <c r="M2714" s="2"/>
      <c r="N2714" s="2"/>
    </row>
    <row r="2715" spans="1:14" x14ac:dyDescent="0.25">
      <c r="A2715" s="2" t="s">
        <v>7170</v>
      </c>
      <c r="B2715" s="2" t="s">
        <v>7171</v>
      </c>
      <c r="C2715" s="2" t="s">
        <v>53</v>
      </c>
      <c r="D2715" s="2" t="s">
        <v>61</v>
      </c>
      <c r="E2715" s="2" t="s">
        <v>38</v>
      </c>
      <c r="F2715" s="2" t="s">
        <v>39</v>
      </c>
      <c r="G2715" s="2" t="s">
        <v>144</v>
      </c>
      <c r="H2715" s="2" t="s">
        <v>32</v>
      </c>
      <c r="I2715" s="2">
        <v>48</v>
      </c>
      <c r="J2715" s="2" t="s">
        <v>75</v>
      </c>
      <c r="K2715" s="2" t="s">
        <v>7172</v>
      </c>
      <c r="L2715" s="2" t="s">
        <v>24</v>
      </c>
      <c r="M2715" s="2">
        <v>4</v>
      </c>
      <c r="N2715" s="2" t="s">
        <v>34</v>
      </c>
    </row>
    <row r="2716" spans="1:14" x14ac:dyDescent="0.25">
      <c r="A2716" s="2" t="s">
        <v>7173</v>
      </c>
      <c r="B2716" s="2" t="s">
        <v>7174</v>
      </c>
      <c r="C2716" s="2" t="s">
        <v>53</v>
      </c>
      <c r="D2716" s="2" t="s">
        <v>54</v>
      </c>
      <c r="E2716" s="2" t="s">
        <v>148</v>
      </c>
      <c r="F2716" s="2" t="s">
        <v>113</v>
      </c>
      <c r="G2716" s="2" t="s">
        <v>144</v>
      </c>
      <c r="H2716" s="2" t="s">
        <v>74</v>
      </c>
      <c r="I2716" s="2">
        <v>8</v>
      </c>
      <c r="J2716" s="2" t="s">
        <v>232</v>
      </c>
      <c r="K2716" s="2"/>
      <c r="L2716" s="2" t="s">
        <v>92</v>
      </c>
      <c r="M2716" s="2"/>
      <c r="N2716" s="2" t="s">
        <v>58</v>
      </c>
    </row>
    <row r="2717" spans="1:14" x14ac:dyDescent="0.25">
      <c r="A2717" s="2" t="s">
        <v>7175</v>
      </c>
      <c r="B2717" s="2" t="s">
        <v>7176</v>
      </c>
      <c r="C2717" s="2" t="s">
        <v>67</v>
      </c>
      <c r="D2717" s="2" t="s">
        <v>95</v>
      </c>
      <c r="E2717" s="2" t="s">
        <v>18</v>
      </c>
      <c r="F2717" s="2" t="s">
        <v>19</v>
      </c>
      <c r="G2717" s="2" t="s">
        <v>144</v>
      </c>
      <c r="H2717" s="2" t="s">
        <v>21</v>
      </c>
      <c r="I2717" s="2">
        <v>24</v>
      </c>
      <c r="J2717" s="2" t="s">
        <v>41</v>
      </c>
      <c r="K2717" s="2" t="s">
        <v>7177</v>
      </c>
      <c r="L2717" s="2" t="s">
        <v>24</v>
      </c>
      <c r="M2717" s="2">
        <v>1</v>
      </c>
      <c r="N2717" s="2" t="s">
        <v>43</v>
      </c>
    </row>
    <row r="2718" spans="1:14" x14ac:dyDescent="0.25">
      <c r="A2718" s="2" t="s">
        <v>7178</v>
      </c>
      <c r="B2718" s="2" t="s">
        <v>7179</v>
      </c>
      <c r="C2718" s="2" t="s">
        <v>53</v>
      </c>
      <c r="D2718" s="2" t="s">
        <v>54</v>
      </c>
      <c r="E2718" s="2" t="s">
        <v>148</v>
      </c>
      <c r="F2718" s="2" t="s">
        <v>19</v>
      </c>
      <c r="G2718" s="2" t="s">
        <v>179</v>
      </c>
      <c r="H2718" s="2" t="s">
        <v>32</v>
      </c>
      <c r="I2718" s="2">
        <v>48</v>
      </c>
      <c r="J2718" s="2" t="s">
        <v>145</v>
      </c>
      <c r="K2718" s="2"/>
      <c r="L2718" s="2" t="s">
        <v>24</v>
      </c>
      <c r="M2718" s="2"/>
      <c r="N2718" s="2" t="s">
        <v>34</v>
      </c>
    </row>
    <row r="2719" spans="1:14" x14ac:dyDescent="0.25">
      <c r="A2719" s="2" t="s">
        <v>7180</v>
      </c>
      <c r="B2719" s="2" t="s">
        <v>7181</v>
      </c>
      <c r="C2719" s="2" t="s">
        <v>16</v>
      </c>
      <c r="D2719" s="2" t="s">
        <v>84</v>
      </c>
      <c r="E2719" s="2" t="s">
        <v>79</v>
      </c>
      <c r="F2719" s="2" t="s">
        <v>30</v>
      </c>
      <c r="G2719" s="2" t="s">
        <v>139</v>
      </c>
      <c r="H2719" s="2" t="s">
        <v>74</v>
      </c>
      <c r="I2719" s="2">
        <v>8</v>
      </c>
      <c r="J2719" s="2" t="s">
        <v>117</v>
      </c>
      <c r="K2719" s="2"/>
      <c r="L2719" s="2" t="s">
        <v>92</v>
      </c>
      <c r="M2719" s="2"/>
      <c r="N2719" s="2" t="s">
        <v>128</v>
      </c>
    </row>
    <row r="2720" spans="1:14" x14ac:dyDescent="0.25">
      <c r="A2720" s="2" t="s">
        <v>7182</v>
      </c>
      <c r="B2720" s="2" t="s">
        <v>7183</v>
      </c>
      <c r="C2720" s="2" t="s">
        <v>16</v>
      </c>
      <c r="D2720" s="2" t="s">
        <v>17</v>
      </c>
      <c r="E2720" s="2" t="s">
        <v>18</v>
      </c>
      <c r="F2720" s="2" t="s">
        <v>62</v>
      </c>
      <c r="G2720" s="2" t="s">
        <v>40</v>
      </c>
      <c r="H2720" s="2" t="s">
        <v>32</v>
      </c>
      <c r="I2720" s="2">
        <v>48</v>
      </c>
      <c r="J2720" s="2" t="s">
        <v>145</v>
      </c>
      <c r="K2720" s="2"/>
      <c r="L2720" s="2" t="s">
        <v>24</v>
      </c>
      <c r="M2720" s="2"/>
      <c r="N2720" s="2"/>
    </row>
    <row r="2721" spans="1:14" x14ac:dyDescent="0.25">
      <c r="A2721" s="2" t="s">
        <v>7184</v>
      </c>
      <c r="B2721" s="2" t="s">
        <v>7185</v>
      </c>
      <c r="C2721" s="2" t="s">
        <v>53</v>
      </c>
      <c r="D2721" s="2" t="s">
        <v>54</v>
      </c>
      <c r="E2721" s="2" t="s">
        <v>148</v>
      </c>
      <c r="F2721" s="2" t="s">
        <v>47</v>
      </c>
      <c r="G2721" s="2" t="s">
        <v>20</v>
      </c>
      <c r="H2721" s="2" t="s">
        <v>21</v>
      </c>
      <c r="I2721" s="2">
        <v>24</v>
      </c>
      <c r="J2721" s="2" t="s">
        <v>33</v>
      </c>
      <c r="K2721" s="2"/>
      <c r="L2721" s="2" t="s">
        <v>24</v>
      </c>
      <c r="M2721" s="2"/>
      <c r="N2721" s="2" t="s">
        <v>25</v>
      </c>
    </row>
    <row r="2722" spans="1:14" x14ac:dyDescent="0.25">
      <c r="A2722" s="2" t="s">
        <v>7186</v>
      </c>
      <c r="B2722" s="2" t="s">
        <v>7187</v>
      </c>
      <c r="C2722" s="2" t="s">
        <v>67</v>
      </c>
      <c r="D2722" s="2" t="s">
        <v>601</v>
      </c>
      <c r="E2722" s="2" t="s">
        <v>46</v>
      </c>
      <c r="F2722" s="2" t="s">
        <v>113</v>
      </c>
      <c r="G2722" s="2" t="s">
        <v>139</v>
      </c>
      <c r="H2722" s="2" t="s">
        <v>74</v>
      </c>
      <c r="I2722" s="2">
        <v>8</v>
      </c>
      <c r="J2722" s="2" t="s">
        <v>145</v>
      </c>
      <c r="K2722" s="2"/>
      <c r="L2722" s="2" t="s">
        <v>24</v>
      </c>
      <c r="M2722" s="2"/>
      <c r="N2722" s="2" t="s">
        <v>58</v>
      </c>
    </row>
    <row r="2723" spans="1:14" x14ac:dyDescent="0.25">
      <c r="A2723" s="2" t="s">
        <v>7188</v>
      </c>
      <c r="B2723" s="2" t="s">
        <v>7189</v>
      </c>
      <c r="C2723" s="2" t="s">
        <v>53</v>
      </c>
      <c r="D2723" s="2" t="s">
        <v>61</v>
      </c>
      <c r="E2723" s="2" t="s">
        <v>46</v>
      </c>
      <c r="F2723" s="2" t="s">
        <v>39</v>
      </c>
      <c r="G2723" s="2" t="s">
        <v>126</v>
      </c>
      <c r="H2723" s="2" t="s">
        <v>32</v>
      </c>
      <c r="I2723" s="2">
        <v>48</v>
      </c>
      <c r="J2723" s="2" t="s">
        <v>191</v>
      </c>
      <c r="K2723" s="2" t="s">
        <v>7190</v>
      </c>
      <c r="L2723" s="2" t="s">
        <v>24</v>
      </c>
      <c r="M2723" s="2"/>
      <c r="N2723" s="2"/>
    </row>
    <row r="2724" spans="1:14" x14ac:dyDescent="0.25">
      <c r="A2724" s="2" t="s">
        <v>7191</v>
      </c>
      <c r="B2724" s="2" t="s">
        <v>7192</v>
      </c>
      <c r="C2724" s="2" t="s">
        <v>67</v>
      </c>
      <c r="D2724" s="2" t="s">
        <v>68</v>
      </c>
      <c r="E2724" s="2" t="s">
        <v>79</v>
      </c>
      <c r="F2724" s="2" t="s">
        <v>69</v>
      </c>
      <c r="G2724" s="2" t="s">
        <v>105</v>
      </c>
      <c r="H2724" s="2" t="s">
        <v>80</v>
      </c>
      <c r="I2724" s="2">
        <v>4</v>
      </c>
      <c r="J2724" s="2" t="s">
        <v>191</v>
      </c>
      <c r="K2724" s="2" t="s">
        <v>7193</v>
      </c>
      <c r="L2724" s="2" t="s">
        <v>24</v>
      </c>
      <c r="M2724" s="2"/>
      <c r="N2724" s="2" t="s">
        <v>64</v>
      </c>
    </row>
    <row r="2725" spans="1:14" x14ac:dyDescent="0.25">
      <c r="A2725" s="2" t="s">
        <v>7194</v>
      </c>
      <c r="B2725" s="2" t="s">
        <v>7195</v>
      </c>
      <c r="C2725" s="2" t="s">
        <v>67</v>
      </c>
      <c r="D2725" s="2" t="s">
        <v>95</v>
      </c>
      <c r="E2725" s="2" t="s">
        <v>79</v>
      </c>
      <c r="F2725" s="2" t="s">
        <v>113</v>
      </c>
      <c r="G2725" s="2" t="s">
        <v>179</v>
      </c>
      <c r="H2725" s="2" t="s">
        <v>32</v>
      </c>
      <c r="I2725" s="2">
        <v>48</v>
      </c>
      <c r="J2725" s="2" t="s">
        <v>22</v>
      </c>
      <c r="K2725" s="2" t="s">
        <v>7196</v>
      </c>
      <c r="L2725" s="2" t="s">
        <v>24</v>
      </c>
      <c r="M2725" s="2">
        <v>5</v>
      </c>
      <c r="N2725" s="2" t="s">
        <v>128</v>
      </c>
    </row>
    <row r="2726" spans="1:14" x14ac:dyDescent="0.25">
      <c r="A2726" s="2" t="s">
        <v>7197</v>
      </c>
      <c r="B2726" s="2" t="s">
        <v>7198</v>
      </c>
      <c r="C2726" s="2" t="s">
        <v>16</v>
      </c>
      <c r="D2726" s="2" t="s">
        <v>84</v>
      </c>
      <c r="E2726" s="2" t="s">
        <v>18</v>
      </c>
      <c r="F2726" s="2" t="s">
        <v>39</v>
      </c>
      <c r="G2726" s="2" t="s">
        <v>101</v>
      </c>
      <c r="H2726" s="2" t="s">
        <v>80</v>
      </c>
      <c r="I2726" s="2">
        <v>4</v>
      </c>
      <c r="J2726" s="2" t="s">
        <v>75</v>
      </c>
      <c r="K2726" s="2" t="s">
        <v>7199</v>
      </c>
      <c r="L2726" s="2" t="s">
        <v>24</v>
      </c>
      <c r="M2726" s="2"/>
      <c r="N2726" s="2" t="s">
        <v>50</v>
      </c>
    </row>
    <row r="2727" spans="1:14" x14ac:dyDescent="0.25">
      <c r="A2727" s="2" t="s">
        <v>7200</v>
      </c>
      <c r="B2727" s="2" t="s">
        <v>7201</v>
      </c>
      <c r="C2727" s="2" t="s">
        <v>67</v>
      </c>
      <c r="D2727" s="2" t="s">
        <v>95</v>
      </c>
      <c r="E2727" s="2" t="s">
        <v>18</v>
      </c>
      <c r="F2727" s="2" t="s">
        <v>19</v>
      </c>
      <c r="G2727" s="2" t="s">
        <v>158</v>
      </c>
      <c r="H2727" s="2" t="s">
        <v>32</v>
      </c>
      <c r="I2727" s="2">
        <v>48</v>
      </c>
      <c r="J2727" s="2" t="s">
        <v>106</v>
      </c>
      <c r="K2727" s="2" t="s">
        <v>7202</v>
      </c>
      <c r="L2727" s="2" t="s">
        <v>24</v>
      </c>
      <c r="M2727" s="2">
        <v>4</v>
      </c>
      <c r="N2727" s="2" t="s">
        <v>34</v>
      </c>
    </row>
    <row r="2728" spans="1:14" x14ac:dyDescent="0.25">
      <c r="A2728" s="2" t="s">
        <v>7203</v>
      </c>
      <c r="B2728" s="2" t="s">
        <v>7204</v>
      </c>
      <c r="C2728" s="2" t="s">
        <v>67</v>
      </c>
      <c r="D2728" s="2" t="s">
        <v>68</v>
      </c>
      <c r="E2728" s="2" t="s">
        <v>148</v>
      </c>
      <c r="F2728" s="2" t="s">
        <v>62</v>
      </c>
      <c r="G2728" s="2" t="s">
        <v>179</v>
      </c>
      <c r="H2728" s="2" t="s">
        <v>32</v>
      </c>
      <c r="I2728" s="2">
        <v>48</v>
      </c>
      <c r="J2728" s="2" t="s">
        <v>41</v>
      </c>
      <c r="K2728" s="2" t="s">
        <v>7205</v>
      </c>
      <c r="L2728" s="2" t="s">
        <v>24</v>
      </c>
      <c r="M2728" s="2"/>
      <c r="N2728" s="2" t="s">
        <v>50</v>
      </c>
    </row>
    <row r="2729" spans="1:14" x14ac:dyDescent="0.25">
      <c r="A2729" s="2" t="s">
        <v>7206</v>
      </c>
      <c r="B2729" s="2" t="s">
        <v>7207</v>
      </c>
      <c r="C2729" s="2" t="s">
        <v>53</v>
      </c>
      <c r="D2729" s="2" t="s">
        <v>61</v>
      </c>
      <c r="E2729" s="2" t="s">
        <v>79</v>
      </c>
      <c r="F2729" s="2" t="s">
        <v>55</v>
      </c>
      <c r="G2729" s="2" t="s">
        <v>144</v>
      </c>
      <c r="H2729" s="2" t="s">
        <v>21</v>
      </c>
      <c r="I2729" s="2">
        <v>24</v>
      </c>
      <c r="J2729" s="2" t="s">
        <v>56</v>
      </c>
      <c r="K2729" s="2"/>
      <c r="L2729" s="2" t="s">
        <v>24</v>
      </c>
      <c r="M2729" s="2"/>
      <c r="N2729" s="2" t="s">
        <v>64</v>
      </c>
    </row>
    <row r="2730" spans="1:14" x14ac:dyDescent="0.25">
      <c r="A2730" s="2" t="s">
        <v>7208</v>
      </c>
      <c r="B2730" s="2" t="s">
        <v>7209</v>
      </c>
      <c r="C2730" s="2" t="s">
        <v>28</v>
      </c>
      <c r="D2730" s="2" t="s">
        <v>100</v>
      </c>
      <c r="E2730" s="2" t="s">
        <v>18</v>
      </c>
      <c r="F2730" s="2" t="s">
        <v>69</v>
      </c>
      <c r="G2730" s="2" t="s">
        <v>40</v>
      </c>
      <c r="H2730" s="2" t="s">
        <v>74</v>
      </c>
      <c r="I2730" s="2">
        <v>8</v>
      </c>
      <c r="J2730" s="2" t="s">
        <v>232</v>
      </c>
      <c r="K2730" s="2"/>
      <c r="L2730" s="2" t="s">
        <v>92</v>
      </c>
      <c r="M2730" s="2"/>
      <c r="N2730" s="2" t="s">
        <v>64</v>
      </c>
    </row>
    <row r="2731" spans="1:14" x14ac:dyDescent="0.25">
      <c r="A2731" s="2" t="s">
        <v>7210</v>
      </c>
      <c r="B2731" s="2" t="s">
        <v>7211</v>
      </c>
      <c r="C2731" s="2" t="s">
        <v>28</v>
      </c>
      <c r="D2731" s="2" t="s">
        <v>100</v>
      </c>
      <c r="E2731" s="2" t="s">
        <v>46</v>
      </c>
      <c r="F2731" s="2" t="s">
        <v>96</v>
      </c>
      <c r="G2731" s="2" t="s">
        <v>158</v>
      </c>
      <c r="H2731" s="2" t="s">
        <v>32</v>
      </c>
      <c r="I2731" s="2">
        <v>48</v>
      </c>
      <c r="J2731" s="2" t="s">
        <v>41</v>
      </c>
      <c r="K2731" s="2" t="s">
        <v>7212</v>
      </c>
      <c r="L2731" s="2" t="s">
        <v>24</v>
      </c>
      <c r="M2731" s="2">
        <v>1</v>
      </c>
      <c r="N2731" s="2" t="s">
        <v>25</v>
      </c>
    </row>
    <row r="2732" spans="1:14" x14ac:dyDescent="0.25">
      <c r="A2732" s="2" t="s">
        <v>7213</v>
      </c>
      <c r="B2732" s="2" t="s">
        <v>7214</v>
      </c>
      <c r="C2732" s="2" t="s">
        <v>16</v>
      </c>
      <c r="D2732" s="2" t="s">
        <v>84</v>
      </c>
      <c r="E2732" s="2" t="s">
        <v>46</v>
      </c>
      <c r="F2732" s="2" t="s">
        <v>143</v>
      </c>
      <c r="G2732" s="2" t="s">
        <v>91</v>
      </c>
      <c r="H2732" s="2" t="s">
        <v>80</v>
      </c>
      <c r="I2732" s="2">
        <v>4</v>
      </c>
      <c r="J2732" s="2" t="s">
        <v>11</v>
      </c>
      <c r="K2732" s="2"/>
      <c r="L2732" s="2" t="s">
        <v>92</v>
      </c>
      <c r="M2732" s="2"/>
      <c r="N2732" s="2"/>
    </row>
    <row r="2733" spans="1:14" x14ac:dyDescent="0.25">
      <c r="A2733" s="2" t="s">
        <v>7215</v>
      </c>
      <c r="B2733" s="2" t="s">
        <v>7216</v>
      </c>
      <c r="C2733" s="2" t="s">
        <v>67</v>
      </c>
      <c r="D2733" s="2" t="s">
        <v>95</v>
      </c>
      <c r="E2733" s="2" t="s">
        <v>79</v>
      </c>
      <c r="F2733" s="2" t="s">
        <v>39</v>
      </c>
      <c r="G2733" s="2" t="s">
        <v>20</v>
      </c>
      <c r="H2733" s="2" t="s">
        <v>21</v>
      </c>
      <c r="I2733" s="2">
        <v>24</v>
      </c>
      <c r="J2733" s="2" t="s">
        <v>41</v>
      </c>
      <c r="K2733" s="2" t="s">
        <v>7217</v>
      </c>
      <c r="L2733" s="2" t="s">
        <v>24</v>
      </c>
      <c r="M2733" s="2">
        <v>5</v>
      </c>
      <c r="N2733" s="2" t="s">
        <v>64</v>
      </c>
    </row>
    <row r="2734" spans="1:14" x14ac:dyDescent="0.25">
      <c r="A2734" s="2" t="s">
        <v>7218</v>
      </c>
      <c r="B2734" s="2" t="s">
        <v>7219</v>
      </c>
      <c r="C2734" s="2" t="s">
        <v>16</v>
      </c>
      <c r="D2734" s="2" t="s">
        <v>17</v>
      </c>
      <c r="E2734" s="2" t="s">
        <v>90</v>
      </c>
      <c r="F2734" s="2" t="s">
        <v>47</v>
      </c>
      <c r="G2734" s="2" t="s">
        <v>126</v>
      </c>
      <c r="H2734" s="2" t="s">
        <v>74</v>
      </c>
      <c r="I2734" s="2">
        <v>8</v>
      </c>
      <c r="J2734" s="2" t="s">
        <v>155</v>
      </c>
      <c r="K2734" s="2"/>
      <c r="L2734" s="2" t="s">
        <v>24</v>
      </c>
      <c r="M2734" s="2"/>
      <c r="N2734" s="2"/>
    </row>
    <row r="2735" spans="1:14" x14ac:dyDescent="0.25">
      <c r="A2735" s="2" t="s">
        <v>7220</v>
      </c>
      <c r="B2735" s="2" t="s">
        <v>7221</v>
      </c>
      <c r="C2735" s="2" t="s">
        <v>28</v>
      </c>
      <c r="D2735" s="2" t="s">
        <v>37</v>
      </c>
      <c r="E2735" s="2" t="s">
        <v>85</v>
      </c>
      <c r="F2735" s="2" t="s">
        <v>62</v>
      </c>
      <c r="G2735" s="2" t="s">
        <v>105</v>
      </c>
      <c r="H2735" s="2" t="s">
        <v>74</v>
      </c>
      <c r="I2735" s="2">
        <v>8</v>
      </c>
      <c r="J2735" s="2" t="s">
        <v>232</v>
      </c>
      <c r="K2735" s="2"/>
      <c r="L2735" s="2" t="s">
        <v>92</v>
      </c>
      <c r="M2735" s="2"/>
      <c r="N2735" s="2" t="s">
        <v>50</v>
      </c>
    </row>
    <row r="2736" spans="1:14" x14ac:dyDescent="0.25">
      <c r="A2736" s="2" t="s">
        <v>7222</v>
      </c>
      <c r="B2736" s="2" t="s">
        <v>7223</v>
      </c>
      <c r="C2736" s="2" t="s">
        <v>16</v>
      </c>
      <c r="D2736" s="2" t="s">
        <v>84</v>
      </c>
      <c r="E2736" s="2" t="s">
        <v>18</v>
      </c>
      <c r="F2736" s="2" t="s">
        <v>125</v>
      </c>
      <c r="G2736" s="2" t="s">
        <v>144</v>
      </c>
      <c r="H2736" s="2" t="s">
        <v>21</v>
      </c>
      <c r="I2736" s="2">
        <v>24</v>
      </c>
      <c r="J2736" s="2" t="s">
        <v>41</v>
      </c>
      <c r="K2736" s="2" t="s">
        <v>7224</v>
      </c>
      <c r="L2736" s="2" t="s">
        <v>24</v>
      </c>
      <c r="M2736" s="2">
        <v>3</v>
      </c>
      <c r="N2736" s="2" t="s">
        <v>58</v>
      </c>
    </row>
    <row r="2737" spans="1:14" x14ac:dyDescent="0.25">
      <c r="A2737" s="2" t="s">
        <v>7225</v>
      </c>
      <c r="B2737" s="2" t="s">
        <v>7226</v>
      </c>
      <c r="C2737" s="2" t="s">
        <v>16</v>
      </c>
      <c r="D2737" s="2" t="s">
        <v>17</v>
      </c>
      <c r="E2737" s="2" t="s">
        <v>90</v>
      </c>
      <c r="F2737" s="2" t="s">
        <v>47</v>
      </c>
      <c r="G2737" s="2" t="s">
        <v>179</v>
      </c>
      <c r="H2737" s="2" t="s">
        <v>32</v>
      </c>
      <c r="I2737" s="2">
        <v>48</v>
      </c>
      <c r="J2737" s="2" t="s">
        <v>48</v>
      </c>
      <c r="K2737" s="2"/>
      <c r="L2737" s="2" t="s">
        <v>24</v>
      </c>
      <c r="M2737" s="2">
        <v>4</v>
      </c>
      <c r="N2737" s="2" t="s">
        <v>25</v>
      </c>
    </row>
    <row r="2738" spans="1:14" x14ac:dyDescent="0.25">
      <c r="A2738" s="2" t="s">
        <v>7227</v>
      </c>
      <c r="B2738" s="2" t="s">
        <v>7228</v>
      </c>
      <c r="C2738" s="2" t="s">
        <v>28</v>
      </c>
      <c r="D2738" s="2" t="s">
        <v>29</v>
      </c>
      <c r="E2738" s="2" t="s">
        <v>85</v>
      </c>
      <c r="F2738" s="2" t="s">
        <v>30</v>
      </c>
      <c r="G2738" s="2" t="s">
        <v>110</v>
      </c>
      <c r="H2738" s="2" t="s">
        <v>74</v>
      </c>
      <c r="I2738" s="2">
        <v>8</v>
      </c>
      <c r="J2738" s="2" t="s">
        <v>33</v>
      </c>
      <c r="K2738" s="2"/>
      <c r="L2738" s="2" t="s">
        <v>24</v>
      </c>
      <c r="M2738" s="2"/>
      <c r="N2738" s="2" t="s">
        <v>25</v>
      </c>
    </row>
    <row r="2739" spans="1:14" x14ac:dyDescent="0.25">
      <c r="A2739" s="2" t="s">
        <v>7229</v>
      </c>
      <c r="B2739" s="2" t="s">
        <v>7230</v>
      </c>
      <c r="C2739" s="2" t="s">
        <v>67</v>
      </c>
      <c r="D2739" s="2" t="s">
        <v>68</v>
      </c>
      <c r="E2739" s="2" t="s">
        <v>18</v>
      </c>
      <c r="F2739" s="2" t="s">
        <v>39</v>
      </c>
      <c r="G2739" s="2" t="s">
        <v>135</v>
      </c>
      <c r="H2739" s="2" t="s">
        <v>21</v>
      </c>
      <c r="I2739" s="2">
        <v>24</v>
      </c>
      <c r="J2739" s="2" t="s">
        <v>41</v>
      </c>
      <c r="K2739" s="2" t="s">
        <v>7231</v>
      </c>
      <c r="L2739" s="2" t="s">
        <v>24</v>
      </c>
      <c r="M2739" s="2">
        <v>5</v>
      </c>
      <c r="N2739" s="2" t="s">
        <v>25</v>
      </c>
    </row>
    <row r="2740" spans="1:14" x14ac:dyDescent="0.25">
      <c r="A2740" s="2" t="s">
        <v>7232</v>
      </c>
      <c r="B2740" s="2" t="s">
        <v>7233</v>
      </c>
      <c r="C2740" s="2" t="s">
        <v>53</v>
      </c>
      <c r="D2740" s="2" t="s">
        <v>54</v>
      </c>
      <c r="E2740" s="2" t="s">
        <v>79</v>
      </c>
      <c r="F2740" s="2" t="s">
        <v>96</v>
      </c>
      <c r="G2740" s="2" t="s">
        <v>70</v>
      </c>
      <c r="H2740" s="2" t="s">
        <v>74</v>
      </c>
      <c r="I2740" s="2">
        <v>8</v>
      </c>
      <c r="J2740" s="2" t="s">
        <v>106</v>
      </c>
      <c r="K2740" s="2" t="s">
        <v>7234</v>
      </c>
      <c r="L2740" s="2" t="s">
        <v>24</v>
      </c>
      <c r="M2740" s="2"/>
      <c r="N2740" s="2" t="s">
        <v>34</v>
      </c>
    </row>
    <row r="2741" spans="1:14" x14ac:dyDescent="0.25">
      <c r="A2741" s="2" t="s">
        <v>7235</v>
      </c>
      <c r="B2741" s="2" t="s">
        <v>7236</v>
      </c>
      <c r="C2741" s="2" t="s">
        <v>16</v>
      </c>
      <c r="D2741" s="2" t="s">
        <v>84</v>
      </c>
      <c r="E2741" s="2" t="s">
        <v>90</v>
      </c>
      <c r="F2741" s="2" t="s">
        <v>113</v>
      </c>
      <c r="G2741" s="2" t="s">
        <v>105</v>
      </c>
      <c r="H2741" s="2" t="s">
        <v>21</v>
      </c>
      <c r="I2741" s="2">
        <v>24</v>
      </c>
      <c r="J2741" s="2" t="s">
        <v>145</v>
      </c>
      <c r="K2741" s="2"/>
      <c r="L2741" s="2" t="s">
        <v>24</v>
      </c>
      <c r="M2741" s="2"/>
      <c r="N2741" s="2" t="s">
        <v>25</v>
      </c>
    </row>
    <row r="2742" spans="1:14" x14ac:dyDescent="0.25">
      <c r="A2742" s="2" t="s">
        <v>7237</v>
      </c>
      <c r="B2742" s="2" t="s">
        <v>7238</v>
      </c>
      <c r="C2742" s="2" t="s">
        <v>53</v>
      </c>
      <c r="D2742" s="2" t="s">
        <v>771</v>
      </c>
      <c r="E2742" s="2" t="s">
        <v>148</v>
      </c>
      <c r="F2742" s="2" t="s">
        <v>125</v>
      </c>
      <c r="G2742" s="2" t="s">
        <v>135</v>
      </c>
      <c r="H2742" s="2" t="s">
        <v>32</v>
      </c>
      <c r="I2742" s="2">
        <v>48</v>
      </c>
      <c r="J2742" s="2" t="s">
        <v>106</v>
      </c>
      <c r="K2742" s="2" t="s">
        <v>7239</v>
      </c>
      <c r="L2742" s="2" t="s">
        <v>24</v>
      </c>
      <c r="M2742" s="2">
        <v>5</v>
      </c>
      <c r="N2742" s="2" t="s">
        <v>50</v>
      </c>
    </row>
    <row r="2743" spans="1:14" x14ac:dyDescent="0.25">
      <c r="A2743" s="2" t="s">
        <v>7240</v>
      </c>
      <c r="B2743" s="2" t="s">
        <v>7241</v>
      </c>
      <c r="C2743" s="2" t="s">
        <v>16</v>
      </c>
      <c r="D2743" s="2" t="s">
        <v>84</v>
      </c>
      <c r="E2743" s="2" t="s">
        <v>18</v>
      </c>
      <c r="F2743" s="2" t="s">
        <v>143</v>
      </c>
      <c r="G2743" s="2" t="s">
        <v>144</v>
      </c>
      <c r="H2743" s="2" t="s">
        <v>74</v>
      </c>
      <c r="I2743" s="2">
        <v>8</v>
      </c>
      <c r="J2743" s="2" t="s">
        <v>41</v>
      </c>
      <c r="K2743" s="2" t="s">
        <v>7242</v>
      </c>
      <c r="L2743" s="2" t="s">
        <v>24</v>
      </c>
      <c r="M2743" s="2">
        <v>4</v>
      </c>
      <c r="N2743" s="2" t="s">
        <v>64</v>
      </c>
    </row>
    <row r="2744" spans="1:14" x14ac:dyDescent="0.25">
      <c r="A2744" s="2" t="s">
        <v>7243</v>
      </c>
      <c r="B2744" s="2" t="s">
        <v>7244</v>
      </c>
      <c r="C2744" s="2" t="s">
        <v>53</v>
      </c>
      <c r="D2744" s="2" t="s">
        <v>61</v>
      </c>
      <c r="E2744" s="2" t="s">
        <v>90</v>
      </c>
      <c r="F2744" s="2" t="s">
        <v>55</v>
      </c>
      <c r="G2744" s="2" t="s">
        <v>135</v>
      </c>
      <c r="H2744" s="2" t="s">
        <v>21</v>
      </c>
      <c r="I2744" s="2">
        <v>24</v>
      </c>
      <c r="J2744" s="2" t="s">
        <v>41</v>
      </c>
      <c r="K2744" s="2" t="s">
        <v>7245</v>
      </c>
      <c r="L2744" s="2" t="s">
        <v>92</v>
      </c>
      <c r="M2744" s="2"/>
      <c r="N2744" s="2"/>
    </row>
    <row r="2745" spans="1:14" x14ac:dyDescent="0.25">
      <c r="A2745" s="2" t="s">
        <v>7246</v>
      </c>
      <c r="B2745" s="2" t="s">
        <v>7247</v>
      </c>
      <c r="C2745" s="2" t="s">
        <v>16</v>
      </c>
      <c r="D2745" s="2" t="s">
        <v>240</v>
      </c>
      <c r="E2745" s="2" t="s">
        <v>85</v>
      </c>
      <c r="F2745" s="2" t="s">
        <v>96</v>
      </c>
      <c r="G2745" s="2" t="s">
        <v>211</v>
      </c>
      <c r="H2745" s="2" t="s">
        <v>21</v>
      </c>
      <c r="I2745" s="2">
        <v>24</v>
      </c>
      <c r="J2745" s="2" t="s">
        <v>22</v>
      </c>
      <c r="K2745" s="2" t="s">
        <v>7248</v>
      </c>
      <c r="L2745" s="2" t="s">
        <v>24</v>
      </c>
      <c r="M2745" s="2"/>
      <c r="N2745" s="2"/>
    </row>
    <row r="2746" spans="1:14" x14ac:dyDescent="0.25">
      <c r="A2746" s="2" t="s">
        <v>7249</v>
      </c>
      <c r="B2746" s="2" t="s">
        <v>7250</v>
      </c>
      <c r="C2746" s="2" t="s">
        <v>53</v>
      </c>
      <c r="D2746" s="2" t="s">
        <v>61</v>
      </c>
      <c r="E2746" s="2" t="s">
        <v>148</v>
      </c>
      <c r="F2746" s="2" t="s">
        <v>39</v>
      </c>
      <c r="G2746" s="2" t="s">
        <v>121</v>
      </c>
      <c r="H2746" s="2" t="s">
        <v>80</v>
      </c>
      <c r="I2746" s="2">
        <v>4</v>
      </c>
      <c r="J2746" s="2" t="s">
        <v>145</v>
      </c>
      <c r="K2746" s="2"/>
      <c r="L2746" s="2" t="s">
        <v>24</v>
      </c>
      <c r="M2746" s="2"/>
      <c r="N2746" s="2"/>
    </row>
    <row r="2747" spans="1:14" x14ac:dyDescent="0.25">
      <c r="A2747" s="2" t="s">
        <v>7251</v>
      </c>
      <c r="B2747" s="2" t="s">
        <v>7252</v>
      </c>
      <c r="C2747" s="2" t="s">
        <v>28</v>
      </c>
      <c r="D2747" s="2" t="s">
        <v>37</v>
      </c>
      <c r="E2747" s="2" t="s">
        <v>85</v>
      </c>
      <c r="F2747" s="2" t="s">
        <v>143</v>
      </c>
      <c r="G2747" s="2" t="s">
        <v>179</v>
      </c>
      <c r="H2747" s="2" t="s">
        <v>21</v>
      </c>
      <c r="I2747" s="2">
        <v>24</v>
      </c>
      <c r="J2747" s="2" t="s">
        <v>106</v>
      </c>
      <c r="K2747" s="2" t="s">
        <v>7253</v>
      </c>
      <c r="L2747" s="2" t="s">
        <v>24</v>
      </c>
      <c r="M2747" s="2">
        <v>5</v>
      </c>
      <c r="N2747" s="2" t="s">
        <v>43</v>
      </c>
    </row>
    <row r="2748" spans="1:14" x14ac:dyDescent="0.25">
      <c r="A2748" s="2" t="s">
        <v>7254</v>
      </c>
      <c r="B2748" s="2" t="s">
        <v>7255</v>
      </c>
      <c r="C2748" s="2" t="s">
        <v>67</v>
      </c>
      <c r="D2748" s="2" t="s">
        <v>68</v>
      </c>
      <c r="E2748" s="2" t="s">
        <v>79</v>
      </c>
      <c r="F2748" s="2" t="s">
        <v>113</v>
      </c>
      <c r="G2748" s="2" t="s">
        <v>20</v>
      </c>
      <c r="H2748" s="2" t="s">
        <v>21</v>
      </c>
      <c r="I2748" s="2">
        <v>24</v>
      </c>
      <c r="J2748" s="2" t="s">
        <v>22</v>
      </c>
      <c r="K2748" s="2" t="s">
        <v>7256</v>
      </c>
      <c r="L2748" s="2" t="s">
        <v>24</v>
      </c>
      <c r="M2748" s="2"/>
      <c r="N2748" s="2" t="s">
        <v>58</v>
      </c>
    </row>
    <row r="2749" spans="1:14" x14ac:dyDescent="0.25">
      <c r="A2749" s="2" t="s">
        <v>7257</v>
      </c>
      <c r="B2749" s="2" t="s">
        <v>7258</v>
      </c>
      <c r="C2749" s="2" t="s">
        <v>53</v>
      </c>
      <c r="D2749" s="2" t="s">
        <v>61</v>
      </c>
      <c r="E2749" s="2" t="s">
        <v>79</v>
      </c>
      <c r="F2749" s="2" t="s">
        <v>47</v>
      </c>
      <c r="G2749" s="2" t="s">
        <v>101</v>
      </c>
      <c r="H2749" s="2" t="s">
        <v>32</v>
      </c>
      <c r="I2749" s="2">
        <v>48</v>
      </c>
      <c r="J2749" s="2" t="s">
        <v>187</v>
      </c>
      <c r="K2749" s="2"/>
      <c r="L2749" s="2" t="s">
        <v>24</v>
      </c>
      <c r="M2749" s="2"/>
      <c r="N2749" s="2"/>
    </row>
    <row r="2750" spans="1:14" x14ac:dyDescent="0.25">
      <c r="A2750" s="2" t="s">
        <v>7259</v>
      </c>
      <c r="B2750" s="2" t="s">
        <v>7260</v>
      </c>
      <c r="C2750" s="2" t="s">
        <v>16</v>
      </c>
      <c r="D2750" s="2" t="s">
        <v>17</v>
      </c>
      <c r="E2750" s="2" t="s">
        <v>18</v>
      </c>
      <c r="F2750" s="2" t="s">
        <v>131</v>
      </c>
      <c r="G2750" s="2" t="s">
        <v>91</v>
      </c>
      <c r="H2750" s="2" t="s">
        <v>21</v>
      </c>
      <c r="I2750" s="2">
        <v>24</v>
      </c>
      <c r="J2750" s="2" t="s">
        <v>11</v>
      </c>
      <c r="K2750" s="2"/>
      <c r="L2750" s="2" t="s">
        <v>92</v>
      </c>
      <c r="M2750" s="2"/>
      <c r="N2750" s="2"/>
    </row>
    <row r="2751" spans="1:14" x14ac:dyDescent="0.25">
      <c r="A2751" s="2" t="s">
        <v>7261</v>
      </c>
      <c r="B2751" s="2" t="s">
        <v>7262</v>
      </c>
      <c r="C2751" s="2" t="s">
        <v>53</v>
      </c>
      <c r="D2751" s="2" t="s">
        <v>61</v>
      </c>
      <c r="E2751" s="2" t="s">
        <v>148</v>
      </c>
      <c r="F2751" s="2" t="s">
        <v>39</v>
      </c>
      <c r="G2751" s="2" t="s">
        <v>70</v>
      </c>
      <c r="H2751" s="2" t="s">
        <v>32</v>
      </c>
      <c r="I2751" s="2">
        <v>48</v>
      </c>
      <c r="J2751" s="2" t="s">
        <v>106</v>
      </c>
      <c r="K2751" s="2" t="s">
        <v>7263</v>
      </c>
      <c r="L2751" s="2" t="s">
        <v>24</v>
      </c>
      <c r="M2751" s="2">
        <v>2</v>
      </c>
      <c r="N2751" s="2" t="s">
        <v>64</v>
      </c>
    </row>
    <row r="2752" spans="1:14" x14ac:dyDescent="0.25">
      <c r="A2752" s="2" t="s">
        <v>2284</v>
      </c>
      <c r="B2752" s="2" t="s">
        <v>2285</v>
      </c>
      <c r="C2752" s="2" t="s">
        <v>28</v>
      </c>
      <c r="D2752" s="2" t="s">
        <v>37</v>
      </c>
      <c r="E2752" s="2" t="s">
        <v>18</v>
      </c>
      <c r="F2752" s="2" t="s">
        <v>69</v>
      </c>
      <c r="G2752" s="2" t="s">
        <v>211</v>
      </c>
      <c r="H2752" s="2" t="s">
        <v>21</v>
      </c>
      <c r="I2752" s="2">
        <v>24</v>
      </c>
      <c r="J2752" s="2" t="s">
        <v>232</v>
      </c>
      <c r="K2752" s="2"/>
      <c r="L2752" s="2" t="s">
        <v>92</v>
      </c>
      <c r="M2752" s="2"/>
      <c r="N2752" s="2" t="s">
        <v>64</v>
      </c>
    </row>
    <row r="2753" spans="1:14" x14ac:dyDescent="0.25">
      <c r="A2753" s="2" t="s">
        <v>7264</v>
      </c>
      <c r="B2753" s="2" t="s">
        <v>7265</v>
      </c>
      <c r="C2753" s="2" t="s">
        <v>16</v>
      </c>
      <c r="D2753" s="2" t="s">
        <v>84</v>
      </c>
      <c r="E2753" s="2" t="s">
        <v>18</v>
      </c>
      <c r="F2753" s="2" t="s">
        <v>30</v>
      </c>
      <c r="G2753" s="2" t="s">
        <v>126</v>
      </c>
      <c r="H2753" s="2" t="s">
        <v>21</v>
      </c>
      <c r="I2753" s="2">
        <v>24</v>
      </c>
      <c r="J2753" s="2" t="s">
        <v>33</v>
      </c>
      <c r="K2753" s="2"/>
      <c r="L2753" s="2" t="s">
        <v>92</v>
      </c>
      <c r="M2753" s="2"/>
      <c r="N2753" s="2" t="s">
        <v>58</v>
      </c>
    </row>
    <row r="2754" spans="1:14" x14ac:dyDescent="0.25">
      <c r="A2754" s="2" t="s">
        <v>4778</v>
      </c>
      <c r="B2754" s="2" t="s">
        <v>4779</v>
      </c>
      <c r="C2754" s="2" t="s">
        <v>16</v>
      </c>
      <c r="D2754" s="2" t="s">
        <v>240</v>
      </c>
      <c r="E2754" s="2" t="s">
        <v>79</v>
      </c>
      <c r="F2754" s="2" t="s">
        <v>47</v>
      </c>
      <c r="G2754" s="2" t="s">
        <v>135</v>
      </c>
      <c r="H2754" s="2" t="s">
        <v>32</v>
      </c>
      <c r="I2754" s="2">
        <v>48</v>
      </c>
      <c r="J2754" s="2" t="s">
        <v>22</v>
      </c>
      <c r="K2754" s="2" t="s">
        <v>4780</v>
      </c>
      <c r="L2754" s="2" t="s">
        <v>24</v>
      </c>
      <c r="M2754" s="2">
        <v>4</v>
      </c>
      <c r="N2754" s="2" t="s">
        <v>128</v>
      </c>
    </row>
    <row r="2755" spans="1:14" x14ac:dyDescent="0.25">
      <c r="A2755" s="2" t="s">
        <v>7266</v>
      </c>
      <c r="B2755" s="2" t="s">
        <v>7267</v>
      </c>
      <c r="C2755" s="2" t="s">
        <v>67</v>
      </c>
      <c r="D2755" s="2" t="s">
        <v>68</v>
      </c>
      <c r="E2755" s="2" t="s">
        <v>38</v>
      </c>
      <c r="F2755" s="2" t="s">
        <v>143</v>
      </c>
      <c r="G2755" s="2" t="s">
        <v>144</v>
      </c>
      <c r="H2755" s="2" t="s">
        <v>80</v>
      </c>
      <c r="I2755" s="2">
        <v>4</v>
      </c>
      <c r="J2755" s="2" t="s">
        <v>75</v>
      </c>
      <c r="K2755" s="2" t="s">
        <v>7268</v>
      </c>
      <c r="L2755" s="2" t="s">
        <v>24</v>
      </c>
      <c r="M2755" s="2">
        <v>5</v>
      </c>
      <c r="N2755" s="2" t="s">
        <v>50</v>
      </c>
    </row>
    <row r="2756" spans="1:14" x14ac:dyDescent="0.25">
      <c r="A2756" s="2" t="s">
        <v>7269</v>
      </c>
      <c r="B2756" s="2" t="s">
        <v>7270</v>
      </c>
      <c r="C2756" s="2" t="s">
        <v>28</v>
      </c>
      <c r="D2756" s="2" t="s">
        <v>100</v>
      </c>
      <c r="E2756" s="2" t="s">
        <v>46</v>
      </c>
      <c r="F2756" s="2" t="s">
        <v>143</v>
      </c>
      <c r="G2756" s="2" t="s">
        <v>70</v>
      </c>
      <c r="H2756" s="2" t="s">
        <v>74</v>
      </c>
      <c r="I2756" s="2">
        <v>8</v>
      </c>
      <c r="J2756" s="2" t="s">
        <v>48</v>
      </c>
      <c r="K2756" s="2" t="s">
        <v>7271</v>
      </c>
      <c r="L2756" s="2" t="s">
        <v>92</v>
      </c>
      <c r="M2756" s="2">
        <v>4</v>
      </c>
      <c r="N2756" s="2" t="s">
        <v>50</v>
      </c>
    </row>
    <row r="2757" spans="1:14" x14ac:dyDescent="0.25">
      <c r="A2757" s="2" t="s">
        <v>526</v>
      </c>
      <c r="B2757" s="2" t="s">
        <v>527</v>
      </c>
      <c r="C2757" s="2" t="s">
        <v>53</v>
      </c>
      <c r="D2757" s="2" t="s">
        <v>61</v>
      </c>
      <c r="E2757" s="2" t="s">
        <v>85</v>
      </c>
      <c r="F2757" s="2" t="s">
        <v>96</v>
      </c>
      <c r="G2757" s="2" t="s">
        <v>211</v>
      </c>
      <c r="H2757" s="2" t="s">
        <v>74</v>
      </c>
      <c r="I2757" s="2">
        <v>8</v>
      </c>
      <c r="J2757" s="2" t="s">
        <v>22</v>
      </c>
      <c r="K2757" s="2" t="s">
        <v>528</v>
      </c>
      <c r="L2757" s="2" t="s">
        <v>24</v>
      </c>
      <c r="M2757" s="2">
        <v>4</v>
      </c>
      <c r="N2757" s="2" t="s">
        <v>25</v>
      </c>
    </row>
    <row r="2758" spans="1:14" x14ac:dyDescent="0.25">
      <c r="A2758" s="2" t="s">
        <v>7272</v>
      </c>
      <c r="B2758" s="2" t="s">
        <v>7273</v>
      </c>
      <c r="C2758" s="2" t="s">
        <v>16</v>
      </c>
      <c r="D2758" s="2" t="s">
        <v>84</v>
      </c>
      <c r="E2758" s="2" t="s">
        <v>18</v>
      </c>
      <c r="F2758" s="2" t="s">
        <v>47</v>
      </c>
      <c r="G2758" s="2" t="s">
        <v>158</v>
      </c>
      <c r="H2758" s="2" t="s">
        <v>74</v>
      </c>
      <c r="I2758" s="2">
        <v>8</v>
      </c>
      <c r="J2758" s="2" t="s">
        <v>41</v>
      </c>
      <c r="K2758" s="2" t="s">
        <v>7274</v>
      </c>
      <c r="L2758" s="2" t="s">
        <v>92</v>
      </c>
      <c r="M2758" s="2">
        <v>5</v>
      </c>
      <c r="N2758" s="2" t="s">
        <v>64</v>
      </c>
    </row>
    <row r="2759" spans="1:14" x14ac:dyDescent="0.25">
      <c r="A2759" s="2" t="s">
        <v>7275</v>
      </c>
      <c r="B2759" s="2" t="s">
        <v>7276</v>
      </c>
      <c r="C2759" s="2" t="s">
        <v>67</v>
      </c>
      <c r="D2759" s="2" t="s">
        <v>68</v>
      </c>
      <c r="E2759" s="2" t="s">
        <v>79</v>
      </c>
      <c r="F2759" s="2" t="s">
        <v>69</v>
      </c>
      <c r="G2759" s="2" t="s">
        <v>105</v>
      </c>
      <c r="H2759" s="2" t="s">
        <v>32</v>
      </c>
      <c r="I2759" s="2">
        <v>48</v>
      </c>
      <c r="J2759" s="2" t="s">
        <v>41</v>
      </c>
      <c r="K2759" s="2" t="s">
        <v>7277</v>
      </c>
      <c r="L2759" s="2" t="s">
        <v>92</v>
      </c>
      <c r="M2759" s="2">
        <v>1</v>
      </c>
      <c r="N2759" s="2" t="s">
        <v>128</v>
      </c>
    </row>
    <row r="2760" spans="1:14" x14ac:dyDescent="0.25">
      <c r="A2760" s="2" t="s">
        <v>7278</v>
      </c>
      <c r="B2760" s="2" t="s">
        <v>7279</v>
      </c>
      <c r="C2760" s="2" t="s">
        <v>67</v>
      </c>
      <c r="D2760" s="2" t="s">
        <v>68</v>
      </c>
      <c r="E2760" s="2" t="s">
        <v>46</v>
      </c>
      <c r="F2760" s="2" t="s">
        <v>113</v>
      </c>
      <c r="G2760" s="2" t="s">
        <v>144</v>
      </c>
      <c r="H2760" s="2" t="s">
        <v>80</v>
      </c>
      <c r="I2760" s="2">
        <v>4</v>
      </c>
      <c r="J2760" s="2" t="s">
        <v>155</v>
      </c>
      <c r="K2760" s="2"/>
      <c r="L2760" s="2" t="s">
        <v>24</v>
      </c>
      <c r="M2760" s="2"/>
      <c r="N2760" s="2" t="s">
        <v>128</v>
      </c>
    </row>
    <row r="2761" spans="1:14" x14ac:dyDescent="0.25">
      <c r="A2761" s="2" t="s">
        <v>7280</v>
      </c>
      <c r="B2761" s="2" t="s">
        <v>7281</v>
      </c>
      <c r="C2761" s="2" t="s">
        <v>28</v>
      </c>
      <c r="D2761" s="2" t="s">
        <v>29</v>
      </c>
      <c r="E2761" s="2" t="s">
        <v>38</v>
      </c>
      <c r="F2761" s="2" t="s">
        <v>30</v>
      </c>
      <c r="G2761" s="2" t="s">
        <v>183</v>
      </c>
      <c r="H2761" s="2" t="s">
        <v>32</v>
      </c>
      <c r="I2761" s="2">
        <v>48</v>
      </c>
      <c r="J2761" s="2" t="s">
        <v>41</v>
      </c>
      <c r="K2761" s="2" t="s">
        <v>7282</v>
      </c>
      <c r="L2761" s="2" t="s">
        <v>24</v>
      </c>
      <c r="M2761" s="2">
        <v>2</v>
      </c>
      <c r="N2761" s="2" t="s">
        <v>25</v>
      </c>
    </row>
    <row r="2762" spans="1:14" x14ac:dyDescent="0.25">
      <c r="A2762" s="2" t="s">
        <v>7283</v>
      </c>
      <c r="B2762" s="2" t="s">
        <v>7284</v>
      </c>
      <c r="C2762" s="2" t="s">
        <v>53</v>
      </c>
      <c r="D2762" s="2" t="s">
        <v>61</v>
      </c>
      <c r="E2762" s="2" t="s">
        <v>38</v>
      </c>
      <c r="F2762" s="2" t="s">
        <v>69</v>
      </c>
      <c r="G2762" s="2" t="s">
        <v>110</v>
      </c>
      <c r="H2762" s="2" t="s">
        <v>32</v>
      </c>
      <c r="I2762" s="2">
        <v>48</v>
      </c>
      <c r="J2762" s="2" t="s">
        <v>48</v>
      </c>
      <c r="K2762" s="2" t="s">
        <v>7285</v>
      </c>
      <c r="L2762" s="2" t="s">
        <v>24</v>
      </c>
      <c r="M2762" s="2">
        <v>5</v>
      </c>
      <c r="N2762" s="2" t="s">
        <v>43</v>
      </c>
    </row>
    <row r="2763" spans="1:14" x14ac:dyDescent="0.25">
      <c r="A2763" s="2" t="s">
        <v>7286</v>
      </c>
      <c r="B2763" s="2" t="s">
        <v>7287</v>
      </c>
      <c r="C2763" s="2" t="s">
        <v>28</v>
      </c>
      <c r="D2763" s="2" t="s">
        <v>37</v>
      </c>
      <c r="E2763" s="2" t="s">
        <v>38</v>
      </c>
      <c r="F2763" s="2" t="s">
        <v>96</v>
      </c>
      <c r="G2763" s="2" t="s">
        <v>40</v>
      </c>
      <c r="H2763" s="2" t="s">
        <v>21</v>
      </c>
      <c r="I2763" s="2">
        <v>24</v>
      </c>
      <c r="J2763" s="2" t="s">
        <v>106</v>
      </c>
      <c r="K2763" s="2" t="s">
        <v>7288</v>
      </c>
      <c r="L2763" s="2" t="s">
        <v>24</v>
      </c>
      <c r="M2763" s="2">
        <v>2</v>
      </c>
      <c r="N2763" s="2" t="s">
        <v>58</v>
      </c>
    </row>
    <row r="2764" spans="1:14" x14ac:dyDescent="0.25">
      <c r="A2764" s="2" t="s">
        <v>7289</v>
      </c>
      <c r="B2764" s="2" t="s">
        <v>7290</v>
      </c>
      <c r="C2764" s="2" t="s">
        <v>16</v>
      </c>
      <c r="D2764" s="2" t="s">
        <v>84</v>
      </c>
      <c r="E2764" s="2" t="s">
        <v>79</v>
      </c>
      <c r="F2764" s="2" t="s">
        <v>19</v>
      </c>
      <c r="G2764" s="2" t="s">
        <v>211</v>
      </c>
      <c r="H2764" s="2" t="s">
        <v>21</v>
      </c>
      <c r="I2764" s="2">
        <v>24</v>
      </c>
      <c r="J2764" s="2" t="s">
        <v>48</v>
      </c>
      <c r="K2764" s="2" t="s">
        <v>7291</v>
      </c>
      <c r="L2764" s="2" t="s">
        <v>24</v>
      </c>
      <c r="M2764" s="2"/>
      <c r="N2764" s="2" t="s">
        <v>43</v>
      </c>
    </row>
    <row r="2765" spans="1:14" x14ac:dyDescent="0.25">
      <c r="A2765" s="2" t="s">
        <v>7292</v>
      </c>
      <c r="B2765" s="2" t="s">
        <v>7293</v>
      </c>
      <c r="C2765" s="2" t="s">
        <v>53</v>
      </c>
      <c r="D2765" s="2" t="s">
        <v>54</v>
      </c>
      <c r="E2765" s="2" t="s">
        <v>90</v>
      </c>
      <c r="F2765" s="2" t="s">
        <v>113</v>
      </c>
      <c r="G2765" s="2" t="s">
        <v>31</v>
      </c>
      <c r="H2765" s="2" t="s">
        <v>21</v>
      </c>
      <c r="I2765" s="2">
        <v>24</v>
      </c>
      <c r="J2765" s="2" t="s">
        <v>48</v>
      </c>
      <c r="K2765" s="2" t="s">
        <v>7294</v>
      </c>
      <c r="L2765" s="2" t="s">
        <v>24</v>
      </c>
      <c r="M2765" s="2"/>
      <c r="N2765" s="2" t="s">
        <v>34</v>
      </c>
    </row>
    <row r="2766" spans="1:14" x14ac:dyDescent="0.25">
      <c r="A2766" s="2" t="s">
        <v>7295</v>
      </c>
      <c r="B2766" s="2" t="s">
        <v>7296</v>
      </c>
      <c r="C2766" s="2" t="s">
        <v>16</v>
      </c>
      <c r="D2766" s="2" t="s">
        <v>84</v>
      </c>
      <c r="E2766" s="2" t="s">
        <v>85</v>
      </c>
      <c r="F2766" s="2" t="s">
        <v>69</v>
      </c>
      <c r="G2766" s="2" t="s">
        <v>211</v>
      </c>
      <c r="H2766" s="2" t="s">
        <v>32</v>
      </c>
      <c r="I2766" s="2">
        <v>48</v>
      </c>
      <c r="J2766" s="2" t="s">
        <v>106</v>
      </c>
      <c r="K2766" s="2" t="s">
        <v>7297</v>
      </c>
      <c r="L2766" s="2" t="s">
        <v>24</v>
      </c>
      <c r="M2766" s="2">
        <v>5</v>
      </c>
      <c r="N2766" s="2" t="s">
        <v>118</v>
      </c>
    </row>
    <row r="2767" spans="1:14" x14ac:dyDescent="0.25">
      <c r="A2767" s="2" t="s">
        <v>7298</v>
      </c>
      <c r="B2767" s="2" t="s">
        <v>7299</v>
      </c>
      <c r="C2767" s="2" t="s">
        <v>67</v>
      </c>
      <c r="D2767" s="2" t="s">
        <v>68</v>
      </c>
      <c r="E2767" s="2" t="s">
        <v>46</v>
      </c>
      <c r="F2767" s="2" t="s">
        <v>125</v>
      </c>
      <c r="G2767" s="2" t="s">
        <v>40</v>
      </c>
      <c r="H2767" s="2" t="s">
        <v>32</v>
      </c>
      <c r="I2767" s="2">
        <v>48</v>
      </c>
      <c r="J2767" s="2" t="s">
        <v>486</v>
      </c>
      <c r="K2767" s="2" t="s">
        <v>7300</v>
      </c>
      <c r="L2767" s="2" t="s">
        <v>24</v>
      </c>
      <c r="M2767" s="2"/>
      <c r="N2767" s="2" t="s">
        <v>118</v>
      </c>
    </row>
    <row r="2768" spans="1:14" x14ac:dyDescent="0.25">
      <c r="A2768" s="2" t="s">
        <v>7301</v>
      </c>
      <c r="B2768" s="2" t="s">
        <v>7302</v>
      </c>
      <c r="C2768" s="2" t="s">
        <v>67</v>
      </c>
      <c r="D2768" s="2" t="s">
        <v>68</v>
      </c>
      <c r="E2768" s="2" t="s">
        <v>90</v>
      </c>
      <c r="F2768" s="2" t="s">
        <v>62</v>
      </c>
      <c r="G2768" s="2" t="s">
        <v>183</v>
      </c>
      <c r="H2768" s="2" t="s">
        <v>32</v>
      </c>
      <c r="I2768" s="2">
        <v>48</v>
      </c>
      <c r="J2768" s="2" t="s">
        <v>106</v>
      </c>
      <c r="K2768" s="2" t="s">
        <v>7303</v>
      </c>
      <c r="L2768" s="2" t="s">
        <v>24</v>
      </c>
      <c r="M2768" s="2"/>
      <c r="N2768" s="2" t="s">
        <v>128</v>
      </c>
    </row>
    <row r="2769" spans="1:14" x14ac:dyDescent="0.25">
      <c r="A2769" s="2" t="s">
        <v>7304</v>
      </c>
      <c r="B2769" s="2" t="s">
        <v>7305</v>
      </c>
      <c r="C2769" s="2" t="s">
        <v>16</v>
      </c>
      <c r="D2769" s="2" t="s">
        <v>84</v>
      </c>
      <c r="E2769" s="2" t="s">
        <v>18</v>
      </c>
      <c r="F2769" s="2" t="s">
        <v>47</v>
      </c>
      <c r="G2769" s="2" t="s">
        <v>101</v>
      </c>
      <c r="H2769" s="2" t="s">
        <v>21</v>
      </c>
      <c r="I2769" s="2">
        <v>24</v>
      </c>
      <c r="J2769" s="2" t="s">
        <v>149</v>
      </c>
      <c r="K2769" s="2"/>
      <c r="L2769" s="2" t="s">
        <v>24</v>
      </c>
      <c r="M2769" s="2"/>
      <c r="N2769" s="2" t="s">
        <v>43</v>
      </c>
    </row>
    <row r="2770" spans="1:14" x14ac:dyDescent="0.25">
      <c r="A2770" s="2" t="s">
        <v>7306</v>
      </c>
      <c r="B2770" s="2" t="s">
        <v>7307</v>
      </c>
      <c r="C2770" s="2" t="s">
        <v>28</v>
      </c>
      <c r="D2770" s="2" t="s">
        <v>37</v>
      </c>
      <c r="E2770" s="2" t="s">
        <v>38</v>
      </c>
      <c r="F2770" s="2" t="s">
        <v>19</v>
      </c>
      <c r="G2770" s="2" t="s">
        <v>139</v>
      </c>
      <c r="H2770" s="2" t="s">
        <v>74</v>
      </c>
      <c r="I2770" s="2">
        <v>8</v>
      </c>
      <c r="J2770" s="2" t="s">
        <v>75</v>
      </c>
      <c r="K2770" s="2" t="s">
        <v>7308</v>
      </c>
      <c r="L2770" s="2" t="s">
        <v>24</v>
      </c>
      <c r="M2770" s="2">
        <v>2</v>
      </c>
      <c r="N2770" s="2" t="s">
        <v>43</v>
      </c>
    </row>
    <row r="2771" spans="1:14" x14ac:dyDescent="0.25">
      <c r="A2771" s="2" t="s">
        <v>7309</v>
      </c>
      <c r="B2771" s="2" t="s">
        <v>7310</v>
      </c>
      <c r="C2771" s="2" t="s">
        <v>53</v>
      </c>
      <c r="D2771" s="2" t="s">
        <v>61</v>
      </c>
      <c r="E2771" s="2" t="s">
        <v>38</v>
      </c>
      <c r="F2771" s="2" t="s">
        <v>62</v>
      </c>
      <c r="G2771" s="2" t="s">
        <v>31</v>
      </c>
      <c r="H2771" s="2" t="s">
        <v>74</v>
      </c>
      <c r="I2771" s="2">
        <v>8</v>
      </c>
      <c r="J2771" s="2" t="s">
        <v>22</v>
      </c>
      <c r="K2771" s="2" t="s">
        <v>7311</v>
      </c>
      <c r="L2771" s="2" t="s">
        <v>24</v>
      </c>
      <c r="M2771" s="2"/>
      <c r="N2771" s="2" t="s">
        <v>58</v>
      </c>
    </row>
    <row r="2772" spans="1:14" x14ac:dyDescent="0.25">
      <c r="A2772" s="2" t="s">
        <v>7312</v>
      </c>
      <c r="B2772" s="2" t="s">
        <v>7313</v>
      </c>
      <c r="C2772" s="2" t="s">
        <v>53</v>
      </c>
      <c r="D2772" s="2" t="s">
        <v>54</v>
      </c>
      <c r="E2772" s="2" t="s">
        <v>148</v>
      </c>
      <c r="F2772" s="2" t="s">
        <v>30</v>
      </c>
      <c r="G2772" s="2" t="s">
        <v>121</v>
      </c>
      <c r="H2772" s="2" t="s">
        <v>21</v>
      </c>
      <c r="I2772" s="2">
        <v>24</v>
      </c>
      <c r="J2772" s="2" t="s">
        <v>22</v>
      </c>
      <c r="K2772" s="2" t="s">
        <v>7314</v>
      </c>
      <c r="L2772" s="2" t="s">
        <v>24</v>
      </c>
      <c r="M2772" s="2">
        <v>3</v>
      </c>
      <c r="N2772" s="2" t="s">
        <v>43</v>
      </c>
    </row>
    <row r="2773" spans="1:14" x14ac:dyDescent="0.25">
      <c r="A2773" s="2" t="s">
        <v>7315</v>
      </c>
      <c r="B2773" s="2" t="s">
        <v>7316</v>
      </c>
      <c r="C2773" s="2" t="s">
        <v>67</v>
      </c>
      <c r="D2773" s="2" t="s">
        <v>68</v>
      </c>
      <c r="E2773" s="2" t="s">
        <v>90</v>
      </c>
      <c r="F2773" s="2" t="s">
        <v>69</v>
      </c>
      <c r="G2773" s="2" t="s">
        <v>91</v>
      </c>
      <c r="H2773" s="2" t="s">
        <v>21</v>
      </c>
      <c r="I2773" s="2">
        <v>24</v>
      </c>
      <c r="J2773" s="2" t="s">
        <v>48</v>
      </c>
      <c r="K2773" s="2" t="s">
        <v>7317</v>
      </c>
      <c r="L2773" s="2" t="s">
        <v>24</v>
      </c>
      <c r="M2773" s="2"/>
      <c r="N2773" s="2" t="s">
        <v>25</v>
      </c>
    </row>
    <row r="2774" spans="1:14" x14ac:dyDescent="0.25">
      <c r="A2774" s="2" t="s">
        <v>7318</v>
      </c>
      <c r="B2774" s="2" t="s">
        <v>7319</v>
      </c>
      <c r="C2774" s="2" t="s">
        <v>28</v>
      </c>
      <c r="D2774" s="2" t="s">
        <v>100</v>
      </c>
      <c r="E2774" s="2" t="s">
        <v>46</v>
      </c>
      <c r="F2774" s="2" t="s">
        <v>19</v>
      </c>
      <c r="G2774" s="2" t="s">
        <v>158</v>
      </c>
      <c r="H2774" s="2" t="s">
        <v>21</v>
      </c>
      <c r="I2774" s="2">
        <v>24</v>
      </c>
      <c r="J2774" s="2" t="s">
        <v>149</v>
      </c>
      <c r="K2774" s="2"/>
      <c r="L2774" s="2" t="s">
        <v>24</v>
      </c>
      <c r="M2774" s="2"/>
      <c r="N2774" s="2"/>
    </row>
    <row r="2775" spans="1:14" x14ac:dyDescent="0.25">
      <c r="A2775" s="2" t="s">
        <v>7320</v>
      </c>
      <c r="B2775" s="2" t="s">
        <v>7321</v>
      </c>
      <c r="C2775" s="2" t="s">
        <v>53</v>
      </c>
      <c r="D2775" s="2" t="s">
        <v>54</v>
      </c>
      <c r="E2775" s="2" t="s">
        <v>46</v>
      </c>
      <c r="F2775" s="2" t="s">
        <v>47</v>
      </c>
      <c r="G2775" s="2" t="s">
        <v>31</v>
      </c>
      <c r="H2775" s="2" t="s">
        <v>21</v>
      </c>
      <c r="I2775" s="2">
        <v>24</v>
      </c>
      <c r="J2775" s="2" t="s">
        <v>106</v>
      </c>
      <c r="K2775" s="2" t="s">
        <v>7322</v>
      </c>
      <c r="L2775" s="2" t="s">
        <v>24</v>
      </c>
      <c r="M2775" s="2">
        <v>3</v>
      </c>
      <c r="N2775" s="2" t="s">
        <v>25</v>
      </c>
    </row>
    <row r="2776" spans="1:14" x14ac:dyDescent="0.25">
      <c r="A2776" s="2" t="s">
        <v>7323</v>
      </c>
      <c r="B2776" s="2" t="s">
        <v>7324</v>
      </c>
      <c r="C2776" s="2" t="s">
        <v>67</v>
      </c>
      <c r="D2776" s="2" t="s">
        <v>68</v>
      </c>
      <c r="E2776" s="2" t="s">
        <v>90</v>
      </c>
      <c r="F2776" s="2" t="s">
        <v>55</v>
      </c>
      <c r="G2776" s="2" t="s">
        <v>91</v>
      </c>
      <c r="H2776" s="2" t="s">
        <v>32</v>
      </c>
      <c r="I2776" s="2">
        <v>48</v>
      </c>
      <c r="J2776" s="2" t="s">
        <v>149</v>
      </c>
      <c r="K2776" s="2"/>
      <c r="L2776" s="2" t="s">
        <v>24</v>
      </c>
      <c r="M2776" s="2"/>
      <c r="N2776" s="2" t="s">
        <v>118</v>
      </c>
    </row>
    <row r="2777" spans="1:14" x14ac:dyDescent="0.25">
      <c r="A2777" s="2" t="s">
        <v>7325</v>
      </c>
      <c r="B2777" s="2" t="s">
        <v>7326</v>
      </c>
      <c r="C2777" s="2" t="s">
        <v>53</v>
      </c>
      <c r="D2777" s="2" t="s">
        <v>54</v>
      </c>
      <c r="E2777" s="2" t="s">
        <v>79</v>
      </c>
      <c r="F2777" s="2" t="s">
        <v>47</v>
      </c>
      <c r="G2777" s="2" t="s">
        <v>97</v>
      </c>
      <c r="H2777" s="2" t="s">
        <v>32</v>
      </c>
      <c r="I2777" s="2">
        <v>48</v>
      </c>
      <c r="J2777" s="2" t="s">
        <v>187</v>
      </c>
      <c r="K2777" s="2" t="s">
        <v>7327</v>
      </c>
      <c r="L2777" s="2" t="s">
        <v>24</v>
      </c>
      <c r="M2777" s="2"/>
      <c r="N2777" s="2" t="s">
        <v>50</v>
      </c>
    </row>
    <row r="2778" spans="1:14" x14ac:dyDescent="0.25">
      <c r="A2778" s="2" t="s">
        <v>7328</v>
      </c>
      <c r="B2778" s="2" t="s">
        <v>7329</v>
      </c>
      <c r="C2778" s="2" t="s">
        <v>53</v>
      </c>
      <c r="D2778" s="2" t="s">
        <v>61</v>
      </c>
      <c r="E2778" s="2" t="s">
        <v>85</v>
      </c>
      <c r="F2778" s="2" t="s">
        <v>39</v>
      </c>
      <c r="G2778" s="2" t="s">
        <v>179</v>
      </c>
      <c r="H2778" s="2" t="s">
        <v>74</v>
      </c>
      <c r="I2778" s="2">
        <v>8</v>
      </c>
      <c r="J2778" s="2" t="s">
        <v>117</v>
      </c>
      <c r="K2778" s="2"/>
      <c r="L2778" s="2" t="s">
        <v>24</v>
      </c>
      <c r="M2778" s="2"/>
      <c r="N2778" s="2" t="s">
        <v>25</v>
      </c>
    </row>
    <row r="2779" spans="1:14" x14ac:dyDescent="0.25">
      <c r="A2779" s="2" t="s">
        <v>7330</v>
      </c>
      <c r="B2779" s="2" t="s">
        <v>7331</v>
      </c>
      <c r="C2779" s="2" t="s">
        <v>16</v>
      </c>
      <c r="D2779" s="2" t="s">
        <v>84</v>
      </c>
      <c r="E2779" s="2" t="s">
        <v>148</v>
      </c>
      <c r="F2779" s="2" t="s">
        <v>47</v>
      </c>
      <c r="G2779" s="2" t="s">
        <v>121</v>
      </c>
      <c r="H2779" s="2" t="s">
        <v>32</v>
      </c>
      <c r="I2779" s="2">
        <v>48</v>
      </c>
      <c r="J2779" s="2" t="s">
        <v>75</v>
      </c>
      <c r="K2779" s="2" t="s">
        <v>7332</v>
      </c>
      <c r="L2779" s="2" t="s">
        <v>24</v>
      </c>
      <c r="M2779" s="2"/>
      <c r="N2779" s="2" t="s">
        <v>50</v>
      </c>
    </row>
    <row r="2780" spans="1:14" x14ac:dyDescent="0.25">
      <c r="A2780" s="2" t="s">
        <v>7333</v>
      </c>
      <c r="B2780" s="2" t="s">
        <v>7334</v>
      </c>
      <c r="C2780" s="2" t="s">
        <v>16</v>
      </c>
      <c r="D2780" s="2" t="s">
        <v>84</v>
      </c>
      <c r="E2780" s="2" t="s">
        <v>85</v>
      </c>
      <c r="F2780" s="2" t="s">
        <v>30</v>
      </c>
      <c r="G2780" s="2" t="s">
        <v>97</v>
      </c>
      <c r="H2780" s="2" t="s">
        <v>21</v>
      </c>
      <c r="I2780" s="2">
        <v>24</v>
      </c>
      <c r="J2780" s="2" t="s">
        <v>11</v>
      </c>
      <c r="K2780" s="2"/>
      <c r="L2780" s="2" t="s">
        <v>92</v>
      </c>
      <c r="M2780" s="2"/>
      <c r="N2780" s="2"/>
    </row>
    <row r="2781" spans="1:14" x14ac:dyDescent="0.25">
      <c r="A2781" s="2" t="s">
        <v>7335</v>
      </c>
      <c r="B2781" s="2" t="s">
        <v>7336</v>
      </c>
      <c r="C2781" s="2" t="s">
        <v>53</v>
      </c>
      <c r="D2781" s="2" t="s">
        <v>54</v>
      </c>
      <c r="E2781" s="2" t="s">
        <v>79</v>
      </c>
      <c r="F2781" s="2" t="s">
        <v>30</v>
      </c>
      <c r="G2781" s="2" t="s">
        <v>20</v>
      </c>
      <c r="H2781" s="2" t="s">
        <v>21</v>
      </c>
      <c r="I2781" s="2">
        <v>24</v>
      </c>
      <c r="J2781" s="2" t="s">
        <v>11</v>
      </c>
      <c r="K2781" s="2"/>
      <c r="L2781" s="2" t="s">
        <v>92</v>
      </c>
      <c r="M2781" s="2"/>
      <c r="N2781" s="2" t="s">
        <v>43</v>
      </c>
    </row>
    <row r="2782" spans="1:14" x14ac:dyDescent="0.25">
      <c r="A2782" s="2" t="s">
        <v>7337</v>
      </c>
      <c r="B2782" s="2" t="s">
        <v>7338</v>
      </c>
      <c r="C2782" s="2" t="s">
        <v>53</v>
      </c>
      <c r="D2782" s="2" t="s">
        <v>61</v>
      </c>
      <c r="E2782" s="2" t="s">
        <v>79</v>
      </c>
      <c r="F2782" s="2" t="s">
        <v>143</v>
      </c>
      <c r="G2782" s="2" t="s">
        <v>110</v>
      </c>
      <c r="H2782" s="2" t="s">
        <v>32</v>
      </c>
      <c r="I2782" s="2">
        <v>48</v>
      </c>
      <c r="J2782" s="2" t="s">
        <v>22</v>
      </c>
      <c r="K2782" s="2" t="s">
        <v>7339</v>
      </c>
      <c r="L2782" s="2" t="s">
        <v>24</v>
      </c>
      <c r="M2782" s="2"/>
      <c r="N2782" s="2" t="s">
        <v>50</v>
      </c>
    </row>
    <row r="2783" spans="1:14" x14ac:dyDescent="0.25">
      <c r="A2783" s="2" t="s">
        <v>7340</v>
      </c>
      <c r="B2783" s="2" t="s">
        <v>7341</v>
      </c>
      <c r="C2783" s="2" t="s">
        <v>28</v>
      </c>
      <c r="D2783" s="2" t="s">
        <v>100</v>
      </c>
      <c r="E2783" s="2" t="s">
        <v>79</v>
      </c>
      <c r="F2783" s="2" t="s">
        <v>19</v>
      </c>
      <c r="G2783" s="2" t="s">
        <v>101</v>
      </c>
      <c r="H2783" s="2" t="s">
        <v>32</v>
      </c>
      <c r="I2783" s="2">
        <v>48</v>
      </c>
      <c r="J2783" s="2" t="s">
        <v>22</v>
      </c>
      <c r="K2783" s="2" t="s">
        <v>7342</v>
      </c>
      <c r="L2783" s="2" t="s">
        <v>24</v>
      </c>
      <c r="M2783" s="2"/>
      <c r="N2783" s="2" t="s">
        <v>43</v>
      </c>
    </row>
    <row r="2784" spans="1:14" x14ac:dyDescent="0.25">
      <c r="A2784" s="2" t="s">
        <v>7343</v>
      </c>
      <c r="B2784" s="2" t="s">
        <v>7344</v>
      </c>
      <c r="C2784" s="2" t="s">
        <v>67</v>
      </c>
      <c r="D2784" s="2" t="s">
        <v>68</v>
      </c>
      <c r="E2784" s="2" t="s">
        <v>38</v>
      </c>
      <c r="F2784" s="2" t="s">
        <v>55</v>
      </c>
      <c r="G2784" s="2" t="s">
        <v>105</v>
      </c>
      <c r="H2784" s="2" t="s">
        <v>80</v>
      </c>
      <c r="I2784" s="2">
        <v>4</v>
      </c>
      <c r="J2784" s="2" t="s">
        <v>75</v>
      </c>
      <c r="K2784" s="2" t="s">
        <v>7345</v>
      </c>
      <c r="L2784" s="2" t="s">
        <v>24</v>
      </c>
      <c r="M2784" s="2">
        <v>4</v>
      </c>
      <c r="N2784" s="2" t="s">
        <v>64</v>
      </c>
    </row>
    <row r="2785" spans="1:14" x14ac:dyDescent="0.25">
      <c r="A2785" s="2" t="s">
        <v>7346</v>
      </c>
      <c r="B2785" s="2" t="s">
        <v>7347</v>
      </c>
      <c r="C2785" s="2" t="s">
        <v>16</v>
      </c>
      <c r="D2785" s="2" t="s">
        <v>17</v>
      </c>
      <c r="E2785" s="2" t="s">
        <v>79</v>
      </c>
      <c r="F2785" s="2" t="s">
        <v>19</v>
      </c>
      <c r="G2785" s="2" t="s">
        <v>183</v>
      </c>
      <c r="H2785" s="2" t="s">
        <v>32</v>
      </c>
      <c r="I2785" s="2">
        <v>48</v>
      </c>
      <c r="J2785" s="2" t="s">
        <v>200</v>
      </c>
      <c r="K2785" s="2"/>
      <c r="L2785" s="2" t="s">
        <v>92</v>
      </c>
      <c r="M2785" s="2"/>
      <c r="N2785" s="2" t="s">
        <v>25</v>
      </c>
    </row>
    <row r="2786" spans="1:14" x14ac:dyDescent="0.25">
      <c r="A2786" s="2" t="s">
        <v>7348</v>
      </c>
      <c r="B2786" s="2" t="s">
        <v>7349</v>
      </c>
      <c r="C2786" s="2" t="s">
        <v>16</v>
      </c>
      <c r="D2786" s="2" t="s">
        <v>17</v>
      </c>
      <c r="E2786" s="2" t="s">
        <v>79</v>
      </c>
      <c r="F2786" s="2" t="s">
        <v>143</v>
      </c>
      <c r="G2786" s="2" t="s">
        <v>40</v>
      </c>
      <c r="H2786" s="2" t="s">
        <v>32</v>
      </c>
      <c r="I2786" s="2">
        <v>48</v>
      </c>
      <c r="J2786" s="2" t="s">
        <v>22</v>
      </c>
      <c r="K2786" s="2" t="s">
        <v>7350</v>
      </c>
      <c r="L2786" s="2" t="s">
        <v>24</v>
      </c>
      <c r="M2786" s="2">
        <v>4</v>
      </c>
      <c r="N2786" s="2" t="s">
        <v>118</v>
      </c>
    </row>
    <row r="2787" spans="1:14" x14ac:dyDescent="0.25">
      <c r="A2787" s="2" t="s">
        <v>7351</v>
      </c>
      <c r="B2787" s="2" t="s">
        <v>7352</v>
      </c>
      <c r="C2787" s="2" t="s">
        <v>53</v>
      </c>
      <c r="D2787" s="2" t="s">
        <v>61</v>
      </c>
      <c r="E2787" s="2" t="s">
        <v>46</v>
      </c>
      <c r="F2787" s="2" t="s">
        <v>143</v>
      </c>
      <c r="G2787" s="2" t="s">
        <v>121</v>
      </c>
      <c r="H2787" s="2" t="s">
        <v>32</v>
      </c>
      <c r="I2787" s="2">
        <v>48</v>
      </c>
      <c r="J2787" s="2" t="s">
        <v>106</v>
      </c>
      <c r="K2787" s="2" t="s">
        <v>7353</v>
      </c>
      <c r="L2787" s="2" t="s">
        <v>24</v>
      </c>
      <c r="M2787" s="2">
        <v>5</v>
      </c>
      <c r="N2787" s="2"/>
    </row>
    <row r="2788" spans="1:14" x14ac:dyDescent="0.25">
      <c r="A2788" s="2" t="s">
        <v>7354</v>
      </c>
      <c r="B2788" s="2" t="s">
        <v>7355</v>
      </c>
      <c r="C2788" s="2" t="s">
        <v>28</v>
      </c>
      <c r="D2788" s="2" t="s">
        <v>37</v>
      </c>
      <c r="E2788" s="2" t="s">
        <v>85</v>
      </c>
      <c r="F2788" s="2" t="s">
        <v>113</v>
      </c>
      <c r="G2788" s="2" t="s">
        <v>70</v>
      </c>
      <c r="H2788" s="2" t="s">
        <v>80</v>
      </c>
      <c r="I2788" s="2">
        <v>4</v>
      </c>
      <c r="J2788" s="2" t="s">
        <v>232</v>
      </c>
      <c r="K2788" s="2"/>
      <c r="L2788" s="2" t="s">
        <v>92</v>
      </c>
      <c r="M2788" s="2"/>
      <c r="N2788" s="2" t="s">
        <v>25</v>
      </c>
    </row>
    <row r="2789" spans="1:14" x14ac:dyDescent="0.25">
      <c r="A2789" s="2" t="s">
        <v>7356</v>
      </c>
      <c r="B2789" s="2" t="s">
        <v>7357</v>
      </c>
      <c r="C2789" s="2" t="s">
        <v>67</v>
      </c>
      <c r="D2789" s="2" t="s">
        <v>95</v>
      </c>
      <c r="E2789" s="2" t="s">
        <v>46</v>
      </c>
      <c r="F2789" s="2" t="s">
        <v>69</v>
      </c>
      <c r="G2789" s="2" t="s">
        <v>105</v>
      </c>
      <c r="H2789" s="2" t="s">
        <v>74</v>
      </c>
      <c r="I2789" s="2">
        <v>8</v>
      </c>
      <c r="J2789" s="2" t="s">
        <v>117</v>
      </c>
      <c r="K2789" s="2"/>
      <c r="L2789" s="2" t="s">
        <v>24</v>
      </c>
      <c r="M2789" s="2"/>
      <c r="N2789" s="2" t="s">
        <v>43</v>
      </c>
    </row>
    <row r="2790" spans="1:14" x14ac:dyDescent="0.25">
      <c r="A2790" s="2" t="s">
        <v>7358</v>
      </c>
      <c r="B2790" s="2" t="s">
        <v>7359</v>
      </c>
      <c r="C2790" s="2" t="s">
        <v>67</v>
      </c>
      <c r="D2790" s="2" t="s">
        <v>68</v>
      </c>
      <c r="E2790" s="2" t="s">
        <v>85</v>
      </c>
      <c r="F2790" s="2" t="s">
        <v>39</v>
      </c>
      <c r="G2790" s="2" t="s">
        <v>91</v>
      </c>
      <c r="H2790" s="2" t="s">
        <v>74</v>
      </c>
      <c r="I2790" s="2">
        <v>8</v>
      </c>
      <c r="J2790" s="2" t="s">
        <v>41</v>
      </c>
      <c r="K2790" s="2" t="s">
        <v>7360</v>
      </c>
      <c r="L2790" s="2" t="s">
        <v>24</v>
      </c>
      <c r="M2790" s="2">
        <v>4</v>
      </c>
      <c r="N2790" s="2" t="s">
        <v>64</v>
      </c>
    </row>
    <row r="2791" spans="1:14" x14ac:dyDescent="0.25">
      <c r="A2791" s="2" t="s">
        <v>7361</v>
      </c>
      <c r="B2791" s="2" t="s">
        <v>7362</v>
      </c>
      <c r="C2791" s="2" t="s">
        <v>28</v>
      </c>
      <c r="D2791" s="2" t="s">
        <v>100</v>
      </c>
      <c r="E2791" s="2" t="s">
        <v>85</v>
      </c>
      <c r="F2791" s="2" t="s">
        <v>125</v>
      </c>
      <c r="G2791" s="2" t="s">
        <v>97</v>
      </c>
      <c r="H2791" s="2" t="s">
        <v>32</v>
      </c>
      <c r="I2791" s="2">
        <v>48</v>
      </c>
      <c r="J2791" s="2" t="s">
        <v>191</v>
      </c>
      <c r="K2791" s="2" t="s">
        <v>7363</v>
      </c>
      <c r="L2791" s="2" t="s">
        <v>24</v>
      </c>
      <c r="M2791" s="2"/>
      <c r="N2791" s="2"/>
    </row>
    <row r="2792" spans="1:14" x14ac:dyDescent="0.25">
      <c r="A2792" s="2" t="s">
        <v>7364</v>
      </c>
      <c r="B2792" s="2" t="s">
        <v>7365</v>
      </c>
      <c r="C2792" s="2" t="s">
        <v>16</v>
      </c>
      <c r="D2792" s="2" t="s">
        <v>17</v>
      </c>
      <c r="E2792" s="2" t="s">
        <v>85</v>
      </c>
      <c r="F2792" s="2" t="s">
        <v>131</v>
      </c>
      <c r="G2792" s="2" t="s">
        <v>31</v>
      </c>
      <c r="H2792" s="2" t="s">
        <v>74</v>
      </c>
      <c r="I2792" s="2">
        <v>8</v>
      </c>
      <c r="J2792" s="2" t="s">
        <v>187</v>
      </c>
      <c r="K2792" s="2" t="s">
        <v>7366</v>
      </c>
      <c r="L2792" s="2" t="s">
        <v>24</v>
      </c>
      <c r="M2792" s="2">
        <v>5</v>
      </c>
      <c r="N2792" s="2" t="s">
        <v>118</v>
      </c>
    </row>
    <row r="2793" spans="1:14" x14ac:dyDescent="0.25">
      <c r="A2793" s="2" t="s">
        <v>7367</v>
      </c>
      <c r="B2793" s="2" t="s">
        <v>7368</v>
      </c>
      <c r="C2793" s="2" t="s">
        <v>53</v>
      </c>
      <c r="D2793" s="2" t="s">
        <v>61</v>
      </c>
      <c r="E2793" s="2" t="s">
        <v>85</v>
      </c>
      <c r="F2793" s="2" t="s">
        <v>30</v>
      </c>
      <c r="G2793" s="2" t="s">
        <v>40</v>
      </c>
      <c r="H2793" s="2" t="s">
        <v>32</v>
      </c>
      <c r="I2793" s="2">
        <v>48</v>
      </c>
      <c r="J2793" s="2" t="s">
        <v>75</v>
      </c>
      <c r="K2793" s="2" t="s">
        <v>7369</v>
      </c>
      <c r="L2793" s="2" t="s">
        <v>24</v>
      </c>
      <c r="M2793" s="2"/>
      <c r="N2793" s="2"/>
    </row>
    <row r="2794" spans="1:14" x14ac:dyDescent="0.25">
      <c r="A2794" s="2" t="s">
        <v>7370</v>
      </c>
      <c r="B2794" s="2" t="s">
        <v>7371</v>
      </c>
      <c r="C2794" s="2" t="s">
        <v>67</v>
      </c>
      <c r="D2794" s="2" t="s">
        <v>95</v>
      </c>
      <c r="E2794" s="2" t="s">
        <v>85</v>
      </c>
      <c r="F2794" s="2" t="s">
        <v>55</v>
      </c>
      <c r="G2794" s="2" t="s">
        <v>40</v>
      </c>
      <c r="H2794" s="2" t="s">
        <v>80</v>
      </c>
      <c r="I2794" s="2">
        <v>4</v>
      </c>
      <c r="J2794" s="2" t="s">
        <v>22</v>
      </c>
      <c r="K2794" s="2" t="s">
        <v>7372</v>
      </c>
      <c r="L2794" s="2" t="s">
        <v>24</v>
      </c>
      <c r="M2794" s="2">
        <v>5</v>
      </c>
      <c r="N2794" s="2" t="s">
        <v>25</v>
      </c>
    </row>
    <row r="2795" spans="1:14" x14ac:dyDescent="0.25">
      <c r="A2795" s="2" t="s">
        <v>7373</v>
      </c>
      <c r="B2795" s="2" t="s">
        <v>7374</v>
      </c>
      <c r="C2795" s="2" t="s">
        <v>16</v>
      </c>
      <c r="D2795" s="2" t="s">
        <v>84</v>
      </c>
      <c r="E2795" s="2" t="s">
        <v>148</v>
      </c>
      <c r="F2795" s="2" t="s">
        <v>39</v>
      </c>
      <c r="G2795" s="2" t="s">
        <v>144</v>
      </c>
      <c r="H2795" s="2" t="s">
        <v>21</v>
      </c>
      <c r="I2795" s="2">
        <v>24</v>
      </c>
      <c r="J2795" s="2" t="s">
        <v>287</v>
      </c>
      <c r="K2795" s="2"/>
      <c r="L2795" s="2" t="s">
        <v>24</v>
      </c>
      <c r="M2795" s="2"/>
      <c r="N2795" s="2" t="s">
        <v>34</v>
      </c>
    </row>
    <row r="2796" spans="1:14" x14ac:dyDescent="0.25">
      <c r="A2796" s="2" t="s">
        <v>7375</v>
      </c>
      <c r="B2796" s="2" t="s">
        <v>7376</v>
      </c>
      <c r="C2796" s="2" t="s">
        <v>28</v>
      </c>
      <c r="D2796" s="2" t="s">
        <v>100</v>
      </c>
      <c r="E2796" s="2" t="s">
        <v>46</v>
      </c>
      <c r="F2796" s="2" t="s">
        <v>62</v>
      </c>
      <c r="G2796" s="2" t="s">
        <v>91</v>
      </c>
      <c r="H2796" s="2" t="s">
        <v>21</v>
      </c>
      <c r="I2796" s="2">
        <v>24</v>
      </c>
      <c r="J2796" s="2" t="s">
        <v>187</v>
      </c>
      <c r="K2796" s="2" t="s">
        <v>7377</v>
      </c>
      <c r="L2796" s="2" t="s">
        <v>24</v>
      </c>
      <c r="M2796" s="2">
        <v>5</v>
      </c>
      <c r="N2796" s="2" t="s">
        <v>64</v>
      </c>
    </row>
    <row r="2797" spans="1:14" x14ac:dyDescent="0.25">
      <c r="A2797" s="2" t="s">
        <v>4011</v>
      </c>
      <c r="B2797" s="2" t="s">
        <v>4012</v>
      </c>
      <c r="C2797" s="2" t="s">
        <v>67</v>
      </c>
      <c r="D2797" s="2" t="s">
        <v>68</v>
      </c>
      <c r="E2797" s="2" t="s">
        <v>148</v>
      </c>
      <c r="F2797" s="2" t="s">
        <v>19</v>
      </c>
      <c r="G2797" s="2" t="s">
        <v>40</v>
      </c>
      <c r="H2797" s="2" t="s">
        <v>21</v>
      </c>
      <c r="I2797" s="2">
        <v>24</v>
      </c>
      <c r="J2797" s="2" t="s">
        <v>22</v>
      </c>
      <c r="K2797" s="2"/>
      <c r="L2797" s="2" t="s">
        <v>24</v>
      </c>
      <c r="M2797" s="2"/>
      <c r="N2797" s="2" t="s">
        <v>128</v>
      </c>
    </row>
    <row r="2798" spans="1:14" x14ac:dyDescent="0.25">
      <c r="A2798" s="2" t="s">
        <v>7378</v>
      </c>
      <c r="B2798" s="2" t="s">
        <v>7379</v>
      </c>
      <c r="C2798" s="2" t="s">
        <v>16</v>
      </c>
      <c r="D2798" s="2" t="s">
        <v>84</v>
      </c>
      <c r="E2798" s="2" t="s">
        <v>46</v>
      </c>
      <c r="F2798" s="2" t="s">
        <v>39</v>
      </c>
      <c r="G2798" s="2" t="s">
        <v>211</v>
      </c>
      <c r="H2798" s="2" t="s">
        <v>74</v>
      </c>
      <c r="I2798" s="2">
        <v>8</v>
      </c>
      <c r="J2798" s="2" t="s">
        <v>75</v>
      </c>
      <c r="K2798" s="2" t="s">
        <v>7380</v>
      </c>
      <c r="L2798" s="2" t="s">
        <v>24</v>
      </c>
      <c r="M2798" s="2"/>
      <c r="N2798" s="2" t="s">
        <v>43</v>
      </c>
    </row>
    <row r="2799" spans="1:14" x14ac:dyDescent="0.25">
      <c r="A2799" s="2" t="s">
        <v>7381</v>
      </c>
      <c r="B2799" s="2" t="s">
        <v>7382</v>
      </c>
      <c r="C2799" s="2" t="s">
        <v>28</v>
      </c>
      <c r="D2799" s="2" t="s">
        <v>37</v>
      </c>
      <c r="E2799" s="2" t="s">
        <v>148</v>
      </c>
      <c r="F2799" s="2" t="s">
        <v>55</v>
      </c>
      <c r="G2799" s="2" t="s">
        <v>110</v>
      </c>
      <c r="H2799" s="2" t="s">
        <v>32</v>
      </c>
      <c r="I2799" s="2">
        <v>48</v>
      </c>
      <c r="J2799" s="2" t="s">
        <v>75</v>
      </c>
      <c r="K2799" s="2" t="s">
        <v>7383</v>
      </c>
      <c r="L2799" s="2" t="s">
        <v>24</v>
      </c>
      <c r="M2799" s="2"/>
      <c r="N2799" s="2" t="s">
        <v>43</v>
      </c>
    </row>
    <row r="2800" spans="1:14" x14ac:dyDescent="0.25">
      <c r="A2800" s="2" t="s">
        <v>7384</v>
      </c>
      <c r="B2800" s="2" t="s">
        <v>7385</v>
      </c>
      <c r="C2800" s="2" t="s">
        <v>16</v>
      </c>
      <c r="D2800" s="2" t="s">
        <v>84</v>
      </c>
      <c r="E2800" s="2" t="s">
        <v>79</v>
      </c>
      <c r="F2800" s="2" t="s">
        <v>19</v>
      </c>
      <c r="G2800" s="2" t="s">
        <v>40</v>
      </c>
      <c r="H2800" s="2" t="s">
        <v>21</v>
      </c>
      <c r="I2800" s="2">
        <v>24</v>
      </c>
      <c r="J2800" s="2" t="s">
        <v>48</v>
      </c>
      <c r="K2800" s="2" t="s">
        <v>7386</v>
      </c>
      <c r="L2800" s="2" t="s">
        <v>24</v>
      </c>
      <c r="M2800" s="2"/>
      <c r="N2800" s="2" t="s">
        <v>34</v>
      </c>
    </row>
    <row r="2801" spans="1:14" x14ac:dyDescent="0.25">
      <c r="A2801" s="2" t="s">
        <v>7387</v>
      </c>
      <c r="B2801" s="2" t="s">
        <v>7388</v>
      </c>
      <c r="C2801" s="2" t="s">
        <v>16</v>
      </c>
      <c r="D2801" s="2" t="s">
        <v>240</v>
      </c>
      <c r="E2801" s="2" t="s">
        <v>18</v>
      </c>
      <c r="F2801" s="2" t="s">
        <v>30</v>
      </c>
      <c r="G2801" s="2" t="s">
        <v>70</v>
      </c>
      <c r="H2801" s="2" t="s">
        <v>32</v>
      </c>
      <c r="I2801" s="2">
        <v>48</v>
      </c>
      <c r="J2801" s="2" t="s">
        <v>75</v>
      </c>
      <c r="K2801" s="2" t="s">
        <v>7389</v>
      </c>
      <c r="L2801" s="2" t="s">
        <v>24</v>
      </c>
      <c r="M2801" s="2"/>
      <c r="N2801" s="2" t="s">
        <v>43</v>
      </c>
    </row>
    <row r="2802" spans="1:14" x14ac:dyDescent="0.25">
      <c r="A2802" s="2" t="s">
        <v>7390</v>
      </c>
      <c r="B2802" s="2" t="s">
        <v>7391</v>
      </c>
      <c r="C2802" s="2" t="s">
        <v>28</v>
      </c>
      <c r="D2802" s="2" t="s">
        <v>220</v>
      </c>
      <c r="E2802" s="2" t="s">
        <v>148</v>
      </c>
      <c r="F2802" s="2" t="s">
        <v>62</v>
      </c>
      <c r="G2802" s="2" t="s">
        <v>70</v>
      </c>
      <c r="H2802" s="2" t="s">
        <v>32</v>
      </c>
      <c r="I2802" s="2">
        <v>48</v>
      </c>
      <c r="J2802" s="2" t="s">
        <v>200</v>
      </c>
      <c r="K2802" s="2"/>
      <c r="L2802" s="2" t="s">
        <v>92</v>
      </c>
      <c r="M2802" s="2"/>
      <c r="N2802" s="2"/>
    </row>
    <row r="2803" spans="1:14" x14ac:dyDescent="0.25">
      <c r="A2803" s="2" t="s">
        <v>7392</v>
      </c>
      <c r="B2803" s="2" t="s">
        <v>7393</v>
      </c>
      <c r="C2803" s="2" t="s">
        <v>53</v>
      </c>
      <c r="D2803" s="2" t="s">
        <v>61</v>
      </c>
      <c r="E2803" s="2" t="s">
        <v>18</v>
      </c>
      <c r="F2803" s="2" t="s">
        <v>39</v>
      </c>
      <c r="G2803" s="2" t="s">
        <v>121</v>
      </c>
      <c r="H2803" s="2" t="s">
        <v>21</v>
      </c>
      <c r="I2803" s="2">
        <v>24</v>
      </c>
      <c r="J2803" s="2" t="s">
        <v>117</v>
      </c>
      <c r="K2803" s="2"/>
      <c r="L2803" s="2" t="s">
        <v>24</v>
      </c>
      <c r="M2803" s="2"/>
      <c r="N2803" s="2" t="s">
        <v>25</v>
      </c>
    </row>
    <row r="2804" spans="1:14" x14ac:dyDescent="0.25">
      <c r="A2804" s="2" t="s">
        <v>7394</v>
      </c>
      <c r="B2804" s="2" t="s">
        <v>7395</v>
      </c>
      <c r="C2804" s="2" t="s">
        <v>16</v>
      </c>
      <c r="D2804" s="2" t="s">
        <v>17</v>
      </c>
      <c r="E2804" s="2" t="s">
        <v>18</v>
      </c>
      <c r="F2804" s="2" t="s">
        <v>47</v>
      </c>
      <c r="G2804" s="2" t="s">
        <v>110</v>
      </c>
      <c r="H2804" s="2" t="s">
        <v>32</v>
      </c>
      <c r="I2804" s="2">
        <v>48</v>
      </c>
      <c r="J2804" s="2" t="s">
        <v>75</v>
      </c>
      <c r="K2804" s="2" t="s">
        <v>7396</v>
      </c>
      <c r="L2804" s="2" t="s">
        <v>24</v>
      </c>
      <c r="M2804" s="2"/>
      <c r="N2804" s="2" t="s">
        <v>34</v>
      </c>
    </row>
    <row r="2805" spans="1:14" x14ac:dyDescent="0.25">
      <c r="A2805" s="2" t="s">
        <v>7397</v>
      </c>
      <c r="B2805" s="2" t="s">
        <v>7398</v>
      </c>
      <c r="C2805" s="2" t="s">
        <v>16</v>
      </c>
      <c r="D2805" s="2" t="s">
        <v>84</v>
      </c>
      <c r="E2805" s="2" t="s">
        <v>90</v>
      </c>
      <c r="F2805" s="2" t="s">
        <v>19</v>
      </c>
      <c r="G2805" s="2" t="s">
        <v>121</v>
      </c>
      <c r="H2805" s="2" t="s">
        <v>32</v>
      </c>
      <c r="I2805" s="2">
        <v>48</v>
      </c>
      <c r="J2805" s="2" t="s">
        <v>41</v>
      </c>
      <c r="K2805" s="2" t="s">
        <v>7399</v>
      </c>
      <c r="L2805" s="2" t="s">
        <v>24</v>
      </c>
      <c r="M2805" s="2">
        <v>2</v>
      </c>
      <c r="N2805" s="2" t="s">
        <v>43</v>
      </c>
    </row>
    <row r="2806" spans="1:14" x14ac:dyDescent="0.25">
      <c r="A2806" s="2" t="s">
        <v>7400</v>
      </c>
      <c r="B2806" s="2" t="s">
        <v>7401</v>
      </c>
      <c r="C2806" s="2" t="s">
        <v>28</v>
      </c>
      <c r="D2806" s="2" t="s">
        <v>100</v>
      </c>
      <c r="E2806" s="2" t="s">
        <v>46</v>
      </c>
      <c r="F2806" s="2" t="s">
        <v>30</v>
      </c>
      <c r="G2806" s="2" t="s">
        <v>158</v>
      </c>
      <c r="H2806" s="2" t="s">
        <v>74</v>
      </c>
      <c r="I2806" s="2">
        <v>8</v>
      </c>
      <c r="J2806" s="2" t="s">
        <v>48</v>
      </c>
      <c r="K2806" s="2"/>
      <c r="L2806" s="2" t="s">
        <v>24</v>
      </c>
      <c r="M2806" s="2">
        <v>1</v>
      </c>
      <c r="N2806" s="2" t="s">
        <v>128</v>
      </c>
    </row>
    <row r="2807" spans="1:14" x14ac:dyDescent="0.25">
      <c r="A2807" s="2" t="s">
        <v>7402</v>
      </c>
      <c r="B2807" s="2" t="s">
        <v>7403</v>
      </c>
      <c r="C2807" s="2" t="s">
        <v>67</v>
      </c>
      <c r="D2807" s="2" t="s">
        <v>601</v>
      </c>
      <c r="E2807" s="2" t="s">
        <v>79</v>
      </c>
      <c r="F2807" s="2" t="s">
        <v>47</v>
      </c>
      <c r="G2807" s="2" t="s">
        <v>183</v>
      </c>
      <c r="H2807" s="2" t="s">
        <v>21</v>
      </c>
      <c r="I2807" s="2">
        <v>24</v>
      </c>
      <c r="J2807" s="2" t="s">
        <v>191</v>
      </c>
      <c r="K2807" s="2" t="s">
        <v>7404</v>
      </c>
      <c r="L2807" s="2" t="s">
        <v>24</v>
      </c>
      <c r="M2807" s="2"/>
      <c r="N2807" s="2"/>
    </row>
    <row r="2808" spans="1:14" x14ac:dyDescent="0.25">
      <c r="A2808" s="2" t="s">
        <v>7405</v>
      </c>
      <c r="B2808" s="2" t="s">
        <v>7406</v>
      </c>
      <c r="C2808" s="2" t="s">
        <v>53</v>
      </c>
      <c r="D2808" s="2" t="s">
        <v>61</v>
      </c>
      <c r="E2808" s="2" t="s">
        <v>46</v>
      </c>
      <c r="F2808" s="2" t="s">
        <v>143</v>
      </c>
      <c r="G2808" s="2" t="s">
        <v>101</v>
      </c>
      <c r="H2808" s="2" t="s">
        <v>32</v>
      </c>
      <c r="I2808" s="2">
        <v>48</v>
      </c>
      <c r="J2808" s="2" t="s">
        <v>75</v>
      </c>
      <c r="K2808" s="2" t="s">
        <v>7407</v>
      </c>
      <c r="L2808" s="2" t="s">
        <v>24</v>
      </c>
      <c r="M2808" s="2"/>
      <c r="N2808" s="2"/>
    </row>
    <row r="2809" spans="1:14" x14ac:dyDescent="0.25">
      <c r="A2809" s="2" t="s">
        <v>7408</v>
      </c>
      <c r="B2809" s="2" t="s">
        <v>7409</v>
      </c>
      <c r="C2809" s="2" t="s">
        <v>67</v>
      </c>
      <c r="D2809" s="2" t="s">
        <v>95</v>
      </c>
      <c r="E2809" s="2" t="s">
        <v>18</v>
      </c>
      <c r="F2809" s="2" t="s">
        <v>62</v>
      </c>
      <c r="G2809" s="2" t="s">
        <v>135</v>
      </c>
      <c r="H2809" s="2" t="s">
        <v>74</v>
      </c>
      <c r="I2809" s="2">
        <v>8</v>
      </c>
      <c r="J2809" s="2" t="s">
        <v>48</v>
      </c>
      <c r="K2809" s="2" t="s">
        <v>7410</v>
      </c>
      <c r="L2809" s="2" t="s">
        <v>24</v>
      </c>
      <c r="M2809" s="2">
        <v>4</v>
      </c>
      <c r="N2809" s="2" t="s">
        <v>64</v>
      </c>
    </row>
    <row r="2810" spans="1:14" x14ac:dyDescent="0.25">
      <c r="A2810" s="2" t="s">
        <v>7411</v>
      </c>
      <c r="B2810" s="2" t="s">
        <v>7412</v>
      </c>
      <c r="C2810" s="2" t="s">
        <v>67</v>
      </c>
      <c r="D2810" s="2" t="s">
        <v>68</v>
      </c>
      <c r="E2810" s="2" t="s">
        <v>90</v>
      </c>
      <c r="F2810" s="2" t="s">
        <v>131</v>
      </c>
      <c r="G2810" s="2" t="s">
        <v>179</v>
      </c>
      <c r="H2810" s="2" t="s">
        <v>80</v>
      </c>
      <c r="I2810" s="2">
        <v>4</v>
      </c>
      <c r="J2810" s="2" t="s">
        <v>33</v>
      </c>
      <c r="K2810" s="2"/>
      <c r="L2810" s="2" t="s">
        <v>92</v>
      </c>
      <c r="M2810" s="2"/>
      <c r="N2810" s="2" t="s">
        <v>64</v>
      </c>
    </row>
    <row r="2811" spans="1:14" x14ac:dyDescent="0.25">
      <c r="A2811" s="2" t="s">
        <v>7413</v>
      </c>
      <c r="B2811" s="2" t="s">
        <v>7414</v>
      </c>
      <c r="C2811" s="2" t="s">
        <v>53</v>
      </c>
      <c r="D2811" s="2" t="s">
        <v>54</v>
      </c>
      <c r="E2811" s="2" t="s">
        <v>18</v>
      </c>
      <c r="F2811" s="2" t="s">
        <v>131</v>
      </c>
      <c r="G2811" s="2" t="s">
        <v>139</v>
      </c>
      <c r="H2811" s="2" t="s">
        <v>32</v>
      </c>
      <c r="I2811" s="2">
        <v>48</v>
      </c>
      <c r="J2811" s="2" t="s">
        <v>287</v>
      </c>
      <c r="K2811" s="2"/>
      <c r="L2811" s="2" t="s">
        <v>24</v>
      </c>
      <c r="M2811" s="2"/>
      <c r="N2811" s="2" t="s">
        <v>34</v>
      </c>
    </row>
    <row r="2812" spans="1:14" x14ac:dyDescent="0.25">
      <c r="A2812" s="2" t="s">
        <v>7415</v>
      </c>
      <c r="B2812" s="2" t="s">
        <v>7416</v>
      </c>
      <c r="C2812" s="2" t="s">
        <v>53</v>
      </c>
      <c r="D2812" s="2" t="s">
        <v>61</v>
      </c>
      <c r="E2812" s="2" t="s">
        <v>18</v>
      </c>
      <c r="F2812" s="2" t="s">
        <v>69</v>
      </c>
      <c r="G2812" s="2" t="s">
        <v>101</v>
      </c>
      <c r="H2812" s="2" t="s">
        <v>21</v>
      </c>
      <c r="I2812" s="2">
        <v>24</v>
      </c>
      <c r="J2812" s="2" t="s">
        <v>187</v>
      </c>
      <c r="K2812" s="2" t="s">
        <v>7417</v>
      </c>
      <c r="L2812" s="2" t="s">
        <v>24</v>
      </c>
      <c r="M2812" s="2">
        <v>5</v>
      </c>
      <c r="N2812" s="2" t="s">
        <v>64</v>
      </c>
    </row>
    <row r="2813" spans="1:14" x14ac:dyDescent="0.25">
      <c r="A2813" s="2" t="s">
        <v>7418</v>
      </c>
      <c r="B2813" s="2" t="s">
        <v>7419</v>
      </c>
      <c r="C2813" s="2" t="s">
        <v>53</v>
      </c>
      <c r="D2813" s="2" t="s">
        <v>61</v>
      </c>
      <c r="E2813" s="2" t="s">
        <v>148</v>
      </c>
      <c r="F2813" s="2" t="s">
        <v>39</v>
      </c>
      <c r="G2813" s="2" t="s">
        <v>97</v>
      </c>
      <c r="H2813" s="2" t="s">
        <v>21</v>
      </c>
      <c r="I2813" s="2">
        <v>24</v>
      </c>
      <c r="J2813" s="2" t="s">
        <v>155</v>
      </c>
      <c r="K2813" s="2"/>
      <c r="L2813" s="2" t="s">
        <v>24</v>
      </c>
      <c r="M2813" s="2"/>
      <c r="N2813" s="2" t="s">
        <v>64</v>
      </c>
    </row>
    <row r="2814" spans="1:14" x14ac:dyDescent="0.25">
      <c r="A2814" s="2" t="s">
        <v>7420</v>
      </c>
      <c r="B2814" s="2" t="s">
        <v>7421</v>
      </c>
      <c r="C2814" s="2" t="s">
        <v>16</v>
      </c>
      <c r="D2814" s="2" t="s">
        <v>17</v>
      </c>
      <c r="E2814" s="2" t="s">
        <v>148</v>
      </c>
      <c r="F2814" s="2" t="s">
        <v>19</v>
      </c>
      <c r="G2814" s="2" t="s">
        <v>91</v>
      </c>
      <c r="H2814" s="2" t="s">
        <v>74</v>
      </c>
      <c r="I2814" s="2">
        <v>8</v>
      </c>
      <c r="J2814" s="2" t="s">
        <v>48</v>
      </c>
      <c r="K2814" s="2" t="s">
        <v>7422</v>
      </c>
      <c r="L2814" s="2" t="s">
        <v>24</v>
      </c>
      <c r="M2814" s="2">
        <v>1</v>
      </c>
      <c r="N2814" s="2" t="s">
        <v>58</v>
      </c>
    </row>
    <row r="2815" spans="1:14" x14ac:dyDescent="0.25">
      <c r="A2815" s="2" t="s">
        <v>1682</v>
      </c>
      <c r="B2815" s="2" t="s">
        <v>1683</v>
      </c>
      <c r="C2815" s="2" t="s">
        <v>16</v>
      </c>
      <c r="D2815" s="2" t="s">
        <v>84</v>
      </c>
      <c r="E2815" s="2" t="s">
        <v>46</v>
      </c>
      <c r="F2815" s="2" t="s">
        <v>96</v>
      </c>
      <c r="G2815" s="2" t="s">
        <v>211</v>
      </c>
      <c r="H2815" s="2" t="s">
        <v>74</v>
      </c>
      <c r="I2815" s="2">
        <v>8</v>
      </c>
      <c r="J2815" s="2" t="s">
        <v>187</v>
      </c>
      <c r="K2815" s="2" t="s">
        <v>1684</v>
      </c>
      <c r="L2815" s="2" t="s">
        <v>24</v>
      </c>
      <c r="M2815" s="2">
        <v>5</v>
      </c>
      <c r="N2815" s="2" t="s">
        <v>118</v>
      </c>
    </row>
    <row r="2816" spans="1:14" x14ac:dyDescent="0.25">
      <c r="A2816" s="2" t="s">
        <v>7423</v>
      </c>
      <c r="B2816" s="2" t="s">
        <v>7424</v>
      </c>
      <c r="C2816" s="2" t="s">
        <v>53</v>
      </c>
      <c r="D2816" s="2" t="s">
        <v>54</v>
      </c>
      <c r="E2816" s="2" t="s">
        <v>46</v>
      </c>
      <c r="F2816" s="2" t="s">
        <v>113</v>
      </c>
      <c r="G2816" s="2" t="s">
        <v>135</v>
      </c>
      <c r="H2816" s="2" t="s">
        <v>32</v>
      </c>
      <c r="I2816" s="2">
        <v>48</v>
      </c>
      <c r="J2816" s="2" t="s">
        <v>200</v>
      </c>
      <c r="K2816" s="2"/>
      <c r="L2816" s="2" t="s">
        <v>92</v>
      </c>
      <c r="M2816" s="2"/>
      <c r="N2816" s="2" t="s">
        <v>50</v>
      </c>
    </row>
    <row r="2817" spans="1:14" x14ac:dyDescent="0.25">
      <c r="A2817" s="2" t="s">
        <v>7425</v>
      </c>
      <c r="B2817" s="2" t="s">
        <v>7426</v>
      </c>
      <c r="C2817" s="2" t="s">
        <v>67</v>
      </c>
      <c r="D2817" s="2" t="s">
        <v>95</v>
      </c>
      <c r="E2817" s="2" t="s">
        <v>18</v>
      </c>
      <c r="F2817" s="2" t="s">
        <v>131</v>
      </c>
      <c r="G2817" s="2" t="s">
        <v>20</v>
      </c>
      <c r="H2817" s="2" t="s">
        <v>32</v>
      </c>
      <c r="I2817" s="2">
        <v>48</v>
      </c>
      <c r="J2817" s="2" t="s">
        <v>232</v>
      </c>
      <c r="K2817" s="2"/>
      <c r="L2817" s="2" t="s">
        <v>92</v>
      </c>
      <c r="M2817" s="2"/>
      <c r="N2817" s="2" t="s">
        <v>128</v>
      </c>
    </row>
    <row r="2818" spans="1:14" x14ac:dyDescent="0.25">
      <c r="A2818" s="2" t="s">
        <v>7427</v>
      </c>
      <c r="B2818" s="2" t="s">
        <v>7428</v>
      </c>
      <c r="C2818" s="2" t="s">
        <v>28</v>
      </c>
      <c r="D2818" s="2" t="s">
        <v>37</v>
      </c>
      <c r="E2818" s="2" t="s">
        <v>90</v>
      </c>
      <c r="F2818" s="2" t="s">
        <v>55</v>
      </c>
      <c r="G2818" s="2" t="s">
        <v>183</v>
      </c>
      <c r="H2818" s="2" t="s">
        <v>21</v>
      </c>
      <c r="I2818" s="2">
        <v>24</v>
      </c>
      <c r="J2818" s="2" t="s">
        <v>41</v>
      </c>
      <c r="K2818" s="2" t="s">
        <v>7429</v>
      </c>
      <c r="L2818" s="2" t="s">
        <v>24</v>
      </c>
      <c r="M2818" s="2">
        <v>5</v>
      </c>
      <c r="N2818" s="2" t="s">
        <v>34</v>
      </c>
    </row>
    <row r="2819" spans="1:14" x14ac:dyDescent="0.25">
      <c r="A2819" s="2" t="s">
        <v>7430</v>
      </c>
      <c r="B2819" s="2" t="s">
        <v>7431</v>
      </c>
      <c r="C2819" s="2" t="s">
        <v>16</v>
      </c>
      <c r="D2819" s="2" t="s">
        <v>84</v>
      </c>
      <c r="E2819" s="2" t="s">
        <v>18</v>
      </c>
      <c r="F2819" s="2" t="s">
        <v>47</v>
      </c>
      <c r="G2819" s="2" t="s">
        <v>121</v>
      </c>
      <c r="H2819" s="2" t="s">
        <v>21</v>
      </c>
      <c r="I2819" s="2">
        <v>24</v>
      </c>
      <c r="J2819" s="2" t="s">
        <v>41</v>
      </c>
      <c r="K2819" s="2" t="s">
        <v>7432</v>
      </c>
      <c r="L2819" s="2" t="s">
        <v>24</v>
      </c>
      <c r="M2819" s="2">
        <v>3</v>
      </c>
      <c r="N2819" s="2" t="s">
        <v>43</v>
      </c>
    </row>
    <row r="2820" spans="1:14" x14ac:dyDescent="0.25">
      <c r="A2820" s="2" t="s">
        <v>7433</v>
      </c>
      <c r="B2820" s="2" t="s">
        <v>7434</v>
      </c>
      <c r="C2820" s="2" t="s">
        <v>16</v>
      </c>
      <c r="D2820" s="2" t="s">
        <v>84</v>
      </c>
      <c r="E2820" s="2" t="s">
        <v>18</v>
      </c>
      <c r="F2820" s="2" t="s">
        <v>47</v>
      </c>
      <c r="G2820" s="2" t="s">
        <v>101</v>
      </c>
      <c r="H2820" s="2" t="s">
        <v>32</v>
      </c>
      <c r="I2820" s="2">
        <v>48</v>
      </c>
      <c r="J2820" s="2" t="s">
        <v>232</v>
      </c>
      <c r="K2820" s="2"/>
      <c r="L2820" s="2" t="s">
        <v>92</v>
      </c>
      <c r="M2820" s="2"/>
      <c r="N2820" s="2" t="s">
        <v>64</v>
      </c>
    </row>
    <row r="2821" spans="1:14" x14ac:dyDescent="0.25">
      <c r="A2821" s="2" t="s">
        <v>7435</v>
      </c>
      <c r="B2821" s="2" t="s">
        <v>7436</v>
      </c>
      <c r="C2821" s="2" t="s">
        <v>28</v>
      </c>
      <c r="D2821" s="2" t="s">
        <v>100</v>
      </c>
      <c r="E2821" s="2" t="s">
        <v>148</v>
      </c>
      <c r="F2821" s="2" t="s">
        <v>125</v>
      </c>
      <c r="G2821" s="2" t="s">
        <v>97</v>
      </c>
      <c r="H2821" s="2" t="s">
        <v>74</v>
      </c>
      <c r="I2821" s="2">
        <v>8</v>
      </c>
      <c r="J2821" s="2" t="s">
        <v>75</v>
      </c>
      <c r="K2821" s="2" t="s">
        <v>7437</v>
      </c>
      <c r="L2821" s="2" t="s">
        <v>24</v>
      </c>
      <c r="M2821" s="2">
        <v>3</v>
      </c>
      <c r="N2821" s="2"/>
    </row>
    <row r="2822" spans="1:14" x14ac:dyDescent="0.25">
      <c r="A2822" s="2" t="s">
        <v>7438</v>
      </c>
      <c r="B2822" s="2" t="s">
        <v>7439</v>
      </c>
      <c r="C2822" s="2" t="s">
        <v>53</v>
      </c>
      <c r="D2822" s="2" t="s">
        <v>771</v>
      </c>
      <c r="E2822" s="2" t="s">
        <v>90</v>
      </c>
      <c r="F2822" s="2" t="s">
        <v>55</v>
      </c>
      <c r="G2822" s="2" t="s">
        <v>158</v>
      </c>
      <c r="H2822" s="2" t="s">
        <v>32</v>
      </c>
      <c r="I2822" s="2">
        <v>48</v>
      </c>
      <c r="J2822" s="2" t="s">
        <v>41</v>
      </c>
      <c r="K2822" s="2" t="s">
        <v>7440</v>
      </c>
      <c r="L2822" s="2" t="s">
        <v>24</v>
      </c>
      <c r="M2822" s="2"/>
      <c r="N2822" s="2" t="s">
        <v>43</v>
      </c>
    </row>
    <row r="2823" spans="1:14" x14ac:dyDescent="0.25">
      <c r="A2823" s="2" t="s">
        <v>7441</v>
      </c>
      <c r="B2823" s="2" t="s">
        <v>7442</v>
      </c>
      <c r="C2823" s="2" t="s">
        <v>67</v>
      </c>
      <c r="D2823" s="2" t="s">
        <v>68</v>
      </c>
      <c r="E2823" s="2" t="s">
        <v>85</v>
      </c>
      <c r="F2823" s="2" t="s">
        <v>96</v>
      </c>
      <c r="G2823" s="2" t="s">
        <v>121</v>
      </c>
      <c r="H2823" s="2" t="s">
        <v>21</v>
      </c>
      <c r="I2823" s="2">
        <v>24</v>
      </c>
      <c r="J2823" s="2" t="s">
        <v>149</v>
      </c>
      <c r="K2823" s="2"/>
      <c r="L2823" s="2" t="s">
        <v>24</v>
      </c>
      <c r="M2823" s="2"/>
      <c r="N2823" s="2" t="s">
        <v>50</v>
      </c>
    </row>
    <row r="2824" spans="1:14" x14ac:dyDescent="0.25">
      <c r="A2824" s="2" t="s">
        <v>7443</v>
      </c>
      <c r="B2824" s="2" t="s">
        <v>7444</v>
      </c>
      <c r="C2824" s="2" t="s">
        <v>67</v>
      </c>
      <c r="D2824" s="2" t="s">
        <v>68</v>
      </c>
      <c r="E2824" s="2" t="s">
        <v>38</v>
      </c>
      <c r="F2824" s="2" t="s">
        <v>39</v>
      </c>
      <c r="G2824" s="2" t="s">
        <v>40</v>
      </c>
      <c r="H2824" s="2" t="s">
        <v>74</v>
      </c>
      <c r="I2824" s="2">
        <v>8</v>
      </c>
      <c r="J2824" s="2" t="s">
        <v>232</v>
      </c>
      <c r="K2824" s="2"/>
      <c r="L2824" s="2" t="s">
        <v>92</v>
      </c>
      <c r="M2824" s="2"/>
      <c r="N2824" s="2" t="s">
        <v>118</v>
      </c>
    </row>
    <row r="2825" spans="1:14" x14ac:dyDescent="0.25">
      <c r="A2825" s="2" t="s">
        <v>7445</v>
      </c>
      <c r="B2825" s="2" t="s">
        <v>7446</v>
      </c>
      <c r="C2825" s="2" t="s">
        <v>28</v>
      </c>
      <c r="D2825" s="2" t="s">
        <v>37</v>
      </c>
      <c r="E2825" s="2" t="s">
        <v>85</v>
      </c>
      <c r="F2825" s="2" t="s">
        <v>55</v>
      </c>
      <c r="G2825" s="2" t="s">
        <v>144</v>
      </c>
      <c r="H2825" s="2" t="s">
        <v>32</v>
      </c>
      <c r="I2825" s="2">
        <v>48</v>
      </c>
      <c r="J2825" s="2" t="s">
        <v>155</v>
      </c>
      <c r="K2825" s="2"/>
      <c r="L2825" s="2" t="s">
        <v>24</v>
      </c>
      <c r="M2825" s="2"/>
      <c r="N2825" s="2" t="s">
        <v>25</v>
      </c>
    </row>
    <row r="2826" spans="1:14" x14ac:dyDescent="0.25">
      <c r="A2826" s="2" t="s">
        <v>7447</v>
      </c>
      <c r="B2826" s="2" t="s">
        <v>7448</v>
      </c>
      <c r="C2826" s="2" t="s">
        <v>28</v>
      </c>
      <c r="D2826" s="2" t="s">
        <v>100</v>
      </c>
      <c r="E2826" s="2" t="s">
        <v>46</v>
      </c>
      <c r="F2826" s="2" t="s">
        <v>39</v>
      </c>
      <c r="G2826" s="2" t="s">
        <v>91</v>
      </c>
      <c r="H2826" s="2" t="s">
        <v>21</v>
      </c>
      <c r="I2826" s="2">
        <v>24</v>
      </c>
      <c r="J2826" s="2" t="s">
        <v>22</v>
      </c>
      <c r="K2826" s="2" t="s">
        <v>7449</v>
      </c>
      <c r="L2826" s="2" t="s">
        <v>24</v>
      </c>
      <c r="M2826" s="2">
        <v>4</v>
      </c>
      <c r="N2826" s="2" t="s">
        <v>128</v>
      </c>
    </row>
    <row r="2827" spans="1:14" x14ac:dyDescent="0.25">
      <c r="A2827" s="2" t="s">
        <v>7450</v>
      </c>
      <c r="B2827" s="2" t="s">
        <v>7451</v>
      </c>
      <c r="C2827" s="2" t="s">
        <v>53</v>
      </c>
      <c r="D2827" s="2" t="s">
        <v>61</v>
      </c>
      <c r="E2827" s="2" t="s">
        <v>79</v>
      </c>
      <c r="F2827" s="2" t="s">
        <v>96</v>
      </c>
      <c r="G2827" s="2" t="s">
        <v>126</v>
      </c>
      <c r="H2827" s="2" t="s">
        <v>32</v>
      </c>
      <c r="I2827" s="2">
        <v>48</v>
      </c>
      <c r="J2827" s="2" t="s">
        <v>75</v>
      </c>
      <c r="K2827" s="2" t="s">
        <v>7452</v>
      </c>
      <c r="L2827" s="2" t="s">
        <v>24</v>
      </c>
      <c r="M2827" s="2">
        <v>1</v>
      </c>
      <c r="N2827" s="2" t="s">
        <v>64</v>
      </c>
    </row>
    <row r="2828" spans="1:14" x14ac:dyDescent="0.25">
      <c r="A2828" s="2" t="s">
        <v>7453</v>
      </c>
      <c r="B2828" s="2" t="s">
        <v>7454</v>
      </c>
      <c r="C2828" s="2" t="s">
        <v>67</v>
      </c>
      <c r="D2828" s="2" t="s">
        <v>95</v>
      </c>
      <c r="E2828" s="2" t="s">
        <v>148</v>
      </c>
      <c r="F2828" s="2" t="s">
        <v>30</v>
      </c>
      <c r="G2828" s="2" t="s">
        <v>139</v>
      </c>
      <c r="H2828" s="2" t="s">
        <v>74</v>
      </c>
      <c r="I2828" s="2">
        <v>8</v>
      </c>
      <c r="J2828" s="2" t="s">
        <v>22</v>
      </c>
      <c r="K2828" s="2"/>
      <c r="L2828" s="2" t="s">
        <v>24</v>
      </c>
      <c r="M2828" s="2"/>
      <c r="N2828" s="2" t="s">
        <v>58</v>
      </c>
    </row>
    <row r="2829" spans="1:14" x14ac:dyDescent="0.25">
      <c r="A2829" s="2" t="s">
        <v>7455</v>
      </c>
      <c r="B2829" s="2" t="s">
        <v>7456</v>
      </c>
      <c r="C2829" s="2" t="s">
        <v>16</v>
      </c>
      <c r="D2829" s="2" t="s">
        <v>84</v>
      </c>
      <c r="E2829" s="2" t="s">
        <v>148</v>
      </c>
      <c r="F2829" s="2" t="s">
        <v>30</v>
      </c>
      <c r="G2829" s="2" t="s">
        <v>70</v>
      </c>
      <c r="H2829" s="2" t="s">
        <v>21</v>
      </c>
      <c r="I2829" s="2">
        <v>24</v>
      </c>
      <c r="J2829" s="2" t="s">
        <v>187</v>
      </c>
      <c r="K2829" s="2" t="s">
        <v>7457</v>
      </c>
      <c r="L2829" s="2" t="s">
        <v>24</v>
      </c>
      <c r="M2829" s="2"/>
      <c r="N2829" s="2" t="s">
        <v>34</v>
      </c>
    </row>
    <row r="2830" spans="1:14" x14ac:dyDescent="0.25">
      <c r="A2830" s="2" t="s">
        <v>7458</v>
      </c>
      <c r="B2830" s="2" t="s">
        <v>7459</v>
      </c>
      <c r="C2830" s="2" t="s">
        <v>67</v>
      </c>
      <c r="D2830" s="2" t="s">
        <v>68</v>
      </c>
      <c r="E2830" s="2" t="s">
        <v>79</v>
      </c>
      <c r="F2830" s="2" t="s">
        <v>125</v>
      </c>
      <c r="G2830" s="2" t="s">
        <v>97</v>
      </c>
      <c r="H2830" s="2" t="s">
        <v>74</v>
      </c>
      <c r="I2830" s="2">
        <v>8</v>
      </c>
      <c r="J2830" s="2" t="s">
        <v>200</v>
      </c>
      <c r="K2830" s="2"/>
      <c r="L2830" s="2" t="s">
        <v>92</v>
      </c>
      <c r="M2830" s="2"/>
      <c r="N2830" s="2"/>
    </row>
    <row r="2831" spans="1:14" x14ac:dyDescent="0.25">
      <c r="A2831" s="2" t="s">
        <v>7460</v>
      </c>
      <c r="B2831" s="2" t="s">
        <v>7461</v>
      </c>
      <c r="C2831" s="2" t="s">
        <v>67</v>
      </c>
      <c r="D2831" s="2" t="s">
        <v>95</v>
      </c>
      <c r="E2831" s="2" t="s">
        <v>148</v>
      </c>
      <c r="F2831" s="2" t="s">
        <v>55</v>
      </c>
      <c r="G2831" s="2" t="s">
        <v>101</v>
      </c>
      <c r="H2831" s="2" t="s">
        <v>32</v>
      </c>
      <c r="I2831" s="2">
        <v>48</v>
      </c>
      <c r="J2831" s="2" t="s">
        <v>117</v>
      </c>
      <c r="K2831" s="2"/>
      <c r="L2831" s="2" t="s">
        <v>24</v>
      </c>
      <c r="M2831" s="2"/>
      <c r="N2831" s="2" t="s">
        <v>128</v>
      </c>
    </row>
    <row r="2832" spans="1:14" x14ac:dyDescent="0.25">
      <c r="A2832" s="2" t="s">
        <v>7462</v>
      </c>
      <c r="B2832" s="2" t="s">
        <v>7463</v>
      </c>
      <c r="C2832" s="2" t="s">
        <v>67</v>
      </c>
      <c r="D2832" s="2" t="s">
        <v>68</v>
      </c>
      <c r="E2832" s="2" t="s">
        <v>38</v>
      </c>
      <c r="F2832" s="2" t="s">
        <v>69</v>
      </c>
      <c r="G2832" s="2" t="s">
        <v>183</v>
      </c>
      <c r="H2832" s="2" t="s">
        <v>74</v>
      </c>
      <c r="I2832" s="2">
        <v>8</v>
      </c>
      <c r="J2832" s="2" t="s">
        <v>22</v>
      </c>
      <c r="K2832" s="2" t="s">
        <v>7464</v>
      </c>
      <c r="L2832" s="2" t="s">
        <v>24</v>
      </c>
      <c r="M2832" s="2">
        <v>1</v>
      </c>
      <c r="N2832" s="2" t="s">
        <v>128</v>
      </c>
    </row>
    <row r="2833" spans="1:14" x14ac:dyDescent="0.25">
      <c r="A2833" s="2" t="s">
        <v>7465</v>
      </c>
      <c r="B2833" s="2" t="s">
        <v>7466</v>
      </c>
      <c r="C2833" s="2" t="s">
        <v>16</v>
      </c>
      <c r="D2833" s="2" t="s">
        <v>17</v>
      </c>
      <c r="E2833" s="2" t="s">
        <v>85</v>
      </c>
      <c r="F2833" s="2" t="s">
        <v>19</v>
      </c>
      <c r="G2833" s="2" t="s">
        <v>110</v>
      </c>
      <c r="H2833" s="2" t="s">
        <v>21</v>
      </c>
      <c r="I2833" s="2">
        <v>24</v>
      </c>
      <c r="J2833" s="2" t="s">
        <v>75</v>
      </c>
      <c r="K2833" s="2" t="s">
        <v>7467</v>
      </c>
      <c r="L2833" s="2" t="s">
        <v>24</v>
      </c>
      <c r="M2833" s="2">
        <v>1</v>
      </c>
      <c r="N2833" s="2" t="s">
        <v>34</v>
      </c>
    </row>
    <row r="2834" spans="1:14" x14ac:dyDescent="0.25">
      <c r="A2834" s="2" t="s">
        <v>7468</v>
      </c>
      <c r="B2834" s="2" t="s">
        <v>7469</v>
      </c>
      <c r="C2834" s="2" t="s">
        <v>53</v>
      </c>
      <c r="D2834" s="2" t="s">
        <v>61</v>
      </c>
      <c r="E2834" s="2" t="s">
        <v>46</v>
      </c>
      <c r="F2834" s="2" t="s">
        <v>55</v>
      </c>
      <c r="G2834" s="2" t="s">
        <v>70</v>
      </c>
      <c r="H2834" s="2" t="s">
        <v>21</v>
      </c>
      <c r="I2834" s="2">
        <v>24</v>
      </c>
      <c r="J2834" s="2" t="s">
        <v>22</v>
      </c>
      <c r="K2834" s="2" t="s">
        <v>7470</v>
      </c>
      <c r="L2834" s="2" t="s">
        <v>92</v>
      </c>
      <c r="M2834" s="2">
        <v>5</v>
      </c>
      <c r="N2834" s="2" t="s">
        <v>25</v>
      </c>
    </row>
    <row r="2835" spans="1:14" x14ac:dyDescent="0.25">
      <c r="A2835" s="2" t="s">
        <v>7471</v>
      </c>
      <c r="B2835" s="2" t="s">
        <v>7472</v>
      </c>
      <c r="C2835" s="2" t="s">
        <v>16</v>
      </c>
      <c r="D2835" s="2" t="s">
        <v>17</v>
      </c>
      <c r="E2835" s="2" t="s">
        <v>18</v>
      </c>
      <c r="F2835" s="2" t="s">
        <v>69</v>
      </c>
      <c r="G2835" s="2" t="s">
        <v>31</v>
      </c>
      <c r="H2835" s="2" t="s">
        <v>21</v>
      </c>
      <c r="I2835" s="2">
        <v>24</v>
      </c>
      <c r="J2835" s="2" t="s">
        <v>22</v>
      </c>
      <c r="K2835" s="2" t="s">
        <v>7473</v>
      </c>
      <c r="L2835" s="2" t="s">
        <v>24</v>
      </c>
      <c r="M2835" s="2">
        <v>4</v>
      </c>
      <c r="N2835" s="2" t="s">
        <v>118</v>
      </c>
    </row>
    <row r="2836" spans="1:14" x14ac:dyDescent="0.25">
      <c r="A2836" s="2" t="s">
        <v>7474</v>
      </c>
      <c r="B2836" s="2" t="s">
        <v>7475</v>
      </c>
      <c r="C2836" s="2" t="s">
        <v>28</v>
      </c>
      <c r="D2836" s="2" t="s">
        <v>100</v>
      </c>
      <c r="E2836" s="2" t="s">
        <v>79</v>
      </c>
      <c r="F2836" s="2" t="s">
        <v>125</v>
      </c>
      <c r="G2836" s="2" t="s">
        <v>144</v>
      </c>
      <c r="H2836" s="2" t="s">
        <v>74</v>
      </c>
      <c r="I2836" s="2">
        <v>8</v>
      </c>
      <c r="J2836" s="2" t="s">
        <v>117</v>
      </c>
      <c r="K2836" s="2"/>
      <c r="L2836" s="2" t="s">
        <v>24</v>
      </c>
      <c r="M2836" s="2"/>
      <c r="N2836" s="2" t="s">
        <v>34</v>
      </c>
    </row>
    <row r="2837" spans="1:14" x14ac:dyDescent="0.25">
      <c r="A2837" s="2" t="s">
        <v>7476</v>
      </c>
      <c r="B2837" s="2" t="s">
        <v>7477</v>
      </c>
      <c r="C2837" s="2" t="s">
        <v>16</v>
      </c>
      <c r="D2837" s="2" t="s">
        <v>17</v>
      </c>
      <c r="E2837" s="2" t="s">
        <v>148</v>
      </c>
      <c r="F2837" s="2" t="s">
        <v>113</v>
      </c>
      <c r="G2837" s="2" t="s">
        <v>179</v>
      </c>
      <c r="H2837" s="2" t="s">
        <v>21</v>
      </c>
      <c r="I2837" s="2">
        <v>24</v>
      </c>
      <c r="J2837" s="2" t="s">
        <v>75</v>
      </c>
      <c r="K2837" s="2" t="s">
        <v>7478</v>
      </c>
      <c r="L2837" s="2" t="s">
        <v>24</v>
      </c>
      <c r="M2837" s="2">
        <v>4</v>
      </c>
      <c r="N2837" s="2" t="s">
        <v>58</v>
      </c>
    </row>
    <row r="2838" spans="1:14" x14ac:dyDescent="0.25">
      <c r="A2838" s="2" t="s">
        <v>7479</v>
      </c>
      <c r="B2838" s="2" t="s">
        <v>7480</v>
      </c>
      <c r="C2838" s="2" t="s">
        <v>16</v>
      </c>
      <c r="D2838" s="2" t="s">
        <v>84</v>
      </c>
      <c r="E2838" s="2" t="s">
        <v>18</v>
      </c>
      <c r="F2838" s="2" t="s">
        <v>96</v>
      </c>
      <c r="G2838" s="2" t="s">
        <v>20</v>
      </c>
      <c r="H2838" s="2" t="s">
        <v>21</v>
      </c>
      <c r="I2838" s="2">
        <v>24</v>
      </c>
      <c r="J2838" s="2" t="s">
        <v>22</v>
      </c>
      <c r="K2838" s="2" t="s">
        <v>7481</v>
      </c>
      <c r="L2838" s="2" t="s">
        <v>24</v>
      </c>
      <c r="M2838" s="2">
        <v>5</v>
      </c>
      <c r="N2838" s="2" t="s">
        <v>50</v>
      </c>
    </row>
    <row r="2839" spans="1:14" x14ac:dyDescent="0.25">
      <c r="A2839" s="2" t="s">
        <v>7482</v>
      </c>
      <c r="B2839" s="2" t="s">
        <v>7483</v>
      </c>
      <c r="C2839" s="2" t="s">
        <v>67</v>
      </c>
      <c r="D2839" s="2" t="s">
        <v>95</v>
      </c>
      <c r="E2839" s="2" t="s">
        <v>38</v>
      </c>
      <c r="F2839" s="2" t="s">
        <v>143</v>
      </c>
      <c r="G2839" s="2" t="s">
        <v>105</v>
      </c>
      <c r="H2839" s="2" t="s">
        <v>32</v>
      </c>
      <c r="I2839" s="2">
        <v>48</v>
      </c>
      <c r="J2839" s="2" t="s">
        <v>106</v>
      </c>
      <c r="K2839" s="2" t="s">
        <v>7484</v>
      </c>
      <c r="L2839" s="2" t="s">
        <v>24</v>
      </c>
      <c r="M2839" s="2">
        <v>2</v>
      </c>
      <c r="N2839" s="2" t="s">
        <v>50</v>
      </c>
    </row>
    <row r="2840" spans="1:14" x14ac:dyDescent="0.25">
      <c r="A2840" s="2" t="s">
        <v>7485</v>
      </c>
      <c r="B2840" s="2" t="s">
        <v>7486</v>
      </c>
      <c r="C2840" s="2" t="s">
        <v>53</v>
      </c>
      <c r="D2840" s="2" t="s">
        <v>61</v>
      </c>
      <c r="E2840" s="2" t="s">
        <v>148</v>
      </c>
      <c r="F2840" s="2" t="s">
        <v>30</v>
      </c>
      <c r="G2840" s="2" t="s">
        <v>105</v>
      </c>
      <c r="H2840" s="2" t="s">
        <v>80</v>
      </c>
      <c r="I2840" s="2">
        <v>4</v>
      </c>
      <c r="J2840" s="2" t="s">
        <v>48</v>
      </c>
      <c r="K2840" s="2"/>
      <c r="L2840" s="2" t="s">
        <v>24</v>
      </c>
      <c r="M2840" s="2">
        <v>2</v>
      </c>
      <c r="N2840" s="2" t="s">
        <v>64</v>
      </c>
    </row>
    <row r="2841" spans="1:14" x14ac:dyDescent="0.25">
      <c r="A2841" s="2" t="s">
        <v>7487</v>
      </c>
      <c r="B2841" s="2" t="s">
        <v>7488</v>
      </c>
      <c r="C2841" s="2" t="s">
        <v>28</v>
      </c>
      <c r="D2841" s="2" t="s">
        <v>37</v>
      </c>
      <c r="E2841" s="2" t="s">
        <v>90</v>
      </c>
      <c r="F2841" s="2" t="s">
        <v>143</v>
      </c>
      <c r="G2841" s="2" t="s">
        <v>121</v>
      </c>
      <c r="H2841" s="2" t="s">
        <v>74</v>
      </c>
      <c r="I2841" s="2">
        <v>8</v>
      </c>
      <c r="J2841" s="2" t="s">
        <v>75</v>
      </c>
      <c r="K2841" s="2" t="s">
        <v>7489</v>
      </c>
      <c r="L2841" s="2" t="s">
        <v>24</v>
      </c>
      <c r="M2841" s="2">
        <v>2</v>
      </c>
      <c r="N2841" s="2" t="s">
        <v>64</v>
      </c>
    </row>
    <row r="2842" spans="1:14" x14ac:dyDescent="0.25">
      <c r="A2842" s="2" t="s">
        <v>7490</v>
      </c>
      <c r="B2842" s="2" t="s">
        <v>7491</v>
      </c>
      <c r="C2842" s="2" t="s">
        <v>67</v>
      </c>
      <c r="D2842" s="2" t="s">
        <v>95</v>
      </c>
      <c r="E2842" s="2" t="s">
        <v>85</v>
      </c>
      <c r="F2842" s="2" t="s">
        <v>30</v>
      </c>
      <c r="G2842" s="2" t="s">
        <v>105</v>
      </c>
      <c r="H2842" s="2" t="s">
        <v>21</v>
      </c>
      <c r="I2842" s="2">
        <v>24</v>
      </c>
      <c r="J2842" s="2" t="s">
        <v>41</v>
      </c>
      <c r="K2842" s="2" t="s">
        <v>7492</v>
      </c>
      <c r="L2842" s="2" t="s">
        <v>24</v>
      </c>
      <c r="M2842" s="2">
        <v>3</v>
      </c>
      <c r="N2842" s="2"/>
    </row>
    <row r="2843" spans="1:14" x14ac:dyDescent="0.25">
      <c r="A2843" s="2" t="s">
        <v>7493</v>
      </c>
      <c r="B2843" s="2" t="s">
        <v>7494</v>
      </c>
      <c r="C2843" s="2" t="s">
        <v>53</v>
      </c>
      <c r="D2843" s="2" t="s">
        <v>54</v>
      </c>
      <c r="E2843" s="2" t="s">
        <v>38</v>
      </c>
      <c r="F2843" s="2" t="s">
        <v>30</v>
      </c>
      <c r="G2843" s="2" t="s">
        <v>135</v>
      </c>
      <c r="H2843" s="2" t="s">
        <v>32</v>
      </c>
      <c r="I2843" s="2">
        <v>48</v>
      </c>
      <c r="J2843" s="2" t="s">
        <v>106</v>
      </c>
      <c r="K2843" s="2" t="s">
        <v>7495</v>
      </c>
      <c r="L2843" s="2" t="s">
        <v>24</v>
      </c>
      <c r="M2843" s="2"/>
      <c r="N2843" s="2" t="s">
        <v>64</v>
      </c>
    </row>
    <row r="2844" spans="1:14" x14ac:dyDescent="0.25">
      <c r="A2844" s="2" t="s">
        <v>7496</v>
      </c>
      <c r="B2844" s="2" t="s">
        <v>7497</v>
      </c>
      <c r="C2844" s="2" t="s">
        <v>53</v>
      </c>
      <c r="D2844" s="2" t="s">
        <v>61</v>
      </c>
      <c r="E2844" s="2" t="s">
        <v>90</v>
      </c>
      <c r="F2844" s="2" t="s">
        <v>55</v>
      </c>
      <c r="G2844" s="2" t="s">
        <v>121</v>
      </c>
      <c r="H2844" s="2" t="s">
        <v>32</v>
      </c>
      <c r="I2844" s="2">
        <v>48</v>
      </c>
      <c r="J2844" s="2" t="s">
        <v>41</v>
      </c>
      <c r="K2844" s="2" t="s">
        <v>7498</v>
      </c>
      <c r="L2844" s="2" t="s">
        <v>24</v>
      </c>
      <c r="M2844" s="2">
        <v>2</v>
      </c>
      <c r="N2844" s="2"/>
    </row>
    <row r="2845" spans="1:14" x14ac:dyDescent="0.25">
      <c r="A2845" s="2" t="s">
        <v>6098</v>
      </c>
      <c r="B2845" s="2" t="s">
        <v>6099</v>
      </c>
      <c r="C2845" s="2" t="s">
        <v>16</v>
      </c>
      <c r="D2845" s="2" t="s">
        <v>84</v>
      </c>
      <c r="E2845" s="2" t="s">
        <v>90</v>
      </c>
      <c r="F2845" s="2" t="s">
        <v>143</v>
      </c>
      <c r="G2845" s="2" t="s">
        <v>135</v>
      </c>
      <c r="H2845" s="2" t="s">
        <v>32</v>
      </c>
      <c r="I2845" s="2">
        <v>48</v>
      </c>
      <c r="J2845" s="2" t="s">
        <v>48</v>
      </c>
      <c r="K2845" s="2" t="s">
        <v>6100</v>
      </c>
      <c r="L2845" s="2" t="s">
        <v>24</v>
      </c>
      <c r="M2845" s="2">
        <v>5</v>
      </c>
      <c r="N2845" s="2" t="s">
        <v>50</v>
      </c>
    </row>
    <row r="2846" spans="1:14" x14ac:dyDescent="0.25">
      <c r="A2846" s="2" t="s">
        <v>7499</v>
      </c>
      <c r="B2846" s="2" t="s">
        <v>7500</v>
      </c>
      <c r="C2846" s="2" t="s">
        <v>28</v>
      </c>
      <c r="D2846" s="2" t="s">
        <v>37</v>
      </c>
      <c r="E2846" s="2" t="s">
        <v>85</v>
      </c>
      <c r="F2846" s="2" t="s">
        <v>69</v>
      </c>
      <c r="G2846" s="2" t="s">
        <v>135</v>
      </c>
      <c r="H2846" s="2" t="s">
        <v>21</v>
      </c>
      <c r="I2846" s="2">
        <v>24</v>
      </c>
      <c r="J2846" s="2" t="s">
        <v>75</v>
      </c>
      <c r="K2846" s="2" t="s">
        <v>7501</v>
      </c>
      <c r="L2846" s="2" t="s">
        <v>24</v>
      </c>
      <c r="M2846" s="2">
        <v>4</v>
      </c>
      <c r="N2846" s="2" t="s">
        <v>118</v>
      </c>
    </row>
    <row r="2847" spans="1:14" x14ac:dyDescent="0.25">
      <c r="A2847" s="2" t="s">
        <v>7502</v>
      </c>
      <c r="B2847" s="2" t="s">
        <v>7503</v>
      </c>
      <c r="C2847" s="2" t="s">
        <v>67</v>
      </c>
      <c r="D2847" s="2" t="s">
        <v>68</v>
      </c>
      <c r="E2847" s="2" t="s">
        <v>46</v>
      </c>
      <c r="F2847" s="2" t="s">
        <v>113</v>
      </c>
      <c r="G2847" s="2" t="s">
        <v>179</v>
      </c>
      <c r="H2847" s="2" t="s">
        <v>74</v>
      </c>
      <c r="I2847" s="2">
        <v>8</v>
      </c>
      <c r="J2847" s="2" t="s">
        <v>41</v>
      </c>
      <c r="K2847" s="2" t="s">
        <v>7504</v>
      </c>
      <c r="L2847" s="2" t="s">
        <v>24</v>
      </c>
      <c r="M2847" s="2">
        <v>3</v>
      </c>
      <c r="N2847" s="2" t="s">
        <v>64</v>
      </c>
    </row>
    <row r="2848" spans="1:14" x14ac:dyDescent="0.25">
      <c r="A2848" s="2" t="s">
        <v>7505</v>
      </c>
      <c r="B2848" s="2" t="s">
        <v>7506</v>
      </c>
      <c r="C2848" s="2" t="s">
        <v>28</v>
      </c>
      <c r="D2848" s="2" t="s">
        <v>100</v>
      </c>
      <c r="E2848" s="2" t="s">
        <v>38</v>
      </c>
      <c r="F2848" s="2" t="s">
        <v>55</v>
      </c>
      <c r="G2848" s="2" t="s">
        <v>20</v>
      </c>
      <c r="H2848" s="2" t="s">
        <v>32</v>
      </c>
      <c r="I2848" s="2">
        <v>48</v>
      </c>
      <c r="J2848" s="2" t="s">
        <v>41</v>
      </c>
      <c r="K2848" s="2" t="s">
        <v>7507</v>
      </c>
      <c r="L2848" s="2" t="s">
        <v>92</v>
      </c>
      <c r="M2848" s="2"/>
      <c r="N2848" s="2" t="s">
        <v>43</v>
      </c>
    </row>
    <row r="2849" spans="1:14" x14ac:dyDescent="0.25">
      <c r="A2849" s="2" t="s">
        <v>1384</v>
      </c>
      <c r="B2849" s="2" t="s">
        <v>1385</v>
      </c>
      <c r="C2849" s="2" t="s">
        <v>16</v>
      </c>
      <c r="D2849" s="2" t="s">
        <v>84</v>
      </c>
      <c r="E2849" s="2" t="s">
        <v>46</v>
      </c>
      <c r="F2849" s="2" t="s">
        <v>62</v>
      </c>
      <c r="G2849" s="2" t="s">
        <v>70</v>
      </c>
      <c r="H2849" s="2" t="s">
        <v>74</v>
      </c>
      <c r="I2849" s="2">
        <v>8</v>
      </c>
      <c r="J2849" s="2" t="s">
        <v>22</v>
      </c>
      <c r="K2849" s="2" t="s">
        <v>1386</v>
      </c>
      <c r="L2849" s="2" t="s">
        <v>24</v>
      </c>
      <c r="M2849" s="2">
        <v>5</v>
      </c>
      <c r="N2849" s="2" t="s">
        <v>34</v>
      </c>
    </row>
    <row r="2850" spans="1:14" x14ac:dyDescent="0.25">
      <c r="A2850" s="2" t="s">
        <v>7508</v>
      </c>
      <c r="B2850" s="2" t="s">
        <v>7509</v>
      </c>
      <c r="C2850" s="2" t="s">
        <v>28</v>
      </c>
      <c r="D2850" s="2" t="s">
        <v>100</v>
      </c>
      <c r="E2850" s="2" t="s">
        <v>148</v>
      </c>
      <c r="F2850" s="2" t="s">
        <v>113</v>
      </c>
      <c r="G2850" s="2" t="s">
        <v>183</v>
      </c>
      <c r="H2850" s="2" t="s">
        <v>80</v>
      </c>
      <c r="I2850" s="2">
        <v>4</v>
      </c>
      <c r="J2850" s="2" t="s">
        <v>187</v>
      </c>
      <c r="K2850" s="2" t="s">
        <v>7510</v>
      </c>
      <c r="L2850" s="2" t="s">
        <v>24</v>
      </c>
      <c r="M2850" s="2"/>
      <c r="N2850" s="2" t="s">
        <v>64</v>
      </c>
    </row>
    <row r="2851" spans="1:14" x14ac:dyDescent="0.25">
      <c r="A2851" s="2" t="s">
        <v>7511</v>
      </c>
      <c r="B2851" s="2" t="s">
        <v>7512</v>
      </c>
      <c r="C2851" s="2" t="s">
        <v>53</v>
      </c>
      <c r="D2851" s="2" t="s">
        <v>61</v>
      </c>
      <c r="E2851" s="2" t="s">
        <v>148</v>
      </c>
      <c r="F2851" s="2" t="s">
        <v>30</v>
      </c>
      <c r="G2851" s="2" t="s">
        <v>101</v>
      </c>
      <c r="H2851" s="2" t="s">
        <v>80</v>
      </c>
      <c r="I2851" s="2">
        <v>4</v>
      </c>
      <c r="J2851" s="2" t="s">
        <v>75</v>
      </c>
      <c r="K2851" s="2" t="s">
        <v>7513</v>
      </c>
      <c r="L2851" s="2" t="s">
        <v>24</v>
      </c>
      <c r="M2851" s="2"/>
      <c r="N2851" s="2" t="s">
        <v>118</v>
      </c>
    </row>
    <row r="2852" spans="1:14" x14ac:dyDescent="0.25">
      <c r="A2852" s="2" t="s">
        <v>7514</v>
      </c>
      <c r="B2852" s="2" t="s">
        <v>7515</v>
      </c>
      <c r="C2852" s="2" t="s">
        <v>28</v>
      </c>
      <c r="D2852" s="2" t="s">
        <v>37</v>
      </c>
      <c r="E2852" s="2" t="s">
        <v>46</v>
      </c>
      <c r="F2852" s="2" t="s">
        <v>69</v>
      </c>
      <c r="G2852" s="2" t="s">
        <v>211</v>
      </c>
      <c r="H2852" s="2" t="s">
        <v>21</v>
      </c>
      <c r="I2852" s="2">
        <v>24</v>
      </c>
      <c r="J2852" s="2" t="s">
        <v>22</v>
      </c>
      <c r="K2852" s="2" t="s">
        <v>7516</v>
      </c>
      <c r="L2852" s="2" t="s">
        <v>24</v>
      </c>
      <c r="M2852" s="2">
        <v>1</v>
      </c>
      <c r="N2852" s="2" t="s">
        <v>128</v>
      </c>
    </row>
    <row r="2853" spans="1:14" x14ac:dyDescent="0.25">
      <c r="A2853" s="2" t="s">
        <v>7517</v>
      </c>
      <c r="B2853" s="2" t="s">
        <v>7518</v>
      </c>
      <c r="C2853" s="2" t="s">
        <v>53</v>
      </c>
      <c r="D2853" s="2" t="s">
        <v>61</v>
      </c>
      <c r="E2853" s="2" t="s">
        <v>46</v>
      </c>
      <c r="F2853" s="2" t="s">
        <v>125</v>
      </c>
      <c r="G2853" s="2" t="s">
        <v>91</v>
      </c>
      <c r="H2853" s="2" t="s">
        <v>21</v>
      </c>
      <c r="I2853" s="2">
        <v>24</v>
      </c>
      <c r="J2853" s="2" t="s">
        <v>200</v>
      </c>
      <c r="K2853" s="2"/>
      <c r="L2853" s="2" t="s">
        <v>92</v>
      </c>
      <c r="M2853" s="2"/>
      <c r="N2853" s="2"/>
    </row>
    <row r="2854" spans="1:14" x14ac:dyDescent="0.25">
      <c r="A2854" s="2" t="s">
        <v>7519</v>
      </c>
      <c r="B2854" s="2" t="s">
        <v>7520</v>
      </c>
      <c r="C2854" s="2" t="s">
        <v>16</v>
      </c>
      <c r="D2854" s="2" t="s">
        <v>84</v>
      </c>
      <c r="E2854" s="2" t="s">
        <v>85</v>
      </c>
      <c r="F2854" s="2" t="s">
        <v>39</v>
      </c>
      <c r="G2854" s="2" t="s">
        <v>211</v>
      </c>
      <c r="H2854" s="2" t="s">
        <v>74</v>
      </c>
      <c r="I2854" s="2">
        <v>8</v>
      </c>
      <c r="J2854" s="2" t="s">
        <v>48</v>
      </c>
      <c r="K2854" s="2" t="s">
        <v>7521</v>
      </c>
      <c r="L2854" s="2" t="s">
        <v>24</v>
      </c>
      <c r="M2854" s="2">
        <v>5</v>
      </c>
      <c r="N2854" s="2" t="s">
        <v>118</v>
      </c>
    </row>
    <row r="2855" spans="1:14" x14ac:dyDescent="0.25">
      <c r="A2855" s="2" t="s">
        <v>7522</v>
      </c>
      <c r="B2855" s="2" t="s">
        <v>7523</v>
      </c>
      <c r="C2855" s="2" t="s">
        <v>67</v>
      </c>
      <c r="D2855" s="2" t="s">
        <v>68</v>
      </c>
      <c r="E2855" s="2" t="s">
        <v>148</v>
      </c>
      <c r="F2855" s="2" t="s">
        <v>47</v>
      </c>
      <c r="G2855" s="2" t="s">
        <v>40</v>
      </c>
      <c r="H2855" s="2" t="s">
        <v>21</v>
      </c>
      <c r="I2855" s="2">
        <v>24</v>
      </c>
      <c r="J2855" s="2" t="s">
        <v>41</v>
      </c>
      <c r="K2855" s="2"/>
      <c r="L2855" s="2" t="s">
        <v>24</v>
      </c>
      <c r="M2855" s="2">
        <v>5</v>
      </c>
      <c r="N2855" s="2"/>
    </row>
    <row r="2856" spans="1:14" x14ac:dyDescent="0.25">
      <c r="A2856" s="2" t="s">
        <v>7524</v>
      </c>
      <c r="B2856" s="2" t="s">
        <v>7525</v>
      </c>
      <c r="C2856" s="2" t="s">
        <v>16</v>
      </c>
      <c r="D2856" s="2" t="s">
        <v>765</v>
      </c>
      <c r="E2856" s="2" t="s">
        <v>90</v>
      </c>
      <c r="F2856" s="2" t="s">
        <v>62</v>
      </c>
      <c r="G2856" s="2" t="s">
        <v>31</v>
      </c>
      <c r="H2856" s="2" t="s">
        <v>80</v>
      </c>
      <c r="I2856" s="2">
        <v>4</v>
      </c>
      <c r="J2856" s="2" t="s">
        <v>187</v>
      </c>
      <c r="K2856" s="2" t="s">
        <v>7526</v>
      </c>
      <c r="L2856" s="2" t="s">
        <v>24</v>
      </c>
      <c r="M2856" s="2">
        <v>1</v>
      </c>
      <c r="N2856" s="2" t="s">
        <v>118</v>
      </c>
    </row>
    <row r="2857" spans="1:14" x14ac:dyDescent="0.25">
      <c r="A2857" s="2" t="s">
        <v>7527</v>
      </c>
      <c r="B2857" s="2" t="s">
        <v>2082</v>
      </c>
      <c r="C2857" s="2" t="s">
        <v>53</v>
      </c>
      <c r="D2857" s="2" t="s">
        <v>61</v>
      </c>
      <c r="E2857" s="2" t="s">
        <v>79</v>
      </c>
      <c r="F2857" s="2" t="s">
        <v>113</v>
      </c>
      <c r="G2857" s="2" t="s">
        <v>91</v>
      </c>
      <c r="H2857" s="2" t="s">
        <v>74</v>
      </c>
      <c r="I2857" s="2">
        <v>8</v>
      </c>
      <c r="J2857" s="2" t="s">
        <v>106</v>
      </c>
      <c r="K2857" s="2" t="s">
        <v>7528</v>
      </c>
      <c r="L2857" s="2" t="s">
        <v>24</v>
      </c>
      <c r="M2857" s="2">
        <v>5</v>
      </c>
      <c r="N2857" s="2"/>
    </row>
    <row r="2858" spans="1:14" x14ac:dyDescent="0.25">
      <c r="A2858" s="2" t="s">
        <v>7529</v>
      </c>
      <c r="B2858" s="2" t="s">
        <v>7530</v>
      </c>
      <c r="C2858" s="2" t="s">
        <v>53</v>
      </c>
      <c r="D2858" s="2" t="s">
        <v>54</v>
      </c>
      <c r="E2858" s="2" t="s">
        <v>79</v>
      </c>
      <c r="F2858" s="2" t="s">
        <v>125</v>
      </c>
      <c r="G2858" s="2" t="s">
        <v>110</v>
      </c>
      <c r="H2858" s="2" t="s">
        <v>32</v>
      </c>
      <c r="I2858" s="2">
        <v>48</v>
      </c>
      <c r="J2858" s="2" t="s">
        <v>187</v>
      </c>
      <c r="K2858" s="2" t="s">
        <v>7531</v>
      </c>
      <c r="L2858" s="2" t="s">
        <v>24</v>
      </c>
      <c r="M2858" s="2">
        <v>4</v>
      </c>
      <c r="N2858" s="2" t="s">
        <v>58</v>
      </c>
    </row>
    <row r="2859" spans="1:14" x14ac:dyDescent="0.25">
      <c r="A2859" s="2" t="s">
        <v>7532</v>
      </c>
      <c r="B2859" s="2" t="s">
        <v>7533</v>
      </c>
      <c r="C2859" s="2" t="s">
        <v>28</v>
      </c>
      <c r="D2859" s="2" t="s">
        <v>100</v>
      </c>
      <c r="E2859" s="2" t="s">
        <v>79</v>
      </c>
      <c r="F2859" s="2" t="s">
        <v>96</v>
      </c>
      <c r="G2859" s="2" t="s">
        <v>135</v>
      </c>
      <c r="H2859" s="2" t="s">
        <v>80</v>
      </c>
      <c r="I2859" s="2">
        <v>4</v>
      </c>
      <c r="J2859" s="2" t="s">
        <v>33</v>
      </c>
      <c r="K2859" s="2"/>
      <c r="L2859" s="2" t="s">
        <v>24</v>
      </c>
      <c r="M2859" s="2"/>
      <c r="N2859" s="2"/>
    </row>
    <row r="2860" spans="1:14" x14ac:dyDescent="0.25">
      <c r="A2860" s="2" t="s">
        <v>7534</v>
      </c>
      <c r="B2860" s="2" t="s">
        <v>7535</v>
      </c>
      <c r="C2860" s="2" t="s">
        <v>28</v>
      </c>
      <c r="D2860" s="2" t="s">
        <v>100</v>
      </c>
      <c r="E2860" s="2" t="s">
        <v>90</v>
      </c>
      <c r="F2860" s="2" t="s">
        <v>55</v>
      </c>
      <c r="G2860" s="2" t="s">
        <v>101</v>
      </c>
      <c r="H2860" s="2" t="s">
        <v>21</v>
      </c>
      <c r="I2860" s="2">
        <v>24</v>
      </c>
      <c r="J2860" s="2" t="s">
        <v>187</v>
      </c>
      <c r="K2860" s="2" t="s">
        <v>7536</v>
      </c>
      <c r="L2860" s="2" t="s">
        <v>24</v>
      </c>
      <c r="M2860" s="2"/>
      <c r="N2860" s="2" t="s">
        <v>25</v>
      </c>
    </row>
    <row r="2861" spans="1:14" x14ac:dyDescent="0.25">
      <c r="A2861" s="2" t="s">
        <v>7537</v>
      </c>
      <c r="B2861" s="2" t="s">
        <v>7538</v>
      </c>
      <c r="C2861" s="2" t="s">
        <v>53</v>
      </c>
      <c r="D2861" s="2" t="s">
        <v>54</v>
      </c>
      <c r="E2861" s="2" t="s">
        <v>148</v>
      </c>
      <c r="F2861" s="2" t="s">
        <v>39</v>
      </c>
      <c r="G2861" s="2" t="s">
        <v>20</v>
      </c>
      <c r="H2861" s="2" t="s">
        <v>32</v>
      </c>
      <c r="I2861" s="2">
        <v>48</v>
      </c>
      <c r="J2861" s="2" t="s">
        <v>187</v>
      </c>
      <c r="K2861" s="2"/>
      <c r="L2861" s="2" t="s">
        <v>24</v>
      </c>
      <c r="M2861" s="2">
        <v>1</v>
      </c>
      <c r="N2861" s="2" t="s">
        <v>43</v>
      </c>
    </row>
    <row r="2862" spans="1:14" x14ac:dyDescent="0.25">
      <c r="A2862" s="2" t="s">
        <v>7539</v>
      </c>
      <c r="B2862" s="2" t="s">
        <v>7540</v>
      </c>
      <c r="C2862" s="2" t="s">
        <v>16</v>
      </c>
      <c r="D2862" s="2" t="s">
        <v>17</v>
      </c>
      <c r="E2862" s="2" t="s">
        <v>79</v>
      </c>
      <c r="F2862" s="2" t="s">
        <v>39</v>
      </c>
      <c r="G2862" s="2" t="s">
        <v>101</v>
      </c>
      <c r="H2862" s="2" t="s">
        <v>21</v>
      </c>
      <c r="I2862" s="2">
        <v>24</v>
      </c>
      <c r="J2862" s="2" t="s">
        <v>41</v>
      </c>
      <c r="K2862" s="2" t="s">
        <v>7541</v>
      </c>
      <c r="L2862" s="2" t="s">
        <v>24</v>
      </c>
      <c r="M2862" s="2"/>
      <c r="N2862" s="2" t="s">
        <v>64</v>
      </c>
    </row>
    <row r="2863" spans="1:14" x14ac:dyDescent="0.25">
      <c r="A2863" s="2" t="s">
        <v>7542</v>
      </c>
      <c r="B2863" s="2" t="s">
        <v>7543</v>
      </c>
      <c r="C2863" s="2" t="s">
        <v>67</v>
      </c>
      <c r="D2863" s="2" t="s">
        <v>68</v>
      </c>
      <c r="E2863" s="2" t="s">
        <v>46</v>
      </c>
      <c r="F2863" s="2" t="s">
        <v>47</v>
      </c>
      <c r="G2863" s="2" t="s">
        <v>97</v>
      </c>
      <c r="H2863" s="2" t="s">
        <v>32</v>
      </c>
      <c r="I2863" s="2">
        <v>48</v>
      </c>
      <c r="J2863" s="2" t="s">
        <v>22</v>
      </c>
      <c r="K2863" s="2" t="s">
        <v>7544</v>
      </c>
      <c r="L2863" s="2" t="s">
        <v>24</v>
      </c>
      <c r="M2863" s="2">
        <v>5</v>
      </c>
      <c r="N2863" s="2" t="s">
        <v>43</v>
      </c>
    </row>
    <row r="2864" spans="1:14" x14ac:dyDescent="0.25">
      <c r="A2864" s="2" t="s">
        <v>7545</v>
      </c>
      <c r="B2864" s="2" t="s">
        <v>7546</v>
      </c>
      <c r="C2864" s="2" t="s">
        <v>67</v>
      </c>
      <c r="D2864" s="2" t="s">
        <v>95</v>
      </c>
      <c r="E2864" s="2" t="s">
        <v>46</v>
      </c>
      <c r="F2864" s="2" t="s">
        <v>55</v>
      </c>
      <c r="G2864" s="2" t="s">
        <v>40</v>
      </c>
      <c r="H2864" s="2" t="s">
        <v>21</v>
      </c>
      <c r="I2864" s="2">
        <v>24</v>
      </c>
      <c r="J2864" s="2" t="s">
        <v>187</v>
      </c>
      <c r="K2864" s="2" t="s">
        <v>7547</v>
      </c>
      <c r="L2864" s="2" t="s">
        <v>24</v>
      </c>
      <c r="M2864" s="2"/>
      <c r="N2864" s="2" t="s">
        <v>64</v>
      </c>
    </row>
    <row r="2865" spans="1:14" x14ac:dyDescent="0.25">
      <c r="A2865" s="2" t="s">
        <v>7548</v>
      </c>
      <c r="B2865" s="2" t="s">
        <v>7549</v>
      </c>
      <c r="C2865" s="2" t="s">
        <v>67</v>
      </c>
      <c r="D2865" s="2" t="s">
        <v>95</v>
      </c>
      <c r="E2865" s="2" t="s">
        <v>46</v>
      </c>
      <c r="F2865" s="2" t="s">
        <v>96</v>
      </c>
      <c r="G2865" s="2" t="s">
        <v>144</v>
      </c>
      <c r="H2865" s="2" t="s">
        <v>21</v>
      </c>
      <c r="I2865" s="2">
        <v>24</v>
      </c>
      <c r="J2865" s="2" t="s">
        <v>117</v>
      </c>
      <c r="K2865" s="2"/>
      <c r="L2865" s="2" t="s">
        <v>24</v>
      </c>
      <c r="M2865" s="2"/>
      <c r="N2865" s="2" t="s">
        <v>43</v>
      </c>
    </row>
    <row r="2866" spans="1:14" x14ac:dyDescent="0.25">
      <c r="A2866" s="2" t="s">
        <v>7550</v>
      </c>
      <c r="B2866" s="2" t="s">
        <v>7551</v>
      </c>
      <c r="C2866" s="2" t="s">
        <v>53</v>
      </c>
      <c r="D2866" s="2" t="s">
        <v>54</v>
      </c>
      <c r="E2866" s="2" t="s">
        <v>148</v>
      </c>
      <c r="F2866" s="2" t="s">
        <v>55</v>
      </c>
      <c r="G2866" s="2" t="s">
        <v>139</v>
      </c>
      <c r="H2866" s="2" t="s">
        <v>74</v>
      </c>
      <c r="I2866" s="2">
        <v>8</v>
      </c>
      <c r="J2866" s="2" t="s">
        <v>149</v>
      </c>
      <c r="K2866" s="2"/>
      <c r="L2866" s="2" t="s">
        <v>24</v>
      </c>
      <c r="M2866" s="2"/>
      <c r="N2866" s="2" t="s">
        <v>25</v>
      </c>
    </row>
    <row r="2867" spans="1:14" x14ac:dyDescent="0.25">
      <c r="A2867" s="2" t="s">
        <v>7552</v>
      </c>
      <c r="B2867" s="2" t="s">
        <v>7553</v>
      </c>
      <c r="C2867" s="2" t="s">
        <v>67</v>
      </c>
      <c r="D2867" s="2" t="s">
        <v>601</v>
      </c>
      <c r="E2867" s="2" t="s">
        <v>46</v>
      </c>
      <c r="F2867" s="2" t="s">
        <v>125</v>
      </c>
      <c r="G2867" s="2" t="s">
        <v>144</v>
      </c>
      <c r="H2867" s="2" t="s">
        <v>32</v>
      </c>
      <c r="I2867" s="2">
        <v>48</v>
      </c>
      <c r="J2867" s="2" t="s">
        <v>117</v>
      </c>
      <c r="K2867" s="2"/>
      <c r="L2867" s="2" t="s">
        <v>24</v>
      </c>
      <c r="M2867" s="2"/>
      <c r="N2867" s="2" t="s">
        <v>34</v>
      </c>
    </row>
    <row r="2868" spans="1:14" x14ac:dyDescent="0.25">
      <c r="A2868" s="2" t="s">
        <v>7554</v>
      </c>
      <c r="B2868" s="2" t="s">
        <v>7555</v>
      </c>
      <c r="C2868" s="2" t="s">
        <v>53</v>
      </c>
      <c r="D2868" s="2" t="s">
        <v>61</v>
      </c>
      <c r="E2868" s="2" t="s">
        <v>85</v>
      </c>
      <c r="F2868" s="2" t="s">
        <v>62</v>
      </c>
      <c r="G2868" s="2" t="s">
        <v>101</v>
      </c>
      <c r="H2868" s="2" t="s">
        <v>32</v>
      </c>
      <c r="I2868" s="2">
        <v>48</v>
      </c>
      <c r="J2868" s="2" t="s">
        <v>41</v>
      </c>
      <c r="K2868" s="2" t="s">
        <v>7556</v>
      </c>
      <c r="L2868" s="2" t="s">
        <v>24</v>
      </c>
      <c r="M2868" s="2">
        <v>2</v>
      </c>
      <c r="N2868" s="2" t="s">
        <v>118</v>
      </c>
    </row>
    <row r="2869" spans="1:14" x14ac:dyDescent="0.25">
      <c r="A2869" s="2" t="s">
        <v>7557</v>
      </c>
      <c r="B2869" s="2" t="s">
        <v>7558</v>
      </c>
      <c r="C2869" s="2" t="s">
        <v>16</v>
      </c>
      <c r="D2869" s="2" t="s">
        <v>84</v>
      </c>
      <c r="E2869" s="2" t="s">
        <v>85</v>
      </c>
      <c r="F2869" s="2" t="s">
        <v>19</v>
      </c>
      <c r="G2869" s="2" t="s">
        <v>158</v>
      </c>
      <c r="H2869" s="2" t="s">
        <v>74</v>
      </c>
      <c r="I2869" s="2">
        <v>8</v>
      </c>
      <c r="J2869" s="2" t="s">
        <v>41</v>
      </c>
      <c r="K2869" s="2"/>
      <c r="L2869" s="2" t="s">
        <v>24</v>
      </c>
      <c r="M2869" s="2"/>
      <c r="N2869" s="2" t="s">
        <v>34</v>
      </c>
    </row>
    <row r="2870" spans="1:14" x14ac:dyDescent="0.25">
      <c r="A2870" s="2" t="s">
        <v>7559</v>
      </c>
      <c r="B2870" s="2" t="s">
        <v>7560</v>
      </c>
      <c r="C2870" s="2" t="s">
        <v>53</v>
      </c>
      <c r="D2870" s="2" t="s">
        <v>162</v>
      </c>
      <c r="E2870" s="2" t="s">
        <v>46</v>
      </c>
      <c r="F2870" s="2" t="s">
        <v>62</v>
      </c>
      <c r="G2870" s="2" t="s">
        <v>110</v>
      </c>
      <c r="H2870" s="2" t="s">
        <v>74</v>
      </c>
      <c r="I2870" s="2">
        <v>8</v>
      </c>
      <c r="J2870" s="2" t="s">
        <v>106</v>
      </c>
      <c r="K2870" s="2" t="s">
        <v>7561</v>
      </c>
      <c r="L2870" s="2" t="s">
        <v>24</v>
      </c>
      <c r="M2870" s="2"/>
      <c r="N2870" s="2" t="s">
        <v>128</v>
      </c>
    </row>
    <row r="2871" spans="1:14" x14ac:dyDescent="0.25">
      <c r="A2871" s="2" t="s">
        <v>7562</v>
      </c>
      <c r="B2871" s="2" t="s">
        <v>7563</v>
      </c>
      <c r="C2871" s="2" t="s">
        <v>16</v>
      </c>
      <c r="D2871" s="2" t="s">
        <v>17</v>
      </c>
      <c r="E2871" s="2" t="s">
        <v>46</v>
      </c>
      <c r="F2871" s="2" t="s">
        <v>69</v>
      </c>
      <c r="G2871" s="2" t="s">
        <v>179</v>
      </c>
      <c r="H2871" s="2" t="s">
        <v>21</v>
      </c>
      <c r="I2871" s="2">
        <v>24</v>
      </c>
      <c r="J2871" s="2" t="s">
        <v>11</v>
      </c>
      <c r="K2871" s="2"/>
      <c r="L2871" s="2" t="s">
        <v>92</v>
      </c>
      <c r="M2871" s="2"/>
      <c r="N2871" s="2" t="s">
        <v>25</v>
      </c>
    </row>
    <row r="2872" spans="1:14" x14ac:dyDescent="0.25">
      <c r="A2872" s="2" t="s">
        <v>7564</v>
      </c>
      <c r="B2872" s="2" t="s">
        <v>7565</v>
      </c>
      <c r="C2872" s="2" t="s">
        <v>28</v>
      </c>
      <c r="D2872" s="2" t="s">
        <v>100</v>
      </c>
      <c r="E2872" s="2" t="s">
        <v>79</v>
      </c>
      <c r="F2872" s="2" t="s">
        <v>143</v>
      </c>
      <c r="G2872" s="2" t="s">
        <v>144</v>
      </c>
      <c r="H2872" s="2" t="s">
        <v>74</v>
      </c>
      <c r="I2872" s="2">
        <v>8</v>
      </c>
      <c r="J2872" s="2" t="s">
        <v>41</v>
      </c>
      <c r="K2872" s="2" t="s">
        <v>7566</v>
      </c>
      <c r="L2872" s="2" t="s">
        <v>24</v>
      </c>
      <c r="M2872" s="2"/>
      <c r="N2872" s="2" t="s">
        <v>25</v>
      </c>
    </row>
    <row r="2873" spans="1:14" x14ac:dyDescent="0.25">
      <c r="A2873" s="2" t="s">
        <v>7567</v>
      </c>
      <c r="B2873" s="2" t="s">
        <v>7568</v>
      </c>
      <c r="C2873" s="2" t="s">
        <v>16</v>
      </c>
      <c r="D2873" s="2" t="s">
        <v>17</v>
      </c>
      <c r="E2873" s="2" t="s">
        <v>148</v>
      </c>
      <c r="F2873" s="2" t="s">
        <v>125</v>
      </c>
      <c r="G2873" s="2" t="s">
        <v>144</v>
      </c>
      <c r="H2873" s="2" t="s">
        <v>21</v>
      </c>
      <c r="I2873" s="2">
        <v>24</v>
      </c>
      <c r="J2873" s="2" t="s">
        <v>155</v>
      </c>
      <c r="K2873" s="2"/>
      <c r="L2873" s="2" t="s">
        <v>24</v>
      </c>
      <c r="M2873" s="2"/>
      <c r="N2873" s="2" t="s">
        <v>43</v>
      </c>
    </row>
    <row r="2874" spans="1:14" x14ac:dyDescent="0.25">
      <c r="A2874" s="2" t="s">
        <v>7569</v>
      </c>
      <c r="B2874" s="2" t="s">
        <v>7570</v>
      </c>
      <c r="C2874" s="2" t="s">
        <v>16</v>
      </c>
      <c r="D2874" s="2" t="s">
        <v>84</v>
      </c>
      <c r="E2874" s="2" t="s">
        <v>90</v>
      </c>
      <c r="F2874" s="2" t="s">
        <v>131</v>
      </c>
      <c r="G2874" s="2" t="s">
        <v>31</v>
      </c>
      <c r="H2874" s="2" t="s">
        <v>21</v>
      </c>
      <c r="I2874" s="2">
        <v>24</v>
      </c>
      <c r="J2874" s="2" t="s">
        <v>41</v>
      </c>
      <c r="K2874" s="2" t="s">
        <v>7571</v>
      </c>
      <c r="L2874" s="2" t="s">
        <v>24</v>
      </c>
      <c r="M2874" s="2"/>
      <c r="N2874" s="2" t="s">
        <v>25</v>
      </c>
    </row>
    <row r="2875" spans="1:14" x14ac:dyDescent="0.25">
      <c r="A2875" s="2" t="s">
        <v>7572</v>
      </c>
      <c r="B2875" s="2" t="s">
        <v>7573</v>
      </c>
      <c r="C2875" s="2" t="s">
        <v>28</v>
      </c>
      <c r="D2875" s="2" t="s">
        <v>100</v>
      </c>
      <c r="E2875" s="2" t="s">
        <v>79</v>
      </c>
      <c r="F2875" s="2" t="s">
        <v>113</v>
      </c>
      <c r="G2875" s="2" t="s">
        <v>91</v>
      </c>
      <c r="H2875" s="2" t="s">
        <v>21</v>
      </c>
      <c r="I2875" s="2">
        <v>24</v>
      </c>
      <c r="J2875" s="2" t="s">
        <v>48</v>
      </c>
      <c r="K2875" s="2" t="s">
        <v>7574</v>
      </c>
      <c r="L2875" s="2" t="s">
        <v>24</v>
      </c>
      <c r="M2875" s="2">
        <v>1</v>
      </c>
      <c r="N2875" s="2" t="s">
        <v>58</v>
      </c>
    </row>
    <row r="2876" spans="1:14" x14ac:dyDescent="0.25">
      <c r="A2876" s="2" t="s">
        <v>5348</v>
      </c>
      <c r="B2876" s="2" t="s">
        <v>5349</v>
      </c>
      <c r="C2876" s="2" t="s">
        <v>16</v>
      </c>
      <c r="D2876" s="2" t="s">
        <v>17</v>
      </c>
      <c r="E2876" s="2" t="s">
        <v>148</v>
      </c>
      <c r="F2876" s="2" t="s">
        <v>131</v>
      </c>
      <c r="G2876" s="2" t="s">
        <v>126</v>
      </c>
      <c r="H2876" s="2" t="s">
        <v>21</v>
      </c>
      <c r="I2876" s="2">
        <v>24</v>
      </c>
      <c r="J2876" s="2" t="s">
        <v>117</v>
      </c>
      <c r="K2876" s="2"/>
      <c r="L2876" s="2" t="s">
        <v>24</v>
      </c>
      <c r="M2876" s="2"/>
      <c r="N2876" s="2" t="s">
        <v>128</v>
      </c>
    </row>
    <row r="2877" spans="1:14" x14ac:dyDescent="0.25">
      <c r="A2877" s="2" t="s">
        <v>7575</v>
      </c>
      <c r="B2877" s="2" t="s">
        <v>7576</v>
      </c>
      <c r="C2877" s="2" t="s">
        <v>53</v>
      </c>
      <c r="D2877" s="2" t="s">
        <v>61</v>
      </c>
      <c r="E2877" s="2" t="s">
        <v>85</v>
      </c>
      <c r="F2877" s="2" t="s">
        <v>125</v>
      </c>
      <c r="G2877" s="2" t="s">
        <v>110</v>
      </c>
      <c r="H2877" s="2" t="s">
        <v>21</v>
      </c>
      <c r="I2877" s="2">
        <v>24</v>
      </c>
      <c r="J2877" s="2" t="s">
        <v>41</v>
      </c>
      <c r="K2877" s="2" t="s">
        <v>7577</v>
      </c>
      <c r="L2877" s="2" t="s">
        <v>24</v>
      </c>
      <c r="M2877" s="2">
        <v>4</v>
      </c>
      <c r="N2877" s="2" t="s">
        <v>64</v>
      </c>
    </row>
    <row r="2878" spans="1:14" x14ac:dyDescent="0.25">
      <c r="A2878" s="2" t="s">
        <v>7578</v>
      </c>
      <c r="B2878" s="2" t="s">
        <v>7579</v>
      </c>
      <c r="C2878" s="2" t="s">
        <v>53</v>
      </c>
      <c r="D2878" s="2" t="s">
        <v>54</v>
      </c>
      <c r="E2878" s="2" t="s">
        <v>79</v>
      </c>
      <c r="F2878" s="2" t="s">
        <v>47</v>
      </c>
      <c r="G2878" s="2" t="s">
        <v>40</v>
      </c>
      <c r="H2878" s="2" t="s">
        <v>21</v>
      </c>
      <c r="I2878" s="2">
        <v>24</v>
      </c>
      <c r="J2878" s="2" t="s">
        <v>22</v>
      </c>
      <c r="K2878" s="2" t="s">
        <v>7580</v>
      </c>
      <c r="L2878" s="2" t="s">
        <v>92</v>
      </c>
      <c r="M2878" s="2">
        <v>5</v>
      </c>
      <c r="N2878" s="2" t="s">
        <v>128</v>
      </c>
    </row>
    <row r="2879" spans="1:14" x14ac:dyDescent="0.25">
      <c r="A2879" s="2" t="s">
        <v>7581</v>
      </c>
      <c r="B2879" s="2" t="s">
        <v>7582</v>
      </c>
      <c r="C2879" s="2" t="s">
        <v>67</v>
      </c>
      <c r="D2879" s="2" t="s">
        <v>68</v>
      </c>
      <c r="E2879" s="2" t="s">
        <v>18</v>
      </c>
      <c r="F2879" s="2" t="s">
        <v>55</v>
      </c>
      <c r="G2879" s="2" t="s">
        <v>101</v>
      </c>
      <c r="H2879" s="2" t="s">
        <v>32</v>
      </c>
      <c r="I2879" s="2">
        <v>48</v>
      </c>
      <c r="J2879" s="2" t="s">
        <v>41</v>
      </c>
      <c r="K2879" s="2" t="s">
        <v>7583</v>
      </c>
      <c r="L2879" s="2" t="s">
        <v>92</v>
      </c>
      <c r="M2879" s="2"/>
      <c r="N2879" s="2" t="s">
        <v>128</v>
      </c>
    </row>
    <row r="2880" spans="1:14" x14ac:dyDescent="0.25">
      <c r="A2880" s="2" t="s">
        <v>7584</v>
      </c>
      <c r="B2880" s="2" t="s">
        <v>7585</v>
      </c>
      <c r="C2880" s="2" t="s">
        <v>28</v>
      </c>
      <c r="D2880" s="2" t="s">
        <v>37</v>
      </c>
      <c r="E2880" s="2" t="s">
        <v>46</v>
      </c>
      <c r="F2880" s="2" t="s">
        <v>39</v>
      </c>
      <c r="G2880" s="2" t="s">
        <v>144</v>
      </c>
      <c r="H2880" s="2" t="s">
        <v>21</v>
      </c>
      <c r="I2880" s="2">
        <v>24</v>
      </c>
      <c r="J2880" s="2" t="s">
        <v>22</v>
      </c>
      <c r="K2880" s="2" t="s">
        <v>7586</v>
      </c>
      <c r="L2880" s="2" t="s">
        <v>24</v>
      </c>
      <c r="M2880" s="2">
        <v>5</v>
      </c>
      <c r="N2880" s="2" t="s">
        <v>58</v>
      </c>
    </row>
    <row r="2881" spans="1:14" x14ac:dyDescent="0.25">
      <c r="A2881" s="2" t="s">
        <v>7587</v>
      </c>
      <c r="B2881" s="2" t="s">
        <v>7588</v>
      </c>
      <c r="C2881" s="2" t="s">
        <v>16</v>
      </c>
      <c r="D2881" s="2" t="s">
        <v>17</v>
      </c>
      <c r="E2881" s="2" t="s">
        <v>46</v>
      </c>
      <c r="F2881" s="2" t="s">
        <v>69</v>
      </c>
      <c r="G2881" s="2" t="s">
        <v>126</v>
      </c>
      <c r="H2881" s="2" t="s">
        <v>32</v>
      </c>
      <c r="I2881" s="2">
        <v>48</v>
      </c>
      <c r="J2881" s="2" t="s">
        <v>75</v>
      </c>
      <c r="K2881" s="2" t="s">
        <v>7589</v>
      </c>
      <c r="L2881" s="2" t="s">
        <v>24</v>
      </c>
      <c r="M2881" s="2"/>
      <c r="N2881" s="2" t="s">
        <v>118</v>
      </c>
    </row>
    <row r="2882" spans="1:14" x14ac:dyDescent="0.25">
      <c r="A2882" s="2" t="s">
        <v>7590</v>
      </c>
      <c r="B2882" s="2" t="s">
        <v>7591</v>
      </c>
      <c r="C2882" s="2" t="s">
        <v>16</v>
      </c>
      <c r="D2882" s="2" t="s">
        <v>17</v>
      </c>
      <c r="E2882" s="2" t="s">
        <v>18</v>
      </c>
      <c r="F2882" s="2" t="s">
        <v>55</v>
      </c>
      <c r="G2882" s="2" t="s">
        <v>105</v>
      </c>
      <c r="H2882" s="2" t="s">
        <v>32</v>
      </c>
      <c r="I2882" s="2">
        <v>48</v>
      </c>
      <c r="J2882" s="2" t="s">
        <v>149</v>
      </c>
      <c r="K2882" s="2"/>
      <c r="L2882" s="2" t="s">
        <v>24</v>
      </c>
      <c r="M2882" s="2"/>
      <c r="N2882" s="2"/>
    </row>
    <row r="2883" spans="1:14" x14ac:dyDescent="0.25">
      <c r="A2883" s="2" t="s">
        <v>7592</v>
      </c>
      <c r="B2883" s="2" t="s">
        <v>7593</v>
      </c>
      <c r="C2883" s="2" t="s">
        <v>28</v>
      </c>
      <c r="D2883" s="2" t="s">
        <v>100</v>
      </c>
      <c r="E2883" s="2" t="s">
        <v>38</v>
      </c>
      <c r="F2883" s="2" t="s">
        <v>39</v>
      </c>
      <c r="G2883" s="2" t="s">
        <v>105</v>
      </c>
      <c r="H2883" s="2" t="s">
        <v>21</v>
      </c>
      <c r="I2883" s="2">
        <v>24</v>
      </c>
      <c r="J2883" s="2" t="s">
        <v>145</v>
      </c>
      <c r="K2883" s="2"/>
      <c r="L2883" s="2" t="s">
        <v>24</v>
      </c>
      <c r="M2883" s="2"/>
      <c r="N2883" s="2" t="s">
        <v>34</v>
      </c>
    </row>
    <row r="2884" spans="1:14" x14ac:dyDescent="0.25">
      <c r="A2884" s="2" t="s">
        <v>7594</v>
      </c>
      <c r="B2884" s="2" t="s">
        <v>7595</v>
      </c>
      <c r="C2884" s="2" t="s">
        <v>53</v>
      </c>
      <c r="D2884" s="2" t="s">
        <v>54</v>
      </c>
      <c r="E2884" s="2" t="s">
        <v>90</v>
      </c>
      <c r="F2884" s="2" t="s">
        <v>55</v>
      </c>
      <c r="G2884" s="2" t="s">
        <v>110</v>
      </c>
      <c r="H2884" s="2" t="s">
        <v>21</v>
      </c>
      <c r="I2884" s="2">
        <v>24</v>
      </c>
      <c r="J2884" s="2" t="s">
        <v>117</v>
      </c>
      <c r="K2884" s="2"/>
      <c r="L2884" s="2" t="s">
        <v>24</v>
      </c>
      <c r="M2884" s="2"/>
      <c r="N2884" s="2" t="s">
        <v>128</v>
      </c>
    </row>
    <row r="2885" spans="1:14" x14ac:dyDescent="0.25">
      <c r="A2885" s="2" t="s">
        <v>7596</v>
      </c>
      <c r="B2885" s="2" t="s">
        <v>7597</v>
      </c>
      <c r="C2885" s="2" t="s">
        <v>53</v>
      </c>
      <c r="D2885" s="2" t="s">
        <v>54</v>
      </c>
      <c r="E2885" s="2" t="s">
        <v>79</v>
      </c>
      <c r="F2885" s="2" t="s">
        <v>143</v>
      </c>
      <c r="G2885" s="2" t="s">
        <v>126</v>
      </c>
      <c r="H2885" s="2" t="s">
        <v>74</v>
      </c>
      <c r="I2885" s="2">
        <v>8</v>
      </c>
      <c r="J2885" s="2" t="s">
        <v>41</v>
      </c>
      <c r="K2885" s="2" t="s">
        <v>7598</v>
      </c>
      <c r="L2885" s="2" t="s">
        <v>24</v>
      </c>
      <c r="M2885" s="2">
        <v>4</v>
      </c>
      <c r="N2885" s="2" t="s">
        <v>58</v>
      </c>
    </row>
    <row r="2886" spans="1:14" x14ac:dyDescent="0.25">
      <c r="A2886" s="2" t="s">
        <v>7599</v>
      </c>
      <c r="B2886" s="2" t="s">
        <v>7600</v>
      </c>
      <c r="C2886" s="2" t="s">
        <v>16</v>
      </c>
      <c r="D2886" s="2" t="s">
        <v>84</v>
      </c>
      <c r="E2886" s="2" t="s">
        <v>18</v>
      </c>
      <c r="F2886" s="2" t="s">
        <v>47</v>
      </c>
      <c r="G2886" s="2" t="s">
        <v>40</v>
      </c>
      <c r="H2886" s="2" t="s">
        <v>74</v>
      </c>
      <c r="I2886" s="2">
        <v>8</v>
      </c>
      <c r="J2886" s="2" t="s">
        <v>187</v>
      </c>
      <c r="K2886" s="2" t="s">
        <v>7601</v>
      </c>
      <c r="L2886" s="2" t="s">
        <v>92</v>
      </c>
      <c r="M2886" s="2"/>
      <c r="N2886" s="2"/>
    </row>
    <row r="2887" spans="1:14" x14ac:dyDescent="0.25">
      <c r="A2887" s="2" t="s">
        <v>7602</v>
      </c>
      <c r="B2887" s="2" t="s">
        <v>7603</v>
      </c>
      <c r="C2887" s="2" t="s">
        <v>16</v>
      </c>
      <c r="D2887" s="2" t="s">
        <v>84</v>
      </c>
      <c r="E2887" s="2" t="s">
        <v>79</v>
      </c>
      <c r="F2887" s="2" t="s">
        <v>19</v>
      </c>
      <c r="G2887" s="2" t="s">
        <v>31</v>
      </c>
      <c r="H2887" s="2" t="s">
        <v>74</v>
      </c>
      <c r="I2887" s="2">
        <v>8</v>
      </c>
      <c r="J2887" s="2" t="s">
        <v>48</v>
      </c>
      <c r="K2887" s="2" t="s">
        <v>7604</v>
      </c>
      <c r="L2887" s="2" t="s">
        <v>24</v>
      </c>
      <c r="M2887" s="2">
        <v>4</v>
      </c>
      <c r="N2887" s="2" t="s">
        <v>58</v>
      </c>
    </row>
    <row r="2888" spans="1:14" x14ac:dyDescent="0.25">
      <c r="A2888" s="2" t="s">
        <v>7605</v>
      </c>
      <c r="B2888" s="2" t="s">
        <v>7606</v>
      </c>
      <c r="C2888" s="2" t="s">
        <v>53</v>
      </c>
      <c r="D2888" s="2" t="s">
        <v>771</v>
      </c>
      <c r="E2888" s="2" t="s">
        <v>18</v>
      </c>
      <c r="F2888" s="2" t="s">
        <v>30</v>
      </c>
      <c r="G2888" s="2" t="s">
        <v>158</v>
      </c>
      <c r="H2888" s="2" t="s">
        <v>32</v>
      </c>
      <c r="I2888" s="2">
        <v>48</v>
      </c>
      <c r="J2888" s="2" t="s">
        <v>106</v>
      </c>
      <c r="K2888" s="2" t="s">
        <v>7607</v>
      </c>
      <c r="L2888" s="2" t="s">
        <v>24</v>
      </c>
      <c r="M2888" s="2">
        <v>4</v>
      </c>
      <c r="N2888" s="2" t="s">
        <v>50</v>
      </c>
    </row>
    <row r="2889" spans="1:14" x14ac:dyDescent="0.25">
      <c r="A2889" s="2" t="s">
        <v>7608</v>
      </c>
      <c r="B2889" s="2" t="s">
        <v>1812</v>
      </c>
      <c r="C2889" s="2" t="s">
        <v>28</v>
      </c>
      <c r="D2889" s="2" t="s">
        <v>37</v>
      </c>
      <c r="E2889" s="2" t="s">
        <v>18</v>
      </c>
      <c r="F2889" s="2" t="s">
        <v>62</v>
      </c>
      <c r="G2889" s="2" t="s">
        <v>183</v>
      </c>
      <c r="H2889" s="2" t="s">
        <v>21</v>
      </c>
      <c r="I2889" s="2">
        <v>24</v>
      </c>
      <c r="J2889" s="2" t="s">
        <v>48</v>
      </c>
      <c r="K2889" s="2" t="s">
        <v>7609</v>
      </c>
      <c r="L2889" s="2" t="s">
        <v>92</v>
      </c>
      <c r="M2889" s="2"/>
      <c r="N2889" s="2" t="s">
        <v>118</v>
      </c>
    </row>
    <row r="2890" spans="1:14" x14ac:dyDescent="0.25">
      <c r="A2890" s="2" t="s">
        <v>7610</v>
      </c>
      <c r="B2890" s="2" t="s">
        <v>7611</v>
      </c>
      <c r="C2890" s="2" t="s">
        <v>67</v>
      </c>
      <c r="D2890" s="2" t="s">
        <v>68</v>
      </c>
      <c r="E2890" s="2" t="s">
        <v>79</v>
      </c>
      <c r="F2890" s="2" t="s">
        <v>30</v>
      </c>
      <c r="G2890" s="2" t="s">
        <v>31</v>
      </c>
      <c r="H2890" s="2" t="s">
        <v>74</v>
      </c>
      <c r="I2890" s="2">
        <v>8</v>
      </c>
      <c r="J2890" s="2" t="s">
        <v>145</v>
      </c>
      <c r="K2890" s="2"/>
      <c r="L2890" s="2" t="s">
        <v>24</v>
      </c>
      <c r="M2890" s="2"/>
      <c r="N2890" s="2" t="s">
        <v>58</v>
      </c>
    </row>
    <row r="2891" spans="1:14" x14ac:dyDescent="0.25">
      <c r="A2891" s="2" t="s">
        <v>6369</v>
      </c>
      <c r="B2891" s="2" t="s">
        <v>6370</v>
      </c>
      <c r="C2891" s="2" t="s">
        <v>28</v>
      </c>
      <c r="D2891" s="2" t="s">
        <v>37</v>
      </c>
      <c r="E2891" s="2" t="s">
        <v>79</v>
      </c>
      <c r="F2891" s="2" t="s">
        <v>69</v>
      </c>
      <c r="G2891" s="2" t="s">
        <v>91</v>
      </c>
      <c r="H2891" s="2" t="s">
        <v>32</v>
      </c>
      <c r="I2891" s="2">
        <v>48</v>
      </c>
      <c r="J2891" s="2" t="s">
        <v>191</v>
      </c>
      <c r="K2891" s="2" t="s">
        <v>6371</v>
      </c>
      <c r="L2891" s="2" t="s">
        <v>24</v>
      </c>
      <c r="M2891" s="2"/>
      <c r="N2891" s="2"/>
    </row>
    <row r="2892" spans="1:14" x14ac:dyDescent="0.25">
      <c r="A2892" s="2" t="s">
        <v>7612</v>
      </c>
      <c r="B2892" s="2" t="s">
        <v>7613</v>
      </c>
      <c r="C2892" s="2" t="s">
        <v>28</v>
      </c>
      <c r="D2892" s="2" t="s">
        <v>37</v>
      </c>
      <c r="E2892" s="2" t="s">
        <v>85</v>
      </c>
      <c r="F2892" s="2" t="s">
        <v>19</v>
      </c>
      <c r="G2892" s="2" t="s">
        <v>179</v>
      </c>
      <c r="H2892" s="2" t="s">
        <v>32</v>
      </c>
      <c r="I2892" s="2">
        <v>48</v>
      </c>
      <c r="J2892" s="2" t="s">
        <v>117</v>
      </c>
      <c r="K2892" s="2"/>
      <c r="L2892" s="2" t="s">
        <v>24</v>
      </c>
      <c r="M2892" s="2"/>
      <c r="N2892" s="2"/>
    </row>
    <row r="2893" spans="1:14" x14ac:dyDescent="0.25">
      <c r="A2893" s="2" t="s">
        <v>7614</v>
      </c>
      <c r="B2893" s="2" t="s">
        <v>7615</v>
      </c>
      <c r="C2893" s="2" t="s">
        <v>67</v>
      </c>
      <c r="D2893" s="2" t="s">
        <v>68</v>
      </c>
      <c r="E2893" s="2" t="s">
        <v>18</v>
      </c>
      <c r="F2893" s="2" t="s">
        <v>55</v>
      </c>
      <c r="G2893" s="2" t="s">
        <v>211</v>
      </c>
      <c r="H2893" s="2" t="s">
        <v>32</v>
      </c>
      <c r="I2893" s="2">
        <v>48</v>
      </c>
      <c r="J2893" s="2" t="s">
        <v>48</v>
      </c>
      <c r="K2893" s="2" t="s">
        <v>7616</v>
      </c>
      <c r="L2893" s="2" t="s">
        <v>24</v>
      </c>
      <c r="M2893" s="2"/>
      <c r="N2893" s="2"/>
    </row>
    <row r="2894" spans="1:14" x14ac:dyDescent="0.25">
      <c r="A2894" s="2" t="s">
        <v>7617</v>
      </c>
      <c r="B2894" s="2" t="s">
        <v>7618</v>
      </c>
      <c r="C2894" s="2" t="s">
        <v>16</v>
      </c>
      <c r="D2894" s="2" t="s">
        <v>17</v>
      </c>
      <c r="E2894" s="2" t="s">
        <v>148</v>
      </c>
      <c r="F2894" s="2" t="s">
        <v>55</v>
      </c>
      <c r="G2894" s="2" t="s">
        <v>20</v>
      </c>
      <c r="H2894" s="2" t="s">
        <v>74</v>
      </c>
      <c r="I2894" s="2">
        <v>8</v>
      </c>
      <c r="J2894" s="2" t="s">
        <v>41</v>
      </c>
      <c r="K2894" s="2" t="s">
        <v>7619</v>
      </c>
      <c r="L2894" s="2" t="s">
        <v>24</v>
      </c>
      <c r="M2894" s="2">
        <v>4</v>
      </c>
      <c r="N2894" s="2"/>
    </row>
    <row r="2895" spans="1:14" x14ac:dyDescent="0.25">
      <c r="A2895" s="2" t="s">
        <v>7620</v>
      </c>
      <c r="B2895" s="2" t="s">
        <v>7621</v>
      </c>
      <c r="C2895" s="2" t="s">
        <v>67</v>
      </c>
      <c r="D2895" s="2" t="s">
        <v>95</v>
      </c>
      <c r="E2895" s="2" t="s">
        <v>18</v>
      </c>
      <c r="F2895" s="2" t="s">
        <v>62</v>
      </c>
      <c r="G2895" s="2" t="s">
        <v>70</v>
      </c>
      <c r="H2895" s="2" t="s">
        <v>21</v>
      </c>
      <c r="I2895" s="2">
        <v>24</v>
      </c>
      <c r="J2895" s="2" t="s">
        <v>41</v>
      </c>
      <c r="K2895" s="2" t="s">
        <v>7622</v>
      </c>
      <c r="L2895" s="2" t="s">
        <v>24</v>
      </c>
      <c r="M2895" s="2"/>
      <c r="N2895" s="2" t="s">
        <v>118</v>
      </c>
    </row>
    <row r="2896" spans="1:14" x14ac:dyDescent="0.25">
      <c r="A2896" s="2" t="s">
        <v>7623</v>
      </c>
      <c r="B2896" s="2" t="s">
        <v>7624</v>
      </c>
      <c r="C2896" s="2" t="s">
        <v>16</v>
      </c>
      <c r="D2896" s="2" t="s">
        <v>84</v>
      </c>
      <c r="E2896" s="2" t="s">
        <v>85</v>
      </c>
      <c r="F2896" s="2" t="s">
        <v>55</v>
      </c>
      <c r="G2896" s="2" t="s">
        <v>101</v>
      </c>
      <c r="H2896" s="2" t="s">
        <v>74</v>
      </c>
      <c r="I2896" s="2">
        <v>8</v>
      </c>
      <c r="J2896" s="2" t="s">
        <v>200</v>
      </c>
      <c r="K2896" s="2"/>
      <c r="L2896" s="2" t="s">
        <v>92</v>
      </c>
      <c r="M2896" s="2"/>
      <c r="N2896" s="2" t="s">
        <v>64</v>
      </c>
    </row>
    <row r="2897" spans="1:14" x14ac:dyDescent="0.25">
      <c r="A2897" s="2" t="s">
        <v>7625</v>
      </c>
      <c r="B2897" s="2" t="s">
        <v>7626</v>
      </c>
      <c r="C2897" s="2" t="s">
        <v>28</v>
      </c>
      <c r="D2897" s="2" t="s">
        <v>37</v>
      </c>
      <c r="E2897" s="2" t="s">
        <v>38</v>
      </c>
      <c r="F2897" s="2" t="s">
        <v>113</v>
      </c>
      <c r="G2897" s="2" t="s">
        <v>158</v>
      </c>
      <c r="H2897" s="2" t="s">
        <v>32</v>
      </c>
      <c r="I2897" s="2">
        <v>48</v>
      </c>
      <c r="J2897" s="2" t="s">
        <v>145</v>
      </c>
      <c r="K2897" s="2"/>
      <c r="L2897" s="2" t="s">
        <v>92</v>
      </c>
      <c r="M2897" s="2"/>
      <c r="N2897" s="2" t="s">
        <v>50</v>
      </c>
    </row>
    <row r="2898" spans="1:14" x14ac:dyDescent="0.25">
      <c r="A2898" s="2" t="s">
        <v>7627</v>
      </c>
      <c r="B2898" s="2" t="s">
        <v>7628</v>
      </c>
      <c r="C2898" s="2" t="s">
        <v>67</v>
      </c>
      <c r="D2898" s="2" t="s">
        <v>95</v>
      </c>
      <c r="E2898" s="2" t="s">
        <v>38</v>
      </c>
      <c r="F2898" s="2" t="s">
        <v>113</v>
      </c>
      <c r="G2898" s="2" t="s">
        <v>20</v>
      </c>
      <c r="H2898" s="2" t="s">
        <v>32</v>
      </c>
      <c r="I2898" s="2">
        <v>48</v>
      </c>
      <c r="J2898" s="2" t="s">
        <v>56</v>
      </c>
      <c r="K2898" s="2" t="s">
        <v>7629</v>
      </c>
      <c r="L2898" s="2" t="s">
        <v>24</v>
      </c>
      <c r="M2898" s="2"/>
      <c r="N2898" s="2" t="s">
        <v>58</v>
      </c>
    </row>
    <row r="2899" spans="1:14" x14ac:dyDescent="0.25">
      <c r="A2899" s="2" t="s">
        <v>7630</v>
      </c>
      <c r="B2899" s="2" t="s">
        <v>1172</v>
      </c>
      <c r="C2899" s="2" t="s">
        <v>67</v>
      </c>
      <c r="D2899" s="2" t="s">
        <v>95</v>
      </c>
      <c r="E2899" s="2" t="s">
        <v>79</v>
      </c>
      <c r="F2899" s="2" t="s">
        <v>125</v>
      </c>
      <c r="G2899" s="2" t="s">
        <v>121</v>
      </c>
      <c r="H2899" s="2" t="s">
        <v>32</v>
      </c>
      <c r="I2899" s="2">
        <v>48</v>
      </c>
      <c r="J2899" s="2" t="s">
        <v>187</v>
      </c>
      <c r="K2899" s="2" t="s">
        <v>7631</v>
      </c>
      <c r="L2899" s="2" t="s">
        <v>24</v>
      </c>
      <c r="M2899" s="2">
        <v>5</v>
      </c>
      <c r="N2899" s="2" t="s">
        <v>34</v>
      </c>
    </row>
    <row r="2900" spans="1:14" x14ac:dyDescent="0.25">
      <c r="A2900" s="2" t="s">
        <v>7632</v>
      </c>
      <c r="B2900" s="2" t="s">
        <v>7633</v>
      </c>
      <c r="C2900" s="2" t="s">
        <v>53</v>
      </c>
      <c r="D2900" s="2" t="s">
        <v>61</v>
      </c>
      <c r="E2900" s="2" t="s">
        <v>18</v>
      </c>
      <c r="F2900" s="2" t="s">
        <v>96</v>
      </c>
      <c r="G2900" s="2" t="s">
        <v>135</v>
      </c>
      <c r="H2900" s="2" t="s">
        <v>21</v>
      </c>
      <c r="I2900" s="2">
        <v>24</v>
      </c>
      <c r="J2900" s="2" t="s">
        <v>106</v>
      </c>
      <c r="K2900" s="2" t="s">
        <v>7634</v>
      </c>
      <c r="L2900" s="2" t="s">
        <v>24</v>
      </c>
      <c r="M2900" s="2">
        <v>5</v>
      </c>
      <c r="N2900" s="2" t="s">
        <v>43</v>
      </c>
    </row>
    <row r="2901" spans="1:14" x14ac:dyDescent="0.25">
      <c r="A2901" s="2" t="s">
        <v>7635</v>
      </c>
      <c r="B2901" s="2" t="s">
        <v>7636</v>
      </c>
      <c r="C2901" s="2" t="s">
        <v>16</v>
      </c>
      <c r="D2901" s="2" t="s">
        <v>240</v>
      </c>
      <c r="E2901" s="2" t="s">
        <v>148</v>
      </c>
      <c r="F2901" s="2" t="s">
        <v>125</v>
      </c>
      <c r="G2901" s="2" t="s">
        <v>211</v>
      </c>
      <c r="H2901" s="2" t="s">
        <v>32</v>
      </c>
      <c r="I2901" s="2">
        <v>48</v>
      </c>
      <c r="J2901" s="2" t="s">
        <v>117</v>
      </c>
      <c r="K2901" s="2"/>
      <c r="L2901" s="2" t="s">
        <v>24</v>
      </c>
      <c r="M2901" s="2"/>
      <c r="N2901" s="2" t="s">
        <v>58</v>
      </c>
    </row>
    <row r="2902" spans="1:14" x14ac:dyDescent="0.25">
      <c r="A2902" s="2" t="s">
        <v>7637</v>
      </c>
      <c r="B2902" s="2" t="s">
        <v>7638</v>
      </c>
      <c r="C2902" s="2" t="s">
        <v>67</v>
      </c>
      <c r="D2902" s="2" t="s">
        <v>95</v>
      </c>
      <c r="E2902" s="2" t="s">
        <v>148</v>
      </c>
      <c r="F2902" s="2" t="s">
        <v>131</v>
      </c>
      <c r="G2902" s="2" t="s">
        <v>97</v>
      </c>
      <c r="H2902" s="2" t="s">
        <v>21</v>
      </c>
      <c r="I2902" s="2">
        <v>24</v>
      </c>
      <c r="J2902" s="2" t="s">
        <v>48</v>
      </c>
      <c r="K2902" s="2" t="s">
        <v>7639</v>
      </c>
      <c r="L2902" s="2" t="s">
        <v>92</v>
      </c>
      <c r="M2902" s="2">
        <v>5</v>
      </c>
      <c r="N2902" s="2" t="s">
        <v>50</v>
      </c>
    </row>
    <row r="2903" spans="1:14" x14ac:dyDescent="0.25">
      <c r="A2903" s="2" t="s">
        <v>7640</v>
      </c>
      <c r="B2903" s="2" t="s">
        <v>7641</v>
      </c>
      <c r="C2903" s="2" t="s">
        <v>16</v>
      </c>
      <c r="D2903" s="2" t="s">
        <v>17</v>
      </c>
      <c r="E2903" s="2" t="s">
        <v>38</v>
      </c>
      <c r="F2903" s="2" t="s">
        <v>143</v>
      </c>
      <c r="G2903" s="2" t="s">
        <v>179</v>
      </c>
      <c r="H2903" s="2" t="s">
        <v>32</v>
      </c>
      <c r="I2903" s="2">
        <v>48</v>
      </c>
      <c r="J2903" s="2" t="s">
        <v>22</v>
      </c>
      <c r="K2903" s="2" t="s">
        <v>7642</v>
      </c>
      <c r="L2903" s="2" t="s">
        <v>24</v>
      </c>
      <c r="M2903" s="2"/>
      <c r="N2903" s="2" t="s">
        <v>58</v>
      </c>
    </row>
    <row r="2904" spans="1:14" x14ac:dyDescent="0.25">
      <c r="A2904" s="2" t="s">
        <v>7643</v>
      </c>
      <c r="B2904" s="2" t="s">
        <v>7644</v>
      </c>
      <c r="C2904" s="2" t="s">
        <v>67</v>
      </c>
      <c r="D2904" s="2" t="s">
        <v>68</v>
      </c>
      <c r="E2904" s="2" t="s">
        <v>85</v>
      </c>
      <c r="F2904" s="2" t="s">
        <v>96</v>
      </c>
      <c r="G2904" s="2" t="s">
        <v>139</v>
      </c>
      <c r="H2904" s="2" t="s">
        <v>32</v>
      </c>
      <c r="I2904" s="2">
        <v>48</v>
      </c>
      <c r="J2904" s="2" t="s">
        <v>155</v>
      </c>
      <c r="K2904" s="2"/>
      <c r="L2904" s="2" t="s">
        <v>24</v>
      </c>
      <c r="M2904" s="2"/>
      <c r="N2904" s="2" t="s">
        <v>25</v>
      </c>
    </row>
    <row r="2905" spans="1:14" x14ac:dyDescent="0.25">
      <c r="A2905" s="2" t="s">
        <v>7645</v>
      </c>
      <c r="B2905" s="2" t="s">
        <v>7646</v>
      </c>
      <c r="C2905" s="2" t="s">
        <v>67</v>
      </c>
      <c r="D2905" s="2" t="s">
        <v>95</v>
      </c>
      <c r="E2905" s="2" t="s">
        <v>85</v>
      </c>
      <c r="F2905" s="2" t="s">
        <v>47</v>
      </c>
      <c r="G2905" s="2" t="s">
        <v>20</v>
      </c>
      <c r="H2905" s="2" t="s">
        <v>74</v>
      </c>
      <c r="I2905" s="2">
        <v>8</v>
      </c>
      <c r="J2905" s="2" t="s">
        <v>41</v>
      </c>
      <c r="K2905" s="2" t="s">
        <v>7647</v>
      </c>
      <c r="L2905" s="2" t="s">
        <v>24</v>
      </c>
      <c r="M2905" s="2"/>
      <c r="N2905" s="2" t="s">
        <v>43</v>
      </c>
    </row>
    <row r="2906" spans="1:14" x14ac:dyDescent="0.25">
      <c r="A2906" s="2" t="s">
        <v>7648</v>
      </c>
      <c r="B2906" s="2" t="s">
        <v>7649</v>
      </c>
      <c r="C2906" s="2" t="s">
        <v>16</v>
      </c>
      <c r="D2906" s="2" t="s">
        <v>240</v>
      </c>
      <c r="E2906" s="2" t="s">
        <v>90</v>
      </c>
      <c r="F2906" s="2" t="s">
        <v>131</v>
      </c>
      <c r="G2906" s="2" t="s">
        <v>105</v>
      </c>
      <c r="H2906" s="2" t="s">
        <v>21</v>
      </c>
      <c r="I2906" s="2">
        <v>24</v>
      </c>
      <c r="J2906" s="2" t="s">
        <v>22</v>
      </c>
      <c r="K2906" s="2" t="s">
        <v>7650</v>
      </c>
      <c r="L2906" s="2" t="s">
        <v>24</v>
      </c>
      <c r="M2906" s="2"/>
      <c r="N2906" s="2" t="s">
        <v>58</v>
      </c>
    </row>
    <row r="2907" spans="1:14" x14ac:dyDescent="0.25">
      <c r="A2907" s="2" t="s">
        <v>7651</v>
      </c>
      <c r="B2907" s="2" t="s">
        <v>7652</v>
      </c>
      <c r="C2907" s="2" t="s">
        <v>16</v>
      </c>
      <c r="D2907" s="2" t="s">
        <v>84</v>
      </c>
      <c r="E2907" s="2" t="s">
        <v>38</v>
      </c>
      <c r="F2907" s="2" t="s">
        <v>39</v>
      </c>
      <c r="G2907" s="2" t="s">
        <v>139</v>
      </c>
      <c r="H2907" s="2" t="s">
        <v>32</v>
      </c>
      <c r="I2907" s="2">
        <v>48</v>
      </c>
      <c r="J2907" s="2" t="s">
        <v>41</v>
      </c>
      <c r="K2907" s="2" t="s">
        <v>7653</v>
      </c>
      <c r="L2907" s="2" t="s">
        <v>24</v>
      </c>
      <c r="M2907" s="2">
        <v>2</v>
      </c>
      <c r="N2907" s="2" t="s">
        <v>34</v>
      </c>
    </row>
    <row r="2908" spans="1:14" x14ac:dyDescent="0.25">
      <c r="A2908" s="2" t="s">
        <v>7654</v>
      </c>
      <c r="B2908" s="2" t="s">
        <v>7655</v>
      </c>
      <c r="C2908" s="2" t="s">
        <v>28</v>
      </c>
      <c r="D2908" s="2" t="s">
        <v>100</v>
      </c>
      <c r="E2908" s="2" t="s">
        <v>18</v>
      </c>
      <c r="F2908" s="2" t="s">
        <v>125</v>
      </c>
      <c r="G2908" s="2" t="s">
        <v>183</v>
      </c>
      <c r="H2908" s="2" t="s">
        <v>21</v>
      </c>
      <c r="I2908" s="2">
        <v>24</v>
      </c>
      <c r="J2908" s="2" t="s">
        <v>22</v>
      </c>
      <c r="K2908" s="2" t="s">
        <v>7656</v>
      </c>
      <c r="L2908" s="2" t="s">
        <v>24</v>
      </c>
      <c r="M2908" s="2">
        <v>2</v>
      </c>
      <c r="N2908" s="2" t="s">
        <v>118</v>
      </c>
    </row>
    <row r="2909" spans="1:14" x14ac:dyDescent="0.25">
      <c r="A2909" s="2" t="s">
        <v>7657</v>
      </c>
      <c r="B2909" s="2" t="s">
        <v>7658</v>
      </c>
      <c r="C2909" s="2" t="s">
        <v>67</v>
      </c>
      <c r="D2909" s="2" t="s">
        <v>95</v>
      </c>
      <c r="E2909" s="2" t="s">
        <v>90</v>
      </c>
      <c r="F2909" s="2" t="s">
        <v>47</v>
      </c>
      <c r="G2909" s="2" t="s">
        <v>91</v>
      </c>
      <c r="H2909" s="2" t="s">
        <v>32</v>
      </c>
      <c r="I2909" s="2">
        <v>48</v>
      </c>
      <c r="J2909" s="2" t="s">
        <v>117</v>
      </c>
      <c r="K2909" s="2"/>
      <c r="L2909" s="2" t="s">
        <v>24</v>
      </c>
      <c r="M2909" s="2"/>
      <c r="N2909" s="2" t="s">
        <v>34</v>
      </c>
    </row>
    <row r="2910" spans="1:14" x14ac:dyDescent="0.25">
      <c r="A2910" s="2" t="s">
        <v>7659</v>
      </c>
      <c r="B2910" s="2" t="s">
        <v>7660</v>
      </c>
      <c r="C2910" s="2" t="s">
        <v>67</v>
      </c>
      <c r="D2910" s="2" t="s">
        <v>68</v>
      </c>
      <c r="E2910" s="2" t="s">
        <v>38</v>
      </c>
      <c r="F2910" s="2" t="s">
        <v>125</v>
      </c>
      <c r="G2910" s="2" t="s">
        <v>91</v>
      </c>
      <c r="H2910" s="2" t="s">
        <v>21</v>
      </c>
      <c r="I2910" s="2">
        <v>24</v>
      </c>
      <c r="J2910" s="2" t="s">
        <v>22</v>
      </c>
      <c r="K2910" s="2" t="s">
        <v>7661</v>
      </c>
      <c r="L2910" s="2" t="s">
        <v>24</v>
      </c>
      <c r="M2910" s="2"/>
      <c r="N2910" s="2" t="s">
        <v>58</v>
      </c>
    </row>
    <row r="2911" spans="1:14" x14ac:dyDescent="0.25">
      <c r="A2911" s="2" t="s">
        <v>7662</v>
      </c>
      <c r="B2911" s="2" t="s">
        <v>7663</v>
      </c>
      <c r="C2911" s="2" t="s">
        <v>28</v>
      </c>
      <c r="D2911" s="2" t="s">
        <v>100</v>
      </c>
      <c r="E2911" s="2" t="s">
        <v>18</v>
      </c>
      <c r="F2911" s="2" t="s">
        <v>143</v>
      </c>
      <c r="G2911" s="2" t="s">
        <v>135</v>
      </c>
      <c r="H2911" s="2" t="s">
        <v>80</v>
      </c>
      <c r="I2911" s="2">
        <v>4</v>
      </c>
      <c r="J2911" s="2" t="s">
        <v>155</v>
      </c>
      <c r="K2911" s="2"/>
      <c r="L2911" s="2" t="s">
        <v>24</v>
      </c>
      <c r="M2911" s="2"/>
      <c r="N2911" s="2" t="s">
        <v>25</v>
      </c>
    </row>
    <row r="2912" spans="1:14" x14ac:dyDescent="0.25">
      <c r="A2912" s="2" t="s">
        <v>7664</v>
      </c>
      <c r="B2912" s="2" t="s">
        <v>7665</v>
      </c>
      <c r="C2912" s="2" t="s">
        <v>67</v>
      </c>
      <c r="D2912" s="2" t="s">
        <v>68</v>
      </c>
      <c r="E2912" s="2" t="s">
        <v>85</v>
      </c>
      <c r="F2912" s="2" t="s">
        <v>30</v>
      </c>
      <c r="G2912" s="2" t="s">
        <v>110</v>
      </c>
      <c r="H2912" s="2" t="s">
        <v>32</v>
      </c>
      <c r="I2912" s="2">
        <v>48</v>
      </c>
      <c r="J2912" s="2" t="s">
        <v>187</v>
      </c>
      <c r="K2912" s="2" t="s">
        <v>7666</v>
      </c>
      <c r="L2912" s="2" t="s">
        <v>24</v>
      </c>
      <c r="M2912" s="2"/>
      <c r="N2912" s="2" t="s">
        <v>118</v>
      </c>
    </row>
    <row r="2913" spans="1:14" x14ac:dyDescent="0.25">
      <c r="A2913" s="2" t="s">
        <v>7667</v>
      </c>
      <c r="B2913" s="2" t="s">
        <v>7668</v>
      </c>
      <c r="C2913" s="2" t="s">
        <v>67</v>
      </c>
      <c r="D2913" s="2" t="s">
        <v>68</v>
      </c>
      <c r="E2913" s="2" t="s">
        <v>18</v>
      </c>
      <c r="F2913" s="2" t="s">
        <v>113</v>
      </c>
      <c r="G2913" s="2" t="s">
        <v>20</v>
      </c>
      <c r="H2913" s="2" t="s">
        <v>80</v>
      </c>
      <c r="I2913" s="2">
        <v>4</v>
      </c>
      <c r="J2913" s="2" t="s">
        <v>106</v>
      </c>
      <c r="K2913" s="2" t="s">
        <v>7669</v>
      </c>
      <c r="L2913" s="2" t="s">
        <v>92</v>
      </c>
      <c r="M2913" s="2">
        <v>1</v>
      </c>
      <c r="N2913" s="2" t="s">
        <v>58</v>
      </c>
    </row>
    <row r="2914" spans="1:14" x14ac:dyDescent="0.25">
      <c r="A2914" s="2" t="s">
        <v>7670</v>
      </c>
      <c r="B2914" s="2" t="s">
        <v>7671</v>
      </c>
      <c r="C2914" s="2" t="s">
        <v>67</v>
      </c>
      <c r="D2914" s="2" t="s">
        <v>68</v>
      </c>
      <c r="E2914" s="2" t="s">
        <v>148</v>
      </c>
      <c r="F2914" s="2" t="s">
        <v>47</v>
      </c>
      <c r="G2914" s="2" t="s">
        <v>91</v>
      </c>
      <c r="H2914" s="2" t="s">
        <v>21</v>
      </c>
      <c r="I2914" s="2">
        <v>24</v>
      </c>
      <c r="J2914" s="2" t="s">
        <v>41</v>
      </c>
      <c r="K2914" s="2" t="s">
        <v>3663</v>
      </c>
      <c r="L2914" s="2" t="s">
        <v>24</v>
      </c>
      <c r="M2914" s="2">
        <v>3</v>
      </c>
      <c r="N2914" s="2" t="s">
        <v>118</v>
      </c>
    </row>
    <row r="2915" spans="1:14" x14ac:dyDescent="0.25">
      <c r="A2915" s="2" t="s">
        <v>7672</v>
      </c>
      <c r="B2915" s="2" t="s">
        <v>7673</v>
      </c>
      <c r="C2915" s="2" t="s">
        <v>28</v>
      </c>
      <c r="D2915" s="2" t="s">
        <v>37</v>
      </c>
      <c r="E2915" s="2" t="s">
        <v>90</v>
      </c>
      <c r="F2915" s="2" t="s">
        <v>96</v>
      </c>
      <c r="G2915" s="2" t="s">
        <v>101</v>
      </c>
      <c r="H2915" s="2" t="s">
        <v>32</v>
      </c>
      <c r="I2915" s="2">
        <v>48</v>
      </c>
      <c r="J2915" s="2" t="s">
        <v>75</v>
      </c>
      <c r="K2915" s="2" t="s">
        <v>7674</v>
      </c>
      <c r="L2915" s="2" t="s">
        <v>24</v>
      </c>
      <c r="M2915" s="2">
        <v>2</v>
      </c>
      <c r="N2915" s="2" t="s">
        <v>64</v>
      </c>
    </row>
    <row r="2916" spans="1:14" x14ac:dyDescent="0.25">
      <c r="A2916" s="2" t="s">
        <v>7675</v>
      </c>
      <c r="B2916" s="2" t="s">
        <v>7676</v>
      </c>
      <c r="C2916" s="2" t="s">
        <v>16</v>
      </c>
      <c r="D2916" s="2" t="s">
        <v>17</v>
      </c>
      <c r="E2916" s="2" t="s">
        <v>90</v>
      </c>
      <c r="F2916" s="2" t="s">
        <v>47</v>
      </c>
      <c r="G2916" s="2" t="s">
        <v>70</v>
      </c>
      <c r="H2916" s="2" t="s">
        <v>32</v>
      </c>
      <c r="I2916" s="2">
        <v>48</v>
      </c>
      <c r="J2916" s="2" t="s">
        <v>187</v>
      </c>
      <c r="K2916" s="2" t="s">
        <v>7677</v>
      </c>
      <c r="L2916" s="2" t="s">
        <v>24</v>
      </c>
      <c r="M2916" s="2"/>
      <c r="N2916" s="2" t="s">
        <v>25</v>
      </c>
    </row>
    <row r="2917" spans="1:14" x14ac:dyDescent="0.25">
      <c r="A2917" s="2" t="s">
        <v>7678</v>
      </c>
      <c r="B2917" s="2" t="s">
        <v>7679</v>
      </c>
      <c r="C2917" s="2" t="s">
        <v>67</v>
      </c>
      <c r="D2917" s="2" t="s">
        <v>95</v>
      </c>
      <c r="E2917" s="2" t="s">
        <v>90</v>
      </c>
      <c r="F2917" s="2" t="s">
        <v>62</v>
      </c>
      <c r="G2917" s="2" t="s">
        <v>144</v>
      </c>
      <c r="H2917" s="2" t="s">
        <v>21</v>
      </c>
      <c r="I2917" s="2">
        <v>24</v>
      </c>
      <c r="J2917" s="2" t="s">
        <v>187</v>
      </c>
      <c r="K2917" s="2" t="s">
        <v>7680</v>
      </c>
      <c r="L2917" s="2" t="s">
        <v>24</v>
      </c>
      <c r="M2917" s="2">
        <v>2</v>
      </c>
      <c r="N2917" s="2"/>
    </row>
    <row r="2918" spans="1:14" x14ac:dyDescent="0.25">
      <c r="A2918" s="2" t="s">
        <v>7681</v>
      </c>
      <c r="B2918" s="2" t="s">
        <v>7682</v>
      </c>
      <c r="C2918" s="2" t="s">
        <v>53</v>
      </c>
      <c r="D2918" s="2" t="s">
        <v>54</v>
      </c>
      <c r="E2918" s="2" t="s">
        <v>79</v>
      </c>
      <c r="F2918" s="2" t="s">
        <v>113</v>
      </c>
      <c r="G2918" s="2" t="s">
        <v>139</v>
      </c>
      <c r="H2918" s="2" t="s">
        <v>32</v>
      </c>
      <c r="I2918" s="2">
        <v>48</v>
      </c>
      <c r="J2918" s="2" t="s">
        <v>75</v>
      </c>
      <c r="K2918" s="2" t="s">
        <v>7683</v>
      </c>
      <c r="L2918" s="2" t="s">
        <v>24</v>
      </c>
      <c r="M2918" s="2">
        <v>1</v>
      </c>
      <c r="N2918" s="2" t="s">
        <v>34</v>
      </c>
    </row>
    <row r="2919" spans="1:14" x14ac:dyDescent="0.25">
      <c r="A2919" s="2" t="s">
        <v>7684</v>
      </c>
      <c r="B2919" s="2" t="s">
        <v>7685</v>
      </c>
      <c r="C2919" s="2" t="s">
        <v>67</v>
      </c>
      <c r="D2919" s="2" t="s">
        <v>95</v>
      </c>
      <c r="E2919" s="2" t="s">
        <v>79</v>
      </c>
      <c r="F2919" s="2" t="s">
        <v>69</v>
      </c>
      <c r="G2919" s="2" t="s">
        <v>139</v>
      </c>
      <c r="H2919" s="2" t="s">
        <v>74</v>
      </c>
      <c r="I2919" s="2">
        <v>8</v>
      </c>
      <c r="J2919" s="2" t="s">
        <v>155</v>
      </c>
      <c r="K2919" s="2"/>
      <c r="L2919" s="2" t="s">
        <v>24</v>
      </c>
      <c r="M2919" s="2"/>
      <c r="N2919" s="2" t="s">
        <v>25</v>
      </c>
    </row>
    <row r="2920" spans="1:14" x14ac:dyDescent="0.25">
      <c r="A2920" s="2" t="s">
        <v>7686</v>
      </c>
      <c r="B2920" s="2" t="s">
        <v>7687</v>
      </c>
      <c r="C2920" s="2" t="s">
        <v>28</v>
      </c>
      <c r="D2920" s="2" t="s">
        <v>100</v>
      </c>
      <c r="E2920" s="2" t="s">
        <v>79</v>
      </c>
      <c r="F2920" s="2" t="s">
        <v>55</v>
      </c>
      <c r="G2920" s="2" t="s">
        <v>31</v>
      </c>
      <c r="H2920" s="2" t="s">
        <v>74</v>
      </c>
      <c r="I2920" s="2">
        <v>8</v>
      </c>
      <c r="J2920" s="2" t="s">
        <v>75</v>
      </c>
      <c r="K2920" s="2" t="s">
        <v>7688</v>
      </c>
      <c r="L2920" s="2" t="s">
        <v>24</v>
      </c>
      <c r="M2920" s="2">
        <v>5</v>
      </c>
      <c r="N2920" s="2"/>
    </row>
    <row r="2921" spans="1:14" x14ac:dyDescent="0.25">
      <c r="A2921" s="2" t="s">
        <v>7689</v>
      </c>
      <c r="B2921" s="2" t="s">
        <v>7690</v>
      </c>
      <c r="C2921" s="2" t="s">
        <v>53</v>
      </c>
      <c r="D2921" s="2" t="s">
        <v>54</v>
      </c>
      <c r="E2921" s="2" t="s">
        <v>85</v>
      </c>
      <c r="F2921" s="2" t="s">
        <v>47</v>
      </c>
      <c r="G2921" s="2" t="s">
        <v>31</v>
      </c>
      <c r="H2921" s="2" t="s">
        <v>21</v>
      </c>
      <c r="I2921" s="2">
        <v>24</v>
      </c>
      <c r="J2921" s="2" t="s">
        <v>48</v>
      </c>
      <c r="K2921" s="2" t="s">
        <v>7691</v>
      </c>
      <c r="L2921" s="2" t="s">
        <v>24</v>
      </c>
      <c r="M2921" s="2">
        <v>4</v>
      </c>
      <c r="N2921" s="2" t="s">
        <v>43</v>
      </c>
    </row>
    <row r="2922" spans="1:14" x14ac:dyDescent="0.25">
      <c r="A2922" s="2" t="s">
        <v>6667</v>
      </c>
      <c r="B2922" s="2" t="s">
        <v>6668</v>
      </c>
      <c r="C2922" s="2" t="s">
        <v>53</v>
      </c>
      <c r="D2922" s="2" t="s">
        <v>61</v>
      </c>
      <c r="E2922" s="2" t="s">
        <v>18</v>
      </c>
      <c r="F2922" s="2" t="s">
        <v>30</v>
      </c>
      <c r="G2922" s="2" t="s">
        <v>211</v>
      </c>
      <c r="H2922" s="2" t="s">
        <v>21</v>
      </c>
      <c r="I2922" s="2">
        <v>24</v>
      </c>
      <c r="J2922" s="2" t="s">
        <v>75</v>
      </c>
      <c r="K2922" s="2" t="s">
        <v>6669</v>
      </c>
      <c r="L2922" s="2" t="s">
        <v>24</v>
      </c>
      <c r="M2922" s="2">
        <v>4</v>
      </c>
      <c r="N2922" s="2" t="s">
        <v>50</v>
      </c>
    </row>
    <row r="2923" spans="1:14" x14ac:dyDescent="0.25">
      <c r="A2923" s="2" t="s">
        <v>7692</v>
      </c>
      <c r="B2923" s="2" t="s">
        <v>7693</v>
      </c>
      <c r="C2923" s="2" t="s">
        <v>67</v>
      </c>
      <c r="D2923" s="2" t="s">
        <v>95</v>
      </c>
      <c r="E2923" s="2" t="s">
        <v>90</v>
      </c>
      <c r="F2923" s="2" t="s">
        <v>62</v>
      </c>
      <c r="G2923" s="2" t="s">
        <v>121</v>
      </c>
      <c r="H2923" s="2" t="s">
        <v>74</v>
      </c>
      <c r="I2923" s="2">
        <v>8</v>
      </c>
      <c r="J2923" s="2" t="s">
        <v>75</v>
      </c>
      <c r="K2923" s="2" t="s">
        <v>7694</v>
      </c>
      <c r="L2923" s="2" t="s">
        <v>24</v>
      </c>
      <c r="M2923" s="2">
        <v>4</v>
      </c>
      <c r="N2923" s="2" t="s">
        <v>128</v>
      </c>
    </row>
    <row r="2924" spans="1:14" x14ac:dyDescent="0.25">
      <c r="A2924" s="2" t="s">
        <v>7695</v>
      </c>
      <c r="B2924" s="2" t="s">
        <v>7696</v>
      </c>
      <c r="C2924" s="2" t="s">
        <v>53</v>
      </c>
      <c r="D2924" s="2" t="s">
        <v>61</v>
      </c>
      <c r="E2924" s="2" t="s">
        <v>148</v>
      </c>
      <c r="F2924" s="2" t="s">
        <v>30</v>
      </c>
      <c r="G2924" s="2" t="s">
        <v>110</v>
      </c>
      <c r="H2924" s="2" t="s">
        <v>21</v>
      </c>
      <c r="I2924" s="2">
        <v>24</v>
      </c>
      <c r="J2924" s="2" t="s">
        <v>106</v>
      </c>
      <c r="K2924" s="2" t="s">
        <v>7697</v>
      </c>
      <c r="L2924" s="2" t="s">
        <v>24</v>
      </c>
      <c r="M2924" s="2"/>
      <c r="N2924" s="2"/>
    </row>
    <row r="2925" spans="1:14" x14ac:dyDescent="0.25">
      <c r="A2925" s="2" t="s">
        <v>7698</v>
      </c>
      <c r="B2925" s="2" t="s">
        <v>7699</v>
      </c>
      <c r="C2925" s="2" t="s">
        <v>16</v>
      </c>
      <c r="D2925" s="2" t="s">
        <v>84</v>
      </c>
      <c r="E2925" s="2" t="s">
        <v>85</v>
      </c>
      <c r="F2925" s="2" t="s">
        <v>131</v>
      </c>
      <c r="G2925" s="2" t="s">
        <v>31</v>
      </c>
      <c r="H2925" s="2" t="s">
        <v>74</v>
      </c>
      <c r="I2925" s="2">
        <v>8</v>
      </c>
      <c r="J2925" s="2" t="s">
        <v>22</v>
      </c>
      <c r="K2925" s="2" t="s">
        <v>7700</v>
      </c>
      <c r="L2925" s="2" t="s">
        <v>24</v>
      </c>
      <c r="M2925" s="2">
        <v>5</v>
      </c>
      <c r="N2925" s="2" t="s">
        <v>25</v>
      </c>
    </row>
    <row r="2926" spans="1:14" x14ac:dyDescent="0.25">
      <c r="A2926" s="2" t="s">
        <v>7701</v>
      </c>
      <c r="B2926" s="2" t="s">
        <v>7702</v>
      </c>
      <c r="C2926" s="2" t="s">
        <v>16</v>
      </c>
      <c r="D2926" s="2" t="s">
        <v>84</v>
      </c>
      <c r="E2926" s="2" t="s">
        <v>148</v>
      </c>
      <c r="F2926" s="2" t="s">
        <v>131</v>
      </c>
      <c r="G2926" s="2" t="s">
        <v>144</v>
      </c>
      <c r="H2926" s="2" t="s">
        <v>32</v>
      </c>
      <c r="I2926" s="2">
        <v>48</v>
      </c>
      <c r="J2926" s="2" t="s">
        <v>22</v>
      </c>
      <c r="K2926" s="2" t="s">
        <v>7703</v>
      </c>
      <c r="L2926" s="2" t="s">
        <v>24</v>
      </c>
      <c r="M2926" s="2">
        <v>5</v>
      </c>
      <c r="N2926" s="2"/>
    </row>
    <row r="2927" spans="1:14" x14ac:dyDescent="0.25">
      <c r="A2927" s="2" t="s">
        <v>7704</v>
      </c>
      <c r="B2927" s="2" t="s">
        <v>7705</v>
      </c>
      <c r="C2927" s="2" t="s">
        <v>53</v>
      </c>
      <c r="D2927" s="2" t="s">
        <v>54</v>
      </c>
      <c r="E2927" s="2" t="s">
        <v>90</v>
      </c>
      <c r="F2927" s="2" t="s">
        <v>69</v>
      </c>
      <c r="G2927" s="2" t="s">
        <v>97</v>
      </c>
      <c r="H2927" s="2" t="s">
        <v>74</v>
      </c>
      <c r="I2927" s="2">
        <v>8</v>
      </c>
      <c r="J2927" s="2" t="s">
        <v>22</v>
      </c>
      <c r="K2927" s="2" t="s">
        <v>7706</v>
      </c>
      <c r="L2927" s="2" t="s">
        <v>24</v>
      </c>
      <c r="M2927" s="2">
        <v>4</v>
      </c>
      <c r="N2927" s="2" t="s">
        <v>25</v>
      </c>
    </row>
    <row r="2928" spans="1:14" x14ac:dyDescent="0.25">
      <c r="A2928" s="2" t="s">
        <v>7707</v>
      </c>
      <c r="B2928" s="2" t="s">
        <v>7708</v>
      </c>
      <c r="C2928" s="2" t="s">
        <v>28</v>
      </c>
      <c r="D2928" s="2" t="s">
        <v>100</v>
      </c>
      <c r="E2928" s="2" t="s">
        <v>90</v>
      </c>
      <c r="F2928" s="2" t="s">
        <v>39</v>
      </c>
      <c r="G2928" s="2" t="s">
        <v>126</v>
      </c>
      <c r="H2928" s="2" t="s">
        <v>21</v>
      </c>
      <c r="I2928" s="2">
        <v>24</v>
      </c>
      <c r="J2928" s="2" t="s">
        <v>56</v>
      </c>
      <c r="K2928" s="2" t="s">
        <v>7709</v>
      </c>
      <c r="L2928" s="2" t="s">
        <v>24</v>
      </c>
      <c r="M2928" s="2"/>
      <c r="N2928" s="2" t="s">
        <v>34</v>
      </c>
    </row>
    <row r="2929" spans="1:14" x14ac:dyDescent="0.25">
      <c r="A2929" s="2" t="s">
        <v>7710</v>
      </c>
      <c r="B2929" s="2" t="s">
        <v>7711</v>
      </c>
      <c r="C2929" s="2" t="s">
        <v>53</v>
      </c>
      <c r="D2929" s="2" t="s">
        <v>61</v>
      </c>
      <c r="E2929" s="2" t="s">
        <v>38</v>
      </c>
      <c r="F2929" s="2" t="s">
        <v>131</v>
      </c>
      <c r="G2929" s="2" t="s">
        <v>126</v>
      </c>
      <c r="H2929" s="2" t="s">
        <v>32</v>
      </c>
      <c r="I2929" s="2">
        <v>48</v>
      </c>
      <c r="J2929" s="2" t="s">
        <v>106</v>
      </c>
      <c r="K2929" s="2" t="s">
        <v>7712</v>
      </c>
      <c r="L2929" s="2" t="s">
        <v>24</v>
      </c>
      <c r="M2929" s="2"/>
      <c r="N2929" s="2" t="s">
        <v>58</v>
      </c>
    </row>
    <row r="2930" spans="1:14" x14ac:dyDescent="0.25">
      <c r="A2930" s="2" t="s">
        <v>7713</v>
      </c>
      <c r="B2930" s="2" t="s">
        <v>7714</v>
      </c>
      <c r="C2930" s="2" t="s">
        <v>16</v>
      </c>
      <c r="D2930" s="2" t="s">
        <v>84</v>
      </c>
      <c r="E2930" s="2" t="s">
        <v>38</v>
      </c>
      <c r="F2930" s="2" t="s">
        <v>131</v>
      </c>
      <c r="G2930" s="2" t="s">
        <v>91</v>
      </c>
      <c r="H2930" s="2" t="s">
        <v>21</v>
      </c>
      <c r="I2930" s="2">
        <v>24</v>
      </c>
      <c r="J2930" s="2" t="s">
        <v>48</v>
      </c>
      <c r="K2930" s="2" t="s">
        <v>7715</v>
      </c>
      <c r="L2930" s="2" t="s">
        <v>24</v>
      </c>
      <c r="M2930" s="2"/>
      <c r="N2930" s="2" t="s">
        <v>34</v>
      </c>
    </row>
    <row r="2931" spans="1:14" x14ac:dyDescent="0.25">
      <c r="A2931" s="2" t="s">
        <v>7716</v>
      </c>
      <c r="B2931" s="2" t="s">
        <v>7717</v>
      </c>
      <c r="C2931" s="2" t="s">
        <v>53</v>
      </c>
      <c r="D2931" s="2" t="s">
        <v>54</v>
      </c>
      <c r="E2931" s="2" t="s">
        <v>46</v>
      </c>
      <c r="F2931" s="2" t="s">
        <v>113</v>
      </c>
      <c r="G2931" s="2" t="s">
        <v>91</v>
      </c>
      <c r="H2931" s="2" t="s">
        <v>32</v>
      </c>
      <c r="I2931" s="2">
        <v>48</v>
      </c>
      <c r="J2931" s="2" t="s">
        <v>22</v>
      </c>
      <c r="K2931" s="2" t="s">
        <v>7718</v>
      </c>
      <c r="L2931" s="2" t="s">
        <v>24</v>
      </c>
      <c r="M2931" s="2"/>
      <c r="N2931" s="2" t="s">
        <v>34</v>
      </c>
    </row>
    <row r="2932" spans="1:14" x14ac:dyDescent="0.25">
      <c r="A2932" s="2" t="s">
        <v>4111</v>
      </c>
      <c r="B2932" s="2" t="s">
        <v>4112</v>
      </c>
      <c r="C2932" s="2" t="s">
        <v>28</v>
      </c>
      <c r="D2932" s="2" t="s">
        <v>100</v>
      </c>
      <c r="E2932" s="2" t="s">
        <v>148</v>
      </c>
      <c r="F2932" s="2" t="s">
        <v>19</v>
      </c>
      <c r="G2932" s="2" t="s">
        <v>70</v>
      </c>
      <c r="H2932" s="2" t="s">
        <v>32</v>
      </c>
      <c r="I2932" s="2">
        <v>48</v>
      </c>
      <c r="J2932" s="2" t="s">
        <v>11</v>
      </c>
      <c r="K2932" s="2"/>
      <c r="L2932" s="2" t="s">
        <v>92</v>
      </c>
      <c r="M2932" s="2"/>
      <c r="N2932" s="2" t="s">
        <v>128</v>
      </c>
    </row>
    <row r="2933" spans="1:14" x14ac:dyDescent="0.25">
      <c r="A2933" s="2" t="s">
        <v>7719</v>
      </c>
      <c r="B2933" s="2" t="s">
        <v>7720</v>
      </c>
      <c r="C2933" s="2" t="s">
        <v>67</v>
      </c>
      <c r="D2933" s="2" t="s">
        <v>95</v>
      </c>
      <c r="E2933" s="2" t="s">
        <v>79</v>
      </c>
      <c r="F2933" s="2" t="s">
        <v>47</v>
      </c>
      <c r="G2933" s="2" t="s">
        <v>135</v>
      </c>
      <c r="H2933" s="2" t="s">
        <v>32</v>
      </c>
      <c r="I2933" s="2">
        <v>48</v>
      </c>
      <c r="J2933" s="2" t="s">
        <v>75</v>
      </c>
      <c r="K2933" s="2" t="s">
        <v>7721</v>
      </c>
      <c r="L2933" s="2" t="s">
        <v>24</v>
      </c>
      <c r="M2933" s="2"/>
      <c r="N2933" s="2" t="s">
        <v>43</v>
      </c>
    </row>
    <row r="2934" spans="1:14" x14ac:dyDescent="0.25">
      <c r="A2934" s="2" t="s">
        <v>7722</v>
      </c>
      <c r="B2934" s="2" t="s">
        <v>7723</v>
      </c>
      <c r="C2934" s="2" t="s">
        <v>67</v>
      </c>
      <c r="D2934" s="2" t="s">
        <v>68</v>
      </c>
      <c r="E2934" s="2" t="s">
        <v>38</v>
      </c>
      <c r="F2934" s="2" t="s">
        <v>113</v>
      </c>
      <c r="G2934" s="2" t="s">
        <v>135</v>
      </c>
      <c r="H2934" s="2" t="s">
        <v>80</v>
      </c>
      <c r="I2934" s="2">
        <v>4</v>
      </c>
      <c r="J2934" s="2" t="s">
        <v>187</v>
      </c>
      <c r="K2934" s="2" t="s">
        <v>7724</v>
      </c>
      <c r="L2934" s="2" t="s">
        <v>24</v>
      </c>
      <c r="M2934" s="2">
        <v>4</v>
      </c>
      <c r="N2934" s="2" t="s">
        <v>64</v>
      </c>
    </row>
    <row r="2935" spans="1:14" x14ac:dyDescent="0.25">
      <c r="A2935" s="2" t="s">
        <v>7725</v>
      </c>
      <c r="B2935" s="2" t="s">
        <v>7726</v>
      </c>
      <c r="C2935" s="2" t="s">
        <v>53</v>
      </c>
      <c r="D2935" s="2" t="s">
        <v>61</v>
      </c>
      <c r="E2935" s="2" t="s">
        <v>90</v>
      </c>
      <c r="F2935" s="2" t="s">
        <v>113</v>
      </c>
      <c r="G2935" s="2" t="s">
        <v>31</v>
      </c>
      <c r="H2935" s="2" t="s">
        <v>32</v>
      </c>
      <c r="I2935" s="2">
        <v>48</v>
      </c>
      <c r="J2935" s="2" t="s">
        <v>56</v>
      </c>
      <c r="K2935" s="2" t="s">
        <v>7727</v>
      </c>
      <c r="L2935" s="2" t="s">
        <v>24</v>
      </c>
      <c r="M2935" s="2"/>
      <c r="N2935" s="2" t="s">
        <v>128</v>
      </c>
    </row>
    <row r="2936" spans="1:14" x14ac:dyDescent="0.25">
      <c r="A2936" s="2" t="s">
        <v>7728</v>
      </c>
      <c r="B2936" s="2" t="s">
        <v>7729</v>
      </c>
      <c r="C2936" s="2" t="s">
        <v>53</v>
      </c>
      <c r="D2936" s="2" t="s">
        <v>61</v>
      </c>
      <c r="E2936" s="2" t="s">
        <v>46</v>
      </c>
      <c r="F2936" s="2" t="s">
        <v>113</v>
      </c>
      <c r="G2936" s="2" t="s">
        <v>70</v>
      </c>
      <c r="H2936" s="2" t="s">
        <v>80</v>
      </c>
      <c r="I2936" s="2">
        <v>4</v>
      </c>
      <c r="J2936" s="2" t="s">
        <v>22</v>
      </c>
      <c r="K2936" s="2" t="s">
        <v>7730</v>
      </c>
      <c r="L2936" s="2" t="s">
        <v>24</v>
      </c>
      <c r="M2936" s="2">
        <v>3</v>
      </c>
      <c r="N2936" s="2" t="s">
        <v>50</v>
      </c>
    </row>
    <row r="2937" spans="1:14" x14ac:dyDescent="0.25">
      <c r="A2937" s="2" t="s">
        <v>7731</v>
      </c>
      <c r="B2937" s="2" t="s">
        <v>7732</v>
      </c>
      <c r="C2937" s="2" t="s">
        <v>28</v>
      </c>
      <c r="D2937" s="2" t="s">
        <v>100</v>
      </c>
      <c r="E2937" s="2" t="s">
        <v>18</v>
      </c>
      <c r="F2937" s="2" t="s">
        <v>62</v>
      </c>
      <c r="G2937" s="2" t="s">
        <v>101</v>
      </c>
      <c r="H2937" s="2" t="s">
        <v>21</v>
      </c>
      <c r="I2937" s="2">
        <v>24</v>
      </c>
      <c r="J2937" s="2" t="s">
        <v>33</v>
      </c>
      <c r="K2937" s="2"/>
      <c r="L2937" s="2" t="s">
        <v>24</v>
      </c>
      <c r="M2937" s="2"/>
      <c r="N2937" s="2"/>
    </row>
    <row r="2938" spans="1:14" x14ac:dyDescent="0.25">
      <c r="A2938" s="2" t="s">
        <v>7733</v>
      </c>
      <c r="B2938" s="2" t="s">
        <v>7734</v>
      </c>
      <c r="C2938" s="2" t="s">
        <v>53</v>
      </c>
      <c r="D2938" s="2" t="s">
        <v>54</v>
      </c>
      <c r="E2938" s="2" t="s">
        <v>18</v>
      </c>
      <c r="F2938" s="2" t="s">
        <v>131</v>
      </c>
      <c r="G2938" s="2" t="s">
        <v>135</v>
      </c>
      <c r="H2938" s="2" t="s">
        <v>80</v>
      </c>
      <c r="I2938" s="2">
        <v>4</v>
      </c>
      <c r="J2938" s="2" t="s">
        <v>33</v>
      </c>
      <c r="K2938" s="2"/>
      <c r="L2938" s="2" t="s">
        <v>24</v>
      </c>
      <c r="M2938" s="2"/>
      <c r="N2938" s="2" t="s">
        <v>128</v>
      </c>
    </row>
    <row r="2939" spans="1:14" x14ac:dyDescent="0.25">
      <c r="A2939" s="2" t="s">
        <v>7735</v>
      </c>
      <c r="B2939" s="2" t="s">
        <v>7736</v>
      </c>
      <c r="C2939" s="2" t="s">
        <v>53</v>
      </c>
      <c r="D2939" s="2" t="s">
        <v>61</v>
      </c>
      <c r="E2939" s="2" t="s">
        <v>90</v>
      </c>
      <c r="F2939" s="2" t="s">
        <v>47</v>
      </c>
      <c r="G2939" s="2" t="s">
        <v>135</v>
      </c>
      <c r="H2939" s="2" t="s">
        <v>21</v>
      </c>
      <c r="I2939" s="2">
        <v>24</v>
      </c>
      <c r="J2939" s="2" t="s">
        <v>486</v>
      </c>
      <c r="K2939" s="2" t="s">
        <v>7737</v>
      </c>
      <c r="L2939" s="2" t="s">
        <v>24</v>
      </c>
      <c r="M2939" s="2"/>
      <c r="N2939" s="2"/>
    </row>
    <row r="2940" spans="1:14" x14ac:dyDescent="0.25">
      <c r="A2940" s="2" t="s">
        <v>7738</v>
      </c>
      <c r="B2940" s="2" t="s">
        <v>7739</v>
      </c>
      <c r="C2940" s="2" t="s">
        <v>67</v>
      </c>
      <c r="D2940" s="2" t="s">
        <v>95</v>
      </c>
      <c r="E2940" s="2" t="s">
        <v>90</v>
      </c>
      <c r="F2940" s="2" t="s">
        <v>39</v>
      </c>
      <c r="G2940" s="2" t="s">
        <v>91</v>
      </c>
      <c r="H2940" s="2" t="s">
        <v>32</v>
      </c>
      <c r="I2940" s="2">
        <v>48</v>
      </c>
      <c r="J2940" s="2" t="s">
        <v>191</v>
      </c>
      <c r="K2940" s="2" t="s">
        <v>7740</v>
      </c>
      <c r="L2940" s="2" t="s">
        <v>24</v>
      </c>
      <c r="M2940" s="2"/>
      <c r="N2940" s="2" t="s">
        <v>25</v>
      </c>
    </row>
    <row r="2941" spans="1:14" x14ac:dyDescent="0.25">
      <c r="A2941" s="2" t="s">
        <v>7741</v>
      </c>
      <c r="B2941" s="2" t="s">
        <v>7742</v>
      </c>
      <c r="C2941" s="2" t="s">
        <v>16</v>
      </c>
      <c r="D2941" s="2" t="s">
        <v>17</v>
      </c>
      <c r="E2941" s="2" t="s">
        <v>79</v>
      </c>
      <c r="F2941" s="2" t="s">
        <v>55</v>
      </c>
      <c r="G2941" s="2" t="s">
        <v>144</v>
      </c>
      <c r="H2941" s="2" t="s">
        <v>80</v>
      </c>
      <c r="I2941" s="2">
        <v>4</v>
      </c>
      <c r="J2941" s="2" t="s">
        <v>106</v>
      </c>
      <c r="K2941" s="2" t="s">
        <v>7743</v>
      </c>
      <c r="L2941" s="2" t="s">
        <v>24</v>
      </c>
      <c r="M2941" s="2">
        <v>5</v>
      </c>
      <c r="N2941" s="2" t="s">
        <v>50</v>
      </c>
    </row>
    <row r="2942" spans="1:14" x14ac:dyDescent="0.25">
      <c r="A2942" s="2" t="s">
        <v>7744</v>
      </c>
      <c r="B2942" s="2" t="s">
        <v>7745</v>
      </c>
      <c r="C2942" s="2" t="s">
        <v>53</v>
      </c>
      <c r="D2942" s="2" t="s">
        <v>54</v>
      </c>
      <c r="E2942" s="2" t="s">
        <v>38</v>
      </c>
      <c r="F2942" s="2" t="s">
        <v>47</v>
      </c>
      <c r="G2942" s="2" t="s">
        <v>101</v>
      </c>
      <c r="H2942" s="2" t="s">
        <v>32</v>
      </c>
      <c r="I2942" s="2">
        <v>48</v>
      </c>
      <c r="J2942" s="2" t="s">
        <v>106</v>
      </c>
      <c r="K2942" s="2" t="s">
        <v>7746</v>
      </c>
      <c r="L2942" s="2" t="s">
        <v>24</v>
      </c>
      <c r="M2942" s="2">
        <v>4</v>
      </c>
      <c r="N2942" s="2" t="s">
        <v>58</v>
      </c>
    </row>
    <row r="2943" spans="1:14" x14ac:dyDescent="0.25">
      <c r="A2943" s="2" t="s">
        <v>7747</v>
      </c>
      <c r="B2943" s="2" t="s">
        <v>7748</v>
      </c>
      <c r="C2943" s="2" t="s">
        <v>53</v>
      </c>
      <c r="D2943" s="2" t="s">
        <v>61</v>
      </c>
      <c r="E2943" s="2" t="s">
        <v>148</v>
      </c>
      <c r="F2943" s="2" t="s">
        <v>69</v>
      </c>
      <c r="G2943" s="2" t="s">
        <v>183</v>
      </c>
      <c r="H2943" s="2" t="s">
        <v>32</v>
      </c>
      <c r="I2943" s="2">
        <v>48</v>
      </c>
      <c r="J2943" s="2" t="s">
        <v>106</v>
      </c>
      <c r="K2943" s="2" t="s">
        <v>7749</v>
      </c>
      <c r="L2943" s="2" t="s">
        <v>24</v>
      </c>
      <c r="M2943" s="2">
        <v>5</v>
      </c>
      <c r="N2943" s="2" t="s">
        <v>43</v>
      </c>
    </row>
    <row r="2944" spans="1:14" x14ac:dyDescent="0.25">
      <c r="A2944" s="2" t="s">
        <v>7750</v>
      </c>
      <c r="B2944" s="2" t="s">
        <v>7751</v>
      </c>
      <c r="C2944" s="2" t="s">
        <v>53</v>
      </c>
      <c r="D2944" s="2" t="s">
        <v>54</v>
      </c>
      <c r="E2944" s="2" t="s">
        <v>148</v>
      </c>
      <c r="F2944" s="2" t="s">
        <v>69</v>
      </c>
      <c r="G2944" s="2" t="s">
        <v>70</v>
      </c>
      <c r="H2944" s="2" t="s">
        <v>21</v>
      </c>
      <c r="I2944" s="2">
        <v>24</v>
      </c>
      <c r="J2944" s="2" t="s">
        <v>41</v>
      </c>
      <c r="K2944" s="2" t="s">
        <v>7752</v>
      </c>
      <c r="L2944" s="2" t="s">
        <v>24</v>
      </c>
      <c r="M2944" s="2">
        <v>4</v>
      </c>
      <c r="N2944" s="2" t="s">
        <v>58</v>
      </c>
    </row>
    <row r="2945" spans="1:14" x14ac:dyDescent="0.25">
      <c r="A2945" s="2" t="s">
        <v>7753</v>
      </c>
      <c r="B2945" s="2" t="s">
        <v>7754</v>
      </c>
      <c r="C2945" s="2" t="s">
        <v>67</v>
      </c>
      <c r="D2945" s="2" t="s">
        <v>95</v>
      </c>
      <c r="E2945" s="2" t="s">
        <v>90</v>
      </c>
      <c r="F2945" s="2" t="s">
        <v>96</v>
      </c>
      <c r="G2945" s="2" t="s">
        <v>144</v>
      </c>
      <c r="H2945" s="2" t="s">
        <v>32</v>
      </c>
      <c r="I2945" s="2">
        <v>48</v>
      </c>
      <c r="J2945" s="2" t="s">
        <v>48</v>
      </c>
      <c r="K2945" s="2" t="s">
        <v>7755</v>
      </c>
      <c r="L2945" s="2" t="s">
        <v>24</v>
      </c>
      <c r="M2945" s="2">
        <v>3</v>
      </c>
      <c r="N2945" s="2" t="s">
        <v>34</v>
      </c>
    </row>
    <row r="2946" spans="1:14" x14ac:dyDescent="0.25">
      <c r="A2946" s="2" t="s">
        <v>7756</v>
      </c>
      <c r="B2946" s="2" t="s">
        <v>7757</v>
      </c>
      <c r="C2946" s="2" t="s">
        <v>67</v>
      </c>
      <c r="D2946" s="2" t="s">
        <v>68</v>
      </c>
      <c r="E2946" s="2" t="s">
        <v>148</v>
      </c>
      <c r="F2946" s="2" t="s">
        <v>47</v>
      </c>
      <c r="G2946" s="2" t="s">
        <v>91</v>
      </c>
      <c r="H2946" s="2" t="s">
        <v>74</v>
      </c>
      <c r="I2946" s="2">
        <v>8</v>
      </c>
      <c r="J2946" s="2" t="s">
        <v>117</v>
      </c>
      <c r="K2946" s="2"/>
      <c r="L2946" s="2" t="s">
        <v>24</v>
      </c>
      <c r="M2946" s="2"/>
      <c r="N2946" s="2" t="s">
        <v>64</v>
      </c>
    </row>
    <row r="2947" spans="1:14" x14ac:dyDescent="0.25">
      <c r="A2947" s="2" t="s">
        <v>7758</v>
      </c>
      <c r="B2947" s="2" t="s">
        <v>7759</v>
      </c>
      <c r="C2947" s="2" t="s">
        <v>53</v>
      </c>
      <c r="D2947" s="2" t="s">
        <v>54</v>
      </c>
      <c r="E2947" s="2" t="s">
        <v>79</v>
      </c>
      <c r="F2947" s="2" t="s">
        <v>55</v>
      </c>
      <c r="G2947" s="2" t="s">
        <v>97</v>
      </c>
      <c r="H2947" s="2" t="s">
        <v>80</v>
      </c>
      <c r="I2947" s="2">
        <v>4</v>
      </c>
      <c r="J2947" s="2" t="s">
        <v>232</v>
      </c>
      <c r="K2947" s="2"/>
      <c r="L2947" s="2" t="s">
        <v>92</v>
      </c>
      <c r="M2947" s="2"/>
      <c r="N2947" s="2" t="s">
        <v>34</v>
      </c>
    </row>
    <row r="2948" spans="1:14" x14ac:dyDescent="0.25">
      <c r="A2948" s="2" t="s">
        <v>7760</v>
      </c>
      <c r="B2948" s="2" t="s">
        <v>7761</v>
      </c>
      <c r="C2948" s="2" t="s">
        <v>53</v>
      </c>
      <c r="D2948" s="2" t="s">
        <v>54</v>
      </c>
      <c r="E2948" s="2" t="s">
        <v>79</v>
      </c>
      <c r="F2948" s="2" t="s">
        <v>30</v>
      </c>
      <c r="G2948" s="2" t="s">
        <v>135</v>
      </c>
      <c r="H2948" s="2" t="s">
        <v>21</v>
      </c>
      <c r="I2948" s="2">
        <v>24</v>
      </c>
      <c r="J2948" s="2" t="s">
        <v>117</v>
      </c>
      <c r="K2948" s="2"/>
      <c r="L2948" s="2" t="s">
        <v>24</v>
      </c>
      <c r="M2948" s="2"/>
      <c r="N2948" s="2" t="s">
        <v>25</v>
      </c>
    </row>
    <row r="2949" spans="1:14" x14ac:dyDescent="0.25">
      <c r="A2949" s="2" t="s">
        <v>7762</v>
      </c>
      <c r="B2949" s="2" t="s">
        <v>7763</v>
      </c>
      <c r="C2949" s="2" t="s">
        <v>67</v>
      </c>
      <c r="D2949" s="2" t="s">
        <v>68</v>
      </c>
      <c r="E2949" s="2" t="s">
        <v>38</v>
      </c>
      <c r="F2949" s="2" t="s">
        <v>113</v>
      </c>
      <c r="G2949" s="2" t="s">
        <v>158</v>
      </c>
      <c r="H2949" s="2" t="s">
        <v>32</v>
      </c>
      <c r="I2949" s="2">
        <v>48</v>
      </c>
      <c r="J2949" s="2" t="s">
        <v>41</v>
      </c>
      <c r="K2949" s="2" t="s">
        <v>7764</v>
      </c>
      <c r="L2949" s="2" t="s">
        <v>24</v>
      </c>
      <c r="M2949" s="2">
        <v>4</v>
      </c>
      <c r="N2949" s="2" t="s">
        <v>50</v>
      </c>
    </row>
    <row r="2950" spans="1:14" x14ac:dyDescent="0.25">
      <c r="A2950" s="2" t="s">
        <v>7765</v>
      </c>
      <c r="B2950" s="2" t="s">
        <v>7766</v>
      </c>
      <c r="C2950" s="2" t="s">
        <v>67</v>
      </c>
      <c r="D2950" s="2" t="s">
        <v>95</v>
      </c>
      <c r="E2950" s="2" t="s">
        <v>46</v>
      </c>
      <c r="F2950" s="2" t="s">
        <v>143</v>
      </c>
      <c r="G2950" s="2" t="s">
        <v>97</v>
      </c>
      <c r="H2950" s="2" t="s">
        <v>32</v>
      </c>
      <c r="I2950" s="2">
        <v>48</v>
      </c>
      <c r="J2950" s="2" t="s">
        <v>232</v>
      </c>
      <c r="K2950" s="2"/>
      <c r="L2950" s="2" t="s">
        <v>92</v>
      </c>
      <c r="M2950" s="2"/>
      <c r="N2950" s="2" t="s">
        <v>50</v>
      </c>
    </row>
    <row r="2951" spans="1:14" x14ac:dyDescent="0.25">
      <c r="A2951" s="2" t="s">
        <v>7767</v>
      </c>
      <c r="B2951" s="2" t="s">
        <v>7768</v>
      </c>
      <c r="C2951" s="2" t="s">
        <v>16</v>
      </c>
      <c r="D2951" s="2" t="s">
        <v>17</v>
      </c>
      <c r="E2951" s="2" t="s">
        <v>79</v>
      </c>
      <c r="F2951" s="2" t="s">
        <v>39</v>
      </c>
      <c r="G2951" s="2" t="s">
        <v>144</v>
      </c>
      <c r="H2951" s="2" t="s">
        <v>32</v>
      </c>
      <c r="I2951" s="2">
        <v>48</v>
      </c>
      <c r="J2951" s="2" t="s">
        <v>187</v>
      </c>
      <c r="K2951" s="2" t="s">
        <v>7769</v>
      </c>
      <c r="L2951" s="2" t="s">
        <v>24</v>
      </c>
      <c r="M2951" s="2">
        <v>4</v>
      </c>
      <c r="N2951" s="2"/>
    </row>
    <row r="2952" spans="1:14" x14ac:dyDescent="0.25">
      <c r="A2952" s="2" t="s">
        <v>7770</v>
      </c>
      <c r="B2952" s="2" t="s">
        <v>7771</v>
      </c>
      <c r="C2952" s="2" t="s">
        <v>16</v>
      </c>
      <c r="D2952" s="2" t="s">
        <v>84</v>
      </c>
      <c r="E2952" s="2" t="s">
        <v>38</v>
      </c>
      <c r="F2952" s="2" t="s">
        <v>62</v>
      </c>
      <c r="G2952" s="2" t="s">
        <v>31</v>
      </c>
      <c r="H2952" s="2" t="s">
        <v>21</v>
      </c>
      <c r="I2952" s="2">
        <v>24</v>
      </c>
      <c r="J2952" s="2" t="s">
        <v>106</v>
      </c>
      <c r="K2952" s="2" t="s">
        <v>7772</v>
      </c>
      <c r="L2952" s="2" t="s">
        <v>24</v>
      </c>
      <c r="M2952" s="2"/>
      <c r="N2952" s="2" t="s">
        <v>25</v>
      </c>
    </row>
    <row r="2953" spans="1:14" x14ac:dyDescent="0.25">
      <c r="A2953" s="2" t="s">
        <v>7773</v>
      </c>
      <c r="B2953" s="2" t="s">
        <v>7774</v>
      </c>
      <c r="C2953" s="2" t="s">
        <v>16</v>
      </c>
      <c r="D2953" s="2" t="s">
        <v>17</v>
      </c>
      <c r="E2953" s="2" t="s">
        <v>148</v>
      </c>
      <c r="F2953" s="2" t="s">
        <v>55</v>
      </c>
      <c r="G2953" s="2" t="s">
        <v>91</v>
      </c>
      <c r="H2953" s="2" t="s">
        <v>32</v>
      </c>
      <c r="I2953" s="2">
        <v>48</v>
      </c>
      <c r="J2953" s="2" t="s">
        <v>41</v>
      </c>
      <c r="K2953" s="2" t="s">
        <v>7775</v>
      </c>
      <c r="L2953" s="2" t="s">
        <v>24</v>
      </c>
      <c r="M2953" s="2">
        <v>2</v>
      </c>
      <c r="N2953" s="2" t="s">
        <v>58</v>
      </c>
    </row>
    <row r="2954" spans="1:14" x14ac:dyDescent="0.25">
      <c r="A2954" s="2" t="s">
        <v>7776</v>
      </c>
      <c r="B2954" s="2" t="s">
        <v>7777</v>
      </c>
      <c r="C2954" s="2" t="s">
        <v>67</v>
      </c>
      <c r="D2954" s="2" t="s">
        <v>95</v>
      </c>
      <c r="E2954" s="2" t="s">
        <v>46</v>
      </c>
      <c r="F2954" s="2" t="s">
        <v>143</v>
      </c>
      <c r="G2954" s="2" t="s">
        <v>183</v>
      </c>
      <c r="H2954" s="2" t="s">
        <v>32</v>
      </c>
      <c r="I2954" s="2">
        <v>48</v>
      </c>
      <c r="J2954" s="2" t="s">
        <v>22</v>
      </c>
      <c r="K2954" s="2" t="s">
        <v>7778</v>
      </c>
      <c r="L2954" s="2" t="s">
        <v>24</v>
      </c>
      <c r="M2954" s="2">
        <v>5</v>
      </c>
      <c r="N2954" s="2" t="s">
        <v>25</v>
      </c>
    </row>
    <row r="2955" spans="1:14" x14ac:dyDescent="0.25">
      <c r="A2955" s="2" t="s">
        <v>5973</v>
      </c>
      <c r="B2955" s="2" t="s">
        <v>5974</v>
      </c>
      <c r="C2955" s="2" t="s">
        <v>28</v>
      </c>
      <c r="D2955" s="2" t="s">
        <v>37</v>
      </c>
      <c r="E2955" s="2" t="s">
        <v>85</v>
      </c>
      <c r="F2955" s="2" t="s">
        <v>30</v>
      </c>
      <c r="G2955" s="2" t="s">
        <v>135</v>
      </c>
      <c r="H2955" s="2" t="s">
        <v>32</v>
      </c>
      <c r="I2955" s="2">
        <v>48</v>
      </c>
      <c r="J2955" s="2" t="s">
        <v>11</v>
      </c>
      <c r="K2955" s="2"/>
      <c r="L2955" s="2" t="s">
        <v>92</v>
      </c>
      <c r="M2955" s="2"/>
      <c r="N2955" s="2"/>
    </row>
    <row r="2956" spans="1:14" x14ac:dyDescent="0.25">
      <c r="A2956" s="2" t="s">
        <v>7779</v>
      </c>
      <c r="B2956" s="2" t="s">
        <v>7780</v>
      </c>
      <c r="C2956" s="2" t="s">
        <v>67</v>
      </c>
      <c r="D2956" s="2" t="s">
        <v>68</v>
      </c>
      <c r="E2956" s="2" t="s">
        <v>148</v>
      </c>
      <c r="F2956" s="2" t="s">
        <v>96</v>
      </c>
      <c r="G2956" s="2" t="s">
        <v>110</v>
      </c>
      <c r="H2956" s="2" t="s">
        <v>21</v>
      </c>
      <c r="I2956" s="2">
        <v>24</v>
      </c>
      <c r="J2956" s="2" t="s">
        <v>41</v>
      </c>
      <c r="K2956" s="2" t="s">
        <v>7781</v>
      </c>
      <c r="L2956" s="2" t="s">
        <v>24</v>
      </c>
      <c r="M2956" s="2">
        <v>4</v>
      </c>
      <c r="N2956" s="2" t="s">
        <v>25</v>
      </c>
    </row>
    <row r="2957" spans="1:14" x14ac:dyDescent="0.25">
      <c r="A2957" s="2" t="s">
        <v>7782</v>
      </c>
      <c r="B2957" s="2" t="s">
        <v>7783</v>
      </c>
      <c r="C2957" s="2" t="s">
        <v>53</v>
      </c>
      <c r="D2957" s="2" t="s">
        <v>54</v>
      </c>
      <c r="E2957" s="2" t="s">
        <v>18</v>
      </c>
      <c r="F2957" s="2" t="s">
        <v>19</v>
      </c>
      <c r="G2957" s="2" t="s">
        <v>158</v>
      </c>
      <c r="H2957" s="2" t="s">
        <v>74</v>
      </c>
      <c r="I2957" s="2">
        <v>8</v>
      </c>
      <c r="J2957" s="2" t="s">
        <v>11</v>
      </c>
      <c r="K2957" s="2"/>
      <c r="L2957" s="2" t="s">
        <v>92</v>
      </c>
      <c r="M2957" s="2"/>
      <c r="N2957" s="2" t="s">
        <v>43</v>
      </c>
    </row>
    <row r="2958" spans="1:14" x14ac:dyDescent="0.25">
      <c r="A2958" s="2" t="s">
        <v>7784</v>
      </c>
      <c r="B2958" s="2" t="s">
        <v>7785</v>
      </c>
      <c r="C2958" s="2" t="s">
        <v>16</v>
      </c>
      <c r="D2958" s="2" t="s">
        <v>17</v>
      </c>
      <c r="E2958" s="2" t="s">
        <v>18</v>
      </c>
      <c r="F2958" s="2" t="s">
        <v>96</v>
      </c>
      <c r="G2958" s="2" t="s">
        <v>110</v>
      </c>
      <c r="H2958" s="2" t="s">
        <v>32</v>
      </c>
      <c r="I2958" s="2">
        <v>48</v>
      </c>
      <c r="J2958" s="2" t="s">
        <v>155</v>
      </c>
      <c r="K2958" s="2"/>
      <c r="L2958" s="2" t="s">
        <v>24</v>
      </c>
      <c r="M2958" s="2"/>
      <c r="N2958" s="2" t="s">
        <v>50</v>
      </c>
    </row>
    <row r="2959" spans="1:14" x14ac:dyDescent="0.25">
      <c r="A2959" s="2" t="s">
        <v>7786</v>
      </c>
      <c r="B2959" s="2" t="s">
        <v>7787</v>
      </c>
      <c r="C2959" s="2" t="s">
        <v>53</v>
      </c>
      <c r="D2959" s="2" t="s">
        <v>54</v>
      </c>
      <c r="E2959" s="2" t="s">
        <v>46</v>
      </c>
      <c r="F2959" s="2" t="s">
        <v>39</v>
      </c>
      <c r="G2959" s="2" t="s">
        <v>135</v>
      </c>
      <c r="H2959" s="2" t="s">
        <v>74</v>
      </c>
      <c r="I2959" s="2">
        <v>8</v>
      </c>
      <c r="J2959" s="2" t="s">
        <v>33</v>
      </c>
      <c r="K2959" s="2"/>
      <c r="L2959" s="2" t="s">
        <v>92</v>
      </c>
      <c r="M2959" s="2"/>
      <c r="N2959" s="2" t="s">
        <v>50</v>
      </c>
    </row>
    <row r="2960" spans="1:14" x14ac:dyDescent="0.25">
      <c r="A2960" s="2" t="s">
        <v>7788</v>
      </c>
      <c r="B2960" s="2" t="s">
        <v>7789</v>
      </c>
      <c r="C2960" s="2" t="s">
        <v>16</v>
      </c>
      <c r="D2960" s="2" t="s">
        <v>17</v>
      </c>
      <c r="E2960" s="2" t="s">
        <v>18</v>
      </c>
      <c r="F2960" s="2" t="s">
        <v>55</v>
      </c>
      <c r="G2960" s="2" t="s">
        <v>126</v>
      </c>
      <c r="H2960" s="2" t="s">
        <v>80</v>
      </c>
      <c r="I2960" s="2">
        <v>4</v>
      </c>
      <c r="J2960" s="2" t="s">
        <v>41</v>
      </c>
      <c r="K2960" s="2" t="s">
        <v>7790</v>
      </c>
      <c r="L2960" s="2" t="s">
        <v>24</v>
      </c>
      <c r="M2960" s="2"/>
      <c r="N2960" s="2" t="s">
        <v>64</v>
      </c>
    </row>
    <row r="2961" spans="1:14" x14ac:dyDescent="0.25">
      <c r="A2961" s="2" t="s">
        <v>7791</v>
      </c>
      <c r="B2961" s="2" t="s">
        <v>7792</v>
      </c>
      <c r="C2961" s="2" t="s">
        <v>53</v>
      </c>
      <c r="D2961" s="2" t="s">
        <v>61</v>
      </c>
      <c r="E2961" s="2" t="s">
        <v>18</v>
      </c>
      <c r="F2961" s="2" t="s">
        <v>30</v>
      </c>
      <c r="G2961" s="2" t="s">
        <v>31</v>
      </c>
      <c r="H2961" s="2" t="s">
        <v>21</v>
      </c>
      <c r="I2961" s="2">
        <v>24</v>
      </c>
      <c r="J2961" s="2" t="s">
        <v>149</v>
      </c>
      <c r="K2961" s="2"/>
      <c r="L2961" s="2" t="s">
        <v>24</v>
      </c>
      <c r="M2961" s="2"/>
      <c r="N2961" s="2"/>
    </row>
    <row r="2962" spans="1:14" x14ac:dyDescent="0.25">
      <c r="A2962" s="2" t="s">
        <v>7793</v>
      </c>
      <c r="B2962" s="2" t="s">
        <v>7794</v>
      </c>
      <c r="C2962" s="2" t="s">
        <v>53</v>
      </c>
      <c r="D2962" s="2" t="s">
        <v>61</v>
      </c>
      <c r="E2962" s="2" t="s">
        <v>85</v>
      </c>
      <c r="F2962" s="2" t="s">
        <v>96</v>
      </c>
      <c r="G2962" s="2" t="s">
        <v>101</v>
      </c>
      <c r="H2962" s="2" t="s">
        <v>21</v>
      </c>
      <c r="I2962" s="2">
        <v>24</v>
      </c>
      <c r="J2962" s="2" t="s">
        <v>75</v>
      </c>
      <c r="K2962" s="2" t="s">
        <v>7795</v>
      </c>
      <c r="L2962" s="2" t="s">
        <v>24</v>
      </c>
      <c r="M2962" s="2">
        <v>3</v>
      </c>
      <c r="N2962" s="2" t="s">
        <v>50</v>
      </c>
    </row>
    <row r="2963" spans="1:14" x14ac:dyDescent="0.25">
      <c r="A2963" s="2" t="s">
        <v>7796</v>
      </c>
      <c r="B2963" s="2" t="s">
        <v>7797</v>
      </c>
      <c r="C2963" s="2" t="s">
        <v>67</v>
      </c>
      <c r="D2963" s="2" t="s">
        <v>68</v>
      </c>
      <c r="E2963" s="2" t="s">
        <v>90</v>
      </c>
      <c r="F2963" s="2" t="s">
        <v>96</v>
      </c>
      <c r="G2963" s="2" t="s">
        <v>139</v>
      </c>
      <c r="H2963" s="2" t="s">
        <v>32</v>
      </c>
      <c r="I2963" s="2">
        <v>48</v>
      </c>
      <c r="J2963" s="2" t="s">
        <v>149</v>
      </c>
      <c r="K2963" s="2"/>
      <c r="L2963" s="2" t="s">
        <v>24</v>
      </c>
      <c r="M2963" s="2"/>
      <c r="N2963" s="2" t="s">
        <v>43</v>
      </c>
    </row>
    <row r="2964" spans="1:14" x14ac:dyDescent="0.25">
      <c r="A2964" s="2" t="s">
        <v>3019</v>
      </c>
      <c r="B2964" s="2" t="s">
        <v>3020</v>
      </c>
      <c r="C2964" s="2" t="s">
        <v>16</v>
      </c>
      <c r="D2964" s="2" t="s">
        <v>84</v>
      </c>
      <c r="E2964" s="2" t="s">
        <v>90</v>
      </c>
      <c r="F2964" s="2" t="s">
        <v>55</v>
      </c>
      <c r="G2964" s="2" t="s">
        <v>121</v>
      </c>
      <c r="H2964" s="2" t="s">
        <v>74</v>
      </c>
      <c r="I2964" s="2">
        <v>8</v>
      </c>
      <c r="J2964" s="2" t="s">
        <v>22</v>
      </c>
      <c r="K2964" s="2" t="s">
        <v>3021</v>
      </c>
      <c r="L2964" s="2" t="s">
        <v>24</v>
      </c>
      <c r="M2964" s="2">
        <v>4</v>
      </c>
      <c r="N2964" s="2" t="s">
        <v>58</v>
      </c>
    </row>
    <row r="2965" spans="1:14" x14ac:dyDescent="0.25">
      <c r="A2965" s="2" t="s">
        <v>7798</v>
      </c>
      <c r="B2965" s="2" t="s">
        <v>7799</v>
      </c>
      <c r="C2965" s="2" t="s">
        <v>28</v>
      </c>
      <c r="D2965" s="2" t="s">
        <v>37</v>
      </c>
      <c r="E2965" s="2" t="s">
        <v>148</v>
      </c>
      <c r="F2965" s="2" t="s">
        <v>69</v>
      </c>
      <c r="G2965" s="2" t="s">
        <v>97</v>
      </c>
      <c r="H2965" s="2" t="s">
        <v>21</v>
      </c>
      <c r="I2965" s="2">
        <v>24</v>
      </c>
      <c r="J2965" s="2" t="s">
        <v>22</v>
      </c>
      <c r="K2965" s="2" t="s">
        <v>7800</v>
      </c>
      <c r="L2965" s="2" t="s">
        <v>24</v>
      </c>
      <c r="M2965" s="2">
        <v>3</v>
      </c>
      <c r="N2965" s="2" t="s">
        <v>128</v>
      </c>
    </row>
    <row r="2966" spans="1:14" x14ac:dyDescent="0.25">
      <c r="A2966" s="2" t="s">
        <v>7801</v>
      </c>
      <c r="B2966" s="2" t="s">
        <v>7802</v>
      </c>
      <c r="C2966" s="2" t="s">
        <v>16</v>
      </c>
      <c r="D2966" s="2" t="s">
        <v>84</v>
      </c>
      <c r="E2966" s="2" t="s">
        <v>18</v>
      </c>
      <c r="F2966" s="2" t="s">
        <v>96</v>
      </c>
      <c r="G2966" s="2" t="s">
        <v>126</v>
      </c>
      <c r="H2966" s="2" t="s">
        <v>21</v>
      </c>
      <c r="I2966" s="2">
        <v>24</v>
      </c>
      <c r="J2966" s="2" t="s">
        <v>41</v>
      </c>
      <c r="K2966" s="2" t="s">
        <v>7803</v>
      </c>
      <c r="L2966" s="2" t="s">
        <v>24</v>
      </c>
      <c r="M2966" s="2"/>
      <c r="N2966" s="2"/>
    </row>
    <row r="2967" spans="1:14" x14ac:dyDescent="0.25">
      <c r="A2967" s="2" t="s">
        <v>7804</v>
      </c>
      <c r="B2967" s="2" t="s">
        <v>7805</v>
      </c>
      <c r="C2967" s="2" t="s">
        <v>16</v>
      </c>
      <c r="D2967" s="2" t="s">
        <v>240</v>
      </c>
      <c r="E2967" s="2" t="s">
        <v>90</v>
      </c>
      <c r="F2967" s="2" t="s">
        <v>39</v>
      </c>
      <c r="G2967" s="2" t="s">
        <v>183</v>
      </c>
      <c r="H2967" s="2" t="s">
        <v>21</v>
      </c>
      <c r="I2967" s="2">
        <v>24</v>
      </c>
      <c r="J2967" s="2" t="s">
        <v>33</v>
      </c>
      <c r="K2967" s="2"/>
      <c r="L2967" s="2" t="s">
        <v>92</v>
      </c>
      <c r="M2967" s="2"/>
      <c r="N2967" s="2" t="s">
        <v>50</v>
      </c>
    </row>
    <row r="2968" spans="1:14" x14ac:dyDescent="0.25">
      <c r="A2968" s="2" t="s">
        <v>7806</v>
      </c>
      <c r="B2968" s="2" t="s">
        <v>7807</v>
      </c>
      <c r="C2968" s="2" t="s">
        <v>67</v>
      </c>
      <c r="D2968" s="2" t="s">
        <v>89</v>
      </c>
      <c r="E2968" s="2" t="s">
        <v>38</v>
      </c>
      <c r="F2968" s="2" t="s">
        <v>143</v>
      </c>
      <c r="G2968" s="2" t="s">
        <v>20</v>
      </c>
      <c r="H2968" s="2" t="s">
        <v>32</v>
      </c>
      <c r="I2968" s="2">
        <v>48</v>
      </c>
      <c r="J2968" s="2" t="s">
        <v>22</v>
      </c>
      <c r="K2968" s="2" t="s">
        <v>7808</v>
      </c>
      <c r="L2968" s="2" t="s">
        <v>24</v>
      </c>
      <c r="M2968" s="2">
        <v>2</v>
      </c>
      <c r="N2968" s="2" t="s">
        <v>64</v>
      </c>
    </row>
    <row r="2969" spans="1:14" x14ac:dyDescent="0.25">
      <c r="A2969" s="2" t="s">
        <v>7809</v>
      </c>
      <c r="B2969" s="2" t="s">
        <v>7810</v>
      </c>
      <c r="C2969" s="2" t="s">
        <v>67</v>
      </c>
      <c r="D2969" s="2" t="s">
        <v>68</v>
      </c>
      <c r="E2969" s="2" t="s">
        <v>79</v>
      </c>
      <c r="F2969" s="2" t="s">
        <v>69</v>
      </c>
      <c r="G2969" s="2" t="s">
        <v>40</v>
      </c>
      <c r="H2969" s="2" t="s">
        <v>32</v>
      </c>
      <c r="I2969" s="2">
        <v>48</v>
      </c>
      <c r="J2969" s="2" t="s">
        <v>22</v>
      </c>
      <c r="K2969" s="2" t="s">
        <v>7811</v>
      </c>
      <c r="L2969" s="2" t="s">
        <v>24</v>
      </c>
      <c r="M2969" s="2">
        <v>4</v>
      </c>
      <c r="N2969" s="2" t="s">
        <v>34</v>
      </c>
    </row>
    <row r="2970" spans="1:14" x14ac:dyDescent="0.25">
      <c r="A2970" s="2" t="s">
        <v>7812</v>
      </c>
      <c r="B2970" s="2" t="s">
        <v>7813</v>
      </c>
      <c r="C2970" s="2" t="s">
        <v>67</v>
      </c>
      <c r="D2970" s="2" t="s">
        <v>95</v>
      </c>
      <c r="E2970" s="2" t="s">
        <v>148</v>
      </c>
      <c r="F2970" s="2" t="s">
        <v>55</v>
      </c>
      <c r="G2970" s="2" t="s">
        <v>135</v>
      </c>
      <c r="H2970" s="2" t="s">
        <v>32</v>
      </c>
      <c r="I2970" s="2">
        <v>48</v>
      </c>
      <c r="J2970" s="2" t="s">
        <v>149</v>
      </c>
      <c r="K2970" s="2"/>
      <c r="L2970" s="2" t="s">
        <v>24</v>
      </c>
      <c r="M2970" s="2"/>
      <c r="N2970" s="2" t="s">
        <v>118</v>
      </c>
    </row>
    <row r="2971" spans="1:14" x14ac:dyDescent="0.25">
      <c r="A2971" s="2" t="s">
        <v>7814</v>
      </c>
      <c r="B2971" s="2" t="s">
        <v>7815</v>
      </c>
      <c r="C2971" s="2" t="s">
        <v>67</v>
      </c>
      <c r="D2971" s="2" t="s">
        <v>68</v>
      </c>
      <c r="E2971" s="2" t="s">
        <v>46</v>
      </c>
      <c r="F2971" s="2" t="s">
        <v>55</v>
      </c>
      <c r="G2971" s="2" t="s">
        <v>20</v>
      </c>
      <c r="H2971" s="2" t="s">
        <v>21</v>
      </c>
      <c r="I2971" s="2">
        <v>24</v>
      </c>
      <c r="J2971" s="2" t="s">
        <v>200</v>
      </c>
      <c r="K2971" s="2"/>
      <c r="L2971" s="2" t="s">
        <v>92</v>
      </c>
      <c r="M2971" s="2"/>
      <c r="N2971" s="2" t="s">
        <v>25</v>
      </c>
    </row>
    <row r="2972" spans="1:14" x14ac:dyDescent="0.25">
      <c r="A2972" s="2" t="s">
        <v>7816</v>
      </c>
      <c r="B2972" s="2" t="s">
        <v>7817</v>
      </c>
      <c r="C2972" s="2" t="s">
        <v>28</v>
      </c>
      <c r="D2972" s="2" t="s">
        <v>100</v>
      </c>
      <c r="E2972" s="2" t="s">
        <v>38</v>
      </c>
      <c r="F2972" s="2" t="s">
        <v>69</v>
      </c>
      <c r="G2972" s="2" t="s">
        <v>144</v>
      </c>
      <c r="H2972" s="2" t="s">
        <v>21</v>
      </c>
      <c r="I2972" s="2">
        <v>24</v>
      </c>
      <c r="J2972" s="2" t="s">
        <v>48</v>
      </c>
      <c r="K2972" s="2" t="s">
        <v>7818</v>
      </c>
      <c r="L2972" s="2" t="s">
        <v>24</v>
      </c>
      <c r="M2972" s="2">
        <v>5</v>
      </c>
      <c r="N2972" s="2" t="s">
        <v>58</v>
      </c>
    </row>
    <row r="2973" spans="1:14" x14ac:dyDescent="0.25">
      <c r="A2973" s="2" t="s">
        <v>7819</v>
      </c>
      <c r="B2973" s="2" t="s">
        <v>7820</v>
      </c>
      <c r="C2973" s="2" t="s">
        <v>53</v>
      </c>
      <c r="D2973" s="2" t="s">
        <v>61</v>
      </c>
      <c r="E2973" s="2" t="s">
        <v>79</v>
      </c>
      <c r="F2973" s="2" t="s">
        <v>47</v>
      </c>
      <c r="G2973" s="2" t="s">
        <v>105</v>
      </c>
      <c r="H2973" s="2" t="s">
        <v>21</v>
      </c>
      <c r="I2973" s="2">
        <v>24</v>
      </c>
      <c r="J2973" s="2" t="s">
        <v>106</v>
      </c>
      <c r="K2973" s="2" t="s">
        <v>7821</v>
      </c>
      <c r="L2973" s="2" t="s">
        <v>24</v>
      </c>
      <c r="M2973" s="2">
        <v>4</v>
      </c>
      <c r="N2973" s="2" t="s">
        <v>128</v>
      </c>
    </row>
    <row r="2974" spans="1:14" x14ac:dyDescent="0.25">
      <c r="A2974" s="2" t="s">
        <v>7822</v>
      </c>
      <c r="B2974" s="2" t="s">
        <v>7823</v>
      </c>
      <c r="C2974" s="2" t="s">
        <v>28</v>
      </c>
      <c r="D2974" s="2" t="s">
        <v>100</v>
      </c>
      <c r="E2974" s="2" t="s">
        <v>85</v>
      </c>
      <c r="F2974" s="2" t="s">
        <v>39</v>
      </c>
      <c r="G2974" s="2" t="s">
        <v>139</v>
      </c>
      <c r="H2974" s="2" t="s">
        <v>32</v>
      </c>
      <c r="I2974" s="2">
        <v>48</v>
      </c>
      <c r="J2974" s="2" t="s">
        <v>145</v>
      </c>
      <c r="K2974" s="2"/>
      <c r="L2974" s="2" t="s">
        <v>92</v>
      </c>
      <c r="M2974" s="2"/>
      <c r="N2974" s="2"/>
    </row>
    <row r="2975" spans="1:14" x14ac:dyDescent="0.25">
      <c r="A2975" s="2" t="s">
        <v>7824</v>
      </c>
      <c r="B2975" s="2" t="s">
        <v>7825</v>
      </c>
      <c r="C2975" s="2" t="s">
        <v>53</v>
      </c>
      <c r="D2975" s="2" t="s">
        <v>54</v>
      </c>
      <c r="E2975" s="2" t="s">
        <v>148</v>
      </c>
      <c r="F2975" s="2" t="s">
        <v>125</v>
      </c>
      <c r="G2975" s="2" t="s">
        <v>31</v>
      </c>
      <c r="H2975" s="2" t="s">
        <v>32</v>
      </c>
      <c r="I2975" s="2">
        <v>48</v>
      </c>
      <c r="J2975" s="2" t="s">
        <v>145</v>
      </c>
      <c r="K2975" s="2"/>
      <c r="L2975" s="2" t="s">
        <v>24</v>
      </c>
      <c r="M2975" s="2"/>
      <c r="N2975" s="2" t="s">
        <v>34</v>
      </c>
    </row>
    <row r="2976" spans="1:14" x14ac:dyDescent="0.25">
      <c r="A2976" s="2" t="s">
        <v>7826</v>
      </c>
      <c r="B2976" s="2" t="s">
        <v>7827</v>
      </c>
      <c r="C2976" s="2" t="s">
        <v>16</v>
      </c>
      <c r="D2976" s="2" t="s">
        <v>84</v>
      </c>
      <c r="E2976" s="2" t="s">
        <v>79</v>
      </c>
      <c r="F2976" s="2" t="s">
        <v>55</v>
      </c>
      <c r="G2976" s="2" t="s">
        <v>110</v>
      </c>
      <c r="H2976" s="2" t="s">
        <v>21</v>
      </c>
      <c r="I2976" s="2">
        <v>24</v>
      </c>
      <c r="J2976" s="2" t="s">
        <v>106</v>
      </c>
      <c r="K2976" s="2" t="s">
        <v>7828</v>
      </c>
      <c r="L2976" s="2" t="s">
        <v>24</v>
      </c>
      <c r="M2976" s="2"/>
      <c r="N2976" s="2" t="s">
        <v>34</v>
      </c>
    </row>
    <row r="2977" spans="1:14" x14ac:dyDescent="0.25">
      <c r="A2977" s="2" t="s">
        <v>571</v>
      </c>
      <c r="B2977" s="2" t="s">
        <v>572</v>
      </c>
      <c r="C2977" s="2" t="s">
        <v>53</v>
      </c>
      <c r="D2977" s="2" t="s">
        <v>162</v>
      </c>
      <c r="E2977" s="2" t="s">
        <v>38</v>
      </c>
      <c r="F2977" s="2" t="s">
        <v>96</v>
      </c>
      <c r="G2977" s="2" t="s">
        <v>126</v>
      </c>
      <c r="H2977" s="2" t="s">
        <v>74</v>
      </c>
      <c r="I2977" s="2">
        <v>8</v>
      </c>
      <c r="J2977" s="2" t="s">
        <v>106</v>
      </c>
      <c r="K2977" s="2" t="s">
        <v>573</v>
      </c>
      <c r="L2977" s="2" t="s">
        <v>24</v>
      </c>
      <c r="M2977" s="2">
        <v>5</v>
      </c>
      <c r="N2977" s="2" t="s">
        <v>128</v>
      </c>
    </row>
    <row r="2978" spans="1:14" x14ac:dyDescent="0.25">
      <c r="A2978" s="2" t="s">
        <v>7829</v>
      </c>
      <c r="B2978" s="2" t="s">
        <v>7830</v>
      </c>
      <c r="C2978" s="2" t="s">
        <v>28</v>
      </c>
      <c r="D2978" s="2" t="s">
        <v>100</v>
      </c>
      <c r="E2978" s="2" t="s">
        <v>38</v>
      </c>
      <c r="F2978" s="2" t="s">
        <v>113</v>
      </c>
      <c r="G2978" s="2" t="s">
        <v>121</v>
      </c>
      <c r="H2978" s="2" t="s">
        <v>32</v>
      </c>
      <c r="I2978" s="2">
        <v>48</v>
      </c>
      <c r="J2978" s="2" t="s">
        <v>187</v>
      </c>
      <c r="K2978" s="2"/>
      <c r="L2978" s="2" t="s">
        <v>92</v>
      </c>
      <c r="M2978" s="2">
        <v>3</v>
      </c>
      <c r="N2978" s="2" t="s">
        <v>118</v>
      </c>
    </row>
    <row r="2979" spans="1:14" x14ac:dyDescent="0.25">
      <c r="A2979" s="2" t="s">
        <v>7831</v>
      </c>
      <c r="B2979" s="2" t="s">
        <v>7832</v>
      </c>
      <c r="C2979" s="2" t="s">
        <v>53</v>
      </c>
      <c r="D2979" s="2" t="s">
        <v>61</v>
      </c>
      <c r="E2979" s="2" t="s">
        <v>148</v>
      </c>
      <c r="F2979" s="2" t="s">
        <v>125</v>
      </c>
      <c r="G2979" s="2" t="s">
        <v>139</v>
      </c>
      <c r="H2979" s="2" t="s">
        <v>21</v>
      </c>
      <c r="I2979" s="2">
        <v>24</v>
      </c>
      <c r="J2979" s="2" t="s">
        <v>200</v>
      </c>
      <c r="K2979" s="2"/>
      <c r="L2979" s="2" t="s">
        <v>92</v>
      </c>
      <c r="M2979" s="2"/>
      <c r="N2979" s="2"/>
    </row>
    <row r="2980" spans="1:14" x14ac:dyDescent="0.25">
      <c r="A2980" s="2" t="s">
        <v>7833</v>
      </c>
      <c r="B2980" s="2" t="s">
        <v>7834</v>
      </c>
      <c r="C2980" s="2" t="s">
        <v>16</v>
      </c>
      <c r="D2980" s="2" t="s">
        <v>17</v>
      </c>
      <c r="E2980" s="2" t="s">
        <v>18</v>
      </c>
      <c r="F2980" s="2" t="s">
        <v>143</v>
      </c>
      <c r="G2980" s="2" t="s">
        <v>158</v>
      </c>
      <c r="H2980" s="2" t="s">
        <v>21</v>
      </c>
      <c r="I2980" s="2">
        <v>24</v>
      </c>
      <c r="J2980" s="2" t="s">
        <v>117</v>
      </c>
      <c r="K2980" s="2"/>
      <c r="L2980" s="2" t="s">
        <v>24</v>
      </c>
      <c r="M2980" s="2"/>
      <c r="N2980" s="2" t="s">
        <v>58</v>
      </c>
    </row>
    <row r="2981" spans="1:14" x14ac:dyDescent="0.25">
      <c r="A2981" s="2" t="s">
        <v>7835</v>
      </c>
      <c r="B2981" s="2" t="s">
        <v>7836</v>
      </c>
      <c r="C2981" s="2" t="s">
        <v>67</v>
      </c>
      <c r="D2981" s="2" t="s">
        <v>95</v>
      </c>
      <c r="E2981" s="2" t="s">
        <v>148</v>
      </c>
      <c r="F2981" s="2" t="s">
        <v>131</v>
      </c>
      <c r="G2981" s="2" t="s">
        <v>158</v>
      </c>
      <c r="H2981" s="2" t="s">
        <v>32</v>
      </c>
      <c r="I2981" s="2">
        <v>48</v>
      </c>
      <c r="J2981" s="2" t="s">
        <v>48</v>
      </c>
      <c r="K2981" s="2" t="s">
        <v>7837</v>
      </c>
      <c r="L2981" s="2" t="s">
        <v>24</v>
      </c>
      <c r="M2981" s="2"/>
      <c r="N2981" s="2" t="s">
        <v>43</v>
      </c>
    </row>
    <row r="2982" spans="1:14" x14ac:dyDescent="0.25">
      <c r="A2982" s="2" t="s">
        <v>7838</v>
      </c>
      <c r="B2982" s="2" t="s">
        <v>7839</v>
      </c>
      <c r="C2982" s="2" t="s">
        <v>16</v>
      </c>
      <c r="D2982" s="2" t="s">
        <v>17</v>
      </c>
      <c r="E2982" s="2" t="s">
        <v>90</v>
      </c>
      <c r="F2982" s="2" t="s">
        <v>55</v>
      </c>
      <c r="G2982" s="2" t="s">
        <v>126</v>
      </c>
      <c r="H2982" s="2" t="s">
        <v>21</v>
      </c>
      <c r="I2982" s="2">
        <v>24</v>
      </c>
      <c r="J2982" s="2" t="s">
        <v>22</v>
      </c>
      <c r="K2982" s="2" t="s">
        <v>7840</v>
      </c>
      <c r="L2982" s="2" t="s">
        <v>24</v>
      </c>
      <c r="M2982" s="2"/>
      <c r="N2982" s="2"/>
    </row>
    <row r="2983" spans="1:14" x14ac:dyDescent="0.25">
      <c r="A2983" s="2" t="s">
        <v>7841</v>
      </c>
      <c r="B2983" s="2" t="s">
        <v>7842</v>
      </c>
      <c r="C2983" s="2" t="s">
        <v>16</v>
      </c>
      <c r="D2983" s="2" t="s">
        <v>84</v>
      </c>
      <c r="E2983" s="2" t="s">
        <v>38</v>
      </c>
      <c r="F2983" s="2" t="s">
        <v>19</v>
      </c>
      <c r="G2983" s="2" t="s">
        <v>31</v>
      </c>
      <c r="H2983" s="2" t="s">
        <v>80</v>
      </c>
      <c r="I2983" s="2">
        <v>4</v>
      </c>
      <c r="J2983" s="2" t="s">
        <v>106</v>
      </c>
      <c r="K2983" s="2" t="s">
        <v>7087</v>
      </c>
      <c r="L2983" s="2" t="s">
        <v>24</v>
      </c>
      <c r="M2983" s="2">
        <v>5</v>
      </c>
      <c r="N2983" s="2" t="s">
        <v>25</v>
      </c>
    </row>
    <row r="2984" spans="1:14" x14ac:dyDescent="0.25">
      <c r="A2984" s="2" t="s">
        <v>7843</v>
      </c>
      <c r="B2984" s="2" t="s">
        <v>7844</v>
      </c>
      <c r="C2984" s="2" t="s">
        <v>53</v>
      </c>
      <c r="D2984" s="2" t="s">
        <v>54</v>
      </c>
      <c r="E2984" s="2" t="s">
        <v>79</v>
      </c>
      <c r="F2984" s="2" t="s">
        <v>39</v>
      </c>
      <c r="G2984" s="2" t="s">
        <v>105</v>
      </c>
      <c r="H2984" s="2" t="s">
        <v>80</v>
      </c>
      <c r="I2984" s="2">
        <v>4</v>
      </c>
      <c r="J2984" s="2" t="s">
        <v>145</v>
      </c>
      <c r="K2984" s="2"/>
      <c r="L2984" s="2" t="s">
        <v>24</v>
      </c>
      <c r="M2984" s="2"/>
      <c r="N2984" s="2" t="s">
        <v>34</v>
      </c>
    </row>
    <row r="2985" spans="1:14" x14ac:dyDescent="0.25">
      <c r="A2985" s="2" t="s">
        <v>7845</v>
      </c>
      <c r="B2985" s="2" t="s">
        <v>7846</v>
      </c>
      <c r="C2985" s="2" t="s">
        <v>53</v>
      </c>
      <c r="D2985" s="2" t="s">
        <v>54</v>
      </c>
      <c r="E2985" s="2" t="s">
        <v>85</v>
      </c>
      <c r="F2985" s="2" t="s">
        <v>143</v>
      </c>
      <c r="G2985" s="2" t="s">
        <v>97</v>
      </c>
      <c r="H2985" s="2" t="s">
        <v>32</v>
      </c>
      <c r="I2985" s="2">
        <v>48</v>
      </c>
      <c r="J2985" s="2" t="s">
        <v>41</v>
      </c>
      <c r="K2985" s="2" t="s">
        <v>7847</v>
      </c>
      <c r="L2985" s="2" t="s">
        <v>24</v>
      </c>
      <c r="M2985" s="2">
        <v>1</v>
      </c>
      <c r="N2985" s="2" t="s">
        <v>34</v>
      </c>
    </row>
    <row r="2986" spans="1:14" x14ac:dyDescent="0.25">
      <c r="A2986" s="2" t="s">
        <v>7848</v>
      </c>
      <c r="B2986" s="2" t="s">
        <v>7849</v>
      </c>
      <c r="C2986" s="2" t="s">
        <v>67</v>
      </c>
      <c r="D2986" s="2" t="s">
        <v>95</v>
      </c>
      <c r="E2986" s="2" t="s">
        <v>148</v>
      </c>
      <c r="F2986" s="2" t="s">
        <v>69</v>
      </c>
      <c r="G2986" s="2" t="s">
        <v>135</v>
      </c>
      <c r="H2986" s="2" t="s">
        <v>21</v>
      </c>
      <c r="I2986" s="2">
        <v>24</v>
      </c>
      <c r="J2986" s="2" t="s">
        <v>48</v>
      </c>
      <c r="K2986" s="2" t="s">
        <v>7850</v>
      </c>
      <c r="L2986" s="2" t="s">
        <v>24</v>
      </c>
      <c r="M2986" s="2">
        <v>4</v>
      </c>
      <c r="N2986" s="2" t="s">
        <v>64</v>
      </c>
    </row>
    <row r="2987" spans="1:14" x14ac:dyDescent="0.25">
      <c r="A2987" s="2" t="s">
        <v>7851</v>
      </c>
      <c r="B2987" s="2" t="s">
        <v>7852</v>
      </c>
      <c r="C2987" s="2" t="s">
        <v>28</v>
      </c>
      <c r="D2987" s="2" t="s">
        <v>100</v>
      </c>
      <c r="E2987" s="2" t="s">
        <v>90</v>
      </c>
      <c r="F2987" s="2" t="s">
        <v>30</v>
      </c>
      <c r="G2987" s="2" t="s">
        <v>20</v>
      </c>
      <c r="H2987" s="2" t="s">
        <v>32</v>
      </c>
      <c r="I2987" s="2">
        <v>48</v>
      </c>
      <c r="J2987" s="2" t="s">
        <v>41</v>
      </c>
      <c r="K2987" s="2" t="s">
        <v>7853</v>
      </c>
      <c r="L2987" s="2" t="s">
        <v>24</v>
      </c>
      <c r="M2987" s="2"/>
      <c r="N2987" s="2" t="s">
        <v>64</v>
      </c>
    </row>
    <row r="2988" spans="1:14" x14ac:dyDescent="0.25">
      <c r="A2988" s="2" t="s">
        <v>7854</v>
      </c>
      <c r="B2988" s="2" t="s">
        <v>7855</v>
      </c>
      <c r="C2988" s="2" t="s">
        <v>16</v>
      </c>
      <c r="D2988" s="2" t="s">
        <v>17</v>
      </c>
      <c r="E2988" s="2" t="s">
        <v>38</v>
      </c>
      <c r="F2988" s="2" t="s">
        <v>55</v>
      </c>
      <c r="G2988" s="2" t="s">
        <v>179</v>
      </c>
      <c r="H2988" s="2" t="s">
        <v>74</v>
      </c>
      <c r="I2988" s="2">
        <v>8</v>
      </c>
      <c r="J2988" s="2" t="s">
        <v>106</v>
      </c>
      <c r="K2988" s="2" t="s">
        <v>7856</v>
      </c>
      <c r="L2988" s="2" t="s">
        <v>24</v>
      </c>
      <c r="M2988" s="2">
        <v>3</v>
      </c>
      <c r="N2988" s="2" t="s">
        <v>118</v>
      </c>
    </row>
    <row r="2989" spans="1:14" x14ac:dyDescent="0.25">
      <c r="A2989" s="2" t="s">
        <v>7857</v>
      </c>
      <c r="B2989" s="2" t="s">
        <v>7858</v>
      </c>
      <c r="C2989" s="2" t="s">
        <v>16</v>
      </c>
      <c r="D2989" s="2" t="s">
        <v>84</v>
      </c>
      <c r="E2989" s="2" t="s">
        <v>90</v>
      </c>
      <c r="F2989" s="2" t="s">
        <v>30</v>
      </c>
      <c r="G2989" s="2" t="s">
        <v>121</v>
      </c>
      <c r="H2989" s="2" t="s">
        <v>21</v>
      </c>
      <c r="I2989" s="2">
        <v>24</v>
      </c>
      <c r="J2989" s="2" t="s">
        <v>149</v>
      </c>
      <c r="K2989" s="2"/>
      <c r="L2989" s="2" t="s">
        <v>24</v>
      </c>
      <c r="M2989" s="2"/>
      <c r="N2989" s="2" t="s">
        <v>50</v>
      </c>
    </row>
    <row r="2990" spans="1:14" x14ac:dyDescent="0.25">
      <c r="A2990" s="2" t="s">
        <v>7859</v>
      </c>
      <c r="B2990" s="2" t="s">
        <v>7860</v>
      </c>
      <c r="C2990" s="2" t="s">
        <v>16</v>
      </c>
      <c r="D2990" s="2" t="s">
        <v>84</v>
      </c>
      <c r="E2990" s="2" t="s">
        <v>46</v>
      </c>
      <c r="F2990" s="2" t="s">
        <v>62</v>
      </c>
      <c r="G2990" s="2" t="s">
        <v>126</v>
      </c>
      <c r="H2990" s="2" t="s">
        <v>32</v>
      </c>
      <c r="I2990" s="2">
        <v>48</v>
      </c>
      <c r="J2990" s="2" t="s">
        <v>41</v>
      </c>
      <c r="K2990" s="2" t="s">
        <v>7861</v>
      </c>
      <c r="L2990" s="2" t="s">
        <v>24</v>
      </c>
      <c r="M2990" s="2">
        <v>4</v>
      </c>
      <c r="N2990" s="2" t="s">
        <v>34</v>
      </c>
    </row>
    <row r="2991" spans="1:14" x14ac:dyDescent="0.25">
      <c r="A2991" s="2" t="s">
        <v>7862</v>
      </c>
      <c r="B2991" s="2" t="s">
        <v>7863</v>
      </c>
      <c r="C2991" s="2" t="s">
        <v>67</v>
      </c>
      <c r="D2991" s="2" t="s">
        <v>95</v>
      </c>
      <c r="E2991" s="2" t="s">
        <v>148</v>
      </c>
      <c r="F2991" s="2" t="s">
        <v>125</v>
      </c>
      <c r="G2991" s="2" t="s">
        <v>97</v>
      </c>
      <c r="H2991" s="2" t="s">
        <v>32</v>
      </c>
      <c r="I2991" s="2">
        <v>48</v>
      </c>
      <c r="J2991" s="2" t="s">
        <v>11</v>
      </c>
      <c r="K2991" s="2"/>
      <c r="L2991" s="2" t="s">
        <v>92</v>
      </c>
      <c r="M2991" s="2"/>
      <c r="N2991" s="2" t="s">
        <v>43</v>
      </c>
    </row>
    <row r="2992" spans="1:14" x14ac:dyDescent="0.25">
      <c r="A2992" s="2" t="s">
        <v>7864</v>
      </c>
      <c r="B2992" s="2" t="s">
        <v>7865</v>
      </c>
      <c r="C2992" s="2" t="s">
        <v>67</v>
      </c>
      <c r="D2992" s="2" t="s">
        <v>95</v>
      </c>
      <c r="E2992" s="2" t="s">
        <v>90</v>
      </c>
      <c r="F2992" s="2" t="s">
        <v>39</v>
      </c>
      <c r="G2992" s="2" t="s">
        <v>211</v>
      </c>
      <c r="H2992" s="2" t="s">
        <v>74</v>
      </c>
      <c r="I2992" s="2">
        <v>8</v>
      </c>
      <c r="J2992" s="2" t="s">
        <v>41</v>
      </c>
      <c r="K2992" s="2" t="s">
        <v>7866</v>
      </c>
      <c r="L2992" s="2" t="s">
        <v>24</v>
      </c>
      <c r="M2992" s="2"/>
      <c r="N2992" s="2"/>
    </row>
    <row r="2993" spans="1:14" x14ac:dyDescent="0.25">
      <c r="A2993" s="2" t="s">
        <v>7867</v>
      </c>
      <c r="B2993" s="2" t="s">
        <v>7868</v>
      </c>
      <c r="C2993" s="2" t="s">
        <v>53</v>
      </c>
      <c r="D2993" s="2" t="s">
        <v>61</v>
      </c>
      <c r="E2993" s="2" t="s">
        <v>38</v>
      </c>
      <c r="F2993" s="2" t="s">
        <v>47</v>
      </c>
      <c r="G2993" s="2" t="s">
        <v>144</v>
      </c>
      <c r="H2993" s="2" t="s">
        <v>32</v>
      </c>
      <c r="I2993" s="2">
        <v>48</v>
      </c>
      <c r="J2993" s="2" t="s">
        <v>41</v>
      </c>
      <c r="K2993" s="2" t="s">
        <v>7869</v>
      </c>
      <c r="L2993" s="2" t="s">
        <v>24</v>
      </c>
      <c r="M2993" s="2"/>
      <c r="N2993" s="2" t="s">
        <v>50</v>
      </c>
    </row>
    <row r="2994" spans="1:14" x14ac:dyDescent="0.25">
      <c r="A2994" s="2" t="s">
        <v>7870</v>
      </c>
      <c r="B2994" s="2" t="s">
        <v>7871</v>
      </c>
      <c r="C2994" s="2" t="s">
        <v>67</v>
      </c>
      <c r="D2994" s="2" t="s">
        <v>95</v>
      </c>
      <c r="E2994" s="2" t="s">
        <v>148</v>
      </c>
      <c r="F2994" s="2" t="s">
        <v>113</v>
      </c>
      <c r="G2994" s="2" t="s">
        <v>121</v>
      </c>
      <c r="H2994" s="2" t="s">
        <v>21</v>
      </c>
      <c r="I2994" s="2">
        <v>24</v>
      </c>
      <c r="J2994" s="2" t="s">
        <v>145</v>
      </c>
      <c r="K2994" s="2"/>
      <c r="L2994" s="2" t="s">
        <v>24</v>
      </c>
      <c r="M2994" s="2"/>
      <c r="N2994" s="2" t="s">
        <v>25</v>
      </c>
    </row>
    <row r="2995" spans="1:14" x14ac:dyDescent="0.25">
      <c r="A2995" s="2" t="s">
        <v>7872</v>
      </c>
      <c r="B2995" s="2" t="s">
        <v>7873</v>
      </c>
      <c r="C2995" s="2" t="s">
        <v>28</v>
      </c>
      <c r="D2995" s="2" t="s">
        <v>37</v>
      </c>
      <c r="E2995" s="2" t="s">
        <v>85</v>
      </c>
      <c r="F2995" s="2" t="s">
        <v>125</v>
      </c>
      <c r="G2995" s="2" t="s">
        <v>179</v>
      </c>
      <c r="H2995" s="2" t="s">
        <v>21</v>
      </c>
      <c r="I2995" s="2">
        <v>24</v>
      </c>
      <c r="J2995" s="2" t="s">
        <v>11</v>
      </c>
      <c r="K2995" s="2"/>
      <c r="L2995" s="2" t="s">
        <v>92</v>
      </c>
      <c r="M2995" s="2"/>
      <c r="N2995" s="2"/>
    </row>
    <row r="2996" spans="1:14" x14ac:dyDescent="0.25">
      <c r="A2996" s="2" t="s">
        <v>7874</v>
      </c>
      <c r="B2996" s="2" t="s">
        <v>7875</v>
      </c>
      <c r="C2996" s="2" t="s">
        <v>28</v>
      </c>
      <c r="D2996" s="2" t="s">
        <v>100</v>
      </c>
      <c r="E2996" s="2" t="s">
        <v>46</v>
      </c>
      <c r="F2996" s="2" t="s">
        <v>131</v>
      </c>
      <c r="G2996" s="2" t="s">
        <v>101</v>
      </c>
      <c r="H2996" s="2" t="s">
        <v>32</v>
      </c>
      <c r="I2996" s="2">
        <v>48</v>
      </c>
      <c r="J2996" s="2" t="s">
        <v>48</v>
      </c>
      <c r="K2996" s="2" t="s">
        <v>7876</v>
      </c>
      <c r="L2996" s="2" t="s">
        <v>24</v>
      </c>
      <c r="M2996" s="2">
        <v>2</v>
      </c>
      <c r="N2996" s="2"/>
    </row>
    <row r="2997" spans="1:14" x14ac:dyDescent="0.25">
      <c r="A2997" s="2" t="s">
        <v>7877</v>
      </c>
      <c r="B2997" s="2" t="s">
        <v>7878</v>
      </c>
      <c r="C2997" s="2" t="s">
        <v>28</v>
      </c>
      <c r="D2997" s="2" t="s">
        <v>37</v>
      </c>
      <c r="E2997" s="2" t="s">
        <v>38</v>
      </c>
      <c r="F2997" s="2" t="s">
        <v>55</v>
      </c>
      <c r="G2997" s="2" t="s">
        <v>158</v>
      </c>
      <c r="H2997" s="2" t="s">
        <v>32</v>
      </c>
      <c r="I2997" s="2">
        <v>48</v>
      </c>
      <c r="J2997" s="2" t="s">
        <v>106</v>
      </c>
      <c r="K2997" s="2" t="s">
        <v>7879</v>
      </c>
      <c r="L2997" s="2" t="s">
        <v>24</v>
      </c>
      <c r="M2997" s="2">
        <v>4</v>
      </c>
      <c r="N2997" s="2"/>
    </row>
    <row r="2998" spans="1:14" x14ac:dyDescent="0.25">
      <c r="A2998" s="2" t="s">
        <v>7880</v>
      </c>
      <c r="B2998" s="2" t="s">
        <v>7881</v>
      </c>
      <c r="C2998" s="2" t="s">
        <v>16</v>
      </c>
      <c r="D2998" s="2" t="s">
        <v>17</v>
      </c>
      <c r="E2998" s="2" t="s">
        <v>18</v>
      </c>
      <c r="F2998" s="2" t="s">
        <v>19</v>
      </c>
      <c r="G2998" s="2" t="s">
        <v>179</v>
      </c>
      <c r="H2998" s="2" t="s">
        <v>32</v>
      </c>
      <c r="I2998" s="2">
        <v>48</v>
      </c>
      <c r="J2998" s="2" t="s">
        <v>48</v>
      </c>
      <c r="K2998" s="2" t="s">
        <v>7882</v>
      </c>
      <c r="L2998" s="2" t="s">
        <v>24</v>
      </c>
      <c r="M2998" s="2">
        <v>5</v>
      </c>
      <c r="N2998" s="2"/>
    </row>
    <row r="2999" spans="1:14" x14ac:dyDescent="0.25">
      <c r="A2999" s="2" t="s">
        <v>7883</v>
      </c>
      <c r="B2999" s="2" t="s">
        <v>7884</v>
      </c>
      <c r="C2999" s="2" t="s">
        <v>53</v>
      </c>
      <c r="D2999" s="2" t="s">
        <v>61</v>
      </c>
      <c r="E2999" s="2" t="s">
        <v>79</v>
      </c>
      <c r="F2999" s="2" t="s">
        <v>19</v>
      </c>
      <c r="G2999" s="2" t="s">
        <v>126</v>
      </c>
      <c r="H2999" s="2" t="s">
        <v>32</v>
      </c>
      <c r="I2999" s="2">
        <v>48</v>
      </c>
      <c r="J2999" s="2" t="s">
        <v>33</v>
      </c>
      <c r="K2999" s="2"/>
      <c r="L2999" s="2" t="s">
        <v>24</v>
      </c>
      <c r="M2999" s="2"/>
      <c r="N2999" s="2"/>
    </row>
    <row r="3000" spans="1:14" x14ac:dyDescent="0.25">
      <c r="A3000" s="2" t="s">
        <v>7885</v>
      </c>
      <c r="B3000" s="2" t="s">
        <v>7886</v>
      </c>
      <c r="C3000" s="2" t="s">
        <v>16</v>
      </c>
      <c r="D3000" s="2" t="s">
        <v>84</v>
      </c>
      <c r="E3000" s="2" t="s">
        <v>85</v>
      </c>
      <c r="F3000" s="2" t="s">
        <v>143</v>
      </c>
      <c r="G3000" s="2" t="s">
        <v>31</v>
      </c>
      <c r="H3000" s="2" t="s">
        <v>21</v>
      </c>
      <c r="I3000" s="2">
        <v>24</v>
      </c>
      <c r="J3000" s="2" t="s">
        <v>155</v>
      </c>
      <c r="K3000" s="2"/>
      <c r="L3000" s="2" t="s">
        <v>24</v>
      </c>
      <c r="M3000" s="2"/>
      <c r="N3000" s="2"/>
    </row>
    <row r="3001" spans="1:14" x14ac:dyDescent="0.25">
      <c r="A3001" s="2" t="s">
        <v>7887</v>
      </c>
      <c r="B3001" s="2" t="s">
        <v>7888</v>
      </c>
      <c r="C3001" s="2" t="s">
        <v>67</v>
      </c>
      <c r="D3001" s="2" t="s">
        <v>95</v>
      </c>
      <c r="E3001" s="2" t="s">
        <v>148</v>
      </c>
      <c r="F3001" s="2" t="s">
        <v>39</v>
      </c>
      <c r="G3001" s="2" t="s">
        <v>179</v>
      </c>
      <c r="H3001" s="2" t="s">
        <v>21</v>
      </c>
      <c r="I3001" s="2">
        <v>24</v>
      </c>
      <c r="J3001" s="2" t="s">
        <v>106</v>
      </c>
      <c r="K3001" s="2" t="s">
        <v>7889</v>
      </c>
      <c r="L3001" s="2" t="s">
        <v>24</v>
      </c>
      <c r="M3001" s="2"/>
      <c r="N3001" s="2" t="s">
        <v>25</v>
      </c>
    </row>
    <row r="3002" spans="1:14" x14ac:dyDescent="0.25">
      <c r="A3002" s="2" t="s">
        <v>7890</v>
      </c>
      <c r="B3002" s="2" t="s">
        <v>7891</v>
      </c>
      <c r="C3002" s="2" t="s">
        <v>67</v>
      </c>
      <c r="D3002" s="2" t="s">
        <v>95</v>
      </c>
      <c r="E3002" s="2" t="s">
        <v>46</v>
      </c>
      <c r="F3002" s="2" t="s">
        <v>96</v>
      </c>
      <c r="G3002" s="2" t="s">
        <v>40</v>
      </c>
      <c r="H3002" s="2" t="s">
        <v>21</v>
      </c>
      <c r="I3002" s="2">
        <v>24</v>
      </c>
      <c r="J3002" s="2" t="s">
        <v>155</v>
      </c>
      <c r="K3002" s="2"/>
      <c r="L3002" s="2" t="s">
        <v>24</v>
      </c>
      <c r="M3002" s="2"/>
      <c r="N3002" s="2"/>
    </row>
    <row r="3003" spans="1:14" x14ac:dyDescent="0.25">
      <c r="A3003" s="2" t="s">
        <v>7892</v>
      </c>
      <c r="B3003" s="2" t="s">
        <v>7893</v>
      </c>
      <c r="C3003" s="2" t="s">
        <v>53</v>
      </c>
      <c r="D3003" s="2" t="s">
        <v>61</v>
      </c>
      <c r="E3003" s="2" t="s">
        <v>79</v>
      </c>
      <c r="F3003" s="2" t="s">
        <v>55</v>
      </c>
      <c r="G3003" s="2" t="s">
        <v>40</v>
      </c>
      <c r="H3003" s="2" t="s">
        <v>32</v>
      </c>
      <c r="I3003" s="2">
        <v>48</v>
      </c>
      <c r="J3003" s="2" t="s">
        <v>33</v>
      </c>
      <c r="K3003" s="2"/>
      <c r="L3003" s="2" t="s">
        <v>24</v>
      </c>
      <c r="M3003" s="2"/>
      <c r="N3003" s="2" t="s">
        <v>34</v>
      </c>
    </row>
    <row r="3004" spans="1:14" x14ac:dyDescent="0.25">
      <c r="A3004" s="2" t="s">
        <v>7894</v>
      </c>
      <c r="B3004" s="2" t="s">
        <v>7895</v>
      </c>
      <c r="C3004" s="2" t="s">
        <v>67</v>
      </c>
      <c r="D3004" s="2" t="s">
        <v>95</v>
      </c>
      <c r="E3004" s="2" t="s">
        <v>79</v>
      </c>
      <c r="F3004" s="2" t="s">
        <v>39</v>
      </c>
      <c r="G3004" s="2" t="s">
        <v>110</v>
      </c>
      <c r="H3004" s="2" t="s">
        <v>74</v>
      </c>
      <c r="I3004" s="2">
        <v>8</v>
      </c>
      <c r="J3004" s="2" t="s">
        <v>106</v>
      </c>
      <c r="K3004" s="2" t="s">
        <v>3918</v>
      </c>
      <c r="L3004" s="2" t="s">
        <v>24</v>
      </c>
      <c r="M3004" s="2">
        <v>5</v>
      </c>
      <c r="N3004" s="2" t="s">
        <v>25</v>
      </c>
    </row>
    <row r="3005" spans="1:14" x14ac:dyDescent="0.25">
      <c r="A3005" s="2" t="s">
        <v>7896</v>
      </c>
      <c r="B3005" s="2" t="s">
        <v>7897</v>
      </c>
      <c r="C3005" s="2" t="s">
        <v>16</v>
      </c>
      <c r="D3005" s="2" t="s">
        <v>84</v>
      </c>
      <c r="E3005" s="2" t="s">
        <v>148</v>
      </c>
      <c r="F3005" s="2" t="s">
        <v>143</v>
      </c>
      <c r="G3005" s="2" t="s">
        <v>70</v>
      </c>
      <c r="H3005" s="2" t="s">
        <v>74</v>
      </c>
      <c r="I3005" s="2">
        <v>8</v>
      </c>
      <c r="J3005" s="2" t="s">
        <v>41</v>
      </c>
      <c r="K3005" s="2" t="s">
        <v>7898</v>
      </c>
      <c r="L3005" s="2" t="s">
        <v>24</v>
      </c>
      <c r="M3005" s="2"/>
      <c r="N3005" s="2" t="s">
        <v>50</v>
      </c>
    </row>
    <row r="3006" spans="1:14" x14ac:dyDescent="0.25">
      <c r="A3006" s="2" t="s">
        <v>7899</v>
      </c>
      <c r="B3006" s="2" t="s">
        <v>7900</v>
      </c>
      <c r="C3006" s="2" t="s">
        <v>67</v>
      </c>
      <c r="D3006" s="2" t="s">
        <v>68</v>
      </c>
      <c r="E3006" s="2" t="s">
        <v>46</v>
      </c>
      <c r="F3006" s="2" t="s">
        <v>96</v>
      </c>
      <c r="G3006" s="2" t="s">
        <v>179</v>
      </c>
      <c r="H3006" s="2" t="s">
        <v>21</v>
      </c>
      <c r="I3006" s="2">
        <v>24</v>
      </c>
      <c r="J3006" s="2" t="s">
        <v>187</v>
      </c>
      <c r="K3006" s="2" t="s">
        <v>7901</v>
      </c>
      <c r="L3006" s="2" t="s">
        <v>24</v>
      </c>
      <c r="M3006" s="2">
        <v>1</v>
      </c>
      <c r="N3006" s="2" t="s">
        <v>118</v>
      </c>
    </row>
    <row r="3007" spans="1:14" x14ac:dyDescent="0.25">
      <c r="A3007" s="2" t="s">
        <v>7902</v>
      </c>
      <c r="B3007" s="2" t="s">
        <v>7903</v>
      </c>
      <c r="C3007" s="2" t="s">
        <v>53</v>
      </c>
      <c r="D3007" s="2" t="s">
        <v>61</v>
      </c>
      <c r="E3007" s="2" t="s">
        <v>79</v>
      </c>
      <c r="F3007" s="2" t="s">
        <v>96</v>
      </c>
      <c r="G3007" s="2" t="s">
        <v>91</v>
      </c>
      <c r="H3007" s="2" t="s">
        <v>74</v>
      </c>
      <c r="I3007" s="2">
        <v>8</v>
      </c>
      <c r="J3007" s="2" t="s">
        <v>106</v>
      </c>
      <c r="K3007" s="2" t="s">
        <v>7904</v>
      </c>
      <c r="L3007" s="2" t="s">
        <v>24</v>
      </c>
      <c r="M3007" s="2">
        <v>1</v>
      </c>
      <c r="N3007" s="2"/>
    </row>
    <row r="3008" spans="1:14" x14ac:dyDescent="0.25">
      <c r="A3008" s="2" t="s">
        <v>7905</v>
      </c>
      <c r="B3008" s="2" t="s">
        <v>7906</v>
      </c>
      <c r="C3008" s="2" t="s">
        <v>16</v>
      </c>
      <c r="D3008" s="2" t="s">
        <v>84</v>
      </c>
      <c r="E3008" s="2" t="s">
        <v>79</v>
      </c>
      <c r="F3008" s="2" t="s">
        <v>125</v>
      </c>
      <c r="G3008" s="2" t="s">
        <v>91</v>
      </c>
      <c r="H3008" s="2" t="s">
        <v>74</v>
      </c>
      <c r="I3008" s="2">
        <v>8</v>
      </c>
      <c r="J3008" s="2" t="s">
        <v>48</v>
      </c>
      <c r="K3008" s="2"/>
      <c r="L3008" s="2" t="s">
        <v>24</v>
      </c>
      <c r="M3008" s="2">
        <v>5</v>
      </c>
      <c r="N3008" s="2" t="s">
        <v>64</v>
      </c>
    </row>
    <row r="3009" spans="1:14" x14ac:dyDescent="0.25">
      <c r="A3009" s="2" t="s">
        <v>7907</v>
      </c>
      <c r="B3009" s="2" t="s">
        <v>7908</v>
      </c>
      <c r="C3009" s="2" t="s">
        <v>28</v>
      </c>
      <c r="D3009" s="2" t="s">
        <v>100</v>
      </c>
      <c r="E3009" s="2" t="s">
        <v>38</v>
      </c>
      <c r="F3009" s="2" t="s">
        <v>125</v>
      </c>
      <c r="G3009" s="2" t="s">
        <v>70</v>
      </c>
      <c r="H3009" s="2" t="s">
        <v>32</v>
      </c>
      <c r="I3009" s="2">
        <v>48</v>
      </c>
      <c r="J3009" s="2" t="s">
        <v>41</v>
      </c>
      <c r="K3009" s="2" t="s">
        <v>7909</v>
      </c>
      <c r="L3009" s="2" t="s">
        <v>24</v>
      </c>
      <c r="M3009" s="2"/>
      <c r="N3009" s="2" t="s">
        <v>25</v>
      </c>
    </row>
    <row r="3010" spans="1:14" x14ac:dyDescent="0.25">
      <c r="A3010" s="2" t="s">
        <v>7910</v>
      </c>
      <c r="B3010" s="2" t="s">
        <v>7911</v>
      </c>
      <c r="C3010" s="2" t="s">
        <v>16</v>
      </c>
      <c r="D3010" s="2" t="s">
        <v>17</v>
      </c>
      <c r="E3010" s="2" t="s">
        <v>79</v>
      </c>
      <c r="F3010" s="2" t="s">
        <v>30</v>
      </c>
      <c r="G3010" s="2" t="s">
        <v>70</v>
      </c>
      <c r="H3010" s="2" t="s">
        <v>21</v>
      </c>
      <c r="I3010" s="2">
        <v>24</v>
      </c>
      <c r="J3010" s="2" t="s">
        <v>106</v>
      </c>
      <c r="K3010" s="2" t="s">
        <v>7912</v>
      </c>
      <c r="L3010" s="2" t="s">
        <v>24</v>
      </c>
      <c r="M3010" s="2">
        <v>2</v>
      </c>
      <c r="N3010" s="2"/>
    </row>
    <row r="3011" spans="1:14" x14ac:dyDescent="0.25">
      <c r="A3011" s="2" t="s">
        <v>7913</v>
      </c>
      <c r="B3011" s="2" t="s">
        <v>7914</v>
      </c>
      <c r="C3011" s="2" t="s">
        <v>67</v>
      </c>
      <c r="D3011" s="2" t="s">
        <v>95</v>
      </c>
      <c r="E3011" s="2" t="s">
        <v>85</v>
      </c>
      <c r="F3011" s="2" t="s">
        <v>143</v>
      </c>
      <c r="G3011" s="2" t="s">
        <v>139</v>
      </c>
      <c r="H3011" s="2" t="s">
        <v>32</v>
      </c>
      <c r="I3011" s="2">
        <v>48</v>
      </c>
      <c r="J3011" s="2" t="s">
        <v>200</v>
      </c>
      <c r="K3011" s="2"/>
      <c r="L3011" s="2" t="s">
        <v>92</v>
      </c>
      <c r="M3011" s="2"/>
      <c r="N3011" s="2" t="s">
        <v>50</v>
      </c>
    </row>
    <row r="3012" spans="1:14" x14ac:dyDescent="0.25">
      <c r="A3012" s="2" t="s">
        <v>7915</v>
      </c>
      <c r="B3012" s="2" t="s">
        <v>7916</v>
      </c>
      <c r="C3012" s="2" t="s">
        <v>16</v>
      </c>
      <c r="D3012" s="2" t="s">
        <v>17</v>
      </c>
      <c r="E3012" s="2" t="s">
        <v>18</v>
      </c>
      <c r="F3012" s="2" t="s">
        <v>47</v>
      </c>
      <c r="G3012" s="2" t="s">
        <v>158</v>
      </c>
      <c r="H3012" s="2" t="s">
        <v>74</v>
      </c>
      <c r="I3012" s="2">
        <v>8</v>
      </c>
      <c r="J3012" s="2" t="s">
        <v>48</v>
      </c>
      <c r="K3012" s="2" t="s">
        <v>7917</v>
      </c>
      <c r="L3012" s="2" t="s">
        <v>24</v>
      </c>
      <c r="M3012" s="2"/>
      <c r="N3012" s="2" t="s">
        <v>58</v>
      </c>
    </row>
    <row r="3013" spans="1:14" x14ac:dyDescent="0.25">
      <c r="A3013" s="2" t="s">
        <v>7918</v>
      </c>
      <c r="B3013" s="2" t="s">
        <v>7919</v>
      </c>
      <c r="C3013" s="2" t="s">
        <v>67</v>
      </c>
      <c r="D3013" s="2" t="s">
        <v>95</v>
      </c>
      <c r="E3013" s="2" t="s">
        <v>46</v>
      </c>
      <c r="F3013" s="2" t="s">
        <v>69</v>
      </c>
      <c r="G3013" s="2" t="s">
        <v>144</v>
      </c>
      <c r="H3013" s="2" t="s">
        <v>32</v>
      </c>
      <c r="I3013" s="2">
        <v>48</v>
      </c>
      <c r="J3013" s="2" t="s">
        <v>75</v>
      </c>
      <c r="K3013" s="2" t="s">
        <v>7920</v>
      </c>
      <c r="L3013" s="2" t="s">
        <v>24</v>
      </c>
      <c r="M3013" s="2">
        <v>3</v>
      </c>
      <c r="N3013" s="2" t="s">
        <v>25</v>
      </c>
    </row>
    <row r="3014" spans="1:14" x14ac:dyDescent="0.25">
      <c r="A3014" s="2" t="s">
        <v>7921</v>
      </c>
      <c r="B3014" s="2" t="s">
        <v>7922</v>
      </c>
      <c r="C3014" s="2" t="s">
        <v>16</v>
      </c>
      <c r="D3014" s="2" t="s">
        <v>17</v>
      </c>
      <c r="E3014" s="2" t="s">
        <v>85</v>
      </c>
      <c r="F3014" s="2" t="s">
        <v>69</v>
      </c>
      <c r="G3014" s="2" t="s">
        <v>97</v>
      </c>
      <c r="H3014" s="2" t="s">
        <v>32</v>
      </c>
      <c r="I3014" s="2">
        <v>48</v>
      </c>
      <c r="J3014" s="2" t="s">
        <v>106</v>
      </c>
      <c r="K3014" s="2" t="s">
        <v>7923</v>
      </c>
      <c r="L3014" s="2" t="s">
        <v>24</v>
      </c>
      <c r="M3014" s="2">
        <v>1</v>
      </c>
      <c r="N3014" s="2" t="s">
        <v>25</v>
      </c>
    </row>
    <row r="3015" spans="1:14" x14ac:dyDescent="0.25">
      <c r="A3015" s="2" t="s">
        <v>7924</v>
      </c>
      <c r="B3015" s="2" t="s">
        <v>7925</v>
      </c>
      <c r="C3015" s="2" t="s">
        <v>67</v>
      </c>
      <c r="D3015" s="2" t="s">
        <v>95</v>
      </c>
      <c r="E3015" s="2" t="s">
        <v>148</v>
      </c>
      <c r="F3015" s="2" t="s">
        <v>143</v>
      </c>
      <c r="G3015" s="2" t="s">
        <v>105</v>
      </c>
      <c r="H3015" s="2" t="s">
        <v>74</v>
      </c>
      <c r="I3015" s="2">
        <v>8</v>
      </c>
      <c r="J3015" s="2" t="s">
        <v>11</v>
      </c>
      <c r="K3015" s="2"/>
      <c r="L3015" s="2" t="s">
        <v>92</v>
      </c>
      <c r="M3015" s="2"/>
      <c r="N3015" s="2" t="s">
        <v>25</v>
      </c>
    </row>
    <row r="3016" spans="1:14" x14ac:dyDescent="0.25">
      <c r="A3016" s="2" t="s">
        <v>7926</v>
      </c>
      <c r="B3016" s="2" t="s">
        <v>7927</v>
      </c>
      <c r="C3016" s="2" t="s">
        <v>67</v>
      </c>
      <c r="D3016" s="2" t="s">
        <v>68</v>
      </c>
      <c r="E3016" s="2" t="s">
        <v>85</v>
      </c>
      <c r="F3016" s="2" t="s">
        <v>125</v>
      </c>
      <c r="G3016" s="2" t="s">
        <v>70</v>
      </c>
      <c r="H3016" s="2" t="s">
        <v>32</v>
      </c>
      <c r="I3016" s="2">
        <v>48</v>
      </c>
      <c r="J3016" s="2" t="s">
        <v>106</v>
      </c>
      <c r="K3016" s="2" t="s">
        <v>7928</v>
      </c>
      <c r="L3016" s="2" t="s">
        <v>24</v>
      </c>
      <c r="M3016" s="2">
        <v>5</v>
      </c>
      <c r="N3016" s="2" t="s">
        <v>50</v>
      </c>
    </row>
    <row r="3017" spans="1:14" x14ac:dyDescent="0.25">
      <c r="A3017" s="2" t="s">
        <v>7929</v>
      </c>
      <c r="B3017" s="2" t="s">
        <v>7930</v>
      </c>
      <c r="C3017" s="2" t="s">
        <v>16</v>
      </c>
      <c r="D3017" s="2" t="s">
        <v>84</v>
      </c>
      <c r="E3017" s="2" t="s">
        <v>90</v>
      </c>
      <c r="F3017" s="2" t="s">
        <v>30</v>
      </c>
      <c r="G3017" s="2" t="s">
        <v>144</v>
      </c>
      <c r="H3017" s="2" t="s">
        <v>21</v>
      </c>
      <c r="I3017" s="2">
        <v>24</v>
      </c>
      <c r="J3017" s="2" t="s">
        <v>41</v>
      </c>
      <c r="K3017" s="2" t="s">
        <v>7931</v>
      </c>
      <c r="L3017" s="2" t="s">
        <v>24</v>
      </c>
      <c r="M3017" s="2">
        <v>1</v>
      </c>
      <c r="N3017" s="2"/>
    </row>
    <row r="3018" spans="1:14" x14ac:dyDescent="0.25">
      <c r="A3018" s="2" t="s">
        <v>7932</v>
      </c>
      <c r="B3018" s="2" t="s">
        <v>7933</v>
      </c>
      <c r="C3018" s="2" t="s">
        <v>53</v>
      </c>
      <c r="D3018" s="2" t="s">
        <v>162</v>
      </c>
      <c r="E3018" s="2" t="s">
        <v>79</v>
      </c>
      <c r="F3018" s="2" t="s">
        <v>30</v>
      </c>
      <c r="G3018" s="2" t="s">
        <v>110</v>
      </c>
      <c r="H3018" s="2" t="s">
        <v>21</v>
      </c>
      <c r="I3018" s="2">
        <v>24</v>
      </c>
      <c r="J3018" s="2" t="s">
        <v>56</v>
      </c>
      <c r="K3018" s="2" t="s">
        <v>7934</v>
      </c>
      <c r="L3018" s="2" t="s">
        <v>92</v>
      </c>
      <c r="M3018" s="2"/>
      <c r="N3018" s="2"/>
    </row>
    <row r="3019" spans="1:14" x14ac:dyDescent="0.25">
      <c r="A3019" s="2" t="s">
        <v>7935</v>
      </c>
      <c r="B3019" s="2" t="s">
        <v>7936</v>
      </c>
      <c r="C3019" s="2" t="s">
        <v>28</v>
      </c>
      <c r="D3019" s="2" t="s">
        <v>100</v>
      </c>
      <c r="E3019" s="2" t="s">
        <v>38</v>
      </c>
      <c r="F3019" s="2" t="s">
        <v>125</v>
      </c>
      <c r="G3019" s="2" t="s">
        <v>179</v>
      </c>
      <c r="H3019" s="2" t="s">
        <v>32</v>
      </c>
      <c r="I3019" s="2">
        <v>48</v>
      </c>
      <c r="J3019" s="2" t="s">
        <v>117</v>
      </c>
      <c r="K3019" s="2"/>
      <c r="L3019" s="2" t="s">
        <v>24</v>
      </c>
      <c r="M3019" s="2"/>
      <c r="N3019" s="2"/>
    </row>
    <row r="3020" spans="1:14" x14ac:dyDescent="0.25">
      <c r="A3020" s="2" t="s">
        <v>7937</v>
      </c>
      <c r="B3020" s="2" t="s">
        <v>7938</v>
      </c>
      <c r="C3020" s="2" t="s">
        <v>67</v>
      </c>
      <c r="D3020" s="2" t="s">
        <v>89</v>
      </c>
      <c r="E3020" s="2" t="s">
        <v>18</v>
      </c>
      <c r="F3020" s="2" t="s">
        <v>30</v>
      </c>
      <c r="G3020" s="2" t="s">
        <v>135</v>
      </c>
      <c r="H3020" s="2" t="s">
        <v>74</v>
      </c>
      <c r="I3020" s="2">
        <v>8</v>
      </c>
      <c r="J3020" s="2" t="s">
        <v>187</v>
      </c>
      <c r="K3020" s="2" t="s">
        <v>7939</v>
      </c>
      <c r="L3020" s="2" t="s">
        <v>24</v>
      </c>
      <c r="M3020" s="2"/>
      <c r="N3020" s="2" t="s">
        <v>64</v>
      </c>
    </row>
    <row r="3021" spans="1:14" x14ac:dyDescent="0.25">
      <c r="A3021" s="2" t="s">
        <v>3118</v>
      </c>
      <c r="B3021" s="2" t="s">
        <v>3119</v>
      </c>
      <c r="C3021" s="2" t="s">
        <v>67</v>
      </c>
      <c r="D3021" s="2" t="s">
        <v>95</v>
      </c>
      <c r="E3021" s="2" t="s">
        <v>18</v>
      </c>
      <c r="F3021" s="2" t="s">
        <v>131</v>
      </c>
      <c r="G3021" s="2" t="s">
        <v>135</v>
      </c>
      <c r="H3021" s="2" t="s">
        <v>80</v>
      </c>
      <c r="I3021" s="2">
        <v>4</v>
      </c>
      <c r="J3021" s="2" t="s">
        <v>106</v>
      </c>
      <c r="K3021" s="2" t="s">
        <v>3120</v>
      </c>
      <c r="L3021" s="2" t="s">
        <v>24</v>
      </c>
      <c r="M3021" s="2"/>
      <c r="N3021" s="2" t="s">
        <v>34</v>
      </c>
    </row>
    <row r="3022" spans="1:14" x14ac:dyDescent="0.25">
      <c r="A3022" s="2" t="s">
        <v>7940</v>
      </c>
      <c r="B3022" s="2" t="s">
        <v>7941</v>
      </c>
      <c r="C3022" s="2" t="s">
        <v>53</v>
      </c>
      <c r="D3022" s="2" t="s">
        <v>54</v>
      </c>
      <c r="E3022" s="2" t="s">
        <v>79</v>
      </c>
      <c r="F3022" s="2" t="s">
        <v>131</v>
      </c>
      <c r="G3022" s="2" t="s">
        <v>135</v>
      </c>
      <c r="H3022" s="2" t="s">
        <v>74</v>
      </c>
      <c r="I3022" s="2">
        <v>8</v>
      </c>
      <c r="J3022" s="2" t="s">
        <v>191</v>
      </c>
      <c r="K3022" s="2" t="s">
        <v>7942</v>
      </c>
      <c r="L3022" s="2" t="s">
        <v>24</v>
      </c>
      <c r="M3022" s="2"/>
      <c r="N3022" s="2" t="s">
        <v>64</v>
      </c>
    </row>
    <row r="3023" spans="1:14" x14ac:dyDescent="0.25">
      <c r="A3023" s="2" t="s">
        <v>7943</v>
      </c>
      <c r="B3023" s="2" t="s">
        <v>3862</v>
      </c>
      <c r="C3023" s="2" t="s">
        <v>53</v>
      </c>
      <c r="D3023" s="2" t="s">
        <v>61</v>
      </c>
      <c r="E3023" s="2" t="s">
        <v>38</v>
      </c>
      <c r="F3023" s="2" t="s">
        <v>113</v>
      </c>
      <c r="G3023" s="2" t="s">
        <v>135</v>
      </c>
      <c r="H3023" s="2" t="s">
        <v>74</v>
      </c>
      <c r="I3023" s="2">
        <v>8</v>
      </c>
      <c r="J3023" s="2" t="s">
        <v>22</v>
      </c>
      <c r="K3023" s="2" t="s">
        <v>7944</v>
      </c>
      <c r="L3023" s="2" t="s">
        <v>24</v>
      </c>
      <c r="M3023" s="2">
        <v>3</v>
      </c>
      <c r="N3023" s="2" t="s">
        <v>50</v>
      </c>
    </row>
    <row r="3024" spans="1:14" x14ac:dyDescent="0.25">
      <c r="A3024" s="2" t="s">
        <v>7945</v>
      </c>
      <c r="B3024" s="2" t="s">
        <v>7946</v>
      </c>
      <c r="C3024" s="2" t="s">
        <v>16</v>
      </c>
      <c r="D3024" s="2" t="s">
        <v>84</v>
      </c>
      <c r="E3024" s="2" t="s">
        <v>148</v>
      </c>
      <c r="F3024" s="2" t="s">
        <v>143</v>
      </c>
      <c r="G3024" s="2" t="s">
        <v>158</v>
      </c>
      <c r="H3024" s="2" t="s">
        <v>21</v>
      </c>
      <c r="I3024" s="2">
        <v>24</v>
      </c>
      <c r="J3024" s="2" t="s">
        <v>187</v>
      </c>
      <c r="K3024" s="2" t="s">
        <v>7947</v>
      </c>
      <c r="L3024" s="2" t="s">
        <v>24</v>
      </c>
      <c r="M3024" s="2">
        <v>5</v>
      </c>
      <c r="N3024" s="2" t="s">
        <v>58</v>
      </c>
    </row>
    <row r="3025" spans="1:14" x14ac:dyDescent="0.25">
      <c r="A3025" s="2" t="s">
        <v>7948</v>
      </c>
      <c r="B3025" s="2" t="s">
        <v>7949</v>
      </c>
      <c r="C3025" s="2" t="s">
        <v>53</v>
      </c>
      <c r="D3025" s="2" t="s">
        <v>61</v>
      </c>
      <c r="E3025" s="2" t="s">
        <v>18</v>
      </c>
      <c r="F3025" s="2" t="s">
        <v>19</v>
      </c>
      <c r="G3025" s="2" t="s">
        <v>158</v>
      </c>
      <c r="H3025" s="2" t="s">
        <v>32</v>
      </c>
      <c r="I3025" s="2">
        <v>48</v>
      </c>
      <c r="J3025" s="2" t="s">
        <v>486</v>
      </c>
      <c r="K3025" s="2" t="s">
        <v>7950</v>
      </c>
      <c r="L3025" s="2" t="s">
        <v>24</v>
      </c>
      <c r="M3025" s="2"/>
      <c r="N3025" s="2" t="s">
        <v>43</v>
      </c>
    </row>
    <row r="3026" spans="1:14" x14ac:dyDescent="0.25">
      <c r="A3026" s="2" t="s">
        <v>7951</v>
      </c>
      <c r="B3026" s="2" t="s">
        <v>7952</v>
      </c>
      <c r="C3026" s="2" t="s">
        <v>16</v>
      </c>
      <c r="D3026" s="2" t="s">
        <v>84</v>
      </c>
      <c r="E3026" s="2" t="s">
        <v>90</v>
      </c>
      <c r="F3026" s="2" t="s">
        <v>131</v>
      </c>
      <c r="G3026" s="2" t="s">
        <v>183</v>
      </c>
      <c r="H3026" s="2" t="s">
        <v>32</v>
      </c>
      <c r="I3026" s="2">
        <v>48</v>
      </c>
      <c r="J3026" s="2" t="s">
        <v>486</v>
      </c>
      <c r="K3026" s="2" t="s">
        <v>7953</v>
      </c>
      <c r="L3026" s="2" t="s">
        <v>24</v>
      </c>
      <c r="M3026" s="2"/>
      <c r="N3026" s="2"/>
    </row>
    <row r="3027" spans="1:14" x14ac:dyDescent="0.25">
      <c r="A3027" s="2" t="s">
        <v>7954</v>
      </c>
      <c r="B3027" s="2" t="s">
        <v>7955</v>
      </c>
      <c r="C3027" s="2" t="s">
        <v>28</v>
      </c>
      <c r="D3027" s="2" t="s">
        <v>37</v>
      </c>
      <c r="E3027" s="2" t="s">
        <v>46</v>
      </c>
      <c r="F3027" s="2" t="s">
        <v>55</v>
      </c>
      <c r="G3027" s="2" t="s">
        <v>70</v>
      </c>
      <c r="H3027" s="2" t="s">
        <v>21</v>
      </c>
      <c r="I3027" s="2">
        <v>24</v>
      </c>
      <c r="J3027" s="2" t="s">
        <v>155</v>
      </c>
      <c r="K3027" s="2"/>
      <c r="L3027" s="2" t="s">
        <v>24</v>
      </c>
      <c r="M3027" s="2"/>
      <c r="N3027" s="2" t="s">
        <v>50</v>
      </c>
    </row>
    <row r="3028" spans="1:14" x14ac:dyDescent="0.25">
      <c r="A3028" s="2" t="s">
        <v>7956</v>
      </c>
      <c r="B3028" s="2" t="s">
        <v>7957</v>
      </c>
      <c r="C3028" s="2" t="s">
        <v>28</v>
      </c>
      <c r="D3028" s="2" t="s">
        <v>37</v>
      </c>
      <c r="E3028" s="2" t="s">
        <v>18</v>
      </c>
      <c r="F3028" s="2" t="s">
        <v>55</v>
      </c>
      <c r="G3028" s="2" t="s">
        <v>31</v>
      </c>
      <c r="H3028" s="2" t="s">
        <v>21</v>
      </c>
      <c r="I3028" s="2">
        <v>24</v>
      </c>
      <c r="J3028" s="2" t="s">
        <v>106</v>
      </c>
      <c r="K3028" s="2" t="s">
        <v>7958</v>
      </c>
      <c r="L3028" s="2" t="s">
        <v>24</v>
      </c>
      <c r="M3028" s="2">
        <v>5</v>
      </c>
      <c r="N3028" s="2" t="s">
        <v>50</v>
      </c>
    </row>
    <row r="3029" spans="1:14" x14ac:dyDescent="0.25">
      <c r="A3029" s="2" t="s">
        <v>7959</v>
      </c>
      <c r="B3029" s="2" t="s">
        <v>7960</v>
      </c>
      <c r="C3029" s="2" t="s">
        <v>16</v>
      </c>
      <c r="D3029" s="2" t="s">
        <v>84</v>
      </c>
      <c r="E3029" s="2" t="s">
        <v>90</v>
      </c>
      <c r="F3029" s="2" t="s">
        <v>113</v>
      </c>
      <c r="G3029" s="2" t="s">
        <v>126</v>
      </c>
      <c r="H3029" s="2" t="s">
        <v>21</v>
      </c>
      <c r="I3029" s="2">
        <v>24</v>
      </c>
      <c r="J3029" s="2" t="s">
        <v>200</v>
      </c>
      <c r="K3029" s="2"/>
      <c r="L3029" s="2" t="s">
        <v>92</v>
      </c>
      <c r="M3029" s="2"/>
      <c r="N3029" s="2" t="s">
        <v>118</v>
      </c>
    </row>
    <row r="3030" spans="1:14" x14ac:dyDescent="0.25">
      <c r="A3030" s="2" t="s">
        <v>7961</v>
      </c>
      <c r="B3030" s="2" t="s">
        <v>7962</v>
      </c>
      <c r="C3030" s="2" t="s">
        <v>67</v>
      </c>
      <c r="D3030" s="2" t="s">
        <v>95</v>
      </c>
      <c r="E3030" s="2" t="s">
        <v>90</v>
      </c>
      <c r="F3030" s="2" t="s">
        <v>30</v>
      </c>
      <c r="G3030" s="2" t="s">
        <v>97</v>
      </c>
      <c r="H3030" s="2" t="s">
        <v>21</v>
      </c>
      <c r="I3030" s="2">
        <v>24</v>
      </c>
      <c r="J3030" s="2" t="s">
        <v>106</v>
      </c>
      <c r="K3030" s="2" t="s">
        <v>7963</v>
      </c>
      <c r="L3030" s="2" t="s">
        <v>24</v>
      </c>
      <c r="M3030" s="2">
        <v>5</v>
      </c>
      <c r="N3030" s="2" t="s">
        <v>118</v>
      </c>
    </row>
    <row r="3031" spans="1:14" x14ac:dyDescent="0.25">
      <c r="A3031" s="2" t="s">
        <v>7964</v>
      </c>
      <c r="B3031" s="2" t="s">
        <v>7965</v>
      </c>
      <c r="C3031" s="2" t="s">
        <v>67</v>
      </c>
      <c r="D3031" s="2" t="s">
        <v>95</v>
      </c>
      <c r="E3031" s="2" t="s">
        <v>46</v>
      </c>
      <c r="F3031" s="2" t="s">
        <v>113</v>
      </c>
      <c r="G3031" s="2" t="s">
        <v>101</v>
      </c>
      <c r="H3031" s="2" t="s">
        <v>21</v>
      </c>
      <c r="I3031" s="2">
        <v>24</v>
      </c>
      <c r="J3031" s="2" t="s">
        <v>75</v>
      </c>
      <c r="K3031" s="2" t="s">
        <v>7966</v>
      </c>
      <c r="L3031" s="2" t="s">
        <v>24</v>
      </c>
      <c r="M3031" s="2">
        <v>1</v>
      </c>
      <c r="N3031" s="2" t="s">
        <v>43</v>
      </c>
    </row>
    <row r="3032" spans="1:14" x14ac:dyDescent="0.25">
      <c r="A3032" s="2" t="s">
        <v>7967</v>
      </c>
      <c r="B3032" s="2" t="s">
        <v>7968</v>
      </c>
      <c r="C3032" s="2" t="s">
        <v>28</v>
      </c>
      <c r="D3032" s="2" t="s">
        <v>100</v>
      </c>
      <c r="E3032" s="2" t="s">
        <v>90</v>
      </c>
      <c r="F3032" s="2" t="s">
        <v>55</v>
      </c>
      <c r="G3032" s="2" t="s">
        <v>105</v>
      </c>
      <c r="H3032" s="2" t="s">
        <v>32</v>
      </c>
      <c r="I3032" s="2">
        <v>48</v>
      </c>
      <c r="J3032" s="2" t="s">
        <v>48</v>
      </c>
      <c r="K3032" s="2" t="s">
        <v>7969</v>
      </c>
      <c r="L3032" s="2" t="s">
        <v>92</v>
      </c>
      <c r="M3032" s="2">
        <v>4</v>
      </c>
      <c r="N3032" s="2"/>
    </row>
    <row r="3033" spans="1:14" x14ac:dyDescent="0.25">
      <c r="A3033" s="2" t="s">
        <v>7970</v>
      </c>
      <c r="B3033" s="2" t="s">
        <v>7971</v>
      </c>
      <c r="C3033" s="2" t="s">
        <v>53</v>
      </c>
      <c r="D3033" s="2" t="s">
        <v>61</v>
      </c>
      <c r="E3033" s="2" t="s">
        <v>38</v>
      </c>
      <c r="F3033" s="2" t="s">
        <v>62</v>
      </c>
      <c r="G3033" s="2" t="s">
        <v>158</v>
      </c>
      <c r="H3033" s="2" t="s">
        <v>32</v>
      </c>
      <c r="I3033" s="2">
        <v>48</v>
      </c>
      <c r="J3033" s="2" t="s">
        <v>33</v>
      </c>
      <c r="K3033" s="2"/>
      <c r="L3033" s="2" t="s">
        <v>24</v>
      </c>
      <c r="M3033" s="2"/>
      <c r="N3033" s="2" t="s">
        <v>34</v>
      </c>
    </row>
    <row r="3034" spans="1:14" x14ac:dyDescent="0.25">
      <c r="A3034" s="2" t="s">
        <v>7972</v>
      </c>
      <c r="B3034" s="2" t="s">
        <v>7973</v>
      </c>
      <c r="C3034" s="2" t="s">
        <v>67</v>
      </c>
      <c r="D3034" s="2" t="s">
        <v>95</v>
      </c>
      <c r="E3034" s="2" t="s">
        <v>79</v>
      </c>
      <c r="F3034" s="2" t="s">
        <v>69</v>
      </c>
      <c r="G3034" s="2" t="s">
        <v>91</v>
      </c>
      <c r="H3034" s="2" t="s">
        <v>32</v>
      </c>
      <c r="I3034" s="2">
        <v>48</v>
      </c>
      <c r="J3034" s="2" t="s">
        <v>106</v>
      </c>
      <c r="K3034" s="2" t="s">
        <v>7974</v>
      </c>
      <c r="L3034" s="2" t="s">
        <v>24</v>
      </c>
      <c r="M3034" s="2">
        <v>5</v>
      </c>
      <c r="N3034" s="2" t="s">
        <v>118</v>
      </c>
    </row>
    <row r="3035" spans="1:14" x14ac:dyDescent="0.25">
      <c r="A3035" s="2" t="s">
        <v>7975</v>
      </c>
      <c r="B3035" s="2" t="s">
        <v>7976</v>
      </c>
      <c r="C3035" s="2" t="s">
        <v>28</v>
      </c>
      <c r="D3035" s="2" t="s">
        <v>37</v>
      </c>
      <c r="E3035" s="2" t="s">
        <v>46</v>
      </c>
      <c r="F3035" s="2" t="s">
        <v>143</v>
      </c>
      <c r="G3035" s="2" t="s">
        <v>179</v>
      </c>
      <c r="H3035" s="2" t="s">
        <v>21</v>
      </c>
      <c r="I3035" s="2">
        <v>24</v>
      </c>
      <c r="J3035" s="2" t="s">
        <v>22</v>
      </c>
      <c r="K3035" s="2" t="s">
        <v>7977</v>
      </c>
      <c r="L3035" s="2" t="s">
        <v>24</v>
      </c>
      <c r="M3035" s="2"/>
      <c r="N3035" s="2" t="s">
        <v>64</v>
      </c>
    </row>
    <row r="3036" spans="1:14" x14ac:dyDescent="0.25">
      <c r="A3036" s="2" t="s">
        <v>7978</v>
      </c>
      <c r="B3036" s="2" t="s">
        <v>7979</v>
      </c>
      <c r="C3036" s="2" t="s">
        <v>67</v>
      </c>
      <c r="D3036" s="2" t="s">
        <v>68</v>
      </c>
      <c r="E3036" s="2" t="s">
        <v>85</v>
      </c>
      <c r="F3036" s="2" t="s">
        <v>62</v>
      </c>
      <c r="G3036" s="2" t="s">
        <v>158</v>
      </c>
      <c r="H3036" s="2" t="s">
        <v>80</v>
      </c>
      <c r="I3036" s="2">
        <v>4</v>
      </c>
      <c r="J3036" s="2" t="s">
        <v>22</v>
      </c>
      <c r="K3036" s="2" t="s">
        <v>7980</v>
      </c>
      <c r="L3036" s="2" t="s">
        <v>24</v>
      </c>
      <c r="M3036" s="2">
        <v>4</v>
      </c>
      <c r="N3036" s="2" t="s">
        <v>43</v>
      </c>
    </row>
    <row r="3037" spans="1:14" x14ac:dyDescent="0.25">
      <c r="A3037" s="2" t="s">
        <v>7981</v>
      </c>
      <c r="B3037" s="2" t="s">
        <v>7982</v>
      </c>
      <c r="C3037" s="2" t="s">
        <v>28</v>
      </c>
      <c r="D3037" s="2" t="s">
        <v>37</v>
      </c>
      <c r="E3037" s="2" t="s">
        <v>38</v>
      </c>
      <c r="F3037" s="2" t="s">
        <v>143</v>
      </c>
      <c r="G3037" s="2" t="s">
        <v>20</v>
      </c>
      <c r="H3037" s="2" t="s">
        <v>74</v>
      </c>
      <c r="I3037" s="2">
        <v>8</v>
      </c>
      <c r="J3037" s="2" t="s">
        <v>48</v>
      </c>
      <c r="K3037" s="2" t="s">
        <v>7983</v>
      </c>
      <c r="L3037" s="2" t="s">
        <v>24</v>
      </c>
      <c r="M3037" s="2"/>
      <c r="N3037" s="2" t="s">
        <v>128</v>
      </c>
    </row>
    <row r="3038" spans="1:14" x14ac:dyDescent="0.25">
      <c r="A3038" s="2" t="s">
        <v>7984</v>
      </c>
      <c r="B3038" s="2" t="s">
        <v>7985</v>
      </c>
      <c r="C3038" s="2" t="s">
        <v>53</v>
      </c>
      <c r="D3038" s="2" t="s">
        <v>54</v>
      </c>
      <c r="E3038" s="2" t="s">
        <v>38</v>
      </c>
      <c r="F3038" s="2" t="s">
        <v>39</v>
      </c>
      <c r="G3038" s="2" t="s">
        <v>144</v>
      </c>
      <c r="H3038" s="2" t="s">
        <v>74</v>
      </c>
      <c r="I3038" s="2">
        <v>8</v>
      </c>
      <c r="J3038" s="2" t="s">
        <v>41</v>
      </c>
      <c r="K3038" s="2" t="s">
        <v>7986</v>
      </c>
      <c r="L3038" s="2" t="s">
        <v>24</v>
      </c>
      <c r="M3038" s="2">
        <v>2</v>
      </c>
      <c r="N3038" s="2" t="s">
        <v>50</v>
      </c>
    </row>
    <row r="3039" spans="1:14" x14ac:dyDescent="0.25">
      <c r="A3039" s="2" t="s">
        <v>7987</v>
      </c>
      <c r="B3039" s="2" t="s">
        <v>7988</v>
      </c>
      <c r="C3039" s="2" t="s">
        <v>16</v>
      </c>
      <c r="D3039" s="2" t="s">
        <v>84</v>
      </c>
      <c r="E3039" s="2" t="s">
        <v>18</v>
      </c>
      <c r="F3039" s="2" t="s">
        <v>69</v>
      </c>
      <c r="G3039" s="2" t="s">
        <v>179</v>
      </c>
      <c r="H3039" s="2" t="s">
        <v>32</v>
      </c>
      <c r="I3039" s="2">
        <v>48</v>
      </c>
      <c r="J3039" s="2" t="s">
        <v>187</v>
      </c>
      <c r="K3039" s="2" t="s">
        <v>2347</v>
      </c>
      <c r="L3039" s="2" t="s">
        <v>24</v>
      </c>
      <c r="M3039" s="2"/>
      <c r="N3039" s="2" t="s">
        <v>118</v>
      </c>
    </row>
    <row r="3040" spans="1:14" x14ac:dyDescent="0.25">
      <c r="A3040" s="2" t="s">
        <v>7989</v>
      </c>
      <c r="B3040" s="2" t="s">
        <v>7990</v>
      </c>
      <c r="C3040" s="2" t="s">
        <v>53</v>
      </c>
      <c r="D3040" s="2" t="s">
        <v>54</v>
      </c>
      <c r="E3040" s="2" t="s">
        <v>38</v>
      </c>
      <c r="F3040" s="2" t="s">
        <v>131</v>
      </c>
      <c r="G3040" s="2" t="s">
        <v>70</v>
      </c>
      <c r="H3040" s="2" t="s">
        <v>74</v>
      </c>
      <c r="I3040" s="2">
        <v>8</v>
      </c>
      <c r="J3040" s="2" t="s">
        <v>187</v>
      </c>
      <c r="K3040" s="2" t="s">
        <v>7991</v>
      </c>
      <c r="L3040" s="2" t="s">
        <v>24</v>
      </c>
      <c r="M3040" s="2">
        <v>4</v>
      </c>
      <c r="N3040" s="2" t="s">
        <v>34</v>
      </c>
    </row>
    <row r="3041" spans="1:14" x14ac:dyDescent="0.25">
      <c r="A3041" s="2" t="s">
        <v>7992</v>
      </c>
      <c r="B3041" s="2" t="s">
        <v>7993</v>
      </c>
      <c r="C3041" s="2" t="s">
        <v>16</v>
      </c>
      <c r="D3041" s="2" t="s">
        <v>17</v>
      </c>
      <c r="E3041" s="2" t="s">
        <v>79</v>
      </c>
      <c r="F3041" s="2" t="s">
        <v>19</v>
      </c>
      <c r="G3041" s="2" t="s">
        <v>101</v>
      </c>
      <c r="H3041" s="2" t="s">
        <v>21</v>
      </c>
      <c r="I3041" s="2">
        <v>24</v>
      </c>
      <c r="J3041" s="2" t="s">
        <v>48</v>
      </c>
      <c r="K3041" s="2" t="s">
        <v>7994</v>
      </c>
      <c r="L3041" s="2" t="s">
        <v>24</v>
      </c>
      <c r="M3041" s="2">
        <v>4</v>
      </c>
      <c r="N3041" s="2" t="s">
        <v>128</v>
      </c>
    </row>
    <row r="3042" spans="1:14" x14ac:dyDescent="0.25">
      <c r="A3042" s="2" t="s">
        <v>7995</v>
      </c>
      <c r="B3042" s="2" t="s">
        <v>7996</v>
      </c>
      <c r="C3042" s="2" t="s">
        <v>67</v>
      </c>
      <c r="D3042" s="2" t="s">
        <v>68</v>
      </c>
      <c r="E3042" s="2" t="s">
        <v>85</v>
      </c>
      <c r="F3042" s="2" t="s">
        <v>96</v>
      </c>
      <c r="G3042" s="2" t="s">
        <v>20</v>
      </c>
      <c r="H3042" s="2" t="s">
        <v>74</v>
      </c>
      <c r="I3042" s="2">
        <v>8</v>
      </c>
      <c r="J3042" s="2" t="s">
        <v>33</v>
      </c>
      <c r="K3042" s="2"/>
      <c r="L3042" s="2" t="s">
        <v>24</v>
      </c>
      <c r="M3042" s="2"/>
      <c r="N3042" s="2" t="s">
        <v>128</v>
      </c>
    </row>
    <row r="3043" spans="1:14" x14ac:dyDescent="0.25">
      <c r="A3043" s="2" t="s">
        <v>7997</v>
      </c>
      <c r="B3043" s="2" t="s">
        <v>7998</v>
      </c>
      <c r="C3043" s="2" t="s">
        <v>53</v>
      </c>
      <c r="D3043" s="2" t="s">
        <v>61</v>
      </c>
      <c r="E3043" s="2" t="s">
        <v>79</v>
      </c>
      <c r="F3043" s="2" t="s">
        <v>69</v>
      </c>
      <c r="G3043" s="2" t="s">
        <v>91</v>
      </c>
      <c r="H3043" s="2" t="s">
        <v>32</v>
      </c>
      <c r="I3043" s="2">
        <v>48</v>
      </c>
      <c r="J3043" s="2" t="s">
        <v>486</v>
      </c>
      <c r="K3043" s="2" t="s">
        <v>7999</v>
      </c>
      <c r="L3043" s="2" t="s">
        <v>24</v>
      </c>
      <c r="M3043" s="2"/>
      <c r="N3043" s="2" t="s">
        <v>34</v>
      </c>
    </row>
    <row r="3044" spans="1:14" x14ac:dyDescent="0.25">
      <c r="A3044" s="2" t="s">
        <v>8000</v>
      </c>
      <c r="B3044" s="2" t="s">
        <v>8001</v>
      </c>
      <c r="C3044" s="2" t="s">
        <v>53</v>
      </c>
      <c r="D3044" s="2" t="s">
        <v>61</v>
      </c>
      <c r="E3044" s="2" t="s">
        <v>46</v>
      </c>
      <c r="F3044" s="2" t="s">
        <v>39</v>
      </c>
      <c r="G3044" s="2" t="s">
        <v>158</v>
      </c>
      <c r="H3044" s="2" t="s">
        <v>21</v>
      </c>
      <c r="I3044" s="2">
        <v>24</v>
      </c>
      <c r="J3044" s="2" t="s">
        <v>187</v>
      </c>
      <c r="K3044" s="2" t="s">
        <v>8002</v>
      </c>
      <c r="L3044" s="2" t="s">
        <v>24</v>
      </c>
      <c r="M3044" s="2"/>
      <c r="N3044" s="2" t="s">
        <v>43</v>
      </c>
    </row>
    <row r="3045" spans="1:14" x14ac:dyDescent="0.25">
      <c r="A3045" s="2" t="s">
        <v>8003</v>
      </c>
      <c r="B3045" s="2" t="s">
        <v>8004</v>
      </c>
      <c r="C3045" s="2" t="s">
        <v>28</v>
      </c>
      <c r="D3045" s="2" t="s">
        <v>37</v>
      </c>
      <c r="E3045" s="2" t="s">
        <v>79</v>
      </c>
      <c r="F3045" s="2" t="s">
        <v>96</v>
      </c>
      <c r="G3045" s="2" t="s">
        <v>110</v>
      </c>
      <c r="H3045" s="2" t="s">
        <v>21</v>
      </c>
      <c r="I3045" s="2">
        <v>24</v>
      </c>
      <c r="J3045" s="2" t="s">
        <v>75</v>
      </c>
      <c r="K3045" s="2" t="s">
        <v>8005</v>
      </c>
      <c r="L3045" s="2" t="s">
        <v>24</v>
      </c>
      <c r="M3045" s="2">
        <v>5</v>
      </c>
      <c r="N3045" s="2" t="s">
        <v>128</v>
      </c>
    </row>
    <row r="3046" spans="1:14" x14ac:dyDescent="0.25">
      <c r="A3046" s="2" t="s">
        <v>8006</v>
      </c>
      <c r="B3046" s="2" t="s">
        <v>8007</v>
      </c>
      <c r="C3046" s="2" t="s">
        <v>53</v>
      </c>
      <c r="D3046" s="2" t="s">
        <v>54</v>
      </c>
      <c r="E3046" s="2" t="s">
        <v>18</v>
      </c>
      <c r="F3046" s="2" t="s">
        <v>143</v>
      </c>
      <c r="G3046" s="2" t="s">
        <v>105</v>
      </c>
      <c r="H3046" s="2" t="s">
        <v>32</v>
      </c>
      <c r="I3046" s="2">
        <v>48</v>
      </c>
      <c r="J3046" s="2" t="s">
        <v>22</v>
      </c>
      <c r="K3046" s="2" t="s">
        <v>8008</v>
      </c>
      <c r="L3046" s="2" t="s">
        <v>92</v>
      </c>
      <c r="M3046" s="2">
        <v>5</v>
      </c>
      <c r="N3046" s="2" t="s">
        <v>34</v>
      </c>
    </row>
    <row r="3047" spans="1:14" x14ac:dyDescent="0.25">
      <c r="A3047" s="2" t="s">
        <v>8009</v>
      </c>
      <c r="B3047" s="2" t="s">
        <v>8010</v>
      </c>
      <c r="C3047" s="2" t="s">
        <v>53</v>
      </c>
      <c r="D3047" s="2" t="s">
        <v>54</v>
      </c>
      <c r="E3047" s="2" t="s">
        <v>90</v>
      </c>
      <c r="F3047" s="2" t="s">
        <v>69</v>
      </c>
      <c r="G3047" s="2" t="s">
        <v>144</v>
      </c>
      <c r="H3047" s="2" t="s">
        <v>74</v>
      </c>
      <c r="I3047" s="2">
        <v>8</v>
      </c>
      <c r="J3047" s="2" t="s">
        <v>287</v>
      </c>
      <c r="K3047" s="2"/>
      <c r="L3047" s="2" t="s">
        <v>24</v>
      </c>
      <c r="M3047" s="2"/>
      <c r="N3047" s="2" t="s">
        <v>43</v>
      </c>
    </row>
    <row r="3048" spans="1:14" x14ac:dyDescent="0.25">
      <c r="A3048" s="2" t="s">
        <v>8011</v>
      </c>
      <c r="B3048" s="2" t="s">
        <v>8012</v>
      </c>
      <c r="C3048" s="2" t="s">
        <v>53</v>
      </c>
      <c r="D3048" s="2" t="s">
        <v>771</v>
      </c>
      <c r="E3048" s="2" t="s">
        <v>85</v>
      </c>
      <c r="F3048" s="2" t="s">
        <v>39</v>
      </c>
      <c r="G3048" s="2" t="s">
        <v>91</v>
      </c>
      <c r="H3048" s="2" t="s">
        <v>32</v>
      </c>
      <c r="I3048" s="2">
        <v>48</v>
      </c>
      <c r="J3048" s="2" t="s">
        <v>187</v>
      </c>
      <c r="K3048" s="2" t="s">
        <v>8013</v>
      </c>
      <c r="L3048" s="2" t="s">
        <v>24</v>
      </c>
      <c r="M3048" s="2"/>
      <c r="N3048" s="2" t="s">
        <v>25</v>
      </c>
    </row>
    <row r="3049" spans="1:14" x14ac:dyDescent="0.25">
      <c r="A3049" s="2" t="s">
        <v>6330</v>
      </c>
      <c r="B3049" s="2" t="s">
        <v>6331</v>
      </c>
      <c r="C3049" s="2" t="s">
        <v>67</v>
      </c>
      <c r="D3049" s="2" t="s">
        <v>68</v>
      </c>
      <c r="E3049" s="2" t="s">
        <v>46</v>
      </c>
      <c r="F3049" s="2" t="s">
        <v>125</v>
      </c>
      <c r="G3049" s="2" t="s">
        <v>179</v>
      </c>
      <c r="H3049" s="2" t="s">
        <v>21</v>
      </c>
      <c r="I3049" s="2">
        <v>24</v>
      </c>
      <c r="J3049" s="2" t="s">
        <v>117</v>
      </c>
      <c r="K3049" s="2"/>
      <c r="L3049" s="2" t="s">
        <v>24</v>
      </c>
      <c r="M3049" s="2"/>
      <c r="N3049" s="2" t="s">
        <v>118</v>
      </c>
    </row>
    <row r="3050" spans="1:14" x14ac:dyDescent="0.25">
      <c r="A3050" s="2" t="s">
        <v>8014</v>
      </c>
      <c r="B3050" s="2" t="s">
        <v>8015</v>
      </c>
      <c r="C3050" s="2" t="s">
        <v>28</v>
      </c>
      <c r="D3050" s="2" t="s">
        <v>37</v>
      </c>
      <c r="E3050" s="2" t="s">
        <v>38</v>
      </c>
      <c r="F3050" s="2" t="s">
        <v>125</v>
      </c>
      <c r="G3050" s="2" t="s">
        <v>31</v>
      </c>
      <c r="H3050" s="2" t="s">
        <v>21</v>
      </c>
      <c r="I3050" s="2">
        <v>24</v>
      </c>
      <c r="J3050" s="2" t="s">
        <v>117</v>
      </c>
      <c r="K3050" s="2"/>
      <c r="L3050" s="2" t="s">
        <v>92</v>
      </c>
      <c r="M3050" s="2"/>
      <c r="N3050" s="2" t="s">
        <v>128</v>
      </c>
    </row>
    <row r="3051" spans="1:14" x14ac:dyDescent="0.25">
      <c r="A3051" s="2" t="s">
        <v>8016</v>
      </c>
      <c r="B3051" s="2" t="s">
        <v>8017</v>
      </c>
      <c r="C3051" s="2" t="s">
        <v>16</v>
      </c>
      <c r="D3051" s="2" t="s">
        <v>84</v>
      </c>
      <c r="E3051" s="2" t="s">
        <v>85</v>
      </c>
      <c r="F3051" s="2" t="s">
        <v>143</v>
      </c>
      <c r="G3051" s="2" t="s">
        <v>158</v>
      </c>
      <c r="H3051" s="2" t="s">
        <v>74</v>
      </c>
      <c r="I3051" s="2">
        <v>8</v>
      </c>
      <c r="J3051" s="2" t="s">
        <v>187</v>
      </c>
      <c r="K3051" s="2" t="s">
        <v>8018</v>
      </c>
      <c r="L3051" s="2" t="s">
        <v>24</v>
      </c>
      <c r="M3051" s="2">
        <v>2</v>
      </c>
      <c r="N3051" s="2"/>
    </row>
    <row r="3052" spans="1:14" x14ac:dyDescent="0.25">
      <c r="A3052" s="2" t="s">
        <v>2019</v>
      </c>
      <c r="B3052" s="2" t="s">
        <v>2020</v>
      </c>
      <c r="C3052" s="2" t="s">
        <v>28</v>
      </c>
      <c r="D3052" s="2" t="s">
        <v>100</v>
      </c>
      <c r="E3052" s="2" t="s">
        <v>148</v>
      </c>
      <c r="F3052" s="2" t="s">
        <v>131</v>
      </c>
      <c r="G3052" s="2" t="s">
        <v>126</v>
      </c>
      <c r="H3052" s="2" t="s">
        <v>74</v>
      </c>
      <c r="I3052" s="2">
        <v>8</v>
      </c>
      <c r="J3052" s="2" t="s">
        <v>106</v>
      </c>
      <c r="K3052" s="2" t="s">
        <v>2021</v>
      </c>
      <c r="L3052" s="2" t="s">
        <v>24</v>
      </c>
      <c r="M3052" s="2">
        <v>5</v>
      </c>
      <c r="N3052" s="2"/>
    </row>
    <row r="3053" spans="1:14" x14ac:dyDescent="0.25">
      <c r="A3053" s="2" t="s">
        <v>8019</v>
      </c>
      <c r="B3053" s="2" t="s">
        <v>8020</v>
      </c>
      <c r="C3053" s="2" t="s">
        <v>53</v>
      </c>
      <c r="D3053" s="2" t="s">
        <v>61</v>
      </c>
      <c r="E3053" s="2" t="s">
        <v>79</v>
      </c>
      <c r="F3053" s="2" t="s">
        <v>39</v>
      </c>
      <c r="G3053" s="2" t="s">
        <v>91</v>
      </c>
      <c r="H3053" s="2" t="s">
        <v>21</v>
      </c>
      <c r="I3053" s="2">
        <v>24</v>
      </c>
      <c r="J3053" s="2" t="s">
        <v>22</v>
      </c>
      <c r="K3053" s="2" t="s">
        <v>8021</v>
      </c>
      <c r="L3053" s="2" t="s">
        <v>92</v>
      </c>
      <c r="M3053" s="2">
        <v>4</v>
      </c>
      <c r="N3053" s="2"/>
    </row>
    <row r="3054" spans="1:14" x14ac:dyDescent="0.25">
      <c r="A3054" s="2" t="s">
        <v>8022</v>
      </c>
      <c r="B3054" s="2" t="s">
        <v>8023</v>
      </c>
      <c r="C3054" s="2" t="s">
        <v>16</v>
      </c>
      <c r="D3054" s="2" t="s">
        <v>84</v>
      </c>
      <c r="E3054" s="2" t="s">
        <v>46</v>
      </c>
      <c r="F3054" s="2" t="s">
        <v>125</v>
      </c>
      <c r="G3054" s="2" t="s">
        <v>121</v>
      </c>
      <c r="H3054" s="2" t="s">
        <v>32</v>
      </c>
      <c r="I3054" s="2">
        <v>48</v>
      </c>
      <c r="J3054" s="2" t="s">
        <v>149</v>
      </c>
      <c r="K3054" s="2"/>
      <c r="L3054" s="2" t="s">
        <v>24</v>
      </c>
      <c r="M3054" s="2"/>
      <c r="N3054" s="2" t="s">
        <v>58</v>
      </c>
    </row>
    <row r="3055" spans="1:14" x14ac:dyDescent="0.25">
      <c r="A3055" s="2" t="s">
        <v>8024</v>
      </c>
      <c r="B3055" s="2" t="s">
        <v>8025</v>
      </c>
      <c r="C3055" s="2" t="s">
        <v>16</v>
      </c>
      <c r="D3055" s="2" t="s">
        <v>17</v>
      </c>
      <c r="E3055" s="2" t="s">
        <v>38</v>
      </c>
      <c r="F3055" s="2" t="s">
        <v>113</v>
      </c>
      <c r="G3055" s="2" t="s">
        <v>139</v>
      </c>
      <c r="H3055" s="2" t="s">
        <v>80</v>
      </c>
      <c r="I3055" s="2">
        <v>4</v>
      </c>
      <c r="J3055" s="2" t="s">
        <v>22</v>
      </c>
      <c r="K3055" s="2" t="s">
        <v>8026</v>
      </c>
      <c r="L3055" s="2" t="s">
        <v>24</v>
      </c>
      <c r="M3055" s="2">
        <v>5</v>
      </c>
      <c r="N3055" s="2"/>
    </row>
    <row r="3056" spans="1:14" x14ac:dyDescent="0.25">
      <c r="A3056" s="2" t="s">
        <v>8027</v>
      </c>
      <c r="B3056" s="2" t="s">
        <v>8028</v>
      </c>
      <c r="C3056" s="2" t="s">
        <v>16</v>
      </c>
      <c r="D3056" s="2" t="s">
        <v>17</v>
      </c>
      <c r="E3056" s="2" t="s">
        <v>46</v>
      </c>
      <c r="F3056" s="2" t="s">
        <v>55</v>
      </c>
      <c r="G3056" s="2" t="s">
        <v>139</v>
      </c>
      <c r="H3056" s="2" t="s">
        <v>74</v>
      </c>
      <c r="I3056" s="2">
        <v>8</v>
      </c>
      <c r="J3056" s="2" t="s">
        <v>41</v>
      </c>
      <c r="K3056" s="2" t="s">
        <v>8029</v>
      </c>
      <c r="L3056" s="2" t="s">
        <v>24</v>
      </c>
      <c r="M3056" s="2">
        <v>4</v>
      </c>
      <c r="N3056" s="2" t="s">
        <v>58</v>
      </c>
    </row>
    <row r="3057" spans="1:14" x14ac:dyDescent="0.25">
      <c r="A3057" s="2" t="s">
        <v>8030</v>
      </c>
      <c r="B3057" s="2" t="s">
        <v>8031</v>
      </c>
      <c r="C3057" s="2" t="s">
        <v>53</v>
      </c>
      <c r="D3057" s="2" t="s">
        <v>61</v>
      </c>
      <c r="E3057" s="2" t="s">
        <v>148</v>
      </c>
      <c r="F3057" s="2" t="s">
        <v>96</v>
      </c>
      <c r="G3057" s="2" t="s">
        <v>40</v>
      </c>
      <c r="H3057" s="2" t="s">
        <v>32</v>
      </c>
      <c r="I3057" s="2">
        <v>48</v>
      </c>
      <c r="J3057" s="2" t="s">
        <v>41</v>
      </c>
      <c r="K3057" s="2" t="s">
        <v>8032</v>
      </c>
      <c r="L3057" s="2" t="s">
        <v>24</v>
      </c>
      <c r="M3057" s="2">
        <v>1</v>
      </c>
      <c r="N3057" s="2" t="s">
        <v>43</v>
      </c>
    </row>
    <row r="3058" spans="1:14" x14ac:dyDescent="0.25">
      <c r="A3058" s="2" t="s">
        <v>8033</v>
      </c>
      <c r="B3058" s="2" t="s">
        <v>8034</v>
      </c>
      <c r="C3058" s="2" t="s">
        <v>28</v>
      </c>
      <c r="D3058" s="2" t="s">
        <v>100</v>
      </c>
      <c r="E3058" s="2" t="s">
        <v>18</v>
      </c>
      <c r="F3058" s="2" t="s">
        <v>131</v>
      </c>
      <c r="G3058" s="2" t="s">
        <v>183</v>
      </c>
      <c r="H3058" s="2" t="s">
        <v>21</v>
      </c>
      <c r="I3058" s="2">
        <v>24</v>
      </c>
      <c r="J3058" s="2" t="s">
        <v>106</v>
      </c>
      <c r="K3058" s="2" t="s">
        <v>8035</v>
      </c>
      <c r="L3058" s="2" t="s">
        <v>24</v>
      </c>
      <c r="M3058" s="2"/>
      <c r="N3058" s="2" t="s">
        <v>43</v>
      </c>
    </row>
    <row r="3059" spans="1:14" x14ac:dyDescent="0.25">
      <c r="A3059" s="2" t="s">
        <v>8036</v>
      </c>
      <c r="B3059" s="2" t="s">
        <v>8037</v>
      </c>
      <c r="C3059" s="2" t="s">
        <v>16</v>
      </c>
      <c r="D3059" s="2" t="s">
        <v>84</v>
      </c>
      <c r="E3059" s="2" t="s">
        <v>46</v>
      </c>
      <c r="F3059" s="2" t="s">
        <v>30</v>
      </c>
      <c r="G3059" s="2" t="s">
        <v>139</v>
      </c>
      <c r="H3059" s="2" t="s">
        <v>74</v>
      </c>
      <c r="I3059" s="2">
        <v>8</v>
      </c>
      <c r="J3059" s="2" t="s">
        <v>41</v>
      </c>
      <c r="K3059" s="2" t="s">
        <v>8038</v>
      </c>
      <c r="L3059" s="2" t="s">
        <v>24</v>
      </c>
      <c r="M3059" s="2">
        <v>2</v>
      </c>
      <c r="N3059" s="2" t="s">
        <v>58</v>
      </c>
    </row>
    <row r="3060" spans="1:14" x14ac:dyDescent="0.25">
      <c r="A3060" s="2" t="s">
        <v>8039</v>
      </c>
      <c r="B3060" s="2" t="s">
        <v>8040</v>
      </c>
      <c r="C3060" s="2" t="s">
        <v>28</v>
      </c>
      <c r="D3060" s="2" t="s">
        <v>37</v>
      </c>
      <c r="E3060" s="2" t="s">
        <v>90</v>
      </c>
      <c r="F3060" s="2" t="s">
        <v>143</v>
      </c>
      <c r="G3060" s="2" t="s">
        <v>40</v>
      </c>
      <c r="H3060" s="2" t="s">
        <v>74</v>
      </c>
      <c r="I3060" s="2">
        <v>8</v>
      </c>
      <c r="J3060" s="2" t="s">
        <v>33</v>
      </c>
      <c r="K3060" s="2"/>
      <c r="L3060" s="2" t="s">
        <v>24</v>
      </c>
      <c r="M3060" s="2"/>
      <c r="N3060" s="2"/>
    </row>
    <row r="3061" spans="1:14" x14ac:dyDescent="0.25">
      <c r="A3061" s="2" t="s">
        <v>8041</v>
      </c>
      <c r="B3061" s="2" t="s">
        <v>8042</v>
      </c>
      <c r="C3061" s="2" t="s">
        <v>67</v>
      </c>
      <c r="D3061" s="2" t="s">
        <v>68</v>
      </c>
      <c r="E3061" s="2" t="s">
        <v>148</v>
      </c>
      <c r="F3061" s="2" t="s">
        <v>143</v>
      </c>
      <c r="G3061" s="2" t="s">
        <v>101</v>
      </c>
      <c r="H3061" s="2" t="s">
        <v>21</v>
      </c>
      <c r="I3061" s="2">
        <v>24</v>
      </c>
      <c r="J3061" s="2" t="s">
        <v>200</v>
      </c>
      <c r="K3061" s="2"/>
      <c r="L3061" s="2" t="s">
        <v>92</v>
      </c>
      <c r="M3061" s="2"/>
      <c r="N3061" s="2" t="s">
        <v>58</v>
      </c>
    </row>
    <row r="3062" spans="1:14" x14ac:dyDescent="0.25">
      <c r="A3062" s="2" t="s">
        <v>8043</v>
      </c>
      <c r="B3062" s="2" t="s">
        <v>8044</v>
      </c>
      <c r="C3062" s="2" t="s">
        <v>67</v>
      </c>
      <c r="D3062" s="2" t="s">
        <v>95</v>
      </c>
      <c r="E3062" s="2" t="s">
        <v>46</v>
      </c>
      <c r="F3062" s="2" t="s">
        <v>47</v>
      </c>
      <c r="G3062" s="2" t="s">
        <v>144</v>
      </c>
      <c r="H3062" s="2" t="s">
        <v>80</v>
      </c>
      <c r="I3062" s="2">
        <v>4</v>
      </c>
      <c r="J3062" s="2" t="s">
        <v>145</v>
      </c>
      <c r="K3062" s="2"/>
      <c r="L3062" s="2" t="s">
        <v>24</v>
      </c>
      <c r="M3062" s="2"/>
      <c r="N3062" s="2" t="s">
        <v>34</v>
      </c>
    </row>
    <row r="3063" spans="1:14" x14ac:dyDescent="0.25">
      <c r="A3063" s="2" t="s">
        <v>8045</v>
      </c>
      <c r="B3063" s="2" t="s">
        <v>8046</v>
      </c>
      <c r="C3063" s="2" t="s">
        <v>67</v>
      </c>
      <c r="D3063" s="2" t="s">
        <v>68</v>
      </c>
      <c r="E3063" s="2" t="s">
        <v>18</v>
      </c>
      <c r="F3063" s="2" t="s">
        <v>55</v>
      </c>
      <c r="G3063" s="2" t="s">
        <v>183</v>
      </c>
      <c r="H3063" s="2" t="s">
        <v>32</v>
      </c>
      <c r="I3063" s="2">
        <v>48</v>
      </c>
      <c r="J3063" s="2" t="s">
        <v>22</v>
      </c>
      <c r="K3063" s="2" t="s">
        <v>8047</v>
      </c>
      <c r="L3063" s="2" t="s">
        <v>24</v>
      </c>
      <c r="M3063" s="2">
        <v>5</v>
      </c>
      <c r="N3063" s="2" t="s">
        <v>128</v>
      </c>
    </row>
    <row r="3064" spans="1:14" x14ac:dyDescent="0.25">
      <c r="A3064" s="2" t="s">
        <v>8048</v>
      </c>
      <c r="B3064" s="2" t="s">
        <v>8049</v>
      </c>
      <c r="C3064" s="2" t="s">
        <v>67</v>
      </c>
      <c r="D3064" s="2" t="s">
        <v>68</v>
      </c>
      <c r="E3064" s="2" t="s">
        <v>90</v>
      </c>
      <c r="F3064" s="2" t="s">
        <v>62</v>
      </c>
      <c r="G3064" s="2" t="s">
        <v>121</v>
      </c>
      <c r="H3064" s="2" t="s">
        <v>21</v>
      </c>
      <c r="I3064" s="2">
        <v>24</v>
      </c>
      <c r="J3064" s="2" t="s">
        <v>155</v>
      </c>
      <c r="K3064" s="2"/>
      <c r="L3064" s="2" t="s">
        <v>24</v>
      </c>
      <c r="M3064" s="2"/>
      <c r="N3064" s="2"/>
    </row>
    <row r="3065" spans="1:14" x14ac:dyDescent="0.25">
      <c r="A3065" s="2" t="s">
        <v>8050</v>
      </c>
      <c r="B3065" s="2" t="s">
        <v>8051</v>
      </c>
      <c r="C3065" s="2" t="s">
        <v>67</v>
      </c>
      <c r="D3065" s="2" t="s">
        <v>95</v>
      </c>
      <c r="E3065" s="2" t="s">
        <v>148</v>
      </c>
      <c r="F3065" s="2" t="s">
        <v>125</v>
      </c>
      <c r="G3065" s="2" t="s">
        <v>144</v>
      </c>
      <c r="H3065" s="2" t="s">
        <v>21</v>
      </c>
      <c r="I3065" s="2">
        <v>24</v>
      </c>
      <c r="J3065" s="2" t="s">
        <v>22</v>
      </c>
      <c r="K3065" s="2" t="s">
        <v>8052</v>
      </c>
      <c r="L3065" s="2" t="s">
        <v>24</v>
      </c>
      <c r="M3065" s="2"/>
      <c r="N3065" s="2" t="s">
        <v>43</v>
      </c>
    </row>
    <row r="3066" spans="1:14" x14ac:dyDescent="0.25">
      <c r="A3066" s="2" t="s">
        <v>8053</v>
      </c>
      <c r="B3066" s="2" t="s">
        <v>8054</v>
      </c>
      <c r="C3066" s="2" t="s">
        <v>16</v>
      </c>
      <c r="D3066" s="2" t="s">
        <v>17</v>
      </c>
      <c r="E3066" s="2" t="s">
        <v>79</v>
      </c>
      <c r="F3066" s="2" t="s">
        <v>39</v>
      </c>
      <c r="G3066" s="2" t="s">
        <v>31</v>
      </c>
      <c r="H3066" s="2" t="s">
        <v>21</v>
      </c>
      <c r="I3066" s="2">
        <v>24</v>
      </c>
      <c r="J3066" s="2" t="s">
        <v>22</v>
      </c>
      <c r="K3066" s="2" t="s">
        <v>8055</v>
      </c>
      <c r="L3066" s="2" t="s">
        <v>24</v>
      </c>
      <c r="M3066" s="2">
        <v>1</v>
      </c>
      <c r="N3066" s="2" t="s">
        <v>43</v>
      </c>
    </row>
    <row r="3067" spans="1:14" x14ac:dyDescent="0.25">
      <c r="A3067" s="2" t="s">
        <v>8056</v>
      </c>
      <c r="B3067" s="2" t="s">
        <v>8057</v>
      </c>
      <c r="C3067" s="2" t="s">
        <v>67</v>
      </c>
      <c r="D3067" s="2" t="s">
        <v>89</v>
      </c>
      <c r="E3067" s="2" t="s">
        <v>18</v>
      </c>
      <c r="F3067" s="2" t="s">
        <v>55</v>
      </c>
      <c r="G3067" s="2" t="s">
        <v>101</v>
      </c>
      <c r="H3067" s="2" t="s">
        <v>80</v>
      </c>
      <c r="I3067" s="2">
        <v>4</v>
      </c>
      <c r="J3067" s="2" t="s">
        <v>145</v>
      </c>
      <c r="K3067" s="2"/>
      <c r="L3067" s="2" t="s">
        <v>24</v>
      </c>
      <c r="M3067" s="2"/>
      <c r="N3067" s="2" t="s">
        <v>118</v>
      </c>
    </row>
    <row r="3068" spans="1:14" x14ac:dyDescent="0.25">
      <c r="A3068" s="2" t="s">
        <v>8058</v>
      </c>
      <c r="B3068" s="2" t="s">
        <v>8059</v>
      </c>
      <c r="C3068" s="2" t="s">
        <v>16</v>
      </c>
      <c r="D3068" s="2" t="s">
        <v>17</v>
      </c>
      <c r="E3068" s="2" t="s">
        <v>79</v>
      </c>
      <c r="F3068" s="2" t="s">
        <v>55</v>
      </c>
      <c r="G3068" s="2" t="s">
        <v>110</v>
      </c>
      <c r="H3068" s="2" t="s">
        <v>21</v>
      </c>
      <c r="I3068" s="2">
        <v>24</v>
      </c>
      <c r="J3068" s="2" t="s">
        <v>22</v>
      </c>
      <c r="K3068" s="2" t="s">
        <v>8060</v>
      </c>
      <c r="L3068" s="2" t="s">
        <v>24</v>
      </c>
      <c r="M3068" s="2">
        <v>2</v>
      </c>
      <c r="N3068" s="2" t="s">
        <v>118</v>
      </c>
    </row>
    <row r="3069" spans="1:14" x14ac:dyDescent="0.25">
      <c r="A3069" s="2" t="s">
        <v>8061</v>
      </c>
      <c r="B3069" s="2" t="s">
        <v>8062</v>
      </c>
      <c r="C3069" s="2" t="s">
        <v>53</v>
      </c>
      <c r="D3069" s="2" t="s">
        <v>61</v>
      </c>
      <c r="E3069" s="2" t="s">
        <v>148</v>
      </c>
      <c r="F3069" s="2" t="s">
        <v>30</v>
      </c>
      <c r="G3069" s="2" t="s">
        <v>126</v>
      </c>
      <c r="H3069" s="2" t="s">
        <v>32</v>
      </c>
      <c r="I3069" s="2">
        <v>48</v>
      </c>
      <c r="J3069" s="2" t="s">
        <v>48</v>
      </c>
      <c r="K3069" s="2" t="s">
        <v>8063</v>
      </c>
      <c r="L3069" s="2" t="s">
        <v>24</v>
      </c>
      <c r="M3069" s="2">
        <v>5</v>
      </c>
      <c r="N3069" s="2" t="s">
        <v>43</v>
      </c>
    </row>
    <row r="3070" spans="1:14" x14ac:dyDescent="0.25">
      <c r="A3070" s="2" t="s">
        <v>8064</v>
      </c>
      <c r="B3070" s="2" t="s">
        <v>8065</v>
      </c>
      <c r="C3070" s="2" t="s">
        <v>53</v>
      </c>
      <c r="D3070" s="2" t="s">
        <v>61</v>
      </c>
      <c r="E3070" s="2" t="s">
        <v>79</v>
      </c>
      <c r="F3070" s="2" t="s">
        <v>47</v>
      </c>
      <c r="G3070" s="2" t="s">
        <v>91</v>
      </c>
      <c r="H3070" s="2" t="s">
        <v>32</v>
      </c>
      <c r="I3070" s="2">
        <v>48</v>
      </c>
      <c r="J3070" s="2" t="s">
        <v>48</v>
      </c>
      <c r="K3070" s="2" t="s">
        <v>8066</v>
      </c>
      <c r="L3070" s="2" t="s">
        <v>24</v>
      </c>
      <c r="M3070" s="2">
        <v>3</v>
      </c>
      <c r="N3070" s="2" t="s">
        <v>64</v>
      </c>
    </row>
    <row r="3071" spans="1:14" x14ac:dyDescent="0.25">
      <c r="A3071" s="2" t="s">
        <v>8067</v>
      </c>
      <c r="B3071" s="2" t="s">
        <v>3251</v>
      </c>
      <c r="C3071" s="2" t="s">
        <v>16</v>
      </c>
      <c r="D3071" s="2" t="s">
        <v>17</v>
      </c>
      <c r="E3071" s="2" t="s">
        <v>148</v>
      </c>
      <c r="F3071" s="2" t="s">
        <v>39</v>
      </c>
      <c r="G3071" s="2" t="s">
        <v>126</v>
      </c>
      <c r="H3071" s="2" t="s">
        <v>21</v>
      </c>
      <c r="I3071" s="2">
        <v>24</v>
      </c>
      <c r="J3071" s="2" t="s">
        <v>48</v>
      </c>
      <c r="K3071" s="2" t="s">
        <v>8068</v>
      </c>
      <c r="L3071" s="2" t="s">
        <v>24</v>
      </c>
      <c r="M3071" s="2"/>
      <c r="N3071" s="2" t="s">
        <v>25</v>
      </c>
    </row>
    <row r="3072" spans="1:14" x14ac:dyDescent="0.25">
      <c r="A3072" s="2" t="s">
        <v>8069</v>
      </c>
      <c r="B3072" s="2" t="s">
        <v>8070</v>
      </c>
      <c r="C3072" s="2" t="s">
        <v>16</v>
      </c>
      <c r="D3072" s="2" t="s">
        <v>84</v>
      </c>
      <c r="E3072" s="2" t="s">
        <v>85</v>
      </c>
      <c r="F3072" s="2" t="s">
        <v>96</v>
      </c>
      <c r="G3072" s="2" t="s">
        <v>31</v>
      </c>
      <c r="H3072" s="2" t="s">
        <v>21</v>
      </c>
      <c r="I3072" s="2">
        <v>24</v>
      </c>
      <c r="J3072" s="2" t="s">
        <v>75</v>
      </c>
      <c r="K3072" s="2" t="s">
        <v>8071</v>
      </c>
      <c r="L3072" s="2" t="s">
        <v>24</v>
      </c>
      <c r="M3072" s="2"/>
      <c r="N3072" s="2" t="s">
        <v>34</v>
      </c>
    </row>
    <row r="3073" spans="1:14" x14ac:dyDescent="0.25">
      <c r="A3073" s="2" t="s">
        <v>3013</v>
      </c>
      <c r="B3073" s="2" t="s">
        <v>3014</v>
      </c>
      <c r="C3073" s="2" t="s">
        <v>28</v>
      </c>
      <c r="D3073" s="2" t="s">
        <v>37</v>
      </c>
      <c r="E3073" s="2" t="s">
        <v>46</v>
      </c>
      <c r="F3073" s="2" t="s">
        <v>131</v>
      </c>
      <c r="G3073" s="2" t="s">
        <v>139</v>
      </c>
      <c r="H3073" s="2" t="s">
        <v>21</v>
      </c>
      <c r="I3073" s="2">
        <v>24</v>
      </c>
      <c r="J3073" s="2" t="s">
        <v>22</v>
      </c>
      <c r="K3073" s="2" t="s">
        <v>3015</v>
      </c>
      <c r="L3073" s="2" t="s">
        <v>24</v>
      </c>
      <c r="M3073" s="2"/>
      <c r="N3073" s="2" t="s">
        <v>43</v>
      </c>
    </row>
    <row r="3074" spans="1:14" x14ac:dyDescent="0.25">
      <c r="A3074" s="2" t="s">
        <v>8072</v>
      </c>
      <c r="B3074" s="2" t="s">
        <v>8073</v>
      </c>
      <c r="C3074" s="2" t="s">
        <v>53</v>
      </c>
      <c r="D3074" s="2" t="s">
        <v>61</v>
      </c>
      <c r="E3074" s="2" t="s">
        <v>148</v>
      </c>
      <c r="F3074" s="2" t="s">
        <v>39</v>
      </c>
      <c r="G3074" s="2" t="s">
        <v>211</v>
      </c>
      <c r="H3074" s="2" t="s">
        <v>32</v>
      </c>
      <c r="I3074" s="2">
        <v>48</v>
      </c>
      <c r="J3074" s="2" t="s">
        <v>287</v>
      </c>
      <c r="K3074" s="2"/>
      <c r="L3074" s="2" t="s">
        <v>92</v>
      </c>
      <c r="M3074" s="2"/>
      <c r="N3074" s="2" t="s">
        <v>50</v>
      </c>
    </row>
    <row r="3075" spans="1:14" x14ac:dyDescent="0.25">
      <c r="A3075" s="2" t="s">
        <v>8074</v>
      </c>
      <c r="B3075" s="2" t="s">
        <v>8075</v>
      </c>
      <c r="C3075" s="2" t="s">
        <v>67</v>
      </c>
      <c r="D3075" s="2" t="s">
        <v>68</v>
      </c>
      <c r="E3075" s="2" t="s">
        <v>18</v>
      </c>
      <c r="F3075" s="2" t="s">
        <v>19</v>
      </c>
      <c r="G3075" s="2" t="s">
        <v>121</v>
      </c>
      <c r="H3075" s="2" t="s">
        <v>21</v>
      </c>
      <c r="I3075" s="2">
        <v>24</v>
      </c>
      <c r="J3075" s="2" t="s">
        <v>22</v>
      </c>
      <c r="K3075" s="2" t="s">
        <v>8076</v>
      </c>
      <c r="L3075" s="2" t="s">
        <v>24</v>
      </c>
      <c r="M3075" s="2">
        <v>1</v>
      </c>
      <c r="N3075" s="2" t="s">
        <v>128</v>
      </c>
    </row>
    <row r="3076" spans="1:14" x14ac:dyDescent="0.25">
      <c r="A3076" s="2" t="s">
        <v>8077</v>
      </c>
      <c r="B3076" s="2" t="s">
        <v>8078</v>
      </c>
      <c r="C3076" s="2" t="s">
        <v>53</v>
      </c>
      <c r="D3076" s="2" t="s">
        <v>54</v>
      </c>
      <c r="E3076" s="2" t="s">
        <v>148</v>
      </c>
      <c r="F3076" s="2" t="s">
        <v>62</v>
      </c>
      <c r="G3076" s="2" t="s">
        <v>91</v>
      </c>
      <c r="H3076" s="2" t="s">
        <v>21</v>
      </c>
      <c r="I3076" s="2">
        <v>24</v>
      </c>
      <c r="J3076" s="2" t="s">
        <v>187</v>
      </c>
      <c r="K3076" s="2" t="s">
        <v>8079</v>
      </c>
      <c r="L3076" s="2" t="s">
        <v>24</v>
      </c>
      <c r="M3076" s="2"/>
      <c r="N3076" s="2" t="s">
        <v>50</v>
      </c>
    </row>
    <row r="3077" spans="1:14" x14ac:dyDescent="0.25">
      <c r="A3077" s="2" t="s">
        <v>8080</v>
      </c>
      <c r="B3077" s="2" t="s">
        <v>8081</v>
      </c>
      <c r="C3077" s="2" t="s">
        <v>28</v>
      </c>
      <c r="D3077" s="2" t="s">
        <v>100</v>
      </c>
      <c r="E3077" s="2" t="s">
        <v>148</v>
      </c>
      <c r="F3077" s="2" t="s">
        <v>62</v>
      </c>
      <c r="G3077" s="2" t="s">
        <v>97</v>
      </c>
      <c r="H3077" s="2" t="s">
        <v>74</v>
      </c>
      <c r="I3077" s="2">
        <v>8</v>
      </c>
      <c r="J3077" s="2" t="s">
        <v>48</v>
      </c>
      <c r="K3077" s="2" t="s">
        <v>8082</v>
      </c>
      <c r="L3077" s="2" t="s">
        <v>24</v>
      </c>
      <c r="M3077" s="2">
        <v>4</v>
      </c>
      <c r="N3077" s="2" t="s">
        <v>50</v>
      </c>
    </row>
    <row r="3078" spans="1:14" x14ac:dyDescent="0.25">
      <c r="A3078" s="2" t="s">
        <v>8083</v>
      </c>
      <c r="B3078" s="2" t="s">
        <v>8084</v>
      </c>
      <c r="C3078" s="2" t="s">
        <v>67</v>
      </c>
      <c r="D3078" s="2" t="s">
        <v>68</v>
      </c>
      <c r="E3078" s="2" t="s">
        <v>38</v>
      </c>
      <c r="F3078" s="2" t="s">
        <v>39</v>
      </c>
      <c r="G3078" s="2" t="s">
        <v>97</v>
      </c>
      <c r="H3078" s="2" t="s">
        <v>32</v>
      </c>
      <c r="I3078" s="2">
        <v>48</v>
      </c>
      <c r="J3078" s="2" t="s">
        <v>22</v>
      </c>
      <c r="K3078" s="2" t="s">
        <v>8085</v>
      </c>
      <c r="L3078" s="2" t="s">
        <v>24</v>
      </c>
      <c r="M3078" s="2">
        <v>1</v>
      </c>
      <c r="N3078" s="2" t="s">
        <v>128</v>
      </c>
    </row>
    <row r="3079" spans="1:14" x14ac:dyDescent="0.25">
      <c r="A3079" s="2" t="s">
        <v>8086</v>
      </c>
      <c r="B3079" s="2" t="s">
        <v>8087</v>
      </c>
      <c r="C3079" s="2" t="s">
        <v>16</v>
      </c>
      <c r="D3079" s="2" t="s">
        <v>17</v>
      </c>
      <c r="E3079" s="2" t="s">
        <v>46</v>
      </c>
      <c r="F3079" s="2" t="s">
        <v>96</v>
      </c>
      <c r="G3079" s="2" t="s">
        <v>126</v>
      </c>
      <c r="H3079" s="2" t="s">
        <v>21</v>
      </c>
      <c r="I3079" s="2">
        <v>24</v>
      </c>
      <c r="J3079" s="2" t="s">
        <v>232</v>
      </c>
      <c r="K3079" s="2"/>
      <c r="L3079" s="2" t="s">
        <v>92</v>
      </c>
      <c r="M3079" s="2"/>
      <c r="N3079" s="2" t="s">
        <v>50</v>
      </c>
    </row>
    <row r="3080" spans="1:14" x14ac:dyDescent="0.25">
      <c r="A3080" s="2" t="s">
        <v>8088</v>
      </c>
      <c r="B3080" s="2" t="s">
        <v>8089</v>
      </c>
      <c r="C3080" s="2" t="s">
        <v>67</v>
      </c>
      <c r="D3080" s="2" t="s">
        <v>68</v>
      </c>
      <c r="E3080" s="2" t="s">
        <v>90</v>
      </c>
      <c r="F3080" s="2" t="s">
        <v>62</v>
      </c>
      <c r="G3080" s="2" t="s">
        <v>31</v>
      </c>
      <c r="H3080" s="2" t="s">
        <v>21</v>
      </c>
      <c r="I3080" s="2">
        <v>24</v>
      </c>
      <c r="J3080" s="2" t="s">
        <v>200</v>
      </c>
      <c r="K3080" s="2"/>
      <c r="L3080" s="2" t="s">
        <v>92</v>
      </c>
      <c r="M3080" s="2"/>
      <c r="N3080" s="2" t="s">
        <v>34</v>
      </c>
    </row>
    <row r="3081" spans="1:14" x14ac:dyDescent="0.25">
      <c r="A3081" s="2" t="s">
        <v>8090</v>
      </c>
      <c r="B3081" s="2" t="s">
        <v>8091</v>
      </c>
      <c r="C3081" s="2" t="s">
        <v>28</v>
      </c>
      <c r="D3081" s="2" t="s">
        <v>37</v>
      </c>
      <c r="E3081" s="2" t="s">
        <v>79</v>
      </c>
      <c r="F3081" s="2" t="s">
        <v>113</v>
      </c>
      <c r="G3081" s="2" t="s">
        <v>110</v>
      </c>
      <c r="H3081" s="2" t="s">
        <v>21</v>
      </c>
      <c r="I3081" s="2">
        <v>24</v>
      </c>
      <c r="J3081" s="2" t="s">
        <v>22</v>
      </c>
      <c r="K3081" s="2" t="s">
        <v>8092</v>
      </c>
      <c r="L3081" s="2" t="s">
        <v>24</v>
      </c>
      <c r="M3081" s="2">
        <v>4</v>
      </c>
      <c r="N3081" s="2"/>
    </row>
    <row r="3082" spans="1:14" x14ac:dyDescent="0.25">
      <c r="A3082" s="2" t="s">
        <v>8093</v>
      </c>
      <c r="B3082" s="2" t="s">
        <v>8094</v>
      </c>
      <c r="C3082" s="2" t="s">
        <v>28</v>
      </c>
      <c r="D3082" s="2" t="s">
        <v>100</v>
      </c>
      <c r="E3082" s="2" t="s">
        <v>79</v>
      </c>
      <c r="F3082" s="2" t="s">
        <v>125</v>
      </c>
      <c r="G3082" s="2" t="s">
        <v>121</v>
      </c>
      <c r="H3082" s="2" t="s">
        <v>74</v>
      </c>
      <c r="I3082" s="2">
        <v>8</v>
      </c>
      <c r="J3082" s="2" t="s">
        <v>155</v>
      </c>
      <c r="K3082" s="2"/>
      <c r="L3082" s="2" t="s">
        <v>24</v>
      </c>
      <c r="M3082" s="2"/>
      <c r="N3082" s="2" t="s">
        <v>43</v>
      </c>
    </row>
    <row r="3083" spans="1:14" x14ac:dyDescent="0.25">
      <c r="A3083" s="2" t="s">
        <v>8095</v>
      </c>
      <c r="B3083" s="2" t="s">
        <v>8096</v>
      </c>
      <c r="C3083" s="2" t="s">
        <v>16</v>
      </c>
      <c r="D3083" s="2" t="s">
        <v>84</v>
      </c>
      <c r="E3083" s="2" t="s">
        <v>148</v>
      </c>
      <c r="F3083" s="2" t="s">
        <v>96</v>
      </c>
      <c r="G3083" s="2" t="s">
        <v>211</v>
      </c>
      <c r="H3083" s="2" t="s">
        <v>32</v>
      </c>
      <c r="I3083" s="2">
        <v>48</v>
      </c>
      <c r="J3083" s="2" t="s">
        <v>41</v>
      </c>
      <c r="K3083" s="2" t="s">
        <v>8097</v>
      </c>
      <c r="L3083" s="2" t="s">
        <v>92</v>
      </c>
      <c r="M3083" s="2">
        <v>3</v>
      </c>
      <c r="N3083" s="2" t="s">
        <v>64</v>
      </c>
    </row>
    <row r="3084" spans="1:14" x14ac:dyDescent="0.25">
      <c r="A3084" s="2" t="s">
        <v>8098</v>
      </c>
      <c r="B3084" s="2" t="s">
        <v>8099</v>
      </c>
      <c r="C3084" s="2" t="s">
        <v>67</v>
      </c>
      <c r="D3084" s="2" t="s">
        <v>95</v>
      </c>
      <c r="E3084" s="2" t="s">
        <v>46</v>
      </c>
      <c r="F3084" s="2" t="s">
        <v>131</v>
      </c>
      <c r="G3084" s="2" t="s">
        <v>121</v>
      </c>
      <c r="H3084" s="2" t="s">
        <v>21</v>
      </c>
      <c r="I3084" s="2">
        <v>24</v>
      </c>
      <c r="J3084" s="2" t="s">
        <v>106</v>
      </c>
      <c r="K3084" s="2" t="s">
        <v>8100</v>
      </c>
      <c r="L3084" s="2" t="s">
        <v>24</v>
      </c>
      <c r="M3084" s="2"/>
      <c r="N3084" s="2" t="s">
        <v>58</v>
      </c>
    </row>
    <row r="3085" spans="1:14" x14ac:dyDescent="0.25">
      <c r="A3085" s="2" t="s">
        <v>8101</v>
      </c>
      <c r="B3085" s="2" t="s">
        <v>8102</v>
      </c>
      <c r="C3085" s="2" t="s">
        <v>67</v>
      </c>
      <c r="D3085" s="2" t="s">
        <v>95</v>
      </c>
      <c r="E3085" s="2" t="s">
        <v>46</v>
      </c>
      <c r="F3085" s="2" t="s">
        <v>125</v>
      </c>
      <c r="G3085" s="2" t="s">
        <v>110</v>
      </c>
      <c r="H3085" s="2" t="s">
        <v>74</v>
      </c>
      <c r="I3085" s="2">
        <v>8</v>
      </c>
      <c r="J3085" s="2" t="s">
        <v>41</v>
      </c>
      <c r="K3085" s="2" t="s">
        <v>8103</v>
      </c>
      <c r="L3085" s="2" t="s">
        <v>24</v>
      </c>
      <c r="M3085" s="2"/>
      <c r="N3085" s="2" t="s">
        <v>25</v>
      </c>
    </row>
    <row r="3086" spans="1:14" x14ac:dyDescent="0.25">
      <c r="A3086" s="2" t="s">
        <v>8104</v>
      </c>
      <c r="B3086" s="2" t="s">
        <v>8105</v>
      </c>
      <c r="C3086" s="2" t="s">
        <v>67</v>
      </c>
      <c r="D3086" s="2" t="s">
        <v>68</v>
      </c>
      <c r="E3086" s="2" t="s">
        <v>18</v>
      </c>
      <c r="F3086" s="2" t="s">
        <v>55</v>
      </c>
      <c r="G3086" s="2" t="s">
        <v>101</v>
      </c>
      <c r="H3086" s="2" t="s">
        <v>21</v>
      </c>
      <c r="I3086" s="2">
        <v>24</v>
      </c>
      <c r="J3086" s="2" t="s">
        <v>48</v>
      </c>
      <c r="K3086" s="2" t="s">
        <v>8106</v>
      </c>
      <c r="L3086" s="2" t="s">
        <v>92</v>
      </c>
      <c r="M3086" s="2">
        <v>5</v>
      </c>
      <c r="N3086" s="2" t="s">
        <v>118</v>
      </c>
    </row>
    <row r="3087" spans="1:14" x14ac:dyDescent="0.25">
      <c r="A3087" s="2" t="s">
        <v>8107</v>
      </c>
      <c r="B3087" s="2" t="s">
        <v>8108</v>
      </c>
      <c r="C3087" s="2" t="s">
        <v>67</v>
      </c>
      <c r="D3087" s="2" t="s">
        <v>95</v>
      </c>
      <c r="E3087" s="2" t="s">
        <v>85</v>
      </c>
      <c r="F3087" s="2" t="s">
        <v>39</v>
      </c>
      <c r="G3087" s="2" t="s">
        <v>31</v>
      </c>
      <c r="H3087" s="2" t="s">
        <v>74</v>
      </c>
      <c r="I3087" s="2">
        <v>8</v>
      </c>
      <c r="J3087" s="2" t="s">
        <v>22</v>
      </c>
      <c r="K3087" s="2"/>
      <c r="L3087" s="2" t="s">
        <v>24</v>
      </c>
      <c r="M3087" s="2"/>
      <c r="N3087" s="2" t="s">
        <v>128</v>
      </c>
    </row>
    <row r="3088" spans="1:14" x14ac:dyDescent="0.25">
      <c r="A3088" s="2" t="s">
        <v>8109</v>
      </c>
      <c r="B3088" s="2" t="s">
        <v>8110</v>
      </c>
      <c r="C3088" s="2" t="s">
        <v>16</v>
      </c>
      <c r="D3088" s="2" t="s">
        <v>84</v>
      </c>
      <c r="E3088" s="2" t="s">
        <v>18</v>
      </c>
      <c r="F3088" s="2" t="s">
        <v>62</v>
      </c>
      <c r="G3088" s="2" t="s">
        <v>179</v>
      </c>
      <c r="H3088" s="2" t="s">
        <v>21</v>
      </c>
      <c r="I3088" s="2">
        <v>24</v>
      </c>
      <c r="J3088" s="2" t="s">
        <v>48</v>
      </c>
      <c r="K3088" s="2" t="s">
        <v>8111</v>
      </c>
      <c r="L3088" s="2" t="s">
        <v>24</v>
      </c>
      <c r="M3088" s="2">
        <v>2</v>
      </c>
      <c r="N3088" s="2" t="s">
        <v>43</v>
      </c>
    </row>
    <row r="3089" spans="1:14" x14ac:dyDescent="0.25">
      <c r="A3089" s="2" t="s">
        <v>8112</v>
      </c>
      <c r="B3089" s="2" t="s">
        <v>8113</v>
      </c>
      <c r="C3089" s="2" t="s">
        <v>67</v>
      </c>
      <c r="D3089" s="2" t="s">
        <v>95</v>
      </c>
      <c r="E3089" s="2" t="s">
        <v>46</v>
      </c>
      <c r="F3089" s="2" t="s">
        <v>39</v>
      </c>
      <c r="G3089" s="2" t="s">
        <v>144</v>
      </c>
      <c r="H3089" s="2" t="s">
        <v>32</v>
      </c>
      <c r="I3089" s="2">
        <v>48</v>
      </c>
      <c r="J3089" s="2" t="s">
        <v>106</v>
      </c>
      <c r="K3089" s="2" t="s">
        <v>8114</v>
      </c>
      <c r="L3089" s="2" t="s">
        <v>24</v>
      </c>
      <c r="M3089" s="2">
        <v>1</v>
      </c>
      <c r="N3089" s="2"/>
    </row>
    <row r="3090" spans="1:14" x14ac:dyDescent="0.25">
      <c r="A3090" s="2" t="s">
        <v>8115</v>
      </c>
      <c r="B3090" s="2" t="s">
        <v>8116</v>
      </c>
      <c r="C3090" s="2" t="s">
        <v>53</v>
      </c>
      <c r="D3090" s="2" t="s">
        <v>54</v>
      </c>
      <c r="E3090" s="2" t="s">
        <v>46</v>
      </c>
      <c r="F3090" s="2" t="s">
        <v>47</v>
      </c>
      <c r="G3090" s="2" t="s">
        <v>211</v>
      </c>
      <c r="H3090" s="2" t="s">
        <v>21</v>
      </c>
      <c r="I3090" s="2">
        <v>24</v>
      </c>
      <c r="J3090" s="2" t="s">
        <v>22</v>
      </c>
      <c r="K3090" s="2" t="s">
        <v>8117</v>
      </c>
      <c r="L3090" s="2" t="s">
        <v>24</v>
      </c>
      <c r="M3090" s="2"/>
      <c r="N3090" s="2"/>
    </row>
    <row r="3091" spans="1:14" x14ac:dyDescent="0.25">
      <c r="A3091" s="2" t="s">
        <v>8118</v>
      </c>
      <c r="B3091" s="2" t="s">
        <v>8119</v>
      </c>
      <c r="C3091" s="2" t="s">
        <v>67</v>
      </c>
      <c r="D3091" s="2" t="s">
        <v>95</v>
      </c>
      <c r="E3091" s="2" t="s">
        <v>38</v>
      </c>
      <c r="F3091" s="2" t="s">
        <v>30</v>
      </c>
      <c r="G3091" s="2" t="s">
        <v>121</v>
      </c>
      <c r="H3091" s="2" t="s">
        <v>80</v>
      </c>
      <c r="I3091" s="2">
        <v>4</v>
      </c>
      <c r="J3091" s="2" t="s">
        <v>486</v>
      </c>
      <c r="K3091" s="2" t="s">
        <v>8120</v>
      </c>
      <c r="L3091" s="2" t="s">
        <v>24</v>
      </c>
      <c r="M3091" s="2"/>
      <c r="N3091" s="2"/>
    </row>
    <row r="3092" spans="1:14" x14ac:dyDescent="0.25">
      <c r="A3092" s="2" t="s">
        <v>8121</v>
      </c>
      <c r="B3092" s="2" t="s">
        <v>8122</v>
      </c>
      <c r="C3092" s="2" t="s">
        <v>67</v>
      </c>
      <c r="D3092" s="2" t="s">
        <v>95</v>
      </c>
      <c r="E3092" s="2" t="s">
        <v>38</v>
      </c>
      <c r="F3092" s="2" t="s">
        <v>131</v>
      </c>
      <c r="G3092" s="2" t="s">
        <v>211</v>
      </c>
      <c r="H3092" s="2" t="s">
        <v>32</v>
      </c>
      <c r="I3092" s="2">
        <v>48</v>
      </c>
      <c r="J3092" s="2" t="s">
        <v>486</v>
      </c>
      <c r="K3092" s="2" t="s">
        <v>8123</v>
      </c>
      <c r="L3092" s="2" t="s">
        <v>24</v>
      </c>
      <c r="M3092" s="2"/>
      <c r="N3092" s="2" t="s">
        <v>43</v>
      </c>
    </row>
    <row r="3093" spans="1:14" x14ac:dyDescent="0.25">
      <c r="A3093" s="2" t="s">
        <v>8124</v>
      </c>
      <c r="B3093" s="2" t="s">
        <v>8125</v>
      </c>
      <c r="C3093" s="2" t="s">
        <v>28</v>
      </c>
      <c r="D3093" s="2" t="s">
        <v>100</v>
      </c>
      <c r="E3093" s="2" t="s">
        <v>148</v>
      </c>
      <c r="F3093" s="2" t="s">
        <v>131</v>
      </c>
      <c r="G3093" s="2" t="s">
        <v>91</v>
      </c>
      <c r="H3093" s="2" t="s">
        <v>74</v>
      </c>
      <c r="I3093" s="2">
        <v>8</v>
      </c>
      <c r="J3093" s="2" t="s">
        <v>48</v>
      </c>
      <c r="K3093" s="2" t="s">
        <v>8126</v>
      </c>
      <c r="L3093" s="2" t="s">
        <v>24</v>
      </c>
      <c r="M3093" s="2">
        <v>5</v>
      </c>
      <c r="N3093" s="2" t="s">
        <v>25</v>
      </c>
    </row>
    <row r="3094" spans="1:14" x14ac:dyDescent="0.25">
      <c r="A3094" s="2" t="s">
        <v>8127</v>
      </c>
      <c r="B3094" s="2" t="s">
        <v>4130</v>
      </c>
      <c r="C3094" s="2" t="s">
        <v>53</v>
      </c>
      <c r="D3094" s="2" t="s">
        <v>61</v>
      </c>
      <c r="E3094" s="2" t="s">
        <v>18</v>
      </c>
      <c r="F3094" s="2" t="s">
        <v>55</v>
      </c>
      <c r="G3094" s="2" t="s">
        <v>144</v>
      </c>
      <c r="H3094" s="2" t="s">
        <v>21</v>
      </c>
      <c r="I3094" s="2">
        <v>24</v>
      </c>
      <c r="J3094" s="2" t="s">
        <v>287</v>
      </c>
      <c r="K3094" s="2"/>
      <c r="L3094" s="2" t="s">
        <v>24</v>
      </c>
      <c r="M3094" s="2"/>
      <c r="N3094" s="2" t="s">
        <v>50</v>
      </c>
    </row>
    <row r="3095" spans="1:14" x14ac:dyDescent="0.25">
      <c r="A3095" s="2" t="s">
        <v>8128</v>
      </c>
      <c r="B3095" s="2" t="s">
        <v>8129</v>
      </c>
      <c r="C3095" s="2" t="s">
        <v>67</v>
      </c>
      <c r="D3095" s="2" t="s">
        <v>68</v>
      </c>
      <c r="E3095" s="2" t="s">
        <v>148</v>
      </c>
      <c r="F3095" s="2" t="s">
        <v>30</v>
      </c>
      <c r="G3095" s="2" t="s">
        <v>211</v>
      </c>
      <c r="H3095" s="2" t="s">
        <v>74</v>
      </c>
      <c r="I3095" s="2">
        <v>8</v>
      </c>
      <c r="J3095" s="2" t="s">
        <v>187</v>
      </c>
      <c r="K3095" s="2" t="s">
        <v>8130</v>
      </c>
      <c r="L3095" s="2" t="s">
        <v>92</v>
      </c>
      <c r="M3095" s="2">
        <v>5</v>
      </c>
      <c r="N3095" s="2" t="s">
        <v>64</v>
      </c>
    </row>
    <row r="3096" spans="1:14" x14ac:dyDescent="0.25">
      <c r="A3096" s="2" t="s">
        <v>8131</v>
      </c>
      <c r="B3096" s="2" t="s">
        <v>8132</v>
      </c>
      <c r="C3096" s="2" t="s">
        <v>53</v>
      </c>
      <c r="D3096" s="2" t="s">
        <v>54</v>
      </c>
      <c r="E3096" s="2" t="s">
        <v>46</v>
      </c>
      <c r="F3096" s="2" t="s">
        <v>143</v>
      </c>
      <c r="G3096" s="2" t="s">
        <v>110</v>
      </c>
      <c r="H3096" s="2" t="s">
        <v>32</v>
      </c>
      <c r="I3096" s="2">
        <v>48</v>
      </c>
      <c r="J3096" s="2" t="s">
        <v>232</v>
      </c>
      <c r="K3096" s="2"/>
      <c r="L3096" s="2" t="s">
        <v>92</v>
      </c>
      <c r="M3096" s="2"/>
      <c r="N3096" s="2" t="s">
        <v>25</v>
      </c>
    </row>
    <row r="3097" spans="1:14" x14ac:dyDescent="0.25">
      <c r="A3097" s="2" t="s">
        <v>8133</v>
      </c>
      <c r="B3097" s="2" t="s">
        <v>8134</v>
      </c>
      <c r="C3097" s="2" t="s">
        <v>28</v>
      </c>
      <c r="D3097" s="2" t="s">
        <v>37</v>
      </c>
      <c r="E3097" s="2" t="s">
        <v>148</v>
      </c>
      <c r="F3097" s="2" t="s">
        <v>30</v>
      </c>
      <c r="G3097" s="2" t="s">
        <v>31</v>
      </c>
      <c r="H3097" s="2" t="s">
        <v>74</v>
      </c>
      <c r="I3097" s="2">
        <v>8</v>
      </c>
      <c r="J3097" s="2" t="s">
        <v>22</v>
      </c>
      <c r="K3097" s="2" t="s">
        <v>8135</v>
      </c>
      <c r="L3097" s="2" t="s">
        <v>24</v>
      </c>
      <c r="M3097" s="2"/>
      <c r="N3097" s="2" t="s">
        <v>128</v>
      </c>
    </row>
    <row r="3098" spans="1:14" x14ac:dyDescent="0.25">
      <c r="A3098" s="2" t="s">
        <v>8136</v>
      </c>
      <c r="B3098" s="2" t="s">
        <v>7749</v>
      </c>
      <c r="C3098" s="2" t="s">
        <v>28</v>
      </c>
      <c r="D3098" s="2" t="s">
        <v>37</v>
      </c>
      <c r="E3098" s="2" t="s">
        <v>90</v>
      </c>
      <c r="F3098" s="2" t="s">
        <v>143</v>
      </c>
      <c r="G3098" s="2" t="s">
        <v>121</v>
      </c>
      <c r="H3098" s="2" t="s">
        <v>74</v>
      </c>
      <c r="I3098" s="2">
        <v>8</v>
      </c>
      <c r="J3098" s="2" t="s">
        <v>187</v>
      </c>
      <c r="K3098" s="2" t="s">
        <v>8137</v>
      </c>
      <c r="L3098" s="2" t="s">
        <v>24</v>
      </c>
      <c r="M3098" s="2"/>
      <c r="N3098" s="2" t="s">
        <v>58</v>
      </c>
    </row>
    <row r="3099" spans="1:14" x14ac:dyDescent="0.25">
      <c r="A3099" s="2" t="s">
        <v>8138</v>
      </c>
      <c r="B3099" s="2" t="s">
        <v>8139</v>
      </c>
      <c r="C3099" s="2" t="s">
        <v>53</v>
      </c>
      <c r="D3099" s="2" t="s">
        <v>61</v>
      </c>
      <c r="E3099" s="2" t="s">
        <v>18</v>
      </c>
      <c r="F3099" s="2" t="s">
        <v>113</v>
      </c>
      <c r="G3099" s="2" t="s">
        <v>91</v>
      </c>
      <c r="H3099" s="2" t="s">
        <v>32</v>
      </c>
      <c r="I3099" s="2">
        <v>48</v>
      </c>
      <c r="J3099" s="2" t="s">
        <v>191</v>
      </c>
      <c r="K3099" s="2" t="s">
        <v>8140</v>
      </c>
      <c r="L3099" s="2" t="s">
        <v>24</v>
      </c>
      <c r="M3099" s="2"/>
      <c r="N3099" s="2"/>
    </row>
    <row r="3100" spans="1:14" x14ac:dyDescent="0.25">
      <c r="A3100" s="2" t="s">
        <v>8141</v>
      </c>
      <c r="B3100" s="2" t="s">
        <v>8142</v>
      </c>
      <c r="C3100" s="2" t="s">
        <v>67</v>
      </c>
      <c r="D3100" s="2" t="s">
        <v>95</v>
      </c>
      <c r="E3100" s="2" t="s">
        <v>148</v>
      </c>
      <c r="F3100" s="2" t="s">
        <v>113</v>
      </c>
      <c r="G3100" s="2" t="s">
        <v>211</v>
      </c>
      <c r="H3100" s="2" t="s">
        <v>74</v>
      </c>
      <c r="I3100" s="2">
        <v>8</v>
      </c>
      <c r="J3100" s="2" t="s">
        <v>106</v>
      </c>
      <c r="K3100" s="2" t="s">
        <v>8143</v>
      </c>
      <c r="L3100" s="2" t="s">
        <v>24</v>
      </c>
      <c r="M3100" s="2">
        <v>4</v>
      </c>
      <c r="N3100" s="2"/>
    </row>
    <row r="3101" spans="1:14" x14ac:dyDescent="0.25">
      <c r="A3101" s="2" t="s">
        <v>8144</v>
      </c>
      <c r="B3101" s="2" t="s">
        <v>8145</v>
      </c>
      <c r="C3101" s="2" t="s">
        <v>67</v>
      </c>
      <c r="D3101" s="2" t="s">
        <v>601</v>
      </c>
      <c r="E3101" s="2" t="s">
        <v>79</v>
      </c>
      <c r="F3101" s="2" t="s">
        <v>143</v>
      </c>
      <c r="G3101" s="2" t="s">
        <v>101</v>
      </c>
      <c r="H3101" s="2" t="s">
        <v>21</v>
      </c>
      <c r="I3101" s="2">
        <v>24</v>
      </c>
      <c r="J3101" s="2" t="s">
        <v>22</v>
      </c>
      <c r="K3101" s="2" t="s">
        <v>8146</v>
      </c>
      <c r="L3101" s="2" t="s">
        <v>92</v>
      </c>
      <c r="M3101" s="2"/>
      <c r="N3101" s="2"/>
    </row>
    <row r="3102" spans="1:14" x14ac:dyDescent="0.25">
      <c r="A3102" s="2" t="s">
        <v>8147</v>
      </c>
      <c r="B3102" s="2" t="s">
        <v>8148</v>
      </c>
      <c r="C3102" s="2" t="s">
        <v>28</v>
      </c>
      <c r="D3102" s="2" t="s">
        <v>100</v>
      </c>
      <c r="E3102" s="2" t="s">
        <v>90</v>
      </c>
      <c r="F3102" s="2" t="s">
        <v>47</v>
      </c>
      <c r="G3102" s="2" t="s">
        <v>31</v>
      </c>
      <c r="H3102" s="2" t="s">
        <v>32</v>
      </c>
      <c r="I3102" s="2">
        <v>48</v>
      </c>
      <c r="J3102" s="2" t="s">
        <v>106</v>
      </c>
      <c r="K3102" s="2" t="s">
        <v>8149</v>
      </c>
      <c r="L3102" s="2" t="s">
        <v>24</v>
      </c>
      <c r="M3102" s="2">
        <v>5</v>
      </c>
      <c r="N3102" s="2" t="s">
        <v>64</v>
      </c>
    </row>
    <row r="3103" spans="1:14" x14ac:dyDescent="0.25">
      <c r="A3103" s="2" t="s">
        <v>8150</v>
      </c>
      <c r="B3103" s="2" t="s">
        <v>8151</v>
      </c>
      <c r="C3103" s="2" t="s">
        <v>16</v>
      </c>
      <c r="D3103" s="2" t="s">
        <v>17</v>
      </c>
      <c r="E3103" s="2" t="s">
        <v>18</v>
      </c>
      <c r="F3103" s="2" t="s">
        <v>62</v>
      </c>
      <c r="G3103" s="2" t="s">
        <v>121</v>
      </c>
      <c r="H3103" s="2" t="s">
        <v>80</v>
      </c>
      <c r="I3103" s="2">
        <v>4</v>
      </c>
      <c r="J3103" s="2" t="s">
        <v>191</v>
      </c>
      <c r="K3103" s="2" t="s">
        <v>1930</v>
      </c>
      <c r="L3103" s="2" t="s">
        <v>24</v>
      </c>
      <c r="M3103" s="2"/>
      <c r="N3103" s="2"/>
    </row>
    <row r="3104" spans="1:14" x14ac:dyDescent="0.25">
      <c r="A3104" s="2" t="s">
        <v>8152</v>
      </c>
      <c r="B3104" s="2" t="s">
        <v>8153</v>
      </c>
      <c r="C3104" s="2" t="s">
        <v>67</v>
      </c>
      <c r="D3104" s="2" t="s">
        <v>68</v>
      </c>
      <c r="E3104" s="2" t="s">
        <v>148</v>
      </c>
      <c r="F3104" s="2" t="s">
        <v>113</v>
      </c>
      <c r="G3104" s="2" t="s">
        <v>105</v>
      </c>
      <c r="H3104" s="2" t="s">
        <v>32</v>
      </c>
      <c r="I3104" s="2">
        <v>48</v>
      </c>
      <c r="J3104" s="2" t="s">
        <v>187</v>
      </c>
      <c r="K3104" s="2" t="s">
        <v>8154</v>
      </c>
      <c r="L3104" s="2" t="s">
        <v>24</v>
      </c>
      <c r="M3104" s="2">
        <v>5</v>
      </c>
      <c r="N3104" s="2" t="s">
        <v>25</v>
      </c>
    </row>
    <row r="3105" spans="1:14" x14ac:dyDescent="0.25">
      <c r="A3105" s="2" t="s">
        <v>8155</v>
      </c>
      <c r="B3105" s="2" t="s">
        <v>8156</v>
      </c>
      <c r="C3105" s="2" t="s">
        <v>28</v>
      </c>
      <c r="D3105" s="2" t="s">
        <v>37</v>
      </c>
      <c r="E3105" s="2" t="s">
        <v>46</v>
      </c>
      <c r="F3105" s="2" t="s">
        <v>125</v>
      </c>
      <c r="G3105" s="2" t="s">
        <v>40</v>
      </c>
      <c r="H3105" s="2" t="s">
        <v>32</v>
      </c>
      <c r="I3105" s="2">
        <v>48</v>
      </c>
      <c r="J3105" s="2" t="s">
        <v>48</v>
      </c>
      <c r="K3105" s="2" t="s">
        <v>8157</v>
      </c>
      <c r="L3105" s="2" t="s">
        <v>24</v>
      </c>
      <c r="M3105" s="2">
        <v>4</v>
      </c>
      <c r="N3105" s="2" t="s">
        <v>128</v>
      </c>
    </row>
    <row r="3106" spans="1:14" x14ac:dyDescent="0.25">
      <c r="A3106" s="2" t="s">
        <v>8158</v>
      </c>
      <c r="B3106" s="2" t="s">
        <v>8159</v>
      </c>
      <c r="C3106" s="2" t="s">
        <v>53</v>
      </c>
      <c r="D3106" s="2" t="s">
        <v>162</v>
      </c>
      <c r="E3106" s="2" t="s">
        <v>38</v>
      </c>
      <c r="F3106" s="2" t="s">
        <v>39</v>
      </c>
      <c r="G3106" s="2" t="s">
        <v>31</v>
      </c>
      <c r="H3106" s="2" t="s">
        <v>32</v>
      </c>
      <c r="I3106" s="2">
        <v>48</v>
      </c>
      <c r="J3106" s="2" t="s">
        <v>187</v>
      </c>
      <c r="K3106" s="2" t="s">
        <v>8160</v>
      </c>
      <c r="L3106" s="2" t="s">
        <v>24</v>
      </c>
      <c r="M3106" s="2"/>
      <c r="N3106" s="2"/>
    </row>
    <row r="3107" spans="1:14" x14ac:dyDescent="0.25">
      <c r="A3107" s="2" t="s">
        <v>8161</v>
      </c>
      <c r="B3107" s="2" t="s">
        <v>8162</v>
      </c>
      <c r="C3107" s="2" t="s">
        <v>16</v>
      </c>
      <c r="D3107" s="2" t="s">
        <v>84</v>
      </c>
      <c r="E3107" s="2" t="s">
        <v>18</v>
      </c>
      <c r="F3107" s="2" t="s">
        <v>30</v>
      </c>
      <c r="G3107" s="2" t="s">
        <v>70</v>
      </c>
      <c r="H3107" s="2" t="s">
        <v>21</v>
      </c>
      <c r="I3107" s="2">
        <v>24</v>
      </c>
      <c r="J3107" s="2" t="s">
        <v>145</v>
      </c>
      <c r="K3107" s="2"/>
      <c r="L3107" s="2" t="s">
        <v>24</v>
      </c>
      <c r="M3107" s="2"/>
      <c r="N3107" s="2" t="s">
        <v>50</v>
      </c>
    </row>
    <row r="3108" spans="1:14" x14ac:dyDescent="0.25">
      <c r="A3108" s="2" t="s">
        <v>8163</v>
      </c>
      <c r="B3108" s="2" t="s">
        <v>8164</v>
      </c>
      <c r="C3108" s="2" t="s">
        <v>16</v>
      </c>
      <c r="D3108" s="2" t="s">
        <v>84</v>
      </c>
      <c r="E3108" s="2" t="s">
        <v>90</v>
      </c>
      <c r="F3108" s="2" t="s">
        <v>39</v>
      </c>
      <c r="G3108" s="2" t="s">
        <v>179</v>
      </c>
      <c r="H3108" s="2" t="s">
        <v>80</v>
      </c>
      <c r="I3108" s="2">
        <v>4</v>
      </c>
      <c r="J3108" s="2" t="s">
        <v>41</v>
      </c>
      <c r="K3108" s="2"/>
      <c r="L3108" s="2" t="s">
        <v>24</v>
      </c>
      <c r="M3108" s="2"/>
      <c r="N3108" s="2" t="s">
        <v>25</v>
      </c>
    </row>
    <row r="3109" spans="1:14" x14ac:dyDescent="0.25">
      <c r="A3109" s="2" t="s">
        <v>8165</v>
      </c>
      <c r="B3109" s="2" t="s">
        <v>8166</v>
      </c>
      <c r="C3109" s="2" t="s">
        <v>28</v>
      </c>
      <c r="D3109" s="2" t="s">
        <v>100</v>
      </c>
      <c r="E3109" s="2" t="s">
        <v>79</v>
      </c>
      <c r="F3109" s="2" t="s">
        <v>96</v>
      </c>
      <c r="G3109" s="2" t="s">
        <v>110</v>
      </c>
      <c r="H3109" s="2" t="s">
        <v>21</v>
      </c>
      <c r="I3109" s="2">
        <v>24</v>
      </c>
      <c r="J3109" s="2" t="s">
        <v>56</v>
      </c>
      <c r="K3109" s="2" t="s">
        <v>8167</v>
      </c>
      <c r="L3109" s="2" t="s">
        <v>24</v>
      </c>
      <c r="M3109" s="2"/>
      <c r="N3109" s="2" t="s">
        <v>64</v>
      </c>
    </row>
    <row r="3110" spans="1:14" x14ac:dyDescent="0.25">
      <c r="A3110" s="2" t="s">
        <v>8168</v>
      </c>
      <c r="B3110" s="2" t="s">
        <v>7518</v>
      </c>
      <c r="C3110" s="2" t="s">
        <v>67</v>
      </c>
      <c r="D3110" s="2" t="s">
        <v>95</v>
      </c>
      <c r="E3110" s="2" t="s">
        <v>148</v>
      </c>
      <c r="F3110" s="2" t="s">
        <v>143</v>
      </c>
      <c r="G3110" s="2" t="s">
        <v>126</v>
      </c>
      <c r="H3110" s="2" t="s">
        <v>21</v>
      </c>
      <c r="I3110" s="2">
        <v>24</v>
      </c>
      <c r="J3110" s="2" t="s">
        <v>11</v>
      </c>
      <c r="K3110" s="2"/>
      <c r="L3110" s="2" t="s">
        <v>92</v>
      </c>
      <c r="M3110" s="2"/>
      <c r="N3110" s="2"/>
    </row>
    <row r="3111" spans="1:14" x14ac:dyDescent="0.25">
      <c r="A3111" s="2" t="s">
        <v>8169</v>
      </c>
      <c r="B3111" s="2" t="s">
        <v>8170</v>
      </c>
      <c r="C3111" s="2" t="s">
        <v>67</v>
      </c>
      <c r="D3111" s="2" t="s">
        <v>95</v>
      </c>
      <c r="E3111" s="2" t="s">
        <v>148</v>
      </c>
      <c r="F3111" s="2" t="s">
        <v>125</v>
      </c>
      <c r="G3111" s="2" t="s">
        <v>97</v>
      </c>
      <c r="H3111" s="2" t="s">
        <v>32</v>
      </c>
      <c r="I3111" s="2">
        <v>48</v>
      </c>
      <c r="J3111" s="2" t="s">
        <v>106</v>
      </c>
      <c r="K3111" s="2" t="s">
        <v>8171</v>
      </c>
      <c r="L3111" s="2" t="s">
        <v>24</v>
      </c>
      <c r="M3111" s="2">
        <v>5</v>
      </c>
      <c r="N3111" s="2" t="s">
        <v>128</v>
      </c>
    </row>
    <row r="3112" spans="1:14" x14ac:dyDescent="0.25">
      <c r="A3112" s="2" t="s">
        <v>8172</v>
      </c>
      <c r="B3112" s="2" t="s">
        <v>8173</v>
      </c>
      <c r="C3112" s="2" t="s">
        <v>16</v>
      </c>
      <c r="D3112" s="2" t="s">
        <v>84</v>
      </c>
      <c r="E3112" s="2" t="s">
        <v>46</v>
      </c>
      <c r="F3112" s="2" t="s">
        <v>69</v>
      </c>
      <c r="G3112" s="2" t="s">
        <v>110</v>
      </c>
      <c r="H3112" s="2" t="s">
        <v>32</v>
      </c>
      <c r="I3112" s="2">
        <v>48</v>
      </c>
      <c r="J3112" s="2" t="s">
        <v>106</v>
      </c>
      <c r="K3112" s="2" t="s">
        <v>8174</v>
      </c>
      <c r="L3112" s="2" t="s">
        <v>24</v>
      </c>
      <c r="M3112" s="2">
        <v>3</v>
      </c>
      <c r="N3112" s="2" t="s">
        <v>128</v>
      </c>
    </row>
    <row r="3113" spans="1:14" x14ac:dyDescent="0.25">
      <c r="A3113" s="2" t="s">
        <v>8175</v>
      </c>
      <c r="B3113" s="2" t="s">
        <v>2043</v>
      </c>
      <c r="C3113" s="2" t="s">
        <v>67</v>
      </c>
      <c r="D3113" s="2" t="s">
        <v>95</v>
      </c>
      <c r="E3113" s="2" t="s">
        <v>79</v>
      </c>
      <c r="F3113" s="2" t="s">
        <v>143</v>
      </c>
      <c r="G3113" s="2" t="s">
        <v>40</v>
      </c>
      <c r="H3113" s="2" t="s">
        <v>21</v>
      </c>
      <c r="I3113" s="2">
        <v>24</v>
      </c>
      <c r="J3113" s="2" t="s">
        <v>48</v>
      </c>
      <c r="K3113" s="2" t="s">
        <v>8176</v>
      </c>
      <c r="L3113" s="2" t="s">
        <v>24</v>
      </c>
      <c r="M3113" s="2"/>
      <c r="N3113" s="2" t="s">
        <v>58</v>
      </c>
    </row>
    <row r="3114" spans="1:14" x14ac:dyDescent="0.25">
      <c r="A3114" s="2" t="s">
        <v>8177</v>
      </c>
      <c r="B3114" s="2" t="s">
        <v>8178</v>
      </c>
      <c r="C3114" s="2" t="s">
        <v>28</v>
      </c>
      <c r="D3114" s="2" t="s">
        <v>100</v>
      </c>
      <c r="E3114" s="2" t="s">
        <v>46</v>
      </c>
      <c r="F3114" s="2" t="s">
        <v>55</v>
      </c>
      <c r="G3114" s="2" t="s">
        <v>31</v>
      </c>
      <c r="H3114" s="2" t="s">
        <v>21</v>
      </c>
      <c r="I3114" s="2">
        <v>24</v>
      </c>
      <c r="J3114" s="2" t="s">
        <v>145</v>
      </c>
      <c r="K3114" s="2"/>
      <c r="L3114" s="2" t="s">
        <v>24</v>
      </c>
      <c r="M3114" s="2"/>
      <c r="N3114" s="2" t="s">
        <v>58</v>
      </c>
    </row>
    <row r="3115" spans="1:14" x14ac:dyDescent="0.25">
      <c r="A3115" s="2" t="s">
        <v>8179</v>
      </c>
      <c r="B3115" s="2" t="s">
        <v>7192</v>
      </c>
      <c r="C3115" s="2" t="s">
        <v>53</v>
      </c>
      <c r="D3115" s="2" t="s">
        <v>54</v>
      </c>
      <c r="E3115" s="2" t="s">
        <v>38</v>
      </c>
      <c r="F3115" s="2" t="s">
        <v>39</v>
      </c>
      <c r="G3115" s="2" t="s">
        <v>139</v>
      </c>
      <c r="H3115" s="2" t="s">
        <v>32</v>
      </c>
      <c r="I3115" s="2">
        <v>48</v>
      </c>
      <c r="J3115" s="2" t="s">
        <v>486</v>
      </c>
      <c r="K3115" s="2" t="s">
        <v>8180</v>
      </c>
      <c r="L3115" s="2" t="s">
        <v>24</v>
      </c>
      <c r="M3115" s="2"/>
      <c r="N3115" s="2" t="s">
        <v>34</v>
      </c>
    </row>
    <row r="3116" spans="1:14" x14ac:dyDescent="0.25">
      <c r="A3116" s="2" t="s">
        <v>8181</v>
      </c>
      <c r="B3116" s="2" t="s">
        <v>8182</v>
      </c>
      <c r="C3116" s="2" t="s">
        <v>67</v>
      </c>
      <c r="D3116" s="2" t="s">
        <v>68</v>
      </c>
      <c r="E3116" s="2" t="s">
        <v>18</v>
      </c>
      <c r="F3116" s="2" t="s">
        <v>131</v>
      </c>
      <c r="G3116" s="2" t="s">
        <v>40</v>
      </c>
      <c r="H3116" s="2" t="s">
        <v>80</v>
      </c>
      <c r="I3116" s="2">
        <v>4</v>
      </c>
      <c r="J3116" s="2" t="s">
        <v>75</v>
      </c>
      <c r="K3116" s="2" t="s">
        <v>8183</v>
      </c>
      <c r="L3116" s="2" t="s">
        <v>24</v>
      </c>
      <c r="M3116" s="2">
        <v>5</v>
      </c>
      <c r="N3116" s="2" t="s">
        <v>128</v>
      </c>
    </row>
    <row r="3117" spans="1:14" x14ac:dyDescent="0.25">
      <c r="A3117" s="2" t="s">
        <v>8184</v>
      </c>
      <c r="B3117" s="2" t="s">
        <v>8185</v>
      </c>
      <c r="C3117" s="2" t="s">
        <v>67</v>
      </c>
      <c r="D3117" s="2" t="s">
        <v>68</v>
      </c>
      <c r="E3117" s="2" t="s">
        <v>90</v>
      </c>
      <c r="F3117" s="2" t="s">
        <v>143</v>
      </c>
      <c r="G3117" s="2" t="s">
        <v>121</v>
      </c>
      <c r="H3117" s="2" t="s">
        <v>32</v>
      </c>
      <c r="I3117" s="2">
        <v>48</v>
      </c>
      <c r="J3117" s="2" t="s">
        <v>187</v>
      </c>
      <c r="K3117" s="2" t="s">
        <v>8186</v>
      </c>
      <c r="L3117" s="2" t="s">
        <v>24</v>
      </c>
      <c r="M3117" s="2"/>
      <c r="N3117" s="2" t="s">
        <v>128</v>
      </c>
    </row>
    <row r="3118" spans="1:14" x14ac:dyDescent="0.25">
      <c r="A3118" s="2" t="s">
        <v>8187</v>
      </c>
      <c r="B3118" s="2" t="s">
        <v>8188</v>
      </c>
      <c r="C3118" s="2" t="s">
        <v>28</v>
      </c>
      <c r="D3118" s="2" t="s">
        <v>37</v>
      </c>
      <c r="E3118" s="2" t="s">
        <v>46</v>
      </c>
      <c r="F3118" s="2" t="s">
        <v>143</v>
      </c>
      <c r="G3118" s="2" t="s">
        <v>110</v>
      </c>
      <c r="H3118" s="2" t="s">
        <v>32</v>
      </c>
      <c r="I3118" s="2">
        <v>48</v>
      </c>
      <c r="J3118" s="2" t="s">
        <v>106</v>
      </c>
      <c r="K3118" s="2" t="s">
        <v>8189</v>
      </c>
      <c r="L3118" s="2" t="s">
        <v>24</v>
      </c>
      <c r="M3118" s="2">
        <v>3</v>
      </c>
      <c r="N3118" s="2" t="s">
        <v>64</v>
      </c>
    </row>
    <row r="3119" spans="1:14" x14ac:dyDescent="0.25">
      <c r="A3119" s="2" t="s">
        <v>8190</v>
      </c>
      <c r="B3119" s="2" t="s">
        <v>8191</v>
      </c>
      <c r="C3119" s="2" t="s">
        <v>16</v>
      </c>
      <c r="D3119" s="2" t="s">
        <v>84</v>
      </c>
      <c r="E3119" s="2" t="s">
        <v>46</v>
      </c>
      <c r="F3119" s="2" t="s">
        <v>55</v>
      </c>
      <c r="G3119" s="2" t="s">
        <v>91</v>
      </c>
      <c r="H3119" s="2" t="s">
        <v>32</v>
      </c>
      <c r="I3119" s="2">
        <v>48</v>
      </c>
      <c r="J3119" s="2" t="s">
        <v>232</v>
      </c>
      <c r="K3119" s="2"/>
      <c r="L3119" s="2" t="s">
        <v>92</v>
      </c>
      <c r="M3119" s="2"/>
      <c r="N3119" s="2" t="s">
        <v>118</v>
      </c>
    </row>
    <row r="3120" spans="1:14" x14ac:dyDescent="0.25">
      <c r="A3120" s="2" t="s">
        <v>8192</v>
      </c>
      <c r="B3120" s="2" t="s">
        <v>8193</v>
      </c>
      <c r="C3120" s="2" t="s">
        <v>53</v>
      </c>
      <c r="D3120" s="2" t="s">
        <v>54</v>
      </c>
      <c r="E3120" s="2" t="s">
        <v>79</v>
      </c>
      <c r="F3120" s="2" t="s">
        <v>96</v>
      </c>
      <c r="G3120" s="2" t="s">
        <v>110</v>
      </c>
      <c r="H3120" s="2" t="s">
        <v>74</v>
      </c>
      <c r="I3120" s="2">
        <v>8</v>
      </c>
      <c r="J3120" s="2" t="s">
        <v>41</v>
      </c>
      <c r="K3120" s="2" t="s">
        <v>8194</v>
      </c>
      <c r="L3120" s="2" t="s">
        <v>92</v>
      </c>
      <c r="M3120" s="2">
        <v>3</v>
      </c>
      <c r="N3120" s="2" t="s">
        <v>128</v>
      </c>
    </row>
    <row r="3121" spans="1:14" x14ac:dyDescent="0.25">
      <c r="A3121" s="2" t="s">
        <v>8195</v>
      </c>
      <c r="B3121" s="2" t="s">
        <v>8196</v>
      </c>
      <c r="C3121" s="2" t="s">
        <v>67</v>
      </c>
      <c r="D3121" s="2" t="s">
        <v>95</v>
      </c>
      <c r="E3121" s="2" t="s">
        <v>38</v>
      </c>
      <c r="F3121" s="2" t="s">
        <v>96</v>
      </c>
      <c r="G3121" s="2" t="s">
        <v>101</v>
      </c>
      <c r="H3121" s="2" t="s">
        <v>21</v>
      </c>
      <c r="I3121" s="2">
        <v>24</v>
      </c>
      <c r="J3121" s="2" t="s">
        <v>287</v>
      </c>
      <c r="K3121" s="2"/>
      <c r="L3121" s="2" t="s">
        <v>24</v>
      </c>
      <c r="M3121" s="2"/>
      <c r="N3121" s="2" t="s">
        <v>64</v>
      </c>
    </row>
    <row r="3122" spans="1:14" x14ac:dyDescent="0.25">
      <c r="A3122" s="2" t="s">
        <v>8197</v>
      </c>
      <c r="B3122" s="2" t="s">
        <v>8198</v>
      </c>
      <c r="C3122" s="2" t="s">
        <v>53</v>
      </c>
      <c r="D3122" s="2" t="s">
        <v>61</v>
      </c>
      <c r="E3122" s="2" t="s">
        <v>79</v>
      </c>
      <c r="F3122" s="2" t="s">
        <v>143</v>
      </c>
      <c r="G3122" s="2" t="s">
        <v>97</v>
      </c>
      <c r="H3122" s="2" t="s">
        <v>74</v>
      </c>
      <c r="I3122" s="2">
        <v>8</v>
      </c>
      <c r="J3122" s="2" t="s">
        <v>22</v>
      </c>
      <c r="K3122" s="2" t="s">
        <v>8199</v>
      </c>
      <c r="L3122" s="2" t="s">
        <v>24</v>
      </c>
      <c r="M3122" s="2">
        <v>2</v>
      </c>
      <c r="N3122" s="2" t="s">
        <v>25</v>
      </c>
    </row>
    <row r="3123" spans="1:14" x14ac:dyDescent="0.25">
      <c r="A3123" s="2" t="s">
        <v>8200</v>
      </c>
      <c r="B3123" s="2" t="s">
        <v>8201</v>
      </c>
      <c r="C3123" s="2" t="s">
        <v>53</v>
      </c>
      <c r="D3123" s="2" t="s">
        <v>54</v>
      </c>
      <c r="E3123" s="2" t="s">
        <v>79</v>
      </c>
      <c r="F3123" s="2" t="s">
        <v>39</v>
      </c>
      <c r="G3123" s="2" t="s">
        <v>121</v>
      </c>
      <c r="H3123" s="2" t="s">
        <v>80</v>
      </c>
      <c r="I3123" s="2">
        <v>4</v>
      </c>
      <c r="J3123" s="2" t="s">
        <v>155</v>
      </c>
      <c r="K3123" s="2"/>
      <c r="L3123" s="2" t="s">
        <v>24</v>
      </c>
      <c r="M3123" s="2"/>
      <c r="N3123" s="2" t="s">
        <v>34</v>
      </c>
    </row>
    <row r="3124" spans="1:14" x14ac:dyDescent="0.25">
      <c r="A3124" s="2" t="s">
        <v>8202</v>
      </c>
      <c r="B3124" s="2" t="s">
        <v>8203</v>
      </c>
      <c r="C3124" s="2" t="s">
        <v>16</v>
      </c>
      <c r="D3124" s="2" t="s">
        <v>17</v>
      </c>
      <c r="E3124" s="2" t="s">
        <v>38</v>
      </c>
      <c r="F3124" s="2" t="s">
        <v>19</v>
      </c>
      <c r="G3124" s="2" t="s">
        <v>105</v>
      </c>
      <c r="H3124" s="2" t="s">
        <v>74</v>
      </c>
      <c r="I3124" s="2">
        <v>8</v>
      </c>
      <c r="J3124" s="2" t="s">
        <v>145</v>
      </c>
      <c r="K3124" s="2"/>
      <c r="L3124" s="2" t="s">
        <v>24</v>
      </c>
      <c r="M3124" s="2"/>
      <c r="N3124" s="2" t="s">
        <v>118</v>
      </c>
    </row>
    <row r="3125" spans="1:14" x14ac:dyDescent="0.25">
      <c r="A3125" s="2" t="s">
        <v>8204</v>
      </c>
      <c r="B3125" s="2" t="s">
        <v>8205</v>
      </c>
      <c r="C3125" s="2" t="s">
        <v>67</v>
      </c>
      <c r="D3125" s="2" t="s">
        <v>68</v>
      </c>
      <c r="E3125" s="2" t="s">
        <v>90</v>
      </c>
      <c r="F3125" s="2" t="s">
        <v>143</v>
      </c>
      <c r="G3125" s="2" t="s">
        <v>179</v>
      </c>
      <c r="H3125" s="2" t="s">
        <v>32</v>
      </c>
      <c r="I3125" s="2">
        <v>48</v>
      </c>
      <c r="J3125" s="2" t="s">
        <v>22</v>
      </c>
      <c r="K3125" s="2" t="s">
        <v>8206</v>
      </c>
      <c r="L3125" s="2" t="s">
        <v>24</v>
      </c>
      <c r="M3125" s="2">
        <v>5</v>
      </c>
      <c r="N3125" s="2" t="s">
        <v>58</v>
      </c>
    </row>
    <row r="3126" spans="1:14" x14ac:dyDescent="0.25">
      <c r="A3126" s="2" t="s">
        <v>8207</v>
      </c>
      <c r="B3126" s="2" t="s">
        <v>8208</v>
      </c>
      <c r="C3126" s="2" t="s">
        <v>16</v>
      </c>
      <c r="D3126" s="2" t="s">
        <v>84</v>
      </c>
      <c r="E3126" s="2" t="s">
        <v>85</v>
      </c>
      <c r="F3126" s="2" t="s">
        <v>131</v>
      </c>
      <c r="G3126" s="2" t="s">
        <v>121</v>
      </c>
      <c r="H3126" s="2" t="s">
        <v>21</v>
      </c>
      <c r="I3126" s="2">
        <v>24</v>
      </c>
      <c r="J3126" s="2" t="s">
        <v>232</v>
      </c>
      <c r="K3126" s="2"/>
      <c r="L3126" s="2" t="s">
        <v>92</v>
      </c>
      <c r="M3126" s="2"/>
      <c r="N3126" s="2" t="s">
        <v>118</v>
      </c>
    </row>
    <row r="3127" spans="1:14" x14ac:dyDescent="0.25">
      <c r="A3127" s="2" t="s">
        <v>8209</v>
      </c>
      <c r="B3127" s="2" t="s">
        <v>8210</v>
      </c>
      <c r="C3127" s="2" t="s">
        <v>53</v>
      </c>
      <c r="D3127" s="2" t="s">
        <v>54</v>
      </c>
      <c r="E3127" s="2" t="s">
        <v>18</v>
      </c>
      <c r="F3127" s="2" t="s">
        <v>62</v>
      </c>
      <c r="G3127" s="2" t="s">
        <v>158</v>
      </c>
      <c r="H3127" s="2" t="s">
        <v>21</v>
      </c>
      <c r="I3127" s="2">
        <v>24</v>
      </c>
      <c r="J3127" s="2" t="s">
        <v>75</v>
      </c>
      <c r="K3127" s="2" t="s">
        <v>8211</v>
      </c>
      <c r="L3127" s="2" t="s">
        <v>24</v>
      </c>
      <c r="M3127" s="2">
        <v>3</v>
      </c>
      <c r="N3127" s="2" t="s">
        <v>25</v>
      </c>
    </row>
    <row r="3128" spans="1:14" x14ac:dyDescent="0.25">
      <c r="A3128" s="2" t="s">
        <v>8212</v>
      </c>
      <c r="B3128" s="2" t="s">
        <v>8213</v>
      </c>
      <c r="C3128" s="2" t="s">
        <v>53</v>
      </c>
      <c r="D3128" s="2" t="s">
        <v>61</v>
      </c>
      <c r="E3128" s="2" t="s">
        <v>85</v>
      </c>
      <c r="F3128" s="2" t="s">
        <v>30</v>
      </c>
      <c r="G3128" s="2" t="s">
        <v>144</v>
      </c>
      <c r="H3128" s="2" t="s">
        <v>74</v>
      </c>
      <c r="I3128" s="2">
        <v>8</v>
      </c>
      <c r="J3128" s="2" t="s">
        <v>11</v>
      </c>
      <c r="K3128" s="2"/>
      <c r="L3128" s="2" t="s">
        <v>92</v>
      </c>
      <c r="M3128" s="2"/>
      <c r="N3128" s="2" t="s">
        <v>64</v>
      </c>
    </row>
    <row r="3129" spans="1:14" x14ac:dyDescent="0.25">
      <c r="A3129" s="2" t="s">
        <v>8214</v>
      </c>
      <c r="B3129" s="2" t="s">
        <v>8215</v>
      </c>
      <c r="C3129" s="2" t="s">
        <v>53</v>
      </c>
      <c r="D3129" s="2" t="s">
        <v>54</v>
      </c>
      <c r="E3129" s="2" t="s">
        <v>18</v>
      </c>
      <c r="F3129" s="2" t="s">
        <v>47</v>
      </c>
      <c r="G3129" s="2" t="s">
        <v>144</v>
      </c>
      <c r="H3129" s="2" t="s">
        <v>32</v>
      </c>
      <c r="I3129" s="2">
        <v>48</v>
      </c>
      <c r="J3129" s="2" t="s">
        <v>75</v>
      </c>
      <c r="K3129" s="2" t="s">
        <v>8216</v>
      </c>
      <c r="L3129" s="2" t="s">
        <v>92</v>
      </c>
      <c r="M3129" s="2"/>
      <c r="N3129" s="2" t="s">
        <v>25</v>
      </c>
    </row>
    <row r="3130" spans="1:14" x14ac:dyDescent="0.25">
      <c r="A3130" s="2" t="s">
        <v>8217</v>
      </c>
      <c r="B3130" s="2" t="s">
        <v>8218</v>
      </c>
      <c r="C3130" s="2" t="s">
        <v>53</v>
      </c>
      <c r="D3130" s="2" t="s">
        <v>54</v>
      </c>
      <c r="E3130" s="2" t="s">
        <v>38</v>
      </c>
      <c r="F3130" s="2" t="s">
        <v>113</v>
      </c>
      <c r="G3130" s="2" t="s">
        <v>121</v>
      </c>
      <c r="H3130" s="2" t="s">
        <v>21</v>
      </c>
      <c r="I3130" s="2">
        <v>24</v>
      </c>
      <c r="J3130" s="2" t="s">
        <v>22</v>
      </c>
      <c r="K3130" s="2" t="s">
        <v>8219</v>
      </c>
      <c r="L3130" s="2" t="s">
        <v>24</v>
      </c>
      <c r="M3130" s="2">
        <v>5</v>
      </c>
      <c r="N3130" s="2" t="s">
        <v>118</v>
      </c>
    </row>
    <row r="3131" spans="1:14" x14ac:dyDescent="0.25">
      <c r="A3131" s="2" t="s">
        <v>8220</v>
      </c>
      <c r="B3131" s="2" t="s">
        <v>8221</v>
      </c>
      <c r="C3131" s="2" t="s">
        <v>53</v>
      </c>
      <c r="D3131" s="2" t="s">
        <v>61</v>
      </c>
      <c r="E3131" s="2" t="s">
        <v>90</v>
      </c>
      <c r="F3131" s="2" t="s">
        <v>39</v>
      </c>
      <c r="G3131" s="2" t="s">
        <v>91</v>
      </c>
      <c r="H3131" s="2" t="s">
        <v>21</v>
      </c>
      <c r="I3131" s="2">
        <v>24</v>
      </c>
      <c r="J3131" s="2" t="s">
        <v>22</v>
      </c>
      <c r="K3131" s="2" t="s">
        <v>8222</v>
      </c>
      <c r="L3131" s="2" t="s">
        <v>24</v>
      </c>
      <c r="M3131" s="2">
        <v>1</v>
      </c>
      <c r="N3131" s="2" t="s">
        <v>58</v>
      </c>
    </row>
    <row r="3132" spans="1:14" x14ac:dyDescent="0.25">
      <c r="A3132" s="2" t="s">
        <v>8223</v>
      </c>
      <c r="B3132" s="2" t="s">
        <v>8224</v>
      </c>
      <c r="C3132" s="2" t="s">
        <v>16</v>
      </c>
      <c r="D3132" s="2" t="s">
        <v>765</v>
      </c>
      <c r="E3132" s="2" t="s">
        <v>79</v>
      </c>
      <c r="F3132" s="2" t="s">
        <v>113</v>
      </c>
      <c r="G3132" s="2" t="s">
        <v>110</v>
      </c>
      <c r="H3132" s="2" t="s">
        <v>21</v>
      </c>
      <c r="I3132" s="2">
        <v>24</v>
      </c>
      <c r="J3132" s="2" t="s">
        <v>33</v>
      </c>
      <c r="K3132" s="2"/>
      <c r="L3132" s="2" t="s">
        <v>92</v>
      </c>
      <c r="M3132" s="2"/>
      <c r="N3132" s="2" t="s">
        <v>50</v>
      </c>
    </row>
    <row r="3133" spans="1:14" x14ac:dyDescent="0.25">
      <c r="A3133" s="2" t="s">
        <v>8225</v>
      </c>
      <c r="B3133" s="2" t="s">
        <v>8226</v>
      </c>
      <c r="C3133" s="2" t="s">
        <v>28</v>
      </c>
      <c r="D3133" s="2" t="s">
        <v>100</v>
      </c>
      <c r="E3133" s="2" t="s">
        <v>38</v>
      </c>
      <c r="F3133" s="2" t="s">
        <v>125</v>
      </c>
      <c r="G3133" s="2" t="s">
        <v>211</v>
      </c>
      <c r="H3133" s="2" t="s">
        <v>32</v>
      </c>
      <c r="I3133" s="2">
        <v>48</v>
      </c>
      <c r="J3133" s="2" t="s">
        <v>11</v>
      </c>
      <c r="K3133" s="2"/>
      <c r="L3133" s="2" t="s">
        <v>92</v>
      </c>
      <c r="M3133" s="2"/>
      <c r="N3133" s="2" t="s">
        <v>128</v>
      </c>
    </row>
    <row r="3134" spans="1:14" x14ac:dyDescent="0.25">
      <c r="A3134" s="2" t="s">
        <v>8227</v>
      </c>
      <c r="B3134" s="2" t="s">
        <v>8228</v>
      </c>
      <c r="C3134" s="2" t="s">
        <v>53</v>
      </c>
      <c r="D3134" s="2" t="s">
        <v>61</v>
      </c>
      <c r="E3134" s="2"/>
      <c r="F3134" s="2" t="s">
        <v>69</v>
      </c>
      <c r="G3134" s="2" t="s">
        <v>179</v>
      </c>
      <c r="H3134" s="2" t="s">
        <v>21</v>
      </c>
      <c r="I3134" s="2">
        <v>24</v>
      </c>
      <c r="J3134" s="2" t="s">
        <v>41</v>
      </c>
      <c r="K3134" s="2"/>
      <c r="L3134" s="2" t="s">
        <v>24</v>
      </c>
      <c r="M3134" s="2">
        <v>4</v>
      </c>
      <c r="N3134" s="2"/>
    </row>
    <row r="3135" spans="1:14" x14ac:dyDescent="0.25">
      <c r="A3135" s="2" t="s">
        <v>8229</v>
      </c>
      <c r="B3135" s="2" t="s">
        <v>8230</v>
      </c>
      <c r="C3135" s="2" t="s">
        <v>53</v>
      </c>
      <c r="D3135" s="2" t="s">
        <v>61</v>
      </c>
      <c r="E3135" s="2" t="s">
        <v>46</v>
      </c>
      <c r="F3135" s="2" t="s">
        <v>113</v>
      </c>
      <c r="G3135" s="2" t="s">
        <v>139</v>
      </c>
      <c r="H3135" s="2" t="s">
        <v>21</v>
      </c>
      <c r="I3135" s="2">
        <v>24</v>
      </c>
      <c r="J3135" s="2" t="s">
        <v>41</v>
      </c>
      <c r="K3135" s="2" t="s">
        <v>8231</v>
      </c>
      <c r="L3135" s="2" t="s">
        <v>92</v>
      </c>
      <c r="M3135" s="2">
        <v>5</v>
      </c>
      <c r="N3135" s="2"/>
    </row>
    <row r="3136" spans="1:14" x14ac:dyDescent="0.25">
      <c r="A3136" s="2" t="s">
        <v>8232</v>
      </c>
      <c r="B3136" s="2" t="s">
        <v>8233</v>
      </c>
      <c r="C3136" s="2" t="s">
        <v>16</v>
      </c>
      <c r="D3136" s="2" t="s">
        <v>17</v>
      </c>
      <c r="E3136" s="2" t="s">
        <v>85</v>
      </c>
      <c r="F3136" s="2" t="s">
        <v>47</v>
      </c>
      <c r="G3136" s="2" t="s">
        <v>126</v>
      </c>
      <c r="H3136" s="2" t="s">
        <v>74</v>
      </c>
      <c r="I3136" s="2">
        <v>8</v>
      </c>
      <c r="J3136" s="2" t="s">
        <v>106</v>
      </c>
      <c r="K3136" s="2" t="s">
        <v>8234</v>
      </c>
      <c r="L3136" s="2" t="s">
        <v>24</v>
      </c>
      <c r="M3136" s="2"/>
      <c r="N3136" s="2" t="s">
        <v>128</v>
      </c>
    </row>
    <row r="3137" spans="1:14" x14ac:dyDescent="0.25">
      <c r="A3137" s="2" t="s">
        <v>8235</v>
      </c>
      <c r="B3137" s="2" t="s">
        <v>8236</v>
      </c>
      <c r="C3137" s="2" t="s">
        <v>16</v>
      </c>
      <c r="D3137" s="2" t="s">
        <v>84</v>
      </c>
      <c r="E3137" s="2" t="s">
        <v>85</v>
      </c>
      <c r="F3137" s="2" t="s">
        <v>19</v>
      </c>
      <c r="G3137" s="2" t="s">
        <v>91</v>
      </c>
      <c r="H3137" s="2" t="s">
        <v>74</v>
      </c>
      <c r="I3137" s="2">
        <v>8</v>
      </c>
      <c r="J3137" s="2" t="s">
        <v>117</v>
      </c>
      <c r="K3137" s="2"/>
      <c r="L3137" s="2" t="s">
        <v>24</v>
      </c>
      <c r="M3137" s="2"/>
      <c r="N3137" s="2"/>
    </row>
    <row r="3138" spans="1:14" x14ac:dyDescent="0.25">
      <c r="A3138" s="2" t="s">
        <v>8237</v>
      </c>
      <c r="B3138" s="2" t="s">
        <v>8238</v>
      </c>
      <c r="C3138" s="2" t="s">
        <v>67</v>
      </c>
      <c r="D3138" s="2" t="s">
        <v>68</v>
      </c>
      <c r="E3138" s="2" t="s">
        <v>46</v>
      </c>
      <c r="F3138" s="2" t="s">
        <v>69</v>
      </c>
      <c r="G3138" s="2" t="s">
        <v>70</v>
      </c>
      <c r="H3138" s="2" t="s">
        <v>21</v>
      </c>
      <c r="I3138" s="2">
        <v>24</v>
      </c>
      <c r="J3138" s="2" t="s">
        <v>41</v>
      </c>
      <c r="K3138" s="2" t="s">
        <v>8239</v>
      </c>
      <c r="L3138" s="2" t="s">
        <v>24</v>
      </c>
      <c r="M3138" s="2">
        <v>2</v>
      </c>
      <c r="N3138" s="2" t="s">
        <v>64</v>
      </c>
    </row>
    <row r="3139" spans="1:14" x14ac:dyDescent="0.25">
      <c r="A3139" s="2" t="s">
        <v>8240</v>
      </c>
      <c r="B3139" s="2" t="s">
        <v>8241</v>
      </c>
      <c r="C3139" s="2" t="s">
        <v>16</v>
      </c>
      <c r="D3139" s="2" t="s">
        <v>17</v>
      </c>
      <c r="E3139" s="2" t="s">
        <v>46</v>
      </c>
      <c r="F3139" s="2" t="s">
        <v>62</v>
      </c>
      <c r="G3139" s="2" t="s">
        <v>179</v>
      </c>
      <c r="H3139" s="2" t="s">
        <v>74</v>
      </c>
      <c r="I3139" s="2">
        <v>8</v>
      </c>
      <c r="J3139" s="2" t="s">
        <v>145</v>
      </c>
      <c r="K3139" s="2"/>
      <c r="L3139" s="2" t="s">
        <v>24</v>
      </c>
      <c r="M3139" s="2"/>
      <c r="N3139" s="2" t="s">
        <v>25</v>
      </c>
    </row>
    <row r="3140" spans="1:14" x14ac:dyDescent="0.25">
      <c r="A3140" s="2" t="s">
        <v>8242</v>
      </c>
      <c r="B3140" s="2" t="s">
        <v>8243</v>
      </c>
      <c r="C3140" s="2" t="s">
        <v>28</v>
      </c>
      <c r="D3140" s="2" t="s">
        <v>100</v>
      </c>
      <c r="E3140" s="2" t="s">
        <v>79</v>
      </c>
      <c r="F3140" s="2" t="s">
        <v>47</v>
      </c>
      <c r="G3140" s="2" t="s">
        <v>183</v>
      </c>
      <c r="H3140" s="2" t="s">
        <v>32</v>
      </c>
      <c r="I3140" s="2">
        <v>48</v>
      </c>
      <c r="J3140" s="2" t="s">
        <v>48</v>
      </c>
      <c r="K3140" s="2"/>
      <c r="L3140" s="2" t="s">
        <v>24</v>
      </c>
      <c r="M3140" s="2"/>
      <c r="N3140" s="2"/>
    </row>
    <row r="3141" spans="1:14" x14ac:dyDescent="0.25">
      <c r="A3141" s="2" t="s">
        <v>8244</v>
      </c>
      <c r="B3141" s="2" t="s">
        <v>8245</v>
      </c>
      <c r="C3141" s="2" t="s">
        <v>53</v>
      </c>
      <c r="D3141" s="2" t="s">
        <v>54</v>
      </c>
      <c r="E3141" s="2" t="s">
        <v>90</v>
      </c>
      <c r="F3141" s="2" t="s">
        <v>30</v>
      </c>
      <c r="G3141" s="2" t="s">
        <v>101</v>
      </c>
      <c r="H3141" s="2" t="s">
        <v>74</v>
      </c>
      <c r="I3141" s="2">
        <v>8</v>
      </c>
      <c r="J3141" s="2" t="s">
        <v>41</v>
      </c>
      <c r="K3141" s="2" t="s">
        <v>8246</v>
      </c>
      <c r="L3141" s="2" t="s">
        <v>24</v>
      </c>
      <c r="M3141" s="2">
        <v>5</v>
      </c>
      <c r="N3141" s="2" t="s">
        <v>64</v>
      </c>
    </row>
    <row r="3142" spans="1:14" x14ac:dyDescent="0.25">
      <c r="A3142" s="2" t="s">
        <v>8247</v>
      </c>
      <c r="B3142" s="2" t="s">
        <v>8248</v>
      </c>
      <c r="C3142" s="2" t="s">
        <v>28</v>
      </c>
      <c r="D3142" s="2" t="s">
        <v>37</v>
      </c>
      <c r="E3142" s="2" t="s">
        <v>38</v>
      </c>
      <c r="F3142" s="2" t="s">
        <v>96</v>
      </c>
      <c r="G3142" s="2" t="s">
        <v>105</v>
      </c>
      <c r="H3142" s="2" t="s">
        <v>21</v>
      </c>
      <c r="I3142" s="2">
        <v>24</v>
      </c>
      <c r="J3142" s="2" t="s">
        <v>22</v>
      </c>
      <c r="K3142" s="2" t="s">
        <v>8249</v>
      </c>
      <c r="L3142" s="2" t="s">
        <v>24</v>
      </c>
      <c r="M3142" s="2">
        <v>1</v>
      </c>
      <c r="N3142" s="2" t="s">
        <v>43</v>
      </c>
    </row>
    <row r="3143" spans="1:14" x14ac:dyDescent="0.25">
      <c r="A3143" s="2" t="s">
        <v>8250</v>
      </c>
      <c r="B3143" s="2" t="s">
        <v>5898</v>
      </c>
      <c r="C3143" s="2" t="s">
        <v>16</v>
      </c>
      <c r="D3143" s="2" t="s">
        <v>84</v>
      </c>
      <c r="E3143" s="2" t="s">
        <v>18</v>
      </c>
      <c r="F3143" s="2" t="s">
        <v>113</v>
      </c>
      <c r="G3143" s="2" t="s">
        <v>31</v>
      </c>
      <c r="H3143" s="2" t="s">
        <v>32</v>
      </c>
      <c r="I3143" s="2">
        <v>48</v>
      </c>
      <c r="J3143" s="2" t="s">
        <v>33</v>
      </c>
      <c r="K3143" s="2"/>
      <c r="L3143" s="2" t="s">
        <v>24</v>
      </c>
      <c r="M3143" s="2"/>
      <c r="N3143" s="2" t="s">
        <v>25</v>
      </c>
    </row>
    <row r="3144" spans="1:14" x14ac:dyDescent="0.25">
      <c r="A3144" s="2" t="s">
        <v>8251</v>
      </c>
      <c r="B3144" s="2" t="s">
        <v>8252</v>
      </c>
      <c r="C3144" s="2" t="s">
        <v>28</v>
      </c>
      <c r="D3144" s="2" t="s">
        <v>37</v>
      </c>
      <c r="E3144" s="2" t="s">
        <v>18</v>
      </c>
      <c r="F3144" s="2" t="s">
        <v>62</v>
      </c>
      <c r="G3144" s="2" t="s">
        <v>20</v>
      </c>
      <c r="H3144" s="2" t="s">
        <v>21</v>
      </c>
      <c r="I3144" s="2">
        <v>24</v>
      </c>
      <c r="J3144" s="2" t="s">
        <v>48</v>
      </c>
      <c r="K3144" s="2" t="s">
        <v>8253</v>
      </c>
      <c r="L3144" s="2" t="s">
        <v>24</v>
      </c>
      <c r="M3144" s="2">
        <v>4</v>
      </c>
      <c r="N3144" s="2" t="s">
        <v>34</v>
      </c>
    </row>
    <row r="3145" spans="1:14" x14ac:dyDescent="0.25">
      <c r="A3145" s="2" t="s">
        <v>8254</v>
      </c>
      <c r="B3145" s="2" t="s">
        <v>8255</v>
      </c>
      <c r="C3145" s="2" t="s">
        <v>16</v>
      </c>
      <c r="D3145" s="2" t="s">
        <v>17</v>
      </c>
      <c r="E3145" s="2" t="s">
        <v>90</v>
      </c>
      <c r="F3145" s="2" t="s">
        <v>96</v>
      </c>
      <c r="G3145" s="2" t="s">
        <v>135</v>
      </c>
      <c r="H3145" s="2" t="s">
        <v>32</v>
      </c>
      <c r="I3145" s="2">
        <v>48</v>
      </c>
      <c r="J3145" s="2" t="s">
        <v>22</v>
      </c>
      <c r="K3145" s="2" t="s">
        <v>8256</v>
      </c>
      <c r="L3145" s="2" t="s">
        <v>24</v>
      </c>
      <c r="M3145" s="2">
        <v>5</v>
      </c>
      <c r="N3145" s="2"/>
    </row>
    <row r="3146" spans="1:14" x14ac:dyDescent="0.25">
      <c r="A3146" s="2" t="s">
        <v>8257</v>
      </c>
      <c r="B3146" s="2" t="s">
        <v>8258</v>
      </c>
      <c r="C3146" s="2" t="s">
        <v>53</v>
      </c>
      <c r="D3146" s="2" t="s">
        <v>61</v>
      </c>
      <c r="E3146" s="2" t="s">
        <v>38</v>
      </c>
      <c r="F3146" s="2" t="s">
        <v>113</v>
      </c>
      <c r="G3146" s="2" t="s">
        <v>183</v>
      </c>
      <c r="H3146" s="2" t="s">
        <v>21</v>
      </c>
      <c r="I3146" s="2">
        <v>24</v>
      </c>
      <c r="J3146" s="2" t="s">
        <v>155</v>
      </c>
      <c r="K3146" s="2"/>
      <c r="L3146" s="2" t="s">
        <v>24</v>
      </c>
      <c r="M3146" s="2"/>
      <c r="N3146" s="2"/>
    </row>
    <row r="3147" spans="1:14" x14ac:dyDescent="0.25">
      <c r="A3147" s="2" t="s">
        <v>8259</v>
      </c>
      <c r="B3147" s="2" t="s">
        <v>8260</v>
      </c>
      <c r="C3147" s="2" t="s">
        <v>28</v>
      </c>
      <c r="D3147" s="2" t="s">
        <v>100</v>
      </c>
      <c r="E3147" s="2" t="s">
        <v>148</v>
      </c>
      <c r="F3147" s="2" t="s">
        <v>62</v>
      </c>
      <c r="G3147" s="2" t="s">
        <v>110</v>
      </c>
      <c r="H3147" s="2" t="s">
        <v>74</v>
      </c>
      <c r="I3147" s="2">
        <v>8</v>
      </c>
      <c r="J3147" s="2" t="s">
        <v>287</v>
      </c>
      <c r="K3147" s="2"/>
      <c r="L3147" s="2" t="s">
        <v>92</v>
      </c>
      <c r="M3147" s="2"/>
      <c r="N3147" s="2" t="s">
        <v>50</v>
      </c>
    </row>
    <row r="3148" spans="1:14" x14ac:dyDescent="0.25">
      <c r="A3148" s="2" t="s">
        <v>8261</v>
      </c>
      <c r="B3148" s="2" t="s">
        <v>8262</v>
      </c>
      <c r="C3148" s="2" t="s">
        <v>16</v>
      </c>
      <c r="D3148" s="2" t="s">
        <v>17</v>
      </c>
      <c r="E3148" s="2" t="s">
        <v>79</v>
      </c>
      <c r="F3148" s="2" t="s">
        <v>39</v>
      </c>
      <c r="G3148" s="2" t="s">
        <v>91</v>
      </c>
      <c r="H3148" s="2" t="s">
        <v>32</v>
      </c>
      <c r="I3148" s="2">
        <v>48</v>
      </c>
      <c r="J3148" s="2" t="s">
        <v>33</v>
      </c>
      <c r="K3148" s="2"/>
      <c r="L3148" s="2" t="s">
        <v>24</v>
      </c>
      <c r="M3148" s="2"/>
      <c r="N3148" s="2"/>
    </row>
    <row r="3149" spans="1:14" x14ac:dyDescent="0.25">
      <c r="A3149" s="2" t="s">
        <v>8263</v>
      </c>
      <c r="B3149" s="2" t="s">
        <v>8264</v>
      </c>
      <c r="C3149" s="2" t="s">
        <v>53</v>
      </c>
      <c r="D3149" s="2" t="s">
        <v>54</v>
      </c>
      <c r="E3149" s="2" t="s">
        <v>38</v>
      </c>
      <c r="F3149" s="2" t="s">
        <v>30</v>
      </c>
      <c r="G3149" s="2" t="s">
        <v>139</v>
      </c>
      <c r="H3149" s="2" t="s">
        <v>21</v>
      </c>
      <c r="I3149" s="2">
        <v>24</v>
      </c>
      <c r="J3149" s="2" t="s">
        <v>106</v>
      </c>
      <c r="K3149" s="2" t="s">
        <v>8265</v>
      </c>
      <c r="L3149" s="2" t="s">
        <v>24</v>
      </c>
      <c r="M3149" s="2">
        <v>5</v>
      </c>
      <c r="N3149" s="2" t="s">
        <v>128</v>
      </c>
    </row>
    <row r="3150" spans="1:14" x14ac:dyDescent="0.25">
      <c r="A3150" s="2" t="s">
        <v>8266</v>
      </c>
      <c r="B3150" s="2" t="s">
        <v>8267</v>
      </c>
      <c r="C3150" s="2" t="s">
        <v>53</v>
      </c>
      <c r="D3150" s="2" t="s">
        <v>54</v>
      </c>
      <c r="E3150" s="2" t="s">
        <v>148</v>
      </c>
      <c r="F3150" s="2" t="s">
        <v>62</v>
      </c>
      <c r="G3150" s="2" t="s">
        <v>183</v>
      </c>
      <c r="H3150" s="2" t="s">
        <v>74</v>
      </c>
      <c r="I3150" s="2">
        <v>8</v>
      </c>
      <c r="J3150" s="2" t="s">
        <v>48</v>
      </c>
      <c r="K3150" s="2" t="s">
        <v>8268</v>
      </c>
      <c r="L3150" s="2" t="s">
        <v>24</v>
      </c>
      <c r="M3150" s="2">
        <v>1</v>
      </c>
      <c r="N3150" s="2"/>
    </row>
    <row r="3151" spans="1:14" x14ac:dyDescent="0.25">
      <c r="A3151" s="2" t="s">
        <v>8269</v>
      </c>
      <c r="B3151" s="2" t="s">
        <v>8270</v>
      </c>
      <c r="C3151" s="2" t="s">
        <v>28</v>
      </c>
      <c r="D3151" s="2" t="s">
        <v>37</v>
      </c>
      <c r="E3151" s="2" t="s">
        <v>148</v>
      </c>
      <c r="F3151" s="2" t="s">
        <v>113</v>
      </c>
      <c r="G3151" s="2" t="s">
        <v>97</v>
      </c>
      <c r="H3151" s="2" t="s">
        <v>21</v>
      </c>
      <c r="I3151" s="2">
        <v>24</v>
      </c>
      <c r="J3151" s="2" t="s">
        <v>191</v>
      </c>
      <c r="K3151" s="2" t="s">
        <v>8271</v>
      </c>
      <c r="L3151" s="2" t="s">
        <v>24</v>
      </c>
      <c r="M3151" s="2"/>
      <c r="N3151" s="2" t="s">
        <v>118</v>
      </c>
    </row>
    <row r="3152" spans="1:14" x14ac:dyDescent="0.25">
      <c r="A3152" s="2" t="s">
        <v>8272</v>
      </c>
      <c r="B3152" s="2" t="s">
        <v>8273</v>
      </c>
      <c r="C3152" s="2" t="s">
        <v>67</v>
      </c>
      <c r="D3152" s="2" t="s">
        <v>68</v>
      </c>
      <c r="E3152" s="2" t="s">
        <v>46</v>
      </c>
      <c r="F3152" s="2" t="s">
        <v>30</v>
      </c>
      <c r="G3152" s="2" t="s">
        <v>31</v>
      </c>
      <c r="H3152" s="2" t="s">
        <v>32</v>
      </c>
      <c r="I3152" s="2">
        <v>48</v>
      </c>
      <c r="J3152" s="2" t="s">
        <v>232</v>
      </c>
      <c r="K3152" s="2"/>
      <c r="L3152" s="2" t="s">
        <v>92</v>
      </c>
      <c r="M3152" s="2"/>
      <c r="N3152" s="2" t="s">
        <v>128</v>
      </c>
    </row>
    <row r="3153" spans="1:14" x14ac:dyDescent="0.25">
      <c r="A3153" s="2" t="s">
        <v>8274</v>
      </c>
      <c r="B3153" s="2" t="s">
        <v>8275</v>
      </c>
      <c r="C3153" s="2" t="s">
        <v>16</v>
      </c>
      <c r="D3153" s="2" t="s">
        <v>17</v>
      </c>
      <c r="E3153" s="2" t="s">
        <v>85</v>
      </c>
      <c r="F3153" s="2" t="s">
        <v>131</v>
      </c>
      <c r="G3153" s="2" t="s">
        <v>40</v>
      </c>
      <c r="H3153" s="2" t="s">
        <v>21</v>
      </c>
      <c r="I3153" s="2">
        <v>24</v>
      </c>
      <c r="J3153" s="2" t="s">
        <v>106</v>
      </c>
      <c r="K3153" s="2" t="s">
        <v>785</v>
      </c>
      <c r="L3153" s="2" t="s">
        <v>24</v>
      </c>
      <c r="M3153" s="2">
        <v>2</v>
      </c>
      <c r="N3153" s="2" t="s">
        <v>50</v>
      </c>
    </row>
    <row r="3154" spans="1:14" x14ac:dyDescent="0.25">
      <c r="A3154" s="2" t="s">
        <v>8276</v>
      </c>
      <c r="B3154" s="2" t="s">
        <v>8277</v>
      </c>
      <c r="C3154" s="2" t="s">
        <v>28</v>
      </c>
      <c r="D3154" s="2" t="s">
        <v>37</v>
      </c>
      <c r="E3154" s="2" t="s">
        <v>79</v>
      </c>
      <c r="F3154" s="2" t="s">
        <v>69</v>
      </c>
      <c r="G3154" s="2" t="s">
        <v>97</v>
      </c>
      <c r="H3154" s="2" t="s">
        <v>21</v>
      </c>
      <c r="I3154" s="2">
        <v>24</v>
      </c>
      <c r="J3154" s="2" t="s">
        <v>75</v>
      </c>
      <c r="K3154" s="2" t="s">
        <v>8278</v>
      </c>
      <c r="L3154" s="2" t="s">
        <v>24</v>
      </c>
      <c r="M3154" s="2">
        <v>1</v>
      </c>
      <c r="N3154" s="2" t="s">
        <v>50</v>
      </c>
    </row>
    <row r="3155" spans="1:14" x14ac:dyDescent="0.25">
      <c r="A3155" s="2" t="s">
        <v>8279</v>
      </c>
      <c r="B3155" s="2" t="s">
        <v>8280</v>
      </c>
      <c r="C3155" s="2" t="s">
        <v>28</v>
      </c>
      <c r="D3155" s="2" t="s">
        <v>37</v>
      </c>
      <c r="E3155" s="2" t="s">
        <v>79</v>
      </c>
      <c r="F3155" s="2" t="s">
        <v>131</v>
      </c>
      <c r="G3155" s="2" t="s">
        <v>101</v>
      </c>
      <c r="H3155" s="2" t="s">
        <v>32</v>
      </c>
      <c r="I3155" s="2">
        <v>48</v>
      </c>
      <c r="J3155" s="2" t="s">
        <v>22</v>
      </c>
      <c r="K3155" s="2" t="s">
        <v>8281</v>
      </c>
      <c r="L3155" s="2" t="s">
        <v>24</v>
      </c>
      <c r="M3155" s="2">
        <v>3</v>
      </c>
      <c r="N3155" s="2" t="s">
        <v>50</v>
      </c>
    </row>
    <row r="3156" spans="1:14" x14ac:dyDescent="0.25">
      <c r="A3156" s="2" t="s">
        <v>8282</v>
      </c>
      <c r="B3156" s="2" t="s">
        <v>8283</v>
      </c>
      <c r="C3156" s="2" t="s">
        <v>67</v>
      </c>
      <c r="D3156" s="2" t="s">
        <v>95</v>
      </c>
      <c r="E3156" s="2" t="s">
        <v>90</v>
      </c>
      <c r="F3156" s="2" t="s">
        <v>47</v>
      </c>
      <c r="G3156" s="2" t="s">
        <v>183</v>
      </c>
      <c r="H3156" s="2" t="s">
        <v>21</v>
      </c>
      <c r="I3156" s="2">
        <v>24</v>
      </c>
      <c r="J3156" s="2" t="s">
        <v>33</v>
      </c>
      <c r="K3156" s="2"/>
      <c r="L3156" s="2" t="s">
        <v>24</v>
      </c>
      <c r="M3156" s="2"/>
      <c r="N3156" s="2" t="s">
        <v>34</v>
      </c>
    </row>
    <row r="3157" spans="1:14" x14ac:dyDescent="0.25">
      <c r="A3157" s="2" t="s">
        <v>8284</v>
      </c>
      <c r="B3157" s="2" t="s">
        <v>8285</v>
      </c>
      <c r="C3157" s="2" t="s">
        <v>67</v>
      </c>
      <c r="D3157" s="2" t="s">
        <v>68</v>
      </c>
      <c r="E3157" s="2" t="s">
        <v>79</v>
      </c>
      <c r="F3157" s="2" t="s">
        <v>47</v>
      </c>
      <c r="G3157" s="2" t="s">
        <v>126</v>
      </c>
      <c r="H3157" s="2" t="s">
        <v>21</v>
      </c>
      <c r="I3157" s="2">
        <v>24</v>
      </c>
      <c r="J3157" s="2" t="s">
        <v>149</v>
      </c>
      <c r="K3157" s="2"/>
      <c r="L3157" s="2" t="s">
        <v>92</v>
      </c>
      <c r="M3157" s="2"/>
      <c r="N3157" s="2" t="s">
        <v>43</v>
      </c>
    </row>
    <row r="3158" spans="1:14" x14ac:dyDescent="0.25">
      <c r="A3158" s="2" t="s">
        <v>8286</v>
      </c>
      <c r="B3158" s="2" t="s">
        <v>8287</v>
      </c>
      <c r="C3158" s="2" t="s">
        <v>16</v>
      </c>
      <c r="D3158" s="2" t="s">
        <v>84</v>
      </c>
      <c r="E3158" s="2" t="s">
        <v>38</v>
      </c>
      <c r="F3158" s="2" t="s">
        <v>62</v>
      </c>
      <c r="G3158" s="2" t="s">
        <v>179</v>
      </c>
      <c r="H3158" s="2" t="s">
        <v>21</v>
      </c>
      <c r="I3158" s="2">
        <v>24</v>
      </c>
      <c r="J3158" s="2" t="s">
        <v>75</v>
      </c>
      <c r="K3158" s="2" t="s">
        <v>8288</v>
      </c>
      <c r="L3158" s="2" t="s">
        <v>24</v>
      </c>
      <c r="M3158" s="2">
        <v>3</v>
      </c>
      <c r="N3158" s="2" t="s">
        <v>128</v>
      </c>
    </row>
    <row r="3159" spans="1:14" x14ac:dyDescent="0.25">
      <c r="A3159" s="2" t="s">
        <v>8289</v>
      </c>
      <c r="B3159" s="2" t="s">
        <v>8290</v>
      </c>
      <c r="C3159" s="2" t="s">
        <v>28</v>
      </c>
      <c r="D3159" s="2" t="s">
        <v>100</v>
      </c>
      <c r="E3159" s="2" t="s">
        <v>90</v>
      </c>
      <c r="F3159" s="2" t="s">
        <v>125</v>
      </c>
      <c r="G3159" s="2" t="s">
        <v>31</v>
      </c>
      <c r="H3159" s="2" t="s">
        <v>74</v>
      </c>
      <c r="I3159" s="2">
        <v>8</v>
      </c>
      <c r="J3159" s="2" t="s">
        <v>149</v>
      </c>
      <c r="K3159" s="2"/>
      <c r="L3159" s="2" t="s">
        <v>24</v>
      </c>
      <c r="M3159" s="2"/>
      <c r="N3159" s="2" t="s">
        <v>50</v>
      </c>
    </row>
    <row r="3160" spans="1:14" x14ac:dyDescent="0.25">
      <c r="A3160" s="2" t="s">
        <v>8291</v>
      </c>
      <c r="B3160" s="2" t="s">
        <v>8292</v>
      </c>
      <c r="C3160" s="2" t="s">
        <v>28</v>
      </c>
      <c r="D3160" s="2" t="s">
        <v>37</v>
      </c>
      <c r="E3160" s="2" t="s">
        <v>79</v>
      </c>
      <c r="F3160" s="2" t="s">
        <v>47</v>
      </c>
      <c r="G3160" s="2" t="s">
        <v>91</v>
      </c>
      <c r="H3160" s="2" t="s">
        <v>21</v>
      </c>
      <c r="I3160" s="2">
        <v>24</v>
      </c>
      <c r="J3160" s="2" t="s">
        <v>106</v>
      </c>
      <c r="K3160" s="2"/>
      <c r="L3160" s="2" t="s">
        <v>24</v>
      </c>
      <c r="M3160" s="2">
        <v>5</v>
      </c>
      <c r="N3160" s="2" t="s">
        <v>128</v>
      </c>
    </row>
    <row r="3161" spans="1:14" x14ac:dyDescent="0.25">
      <c r="A3161" s="2" t="s">
        <v>8293</v>
      </c>
      <c r="B3161" s="2" t="s">
        <v>8294</v>
      </c>
      <c r="C3161" s="2" t="s">
        <v>67</v>
      </c>
      <c r="D3161" s="2" t="s">
        <v>68</v>
      </c>
      <c r="E3161" s="2" t="s">
        <v>148</v>
      </c>
      <c r="F3161" s="2" t="s">
        <v>30</v>
      </c>
      <c r="G3161" s="2" t="s">
        <v>139</v>
      </c>
      <c r="H3161" s="2" t="s">
        <v>32</v>
      </c>
      <c r="I3161" s="2">
        <v>48</v>
      </c>
      <c r="J3161" s="2" t="s">
        <v>287</v>
      </c>
      <c r="K3161" s="2"/>
      <c r="L3161" s="2" t="s">
        <v>24</v>
      </c>
      <c r="M3161" s="2"/>
      <c r="N3161" s="2" t="s">
        <v>128</v>
      </c>
    </row>
    <row r="3162" spans="1:14" x14ac:dyDescent="0.25">
      <c r="A3162" s="2" t="s">
        <v>8295</v>
      </c>
      <c r="B3162" s="2" t="s">
        <v>8296</v>
      </c>
      <c r="C3162" s="2" t="s">
        <v>67</v>
      </c>
      <c r="D3162" s="2" t="s">
        <v>68</v>
      </c>
      <c r="E3162" s="2" t="s">
        <v>18</v>
      </c>
      <c r="F3162" s="2" t="s">
        <v>55</v>
      </c>
      <c r="G3162" s="2" t="s">
        <v>31</v>
      </c>
      <c r="H3162" s="2" t="s">
        <v>32</v>
      </c>
      <c r="I3162" s="2">
        <v>48</v>
      </c>
      <c r="J3162" s="2" t="s">
        <v>486</v>
      </c>
      <c r="K3162" s="2" t="s">
        <v>8297</v>
      </c>
      <c r="L3162" s="2" t="s">
        <v>24</v>
      </c>
      <c r="M3162" s="2"/>
      <c r="N3162" s="2" t="s">
        <v>118</v>
      </c>
    </row>
    <row r="3163" spans="1:14" x14ac:dyDescent="0.25">
      <c r="A3163" s="2" t="s">
        <v>8298</v>
      </c>
      <c r="B3163" s="2" t="s">
        <v>8299</v>
      </c>
      <c r="C3163" s="2" t="s">
        <v>16</v>
      </c>
      <c r="D3163" s="2" t="s">
        <v>84</v>
      </c>
      <c r="E3163" s="2" t="s">
        <v>85</v>
      </c>
      <c r="F3163" s="2" t="s">
        <v>55</v>
      </c>
      <c r="G3163" s="2" t="s">
        <v>144</v>
      </c>
      <c r="H3163" s="2" t="s">
        <v>21</v>
      </c>
      <c r="I3163" s="2">
        <v>24</v>
      </c>
      <c r="J3163" s="2" t="s">
        <v>232</v>
      </c>
      <c r="K3163" s="2"/>
      <c r="L3163" s="2" t="s">
        <v>92</v>
      </c>
      <c r="M3163" s="2"/>
      <c r="N3163" s="2" t="s">
        <v>128</v>
      </c>
    </row>
    <row r="3164" spans="1:14" x14ac:dyDescent="0.25">
      <c r="A3164" s="2" t="s">
        <v>8300</v>
      </c>
      <c r="B3164" s="2" t="s">
        <v>8301</v>
      </c>
      <c r="C3164" s="2" t="s">
        <v>28</v>
      </c>
      <c r="D3164" s="2" t="s">
        <v>100</v>
      </c>
      <c r="E3164" s="2" t="s">
        <v>18</v>
      </c>
      <c r="F3164" s="2" t="s">
        <v>131</v>
      </c>
      <c r="G3164" s="2" t="s">
        <v>97</v>
      </c>
      <c r="H3164" s="2" t="s">
        <v>74</v>
      </c>
      <c r="I3164" s="2">
        <v>8</v>
      </c>
      <c r="J3164" s="2" t="s">
        <v>75</v>
      </c>
      <c r="K3164" s="2" t="s">
        <v>8302</v>
      </c>
      <c r="L3164" s="2" t="s">
        <v>24</v>
      </c>
      <c r="M3164" s="2"/>
      <c r="N3164" s="2" t="s">
        <v>64</v>
      </c>
    </row>
    <row r="3165" spans="1:14" x14ac:dyDescent="0.25">
      <c r="A3165" s="2" t="s">
        <v>8303</v>
      </c>
      <c r="B3165" s="2" t="s">
        <v>8304</v>
      </c>
      <c r="C3165" s="2" t="s">
        <v>16</v>
      </c>
      <c r="D3165" s="2" t="s">
        <v>84</v>
      </c>
      <c r="E3165" s="2" t="s">
        <v>148</v>
      </c>
      <c r="F3165" s="2" t="s">
        <v>125</v>
      </c>
      <c r="G3165" s="2" t="s">
        <v>211</v>
      </c>
      <c r="H3165" s="2" t="s">
        <v>32</v>
      </c>
      <c r="I3165" s="2">
        <v>48</v>
      </c>
      <c r="J3165" s="2" t="s">
        <v>232</v>
      </c>
      <c r="K3165" s="2"/>
      <c r="L3165" s="2" t="s">
        <v>92</v>
      </c>
      <c r="M3165" s="2"/>
      <c r="N3165" s="2" t="s">
        <v>118</v>
      </c>
    </row>
    <row r="3166" spans="1:14" x14ac:dyDescent="0.25">
      <c r="A3166" s="2" t="s">
        <v>8305</v>
      </c>
      <c r="B3166" s="2" t="s">
        <v>8306</v>
      </c>
      <c r="C3166" s="2" t="s">
        <v>16</v>
      </c>
      <c r="D3166" s="2" t="s">
        <v>17</v>
      </c>
      <c r="E3166" s="2" t="s">
        <v>38</v>
      </c>
      <c r="F3166" s="2" t="s">
        <v>125</v>
      </c>
      <c r="G3166" s="2" t="s">
        <v>91</v>
      </c>
      <c r="H3166" s="2" t="s">
        <v>74</v>
      </c>
      <c r="I3166" s="2">
        <v>8</v>
      </c>
      <c r="J3166" s="2" t="s">
        <v>11</v>
      </c>
      <c r="K3166" s="2"/>
      <c r="L3166" s="2" t="s">
        <v>92</v>
      </c>
      <c r="M3166" s="2"/>
      <c r="N3166" s="2" t="s">
        <v>64</v>
      </c>
    </row>
    <row r="3167" spans="1:14" x14ac:dyDescent="0.25">
      <c r="A3167" s="2" t="s">
        <v>8307</v>
      </c>
      <c r="B3167" s="2" t="s">
        <v>112</v>
      </c>
      <c r="C3167" s="2" t="s">
        <v>16</v>
      </c>
      <c r="D3167" s="2" t="s">
        <v>84</v>
      </c>
      <c r="E3167" s="2" t="s">
        <v>148</v>
      </c>
      <c r="F3167" s="2" t="s">
        <v>62</v>
      </c>
      <c r="G3167" s="2" t="s">
        <v>135</v>
      </c>
      <c r="H3167" s="2" t="s">
        <v>32</v>
      </c>
      <c r="I3167" s="2">
        <v>48</v>
      </c>
      <c r="J3167" s="2" t="s">
        <v>200</v>
      </c>
      <c r="K3167" s="2"/>
      <c r="L3167" s="2" t="s">
        <v>92</v>
      </c>
      <c r="M3167" s="2"/>
      <c r="N3167" s="2" t="s">
        <v>50</v>
      </c>
    </row>
    <row r="3168" spans="1:14" x14ac:dyDescent="0.25">
      <c r="A3168" s="2" t="s">
        <v>8308</v>
      </c>
      <c r="B3168" s="2" t="s">
        <v>8309</v>
      </c>
      <c r="C3168" s="2" t="s">
        <v>28</v>
      </c>
      <c r="D3168" s="2" t="s">
        <v>37</v>
      </c>
      <c r="E3168" s="2" t="s">
        <v>148</v>
      </c>
      <c r="F3168" s="2" t="s">
        <v>69</v>
      </c>
      <c r="G3168" s="2" t="s">
        <v>121</v>
      </c>
      <c r="H3168" s="2" t="s">
        <v>21</v>
      </c>
      <c r="I3168" s="2">
        <v>24</v>
      </c>
      <c r="J3168" s="2" t="s">
        <v>41</v>
      </c>
      <c r="K3168" s="2" t="s">
        <v>8310</v>
      </c>
      <c r="L3168" s="2" t="s">
        <v>24</v>
      </c>
      <c r="M3168" s="2">
        <v>5</v>
      </c>
      <c r="N3168" s="2" t="s">
        <v>34</v>
      </c>
    </row>
    <row r="3169" spans="1:14" x14ac:dyDescent="0.25">
      <c r="A3169" s="2" t="s">
        <v>8311</v>
      </c>
      <c r="B3169" s="2" t="s">
        <v>8312</v>
      </c>
      <c r="C3169" s="2" t="s">
        <v>67</v>
      </c>
      <c r="D3169" s="2" t="s">
        <v>601</v>
      </c>
      <c r="E3169" s="2" t="s">
        <v>79</v>
      </c>
      <c r="F3169" s="2" t="s">
        <v>113</v>
      </c>
      <c r="G3169" s="2" t="s">
        <v>135</v>
      </c>
      <c r="H3169" s="2" t="s">
        <v>21</v>
      </c>
      <c r="I3169" s="2">
        <v>24</v>
      </c>
      <c r="J3169" s="2" t="s">
        <v>106</v>
      </c>
      <c r="K3169" s="2" t="s">
        <v>8313</v>
      </c>
      <c r="L3169" s="2" t="s">
        <v>24</v>
      </c>
      <c r="M3169" s="2">
        <v>5</v>
      </c>
      <c r="N3169" s="2" t="s">
        <v>118</v>
      </c>
    </row>
    <row r="3170" spans="1:14" x14ac:dyDescent="0.25">
      <c r="A3170" s="2" t="s">
        <v>8314</v>
      </c>
      <c r="B3170" s="2" t="s">
        <v>8315</v>
      </c>
      <c r="C3170" s="2" t="s">
        <v>67</v>
      </c>
      <c r="D3170" s="2" t="s">
        <v>68</v>
      </c>
      <c r="E3170" s="2" t="s">
        <v>79</v>
      </c>
      <c r="F3170" s="2" t="s">
        <v>125</v>
      </c>
      <c r="G3170" s="2" t="s">
        <v>70</v>
      </c>
      <c r="H3170" s="2" t="s">
        <v>32</v>
      </c>
      <c r="I3170" s="2">
        <v>48</v>
      </c>
      <c r="J3170" s="2" t="s">
        <v>75</v>
      </c>
      <c r="K3170" s="2" t="s">
        <v>8316</v>
      </c>
      <c r="L3170" s="2" t="s">
        <v>24</v>
      </c>
      <c r="M3170" s="2"/>
      <c r="N3170" s="2" t="s">
        <v>25</v>
      </c>
    </row>
    <row r="3171" spans="1:14" x14ac:dyDescent="0.25">
      <c r="A3171" s="2" t="s">
        <v>8317</v>
      </c>
      <c r="B3171" s="2" t="s">
        <v>8318</v>
      </c>
      <c r="C3171" s="2" t="s">
        <v>53</v>
      </c>
      <c r="D3171" s="2" t="s">
        <v>54</v>
      </c>
      <c r="E3171" s="2" t="s">
        <v>148</v>
      </c>
      <c r="F3171" s="2" t="s">
        <v>96</v>
      </c>
      <c r="G3171" s="2" t="s">
        <v>211</v>
      </c>
      <c r="H3171" s="2" t="s">
        <v>80</v>
      </c>
      <c r="I3171" s="2">
        <v>4</v>
      </c>
      <c r="J3171" s="2" t="s">
        <v>48</v>
      </c>
      <c r="K3171" s="2" t="s">
        <v>8319</v>
      </c>
      <c r="L3171" s="2" t="s">
        <v>24</v>
      </c>
      <c r="M3171" s="2"/>
      <c r="N3171" s="2" t="s">
        <v>50</v>
      </c>
    </row>
    <row r="3172" spans="1:14" x14ac:dyDescent="0.25">
      <c r="A3172" s="2" t="s">
        <v>8320</v>
      </c>
      <c r="B3172" s="2" t="s">
        <v>8321</v>
      </c>
      <c r="C3172" s="2" t="s">
        <v>16</v>
      </c>
      <c r="D3172" s="2" t="s">
        <v>17</v>
      </c>
      <c r="E3172" s="2" t="s">
        <v>38</v>
      </c>
      <c r="F3172" s="2" t="s">
        <v>96</v>
      </c>
      <c r="G3172" s="2" t="s">
        <v>158</v>
      </c>
      <c r="H3172" s="2" t="s">
        <v>32</v>
      </c>
      <c r="I3172" s="2">
        <v>48</v>
      </c>
      <c r="J3172" s="2" t="s">
        <v>200</v>
      </c>
      <c r="K3172" s="2"/>
      <c r="L3172" s="2" t="s">
        <v>92</v>
      </c>
      <c r="M3172" s="2"/>
      <c r="N3172" s="2" t="s">
        <v>50</v>
      </c>
    </row>
    <row r="3173" spans="1:14" x14ac:dyDescent="0.25">
      <c r="A3173" s="2" t="s">
        <v>8322</v>
      </c>
      <c r="B3173" s="2" t="s">
        <v>8323</v>
      </c>
      <c r="C3173" s="2" t="s">
        <v>53</v>
      </c>
      <c r="D3173" s="2" t="s">
        <v>54</v>
      </c>
      <c r="E3173" s="2" t="s">
        <v>90</v>
      </c>
      <c r="F3173" s="2" t="s">
        <v>55</v>
      </c>
      <c r="G3173" s="2" t="s">
        <v>20</v>
      </c>
      <c r="H3173" s="2" t="s">
        <v>32</v>
      </c>
      <c r="I3173" s="2">
        <v>48</v>
      </c>
      <c r="J3173" s="2" t="s">
        <v>106</v>
      </c>
      <c r="K3173" s="2" t="s">
        <v>8324</v>
      </c>
      <c r="L3173" s="2" t="s">
        <v>24</v>
      </c>
      <c r="M3173" s="2"/>
      <c r="N3173" s="2" t="s">
        <v>34</v>
      </c>
    </row>
    <row r="3174" spans="1:14" x14ac:dyDescent="0.25">
      <c r="A3174" s="2" t="s">
        <v>8325</v>
      </c>
      <c r="B3174" s="2" t="s">
        <v>8326</v>
      </c>
      <c r="C3174" s="2" t="s">
        <v>16</v>
      </c>
      <c r="D3174" s="2" t="s">
        <v>17</v>
      </c>
      <c r="E3174" s="2" t="s">
        <v>148</v>
      </c>
      <c r="F3174" s="2" t="s">
        <v>113</v>
      </c>
      <c r="G3174" s="2" t="s">
        <v>211</v>
      </c>
      <c r="H3174" s="2" t="s">
        <v>21</v>
      </c>
      <c r="I3174" s="2">
        <v>24</v>
      </c>
      <c r="J3174" s="2" t="s">
        <v>191</v>
      </c>
      <c r="K3174" s="2" t="s">
        <v>8327</v>
      </c>
      <c r="L3174" s="2" t="s">
        <v>24</v>
      </c>
      <c r="M3174" s="2"/>
      <c r="N3174" s="2" t="s">
        <v>58</v>
      </c>
    </row>
    <row r="3175" spans="1:14" x14ac:dyDescent="0.25">
      <c r="A3175" s="2" t="s">
        <v>8328</v>
      </c>
      <c r="B3175" s="2" t="s">
        <v>8329</v>
      </c>
      <c r="C3175" s="2" t="s">
        <v>16</v>
      </c>
      <c r="D3175" s="2" t="s">
        <v>84</v>
      </c>
      <c r="E3175" s="2" t="s">
        <v>85</v>
      </c>
      <c r="F3175" s="2" t="s">
        <v>39</v>
      </c>
      <c r="G3175" s="2" t="s">
        <v>179</v>
      </c>
      <c r="H3175" s="2" t="s">
        <v>32</v>
      </c>
      <c r="I3175" s="2">
        <v>48</v>
      </c>
      <c r="J3175" s="2" t="s">
        <v>22</v>
      </c>
      <c r="K3175" s="2" t="s">
        <v>8330</v>
      </c>
      <c r="L3175" s="2" t="s">
        <v>24</v>
      </c>
      <c r="M3175" s="2">
        <v>4</v>
      </c>
      <c r="N3175" s="2" t="s">
        <v>118</v>
      </c>
    </row>
    <row r="3176" spans="1:14" x14ac:dyDescent="0.25">
      <c r="A3176" s="2" t="s">
        <v>8331</v>
      </c>
      <c r="B3176" s="2" t="s">
        <v>8332</v>
      </c>
      <c r="C3176" s="2" t="s">
        <v>53</v>
      </c>
      <c r="D3176" s="2" t="s">
        <v>54</v>
      </c>
      <c r="E3176" s="2" t="s">
        <v>85</v>
      </c>
      <c r="F3176" s="2" t="s">
        <v>47</v>
      </c>
      <c r="G3176" s="2" t="s">
        <v>158</v>
      </c>
      <c r="H3176" s="2" t="s">
        <v>32</v>
      </c>
      <c r="I3176" s="2">
        <v>48</v>
      </c>
      <c r="J3176" s="2" t="s">
        <v>200</v>
      </c>
      <c r="K3176" s="2"/>
      <c r="L3176" s="2" t="s">
        <v>92</v>
      </c>
      <c r="M3176" s="2"/>
      <c r="N3176" s="2" t="s">
        <v>25</v>
      </c>
    </row>
    <row r="3177" spans="1:14" x14ac:dyDescent="0.25">
      <c r="A3177" s="2" t="s">
        <v>8333</v>
      </c>
      <c r="B3177" s="2" t="s">
        <v>8334</v>
      </c>
      <c r="C3177" s="2" t="s">
        <v>53</v>
      </c>
      <c r="D3177" s="2" t="s">
        <v>61</v>
      </c>
      <c r="E3177" s="2" t="s">
        <v>85</v>
      </c>
      <c r="F3177" s="2" t="s">
        <v>96</v>
      </c>
      <c r="G3177" s="2" t="s">
        <v>121</v>
      </c>
      <c r="H3177" s="2" t="s">
        <v>74</v>
      </c>
      <c r="I3177" s="2">
        <v>8</v>
      </c>
      <c r="J3177" s="2" t="s">
        <v>187</v>
      </c>
      <c r="K3177" s="2" t="s">
        <v>8335</v>
      </c>
      <c r="L3177" s="2" t="s">
        <v>24</v>
      </c>
      <c r="M3177" s="2">
        <v>5</v>
      </c>
      <c r="N3177" s="2" t="s">
        <v>118</v>
      </c>
    </row>
    <row r="3178" spans="1:14" x14ac:dyDescent="0.25">
      <c r="A3178" s="2" t="s">
        <v>8336</v>
      </c>
      <c r="B3178" s="2" t="s">
        <v>8337</v>
      </c>
      <c r="C3178" s="2" t="s">
        <v>16</v>
      </c>
      <c r="D3178" s="2" t="s">
        <v>17</v>
      </c>
      <c r="E3178" s="2" t="s">
        <v>46</v>
      </c>
      <c r="F3178" s="2" t="s">
        <v>113</v>
      </c>
      <c r="G3178" s="2" t="s">
        <v>183</v>
      </c>
      <c r="H3178" s="2" t="s">
        <v>21</v>
      </c>
      <c r="I3178" s="2">
        <v>24</v>
      </c>
      <c r="J3178" s="2" t="s">
        <v>106</v>
      </c>
      <c r="K3178" s="2" t="s">
        <v>8338</v>
      </c>
      <c r="L3178" s="2" t="s">
        <v>24</v>
      </c>
      <c r="M3178" s="2"/>
      <c r="N3178" s="2"/>
    </row>
    <row r="3179" spans="1:14" x14ac:dyDescent="0.25">
      <c r="A3179" s="2" t="s">
        <v>8339</v>
      </c>
      <c r="B3179" s="2" t="s">
        <v>8340</v>
      </c>
      <c r="C3179" s="2" t="s">
        <v>28</v>
      </c>
      <c r="D3179" s="2" t="s">
        <v>29</v>
      </c>
      <c r="E3179" s="2" t="s">
        <v>90</v>
      </c>
      <c r="F3179" s="2" t="s">
        <v>143</v>
      </c>
      <c r="G3179" s="2" t="s">
        <v>97</v>
      </c>
      <c r="H3179" s="2" t="s">
        <v>21</v>
      </c>
      <c r="I3179" s="2">
        <v>24</v>
      </c>
      <c r="J3179" s="2" t="s">
        <v>117</v>
      </c>
      <c r="K3179" s="2"/>
      <c r="L3179" s="2" t="s">
        <v>24</v>
      </c>
      <c r="M3179" s="2"/>
      <c r="N3179" s="2" t="s">
        <v>64</v>
      </c>
    </row>
    <row r="3180" spans="1:14" x14ac:dyDescent="0.25">
      <c r="A3180" s="2" t="s">
        <v>8341</v>
      </c>
      <c r="B3180" s="2" t="s">
        <v>8342</v>
      </c>
      <c r="C3180" s="2" t="s">
        <v>28</v>
      </c>
      <c r="D3180" s="2" t="s">
        <v>100</v>
      </c>
      <c r="E3180" s="2" t="s">
        <v>46</v>
      </c>
      <c r="F3180" s="2" t="s">
        <v>113</v>
      </c>
      <c r="G3180" s="2" t="s">
        <v>91</v>
      </c>
      <c r="H3180" s="2" t="s">
        <v>32</v>
      </c>
      <c r="I3180" s="2">
        <v>48</v>
      </c>
      <c r="J3180" s="2" t="s">
        <v>41</v>
      </c>
      <c r="K3180" s="2" t="s">
        <v>8343</v>
      </c>
      <c r="L3180" s="2" t="s">
        <v>24</v>
      </c>
      <c r="M3180" s="2">
        <v>2</v>
      </c>
      <c r="N3180" s="2"/>
    </row>
    <row r="3181" spans="1:14" x14ac:dyDescent="0.25">
      <c r="A3181" s="2" t="s">
        <v>8344</v>
      </c>
      <c r="B3181" s="2" t="s">
        <v>8345</v>
      </c>
      <c r="C3181" s="2" t="s">
        <v>28</v>
      </c>
      <c r="D3181" s="2" t="s">
        <v>100</v>
      </c>
      <c r="E3181" s="2" t="s">
        <v>90</v>
      </c>
      <c r="F3181" s="2" t="s">
        <v>96</v>
      </c>
      <c r="G3181" s="2" t="s">
        <v>183</v>
      </c>
      <c r="H3181" s="2" t="s">
        <v>21</v>
      </c>
      <c r="I3181" s="2">
        <v>24</v>
      </c>
      <c r="J3181" s="2" t="s">
        <v>200</v>
      </c>
      <c r="K3181" s="2"/>
      <c r="L3181" s="2" t="s">
        <v>92</v>
      </c>
      <c r="M3181" s="2"/>
      <c r="N3181" s="2"/>
    </row>
    <row r="3182" spans="1:14" x14ac:dyDescent="0.25">
      <c r="A3182" s="2" t="s">
        <v>8346</v>
      </c>
      <c r="B3182" s="2" t="s">
        <v>8347</v>
      </c>
      <c r="C3182" s="2" t="s">
        <v>67</v>
      </c>
      <c r="D3182" s="2" t="s">
        <v>95</v>
      </c>
      <c r="E3182" s="2" t="s">
        <v>79</v>
      </c>
      <c r="F3182" s="2" t="s">
        <v>30</v>
      </c>
      <c r="G3182" s="2" t="s">
        <v>211</v>
      </c>
      <c r="H3182" s="2" t="s">
        <v>21</v>
      </c>
      <c r="I3182" s="2">
        <v>24</v>
      </c>
      <c r="J3182" s="2" t="s">
        <v>187</v>
      </c>
      <c r="K3182" s="2" t="s">
        <v>8348</v>
      </c>
      <c r="L3182" s="2" t="s">
        <v>24</v>
      </c>
      <c r="M3182" s="2">
        <v>5</v>
      </c>
      <c r="N3182" s="2" t="s">
        <v>43</v>
      </c>
    </row>
    <row r="3183" spans="1:14" x14ac:dyDescent="0.25">
      <c r="A3183" s="2" t="s">
        <v>8349</v>
      </c>
      <c r="B3183" s="2" t="s">
        <v>8350</v>
      </c>
      <c r="C3183" s="2" t="s">
        <v>53</v>
      </c>
      <c r="D3183" s="2" t="s">
        <v>61</v>
      </c>
      <c r="E3183" s="2" t="s">
        <v>90</v>
      </c>
      <c r="F3183" s="2" t="s">
        <v>39</v>
      </c>
      <c r="G3183" s="2" t="s">
        <v>139</v>
      </c>
      <c r="H3183" s="2" t="s">
        <v>32</v>
      </c>
      <c r="I3183" s="2">
        <v>48</v>
      </c>
      <c r="J3183" s="2" t="s">
        <v>106</v>
      </c>
      <c r="K3183" s="2" t="s">
        <v>8351</v>
      </c>
      <c r="L3183" s="2" t="s">
        <v>24</v>
      </c>
      <c r="M3183" s="2"/>
      <c r="N3183" s="2" t="s">
        <v>43</v>
      </c>
    </row>
    <row r="3184" spans="1:14" x14ac:dyDescent="0.25">
      <c r="A3184" s="2" t="s">
        <v>7227</v>
      </c>
      <c r="B3184" s="2" t="s">
        <v>7228</v>
      </c>
      <c r="C3184" s="2" t="s">
        <v>28</v>
      </c>
      <c r="D3184" s="2" t="s">
        <v>29</v>
      </c>
      <c r="E3184" s="2" t="s">
        <v>85</v>
      </c>
      <c r="F3184" s="2" t="s">
        <v>30</v>
      </c>
      <c r="G3184" s="2" t="s">
        <v>110</v>
      </c>
      <c r="H3184" s="2" t="s">
        <v>74</v>
      </c>
      <c r="I3184" s="2">
        <v>8</v>
      </c>
      <c r="J3184" s="2" t="s">
        <v>33</v>
      </c>
      <c r="K3184" s="2"/>
      <c r="L3184" s="2" t="s">
        <v>24</v>
      </c>
      <c r="M3184" s="2"/>
      <c r="N3184" s="2" t="s">
        <v>25</v>
      </c>
    </row>
    <row r="3185" spans="1:14" x14ac:dyDescent="0.25">
      <c r="A3185" s="2" t="s">
        <v>8352</v>
      </c>
      <c r="B3185" s="2" t="s">
        <v>8353</v>
      </c>
      <c r="C3185" s="2" t="s">
        <v>16</v>
      </c>
      <c r="D3185" s="2" t="s">
        <v>17</v>
      </c>
      <c r="E3185" s="2" t="s">
        <v>79</v>
      </c>
      <c r="F3185" s="2" t="s">
        <v>125</v>
      </c>
      <c r="G3185" s="2" t="s">
        <v>144</v>
      </c>
      <c r="H3185" s="2" t="s">
        <v>32</v>
      </c>
      <c r="I3185" s="2">
        <v>48</v>
      </c>
      <c r="J3185" s="2" t="s">
        <v>287</v>
      </c>
      <c r="K3185" s="2"/>
      <c r="L3185" s="2" t="s">
        <v>24</v>
      </c>
      <c r="M3185" s="2"/>
      <c r="N3185" s="2"/>
    </row>
    <row r="3186" spans="1:14" x14ac:dyDescent="0.25">
      <c r="A3186" s="2" t="s">
        <v>8354</v>
      </c>
      <c r="B3186" s="2" t="s">
        <v>8355</v>
      </c>
      <c r="C3186" s="2" t="s">
        <v>53</v>
      </c>
      <c r="D3186" s="2" t="s">
        <v>61</v>
      </c>
      <c r="E3186" s="2" t="s">
        <v>46</v>
      </c>
      <c r="F3186" s="2" t="s">
        <v>47</v>
      </c>
      <c r="G3186" s="2" t="s">
        <v>40</v>
      </c>
      <c r="H3186" s="2" t="s">
        <v>21</v>
      </c>
      <c r="I3186" s="2">
        <v>24</v>
      </c>
      <c r="J3186" s="2" t="s">
        <v>75</v>
      </c>
      <c r="K3186" s="2" t="s">
        <v>8356</v>
      </c>
      <c r="L3186" s="2" t="s">
        <v>24</v>
      </c>
      <c r="M3186" s="2">
        <v>5</v>
      </c>
      <c r="N3186" s="2" t="s">
        <v>34</v>
      </c>
    </row>
    <row r="3187" spans="1:14" x14ac:dyDescent="0.25">
      <c r="A3187" s="2" t="s">
        <v>8357</v>
      </c>
      <c r="B3187" s="2" t="s">
        <v>8358</v>
      </c>
      <c r="C3187" s="2" t="s">
        <v>67</v>
      </c>
      <c r="D3187" s="2" t="s">
        <v>68</v>
      </c>
      <c r="E3187" s="2" t="s">
        <v>18</v>
      </c>
      <c r="F3187" s="2" t="s">
        <v>30</v>
      </c>
      <c r="G3187" s="2" t="s">
        <v>40</v>
      </c>
      <c r="H3187" s="2" t="s">
        <v>21</v>
      </c>
      <c r="I3187" s="2">
        <v>24</v>
      </c>
      <c r="J3187" s="2" t="s">
        <v>22</v>
      </c>
      <c r="K3187" s="2" t="s">
        <v>8359</v>
      </c>
      <c r="L3187" s="2" t="s">
        <v>24</v>
      </c>
      <c r="M3187" s="2">
        <v>2</v>
      </c>
      <c r="N3187" s="2" t="s">
        <v>118</v>
      </c>
    </row>
    <row r="3188" spans="1:14" x14ac:dyDescent="0.25">
      <c r="A3188" s="2" t="s">
        <v>8360</v>
      </c>
      <c r="B3188" s="2" t="s">
        <v>8361</v>
      </c>
      <c r="C3188" s="2" t="s">
        <v>28</v>
      </c>
      <c r="D3188" s="2" t="s">
        <v>37</v>
      </c>
      <c r="E3188" s="2" t="s">
        <v>90</v>
      </c>
      <c r="F3188" s="2" t="s">
        <v>47</v>
      </c>
      <c r="G3188" s="2" t="s">
        <v>40</v>
      </c>
      <c r="H3188" s="2" t="s">
        <v>32</v>
      </c>
      <c r="I3188" s="2">
        <v>48</v>
      </c>
      <c r="J3188" s="2" t="s">
        <v>187</v>
      </c>
      <c r="K3188" s="2" t="s">
        <v>8362</v>
      </c>
      <c r="L3188" s="2" t="s">
        <v>24</v>
      </c>
      <c r="M3188" s="2"/>
      <c r="N3188" s="2" t="s">
        <v>118</v>
      </c>
    </row>
    <row r="3189" spans="1:14" x14ac:dyDescent="0.25">
      <c r="A3189" s="2" t="s">
        <v>8363</v>
      </c>
      <c r="B3189" s="2" t="s">
        <v>8364</v>
      </c>
      <c r="C3189" s="2" t="s">
        <v>53</v>
      </c>
      <c r="D3189" s="2" t="s">
        <v>61</v>
      </c>
      <c r="E3189" s="2" t="s">
        <v>79</v>
      </c>
      <c r="F3189" s="2" t="s">
        <v>19</v>
      </c>
      <c r="G3189" s="2" t="s">
        <v>101</v>
      </c>
      <c r="H3189" s="2" t="s">
        <v>80</v>
      </c>
      <c r="I3189" s="2">
        <v>4</v>
      </c>
      <c r="J3189" s="2" t="s">
        <v>106</v>
      </c>
      <c r="K3189" s="2" t="s">
        <v>8365</v>
      </c>
      <c r="L3189" s="2" t="s">
        <v>92</v>
      </c>
      <c r="M3189" s="2">
        <v>5</v>
      </c>
      <c r="N3189" s="2" t="s">
        <v>58</v>
      </c>
    </row>
    <row r="3190" spans="1:14" x14ac:dyDescent="0.25">
      <c r="A3190" s="2" t="s">
        <v>8366</v>
      </c>
      <c r="B3190" s="2" t="s">
        <v>8367</v>
      </c>
      <c r="C3190" s="2" t="s">
        <v>16</v>
      </c>
      <c r="D3190" s="2" t="s">
        <v>17</v>
      </c>
      <c r="E3190" s="2" t="s">
        <v>38</v>
      </c>
      <c r="F3190" s="2" t="s">
        <v>47</v>
      </c>
      <c r="G3190" s="2" t="s">
        <v>91</v>
      </c>
      <c r="H3190" s="2" t="s">
        <v>74</v>
      </c>
      <c r="I3190" s="2">
        <v>8</v>
      </c>
      <c r="J3190" s="2" t="s">
        <v>75</v>
      </c>
      <c r="K3190" s="2" t="s">
        <v>8368</v>
      </c>
      <c r="L3190" s="2" t="s">
        <v>24</v>
      </c>
      <c r="M3190" s="2"/>
      <c r="N3190" s="2" t="s">
        <v>34</v>
      </c>
    </row>
    <row r="3191" spans="1:14" x14ac:dyDescent="0.25">
      <c r="A3191" s="2" t="s">
        <v>8369</v>
      </c>
      <c r="B3191" s="2" t="s">
        <v>8370</v>
      </c>
      <c r="C3191" s="2" t="s">
        <v>16</v>
      </c>
      <c r="D3191" s="2" t="s">
        <v>17</v>
      </c>
      <c r="E3191" s="2" t="s">
        <v>38</v>
      </c>
      <c r="F3191" s="2" t="s">
        <v>96</v>
      </c>
      <c r="G3191" s="2" t="s">
        <v>31</v>
      </c>
      <c r="H3191" s="2" t="s">
        <v>21</v>
      </c>
      <c r="I3191" s="2">
        <v>24</v>
      </c>
      <c r="J3191" s="2" t="s">
        <v>41</v>
      </c>
      <c r="K3191" s="2"/>
      <c r="L3191" s="2" t="s">
        <v>92</v>
      </c>
      <c r="M3191" s="2">
        <v>5</v>
      </c>
      <c r="N3191" s="2" t="s">
        <v>118</v>
      </c>
    </row>
    <row r="3192" spans="1:14" x14ac:dyDescent="0.25">
      <c r="A3192" s="2" t="s">
        <v>8371</v>
      </c>
      <c r="B3192" s="2" t="s">
        <v>8372</v>
      </c>
      <c r="C3192" s="2" t="s">
        <v>67</v>
      </c>
      <c r="D3192" s="2" t="s">
        <v>95</v>
      </c>
      <c r="E3192" s="2" t="s">
        <v>38</v>
      </c>
      <c r="F3192" s="2" t="s">
        <v>113</v>
      </c>
      <c r="G3192" s="2" t="s">
        <v>139</v>
      </c>
      <c r="H3192" s="2" t="s">
        <v>80</v>
      </c>
      <c r="I3192" s="2">
        <v>4</v>
      </c>
      <c r="J3192" s="2" t="s">
        <v>22</v>
      </c>
      <c r="K3192" s="2" t="s">
        <v>8373</v>
      </c>
      <c r="L3192" s="2" t="s">
        <v>24</v>
      </c>
      <c r="M3192" s="2">
        <v>2</v>
      </c>
      <c r="N3192" s="2" t="s">
        <v>58</v>
      </c>
    </row>
    <row r="3193" spans="1:14" x14ac:dyDescent="0.25">
      <c r="A3193" s="2" t="s">
        <v>8374</v>
      </c>
      <c r="B3193" s="2" t="s">
        <v>8375</v>
      </c>
      <c r="C3193" s="2" t="s">
        <v>67</v>
      </c>
      <c r="D3193" s="2" t="s">
        <v>95</v>
      </c>
      <c r="E3193" s="2" t="s">
        <v>38</v>
      </c>
      <c r="F3193" s="2" t="s">
        <v>131</v>
      </c>
      <c r="G3193" s="2" t="s">
        <v>31</v>
      </c>
      <c r="H3193" s="2" t="s">
        <v>21</v>
      </c>
      <c r="I3193" s="2">
        <v>24</v>
      </c>
      <c r="J3193" s="2" t="s">
        <v>41</v>
      </c>
      <c r="K3193" s="2" t="s">
        <v>8376</v>
      </c>
      <c r="L3193" s="2" t="s">
        <v>24</v>
      </c>
      <c r="M3193" s="2">
        <v>3</v>
      </c>
      <c r="N3193" s="2" t="s">
        <v>58</v>
      </c>
    </row>
    <row r="3194" spans="1:14" x14ac:dyDescent="0.25">
      <c r="A3194" s="2" t="s">
        <v>8377</v>
      </c>
      <c r="B3194" s="2" t="s">
        <v>8378</v>
      </c>
      <c r="C3194" s="2" t="s">
        <v>53</v>
      </c>
      <c r="D3194" s="2" t="s">
        <v>61</v>
      </c>
      <c r="E3194" s="2" t="s">
        <v>148</v>
      </c>
      <c r="F3194" s="2" t="s">
        <v>131</v>
      </c>
      <c r="G3194" s="2" t="s">
        <v>158</v>
      </c>
      <c r="H3194" s="2" t="s">
        <v>74</v>
      </c>
      <c r="I3194" s="2">
        <v>8</v>
      </c>
      <c r="J3194" s="2" t="s">
        <v>41</v>
      </c>
      <c r="K3194" s="2" t="s">
        <v>8379</v>
      </c>
      <c r="L3194" s="2" t="s">
        <v>24</v>
      </c>
      <c r="M3194" s="2"/>
      <c r="N3194" s="2" t="s">
        <v>34</v>
      </c>
    </row>
    <row r="3195" spans="1:14" x14ac:dyDescent="0.25">
      <c r="A3195" s="2" t="s">
        <v>8380</v>
      </c>
      <c r="B3195" s="2" t="s">
        <v>8381</v>
      </c>
      <c r="C3195" s="2" t="s">
        <v>67</v>
      </c>
      <c r="D3195" s="2" t="s">
        <v>68</v>
      </c>
      <c r="E3195" s="2" t="s">
        <v>46</v>
      </c>
      <c r="F3195" s="2" t="s">
        <v>19</v>
      </c>
      <c r="G3195" s="2" t="s">
        <v>70</v>
      </c>
      <c r="H3195" s="2" t="s">
        <v>21</v>
      </c>
      <c r="I3195" s="2">
        <v>24</v>
      </c>
      <c r="J3195" s="2" t="s">
        <v>106</v>
      </c>
      <c r="K3195" s="2" t="s">
        <v>8382</v>
      </c>
      <c r="L3195" s="2" t="s">
        <v>92</v>
      </c>
      <c r="M3195" s="2"/>
      <c r="N3195" s="2" t="s">
        <v>50</v>
      </c>
    </row>
    <row r="3196" spans="1:14" x14ac:dyDescent="0.25">
      <c r="A3196" s="2" t="s">
        <v>1591</v>
      </c>
      <c r="B3196" s="2" t="s">
        <v>1592</v>
      </c>
      <c r="C3196" s="2" t="s">
        <v>67</v>
      </c>
      <c r="D3196" s="2" t="s">
        <v>95</v>
      </c>
      <c r="E3196" s="2" t="s">
        <v>38</v>
      </c>
      <c r="F3196" s="2" t="s">
        <v>30</v>
      </c>
      <c r="G3196" s="2" t="s">
        <v>144</v>
      </c>
      <c r="H3196" s="2" t="s">
        <v>32</v>
      </c>
      <c r="I3196" s="2">
        <v>48</v>
      </c>
      <c r="J3196" s="2" t="s">
        <v>232</v>
      </c>
      <c r="K3196" s="2"/>
      <c r="L3196" s="2" t="s">
        <v>92</v>
      </c>
      <c r="M3196" s="2"/>
      <c r="N3196" s="2" t="s">
        <v>128</v>
      </c>
    </row>
    <row r="3197" spans="1:14" x14ac:dyDescent="0.25">
      <c r="A3197" s="2" t="s">
        <v>8383</v>
      </c>
      <c r="B3197" s="2" t="s">
        <v>8384</v>
      </c>
      <c r="C3197" s="2" t="s">
        <v>53</v>
      </c>
      <c r="D3197" s="2" t="s">
        <v>61</v>
      </c>
      <c r="E3197" s="2" t="s">
        <v>85</v>
      </c>
      <c r="F3197" s="2" t="s">
        <v>55</v>
      </c>
      <c r="G3197" s="2" t="s">
        <v>211</v>
      </c>
      <c r="H3197" s="2" t="s">
        <v>74</v>
      </c>
      <c r="I3197" s="2">
        <v>8</v>
      </c>
      <c r="J3197" s="2" t="s">
        <v>200</v>
      </c>
      <c r="K3197" s="2"/>
      <c r="L3197" s="2" t="s">
        <v>92</v>
      </c>
      <c r="M3197" s="2"/>
      <c r="N3197" s="2"/>
    </row>
    <row r="3198" spans="1:14" x14ac:dyDescent="0.25">
      <c r="A3198" s="2" t="s">
        <v>8385</v>
      </c>
      <c r="B3198" s="2" t="s">
        <v>8386</v>
      </c>
      <c r="C3198" s="2" t="s">
        <v>28</v>
      </c>
      <c r="D3198" s="2" t="s">
        <v>100</v>
      </c>
      <c r="E3198" s="2" t="s">
        <v>18</v>
      </c>
      <c r="F3198" s="2" t="s">
        <v>143</v>
      </c>
      <c r="G3198" s="2" t="s">
        <v>183</v>
      </c>
      <c r="H3198" s="2" t="s">
        <v>32</v>
      </c>
      <c r="I3198" s="2">
        <v>48</v>
      </c>
      <c r="J3198" s="2" t="s">
        <v>106</v>
      </c>
      <c r="K3198" s="2" t="s">
        <v>8387</v>
      </c>
      <c r="L3198" s="2" t="s">
        <v>24</v>
      </c>
      <c r="M3198" s="2"/>
      <c r="N3198" s="2"/>
    </row>
    <row r="3199" spans="1:14" x14ac:dyDescent="0.25">
      <c r="A3199" s="2" t="s">
        <v>8388</v>
      </c>
      <c r="B3199" s="2" t="s">
        <v>8389</v>
      </c>
      <c r="C3199" s="2" t="s">
        <v>53</v>
      </c>
      <c r="D3199" s="2" t="s">
        <v>61</v>
      </c>
      <c r="E3199" s="2" t="s">
        <v>148</v>
      </c>
      <c r="F3199" s="2" t="s">
        <v>30</v>
      </c>
      <c r="G3199" s="2" t="s">
        <v>91</v>
      </c>
      <c r="H3199" s="2" t="s">
        <v>21</v>
      </c>
      <c r="I3199" s="2">
        <v>24</v>
      </c>
      <c r="J3199" s="2" t="s">
        <v>48</v>
      </c>
      <c r="K3199" s="2" t="s">
        <v>8390</v>
      </c>
      <c r="L3199" s="2" t="s">
        <v>92</v>
      </c>
      <c r="M3199" s="2">
        <v>5</v>
      </c>
      <c r="N3199" s="2" t="s">
        <v>34</v>
      </c>
    </row>
    <row r="3200" spans="1:14" x14ac:dyDescent="0.25">
      <c r="A3200" s="2" t="s">
        <v>8391</v>
      </c>
      <c r="B3200" s="2" t="s">
        <v>8392</v>
      </c>
      <c r="C3200" s="2" t="s">
        <v>16</v>
      </c>
      <c r="D3200" s="2" t="s">
        <v>240</v>
      </c>
      <c r="E3200" s="2" t="s">
        <v>90</v>
      </c>
      <c r="F3200" s="2" t="s">
        <v>96</v>
      </c>
      <c r="G3200" s="2" t="s">
        <v>126</v>
      </c>
      <c r="H3200" s="2" t="s">
        <v>32</v>
      </c>
      <c r="I3200" s="2">
        <v>48</v>
      </c>
      <c r="J3200" s="2" t="s">
        <v>117</v>
      </c>
      <c r="K3200" s="2"/>
      <c r="L3200" s="2" t="s">
        <v>24</v>
      </c>
      <c r="M3200" s="2"/>
      <c r="N3200" s="2" t="s">
        <v>34</v>
      </c>
    </row>
    <row r="3201" spans="1:14" x14ac:dyDescent="0.25">
      <c r="A3201" s="2" t="s">
        <v>8393</v>
      </c>
      <c r="B3201" s="2" t="s">
        <v>8394</v>
      </c>
      <c r="C3201" s="2" t="s">
        <v>53</v>
      </c>
      <c r="D3201" s="2" t="s">
        <v>61</v>
      </c>
      <c r="E3201" s="2" t="s">
        <v>148</v>
      </c>
      <c r="F3201" s="2" t="s">
        <v>39</v>
      </c>
      <c r="G3201" s="2" t="s">
        <v>70</v>
      </c>
      <c r="H3201" s="2" t="s">
        <v>21</v>
      </c>
      <c r="I3201" s="2">
        <v>24</v>
      </c>
      <c r="J3201" s="2" t="s">
        <v>22</v>
      </c>
      <c r="K3201" s="2" t="s">
        <v>8395</v>
      </c>
      <c r="L3201" s="2" t="s">
        <v>24</v>
      </c>
      <c r="M3201" s="2">
        <v>1</v>
      </c>
      <c r="N3201" s="2" t="s">
        <v>50</v>
      </c>
    </row>
    <row r="3202" spans="1:14" x14ac:dyDescent="0.25">
      <c r="A3202" s="2" t="s">
        <v>8396</v>
      </c>
      <c r="B3202" s="2" t="s">
        <v>8397</v>
      </c>
      <c r="C3202" s="2" t="s">
        <v>53</v>
      </c>
      <c r="D3202" s="2" t="s">
        <v>61</v>
      </c>
      <c r="E3202" s="2" t="s">
        <v>79</v>
      </c>
      <c r="F3202" s="2" t="s">
        <v>131</v>
      </c>
      <c r="G3202" s="2" t="s">
        <v>101</v>
      </c>
      <c r="H3202" s="2" t="s">
        <v>21</v>
      </c>
      <c r="I3202" s="2">
        <v>24</v>
      </c>
      <c r="J3202" s="2" t="s">
        <v>232</v>
      </c>
      <c r="K3202" s="2"/>
      <c r="L3202" s="2" t="s">
        <v>92</v>
      </c>
      <c r="M3202" s="2"/>
      <c r="N3202" s="2"/>
    </row>
    <row r="3203" spans="1:14" x14ac:dyDescent="0.25">
      <c r="A3203" s="2" t="s">
        <v>8398</v>
      </c>
      <c r="B3203" s="2" t="s">
        <v>8399</v>
      </c>
      <c r="C3203" s="2" t="s">
        <v>67</v>
      </c>
      <c r="D3203" s="2" t="s">
        <v>95</v>
      </c>
      <c r="E3203" s="2" t="s">
        <v>85</v>
      </c>
      <c r="F3203" s="2" t="s">
        <v>96</v>
      </c>
      <c r="G3203" s="2" t="s">
        <v>158</v>
      </c>
      <c r="H3203" s="2" t="s">
        <v>74</v>
      </c>
      <c r="I3203" s="2">
        <v>8</v>
      </c>
      <c r="J3203" s="2" t="s">
        <v>41</v>
      </c>
      <c r="K3203" s="2" t="s">
        <v>4212</v>
      </c>
      <c r="L3203" s="2" t="s">
        <v>24</v>
      </c>
      <c r="M3203" s="2"/>
      <c r="N3203" s="2" t="s">
        <v>25</v>
      </c>
    </row>
    <row r="3204" spans="1:14" x14ac:dyDescent="0.25">
      <c r="A3204" s="2" t="s">
        <v>8400</v>
      </c>
      <c r="B3204" s="2" t="s">
        <v>8401</v>
      </c>
      <c r="C3204" s="2" t="s">
        <v>67</v>
      </c>
      <c r="D3204" s="2" t="s">
        <v>68</v>
      </c>
      <c r="E3204" s="2" t="s">
        <v>38</v>
      </c>
      <c r="F3204" s="2" t="s">
        <v>131</v>
      </c>
      <c r="G3204" s="2" t="s">
        <v>211</v>
      </c>
      <c r="H3204" s="2" t="s">
        <v>32</v>
      </c>
      <c r="I3204" s="2">
        <v>48</v>
      </c>
      <c r="J3204" s="2" t="s">
        <v>187</v>
      </c>
      <c r="K3204" s="2" t="s">
        <v>8402</v>
      </c>
      <c r="L3204" s="2" t="s">
        <v>24</v>
      </c>
      <c r="M3204" s="2">
        <v>4</v>
      </c>
      <c r="N3204" s="2" t="s">
        <v>128</v>
      </c>
    </row>
    <row r="3205" spans="1:14" x14ac:dyDescent="0.25">
      <c r="A3205" s="2" t="s">
        <v>8403</v>
      </c>
      <c r="B3205" s="2" t="s">
        <v>8404</v>
      </c>
      <c r="C3205" s="2" t="s">
        <v>16</v>
      </c>
      <c r="D3205" s="2" t="s">
        <v>17</v>
      </c>
      <c r="E3205" s="2" t="s">
        <v>38</v>
      </c>
      <c r="F3205" s="2" t="s">
        <v>69</v>
      </c>
      <c r="G3205" s="2" t="s">
        <v>97</v>
      </c>
      <c r="H3205" s="2" t="s">
        <v>21</v>
      </c>
      <c r="I3205" s="2">
        <v>24</v>
      </c>
      <c r="J3205" s="2" t="s">
        <v>232</v>
      </c>
      <c r="K3205" s="2"/>
      <c r="L3205" s="2" t="s">
        <v>92</v>
      </c>
      <c r="M3205" s="2"/>
      <c r="N3205" s="2" t="s">
        <v>34</v>
      </c>
    </row>
    <row r="3206" spans="1:14" x14ac:dyDescent="0.25">
      <c r="A3206" s="2" t="s">
        <v>8405</v>
      </c>
      <c r="B3206" s="2" t="s">
        <v>8406</v>
      </c>
      <c r="C3206" s="2" t="s">
        <v>53</v>
      </c>
      <c r="D3206" s="2" t="s">
        <v>54</v>
      </c>
      <c r="E3206" s="2" t="s">
        <v>18</v>
      </c>
      <c r="F3206" s="2" t="s">
        <v>55</v>
      </c>
      <c r="G3206" s="2" t="s">
        <v>144</v>
      </c>
      <c r="H3206" s="2" t="s">
        <v>74</v>
      </c>
      <c r="I3206" s="2">
        <v>8</v>
      </c>
      <c r="J3206" s="2" t="s">
        <v>22</v>
      </c>
      <c r="K3206" s="2" t="s">
        <v>8407</v>
      </c>
      <c r="L3206" s="2" t="s">
        <v>24</v>
      </c>
      <c r="M3206" s="2">
        <v>5</v>
      </c>
      <c r="N3206" s="2" t="s">
        <v>64</v>
      </c>
    </row>
    <row r="3207" spans="1:14" x14ac:dyDescent="0.25">
      <c r="A3207" s="2" t="s">
        <v>8408</v>
      </c>
      <c r="B3207" s="2" t="s">
        <v>8409</v>
      </c>
      <c r="C3207" s="2" t="s">
        <v>16</v>
      </c>
      <c r="D3207" s="2" t="s">
        <v>17</v>
      </c>
      <c r="E3207" s="2" t="s">
        <v>38</v>
      </c>
      <c r="F3207" s="2" t="s">
        <v>125</v>
      </c>
      <c r="G3207" s="2" t="s">
        <v>121</v>
      </c>
      <c r="H3207" s="2" t="s">
        <v>80</v>
      </c>
      <c r="I3207" s="2">
        <v>4</v>
      </c>
      <c r="J3207" s="2" t="s">
        <v>106</v>
      </c>
      <c r="K3207" s="2" t="s">
        <v>8410</v>
      </c>
      <c r="L3207" s="2" t="s">
        <v>24</v>
      </c>
      <c r="M3207" s="2">
        <v>1</v>
      </c>
      <c r="N3207" s="2" t="s">
        <v>50</v>
      </c>
    </row>
    <row r="3208" spans="1:14" x14ac:dyDescent="0.25">
      <c r="A3208" s="2" t="s">
        <v>8411</v>
      </c>
      <c r="B3208" s="2" t="s">
        <v>8412</v>
      </c>
      <c r="C3208" s="2" t="s">
        <v>67</v>
      </c>
      <c r="D3208" s="2" t="s">
        <v>68</v>
      </c>
      <c r="E3208" s="2" t="s">
        <v>85</v>
      </c>
      <c r="F3208" s="2" t="s">
        <v>143</v>
      </c>
      <c r="G3208" s="2" t="s">
        <v>183</v>
      </c>
      <c r="H3208" s="2" t="s">
        <v>74</v>
      </c>
      <c r="I3208" s="2">
        <v>8</v>
      </c>
      <c r="J3208" s="2" t="s">
        <v>11</v>
      </c>
      <c r="K3208" s="2"/>
      <c r="L3208" s="2" t="s">
        <v>92</v>
      </c>
      <c r="M3208" s="2"/>
      <c r="N3208" s="2" t="s">
        <v>43</v>
      </c>
    </row>
    <row r="3209" spans="1:14" x14ac:dyDescent="0.25">
      <c r="A3209" s="2" t="s">
        <v>8413</v>
      </c>
      <c r="B3209" s="2" t="s">
        <v>8414</v>
      </c>
      <c r="C3209" s="2" t="s">
        <v>16</v>
      </c>
      <c r="D3209" s="2" t="s">
        <v>84</v>
      </c>
      <c r="E3209" s="2" t="s">
        <v>46</v>
      </c>
      <c r="F3209" s="2" t="s">
        <v>69</v>
      </c>
      <c r="G3209" s="2" t="s">
        <v>121</v>
      </c>
      <c r="H3209" s="2" t="s">
        <v>21</v>
      </c>
      <c r="I3209" s="2">
        <v>24</v>
      </c>
      <c r="J3209" s="2" t="s">
        <v>33</v>
      </c>
      <c r="K3209" s="2"/>
      <c r="L3209" s="2" t="s">
        <v>92</v>
      </c>
      <c r="M3209" s="2"/>
      <c r="N3209" s="2" t="s">
        <v>25</v>
      </c>
    </row>
    <row r="3210" spans="1:14" x14ac:dyDescent="0.25">
      <c r="A3210" s="2" t="s">
        <v>8415</v>
      </c>
      <c r="B3210" s="2" t="s">
        <v>8416</v>
      </c>
      <c r="C3210" s="2" t="s">
        <v>28</v>
      </c>
      <c r="D3210" s="2" t="s">
        <v>37</v>
      </c>
      <c r="E3210" s="2" t="s">
        <v>90</v>
      </c>
      <c r="F3210" s="2" t="s">
        <v>55</v>
      </c>
      <c r="G3210" s="2" t="s">
        <v>179</v>
      </c>
      <c r="H3210" s="2" t="s">
        <v>21</v>
      </c>
      <c r="I3210" s="2">
        <v>24</v>
      </c>
      <c r="J3210" s="2" t="s">
        <v>106</v>
      </c>
      <c r="K3210" s="2" t="s">
        <v>2630</v>
      </c>
      <c r="L3210" s="2" t="s">
        <v>24</v>
      </c>
      <c r="M3210" s="2"/>
      <c r="N3210" s="2"/>
    </row>
    <row r="3211" spans="1:14" x14ac:dyDescent="0.25">
      <c r="A3211" s="2" t="s">
        <v>8417</v>
      </c>
      <c r="B3211" s="2" t="s">
        <v>8418</v>
      </c>
      <c r="C3211" s="2" t="s">
        <v>28</v>
      </c>
      <c r="D3211" s="2" t="s">
        <v>100</v>
      </c>
      <c r="E3211" s="2" t="s">
        <v>18</v>
      </c>
      <c r="F3211" s="2" t="s">
        <v>62</v>
      </c>
      <c r="G3211" s="2" t="s">
        <v>70</v>
      </c>
      <c r="H3211" s="2" t="s">
        <v>32</v>
      </c>
      <c r="I3211" s="2">
        <v>48</v>
      </c>
      <c r="J3211" s="2" t="s">
        <v>106</v>
      </c>
      <c r="K3211" s="2" t="s">
        <v>8419</v>
      </c>
      <c r="L3211" s="2" t="s">
        <v>24</v>
      </c>
      <c r="M3211" s="2">
        <v>2</v>
      </c>
      <c r="N3211" s="2" t="s">
        <v>118</v>
      </c>
    </row>
    <row r="3212" spans="1:14" x14ac:dyDescent="0.25">
      <c r="A3212" s="2" t="s">
        <v>8420</v>
      </c>
      <c r="B3212" s="2" t="s">
        <v>8421</v>
      </c>
      <c r="C3212" s="2" t="s">
        <v>16</v>
      </c>
      <c r="D3212" s="2" t="s">
        <v>17</v>
      </c>
      <c r="E3212" s="2" t="s">
        <v>38</v>
      </c>
      <c r="F3212" s="2" t="s">
        <v>125</v>
      </c>
      <c r="G3212" s="2" t="s">
        <v>31</v>
      </c>
      <c r="H3212" s="2" t="s">
        <v>32</v>
      </c>
      <c r="I3212" s="2">
        <v>48</v>
      </c>
      <c r="J3212" s="2" t="s">
        <v>22</v>
      </c>
      <c r="K3212" s="2" t="s">
        <v>8422</v>
      </c>
      <c r="L3212" s="2" t="s">
        <v>24</v>
      </c>
      <c r="M3212" s="2">
        <v>4</v>
      </c>
      <c r="N3212" s="2"/>
    </row>
    <row r="3213" spans="1:14" x14ac:dyDescent="0.25">
      <c r="A3213" s="2" t="s">
        <v>8423</v>
      </c>
      <c r="B3213" s="2" t="s">
        <v>8424</v>
      </c>
      <c r="C3213" s="2" t="s">
        <v>53</v>
      </c>
      <c r="D3213" s="2" t="s">
        <v>61</v>
      </c>
      <c r="E3213" s="2" t="s">
        <v>18</v>
      </c>
      <c r="F3213" s="2" t="s">
        <v>19</v>
      </c>
      <c r="G3213" s="2" t="s">
        <v>139</v>
      </c>
      <c r="H3213" s="2" t="s">
        <v>32</v>
      </c>
      <c r="I3213" s="2">
        <v>48</v>
      </c>
      <c r="J3213" s="2" t="s">
        <v>287</v>
      </c>
      <c r="K3213" s="2"/>
      <c r="L3213" s="2" t="s">
        <v>24</v>
      </c>
      <c r="M3213" s="2"/>
      <c r="N3213" s="2"/>
    </row>
    <row r="3214" spans="1:14" x14ac:dyDescent="0.25">
      <c r="A3214" s="2" t="s">
        <v>8425</v>
      </c>
      <c r="B3214" s="2" t="s">
        <v>8426</v>
      </c>
      <c r="C3214" s="2" t="s">
        <v>28</v>
      </c>
      <c r="D3214" s="2" t="s">
        <v>37</v>
      </c>
      <c r="E3214" s="2" t="s">
        <v>148</v>
      </c>
      <c r="F3214" s="2" t="s">
        <v>113</v>
      </c>
      <c r="G3214" s="2" t="s">
        <v>121</v>
      </c>
      <c r="H3214" s="2" t="s">
        <v>32</v>
      </c>
      <c r="I3214" s="2">
        <v>48</v>
      </c>
      <c r="J3214" s="2" t="s">
        <v>191</v>
      </c>
      <c r="K3214" s="2" t="s">
        <v>8427</v>
      </c>
      <c r="L3214" s="2" t="s">
        <v>24</v>
      </c>
      <c r="M3214" s="2"/>
      <c r="N3214" s="2" t="s">
        <v>118</v>
      </c>
    </row>
    <row r="3215" spans="1:14" x14ac:dyDescent="0.25">
      <c r="A3215" s="2" t="s">
        <v>8428</v>
      </c>
      <c r="B3215" s="2" t="s">
        <v>5431</v>
      </c>
      <c r="C3215" s="2" t="s">
        <v>67</v>
      </c>
      <c r="D3215" s="2" t="s">
        <v>68</v>
      </c>
      <c r="E3215" s="2" t="s">
        <v>18</v>
      </c>
      <c r="F3215" s="2" t="s">
        <v>96</v>
      </c>
      <c r="G3215" s="2" t="s">
        <v>31</v>
      </c>
      <c r="H3215" s="2" t="s">
        <v>74</v>
      </c>
      <c r="I3215" s="2">
        <v>8</v>
      </c>
      <c r="J3215" s="2" t="s">
        <v>48</v>
      </c>
      <c r="K3215" s="2" t="s">
        <v>8429</v>
      </c>
      <c r="L3215" s="2" t="s">
        <v>24</v>
      </c>
      <c r="M3215" s="2"/>
      <c r="N3215" s="2" t="s">
        <v>128</v>
      </c>
    </row>
    <row r="3216" spans="1:14" x14ac:dyDescent="0.25">
      <c r="A3216" s="2" t="s">
        <v>6320</v>
      </c>
      <c r="B3216" s="2" t="s">
        <v>6321</v>
      </c>
      <c r="C3216" s="2" t="s">
        <v>28</v>
      </c>
      <c r="D3216" s="2" t="s">
        <v>37</v>
      </c>
      <c r="E3216" s="2" t="s">
        <v>148</v>
      </c>
      <c r="F3216" s="2" t="s">
        <v>62</v>
      </c>
      <c r="G3216" s="2" t="s">
        <v>135</v>
      </c>
      <c r="H3216" s="2" t="s">
        <v>21</v>
      </c>
      <c r="I3216" s="2">
        <v>24</v>
      </c>
      <c r="J3216" s="2" t="s">
        <v>75</v>
      </c>
      <c r="K3216" s="2" t="s">
        <v>6322</v>
      </c>
      <c r="L3216" s="2" t="s">
        <v>24</v>
      </c>
      <c r="M3216" s="2">
        <v>3</v>
      </c>
      <c r="N3216" s="2" t="s">
        <v>128</v>
      </c>
    </row>
    <row r="3217" spans="1:14" x14ac:dyDescent="0.25">
      <c r="A3217" s="2" t="s">
        <v>8430</v>
      </c>
      <c r="B3217" s="2" t="s">
        <v>8431</v>
      </c>
      <c r="C3217" s="2" t="s">
        <v>28</v>
      </c>
      <c r="D3217" s="2" t="s">
        <v>100</v>
      </c>
      <c r="E3217" s="2" t="s">
        <v>90</v>
      </c>
      <c r="F3217" s="2" t="s">
        <v>125</v>
      </c>
      <c r="G3217" s="2" t="s">
        <v>121</v>
      </c>
      <c r="H3217" s="2" t="s">
        <v>80</v>
      </c>
      <c r="I3217" s="2">
        <v>4</v>
      </c>
      <c r="J3217" s="2" t="s">
        <v>11</v>
      </c>
      <c r="K3217" s="2"/>
      <c r="L3217" s="2" t="s">
        <v>92</v>
      </c>
      <c r="M3217" s="2"/>
      <c r="N3217" s="2" t="s">
        <v>50</v>
      </c>
    </row>
    <row r="3218" spans="1:14" x14ac:dyDescent="0.25">
      <c r="A3218" s="2" t="s">
        <v>8432</v>
      </c>
      <c r="B3218" s="2" t="s">
        <v>8433</v>
      </c>
      <c r="C3218" s="2" t="s">
        <v>28</v>
      </c>
      <c r="D3218" s="2" t="s">
        <v>37</v>
      </c>
      <c r="E3218" s="2" t="s">
        <v>38</v>
      </c>
      <c r="F3218" s="2" t="s">
        <v>39</v>
      </c>
      <c r="G3218" s="2" t="s">
        <v>20</v>
      </c>
      <c r="H3218" s="2" t="s">
        <v>21</v>
      </c>
      <c r="I3218" s="2">
        <v>24</v>
      </c>
      <c r="J3218" s="2" t="s">
        <v>48</v>
      </c>
      <c r="K3218" s="2"/>
      <c r="L3218" s="2" t="s">
        <v>24</v>
      </c>
      <c r="M3218" s="2">
        <v>4</v>
      </c>
      <c r="N3218" s="2" t="s">
        <v>64</v>
      </c>
    </row>
    <row r="3219" spans="1:14" x14ac:dyDescent="0.25">
      <c r="A3219" s="2" t="s">
        <v>8434</v>
      </c>
      <c r="B3219" s="2" t="s">
        <v>8435</v>
      </c>
      <c r="C3219" s="2" t="s">
        <v>16</v>
      </c>
      <c r="D3219" s="2" t="s">
        <v>17</v>
      </c>
      <c r="E3219" s="2" t="s">
        <v>90</v>
      </c>
      <c r="F3219" s="2" t="s">
        <v>30</v>
      </c>
      <c r="G3219" s="2" t="s">
        <v>70</v>
      </c>
      <c r="H3219" s="2" t="s">
        <v>32</v>
      </c>
      <c r="I3219" s="2">
        <v>48</v>
      </c>
      <c r="J3219" s="2" t="s">
        <v>41</v>
      </c>
      <c r="K3219" s="2" t="s">
        <v>8436</v>
      </c>
      <c r="L3219" s="2" t="s">
        <v>24</v>
      </c>
      <c r="M3219" s="2">
        <v>5</v>
      </c>
      <c r="N3219" s="2" t="s">
        <v>118</v>
      </c>
    </row>
    <row r="3220" spans="1:14" x14ac:dyDescent="0.25">
      <c r="A3220" s="2" t="s">
        <v>8437</v>
      </c>
      <c r="B3220" s="2" t="s">
        <v>8438</v>
      </c>
      <c r="C3220" s="2" t="s">
        <v>28</v>
      </c>
      <c r="D3220" s="2" t="s">
        <v>37</v>
      </c>
      <c r="E3220" s="2" t="s">
        <v>38</v>
      </c>
      <c r="F3220" s="2" t="s">
        <v>30</v>
      </c>
      <c r="G3220" s="2" t="s">
        <v>40</v>
      </c>
      <c r="H3220" s="2" t="s">
        <v>32</v>
      </c>
      <c r="I3220" s="2">
        <v>48</v>
      </c>
      <c r="J3220" s="2" t="s">
        <v>48</v>
      </c>
      <c r="K3220" s="2"/>
      <c r="L3220" s="2" t="s">
        <v>24</v>
      </c>
      <c r="M3220" s="2">
        <v>5</v>
      </c>
      <c r="N3220" s="2" t="s">
        <v>50</v>
      </c>
    </row>
    <row r="3221" spans="1:14" x14ac:dyDescent="0.25">
      <c r="A3221" s="2" t="s">
        <v>8439</v>
      </c>
      <c r="B3221" s="2" t="s">
        <v>8440</v>
      </c>
      <c r="C3221" s="2" t="s">
        <v>53</v>
      </c>
      <c r="D3221" s="2" t="s">
        <v>61</v>
      </c>
      <c r="E3221" s="2" t="s">
        <v>18</v>
      </c>
      <c r="F3221" s="2" t="s">
        <v>47</v>
      </c>
      <c r="G3221" s="2" t="s">
        <v>97</v>
      </c>
      <c r="H3221" s="2" t="s">
        <v>21</v>
      </c>
      <c r="I3221" s="2">
        <v>24</v>
      </c>
      <c r="J3221" s="2" t="s">
        <v>149</v>
      </c>
      <c r="K3221" s="2"/>
      <c r="L3221" s="2" t="s">
        <v>24</v>
      </c>
      <c r="M3221" s="2"/>
      <c r="N3221" s="2" t="s">
        <v>128</v>
      </c>
    </row>
    <row r="3222" spans="1:14" x14ac:dyDescent="0.25">
      <c r="A3222" s="2" t="s">
        <v>8441</v>
      </c>
      <c r="B3222" s="2" t="s">
        <v>8442</v>
      </c>
      <c r="C3222" s="2" t="s">
        <v>67</v>
      </c>
      <c r="D3222" s="2" t="s">
        <v>95</v>
      </c>
      <c r="E3222" s="2" t="s">
        <v>38</v>
      </c>
      <c r="F3222" s="2" t="s">
        <v>96</v>
      </c>
      <c r="G3222" s="2" t="s">
        <v>97</v>
      </c>
      <c r="H3222" s="2" t="s">
        <v>21</v>
      </c>
      <c r="I3222" s="2">
        <v>24</v>
      </c>
      <c r="J3222" s="2" t="s">
        <v>22</v>
      </c>
      <c r="K3222" s="2" t="s">
        <v>8443</v>
      </c>
      <c r="L3222" s="2" t="s">
        <v>92</v>
      </c>
      <c r="M3222" s="2">
        <v>4</v>
      </c>
      <c r="N3222" s="2" t="s">
        <v>50</v>
      </c>
    </row>
    <row r="3223" spans="1:14" x14ac:dyDescent="0.25">
      <c r="A3223" s="2" t="s">
        <v>8444</v>
      </c>
      <c r="B3223" s="2" t="s">
        <v>8445</v>
      </c>
      <c r="C3223" s="2" t="s">
        <v>53</v>
      </c>
      <c r="D3223" s="2" t="s">
        <v>162</v>
      </c>
      <c r="E3223" s="2" t="s">
        <v>90</v>
      </c>
      <c r="F3223" s="2" t="s">
        <v>30</v>
      </c>
      <c r="G3223" s="2" t="s">
        <v>105</v>
      </c>
      <c r="H3223" s="2" t="s">
        <v>80</v>
      </c>
      <c r="I3223" s="2">
        <v>4</v>
      </c>
      <c r="J3223" s="2" t="s">
        <v>22</v>
      </c>
      <c r="K3223" s="2" t="s">
        <v>8446</v>
      </c>
      <c r="L3223" s="2" t="s">
        <v>24</v>
      </c>
      <c r="M3223" s="2">
        <v>1</v>
      </c>
      <c r="N3223" s="2" t="s">
        <v>58</v>
      </c>
    </row>
    <row r="3224" spans="1:14" x14ac:dyDescent="0.25">
      <c r="A3224" s="2" t="s">
        <v>8447</v>
      </c>
      <c r="B3224" s="2" t="s">
        <v>8448</v>
      </c>
      <c r="C3224" s="2" t="s">
        <v>28</v>
      </c>
      <c r="D3224" s="2" t="s">
        <v>100</v>
      </c>
      <c r="E3224" s="2" t="s">
        <v>46</v>
      </c>
      <c r="F3224" s="2" t="s">
        <v>131</v>
      </c>
      <c r="G3224" s="2" t="s">
        <v>183</v>
      </c>
      <c r="H3224" s="2" t="s">
        <v>32</v>
      </c>
      <c r="I3224" s="2">
        <v>48</v>
      </c>
      <c r="J3224" s="2" t="s">
        <v>48</v>
      </c>
      <c r="K3224" s="2" t="s">
        <v>8449</v>
      </c>
      <c r="L3224" s="2" t="s">
        <v>24</v>
      </c>
      <c r="M3224" s="2">
        <v>5</v>
      </c>
      <c r="N3224" s="2"/>
    </row>
    <row r="3225" spans="1:14" x14ac:dyDescent="0.25">
      <c r="A3225" s="2" t="s">
        <v>8450</v>
      </c>
      <c r="B3225" s="2" t="s">
        <v>8451</v>
      </c>
      <c r="C3225" s="2" t="s">
        <v>16</v>
      </c>
      <c r="D3225" s="2" t="s">
        <v>84</v>
      </c>
      <c r="E3225" s="2" t="s">
        <v>90</v>
      </c>
      <c r="F3225" s="2" t="s">
        <v>125</v>
      </c>
      <c r="G3225" s="2" t="s">
        <v>105</v>
      </c>
      <c r="H3225" s="2" t="s">
        <v>32</v>
      </c>
      <c r="I3225" s="2">
        <v>48</v>
      </c>
      <c r="J3225" s="2" t="s">
        <v>155</v>
      </c>
      <c r="K3225" s="2"/>
      <c r="L3225" s="2" t="s">
        <v>24</v>
      </c>
      <c r="M3225" s="2"/>
      <c r="N3225" s="2" t="s">
        <v>118</v>
      </c>
    </row>
    <row r="3226" spans="1:14" x14ac:dyDescent="0.25">
      <c r="A3226" s="2" t="s">
        <v>8452</v>
      </c>
      <c r="B3226" s="2" t="s">
        <v>8453</v>
      </c>
      <c r="C3226" s="2" t="s">
        <v>67</v>
      </c>
      <c r="D3226" s="2" t="s">
        <v>95</v>
      </c>
      <c r="E3226" s="2" t="s">
        <v>18</v>
      </c>
      <c r="F3226" s="2" t="s">
        <v>62</v>
      </c>
      <c r="G3226" s="2" t="s">
        <v>126</v>
      </c>
      <c r="H3226" s="2" t="s">
        <v>74</v>
      </c>
      <c r="I3226" s="2">
        <v>8</v>
      </c>
      <c r="J3226" s="2" t="s">
        <v>48</v>
      </c>
      <c r="K3226" s="2" t="s">
        <v>8454</v>
      </c>
      <c r="L3226" s="2" t="s">
        <v>24</v>
      </c>
      <c r="M3226" s="2">
        <v>1</v>
      </c>
      <c r="N3226" s="2" t="s">
        <v>34</v>
      </c>
    </row>
    <row r="3227" spans="1:14" x14ac:dyDescent="0.25">
      <c r="A3227" s="2" t="s">
        <v>8455</v>
      </c>
      <c r="B3227" s="2" t="s">
        <v>8456</v>
      </c>
      <c r="C3227" s="2" t="s">
        <v>53</v>
      </c>
      <c r="D3227" s="2" t="s">
        <v>54</v>
      </c>
      <c r="E3227" s="2" t="s">
        <v>85</v>
      </c>
      <c r="F3227" s="2" t="s">
        <v>30</v>
      </c>
      <c r="G3227" s="2" t="s">
        <v>31</v>
      </c>
      <c r="H3227" s="2" t="s">
        <v>32</v>
      </c>
      <c r="I3227" s="2">
        <v>48</v>
      </c>
      <c r="J3227" s="2" t="s">
        <v>117</v>
      </c>
      <c r="K3227" s="2"/>
      <c r="L3227" s="2" t="s">
        <v>24</v>
      </c>
      <c r="M3227" s="2"/>
      <c r="N3227" s="2" t="s">
        <v>34</v>
      </c>
    </row>
    <row r="3228" spans="1:14" x14ac:dyDescent="0.25">
      <c r="A3228" s="2" t="s">
        <v>8457</v>
      </c>
      <c r="B3228" s="2" t="s">
        <v>8458</v>
      </c>
      <c r="C3228" s="2" t="s">
        <v>53</v>
      </c>
      <c r="D3228" s="2" t="s">
        <v>61</v>
      </c>
      <c r="E3228" s="2" t="s">
        <v>38</v>
      </c>
      <c r="F3228" s="2" t="s">
        <v>39</v>
      </c>
      <c r="G3228" s="2" t="s">
        <v>101</v>
      </c>
      <c r="H3228" s="2" t="s">
        <v>74</v>
      </c>
      <c r="I3228" s="2">
        <v>8</v>
      </c>
      <c r="J3228" s="2" t="s">
        <v>41</v>
      </c>
      <c r="K3228" s="2" t="s">
        <v>8459</v>
      </c>
      <c r="L3228" s="2" t="s">
        <v>24</v>
      </c>
      <c r="M3228" s="2"/>
      <c r="N3228" s="2" t="s">
        <v>25</v>
      </c>
    </row>
    <row r="3229" spans="1:14" x14ac:dyDescent="0.25">
      <c r="A3229" s="2" t="s">
        <v>8460</v>
      </c>
      <c r="B3229" s="2" t="s">
        <v>8461</v>
      </c>
      <c r="C3229" s="2" t="s">
        <v>16</v>
      </c>
      <c r="D3229" s="2" t="s">
        <v>84</v>
      </c>
      <c r="E3229" s="2" t="s">
        <v>18</v>
      </c>
      <c r="F3229" s="2" t="s">
        <v>47</v>
      </c>
      <c r="G3229" s="2" t="s">
        <v>179</v>
      </c>
      <c r="H3229" s="2" t="s">
        <v>32</v>
      </c>
      <c r="I3229" s="2">
        <v>48</v>
      </c>
      <c r="J3229" s="2" t="s">
        <v>200</v>
      </c>
      <c r="K3229" s="2"/>
      <c r="L3229" s="2" t="s">
        <v>92</v>
      </c>
      <c r="M3229" s="2"/>
      <c r="N3229" s="2"/>
    </row>
    <row r="3230" spans="1:14" x14ac:dyDescent="0.25">
      <c r="A3230" s="2" t="s">
        <v>8462</v>
      </c>
      <c r="B3230" s="2" t="s">
        <v>8463</v>
      </c>
      <c r="C3230" s="2" t="s">
        <v>28</v>
      </c>
      <c r="D3230" s="2" t="s">
        <v>37</v>
      </c>
      <c r="E3230" s="2" t="s">
        <v>85</v>
      </c>
      <c r="F3230" s="2" t="s">
        <v>69</v>
      </c>
      <c r="G3230" s="2" t="s">
        <v>179</v>
      </c>
      <c r="H3230" s="2" t="s">
        <v>80</v>
      </c>
      <c r="I3230" s="2">
        <v>4</v>
      </c>
      <c r="J3230" s="2" t="s">
        <v>200</v>
      </c>
      <c r="K3230" s="2"/>
      <c r="L3230" s="2" t="s">
        <v>92</v>
      </c>
      <c r="M3230" s="2"/>
      <c r="N3230" s="2"/>
    </row>
    <row r="3231" spans="1:14" x14ac:dyDescent="0.25">
      <c r="A3231" s="2" t="s">
        <v>8464</v>
      </c>
      <c r="B3231" s="2" t="s">
        <v>8465</v>
      </c>
      <c r="C3231" s="2" t="s">
        <v>53</v>
      </c>
      <c r="D3231" s="2" t="s">
        <v>54</v>
      </c>
      <c r="E3231" s="2" t="s">
        <v>18</v>
      </c>
      <c r="F3231" s="2" t="s">
        <v>39</v>
      </c>
      <c r="G3231" s="2" t="s">
        <v>20</v>
      </c>
      <c r="H3231" s="2" t="s">
        <v>32</v>
      </c>
      <c r="I3231" s="2">
        <v>48</v>
      </c>
      <c r="J3231" s="2" t="s">
        <v>200</v>
      </c>
      <c r="K3231" s="2"/>
      <c r="L3231" s="2" t="s">
        <v>92</v>
      </c>
      <c r="M3231" s="2"/>
      <c r="N3231" s="2" t="s">
        <v>34</v>
      </c>
    </row>
    <row r="3232" spans="1:14" x14ac:dyDescent="0.25">
      <c r="A3232" s="2" t="s">
        <v>8466</v>
      </c>
      <c r="B3232" s="2" t="s">
        <v>8467</v>
      </c>
      <c r="C3232" s="2" t="s">
        <v>53</v>
      </c>
      <c r="D3232" s="2" t="s">
        <v>61</v>
      </c>
      <c r="E3232" s="2" t="s">
        <v>79</v>
      </c>
      <c r="F3232" s="2" t="s">
        <v>69</v>
      </c>
      <c r="G3232" s="2" t="s">
        <v>179</v>
      </c>
      <c r="H3232" s="2" t="s">
        <v>21</v>
      </c>
      <c r="I3232" s="2">
        <v>24</v>
      </c>
      <c r="J3232" s="2" t="s">
        <v>187</v>
      </c>
      <c r="K3232" s="2" t="s">
        <v>8468</v>
      </c>
      <c r="L3232" s="2" t="s">
        <v>24</v>
      </c>
      <c r="M3232" s="2"/>
      <c r="N3232" s="2" t="s">
        <v>43</v>
      </c>
    </row>
    <row r="3233" spans="1:14" x14ac:dyDescent="0.25">
      <c r="A3233" s="2" t="s">
        <v>8469</v>
      </c>
      <c r="B3233" s="2" t="s">
        <v>8470</v>
      </c>
      <c r="C3233" s="2" t="s">
        <v>28</v>
      </c>
      <c r="D3233" s="2" t="s">
        <v>37</v>
      </c>
      <c r="E3233" s="2" t="s">
        <v>85</v>
      </c>
      <c r="F3233" s="2" t="s">
        <v>39</v>
      </c>
      <c r="G3233" s="2" t="s">
        <v>97</v>
      </c>
      <c r="H3233" s="2" t="s">
        <v>74</v>
      </c>
      <c r="I3233" s="2">
        <v>8</v>
      </c>
      <c r="J3233" s="2" t="s">
        <v>33</v>
      </c>
      <c r="K3233" s="2"/>
      <c r="L3233" s="2" t="s">
        <v>24</v>
      </c>
      <c r="M3233" s="2"/>
      <c r="N3233" s="2" t="s">
        <v>34</v>
      </c>
    </row>
    <row r="3234" spans="1:14" x14ac:dyDescent="0.25">
      <c r="A3234" s="2" t="s">
        <v>8471</v>
      </c>
      <c r="B3234" s="2" t="s">
        <v>8472</v>
      </c>
      <c r="C3234" s="2" t="s">
        <v>67</v>
      </c>
      <c r="D3234" s="2" t="s">
        <v>68</v>
      </c>
      <c r="E3234" s="2" t="s">
        <v>90</v>
      </c>
      <c r="F3234" s="2" t="s">
        <v>131</v>
      </c>
      <c r="G3234" s="2" t="s">
        <v>121</v>
      </c>
      <c r="H3234" s="2" t="s">
        <v>21</v>
      </c>
      <c r="I3234" s="2">
        <v>24</v>
      </c>
      <c r="J3234" s="2" t="s">
        <v>106</v>
      </c>
      <c r="K3234" s="2" t="s">
        <v>8473</v>
      </c>
      <c r="L3234" s="2" t="s">
        <v>24</v>
      </c>
      <c r="M3234" s="2">
        <v>3</v>
      </c>
      <c r="N3234" s="2" t="s">
        <v>58</v>
      </c>
    </row>
    <row r="3235" spans="1:14" x14ac:dyDescent="0.25">
      <c r="A3235" s="2" t="s">
        <v>2631</v>
      </c>
      <c r="B3235" s="2" t="s">
        <v>2632</v>
      </c>
      <c r="C3235" s="2" t="s">
        <v>28</v>
      </c>
      <c r="D3235" s="2" t="s">
        <v>220</v>
      </c>
      <c r="E3235" s="2" t="s">
        <v>46</v>
      </c>
      <c r="F3235" s="2" t="s">
        <v>19</v>
      </c>
      <c r="G3235" s="2" t="s">
        <v>105</v>
      </c>
      <c r="H3235" s="2" t="s">
        <v>32</v>
      </c>
      <c r="I3235" s="2">
        <v>48</v>
      </c>
      <c r="J3235" s="2" t="s">
        <v>187</v>
      </c>
      <c r="K3235" s="2" t="s">
        <v>2633</v>
      </c>
      <c r="L3235" s="2" t="s">
        <v>24</v>
      </c>
      <c r="M3235" s="2">
        <v>5</v>
      </c>
      <c r="N3235" s="2" t="s">
        <v>64</v>
      </c>
    </row>
    <row r="3236" spans="1:14" x14ac:dyDescent="0.25">
      <c r="A3236" s="2" t="s">
        <v>8474</v>
      </c>
      <c r="B3236" s="2" t="s">
        <v>8475</v>
      </c>
      <c r="C3236" s="2" t="s">
        <v>28</v>
      </c>
      <c r="D3236" s="2" t="s">
        <v>100</v>
      </c>
      <c r="E3236" s="2" t="s">
        <v>38</v>
      </c>
      <c r="F3236" s="2" t="s">
        <v>55</v>
      </c>
      <c r="G3236" s="2" t="s">
        <v>70</v>
      </c>
      <c r="H3236" s="2" t="s">
        <v>32</v>
      </c>
      <c r="I3236" s="2">
        <v>48</v>
      </c>
      <c r="J3236" s="2" t="s">
        <v>106</v>
      </c>
      <c r="K3236" s="2" t="s">
        <v>8476</v>
      </c>
      <c r="L3236" s="2" t="s">
        <v>24</v>
      </c>
      <c r="M3236" s="2"/>
      <c r="N3236" s="2" t="s">
        <v>34</v>
      </c>
    </row>
    <row r="3237" spans="1:14" x14ac:dyDescent="0.25">
      <c r="A3237" s="2" t="s">
        <v>8477</v>
      </c>
      <c r="B3237" s="2" t="s">
        <v>8478</v>
      </c>
      <c r="C3237" s="2" t="s">
        <v>28</v>
      </c>
      <c r="D3237" s="2" t="s">
        <v>37</v>
      </c>
      <c r="E3237" s="2" t="s">
        <v>38</v>
      </c>
      <c r="F3237" s="2" t="s">
        <v>55</v>
      </c>
      <c r="G3237" s="2" t="s">
        <v>40</v>
      </c>
      <c r="H3237" s="2" t="s">
        <v>80</v>
      </c>
      <c r="I3237" s="2">
        <v>4</v>
      </c>
      <c r="J3237" s="2" t="s">
        <v>41</v>
      </c>
      <c r="K3237" s="2" t="s">
        <v>8479</v>
      </c>
      <c r="L3237" s="2" t="s">
        <v>24</v>
      </c>
      <c r="M3237" s="2">
        <v>2</v>
      </c>
      <c r="N3237" s="2"/>
    </row>
    <row r="3238" spans="1:14" x14ac:dyDescent="0.25">
      <c r="A3238" s="2" t="s">
        <v>8480</v>
      </c>
      <c r="B3238" s="2" t="s">
        <v>8481</v>
      </c>
      <c r="C3238" s="2" t="s">
        <v>53</v>
      </c>
      <c r="D3238" s="2" t="s">
        <v>54</v>
      </c>
      <c r="E3238" s="2" t="s">
        <v>18</v>
      </c>
      <c r="F3238" s="2" t="s">
        <v>30</v>
      </c>
      <c r="G3238" s="2" t="s">
        <v>126</v>
      </c>
      <c r="H3238" s="2" t="s">
        <v>74</v>
      </c>
      <c r="I3238" s="2">
        <v>8</v>
      </c>
      <c r="J3238" s="2" t="s">
        <v>75</v>
      </c>
      <c r="K3238" s="2" t="s">
        <v>8482</v>
      </c>
      <c r="L3238" s="2" t="s">
        <v>24</v>
      </c>
      <c r="M3238" s="2">
        <v>4</v>
      </c>
      <c r="N3238" s="2" t="s">
        <v>64</v>
      </c>
    </row>
    <row r="3239" spans="1:14" x14ac:dyDescent="0.25">
      <c r="A3239" s="2" t="s">
        <v>8483</v>
      </c>
      <c r="B3239" s="2" t="s">
        <v>8484</v>
      </c>
      <c r="C3239" s="2" t="s">
        <v>28</v>
      </c>
      <c r="D3239" s="2" t="s">
        <v>100</v>
      </c>
      <c r="E3239" s="2" t="s">
        <v>38</v>
      </c>
      <c r="F3239" s="2" t="s">
        <v>143</v>
      </c>
      <c r="G3239" s="2" t="s">
        <v>91</v>
      </c>
      <c r="H3239" s="2" t="s">
        <v>74</v>
      </c>
      <c r="I3239" s="2">
        <v>8</v>
      </c>
      <c r="J3239" s="2" t="s">
        <v>106</v>
      </c>
      <c r="K3239" s="2" t="s">
        <v>8485</v>
      </c>
      <c r="L3239" s="2" t="s">
        <v>24</v>
      </c>
      <c r="M3239" s="2">
        <v>4</v>
      </c>
      <c r="N3239" s="2" t="s">
        <v>50</v>
      </c>
    </row>
    <row r="3240" spans="1:14" x14ac:dyDescent="0.25">
      <c r="A3240" s="2" t="s">
        <v>8486</v>
      </c>
      <c r="B3240" s="2" t="s">
        <v>8487</v>
      </c>
      <c r="C3240" s="2" t="s">
        <v>67</v>
      </c>
      <c r="D3240" s="2" t="s">
        <v>68</v>
      </c>
      <c r="E3240" s="2" t="s">
        <v>85</v>
      </c>
      <c r="F3240" s="2" t="s">
        <v>19</v>
      </c>
      <c r="G3240" s="2" t="s">
        <v>158</v>
      </c>
      <c r="H3240" s="2" t="s">
        <v>32</v>
      </c>
      <c r="I3240" s="2">
        <v>48</v>
      </c>
      <c r="J3240" s="2" t="s">
        <v>187</v>
      </c>
      <c r="K3240" s="2" t="s">
        <v>8488</v>
      </c>
      <c r="L3240" s="2" t="s">
        <v>24</v>
      </c>
      <c r="M3240" s="2">
        <v>5</v>
      </c>
      <c r="N3240" s="2" t="s">
        <v>25</v>
      </c>
    </row>
    <row r="3241" spans="1:14" x14ac:dyDescent="0.25">
      <c r="A3241" s="2" t="s">
        <v>8489</v>
      </c>
      <c r="B3241" s="2" t="s">
        <v>8490</v>
      </c>
      <c r="C3241" s="2" t="s">
        <v>53</v>
      </c>
      <c r="D3241" s="2" t="s">
        <v>61</v>
      </c>
      <c r="E3241" s="2" t="s">
        <v>38</v>
      </c>
      <c r="F3241" s="2" t="s">
        <v>47</v>
      </c>
      <c r="G3241" s="2" t="s">
        <v>183</v>
      </c>
      <c r="H3241" s="2" t="s">
        <v>74</v>
      </c>
      <c r="I3241" s="2">
        <v>8</v>
      </c>
      <c r="J3241" s="2" t="s">
        <v>155</v>
      </c>
      <c r="K3241" s="2"/>
      <c r="L3241" s="2" t="s">
        <v>24</v>
      </c>
      <c r="M3241" s="2"/>
      <c r="N3241" s="2" t="s">
        <v>34</v>
      </c>
    </row>
    <row r="3242" spans="1:14" x14ac:dyDescent="0.25">
      <c r="A3242" s="2" t="s">
        <v>8491</v>
      </c>
      <c r="B3242" s="2" t="s">
        <v>8492</v>
      </c>
      <c r="C3242" s="2" t="s">
        <v>53</v>
      </c>
      <c r="D3242" s="2" t="s">
        <v>54</v>
      </c>
      <c r="E3242" s="2" t="s">
        <v>18</v>
      </c>
      <c r="F3242" s="2" t="s">
        <v>19</v>
      </c>
      <c r="G3242" s="2" t="s">
        <v>97</v>
      </c>
      <c r="H3242" s="2" t="s">
        <v>32</v>
      </c>
      <c r="I3242" s="2">
        <v>48</v>
      </c>
      <c r="J3242" s="2" t="s">
        <v>75</v>
      </c>
      <c r="K3242" s="2" t="s">
        <v>8493</v>
      </c>
      <c r="L3242" s="2" t="s">
        <v>24</v>
      </c>
      <c r="M3242" s="2">
        <v>4</v>
      </c>
      <c r="N3242" s="2" t="s">
        <v>128</v>
      </c>
    </row>
    <row r="3243" spans="1:14" x14ac:dyDescent="0.25">
      <c r="A3243" s="2" t="s">
        <v>8494</v>
      </c>
      <c r="B3243" s="2" t="s">
        <v>8495</v>
      </c>
      <c r="C3243" s="2" t="s">
        <v>67</v>
      </c>
      <c r="D3243" s="2" t="s">
        <v>68</v>
      </c>
      <c r="E3243" s="2" t="s">
        <v>148</v>
      </c>
      <c r="F3243" s="2" t="s">
        <v>39</v>
      </c>
      <c r="G3243" s="2" t="s">
        <v>31</v>
      </c>
      <c r="H3243" s="2" t="s">
        <v>21</v>
      </c>
      <c r="I3243" s="2">
        <v>24</v>
      </c>
      <c r="J3243" s="2" t="s">
        <v>22</v>
      </c>
      <c r="K3243" s="2" t="s">
        <v>8496</v>
      </c>
      <c r="L3243" s="2" t="s">
        <v>24</v>
      </c>
      <c r="M3243" s="2">
        <v>4</v>
      </c>
      <c r="N3243" s="2" t="s">
        <v>34</v>
      </c>
    </row>
    <row r="3244" spans="1:14" x14ac:dyDescent="0.25">
      <c r="A3244" s="2" t="s">
        <v>8497</v>
      </c>
      <c r="B3244" s="2" t="s">
        <v>8498</v>
      </c>
      <c r="C3244" s="2" t="s">
        <v>16</v>
      </c>
      <c r="D3244" s="2" t="s">
        <v>84</v>
      </c>
      <c r="E3244" s="2" t="s">
        <v>79</v>
      </c>
      <c r="F3244" s="2" t="s">
        <v>19</v>
      </c>
      <c r="G3244" s="2" t="s">
        <v>139</v>
      </c>
      <c r="H3244" s="2" t="s">
        <v>74</v>
      </c>
      <c r="I3244" s="2">
        <v>8</v>
      </c>
      <c r="J3244" s="2" t="s">
        <v>106</v>
      </c>
      <c r="K3244" s="2" t="s">
        <v>8499</v>
      </c>
      <c r="L3244" s="2" t="s">
        <v>24</v>
      </c>
      <c r="M3244" s="2">
        <v>1</v>
      </c>
      <c r="N3244" s="2"/>
    </row>
    <row r="3245" spans="1:14" x14ac:dyDescent="0.25">
      <c r="A3245" s="2" t="s">
        <v>8500</v>
      </c>
      <c r="B3245" s="2" t="s">
        <v>8501</v>
      </c>
      <c r="C3245" s="2" t="s">
        <v>67</v>
      </c>
      <c r="D3245" s="2" t="s">
        <v>68</v>
      </c>
      <c r="E3245" s="2" t="s">
        <v>85</v>
      </c>
      <c r="F3245" s="2" t="s">
        <v>96</v>
      </c>
      <c r="G3245" s="2" t="s">
        <v>110</v>
      </c>
      <c r="H3245" s="2" t="s">
        <v>80</v>
      </c>
      <c r="I3245" s="2">
        <v>4</v>
      </c>
      <c r="J3245" s="2" t="s">
        <v>187</v>
      </c>
      <c r="K3245" s="2" t="s">
        <v>8502</v>
      </c>
      <c r="L3245" s="2" t="s">
        <v>24</v>
      </c>
      <c r="M3245" s="2">
        <v>1</v>
      </c>
      <c r="N3245" s="2" t="s">
        <v>58</v>
      </c>
    </row>
    <row r="3246" spans="1:14" x14ac:dyDescent="0.25">
      <c r="A3246" s="2" t="s">
        <v>8503</v>
      </c>
      <c r="B3246" s="2" t="s">
        <v>8504</v>
      </c>
      <c r="C3246" s="2" t="s">
        <v>16</v>
      </c>
      <c r="D3246" s="2" t="s">
        <v>17</v>
      </c>
      <c r="E3246" s="2" t="s">
        <v>18</v>
      </c>
      <c r="F3246" s="2" t="s">
        <v>19</v>
      </c>
      <c r="G3246" s="2" t="s">
        <v>97</v>
      </c>
      <c r="H3246" s="2" t="s">
        <v>21</v>
      </c>
      <c r="I3246" s="2">
        <v>24</v>
      </c>
      <c r="J3246" s="2" t="s">
        <v>41</v>
      </c>
      <c r="K3246" s="2" t="s">
        <v>8505</v>
      </c>
      <c r="L3246" s="2" t="s">
        <v>24</v>
      </c>
      <c r="M3246" s="2">
        <v>5</v>
      </c>
      <c r="N3246" s="2" t="s">
        <v>128</v>
      </c>
    </row>
    <row r="3247" spans="1:14" x14ac:dyDescent="0.25">
      <c r="A3247" s="2" t="s">
        <v>1240</v>
      </c>
      <c r="B3247" s="2" t="s">
        <v>1241</v>
      </c>
      <c r="C3247" s="2" t="s">
        <v>53</v>
      </c>
      <c r="D3247" s="2" t="s">
        <v>61</v>
      </c>
      <c r="E3247" s="2" t="s">
        <v>46</v>
      </c>
      <c r="F3247" s="2" t="s">
        <v>55</v>
      </c>
      <c r="G3247" s="2" t="s">
        <v>91</v>
      </c>
      <c r="H3247" s="2" t="s">
        <v>32</v>
      </c>
      <c r="I3247" s="2">
        <v>48</v>
      </c>
      <c r="J3247" s="2" t="s">
        <v>106</v>
      </c>
      <c r="K3247" s="2" t="s">
        <v>1242</v>
      </c>
      <c r="L3247" s="2" t="s">
        <v>24</v>
      </c>
      <c r="M3247" s="2"/>
      <c r="N3247" s="2" t="s">
        <v>58</v>
      </c>
    </row>
    <row r="3248" spans="1:14" x14ac:dyDescent="0.25">
      <c r="A3248" s="2" t="s">
        <v>8506</v>
      </c>
      <c r="B3248" s="2" t="s">
        <v>8507</v>
      </c>
      <c r="C3248" s="2" t="s">
        <v>67</v>
      </c>
      <c r="D3248" s="2" t="s">
        <v>68</v>
      </c>
      <c r="E3248" s="2" t="s">
        <v>148</v>
      </c>
      <c r="F3248" s="2" t="s">
        <v>125</v>
      </c>
      <c r="G3248" s="2" t="s">
        <v>31</v>
      </c>
      <c r="H3248" s="2" t="s">
        <v>80</v>
      </c>
      <c r="I3248" s="2">
        <v>4</v>
      </c>
      <c r="J3248" s="2" t="s">
        <v>75</v>
      </c>
      <c r="K3248" s="2" t="s">
        <v>8508</v>
      </c>
      <c r="L3248" s="2" t="s">
        <v>24</v>
      </c>
      <c r="M3248" s="2"/>
      <c r="N3248" s="2" t="s">
        <v>25</v>
      </c>
    </row>
    <row r="3249" spans="1:14" x14ac:dyDescent="0.25">
      <c r="A3249" s="2" t="s">
        <v>8509</v>
      </c>
      <c r="B3249" s="2" t="s">
        <v>8510</v>
      </c>
      <c r="C3249" s="2" t="s">
        <v>53</v>
      </c>
      <c r="D3249" s="2" t="s">
        <v>54</v>
      </c>
      <c r="E3249" s="2" t="s">
        <v>148</v>
      </c>
      <c r="F3249" s="2" t="s">
        <v>62</v>
      </c>
      <c r="G3249" s="2" t="s">
        <v>97</v>
      </c>
      <c r="H3249" s="2" t="s">
        <v>74</v>
      </c>
      <c r="I3249" s="2">
        <v>8</v>
      </c>
      <c r="J3249" s="2" t="s">
        <v>117</v>
      </c>
      <c r="K3249" s="2"/>
      <c r="L3249" s="2" t="s">
        <v>24</v>
      </c>
      <c r="M3249" s="2"/>
      <c r="N3249" s="2" t="s">
        <v>34</v>
      </c>
    </row>
    <row r="3250" spans="1:14" x14ac:dyDescent="0.25">
      <c r="A3250" s="2" t="s">
        <v>2470</v>
      </c>
      <c r="B3250" s="2" t="s">
        <v>2471</v>
      </c>
      <c r="C3250" s="2" t="s">
        <v>16</v>
      </c>
      <c r="D3250" s="2" t="s">
        <v>84</v>
      </c>
      <c r="E3250" s="2" t="s">
        <v>79</v>
      </c>
      <c r="F3250" s="2" t="s">
        <v>131</v>
      </c>
      <c r="G3250" s="2" t="s">
        <v>110</v>
      </c>
      <c r="H3250" s="2" t="s">
        <v>32</v>
      </c>
      <c r="I3250" s="2">
        <v>48</v>
      </c>
      <c r="J3250" s="2" t="s">
        <v>155</v>
      </c>
      <c r="K3250" s="2"/>
      <c r="L3250" s="2" t="s">
        <v>24</v>
      </c>
      <c r="M3250" s="2"/>
      <c r="N3250" s="2" t="s">
        <v>128</v>
      </c>
    </row>
    <row r="3251" spans="1:14" x14ac:dyDescent="0.25">
      <c r="A3251" s="2" t="s">
        <v>8511</v>
      </c>
      <c r="B3251" s="2" t="s">
        <v>8512</v>
      </c>
      <c r="C3251" s="2" t="s">
        <v>53</v>
      </c>
      <c r="D3251" s="2" t="s">
        <v>61</v>
      </c>
      <c r="E3251" s="2" t="s">
        <v>85</v>
      </c>
      <c r="F3251" s="2" t="s">
        <v>19</v>
      </c>
      <c r="G3251" s="2" t="s">
        <v>70</v>
      </c>
      <c r="H3251" s="2" t="s">
        <v>74</v>
      </c>
      <c r="I3251" s="2">
        <v>8</v>
      </c>
      <c r="J3251" s="2" t="s">
        <v>22</v>
      </c>
      <c r="K3251" s="2" t="s">
        <v>8513</v>
      </c>
      <c r="L3251" s="2" t="s">
        <v>24</v>
      </c>
      <c r="M3251" s="2">
        <v>4</v>
      </c>
      <c r="N3251" s="2"/>
    </row>
    <row r="3252" spans="1:14" x14ac:dyDescent="0.25">
      <c r="A3252" s="2" t="s">
        <v>8514</v>
      </c>
      <c r="B3252" s="2" t="s">
        <v>8515</v>
      </c>
      <c r="C3252" s="2" t="s">
        <v>53</v>
      </c>
      <c r="D3252" s="2" t="s">
        <v>54</v>
      </c>
      <c r="E3252" s="2" t="s">
        <v>79</v>
      </c>
      <c r="F3252" s="2" t="s">
        <v>125</v>
      </c>
      <c r="G3252" s="2" t="s">
        <v>183</v>
      </c>
      <c r="H3252" s="2" t="s">
        <v>74</v>
      </c>
      <c r="I3252" s="2">
        <v>8</v>
      </c>
      <c r="J3252" s="2" t="s">
        <v>41</v>
      </c>
      <c r="K3252" s="2" t="s">
        <v>8516</v>
      </c>
      <c r="L3252" s="2" t="s">
        <v>24</v>
      </c>
      <c r="M3252" s="2">
        <v>1</v>
      </c>
      <c r="N3252" s="2" t="s">
        <v>128</v>
      </c>
    </row>
    <row r="3253" spans="1:14" x14ac:dyDescent="0.25">
      <c r="A3253" s="2" t="s">
        <v>8517</v>
      </c>
      <c r="B3253" s="2" t="s">
        <v>8518</v>
      </c>
      <c r="C3253" s="2" t="s">
        <v>53</v>
      </c>
      <c r="D3253" s="2" t="s">
        <v>162</v>
      </c>
      <c r="E3253" s="2" t="s">
        <v>79</v>
      </c>
      <c r="F3253" s="2" t="s">
        <v>96</v>
      </c>
      <c r="G3253" s="2" t="s">
        <v>135</v>
      </c>
      <c r="H3253" s="2" t="s">
        <v>74</v>
      </c>
      <c r="I3253" s="2">
        <v>8</v>
      </c>
      <c r="J3253" s="2" t="s">
        <v>22</v>
      </c>
      <c r="K3253" s="2" t="s">
        <v>8519</v>
      </c>
      <c r="L3253" s="2" t="s">
        <v>24</v>
      </c>
      <c r="M3253" s="2"/>
      <c r="N3253" s="2" t="s">
        <v>50</v>
      </c>
    </row>
    <row r="3254" spans="1:14" x14ac:dyDescent="0.25">
      <c r="A3254" s="2" t="s">
        <v>8520</v>
      </c>
      <c r="B3254" s="2" t="s">
        <v>8521</v>
      </c>
      <c r="C3254" s="2" t="s">
        <v>67</v>
      </c>
      <c r="D3254" s="2" t="s">
        <v>95</v>
      </c>
      <c r="E3254" s="2" t="s">
        <v>85</v>
      </c>
      <c r="F3254" s="2" t="s">
        <v>62</v>
      </c>
      <c r="G3254" s="2" t="s">
        <v>105</v>
      </c>
      <c r="H3254" s="2" t="s">
        <v>74</v>
      </c>
      <c r="I3254" s="2">
        <v>8</v>
      </c>
      <c r="J3254" s="2" t="s">
        <v>486</v>
      </c>
      <c r="K3254" s="2" t="s">
        <v>8522</v>
      </c>
      <c r="L3254" s="2" t="s">
        <v>24</v>
      </c>
      <c r="M3254" s="2"/>
      <c r="N3254" s="2" t="s">
        <v>43</v>
      </c>
    </row>
    <row r="3255" spans="1:14" x14ac:dyDescent="0.25">
      <c r="A3255" s="2" t="s">
        <v>8523</v>
      </c>
      <c r="B3255" s="2" t="s">
        <v>8524</v>
      </c>
      <c r="C3255" s="2" t="s">
        <v>67</v>
      </c>
      <c r="D3255" s="2" t="s">
        <v>68</v>
      </c>
      <c r="E3255" s="2" t="s">
        <v>18</v>
      </c>
      <c r="F3255" s="2" t="s">
        <v>125</v>
      </c>
      <c r="G3255" s="2" t="s">
        <v>126</v>
      </c>
      <c r="H3255" s="2" t="s">
        <v>32</v>
      </c>
      <c r="I3255" s="2">
        <v>48</v>
      </c>
      <c r="J3255" s="2" t="s">
        <v>106</v>
      </c>
      <c r="K3255" s="2" t="s">
        <v>8525</v>
      </c>
      <c r="L3255" s="2" t="s">
        <v>24</v>
      </c>
      <c r="M3255" s="2">
        <v>3</v>
      </c>
      <c r="N3255" s="2" t="s">
        <v>64</v>
      </c>
    </row>
    <row r="3256" spans="1:14" x14ac:dyDescent="0.25">
      <c r="A3256" s="2" t="s">
        <v>8526</v>
      </c>
      <c r="B3256" s="2" t="s">
        <v>8527</v>
      </c>
      <c r="C3256" s="2" t="s">
        <v>67</v>
      </c>
      <c r="D3256" s="2" t="s">
        <v>68</v>
      </c>
      <c r="E3256" s="2" t="s">
        <v>46</v>
      </c>
      <c r="F3256" s="2" t="s">
        <v>96</v>
      </c>
      <c r="G3256" s="2" t="s">
        <v>126</v>
      </c>
      <c r="H3256" s="2" t="s">
        <v>21</v>
      </c>
      <c r="I3256" s="2">
        <v>24</v>
      </c>
      <c r="J3256" s="2" t="s">
        <v>106</v>
      </c>
      <c r="K3256" s="2" t="s">
        <v>8528</v>
      </c>
      <c r="L3256" s="2" t="s">
        <v>24</v>
      </c>
      <c r="M3256" s="2">
        <v>5</v>
      </c>
      <c r="N3256" s="2" t="s">
        <v>43</v>
      </c>
    </row>
    <row r="3257" spans="1:14" x14ac:dyDescent="0.25">
      <c r="A3257" s="2" t="s">
        <v>8529</v>
      </c>
      <c r="B3257" s="2" t="s">
        <v>8530</v>
      </c>
      <c r="C3257" s="2" t="s">
        <v>67</v>
      </c>
      <c r="D3257" s="2" t="s">
        <v>68</v>
      </c>
      <c r="E3257" s="2" t="s">
        <v>46</v>
      </c>
      <c r="F3257" s="2" t="s">
        <v>55</v>
      </c>
      <c r="G3257" s="2" t="s">
        <v>183</v>
      </c>
      <c r="H3257" s="2" t="s">
        <v>32</v>
      </c>
      <c r="I3257" s="2">
        <v>48</v>
      </c>
      <c r="J3257" s="2" t="s">
        <v>75</v>
      </c>
      <c r="K3257" s="2" t="s">
        <v>8531</v>
      </c>
      <c r="L3257" s="2" t="s">
        <v>24</v>
      </c>
      <c r="M3257" s="2">
        <v>3</v>
      </c>
      <c r="N3257" s="2" t="s">
        <v>34</v>
      </c>
    </row>
    <row r="3258" spans="1:14" x14ac:dyDescent="0.25">
      <c r="A3258" s="2" t="s">
        <v>8532</v>
      </c>
      <c r="B3258" s="2" t="s">
        <v>8533</v>
      </c>
      <c r="C3258" s="2" t="s">
        <v>53</v>
      </c>
      <c r="D3258" s="2" t="s">
        <v>61</v>
      </c>
      <c r="E3258" s="2" t="s">
        <v>46</v>
      </c>
      <c r="F3258" s="2" t="s">
        <v>131</v>
      </c>
      <c r="G3258" s="2" t="s">
        <v>179</v>
      </c>
      <c r="H3258" s="2" t="s">
        <v>21</v>
      </c>
      <c r="I3258" s="2">
        <v>24</v>
      </c>
      <c r="J3258" s="2" t="s">
        <v>187</v>
      </c>
      <c r="K3258" s="2" t="s">
        <v>8534</v>
      </c>
      <c r="L3258" s="2" t="s">
        <v>24</v>
      </c>
      <c r="M3258" s="2"/>
      <c r="N3258" s="2" t="s">
        <v>34</v>
      </c>
    </row>
    <row r="3259" spans="1:14" x14ac:dyDescent="0.25">
      <c r="A3259" s="2" t="s">
        <v>8535</v>
      </c>
      <c r="B3259" s="2" t="s">
        <v>8536</v>
      </c>
      <c r="C3259" s="2" t="s">
        <v>28</v>
      </c>
      <c r="D3259" s="2" t="s">
        <v>37</v>
      </c>
      <c r="E3259" s="2" t="s">
        <v>38</v>
      </c>
      <c r="F3259" s="2" t="s">
        <v>55</v>
      </c>
      <c r="G3259" s="2" t="s">
        <v>121</v>
      </c>
      <c r="H3259" s="2" t="s">
        <v>32</v>
      </c>
      <c r="I3259" s="2">
        <v>48</v>
      </c>
      <c r="J3259" s="2" t="s">
        <v>75</v>
      </c>
      <c r="K3259" s="2" t="s">
        <v>8537</v>
      </c>
      <c r="L3259" s="2" t="s">
        <v>24</v>
      </c>
      <c r="M3259" s="2"/>
      <c r="N3259" s="2" t="s">
        <v>34</v>
      </c>
    </row>
    <row r="3260" spans="1:14" x14ac:dyDescent="0.25">
      <c r="A3260" s="2" t="s">
        <v>8538</v>
      </c>
      <c r="B3260" s="2" t="s">
        <v>8539</v>
      </c>
      <c r="C3260" s="2" t="s">
        <v>16</v>
      </c>
      <c r="D3260" s="2" t="s">
        <v>84</v>
      </c>
      <c r="E3260" s="2" t="s">
        <v>18</v>
      </c>
      <c r="F3260" s="2" t="s">
        <v>62</v>
      </c>
      <c r="G3260" s="2" t="s">
        <v>179</v>
      </c>
      <c r="H3260" s="2" t="s">
        <v>80</v>
      </c>
      <c r="I3260" s="2">
        <v>4</v>
      </c>
      <c r="J3260" s="2" t="s">
        <v>106</v>
      </c>
      <c r="K3260" s="2" t="s">
        <v>8540</v>
      </c>
      <c r="L3260" s="2" t="s">
        <v>24</v>
      </c>
      <c r="M3260" s="2">
        <v>5</v>
      </c>
      <c r="N3260" s="2" t="s">
        <v>43</v>
      </c>
    </row>
    <row r="3261" spans="1:14" x14ac:dyDescent="0.25">
      <c r="A3261" s="2" t="s">
        <v>8541</v>
      </c>
      <c r="B3261" s="2" t="s">
        <v>8542</v>
      </c>
      <c r="C3261" s="2" t="s">
        <v>28</v>
      </c>
      <c r="D3261" s="2" t="s">
        <v>100</v>
      </c>
      <c r="E3261" s="2" t="s">
        <v>46</v>
      </c>
      <c r="F3261" s="2" t="s">
        <v>39</v>
      </c>
      <c r="G3261" s="2" t="s">
        <v>101</v>
      </c>
      <c r="H3261" s="2" t="s">
        <v>21</v>
      </c>
      <c r="I3261" s="2">
        <v>24</v>
      </c>
      <c r="J3261" s="2" t="s">
        <v>287</v>
      </c>
      <c r="K3261" s="2"/>
      <c r="L3261" s="2" t="s">
        <v>24</v>
      </c>
      <c r="M3261" s="2"/>
      <c r="N3261" s="2"/>
    </row>
    <row r="3262" spans="1:14" x14ac:dyDescent="0.25">
      <c r="A3262" s="2" t="s">
        <v>8543</v>
      </c>
      <c r="B3262" s="2" t="s">
        <v>8544</v>
      </c>
      <c r="C3262" s="2" t="s">
        <v>28</v>
      </c>
      <c r="D3262" s="2" t="s">
        <v>37</v>
      </c>
      <c r="E3262" s="2" t="s">
        <v>38</v>
      </c>
      <c r="F3262" s="2" t="s">
        <v>47</v>
      </c>
      <c r="G3262" s="2" t="s">
        <v>97</v>
      </c>
      <c r="H3262" s="2" t="s">
        <v>32</v>
      </c>
      <c r="I3262" s="2">
        <v>48</v>
      </c>
      <c r="J3262" s="2" t="s">
        <v>75</v>
      </c>
      <c r="K3262" s="2" t="s">
        <v>8545</v>
      </c>
      <c r="L3262" s="2" t="s">
        <v>24</v>
      </c>
      <c r="M3262" s="2"/>
      <c r="N3262" s="2" t="s">
        <v>118</v>
      </c>
    </row>
    <row r="3263" spans="1:14" x14ac:dyDescent="0.25">
      <c r="A3263" s="2" t="s">
        <v>8546</v>
      </c>
      <c r="B3263" s="2" t="s">
        <v>8547</v>
      </c>
      <c r="C3263" s="2" t="s">
        <v>53</v>
      </c>
      <c r="D3263" s="2" t="s">
        <v>61</v>
      </c>
      <c r="E3263" s="2" t="s">
        <v>85</v>
      </c>
      <c r="F3263" s="2" t="s">
        <v>69</v>
      </c>
      <c r="G3263" s="2" t="s">
        <v>183</v>
      </c>
      <c r="H3263" s="2" t="s">
        <v>74</v>
      </c>
      <c r="I3263" s="2">
        <v>8</v>
      </c>
      <c r="J3263" s="2" t="s">
        <v>287</v>
      </c>
      <c r="K3263" s="2"/>
      <c r="L3263" s="2" t="s">
        <v>24</v>
      </c>
      <c r="M3263" s="2"/>
      <c r="N3263" s="2" t="s">
        <v>118</v>
      </c>
    </row>
    <row r="3264" spans="1:14" x14ac:dyDescent="0.25">
      <c r="A3264" s="2" t="s">
        <v>8548</v>
      </c>
      <c r="B3264" s="2" t="s">
        <v>8549</v>
      </c>
      <c r="C3264" s="2" t="s">
        <v>16</v>
      </c>
      <c r="D3264" s="2" t="s">
        <v>84</v>
      </c>
      <c r="E3264" s="2" t="s">
        <v>90</v>
      </c>
      <c r="F3264" s="2" t="s">
        <v>113</v>
      </c>
      <c r="G3264" s="2" t="s">
        <v>121</v>
      </c>
      <c r="H3264" s="2" t="s">
        <v>74</v>
      </c>
      <c r="I3264" s="2">
        <v>8</v>
      </c>
      <c r="J3264" s="2" t="s">
        <v>41</v>
      </c>
      <c r="K3264" s="2" t="s">
        <v>8550</v>
      </c>
      <c r="L3264" s="2" t="s">
        <v>24</v>
      </c>
      <c r="M3264" s="2"/>
      <c r="N3264" s="2" t="s">
        <v>118</v>
      </c>
    </row>
    <row r="3265" spans="1:14" x14ac:dyDescent="0.25">
      <c r="A3265" s="2" t="s">
        <v>8551</v>
      </c>
      <c r="B3265" s="2" t="s">
        <v>8552</v>
      </c>
      <c r="C3265" s="2" t="s">
        <v>53</v>
      </c>
      <c r="D3265" s="2" t="s">
        <v>54</v>
      </c>
      <c r="E3265" s="2" t="s">
        <v>46</v>
      </c>
      <c r="F3265" s="2" t="s">
        <v>143</v>
      </c>
      <c r="G3265" s="2" t="s">
        <v>20</v>
      </c>
      <c r="H3265" s="2" t="s">
        <v>21</v>
      </c>
      <c r="I3265" s="2">
        <v>24</v>
      </c>
      <c r="J3265" s="2" t="s">
        <v>200</v>
      </c>
      <c r="K3265" s="2"/>
      <c r="L3265" s="2" t="s">
        <v>92</v>
      </c>
      <c r="M3265" s="2"/>
      <c r="N3265" s="2" t="s">
        <v>128</v>
      </c>
    </row>
    <row r="3266" spans="1:14" x14ac:dyDescent="0.25">
      <c r="A3266" s="2" t="s">
        <v>8553</v>
      </c>
      <c r="B3266" s="2" t="s">
        <v>8554</v>
      </c>
      <c r="C3266" s="2" t="s">
        <v>67</v>
      </c>
      <c r="D3266" s="2" t="s">
        <v>95</v>
      </c>
      <c r="E3266" s="2" t="s">
        <v>46</v>
      </c>
      <c r="F3266" s="2" t="s">
        <v>69</v>
      </c>
      <c r="G3266" s="2" t="s">
        <v>40</v>
      </c>
      <c r="H3266" s="2" t="s">
        <v>21</v>
      </c>
      <c r="I3266" s="2">
        <v>24</v>
      </c>
      <c r="J3266" s="2" t="s">
        <v>33</v>
      </c>
      <c r="K3266" s="2"/>
      <c r="L3266" s="2" t="s">
        <v>24</v>
      </c>
      <c r="M3266" s="2"/>
      <c r="N3266" s="2" t="s">
        <v>25</v>
      </c>
    </row>
    <row r="3267" spans="1:14" x14ac:dyDescent="0.25">
      <c r="A3267" s="2" t="s">
        <v>8555</v>
      </c>
      <c r="B3267" s="2" t="s">
        <v>8556</v>
      </c>
      <c r="C3267" s="2" t="s">
        <v>53</v>
      </c>
      <c r="D3267" s="2" t="s">
        <v>61</v>
      </c>
      <c r="E3267" s="2" t="s">
        <v>46</v>
      </c>
      <c r="F3267" s="2" t="s">
        <v>47</v>
      </c>
      <c r="G3267" s="2" t="s">
        <v>183</v>
      </c>
      <c r="H3267" s="2" t="s">
        <v>74</v>
      </c>
      <c r="I3267" s="2">
        <v>8</v>
      </c>
      <c r="J3267" s="2" t="s">
        <v>106</v>
      </c>
      <c r="K3267" s="2" t="s">
        <v>8557</v>
      </c>
      <c r="L3267" s="2" t="s">
        <v>24</v>
      </c>
      <c r="M3267" s="2">
        <v>1</v>
      </c>
      <c r="N3267" s="2" t="s">
        <v>50</v>
      </c>
    </row>
    <row r="3268" spans="1:14" x14ac:dyDescent="0.25">
      <c r="A3268" s="2" t="s">
        <v>8558</v>
      </c>
      <c r="B3268" s="2" t="s">
        <v>8559</v>
      </c>
      <c r="C3268" s="2" t="s">
        <v>53</v>
      </c>
      <c r="D3268" s="2" t="s">
        <v>61</v>
      </c>
      <c r="E3268" s="2" t="s">
        <v>79</v>
      </c>
      <c r="F3268" s="2" t="s">
        <v>62</v>
      </c>
      <c r="G3268" s="2" t="s">
        <v>20</v>
      </c>
      <c r="H3268" s="2" t="s">
        <v>74</v>
      </c>
      <c r="I3268" s="2">
        <v>8</v>
      </c>
      <c r="J3268" s="2" t="s">
        <v>106</v>
      </c>
      <c r="K3268" s="2" t="s">
        <v>8560</v>
      </c>
      <c r="L3268" s="2" t="s">
        <v>24</v>
      </c>
      <c r="M3268" s="2">
        <v>5</v>
      </c>
      <c r="N3268" s="2" t="s">
        <v>25</v>
      </c>
    </row>
    <row r="3269" spans="1:14" x14ac:dyDescent="0.25">
      <c r="A3269" s="2" t="s">
        <v>8561</v>
      </c>
      <c r="B3269" s="2" t="s">
        <v>8562</v>
      </c>
      <c r="C3269" s="2" t="s">
        <v>67</v>
      </c>
      <c r="D3269" s="2" t="s">
        <v>68</v>
      </c>
      <c r="E3269" s="2" t="s">
        <v>79</v>
      </c>
      <c r="F3269" s="2" t="s">
        <v>69</v>
      </c>
      <c r="G3269" s="2" t="s">
        <v>139</v>
      </c>
      <c r="H3269" s="2" t="s">
        <v>32</v>
      </c>
      <c r="I3269" s="2">
        <v>48</v>
      </c>
      <c r="J3269" s="2" t="s">
        <v>232</v>
      </c>
      <c r="K3269" s="2"/>
      <c r="L3269" s="2" t="s">
        <v>92</v>
      </c>
      <c r="M3269" s="2"/>
      <c r="N3269" s="2" t="s">
        <v>58</v>
      </c>
    </row>
    <row r="3270" spans="1:14" x14ac:dyDescent="0.25">
      <c r="A3270" s="2" t="s">
        <v>8563</v>
      </c>
      <c r="B3270" s="2" t="s">
        <v>8564</v>
      </c>
      <c r="C3270" s="2" t="s">
        <v>28</v>
      </c>
      <c r="D3270" s="2" t="s">
        <v>100</v>
      </c>
      <c r="E3270" s="2" t="s">
        <v>85</v>
      </c>
      <c r="F3270" s="2" t="s">
        <v>131</v>
      </c>
      <c r="G3270" s="2" t="s">
        <v>183</v>
      </c>
      <c r="H3270" s="2" t="s">
        <v>21</v>
      </c>
      <c r="I3270" s="2">
        <v>24</v>
      </c>
      <c r="J3270" s="2" t="s">
        <v>75</v>
      </c>
      <c r="K3270" s="2" t="s">
        <v>8565</v>
      </c>
      <c r="L3270" s="2" t="s">
        <v>24</v>
      </c>
      <c r="M3270" s="2"/>
      <c r="N3270" s="2" t="s">
        <v>128</v>
      </c>
    </row>
    <row r="3271" spans="1:14" x14ac:dyDescent="0.25">
      <c r="A3271" s="2" t="s">
        <v>8566</v>
      </c>
      <c r="B3271" s="2" t="s">
        <v>8567</v>
      </c>
      <c r="C3271" s="2" t="s">
        <v>16</v>
      </c>
      <c r="D3271" s="2" t="s">
        <v>17</v>
      </c>
      <c r="E3271" s="2" t="s">
        <v>46</v>
      </c>
      <c r="F3271" s="2" t="s">
        <v>96</v>
      </c>
      <c r="G3271" s="2" t="s">
        <v>105</v>
      </c>
      <c r="H3271" s="2" t="s">
        <v>74</v>
      </c>
      <c r="I3271" s="2">
        <v>8</v>
      </c>
      <c r="J3271" s="2" t="s">
        <v>41</v>
      </c>
      <c r="K3271" s="2" t="s">
        <v>8568</v>
      </c>
      <c r="L3271" s="2" t="s">
        <v>24</v>
      </c>
      <c r="M3271" s="2"/>
      <c r="N3271" s="2"/>
    </row>
    <row r="3272" spans="1:14" x14ac:dyDescent="0.25">
      <c r="A3272" s="2" t="s">
        <v>7548</v>
      </c>
      <c r="B3272" s="2" t="s">
        <v>7549</v>
      </c>
      <c r="C3272" s="2" t="s">
        <v>67</v>
      </c>
      <c r="D3272" s="2" t="s">
        <v>95</v>
      </c>
      <c r="E3272" s="2" t="s">
        <v>46</v>
      </c>
      <c r="F3272" s="2" t="s">
        <v>96</v>
      </c>
      <c r="G3272" s="2" t="s">
        <v>144</v>
      </c>
      <c r="H3272" s="2" t="s">
        <v>21</v>
      </c>
      <c r="I3272" s="2">
        <v>24</v>
      </c>
      <c r="J3272" s="2" t="s">
        <v>117</v>
      </c>
      <c r="K3272" s="2"/>
      <c r="L3272" s="2" t="s">
        <v>24</v>
      </c>
      <c r="M3272" s="2"/>
      <c r="N3272" s="2" t="s">
        <v>43</v>
      </c>
    </row>
    <row r="3273" spans="1:14" x14ac:dyDescent="0.25">
      <c r="A3273" s="2" t="s">
        <v>8569</v>
      </c>
      <c r="B3273" s="2" t="s">
        <v>8570</v>
      </c>
      <c r="C3273" s="2" t="s">
        <v>28</v>
      </c>
      <c r="D3273" s="2" t="s">
        <v>100</v>
      </c>
      <c r="E3273" s="2" t="s">
        <v>38</v>
      </c>
      <c r="F3273" s="2" t="s">
        <v>62</v>
      </c>
      <c r="G3273" s="2" t="s">
        <v>135</v>
      </c>
      <c r="H3273" s="2" t="s">
        <v>21</v>
      </c>
      <c r="I3273" s="2">
        <v>24</v>
      </c>
      <c r="J3273" s="2" t="s">
        <v>41</v>
      </c>
      <c r="K3273" s="2" t="s">
        <v>8571</v>
      </c>
      <c r="L3273" s="2" t="s">
        <v>92</v>
      </c>
      <c r="M3273" s="2">
        <v>1</v>
      </c>
      <c r="N3273" s="2" t="s">
        <v>43</v>
      </c>
    </row>
    <row r="3274" spans="1:14" x14ac:dyDescent="0.25">
      <c r="A3274" s="2" t="s">
        <v>8572</v>
      </c>
      <c r="B3274" s="2" t="s">
        <v>8573</v>
      </c>
      <c r="C3274" s="2" t="s">
        <v>53</v>
      </c>
      <c r="D3274" s="2" t="s">
        <v>61</v>
      </c>
      <c r="E3274" s="2" t="s">
        <v>46</v>
      </c>
      <c r="F3274" s="2" t="s">
        <v>143</v>
      </c>
      <c r="G3274" s="2" t="s">
        <v>211</v>
      </c>
      <c r="H3274" s="2" t="s">
        <v>32</v>
      </c>
      <c r="I3274" s="2">
        <v>48</v>
      </c>
      <c r="J3274" s="2" t="s">
        <v>106</v>
      </c>
      <c r="K3274" s="2" t="s">
        <v>8574</v>
      </c>
      <c r="L3274" s="2" t="s">
        <v>24</v>
      </c>
      <c r="M3274" s="2"/>
      <c r="N3274" s="2" t="s">
        <v>50</v>
      </c>
    </row>
    <row r="3275" spans="1:14" x14ac:dyDescent="0.25">
      <c r="A3275" s="2" t="s">
        <v>8575</v>
      </c>
      <c r="B3275" s="2" t="s">
        <v>8576</v>
      </c>
      <c r="C3275" s="2" t="s">
        <v>67</v>
      </c>
      <c r="D3275" s="2" t="s">
        <v>95</v>
      </c>
      <c r="E3275" s="2" t="s">
        <v>85</v>
      </c>
      <c r="F3275" s="2" t="s">
        <v>96</v>
      </c>
      <c r="G3275" s="2" t="s">
        <v>158</v>
      </c>
      <c r="H3275" s="2" t="s">
        <v>74</v>
      </c>
      <c r="I3275" s="2">
        <v>8</v>
      </c>
      <c r="J3275" s="2" t="s">
        <v>75</v>
      </c>
      <c r="K3275" s="2" t="s">
        <v>8577</v>
      </c>
      <c r="L3275" s="2" t="s">
        <v>24</v>
      </c>
      <c r="M3275" s="2">
        <v>3</v>
      </c>
      <c r="N3275" s="2" t="s">
        <v>50</v>
      </c>
    </row>
    <row r="3276" spans="1:14" x14ac:dyDescent="0.25">
      <c r="A3276" s="2" t="s">
        <v>8578</v>
      </c>
      <c r="B3276" s="2" t="s">
        <v>8579</v>
      </c>
      <c r="C3276" s="2" t="s">
        <v>28</v>
      </c>
      <c r="D3276" s="2" t="s">
        <v>100</v>
      </c>
      <c r="E3276" s="2" t="s">
        <v>90</v>
      </c>
      <c r="F3276" s="2" t="s">
        <v>96</v>
      </c>
      <c r="G3276" s="2" t="s">
        <v>20</v>
      </c>
      <c r="H3276" s="2" t="s">
        <v>74</v>
      </c>
      <c r="I3276" s="2">
        <v>8</v>
      </c>
      <c r="J3276" s="2" t="s">
        <v>200</v>
      </c>
      <c r="K3276" s="2"/>
      <c r="L3276" s="2" t="s">
        <v>92</v>
      </c>
      <c r="M3276" s="2"/>
      <c r="N3276" s="2"/>
    </row>
  </sheetData>
  <autoFilter ref="A1:N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C5" sqref="C5"/>
    </sheetView>
  </sheetViews>
  <sheetFormatPr defaultRowHeight="15" x14ac:dyDescent="0.25"/>
  <cols>
    <col min="1" max="1" width="16.85546875" bestFit="1" customWidth="1"/>
    <col min="2" max="2" width="17.42578125" bestFit="1" customWidth="1"/>
    <col min="3" max="3" width="27.28515625" bestFit="1" customWidth="1"/>
  </cols>
  <sheetData>
    <row r="3" spans="1:3" x14ac:dyDescent="0.25">
      <c r="A3" s="14" t="s">
        <v>8605</v>
      </c>
      <c r="B3" t="s">
        <v>8607</v>
      </c>
      <c r="C3" t="s">
        <v>8608</v>
      </c>
    </row>
    <row r="4" spans="1:3" x14ac:dyDescent="0.25">
      <c r="A4" s="15" t="s">
        <v>16</v>
      </c>
      <c r="B4" s="9">
        <v>787</v>
      </c>
      <c r="C4" s="8">
        <v>20.886456341617702</v>
      </c>
    </row>
    <row r="5" spans="1:3" x14ac:dyDescent="0.25">
      <c r="A5" s="15" t="s">
        <v>67</v>
      </c>
      <c r="B5" s="9">
        <v>802</v>
      </c>
      <c r="C5" s="8">
        <v>21.391650973007579</v>
      </c>
    </row>
    <row r="6" spans="1:3" x14ac:dyDescent="0.25">
      <c r="A6" s="15" t="s">
        <v>28</v>
      </c>
      <c r="B6" s="9">
        <v>799</v>
      </c>
      <c r="C6" s="8">
        <v>21.537090558768316</v>
      </c>
    </row>
    <row r="7" spans="1:3" x14ac:dyDescent="0.25">
      <c r="A7" s="15" t="s">
        <v>53</v>
      </c>
      <c r="B7" s="9">
        <v>812</v>
      </c>
      <c r="C7" s="8">
        <v>20.598575757578523</v>
      </c>
    </row>
    <row r="8" spans="1:3" x14ac:dyDescent="0.25">
      <c r="A8" s="15" t="s">
        <v>8606</v>
      </c>
      <c r="B8" s="9">
        <v>3200</v>
      </c>
      <c r="C8" s="8">
        <v>21.097291568536047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4"/>
  <sheetViews>
    <sheetView workbookViewId="0">
      <selection activeCell="J7" sqref="J7"/>
    </sheetView>
  </sheetViews>
  <sheetFormatPr defaultRowHeight="15" x14ac:dyDescent="0.25"/>
  <cols>
    <col min="1" max="1" width="17.42578125" customWidth="1"/>
    <col min="2" max="2" width="16.28515625" customWidth="1"/>
    <col min="3" max="3" width="11.85546875" bestFit="1" customWidth="1"/>
    <col min="4" max="4" width="11.140625" bestFit="1" customWidth="1"/>
    <col min="5" max="5" width="14.28515625" customWidth="1"/>
    <col min="6" max="6" width="12.5703125" bestFit="1" customWidth="1"/>
    <col min="7" max="7" width="15.7109375" bestFit="1" customWidth="1"/>
    <col min="8" max="8" width="7.7109375" customWidth="1"/>
    <col min="9" max="9" width="10.7109375" bestFit="1" customWidth="1"/>
    <col min="10" max="10" width="13" bestFit="1" customWidth="1"/>
    <col min="11" max="11" width="16.140625" bestFit="1" customWidth="1"/>
    <col min="12" max="12" width="11" bestFit="1" customWidth="1"/>
    <col min="13" max="13" width="4.140625" customWidth="1"/>
    <col min="14" max="14" width="14.140625" bestFit="1" customWidth="1"/>
    <col min="15" max="15" width="11.28515625" bestFit="1" customWidth="1"/>
  </cols>
  <sheetData>
    <row r="3" spans="1:15" x14ac:dyDescent="0.25">
      <c r="A3" s="14" t="s">
        <v>8607</v>
      </c>
      <c r="B3" s="14" t="s">
        <v>8609</v>
      </c>
    </row>
    <row r="4" spans="1:15" x14ac:dyDescent="0.25">
      <c r="B4" t="s">
        <v>75</v>
      </c>
      <c r="C4" t="s">
        <v>8611</v>
      </c>
      <c r="D4" t="s">
        <v>11</v>
      </c>
      <c r="E4" t="s">
        <v>8612</v>
      </c>
      <c r="F4" t="s">
        <v>149</v>
      </c>
      <c r="G4" t="s">
        <v>8613</v>
      </c>
      <c r="H4" t="s">
        <v>287</v>
      </c>
      <c r="I4" t="s">
        <v>8614</v>
      </c>
      <c r="J4" t="s">
        <v>8580</v>
      </c>
      <c r="K4" t="s">
        <v>8615</v>
      </c>
      <c r="L4" t="s">
        <v>106</v>
      </c>
      <c r="N4" t="s">
        <v>8616</v>
      </c>
      <c r="O4" t="s">
        <v>8606</v>
      </c>
    </row>
    <row r="5" spans="1:15" x14ac:dyDescent="0.25">
      <c r="A5" s="14" t="s">
        <v>8605</v>
      </c>
      <c r="B5" t="s">
        <v>8617</v>
      </c>
      <c r="D5" t="s">
        <v>8617</v>
      </c>
      <c r="F5" t="s">
        <v>8617</v>
      </c>
      <c r="H5" t="s">
        <v>8617</v>
      </c>
      <c r="J5" t="s">
        <v>8617</v>
      </c>
      <c r="L5" t="s">
        <v>24</v>
      </c>
      <c r="M5" t="s">
        <v>92</v>
      </c>
    </row>
    <row r="6" spans="1:15" x14ac:dyDescent="0.25">
      <c r="A6" s="15" t="s">
        <v>100</v>
      </c>
      <c r="B6" s="9">
        <v>93</v>
      </c>
      <c r="C6" s="9">
        <v>93</v>
      </c>
      <c r="D6" s="9">
        <v>54</v>
      </c>
      <c r="E6" s="9">
        <v>54</v>
      </c>
      <c r="F6" s="9">
        <v>39</v>
      </c>
      <c r="G6" s="9">
        <v>39</v>
      </c>
      <c r="H6" s="9">
        <v>33</v>
      </c>
      <c r="I6" s="9">
        <v>33</v>
      </c>
      <c r="J6" s="9">
        <v>12</v>
      </c>
      <c r="K6" s="9">
        <v>12</v>
      </c>
      <c r="L6" s="9">
        <v>42</v>
      </c>
      <c r="M6" s="9">
        <v>110</v>
      </c>
      <c r="N6" s="9">
        <v>152</v>
      </c>
      <c r="O6" s="9">
        <v>383</v>
      </c>
    </row>
    <row r="7" spans="1:15" x14ac:dyDescent="0.25">
      <c r="A7" s="15" t="s">
        <v>61</v>
      </c>
      <c r="B7" s="9">
        <v>93</v>
      </c>
      <c r="C7" s="9">
        <v>93</v>
      </c>
      <c r="D7" s="9">
        <v>42</v>
      </c>
      <c r="E7" s="9">
        <v>42</v>
      </c>
      <c r="F7" s="9">
        <v>40</v>
      </c>
      <c r="G7" s="9">
        <v>40</v>
      </c>
      <c r="H7" s="9">
        <v>27</v>
      </c>
      <c r="I7" s="9">
        <v>27</v>
      </c>
      <c r="J7" s="9">
        <v>27</v>
      </c>
      <c r="K7" s="9">
        <v>27</v>
      </c>
      <c r="L7" s="9">
        <v>43</v>
      </c>
      <c r="M7" s="9">
        <v>138</v>
      </c>
      <c r="N7" s="9">
        <v>181</v>
      </c>
      <c r="O7" s="9">
        <v>410</v>
      </c>
    </row>
    <row r="8" spans="1:15" x14ac:dyDescent="0.25">
      <c r="A8" s="15" t="s">
        <v>68</v>
      </c>
      <c r="B8" s="9">
        <v>105</v>
      </c>
      <c r="C8" s="9">
        <v>105</v>
      </c>
      <c r="D8" s="9">
        <v>44</v>
      </c>
      <c r="E8" s="9">
        <v>44</v>
      </c>
      <c r="F8" s="9">
        <v>57</v>
      </c>
      <c r="G8" s="9">
        <v>57</v>
      </c>
      <c r="H8" s="9">
        <v>30</v>
      </c>
      <c r="I8" s="9">
        <v>30</v>
      </c>
      <c r="J8" s="9">
        <v>22</v>
      </c>
      <c r="K8" s="9">
        <v>22</v>
      </c>
      <c r="L8" s="9">
        <v>41</v>
      </c>
      <c r="M8" s="9">
        <v>116</v>
      </c>
      <c r="N8" s="9">
        <v>157</v>
      </c>
      <c r="O8" s="9">
        <v>415</v>
      </c>
    </row>
    <row r="9" spans="1:15" x14ac:dyDescent="0.25">
      <c r="A9" s="15" t="s">
        <v>54</v>
      </c>
      <c r="B9" s="9">
        <v>101</v>
      </c>
      <c r="C9" s="9">
        <v>101</v>
      </c>
      <c r="D9" s="9">
        <v>50</v>
      </c>
      <c r="E9" s="9">
        <v>50</v>
      </c>
      <c r="F9" s="9">
        <v>37</v>
      </c>
      <c r="G9" s="9">
        <v>37</v>
      </c>
      <c r="H9" s="9">
        <v>42</v>
      </c>
      <c r="I9" s="9">
        <v>42</v>
      </c>
      <c r="J9" s="9">
        <v>12</v>
      </c>
      <c r="K9" s="9">
        <v>12</v>
      </c>
      <c r="L9" s="9">
        <v>36</v>
      </c>
      <c r="M9" s="9">
        <v>124</v>
      </c>
      <c r="N9" s="9">
        <v>160</v>
      </c>
      <c r="O9" s="9">
        <v>402</v>
      </c>
    </row>
    <row r="10" spans="1:15" x14ac:dyDescent="0.25">
      <c r="A10" s="15" t="s">
        <v>17</v>
      </c>
      <c r="B10" s="9">
        <v>89</v>
      </c>
      <c r="C10" s="9">
        <v>89</v>
      </c>
      <c r="D10" s="9">
        <v>36</v>
      </c>
      <c r="E10" s="9">
        <v>36</v>
      </c>
      <c r="F10" s="9">
        <v>40</v>
      </c>
      <c r="G10" s="9">
        <v>40</v>
      </c>
      <c r="H10" s="9">
        <v>35</v>
      </c>
      <c r="I10" s="9">
        <v>35</v>
      </c>
      <c r="J10" s="9">
        <v>15</v>
      </c>
      <c r="K10" s="9">
        <v>15</v>
      </c>
      <c r="L10" s="9">
        <v>37</v>
      </c>
      <c r="M10" s="9">
        <v>127</v>
      </c>
      <c r="N10" s="9">
        <v>164</v>
      </c>
      <c r="O10" s="9">
        <v>379</v>
      </c>
    </row>
    <row r="11" spans="1:15" x14ac:dyDescent="0.25">
      <c r="A11" s="15" t="s">
        <v>84</v>
      </c>
      <c r="B11" s="9">
        <v>102</v>
      </c>
      <c r="C11" s="9">
        <v>102</v>
      </c>
      <c r="D11" s="9">
        <v>45</v>
      </c>
      <c r="E11" s="9">
        <v>45</v>
      </c>
      <c r="F11" s="9">
        <v>40</v>
      </c>
      <c r="G11" s="9">
        <v>40</v>
      </c>
      <c r="H11" s="9">
        <v>42</v>
      </c>
      <c r="I11" s="9">
        <v>42</v>
      </c>
      <c r="J11" s="9">
        <v>22</v>
      </c>
      <c r="K11" s="9">
        <v>22</v>
      </c>
      <c r="L11" s="9">
        <v>47</v>
      </c>
      <c r="M11" s="9">
        <v>110</v>
      </c>
      <c r="N11" s="9">
        <v>157</v>
      </c>
      <c r="O11" s="9">
        <v>408</v>
      </c>
    </row>
    <row r="12" spans="1:15" x14ac:dyDescent="0.25">
      <c r="A12" s="15" t="s">
        <v>95</v>
      </c>
      <c r="B12" s="9">
        <v>101</v>
      </c>
      <c r="C12" s="9">
        <v>101</v>
      </c>
      <c r="D12" s="9">
        <v>43</v>
      </c>
      <c r="E12" s="9">
        <v>43</v>
      </c>
      <c r="F12" s="9">
        <v>44</v>
      </c>
      <c r="G12" s="9">
        <v>44</v>
      </c>
      <c r="H12" s="9">
        <v>40</v>
      </c>
      <c r="I12" s="9">
        <v>40</v>
      </c>
      <c r="J12" s="9">
        <v>20</v>
      </c>
      <c r="K12" s="9">
        <v>20</v>
      </c>
      <c r="L12" s="9">
        <v>36</v>
      </c>
      <c r="M12" s="9">
        <v>103</v>
      </c>
      <c r="N12" s="9">
        <v>139</v>
      </c>
      <c r="O12" s="9">
        <v>387</v>
      </c>
    </row>
    <row r="13" spans="1:15" x14ac:dyDescent="0.25">
      <c r="A13" s="15" t="s">
        <v>37</v>
      </c>
      <c r="B13" s="9">
        <v>100</v>
      </c>
      <c r="C13" s="9">
        <v>100</v>
      </c>
      <c r="D13" s="9">
        <v>42</v>
      </c>
      <c r="E13" s="9">
        <v>42</v>
      </c>
      <c r="F13" s="9">
        <v>54</v>
      </c>
      <c r="G13" s="9">
        <v>54</v>
      </c>
      <c r="H13" s="9">
        <v>27</v>
      </c>
      <c r="I13" s="9">
        <v>27</v>
      </c>
      <c r="J13" s="9">
        <v>29</v>
      </c>
      <c r="K13" s="9">
        <v>29</v>
      </c>
      <c r="L13" s="9">
        <v>55</v>
      </c>
      <c r="M13" s="9">
        <v>109</v>
      </c>
      <c r="N13" s="9">
        <v>164</v>
      </c>
      <c r="O13" s="9">
        <v>416</v>
      </c>
    </row>
    <row r="14" spans="1:15" x14ac:dyDescent="0.25">
      <c r="A14" s="15" t="s">
        <v>8606</v>
      </c>
      <c r="B14" s="9">
        <v>784</v>
      </c>
      <c r="C14" s="9">
        <v>784</v>
      </c>
      <c r="D14" s="9">
        <v>356</v>
      </c>
      <c r="E14" s="9">
        <v>356</v>
      </c>
      <c r="F14" s="9">
        <v>351</v>
      </c>
      <c r="G14" s="9">
        <v>351</v>
      </c>
      <c r="H14" s="9">
        <v>276</v>
      </c>
      <c r="I14" s="9">
        <v>276</v>
      </c>
      <c r="J14" s="9">
        <v>159</v>
      </c>
      <c r="K14" s="9">
        <v>159</v>
      </c>
      <c r="L14" s="9">
        <v>337</v>
      </c>
      <c r="M14" s="9">
        <v>937</v>
      </c>
      <c r="N14" s="9">
        <v>1274</v>
      </c>
      <c r="O14" s="9">
        <v>3200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3" sqref="A3:B12"/>
    </sheetView>
  </sheetViews>
  <sheetFormatPr defaultRowHeight="15" x14ac:dyDescent="0.25"/>
  <cols>
    <col min="1" max="1" width="13.140625" bestFit="1" customWidth="1"/>
    <col min="2" max="2" width="17.42578125" bestFit="1" customWidth="1"/>
  </cols>
  <sheetData>
    <row r="3" spans="1:2" x14ac:dyDescent="0.25">
      <c r="A3" s="14" t="s">
        <v>8605</v>
      </c>
      <c r="B3" t="s">
        <v>8607</v>
      </c>
    </row>
    <row r="4" spans="1:2" x14ac:dyDescent="0.25">
      <c r="A4" s="15" t="s">
        <v>85</v>
      </c>
      <c r="B4" s="9">
        <v>422</v>
      </c>
    </row>
    <row r="5" spans="1:2" x14ac:dyDescent="0.25">
      <c r="A5" s="15" t="s">
        <v>79</v>
      </c>
      <c r="B5" s="9">
        <v>466</v>
      </c>
    </row>
    <row r="6" spans="1:2" x14ac:dyDescent="0.25">
      <c r="A6" s="15" t="s">
        <v>38</v>
      </c>
      <c r="B6" s="9">
        <v>460</v>
      </c>
    </row>
    <row r="7" spans="1:2" x14ac:dyDescent="0.25">
      <c r="A7" s="15" t="s">
        <v>18</v>
      </c>
      <c r="B7" s="9">
        <v>462</v>
      </c>
    </row>
    <row r="8" spans="1:2" x14ac:dyDescent="0.25">
      <c r="A8" s="15" t="s">
        <v>90</v>
      </c>
      <c r="B8" s="9">
        <v>444</v>
      </c>
    </row>
    <row r="9" spans="1:2" x14ac:dyDescent="0.25">
      <c r="A9" s="15" t="s">
        <v>8589</v>
      </c>
      <c r="B9" s="9">
        <v>4</v>
      </c>
    </row>
    <row r="10" spans="1:2" x14ac:dyDescent="0.25">
      <c r="A10" s="15" t="s">
        <v>46</v>
      </c>
      <c r="B10" s="9">
        <v>492</v>
      </c>
    </row>
    <row r="11" spans="1:2" x14ac:dyDescent="0.25">
      <c r="A11" s="15" t="s">
        <v>148</v>
      </c>
      <c r="B11" s="9">
        <v>450</v>
      </c>
    </row>
    <row r="12" spans="1:2" x14ac:dyDescent="0.25">
      <c r="A12" s="15" t="s">
        <v>8606</v>
      </c>
      <c r="B12" s="9">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5" x14ac:dyDescent="0.25"/>
  <cols>
    <col min="1" max="1" width="13.140625" bestFit="1" customWidth="1"/>
    <col min="2" max="2" width="17.42578125" bestFit="1" customWidth="1"/>
  </cols>
  <sheetData>
    <row r="3" spans="1:2" x14ac:dyDescent="0.25">
      <c r="A3" s="14" t="s">
        <v>8605</v>
      </c>
      <c r="B3" t="s">
        <v>8607</v>
      </c>
    </row>
    <row r="4" spans="1:2" x14ac:dyDescent="0.25">
      <c r="A4" s="15" t="s">
        <v>96</v>
      </c>
      <c r="B4" s="9">
        <v>798</v>
      </c>
    </row>
    <row r="5" spans="1:2" x14ac:dyDescent="0.25">
      <c r="A5" s="15" t="s">
        <v>30</v>
      </c>
      <c r="B5" s="9">
        <v>815</v>
      </c>
    </row>
    <row r="6" spans="1:2" x14ac:dyDescent="0.25">
      <c r="A6" s="15" t="s">
        <v>113</v>
      </c>
      <c r="B6" s="9">
        <v>754</v>
      </c>
    </row>
    <row r="7" spans="1:2" x14ac:dyDescent="0.25">
      <c r="A7" s="15" t="s">
        <v>55</v>
      </c>
      <c r="B7" s="9">
        <v>833</v>
      </c>
    </row>
    <row r="8" spans="1:2" x14ac:dyDescent="0.25">
      <c r="A8" s="15" t="s">
        <v>8606</v>
      </c>
      <c r="B8" s="9">
        <v>3200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10"/>
    </sheetView>
  </sheetViews>
  <sheetFormatPr defaultRowHeight="15" x14ac:dyDescent="0.25"/>
  <cols>
    <col min="1" max="1" width="15.28515625" bestFit="1" customWidth="1"/>
    <col min="2" max="2" width="17.42578125" bestFit="1" customWidth="1"/>
  </cols>
  <sheetData>
    <row r="3" spans="1:2" x14ac:dyDescent="0.25">
      <c r="A3" s="14" t="s">
        <v>8605</v>
      </c>
      <c r="B3" t="s">
        <v>8607</v>
      </c>
    </row>
    <row r="4" spans="1:2" x14ac:dyDescent="0.25">
      <c r="A4" s="15" t="s">
        <v>183</v>
      </c>
      <c r="B4" s="9">
        <v>539</v>
      </c>
    </row>
    <row r="5" spans="1:2" x14ac:dyDescent="0.25">
      <c r="A5" s="15" t="s">
        <v>179</v>
      </c>
      <c r="B5" s="9">
        <v>508</v>
      </c>
    </row>
    <row r="6" spans="1:2" x14ac:dyDescent="0.25">
      <c r="A6" s="15" t="s">
        <v>101</v>
      </c>
      <c r="B6" s="9">
        <v>515</v>
      </c>
    </row>
    <row r="7" spans="1:2" x14ac:dyDescent="0.25">
      <c r="A7" s="15" t="s">
        <v>211</v>
      </c>
      <c r="B7" s="9">
        <v>542</v>
      </c>
    </row>
    <row r="8" spans="1:2" x14ac:dyDescent="0.25">
      <c r="A8" s="15" t="s">
        <v>110</v>
      </c>
      <c r="B8" s="9">
        <v>563</v>
      </c>
    </row>
    <row r="9" spans="1:2" x14ac:dyDescent="0.25">
      <c r="A9" s="15" t="s">
        <v>31</v>
      </c>
      <c r="B9" s="9">
        <v>533</v>
      </c>
    </row>
    <row r="10" spans="1:2" x14ac:dyDescent="0.25">
      <c r="A10" s="15" t="s">
        <v>8606</v>
      </c>
      <c r="B10" s="9">
        <v>3200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A3" sqref="A3:C8"/>
    </sheetView>
  </sheetViews>
  <sheetFormatPr defaultRowHeight="15" x14ac:dyDescent="0.25"/>
  <cols>
    <col min="1" max="1" width="13.140625" bestFit="1" customWidth="1"/>
    <col min="2" max="2" width="17.42578125" bestFit="1" customWidth="1"/>
    <col min="3" max="3" width="27.28515625" bestFit="1" customWidth="1"/>
  </cols>
  <sheetData>
    <row r="3" spans="1:3" x14ac:dyDescent="0.25">
      <c r="A3" s="14" t="s">
        <v>8605</v>
      </c>
      <c r="B3" t="s">
        <v>8607</v>
      </c>
      <c r="C3" t="s">
        <v>8608</v>
      </c>
    </row>
    <row r="4" spans="1:3" x14ac:dyDescent="0.25">
      <c r="A4" s="15" t="s">
        <v>80</v>
      </c>
      <c r="B4" s="9">
        <v>297</v>
      </c>
      <c r="C4" s="8">
        <v>3.433922558921481</v>
      </c>
    </row>
    <row r="5" spans="1:3" x14ac:dyDescent="0.25">
      <c r="A5" s="15" t="s">
        <v>74</v>
      </c>
      <c r="B5" s="9">
        <v>756</v>
      </c>
      <c r="C5" s="8">
        <v>6.454959514171219</v>
      </c>
    </row>
    <row r="6" spans="1:3" x14ac:dyDescent="0.25">
      <c r="A6" s="15" t="s">
        <v>32</v>
      </c>
      <c r="B6" s="9">
        <v>991</v>
      </c>
      <c r="C6" s="8">
        <v>40.005965463111771</v>
      </c>
    </row>
    <row r="7" spans="1:3" x14ac:dyDescent="0.25">
      <c r="A7" s="15" t="s">
        <v>21</v>
      </c>
      <c r="B7" s="9">
        <v>1156</v>
      </c>
      <c r="C7" s="8">
        <v>19.442170445003512</v>
      </c>
    </row>
    <row r="8" spans="1:3" x14ac:dyDescent="0.25">
      <c r="A8" s="15" t="s">
        <v>8606</v>
      </c>
      <c r="B8" s="9">
        <v>3200</v>
      </c>
      <c r="C8" s="8">
        <v>21.097291568536047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5"/>
  <sheetViews>
    <sheetView topLeftCell="A18" workbookViewId="0">
      <selection activeCell="A3" sqref="A3:E35"/>
    </sheetView>
  </sheetViews>
  <sheetFormatPr defaultRowHeight="15" x14ac:dyDescent="0.25"/>
  <cols>
    <col min="1" max="1" width="17.42578125" bestFit="1" customWidth="1"/>
    <col min="2" max="2" width="16.28515625" bestFit="1" customWidth="1"/>
    <col min="3" max="3" width="4" bestFit="1" customWidth="1"/>
    <col min="4" max="4" width="4.140625" bestFit="1" customWidth="1"/>
    <col min="5" max="5" width="11.28515625" bestFit="1" customWidth="1"/>
  </cols>
  <sheetData>
    <row r="3" spans="1:5" x14ac:dyDescent="0.25">
      <c r="A3" s="14" t="s">
        <v>8607</v>
      </c>
      <c r="B3" s="14" t="s">
        <v>8609</v>
      </c>
    </row>
    <row r="4" spans="1:5" x14ac:dyDescent="0.25">
      <c r="A4" s="14" t="s">
        <v>8605</v>
      </c>
      <c r="B4" t="s">
        <v>8617</v>
      </c>
      <c r="C4" t="s">
        <v>24</v>
      </c>
      <c r="D4" t="s">
        <v>92</v>
      </c>
      <c r="E4" t="s">
        <v>8606</v>
      </c>
    </row>
    <row r="5" spans="1:5" x14ac:dyDescent="0.25">
      <c r="A5" s="15" t="s">
        <v>183</v>
      </c>
      <c r="B5" s="9">
        <v>350</v>
      </c>
      <c r="C5" s="9">
        <v>54</v>
      </c>
      <c r="D5" s="9">
        <v>135</v>
      </c>
      <c r="E5" s="9">
        <v>539</v>
      </c>
    </row>
    <row r="6" spans="1:5" x14ac:dyDescent="0.25">
      <c r="A6" s="17" t="s">
        <v>80</v>
      </c>
      <c r="B6" s="9">
        <v>25</v>
      </c>
      <c r="C6" s="9">
        <v>4</v>
      </c>
      <c r="D6" s="9">
        <v>10</v>
      </c>
      <c r="E6" s="9">
        <v>39</v>
      </c>
    </row>
    <row r="7" spans="1:5" x14ac:dyDescent="0.25">
      <c r="A7" s="17" t="s">
        <v>74</v>
      </c>
      <c r="B7" s="9">
        <v>86</v>
      </c>
      <c r="C7" s="9">
        <v>18</v>
      </c>
      <c r="D7" s="9">
        <v>33</v>
      </c>
      <c r="E7" s="9">
        <v>137</v>
      </c>
    </row>
    <row r="8" spans="1:5" x14ac:dyDescent="0.25">
      <c r="A8" s="17" t="s">
        <v>32</v>
      </c>
      <c r="B8" s="9">
        <v>114</v>
      </c>
      <c r="C8" s="9">
        <v>12</v>
      </c>
      <c r="D8" s="9">
        <v>42</v>
      </c>
      <c r="E8" s="9">
        <v>168</v>
      </c>
    </row>
    <row r="9" spans="1:5" x14ac:dyDescent="0.25">
      <c r="A9" s="17" t="s">
        <v>21</v>
      </c>
      <c r="B9" s="9">
        <v>125</v>
      </c>
      <c r="C9" s="9">
        <v>20</v>
      </c>
      <c r="D9" s="9">
        <v>50</v>
      </c>
      <c r="E9" s="9">
        <v>195</v>
      </c>
    </row>
    <row r="10" spans="1:5" x14ac:dyDescent="0.25">
      <c r="A10" s="15" t="s">
        <v>179</v>
      </c>
      <c r="B10" s="9">
        <v>303</v>
      </c>
      <c r="C10" s="9">
        <v>57</v>
      </c>
      <c r="D10" s="9">
        <v>148</v>
      </c>
      <c r="E10" s="9">
        <v>508</v>
      </c>
    </row>
    <row r="11" spans="1:5" x14ac:dyDescent="0.25">
      <c r="A11" s="17" t="s">
        <v>80</v>
      </c>
      <c r="B11" s="9">
        <v>30</v>
      </c>
      <c r="C11" s="9">
        <v>8</v>
      </c>
      <c r="D11" s="9">
        <v>20</v>
      </c>
      <c r="E11" s="9">
        <v>58</v>
      </c>
    </row>
    <row r="12" spans="1:5" x14ac:dyDescent="0.25">
      <c r="A12" s="17" t="s">
        <v>74</v>
      </c>
      <c r="B12" s="9">
        <v>74</v>
      </c>
      <c r="C12" s="9">
        <v>10</v>
      </c>
      <c r="D12" s="9">
        <v>34</v>
      </c>
      <c r="E12" s="9">
        <v>118</v>
      </c>
    </row>
    <row r="13" spans="1:5" x14ac:dyDescent="0.25">
      <c r="A13" s="17" t="s">
        <v>32</v>
      </c>
      <c r="B13" s="9">
        <v>104</v>
      </c>
      <c r="C13" s="9">
        <v>16</v>
      </c>
      <c r="D13" s="9">
        <v>38</v>
      </c>
      <c r="E13" s="9">
        <v>158</v>
      </c>
    </row>
    <row r="14" spans="1:5" x14ac:dyDescent="0.25">
      <c r="A14" s="17" t="s">
        <v>21</v>
      </c>
      <c r="B14" s="9">
        <v>95</v>
      </c>
      <c r="C14" s="9">
        <v>23</v>
      </c>
      <c r="D14" s="9">
        <v>56</v>
      </c>
      <c r="E14" s="9">
        <v>174</v>
      </c>
    </row>
    <row r="15" spans="1:5" x14ac:dyDescent="0.25">
      <c r="A15" s="15" t="s">
        <v>101</v>
      </c>
      <c r="B15" s="9">
        <v>328</v>
      </c>
      <c r="C15" s="9">
        <v>41</v>
      </c>
      <c r="D15" s="9">
        <v>146</v>
      </c>
      <c r="E15" s="9">
        <v>515</v>
      </c>
    </row>
    <row r="16" spans="1:5" x14ac:dyDescent="0.25">
      <c r="A16" s="17" t="s">
        <v>80</v>
      </c>
      <c r="B16" s="9">
        <v>28</v>
      </c>
      <c r="C16" s="9">
        <v>5</v>
      </c>
      <c r="D16" s="9">
        <v>13</v>
      </c>
      <c r="E16" s="9">
        <v>46</v>
      </c>
    </row>
    <row r="17" spans="1:5" x14ac:dyDescent="0.25">
      <c r="A17" s="17" t="s">
        <v>74</v>
      </c>
      <c r="B17" s="9">
        <v>67</v>
      </c>
      <c r="C17" s="9">
        <v>8</v>
      </c>
      <c r="D17" s="9">
        <v>43</v>
      </c>
      <c r="E17" s="9">
        <v>118</v>
      </c>
    </row>
    <row r="18" spans="1:5" x14ac:dyDescent="0.25">
      <c r="A18" s="17" t="s">
        <v>32</v>
      </c>
      <c r="B18" s="9">
        <v>111</v>
      </c>
      <c r="C18" s="9">
        <v>11</v>
      </c>
      <c r="D18" s="9">
        <v>42</v>
      </c>
      <c r="E18" s="9">
        <v>164</v>
      </c>
    </row>
    <row r="19" spans="1:5" x14ac:dyDescent="0.25">
      <c r="A19" s="17" t="s">
        <v>21</v>
      </c>
      <c r="B19" s="9">
        <v>122</v>
      </c>
      <c r="C19" s="9">
        <v>17</v>
      </c>
      <c r="D19" s="9">
        <v>48</v>
      </c>
      <c r="E19" s="9">
        <v>187</v>
      </c>
    </row>
    <row r="20" spans="1:5" x14ac:dyDescent="0.25">
      <c r="A20" s="15" t="s">
        <v>211</v>
      </c>
      <c r="B20" s="9">
        <v>316</v>
      </c>
      <c r="C20" s="9">
        <v>58</v>
      </c>
      <c r="D20" s="9">
        <v>168</v>
      </c>
      <c r="E20" s="9">
        <v>542</v>
      </c>
    </row>
    <row r="21" spans="1:5" x14ac:dyDescent="0.25">
      <c r="A21" s="17" t="s">
        <v>80</v>
      </c>
      <c r="B21" s="9">
        <v>29</v>
      </c>
      <c r="C21" s="9">
        <v>3</v>
      </c>
      <c r="D21" s="9">
        <v>18</v>
      </c>
      <c r="E21" s="9">
        <v>50</v>
      </c>
    </row>
    <row r="22" spans="1:5" x14ac:dyDescent="0.25">
      <c r="A22" s="17" t="s">
        <v>74</v>
      </c>
      <c r="B22" s="9">
        <v>87</v>
      </c>
      <c r="C22" s="9">
        <v>19</v>
      </c>
      <c r="D22" s="9">
        <v>38</v>
      </c>
      <c r="E22" s="9">
        <v>144</v>
      </c>
    </row>
    <row r="23" spans="1:5" x14ac:dyDescent="0.25">
      <c r="A23" s="17" t="s">
        <v>32</v>
      </c>
      <c r="B23" s="9">
        <v>90</v>
      </c>
      <c r="C23" s="9">
        <v>14</v>
      </c>
      <c r="D23" s="9">
        <v>48</v>
      </c>
      <c r="E23" s="9">
        <v>152</v>
      </c>
    </row>
    <row r="24" spans="1:5" x14ac:dyDescent="0.25">
      <c r="A24" s="17" t="s">
        <v>21</v>
      </c>
      <c r="B24" s="9">
        <v>110</v>
      </c>
      <c r="C24" s="9">
        <v>22</v>
      </c>
      <c r="D24" s="9">
        <v>64</v>
      </c>
      <c r="E24" s="9">
        <v>196</v>
      </c>
    </row>
    <row r="25" spans="1:5" x14ac:dyDescent="0.25">
      <c r="A25" s="15" t="s">
        <v>110</v>
      </c>
      <c r="B25" s="9">
        <v>318</v>
      </c>
      <c r="C25" s="9">
        <v>59</v>
      </c>
      <c r="D25" s="9">
        <v>186</v>
      </c>
      <c r="E25" s="9">
        <v>563</v>
      </c>
    </row>
    <row r="26" spans="1:5" x14ac:dyDescent="0.25">
      <c r="A26" s="17" t="s">
        <v>80</v>
      </c>
      <c r="B26" s="9">
        <v>30</v>
      </c>
      <c r="C26" s="9">
        <v>9</v>
      </c>
      <c r="D26" s="9">
        <v>14</v>
      </c>
      <c r="E26" s="9">
        <v>53</v>
      </c>
    </row>
    <row r="27" spans="1:5" x14ac:dyDescent="0.25">
      <c r="A27" s="17" t="s">
        <v>74</v>
      </c>
      <c r="B27" s="9">
        <v>62</v>
      </c>
      <c r="C27" s="9">
        <v>14</v>
      </c>
      <c r="D27" s="9">
        <v>42</v>
      </c>
      <c r="E27" s="9">
        <v>118</v>
      </c>
    </row>
    <row r="28" spans="1:5" x14ac:dyDescent="0.25">
      <c r="A28" s="17" t="s">
        <v>32</v>
      </c>
      <c r="B28" s="9">
        <v>111</v>
      </c>
      <c r="C28" s="9">
        <v>15</v>
      </c>
      <c r="D28" s="9">
        <v>51</v>
      </c>
      <c r="E28" s="9">
        <v>177</v>
      </c>
    </row>
    <row r="29" spans="1:5" x14ac:dyDescent="0.25">
      <c r="A29" s="17" t="s">
        <v>21</v>
      </c>
      <c r="B29" s="9">
        <v>115</v>
      </c>
      <c r="C29" s="9">
        <v>21</v>
      </c>
      <c r="D29" s="9">
        <v>79</v>
      </c>
      <c r="E29" s="9">
        <v>215</v>
      </c>
    </row>
    <row r="30" spans="1:5" x14ac:dyDescent="0.25">
      <c r="A30" s="15" t="s">
        <v>31</v>
      </c>
      <c r="B30" s="9">
        <v>311</v>
      </c>
      <c r="C30" s="9">
        <v>68</v>
      </c>
      <c r="D30" s="9">
        <v>154</v>
      </c>
      <c r="E30" s="9">
        <v>533</v>
      </c>
    </row>
    <row r="31" spans="1:5" x14ac:dyDescent="0.25">
      <c r="A31" s="17" t="s">
        <v>80</v>
      </c>
      <c r="B31" s="9">
        <v>28</v>
      </c>
      <c r="C31" s="9">
        <v>7</v>
      </c>
      <c r="D31" s="9">
        <v>16</v>
      </c>
      <c r="E31" s="9">
        <v>51</v>
      </c>
    </row>
    <row r="32" spans="1:5" x14ac:dyDescent="0.25">
      <c r="A32" s="17" t="s">
        <v>74</v>
      </c>
      <c r="B32" s="9">
        <v>78</v>
      </c>
      <c r="C32" s="9">
        <v>12</v>
      </c>
      <c r="D32" s="9">
        <v>31</v>
      </c>
      <c r="E32" s="9">
        <v>121</v>
      </c>
    </row>
    <row r="33" spans="1:5" x14ac:dyDescent="0.25">
      <c r="A33" s="17" t="s">
        <v>32</v>
      </c>
      <c r="B33" s="9">
        <v>105</v>
      </c>
      <c r="C33" s="9">
        <v>19</v>
      </c>
      <c r="D33" s="9">
        <v>48</v>
      </c>
      <c r="E33" s="9">
        <v>172</v>
      </c>
    </row>
    <row r="34" spans="1:5" x14ac:dyDescent="0.25">
      <c r="A34" s="17" t="s">
        <v>21</v>
      </c>
      <c r="B34" s="9">
        <v>100</v>
      </c>
      <c r="C34" s="9">
        <v>30</v>
      </c>
      <c r="D34" s="9">
        <v>59</v>
      </c>
      <c r="E34" s="9">
        <v>189</v>
      </c>
    </row>
    <row r="35" spans="1:5" x14ac:dyDescent="0.25">
      <c r="A35" s="15" t="s">
        <v>8606</v>
      </c>
      <c r="B35" s="9">
        <v>1926</v>
      </c>
      <c r="C35" s="9">
        <v>337</v>
      </c>
      <c r="D35" s="9">
        <v>937</v>
      </c>
      <c r="E35" s="9">
        <v>3200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01"/>
  <sheetViews>
    <sheetView workbookViewId="0">
      <selection activeCell="C12" sqref="C12"/>
    </sheetView>
  </sheetViews>
  <sheetFormatPr defaultRowHeight="15" x14ac:dyDescent="0.25"/>
  <cols>
    <col min="1" max="1" width="12.85546875" bestFit="1" customWidth="1"/>
    <col min="2" max="2" width="17.28515625" style="5" bestFit="1" customWidth="1"/>
    <col min="3" max="3" width="18.140625" customWidth="1"/>
    <col min="4" max="4" width="19.85546875" customWidth="1"/>
    <col min="5" max="5" width="11.140625" customWidth="1"/>
    <col min="6" max="6" width="11.7109375" customWidth="1"/>
    <col min="7" max="7" width="20.85546875" customWidth="1"/>
    <col min="8" max="8" width="10.5703125" customWidth="1"/>
    <col min="9" max="9" width="22.7109375" bestFit="1" customWidth="1"/>
    <col min="10" max="10" width="13.5703125" customWidth="1"/>
    <col min="11" max="11" width="21.5703125" style="5" bestFit="1" customWidth="1"/>
    <col min="12" max="12" width="13.140625" bestFit="1" customWidth="1"/>
    <col min="13" max="13" width="16.28515625" bestFit="1" customWidth="1"/>
    <col min="14" max="14" width="33.140625" bestFit="1" customWidth="1"/>
    <col min="15" max="15" width="21.85546875" bestFit="1" customWidth="1"/>
    <col min="16" max="16" width="11.140625" bestFit="1" customWidth="1"/>
  </cols>
  <sheetData>
    <row r="1" spans="1:16" x14ac:dyDescent="0.25">
      <c r="A1" s="1" t="s">
        <v>0</v>
      </c>
      <c r="B1" s="3" t="s">
        <v>1</v>
      </c>
      <c r="C1" s="1" t="s">
        <v>2</v>
      </c>
      <c r="D1" s="1" t="s">
        <v>3</v>
      </c>
      <c r="E1" s="1" t="s">
        <v>4</v>
      </c>
      <c r="F1" s="1" t="s">
        <v>5</v>
      </c>
      <c r="G1" s="1" t="s">
        <v>6</v>
      </c>
      <c r="H1" s="1" t="s">
        <v>7</v>
      </c>
      <c r="I1" s="1" t="s">
        <v>8</v>
      </c>
      <c r="J1" s="1" t="s">
        <v>9</v>
      </c>
      <c r="K1" s="3" t="s">
        <v>10</v>
      </c>
      <c r="L1" s="1" t="s">
        <v>11</v>
      </c>
      <c r="M1" s="1" t="s">
        <v>12</v>
      </c>
      <c r="N1" s="1" t="s">
        <v>13</v>
      </c>
      <c r="O1" s="7" t="s">
        <v>8591</v>
      </c>
      <c r="P1" s="6" t="s">
        <v>8610</v>
      </c>
    </row>
    <row r="2" spans="1:16" x14ac:dyDescent="0.25">
      <c r="A2" s="2" t="s">
        <v>14</v>
      </c>
      <c r="B2" s="4">
        <v>46214.856249999997</v>
      </c>
      <c r="C2" s="2" t="s">
        <v>16</v>
      </c>
      <c r="D2" s="2" t="s">
        <v>17</v>
      </c>
      <c r="E2" s="2" t="s">
        <v>18</v>
      </c>
      <c r="F2" s="2" t="s">
        <v>30</v>
      </c>
      <c r="G2" s="2" t="s">
        <v>211</v>
      </c>
      <c r="H2" s="2" t="s">
        <v>21</v>
      </c>
      <c r="I2" s="2">
        <v>24</v>
      </c>
      <c r="J2" s="2" t="s">
        <v>106</v>
      </c>
      <c r="K2" s="4">
        <v>46214.888888888891</v>
      </c>
      <c r="L2" s="2" t="s">
        <v>24</v>
      </c>
      <c r="M2" s="2"/>
      <c r="N2" t="s">
        <v>8581</v>
      </c>
      <c r="O2" s="8">
        <f>IF(K2="","",IF(K2="Missing Resolve Date","",(K2-B2)*24))</f>
        <v>0.78333333344198763</v>
      </c>
      <c r="P2" t="str">
        <f>IF(J2="Resolved",IF(O2&lt;=I2,"Yes","No"),"N/A")</f>
        <v>Yes</v>
      </c>
    </row>
    <row r="3" spans="1:16" x14ac:dyDescent="0.25">
      <c r="A3" s="2" t="s">
        <v>26</v>
      </c>
      <c r="B3" s="4">
        <v>46128.635416666664</v>
      </c>
      <c r="C3" s="2" t="s">
        <v>28</v>
      </c>
      <c r="D3" s="2" t="s">
        <v>37</v>
      </c>
      <c r="E3" s="2" t="s">
        <v>18</v>
      </c>
      <c r="F3" s="2" t="s">
        <v>30</v>
      </c>
      <c r="G3" s="2" t="s">
        <v>31</v>
      </c>
      <c r="H3" s="2" t="s">
        <v>32</v>
      </c>
      <c r="I3" s="2">
        <v>48</v>
      </c>
      <c r="J3" s="2" t="s">
        <v>287</v>
      </c>
      <c r="K3" s="4" t="s">
        <v>8590</v>
      </c>
      <c r="L3" s="2" t="s">
        <v>24</v>
      </c>
      <c r="M3" s="2"/>
      <c r="N3" t="s">
        <v>8582</v>
      </c>
      <c r="O3" s="8" t="str">
        <f t="shared" ref="O3:O66" si="0">IF(K3="","",IF(K3="Missing Resolve Date","",(K3-B3)*24))</f>
        <v/>
      </c>
      <c r="P3" t="str">
        <f t="shared" ref="P3:P66" si="1">IF(J3="Resolved",IF(O3&lt;=I3,"Yes","No"),"N/A")</f>
        <v>N/A</v>
      </c>
    </row>
    <row r="4" spans="1:16" x14ac:dyDescent="0.25">
      <c r="A4" s="2" t="s">
        <v>35</v>
      </c>
      <c r="B4" s="4">
        <v>46132.452777777777</v>
      </c>
      <c r="C4" s="2" t="s">
        <v>28</v>
      </c>
      <c r="D4" s="2" t="s">
        <v>37</v>
      </c>
      <c r="E4" s="2" t="s">
        <v>38</v>
      </c>
      <c r="F4" s="2" t="s">
        <v>96</v>
      </c>
      <c r="G4" s="2" t="s">
        <v>179</v>
      </c>
      <c r="H4" s="2" t="s">
        <v>21</v>
      </c>
      <c r="I4" s="2">
        <v>24</v>
      </c>
      <c r="J4" s="2" t="s">
        <v>106</v>
      </c>
      <c r="K4" s="4">
        <v>46132.771527777775</v>
      </c>
      <c r="L4" s="2" t="s">
        <v>24</v>
      </c>
      <c r="M4" s="2">
        <v>4</v>
      </c>
      <c r="N4" t="s">
        <v>8583</v>
      </c>
      <c r="O4" s="8">
        <f t="shared" si="0"/>
        <v>7.6499999999650754</v>
      </c>
      <c r="P4" t="str">
        <f t="shared" si="1"/>
        <v>Yes</v>
      </c>
    </row>
    <row r="5" spans="1:16" x14ac:dyDescent="0.25">
      <c r="A5" s="2" t="s">
        <v>44</v>
      </c>
      <c r="B5" s="4">
        <v>46184.797222222223</v>
      </c>
      <c r="C5" s="2" t="s">
        <v>28</v>
      </c>
      <c r="D5" s="2" t="s">
        <v>37</v>
      </c>
      <c r="E5" s="2" t="s">
        <v>46</v>
      </c>
      <c r="F5" s="2" t="s">
        <v>55</v>
      </c>
      <c r="G5" s="2" t="s">
        <v>179</v>
      </c>
      <c r="H5" s="2" t="s">
        <v>32</v>
      </c>
      <c r="I5" s="2">
        <v>48</v>
      </c>
      <c r="J5" s="2" t="s">
        <v>75</v>
      </c>
      <c r="K5" s="4">
        <v>46185.934027777781</v>
      </c>
      <c r="L5" s="2" t="s">
        <v>24</v>
      </c>
      <c r="M5" s="2">
        <v>3</v>
      </c>
      <c r="N5" t="s">
        <v>8584</v>
      </c>
      <c r="O5" s="8">
        <f t="shared" si="0"/>
        <v>27.28333333338378</v>
      </c>
      <c r="P5" t="str">
        <f t="shared" si="1"/>
        <v>N/A</v>
      </c>
    </row>
    <row r="6" spans="1:16" x14ac:dyDescent="0.25">
      <c r="A6" s="2" t="s">
        <v>51</v>
      </c>
      <c r="B6" s="4">
        <v>46191.959722222222</v>
      </c>
      <c r="C6" s="2" t="s">
        <v>53</v>
      </c>
      <c r="D6" s="2" t="s">
        <v>54</v>
      </c>
      <c r="E6" s="2" t="s">
        <v>18</v>
      </c>
      <c r="F6" s="2" t="s">
        <v>55</v>
      </c>
      <c r="G6" s="2" t="s">
        <v>179</v>
      </c>
      <c r="H6" s="2" t="s">
        <v>32</v>
      </c>
      <c r="I6" s="2">
        <v>48</v>
      </c>
      <c r="J6" s="2" t="s">
        <v>8580</v>
      </c>
      <c r="K6" s="4">
        <v>46197.910416666666</v>
      </c>
      <c r="L6" s="2" t="s">
        <v>24</v>
      </c>
      <c r="M6" s="2"/>
      <c r="N6" t="s">
        <v>8585</v>
      </c>
      <c r="O6" s="8">
        <f t="shared" si="0"/>
        <v>142.81666666665114</v>
      </c>
      <c r="P6" t="str">
        <f t="shared" si="1"/>
        <v>N/A</v>
      </c>
    </row>
    <row r="7" spans="1:16" x14ac:dyDescent="0.25">
      <c r="A7" s="2" t="s">
        <v>59</v>
      </c>
      <c r="B7" s="4">
        <v>46155.52847222222</v>
      </c>
      <c r="C7" s="2" t="s">
        <v>53</v>
      </c>
      <c r="D7" s="2" t="s">
        <v>61</v>
      </c>
      <c r="E7" s="2" t="s">
        <v>38</v>
      </c>
      <c r="F7" s="2" t="s">
        <v>96</v>
      </c>
      <c r="G7" s="2" t="s">
        <v>179</v>
      </c>
      <c r="H7" s="2" t="s">
        <v>21</v>
      </c>
      <c r="I7" s="2">
        <v>24</v>
      </c>
      <c r="J7" s="2" t="s">
        <v>106</v>
      </c>
      <c r="K7" s="4">
        <v>46157.227083333331</v>
      </c>
      <c r="L7" s="2" t="s">
        <v>24</v>
      </c>
      <c r="M7" s="2"/>
      <c r="N7" t="s">
        <v>8586</v>
      </c>
      <c r="O7" s="8">
        <f t="shared" si="0"/>
        <v>40.766666666662786</v>
      </c>
      <c r="P7" t="str">
        <f t="shared" si="1"/>
        <v>No</v>
      </c>
    </row>
    <row r="8" spans="1:16" x14ac:dyDescent="0.25">
      <c r="A8" s="2" t="s">
        <v>65</v>
      </c>
      <c r="B8" s="4">
        <v>46166.164583333331</v>
      </c>
      <c r="C8" s="2" t="s">
        <v>67</v>
      </c>
      <c r="D8" s="2" t="s">
        <v>68</v>
      </c>
      <c r="E8" s="2" t="s">
        <v>18</v>
      </c>
      <c r="F8" s="2" t="s">
        <v>113</v>
      </c>
      <c r="G8" s="2" t="s">
        <v>31</v>
      </c>
      <c r="H8" s="2" t="s">
        <v>21</v>
      </c>
      <c r="I8" s="2">
        <v>24</v>
      </c>
      <c r="J8" s="2" t="s">
        <v>106</v>
      </c>
      <c r="K8" s="4">
        <v>46167.383333333331</v>
      </c>
      <c r="L8" s="2" t="s">
        <v>24</v>
      </c>
      <c r="M8" s="2"/>
      <c r="N8" t="s">
        <v>8581</v>
      </c>
      <c r="O8" s="8">
        <f t="shared" si="0"/>
        <v>29.25</v>
      </c>
      <c r="P8" t="str">
        <f t="shared" si="1"/>
        <v>No</v>
      </c>
    </row>
    <row r="9" spans="1:16" x14ac:dyDescent="0.25">
      <c r="A9" s="2" t="s">
        <v>72</v>
      </c>
      <c r="B9" s="4">
        <v>46099.979861111111</v>
      </c>
      <c r="C9" s="2" t="s">
        <v>67</v>
      </c>
      <c r="D9" s="2" t="s">
        <v>68</v>
      </c>
      <c r="E9" s="2" t="s">
        <v>38</v>
      </c>
      <c r="F9" s="2" t="s">
        <v>55</v>
      </c>
      <c r="G9" s="2" t="s">
        <v>211</v>
      </c>
      <c r="H9" s="2" t="s">
        <v>74</v>
      </c>
      <c r="I9" s="2">
        <v>8</v>
      </c>
      <c r="J9" s="2" t="s">
        <v>75</v>
      </c>
      <c r="K9" s="4">
        <v>46100.132638888892</v>
      </c>
      <c r="L9" s="2" t="s">
        <v>24</v>
      </c>
      <c r="M9" s="2"/>
      <c r="N9" t="s">
        <v>8584</v>
      </c>
      <c r="O9" s="8">
        <f t="shared" si="0"/>
        <v>3.6666666667442769</v>
      </c>
      <c r="P9" t="str">
        <f t="shared" si="1"/>
        <v>N/A</v>
      </c>
    </row>
    <row r="10" spans="1:16" x14ac:dyDescent="0.25">
      <c r="A10" s="2" t="s">
        <v>77</v>
      </c>
      <c r="B10" s="4">
        <v>46061.402777777781</v>
      </c>
      <c r="C10" s="2" t="s">
        <v>53</v>
      </c>
      <c r="D10" s="2" t="s">
        <v>61</v>
      </c>
      <c r="E10" s="2" t="s">
        <v>79</v>
      </c>
      <c r="F10" s="2" t="s">
        <v>113</v>
      </c>
      <c r="G10" s="2" t="s">
        <v>31</v>
      </c>
      <c r="H10" s="2" t="s">
        <v>80</v>
      </c>
      <c r="I10" s="2">
        <v>4</v>
      </c>
      <c r="J10" s="2" t="s">
        <v>75</v>
      </c>
      <c r="K10" s="4">
        <v>46061.540277777778</v>
      </c>
      <c r="L10" s="2" t="s">
        <v>24</v>
      </c>
      <c r="M10" s="2">
        <v>5</v>
      </c>
      <c r="N10" t="s">
        <v>8585</v>
      </c>
      <c r="O10" s="8">
        <f t="shared" si="0"/>
        <v>3.2999999999301508</v>
      </c>
      <c r="P10" t="str">
        <f t="shared" si="1"/>
        <v>N/A</v>
      </c>
    </row>
    <row r="11" spans="1:16" x14ac:dyDescent="0.25">
      <c r="A11" s="2" t="s">
        <v>82</v>
      </c>
      <c r="B11" s="4">
        <v>46159.424305555556</v>
      </c>
      <c r="C11" s="2" t="s">
        <v>16</v>
      </c>
      <c r="D11" s="2" t="s">
        <v>84</v>
      </c>
      <c r="E11" s="2" t="s">
        <v>85</v>
      </c>
      <c r="F11" s="2" t="s">
        <v>113</v>
      </c>
      <c r="G11" s="2" t="s">
        <v>31</v>
      </c>
      <c r="H11" s="2" t="s">
        <v>74</v>
      </c>
      <c r="I11" s="2">
        <v>8</v>
      </c>
      <c r="J11" s="2" t="s">
        <v>106</v>
      </c>
      <c r="K11" s="4">
        <v>46159.70208333333</v>
      </c>
      <c r="L11" s="2" t="s">
        <v>24</v>
      </c>
      <c r="M11" s="2"/>
      <c r="N11" t="s">
        <v>8589</v>
      </c>
      <c r="O11" s="8">
        <f t="shared" si="0"/>
        <v>6.6666666665696539</v>
      </c>
      <c r="P11" t="str">
        <f t="shared" si="1"/>
        <v>Yes</v>
      </c>
    </row>
    <row r="12" spans="1:16" x14ac:dyDescent="0.25">
      <c r="A12" s="2" t="s">
        <v>87</v>
      </c>
      <c r="B12" s="4">
        <v>46176.725694444445</v>
      </c>
      <c r="C12" s="2" t="s">
        <v>67</v>
      </c>
      <c r="D12" s="2" t="s">
        <v>95</v>
      </c>
      <c r="E12" s="2" t="s">
        <v>90</v>
      </c>
      <c r="F12" s="2" t="s">
        <v>55</v>
      </c>
      <c r="G12" s="2" t="s">
        <v>183</v>
      </c>
      <c r="H12" s="2" t="s">
        <v>32</v>
      </c>
      <c r="I12" s="2">
        <v>48</v>
      </c>
      <c r="J12" s="2" t="s">
        <v>11</v>
      </c>
      <c r="K12" s="4" t="s">
        <v>8590</v>
      </c>
      <c r="L12" s="2" t="s">
        <v>92</v>
      </c>
      <c r="M12" s="2"/>
      <c r="N12" t="s">
        <v>8589</v>
      </c>
      <c r="O12" s="8" t="str">
        <f t="shared" si="0"/>
        <v/>
      </c>
      <c r="P12" t="str">
        <f t="shared" si="1"/>
        <v>N/A</v>
      </c>
    </row>
    <row r="13" spans="1:16" x14ac:dyDescent="0.25">
      <c r="A13" s="2" t="s">
        <v>93</v>
      </c>
      <c r="B13" s="4">
        <v>46080.803472222222</v>
      </c>
      <c r="C13" s="2" t="s">
        <v>67</v>
      </c>
      <c r="D13" s="2" t="s">
        <v>95</v>
      </c>
      <c r="E13" s="2" t="s">
        <v>46</v>
      </c>
      <c r="F13" s="2" t="s">
        <v>96</v>
      </c>
      <c r="G13" s="2" t="s">
        <v>101</v>
      </c>
      <c r="H13" s="2" t="s">
        <v>32</v>
      </c>
      <c r="I13" s="2">
        <v>48</v>
      </c>
      <c r="J13" s="2" t="s">
        <v>11</v>
      </c>
      <c r="K13" s="4" t="s">
        <v>8590</v>
      </c>
      <c r="L13" s="2" t="s">
        <v>92</v>
      </c>
      <c r="M13" s="2"/>
      <c r="N13" t="s">
        <v>8586</v>
      </c>
      <c r="O13" s="8" t="str">
        <f t="shared" si="0"/>
        <v/>
      </c>
      <c r="P13" t="str">
        <f t="shared" si="1"/>
        <v>N/A</v>
      </c>
    </row>
    <row r="14" spans="1:16" x14ac:dyDescent="0.25">
      <c r="A14" s="2" t="s">
        <v>98</v>
      </c>
      <c r="B14" s="4">
        <v>46029.722222222219</v>
      </c>
      <c r="C14" s="2" t="s">
        <v>28</v>
      </c>
      <c r="D14" s="2" t="s">
        <v>100</v>
      </c>
      <c r="E14" s="2" t="s">
        <v>38</v>
      </c>
      <c r="F14" s="2" t="s">
        <v>96</v>
      </c>
      <c r="G14" s="2" t="s">
        <v>101</v>
      </c>
      <c r="H14" s="2" t="s">
        <v>80</v>
      </c>
      <c r="I14" s="2">
        <v>4</v>
      </c>
      <c r="J14" s="2" t="s">
        <v>106</v>
      </c>
      <c r="K14" s="4">
        <v>46029.790972222225</v>
      </c>
      <c r="L14" s="2" t="s">
        <v>24</v>
      </c>
      <c r="M14" s="2"/>
      <c r="N14" t="s">
        <v>8589</v>
      </c>
      <c r="O14" s="8">
        <f t="shared" si="0"/>
        <v>1.6500000001396984</v>
      </c>
      <c r="P14" t="str">
        <f t="shared" si="1"/>
        <v>Yes</v>
      </c>
    </row>
    <row r="15" spans="1:16" x14ac:dyDescent="0.25">
      <c r="A15" s="2" t="s">
        <v>103</v>
      </c>
      <c r="B15" s="4">
        <v>46063.943055555559</v>
      </c>
      <c r="C15" s="2" t="s">
        <v>16</v>
      </c>
      <c r="D15" s="2" t="s">
        <v>84</v>
      </c>
      <c r="E15" s="2" t="s">
        <v>90</v>
      </c>
      <c r="F15" s="2" t="s">
        <v>55</v>
      </c>
      <c r="G15" s="2" t="s">
        <v>211</v>
      </c>
      <c r="H15" s="2" t="s">
        <v>21</v>
      </c>
      <c r="I15" s="2">
        <v>24</v>
      </c>
      <c r="J15" s="2" t="s">
        <v>106</v>
      </c>
      <c r="K15" s="4">
        <v>46064.086805555555</v>
      </c>
      <c r="L15" s="2" t="s">
        <v>24</v>
      </c>
      <c r="M15" s="2">
        <v>4</v>
      </c>
      <c r="N15" t="s">
        <v>8584</v>
      </c>
      <c r="O15" s="8">
        <f t="shared" si="0"/>
        <v>3.4499999998952262</v>
      </c>
      <c r="P15" t="str">
        <f t="shared" si="1"/>
        <v>Yes</v>
      </c>
    </row>
    <row r="16" spans="1:16" x14ac:dyDescent="0.25">
      <c r="A16" s="2" t="s">
        <v>108</v>
      </c>
      <c r="B16" s="4">
        <v>46201.656944444447</v>
      </c>
      <c r="C16" s="2" t="s">
        <v>16</v>
      </c>
      <c r="D16" s="2" t="s">
        <v>84</v>
      </c>
      <c r="E16" s="2" t="s">
        <v>90</v>
      </c>
      <c r="F16" s="2" t="s">
        <v>30</v>
      </c>
      <c r="G16" s="2" t="s">
        <v>110</v>
      </c>
      <c r="H16" s="2" t="s">
        <v>32</v>
      </c>
      <c r="I16" s="2">
        <v>48</v>
      </c>
      <c r="J16" s="2" t="s">
        <v>287</v>
      </c>
      <c r="K16" s="4" t="s">
        <v>8590</v>
      </c>
      <c r="L16" s="2" t="s">
        <v>24</v>
      </c>
      <c r="M16" s="2"/>
      <c r="N16" t="s">
        <v>8586</v>
      </c>
      <c r="O16" s="8" t="str">
        <f t="shared" si="0"/>
        <v/>
      </c>
      <c r="P16" t="str">
        <f t="shared" si="1"/>
        <v>N/A</v>
      </c>
    </row>
    <row r="17" spans="1:16" x14ac:dyDescent="0.25">
      <c r="A17" s="2" t="s">
        <v>111</v>
      </c>
      <c r="B17" s="4">
        <v>46123.693749999999</v>
      </c>
      <c r="C17" s="2" t="s">
        <v>53</v>
      </c>
      <c r="D17" s="2" t="s">
        <v>54</v>
      </c>
      <c r="E17" s="2" t="s">
        <v>18</v>
      </c>
      <c r="F17" s="2" t="s">
        <v>113</v>
      </c>
      <c r="G17" s="2" t="s">
        <v>211</v>
      </c>
      <c r="H17" s="2" t="s">
        <v>80</v>
      </c>
      <c r="I17" s="2">
        <v>4</v>
      </c>
      <c r="J17" s="2" t="s">
        <v>106</v>
      </c>
      <c r="K17" s="4">
        <v>46123.717361111114</v>
      </c>
      <c r="L17" s="2" t="s">
        <v>24</v>
      </c>
      <c r="M17" s="2">
        <v>5</v>
      </c>
      <c r="N17" t="s">
        <v>8583</v>
      </c>
      <c r="O17" s="8">
        <f t="shared" si="0"/>
        <v>0.56666666676755995</v>
      </c>
      <c r="P17" t="str">
        <f t="shared" si="1"/>
        <v>Yes</v>
      </c>
    </row>
    <row r="18" spans="1:16" x14ac:dyDescent="0.25">
      <c r="A18" s="2" t="s">
        <v>115</v>
      </c>
      <c r="B18" s="4">
        <v>46193.1</v>
      </c>
      <c r="C18" s="2" t="s">
        <v>28</v>
      </c>
      <c r="D18" s="2" t="s">
        <v>100</v>
      </c>
      <c r="E18" s="2" t="s">
        <v>90</v>
      </c>
      <c r="F18" s="2" t="s">
        <v>96</v>
      </c>
      <c r="G18" s="2" t="s">
        <v>179</v>
      </c>
      <c r="H18" s="2" t="s">
        <v>80</v>
      </c>
      <c r="I18" s="2">
        <v>4</v>
      </c>
      <c r="J18" s="2" t="s">
        <v>149</v>
      </c>
      <c r="K18" s="4" t="s">
        <v>8590</v>
      </c>
      <c r="L18" s="2" t="s">
        <v>24</v>
      </c>
      <c r="M18" s="2"/>
      <c r="N18" t="s">
        <v>8587</v>
      </c>
      <c r="O18" s="8" t="str">
        <f t="shared" si="0"/>
        <v/>
      </c>
      <c r="P18" t="str">
        <f t="shared" si="1"/>
        <v>N/A</v>
      </c>
    </row>
    <row r="19" spans="1:16" x14ac:dyDescent="0.25">
      <c r="A19" s="2" t="s">
        <v>119</v>
      </c>
      <c r="B19" s="4">
        <v>46212.50277777778</v>
      </c>
      <c r="C19" s="2" t="s">
        <v>16</v>
      </c>
      <c r="D19" s="2" t="s">
        <v>84</v>
      </c>
      <c r="E19" s="2" t="s">
        <v>38</v>
      </c>
      <c r="F19" s="2" t="s">
        <v>30</v>
      </c>
      <c r="G19" s="2" t="s">
        <v>110</v>
      </c>
      <c r="H19" s="2" t="s">
        <v>21</v>
      </c>
      <c r="I19" s="2">
        <v>24</v>
      </c>
      <c r="J19" s="2" t="s">
        <v>106</v>
      </c>
      <c r="K19" s="4">
        <v>46212.546527777777</v>
      </c>
      <c r="L19" s="2" t="s">
        <v>24</v>
      </c>
      <c r="M19" s="2"/>
      <c r="N19" t="s">
        <v>8585</v>
      </c>
      <c r="O19" s="8">
        <f t="shared" si="0"/>
        <v>1.0499999999301508</v>
      </c>
      <c r="P19" t="str">
        <f t="shared" si="1"/>
        <v>Yes</v>
      </c>
    </row>
    <row r="20" spans="1:16" x14ac:dyDescent="0.25">
      <c r="A20" s="2" t="s">
        <v>123</v>
      </c>
      <c r="B20" s="4">
        <v>46107.604861111111</v>
      </c>
      <c r="C20" s="2" t="s">
        <v>67</v>
      </c>
      <c r="D20" s="2" t="s">
        <v>68</v>
      </c>
      <c r="E20" s="2" t="s">
        <v>85</v>
      </c>
      <c r="F20" s="2" t="s">
        <v>113</v>
      </c>
      <c r="G20" s="2" t="s">
        <v>101</v>
      </c>
      <c r="H20" s="2" t="s">
        <v>32</v>
      </c>
      <c r="I20" s="2">
        <v>48</v>
      </c>
      <c r="J20" s="2" t="s">
        <v>75</v>
      </c>
      <c r="K20" s="4">
        <v>46108.362500000003</v>
      </c>
      <c r="L20" s="2" t="s">
        <v>24</v>
      </c>
      <c r="M20" s="2">
        <v>4</v>
      </c>
      <c r="N20" t="s">
        <v>8588</v>
      </c>
      <c r="O20" s="8">
        <f t="shared" si="0"/>
        <v>18.183333333407063</v>
      </c>
      <c r="P20" t="str">
        <f t="shared" si="1"/>
        <v>N/A</v>
      </c>
    </row>
    <row r="21" spans="1:16" x14ac:dyDescent="0.25">
      <c r="A21" s="2" t="s">
        <v>129</v>
      </c>
      <c r="B21" s="4">
        <v>46184.323611111111</v>
      </c>
      <c r="C21" s="2" t="s">
        <v>28</v>
      </c>
      <c r="D21" s="2" t="s">
        <v>37</v>
      </c>
      <c r="E21" s="2" t="s">
        <v>46</v>
      </c>
      <c r="F21" s="2" t="s">
        <v>55</v>
      </c>
      <c r="G21" s="2" t="s">
        <v>101</v>
      </c>
      <c r="H21" s="2" t="s">
        <v>21</v>
      </c>
      <c r="I21" s="2">
        <v>24</v>
      </c>
      <c r="J21" s="2" t="s">
        <v>106</v>
      </c>
      <c r="K21" s="4">
        <v>46186.37777777778</v>
      </c>
      <c r="L21" s="2" t="s">
        <v>24</v>
      </c>
      <c r="M21" s="2">
        <v>3</v>
      </c>
      <c r="N21" t="s">
        <v>8588</v>
      </c>
      <c r="O21" s="8">
        <f t="shared" si="0"/>
        <v>49.300000000046566</v>
      </c>
      <c r="P21" t="str">
        <f t="shared" si="1"/>
        <v>No</v>
      </c>
    </row>
    <row r="22" spans="1:16" x14ac:dyDescent="0.25">
      <c r="A22" s="2" t="s">
        <v>133</v>
      </c>
      <c r="B22" s="4">
        <v>46041.429166666669</v>
      </c>
      <c r="C22" s="2" t="s">
        <v>28</v>
      </c>
      <c r="D22" s="2" t="s">
        <v>37</v>
      </c>
      <c r="E22" s="2" t="s">
        <v>79</v>
      </c>
      <c r="F22" s="2" t="s">
        <v>113</v>
      </c>
      <c r="G22" s="2" t="s">
        <v>179</v>
      </c>
      <c r="H22" s="2" t="s">
        <v>32</v>
      </c>
      <c r="I22" s="2">
        <v>48</v>
      </c>
      <c r="J22" s="2" t="s">
        <v>75</v>
      </c>
      <c r="K22" s="4">
        <v>46044.405555555553</v>
      </c>
      <c r="L22" s="2" t="s">
        <v>24</v>
      </c>
      <c r="M22" s="2"/>
      <c r="N22" t="s">
        <v>8586</v>
      </c>
      <c r="O22" s="8">
        <f t="shared" si="0"/>
        <v>71.43333333323244</v>
      </c>
      <c r="P22" t="str">
        <f t="shared" si="1"/>
        <v>N/A</v>
      </c>
    </row>
    <row r="23" spans="1:16" x14ac:dyDescent="0.25">
      <c r="A23" s="2" t="s">
        <v>137</v>
      </c>
      <c r="B23" s="4">
        <v>46206.679166666669</v>
      </c>
      <c r="C23" s="2" t="s">
        <v>67</v>
      </c>
      <c r="D23" s="2" t="s">
        <v>68</v>
      </c>
      <c r="E23" s="2" t="s">
        <v>79</v>
      </c>
      <c r="F23" s="2" t="s">
        <v>55</v>
      </c>
      <c r="G23" s="2" t="s">
        <v>183</v>
      </c>
      <c r="H23" s="2" t="s">
        <v>21</v>
      </c>
      <c r="I23" s="2">
        <v>24</v>
      </c>
      <c r="J23" s="2" t="s">
        <v>75</v>
      </c>
      <c r="K23" s="4">
        <v>46206.972222222219</v>
      </c>
      <c r="L23" s="2" t="s">
        <v>24</v>
      </c>
      <c r="M23" s="2">
        <v>4</v>
      </c>
      <c r="N23" t="s">
        <v>8581</v>
      </c>
      <c r="O23" s="8">
        <f t="shared" si="0"/>
        <v>7.033333333209157</v>
      </c>
      <c r="P23" t="str">
        <f t="shared" si="1"/>
        <v>N/A</v>
      </c>
    </row>
    <row r="24" spans="1:16" x14ac:dyDescent="0.25">
      <c r="A24" s="2" t="s">
        <v>141</v>
      </c>
      <c r="B24" s="4">
        <v>46192.281944444447</v>
      </c>
      <c r="C24" s="2" t="s">
        <v>16</v>
      </c>
      <c r="D24" s="2" t="s">
        <v>84</v>
      </c>
      <c r="E24" s="2" t="s">
        <v>38</v>
      </c>
      <c r="F24" s="2" t="s">
        <v>30</v>
      </c>
      <c r="G24" s="2" t="s">
        <v>31</v>
      </c>
      <c r="H24" s="2" t="s">
        <v>32</v>
      </c>
      <c r="I24" s="2">
        <v>48</v>
      </c>
      <c r="J24" s="2" t="s">
        <v>287</v>
      </c>
      <c r="K24" s="4" t="s">
        <v>8590</v>
      </c>
      <c r="L24" s="2" t="s">
        <v>24</v>
      </c>
      <c r="M24" s="2"/>
      <c r="N24" t="s">
        <v>8587</v>
      </c>
      <c r="O24" s="8" t="str">
        <f t="shared" si="0"/>
        <v/>
      </c>
      <c r="P24" t="str">
        <f t="shared" si="1"/>
        <v>N/A</v>
      </c>
    </row>
    <row r="25" spans="1:16" x14ac:dyDescent="0.25">
      <c r="A25" s="2" t="s">
        <v>146</v>
      </c>
      <c r="B25" s="4">
        <v>46122.876388888886</v>
      </c>
      <c r="C25" s="2" t="s">
        <v>16</v>
      </c>
      <c r="D25" s="2" t="s">
        <v>17</v>
      </c>
      <c r="E25" s="2" t="s">
        <v>148</v>
      </c>
      <c r="F25" s="2" t="s">
        <v>96</v>
      </c>
      <c r="G25" s="2" t="s">
        <v>183</v>
      </c>
      <c r="H25" s="2" t="s">
        <v>21</v>
      </c>
      <c r="I25" s="2">
        <v>24</v>
      </c>
      <c r="J25" s="2" t="s">
        <v>149</v>
      </c>
      <c r="K25" s="4" t="s">
        <v>8590</v>
      </c>
      <c r="L25" s="2" t="s">
        <v>24</v>
      </c>
      <c r="M25" s="2"/>
      <c r="N25" t="s">
        <v>8587</v>
      </c>
      <c r="O25" s="8" t="str">
        <f t="shared" si="0"/>
        <v/>
      </c>
      <c r="P25" t="str">
        <f t="shared" si="1"/>
        <v>N/A</v>
      </c>
    </row>
    <row r="26" spans="1:16" x14ac:dyDescent="0.25">
      <c r="A26" s="2" t="s">
        <v>150</v>
      </c>
      <c r="B26" s="4">
        <v>46186.436111111114</v>
      </c>
      <c r="C26" s="2" t="s">
        <v>28</v>
      </c>
      <c r="D26" s="2" t="s">
        <v>100</v>
      </c>
      <c r="E26" s="2" t="s">
        <v>38</v>
      </c>
      <c r="F26" s="2" t="s">
        <v>55</v>
      </c>
      <c r="G26" s="2" t="s">
        <v>101</v>
      </c>
      <c r="H26" s="2" t="s">
        <v>74</v>
      </c>
      <c r="I26" s="2">
        <v>8</v>
      </c>
      <c r="J26" s="2" t="s">
        <v>106</v>
      </c>
      <c r="K26" s="4">
        <v>46186.558333333334</v>
      </c>
      <c r="L26" s="2" t="s">
        <v>24</v>
      </c>
      <c r="M26" s="2"/>
      <c r="N26" t="s">
        <v>8585</v>
      </c>
      <c r="O26" s="8">
        <f t="shared" si="0"/>
        <v>2.9333333332906477</v>
      </c>
      <c r="P26" t="str">
        <f t="shared" si="1"/>
        <v>Yes</v>
      </c>
    </row>
    <row r="27" spans="1:16" x14ac:dyDescent="0.25">
      <c r="A27" s="2" t="s">
        <v>153</v>
      </c>
      <c r="B27" s="4">
        <v>46263.693749999999</v>
      </c>
      <c r="C27" s="2" t="s">
        <v>28</v>
      </c>
      <c r="D27" s="2" t="s">
        <v>37</v>
      </c>
      <c r="E27" s="2" t="s">
        <v>148</v>
      </c>
      <c r="F27" s="2" t="s">
        <v>30</v>
      </c>
      <c r="G27" s="2" t="s">
        <v>110</v>
      </c>
      <c r="H27" s="2" t="s">
        <v>21</v>
      </c>
      <c r="I27" s="2">
        <v>24</v>
      </c>
      <c r="J27" s="2" t="s">
        <v>149</v>
      </c>
      <c r="K27" s="4" t="s">
        <v>8590</v>
      </c>
      <c r="L27" s="2" t="s">
        <v>24</v>
      </c>
      <c r="M27" s="2"/>
      <c r="N27" t="s">
        <v>8588</v>
      </c>
      <c r="O27" s="8" t="str">
        <f t="shared" si="0"/>
        <v/>
      </c>
      <c r="P27" t="str">
        <f t="shared" si="1"/>
        <v>N/A</v>
      </c>
    </row>
    <row r="28" spans="1:16" x14ac:dyDescent="0.25">
      <c r="A28" s="2" t="s">
        <v>156</v>
      </c>
      <c r="B28" s="4">
        <v>46248.840277777781</v>
      </c>
      <c r="C28" s="2" t="s">
        <v>67</v>
      </c>
      <c r="D28" s="2" t="s">
        <v>95</v>
      </c>
      <c r="E28" s="2" t="s">
        <v>79</v>
      </c>
      <c r="F28" s="2" t="s">
        <v>30</v>
      </c>
      <c r="G28" s="2" t="s">
        <v>110</v>
      </c>
      <c r="H28" s="2" t="s">
        <v>21</v>
      </c>
      <c r="I28" s="2">
        <v>24</v>
      </c>
      <c r="J28" s="2" t="s">
        <v>75</v>
      </c>
      <c r="K28" s="4">
        <v>46249.722222222219</v>
      </c>
      <c r="L28" s="2" t="s">
        <v>24</v>
      </c>
      <c r="M28" s="2">
        <v>2</v>
      </c>
      <c r="N28" t="s">
        <v>8589</v>
      </c>
      <c r="O28" s="8">
        <f t="shared" si="0"/>
        <v>21.166666666511446</v>
      </c>
      <c r="P28" t="str">
        <f t="shared" si="1"/>
        <v>N/A</v>
      </c>
    </row>
    <row r="29" spans="1:16" x14ac:dyDescent="0.25">
      <c r="A29" s="2" t="s">
        <v>160</v>
      </c>
      <c r="B29" s="4">
        <v>46154.845138888886</v>
      </c>
      <c r="C29" s="2" t="s">
        <v>53</v>
      </c>
      <c r="D29" s="2" t="s">
        <v>54</v>
      </c>
      <c r="E29" s="2" t="s">
        <v>85</v>
      </c>
      <c r="F29" s="2" t="s">
        <v>55</v>
      </c>
      <c r="G29" s="2" t="s">
        <v>211</v>
      </c>
      <c r="H29" s="2" t="s">
        <v>21</v>
      </c>
      <c r="I29" s="2">
        <v>24</v>
      </c>
      <c r="J29" s="2" t="s">
        <v>287</v>
      </c>
      <c r="K29" s="4" t="s">
        <v>8590</v>
      </c>
      <c r="L29" s="2" t="s">
        <v>24</v>
      </c>
      <c r="M29" s="2"/>
      <c r="N29" t="s">
        <v>8586</v>
      </c>
      <c r="O29" s="8" t="str">
        <f t="shared" si="0"/>
        <v/>
      </c>
      <c r="P29" t="str">
        <f t="shared" si="1"/>
        <v>N/A</v>
      </c>
    </row>
    <row r="30" spans="1:16" x14ac:dyDescent="0.25">
      <c r="A30" s="2" t="s">
        <v>163</v>
      </c>
      <c r="B30" s="4">
        <v>46264.650694444441</v>
      </c>
      <c r="C30" s="2" t="s">
        <v>53</v>
      </c>
      <c r="D30" s="2" t="s">
        <v>61</v>
      </c>
      <c r="E30" s="2" t="s">
        <v>90</v>
      </c>
      <c r="F30" s="2" t="s">
        <v>96</v>
      </c>
      <c r="G30" s="2" t="s">
        <v>101</v>
      </c>
      <c r="H30" s="2" t="s">
        <v>21</v>
      </c>
      <c r="I30" s="2">
        <v>24</v>
      </c>
      <c r="J30" s="2" t="s">
        <v>106</v>
      </c>
      <c r="K30" s="4">
        <v>46265.411805555559</v>
      </c>
      <c r="L30" s="2" t="s">
        <v>24</v>
      </c>
      <c r="M30" s="2">
        <v>2</v>
      </c>
      <c r="N30" t="s">
        <v>8589</v>
      </c>
      <c r="O30" s="8">
        <f t="shared" si="0"/>
        <v>18.266666666837409</v>
      </c>
      <c r="P30" t="str">
        <f t="shared" si="1"/>
        <v>Yes</v>
      </c>
    </row>
    <row r="31" spans="1:16" x14ac:dyDescent="0.25">
      <c r="A31" s="2" t="s">
        <v>166</v>
      </c>
      <c r="B31" s="4">
        <v>46237.200694444444</v>
      </c>
      <c r="C31" s="2" t="s">
        <v>28</v>
      </c>
      <c r="D31" s="2" t="s">
        <v>100</v>
      </c>
      <c r="E31" s="2" t="s">
        <v>148</v>
      </c>
      <c r="F31" s="2" t="s">
        <v>55</v>
      </c>
      <c r="G31" s="2" t="s">
        <v>183</v>
      </c>
      <c r="H31" s="2" t="s">
        <v>32</v>
      </c>
      <c r="I31" s="2">
        <v>48</v>
      </c>
      <c r="J31" s="2" t="s">
        <v>106</v>
      </c>
      <c r="K31" s="4">
        <v>46237.317361111112</v>
      </c>
      <c r="L31" s="2" t="s">
        <v>92</v>
      </c>
      <c r="M31" s="2">
        <v>2</v>
      </c>
      <c r="N31" t="s">
        <v>8588</v>
      </c>
      <c r="O31" s="8">
        <f t="shared" si="0"/>
        <v>2.8000000000465661</v>
      </c>
      <c r="P31" t="str">
        <f t="shared" si="1"/>
        <v>Yes</v>
      </c>
    </row>
    <row r="32" spans="1:16" x14ac:dyDescent="0.25">
      <c r="A32" s="2" t="s">
        <v>169</v>
      </c>
      <c r="B32" s="4">
        <v>46258.947916666664</v>
      </c>
      <c r="C32" s="2" t="s">
        <v>53</v>
      </c>
      <c r="D32" s="2" t="s">
        <v>54</v>
      </c>
      <c r="E32" s="2" t="s">
        <v>18</v>
      </c>
      <c r="F32" s="2" t="s">
        <v>96</v>
      </c>
      <c r="G32" s="2" t="s">
        <v>31</v>
      </c>
      <c r="H32" s="2" t="s">
        <v>32</v>
      </c>
      <c r="I32" s="2">
        <v>48</v>
      </c>
      <c r="J32" s="2" t="s">
        <v>106</v>
      </c>
      <c r="K32" s="4">
        <v>46261.25</v>
      </c>
      <c r="L32" s="2" t="s">
        <v>24</v>
      </c>
      <c r="M32" s="2">
        <v>3</v>
      </c>
      <c r="N32" t="s">
        <v>8586</v>
      </c>
      <c r="O32" s="8">
        <f t="shared" si="0"/>
        <v>55.250000000058208</v>
      </c>
      <c r="P32" t="str">
        <f t="shared" si="1"/>
        <v>No</v>
      </c>
    </row>
    <row r="33" spans="1:16" x14ac:dyDescent="0.25">
      <c r="A33" s="2" t="s">
        <v>172</v>
      </c>
      <c r="B33" s="4">
        <v>46212.304166666669</v>
      </c>
      <c r="C33" s="2" t="s">
        <v>16</v>
      </c>
      <c r="D33" s="2" t="s">
        <v>84</v>
      </c>
      <c r="E33" s="2" t="s">
        <v>46</v>
      </c>
      <c r="F33" s="2" t="s">
        <v>55</v>
      </c>
      <c r="G33" s="2" t="s">
        <v>211</v>
      </c>
      <c r="H33" s="2" t="s">
        <v>21</v>
      </c>
      <c r="I33" s="2">
        <v>24</v>
      </c>
      <c r="J33" s="2" t="s">
        <v>75</v>
      </c>
      <c r="K33" s="4">
        <v>46212.793749999997</v>
      </c>
      <c r="L33" s="2" t="s">
        <v>24</v>
      </c>
      <c r="M33" s="2"/>
      <c r="N33" t="s">
        <v>8586</v>
      </c>
      <c r="O33" s="8">
        <f t="shared" si="0"/>
        <v>11.749999999883585</v>
      </c>
      <c r="P33" t="str">
        <f t="shared" si="1"/>
        <v>N/A</v>
      </c>
    </row>
    <row r="34" spans="1:16" x14ac:dyDescent="0.25">
      <c r="A34" s="2" t="s">
        <v>175</v>
      </c>
      <c r="B34" s="4">
        <v>46131.526388888888</v>
      </c>
      <c r="C34" s="2" t="s">
        <v>28</v>
      </c>
      <c r="D34" s="2" t="s">
        <v>37</v>
      </c>
      <c r="E34" s="2" t="s">
        <v>85</v>
      </c>
      <c r="F34" s="2" t="s">
        <v>55</v>
      </c>
      <c r="G34" s="2" t="s">
        <v>110</v>
      </c>
      <c r="H34" s="2" t="s">
        <v>80</v>
      </c>
      <c r="I34" s="2">
        <v>4</v>
      </c>
      <c r="J34" s="2" t="s">
        <v>11</v>
      </c>
      <c r="K34" s="4" t="s">
        <v>8590</v>
      </c>
      <c r="L34" s="2" t="s">
        <v>92</v>
      </c>
      <c r="M34" s="2"/>
      <c r="N34" t="s">
        <v>8588</v>
      </c>
      <c r="O34" s="8" t="str">
        <f t="shared" si="0"/>
        <v/>
      </c>
      <c r="P34" t="str">
        <f t="shared" si="1"/>
        <v>N/A</v>
      </c>
    </row>
    <row r="35" spans="1:16" x14ac:dyDescent="0.25">
      <c r="A35" s="2" t="s">
        <v>177</v>
      </c>
      <c r="B35" s="4">
        <v>46241.695833333331</v>
      </c>
      <c r="C35" s="2" t="s">
        <v>16</v>
      </c>
      <c r="D35" s="2" t="s">
        <v>84</v>
      </c>
      <c r="E35" s="2" t="s">
        <v>85</v>
      </c>
      <c r="F35" s="2" t="s">
        <v>96</v>
      </c>
      <c r="G35" s="2" t="s">
        <v>179</v>
      </c>
      <c r="H35" s="2" t="s">
        <v>32</v>
      </c>
      <c r="I35" s="2">
        <v>48</v>
      </c>
      <c r="J35" s="2" t="s">
        <v>75</v>
      </c>
      <c r="K35" s="4">
        <v>46243.413194444445</v>
      </c>
      <c r="L35" s="2" t="s">
        <v>24</v>
      </c>
      <c r="M35" s="2">
        <v>2</v>
      </c>
      <c r="N35" t="s">
        <v>8584</v>
      </c>
      <c r="O35" s="8">
        <f t="shared" si="0"/>
        <v>41.216666666732635</v>
      </c>
      <c r="P35" t="str">
        <f t="shared" si="1"/>
        <v>N/A</v>
      </c>
    </row>
    <row r="36" spans="1:16" x14ac:dyDescent="0.25">
      <c r="A36" s="2" t="s">
        <v>181</v>
      </c>
      <c r="B36" s="4">
        <v>46057.142361111109</v>
      </c>
      <c r="C36" s="2" t="s">
        <v>16</v>
      </c>
      <c r="D36" s="2" t="s">
        <v>17</v>
      </c>
      <c r="E36" s="2" t="s">
        <v>18</v>
      </c>
      <c r="F36" s="2" t="s">
        <v>113</v>
      </c>
      <c r="G36" s="2" t="s">
        <v>183</v>
      </c>
      <c r="H36" s="2" t="s">
        <v>21</v>
      </c>
      <c r="I36" s="2">
        <v>24</v>
      </c>
      <c r="J36" s="2" t="s">
        <v>75</v>
      </c>
      <c r="K36" s="4">
        <v>46057.232638888891</v>
      </c>
      <c r="L36" s="2" t="s">
        <v>24</v>
      </c>
      <c r="M36" s="2">
        <v>1</v>
      </c>
      <c r="N36" t="s">
        <v>8585</v>
      </c>
      <c r="O36" s="8">
        <f t="shared" si="0"/>
        <v>2.1666666667442769</v>
      </c>
      <c r="P36" t="str">
        <f t="shared" si="1"/>
        <v>N/A</v>
      </c>
    </row>
    <row r="37" spans="1:16" x14ac:dyDescent="0.25">
      <c r="A37" s="2" t="s">
        <v>185</v>
      </c>
      <c r="B37" s="4">
        <v>46043.763888888891</v>
      </c>
      <c r="C37" s="2" t="s">
        <v>53</v>
      </c>
      <c r="D37" s="2" t="s">
        <v>61</v>
      </c>
      <c r="E37" s="2" t="s">
        <v>18</v>
      </c>
      <c r="F37" s="2" t="s">
        <v>55</v>
      </c>
      <c r="G37" s="2" t="s">
        <v>110</v>
      </c>
      <c r="H37" s="2" t="s">
        <v>21</v>
      </c>
      <c r="I37" s="2">
        <v>24</v>
      </c>
      <c r="J37" s="2" t="s">
        <v>75</v>
      </c>
      <c r="K37" s="4">
        <v>46043.877083333333</v>
      </c>
      <c r="L37" s="2" t="s">
        <v>24</v>
      </c>
      <c r="M37" s="2">
        <v>5</v>
      </c>
      <c r="N37" t="s">
        <v>8589</v>
      </c>
      <c r="O37" s="8">
        <f t="shared" si="0"/>
        <v>2.71666666661622</v>
      </c>
      <c r="P37" t="str">
        <f t="shared" si="1"/>
        <v>N/A</v>
      </c>
    </row>
    <row r="38" spans="1:16" x14ac:dyDescent="0.25">
      <c r="A38" s="2" t="s">
        <v>189</v>
      </c>
      <c r="B38" s="4">
        <v>46059.411805555559</v>
      </c>
      <c r="C38" s="2" t="s">
        <v>16</v>
      </c>
      <c r="D38" s="2" t="s">
        <v>17</v>
      </c>
      <c r="E38" s="2" t="s">
        <v>46</v>
      </c>
      <c r="F38" s="2" t="s">
        <v>30</v>
      </c>
      <c r="G38" s="2" t="s">
        <v>110</v>
      </c>
      <c r="H38" s="2" t="s">
        <v>21</v>
      </c>
      <c r="I38" s="2">
        <v>24</v>
      </c>
      <c r="J38" s="2" t="s">
        <v>8580</v>
      </c>
      <c r="K38" s="4" t="s">
        <v>8590</v>
      </c>
      <c r="L38" s="2" t="s">
        <v>24</v>
      </c>
      <c r="M38" s="2"/>
      <c r="N38" t="s">
        <v>8589</v>
      </c>
      <c r="O38" s="8" t="str">
        <f t="shared" si="0"/>
        <v/>
      </c>
      <c r="P38" t="str">
        <f t="shared" si="1"/>
        <v>N/A</v>
      </c>
    </row>
    <row r="39" spans="1:16" x14ac:dyDescent="0.25">
      <c r="A39" s="2" t="s">
        <v>192</v>
      </c>
      <c r="B39" s="4">
        <v>46179.080555555556</v>
      </c>
      <c r="C39" s="2" t="s">
        <v>16</v>
      </c>
      <c r="D39" s="2" t="s">
        <v>84</v>
      </c>
      <c r="E39" s="2" t="s">
        <v>85</v>
      </c>
      <c r="F39" s="2" t="s">
        <v>113</v>
      </c>
      <c r="G39" s="2" t="s">
        <v>211</v>
      </c>
      <c r="H39" s="2" t="s">
        <v>74</v>
      </c>
      <c r="I39" s="2">
        <v>8</v>
      </c>
      <c r="J39" s="2" t="s">
        <v>75</v>
      </c>
      <c r="K39" s="4">
        <v>46179.306944444441</v>
      </c>
      <c r="L39" s="2" t="s">
        <v>24</v>
      </c>
      <c r="M39" s="2">
        <v>1</v>
      </c>
      <c r="N39" t="s">
        <v>8582</v>
      </c>
      <c r="O39" s="8">
        <f t="shared" si="0"/>
        <v>5.4333333332324401</v>
      </c>
      <c r="P39" t="str">
        <f t="shared" si="1"/>
        <v>N/A</v>
      </c>
    </row>
    <row r="40" spans="1:16" x14ac:dyDescent="0.25">
      <c r="A40" s="2" t="s">
        <v>195</v>
      </c>
      <c r="B40" s="4">
        <v>46256.63958333333</v>
      </c>
      <c r="C40" s="2" t="s">
        <v>67</v>
      </c>
      <c r="D40" s="2" t="s">
        <v>68</v>
      </c>
      <c r="E40" s="2" t="s">
        <v>90</v>
      </c>
      <c r="F40" s="2" t="s">
        <v>55</v>
      </c>
      <c r="G40" s="2" t="s">
        <v>31</v>
      </c>
      <c r="H40" s="2" t="s">
        <v>21</v>
      </c>
      <c r="I40" s="2">
        <v>24</v>
      </c>
      <c r="J40" s="2" t="s">
        <v>75</v>
      </c>
      <c r="K40" s="4">
        <v>46257.481944444444</v>
      </c>
      <c r="L40" s="2" t="s">
        <v>24</v>
      </c>
      <c r="M40" s="2">
        <v>5</v>
      </c>
      <c r="N40" t="s">
        <v>8581</v>
      </c>
      <c r="O40" s="8">
        <f t="shared" si="0"/>
        <v>20.216666666732635</v>
      </c>
      <c r="P40" t="str">
        <f t="shared" si="1"/>
        <v>N/A</v>
      </c>
    </row>
    <row r="41" spans="1:16" x14ac:dyDescent="0.25">
      <c r="A41" s="2" t="s">
        <v>198</v>
      </c>
      <c r="B41" s="4">
        <v>46257.8</v>
      </c>
      <c r="C41" s="2" t="s">
        <v>16</v>
      </c>
      <c r="D41" s="2" t="s">
        <v>84</v>
      </c>
      <c r="E41" s="2" t="s">
        <v>148</v>
      </c>
      <c r="F41" s="2" t="s">
        <v>30</v>
      </c>
      <c r="G41" s="2" t="s">
        <v>31</v>
      </c>
      <c r="H41" s="2" t="s">
        <v>74</v>
      </c>
      <c r="I41" s="2">
        <v>8</v>
      </c>
      <c r="J41" s="2" t="s">
        <v>11</v>
      </c>
      <c r="K41" s="4" t="s">
        <v>8590</v>
      </c>
      <c r="L41" s="2" t="s">
        <v>92</v>
      </c>
      <c r="M41" s="2"/>
      <c r="N41" t="s">
        <v>8583</v>
      </c>
      <c r="O41" s="8" t="str">
        <f t="shared" si="0"/>
        <v/>
      </c>
      <c r="P41" t="str">
        <f t="shared" si="1"/>
        <v>N/A</v>
      </c>
    </row>
    <row r="42" spans="1:16" x14ac:dyDescent="0.25">
      <c r="A42" s="2" t="s">
        <v>201</v>
      </c>
      <c r="B42" s="4">
        <v>46195.688888888886</v>
      </c>
      <c r="C42" s="2" t="s">
        <v>28</v>
      </c>
      <c r="D42" s="2" t="s">
        <v>100</v>
      </c>
      <c r="E42" s="2" t="s">
        <v>85</v>
      </c>
      <c r="F42" s="2" t="s">
        <v>113</v>
      </c>
      <c r="G42" s="2" t="s">
        <v>110</v>
      </c>
      <c r="H42" s="2" t="s">
        <v>21</v>
      </c>
      <c r="I42" s="2">
        <v>24</v>
      </c>
      <c r="J42" s="2" t="s">
        <v>106</v>
      </c>
      <c r="K42" s="4">
        <v>46198.054861111108</v>
      </c>
      <c r="L42" s="2" t="s">
        <v>24</v>
      </c>
      <c r="M42" s="2"/>
      <c r="N42" t="s">
        <v>8589</v>
      </c>
      <c r="O42" s="8">
        <f t="shared" si="0"/>
        <v>56.783333333325572</v>
      </c>
      <c r="P42" t="str">
        <f t="shared" si="1"/>
        <v>No</v>
      </c>
    </row>
    <row r="43" spans="1:16" x14ac:dyDescent="0.25">
      <c r="A43" s="2" t="s">
        <v>204</v>
      </c>
      <c r="B43" s="4">
        <v>46086.418055555558</v>
      </c>
      <c r="C43" s="2" t="s">
        <v>28</v>
      </c>
      <c r="D43" s="2" t="s">
        <v>100</v>
      </c>
      <c r="E43" s="2" t="s">
        <v>46</v>
      </c>
      <c r="F43" s="2" t="s">
        <v>113</v>
      </c>
      <c r="G43" s="2" t="s">
        <v>183</v>
      </c>
      <c r="H43" s="2" t="s">
        <v>80</v>
      </c>
      <c r="I43" s="2">
        <v>4</v>
      </c>
      <c r="J43" s="2" t="s">
        <v>11</v>
      </c>
      <c r="K43" s="4" t="s">
        <v>8590</v>
      </c>
      <c r="L43" s="2" t="s">
        <v>92</v>
      </c>
      <c r="M43" s="2"/>
      <c r="N43" t="s">
        <v>8587</v>
      </c>
      <c r="O43" s="8" t="str">
        <f t="shared" si="0"/>
        <v/>
      </c>
      <c r="P43" t="str">
        <f t="shared" si="1"/>
        <v>N/A</v>
      </c>
    </row>
    <row r="44" spans="1:16" x14ac:dyDescent="0.25">
      <c r="A44" s="2" t="s">
        <v>206</v>
      </c>
      <c r="B44" s="4">
        <v>46164.65625</v>
      </c>
      <c r="C44" s="2" t="s">
        <v>28</v>
      </c>
      <c r="D44" s="2" t="s">
        <v>100</v>
      </c>
      <c r="E44" s="2" t="s">
        <v>46</v>
      </c>
      <c r="F44" s="2" t="s">
        <v>96</v>
      </c>
      <c r="G44" s="2" t="s">
        <v>179</v>
      </c>
      <c r="H44" s="2" t="s">
        <v>21</v>
      </c>
      <c r="I44" s="2">
        <v>24</v>
      </c>
      <c r="J44" s="2" t="s">
        <v>75</v>
      </c>
      <c r="K44" s="4">
        <v>46165.454861111109</v>
      </c>
      <c r="L44" s="2" t="s">
        <v>24</v>
      </c>
      <c r="M44" s="2">
        <v>3</v>
      </c>
      <c r="N44" t="s">
        <v>8583</v>
      </c>
      <c r="O44" s="8">
        <f t="shared" si="0"/>
        <v>19.166666666627862</v>
      </c>
      <c r="P44" t="str">
        <f t="shared" si="1"/>
        <v>N/A</v>
      </c>
    </row>
    <row r="45" spans="1:16" x14ac:dyDescent="0.25">
      <c r="A45" s="2" t="s">
        <v>209</v>
      </c>
      <c r="B45" s="4">
        <v>46149.225694444445</v>
      </c>
      <c r="C45" s="2" t="s">
        <v>28</v>
      </c>
      <c r="D45" s="2" t="s">
        <v>37</v>
      </c>
      <c r="E45" s="2" t="s">
        <v>38</v>
      </c>
      <c r="F45" s="2" t="s">
        <v>113</v>
      </c>
      <c r="G45" s="2" t="s">
        <v>211</v>
      </c>
      <c r="H45" s="2" t="s">
        <v>21</v>
      </c>
      <c r="I45" s="2">
        <v>24</v>
      </c>
      <c r="J45" s="2" t="s">
        <v>75</v>
      </c>
      <c r="K45" s="4">
        <v>46149.499305555553</v>
      </c>
      <c r="L45" s="2" t="s">
        <v>24</v>
      </c>
      <c r="M45" s="2">
        <v>4</v>
      </c>
      <c r="N45" t="s">
        <v>8588</v>
      </c>
      <c r="O45" s="8">
        <f t="shared" si="0"/>
        <v>6.566666666592937</v>
      </c>
      <c r="P45" t="str">
        <f t="shared" si="1"/>
        <v>N/A</v>
      </c>
    </row>
    <row r="46" spans="1:16" x14ac:dyDescent="0.25">
      <c r="A46" s="2" t="s">
        <v>213</v>
      </c>
      <c r="B46" s="4">
        <v>46045.498611111114</v>
      </c>
      <c r="C46" s="2" t="s">
        <v>53</v>
      </c>
      <c r="D46" s="2" t="s">
        <v>61</v>
      </c>
      <c r="E46" s="2" t="s">
        <v>90</v>
      </c>
      <c r="F46" s="2" t="s">
        <v>113</v>
      </c>
      <c r="G46" s="2" t="s">
        <v>31</v>
      </c>
      <c r="H46" s="2" t="s">
        <v>32</v>
      </c>
      <c r="I46" s="2">
        <v>48</v>
      </c>
      <c r="J46" s="2" t="s">
        <v>75</v>
      </c>
      <c r="K46" s="4" t="s">
        <v>8590</v>
      </c>
      <c r="L46" s="2" t="s">
        <v>24</v>
      </c>
      <c r="M46" s="2">
        <v>4</v>
      </c>
      <c r="N46" t="s">
        <v>8586</v>
      </c>
      <c r="O46" s="8" t="str">
        <f t="shared" si="0"/>
        <v/>
      </c>
      <c r="P46" t="str">
        <f t="shared" si="1"/>
        <v>N/A</v>
      </c>
    </row>
    <row r="47" spans="1:16" x14ac:dyDescent="0.25">
      <c r="A47" s="2" t="s">
        <v>215</v>
      </c>
      <c r="B47" s="4">
        <v>46099.615972222222</v>
      </c>
      <c r="C47" s="2" t="s">
        <v>16</v>
      </c>
      <c r="D47" s="2" t="s">
        <v>84</v>
      </c>
      <c r="E47" s="2" t="s">
        <v>90</v>
      </c>
      <c r="F47" s="2" t="s">
        <v>113</v>
      </c>
      <c r="G47" s="2" t="s">
        <v>101</v>
      </c>
      <c r="H47" s="2" t="s">
        <v>32</v>
      </c>
      <c r="I47" s="2">
        <v>48</v>
      </c>
      <c r="J47" s="2" t="s">
        <v>106</v>
      </c>
      <c r="K47" s="4">
        <v>46100.45208333333</v>
      </c>
      <c r="L47" s="2" t="s">
        <v>24</v>
      </c>
      <c r="M47" s="2"/>
      <c r="N47" t="s">
        <v>8587</v>
      </c>
      <c r="O47" s="8">
        <f t="shared" si="0"/>
        <v>20.066666666592937</v>
      </c>
      <c r="P47" t="str">
        <f t="shared" si="1"/>
        <v>Yes</v>
      </c>
    </row>
    <row r="48" spans="1:16" x14ac:dyDescent="0.25">
      <c r="A48" s="2" t="s">
        <v>218</v>
      </c>
      <c r="B48" s="4">
        <v>46086.275694444441</v>
      </c>
      <c r="C48" s="2" t="s">
        <v>28</v>
      </c>
      <c r="D48" s="2" t="s">
        <v>100</v>
      </c>
      <c r="E48" s="2" t="s">
        <v>85</v>
      </c>
      <c r="F48" s="2" t="s">
        <v>30</v>
      </c>
      <c r="G48" s="2" t="s">
        <v>31</v>
      </c>
      <c r="H48" s="2" t="s">
        <v>32</v>
      </c>
      <c r="I48" s="2">
        <v>48</v>
      </c>
      <c r="J48" s="2" t="s">
        <v>106</v>
      </c>
      <c r="K48" s="4">
        <v>46087.78125</v>
      </c>
      <c r="L48" s="2" t="s">
        <v>24</v>
      </c>
      <c r="M48" s="2">
        <v>5</v>
      </c>
      <c r="N48" t="s">
        <v>8589</v>
      </c>
      <c r="O48" s="8">
        <f t="shared" si="0"/>
        <v>36.133333333418705</v>
      </c>
      <c r="P48" t="str">
        <f t="shared" si="1"/>
        <v>Yes</v>
      </c>
    </row>
    <row r="49" spans="1:16" x14ac:dyDescent="0.25">
      <c r="A49" s="2" t="s">
        <v>222</v>
      </c>
      <c r="B49" s="4">
        <v>46251.190972222219</v>
      </c>
      <c r="C49" s="2" t="s">
        <v>28</v>
      </c>
      <c r="D49" s="2" t="s">
        <v>37</v>
      </c>
      <c r="E49" s="2" t="s">
        <v>148</v>
      </c>
      <c r="F49" s="2" t="s">
        <v>55</v>
      </c>
      <c r="G49" s="2" t="s">
        <v>179</v>
      </c>
      <c r="H49" s="2" t="s">
        <v>80</v>
      </c>
      <c r="I49" s="2">
        <v>4</v>
      </c>
      <c r="J49" s="2" t="s">
        <v>106</v>
      </c>
      <c r="K49" s="4">
        <v>46251.275694444441</v>
      </c>
      <c r="L49" s="2" t="s">
        <v>24</v>
      </c>
      <c r="M49" s="2"/>
      <c r="N49" t="s">
        <v>8581</v>
      </c>
      <c r="O49" s="8">
        <f t="shared" si="0"/>
        <v>2.0333333333255723</v>
      </c>
      <c r="P49" t="str">
        <f t="shared" si="1"/>
        <v>Yes</v>
      </c>
    </row>
    <row r="50" spans="1:16" x14ac:dyDescent="0.25">
      <c r="A50" s="2" t="s">
        <v>225</v>
      </c>
      <c r="B50" s="4">
        <v>46188.680555555555</v>
      </c>
      <c r="C50" s="2" t="s">
        <v>53</v>
      </c>
      <c r="D50" s="2" t="s">
        <v>54</v>
      </c>
      <c r="E50" s="2" t="s">
        <v>38</v>
      </c>
      <c r="F50" s="2" t="s">
        <v>30</v>
      </c>
      <c r="G50" s="2" t="s">
        <v>183</v>
      </c>
      <c r="H50" s="2" t="s">
        <v>21</v>
      </c>
      <c r="I50" s="2">
        <v>24</v>
      </c>
      <c r="J50" s="2" t="s">
        <v>106</v>
      </c>
      <c r="K50" s="4">
        <v>46189.102777777778</v>
      </c>
      <c r="L50" s="2" t="s">
        <v>24</v>
      </c>
      <c r="M50" s="2">
        <v>3</v>
      </c>
      <c r="N50" t="s">
        <v>8581</v>
      </c>
      <c r="O50" s="8">
        <f t="shared" si="0"/>
        <v>10.133333333360497</v>
      </c>
      <c r="P50" t="str">
        <f t="shared" si="1"/>
        <v>Yes</v>
      </c>
    </row>
    <row r="51" spans="1:16" x14ac:dyDescent="0.25">
      <c r="A51" s="2" t="s">
        <v>228</v>
      </c>
      <c r="B51" s="4">
        <v>46153.761111111111</v>
      </c>
      <c r="C51" s="2" t="s">
        <v>16</v>
      </c>
      <c r="D51" s="2" t="s">
        <v>17</v>
      </c>
      <c r="E51" s="2" t="s">
        <v>148</v>
      </c>
      <c r="F51" s="2" t="s">
        <v>30</v>
      </c>
      <c r="G51" s="2" t="s">
        <v>110</v>
      </c>
      <c r="H51" s="2" t="s">
        <v>32</v>
      </c>
      <c r="I51" s="2">
        <v>48</v>
      </c>
      <c r="J51" s="2" t="s">
        <v>149</v>
      </c>
      <c r="K51" s="4" t="s">
        <v>8590</v>
      </c>
      <c r="L51" s="2" t="s">
        <v>24</v>
      </c>
      <c r="M51" s="2"/>
      <c r="N51" t="s">
        <v>8585</v>
      </c>
      <c r="O51" s="8" t="str">
        <f t="shared" si="0"/>
        <v/>
      </c>
      <c r="P51" t="str">
        <f t="shared" si="1"/>
        <v>N/A</v>
      </c>
    </row>
    <row r="52" spans="1:16" x14ac:dyDescent="0.25">
      <c r="A52" s="2" t="s">
        <v>230</v>
      </c>
      <c r="B52" s="4">
        <v>46199.116666666669</v>
      </c>
      <c r="C52" s="2" t="s">
        <v>28</v>
      </c>
      <c r="D52" s="2" t="s">
        <v>37</v>
      </c>
      <c r="E52" s="2" t="s">
        <v>46</v>
      </c>
      <c r="F52" s="2" t="s">
        <v>30</v>
      </c>
      <c r="G52" s="2" t="s">
        <v>183</v>
      </c>
      <c r="H52" s="2" t="s">
        <v>21</v>
      </c>
      <c r="I52" s="2">
        <v>24</v>
      </c>
      <c r="J52" s="2" t="s">
        <v>11</v>
      </c>
      <c r="K52" s="4" t="s">
        <v>8590</v>
      </c>
      <c r="L52" s="2" t="s">
        <v>92</v>
      </c>
      <c r="M52" s="2"/>
      <c r="N52" t="s">
        <v>8583</v>
      </c>
      <c r="O52" s="8" t="str">
        <f t="shared" si="0"/>
        <v/>
      </c>
      <c r="P52" t="str">
        <f t="shared" si="1"/>
        <v>N/A</v>
      </c>
    </row>
    <row r="53" spans="1:16" x14ac:dyDescent="0.25">
      <c r="A53" s="2" t="s">
        <v>233</v>
      </c>
      <c r="B53" s="4">
        <v>46248.718055555553</v>
      </c>
      <c r="C53" s="2" t="s">
        <v>67</v>
      </c>
      <c r="D53" s="2" t="s">
        <v>95</v>
      </c>
      <c r="E53" s="2" t="s">
        <v>79</v>
      </c>
      <c r="F53" s="2" t="s">
        <v>96</v>
      </c>
      <c r="G53" s="2" t="s">
        <v>179</v>
      </c>
      <c r="H53" s="2" t="s">
        <v>32</v>
      </c>
      <c r="I53" s="2">
        <v>48</v>
      </c>
      <c r="J53" s="2" t="s">
        <v>106</v>
      </c>
      <c r="K53" s="4">
        <v>46254.491666666669</v>
      </c>
      <c r="L53" s="2" t="s">
        <v>24</v>
      </c>
      <c r="M53" s="2">
        <v>3</v>
      </c>
      <c r="N53" t="s">
        <v>8585</v>
      </c>
      <c r="O53" s="8">
        <f t="shared" si="0"/>
        <v>138.56666666676756</v>
      </c>
      <c r="P53" t="str">
        <f t="shared" si="1"/>
        <v>No</v>
      </c>
    </row>
    <row r="54" spans="1:16" x14ac:dyDescent="0.25">
      <c r="A54" s="2" t="s">
        <v>236</v>
      </c>
      <c r="B54" s="4">
        <v>46255.829861111109</v>
      </c>
      <c r="C54" s="2" t="s">
        <v>67</v>
      </c>
      <c r="D54" s="2" t="s">
        <v>68</v>
      </c>
      <c r="E54" s="2" t="s">
        <v>148</v>
      </c>
      <c r="F54" s="2" t="s">
        <v>55</v>
      </c>
      <c r="G54" s="2" t="s">
        <v>101</v>
      </c>
      <c r="H54" s="2" t="s">
        <v>21</v>
      </c>
      <c r="I54" s="2">
        <v>24</v>
      </c>
      <c r="J54" s="2" t="s">
        <v>11</v>
      </c>
      <c r="K54" s="4" t="s">
        <v>8590</v>
      </c>
      <c r="L54" s="2" t="s">
        <v>92</v>
      </c>
      <c r="M54" s="2"/>
      <c r="N54" t="s">
        <v>8587</v>
      </c>
      <c r="O54" s="8" t="str">
        <f t="shared" si="0"/>
        <v/>
      </c>
      <c r="P54" t="str">
        <f t="shared" si="1"/>
        <v>N/A</v>
      </c>
    </row>
    <row r="55" spans="1:16" x14ac:dyDescent="0.25">
      <c r="A55" s="2" t="s">
        <v>238</v>
      </c>
      <c r="B55" s="4">
        <v>46132.754861111112</v>
      </c>
      <c r="C55" s="2" t="s">
        <v>16</v>
      </c>
      <c r="D55" s="2" t="s">
        <v>84</v>
      </c>
      <c r="E55" s="2" t="s">
        <v>85</v>
      </c>
      <c r="F55" s="2" t="s">
        <v>55</v>
      </c>
      <c r="G55" s="2" t="s">
        <v>179</v>
      </c>
      <c r="H55" s="2" t="s">
        <v>21</v>
      </c>
      <c r="I55" s="2">
        <v>24</v>
      </c>
      <c r="J55" s="2" t="s">
        <v>106</v>
      </c>
      <c r="K55" s="4">
        <v>46133.25277777778</v>
      </c>
      <c r="L55" s="2" t="s">
        <v>24</v>
      </c>
      <c r="M55" s="2">
        <v>5</v>
      </c>
      <c r="N55" t="s">
        <v>8588</v>
      </c>
      <c r="O55" s="8">
        <f t="shared" si="0"/>
        <v>11.950000000011642</v>
      </c>
      <c r="P55" t="str">
        <f t="shared" si="1"/>
        <v>Yes</v>
      </c>
    </row>
    <row r="56" spans="1:16" x14ac:dyDescent="0.25">
      <c r="A56" s="2" t="s">
        <v>242</v>
      </c>
      <c r="B56" s="4">
        <v>46129.220833333333</v>
      </c>
      <c r="C56" s="2" t="s">
        <v>28</v>
      </c>
      <c r="D56" s="2" t="s">
        <v>37</v>
      </c>
      <c r="E56" s="2" t="s">
        <v>18</v>
      </c>
      <c r="F56" s="2" t="s">
        <v>55</v>
      </c>
      <c r="G56" s="2" t="s">
        <v>211</v>
      </c>
      <c r="H56" s="2" t="s">
        <v>32</v>
      </c>
      <c r="I56" s="2">
        <v>48</v>
      </c>
      <c r="J56" s="2" t="s">
        <v>106</v>
      </c>
      <c r="K56" s="4">
        <v>46134.864583333336</v>
      </c>
      <c r="L56" s="2" t="s">
        <v>92</v>
      </c>
      <c r="M56" s="2">
        <v>5</v>
      </c>
      <c r="N56" t="s">
        <v>8581</v>
      </c>
      <c r="O56" s="8">
        <f t="shared" si="0"/>
        <v>135.45000000006985</v>
      </c>
      <c r="P56" t="str">
        <f t="shared" si="1"/>
        <v>No</v>
      </c>
    </row>
    <row r="57" spans="1:16" x14ac:dyDescent="0.25">
      <c r="A57" s="2" t="s">
        <v>245</v>
      </c>
      <c r="B57" s="4">
        <v>46159.176388888889</v>
      </c>
      <c r="C57" s="2" t="s">
        <v>28</v>
      </c>
      <c r="D57" s="2" t="s">
        <v>100</v>
      </c>
      <c r="E57" s="2" t="s">
        <v>18</v>
      </c>
      <c r="F57" s="2" t="s">
        <v>30</v>
      </c>
      <c r="G57" s="2" t="s">
        <v>110</v>
      </c>
      <c r="H57" s="2" t="s">
        <v>21</v>
      </c>
      <c r="I57" s="2">
        <v>24</v>
      </c>
      <c r="J57" s="2" t="s">
        <v>75</v>
      </c>
      <c r="K57" s="4">
        <v>46159.845833333333</v>
      </c>
      <c r="L57" s="2" t="s">
        <v>24</v>
      </c>
      <c r="M57" s="2">
        <v>3</v>
      </c>
      <c r="N57" t="s">
        <v>8581</v>
      </c>
      <c r="O57" s="8">
        <f t="shared" si="0"/>
        <v>16.066666666651145</v>
      </c>
      <c r="P57" t="str">
        <f t="shared" si="1"/>
        <v>N/A</v>
      </c>
    </row>
    <row r="58" spans="1:16" x14ac:dyDescent="0.25">
      <c r="A58" s="2" t="s">
        <v>248</v>
      </c>
      <c r="B58" s="4">
        <v>46201.981249999997</v>
      </c>
      <c r="C58" s="2" t="s">
        <v>53</v>
      </c>
      <c r="D58" s="2" t="s">
        <v>54</v>
      </c>
      <c r="E58" s="2" t="s">
        <v>85</v>
      </c>
      <c r="F58" s="2" t="s">
        <v>55</v>
      </c>
      <c r="G58" s="2" t="s">
        <v>31</v>
      </c>
      <c r="H58" s="2" t="s">
        <v>21</v>
      </c>
      <c r="I58" s="2">
        <v>24</v>
      </c>
      <c r="J58" s="2" t="s">
        <v>75</v>
      </c>
      <c r="K58" s="4">
        <v>46202.287499999999</v>
      </c>
      <c r="L58" s="2" t="s">
        <v>92</v>
      </c>
      <c r="M58" s="2"/>
      <c r="N58" t="s">
        <v>8586</v>
      </c>
      <c r="O58" s="8">
        <f t="shared" si="0"/>
        <v>7.3500000000349246</v>
      </c>
      <c r="P58" t="str">
        <f t="shared" si="1"/>
        <v>N/A</v>
      </c>
    </row>
    <row r="59" spans="1:16" x14ac:dyDescent="0.25">
      <c r="A59" s="2" t="s">
        <v>251</v>
      </c>
      <c r="B59" s="4">
        <v>46220.561111111114</v>
      </c>
      <c r="C59" s="2" t="s">
        <v>16</v>
      </c>
      <c r="D59" s="2" t="s">
        <v>84</v>
      </c>
      <c r="E59" s="2" t="s">
        <v>85</v>
      </c>
      <c r="F59" s="2" t="s">
        <v>96</v>
      </c>
      <c r="G59" s="2" t="s">
        <v>183</v>
      </c>
      <c r="H59" s="2" t="s">
        <v>21</v>
      </c>
      <c r="I59" s="2">
        <v>24</v>
      </c>
      <c r="J59" s="2" t="s">
        <v>106</v>
      </c>
      <c r="K59" s="4">
        <v>46222.34097222222</v>
      </c>
      <c r="L59" s="2" t="s">
        <v>24</v>
      </c>
      <c r="M59" s="2">
        <v>4</v>
      </c>
      <c r="N59" t="s">
        <v>8587</v>
      </c>
      <c r="O59" s="8">
        <f t="shared" si="0"/>
        <v>42.716666666558012</v>
      </c>
      <c r="P59" t="str">
        <f t="shared" si="1"/>
        <v>No</v>
      </c>
    </row>
    <row r="60" spans="1:16" x14ac:dyDescent="0.25">
      <c r="A60" s="2" t="s">
        <v>254</v>
      </c>
      <c r="B60" s="4">
        <v>46099.564583333333</v>
      </c>
      <c r="C60" s="2" t="s">
        <v>28</v>
      </c>
      <c r="D60" s="2" t="s">
        <v>37</v>
      </c>
      <c r="E60" s="2" t="s">
        <v>85</v>
      </c>
      <c r="F60" s="2" t="s">
        <v>96</v>
      </c>
      <c r="G60" s="2" t="s">
        <v>211</v>
      </c>
      <c r="H60" s="2" t="s">
        <v>74</v>
      </c>
      <c r="I60" s="2">
        <v>8</v>
      </c>
      <c r="J60" s="2" t="s">
        <v>106</v>
      </c>
      <c r="K60" s="4">
        <v>46100.402777777781</v>
      </c>
      <c r="L60" s="2" t="s">
        <v>24</v>
      </c>
      <c r="M60" s="2">
        <v>3</v>
      </c>
      <c r="N60" t="s">
        <v>8585</v>
      </c>
      <c r="O60" s="8">
        <f t="shared" si="0"/>
        <v>20.116666666755918</v>
      </c>
      <c r="P60" t="str">
        <f t="shared" si="1"/>
        <v>No</v>
      </c>
    </row>
    <row r="61" spans="1:16" x14ac:dyDescent="0.25">
      <c r="A61" s="2" t="s">
        <v>257</v>
      </c>
      <c r="B61" s="4">
        <v>46047.334027777775</v>
      </c>
      <c r="C61" s="2" t="s">
        <v>53</v>
      </c>
      <c r="D61" s="2" t="s">
        <v>54</v>
      </c>
      <c r="E61" s="2" t="s">
        <v>79</v>
      </c>
      <c r="F61" s="2" t="s">
        <v>96</v>
      </c>
      <c r="G61" s="2" t="s">
        <v>101</v>
      </c>
      <c r="H61" s="2" t="s">
        <v>32</v>
      </c>
      <c r="I61" s="2">
        <v>48</v>
      </c>
      <c r="J61" s="2" t="s">
        <v>106</v>
      </c>
      <c r="K61" s="4">
        <v>46049.123611111114</v>
      </c>
      <c r="L61" s="2" t="s">
        <v>24</v>
      </c>
      <c r="M61" s="2">
        <v>3</v>
      </c>
      <c r="N61" t="s">
        <v>8589</v>
      </c>
      <c r="O61" s="8">
        <f t="shared" si="0"/>
        <v>42.950000000128057</v>
      </c>
      <c r="P61" t="str">
        <f t="shared" si="1"/>
        <v>Yes</v>
      </c>
    </row>
    <row r="62" spans="1:16" x14ac:dyDescent="0.25">
      <c r="A62" s="2" t="s">
        <v>260</v>
      </c>
      <c r="B62" s="4">
        <v>46154.567361111112</v>
      </c>
      <c r="C62" s="2" t="s">
        <v>28</v>
      </c>
      <c r="D62" s="2" t="s">
        <v>37</v>
      </c>
      <c r="E62" s="2" t="s">
        <v>46</v>
      </c>
      <c r="F62" s="2" t="s">
        <v>30</v>
      </c>
      <c r="G62" s="2" t="s">
        <v>211</v>
      </c>
      <c r="H62" s="2" t="s">
        <v>21</v>
      </c>
      <c r="I62" s="2">
        <v>24</v>
      </c>
      <c r="J62" s="2" t="s">
        <v>106</v>
      </c>
      <c r="K62" s="4">
        <v>46154.865972222222</v>
      </c>
      <c r="L62" s="2" t="s">
        <v>24</v>
      </c>
      <c r="M62" s="2"/>
      <c r="N62" t="s">
        <v>8581</v>
      </c>
      <c r="O62" s="8">
        <f t="shared" si="0"/>
        <v>7.1666666666278616</v>
      </c>
      <c r="P62" t="str">
        <f t="shared" si="1"/>
        <v>Yes</v>
      </c>
    </row>
    <row r="63" spans="1:16" x14ac:dyDescent="0.25">
      <c r="A63" s="2" t="s">
        <v>263</v>
      </c>
      <c r="B63" s="4">
        <v>46228.011111111111</v>
      </c>
      <c r="C63" s="2" t="s">
        <v>16</v>
      </c>
      <c r="D63" s="2" t="s">
        <v>84</v>
      </c>
      <c r="E63" s="2" t="s">
        <v>85</v>
      </c>
      <c r="F63" s="2" t="s">
        <v>96</v>
      </c>
      <c r="G63" s="2" t="s">
        <v>31</v>
      </c>
      <c r="H63" s="2" t="s">
        <v>21</v>
      </c>
      <c r="I63" s="2">
        <v>24</v>
      </c>
      <c r="J63" s="2" t="s">
        <v>287</v>
      </c>
      <c r="K63" s="4" t="s">
        <v>8590</v>
      </c>
      <c r="L63" s="2" t="s">
        <v>24</v>
      </c>
      <c r="M63" s="2"/>
      <c r="N63" t="s">
        <v>8587</v>
      </c>
      <c r="O63" s="8" t="str">
        <f t="shared" si="0"/>
        <v/>
      </c>
      <c r="P63" t="str">
        <f t="shared" si="1"/>
        <v>N/A</v>
      </c>
    </row>
    <row r="64" spans="1:16" x14ac:dyDescent="0.25">
      <c r="A64" s="2" t="s">
        <v>265</v>
      </c>
      <c r="B64" s="4">
        <v>46040.728472222225</v>
      </c>
      <c r="C64" s="2" t="s">
        <v>28</v>
      </c>
      <c r="D64" s="2" t="s">
        <v>37</v>
      </c>
      <c r="E64" s="2" t="s">
        <v>79</v>
      </c>
      <c r="F64" s="2" t="s">
        <v>30</v>
      </c>
      <c r="G64" s="2" t="s">
        <v>211</v>
      </c>
      <c r="H64" s="2" t="s">
        <v>21</v>
      </c>
      <c r="I64" s="2">
        <v>24</v>
      </c>
      <c r="J64" s="2" t="s">
        <v>106</v>
      </c>
      <c r="K64" s="4">
        <v>46041.956250000003</v>
      </c>
      <c r="L64" s="2" t="s">
        <v>24</v>
      </c>
      <c r="M64" s="2">
        <v>1</v>
      </c>
      <c r="N64" t="s">
        <v>8589</v>
      </c>
      <c r="O64" s="8">
        <f t="shared" si="0"/>
        <v>29.466666666674428</v>
      </c>
      <c r="P64" t="str">
        <f t="shared" si="1"/>
        <v>No</v>
      </c>
    </row>
    <row r="65" spans="1:16" x14ac:dyDescent="0.25">
      <c r="A65" s="2" t="s">
        <v>268</v>
      </c>
      <c r="B65" s="4">
        <v>46059.112500000003</v>
      </c>
      <c r="C65" s="2" t="s">
        <v>67</v>
      </c>
      <c r="D65" s="2" t="s">
        <v>68</v>
      </c>
      <c r="E65" s="2" t="s">
        <v>79</v>
      </c>
      <c r="F65" s="2" t="s">
        <v>113</v>
      </c>
      <c r="G65" s="2" t="s">
        <v>183</v>
      </c>
      <c r="H65" s="2" t="s">
        <v>74</v>
      </c>
      <c r="I65" s="2">
        <v>8</v>
      </c>
      <c r="J65" s="2" t="s">
        <v>106</v>
      </c>
      <c r="K65" s="4">
        <v>46059.809027777781</v>
      </c>
      <c r="L65" s="2" t="s">
        <v>24</v>
      </c>
      <c r="M65" s="2"/>
      <c r="N65" t="s">
        <v>8582</v>
      </c>
      <c r="O65" s="8">
        <f t="shared" si="0"/>
        <v>16.716666666674428</v>
      </c>
      <c r="P65" t="str">
        <f t="shared" si="1"/>
        <v>No</v>
      </c>
    </row>
    <row r="66" spans="1:16" x14ac:dyDescent="0.25">
      <c r="A66" s="2" t="s">
        <v>271</v>
      </c>
      <c r="B66" s="4">
        <v>46044.871527777781</v>
      </c>
      <c r="C66" s="2" t="s">
        <v>16</v>
      </c>
      <c r="D66" s="2" t="s">
        <v>84</v>
      </c>
      <c r="E66" s="2" t="s">
        <v>90</v>
      </c>
      <c r="F66" s="2" t="s">
        <v>113</v>
      </c>
      <c r="G66" s="2" t="s">
        <v>101</v>
      </c>
      <c r="H66" s="2" t="s">
        <v>74</v>
      </c>
      <c r="I66" s="2">
        <v>8</v>
      </c>
      <c r="J66" s="2" t="s">
        <v>106</v>
      </c>
      <c r="K66" s="4">
        <v>46045.267361111109</v>
      </c>
      <c r="L66" s="2" t="s">
        <v>24</v>
      </c>
      <c r="M66" s="2">
        <v>4</v>
      </c>
      <c r="N66" t="s">
        <v>8588</v>
      </c>
      <c r="O66" s="8">
        <f t="shared" si="0"/>
        <v>9.4999999998835847</v>
      </c>
      <c r="P66" t="str">
        <f t="shared" si="1"/>
        <v>No</v>
      </c>
    </row>
    <row r="67" spans="1:16" x14ac:dyDescent="0.25">
      <c r="A67" s="2" t="s">
        <v>274</v>
      </c>
      <c r="B67" s="4">
        <v>46051.393055555556</v>
      </c>
      <c r="C67" s="2" t="s">
        <v>16</v>
      </c>
      <c r="D67" s="2" t="s">
        <v>84</v>
      </c>
      <c r="E67" s="2" t="s">
        <v>90</v>
      </c>
      <c r="F67" s="2" t="s">
        <v>30</v>
      </c>
      <c r="G67" s="2" t="s">
        <v>211</v>
      </c>
      <c r="H67" s="2" t="s">
        <v>32</v>
      </c>
      <c r="I67" s="2">
        <v>48</v>
      </c>
      <c r="J67" s="2" t="s">
        <v>75</v>
      </c>
      <c r="K67" s="4">
        <v>46053.15</v>
      </c>
      <c r="L67" s="2" t="s">
        <v>24</v>
      </c>
      <c r="M67" s="2"/>
      <c r="N67" t="s">
        <v>8582</v>
      </c>
      <c r="O67" s="8">
        <f t="shared" ref="O67:O130" si="2">IF(K67="","",IF(K67="Missing Resolve Date","",(K67-B67)*24))</f>
        <v>42.166666666686069</v>
      </c>
      <c r="P67" t="str">
        <f t="shared" ref="P67:P130" si="3">IF(J67="Resolved",IF(O67&lt;=I67,"Yes","No"),"N/A")</f>
        <v>N/A</v>
      </c>
    </row>
    <row r="68" spans="1:16" x14ac:dyDescent="0.25">
      <c r="A68" s="2" t="s">
        <v>277</v>
      </c>
      <c r="B68" s="4">
        <v>46082.465277777781</v>
      </c>
      <c r="C68" s="2" t="s">
        <v>53</v>
      </c>
      <c r="D68" s="2" t="s">
        <v>61</v>
      </c>
      <c r="E68" s="2" t="s">
        <v>90</v>
      </c>
      <c r="F68" s="2" t="s">
        <v>30</v>
      </c>
      <c r="G68" s="2" t="s">
        <v>31</v>
      </c>
      <c r="H68" s="2" t="s">
        <v>21</v>
      </c>
      <c r="I68" s="2">
        <v>24</v>
      </c>
      <c r="J68" s="2" t="s">
        <v>75</v>
      </c>
      <c r="K68" s="4">
        <v>46082.904861111114</v>
      </c>
      <c r="L68" s="2" t="s">
        <v>24</v>
      </c>
      <c r="M68" s="2">
        <v>2</v>
      </c>
      <c r="N68" t="s">
        <v>8589</v>
      </c>
      <c r="O68" s="8">
        <f t="shared" si="2"/>
        <v>10.549999999988358</v>
      </c>
      <c r="P68" t="str">
        <f t="shared" si="3"/>
        <v>N/A</v>
      </c>
    </row>
    <row r="69" spans="1:16" x14ac:dyDescent="0.25">
      <c r="A69" s="2" t="s">
        <v>280</v>
      </c>
      <c r="B69" s="4">
        <v>46238.231249999997</v>
      </c>
      <c r="C69" s="2" t="s">
        <v>28</v>
      </c>
      <c r="D69" s="2" t="s">
        <v>37</v>
      </c>
      <c r="E69" s="2" t="s">
        <v>90</v>
      </c>
      <c r="F69" s="2" t="s">
        <v>96</v>
      </c>
      <c r="G69" s="2" t="s">
        <v>101</v>
      </c>
      <c r="H69" s="2" t="s">
        <v>74</v>
      </c>
      <c r="I69" s="2">
        <v>8</v>
      </c>
      <c r="J69" s="2" t="s">
        <v>149</v>
      </c>
      <c r="K69" s="4" t="s">
        <v>8590</v>
      </c>
      <c r="L69" s="2" t="s">
        <v>24</v>
      </c>
      <c r="M69" s="2"/>
      <c r="N69" t="s">
        <v>8587</v>
      </c>
      <c r="O69" s="8" t="str">
        <f t="shared" si="2"/>
        <v/>
      </c>
      <c r="P69" t="str">
        <f t="shared" si="3"/>
        <v>N/A</v>
      </c>
    </row>
    <row r="70" spans="1:16" x14ac:dyDescent="0.25">
      <c r="A70" s="2" t="s">
        <v>282</v>
      </c>
      <c r="B70" s="4">
        <v>46179.613888888889</v>
      </c>
      <c r="C70" s="2" t="s">
        <v>67</v>
      </c>
      <c r="D70" s="2" t="s">
        <v>68</v>
      </c>
      <c r="E70" s="2" t="s">
        <v>148</v>
      </c>
      <c r="F70" s="2" t="s">
        <v>30</v>
      </c>
      <c r="G70" s="2" t="s">
        <v>31</v>
      </c>
      <c r="H70" s="2" t="s">
        <v>21</v>
      </c>
      <c r="I70" s="2">
        <v>24</v>
      </c>
      <c r="J70" s="2" t="s">
        <v>106</v>
      </c>
      <c r="K70" s="4">
        <v>46179.768750000003</v>
      </c>
      <c r="L70" s="2" t="s">
        <v>24</v>
      </c>
      <c r="M70" s="2">
        <v>4</v>
      </c>
      <c r="N70" t="s">
        <v>8582</v>
      </c>
      <c r="O70" s="8">
        <f t="shared" si="2"/>
        <v>3.7166666667326353</v>
      </c>
      <c r="P70" t="str">
        <f t="shared" si="3"/>
        <v>Yes</v>
      </c>
    </row>
    <row r="71" spans="1:16" x14ac:dyDescent="0.25">
      <c r="A71" s="2" t="s">
        <v>285</v>
      </c>
      <c r="B71" s="4">
        <v>46044.104166666664</v>
      </c>
      <c r="C71" s="2" t="s">
        <v>67</v>
      </c>
      <c r="D71" s="2" t="s">
        <v>95</v>
      </c>
      <c r="E71" s="2" t="s">
        <v>90</v>
      </c>
      <c r="F71" s="2" t="s">
        <v>96</v>
      </c>
      <c r="G71" s="2" t="s">
        <v>101</v>
      </c>
      <c r="H71" s="2" t="s">
        <v>80</v>
      </c>
      <c r="I71" s="2">
        <v>4</v>
      </c>
      <c r="J71" s="2" t="s">
        <v>287</v>
      </c>
      <c r="K71" s="4" t="s">
        <v>8590</v>
      </c>
      <c r="L71" s="2" t="s">
        <v>24</v>
      </c>
      <c r="M71" s="2"/>
      <c r="N71" t="s">
        <v>8585</v>
      </c>
      <c r="O71" s="8" t="str">
        <f t="shared" si="2"/>
        <v/>
      </c>
      <c r="P71" t="str">
        <f t="shared" si="3"/>
        <v>N/A</v>
      </c>
    </row>
    <row r="72" spans="1:16" x14ac:dyDescent="0.25">
      <c r="A72" s="2" t="s">
        <v>288</v>
      </c>
      <c r="B72" s="4">
        <v>46039.15625</v>
      </c>
      <c r="C72" s="2" t="s">
        <v>53</v>
      </c>
      <c r="D72" s="2" t="s">
        <v>54</v>
      </c>
      <c r="E72" s="2" t="s">
        <v>85</v>
      </c>
      <c r="F72" s="2" t="s">
        <v>30</v>
      </c>
      <c r="G72" s="2" t="s">
        <v>31</v>
      </c>
      <c r="H72" s="2" t="s">
        <v>32</v>
      </c>
      <c r="I72" s="2">
        <v>48</v>
      </c>
      <c r="J72" s="2" t="s">
        <v>11</v>
      </c>
      <c r="K72" s="4" t="s">
        <v>8590</v>
      </c>
      <c r="L72" s="2" t="s">
        <v>92</v>
      </c>
      <c r="M72" s="2"/>
      <c r="N72" t="s">
        <v>8589</v>
      </c>
      <c r="O72" s="8" t="str">
        <f t="shared" si="2"/>
        <v/>
      </c>
      <c r="P72" t="str">
        <f t="shared" si="3"/>
        <v>N/A</v>
      </c>
    </row>
    <row r="73" spans="1:16" x14ac:dyDescent="0.25">
      <c r="A73" s="2" t="s">
        <v>290</v>
      </c>
      <c r="B73" s="4">
        <v>46144.660416666666</v>
      </c>
      <c r="C73" s="2" t="s">
        <v>53</v>
      </c>
      <c r="D73" s="2" t="s">
        <v>54</v>
      </c>
      <c r="E73" s="2" t="s">
        <v>18</v>
      </c>
      <c r="F73" s="2" t="s">
        <v>96</v>
      </c>
      <c r="G73" s="2" t="s">
        <v>101</v>
      </c>
      <c r="H73" s="2" t="s">
        <v>21</v>
      </c>
      <c r="I73" s="2">
        <v>24</v>
      </c>
      <c r="J73" s="2" t="s">
        <v>106</v>
      </c>
      <c r="K73" s="4">
        <v>46147.581250000003</v>
      </c>
      <c r="L73" s="2" t="s">
        <v>24</v>
      </c>
      <c r="M73" s="2">
        <v>2</v>
      </c>
      <c r="N73" t="s">
        <v>8586</v>
      </c>
      <c r="O73" s="8">
        <f t="shared" si="2"/>
        <v>70.100000000093132</v>
      </c>
      <c r="P73" t="str">
        <f t="shared" si="3"/>
        <v>No</v>
      </c>
    </row>
    <row r="74" spans="1:16" x14ac:dyDescent="0.25">
      <c r="A74" s="2" t="s">
        <v>293</v>
      </c>
      <c r="B74" s="4">
        <v>46163.615972222222</v>
      </c>
      <c r="C74" s="2" t="s">
        <v>67</v>
      </c>
      <c r="D74" s="2" t="s">
        <v>95</v>
      </c>
      <c r="E74" s="2" t="s">
        <v>38</v>
      </c>
      <c r="F74" s="2" t="s">
        <v>30</v>
      </c>
      <c r="G74" s="2" t="s">
        <v>211</v>
      </c>
      <c r="H74" s="2" t="s">
        <v>80</v>
      </c>
      <c r="I74" s="2">
        <v>4</v>
      </c>
      <c r="J74" s="2" t="s">
        <v>106</v>
      </c>
      <c r="K74" s="4" t="s">
        <v>8590</v>
      </c>
      <c r="L74" s="2" t="s">
        <v>24</v>
      </c>
      <c r="M74" s="2">
        <v>1</v>
      </c>
      <c r="N74" t="s">
        <v>8582</v>
      </c>
      <c r="O74" s="8" t="str">
        <f t="shared" si="2"/>
        <v/>
      </c>
      <c r="P74" t="str">
        <f t="shared" si="3"/>
        <v>No</v>
      </c>
    </row>
    <row r="75" spans="1:16" x14ac:dyDescent="0.25">
      <c r="A75" s="2" t="s">
        <v>295</v>
      </c>
      <c r="B75" s="4">
        <v>46221.215277777781</v>
      </c>
      <c r="C75" s="2" t="s">
        <v>28</v>
      </c>
      <c r="D75" s="2" t="s">
        <v>100</v>
      </c>
      <c r="E75" s="2" t="s">
        <v>79</v>
      </c>
      <c r="F75" s="2" t="s">
        <v>96</v>
      </c>
      <c r="G75" s="2" t="s">
        <v>101</v>
      </c>
      <c r="H75" s="2" t="s">
        <v>32</v>
      </c>
      <c r="I75" s="2">
        <v>48</v>
      </c>
      <c r="J75" s="2" t="s">
        <v>106</v>
      </c>
      <c r="K75" s="4">
        <v>46222.793749999997</v>
      </c>
      <c r="L75" s="2" t="s">
        <v>24</v>
      </c>
      <c r="M75" s="2"/>
      <c r="N75" t="s">
        <v>8582</v>
      </c>
      <c r="O75" s="8">
        <f t="shared" si="2"/>
        <v>37.883333333185874</v>
      </c>
      <c r="P75" t="str">
        <f t="shared" si="3"/>
        <v>Yes</v>
      </c>
    </row>
    <row r="76" spans="1:16" x14ac:dyDescent="0.25">
      <c r="A76" s="2" t="s">
        <v>298</v>
      </c>
      <c r="B76" s="4">
        <v>46083.928472222222</v>
      </c>
      <c r="C76" s="2" t="s">
        <v>16</v>
      </c>
      <c r="D76" s="2" t="s">
        <v>17</v>
      </c>
      <c r="E76" s="2" t="s">
        <v>46</v>
      </c>
      <c r="F76" s="2" t="s">
        <v>55</v>
      </c>
      <c r="G76" s="2" t="s">
        <v>179</v>
      </c>
      <c r="H76" s="2" t="s">
        <v>21</v>
      </c>
      <c r="I76" s="2">
        <v>24</v>
      </c>
      <c r="J76" s="2" t="s">
        <v>75</v>
      </c>
      <c r="K76" s="4">
        <v>46086.09375</v>
      </c>
      <c r="L76" s="2" t="s">
        <v>92</v>
      </c>
      <c r="M76" s="2"/>
      <c r="N76" t="s">
        <v>8587</v>
      </c>
      <c r="O76" s="8">
        <f t="shared" si="2"/>
        <v>51.966666666674428</v>
      </c>
      <c r="P76" t="str">
        <f t="shared" si="3"/>
        <v>N/A</v>
      </c>
    </row>
    <row r="77" spans="1:16" x14ac:dyDescent="0.25">
      <c r="A77" s="2" t="s">
        <v>301</v>
      </c>
      <c r="B77" s="4">
        <v>46166.384722222225</v>
      </c>
      <c r="C77" s="2" t="s">
        <v>67</v>
      </c>
      <c r="D77" s="2" t="s">
        <v>95</v>
      </c>
      <c r="E77" s="2" t="s">
        <v>90</v>
      </c>
      <c r="F77" s="2" t="s">
        <v>55</v>
      </c>
      <c r="G77" s="2" t="s">
        <v>179</v>
      </c>
      <c r="H77" s="2" t="s">
        <v>74</v>
      </c>
      <c r="I77" s="2">
        <v>8</v>
      </c>
      <c r="J77" s="2" t="s">
        <v>106</v>
      </c>
      <c r="K77" s="4">
        <v>46167.28125</v>
      </c>
      <c r="L77" s="2" t="s">
        <v>24</v>
      </c>
      <c r="M77" s="2"/>
      <c r="N77" t="s">
        <v>8581</v>
      </c>
      <c r="O77" s="8">
        <f t="shared" si="2"/>
        <v>21.516666666604578</v>
      </c>
      <c r="P77" t="str">
        <f t="shared" si="3"/>
        <v>No</v>
      </c>
    </row>
    <row r="78" spans="1:16" x14ac:dyDescent="0.25">
      <c r="A78" s="2" t="s">
        <v>304</v>
      </c>
      <c r="B78" s="4">
        <v>46063.470138888886</v>
      </c>
      <c r="C78" s="2" t="s">
        <v>53</v>
      </c>
      <c r="D78" s="2" t="s">
        <v>61</v>
      </c>
      <c r="E78" s="2" t="s">
        <v>79</v>
      </c>
      <c r="F78" s="2" t="s">
        <v>113</v>
      </c>
      <c r="G78" s="2" t="s">
        <v>211</v>
      </c>
      <c r="H78" s="2" t="s">
        <v>32</v>
      </c>
      <c r="I78" s="2">
        <v>48</v>
      </c>
      <c r="J78" s="2" t="s">
        <v>106</v>
      </c>
      <c r="K78" s="4">
        <v>46064.027083333334</v>
      </c>
      <c r="L78" s="2" t="s">
        <v>24</v>
      </c>
      <c r="M78" s="2">
        <v>5</v>
      </c>
      <c r="N78" t="s">
        <v>8585</v>
      </c>
      <c r="O78" s="8">
        <f t="shared" si="2"/>
        <v>13.366666666755918</v>
      </c>
      <c r="P78" t="str">
        <f t="shared" si="3"/>
        <v>Yes</v>
      </c>
    </row>
    <row r="79" spans="1:16" x14ac:dyDescent="0.25">
      <c r="A79" s="2" t="s">
        <v>307</v>
      </c>
      <c r="B79" s="4">
        <v>46215.448611111111</v>
      </c>
      <c r="C79" s="2" t="s">
        <v>67</v>
      </c>
      <c r="D79" s="2" t="s">
        <v>68</v>
      </c>
      <c r="E79" s="2" t="s">
        <v>46</v>
      </c>
      <c r="F79" s="2" t="s">
        <v>30</v>
      </c>
      <c r="G79" s="2" t="s">
        <v>183</v>
      </c>
      <c r="H79" s="2" t="s">
        <v>74</v>
      </c>
      <c r="I79" s="2">
        <v>8</v>
      </c>
      <c r="J79" s="2" t="s">
        <v>75</v>
      </c>
      <c r="K79" s="4">
        <v>46215.513888888891</v>
      </c>
      <c r="L79" s="2" t="s">
        <v>24</v>
      </c>
      <c r="M79" s="2">
        <v>4</v>
      </c>
      <c r="N79" t="s">
        <v>8582</v>
      </c>
      <c r="O79" s="8">
        <f t="shared" si="2"/>
        <v>1.5666666667093523</v>
      </c>
      <c r="P79" t="str">
        <f t="shared" si="3"/>
        <v>N/A</v>
      </c>
    </row>
    <row r="80" spans="1:16" x14ac:dyDescent="0.25">
      <c r="A80" s="2" t="s">
        <v>310</v>
      </c>
      <c r="B80" s="4">
        <v>46185.049305555556</v>
      </c>
      <c r="C80" s="2" t="s">
        <v>53</v>
      </c>
      <c r="D80" s="2" t="s">
        <v>54</v>
      </c>
      <c r="E80" s="2" t="s">
        <v>38</v>
      </c>
      <c r="F80" s="2" t="s">
        <v>113</v>
      </c>
      <c r="G80" s="2" t="s">
        <v>101</v>
      </c>
      <c r="H80" s="2" t="s">
        <v>32</v>
      </c>
      <c r="I80" s="2">
        <v>48</v>
      </c>
      <c r="J80" s="2" t="s">
        <v>11</v>
      </c>
      <c r="K80" s="4" t="s">
        <v>8590</v>
      </c>
      <c r="L80" s="2" t="s">
        <v>92</v>
      </c>
      <c r="M80" s="2"/>
      <c r="N80" t="s">
        <v>8589</v>
      </c>
      <c r="O80" s="8" t="str">
        <f t="shared" si="2"/>
        <v/>
      </c>
      <c r="P80" t="str">
        <f t="shared" si="3"/>
        <v>N/A</v>
      </c>
    </row>
    <row r="81" spans="1:16" x14ac:dyDescent="0.25">
      <c r="A81" s="2" t="s">
        <v>312</v>
      </c>
      <c r="B81" s="4">
        <v>46108.80972222222</v>
      </c>
      <c r="C81" s="2" t="s">
        <v>16</v>
      </c>
      <c r="D81" s="2" t="s">
        <v>17</v>
      </c>
      <c r="E81" s="2" t="s">
        <v>38</v>
      </c>
      <c r="F81" s="2" t="s">
        <v>96</v>
      </c>
      <c r="G81" s="2" t="s">
        <v>211</v>
      </c>
      <c r="H81" s="2" t="s">
        <v>21</v>
      </c>
      <c r="I81" s="2">
        <v>24</v>
      </c>
      <c r="J81" s="2" t="s">
        <v>106</v>
      </c>
      <c r="K81" s="4">
        <v>46108.873611111114</v>
      </c>
      <c r="L81" s="2" t="s">
        <v>24</v>
      </c>
      <c r="M81" s="2"/>
      <c r="N81" t="s">
        <v>8581</v>
      </c>
      <c r="O81" s="8">
        <f t="shared" si="2"/>
        <v>1.5333333334419876</v>
      </c>
      <c r="P81" t="str">
        <f t="shared" si="3"/>
        <v>Yes</v>
      </c>
    </row>
    <row r="82" spans="1:16" x14ac:dyDescent="0.25">
      <c r="A82" s="2" t="s">
        <v>315</v>
      </c>
      <c r="B82" s="4">
        <v>46113.95416666667</v>
      </c>
      <c r="C82" s="2" t="s">
        <v>28</v>
      </c>
      <c r="D82" s="2" t="s">
        <v>37</v>
      </c>
      <c r="E82" s="2" t="s">
        <v>90</v>
      </c>
      <c r="F82" s="2" t="s">
        <v>113</v>
      </c>
      <c r="G82" s="2" t="s">
        <v>110</v>
      </c>
      <c r="H82" s="2" t="s">
        <v>32</v>
      </c>
      <c r="I82" s="2">
        <v>48</v>
      </c>
      <c r="J82" s="2" t="s">
        <v>8580</v>
      </c>
      <c r="K82" s="4">
        <v>46114.401388888888</v>
      </c>
      <c r="L82" s="2" t="s">
        <v>24</v>
      </c>
      <c r="M82" s="2"/>
      <c r="N82" t="s">
        <v>8582</v>
      </c>
      <c r="O82" s="8">
        <f t="shared" si="2"/>
        <v>10.733333333220799</v>
      </c>
      <c r="P82" t="str">
        <f t="shared" si="3"/>
        <v>N/A</v>
      </c>
    </row>
    <row r="83" spans="1:16" x14ac:dyDescent="0.25">
      <c r="A83" s="2" t="s">
        <v>318</v>
      </c>
      <c r="B83" s="4">
        <v>46262.542361111111</v>
      </c>
      <c r="C83" s="2" t="s">
        <v>16</v>
      </c>
      <c r="D83" s="2" t="s">
        <v>84</v>
      </c>
      <c r="E83" s="2" t="s">
        <v>46</v>
      </c>
      <c r="F83" s="2" t="s">
        <v>113</v>
      </c>
      <c r="G83" s="2" t="s">
        <v>110</v>
      </c>
      <c r="H83" s="2" t="s">
        <v>32</v>
      </c>
      <c r="I83" s="2">
        <v>48</v>
      </c>
      <c r="J83" s="2" t="s">
        <v>75</v>
      </c>
      <c r="K83" s="4">
        <v>46264.049305555556</v>
      </c>
      <c r="L83" s="2" t="s">
        <v>24</v>
      </c>
      <c r="M83" s="2"/>
      <c r="N83" t="s">
        <v>8588</v>
      </c>
      <c r="O83" s="8">
        <f t="shared" si="2"/>
        <v>36.166666666686069</v>
      </c>
      <c r="P83" t="str">
        <f t="shared" si="3"/>
        <v>N/A</v>
      </c>
    </row>
    <row r="84" spans="1:16" x14ac:dyDescent="0.25">
      <c r="A84" s="2" t="s">
        <v>321</v>
      </c>
      <c r="B84" s="4">
        <v>46260.978472222225</v>
      </c>
      <c r="C84" s="2" t="s">
        <v>67</v>
      </c>
      <c r="D84" s="2" t="s">
        <v>68</v>
      </c>
      <c r="E84" s="2" t="s">
        <v>18</v>
      </c>
      <c r="F84" s="2" t="s">
        <v>113</v>
      </c>
      <c r="G84" s="2" t="s">
        <v>211</v>
      </c>
      <c r="H84" s="2" t="s">
        <v>32</v>
      </c>
      <c r="I84" s="2">
        <v>48</v>
      </c>
      <c r="J84" s="2" t="s">
        <v>149</v>
      </c>
      <c r="K84" s="4" t="s">
        <v>8590</v>
      </c>
      <c r="L84" s="2" t="s">
        <v>24</v>
      </c>
      <c r="M84" s="2"/>
      <c r="N84" t="s">
        <v>8589</v>
      </c>
      <c r="O84" s="8" t="str">
        <f t="shared" si="2"/>
        <v/>
      </c>
      <c r="P84" t="str">
        <f t="shared" si="3"/>
        <v>N/A</v>
      </c>
    </row>
    <row r="85" spans="1:16" x14ac:dyDescent="0.25">
      <c r="A85" s="2" t="s">
        <v>323</v>
      </c>
      <c r="B85" s="4">
        <v>46163.737500000003</v>
      </c>
      <c r="C85" s="2" t="s">
        <v>53</v>
      </c>
      <c r="D85" s="2" t="s">
        <v>61</v>
      </c>
      <c r="E85" s="2" t="s">
        <v>38</v>
      </c>
      <c r="F85" s="2" t="s">
        <v>96</v>
      </c>
      <c r="G85" s="2" t="s">
        <v>183</v>
      </c>
      <c r="H85" s="2" t="s">
        <v>21</v>
      </c>
      <c r="I85" s="2">
        <v>24</v>
      </c>
      <c r="J85" s="2" t="s">
        <v>8580</v>
      </c>
      <c r="K85" s="4">
        <v>46164.464583333334</v>
      </c>
      <c r="L85" s="2" t="s">
        <v>24</v>
      </c>
      <c r="M85" s="2"/>
      <c r="N85" t="s">
        <v>8589</v>
      </c>
      <c r="O85" s="8">
        <f t="shared" si="2"/>
        <v>17.449999999953434</v>
      </c>
      <c r="P85" t="str">
        <f t="shared" si="3"/>
        <v>N/A</v>
      </c>
    </row>
    <row r="86" spans="1:16" x14ac:dyDescent="0.25">
      <c r="A86" s="2" t="s">
        <v>326</v>
      </c>
      <c r="B86" s="4">
        <v>46153.192361111112</v>
      </c>
      <c r="C86" s="2" t="s">
        <v>53</v>
      </c>
      <c r="D86" s="2" t="s">
        <v>54</v>
      </c>
      <c r="E86" s="2" t="s">
        <v>85</v>
      </c>
      <c r="F86" s="2" t="s">
        <v>96</v>
      </c>
      <c r="G86" s="2" t="s">
        <v>31</v>
      </c>
      <c r="H86" s="2" t="s">
        <v>32</v>
      </c>
      <c r="I86" s="2">
        <v>48</v>
      </c>
      <c r="J86" s="2" t="s">
        <v>75</v>
      </c>
      <c r="K86" s="4">
        <v>46154.518750000003</v>
      </c>
      <c r="L86" s="2" t="s">
        <v>24</v>
      </c>
      <c r="M86" s="2">
        <v>4</v>
      </c>
      <c r="N86" t="s">
        <v>8588</v>
      </c>
      <c r="O86" s="8">
        <f t="shared" si="2"/>
        <v>31.833333333372138</v>
      </c>
      <c r="P86" t="str">
        <f t="shared" si="3"/>
        <v>N/A</v>
      </c>
    </row>
    <row r="87" spans="1:16" x14ac:dyDescent="0.25">
      <c r="A87" s="2" t="s">
        <v>329</v>
      </c>
      <c r="B87" s="4">
        <v>46053.941666666666</v>
      </c>
      <c r="C87" s="2" t="s">
        <v>16</v>
      </c>
      <c r="D87" s="2" t="s">
        <v>84</v>
      </c>
      <c r="E87" s="2" t="s">
        <v>79</v>
      </c>
      <c r="F87" s="2" t="s">
        <v>113</v>
      </c>
      <c r="G87" s="2" t="s">
        <v>31</v>
      </c>
      <c r="H87" s="2" t="s">
        <v>80</v>
      </c>
      <c r="I87" s="2">
        <v>4</v>
      </c>
      <c r="J87" s="2" t="s">
        <v>106</v>
      </c>
      <c r="K87" s="4">
        <v>46054.245138888888</v>
      </c>
      <c r="L87" s="2" t="s">
        <v>24</v>
      </c>
      <c r="M87" s="2">
        <v>1</v>
      </c>
      <c r="N87" t="s">
        <v>8584</v>
      </c>
      <c r="O87" s="8">
        <f t="shared" si="2"/>
        <v>7.2833333333255723</v>
      </c>
      <c r="P87" t="str">
        <f t="shared" si="3"/>
        <v>No</v>
      </c>
    </row>
    <row r="88" spans="1:16" x14ac:dyDescent="0.25">
      <c r="A88" s="2" t="s">
        <v>332</v>
      </c>
      <c r="B88" s="4">
        <v>46179.207638888889</v>
      </c>
      <c r="C88" s="2" t="s">
        <v>16</v>
      </c>
      <c r="D88" s="2" t="s">
        <v>17</v>
      </c>
      <c r="E88" s="2" t="s">
        <v>79</v>
      </c>
      <c r="F88" s="2" t="s">
        <v>113</v>
      </c>
      <c r="G88" s="2" t="s">
        <v>31</v>
      </c>
      <c r="H88" s="2" t="s">
        <v>80</v>
      </c>
      <c r="I88" s="2">
        <v>4</v>
      </c>
      <c r="J88" s="2" t="s">
        <v>287</v>
      </c>
      <c r="K88" s="4" t="s">
        <v>8590</v>
      </c>
      <c r="L88" s="2" t="s">
        <v>24</v>
      </c>
      <c r="M88" s="2"/>
      <c r="N88" t="s">
        <v>8587</v>
      </c>
      <c r="O88" s="8" t="str">
        <f t="shared" si="2"/>
        <v/>
      </c>
      <c r="P88" t="str">
        <f t="shared" si="3"/>
        <v>N/A</v>
      </c>
    </row>
    <row r="89" spans="1:16" x14ac:dyDescent="0.25">
      <c r="A89" s="2" t="s">
        <v>334</v>
      </c>
      <c r="B89" s="4">
        <v>46201.573611111111</v>
      </c>
      <c r="C89" s="2" t="s">
        <v>28</v>
      </c>
      <c r="D89" s="2" t="s">
        <v>100</v>
      </c>
      <c r="E89" s="2" t="s">
        <v>79</v>
      </c>
      <c r="F89" s="2" t="s">
        <v>30</v>
      </c>
      <c r="G89" s="2" t="s">
        <v>110</v>
      </c>
      <c r="H89" s="2" t="s">
        <v>21</v>
      </c>
      <c r="I89" s="2">
        <v>24</v>
      </c>
      <c r="J89" s="2" t="s">
        <v>287</v>
      </c>
      <c r="K89" s="4" t="s">
        <v>8590</v>
      </c>
      <c r="L89" s="2" t="s">
        <v>24</v>
      </c>
      <c r="M89" s="2"/>
      <c r="N89" t="s">
        <v>8589</v>
      </c>
      <c r="O89" s="8" t="str">
        <f t="shared" si="2"/>
        <v/>
      </c>
      <c r="P89" t="str">
        <f t="shared" si="3"/>
        <v>N/A</v>
      </c>
    </row>
    <row r="90" spans="1:16" x14ac:dyDescent="0.25">
      <c r="A90" s="2" t="s">
        <v>336</v>
      </c>
      <c r="B90" s="4">
        <v>46074.502083333333</v>
      </c>
      <c r="C90" s="2" t="s">
        <v>16</v>
      </c>
      <c r="D90" s="2" t="s">
        <v>84</v>
      </c>
      <c r="E90" s="2" t="s">
        <v>90</v>
      </c>
      <c r="F90" s="2" t="s">
        <v>55</v>
      </c>
      <c r="G90" s="2" t="s">
        <v>179</v>
      </c>
      <c r="H90" s="2" t="s">
        <v>74</v>
      </c>
      <c r="I90" s="2">
        <v>8</v>
      </c>
      <c r="J90" s="2" t="s">
        <v>75</v>
      </c>
      <c r="K90" s="4">
        <v>46074.679861111108</v>
      </c>
      <c r="L90" s="2" t="s">
        <v>24</v>
      </c>
      <c r="M90" s="2"/>
      <c r="N90" t="s">
        <v>8589</v>
      </c>
      <c r="O90" s="8">
        <f t="shared" si="2"/>
        <v>4.2666666666045785</v>
      </c>
      <c r="P90" t="str">
        <f t="shared" si="3"/>
        <v>N/A</v>
      </c>
    </row>
    <row r="91" spans="1:16" x14ac:dyDescent="0.25">
      <c r="A91" s="2" t="s">
        <v>339</v>
      </c>
      <c r="B91" s="4">
        <v>46055.913888888892</v>
      </c>
      <c r="C91" s="2" t="s">
        <v>28</v>
      </c>
      <c r="D91" s="2" t="s">
        <v>100</v>
      </c>
      <c r="E91" s="2" t="s">
        <v>90</v>
      </c>
      <c r="F91" s="2" t="s">
        <v>55</v>
      </c>
      <c r="G91" s="2" t="s">
        <v>183</v>
      </c>
      <c r="H91" s="2" t="s">
        <v>32</v>
      </c>
      <c r="I91" s="2">
        <v>48</v>
      </c>
      <c r="J91" s="2" t="s">
        <v>149</v>
      </c>
      <c r="K91" s="4" t="s">
        <v>8590</v>
      </c>
      <c r="L91" s="2" t="s">
        <v>24</v>
      </c>
      <c r="M91" s="2"/>
      <c r="N91" t="s">
        <v>8586</v>
      </c>
      <c r="O91" s="8" t="str">
        <f t="shared" si="2"/>
        <v/>
      </c>
      <c r="P91" t="str">
        <f t="shared" si="3"/>
        <v>N/A</v>
      </c>
    </row>
    <row r="92" spans="1:16" x14ac:dyDescent="0.25">
      <c r="A92" s="2" t="s">
        <v>341</v>
      </c>
      <c r="B92" s="4">
        <v>46101.427777777775</v>
      </c>
      <c r="C92" s="2" t="s">
        <v>53</v>
      </c>
      <c r="D92" s="2" t="s">
        <v>54</v>
      </c>
      <c r="E92" s="2" t="s">
        <v>38</v>
      </c>
      <c r="F92" s="2" t="s">
        <v>113</v>
      </c>
      <c r="G92" s="2" t="s">
        <v>101</v>
      </c>
      <c r="H92" s="2" t="s">
        <v>21</v>
      </c>
      <c r="I92" s="2">
        <v>24</v>
      </c>
      <c r="J92" s="2" t="s">
        <v>106</v>
      </c>
      <c r="K92" s="4">
        <v>46102.271527777775</v>
      </c>
      <c r="L92" s="2" t="s">
        <v>24</v>
      </c>
      <c r="M92" s="2">
        <v>5</v>
      </c>
      <c r="N92" t="s">
        <v>8588</v>
      </c>
      <c r="O92" s="8">
        <f t="shared" si="2"/>
        <v>20.25</v>
      </c>
      <c r="P92" t="str">
        <f t="shared" si="3"/>
        <v>Yes</v>
      </c>
    </row>
    <row r="93" spans="1:16" x14ac:dyDescent="0.25">
      <c r="A93" s="2" t="s">
        <v>344</v>
      </c>
      <c r="B93" s="4">
        <v>46087.70208333333</v>
      </c>
      <c r="C93" s="2" t="s">
        <v>53</v>
      </c>
      <c r="D93" s="2" t="s">
        <v>54</v>
      </c>
      <c r="E93" s="2" t="s">
        <v>18</v>
      </c>
      <c r="F93" s="2" t="s">
        <v>30</v>
      </c>
      <c r="G93" s="2" t="s">
        <v>110</v>
      </c>
      <c r="H93" s="2" t="s">
        <v>32</v>
      </c>
      <c r="I93" s="2">
        <v>48</v>
      </c>
      <c r="J93" s="2" t="s">
        <v>75</v>
      </c>
      <c r="K93" s="4">
        <v>46093.39166666667</v>
      </c>
      <c r="L93" s="2" t="s">
        <v>24</v>
      </c>
      <c r="M93" s="2">
        <v>4</v>
      </c>
      <c r="N93" t="s">
        <v>8581</v>
      </c>
      <c r="O93" s="8">
        <f t="shared" si="2"/>
        <v>136.55000000016298</v>
      </c>
      <c r="P93" t="str">
        <f t="shared" si="3"/>
        <v>N/A</v>
      </c>
    </row>
    <row r="94" spans="1:16" x14ac:dyDescent="0.25">
      <c r="A94" s="2" t="s">
        <v>347</v>
      </c>
      <c r="B94" s="4">
        <v>46169.109722222223</v>
      </c>
      <c r="C94" s="2" t="s">
        <v>16</v>
      </c>
      <c r="D94" s="2" t="s">
        <v>17</v>
      </c>
      <c r="E94" s="2" t="s">
        <v>90</v>
      </c>
      <c r="F94" s="2" t="s">
        <v>113</v>
      </c>
      <c r="G94" s="2" t="s">
        <v>211</v>
      </c>
      <c r="H94" s="2" t="s">
        <v>74</v>
      </c>
      <c r="I94" s="2">
        <v>8</v>
      </c>
      <c r="J94" s="2" t="s">
        <v>106</v>
      </c>
      <c r="K94" s="4">
        <v>46169.228472222225</v>
      </c>
      <c r="L94" s="2" t="s">
        <v>24</v>
      </c>
      <c r="M94" s="2">
        <v>3</v>
      </c>
      <c r="N94" t="s">
        <v>8581</v>
      </c>
      <c r="O94" s="8">
        <f t="shared" si="2"/>
        <v>2.8500000000349246</v>
      </c>
      <c r="P94" t="str">
        <f t="shared" si="3"/>
        <v>Yes</v>
      </c>
    </row>
    <row r="95" spans="1:16" x14ac:dyDescent="0.25">
      <c r="A95" s="2" t="s">
        <v>350</v>
      </c>
      <c r="B95" s="4">
        <v>46182.676388888889</v>
      </c>
      <c r="C95" s="2" t="s">
        <v>28</v>
      </c>
      <c r="D95" s="2" t="s">
        <v>100</v>
      </c>
      <c r="E95" s="2" t="s">
        <v>38</v>
      </c>
      <c r="F95" s="2" t="s">
        <v>55</v>
      </c>
      <c r="G95" s="2" t="s">
        <v>211</v>
      </c>
      <c r="H95" s="2" t="s">
        <v>74</v>
      </c>
      <c r="I95" s="2">
        <v>8</v>
      </c>
      <c r="J95" s="2" t="s">
        <v>106</v>
      </c>
      <c r="K95" s="4">
        <v>46182.964583333334</v>
      </c>
      <c r="L95" s="2" t="s">
        <v>24</v>
      </c>
      <c r="M95" s="2">
        <v>4</v>
      </c>
      <c r="N95" t="s">
        <v>8581</v>
      </c>
      <c r="O95" s="8">
        <f t="shared" si="2"/>
        <v>6.9166666666860692</v>
      </c>
      <c r="P95" t="str">
        <f t="shared" si="3"/>
        <v>Yes</v>
      </c>
    </row>
    <row r="96" spans="1:16" x14ac:dyDescent="0.25">
      <c r="A96" s="2" t="s">
        <v>353</v>
      </c>
      <c r="B96" s="4">
        <v>46066.421527777777</v>
      </c>
      <c r="C96" s="2" t="s">
        <v>16</v>
      </c>
      <c r="D96" s="2" t="s">
        <v>84</v>
      </c>
      <c r="E96" s="2" t="s">
        <v>46</v>
      </c>
      <c r="F96" s="2" t="s">
        <v>113</v>
      </c>
      <c r="G96" s="2" t="s">
        <v>211</v>
      </c>
      <c r="H96" s="2" t="s">
        <v>74</v>
      </c>
      <c r="I96" s="2">
        <v>8</v>
      </c>
      <c r="J96" s="2" t="s">
        <v>75</v>
      </c>
      <c r="K96" s="4">
        <v>46066.576388888891</v>
      </c>
      <c r="L96" s="2" t="s">
        <v>24</v>
      </c>
      <c r="M96" s="2">
        <v>2</v>
      </c>
      <c r="N96" t="s">
        <v>8585</v>
      </c>
      <c r="O96" s="8">
        <f t="shared" si="2"/>
        <v>3.7166666667326353</v>
      </c>
      <c r="P96" t="str">
        <f t="shared" si="3"/>
        <v>N/A</v>
      </c>
    </row>
    <row r="97" spans="1:16" x14ac:dyDescent="0.25">
      <c r="A97" s="2" t="s">
        <v>356</v>
      </c>
      <c r="B97" s="4">
        <v>46068.743055555555</v>
      </c>
      <c r="C97" s="2" t="s">
        <v>16</v>
      </c>
      <c r="D97" s="2" t="s">
        <v>84</v>
      </c>
      <c r="E97" s="2" t="s">
        <v>148</v>
      </c>
      <c r="F97" s="2" t="s">
        <v>55</v>
      </c>
      <c r="G97" s="2" t="s">
        <v>179</v>
      </c>
      <c r="H97" s="2" t="s">
        <v>21</v>
      </c>
      <c r="I97" s="2">
        <v>24</v>
      </c>
      <c r="J97" s="2" t="s">
        <v>106</v>
      </c>
      <c r="K97" s="4">
        <v>46070.290277777778</v>
      </c>
      <c r="L97" s="2" t="s">
        <v>24</v>
      </c>
      <c r="M97" s="2"/>
      <c r="N97" t="s">
        <v>8589</v>
      </c>
      <c r="O97" s="8">
        <f t="shared" si="2"/>
        <v>37.133333333360497</v>
      </c>
      <c r="P97" t="str">
        <f t="shared" si="3"/>
        <v>No</v>
      </c>
    </row>
    <row r="98" spans="1:16" x14ac:dyDescent="0.25">
      <c r="A98" s="2" t="s">
        <v>359</v>
      </c>
      <c r="B98" s="4">
        <v>46044.65902777778</v>
      </c>
      <c r="C98" s="2" t="s">
        <v>16</v>
      </c>
      <c r="D98" s="2" t="s">
        <v>17</v>
      </c>
      <c r="E98" s="2" t="s">
        <v>38</v>
      </c>
      <c r="F98" s="2" t="s">
        <v>96</v>
      </c>
      <c r="G98" s="2" t="s">
        <v>101</v>
      </c>
      <c r="H98" s="2" t="s">
        <v>21</v>
      </c>
      <c r="I98" s="2">
        <v>24</v>
      </c>
      <c r="J98" s="2" t="s">
        <v>106</v>
      </c>
      <c r="K98" s="4" t="s">
        <v>8590</v>
      </c>
      <c r="L98" s="2" t="s">
        <v>24</v>
      </c>
      <c r="M98" s="2"/>
      <c r="N98" t="s">
        <v>8582</v>
      </c>
      <c r="O98" s="8" t="str">
        <f t="shared" si="2"/>
        <v/>
      </c>
      <c r="P98" t="str">
        <f t="shared" si="3"/>
        <v>No</v>
      </c>
    </row>
    <row r="99" spans="1:16" x14ac:dyDescent="0.25">
      <c r="A99" s="2" t="s">
        <v>361</v>
      </c>
      <c r="B99" s="4">
        <v>46247.043749999997</v>
      </c>
      <c r="C99" s="2" t="s">
        <v>28</v>
      </c>
      <c r="D99" s="2" t="s">
        <v>37</v>
      </c>
      <c r="E99" s="2" t="s">
        <v>148</v>
      </c>
      <c r="F99" s="2" t="s">
        <v>30</v>
      </c>
      <c r="G99" s="2" t="s">
        <v>31</v>
      </c>
      <c r="H99" s="2" t="s">
        <v>32</v>
      </c>
      <c r="I99" s="2">
        <v>48</v>
      </c>
      <c r="J99" s="2" t="s">
        <v>11</v>
      </c>
      <c r="K99" s="4" t="s">
        <v>8590</v>
      </c>
      <c r="L99" s="2" t="s">
        <v>92</v>
      </c>
      <c r="M99" s="2"/>
      <c r="N99" t="s">
        <v>8589</v>
      </c>
      <c r="O99" s="8" t="str">
        <f t="shared" si="2"/>
        <v/>
      </c>
      <c r="P99" t="str">
        <f t="shared" si="3"/>
        <v>N/A</v>
      </c>
    </row>
    <row r="100" spans="1:16" x14ac:dyDescent="0.25">
      <c r="A100" s="2" t="s">
        <v>363</v>
      </c>
      <c r="B100" s="4">
        <v>46185.931250000001</v>
      </c>
      <c r="C100" s="2" t="s">
        <v>53</v>
      </c>
      <c r="D100" s="2" t="s">
        <v>61</v>
      </c>
      <c r="E100" s="2" t="s">
        <v>90</v>
      </c>
      <c r="F100" s="2" t="s">
        <v>30</v>
      </c>
      <c r="G100" s="2" t="s">
        <v>31</v>
      </c>
      <c r="H100" s="2" t="s">
        <v>74</v>
      </c>
      <c r="I100" s="2">
        <v>8</v>
      </c>
      <c r="J100" s="2" t="s">
        <v>75</v>
      </c>
      <c r="K100" s="4">
        <v>46186.731944444444</v>
      </c>
      <c r="L100" s="2" t="s">
        <v>24</v>
      </c>
      <c r="M100" s="2">
        <v>2</v>
      </c>
      <c r="N100" t="s">
        <v>8589</v>
      </c>
      <c r="O100" s="8">
        <f t="shared" si="2"/>
        <v>19.21666666661622</v>
      </c>
      <c r="P100" t="str">
        <f t="shared" si="3"/>
        <v>N/A</v>
      </c>
    </row>
    <row r="101" spans="1:16" x14ac:dyDescent="0.25">
      <c r="A101" s="2" t="s">
        <v>366</v>
      </c>
      <c r="B101" s="4">
        <v>46047.592361111114</v>
      </c>
      <c r="C101" s="2" t="s">
        <v>16</v>
      </c>
      <c r="D101" s="2" t="s">
        <v>84</v>
      </c>
      <c r="E101" s="2" t="s">
        <v>46</v>
      </c>
      <c r="F101" s="2" t="s">
        <v>113</v>
      </c>
      <c r="G101" s="2" t="s">
        <v>101</v>
      </c>
      <c r="H101" s="2" t="s">
        <v>74</v>
      </c>
      <c r="I101" s="2">
        <v>8</v>
      </c>
      <c r="J101" s="2" t="s">
        <v>8580</v>
      </c>
      <c r="K101" s="4">
        <v>46047.73333333333</v>
      </c>
      <c r="L101" s="2" t="s">
        <v>24</v>
      </c>
      <c r="M101" s="2"/>
      <c r="N101" t="s">
        <v>8584</v>
      </c>
      <c r="O101" s="8">
        <f t="shared" si="2"/>
        <v>3.3833333331858739</v>
      </c>
      <c r="P101" t="str">
        <f t="shared" si="3"/>
        <v>N/A</v>
      </c>
    </row>
    <row r="102" spans="1:16" x14ac:dyDescent="0.25">
      <c r="A102" s="2" t="s">
        <v>369</v>
      </c>
      <c r="B102" s="4">
        <v>46128.67083333333</v>
      </c>
      <c r="C102" s="2" t="s">
        <v>28</v>
      </c>
      <c r="D102" s="2" t="s">
        <v>37</v>
      </c>
      <c r="E102" s="2" t="s">
        <v>18</v>
      </c>
      <c r="F102" s="2" t="s">
        <v>30</v>
      </c>
      <c r="G102" s="2" t="s">
        <v>101</v>
      </c>
      <c r="H102" s="2" t="s">
        <v>21</v>
      </c>
      <c r="I102" s="2">
        <v>24</v>
      </c>
      <c r="J102" s="2" t="s">
        <v>149</v>
      </c>
      <c r="K102" s="4" t="s">
        <v>8590</v>
      </c>
      <c r="L102" s="2" t="s">
        <v>24</v>
      </c>
      <c r="M102" s="2"/>
      <c r="N102" t="s">
        <v>8589</v>
      </c>
      <c r="O102" s="8" t="str">
        <f t="shared" si="2"/>
        <v/>
      </c>
      <c r="P102" t="str">
        <f t="shared" si="3"/>
        <v>N/A</v>
      </c>
    </row>
    <row r="103" spans="1:16" x14ac:dyDescent="0.25">
      <c r="A103" s="2" t="s">
        <v>371</v>
      </c>
      <c r="B103" s="4">
        <v>46104.23333333333</v>
      </c>
      <c r="C103" s="2" t="s">
        <v>67</v>
      </c>
      <c r="D103" s="2" t="s">
        <v>68</v>
      </c>
      <c r="E103" s="2" t="s">
        <v>38</v>
      </c>
      <c r="F103" s="2" t="s">
        <v>30</v>
      </c>
      <c r="G103" s="2" t="s">
        <v>211</v>
      </c>
      <c r="H103" s="2" t="s">
        <v>80</v>
      </c>
      <c r="I103" s="2">
        <v>4</v>
      </c>
      <c r="J103" s="2" t="s">
        <v>106</v>
      </c>
      <c r="K103" s="4">
        <v>46104.275694444441</v>
      </c>
      <c r="L103" s="2" t="s">
        <v>24</v>
      </c>
      <c r="M103" s="2"/>
      <c r="N103" t="s">
        <v>8582</v>
      </c>
      <c r="O103" s="8">
        <f t="shared" si="2"/>
        <v>1.0166666666627862</v>
      </c>
      <c r="P103" t="str">
        <f t="shared" si="3"/>
        <v>Yes</v>
      </c>
    </row>
    <row r="104" spans="1:16" x14ac:dyDescent="0.25">
      <c r="A104" s="2" t="s">
        <v>374</v>
      </c>
      <c r="B104" s="4">
        <v>46139.543055555558</v>
      </c>
      <c r="C104" s="2" t="s">
        <v>28</v>
      </c>
      <c r="D104" s="2" t="s">
        <v>100</v>
      </c>
      <c r="E104" s="2" t="s">
        <v>38</v>
      </c>
      <c r="F104" s="2" t="s">
        <v>55</v>
      </c>
      <c r="G104" s="2" t="s">
        <v>31</v>
      </c>
      <c r="H104" s="2" t="s">
        <v>32</v>
      </c>
      <c r="I104" s="2">
        <v>48</v>
      </c>
      <c r="J104" s="2" t="s">
        <v>11</v>
      </c>
      <c r="K104" s="4" t="s">
        <v>8590</v>
      </c>
      <c r="L104" s="2" t="s">
        <v>92</v>
      </c>
      <c r="M104" s="2"/>
      <c r="N104" t="s">
        <v>8589</v>
      </c>
      <c r="O104" s="8" t="str">
        <f t="shared" si="2"/>
        <v/>
      </c>
      <c r="P104" t="str">
        <f t="shared" si="3"/>
        <v>N/A</v>
      </c>
    </row>
    <row r="105" spans="1:16" x14ac:dyDescent="0.25">
      <c r="A105" s="2" t="s">
        <v>376</v>
      </c>
      <c r="B105" s="4">
        <v>46081.800694444442</v>
      </c>
      <c r="C105" s="2" t="s">
        <v>67</v>
      </c>
      <c r="D105" s="2" t="s">
        <v>95</v>
      </c>
      <c r="E105" s="2" t="s">
        <v>18</v>
      </c>
      <c r="F105" s="2" t="s">
        <v>30</v>
      </c>
      <c r="G105" s="2" t="s">
        <v>211</v>
      </c>
      <c r="H105" s="2" t="s">
        <v>32</v>
      </c>
      <c r="I105" s="2">
        <v>48</v>
      </c>
      <c r="J105" s="2" t="s">
        <v>287</v>
      </c>
      <c r="K105" s="4" t="s">
        <v>8590</v>
      </c>
      <c r="L105" s="2" t="s">
        <v>24</v>
      </c>
      <c r="M105" s="2"/>
      <c r="N105" t="s">
        <v>8581</v>
      </c>
      <c r="O105" s="8" t="str">
        <f t="shared" si="2"/>
        <v/>
      </c>
      <c r="P105" t="str">
        <f t="shared" si="3"/>
        <v>N/A</v>
      </c>
    </row>
    <row r="106" spans="1:16" x14ac:dyDescent="0.25">
      <c r="A106" s="2" t="s">
        <v>378</v>
      </c>
      <c r="B106" s="4">
        <v>46165.50277777778</v>
      </c>
      <c r="C106" s="2" t="s">
        <v>53</v>
      </c>
      <c r="D106" s="2" t="s">
        <v>61</v>
      </c>
      <c r="E106" s="2" t="s">
        <v>18</v>
      </c>
      <c r="F106" s="2" t="s">
        <v>30</v>
      </c>
      <c r="G106" s="2" t="s">
        <v>110</v>
      </c>
      <c r="H106" s="2" t="s">
        <v>74</v>
      </c>
      <c r="I106" s="2">
        <v>8</v>
      </c>
      <c r="J106" s="2" t="s">
        <v>287</v>
      </c>
      <c r="K106" s="4" t="s">
        <v>8590</v>
      </c>
      <c r="L106" s="2" t="s">
        <v>24</v>
      </c>
      <c r="M106" s="2"/>
      <c r="N106" t="s">
        <v>8585</v>
      </c>
      <c r="O106" s="8" t="str">
        <f t="shared" si="2"/>
        <v/>
      </c>
      <c r="P106" t="str">
        <f t="shared" si="3"/>
        <v>N/A</v>
      </c>
    </row>
    <row r="107" spans="1:16" x14ac:dyDescent="0.25">
      <c r="A107" s="2" t="s">
        <v>380</v>
      </c>
      <c r="B107" s="4">
        <v>46131.53402777778</v>
      </c>
      <c r="C107" s="2" t="s">
        <v>67</v>
      </c>
      <c r="D107" s="2" t="s">
        <v>95</v>
      </c>
      <c r="E107" s="2" t="s">
        <v>148</v>
      </c>
      <c r="F107" s="2" t="s">
        <v>30</v>
      </c>
      <c r="G107" s="2" t="s">
        <v>101</v>
      </c>
      <c r="H107" s="2" t="s">
        <v>21</v>
      </c>
      <c r="I107" s="2">
        <v>24</v>
      </c>
      <c r="J107" s="2" t="s">
        <v>11</v>
      </c>
      <c r="K107" s="4" t="s">
        <v>8590</v>
      </c>
      <c r="L107" s="2" t="s">
        <v>92</v>
      </c>
      <c r="M107" s="2"/>
      <c r="N107" t="s">
        <v>8584</v>
      </c>
      <c r="O107" s="8" t="str">
        <f t="shared" si="2"/>
        <v/>
      </c>
      <c r="P107" t="str">
        <f t="shared" si="3"/>
        <v>N/A</v>
      </c>
    </row>
    <row r="108" spans="1:16" x14ac:dyDescent="0.25">
      <c r="A108" s="2" t="s">
        <v>382</v>
      </c>
      <c r="B108" s="4">
        <v>46264.047222222223</v>
      </c>
      <c r="C108" s="2" t="s">
        <v>53</v>
      </c>
      <c r="D108" s="2" t="s">
        <v>54</v>
      </c>
      <c r="E108" s="2" t="s">
        <v>85</v>
      </c>
      <c r="F108" s="2" t="s">
        <v>55</v>
      </c>
      <c r="G108" s="2" t="s">
        <v>211</v>
      </c>
      <c r="H108" s="2" t="s">
        <v>21</v>
      </c>
      <c r="I108" s="2">
        <v>24</v>
      </c>
      <c r="J108" s="2" t="s">
        <v>75</v>
      </c>
      <c r="K108" s="4">
        <v>46264.160416666666</v>
      </c>
      <c r="L108" s="2" t="s">
        <v>24</v>
      </c>
      <c r="M108" s="2">
        <v>2</v>
      </c>
      <c r="N108" t="s">
        <v>8589</v>
      </c>
      <c r="O108" s="8">
        <f t="shared" si="2"/>
        <v>2.71666666661622</v>
      </c>
      <c r="P108" t="str">
        <f t="shared" si="3"/>
        <v>N/A</v>
      </c>
    </row>
    <row r="109" spans="1:16" x14ac:dyDescent="0.25">
      <c r="A109" s="2" t="s">
        <v>385</v>
      </c>
      <c r="B109" s="4">
        <v>46258.300694444442</v>
      </c>
      <c r="C109" s="2" t="s">
        <v>53</v>
      </c>
      <c r="D109" s="2" t="s">
        <v>54</v>
      </c>
      <c r="E109" s="2" t="s">
        <v>148</v>
      </c>
      <c r="F109" s="2" t="s">
        <v>30</v>
      </c>
      <c r="G109" s="2" t="s">
        <v>31</v>
      </c>
      <c r="H109" s="2" t="s">
        <v>74</v>
      </c>
      <c r="I109" s="2">
        <v>8</v>
      </c>
      <c r="J109" s="2" t="s">
        <v>11</v>
      </c>
      <c r="K109" s="4" t="s">
        <v>8590</v>
      </c>
      <c r="L109" s="2" t="s">
        <v>92</v>
      </c>
      <c r="M109" s="2"/>
      <c r="N109" t="s">
        <v>8585</v>
      </c>
      <c r="O109" s="8" t="str">
        <f t="shared" si="2"/>
        <v/>
      </c>
      <c r="P109" t="str">
        <f t="shared" si="3"/>
        <v>N/A</v>
      </c>
    </row>
    <row r="110" spans="1:16" x14ac:dyDescent="0.25">
      <c r="A110" s="2" t="s">
        <v>387</v>
      </c>
      <c r="B110" s="4">
        <v>46114.255555555559</v>
      </c>
      <c r="C110" s="2" t="s">
        <v>28</v>
      </c>
      <c r="D110" s="2" t="s">
        <v>37</v>
      </c>
      <c r="E110" s="2" t="s">
        <v>38</v>
      </c>
      <c r="F110" s="2" t="s">
        <v>96</v>
      </c>
      <c r="G110" s="2" t="s">
        <v>110</v>
      </c>
      <c r="H110" s="2" t="s">
        <v>32</v>
      </c>
      <c r="I110" s="2">
        <v>48</v>
      </c>
      <c r="J110" s="2" t="s">
        <v>11</v>
      </c>
      <c r="K110" s="4" t="s">
        <v>8590</v>
      </c>
      <c r="L110" s="2" t="s">
        <v>92</v>
      </c>
      <c r="M110" s="2"/>
      <c r="N110" t="s">
        <v>8587</v>
      </c>
      <c r="O110" s="8" t="str">
        <f t="shared" si="2"/>
        <v/>
      </c>
      <c r="P110" t="str">
        <f t="shared" si="3"/>
        <v>N/A</v>
      </c>
    </row>
    <row r="111" spans="1:16" x14ac:dyDescent="0.25">
      <c r="A111" s="2" t="s">
        <v>389</v>
      </c>
      <c r="B111" s="4">
        <v>46126.708333333336</v>
      </c>
      <c r="C111" s="2" t="s">
        <v>67</v>
      </c>
      <c r="D111" s="2" t="s">
        <v>68</v>
      </c>
      <c r="E111" s="2" t="s">
        <v>148</v>
      </c>
      <c r="F111" s="2" t="s">
        <v>30</v>
      </c>
      <c r="G111" s="2" t="s">
        <v>179</v>
      </c>
      <c r="H111" s="2" t="s">
        <v>21</v>
      </c>
      <c r="I111" s="2">
        <v>24</v>
      </c>
      <c r="J111" s="2" t="s">
        <v>8580</v>
      </c>
      <c r="K111" s="4">
        <v>46127.506944444445</v>
      </c>
      <c r="L111" s="2" t="s">
        <v>92</v>
      </c>
      <c r="M111" s="2"/>
      <c r="N111" t="s">
        <v>8588</v>
      </c>
      <c r="O111" s="8">
        <f t="shared" si="2"/>
        <v>19.166666666627862</v>
      </c>
      <c r="P111" t="str">
        <f t="shared" si="3"/>
        <v>N/A</v>
      </c>
    </row>
    <row r="112" spans="1:16" x14ac:dyDescent="0.25">
      <c r="A112" s="2" t="s">
        <v>392</v>
      </c>
      <c r="B112" s="4">
        <v>46171.540972222225</v>
      </c>
      <c r="C112" s="2" t="s">
        <v>16</v>
      </c>
      <c r="D112" s="2" t="s">
        <v>84</v>
      </c>
      <c r="E112" s="2" t="s">
        <v>18</v>
      </c>
      <c r="F112" s="2" t="s">
        <v>113</v>
      </c>
      <c r="G112" s="2" t="s">
        <v>101</v>
      </c>
      <c r="H112" s="2" t="s">
        <v>74</v>
      </c>
      <c r="I112" s="2">
        <v>8</v>
      </c>
      <c r="J112" s="2" t="s">
        <v>106</v>
      </c>
      <c r="K112" s="4">
        <v>46171.769444444442</v>
      </c>
      <c r="L112" s="2" t="s">
        <v>24</v>
      </c>
      <c r="M112" s="2"/>
      <c r="N112" t="s">
        <v>8585</v>
      </c>
      <c r="O112" s="8">
        <f t="shared" si="2"/>
        <v>5.4833333332207985</v>
      </c>
      <c r="P112" t="str">
        <f t="shared" si="3"/>
        <v>Yes</v>
      </c>
    </row>
    <row r="113" spans="1:16" x14ac:dyDescent="0.25">
      <c r="A113" s="2" t="s">
        <v>395</v>
      </c>
      <c r="B113" s="4">
        <v>46178.692361111112</v>
      </c>
      <c r="C113" s="2" t="s">
        <v>28</v>
      </c>
      <c r="D113" s="2" t="s">
        <v>100</v>
      </c>
      <c r="E113" s="2" t="s">
        <v>148</v>
      </c>
      <c r="F113" s="2" t="s">
        <v>30</v>
      </c>
      <c r="G113" s="2" t="s">
        <v>31</v>
      </c>
      <c r="H113" s="2" t="s">
        <v>32</v>
      </c>
      <c r="I113" s="2">
        <v>48</v>
      </c>
      <c r="J113" s="2" t="s">
        <v>149</v>
      </c>
      <c r="K113" s="4" t="s">
        <v>8590</v>
      </c>
      <c r="L113" s="2" t="s">
        <v>24</v>
      </c>
      <c r="M113" s="2"/>
      <c r="N113" t="s">
        <v>8589</v>
      </c>
      <c r="O113" s="8" t="str">
        <f t="shared" si="2"/>
        <v/>
      </c>
      <c r="P113" t="str">
        <f t="shared" si="3"/>
        <v>N/A</v>
      </c>
    </row>
    <row r="114" spans="1:16" x14ac:dyDescent="0.25">
      <c r="A114" s="2" t="s">
        <v>397</v>
      </c>
      <c r="B114" s="4">
        <v>46105.325694444444</v>
      </c>
      <c r="C114" s="2" t="s">
        <v>53</v>
      </c>
      <c r="D114" s="2" t="s">
        <v>61</v>
      </c>
      <c r="E114" s="2" t="s">
        <v>18</v>
      </c>
      <c r="F114" s="2" t="s">
        <v>113</v>
      </c>
      <c r="G114" s="2" t="s">
        <v>179</v>
      </c>
      <c r="H114" s="2" t="s">
        <v>32</v>
      </c>
      <c r="I114" s="2">
        <v>48</v>
      </c>
      <c r="J114" s="2" t="s">
        <v>149</v>
      </c>
      <c r="K114" s="4" t="s">
        <v>8590</v>
      </c>
      <c r="L114" s="2" t="s">
        <v>24</v>
      </c>
      <c r="M114" s="2"/>
      <c r="N114" t="s">
        <v>8587</v>
      </c>
      <c r="O114" s="8" t="str">
        <f t="shared" si="2"/>
        <v/>
      </c>
      <c r="P114" t="str">
        <f t="shared" si="3"/>
        <v>N/A</v>
      </c>
    </row>
    <row r="115" spans="1:16" x14ac:dyDescent="0.25">
      <c r="A115" s="2" t="s">
        <v>399</v>
      </c>
      <c r="B115" s="4">
        <v>46226.05972222222</v>
      </c>
      <c r="C115" s="2" t="s">
        <v>67</v>
      </c>
      <c r="D115" s="2" t="s">
        <v>68</v>
      </c>
      <c r="E115" s="2" t="s">
        <v>38</v>
      </c>
      <c r="F115" s="2" t="s">
        <v>55</v>
      </c>
      <c r="G115" s="2" t="s">
        <v>101</v>
      </c>
      <c r="H115" s="2" t="s">
        <v>21</v>
      </c>
      <c r="I115" s="2">
        <v>24</v>
      </c>
      <c r="J115" s="2" t="s">
        <v>106</v>
      </c>
      <c r="K115" s="4">
        <v>46226.632638888892</v>
      </c>
      <c r="L115" s="2" t="s">
        <v>24</v>
      </c>
      <c r="M115" s="2">
        <v>3</v>
      </c>
      <c r="N115" t="s">
        <v>8583</v>
      </c>
      <c r="O115" s="8">
        <f t="shared" si="2"/>
        <v>13.750000000116415</v>
      </c>
      <c r="P115" t="str">
        <f t="shared" si="3"/>
        <v>Yes</v>
      </c>
    </row>
    <row r="116" spans="1:16" x14ac:dyDescent="0.25">
      <c r="A116" s="2" t="s">
        <v>402</v>
      </c>
      <c r="B116" s="4">
        <v>46152.311805555553</v>
      </c>
      <c r="C116" s="2" t="s">
        <v>16</v>
      </c>
      <c r="D116" s="2" t="s">
        <v>84</v>
      </c>
      <c r="E116" s="2" t="s">
        <v>46</v>
      </c>
      <c r="F116" s="2" t="s">
        <v>96</v>
      </c>
      <c r="G116" s="2" t="s">
        <v>211</v>
      </c>
      <c r="H116" s="2" t="s">
        <v>74</v>
      </c>
      <c r="I116" s="2">
        <v>8</v>
      </c>
      <c r="J116" s="2" t="s">
        <v>11</v>
      </c>
      <c r="K116" s="4" t="s">
        <v>8590</v>
      </c>
      <c r="L116" s="2" t="s">
        <v>92</v>
      </c>
      <c r="M116" s="2"/>
      <c r="N116" t="s">
        <v>8582</v>
      </c>
      <c r="O116" s="8" t="str">
        <f t="shared" si="2"/>
        <v/>
      </c>
      <c r="P116" t="str">
        <f t="shared" si="3"/>
        <v>N/A</v>
      </c>
    </row>
    <row r="117" spans="1:16" x14ac:dyDescent="0.25">
      <c r="A117" s="2" t="s">
        <v>404</v>
      </c>
      <c r="B117" s="4">
        <v>46174.48541666667</v>
      </c>
      <c r="C117" s="2" t="s">
        <v>67</v>
      </c>
      <c r="D117" s="2" t="s">
        <v>68</v>
      </c>
      <c r="E117" s="2" t="s">
        <v>90</v>
      </c>
      <c r="F117" s="2" t="s">
        <v>55</v>
      </c>
      <c r="G117" s="2" t="s">
        <v>101</v>
      </c>
      <c r="H117" s="2" t="s">
        <v>32</v>
      </c>
      <c r="I117" s="2">
        <v>48</v>
      </c>
      <c r="J117" s="2" t="s">
        <v>75</v>
      </c>
      <c r="K117" s="4">
        <v>46175.196527777778</v>
      </c>
      <c r="L117" s="2" t="s">
        <v>24</v>
      </c>
      <c r="M117" s="2">
        <v>5</v>
      </c>
      <c r="N117" t="s">
        <v>8581</v>
      </c>
      <c r="O117" s="8">
        <f t="shared" si="2"/>
        <v>17.066666666592937</v>
      </c>
      <c r="P117" t="str">
        <f t="shared" si="3"/>
        <v>N/A</v>
      </c>
    </row>
    <row r="118" spans="1:16" x14ac:dyDescent="0.25">
      <c r="A118" s="2" t="s">
        <v>407</v>
      </c>
      <c r="B118" s="4">
        <v>46246.908333333333</v>
      </c>
      <c r="C118" s="2" t="s">
        <v>67</v>
      </c>
      <c r="D118" s="2" t="s">
        <v>95</v>
      </c>
      <c r="E118" s="2" t="s">
        <v>90</v>
      </c>
      <c r="F118" s="2" t="s">
        <v>113</v>
      </c>
      <c r="G118" s="2" t="s">
        <v>179</v>
      </c>
      <c r="H118" s="2" t="s">
        <v>74</v>
      </c>
      <c r="I118" s="2">
        <v>8</v>
      </c>
      <c r="J118" s="2" t="s">
        <v>75</v>
      </c>
      <c r="K118" s="4">
        <v>46247.490972222222</v>
      </c>
      <c r="L118" s="2" t="s">
        <v>24</v>
      </c>
      <c r="M118" s="2">
        <v>5</v>
      </c>
      <c r="N118" t="s">
        <v>8584</v>
      </c>
      <c r="O118" s="8">
        <f t="shared" si="2"/>
        <v>13.983333333337214</v>
      </c>
      <c r="P118" t="str">
        <f t="shared" si="3"/>
        <v>N/A</v>
      </c>
    </row>
    <row r="119" spans="1:16" x14ac:dyDescent="0.25">
      <c r="A119" s="2" t="s">
        <v>410</v>
      </c>
      <c r="B119" s="4">
        <v>46128.724999999999</v>
      </c>
      <c r="C119" s="2" t="s">
        <v>28</v>
      </c>
      <c r="D119" s="2" t="s">
        <v>100</v>
      </c>
      <c r="E119" s="2" t="s">
        <v>18</v>
      </c>
      <c r="F119" s="2" t="s">
        <v>30</v>
      </c>
      <c r="G119" s="2" t="s">
        <v>31</v>
      </c>
      <c r="H119" s="2" t="s">
        <v>21</v>
      </c>
      <c r="I119" s="2">
        <v>24</v>
      </c>
      <c r="J119" s="2" t="s">
        <v>11</v>
      </c>
      <c r="K119" s="4" t="s">
        <v>8590</v>
      </c>
      <c r="L119" s="2" t="s">
        <v>92</v>
      </c>
      <c r="M119" s="2"/>
      <c r="N119" t="s">
        <v>8581</v>
      </c>
      <c r="O119" s="8" t="str">
        <f t="shared" si="2"/>
        <v/>
      </c>
      <c r="P119" t="str">
        <f t="shared" si="3"/>
        <v>N/A</v>
      </c>
    </row>
    <row r="120" spans="1:16" x14ac:dyDescent="0.25">
      <c r="A120" s="2" t="s">
        <v>412</v>
      </c>
      <c r="B120" s="4">
        <v>46160.076388888891</v>
      </c>
      <c r="C120" s="2" t="s">
        <v>16</v>
      </c>
      <c r="D120" s="2" t="s">
        <v>84</v>
      </c>
      <c r="E120" s="2" t="s">
        <v>148</v>
      </c>
      <c r="F120" s="2" t="s">
        <v>96</v>
      </c>
      <c r="G120" s="2" t="s">
        <v>101</v>
      </c>
      <c r="H120" s="2" t="s">
        <v>32</v>
      </c>
      <c r="I120" s="2">
        <v>48</v>
      </c>
      <c r="J120" s="2" t="s">
        <v>75</v>
      </c>
      <c r="K120" s="4">
        <v>46161.253472222219</v>
      </c>
      <c r="L120" s="2" t="s">
        <v>24</v>
      </c>
      <c r="M120" s="2">
        <v>4</v>
      </c>
      <c r="N120" t="s">
        <v>8582</v>
      </c>
      <c r="O120" s="8">
        <f t="shared" si="2"/>
        <v>28.249999999883585</v>
      </c>
      <c r="P120" t="str">
        <f t="shared" si="3"/>
        <v>N/A</v>
      </c>
    </row>
    <row r="121" spans="1:16" x14ac:dyDescent="0.25">
      <c r="A121" s="2" t="s">
        <v>415</v>
      </c>
      <c r="B121" s="4">
        <v>46091.695138888892</v>
      </c>
      <c r="C121" s="2" t="s">
        <v>67</v>
      </c>
      <c r="D121" s="2" t="s">
        <v>95</v>
      </c>
      <c r="E121" s="2" t="s">
        <v>79</v>
      </c>
      <c r="F121" s="2" t="s">
        <v>55</v>
      </c>
      <c r="G121" s="2" t="s">
        <v>31</v>
      </c>
      <c r="H121" s="2" t="s">
        <v>74</v>
      </c>
      <c r="I121" s="2">
        <v>8</v>
      </c>
      <c r="J121" s="2" t="s">
        <v>8580</v>
      </c>
      <c r="K121" s="4">
        <v>46091.818055555559</v>
      </c>
      <c r="L121" s="2" t="s">
        <v>24</v>
      </c>
      <c r="M121" s="2"/>
      <c r="N121" t="s">
        <v>8585</v>
      </c>
      <c r="O121" s="8">
        <f t="shared" si="2"/>
        <v>2.9500000000116415</v>
      </c>
      <c r="P121" t="str">
        <f t="shared" si="3"/>
        <v>N/A</v>
      </c>
    </row>
    <row r="122" spans="1:16" x14ac:dyDescent="0.25">
      <c r="A122" s="2" t="s">
        <v>418</v>
      </c>
      <c r="B122" s="4">
        <v>46238.239583333336</v>
      </c>
      <c r="C122" s="2" t="s">
        <v>67</v>
      </c>
      <c r="D122" s="2" t="s">
        <v>68</v>
      </c>
      <c r="E122" s="2" t="s">
        <v>46</v>
      </c>
      <c r="F122" s="2" t="s">
        <v>30</v>
      </c>
      <c r="G122" s="2" t="s">
        <v>31</v>
      </c>
      <c r="H122" s="2" t="s">
        <v>80</v>
      </c>
      <c r="I122" s="2">
        <v>4</v>
      </c>
      <c r="J122" s="2" t="s">
        <v>106</v>
      </c>
      <c r="K122" s="4">
        <v>46238.330555555556</v>
      </c>
      <c r="L122" s="2" t="s">
        <v>24</v>
      </c>
      <c r="M122" s="2"/>
      <c r="N122" t="s">
        <v>8583</v>
      </c>
      <c r="O122" s="8">
        <f t="shared" si="2"/>
        <v>2.1833333332906477</v>
      </c>
      <c r="P122" t="str">
        <f t="shared" si="3"/>
        <v>Yes</v>
      </c>
    </row>
    <row r="123" spans="1:16" x14ac:dyDescent="0.25">
      <c r="A123" s="2" t="s">
        <v>421</v>
      </c>
      <c r="B123" s="4">
        <v>46221.406944444447</v>
      </c>
      <c r="C123" s="2" t="s">
        <v>16</v>
      </c>
      <c r="D123" s="2" t="s">
        <v>84</v>
      </c>
      <c r="E123" s="2" t="s">
        <v>38</v>
      </c>
      <c r="F123" s="2" t="s">
        <v>30</v>
      </c>
      <c r="G123" s="2" t="s">
        <v>183</v>
      </c>
      <c r="H123" s="2" t="s">
        <v>32</v>
      </c>
      <c r="I123" s="2">
        <v>48</v>
      </c>
      <c r="J123" s="2" t="s">
        <v>106</v>
      </c>
      <c r="K123" s="4">
        <v>46223.114583333336</v>
      </c>
      <c r="L123" s="2" t="s">
        <v>24</v>
      </c>
      <c r="M123" s="2">
        <v>5</v>
      </c>
      <c r="N123" t="s">
        <v>8581</v>
      </c>
      <c r="O123" s="8">
        <f t="shared" si="2"/>
        <v>40.983333333337214</v>
      </c>
      <c r="P123" t="str">
        <f t="shared" si="3"/>
        <v>Yes</v>
      </c>
    </row>
    <row r="124" spans="1:16" x14ac:dyDescent="0.25">
      <c r="A124" s="2" t="s">
        <v>424</v>
      </c>
      <c r="B124" s="4">
        <v>46253.151388888888</v>
      </c>
      <c r="C124" s="2" t="s">
        <v>67</v>
      </c>
      <c r="D124" s="2" t="s">
        <v>95</v>
      </c>
      <c r="E124" s="2" t="s">
        <v>46</v>
      </c>
      <c r="F124" s="2" t="s">
        <v>96</v>
      </c>
      <c r="G124" s="2" t="s">
        <v>31</v>
      </c>
      <c r="H124" s="2" t="s">
        <v>74</v>
      </c>
      <c r="I124" s="2">
        <v>8</v>
      </c>
      <c r="J124" s="2" t="s">
        <v>287</v>
      </c>
      <c r="K124" s="4" t="s">
        <v>8590</v>
      </c>
      <c r="L124" s="2" t="s">
        <v>24</v>
      </c>
      <c r="M124" s="2"/>
      <c r="N124" t="s">
        <v>8584</v>
      </c>
      <c r="O124" s="8" t="str">
        <f t="shared" si="2"/>
        <v/>
      </c>
      <c r="P124" t="str">
        <f t="shared" si="3"/>
        <v>N/A</v>
      </c>
    </row>
    <row r="125" spans="1:16" x14ac:dyDescent="0.25">
      <c r="A125" s="2" t="s">
        <v>426</v>
      </c>
      <c r="B125" s="4">
        <v>46247.318055555559</v>
      </c>
      <c r="C125" s="2" t="s">
        <v>53</v>
      </c>
      <c r="D125" s="2" t="s">
        <v>61</v>
      </c>
      <c r="E125" s="2" t="s">
        <v>38</v>
      </c>
      <c r="F125" s="2" t="s">
        <v>55</v>
      </c>
      <c r="G125" s="2" t="s">
        <v>183</v>
      </c>
      <c r="H125" s="2" t="s">
        <v>32</v>
      </c>
      <c r="I125" s="2">
        <v>48</v>
      </c>
      <c r="J125" s="2" t="s">
        <v>287</v>
      </c>
      <c r="K125" s="4" t="s">
        <v>8590</v>
      </c>
      <c r="L125" s="2" t="s">
        <v>24</v>
      </c>
      <c r="M125" s="2"/>
      <c r="N125" t="s">
        <v>8582</v>
      </c>
      <c r="O125" s="8" t="str">
        <f t="shared" si="2"/>
        <v/>
      </c>
      <c r="P125" t="str">
        <f t="shared" si="3"/>
        <v>N/A</v>
      </c>
    </row>
    <row r="126" spans="1:16" x14ac:dyDescent="0.25">
      <c r="A126" s="2" t="s">
        <v>428</v>
      </c>
      <c r="B126" s="4">
        <v>46129.53125</v>
      </c>
      <c r="C126" s="2" t="s">
        <v>28</v>
      </c>
      <c r="D126" s="2" t="s">
        <v>100</v>
      </c>
      <c r="E126" s="2" t="s">
        <v>46</v>
      </c>
      <c r="F126" s="2" t="s">
        <v>55</v>
      </c>
      <c r="G126" s="2" t="s">
        <v>183</v>
      </c>
      <c r="H126" s="2" t="s">
        <v>21</v>
      </c>
      <c r="I126" s="2">
        <v>24</v>
      </c>
      <c r="J126" s="2" t="s">
        <v>106</v>
      </c>
      <c r="K126" s="4">
        <v>46131.924305555556</v>
      </c>
      <c r="L126" s="2" t="s">
        <v>24</v>
      </c>
      <c r="M126" s="2">
        <v>4</v>
      </c>
      <c r="N126" t="s">
        <v>8584</v>
      </c>
      <c r="O126" s="8">
        <f t="shared" si="2"/>
        <v>57.433333333348855</v>
      </c>
      <c r="P126" t="str">
        <f t="shared" si="3"/>
        <v>No</v>
      </c>
    </row>
    <row r="127" spans="1:16" x14ac:dyDescent="0.25">
      <c r="A127" s="2" t="s">
        <v>431</v>
      </c>
      <c r="B127" s="4">
        <v>46148.319444444445</v>
      </c>
      <c r="C127" s="2" t="s">
        <v>53</v>
      </c>
      <c r="D127" s="2" t="s">
        <v>61</v>
      </c>
      <c r="E127" s="2" t="s">
        <v>79</v>
      </c>
      <c r="F127" s="2" t="s">
        <v>30</v>
      </c>
      <c r="G127" s="2" t="s">
        <v>179</v>
      </c>
      <c r="H127" s="2" t="s">
        <v>74</v>
      </c>
      <c r="I127" s="2">
        <v>8</v>
      </c>
      <c r="J127" s="2" t="s">
        <v>106</v>
      </c>
      <c r="K127" s="4">
        <v>46148.557638888888</v>
      </c>
      <c r="L127" s="2" t="s">
        <v>24</v>
      </c>
      <c r="M127" s="2">
        <v>4</v>
      </c>
      <c r="N127" t="s">
        <v>8589</v>
      </c>
      <c r="O127" s="8">
        <f t="shared" si="2"/>
        <v>5.71666666661622</v>
      </c>
      <c r="P127" t="str">
        <f t="shared" si="3"/>
        <v>Yes</v>
      </c>
    </row>
    <row r="128" spans="1:16" x14ac:dyDescent="0.25">
      <c r="A128" s="2" t="s">
        <v>434</v>
      </c>
      <c r="B128" s="4">
        <v>46211.094444444447</v>
      </c>
      <c r="C128" s="2" t="s">
        <v>16</v>
      </c>
      <c r="D128" s="2" t="s">
        <v>17</v>
      </c>
      <c r="E128" s="2" t="s">
        <v>18</v>
      </c>
      <c r="F128" s="2" t="s">
        <v>96</v>
      </c>
      <c r="G128" s="2" t="s">
        <v>110</v>
      </c>
      <c r="H128" s="2" t="s">
        <v>32</v>
      </c>
      <c r="I128" s="2">
        <v>48</v>
      </c>
      <c r="J128" s="2" t="s">
        <v>11</v>
      </c>
      <c r="K128" s="4" t="s">
        <v>8590</v>
      </c>
      <c r="L128" s="2" t="s">
        <v>92</v>
      </c>
      <c r="M128" s="2"/>
      <c r="N128" t="s">
        <v>8581</v>
      </c>
      <c r="O128" s="8" t="str">
        <f t="shared" si="2"/>
        <v/>
      </c>
      <c r="P128" t="str">
        <f t="shared" si="3"/>
        <v>N/A</v>
      </c>
    </row>
    <row r="129" spans="1:16" x14ac:dyDescent="0.25">
      <c r="A129" s="2" t="s">
        <v>436</v>
      </c>
      <c r="B129" s="4">
        <v>46258.477083333331</v>
      </c>
      <c r="C129" s="2" t="s">
        <v>16</v>
      </c>
      <c r="D129" s="2" t="s">
        <v>84</v>
      </c>
      <c r="E129" s="2" t="s">
        <v>79</v>
      </c>
      <c r="F129" s="2" t="s">
        <v>113</v>
      </c>
      <c r="G129" s="2" t="s">
        <v>179</v>
      </c>
      <c r="H129" s="2" t="s">
        <v>32</v>
      </c>
      <c r="I129" s="2">
        <v>48</v>
      </c>
      <c r="J129" s="2" t="s">
        <v>75</v>
      </c>
      <c r="K129" s="4">
        <v>46258.936111111114</v>
      </c>
      <c r="L129" s="2" t="s">
        <v>24</v>
      </c>
      <c r="M129" s="2">
        <v>5</v>
      </c>
      <c r="N129" t="s">
        <v>8581</v>
      </c>
      <c r="O129" s="8">
        <f t="shared" si="2"/>
        <v>11.016666666779201</v>
      </c>
      <c r="P129" t="str">
        <f t="shared" si="3"/>
        <v>N/A</v>
      </c>
    </row>
    <row r="130" spans="1:16" x14ac:dyDescent="0.25">
      <c r="A130" s="2" t="s">
        <v>439</v>
      </c>
      <c r="B130" s="4">
        <v>46190.659722222219</v>
      </c>
      <c r="C130" s="2" t="s">
        <v>28</v>
      </c>
      <c r="D130" s="2" t="s">
        <v>37</v>
      </c>
      <c r="E130" s="2" t="s">
        <v>46</v>
      </c>
      <c r="F130" s="2" t="s">
        <v>113</v>
      </c>
      <c r="G130" s="2" t="s">
        <v>31</v>
      </c>
      <c r="H130" s="2" t="s">
        <v>80</v>
      </c>
      <c r="I130" s="2">
        <v>4</v>
      </c>
      <c r="J130" s="2" t="s">
        <v>75</v>
      </c>
      <c r="K130" s="4" t="s">
        <v>8590</v>
      </c>
      <c r="L130" s="2" t="s">
        <v>24</v>
      </c>
      <c r="M130" s="2"/>
      <c r="N130" t="s">
        <v>8582</v>
      </c>
      <c r="O130" s="8" t="str">
        <f t="shared" si="2"/>
        <v/>
      </c>
      <c r="P130" t="str">
        <f t="shared" si="3"/>
        <v>N/A</v>
      </c>
    </row>
    <row r="131" spans="1:16" x14ac:dyDescent="0.25">
      <c r="A131" s="2" t="s">
        <v>441</v>
      </c>
      <c r="B131" s="4">
        <v>46254.060416666667</v>
      </c>
      <c r="C131" s="2" t="s">
        <v>28</v>
      </c>
      <c r="D131" s="2" t="s">
        <v>37</v>
      </c>
      <c r="E131" s="2" t="s">
        <v>46</v>
      </c>
      <c r="F131" s="2" t="s">
        <v>113</v>
      </c>
      <c r="G131" s="2" t="s">
        <v>110</v>
      </c>
      <c r="H131" s="2" t="s">
        <v>32</v>
      </c>
      <c r="I131" s="2">
        <v>48</v>
      </c>
      <c r="J131" s="2" t="s">
        <v>106</v>
      </c>
      <c r="K131" s="4">
        <v>46255.759027777778</v>
      </c>
      <c r="L131" s="2" t="s">
        <v>92</v>
      </c>
      <c r="M131" s="2"/>
      <c r="N131" t="s">
        <v>8584</v>
      </c>
      <c r="O131" s="8">
        <f t="shared" ref="O131:O194" si="4">IF(K131="","",IF(K131="Missing Resolve Date","",(K131-B131)*24))</f>
        <v>40.766666666662786</v>
      </c>
      <c r="P131" t="str">
        <f t="shared" ref="P131:P194" si="5">IF(J131="Resolved",IF(O131&lt;=I131,"Yes","No"),"N/A")</f>
        <v>Yes</v>
      </c>
    </row>
    <row r="132" spans="1:16" x14ac:dyDescent="0.25">
      <c r="A132" s="2" t="s">
        <v>444</v>
      </c>
      <c r="B132" s="4">
        <v>46111.481944444444</v>
      </c>
      <c r="C132" s="2" t="s">
        <v>28</v>
      </c>
      <c r="D132" s="2" t="s">
        <v>100</v>
      </c>
      <c r="E132" s="2" t="s">
        <v>38</v>
      </c>
      <c r="F132" s="2" t="s">
        <v>30</v>
      </c>
      <c r="G132" s="2" t="s">
        <v>110</v>
      </c>
      <c r="H132" s="2" t="s">
        <v>21</v>
      </c>
      <c r="I132" s="2">
        <v>24</v>
      </c>
      <c r="J132" s="2" t="s">
        <v>106</v>
      </c>
      <c r="K132" s="4">
        <v>46112.25</v>
      </c>
      <c r="L132" s="2" t="s">
        <v>24</v>
      </c>
      <c r="M132" s="2">
        <v>2</v>
      </c>
      <c r="N132" t="s">
        <v>8588</v>
      </c>
      <c r="O132" s="8">
        <f t="shared" si="4"/>
        <v>18.433333333348855</v>
      </c>
      <c r="P132" t="str">
        <f t="shared" si="5"/>
        <v>Yes</v>
      </c>
    </row>
    <row r="133" spans="1:16" x14ac:dyDescent="0.25">
      <c r="A133" s="2" t="s">
        <v>447</v>
      </c>
      <c r="B133" s="4">
        <v>46083.678472222222</v>
      </c>
      <c r="C133" s="2" t="s">
        <v>16</v>
      </c>
      <c r="D133" s="2" t="s">
        <v>84</v>
      </c>
      <c r="E133" s="2" t="s">
        <v>85</v>
      </c>
      <c r="F133" s="2" t="s">
        <v>55</v>
      </c>
      <c r="G133" s="2" t="s">
        <v>211</v>
      </c>
      <c r="H133" s="2" t="s">
        <v>21</v>
      </c>
      <c r="I133" s="2">
        <v>24</v>
      </c>
      <c r="J133" s="2" t="s">
        <v>75</v>
      </c>
      <c r="K133" s="4">
        <v>46083.911805555559</v>
      </c>
      <c r="L133" s="2" t="s">
        <v>24</v>
      </c>
      <c r="M133" s="2">
        <v>4</v>
      </c>
      <c r="N133" t="s">
        <v>8581</v>
      </c>
      <c r="O133" s="8">
        <f t="shared" si="4"/>
        <v>5.6000000000931323</v>
      </c>
      <c r="P133" t="str">
        <f t="shared" si="5"/>
        <v>N/A</v>
      </c>
    </row>
    <row r="134" spans="1:16" x14ac:dyDescent="0.25">
      <c r="A134" s="2" t="s">
        <v>450</v>
      </c>
      <c r="B134" s="4">
        <v>46195.04583333333</v>
      </c>
      <c r="C134" s="2" t="s">
        <v>16</v>
      </c>
      <c r="D134" s="2" t="s">
        <v>17</v>
      </c>
      <c r="E134" s="2" t="s">
        <v>85</v>
      </c>
      <c r="F134" s="2" t="s">
        <v>96</v>
      </c>
      <c r="G134" s="2" t="s">
        <v>110</v>
      </c>
      <c r="H134" s="2" t="s">
        <v>80</v>
      </c>
      <c r="I134" s="2">
        <v>4</v>
      </c>
      <c r="J134" s="2" t="s">
        <v>75</v>
      </c>
      <c r="K134" s="4">
        <v>46195.078472222223</v>
      </c>
      <c r="L134" s="2" t="s">
        <v>92</v>
      </c>
      <c r="M134" s="2">
        <v>1</v>
      </c>
      <c r="N134" t="s">
        <v>8587</v>
      </c>
      <c r="O134" s="8">
        <f t="shared" si="4"/>
        <v>0.78333333344198763</v>
      </c>
      <c r="P134" t="str">
        <f t="shared" si="5"/>
        <v>N/A</v>
      </c>
    </row>
    <row r="135" spans="1:16" x14ac:dyDescent="0.25">
      <c r="A135" s="2" t="s">
        <v>453</v>
      </c>
      <c r="B135" s="4">
        <v>46193.68472222222</v>
      </c>
      <c r="C135" s="2" t="s">
        <v>28</v>
      </c>
      <c r="D135" s="2" t="s">
        <v>37</v>
      </c>
      <c r="E135" s="2" t="s">
        <v>90</v>
      </c>
      <c r="F135" s="2" t="s">
        <v>30</v>
      </c>
      <c r="G135" s="2" t="s">
        <v>110</v>
      </c>
      <c r="H135" s="2" t="s">
        <v>74</v>
      </c>
      <c r="I135" s="2">
        <v>8</v>
      </c>
      <c r="J135" s="2" t="s">
        <v>8580</v>
      </c>
      <c r="K135" s="4">
        <v>46193.929861111108</v>
      </c>
      <c r="L135" s="2" t="s">
        <v>24</v>
      </c>
      <c r="M135" s="2"/>
      <c r="N135" t="s">
        <v>8582</v>
      </c>
      <c r="O135" s="8">
        <f t="shared" si="4"/>
        <v>5.8833333333022892</v>
      </c>
      <c r="P135" t="str">
        <f t="shared" si="5"/>
        <v>N/A</v>
      </c>
    </row>
    <row r="136" spans="1:16" x14ac:dyDescent="0.25">
      <c r="A136" s="2" t="s">
        <v>456</v>
      </c>
      <c r="B136" s="4">
        <v>46068.501388888886</v>
      </c>
      <c r="C136" s="2" t="s">
        <v>67</v>
      </c>
      <c r="D136" s="2" t="s">
        <v>95</v>
      </c>
      <c r="E136" s="2" t="s">
        <v>85</v>
      </c>
      <c r="F136" s="2" t="s">
        <v>96</v>
      </c>
      <c r="G136" s="2" t="s">
        <v>183</v>
      </c>
      <c r="H136" s="2" t="s">
        <v>21</v>
      </c>
      <c r="I136" s="2">
        <v>24</v>
      </c>
      <c r="J136" s="2" t="s">
        <v>106</v>
      </c>
      <c r="K136" s="4">
        <v>46069.947916666664</v>
      </c>
      <c r="L136" s="2" t="s">
        <v>24</v>
      </c>
      <c r="M136" s="2">
        <v>5</v>
      </c>
      <c r="N136" t="s">
        <v>8583</v>
      </c>
      <c r="O136" s="8">
        <f t="shared" si="4"/>
        <v>34.716666666674428</v>
      </c>
      <c r="P136" t="str">
        <f t="shared" si="5"/>
        <v>No</v>
      </c>
    </row>
    <row r="137" spans="1:16" x14ac:dyDescent="0.25">
      <c r="A137" s="2" t="s">
        <v>459</v>
      </c>
      <c r="B137" s="4">
        <v>46260.688194444447</v>
      </c>
      <c r="C137" s="2" t="s">
        <v>67</v>
      </c>
      <c r="D137" s="2" t="s">
        <v>68</v>
      </c>
      <c r="E137" s="2" t="s">
        <v>79</v>
      </c>
      <c r="F137" s="2" t="s">
        <v>113</v>
      </c>
      <c r="G137" s="2" t="s">
        <v>211</v>
      </c>
      <c r="H137" s="2" t="s">
        <v>21</v>
      </c>
      <c r="I137" s="2">
        <v>24</v>
      </c>
      <c r="J137" s="2" t="s">
        <v>149</v>
      </c>
      <c r="K137" s="4" t="s">
        <v>8590</v>
      </c>
      <c r="L137" s="2" t="s">
        <v>24</v>
      </c>
      <c r="M137" s="2"/>
      <c r="N137" t="s">
        <v>8581</v>
      </c>
      <c r="O137" s="8" t="str">
        <f t="shared" si="4"/>
        <v/>
      </c>
      <c r="P137" t="str">
        <f t="shared" si="5"/>
        <v>N/A</v>
      </c>
    </row>
    <row r="138" spans="1:16" x14ac:dyDescent="0.25">
      <c r="A138" s="2" t="s">
        <v>461</v>
      </c>
      <c r="B138" s="4">
        <v>46168.969444444447</v>
      </c>
      <c r="C138" s="2" t="s">
        <v>16</v>
      </c>
      <c r="D138" s="2" t="s">
        <v>17</v>
      </c>
      <c r="E138" s="2" t="s">
        <v>38</v>
      </c>
      <c r="F138" s="2" t="s">
        <v>30</v>
      </c>
      <c r="G138" s="2" t="s">
        <v>101</v>
      </c>
      <c r="H138" s="2" t="s">
        <v>21</v>
      </c>
      <c r="I138" s="2">
        <v>24</v>
      </c>
      <c r="J138" s="2" t="s">
        <v>149</v>
      </c>
      <c r="K138" s="4" t="s">
        <v>8590</v>
      </c>
      <c r="L138" s="2" t="s">
        <v>24</v>
      </c>
      <c r="M138" s="2"/>
      <c r="N138" t="s">
        <v>8581</v>
      </c>
      <c r="O138" s="8" t="str">
        <f t="shared" si="4"/>
        <v/>
      </c>
      <c r="P138" t="str">
        <f t="shared" si="5"/>
        <v>N/A</v>
      </c>
    </row>
    <row r="139" spans="1:16" x14ac:dyDescent="0.25">
      <c r="A139" s="2" t="s">
        <v>463</v>
      </c>
      <c r="B139" s="4">
        <v>46106.720138888886</v>
      </c>
      <c r="C139" s="2" t="s">
        <v>16</v>
      </c>
      <c r="D139" s="2" t="s">
        <v>84</v>
      </c>
      <c r="E139" s="2" t="s">
        <v>46</v>
      </c>
      <c r="F139" s="2" t="s">
        <v>113</v>
      </c>
      <c r="G139" s="2" t="s">
        <v>31</v>
      </c>
      <c r="H139" s="2" t="s">
        <v>32</v>
      </c>
      <c r="I139" s="2">
        <v>48</v>
      </c>
      <c r="J139" s="2" t="s">
        <v>106</v>
      </c>
      <c r="K139" s="4">
        <v>46106.761111111111</v>
      </c>
      <c r="L139" s="2" t="s">
        <v>24</v>
      </c>
      <c r="M139" s="2">
        <v>1</v>
      </c>
      <c r="N139" t="s">
        <v>8589</v>
      </c>
      <c r="O139" s="8">
        <f t="shared" si="4"/>
        <v>0.9833333333954215</v>
      </c>
      <c r="P139" t="str">
        <f t="shared" si="5"/>
        <v>Yes</v>
      </c>
    </row>
    <row r="140" spans="1:16" x14ac:dyDescent="0.25">
      <c r="A140" s="2" t="s">
        <v>466</v>
      </c>
      <c r="B140" s="4">
        <v>46247.277083333334</v>
      </c>
      <c r="C140" s="2" t="s">
        <v>67</v>
      </c>
      <c r="D140" s="2" t="s">
        <v>95</v>
      </c>
      <c r="E140" s="2" t="s">
        <v>148</v>
      </c>
      <c r="F140" s="2" t="s">
        <v>55</v>
      </c>
      <c r="G140" s="2" t="s">
        <v>31</v>
      </c>
      <c r="H140" s="2" t="s">
        <v>74</v>
      </c>
      <c r="I140" s="2">
        <v>8</v>
      </c>
      <c r="J140" s="2" t="s">
        <v>149</v>
      </c>
      <c r="K140" s="4" t="s">
        <v>8590</v>
      </c>
      <c r="L140" s="2" t="s">
        <v>24</v>
      </c>
      <c r="M140" s="2"/>
      <c r="N140" t="s">
        <v>8581</v>
      </c>
      <c r="O140" s="8" t="str">
        <f t="shared" si="4"/>
        <v/>
      </c>
      <c r="P140" t="str">
        <f t="shared" si="5"/>
        <v>N/A</v>
      </c>
    </row>
    <row r="141" spans="1:16" x14ac:dyDescent="0.25">
      <c r="A141" s="2" t="s">
        <v>468</v>
      </c>
      <c r="B141" s="4">
        <v>46208.945138888892</v>
      </c>
      <c r="C141" s="2" t="s">
        <v>16</v>
      </c>
      <c r="D141" s="2" t="s">
        <v>17</v>
      </c>
      <c r="E141" s="2" t="s">
        <v>38</v>
      </c>
      <c r="F141" s="2" t="s">
        <v>30</v>
      </c>
      <c r="G141" s="2" t="s">
        <v>211</v>
      </c>
      <c r="H141" s="2" t="s">
        <v>74</v>
      </c>
      <c r="I141" s="2">
        <v>8</v>
      </c>
      <c r="J141" s="2" t="s">
        <v>106</v>
      </c>
      <c r="K141" s="4">
        <v>46209.163888888892</v>
      </c>
      <c r="L141" s="2" t="s">
        <v>24</v>
      </c>
      <c r="M141" s="2"/>
      <c r="N141" t="s">
        <v>8585</v>
      </c>
      <c r="O141" s="8">
        <f t="shared" si="4"/>
        <v>5.25</v>
      </c>
      <c r="P141" t="str">
        <f t="shared" si="5"/>
        <v>Yes</v>
      </c>
    </row>
    <row r="142" spans="1:16" x14ac:dyDescent="0.25">
      <c r="A142" s="2" t="s">
        <v>471</v>
      </c>
      <c r="B142" s="4">
        <v>46041.250694444447</v>
      </c>
      <c r="C142" s="2" t="s">
        <v>53</v>
      </c>
      <c r="D142" s="2" t="s">
        <v>61</v>
      </c>
      <c r="E142" s="2" t="s">
        <v>79</v>
      </c>
      <c r="F142" s="2" t="s">
        <v>96</v>
      </c>
      <c r="G142" s="2" t="s">
        <v>110</v>
      </c>
      <c r="H142" s="2" t="s">
        <v>21</v>
      </c>
      <c r="I142" s="2">
        <v>24</v>
      </c>
      <c r="J142" s="2" t="s">
        <v>11</v>
      </c>
      <c r="K142" s="4" t="s">
        <v>8590</v>
      </c>
      <c r="L142" s="2" t="s">
        <v>92</v>
      </c>
      <c r="M142" s="2"/>
      <c r="N142" t="s">
        <v>8586</v>
      </c>
      <c r="O142" s="8" t="str">
        <f t="shared" si="4"/>
        <v/>
      </c>
      <c r="P142" t="str">
        <f t="shared" si="5"/>
        <v>N/A</v>
      </c>
    </row>
    <row r="143" spans="1:16" x14ac:dyDescent="0.25">
      <c r="A143" s="2" t="s">
        <v>473</v>
      </c>
      <c r="B143" s="4">
        <v>46073.229166666664</v>
      </c>
      <c r="C143" s="2" t="s">
        <v>16</v>
      </c>
      <c r="D143" s="2" t="s">
        <v>84</v>
      </c>
      <c r="E143" s="2" t="s">
        <v>46</v>
      </c>
      <c r="F143" s="2" t="s">
        <v>55</v>
      </c>
      <c r="G143" s="2" t="s">
        <v>110</v>
      </c>
      <c r="H143" s="2" t="s">
        <v>74</v>
      </c>
      <c r="I143" s="2">
        <v>8</v>
      </c>
      <c r="J143" s="2" t="s">
        <v>106</v>
      </c>
      <c r="K143" s="4">
        <v>46073.958333333336</v>
      </c>
      <c r="L143" s="2" t="s">
        <v>24</v>
      </c>
      <c r="M143" s="2"/>
      <c r="N143" t="s">
        <v>8585</v>
      </c>
      <c r="O143" s="8">
        <f t="shared" si="4"/>
        <v>17.500000000116415</v>
      </c>
      <c r="P143" t="str">
        <f t="shared" si="5"/>
        <v>No</v>
      </c>
    </row>
    <row r="144" spans="1:16" x14ac:dyDescent="0.25">
      <c r="A144" s="2" t="s">
        <v>476</v>
      </c>
      <c r="B144" s="4">
        <v>46075.412499999999</v>
      </c>
      <c r="C144" s="2" t="s">
        <v>67</v>
      </c>
      <c r="D144" s="2" t="s">
        <v>68</v>
      </c>
      <c r="E144" s="2" t="s">
        <v>46</v>
      </c>
      <c r="F144" s="2" t="s">
        <v>113</v>
      </c>
      <c r="G144" s="2" t="s">
        <v>183</v>
      </c>
      <c r="H144" s="2" t="s">
        <v>21</v>
      </c>
      <c r="I144" s="2">
        <v>24</v>
      </c>
      <c r="J144" s="2" t="s">
        <v>106</v>
      </c>
      <c r="K144" s="4">
        <v>46075.660416666666</v>
      </c>
      <c r="L144" s="2" t="s">
        <v>24</v>
      </c>
      <c r="M144" s="2"/>
      <c r="N144" t="s">
        <v>8585</v>
      </c>
      <c r="O144" s="8">
        <f t="shared" si="4"/>
        <v>5.9500000000116415</v>
      </c>
      <c r="P144" t="str">
        <f t="shared" si="5"/>
        <v>Yes</v>
      </c>
    </row>
    <row r="145" spans="1:16" x14ac:dyDescent="0.25">
      <c r="A145" s="2" t="s">
        <v>479</v>
      </c>
      <c r="B145" s="4">
        <v>46160.917361111111</v>
      </c>
      <c r="C145" s="2" t="s">
        <v>16</v>
      </c>
      <c r="D145" s="2" t="s">
        <v>17</v>
      </c>
      <c r="E145" s="2" t="s">
        <v>46</v>
      </c>
      <c r="F145" s="2" t="s">
        <v>113</v>
      </c>
      <c r="G145" s="2" t="s">
        <v>211</v>
      </c>
      <c r="H145" s="2" t="s">
        <v>32</v>
      </c>
      <c r="I145" s="2">
        <v>48</v>
      </c>
      <c r="J145" s="2" t="s">
        <v>106</v>
      </c>
      <c r="K145" s="4">
        <v>46161.542361111111</v>
      </c>
      <c r="L145" s="2" t="s">
        <v>24</v>
      </c>
      <c r="M145" s="2"/>
      <c r="N145" t="s">
        <v>8589</v>
      </c>
      <c r="O145" s="8">
        <f t="shared" si="4"/>
        <v>15</v>
      </c>
      <c r="P145" t="str">
        <f t="shared" si="5"/>
        <v>Yes</v>
      </c>
    </row>
    <row r="146" spans="1:16" x14ac:dyDescent="0.25">
      <c r="A146" s="2" t="s">
        <v>482</v>
      </c>
      <c r="B146" s="4">
        <v>46042.627083333333</v>
      </c>
      <c r="C146" s="2" t="s">
        <v>53</v>
      </c>
      <c r="D146" s="2" t="s">
        <v>61</v>
      </c>
      <c r="E146" s="2" t="s">
        <v>46</v>
      </c>
      <c r="F146" s="2" t="s">
        <v>55</v>
      </c>
      <c r="G146" s="2" t="s">
        <v>183</v>
      </c>
      <c r="H146" s="2" t="s">
        <v>80</v>
      </c>
      <c r="I146" s="2">
        <v>4</v>
      </c>
      <c r="J146" s="2" t="s">
        <v>149</v>
      </c>
      <c r="K146" s="4" t="s">
        <v>8590</v>
      </c>
      <c r="L146" s="2" t="s">
        <v>24</v>
      </c>
      <c r="M146" s="2"/>
      <c r="N146" t="s">
        <v>8586</v>
      </c>
      <c r="O146" s="8" t="str">
        <f t="shared" si="4"/>
        <v/>
      </c>
      <c r="P146" t="str">
        <f t="shared" si="5"/>
        <v>N/A</v>
      </c>
    </row>
    <row r="147" spans="1:16" x14ac:dyDescent="0.25">
      <c r="A147" s="2" t="s">
        <v>484</v>
      </c>
      <c r="B147" s="4">
        <v>46051.336111111108</v>
      </c>
      <c r="C147" s="2" t="s">
        <v>53</v>
      </c>
      <c r="D147" s="2" t="s">
        <v>54</v>
      </c>
      <c r="E147" s="2" t="s">
        <v>90</v>
      </c>
      <c r="F147" s="2" t="s">
        <v>113</v>
      </c>
      <c r="G147" s="2" t="s">
        <v>183</v>
      </c>
      <c r="H147" s="2" t="s">
        <v>21</v>
      </c>
      <c r="I147" s="2">
        <v>24</v>
      </c>
      <c r="J147" s="2" t="s">
        <v>8580</v>
      </c>
      <c r="K147" s="4">
        <v>46051.740277777775</v>
      </c>
      <c r="L147" s="2" t="s">
        <v>24</v>
      </c>
      <c r="M147" s="2"/>
      <c r="N147" t="s">
        <v>8584</v>
      </c>
      <c r="O147" s="8">
        <f t="shared" si="4"/>
        <v>9.7000000000116415</v>
      </c>
      <c r="P147" t="str">
        <f t="shared" si="5"/>
        <v>N/A</v>
      </c>
    </row>
    <row r="148" spans="1:16" x14ac:dyDescent="0.25">
      <c r="A148" s="2" t="s">
        <v>488</v>
      </c>
      <c r="B148" s="4">
        <v>46108.9</v>
      </c>
      <c r="C148" s="2" t="s">
        <v>53</v>
      </c>
      <c r="D148" s="2" t="s">
        <v>61</v>
      </c>
      <c r="E148" s="2" t="s">
        <v>38</v>
      </c>
      <c r="F148" s="2" t="s">
        <v>55</v>
      </c>
      <c r="G148" s="2" t="s">
        <v>179</v>
      </c>
      <c r="H148" s="2" t="s">
        <v>21</v>
      </c>
      <c r="I148" s="2">
        <v>24</v>
      </c>
      <c r="J148" s="2" t="s">
        <v>106</v>
      </c>
      <c r="K148" s="4">
        <v>46109.120138888888</v>
      </c>
      <c r="L148" s="2" t="s">
        <v>24</v>
      </c>
      <c r="M148" s="2">
        <v>5</v>
      </c>
      <c r="N148" t="s">
        <v>8587</v>
      </c>
      <c r="O148" s="8">
        <f t="shared" si="4"/>
        <v>5.2833333332673647</v>
      </c>
      <c r="P148" t="str">
        <f t="shared" si="5"/>
        <v>Yes</v>
      </c>
    </row>
    <row r="149" spans="1:16" x14ac:dyDescent="0.25">
      <c r="A149" s="2" t="s">
        <v>491</v>
      </c>
      <c r="B149" s="4">
        <v>46105.175000000003</v>
      </c>
      <c r="C149" s="2" t="s">
        <v>67</v>
      </c>
      <c r="D149" s="2" t="s">
        <v>68</v>
      </c>
      <c r="E149" s="2" t="s">
        <v>90</v>
      </c>
      <c r="F149" s="2" t="s">
        <v>96</v>
      </c>
      <c r="G149" s="2" t="s">
        <v>183</v>
      </c>
      <c r="H149" s="2" t="s">
        <v>32</v>
      </c>
      <c r="I149" s="2">
        <v>48</v>
      </c>
      <c r="J149" s="2" t="s">
        <v>106</v>
      </c>
      <c r="K149" s="4">
        <v>46105.643750000003</v>
      </c>
      <c r="L149" s="2" t="s">
        <v>24</v>
      </c>
      <c r="M149" s="2">
        <v>4</v>
      </c>
      <c r="N149" t="s">
        <v>8589</v>
      </c>
      <c r="O149" s="8">
        <f t="shared" si="4"/>
        <v>11.25</v>
      </c>
      <c r="P149" t="str">
        <f t="shared" si="5"/>
        <v>Yes</v>
      </c>
    </row>
    <row r="150" spans="1:16" x14ac:dyDescent="0.25">
      <c r="A150" s="2" t="s">
        <v>494</v>
      </c>
      <c r="B150" s="4">
        <v>46175.406944444447</v>
      </c>
      <c r="C150" s="2" t="s">
        <v>67</v>
      </c>
      <c r="D150" s="2" t="s">
        <v>95</v>
      </c>
      <c r="E150" s="2" t="s">
        <v>38</v>
      </c>
      <c r="F150" s="2" t="s">
        <v>30</v>
      </c>
      <c r="G150" s="2" t="s">
        <v>211</v>
      </c>
      <c r="H150" s="2" t="s">
        <v>21</v>
      </c>
      <c r="I150" s="2">
        <v>24</v>
      </c>
      <c r="J150" s="2" t="s">
        <v>75</v>
      </c>
      <c r="K150" s="4">
        <v>46176.254861111112</v>
      </c>
      <c r="L150" s="2" t="s">
        <v>24</v>
      </c>
      <c r="M150" s="2">
        <v>5</v>
      </c>
      <c r="N150" t="s">
        <v>8589</v>
      </c>
      <c r="O150" s="8">
        <f t="shared" si="4"/>
        <v>20.349999999976717</v>
      </c>
      <c r="P150" t="str">
        <f t="shared" si="5"/>
        <v>N/A</v>
      </c>
    </row>
    <row r="151" spans="1:16" x14ac:dyDescent="0.25">
      <c r="A151" s="2" t="s">
        <v>497</v>
      </c>
      <c r="B151" s="4">
        <v>46062.683333333334</v>
      </c>
      <c r="C151" s="2" t="s">
        <v>28</v>
      </c>
      <c r="D151" s="2" t="s">
        <v>100</v>
      </c>
      <c r="E151" s="2" t="s">
        <v>38</v>
      </c>
      <c r="F151" s="2" t="s">
        <v>55</v>
      </c>
      <c r="G151" s="2" t="s">
        <v>179</v>
      </c>
      <c r="H151" s="2" t="s">
        <v>74</v>
      </c>
      <c r="I151" s="2">
        <v>8</v>
      </c>
      <c r="J151" s="2" t="s">
        <v>149</v>
      </c>
      <c r="K151" s="4" t="s">
        <v>8590</v>
      </c>
      <c r="L151" s="2" t="s">
        <v>24</v>
      </c>
      <c r="M151" s="2"/>
      <c r="N151" t="s">
        <v>8585</v>
      </c>
      <c r="O151" s="8" t="str">
        <f t="shared" si="4"/>
        <v/>
      </c>
      <c r="P151" t="str">
        <f t="shared" si="5"/>
        <v>N/A</v>
      </c>
    </row>
    <row r="152" spans="1:16" x14ac:dyDescent="0.25">
      <c r="A152" s="2" t="s">
        <v>499</v>
      </c>
      <c r="B152" s="4">
        <v>46132.914583333331</v>
      </c>
      <c r="C152" s="2" t="s">
        <v>53</v>
      </c>
      <c r="D152" s="2" t="s">
        <v>54</v>
      </c>
      <c r="E152" s="2" t="s">
        <v>79</v>
      </c>
      <c r="F152" s="2" t="s">
        <v>96</v>
      </c>
      <c r="G152" s="2" t="s">
        <v>110</v>
      </c>
      <c r="H152" s="2" t="s">
        <v>32</v>
      </c>
      <c r="I152" s="2">
        <v>48</v>
      </c>
      <c r="J152" s="2" t="s">
        <v>11</v>
      </c>
      <c r="K152" s="4" t="s">
        <v>8590</v>
      </c>
      <c r="L152" s="2" t="s">
        <v>92</v>
      </c>
      <c r="M152" s="2"/>
      <c r="N152" t="s">
        <v>8589</v>
      </c>
      <c r="O152" s="8" t="str">
        <f t="shared" si="4"/>
        <v/>
      </c>
      <c r="P152" t="str">
        <f t="shared" si="5"/>
        <v>N/A</v>
      </c>
    </row>
    <row r="153" spans="1:16" x14ac:dyDescent="0.25">
      <c r="A153" s="2" t="s">
        <v>501</v>
      </c>
      <c r="B153" s="4">
        <v>46063.636111111111</v>
      </c>
      <c r="C153" s="2" t="s">
        <v>28</v>
      </c>
      <c r="D153" s="2" t="s">
        <v>100</v>
      </c>
      <c r="E153" s="2" t="s">
        <v>85</v>
      </c>
      <c r="F153" s="2" t="s">
        <v>113</v>
      </c>
      <c r="G153" s="2" t="s">
        <v>211</v>
      </c>
      <c r="H153" s="2" t="s">
        <v>32</v>
      </c>
      <c r="I153" s="2">
        <v>48</v>
      </c>
      <c r="J153" s="2" t="s">
        <v>75</v>
      </c>
      <c r="K153" s="4">
        <v>46064.018055555556</v>
      </c>
      <c r="L153" s="2" t="s">
        <v>24</v>
      </c>
      <c r="M153" s="2"/>
      <c r="N153" t="s">
        <v>8582</v>
      </c>
      <c r="O153" s="8">
        <f t="shared" si="4"/>
        <v>9.1666666666860692</v>
      </c>
      <c r="P153" t="str">
        <f t="shared" si="5"/>
        <v>N/A</v>
      </c>
    </row>
    <row r="154" spans="1:16" x14ac:dyDescent="0.25">
      <c r="A154" s="2" t="s">
        <v>504</v>
      </c>
      <c r="B154" s="4">
        <v>46210.55</v>
      </c>
      <c r="C154" s="2" t="s">
        <v>53</v>
      </c>
      <c r="D154" s="2" t="s">
        <v>54</v>
      </c>
      <c r="E154" s="2" t="s">
        <v>79</v>
      </c>
      <c r="F154" s="2" t="s">
        <v>113</v>
      </c>
      <c r="G154" s="2" t="s">
        <v>31</v>
      </c>
      <c r="H154" s="2" t="s">
        <v>21</v>
      </c>
      <c r="I154" s="2">
        <v>24</v>
      </c>
      <c r="J154" s="2" t="s">
        <v>149</v>
      </c>
      <c r="K154" s="4" t="s">
        <v>8590</v>
      </c>
      <c r="L154" s="2" t="s">
        <v>92</v>
      </c>
      <c r="M154" s="2"/>
      <c r="N154" t="s">
        <v>8589</v>
      </c>
      <c r="O154" s="8" t="str">
        <f t="shared" si="4"/>
        <v/>
      </c>
      <c r="P154" t="str">
        <f t="shared" si="5"/>
        <v>N/A</v>
      </c>
    </row>
    <row r="155" spans="1:16" x14ac:dyDescent="0.25">
      <c r="A155" s="2" t="s">
        <v>506</v>
      </c>
      <c r="B155" s="4">
        <v>46213.051388888889</v>
      </c>
      <c r="C155" s="2" t="s">
        <v>28</v>
      </c>
      <c r="D155" s="2" t="s">
        <v>37</v>
      </c>
      <c r="E155" s="2" t="s">
        <v>18</v>
      </c>
      <c r="F155" s="2" t="s">
        <v>113</v>
      </c>
      <c r="G155" s="2" t="s">
        <v>31</v>
      </c>
      <c r="H155" s="2" t="s">
        <v>21</v>
      </c>
      <c r="I155" s="2">
        <v>24</v>
      </c>
      <c r="J155" s="2" t="s">
        <v>8580</v>
      </c>
      <c r="K155" s="4">
        <v>46213.682638888888</v>
      </c>
      <c r="L155" s="2" t="s">
        <v>24</v>
      </c>
      <c r="M155" s="2"/>
      <c r="N155" t="s">
        <v>8589</v>
      </c>
      <c r="O155" s="8">
        <f t="shared" si="4"/>
        <v>15.149999999965075</v>
      </c>
      <c r="P155" t="str">
        <f t="shared" si="5"/>
        <v>N/A</v>
      </c>
    </row>
    <row r="156" spans="1:16" x14ac:dyDescent="0.25">
      <c r="A156" s="2" t="s">
        <v>509</v>
      </c>
      <c r="B156" s="4">
        <v>46196.265277777777</v>
      </c>
      <c r="C156" s="2" t="s">
        <v>28</v>
      </c>
      <c r="D156" s="2" t="s">
        <v>100</v>
      </c>
      <c r="E156" s="2" t="s">
        <v>79</v>
      </c>
      <c r="F156" s="2" t="s">
        <v>55</v>
      </c>
      <c r="G156" s="2" t="s">
        <v>31</v>
      </c>
      <c r="H156" s="2" t="s">
        <v>80</v>
      </c>
      <c r="I156" s="2">
        <v>4</v>
      </c>
      <c r="J156" s="2" t="s">
        <v>75</v>
      </c>
      <c r="K156" s="4" t="s">
        <v>8590</v>
      </c>
      <c r="L156" s="2" t="s">
        <v>24</v>
      </c>
      <c r="M156" s="2">
        <v>4</v>
      </c>
      <c r="N156" t="s">
        <v>8589</v>
      </c>
      <c r="O156" s="8" t="str">
        <f t="shared" si="4"/>
        <v/>
      </c>
      <c r="P156" t="str">
        <f t="shared" si="5"/>
        <v>N/A</v>
      </c>
    </row>
    <row r="157" spans="1:16" x14ac:dyDescent="0.25">
      <c r="A157" s="2" t="s">
        <v>511</v>
      </c>
      <c r="B157" s="4">
        <v>46130.367361111108</v>
      </c>
      <c r="C157" s="2" t="s">
        <v>16</v>
      </c>
      <c r="D157" s="2" t="s">
        <v>84</v>
      </c>
      <c r="E157" s="2" t="s">
        <v>18</v>
      </c>
      <c r="F157" s="2" t="s">
        <v>30</v>
      </c>
      <c r="G157" s="2" t="s">
        <v>31</v>
      </c>
      <c r="H157" s="2" t="s">
        <v>74</v>
      </c>
      <c r="I157" s="2">
        <v>8</v>
      </c>
      <c r="J157" s="2" t="s">
        <v>106</v>
      </c>
      <c r="K157" s="4">
        <v>46130.571527777778</v>
      </c>
      <c r="L157" s="2" t="s">
        <v>24</v>
      </c>
      <c r="M157" s="2"/>
      <c r="N157" t="s">
        <v>8584</v>
      </c>
      <c r="O157" s="8">
        <f t="shared" si="4"/>
        <v>4.9000000000814907</v>
      </c>
      <c r="P157" t="str">
        <f t="shared" si="5"/>
        <v>Yes</v>
      </c>
    </row>
    <row r="158" spans="1:16" x14ac:dyDescent="0.25">
      <c r="A158" s="2" t="s">
        <v>514</v>
      </c>
      <c r="B158" s="4">
        <v>46138.506944444445</v>
      </c>
      <c r="C158" s="2" t="s">
        <v>16</v>
      </c>
      <c r="D158" s="2" t="s">
        <v>17</v>
      </c>
      <c r="E158" s="2" t="s">
        <v>79</v>
      </c>
      <c r="F158" s="2" t="s">
        <v>30</v>
      </c>
      <c r="G158" s="2" t="s">
        <v>183</v>
      </c>
      <c r="H158" s="2" t="s">
        <v>21</v>
      </c>
      <c r="I158" s="2">
        <v>24</v>
      </c>
      <c r="J158" s="2" t="s">
        <v>106</v>
      </c>
      <c r="K158" s="4">
        <v>46140.064583333333</v>
      </c>
      <c r="L158" s="2" t="s">
        <v>24</v>
      </c>
      <c r="M158" s="2">
        <v>2</v>
      </c>
      <c r="N158" t="s">
        <v>8583</v>
      </c>
      <c r="O158" s="8">
        <f t="shared" si="4"/>
        <v>37.383333333302289</v>
      </c>
      <c r="P158" t="str">
        <f t="shared" si="5"/>
        <v>No</v>
      </c>
    </row>
    <row r="159" spans="1:16" x14ac:dyDescent="0.25">
      <c r="A159" s="2" t="s">
        <v>517</v>
      </c>
      <c r="B159" s="4">
        <v>46189.277083333334</v>
      </c>
      <c r="C159" s="2" t="s">
        <v>28</v>
      </c>
      <c r="D159" s="2" t="s">
        <v>100</v>
      </c>
      <c r="E159" s="2" t="s">
        <v>90</v>
      </c>
      <c r="F159" s="2" t="s">
        <v>113</v>
      </c>
      <c r="G159" s="2" t="s">
        <v>101</v>
      </c>
      <c r="H159" s="2" t="s">
        <v>21</v>
      </c>
      <c r="I159" s="2">
        <v>24</v>
      </c>
      <c r="J159" s="2" t="s">
        <v>75</v>
      </c>
      <c r="K159" s="4">
        <v>46189.464583333334</v>
      </c>
      <c r="L159" s="2" t="s">
        <v>24</v>
      </c>
      <c r="M159" s="2">
        <v>2</v>
      </c>
      <c r="N159" t="s">
        <v>8586</v>
      </c>
      <c r="O159" s="8">
        <f t="shared" si="4"/>
        <v>4.5</v>
      </c>
      <c r="P159" t="str">
        <f t="shared" si="5"/>
        <v>N/A</v>
      </c>
    </row>
    <row r="160" spans="1:16" x14ac:dyDescent="0.25">
      <c r="A160" s="2" t="s">
        <v>520</v>
      </c>
      <c r="B160" s="4">
        <v>46106.945833333331</v>
      </c>
      <c r="C160" s="2" t="s">
        <v>53</v>
      </c>
      <c r="D160" s="2" t="s">
        <v>54</v>
      </c>
      <c r="E160" s="2" t="s">
        <v>148</v>
      </c>
      <c r="F160" s="2" t="s">
        <v>113</v>
      </c>
      <c r="G160" s="2" t="s">
        <v>101</v>
      </c>
      <c r="H160" s="2" t="s">
        <v>74</v>
      </c>
      <c r="I160" s="2">
        <v>8</v>
      </c>
      <c r="J160" s="2" t="s">
        <v>75</v>
      </c>
      <c r="K160" s="4">
        <v>46107.059027777781</v>
      </c>
      <c r="L160" s="2" t="s">
        <v>24</v>
      </c>
      <c r="M160" s="2"/>
      <c r="N160" t="s">
        <v>8585</v>
      </c>
      <c r="O160" s="8">
        <f t="shared" si="4"/>
        <v>2.716666666790843</v>
      </c>
      <c r="P160" t="str">
        <f t="shared" si="5"/>
        <v>N/A</v>
      </c>
    </row>
    <row r="161" spans="1:16" x14ac:dyDescent="0.25">
      <c r="A161" s="2" t="s">
        <v>523</v>
      </c>
      <c r="B161" s="4">
        <v>46148.491666666669</v>
      </c>
      <c r="C161" s="2" t="s">
        <v>67</v>
      </c>
      <c r="D161" s="2" t="s">
        <v>95</v>
      </c>
      <c r="E161" s="2" t="s">
        <v>38</v>
      </c>
      <c r="F161" s="2" t="s">
        <v>30</v>
      </c>
      <c r="G161" s="2" t="s">
        <v>31</v>
      </c>
      <c r="H161" s="2" t="s">
        <v>21</v>
      </c>
      <c r="I161" s="2">
        <v>24</v>
      </c>
      <c r="J161" s="2" t="s">
        <v>75</v>
      </c>
      <c r="K161" s="4">
        <v>46148.801388888889</v>
      </c>
      <c r="L161" s="2" t="s">
        <v>24</v>
      </c>
      <c r="M161" s="2">
        <v>2</v>
      </c>
      <c r="N161" t="s">
        <v>8585</v>
      </c>
      <c r="O161" s="8">
        <f t="shared" si="4"/>
        <v>7.4333333332906477</v>
      </c>
      <c r="P161" t="str">
        <f t="shared" si="5"/>
        <v>N/A</v>
      </c>
    </row>
    <row r="162" spans="1:16" x14ac:dyDescent="0.25">
      <c r="A162" s="2" t="s">
        <v>526</v>
      </c>
      <c r="B162" s="4">
        <v>46098.80972222222</v>
      </c>
      <c r="C162" s="2" t="s">
        <v>53</v>
      </c>
      <c r="D162" s="2" t="s">
        <v>61</v>
      </c>
      <c r="E162" s="2" t="s">
        <v>85</v>
      </c>
      <c r="F162" s="2" t="s">
        <v>96</v>
      </c>
      <c r="G162" s="2" t="s">
        <v>211</v>
      </c>
      <c r="H162" s="2" t="s">
        <v>74</v>
      </c>
      <c r="I162" s="2">
        <v>8</v>
      </c>
      <c r="J162" s="2" t="s">
        <v>106</v>
      </c>
      <c r="K162" s="4">
        <v>46099.292361111111</v>
      </c>
      <c r="L162" s="2" t="s">
        <v>24</v>
      </c>
      <c r="M162" s="2">
        <v>4</v>
      </c>
      <c r="N162" t="s">
        <v>8581</v>
      </c>
      <c r="O162" s="8">
        <f t="shared" si="4"/>
        <v>11.583333333372138</v>
      </c>
      <c r="P162" t="str">
        <f t="shared" si="5"/>
        <v>No</v>
      </c>
    </row>
    <row r="163" spans="1:16" x14ac:dyDescent="0.25">
      <c r="A163" s="2" t="s">
        <v>529</v>
      </c>
      <c r="B163" s="4">
        <v>46143.481249999997</v>
      </c>
      <c r="C163" s="2" t="s">
        <v>53</v>
      </c>
      <c r="D163" s="2" t="s">
        <v>54</v>
      </c>
      <c r="E163" s="2" t="s">
        <v>79</v>
      </c>
      <c r="F163" s="2" t="s">
        <v>96</v>
      </c>
      <c r="G163" s="2" t="s">
        <v>183</v>
      </c>
      <c r="H163" s="2" t="s">
        <v>32</v>
      </c>
      <c r="I163" s="2">
        <v>48</v>
      </c>
      <c r="J163" s="2" t="s">
        <v>75</v>
      </c>
      <c r="K163" s="4">
        <v>46144.184027777781</v>
      </c>
      <c r="L163" s="2" t="s">
        <v>24</v>
      </c>
      <c r="M163" s="2"/>
      <c r="N163" t="s">
        <v>8583</v>
      </c>
      <c r="O163" s="8">
        <f t="shared" si="4"/>
        <v>16.866666666814126</v>
      </c>
      <c r="P163" t="str">
        <f t="shared" si="5"/>
        <v>N/A</v>
      </c>
    </row>
    <row r="164" spans="1:16" x14ac:dyDescent="0.25">
      <c r="A164" s="2" t="s">
        <v>532</v>
      </c>
      <c r="B164" s="4">
        <v>46058.682638888888</v>
      </c>
      <c r="C164" s="2" t="s">
        <v>53</v>
      </c>
      <c r="D164" s="2" t="s">
        <v>54</v>
      </c>
      <c r="E164" s="2" t="s">
        <v>46</v>
      </c>
      <c r="F164" s="2" t="s">
        <v>55</v>
      </c>
      <c r="G164" s="2" t="s">
        <v>110</v>
      </c>
      <c r="H164" s="2" t="s">
        <v>21</v>
      </c>
      <c r="I164" s="2">
        <v>24</v>
      </c>
      <c r="J164" s="2" t="s">
        <v>106</v>
      </c>
      <c r="K164" s="4">
        <v>46058.918055555558</v>
      </c>
      <c r="L164" s="2" t="s">
        <v>24</v>
      </c>
      <c r="M164" s="2">
        <v>3</v>
      </c>
      <c r="N164" t="s">
        <v>8582</v>
      </c>
      <c r="O164" s="8">
        <f t="shared" si="4"/>
        <v>5.6500000000814907</v>
      </c>
      <c r="P164" t="str">
        <f t="shared" si="5"/>
        <v>Yes</v>
      </c>
    </row>
    <row r="165" spans="1:16" x14ac:dyDescent="0.25">
      <c r="A165" s="2" t="s">
        <v>535</v>
      </c>
      <c r="B165" s="4">
        <v>46262.890972222223</v>
      </c>
      <c r="C165" s="2" t="s">
        <v>67</v>
      </c>
      <c r="D165" s="2" t="s">
        <v>68</v>
      </c>
      <c r="E165" s="2" t="s">
        <v>46</v>
      </c>
      <c r="F165" s="2" t="s">
        <v>30</v>
      </c>
      <c r="G165" s="2" t="s">
        <v>211</v>
      </c>
      <c r="H165" s="2" t="s">
        <v>21</v>
      </c>
      <c r="I165" s="2">
        <v>24</v>
      </c>
      <c r="J165" s="2" t="s">
        <v>106</v>
      </c>
      <c r="K165" s="4">
        <v>46263.273611111108</v>
      </c>
      <c r="L165" s="2" t="s">
        <v>24</v>
      </c>
      <c r="M165" s="2"/>
      <c r="N165" t="s">
        <v>8584</v>
      </c>
      <c r="O165" s="8">
        <f t="shared" si="4"/>
        <v>9.1833333332324401</v>
      </c>
      <c r="P165" t="str">
        <f t="shared" si="5"/>
        <v>Yes</v>
      </c>
    </row>
    <row r="166" spans="1:16" x14ac:dyDescent="0.25">
      <c r="A166" s="2" t="s">
        <v>538</v>
      </c>
      <c r="B166" s="4">
        <v>46176.193749999999</v>
      </c>
      <c r="C166" s="2" t="s">
        <v>53</v>
      </c>
      <c r="D166" s="2" t="s">
        <v>54</v>
      </c>
      <c r="E166" s="2" t="s">
        <v>79</v>
      </c>
      <c r="F166" s="2" t="s">
        <v>96</v>
      </c>
      <c r="G166" s="2" t="s">
        <v>101</v>
      </c>
      <c r="H166" s="2" t="s">
        <v>21</v>
      </c>
      <c r="I166" s="2">
        <v>24</v>
      </c>
      <c r="J166" s="2" t="s">
        <v>106</v>
      </c>
      <c r="K166" s="4">
        <v>46176.887499999997</v>
      </c>
      <c r="L166" s="2" t="s">
        <v>24</v>
      </c>
      <c r="M166" s="2">
        <v>3</v>
      </c>
      <c r="N166" t="s">
        <v>8584</v>
      </c>
      <c r="O166" s="8">
        <f t="shared" si="4"/>
        <v>16.649999999965075</v>
      </c>
      <c r="P166" t="str">
        <f t="shared" si="5"/>
        <v>Yes</v>
      </c>
    </row>
    <row r="167" spans="1:16" x14ac:dyDescent="0.25">
      <c r="A167" s="2" t="s">
        <v>541</v>
      </c>
      <c r="B167" s="4">
        <v>46193.166666666664</v>
      </c>
      <c r="C167" s="2" t="s">
        <v>16</v>
      </c>
      <c r="D167" s="2" t="s">
        <v>84</v>
      </c>
      <c r="E167" s="2" t="s">
        <v>79</v>
      </c>
      <c r="F167" s="2" t="s">
        <v>113</v>
      </c>
      <c r="G167" s="2" t="s">
        <v>31</v>
      </c>
      <c r="H167" s="2" t="s">
        <v>74</v>
      </c>
      <c r="I167" s="2">
        <v>8</v>
      </c>
      <c r="J167" s="2" t="s">
        <v>106</v>
      </c>
      <c r="K167" s="4">
        <v>46194.025000000001</v>
      </c>
      <c r="L167" s="2" t="s">
        <v>24</v>
      </c>
      <c r="M167" s="2"/>
      <c r="N167" t="s">
        <v>8584</v>
      </c>
      <c r="O167" s="8">
        <f t="shared" si="4"/>
        <v>20.600000000093132</v>
      </c>
      <c r="P167" t="str">
        <f t="shared" si="5"/>
        <v>No</v>
      </c>
    </row>
    <row r="168" spans="1:16" x14ac:dyDescent="0.25">
      <c r="A168" s="2" t="s">
        <v>544</v>
      </c>
      <c r="B168" s="4">
        <v>46086.919444444444</v>
      </c>
      <c r="C168" s="2" t="s">
        <v>28</v>
      </c>
      <c r="D168" s="2" t="s">
        <v>100</v>
      </c>
      <c r="E168" s="2" t="s">
        <v>18</v>
      </c>
      <c r="F168" s="2" t="s">
        <v>113</v>
      </c>
      <c r="G168" s="2" t="s">
        <v>31</v>
      </c>
      <c r="H168" s="2" t="s">
        <v>74</v>
      </c>
      <c r="I168" s="2">
        <v>8</v>
      </c>
      <c r="J168" s="2" t="s">
        <v>149</v>
      </c>
      <c r="K168" s="4" t="s">
        <v>8590</v>
      </c>
      <c r="L168" s="2" t="s">
        <v>24</v>
      </c>
      <c r="M168" s="2"/>
      <c r="N168" t="s">
        <v>8587</v>
      </c>
      <c r="O168" s="8" t="str">
        <f t="shared" si="4"/>
        <v/>
      </c>
      <c r="P168" t="str">
        <f t="shared" si="5"/>
        <v>N/A</v>
      </c>
    </row>
    <row r="169" spans="1:16" x14ac:dyDescent="0.25">
      <c r="A169" s="2" t="s">
        <v>546</v>
      </c>
      <c r="B169" s="4">
        <v>46040.929166666669</v>
      </c>
      <c r="C169" s="2" t="s">
        <v>28</v>
      </c>
      <c r="D169" s="2" t="s">
        <v>100</v>
      </c>
      <c r="E169" s="2" t="s">
        <v>18</v>
      </c>
      <c r="F169" s="2" t="s">
        <v>30</v>
      </c>
      <c r="G169" s="2" t="s">
        <v>179</v>
      </c>
      <c r="H169" s="2" t="s">
        <v>80</v>
      </c>
      <c r="I169" s="2">
        <v>4</v>
      </c>
      <c r="J169" s="2" t="s">
        <v>106</v>
      </c>
      <c r="K169" s="4">
        <v>46041.013888888891</v>
      </c>
      <c r="L169" s="2" t="s">
        <v>24</v>
      </c>
      <c r="M169" s="2">
        <v>1</v>
      </c>
      <c r="N169" t="s">
        <v>8583</v>
      </c>
      <c r="O169" s="8">
        <f t="shared" si="4"/>
        <v>2.0333333333255723</v>
      </c>
      <c r="P169" t="str">
        <f t="shared" si="5"/>
        <v>Yes</v>
      </c>
    </row>
    <row r="170" spans="1:16" x14ac:dyDescent="0.25">
      <c r="A170" s="2" t="s">
        <v>549</v>
      </c>
      <c r="B170" s="4">
        <v>46112.147916666669</v>
      </c>
      <c r="C170" s="2" t="s">
        <v>67</v>
      </c>
      <c r="D170" s="2" t="s">
        <v>95</v>
      </c>
      <c r="E170" s="2" t="s">
        <v>18</v>
      </c>
      <c r="F170" s="2" t="s">
        <v>113</v>
      </c>
      <c r="G170" s="2" t="s">
        <v>110</v>
      </c>
      <c r="H170" s="2" t="s">
        <v>74</v>
      </c>
      <c r="I170" s="2">
        <v>8</v>
      </c>
      <c r="J170" s="2" t="s">
        <v>106</v>
      </c>
      <c r="K170" s="4">
        <v>46112.247916666667</v>
      </c>
      <c r="L170" s="2" t="s">
        <v>24</v>
      </c>
      <c r="M170" s="2">
        <v>2</v>
      </c>
      <c r="N170" t="s">
        <v>8589</v>
      </c>
      <c r="O170" s="8">
        <f t="shared" si="4"/>
        <v>2.3999999999650754</v>
      </c>
      <c r="P170" t="str">
        <f t="shared" si="5"/>
        <v>Yes</v>
      </c>
    </row>
    <row r="171" spans="1:16" x14ac:dyDescent="0.25">
      <c r="A171" s="2" t="s">
        <v>552</v>
      </c>
      <c r="B171" s="4">
        <v>46120.988194444442</v>
      </c>
      <c r="C171" s="2" t="s">
        <v>28</v>
      </c>
      <c r="D171" s="2" t="s">
        <v>37</v>
      </c>
      <c r="E171" s="2" t="s">
        <v>79</v>
      </c>
      <c r="F171" s="2" t="s">
        <v>30</v>
      </c>
      <c r="G171" s="2" t="s">
        <v>101</v>
      </c>
      <c r="H171" s="2" t="s">
        <v>32</v>
      </c>
      <c r="I171" s="2">
        <v>48</v>
      </c>
      <c r="J171" s="2" t="s">
        <v>106</v>
      </c>
      <c r="K171" s="4">
        <v>46122.503472222219</v>
      </c>
      <c r="L171" s="2" t="s">
        <v>24</v>
      </c>
      <c r="M171" s="2">
        <v>4</v>
      </c>
      <c r="N171" t="s">
        <v>8582</v>
      </c>
      <c r="O171" s="8">
        <f t="shared" si="4"/>
        <v>36.366666666639503</v>
      </c>
      <c r="P171" t="str">
        <f t="shared" si="5"/>
        <v>Yes</v>
      </c>
    </row>
    <row r="172" spans="1:16" x14ac:dyDescent="0.25">
      <c r="A172" s="2" t="s">
        <v>555</v>
      </c>
      <c r="B172" s="4">
        <v>46058.553472222222</v>
      </c>
      <c r="C172" s="2" t="s">
        <v>53</v>
      </c>
      <c r="D172" s="2" t="s">
        <v>61</v>
      </c>
      <c r="E172" s="2" t="s">
        <v>38</v>
      </c>
      <c r="F172" s="2" t="s">
        <v>96</v>
      </c>
      <c r="G172" s="2" t="s">
        <v>31</v>
      </c>
      <c r="H172" s="2" t="s">
        <v>74</v>
      </c>
      <c r="I172" s="2">
        <v>8</v>
      </c>
      <c r="J172" s="2" t="s">
        <v>75</v>
      </c>
      <c r="K172" s="4">
        <v>46058.842361111114</v>
      </c>
      <c r="L172" s="2" t="s">
        <v>24</v>
      </c>
      <c r="M172" s="2">
        <v>4</v>
      </c>
      <c r="N172" t="s">
        <v>8589</v>
      </c>
      <c r="O172" s="8">
        <f t="shared" si="4"/>
        <v>6.933333333407063</v>
      </c>
      <c r="P172" t="str">
        <f t="shared" si="5"/>
        <v>N/A</v>
      </c>
    </row>
    <row r="173" spans="1:16" x14ac:dyDescent="0.25">
      <c r="A173" s="2" t="s">
        <v>558</v>
      </c>
      <c r="B173" s="4">
        <v>46264.260416666664</v>
      </c>
      <c r="C173" s="2" t="s">
        <v>67</v>
      </c>
      <c r="D173" s="2" t="s">
        <v>95</v>
      </c>
      <c r="E173" s="2" t="s">
        <v>85</v>
      </c>
      <c r="F173" s="2" t="s">
        <v>30</v>
      </c>
      <c r="G173" s="2" t="s">
        <v>183</v>
      </c>
      <c r="H173" s="2" t="s">
        <v>74</v>
      </c>
      <c r="I173" s="2">
        <v>8</v>
      </c>
      <c r="J173" s="2" t="s">
        <v>106</v>
      </c>
      <c r="K173" s="4">
        <v>46264.405555555553</v>
      </c>
      <c r="L173" s="2" t="s">
        <v>24</v>
      </c>
      <c r="M173" s="2"/>
      <c r="N173" t="s">
        <v>8588</v>
      </c>
      <c r="O173" s="8">
        <f t="shared" si="4"/>
        <v>3.4833333333372138</v>
      </c>
      <c r="P173" t="str">
        <f t="shared" si="5"/>
        <v>Yes</v>
      </c>
    </row>
    <row r="174" spans="1:16" x14ac:dyDescent="0.25">
      <c r="A174" s="2" t="s">
        <v>561</v>
      </c>
      <c r="B174" s="4">
        <v>46202.311111111114</v>
      </c>
      <c r="C174" s="2" t="s">
        <v>53</v>
      </c>
      <c r="D174" s="2" t="s">
        <v>61</v>
      </c>
      <c r="E174" s="2" t="s">
        <v>79</v>
      </c>
      <c r="F174" s="2" t="s">
        <v>113</v>
      </c>
      <c r="G174" s="2" t="s">
        <v>183</v>
      </c>
      <c r="H174" s="2" t="s">
        <v>32</v>
      </c>
      <c r="I174" s="2">
        <v>48</v>
      </c>
      <c r="J174" s="2" t="s">
        <v>149</v>
      </c>
      <c r="K174" s="4" t="s">
        <v>8590</v>
      </c>
      <c r="L174" s="2" t="s">
        <v>92</v>
      </c>
      <c r="M174" s="2"/>
      <c r="N174" t="s">
        <v>8583</v>
      </c>
      <c r="O174" s="8" t="str">
        <f t="shared" si="4"/>
        <v/>
      </c>
      <c r="P174" t="str">
        <f t="shared" si="5"/>
        <v>N/A</v>
      </c>
    </row>
    <row r="175" spans="1:16" x14ac:dyDescent="0.25">
      <c r="A175" s="2" t="s">
        <v>563</v>
      </c>
      <c r="B175" s="4">
        <v>46064.229166666664</v>
      </c>
      <c r="C175" s="2" t="s">
        <v>67</v>
      </c>
      <c r="D175" s="2" t="s">
        <v>95</v>
      </c>
      <c r="E175" s="2" t="s">
        <v>46</v>
      </c>
      <c r="F175" s="2" t="s">
        <v>96</v>
      </c>
      <c r="G175" s="2" t="s">
        <v>179</v>
      </c>
      <c r="H175" s="2" t="s">
        <v>32</v>
      </c>
      <c r="I175" s="2">
        <v>48</v>
      </c>
      <c r="J175" s="2" t="s">
        <v>8580</v>
      </c>
      <c r="K175" s="4">
        <v>46066.835416666669</v>
      </c>
      <c r="L175" s="2" t="s">
        <v>24</v>
      </c>
      <c r="M175" s="2"/>
      <c r="N175" t="s">
        <v>8589</v>
      </c>
      <c r="O175" s="8">
        <f t="shared" si="4"/>
        <v>62.550000000104774</v>
      </c>
      <c r="P175" t="str">
        <f t="shared" si="5"/>
        <v>N/A</v>
      </c>
    </row>
    <row r="176" spans="1:16" x14ac:dyDescent="0.25">
      <c r="A176" s="2" t="s">
        <v>566</v>
      </c>
      <c r="B176" s="4">
        <v>46242.431250000001</v>
      </c>
      <c r="C176" s="2" t="s">
        <v>28</v>
      </c>
      <c r="D176" s="2" t="s">
        <v>100</v>
      </c>
      <c r="E176" s="2" t="s">
        <v>148</v>
      </c>
      <c r="F176" s="2" t="s">
        <v>96</v>
      </c>
      <c r="G176" s="2" t="s">
        <v>110</v>
      </c>
      <c r="H176" s="2" t="s">
        <v>32</v>
      </c>
      <c r="I176" s="2">
        <v>48</v>
      </c>
      <c r="J176" s="2" t="s">
        <v>11</v>
      </c>
      <c r="K176" s="4" t="s">
        <v>8590</v>
      </c>
      <c r="L176" s="2" t="s">
        <v>92</v>
      </c>
      <c r="M176" s="2"/>
      <c r="N176" t="s">
        <v>8584</v>
      </c>
      <c r="O176" s="8" t="str">
        <f t="shared" si="4"/>
        <v/>
      </c>
      <c r="P176" t="str">
        <f t="shared" si="5"/>
        <v>N/A</v>
      </c>
    </row>
    <row r="177" spans="1:16" x14ac:dyDescent="0.25">
      <c r="A177" s="2" t="s">
        <v>568</v>
      </c>
      <c r="B177" s="4">
        <v>46029.07708333333</v>
      </c>
      <c r="C177" s="2" t="s">
        <v>28</v>
      </c>
      <c r="D177" s="2" t="s">
        <v>100</v>
      </c>
      <c r="E177" s="2" t="s">
        <v>90</v>
      </c>
      <c r="F177" s="2" t="s">
        <v>113</v>
      </c>
      <c r="G177" s="2" t="s">
        <v>110</v>
      </c>
      <c r="H177" s="2" t="s">
        <v>21</v>
      </c>
      <c r="I177" s="2">
        <v>24</v>
      </c>
      <c r="J177" s="2" t="s">
        <v>75</v>
      </c>
      <c r="K177" s="4">
        <v>46030.493055555555</v>
      </c>
      <c r="L177" s="2" t="s">
        <v>24</v>
      </c>
      <c r="M177" s="2">
        <v>5</v>
      </c>
      <c r="N177" t="s">
        <v>8581</v>
      </c>
      <c r="O177" s="8">
        <f t="shared" si="4"/>
        <v>33.983333333395422</v>
      </c>
      <c r="P177" t="str">
        <f t="shared" si="5"/>
        <v>N/A</v>
      </c>
    </row>
    <row r="178" spans="1:16" x14ac:dyDescent="0.25">
      <c r="A178" s="2" t="s">
        <v>571</v>
      </c>
      <c r="B178" s="4">
        <v>46051.793749999997</v>
      </c>
      <c r="C178" s="2" t="s">
        <v>53</v>
      </c>
      <c r="D178" s="2" t="s">
        <v>54</v>
      </c>
      <c r="E178" s="2" t="s">
        <v>38</v>
      </c>
      <c r="F178" s="2" t="s">
        <v>96</v>
      </c>
      <c r="G178" s="2" t="s">
        <v>101</v>
      </c>
      <c r="H178" s="2" t="s">
        <v>74</v>
      </c>
      <c r="I178" s="2">
        <v>8</v>
      </c>
      <c r="J178" s="2" t="s">
        <v>106</v>
      </c>
      <c r="K178" s="4">
        <v>46052.087500000001</v>
      </c>
      <c r="L178" s="2" t="s">
        <v>24</v>
      </c>
      <c r="M178" s="2">
        <v>5</v>
      </c>
      <c r="N178" t="s">
        <v>8588</v>
      </c>
      <c r="O178" s="8">
        <f t="shared" si="4"/>
        <v>7.0500000001047738</v>
      </c>
      <c r="P178" t="str">
        <f t="shared" si="5"/>
        <v>Yes</v>
      </c>
    </row>
    <row r="179" spans="1:16" x14ac:dyDescent="0.25">
      <c r="A179" s="2" t="s">
        <v>574</v>
      </c>
      <c r="B179" s="4">
        <v>46211.621527777781</v>
      </c>
      <c r="C179" s="2" t="s">
        <v>28</v>
      </c>
      <c r="D179" s="2" t="s">
        <v>37</v>
      </c>
      <c r="E179" s="2" t="s">
        <v>38</v>
      </c>
      <c r="F179" s="2" t="s">
        <v>55</v>
      </c>
      <c r="G179" s="2" t="s">
        <v>211</v>
      </c>
      <c r="H179" s="2" t="s">
        <v>74</v>
      </c>
      <c r="I179" s="2">
        <v>8</v>
      </c>
      <c r="J179" s="2" t="s">
        <v>106</v>
      </c>
      <c r="K179" s="4">
        <v>46212.087500000001</v>
      </c>
      <c r="L179" s="2" t="s">
        <v>24</v>
      </c>
      <c r="M179" s="2">
        <v>3</v>
      </c>
      <c r="N179" t="s">
        <v>8589</v>
      </c>
      <c r="O179" s="8">
        <f t="shared" si="4"/>
        <v>11.183333333290648</v>
      </c>
      <c r="P179" t="str">
        <f t="shared" si="5"/>
        <v>No</v>
      </c>
    </row>
    <row r="180" spans="1:16" x14ac:dyDescent="0.25">
      <c r="A180" s="2" t="s">
        <v>577</v>
      </c>
      <c r="B180" s="4">
        <v>46113.949305555558</v>
      </c>
      <c r="C180" s="2" t="s">
        <v>67</v>
      </c>
      <c r="D180" s="2" t="s">
        <v>95</v>
      </c>
      <c r="E180" s="2" t="s">
        <v>90</v>
      </c>
      <c r="F180" s="2" t="s">
        <v>55</v>
      </c>
      <c r="G180" s="2" t="s">
        <v>110</v>
      </c>
      <c r="H180" s="2" t="s">
        <v>32</v>
      </c>
      <c r="I180" s="2">
        <v>48</v>
      </c>
      <c r="J180" s="2" t="s">
        <v>106</v>
      </c>
      <c r="K180" s="4">
        <v>46114.988194444442</v>
      </c>
      <c r="L180" s="2" t="s">
        <v>24</v>
      </c>
      <c r="M180" s="2"/>
      <c r="N180" t="s">
        <v>8581</v>
      </c>
      <c r="O180" s="8">
        <f t="shared" si="4"/>
        <v>24.93333333323244</v>
      </c>
      <c r="P180" t="str">
        <f t="shared" si="5"/>
        <v>Yes</v>
      </c>
    </row>
    <row r="181" spans="1:16" x14ac:dyDescent="0.25">
      <c r="A181" s="2" t="s">
        <v>580</v>
      </c>
      <c r="B181" s="4">
        <v>46040.250694444447</v>
      </c>
      <c r="C181" s="2" t="s">
        <v>53</v>
      </c>
      <c r="D181" s="2" t="s">
        <v>61</v>
      </c>
      <c r="E181" s="2" t="s">
        <v>38</v>
      </c>
      <c r="F181" s="2" t="s">
        <v>55</v>
      </c>
      <c r="G181" s="2" t="s">
        <v>110</v>
      </c>
      <c r="H181" s="2" t="s">
        <v>80</v>
      </c>
      <c r="I181" s="2">
        <v>4</v>
      </c>
      <c r="J181" s="2" t="s">
        <v>106</v>
      </c>
      <c r="K181" s="4">
        <v>46040.63958333333</v>
      </c>
      <c r="L181" s="2" t="s">
        <v>24</v>
      </c>
      <c r="M181" s="2"/>
      <c r="N181" t="s">
        <v>8589</v>
      </c>
      <c r="O181" s="8">
        <f t="shared" si="4"/>
        <v>9.3333333331975155</v>
      </c>
      <c r="P181" t="str">
        <f t="shared" si="5"/>
        <v>No</v>
      </c>
    </row>
    <row r="182" spans="1:16" x14ac:dyDescent="0.25">
      <c r="A182" s="2" t="s">
        <v>583</v>
      </c>
      <c r="B182" s="4">
        <v>46044.981249999997</v>
      </c>
      <c r="C182" s="2" t="s">
        <v>53</v>
      </c>
      <c r="D182" s="2" t="s">
        <v>54</v>
      </c>
      <c r="E182" s="2" t="s">
        <v>79</v>
      </c>
      <c r="F182" s="2" t="s">
        <v>55</v>
      </c>
      <c r="G182" s="2" t="s">
        <v>31</v>
      </c>
      <c r="H182" s="2" t="s">
        <v>21</v>
      </c>
      <c r="I182" s="2">
        <v>24</v>
      </c>
      <c r="J182" s="2" t="s">
        <v>106</v>
      </c>
      <c r="K182" s="4">
        <v>46045.821527777778</v>
      </c>
      <c r="L182" s="2" t="s">
        <v>24</v>
      </c>
      <c r="M182" s="2">
        <v>5</v>
      </c>
      <c r="N182" t="s">
        <v>8582</v>
      </c>
      <c r="O182" s="8">
        <f t="shared" si="4"/>
        <v>20.166666666744277</v>
      </c>
      <c r="P182" t="str">
        <f t="shared" si="5"/>
        <v>Yes</v>
      </c>
    </row>
    <row r="183" spans="1:16" x14ac:dyDescent="0.25">
      <c r="A183" s="2" t="s">
        <v>586</v>
      </c>
      <c r="B183" s="4">
        <v>46077.404861111114</v>
      </c>
      <c r="C183" s="2" t="s">
        <v>16</v>
      </c>
      <c r="D183" s="2" t="s">
        <v>84</v>
      </c>
      <c r="E183" s="2" t="s">
        <v>79</v>
      </c>
      <c r="F183" s="2" t="s">
        <v>55</v>
      </c>
      <c r="G183" s="2" t="s">
        <v>110</v>
      </c>
      <c r="H183" s="2" t="s">
        <v>32</v>
      </c>
      <c r="I183" s="2">
        <v>48</v>
      </c>
      <c r="J183" s="2" t="s">
        <v>75</v>
      </c>
      <c r="K183" s="4">
        <v>46081.824305555558</v>
      </c>
      <c r="L183" s="2" t="s">
        <v>24</v>
      </c>
      <c r="M183" s="2">
        <v>5</v>
      </c>
      <c r="N183" t="s">
        <v>8581</v>
      </c>
      <c r="O183" s="8">
        <f t="shared" si="4"/>
        <v>106.06666666665114</v>
      </c>
      <c r="P183" t="str">
        <f t="shared" si="5"/>
        <v>N/A</v>
      </c>
    </row>
    <row r="184" spans="1:16" x14ac:dyDescent="0.25">
      <c r="A184" s="2" t="s">
        <v>589</v>
      </c>
      <c r="B184" s="4">
        <v>46175.238888888889</v>
      </c>
      <c r="C184" s="2" t="s">
        <v>16</v>
      </c>
      <c r="D184" s="2" t="s">
        <v>17</v>
      </c>
      <c r="E184" s="2" t="s">
        <v>148</v>
      </c>
      <c r="F184" s="2" t="s">
        <v>30</v>
      </c>
      <c r="G184" s="2" t="s">
        <v>101</v>
      </c>
      <c r="H184" s="2" t="s">
        <v>21</v>
      </c>
      <c r="I184" s="2">
        <v>24</v>
      </c>
      <c r="J184" s="2" t="s">
        <v>149</v>
      </c>
      <c r="K184" s="4" t="s">
        <v>8590</v>
      </c>
      <c r="L184" s="2" t="s">
        <v>24</v>
      </c>
      <c r="M184" s="2"/>
      <c r="N184" t="s">
        <v>8582</v>
      </c>
      <c r="O184" s="8" t="str">
        <f t="shared" si="4"/>
        <v/>
      </c>
      <c r="P184" t="str">
        <f t="shared" si="5"/>
        <v>N/A</v>
      </c>
    </row>
    <row r="185" spans="1:16" x14ac:dyDescent="0.25">
      <c r="A185" s="2" t="s">
        <v>591</v>
      </c>
      <c r="B185" s="4">
        <v>46028.668749999997</v>
      </c>
      <c r="C185" s="2" t="s">
        <v>67</v>
      </c>
      <c r="D185" s="2" t="s">
        <v>95</v>
      </c>
      <c r="E185" s="2" t="s">
        <v>85</v>
      </c>
      <c r="F185" s="2" t="s">
        <v>55</v>
      </c>
      <c r="G185" s="2" t="s">
        <v>110</v>
      </c>
      <c r="H185" s="2" t="s">
        <v>32</v>
      </c>
      <c r="I185" s="2">
        <v>48</v>
      </c>
      <c r="J185" s="2" t="s">
        <v>287</v>
      </c>
      <c r="K185" s="4" t="s">
        <v>8590</v>
      </c>
      <c r="L185" s="2" t="s">
        <v>24</v>
      </c>
      <c r="M185" s="2"/>
      <c r="N185" t="s">
        <v>8584</v>
      </c>
      <c r="O185" s="8" t="str">
        <f t="shared" si="4"/>
        <v/>
      </c>
      <c r="P185" t="str">
        <f t="shared" si="5"/>
        <v>N/A</v>
      </c>
    </row>
    <row r="186" spans="1:16" x14ac:dyDescent="0.25">
      <c r="A186" s="2" t="s">
        <v>593</v>
      </c>
      <c r="B186" s="4">
        <v>46187.98333333333</v>
      </c>
      <c r="C186" s="2" t="s">
        <v>53</v>
      </c>
      <c r="D186" s="2" t="s">
        <v>61</v>
      </c>
      <c r="E186" s="2" t="s">
        <v>90</v>
      </c>
      <c r="F186" s="2" t="s">
        <v>96</v>
      </c>
      <c r="G186" s="2" t="s">
        <v>101</v>
      </c>
      <c r="H186" s="2" t="s">
        <v>80</v>
      </c>
      <c r="I186" s="2">
        <v>4</v>
      </c>
      <c r="J186" s="2" t="s">
        <v>106</v>
      </c>
      <c r="K186" s="4">
        <v>46188.018750000003</v>
      </c>
      <c r="L186" s="2" t="s">
        <v>24</v>
      </c>
      <c r="M186" s="2"/>
      <c r="N186" t="s">
        <v>8589</v>
      </c>
      <c r="O186" s="8">
        <f t="shared" si="4"/>
        <v>0.85000000015133992</v>
      </c>
      <c r="P186" t="str">
        <f t="shared" si="5"/>
        <v>Yes</v>
      </c>
    </row>
    <row r="187" spans="1:16" x14ac:dyDescent="0.25">
      <c r="A187" s="2" t="s">
        <v>596</v>
      </c>
      <c r="B187" s="4">
        <v>46173.166666666664</v>
      </c>
      <c r="C187" s="2" t="s">
        <v>28</v>
      </c>
      <c r="D187" s="2" t="s">
        <v>100</v>
      </c>
      <c r="E187" s="2" t="s">
        <v>18</v>
      </c>
      <c r="F187" s="2" t="s">
        <v>113</v>
      </c>
      <c r="G187" s="2" t="s">
        <v>110</v>
      </c>
      <c r="H187" s="2" t="s">
        <v>74</v>
      </c>
      <c r="I187" s="2">
        <v>8</v>
      </c>
      <c r="J187" s="2" t="s">
        <v>106</v>
      </c>
      <c r="K187" s="4">
        <v>46173.926388888889</v>
      </c>
      <c r="L187" s="2" t="s">
        <v>24</v>
      </c>
      <c r="M187" s="2">
        <v>4</v>
      </c>
      <c r="N187" t="s">
        <v>8589</v>
      </c>
      <c r="O187" s="8">
        <f t="shared" si="4"/>
        <v>18.233333333395422</v>
      </c>
      <c r="P187" t="str">
        <f t="shared" si="5"/>
        <v>No</v>
      </c>
    </row>
    <row r="188" spans="1:16" x14ac:dyDescent="0.25">
      <c r="A188" s="2" t="s">
        <v>599</v>
      </c>
      <c r="B188" s="4">
        <v>46172.962500000001</v>
      </c>
      <c r="C188" s="2" t="s">
        <v>67</v>
      </c>
      <c r="D188" s="2" t="s">
        <v>68</v>
      </c>
      <c r="E188" s="2" t="s">
        <v>148</v>
      </c>
      <c r="F188" s="2" t="s">
        <v>96</v>
      </c>
      <c r="G188" s="2" t="s">
        <v>110</v>
      </c>
      <c r="H188" s="2" t="s">
        <v>32</v>
      </c>
      <c r="I188" s="2">
        <v>48</v>
      </c>
      <c r="J188" s="2" t="s">
        <v>75</v>
      </c>
      <c r="K188" s="4">
        <v>46174.183333333334</v>
      </c>
      <c r="L188" s="2" t="s">
        <v>24</v>
      </c>
      <c r="M188" s="2">
        <v>1</v>
      </c>
      <c r="N188" t="s">
        <v>8589</v>
      </c>
      <c r="O188" s="8">
        <f t="shared" si="4"/>
        <v>29.299999999988358</v>
      </c>
      <c r="P188" t="str">
        <f t="shared" si="5"/>
        <v>N/A</v>
      </c>
    </row>
    <row r="189" spans="1:16" x14ac:dyDescent="0.25">
      <c r="A189" s="2" t="s">
        <v>603</v>
      </c>
      <c r="B189" s="4">
        <v>46025.343055555553</v>
      </c>
      <c r="C189" s="2" t="s">
        <v>67</v>
      </c>
      <c r="D189" s="2" t="s">
        <v>95</v>
      </c>
      <c r="E189" s="2" t="s">
        <v>18</v>
      </c>
      <c r="F189" s="2" t="s">
        <v>30</v>
      </c>
      <c r="G189" s="2" t="s">
        <v>179</v>
      </c>
      <c r="H189" s="2" t="s">
        <v>21</v>
      </c>
      <c r="I189" s="2">
        <v>24</v>
      </c>
      <c r="J189" s="2" t="s">
        <v>106</v>
      </c>
      <c r="K189" s="4">
        <v>46026.236111111109</v>
      </c>
      <c r="L189" s="2" t="s">
        <v>24</v>
      </c>
      <c r="M189" s="2">
        <v>5</v>
      </c>
      <c r="N189" t="s">
        <v>8584</v>
      </c>
      <c r="O189" s="8">
        <f t="shared" si="4"/>
        <v>21.433333333348855</v>
      </c>
      <c r="P189" t="str">
        <f t="shared" si="5"/>
        <v>Yes</v>
      </c>
    </row>
    <row r="190" spans="1:16" x14ac:dyDescent="0.25">
      <c r="A190" s="2" t="s">
        <v>606</v>
      </c>
      <c r="B190" s="4">
        <v>46059.754166666666</v>
      </c>
      <c r="C190" s="2" t="s">
        <v>28</v>
      </c>
      <c r="D190" s="2" t="s">
        <v>100</v>
      </c>
      <c r="E190" s="2" t="s">
        <v>79</v>
      </c>
      <c r="F190" s="2" t="s">
        <v>113</v>
      </c>
      <c r="G190" s="2" t="s">
        <v>211</v>
      </c>
      <c r="H190" s="2" t="s">
        <v>74</v>
      </c>
      <c r="I190" s="2">
        <v>8</v>
      </c>
      <c r="J190" s="2" t="s">
        <v>106</v>
      </c>
      <c r="K190" s="4">
        <v>46060.011111111111</v>
      </c>
      <c r="L190" s="2" t="s">
        <v>24</v>
      </c>
      <c r="M190" s="2">
        <v>2</v>
      </c>
      <c r="N190" t="s">
        <v>8583</v>
      </c>
      <c r="O190" s="8">
        <f t="shared" si="4"/>
        <v>6.1666666666860692</v>
      </c>
      <c r="P190" t="str">
        <f t="shared" si="5"/>
        <v>Yes</v>
      </c>
    </row>
    <row r="191" spans="1:16" x14ac:dyDescent="0.25">
      <c r="A191" s="2" t="s">
        <v>609</v>
      </c>
      <c r="B191" s="4">
        <v>46175.554861111108</v>
      </c>
      <c r="C191" s="2" t="s">
        <v>67</v>
      </c>
      <c r="D191" s="2" t="s">
        <v>68</v>
      </c>
      <c r="E191" s="2" t="s">
        <v>90</v>
      </c>
      <c r="F191" s="2" t="s">
        <v>96</v>
      </c>
      <c r="G191" s="2" t="s">
        <v>179</v>
      </c>
      <c r="H191" s="2" t="s">
        <v>21</v>
      </c>
      <c r="I191" s="2">
        <v>24</v>
      </c>
      <c r="J191" s="2" t="s">
        <v>106</v>
      </c>
      <c r="K191" s="4">
        <v>46176.37777777778</v>
      </c>
      <c r="L191" s="2" t="s">
        <v>24</v>
      </c>
      <c r="M191" s="2">
        <v>4</v>
      </c>
      <c r="N191" t="s">
        <v>8589</v>
      </c>
      <c r="O191" s="8">
        <f t="shared" si="4"/>
        <v>19.750000000116415</v>
      </c>
      <c r="P191" t="str">
        <f t="shared" si="5"/>
        <v>Yes</v>
      </c>
    </row>
    <row r="192" spans="1:16" x14ac:dyDescent="0.25">
      <c r="A192" s="2" t="s">
        <v>612</v>
      </c>
      <c r="B192" s="4">
        <v>46111.81527777778</v>
      </c>
      <c r="C192" s="2" t="s">
        <v>28</v>
      </c>
      <c r="D192" s="2" t="s">
        <v>37</v>
      </c>
      <c r="E192" s="2" t="s">
        <v>79</v>
      </c>
      <c r="F192" s="2" t="s">
        <v>113</v>
      </c>
      <c r="G192" s="2" t="s">
        <v>110</v>
      </c>
      <c r="H192" s="2" t="s">
        <v>21</v>
      </c>
      <c r="I192" s="2">
        <v>24</v>
      </c>
      <c r="J192" s="2" t="s">
        <v>75</v>
      </c>
      <c r="K192" s="4">
        <v>46114</v>
      </c>
      <c r="L192" s="2" t="s">
        <v>24</v>
      </c>
      <c r="M192" s="2">
        <v>5</v>
      </c>
      <c r="N192" t="s">
        <v>8582</v>
      </c>
      <c r="O192" s="8">
        <f t="shared" si="4"/>
        <v>52.433333333290648</v>
      </c>
      <c r="P192" t="str">
        <f t="shared" si="5"/>
        <v>N/A</v>
      </c>
    </row>
    <row r="193" spans="1:16" x14ac:dyDescent="0.25">
      <c r="A193" s="2" t="s">
        <v>615</v>
      </c>
      <c r="B193" s="4">
        <v>46038.912499999999</v>
      </c>
      <c r="C193" s="2" t="s">
        <v>28</v>
      </c>
      <c r="D193" s="2" t="s">
        <v>37</v>
      </c>
      <c r="E193" s="2" t="s">
        <v>90</v>
      </c>
      <c r="F193" s="2" t="s">
        <v>30</v>
      </c>
      <c r="G193" s="2" t="s">
        <v>211</v>
      </c>
      <c r="H193" s="2" t="s">
        <v>21</v>
      </c>
      <c r="I193" s="2">
        <v>24</v>
      </c>
      <c r="J193" s="2" t="s">
        <v>75</v>
      </c>
      <c r="K193" s="4">
        <v>46039.088194444441</v>
      </c>
      <c r="L193" s="2" t="s">
        <v>24</v>
      </c>
      <c r="M193" s="2"/>
      <c r="N193" t="s">
        <v>8589</v>
      </c>
      <c r="O193" s="8">
        <f t="shared" si="4"/>
        <v>4.21666666661622</v>
      </c>
      <c r="P193" t="str">
        <f t="shared" si="5"/>
        <v>N/A</v>
      </c>
    </row>
    <row r="194" spans="1:16" x14ac:dyDescent="0.25">
      <c r="A194" s="2" t="s">
        <v>618</v>
      </c>
      <c r="B194" s="4">
        <v>46143.679861111108</v>
      </c>
      <c r="C194" s="2" t="s">
        <v>28</v>
      </c>
      <c r="D194" s="2" t="s">
        <v>100</v>
      </c>
      <c r="E194" s="2" t="s">
        <v>18</v>
      </c>
      <c r="F194" s="2" t="s">
        <v>30</v>
      </c>
      <c r="G194" s="2" t="s">
        <v>211</v>
      </c>
      <c r="H194" s="2" t="s">
        <v>32</v>
      </c>
      <c r="I194" s="2">
        <v>48</v>
      </c>
      <c r="J194" s="2" t="s">
        <v>106</v>
      </c>
      <c r="K194" s="4">
        <v>46148.398611111108</v>
      </c>
      <c r="L194" s="2" t="s">
        <v>24</v>
      </c>
      <c r="M194" s="2"/>
      <c r="N194" t="s">
        <v>8589</v>
      </c>
      <c r="O194" s="8">
        <f t="shared" si="4"/>
        <v>113.25</v>
      </c>
      <c r="P194" t="str">
        <f t="shared" si="5"/>
        <v>No</v>
      </c>
    </row>
    <row r="195" spans="1:16" x14ac:dyDescent="0.25">
      <c r="A195" s="2" t="s">
        <v>621</v>
      </c>
      <c r="B195" s="4">
        <v>46260.876388888886</v>
      </c>
      <c r="C195" s="2" t="s">
        <v>28</v>
      </c>
      <c r="D195" s="2" t="s">
        <v>37</v>
      </c>
      <c r="E195" s="2" t="s">
        <v>46</v>
      </c>
      <c r="F195" s="2" t="s">
        <v>96</v>
      </c>
      <c r="G195" s="2" t="s">
        <v>183</v>
      </c>
      <c r="H195" s="2" t="s">
        <v>32</v>
      </c>
      <c r="I195" s="2">
        <v>48</v>
      </c>
      <c r="J195" s="2" t="s">
        <v>8580</v>
      </c>
      <c r="K195" s="4">
        <v>46261.344444444447</v>
      </c>
      <c r="L195" s="2" t="s">
        <v>24</v>
      </c>
      <c r="M195" s="2"/>
      <c r="N195" t="s">
        <v>8589</v>
      </c>
      <c r="O195" s="8">
        <f t="shared" ref="O195:O258" si="6">IF(K195="","",IF(K195="Missing Resolve Date","",(K195-B195)*24))</f>
        <v>11.233333333453629</v>
      </c>
      <c r="P195" t="str">
        <f t="shared" ref="P195:P258" si="7">IF(J195="Resolved",IF(O195&lt;=I195,"Yes","No"),"N/A")</f>
        <v>N/A</v>
      </c>
    </row>
    <row r="196" spans="1:16" x14ac:dyDescent="0.25">
      <c r="A196" s="2" t="s">
        <v>624</v>
      </c>
      <c r="B196" s="4">
        <v>46110.981249999997</v>
      </c>
      <c r="C196" s="2" t="s">
        <v>53</v>
      </c>
      <c r="D196" s="2" t="s">
        <v>61</v>
      </c>
      <c r="E196" s="2" t="s">
        <v>18</v>
      </c>
      <c r="F196" s="2" t="s">
        <v>96</v>
      </c>
      <c r="G196" s="2" t="s">
        <v>183</v>
      </c>
      <c r="H196" s="2" t="s">
        <v>74</v>
      </c>
      <c r="I196" s="2">
        <v>8</v>
      </c>
      <c r="J196" s="2" t="s">
        <v>75</v>
      </c>
      <c r="K196" s="4">
        <v>46111.157638888886</v>
      </c>
      <c r="L196" s="2" t="s">
        <v>24</v>
      </c>
      <c r="M196" s="2"/>
      <c r="N196" t="s">
        <v>8585</v>
      </c>
      <c r="O196" s="8">
        <f t="shared" si="6"/>
        <v>4.2333333333372138</v>
      </c>
      <c r="P196" t="str">
        <f t="shared" si="7"/>
        <v>N/A</v>
      </c>
    </row>
    <row r="197" spans="1:16" x14ac:dyDescent="0.25">
      <c r="A197" s="2" t="s">
        <v>627</v>
      </c>
      <c r="B197" s="4">
        <v>46240.874305555553</v>
      </c>
      <c r="C197" s="2" t="s">
        <v>28</v>
      </c>
      <c r="D197" s="2" t="s">
        <v>100</v>
      </c>
      <c r="E197" s="2" t="s">
        <v>90</v>
      </c>
      <c r="F197" s="2" t="s">
        <v>96</v>
      </c>
      <c r="G197" s="2" t="s">
        <v>101</v>
      </c>
      <c r="H197" s="2" t="s">
        <v>21</v>
      </c>
      <c r="I197" s="2">
        <v>24</v>
      </c>
      <c r="J197" s="2" t="s">
        <v>106</v>
      </c>
      <c r="K197" s="4">
        <v>46241.092361111114</v>
      </c>
      <c r="L197" s="2" t="s">
        <v>92</v>
      </c>
      <c r="M197" s="2">
        <v>5</v>
      </c>
      <c r="N197" t="s">
        <v>8583</v>
      </c>
      <c r="O197" s="8">
        <f t="shared" si="6"/>
        <v>5.2333333334536292</v>
      </c>
      <c r="P197" t="str">
        <f t="shared" si="7"/>
        <v>Yes</v>
      </c>
    </row>
    <row r="198" spans="1:16" x14ac:dyDescent="0.25">
      <c r="A198" s="2" t="s">
        <v>630</v>
      </c>
      <c r="B198" s="4">
        <v>46191.818055555559</v>
      </c>
      <c r="C198" s="2" t="s">
        <v>16</v>
      </c>
      <c r="D198" s="2" t="s">
        <v>17</v>
      </c>
      <c r="E198" s="2" t="s">
        <v>90</v>
      </c>
      <c r="F198" s="2" t="s">
        <v>55</v>
      </c>
      <c r="G198" s="2" t="s">
        <v>101</v>
      </c>
      <c r="H198" s="2" t="s">
        <v>21</v>
      </c>
      <c r="I198" s="2">
        <v>24</v>
      </c>
      <c r="J198" s="2" t="s">
        <v>106</v>
      </c>
      <c r="K198" s="4">
        <v>46192.613194444442</v>
      </c>
      <c r="L198" s="2" t="s">
        <v>24</v>
      </c>
      <c r="M198" s="2">
        <v>2</v>
      </c>
      <c r="N198" t="s">
        <v>8586</v>
      </c>
      <c r="O198" s="8">
        <f t="shared" si="6"/>
        <v>19.083333333197515</v>
      </c>
      <c r="P198" t="str">
        <f t="shared" si="7"/>
        <v>Yes</v>
      </c>
    </row>
    <row r="199" spans="1:16" x14ac:dyDescent="0.25">
      <c r="A199" s="2" t="s">
        <v>633</v>
      </c>
      <c r="B199" s="4">
        <v>46092.774305555555</v>
      </c>
      <c r="C199" s="2" t="s">
        <v>67</v>
      </c>
      <c r="D199" s="2" t="s">
        <v>95</v>
      </c>
      <c r="E199" s="2" t="s">
        <v>148</v>
      </c>
      <c r="F199" s="2" t="s">
        <v>55</v>
      </c>
      <c r="G199" s="2" t="s">
        <v>31</v>
      </c>
      <c r="H199" s="2" t="s">
        <v>32</v>
      </c>
      <c r="I199" s="2">
        <v>48</v>
      </c>
      <c r="J199" s="2" t="s">
        <v>11</v>
      </c>
      <c r="K199" s="4" t="s">
        <v>8590</v>
      </c>
      <c r="L199" s="2" t="s">
        <v>92</v>
      </c>
      <c r="M199" s="2"/>
      <c r="N199" t="s">
        <v>8588</v>
      </c>
      <c r="O199" s="8" t="str">
        <f t="shared" si="6"/>
        <v/>
      </c>
      <c r="P199" t="str">
        <f t="shared" si="7"/>
        <v>N/A</v>
      </c>
    </row>
    <row r="200" spans="1:16" x14ac:dyDescent="0.25">
      <c r="A200" s="2" t="s">
        <v>635</v>
      </c>
      <c r="B200" s="4">
        <v>46102.779861111114</v>
      </c>
      <c r="C200" s="2" t="s">
        <v>16</v>
      </c>
      <c r="D200" s="2" t="s">
        <v>84</v>
      </c>
      <c r="E200" s="2" t="s">
        <v>90</v>
      </c>
      <c r="F200" s="2" t="s">
        <v>30</v>
      </c>
      <c r="G200" s="2" t="s">
        <v>211</v>
      </c>
      <c r="H200" s="2" t="s">
        <v>80</v>
      </c>
      <c r="I200" s="2">
        <v>4</v>
      </c>
      <c r="J200" s="2" t="s">
        <v>106</v>
      </c>
      <c r="K200" s="4">
        <v>46103.15347222222</v>
      </c>
      <c r="L200" s="2" t="s">
        <v>92</v>
      </c>
      <c r="M200" s="2"/>
      <c r="N200" t="s">
        <v>8584</v>
      </c>
      <c r="O200" s="8">
        <f t="shared" si="6"/>
        <v>8.9666666665580124</v>
      </c>
      <c r="P200" t="str">
        <f t="shared" si="7"/>
        <v>No</v>
      </c>
    </row>
    <row r="201" spans="1:16" x14ac:dyDescent="0.25">
      <c r="A201" s="2" t="s">
        <v>638</v>
      </c>
      <c r="B201" s="4">
        <v>46210.22152777778</v>
      </c>
      <c r="C201" s="2" t="s">
        <v>53</v>
      </c>
      <c r="D201" s="2" t="s">
        <v>61</v>
      </c>
      <c r="E201" s="2" t="s">
        <v>18</v>
      </c>
      <c r="F201" s="2" t="s">
        <v>55</v>
      </c>
      <c r="G201" s="2" t="s">
        <v>110</v>
      </c>
      <c r="H201" s="2" t="s">
        <v>74</v>
      </c>
      <c r="I201" s="2">
        <v>8</v>
      </c>
      <c r="J201" s="2" t="s">
        <v>75</v>
      </c>
      <c r="K201" s="4">
        <v>46210.388888888891</v>
      </c>
      <c r="L201" s="2" t="s">
        <v>24</v>
      </c>
      <c r="M201" s="2"/>
      <c r="N201" t="s">
        <v>8581</v>
      </c>
      <c r="O201" s="8">
        <f t="shared" si="6"/>
        <v>4.0166666666627862</v>
      </c>
      <c r="P201" t="str">
        <f t="shared" si="7"/>
        <v>N/A</v>
      </c>
    </row>
    <row r="202" spans="1:16" x14ac:dyDescent="0.25">
      <c r="A202" s="2" t="s">
        <v>641</v>
      </c>
      <c r="B202" s="4">
        <v>46111.777777777781</v>
      </c>
      <c r="C202" s="2" t="s">
        <v>67</v>
      </c>
      <c r="D202" s="2" t="s">
        <v>95</v>
      </c>
      <c r="E202" s="2" t="s">
        <v>38</v>
      </c>
      <c r="F202" s="2" t="s">
        <v>113</v>
      </c>
      <c r="G202" s="2" t="s">
        <v>179</v>
      </c>
      <c r="H202" s="2" t="s">
        <v>32</v>
      </c>
      <c r="I202" s="2">
        <v>48</v>
      </c>
      <c r="J202" s="2" t="s">
        <v>75</v>
      </c>
      <c r="K202" s="4">
        <v>46116.188194444447</v>
      </c>
      <c r="L202" s="2" t="s">
        <v>24</v>
      </c>
      <c r="M202" s="2">
        <v>5</v>
      </c>
      <c r="N202" t="s">
        <v>8581</v>
      </c>
      <c r="O202" s="8">
        <f t="shared" si="6"/>
        <v>105.84999999997672</v>
      </c>
      <c r="P202" t="str">
        <f t="shared" si="7"/>
        <v>N/A</v>
      </c>
    </row>
    <row r="203" spans="1:16" x14ac:dyDescent="0.25">
      <c r="A203" s="2" t="s">
        <v>644</v>
      </c>
      <c r="B203" s="4">
        <v>46047.709027777775</v>
      </c>
      <c r="C203" s="2" t="s">
        <v>16</v>
      </c>
      <c r="D203" s="2" t="s">
        <v>84</v>
      </c>
      <c r="E203" s="2" t="s">
        <v>18</v>
      </c>
      <c r="F203" s="2" t="s">
        <v>113</v>
      </c>
      <c r="G203" s="2" t="s">
        <v>31</v>
      </c>
      <c r="H203" s="2" t="s">
        <v>21</v>
      </c>
      <c r="I203" s="2">
        <v>24</v>
      </c>
      <c r="J203" s="2" t="s">
        <v>106</v>
      </c>
      <c r="K203" s="4">
        <v>46048.171527777777</v>
      </c>
      <c r="L203" s="2" t="s">
        <v>24</v>
      </c>
      <c r="M203" s="2">
        <v>5</v>
      </c>
      <c r="N203" t="s">
        <v>8581</v>
      </c>
      <c r="O203" s="8">
        <f t="shared" si="6"/>
        <v>11.100000000034925</v>
      </c>
      <c r="P203" t="str">
        <f t="shared" si="7"/>
        <v>Yes</v>
      </c>
    </row>
    <row r="204" spans="1:16" x14ac:dyDescent="0.25">
      <c r="A204" s="2" t="s">
        <v>647</v>
      </c>
      <c r="B204" s="4">
        <v>46087.602083333331</v>
      </c>
      <c r="C204" s="2" t="s">
        <v>67</v>
      </c>
      <c r="D204" s="2" t="s">
        <v>95</v>
      </c>
      <c r="E204" s="2" t="s">
        <v>148</v>
      </c>
      <c r="F204" s="2" t="s">
        <v>30</v>
      </c>
      <c r="G204" s="2" t="s">
        <v>110</v>
      </c>
      <c r="H204" s="2" t="s">
        <v>74</v>
      </c>
      <c r="I204" s="2">
        <v>8</v>
      </c>
      <c r="J204" s="2" t="s">
        <v>106</v>
      </c>
      <c r="K204" s="4">
        <v>46087.750694444447</v>
      </c>
      <c r="L204" s="2" t="s">
        <v>24</v>
      </c>
      <c r="M204" s="2">
        <v>5</v>
      </c>
      <c r="N204" t="s">
        <v>8587</v>
      </c>
      <c r="O204" s="8">
        <f t="shared" si="6"/>
        <v>3.5666666667675599</v>
      </c>
      <c r="P204" t="str">
        <f t="shared" si="7"/>
        <v>Yes</v>
      </c>
    </row>
    <row r="205" spans="1:16" x14ac:dyDescent="0.25">
      <c r="A205" s="2" t="s">
        <v>650</v>
      </c>
      <c r="B205" s="4">
        <v>46108.467361111114</v>
      </c>
      <c r="C205" s="2" t="s">
        <v>28</v>
      </c>
      <c r="D205" s="2" t="s">
        <v>100</v>
      </c>
      <c r="E205" s="2" t="s">
        <v>85</v>
      </c>
      <c r="F205" s="2" t="s">
        <v>30</v>
      </c>
      <c r="G205" s="2" t="s">
        <v>183</v>
      </c>
      <c r="H205" s="2" t="s">
        <v>74</v>
      </c>
      <c r="I205" s="2">
        <v>8</v>
      </c>
      <c r="J205" s="2" t="s">
        <v>11</v>
      </c>
      <c r="K205" s="4" t="s">
        <v>8590</v>
      </c>
      <c r="L205" s="2" t="s">
        <v>92</v>
      </c>
      <c r="M205" s="2"/>
      <c r="N205" t="s">
        <v>8589</v>
      </c>
      <c r="O205" s="8" t="str">
        <f t="shared" si="6"/>
        <v/>
      </c>
      <c r="P205" t="str">
        <f t="shared" si="7"/>
        <v>N/A</v>
      </c>
    </row>
    <row r="206" spans="1:16" x14ac:dyDescent="0.25">
      <c r="A206" s="2" t="s">
        <v>652</v>
      </c>
      <c r="B206" s="4">
        <v>46027.784722222219</v>
      </c>
      <c r="C206" s="2" t="s">
        <v>28</v>
      </c>
      <c r="D206" s="2" t="s">
        <v>37</v>
      </c>
      <c r="E206" s="2" t="s">
        <v>38</v>
      </c>
      <c r="F206" s="2" t="s">
        <v>55</v>
      </c>
      <c r="G206" s="2" t="s">
        <v>183</v>
      </c>
      <c r="H206" s="2" t="s">
        <v>21</v>
      </c>
      <c r="I206" s="2">
        <v>24</v>
      </c>
      <c r="J206" s="2" t="s">
        <v>106</v>
      </c>
      <c r="K206" s="4">
        <v>46030.76458333333</v>
      </c>
      <c r="L206" s="2" t="s">
        <v>24</v>
      </c>
      <c r="M206" s="2"/>
      <c r="N206" t="s">
        <v>8586</v>
      </c>
      <c r="O206" s="8">
        <f t="shared" si="6"/>
        <v>71.516666666662786</v>
      </c>
      <c r="P206" t="str">
        <f t="shared" si="7"/>
        <v>No</v>
      </c>
    </row>
    <row r="207" spans="1:16" x14ac:dyDescent="0.25">
      <c r="A207" s="2" t="s">
        <v>655</v>
      </c>
      <c r="B207" s="4">
        <v>46147.229166666664</v>
      </c>
      <c r="C207" s="2" t="s">
        <v>28</v>
      </c>
      <c r="D207" s="2" t="s">
        <v>100</v>
      </c>
      <c r="E207" s="2" t="s">
        <v>18</v>
      </c>
      <c r="F207" s="2" t="s">
        <v>113</v>
      </c>
      <c r="G207" s="2" t="s">
        <v>31</v>
      </c>
      <c r="H207" s="2" t="s">
        <v>80</v>
      </c>
      <c r="I207" s="2">
        <v>4</v>
      </c>
      <c r="J207" s="2" t="s">
        <v>106</v>
      </c>
      <c r="K207" s="4">
        <v>46147.421527777777</v>
      </c>
      <c r="L207" s="2" t="s">
        <v>24</v>
      </c>
      <c r="M207" s="2">
        <v>2</v>
      </c>
      <c r="N207" t="s">
        <v>8582</v>
      </c>
      <c r="O207" s="8">
        <f t="shared" si="6"/>
        <v>4.6166666666977108</v>
      </c>
      <c r="P207" t="str">
        <f t="shared" si="7"/>
        <v>No</v>
      </c>
    </row>
    <row r="208" spans="1:16" x14ac:dyDescent="0.25">
      <c r="A208" s="2" t="s">
        <v>658</v>
      </c>
      <c r="B208" s="4">
        <v>46073.968055555553</v>
      </c>
      <c r="C208" s="2" t="s">
        <v>53</v>
      </c>
      <c r="D208" s="2" t="s">
        <v>61</v>
      </c>
      <c r="E208" s="2" t="s">
        <v>18</v>
      </c>
      <c r="F208" s="2" t="s">
        <v>30</v>
      </c>
      <c r="G208" s="2" t="s">
        <v>183</v>
      </c>
      <c r="H208" s="2" t="s">
        <v>80</v>
      </c>
      <c r="I208" s="2">
        <v>4</v>
      </c>
      <c r="J208" s="2" t="s">
        <v>106</v>
      </c>
      <c r="K208" s="4">
        <v>46073.988888888889</v>
      </c>
      <c r="L208" s="2" t="s">
        <v>24</v>
      </c>
      <c r="M208" s="2">
        <v>5</v>
      </c>
      <c r="N208" t="s">
        <v>8589</v>
      </c>
      <c r="O208" s="8">
        <f t="shared" si="6"/>
        <v>0.50000000005820766</v>
      </c>
      <c r="P208" t="str">
        <f t="shared" si="7"/>
        <v>Yes</v>
      </c>
    </row>
    <row r="209" spans="1:16" x14ac:dyDescent="0.25">
      <c r="A209" s="2" t="s">
        <v>661</v>
      </c>
      <c r="B209" s="4">
        <v>46031.870833333334</v>
      </c>
      <c r="C209" s="2" t="s">
        <v>67</v>
      </c>
      <c r="D209" s="2" t="s">
        <v>95</v>
      </c>
      <c r="E209" s="2" t="s">
        <v>79</v>
      </c>
      <c r="F209" s="2" t="s">
        <v>55</v>
      </c>
      <c r="G209" s="2" t="s">
        <v>110</v>
      </c>
      <c r="H209" s="2" t="s">
        <v>80</v>
      </c>
      <c r="I209" s="2">
        <v>4</v>
      </c>
      <c r="J209" s="2" t="s">
        <v>149</v>
      </c>
      <c r="K209" s="4" t="s">
        <v>8590</v>
      </c>
      <c r="L209" s="2" t="s">
        <v>24</v>
      </c>
      <c r="M209" s="2"/>
      <c r="N209" t="s">
        <v>8588</v>
      </c>
      <c r="O209" s="8" t="str">
        <f t="shared" si="6"/>
        <v/>
      </c>
      <c r="P209" t="str">
        <f t="shared" si="7"/>
        <v>N/A</v>
      </c>
    </row>
    <row r="210" spans="1:16" x14ac:dyDescent="0.25">
      <c r="A210" s="2" t="s">
        <v>663</v>
      </c>
      <c r="B210" s="4">
        <v>46260.206944444442</v>
      </c>
      <c r="C210" s="2" t="s">
        <v>16</v>
      </c>
      <c r="D210" s="2" t="s">
        <v>17</v>
      </c>
      <c r="E210" s="2" t="s">
        <v>18</v>
      </c>
      <c r="F210" s="2" t="s">
        <v>96</v>
      </c>
      <c r="G210" s="2" t="s">
        <v>211</v>
      </c>
      <c r="H210" s="2" t="s">
        <v>74</v>
      </c>
      <c r="I210" s="2">
        <v>8</v>
      </c>
      <c r="J210" s="2" t="s">
        <v>106</v>
      </c>
      <c r="K210" s="4">
        <v>46260.498611111114</v>
      </c>
      <c r="L210" s="2" t="s">
        <v>24</v>
      </c>
      <c r="M210" s="2"/>
      <c r="N210" t="s">
        <v>8589</v>
      </c>
      <c r="O210" s="8">
        <f t="shared" si="6"/>
        <v>7.0000000001164153</v>
      </c>
      <c r="P210" t="str">
        <f t="shared" si="7"/>
        <v>Yes</v>
      </c>
    </row>
    <row r="211" spans="1:16" x14ac:dyDescent="0.25">
      <c r="A211" s="2" t="s">
        <v>666</v>
      </c>
      <c r="B211" s="4">
        <v>46106.426388888889</v>
      </c>
      <c r="C211" s="2" t="s">
        <v>28</v>
      </c>
      <c r="D211" s="2" t="s">
        <v>37</v>
      </c>
      <c r="E211" s="2" t="s">
        <v>148</v>
      </c>
      <c r="F211" s="2" t="s">
        <v>55</v>
      </c>
      <c r="G211" s="2" t="s">
        <v>31</v>
      </c>
      <c r="H211" s="2" t="s">
        <v>32</v>
      </c>
      <c r="I211" s="2">
        <v>48</v>
      </c>
      <c r="J211" s="2" t="s">
        <v>149</v>
      </c>
      <c r="K211" s="4" t="s">
        <v>8590</v>
      </c>
      <c r="L211" s="2" t="s">
        <v>24</v>
      </c>
      <c r="M211" s="2"/>
      <c r="N211" t="s">
        <v>8588</v>
      </c>
      <c r="O211" s="8" t="str">
        <f t="shared" si="6"/>
        <v/>
      </c>
      <c r="P211" t="str">
        <f t="shared" si="7"/>
        <v>N/A</v>
      </c>
    </row>
    <row r="212" spans="1:16" x14ac:dyDescent="0.25">
      <c r="A212" s="2" t="s">
        <v>668</v>
      </c>
      <c r="B212" s="4">
        <v>46122.004166666666</v>
      </c>
      <c r="C212" s="2" t="s">
        <v>16</v>
      </c>
      <c r="D212" s="2" t="s">
        <v>84</v>
      </c>
      <c r="E212" s="2" t="s">
        <v>38</v>
      </c>
      <c r="F212" s="2" t="s">
        <v>30</v>
      </c>
      <c r="G212" s="2" t="s">
        <v>101</v>
      </c>
      <c r="H212" s="2" t="s">
        <v>32</v>
      </c>
      <c r="I212" s="2">
        <v>48</v>
      </c>
      <c r="J212" s="2" t="s">
        <v>11</v>
      </c>
      <c r="K212" s="4" t="s">
        <v>8590</v>
      </c>
      <c r="L212" s="2" t="s">
        <v>92</v>
      </c>
      <c r="M212" s="2"/>
      <c r="N212" t="s">
        <v>8588</v>
      </c>
      <c r="O212" s="8" t="str">
        <f t="shared" si="6"/>
        <v/>
      </c>
      <c r="P212" t="str">
        <f t="shared" si="7"/>
        <v>N/A</v>
      </c>
    </row>
    <row r="213" spans="1:16" x14ac:dyDescent="0.25">
      <c r="A213" s="2" t="s">
        <v>670</v>
      </c>
      <c r="B213" s="4">
        <v>46117.896527777775</v>
      </c>
      <c r="C213" s="2" t="s">
        <v>28</v>
      </c>
      <c r="D213" s="2" t="s">
        <v>37</v>
      </c>
      <c r="E213" s="2" t="s">
        <v>85</v>
      </c>
      <c r="F213" s="2" t="s">
        <v>96</v>
      </c>
      <c r="G213" s="2" t="s">
        <v>101</v>
      </c>
      <c r="H213" s="2" t="s">
        <v>32</v>
      </c>
      <c r="I213" s="2">
        <v>48</v>
      </c>
      <c r="J213" s="2" t="s">
        <v>287</v>
      </c>
      <c r="K213" s="4" t="s">
        <v>8590</v>
      </c>
      <c r="L213" s="2" t="s">
        <v>24</v>
      </c>
      <c r="M213" s="2"/>
      <c r="N213" t="s">
        <v>8589</v>
      </c>
      <c r="O213" s="8" t="str">
        <f t="shared" si="6"/>
        <v/>
      </c>
      <c r="P213" t="str">
        <f t="shared" si="7"/>
        <v>N/A</v>
      </c>
    </row>
    <row r="214" spans="1:16" x14ac:dyDescent="0.25">
      <c r="A214" s="2" t="s">
        <v>672</v>
      </c>
      <c r="B214" s="4">
        <v>46041.643750000003</v>
      </c>
      <c r="C214" s="2" t="s">
        <v>28</v>
      </c>
      <c r="D214" s="2" t="s">
        <v>100</v>
      </c>
      <c r="E214" s="2" t="s">
        <v>18</v>
      </c>
      <c r="F214" s="2" t="s">
        <v>30</v>
      </c>
      <c r="G214" s="2" t="s">
        <v>179</v>
      </c>
      <c r="H214" s="2" t="s">
        <v>21</v>
      </c>
      <c r="I214" s="2">
        <v>24</v>
      </c>
      <c r="J214" s="2" t="s">
        <v>287</v>
      </c>
      <c r="K214" s="4" t="s">
        <v>8590</v>
      </c>
      <c r="L214" s="2" t="s">
        <v>24</v>
      </c>
      <c r="M214" s="2"/>
      <c r="N214" t="s">
        <v>8581</v>
      </c>
      <c r="O214" s="8" t="str">
        <f t="shared" si="6"/>
        <v/>
      </c>
      <c r="P214" t="str">
        <f t="shared" si="7"/>
        <v>N/A</v>
      </c>
    </row>
    <row r="215" spans="1:16" x14ac:dyDescent="0.25">
      <c r="A215" s="2" t="s">
        <v>674</v>
      </c>
      <c r="B215" s="4">
        <v>46147.556944444441</v>
      </c>
      <c r="C215" s="2" t="s">
        <v>28</v>
      </c>
      <c r="D215" s="2" t="s">
        <v>37</v>
      </c>
      <c r="E215" s="2" t="s">
        <v>18</v>
      </c>
      <c r="F215" s="2" t="s">
        <v>55</v>
      </c>
      <c r="G215" s="2" t="s">
        <v>183</v>
      </c>
      <c r="H215" s="2" t="s">
        <v>74</v>
      </c>
      <c r="I215" s="2">
        <v>8</v>
      </c>
      <c r="J215" s="2" t="s">
        <v>106</v>
      </c>
      <c r="K215" s="4">
        <v>46148.288194444445</v>
      </c>
      <c r="L215" s="2" t="s">
        <v>24</v>
      </c>
      <c r="M215" s="2"/>
      <c r="N215" t="s">
        <v>8587</v>
      </c>
      <c r="O215" s="8">
        <f t="shared" si="6"/>
        <v>17.550000000104774</v>
      </c>
      <c r="P215" t="str">
        <f t="shared" si="7"/>
        <v>No</v>
      </c>
    </row>
    <row r="216" spans="1:16" x14ac:dyDescent="0.25">
      <c r="A216" s="2" t="s">
        <v>677</v>
      </c>
      <c r="B216" s="4">
        <v>46068.296527777777</v>
      </c>
      <c r="C216" s="2" t="s">
        <v>53</v>
      </c>
      <c r="D216" s="2" t="s">
        <v>61</v>
      </c>
      <c r="E216" s="2" t="s">
        <v>38</v>
      </c>
      <c r="F216" s="2" t="s">
        <v>96</v>
      </c>
      <c r="G216" s="2" t="s">
        <v>211</v>
      </c>
      <c r="H216" s="2" t="s">
        <v>74</v>
      </c>
      <c r="I216" s="2">
        <v>8</v>
      </c>
      <c r="J216" s="2" t="s">
        <v>287</v>
      </c>
      <c r="K216" s="4" t="s">
        <v>8590</v>
      </c>
      <c r="L216" s="2" t="s">
        <v>24</v>
      </c>
      <c r="M216" s="2"/>
      <c r="N216" t="s">
        <v>8589</v>
      </c>
      <c r="O216" s="8" t="str">
        <f t="shared" si="6"/>
        <v/>
      </c>
      <c r="P216" t="str">
        <f t="shared" si="7"/>
        <v>N/A</v>
      </c>
    </row>
    <row r="217" spans="1:16" x14ac:dyDescent="0.25">
      <c r="A217" s="2" t="s">
        <v>679</v>
      </c>
      <c r="B217" s="4">
        <v>46253.368055555555</v>
      </c>
      <c r="C217" s="2" t="s">
        <v>28</v>
      </c>
      <c r="D217" s="2" t="s">
        <v>37</v>
      </c>
      <c r="E217" s="2" t="s">
        <v>148</v>
      </c>
      <c r="F217" s="2" t="s">
        <v>55</v>
      </c>
      <c r="G217" s="2" t="s">
        <v>211</v>
      </c>
      <c r="H217" s="2" t="s">
        <v>74</v>
      </c>
      <c r="I217" s="2">
        <v>8</v>
      </c>
      <c r="J217" s="2" t="s">
        <v>75</v>
      </c>
      <c r="K217" s="4">
        <v>46253.540277777778</v>
      </c>
      <c r="L217" s="2" t="s">
        <v>92</v>
      </c>
      <c r="M217" s="2"/>
      <c r="N217" t="s">
        <v>8582</v>
      </c>
      <c r="O217" s="8">
        <f t="shared" si="6"/>
        <v>4.1333333333604969</v>
      </c>
      <c r="P217" t="str">
        <f t="shared" si="7"/>
        <v>N/A</v>
      </c>
    </row>
    <row r="218" spans="1:16" x14ac:dyDescent="0.25">
      <c r="A218" s="2" t="s">
        <v>682</v>
      </c>
      <c r="B218" s="4">
        <v>46069.421527777777</v>
      </c>
      <c r="C218" s="2" t="s">
        <v>67</v>
      </c>
      <c r="D218" s="2" t="s">
        <v>95</v>
      </c>
      <c r="E218" s="2" t="s">
        <v>38</v>
      </c>
      <c r="F218" s="2" t="s">
        <v>96</v>
      </c>
      <c r="G218" s="2" t="s">
        <v>183</v>
      </c>
      <c r="H218" s="2" t="s">
        <v>32</v>
      </c>
      <c r="I218" s="2">
        <v>48</v>
      </c>
      <c r="J218" s="2" t="s">
        <v>106</v>
      </c>
      <c r="K218" s="4">
        <v>46069.552083333336</v>
      </c>
      <c r="L218" s="2" t="s">
        <v>24</v>
      </c>
      <c r="M218" s="2">
        <v>5</v>
      </c>
      <c r="N218" t="s">
        <v>8586</v>
      </c>
      <c r="O218" s="8">
        <f t="shared" si="6"/>
        <v>3.1333333334187046</v>
      </c>
      <c r="P218" t="str">
        <f t="shared" si="7"/>
        <v>Yes</v>
      </c>
    </row>
    <row r="219" spans="1:16" x14ac:dyDescent="0.25">
      <c r="A219" s="2" t="s">
        <v>685</v>
      </c>
      <c r="B219" s="4">
        <v>46257.911805555559</v>
      </c>
      <c r="C219" s="2" t="s">
        <v>16</v>
      </c>
      <c r="D219" s="2" t="s">
        <v>84</v>
      </c>
      <c r="E219" s="2" t="s">
        <v>46</v>
      </c>
      <c r="F219" s="2" t="s">
        <v>30</v>
      </c>
      <c r="G219" s="2" t="s">
        <v>183</v>
      </c>
      <c r="H219" s="2" t="s">
        <v>32</v>
      </c>
      <c r="I219" s="2">
        <v>48</v>
      </c>
      <c r="J219" s="2" t="s">
        <v>287</v>
      </c>
      <c r="K219" s="4" t="s">
        <v>8590</v>
      </c>
      <c r="L219" s="2" t="s">
        <v>24</v>
      </c>
      <c r="M219" s="2"/>
      <c r="N219" t="s">
        <v>8587</v>
      </c>
      <c r="O219" s="8" t="str">
        <f t="shared" si="6"/>
        <v/>
      </c>
      <c r="P219" t="str">
        <f t="shared" si="7"/>
        <v>N/A</v>
      </c>
    </row>
    <row r="220" spans="1:16" x14ac:dyDescent="0.25">
      <c r="A220" s="2" t="s">
        <v>687</v>
      </c>
      <c r="B220" s="4">
        <v>46250.543749999997</v>
      </c>
      <c r="C220" s="2" t="s">
        <v>67</v>
      </c>
      <c r="D220" s="2" t="s">
        <v>68</v>
      </c>
      <c r="E220" s="2" t="s">
        <v>46</v>
      </c>
      <c r="F220" s="2" t="s">
        <v>55</v>
      </c>
      <c r="G220" s="2" t="s">
        <v>183</v>
      </c>
      <c r="H220" s="2" t="s">
        <v>21</v>
      </c>
      <c r="I220" s="2">
        <v>24</v>
      </c>
      <c r="J220" s="2" t="s">
        <v>106</v>
      </c>
      <c r="K220" s="4">
        <v>46251.169444444444</v>
      </c>
      <c r="L220" s="2" t="s">
        <v>24</v>
      </c>
      <c r="M220" s="2"/>
      <c r="N220" t="s">
        <v>8589</v>
      </c>
      <c r="O220" s="8">
        <f t="shared" si="6"/>
        <v>15.016666666720994</v>
      </c>
      <c r="P220" t="str">
        <f t="shared" si="7"/>
        <v>Yes</v>
      </c>
    </row>
    <row r="221" spans="1:16" x14ac:dyDescent="0.25">
      <c r="A221" s="2" t="s">
        <v>690</v>
      </c>
      <c r="B221" s="4">
        <v>46117.665277777778</v>
      </c>
      <c r="C221" s="2" t="s">
        <v>67</v>
      </c>
      <c r="D221" s="2" t="s">
        <v>95</v>
      </c>
      <c r="E221" s="2" t="s">
        <v>90</v>
      </c>
      <c r="F221" s="2" t="s">
        <v>30</v>
      </c>
      <c r="G221" s="2" t="s">
        <v>110</v>
      </c>
      <c r="H221" s="2" t="s">
        <v>21</v>
      </c>
      <c r="I221" s="2">
        <v>24</v>
      </c>
      <c r="J221" s="2" t="s">
        <v>149</v>
      </c>
      <c r="K221" s="4" t="s">
        <v>8590</v>
      </c>
      <c r="L221" s="2" t="s">
        <v>24</v>
      </c>
      <c r="M221" s="2"/>
      <c r="N221" t="s">
        <v>8583</v>
      </c>
      <c r="O221" s="8" t="str">
        <f t="shared" si="6"/>
        <v/>
      </c>
      <c r="P221" t="str">
        <f t="shared" si="7"/>
        <v>N/A</v>
      </c>
    </row>
    <row r="222" spans="1:16" x14ac:dyDescent="0.25">
      <c r="A222" s="2" t="s">
        <v>692</v>
      </c>
      <c r="B222" s="4">
        <v>46170.335416666669</v>
      </c>
      <c r="C222" s="2" t="s">
        <v>67</v>
      </c>
      <c r="D222" s="2" t="s">
        <v>68</v>
      </c>
      <c r="E222" s="2" t="s">
        <v>46</v>
      </c>
      <c r="F222" s="2" t="s">
        <v>55</v>
      </c>
      <c r="G222" s="2" t="s">
        <v>101</v>
      </c>
      <c r="H222" s="2" t="s">
        <v>74</v>
      </c>
      <c r="I222" s="2">
        <v>8</v>
      </c>
      <c r="J222" s="2" t="s">
        <v>11</v>
      </c>
      <c r="K222" s="4" t="s">
        <v>8590</v>
      </c>
      <c r="L222" s="2" t="s">
        <v>92</v>
      </c>
      <c r="M222" s="2"/>
      <c r="N222" t="s">
        <v>8589</v>
      </c>
      <c r="O222" s="8" t="str">
        <f t="shared" si="6"/>
        <v/>
      </c>
      <c r="P222" t="str">
        <f t="shared" si="7"/>
        <v>N/A</v>
      </c>
    </row>
    <row r="223" spans="1:16" x14ac:dyDescent="0.25">
      <c r="A223" s="2" t="s">
        <v>694</v>
      </c>
      <c r="B223" s="4">
        <v>46110.146527777775</v>
      </c>
      <c r="C223" s="2" t="s">
        <v>28</v>
      </c>
      <c r="D223" s="2" t="s">
        <v>100</v>
      </c>
      <c r="E223" s="2" t="s">
        <v>79</v>
      </c>
      <c r="F223" s="2" t="s">
        <v>55</v>
      </c>
      <c r="G223" s="2" t="s">
        <v>31</v>
      </c>
      <c r="H223" s="2" t="s">
        <v>74</v>
      </c>
      <c r="I223" s="2">
        <v>8</v>
      </c>
      <c r="J223" s="2" t="s">
        <v>287</v>
      </c>
      <c r="K223" s="4" t="s">
        <v>8590</v>
      </c>
      <c r="L223" s="2" t="s">
        <v>24</v>
      </c>
      <c r="M223" s="2"/>
      <c r="N223" t="s">
        <v>8589</v>
      </c>
      <c r="O223" s="8" t="str">
        <f t="shared" si="6"/>
        <v/>
      </c>
      <c r="P223" t="str">
        <f t="shared" si="7"/>
        <v>N/A</v>
      </c>
    </row>
    <row r="224" spans="1:16" x14ac:dyDescent="0.25">
      <c r="A224" s="2" t="s">
        <v>696</v>
      </c>
      <c r="B224" s="4">
        <v>46257.201388888891</v>
      </c>
      <c r="C224" s="2" t="s">
        <v>67</v>
      </c>
      <c r="D224" s="2" t="s">
        <v>68</v>
      </c>
      <c r="E224" s="2" t="s">
        <v>79</v>
      </c>
      <c r="F224" s="2" t="s">
        <v>55</v>
      </c>
      <c r="G224" s="2" t="s">
        <v>179</v>
      </c>
      <c r="H224" s="2" t="s">
        <v>74</v>
      </c>
      <c r="I224" s="2">
        <v>8</v>
      </c>
      <c r="J224" s="2" t="s">
        <v>149</v>
      </c>
      <c r="K224" s="4" t="s">
        <v>8590</v>
      </c>
      <c r="L224" s="2" t="s">
        <v>24</v>
      </c>
      <c r="M224" s="2"/>
      <c r="N224" t="s">
        <v>8587</v>
      </c>
      <c r="O224" s="8" t="str">
        <f t="shared" si="6"/>
        <v/>
      </c>
      <c r="P224" t="str">
        <f t="shared" si="7"/>
        <v>N/A</v>
      </c>
    </row>
    <row r="225" spans="1:16" x14ac:dyDescent="0.25">
      <c r="A225" s="2" t="s">
        <v>698</v>
      </c>
      <c r="B225" s="4">
        <v>46171.255555555559</v>
      </c>
      <c r="C225" s="2" t="s">
        <v>67</v>
      </c>
      <c r="D225" s="2" t="s">
        <v>95</v>
      </c>
      <c r="E225" s="2" t="s">
        <v>38</v>
      </c>
      <c r="F225" s="2" t="s">
        <v>30</v>
      </c>
      <c r="G225" s="2" t="s">
        <v>179</v>
      </c>
      <c r="H225" s="2" t="s">
        <v>32</v>
      </c>
      <c r="I225" s="2">
        <v>48</v>
      </c>
      <c r="J225" s="2" t="s">
        <v>106</v>
      </c>
      <c r="K225" s="4">
        <v>46175.89166666667</v>
      </c>
      <c r="L225" s="2" t="s">
        <v>92</v>
      </c>
      <c r="M225" s="2">
        <v>1</v>
      </c>
      <c r="N225" t="s">
        <v>8589</v>
      </c>
      <c r="O225" s="8">
        <f t="shared" si="6"/>
        <v>111.26666666666279</v>
      </c>
      <c r="P225" t="str">
        <f t="shared" si="7"/>
        <v>No</v>
      </c>
    </row>
    <row r="226" spans="1:16" x14ac:dyDescent="0.25">
      <c r="A226" s="2" t="s">
        <v>701</v>
      </c>
      <c r="B226" s="4">
        <v>46157.95</v>
      </c>
      <c r="C226" s="2" t="s">
        <v>28</v>
      </c>
      <c r="D226" s="2" t="s">
        <v>100</v>
      </c>
      <c r="E226" s="2" t="s">
        <v>46</v>
      </c>
      <c r="F226" s="2" t="s">
        <v>55</v>
      </c>
      <c r="G226" s="2" t="s">
        <v>101</v>
      </c>
      <c r="H226" s="2" t="s">
        <v>32</v>
      </c>
      <c r="I226" s="2">
        <v>48</v>
      </c>
      <c r="J226" s="2" t="s">
        <v>149</v>
      </c>
      <c r="K226" s="4" t="s">
        <v>8590</v>
      </c>
      <c r="L226" s="2" t="s">
        <v>24</v>
      </c>
      <c r="M226" s="2"/>
      <c r="N226" t="s">
        <v>8583</v>
      </c>
      <c r="O226" s="8" t="str">
        <f t="shared" si="6"/>
        <v/>
      </c>
      <c r="P226" t="str">
        <f t="shared" si="7"/>
        <v>N/A</v>
      </c>
    </row>
    <row r="227" spans="1:16" x14ac:dyDescent="0.25">
      <c r="A227" s="2" t="s">
        <v>703</v>
      </c>
      <c r="B227" s="4">
        <v>46176.084027777775</v>
      </c>
      <c r="C227" s="2" t="s">
        <v>53</v>
      </c>
      <c r="D227" s="2" t="s">
        <v>61</v>
      </c>
      <c r="E227" s="2" t="s">
        <v>46</v>
      </c>
      <c r="F227" s="2" t="s">
        <v>113</v>
      </c>
      <c r="G227" s="2" t="s">
        <v>101</v>
      </c>
      <c r="H227" s="2" t="s">
        <v>21</v>
      </c>
      <c r="I227" s="2">
        <v>24</v>
      </c>
      <c r="J227" s="2" t="s">
        <v>8580</v>
      </c>
      <c r="K227" s="4">
        <v>46176.81527777778</v>
      </c>
      <c r="L227" s="2" t="s">
        <v>24</v>
      </c>
      <c r="M227" s="2"/>
      <c r="N227" t="s">
        <v>8587</v>
      </c>
      <c r="O227" s="8">
        <f t="shared" si="6"/>
        <v>17.550000000104774</v>
      </c>
      <c r="P227" t="str">
        <f t="shared" si="7"/>
        <v>N/A</v>
      </c>
    </row>
    <row r="228" spans="1:16" x14ac:dyDescent="0.25">
      <c r="A228" s="2" t="s">
        <v>706</v>
      </c>
      <c r="B228" s="4">
        <v>46214.943749999999</v>
      </c>
      <c r="C228" s="2" t="s">
        <v>28</v>
      </c>
      <c r="D228" s="2" t="s">
        <v>37</v>
      </c>
      <c r="E228" s="2" t="s">
        <v>85</v>
      </c>
      <c r="F228" s="2" t="s">
        <v>96</v>
      </c>
      <c r="G228" s="2" t="s">
        <v>211</v>
      </c>
      <c r="H228" s="2" t="s">
        <v>74</v>
      </c>
      <c r="I228" s="2">
        <v>8</v>
      </c>
      <c r="J228" s="2" t="s">
        <v>106</v>
      </c>
      <c r="K228" s="4">
        <v>46215.583333333336</v>
      </c>
      <c r="L228" s="2" t="s">
        <v>24</v>
      </c>
      <c r="M228" s="2">
        <v>3</v>
      </c>
      <c r="N228" t="s">
        <v>8583</v>
      </c>
      <c r="O228" s="8">
        <f t="shared" si="6"/>
        <v>15.350000000093132</v>
      </c>
      <c r="P228" t="str">
        <f t="shared" si="7"/>
        <v>No</v>
      </c>
    </row>
    <row r="229" spans="1:16" x14ac:dyDescent="0.25">
      <c r="A229" s="2" t="s">
        <v>709</v>
      </c>
      <c r="B229" s="4">
        <v>46125.691666666666</v>
      </c>
      <c r="C229" s="2" t="s">
        <v>16</v>
      </c>
      <c r="D229" s="2" t="s">
        <v>17</v>
      </c>
      <c r="E229" s="2" t="s">
        <v>46</v>
      </c>
      <c r="F229" s="2" t="s">
        <v>55</v>
      </c>
      <c r="G229" s="2" t="s">
        <v>101</v>
      </c>
      <c r="H229" s="2" t="s">
        <v>74</v>
      </c>
      <c r="I229" s="2">
        <v>8</v>
      </c>
      <c r="J229" s="2" t="s">
        <v>106</v>
      </c>
      <c r="K229" s="4">
        <v>46125.87777777778</v>
      </c>
      <c r="L229" s="2" t="s">
        <v>24</v>
      </c>
      <c r="M229" s="2">
        <v>1</v>
      </c>
      <c r="N229" t="s">
        <v>8589</v>
      </c>
      <c r="O229" s="8">
        <f t="shared" si="6"/>
        <v>4.4666666667326353</v>
      </c>
      <c r="P229" t="str">
        <f t="shared" si="7"/>
        <v>Yes</v>
      </c>
    </row>
    <row r="230" spans="1:16" x14ac:dyDescent="0.25">
      <c r="A230" s="2" t="s">
        <v>712</v>
      </c>
      <c r="B230" s="4">
        <v>46102.81527777778</v>
      </c>
      <c r="C230" s="2" t="s">
        <v>53</v>
      </c>
      <c r="D230" s="2" t="s">
        <v>54</v>
      </c>
      <c r="E230" s="2" t="s">
        <v>148</v>
      </c>
      <c r="F230" s="2" t="s">
        <v>30</v>
      </c>
      <c r="G230" s="2" t="s">
        <v>183</v>
      </c>
      <c r="H230" s="2" t="s">
        <v>32</v>
      </c>
      <c r="I230" s="2">
        <v>48</v>
      </c>
      <c r="J230" s="2" t="s">
        <v>149</v>
      </c>
      <c r="K230" s="4" t="s">
        <v>8590</v>
      </c>
      <c r="L230" s="2" t="s">
        <v>24</v>
      </c>
      <c r="M230" s="2"/>
      <c r="N230" t="s">
        <v>8589</v>
      </c>
      <c r="O230" s="8" t="str">
        <f t="shared" si="6"/>
        <v/>
      </c>
      <c r="P230" t="str">
        <f t="shared" si="7"/>
        <v>N/A</v>
      </c>
    </row>
    <row r="231" spans="1:16" x14ac:dyDescent="0.25">
      <c r="A231" s="2" t="s">
        <v>714</v>
      </c>
      <c r="B231" s="4">
        <v>46152.431250000001</v>
      </c>
      <c r="C231" s="2" t="s">
        <v>67</v>
      </c>
      <c r="D231" s="2" t="s">
        <v>95</v>
      </c>
      <c r="E231" s="2" t="s">
        <v>79</v>
      </c>
      <c r="F231" s="2" t="s">
        <v>30</v>
      </c>
      <c r="G231" s="2" t="s">
        <v>110</v>
      </c>
      <c r="H231" s="2" t="s">
        <v>80</v>
      </c>
      <c r="I231" s="2">
        <v>4</v>
      </c>
      <c r="J231" s="2" t="s">
        <v>287</v>
      </c>
      <c r="K231" s="4" t="s">
        <v>8590</v>
      </c>
      <c r="L231" s="2" t="s">
        <v>24</v>
      </c>
      <c r="M231" s="2"/>
      <c r="N231" t="s">
        <v>8582</v>
      </c>
      <c r="O231" s="8" t="str">
        <f t="shared" si="6"/>
        <v/>
      </c>
      <c r="P231" t="str">
        <f t="shared" si="7"/>
        <v>N/A</v>
      </c>
    </row>
    <row r="232" spans="1:16" x14ac:dyDescent="0.25">
      <c r="A232" s="2" t="s">
        <v>716</v>
      </c>
      <c r="B232" s="4">
        <v>46229.631944444445</v>
      </c>
      <c r="C232" s="2" t="s">
        <v>28</v>
      </c>
      <c r="D232" s="2" t="s">
        <v>100</v>
      </c>
      <c r="E232" s="2" t="s">
        <v>90</v>
      </c>
      <c r="F232" s="2" t="s">
        <v>30</v>
      </c>
      <c r="G232" s="2" t="s">
        <v>110</v>
      </c>
      <c r="H232" s="2" t="s">
        <v>32</v>
      </c>
      <c r="I232" s="2">
        <v>48</v>
      </c>
      <c r="J232" s="2" t="s">
        <v>106</v>
      </c>
      <c r="K232" s="4">
        <v>46231.140972222223</v>
      </c>
      <c r="L232" s="2" t="s">
        <v>24</v>
      </c>
      <c r="M232" s="2">
        <v>4</v>
      </c>
      <c r="N232" t="s">
        <v>8584</v>
      </c>
      <c r="O232" s="8">
        <f t="shared" si="6"/>
        <v>36.216666666674428</v>
      </c>
      <c r="P232" t="str">
        <f t="shared" si="7"/>
        <v>Yes</v>
      </c>
    </row>
    <row r="233" spans="1:16" x14ac:dyDescent="0.25">
      <c r="A233" s="2" t="s">
        <v>719</v>
      </c>
      <c r="B233" s="4">
        <v>46171.425000000003</v>
      </c>
      <c r="C233" s="2" t="s">
        <v>16</v>
      </c>
      <c r="D233" s="2" t="s">
        <v>17</v>
      </c>
      <c r="E233" s="2" t="s">
        <v>46</v>
      </c>
      <c r="F233" s="2" t="s">
        <v>96</v>
      </c>
      <c r="G233" s="2" t="s">
        <v>183</v>
      </c>
      <c r="H233" s="2" t="s">
        <v>32</v>
      </c>
      <c r="I233" s="2">
        <v>48</v>
      </c>
      <c r="J233" s="2" t="s">
        <v>75</v>
      </c>
      <c r="K233" s="4">
        <v>46172.156944444447</v>
      </c>
      <c r="L233" s="2" t="s">
        <v>24</v>
      </c>
      <c r="M233" s="2">
        <v>5</v>
      </c>
      <c r="N233" t="s">
        <v>8583</v>
      </c>
      <c r="O233" s="8">
        <f t="shared" si="6"/>
        <v>17.566666666651145</v>
      </c>
      <c r="P233" t="str">
        <f t="shared" si="7"/>
        <v>N/A</v>
      </c>
    </row>
    <row r="234" spans="1:16" x14ac:dyDescent="0.25">
      <c r="A234" s="2" t="s">
        <v>722</v>
      </c>
      <c r="B234" s="4">
        <v>46121.948611111111</v>
      </c>
      <c r="C234" s="2" t="s">
        <v>67</v>
      </c>
      <c r="D234" s="2" t="s">
        <v>95</v>
      </c>
      <c r="E234" s="2" t="s">
        <v>85</v>
      </c>
      <c r="F234" s="2" t="s">
        <v>96</v>
      </c>
      <c r="G234" s="2" t="s">
        <v>31</v>
      </c>
      <c r="H234" s="2" t="s">
        <v>21</v>
      </c>
      <c r="I234" s="2">
        <v>24</v>
      </c>
      <c r="J234" s="2" t="s">
        <v>11</v>
      </c>
      <c r="K234" s="4" t="s">
        <v>8590</v>
      </c>
      <c r="L234" s="2" t="s">
        <v>92</v>
      </c>
      <c r="M234" s="2"/>
      <c r="N234" t="s">
        <v>8584</v>
      </c>
      <c r="O234" s="8" t="str">
        <f t="shared" si="6"/>
        <v/>
      </c>
      <c r="P234" t="str">
        <f t="shared" si="7"/>
        <v>N/A</v>
      </c>
    </row>
    <row r="235" spans="1:16" x14ac:dyDescent="0.25">
      <c r="A235" s="2" t="s">
        <v>724</v>
      </c>
      <c r="B235" s="4">
        <v>46156.759722222225</v>
      </c>
      <c r="C235" s="2" t="s">
        <v>28</v>
      </c>
      <c r="D235" s="2" t="s">
        <v>37</v>
      </c>
      <c r="E235" s="2" t="s">
        <v>148</v>
      </c>
      <c r="F235" s="2" t="s">
        <v>30</v>
      </c>
      <c r="G235" s="2" t="s">
        <v>179</v>
      </c>
      <c r="H235" s="2" t="s">
        <v>32</v>
      </c>
      <c r="I235" s="2">
        <v>48</v>
      </c>
      <c r="J235" s="2" t="s">
        <v>149</v>
      </c>
      <c r="K235" s="4" t="s">
        <v>8590</v>
      </c>
      <c r="L235" s="2" t="s">
        <v>24</v>
      </c>
      <c r="M235" s="2"/>
      <c r="N235" t="s">
        <v>8589</v>
      </c>
      <c r="O235" s="8" t="str">
        <f t="shared" si="6"/>
        <v/>
      </c>
      <c r="P235" t="str">
        <f t="shared" si="7"/>
        <v>N/A</v>
      </c>
    </row>
    <row r="236" spans="1:16" x14ac:dyDescent="0.25">
      <c r="A236" s="2" t="s">
        <v>726</v>
      </c>
      <c r="B236" s="4">
        <v>46030.177777777775</v>
      </c>
      <c r="C236" s="2" t="s">
        <v>53</v>
      </c>
      <c r="D236" s="2" t="s">
        <v>54</v>
      </c>
      <c r="E236" s="2" t="s">
        <v>85</v>
      </c>
      <c r="F236" s="2" t="s">
        <v>113</v>
      </c>
      <c r="G236" s="2" t="s">
        <v>183</v>
      </c>
      <c r="H236" s="2" t="s">
        <v>74</v>
      </c>
      <c r="I236" s="2">
        <v>8</v>
      </c>
      <c r="J236" s="2" t="s">
        <v>75</v>
      </c>
      <c r="K236" s="4">
        <v>46030.290972222225</v>
      </c>
      <c r="L236" s="2" t="s">
        <v>24</v>
      </c>
      <c r="M236" s="2">
        <v>5</v>
      </c>
      <c r="N236" t="s">
        <v>8587</v>
      </c>
      <c r="O236" s="8">
        <f t="shared" si="6"/>
        <v>2.716666666790843</v>
      </c>
      <c r="P236" t="str">
        <f t="shared" si="7"/>
        <v>N/A</v>
      </c>
    </row>
    <row r="237" spans="1:16" x14ac:dyDescent="0.25">
      <c r="A237" s="2" t="s">
        <v>729</v>
      </c>
      <c r="B237" s="4">
        <v>46199.890277777777</v>
      </c>
      <c r="C237" s="2" t="s">
        <v>67</v>
      </c>
      <c r="D237" s="2" t="s">
        <v>68</v>
      </c>
      <c r="E237" s="2" t="s">
        <v>79</v>
      </c>
      <c r="F237" s="2" t="s">
        <v>113</v>
      </c>
      <c r="G237" s="2" t="s">
        <v>110</v>
      </c>
      <c r="H237" s="2" t="s">
        <v>21</v>
      </c>
      <c r="I237" s="2">
        <v>24</v>
      </c>
      <c r="J237" s="2" t="s">
        <v>106</v>
      </c>
      <c r="K237" s="4">
        <v>46200.239583333336</v>
      </c>
      <c r="L237" s="2" t="s">
        <v>24</v>
      </c>
      <c r="M237" s="2">
        <v>1</v>
      </c>
      <c r="N237" t="s">
        <v>8589</v>
      </c>
      <c r="O237" s="8">
        <f t="shared" si="6"/>
        <v>8.3833333334187046</v>
      </c>
      <c r="P237" t="str">
        <f t="shared" si="7"/>
        <v>Yes</v>
      </c>
    </row>
    <row r="238" spans="1:16" x14ac:dyDescent="0.25">
      <c r="A238" s="2" t="s">
        <v>732</v>
      </c>
      <c r="B238" s="4">
        <v>46072.081250000003</v>
      </c>
      <c r="C238" s="2" t="s">
        <v>28</v>
      </c>
      <c r="D238" s="2" t="s">
        <v>37</v>
      </c>
      <c r="E238" s="2" t="s">
        <v>18</v>
      </c>
      <c r="F238" s="2" t="s">
        <v>30</v>
      </c>
      <c r="G238" s="2" t="s">
        <v>110</v>
      </c>
      <c r="H238" s="2" t="s">
        <v>21</v>
      </c>
      <c r="I238" s="2">
        <v>24</v>
      </c>
      <c r="J238" s="2" t="s">
        <v>75</v>
      </c>
      <c r="K238" s="4">
        <v>46072.309027777781</v>
      </c>
      <c r="L238" s="2" t="s">
        <v>24</v>
      </c>
      <c r="M238" s="2"/>
      <c r="N238" t="s">
        <v>8585</v>
      </c>
      <c r="O238" s="8">
        <f t="shared" si="6"/>
        <v>5.4666666666744277</v>
      </c>
      <c r="P238" t="str">
        <f t="shared" si="7"/>
        <v>N/A</v>
      </c>
    </row>
    <row r="239" spans="1:16" x14ac:dyDescent="0.25">
      <c r="A239" s="2" t="s">
        <v>735</v>
      </c>
      <c r="B239" s="4">
        <v>46216.449305555558</v>
      </c>
      <c r="C239" s="2" t="s">
        <v>53</v>
      </c>
      <c r="D239" s="2" t="s">
        <v>61</v>
      </c>
      <c r="E239" s="2" t="s">
        <v>18</v>
      </c>
      <c r="F239" s="2" t="s">
        <v>113</v>
      </c>
      <c r="G239" s="2" t="s">
        <v>211</v>
      </c>
      <c r="H239" s="2" t="s">
        <v>21</v>
      </c>
      <c r="I239" s="2">
        <v>24</v>
      </c>
      <c r="J239" s="2" t="s">
        <v>106</v>
      </c>
      <c r="K239" s="4">
        <v>46217.714583333334</v>
      </c>
      <c r="L239" s="2" t="s">
        <v>24</v>
      </c>
      <c r="M239" s="2">
        <v>3</v>
      </c>
      <c r="N239" t="s">
        <v>8589</v>
      </c>
      <c r="O239" s="8">
        <f t="shared" si="6"/>
        <v>30.366666666639503</v>
      </c>
      <c r="P239" t="str">
        <f t="shared" si="7"/>
        <v>No</v>
      </c>
    </row>
    <row r="240" spans="1:16" x14ac:dyDescent="0.25">
      <c r="A240" s="2" t="s">
        <v>738</v>
      </c>
      <c r="B240" s="4">
        <v>46246.143055555556</v>
      </c>
      <c r="C240" s="2" t="s">
        <v>16</v>
      </c>
      <c r="D240" s="2" t="s">
        <v>17</v>
      </c>
      <c r="E240" s="2" t="s">
        <v>90</v>
      </c>
      <c r="F240" s="2" t="s">
        <v>30</v>
      </c>
      <c r="G240" s="2" t="s">
        <v>179</v>
      </c>
      <c r="H240" s="2" t="s">
        <v>21</v>
      </c>
      <c r="I240" s="2">
        <v>24</v>
      </c>
      <c r="J240" s="2" t="s">
        <v>75</v>
      </c>
      <c r="K240" s="4">
        <v>46247.677777777775</v>
      </c>
      <c r="L240" s="2" t="s">
        <v>24</v>
      </c>
      <c r="M240" s="2">
        <v>4</v>
      </c>
      <c r="N240" t="s">
        <v>8588</v>
      </c>
      <c r="O240" s="8">
        <f t="shared" si="6"/>
        <v>36.833333333255723</v>
      </c>
      <c r="P240" t="str">
        <f t="shared" si="7"/>
        <v>N/A</v>
      </c>
    </row>
    <row r="241" spans="1:16" x14ac:dyDescent="0.25">
      <c r="A241" s="2" t="s">
        <v>741</v>
      </c>
      <c r="B241" s="4">
        <v>46178.477777777778</v>
      </c>
      <c r="C241" s="2" t="s">
        <v>28</v>
      </c>
      <c r="D241" s="2" t="s">
        <v>37</v>
      </c>
      <c r="E241" s="2" t="s">
        <v>85</v>
      </c>
      <c r="F241" s="2" t="s">
        <v>96</v>
      </c>
      <c r="G241" s="2" t="s">
        <v>101</v>
      </c>
      <c r="H241" s="2" t="s">
        <v>21</v>
      </c>
      <c r="I241" s="2">
        <v>24</v>
      </c>
      <c r="J241" s="2" t="s">
        <v>75</v>
      </c>
      <c r="K241" s="4">
        <v>46178.659722222219</v>
      </c>
      <c r="L241" s="2" t="s">
        <v>24</v>
      </c>
      <c r="M241" s="2">
        <v>2</v>
      </c>
      <c r="N241" t="s">
        <v>8588</v>
      </c>
      <c r="O241" s="8">
        <f t="shared" si="6"/>
        <v>4.3666666665812954</v>
      </c>
      <c r="P241" t="str">
        <f t="shared" si="7"/>
        <v>N/A</v>
      </c>
    </row>
    <row r="242" spans="1:16" x14ac:dyDescent="0.25">
      <c r="A242" s="2" t="s">
        <v>744</v>
      </c>
      <c r="B242" s="4">
        <v>46049.90347222222</v>
      </c>
      <c r="C242" s="2" t="s">
        <v>28</v>
      </c>
      <c r="D242" s="2" t="s">
        <v>100</v>
      </c>
      <c r="E242" s="2" t="s">
        <v>46</v>
      </c>
      <c r="F242" s="2" t="s">
        <v>96</v>
      </c>
      <c r="G242" s="2" t="s">
        <v>110</v>
      </c>
      <c r="H242" s="2" t="s">
        <v>21</v>
      </c>
      <c r="I242" s="2">
        <v>24</v>
      </c>
      <c r="J242" s="2" t="s">
        <v>75</v>
      </c>
      <c r="K242" s="4">
        <v>46050.536111111112</v>
      </c>
      <c r="L242" s="2" t="s">
        <v>24</v>
      </c>
      <c r="M242" s="2">
        <v>2</v>
      </c>
      <c r="N242" t="s">
        <v>8588</v>
      </c>
      <c r="O242" s="8">
        <f t="shared" si="6"/>
        <v>15.183333333407063</v>
      </c>
      <c r="P242" t="str">
        <f t="shared" si="7"/>
        <v>N/A</v>
      </c>
    </row>
    <row r="243" spans="1:16" x14ac:dyDescent="0.25">
      <c r="A243" s="2" t="s">
        <v>747</v>
      </c>
      <c r="B243" s="4">
        <v>46157.15902777778</v>
      </c>
      <c r="C243" s="2" t="s">
        <v>67</v>
      </c>
      <c r="D243" s="2" t="s">
        <v>68</v>
      </c>
      <c r="E243" s="2" t="s">
        <v>46</v>
      </c>
      <c r="F243" s="2" t="s">
        <v>30</v>
      </c>
      <c r="G243" s="2" t="s">
        <v>101</v>
      </c>
      <c r="H243" s="2" t="s">
        <v>74</v>
      </c>
      <c r="I243" s="2">
        <v>8</v>
      </c>
      <c r="J243" s="2" t="s">
        <v>106</v>
      </c>
      <c r="K243" s="4">
        <v>46157.236111111109</v>
      </c>
      <c r="L243" s="2" t="s">
        <v>24</v>
      </c>
      <c r="M243" s="2">
        <v>1</v>
      </c>
      <c r="N243" t="s">
        <v>8583</v>
      </c>
      <c r="O243" s="8">
        <f t="shared" si="6"/>
        <v>1.8499999999185093</v>
      </c>
      <c r="P243" t="str">
        <f t="shared" si="7"/>
        <v>Yes</v>
      </c>
    </row>
    <row r="244" spans="1:16" x14ac:dyDescent="0.25">
      <c r="A244" s="2" t="s">
        <v>750</v>
      </c>
      <c r="B244" s="4">
        <v>46216.432638888888</v>
      </c>
      <c r="C244" s="2" t="s">
        <v>16</v>
      </c>
      <c r="D244" s="2" t="s">
        <v>17</v>
      </c>
      <c r="E244" s="2" t="s">
        <v>18</v>
      </c>
      <c r="F244" s="2" t="s">
        <v>55</v>
      </c>
      <c r="G244" s="2" t="s">
        <v>31</v>
      </c>
      <c r="H244" s="2" t="s">
        <v>80</v>
      </c>
      <c r="I244" s="2">
        <v>4</v>
      </c>
      <c r="J244" s="2" t="s">
        <v>149</v>
      </c>
      <c r="K244" s="4" t="s">
        <v>8590</v>
      </c>
      <c r="L244" s="2" t="s">
        <v>24</v>
      </c>
      <c r="M244" s="2"/>
      <c r="N244" t="s">
        <v>8585</v>
      </c>
      <c r="O244" s="8" t="str">
        <f t="shared" si="6"/>
        <v/>
      </c>
      <c r="P244" t="str">
        <f t="shared" si="7"/>
        <v>N/A</v>
      </c>
    </row>
    <row r="245" spans="1:16" x14ac:dyDescent="0.25">
      <c r="A245" s="2" t="s">
        <v>752</v>
      </c>
      <c r="B245" s="4">
        <v>46206.935416666667</v>
      </c>
      <c r="C245" s="2" t="s">
        <v>28</v>
      </c>
      <c r="D245" s="2" t="s">
        <v>37</v>
      </c>
      <c r="E245" s="2" t="s">
        <v>90</v>
      </c>
      <c r="F245" s="2" t="s">
        <v>30</v>
      </c>
      <c r="G245" s="2" t="s">
        <v>31</v>
      </c>
      <c r="H245" s="2" t="s">
        <v>80</v>
      </c>
      <c r="I245" s="2">
        <v>4</v>
      </c>
      <c r="J245" s="2" t="s">
        <v>75</v>
      </c>
      <c r="K245" s="4" t="s">
        <v>8590</v>
      </c>
      <c r="L245" s="2" t="s">
        <v>24</v>
      </c>
      <c r="M245" s="2">
        <v>2</v>
      </c>
      <c r="N245" t="s">
        <v>8583</v>
      </c>
      <c r="O245" s="8" t="str">
        <f t="shared" si="6"/>
        <v/>
      </c>
      <c r="P245" t="str">
        <f t="shared" si="7"/>
        <v>N/A</v>
      </c>
    </row>
    <row r="246" spans="1:16" x14ac:dyDescent="0.25">
      <c r="A246" s="2" t="s">
        <v>754</v>
      </c>
      <c r="B246" s="4">
        <v>46122.28125</v>
      </c>
      <c r="C246" s="2" t="s">
        <v>53</v>
      </c>
      <c r="D246" s="2" t="s">
        <v>61</v>
      </c>
      <c r="E246" s="2" t="s">
        <v>79</v>
      </c>
      <c r="F246" s="2" t="s">
        <v>30</v>
      </c>
      <c r="G246" s="2" t="s">
        <v>110</v>
      </c>
      <c r="H246" s="2" t="s">
        <v>74</v>
      </c>
      <c r="I246" s="2">
        <v>8</v>
      </c>
      <c r="J246" s="2" t="s">
        <v>75</v>
      </c>
      <c r="K246" s="4">
        <v>46122.385416666664</v>
      </c>
      <c r="L246" s="2" t="s">
        <v>24</v>
      </c>
      <c r="M246" s="2">
        <v>4</v>
      </c>
      <c r="N246" t="s">
        <v>8583</v>
      </c>
      <c r="O246" s="8">
        <f t="shared" si="6"/>
        <v>2.4999999999417923</v>
      </c>
      <c r="P246" t="str">
        <f t="shared" si="7"/>
        <v>N/A</v>
      </c>
    </row>
    <row r="247" spans="1:16" x14ac:dyDescent="0.25">
      <c r="A247" s="2" t="s">
        <v>757</v>
      </c>
      <c r="B247" s="4">
        <v>46100.367361111108</v>
      </c>
      <c r="C247" s="2" t="s">
        <v>16</v>
      </c>
      <c r="D247" s="2" t="s">
        <v>84</v>
      </c>
      <c r="E247" s="2" t="s">
        <v>79</v>
      </c>
      <c r="F247" s="2" t="s">
        <v>30</v>
      </c>
      <c r="G247" s="2" t="s">
        <v>110</v>
      </c>
      <c r="H247" s="2" t="s">
        <v>32</v>
      </c>
      <c r="I247" s="2">
        <v>48</v>
      </c>
      <c r="J247" s="2" t="s">
        <v>75</v>
      </c>
      <c r="K247" s="4">
        <v>46101.259027777778</v>
      </c>
      <c r="L247" s="2" t="s">
        <v>24</v>
      </c>
      <c r="M247" s="2">
        <v>3</v>
      </c>
      <c r="N247" t="s">
        <v>8581</v>
      </c>
      <c r="O247" s="8">
        <f t="shared" si="6"/>
        <v>21.400000000081491</v>
      </c>
      <c r="P247" t="str">
        <f t="shared" si="7"/>
        <v>N/A</v>
      </c>
    </row>
    <row r="248" spans="1:16" x14ac:dyDescent="0.25">
      <c r="A248" s="2" t="s">
        <v>760</v>
      </c>
      <c r="B248" s="4">
        <v>46142.297222222223</v>
      </c>
      <c r="C248" s="2" t="s">
        <v>67</v>
      </c>
      <c r="D248" s="2" t="s">
        <v>68</v>
      </c>
      <c r="E248" s="2" t="s">
        <v>38</v>
      </c>
      <c r="F248" s="2" t="s">
        <v>30</v>
      </c>
      <c r="G248" s="2" t="s">
        <v>211</v>
      </c>
      <c r="H248" s="2" t="s">
        <v>74</v>
      </c>
      <c r="I248" s="2">
        <v>8</v>
      </c>
      <c r="J248" s="2" t="s">
        <v>106</v>
      </c>
      <c r="K248" s="4">
        <v>46142.370833333334</v>
      </c>
      <c r="L248" s="2" t="s">
        <v>92</v>
      </c>
      <c r="M248" s="2">
        <v>2</v>
      </c>
      <c r="N248" t="s">
        <v>8583</v>
      </c>
      <c r="O248" s="8">
        <f t="shared" si="6"/>
        <v>1.7666666666627862</v>
      </c>
      <c r="P248" t="str">
        <f t="shared" si="7"/>
        <v>Yes</v>
      </c>
    </row>
    <row r="249" spans="1:16" x14ac:dyDescent="0.25">
      <c r="A249" s="2" t="s">
        <v>763</v>
      </c>
      <c r="B249" s="4">
        <v>46200.737500000003</v>
      </c>
      <c r="C249" s="2" t="s">
        <v>16</v>
      </c>
      <c r="D249" s="2" t="s">
        <v>17</v>
      </c>
      <c r="E249" s="2" t="s">
        <v>148</v>
      </c>
      <c r="F249" s="2" t="s">
        <v>113</v>
      </c>
      <c r="G249" s="2" t="s">
        <v>31</v>
      </c>
      <c r="H249" s="2" t="s">
        <v>32</v>
      </c>
      <c r="I249" s="2">
        <v>48</v>
      </c>
      <c r="J249" s="2" t="s">
        <v>149</v>
      </c>
      <c r="K249" s="4" t="s">
        <v>8590</v>
      </c>
      <c r="L249" s="2" t="s">
        <v>24</v>
      </c>
      <c r="M249" s="2"/>
      <c r="N249" t="s">
        <v>8589</v>
      </c>
      <c r="O249" s="8" t="str">
        <f t="shared" si="6"/>
        <v/>
      </c>
      <c r="P249" t="str">
        <f t="shared" si="7"/>
        <v>N/A</v>
      </c>
    </row>
    <row r="250" spans="1:16" x14ac:dyDescent="0.25">
      <c r="A250" s="2" t="s">
        <v>766</v>
      </c>
      <c r="B250" s="4">
        <v>46172.009722222225</v>
      </c>
      <c r="C250" s="2" t="s">
        <v>67</v>
      </c>
      <c r="D250" s="2" t="s">
        <v>68</v>
      </c>
      <c r="E250" s="2" t="s">
        <v>46</v>
      </c>
      <c r="F250" s="2" t="s">
        <v>30</v>
      </c>
      <c r="G250" s="2" t="s">
        <v>110</v>
      </c>
      <c r="H250" s="2" t="s">
        <v>32</v>
      </c>
      <c r="I250" s="2">
        <v>48</v>
      </c>
      <c r="J250" s="2" t="s">
        <v>106</v>
      </c>
      <c r="K250" s="4">
        <v>46173.36041666667</v>
      </c>
      <c r="L250" s="2" t="s">
        <v>24</v>
      </c>
      <c r="M250" s="2"/>
      <c r="N250" t="s">
        <v>8586</v>
      </c>
      <c r="O250" s="8">
        <f t="shared" si="6"/>
        <v>32.416666666686069</v>
      </c>
      <c r="P250" t="str">
        <f t="shared" si="7"/>
        <v>Yes</v>
      </c>
    </row>
    <row r="251" spans="1:16" x14ac:dyDescent="0.25">
      <c r="A251" s="2" t="s">
        <v>769</v>
      </c>
      <c r="B251" s="4">
        <v>46163.355555555558</v>
      </c>
      <c r="C251" s="2" t="s">
        <v>53</v>
      </c>
      <c r="D251" s="2" t="s">
        <v>61</v>
      </c>
      <c r="E251" s="2" t="s">
        <v>148</v>
      </c>
      <c r="F251" s="2" t="s">
        <v>113</v>
      </c>
      <c r="G251" s="2" t="s">
        <v>31</v>
      </c>
      <c r="H251" s="2" t="s">
        <v>74</v>
      </c>
      <c r="I251" s="2">
        <v>8</v>
      </c>
      <c r="J251" s="2" t="s">
        <v>75</v>
      </c>
      <c r="K251" s="4">
        <v>46163.618055555555</v>
      </c>
      <c r="L251" s="2" t="s">
        <v>24</v>
      </c>
      <c r="M251" s="2">
        <v>3</v>
      </c>
      <c r="N251" t="s">
        <v>8586</v>
      </c>
      <c r="O251" s="8">
        <f t="shared" si="6"/>
        <v>6.2999999999301508</v>
      </c>
      <c r="P251" t="str">
        <f t="shared" si="7"/>
        <v>N/A</v>
      </c>
    </row>
    <row r="252" spans="1:16" x14ac:dyDescent="0.25">
      <c r="A252" s="2" t="s">
        <v>773</v>
      </c>
      <c r="B252" s="4">
        <v>46159.496527777781</v>
      </c>
      <c r="C252" s="2" t="s">
        <v>28</v>
      </c>
      <c r="D252" s="2" t="s">
        <v>100</v>
      </c>
      <c r="E252" s="2" t="s">
        <v>79</v>
      </c>
      <c r="F252" s="2" t="s">
        <v>55</v>
      </c>
      <c r="G252" s="2" t="s">
        <v>31</v>
      </c>
      <c r="H252" s="2" t="s">
        <v>32</v>
      </c>
      <c r="I252" s="2">
        <v>48</v>
      </c>
      <c r="J252" s="2" t="s">
        <v>106</v>
      </c>
      <c r="K252" s="4" t="s">
        <v>8590</v>
      </c>
      <c r="L252" s="2" t="s">
        <v>24</v>
      </c>
      <c r="M252" s="2">
        <v>3</v>
      </c>
      <c r="N252" t="s">
        <v>8588</v>
      </c>
      <c r="O252" s="8" t="str">
        <f t="shared" si="6"/>
        <v/>
      </c>
      <c r="P252" t="str">
        <f t="shared" si="7"/>
        <v>No</v>
      </c>
    </row>
    <row r="253" spans="1:16" x14ac:dyDescent="0.25">
      <c r="A253" s="2" t="s">
        <v>775</v>
      </c>
      <c r="B253" s="4">
        <v>46088.184027777781</v>
      </c>
      <c r="C253" s="2" t="s">
        <v>53</v>
      </c>
      <c r="D253" s="2" t="s">
        <v>54</v>
      </c>
      <c r="E253" s="2" t="s">
        <v>18</v>
      </c>
      <c r="F253" s="2" t="s">
        <v>55</v>
      </c>
      <c r="G253" s="2" t="s">
        <v>31</v>
      </c>
      <c r="H253" s="2" t="s">
        <v>32</v>
      </c>
      <c r="I253" s="2">
        <v>48</v>
      </c>
      <c r="J253" s="2" t="s">
        <v>106</v>
      </c>
      <c r="K253" s="4">
        <v>46089.70416666667</v>
      </c>
      <c r="L253" s="2" t="s">
        <v>24</v>
      </c>
      <c r="M253" s="2"/>
      <c r="N253" t="s">
        <v>8589</v>
      </c>
      <c r="O253" s="8">
        <f t="shared" si="6"/>
        <v>36.483333333337214</v>
      </c>
      <c r="P253" t="str">
        <f t="shared" si="7"/>
        <v>Yes</v>
      </c>
    </row>
    <row r="254" spans="1:16" x14ac:dyDescent="0.25">
      <c r="A254" s="2" t="s">
        <v>778</v>
      </c>
      <c r="B254" s="4">
        <v>46217.45</v>
      </c>
      <c r="C254" s="2" t="s">
        <v>53</v>
      </c>
      <c r="D254" s="2" t="s">
        <v>54</v>
      </c>
      <c r="E254" s="2" t="s">
        <v>79</v>
      </c>
      <c r="F254" s="2" t="s">
        <v>30</v>
      </c>
      <c r="G254" s="2" t="s">
        <v>110</v>
      </c>
      <c r="H254" s="2" t="s">
        <v>21</v>
      </c>
      <c r="I254" s="2">
        <v>24</v>
      </c>
      <c r="J254" s="2" t="s">
        <v>75</v>
      </c>
      <c r="K254" s="4">
        <v>46217.76666666667</v>
      </c>
      <c r="L254" s="2" t="s">
        <v>24</v>
      </c>
      <c r="M254" s="2">
        <v>5</v>
      </c>
      <c r="N254" t="s">
        <v>8582</v>
      </c>
      <c r="O254" s="8">
        <f t="shared" si="6"/>
        <v>7.6000000001513399</v>
      </c>
      <c r="P254" t="str">
        <f t="shared" si="7"/>
        <v>N/A</v>
      </c>
    </row>
    <row r="255" spans="1:16" x14ac:dyDescent="0.25">
      <c r="A255" s="2" t="s">
        <v>781</v>
      </c>
      <c r="B255" s="4">
        <v>46038.859722222223</v>
      </c>
      <c r="C255" s="2" t="s">
        <v>28</v>
      </c>
      <c r="D255" s="2" t="s">
        <v>37</v>
      </c>
      <c r="E255" s="2" t="s">
        <v>46</v>
      </c>
      <c r="F255" s="2" t="s">
        <v>96</v>
      </c>
      <c r="G255" s="2" t="s">
        <v>183</v>
      </c>
      <c r="H255" s="2" t="s">
        <v>74</v>
      </c>
      <c r="I255" s="2">
        <v>8</v>
      </c>
      <c r="J255" s="2" t="s">
        <v>106</v>
      </c>
      <c r="K255" s="4">
        <v>46039.404166666667</v>
      </c>
      <c r="L255" s="2" t="s">
        <v>24</v>
      </c>
      <c r="M255" s="2"/>
      <c r="N255" t="s">
        <v>8589</v>
      </c>
      <c r="O255" s="8">
        <f t="shared" si="6"/>
        <v>13.066666666651145</v>
      </c>
      <c r="P255" t="str">
        <f t="shared" si="7"/>
        <v>No</v>
      </c>
    </row>
    <row r="256" spans="1:16" x14ac:dyDescent="0.25">
      <c r="A256" s="2" t="s">
        <v>784</v>
      </c>
      <c r="B256" s="4">
        <v>46173.477777777778</v>
      </c>
      <c r="C256" s="2" t="s">
        <v>16</v>
      </c>
      <c r="D256" s="2" t="s">
        <v>17</v>
      </c>
      <c r="E256" s="2" t="s">
        <v>85</v>
      </c>
      <c r="F256" s="2" t="s">
        <v>113</v>
      </c>
      <c r="G256" s="2" t="s">
        <v>211</v>
      </c>
      <c r="H256" s="2" t="s">
        <v>74</v>
      </c>
      <c r="I256" s="2">
        <v>8</v>
      </c>
      <c r="J256" s="2" t="s">
        <v>106</v>
      </c>
      <c r="K256" s="4">
        <v>46173.996527777781</v>
      </c>
      <c r="L256" s="2" t="s">
        <v>24</v>
      </c>
      <c r="M256" s="2">
        <v>5</v>
      </c>
      <c r="N256" t="s">
        <v>8583</v>
      </c>
      <c r="O256" s="8">
        <f t="shared" si="6"/>
        <v>12.450000000069849</v>
      </c>
      <c r="P256" t="str">
        <f t="shared" si="7"/>
        <v>No</v>
      </c>
    </row>
    <row r="257" spans="1:16" x14ac:dyDescent="0.25">
      <c r="A257" s="2" t="s">
        <v>787</v>
      </c>
      <c r="B257" s="4">
        <v>46207.819444444445</v>
      </c>
      <c r="C257" s="2" t="s">
        <v>16</v>
      </c>
      <c r="D257" s="2" t="s">
        <v>84</v>
      </c>
      <c r="E257" s="2" t="s">
        <v>46</v>
      </c>
      <c r="F257" s="2" t="s">
        <v>55</v>
      </c>
      <c r="G257" s="2" t="s">
        <v>211</v>
      </c>
      <c r="H257" s="2" t="s">
        <v>21</v>
      </c>
      <c r="I257" s="2">
        <v>24</v>
      </c>
      <c r="J257" s="2" t="s">
        <v>11</v>
      </c>
      <c r="K257" s="4" t="s">
        <v>8590</v>
      </c>
      <c r="L257" s="2" t="s">
        <v>92</v>
      </c>
      <c r="M257" s="2"/>
      <c r="N257" t="s">
        <v>8582</v>
      </c>
      <c r="O257" s="8" t="str">
        <f t="shared" si="6"/>
        <v/>
      </c>
      <c r="P257" t="str">
        <f t="shared" si="7"/>
        <v>N/A</v>
      </c>
    </row>
    <row r="258" spans="1:16" x14ac:dyDescent="0.25">
      <c r="A258" s="2" t="s">
        <v>789</v>
      </c>
      <c r="B258" s="4">
        <v>46136.453472222223</v>
      </c>
      <c r="C258" s="2" t="s">
        <v>53</v>
      </c>
      <c r="D258" s="2" t="s">
        <v>61</v>
      </c>
      <c r="E258" s="2" t="s">
        <v>90</v>
      </c>
      <c r="F258" s="2" t="s">
        <v>113</v>
      </c>
      <c r="G258" s="2" t="s">
        <v>179</v>
      </c>
      <c r="H258" s="2" t="s">
        <v>80</v>
      </c>
      <c r="I258" s="2">
        <v>4</v>
      </c>
      <c r="J258" s="2" t="s">
        <v>11</v>
      </c>
      <c r="K258" s="4" t="s">
        <v>8590</v>
      </c>
      <c r="L258" s="2" t="s">
        <v>92</v>
      </c>
      <c r="M258" s="2"/>
      <c r="N258" t="s">
        <v>8586</v>
      </c>
      <c r="O258" s="8" t="str">
        <f t="shared" si="6"/>
        <v/>
      </c>
      <c r="P258" t="str">
        <f t="shared" si="7"/>
        <v>N/A</v>
      </c>
    </row>
    <row r="259" spans="1:16" x14ac:dyDescent="0.25">
      <c r="A259" s="2" t="s">
        <v>791</v>
      </c>
      <c r="B259" s="4">
        <v>46130.671527777777</v>
      </c>
      <c r="C259" s="2" t="s">
        <v>67</v>
      </c>
      <c r="D259" s="2" t="s">
        <v>95</v>
      </c>
      <c r="E259" s="2" t="s">
        <v>79</v>
      </c>
      <c r="F259" s="2" t="s">
        <v>113</v>
      </c>
      <c r="G259" s="2" t="s">
        <v>211</v>
      </c>
      <c r="H259" s="2" t="s">
        <v>32</v>
      </c>
      <c r="I259" s="2">
        <v>48</v>
      </c>
      <c r="J259" s="2" t="s">
        <v>106</v>
      </c>
      <c r="K259" s="4">
        <v>46131.413888888892</v>
      </c>
      <c r="L259" s="2" t="s">
        <v>24</v>
      </c>
      <c r="M259" s="2"/>
      <c r="N259" t="s">
        <v>8588</v>
      </c>
      <c r="O259" s="8">
        <f t="shared" ref="O259:O322" si="8">IF(K259="","",IF(K259="Missing Resolve Date","",(K259-B259)*24))</f>
        <v>17.81666666676756</v>
      </c>
      <c r="P259" t="str">
        <f t="shared" ref="P259:P322" si="9">IF(J259="Resolved",IF(O259&lt;=I259,"Yes","No"),"N/A")</f>
        <v>Yes</v>
      </c>
    </row>
    <row r="260" spans="1:16" x14ac:dyDescent="0.25">
      <c r="A260" s="2" t="s">
        <v>794</v>
      </c>
      <c r="B260" s="4">
        <v>46198.45208333333</v>
      </c>
      <c r="C260" s="2" t="s">
        <v>28</v>
      </c>
      <c r="D260" s="2" t="s">
        <v>37</v>
      </c>
      <c r="E260" s="2" t="s">
        <v>18</v>
      </c>
      <c r="F260" s="2" t="s">
        <v>55</v>
      </c>
      <c r="G260" s="2" t="s">
        <v>179</v>
      </c>
      <c r="H260" s="2" t="s">
        <v>21</v>
      </c>
      <c r="I260" s="2">
        <v>24</v>
      </c>
      <c r="J260" s="2" t="s">
        <v>8580</v>
      </c>
      <c r="K260" s="4">
        <v>46198.856249999997</v>
      </c>
      <c r="L260" s="2" t="s">
        <v>24</v>
      </c>
      <c r="M260" s="2"/>
      <c r="N260" t="s">
        <v>8589</v>
      </c>
      <c r="O260" s="8">
        <f t="shared" si="8"/>
        <v>9.7000000000116415</v>
      </c>
      <c r="P260" t="str">
        <f t="shared" si="9"/>
        <v>N/A</v>
      </c>
    </row>
    <row r="261" spans="1:16" x14ac:dyDescent="0.25">
      <c r="A261" s="2" t="s">
        <v>797</v>
      </c>
      <c r="B261" s="4">
        <v>46233.529861111114</v>
      </c>
      <c r="C261" s="2" t="s">
        <v>53</v>
      </c>
      <c r="D261" s="2" t="s">
        <v>61</v>
      </c>
      <c r="E261" s="2" t="s">
        <v>148</v>
      </c>
      <c r="F261" s="2" t="s">
        <v>113</v>
      </c>
      <c r="G261" s="2" t="s">
        <v>110</v>
      </c>
      <c r="H261" s="2" t="s">
        <v>80</v>
      </c>
      <c r="I261" s="2">
        <v>4</v>
      </c>
      <c r="J261" s="2" t="s">
        <v>75</v>
      </c>
      <c r="K261" s="4">
        <v>46233.9</v>
      </c>
      <c r="L261" s="2" t="s">
        <v>24</v>
      </c>
      <c r="M261" s="2"/>
      <c r="N261" t="s">
        <v>8588</v>
      </c>
      <c r="O261" s="8">
        <f t="shared" si="8"/>
        <v>8.8833333333022892</v>
      </c>
      <c r="P261" t="str">
        <f t="shared" si="9"/>
        <v>N/A</v>
      </c>
    </row>
    <row r="262" spans="1:16" x14ac:dyDescent="0.25">
      <c r="A262" s="2" t="s">
        <v>800</v>
      </c>
      <c r="B262" s="4">
        <v>46177.981249999997</v>
      </c>
      <c r="C262" s="2" t="s">
        <v>53</v>
      </c>
      <c r="D262" s="2" t="s">
        <v>54</v>
      </c>
      <c r="E262" s="2" t="s">
        <v>79</v>
      </c>
      <c r="F262" s="2" t="s">
        <v>96</v>
      </c>
      <c r="G262" s="2" t="s">
        <v>31</v>
      </c>
      <c r="H262" s="2" t="s">
        <v>21</v>
      </c>
      <c r="I262" s="2">
        <v>24</v>
      </c>
      <c r="J262" s="2" t="s">
        <v>106</v>
      </c>
      <c r="K262" s="4">
        <v>46178.116666666669</v>
      </c>
      <c r="L262" s="2" t="s">
        <v>24</v>
      </c>
      <c r="M262" s="2">
        <v>5</v>
      </c>
      <c r="N262" t="s">
        <v>8582</v>
      </c>
      <c r="O262" s="8">
        <f t="shared" si="8"/>
        <v>3.2500000001164153</v>
      </c>
      <c r="P262" t="str">
        <f t="shared" si="9"/>
        <v>Yes</v>
      </c>
    </row>
    <row r="263" spans="1:16" x14ac:dyDescent="0.25">
      <c r="A263" s="2" t="s">
        <v>803</v>
      </c>
      <c r="B263" s="4">
        <v>46210.834722222222</v>
      </c>
      <c r="C263" s="2" t="s">
        <v>67</v>
      </c>
      <c r="D263" s="2" t="s">
        <v>95</v>
      </c>
      <c r="E263" s="2" t="s">
        <v>85</v>
      </c>
      <c r="F263" s="2" t="s">
        <v>96</v>
      </c>
      <c r="G263" s="2" t="s">
        <v>101</v>
      </c>
      <c r="H263" s="2" t="s">
        <v>80</v>
      </c>
      <c r="I263" s="2">
        <v>4</v>
      </c>
      <c r="J263" s="2" t="s">
        <v>287</v>
      </c>
      <c r="K263" s="4" t="s">
        <v>8590</v>
      </c>
      <c r="L263" s="2" t="s">
        <v>24</v>
      </c>
      <c r="M263" s="2"/>
      <c r="N263" t="s">
        <v>8588</v>
      </c>
      <c r="O263" s="8" t="str">
        <f t="shared" si="8"/>
        <v/>
      </c>
      <c r="P263" t="str">
        <f t="shared" si="9"/>
        <v>N/A</v>
      </c>
    </row>
    <row r="264" spans="1:16" x14ac:dyDescent="0.25">
      <c r="A264" s="2" t="s">
        <v>805</v>
      </c>
      <c r="B264" s="4">
        <v>46243.337500000001</v>
      </c>
      <c r="C264" s="2" t="s">
        <v>16</v>
      </c>
      <c r="D264" s="2" t="s">
        <v>17</v>
      </c>
      <c r="E264" s="2" t="s">
        <v>46</v>
      </c>
      <c r="F264" s="2" t="s">
        <v>30</v>
      </c>
      <c r="G264" s="2" t="s">
        <v>31</v>
      </c>
      <c r="H264" s="2" t="s">
        <v>32</v>
      </c>
      <c r="I264" s="2">
        <v>48</v>
      </c>
      <c r="J264" s="2" t="s">
        <v>106</v>
      </c>
      <c r="K264" s="4">
        <v>46244.246527777781</v>
      </c>
      <c r="L264" s="2" t="s">
        <v>24</v>
      </c>
      <c r="M264" s="2"/>
      <c r="N264" t="s">
        <v>8584</v>
      </c>
      <c r="O264" s="8">
        <f t="shared" si="8"/>
        <v>21.816666666709352</v>
      </c>
      <c r="P264" t="str">
        <f t="shared" si="9"/>
        <v>Yes</v>
      </c>
    </row>
    <row r="265" spans="1:16" x14ac:dyDescent="0.25">
      <c r="A265" s="2" t="s">
        <v>808</v>
      </c>
      <c r="B265" s="4">
        <v>46232.111805555556</v>
      </c>
      <c r="C265" s="2" t="s">
        <v>16</v>
      </c>
      <c r="D265" s="2" t="s">
        <v>17</v>
      </c>
      <c r="E265" s="2" t="s">
        <v>46</v>
      </c>
      <c r="F265" s="2" t="s">
        <v>113</v>
      </c>
      <c r="G265" s="2" t="s">
        <v>183</v>
      </c>
      <c r="H265" s="2" t="s">
        <v>74</v>
      </c>
      <c r="I265" s="2">
        <v>8</v>
      </c>
      <c r="J265" s="2" t="s">
        <v>75</v>
      </c>
      <c r="K265" s="4">
        <v>46232.304166666669</v>
      </c>
      <c r="L265" s="2" t="s">
        <v>24</v>
      </c>
      <c r="M265" s="2">
        <v>5</v>
      </c>
      <c r="N265" t="s">
        <v>8582</v>
      </c>
      <c r="O265" s="8">
        <f t="shared" si="8"/>
        <v>4.6166666666977108</v>
      </c>
      <c r="P265" t="str">
        <f t="shared" si="9"/>
        <v>N/A</v>
      </c>
    </row>
    <row r="266" spans="1:16" x14ac:dyDescent="0.25">
      <c r="A266" s="2" t="s">
        <v>811</v>
      </c>
      <c r="B266" s="4">
        <v>46177.409722222219</v>
      </c>
      <c r="C266" s="2" t="s">
        <v>28</v>
      </c>
      <c r="D266" s="2" t="s">
        <v>37</v>
      </c>
      <c r="E266" s="2" t="s">
        <v>38</v>
      </c>
      <c r="F266" s="2" t="s">
        <v>30</v>
      </c>
      <c r="G266" s="2" t="s">
        <v>101</v>
      </c>
      <c r="H266" s="2" t="s">
        <v>32</v>
      </c>
      <c r="I266" s="2">
        <v>48</v>
      </c>
      <c r="J266" s="2" t="s">
        <v>287</v>
      </c>
      <c r="K266" s="4" t="s">
        <v>8590</v>
      </c>
      <c r="L266" s="2" t="s">
        <v>24</v>
      </c>
      <c r="M266" s="2"/>
      <c r="N266" t="s">
        <v>8581</v>
      </c>
      <c r="O266" s="8" t="str">
        <f t="shared" si="8"/>
        <v/>
      </c>
      <c r="P266" t="str">
        <f t="shared" si="9"/>
        <v>N/A</v>
      </c>
    </row>
    <row r="267" spans="1:16" x14ac:dyDescent="0.25">
      <c r="A267" s="2" t="s">
        <v>813</v>
      </c>
      <c r="B267" s="4">
        <v>46121.065972222219</v>
      </c>
      <c r="C267" s="2" t="s">
        <v>16</v>
      </c>
      <c r="D267" s="2" t="s">
        <v>17</v>
      </c>
      <c r="E267" s="2" t="s">
        <v>18</v>
      </c>
      <c r="F267" s="2" t="s">
        <v>55</v>
      </c>
      <c r="G267" s="2" t="s">
        <v>110</v>
      </c>
      <c r="H267" s="2" t="s">
        <v>21</v>
      </c>
      <c r="I267" s="2">
        <v>24</v>
      </c>
      <c r="J267" s="2" t="s">
        <v>106</v>
      </c>
      <c r="K267" s="4">
        <v>46121.439583333333</v>
      </c>
      <c r="L267" s="2" t="s">
        <v>24</v>
      </c>
      <c r="M267" s="2">
        <v>5</v>
      </c>
      <c r="N267" t="s">
        <v>8588</v>
      </c>
      <c r="O267" s="8">
        <f t="shared" si="8"/>
        <v>8.9666666667326353</v>
      </c>
      <c r="P267" t="str">
        <f t="shared" si="9"/>
        <v>Yes</v>
      </c>
    </row>
    <row r="268" spans="1:16" x14ac:dyDescent="0.25">
      <c r="A268" s="2" t="s">
        <v>816</v>
      </c>
      <c r="B268" s="4">
        <v>46087.258333333331</v>
      </c>
      <c r="C268" s="2" t="s">
        <v>28</v>
      </c>
      <c r="D268" s="2" t="s">
        <v>100</v>
      </c>
      <c r="E268" s="2" t="s">
        <v>18</v>
      </c>
      <c r="F268" s="2" t="s">
        <v>30</v>
      </c>
      <c r="G268" s="2" t="s">
        <v>183</v>
      </c>
      <c r="H268" s="2" t="s">
        <v>32</v>
      </c>
      <c r="I268" s="2">
        <v>48</v>
      </c>
      <c r="J268" s="2" t="s">
        <v>106</v>
      </c>
      <c r="K268" s="4">
        <v>46088.873611111114</v>
      </c>
      <c r="L268" s="2" t="s">
        <v>24</v>
      </c>
      <c r="M268" s="2">
        <v>5</v>
      </c>
      <c r="N268" t="s">
        <v>8589</v>
      </c>
      <c r="O268" s="8">
        <f t="shared" si="8"/>
        <v>38.766666666779201</v>
      </c>
      <c r="P268" t="str">
        <f t="shared" si="9"/>
        <v>Yes</v>
      </c>
    </row>
    <row r="269" spans="1:16" x14ac:dyDescent="0.25">
      <c r="A269" s="2" t="s">
        <v>819</v>
      </c>
      <c r="B269" s="4">
        <v>46101.243750000001</v>
      </c>
      <c r="C269" s="2" t="s">
        <v>28</v>
      </c>
      <c r="D269" s="2" t="s">
        <v>37</v>
      </c>
      <c r="E269" s="2" t="s">
        <v>38</v>
      </c>
      <c r="F269" s="2" t="s">
        <v>55</v>
      </c>
      <c r="G269" s="2" t="s">
        <v>179</v>
      </c>
      <c r="H269" s="2" t="s">
        <v>32</v>
      </c>
      <c r="I269" s="2">
        <v>48</v>
      </c>
      <c r="J269" s="2" t="s">
        <v>75</v>
      </c>
      <c r="K269" s="4">
        <v>46106.556944444441</v>
      </c>
      <c r="L269" s="2" t="s">
        <v>92</v>
      </c>
      <c r="M269" s="2">
        <v>5</v>
      </c>
      <c r="N269" t="s">
        <v>8589</v>
      </c>
      <c r="O269" s="8">
        <f t="shared" si="8"/>
        <v>127.51666666654637</v>
      </c>
      <c r="P269" t="str">
        <f t="shared" si="9"/>
        <v>N/A</v>
      </c>
    </row>
    <row r="270" spans="1:16" x14ac:dyDescent="0.25">
      <c r="A270" s="2" t="s">
        <v>822</v>
      </c>
      <c r="B270" s="4">
        <v>46242.873611111114</v>
      </c>
      <c r="C270" s="2" t="s">
        <v>16</v>
      </c>
      <c r="D270" s="2" t="s">
        <v>84</v>
      </c>
      <c r="E270" s="2" t="s">
        <v>148</v>
      </c>
      <c r="F270" s="2" t="s">
        <v>55</v>
      </c>
      <c r="G270" s="2" t="s">
        <v>101</v>
      </c>
      <c r="H270" s="2" t="s">
        <v>32</v>
      </c>
      <c r="I270" s="2">
        <v>48</v>
      </c>
      <c r="J270" s="2" t="s">
        <v>75</v>
      </c>
      <c r="K270" s="4">
        <v>46243.59652777778</v>
      </c>
      <c r="L270" s="2" t="s">
        <v>24</v>
      </c>
      <c r="M270" s="2">
        <v>2</v>
      </c>
      <c r="N270" t="s">
        <v>8588</v>
      </c>
      <c r="O270" s="8">
        <f t="shared" si="8"/>
        <v>17.349999999976717</v>
      </c>
      <c r="P270" t="str">
        <f t="shared" si="9"/>
        <v>N/A</v>
      </c>
    </row>
    <row r="271" spans="1:16" x14ac:dyDescent="0.25">
      <c r="A271" s="2" t="s">
        <v>825</v>
      </c>
      <c r="B271" s="4">
        <v>46107.050694444442</v>
      </c>
      <c r="C271" s="2" t="s">
        <v>53</v>
      </c>
      <c r="D271" s="2" t="s">
        <v>54</v>
      </c>
      <c r="E271" s="2" t="s">
        <v>85</v>
      </c>
      <c r="F271" s="2" t="s">
        <v>55</v>
      </c>
      <c r="G271" s="2" t="s">
        <v>110</v>
      </c>
      <c r="H271" s="2" t="s">
        <v>32</v>
      </c>
      <c r="I271" s="2">
        <v>48</v>
      </c>
      <c r="J271" s="2" t="s">
        <v>287</v>
      </c>
      <c r="K271" s="4" t="s">
        <v>8590</v>
      </c>
      <c r="L271" s="2" t="s">
        <v>24</v>
      </c>
      <c r="M271" s="2"/>
      <c r="N271" t="s">
        <v>8583</v>
      </c>
      <c r="O271" s="8" t="str">
        <f t="shared" si="8"/>
        <v/>
      </c>
      <c r="P271" t="str">
        <f t="shared" si="9"/>
        <v>N/A</v>
      </c>
    </row>
    <row r="272" spans="1:16" x14ac:dyDescent="0.25">
      <c r="A272" s="2" t="s">
        <v>827</v>
      </c>
      <c r="B272" s="4">
        <v>46112.340277777781</v>
      </c>
      <c r="C272" s="2" t="s">
        <v>67</v>
      </c>
      <c r="D272" s="2" t="s">
        <v>68</v>
      </c>
      <c r="E272" s="2" t="s">
        <v>148</v>
      </c>
      <c r="F272" s="2" t="s">
        <v>96</v>
      </c>
      <c r="G272" s="2" t="s">
        <v>183</v>
      </c>
      <c r="H272" s="2" t="s">
        <v>74</v>
      </c>
      <c r="I272" s="2">
        <v>8</v>
      </c>
      <c r="J272" s="2" t="s">
        <v>11</v>
      </c>
      <c r="K272" s="4" t="s">
        <v>8590</v>
      </c>
      <c r="L272" s="2" t="s">
        <v>92</v>
      </c>
      <c r="M272" s="2"/>
      <c r="N272" t="s">
        <v>8589</v>
      </c>
      <c r="O272" s="8" t="str">
        <f t="shared" si="8"/>
        <v/>
      </c>
      <c r="P272" t="str">
        <f t="shared" si="9"/>
        <v>N/A</v>
      </c>
    </row>
    <row r="273" spans="1:16" x14ac:dyDescent="0.25">
      <c r="A273" s="2" t="s">
        <v>829</v>
      </c>
      <c r="B273" s="4">
        <v>46092.330555555556</v>
      </c>
      <c r="C273" s="2" t="s">
        <v>28</v>
      </c>
      <c r="D273" s="2" t="s">
        <v>100</v>
      </c>
      <c r="E273" s="2" t="s">
        <v>85</v>
      </c>
      <c r="F273" s="2" t="s">
        <v>55</v>
      </c>
      <c r="G273" s="2" t="s">
        <v>101</v>
      </c>
      <c r="H273" s="2" t="s">
        <v>32</v>
      </c>
      <c r="I273" s="2">
        <v>48</v>
      </c>
      <c r="J273" s="2" t="s">
        <v>75</v>
      </c>
      <c r="K273" s="4">
        <v>46096.625694444447</v>
      </c>
      <c r="L273" s="2" t="s">
        <v>24</v>
      </c>
      <c r="M273" s="2">
        <v>4</v>
      </c>
      <c r="N273" t="s">
        <v>8589</v>
      </c>
      <c r="O273" s="8">
        <f t="shared" si="8"/>
        <v>103.08333333337214</v>
      </c>
      <c r="P273" t="str">
        <f t="shared" si="9"/>
        <v>N/A</v>
      </c>
    </row>
    <row r="274" spans="1:16" x14ac:dyDescent="0.25">
      <c r="A274" s="2" t="s">
        <v>832</v>
      </c>
      <c r="B274" s="4">
        <v>46058.522222222222</v>
      </c>
      <c r="C274" s="2" t="s">
        <v>67</v>
      </c>
      <c r="D274" s="2" t="s">
        <v>95</v>
      </c>
      <c r="E274" s="2" t="s">
        <v>85</v>
      </c>
      <c r="F274" s="2" t="s">
        <v>113</v>
      </c>
      <c r="G274" s="2" t="s">
        <v>101</v>
      </c>
      <c r="H274" s="2" t="s">
        <v>32</v>
      </c>
      <c r="I274" s="2">
        <v>48</v>
      </c>
      <c r="J274" s="2" t="s">
        <v>149</v>
      </c>
      <c r="K274" s="4" t="s">
        <v>8590</v>
      </c>
      <c r="L274" s="2" t="s">
        <v>24</v>
      </c>
      <c r="M274" s="2"/>
      <c r="N274" t="s">
        <v>8582</v>
      </c>
      <c r="O274" s="8" t="str">
        <f t="shared" si="8"/>
        <v/>
      </c>
      <c r="P274" t="str">
        <f t="shared" si="9"/>
        <v>N/A</v>
      </c>
    </row>
    <row r="275" spans="1:16" x14ac:dyDescent="0.25">
      <c r="A275" s="2" t="s">
        <v>834</v>
      </c>
      <c r="B275" s="4">
        <v>46216.2</v>
      </c>
      <c r="C275" s="2" t="s">
        <v>53</v>
      </c>
      <c r="D275" s="2" t="s">
        <v>61</v>
      </c>
      <c r="E275" s="2" t="s">
        <v>90</v>
      </c>
      <c r="F275" s="2" t="s">
        <v>113</v>
      </c>
      <c r="G275" s="2" t="s">
        <v>211</v>
      </c>
      <c r="H275" s="2" t="s">
        <v>32</v>
      </c>
      <c r="I275" s="2">
        <v>48</v>
      </c>
      <c r="J275" s="2" t="s">
        <v>75</v>
      </c>
      <c r="K275" s="4">
        <v>46216.807638888888</v>
      </c>
      <c r="L275" s="2" t="s">
        <v>24</v>
      </c>
      <c r="M275" s="2">
        <v>5</v>
      </c>
      <c r="N275" t="s">
        <v>8588</v>
      </c>
      <c r="O275" s="8">
        <f t="shared" si="8"/>
        <v>14.583333333372138</v>
      </c>
      <c r="P275" t="str">
        <f t="shared" si="9"/>
        <v>N/A</v>
      </c>
    </row>
    <row r="276" spans="1:16" x14ac:dyDescent="0.25">
      <c r="A276" s="2" t="s">
        <v>837</v>
      </c>
      <c r="B276" s="4">
        <v>46105.591666666667</v>
      </c>
      <c r="C276" s="2" t="s">
        <v>16</v>
      </c>
      <c r="D276" s="2" t="s">
        <v>84</v>
      </c>
      <c r="E276" s="2" t="s">
        <v>90</v>
      </c>
      <c r="F276" s="2" t="s">
        <v>113</v>
      </c>
      <c r="G276" s="2" t="s">
        <v>179</v>
      </c>
      <c r="H276" s="2" t="s">
        <v>32</v>
      </c>
      <c r="I276" s="2">
        <v>48</v>
      </c>
      <c r="J276" s="2" t="s">
        <v>106</v>
      </c>
      <c r="K276" s="4">
        <v>46106.573611111111</v>
      </c>
      <c r="L276" s="2" t="s">
        <v>24</v>
      </c>
      <c r="M276" s="2">
        <v>3</v>
      </c>
      <c r="N276" t="s">
        <v>8585</v>
      </c>
      <c r="O276" s="8">
        <f t="shared" si="8"/>
        <v>23.566666666651145</v>
      </c>
      <c r="P276" t="str">
        <f t="shared" si="9"/>
        <v>Yes</v>
      </c>
    </row>
    <row r="277" spans="1:16" x14ac:dyDescent="0.25">
      <c r="A277" s="2" t="s">
        <v>840</v>
      </c>
      <c r="B277" s="4">
        <v>46253.727083333331</v>
      </c>
      <c r="C277" s="2" t="s">
        <v>28</v>
      </c>
      <c r="D277" s="2" t="s">
        <v>37</v>
      </c>
      <c r="E277" s="2" t="s">
        <v>79</v>
      </c>
      <c r="F277" s="2" t="s">
        <v>30</v>
      </c>
      <c r="G277" s="2" t="s">
        <v>101</v>
      </c>
      <c r="H277" s="2" t="s">
        <v>74</v>
      </c>
      <c r="I277" s="2">
        <v>8</v>
      </c>
      <c r="J277" s="2" t="s">
        <v>149</v>
      </c>
      <c r="K277" s="4" t="s">
        <v>8590</v>
      </c>
      <c r="L277" s="2" t="s">
        <v>24</v>
      </c>
      <c r="M277" s="2"/>
      <c r="N277" t="s">
        <v>8584</v>
      </c>
      <c r="O277" s="8" t="str">
        <f t="shared" si="8"/>
        <v/>
      </c>
      <c r="P277" t="str">
        <f t="shared" si="9"/>
        <v>N/A</v>
      </c>
    </row>
    <row r="278" spans="1:16" x14ac:dyDescent="0.25">
      <c r="A278" s="2" t="s">
        <v>842</v>
      </c>
      <c r="B278" s="4">
        <v>46064.996527777781</v>
      </c>
      <c r="C278" s="2" t="s">
        <v>28</v>
      </c>
      <c r="D278" s="2" t="s">
        <v>37</v>
      </c>
      <c r="E278" s="2" t="s">
        <v>18</v>
      </c>
      <c r="F278" s="2" t="s">
        <v>30</v>
      </c>
      <c r="G278" s="2" t="s">
        <v>110</v>
      </c>
      <c r="H278" s="2" t="s">
        <v>21</v>
      </c>
      <c r="I278" s="2">
        <v>24</v>
      </c>
      <c r="J278" s="2" t="s">
        <v>75</v>
      </c>
      <c r="K278" s="4">
        <v>46065.347222222219</v>
      </c>
      <c r="L278" s="2" t="s">
        <v>24</v>
      </c>
      <c r="M278" s="2">
        <v>5</v>
      </c>
      <c r="N278" t="s">
        <v>8582</v>
      </c>
      <c r="O278" s="8">
        <f t="shared" si="8"/>
        <v>8.4166666665114462</v>
      </c>
      <c r="P278" t="str">
        <f t="shared" si="9"/>
        <v>N/A</v>
      </c>
    </row>
    <row r="279" spans="1:16" x14ac:dyDescent="0.25">
      <c r="A279" s="2" t="s">
        <v>845</v>
      </c>
      <c r="B279" s="4">
        <v>46031.45208333333</v>
      </c>
      <c r="C279" s="2" t="s">
        <v>16</v>
      </c>
      <c r="D279" s="2" t="s">
        <v>17</v>
      </c>
      <c r="E279" s="2" t="s">
        <v>85</v>
      </c>
      <c r="F279" s="2" t="s">
        <v>55</v>
      </c>
      <c r="G279" s="2" t="s">
        <v>211</v>
      </c>
      <c r="H279" s="2" t="s">
        <v>74</v>
      </c>
      <c r="I279" s="2">
        <v>8</v>
      </c>
      <c r="J279" s="2" t="s">
        <v>106</v>
      </c>
      <c r="K279" s="4">
        <v>46031.490972222222</v>
      </c>
      <c r="L279" s="2" t="s">
        <v>24</v>
      </c>
      <c r="M279" s="2">
        <v>5</v>
      </c>
      <c r="N279" t="s">
        <v>8584</v>
      </c>
      <c r="O279" s="8">
        <f t="shared" si="8"/>
        <v>0.93333333340706304</v>
      </c>
      <c r="P279" t="str">
        <f t="shared" si="9"/>
        <v>Yes</v>
      </c>
    </row>
    <row r="280" spans="1:16" x14ac:dyDescent="0.25">
      <c r="A280" s="2" t="s">
        <v>848</v>
      </c>
      <c r="B280" s="4">
        <v>46106.685416666667</v>
      </c>
      <c r="C280" s="2" t="s">
        <v>28</v>
      </c>
      <c r="D280" s="2" t="s">
        <v>100</v>
      </c>
      <c r="E280" s="2" t="s">
        <v>38</v>
      </c>
      <c r="F280" s="2" t="s">
        <v>113</v>
      </c>
      <c r="G280" s="2" t="s">
        <v>101</v>
      </c>
      <c r="H280" s="2" t="s">
        <v>21</v>
      </c>
      <c r="I280" s="2">
        <v>24</v>
      </c>
      <c r="J280" s="2" t="s">
        <v>75</v>
      </c>
      <c r="K280" s="4">
        <v>46107.117361111108</v>
      </c>
      <c r="L280" s="2" t="s">
        <v>24</v>
      </c>
      <c r="M280" s="2">
        <v>3</v>
      </c>
      <c r="N280" t="s">
        <v>8581</v>
      </c>
      <c r="O280" s="8">
        <f t="shared" si="8"/>
        <v>10.366666666581295</v>
      </c>
      <c r="P280" t="str">
        <f t="shared" si="9"/>
        <v>N/A</v>
      </c>
    </row>
    <row r="281" spans="1:16" x14ac:dyDescent="0.25">
      <c r="A281" s="2" t="s">
        <v>851</v>
      </c>
      <c r="B281" s="4">
        <v>46147.953472222223</v>
      </c>
      <c r="C281" s="2" t="s">
        <v>28</v>
      </c>
      <c r="D281" s="2" t="s">
        <v>100</v>
      </c>
      <c r="E281" s="2" t="s">
        <v>90</v>
      </c>
      <c r="F281" s="2" t="s">
        <v>96</v>
      </c>
      <c r="G281" s="2" t="s">
        <v>101</v>
      </c>
      <c r="H281" s="2" t="s">
        <v>32</v>
      </c>
      <c r="I281" s="2">
        <v>48</v>
      </c>
      <c r="J281" s="2" t="s">
        <v>11</v>
      </c>
      <c r="K281" s="4" t="s">
        <v>8590</v>
      </c>
      <c r="L281" s="2" t="s">
        <v>92</v>
      </c>
      <c r="M281" s="2"/>
      <c r="N281" t="s">
        <v>8589</v>
      </c>
      <c r="O281" s="8" t="str">
        <f t="shared" si="8"/>
        <v/>
      </c>
      <c r="P281" t="str">
        <f t="shared" si="9"/>
        <v>N/A</v>
      </c>
    </row>
    <row r="282" spans="1:16" x14ac:dyDescent="0.25">
      <c r="A282" s="2" t="s">
        <v>853</v>
      </c>
      <c r="B282" s="4">
        <v>46185.036805555559</v>
      </c>
      <c r="C282" s="2" t="s">
        <v>28</v>
      </c>
      <c r="D282" s="2" t="s">
        <v>100</v>
      </c>
      <c r="E282" s="2" t="s">
        <v>90</v>
      </c>
      <c r="F282" s="2" t="s">
        <v>96</v>
      </c>
      <c r="G282" s="2" t="s">
        <v>31</v>
      </c>
      <c r="H282" s="2" t="s">
        <v>32</v>
      </c>
      <c r="I282" s="2">
        <v>48</v>
      </c>
      <c r="J282" s="2" t="s">
        <v>149</v>
      </c>
      <c r="K282" s="4" t="s">
        <v>8590</v>
      </c>
      <c r="L282" s="2" t="s">
        <v>24</v>
      </c>
      <c r="M282" s="2"/>
      <c r="N282" t="s">
        <v>8584</v>
      </c>
      <c r="O282" s="8" t="str">
        <f t="shared" si="8"/>
        <v/>
      </c>
      <c r="P282" t="str">
        <f t="shared" si="9"/>
        <v>N/A</v>
      </c>
    </row>
    <row r="283" spans="1:16" x14ac:dyDescent="0.25">
      <c r="A283" s="2" t="s">
        <v>855</v>
      </c>
      <c r="B283" s="4">
        <v>46060.370138888888</v>
      </c>
      <c r="C283" s="2" t="s">
        <v>28</v>
      </c>
      <c r="D283" s="2" t="s">
        <v>100</v>
      </c>
      <c r="E283" s="2" t="s">
        <v>46</v>
      </c>
      <c r="F283" s="2" t="s">
        <v>30</v>
      </c>
      <c r="G283" s="2" t="s">
        <v>31</v>
      </c>
      <c r="H283" s="2" t="s">
        <v>32</v>
      </c>
      <c r="I283" s="2">
        <v>48</v>
      </c>
      <c r="J283" s="2" t="s">
        <v>11</v>
      </c>
      <c r="K283" s="4" t="s">
        <v>8590</v>
      </c>
      <c r="L283" s="2" t="s">
        <v>92</v>
      </c>
      <c r="M283" s="2"/>
      <c r="N283" t="s">
        <v>8583</v>
      </c>
      <c r="O283" s="8" t="str">
        <f t="shared" si="8"/>
        <v/>
      </c>
      <c r="P283" t="str">
        <f t="shared" si="9"/>
        <v>N/A</v>
      </c>
    </row>
    <row r="284" spans="1:16" x14ac:dyDescent="0.25">
      <c r="A284" s="2" t="s">
        <v>857</v>
      </c>
      <c r="B284" s="4">
        <v>46123.947916666664</v>
      </c>
      <c r="C284" s="2" t="s">
        <v>67</v>
      </c>
      <c r="D284" s="2" t="s">
        <v>95</v>
      </c>
      <c r="E284" s="2" t="s">
        <v>18</v>
      </c>
      <c r="F284" s="2" t="s">
        <v>30</v>
      </c>
      <c r="G284" s="2" t="s">
        <v>110</v>
      </c>
      <c r="H284" s="2" t="s">
        <v>21</v>
      </c>
      <c r="I284" s="2">
        <v>24</v>
      </c>
      <c r="J284" s="2" t="s">
        <v>75</v>
      </c>
      <c r="K284" s="4">
        <v>46124.618055555555</v>
      </c>
      <c r="L284" s="2" t="s">
        <v>24</v>
      </c>
      <c r="M284" s="2">
        <v>4</v>
      </c>
      <c r="N284" t="s">
        <v>8583</v>
      </c>
      <c r="O284" s="8">
        <f t="shared" si="8"/>
        <v>16.083333333372138</v>
      </c>
      <c r="P284" t="str">
        <f t="shared" si="9"/>
        <v>N/A</v>
      </c>
    </row>
    <row r="285" spans="1:16" x14ac:dyDescent="0.25">
      <c r="A285" s="2" t="s">
        <v>860</v>
      </c>
      <c r="B285" s="4">
        <v>46037.109027777777</v>
      </c>
      <c r="C285" s="2" t="s">
        <v>67</v>
      </c>
      <c r="D285" s="2" t="s">
        <v>95</v>
      </c>
      <c r="E285" s="2" t="s">
        <v>46</v>
      </c>
      <c r="F285" s="2" t="s">
        <v>30</v>
      </c>
      <c r="G285" s="2" t="s">
        <v>31</v>
      </c>
      <c r="H285" s="2" t="s">
        <v>21</v>
      </c>
      <c r="I285" s="2">
        <v>24</v>
      </c>
      <c r="J285" s="2" t="s">
        <v>75</v>
      </c>
      <c r="K285" s="4">
        <v>46037.856944444444</v>
      </c>
      <c r="L285" s="2" t="s">
        <v>24</v>
      </c>
      <c r="M285" s="2">
        <v>1</v>
      </c>
      <c r="N285" t="s">
        <v>8583</v>
      </c>
      <c r="O285" s="8">
        <f t="shared" si="8"/>
        <v>17.950000000011642</v>
      </c>
      <c r="P285" t="str">
        <f t="shared" si="9"/>
        <v>N/A</v>
      </c>
    </row>
    <row r="286" spans="1:16" x14ac:dyDescent="0.25">
      <c r="A286" s="2" t="s">
        <v>863</v>
      </c>
      <c r="B286" s="4">
        <v>46157.120833333334</v>
      </c>
      <c r="C286" s="2" t="s">
        <v>53</v>
      </c>
      <c r="D286" s="2" t="s">
        <v>54</v>
      </c>
      <c r="E286" s="2" t="s">
        <v>46</v>
      </c>
      <c r="F286" s="2" t="s">
        <v>30</v>
      </c>
      <c r="G286" s="2" t="s">
        <v>101</v>
      </c>
      <c r="H286" s="2" t="s">
        <v>32</v>
      </c>
      <c r="I286" s="2">
        <v>48</v>
      </c>
      <c r="J286" s="2" t="s">
        <v>106</v>
      </c>
      <c r="K286" s="4">
        <v>46158.326388888891</v>
      </c>
      <c r="L286" s="2" t="s">
        <v>24</v>
      </c>
      <c r="M286" s="2">
        <v>3</v>
      </c>
      <c r="N286" t="s">
        <v>8583</v>
      </c>
      <c r="O286" s="8">
        <f t="shared" si="8"/>
        <v>28.933333333348855</v>
      </c>
      <c r="P286" t="str">
        <f t="shared" si="9"/>
        <v>Yes</v>
      </c>
    </row>
    <row r="287" spans="1:16" x14ac:dyDescent="0.25">
      <c r="A287" s="2" t="s">
        <v>866</v>
      </c>
      <c r="B287" s="4">
        <v>46118.305555555555</v>
      </c>
      <c r="C287" s="2" t="s">
        <v>28</v>
      </c>
      <c r="D287" s="2" t="s">
        <v>37</v>
      </c>
      <c r="E287" s="2" t="s">
        <v>18</v>
      </c>
      <c r="F287" s="2" t="s">
        <v>55</v>
      </c>
      <c r="G287" s="2" t="s">
        <v>179</v>
      </c>
      <c r="H287" s="2" t="s">
        <v>80</v>
      </c>
      <c r="I287" s="2">
        <v>4</v>
      </c>
      <c r="J287" s="2" t="s">
        <v>106</v>
      </c>
      <c r="K287" s="4">
        <v>46118.729166666664</v>
      </c>
      <c r="L287" s="2" t="s">
        <v>24</v>
      </c>
      <c r="M287" s="2">
        <v>4</v>
      </c>
      <c r="N287" t="s">
        <v>8587</v>
      </c>
      <c r="O287" s="8">
        <f t="shared" si="8"/>
        <v>10.166666666627862</v>
      </c>
      <c r="P287" t="str">
        <f t="shared" si="9"/>
        <v>No</v>
      </c>
    </row>
    <row r="288" spans="1:16" x14ac:dyDescent="0.25">
      <c r="A288" s="2" t="s">
        <v>869</v>
      </c>
      <c r="B288" s="4">
        <v>46028.543055555558</v>
      </c>
      <c r="C288" s="2" t="s">
        <v>67</v>
      </c>
      <c r="D288" s="2" t="s">
        <v>68</v>
      </c>
      <c r="E288" s="2" t="s">
        <v>18</v>
      </c>
      <c r="F288" s="2" t="s">
        <v>96</v>
      </c>
      <c r="G288" s="2" t="s">
        <v>101</v>
      </c>
      <c r="H288" s="2" t="s">
        <v>80</v>
      </c>
      <c r="I288" s="2">
        <v>4</v>
      </c>
      <c r="J288" s="2" t="s">
        <v>106</v>
      </c>
      <c r="K288" s="4">
        <v>46028.606944444444</v>
      </c>
      <c r="L288" s="2" t="s">
        <v>24</v>
      </c>
      <c r="M288" s="2"/>
      <c r="N288" t="s">
        <v>8587</v>
      </c>
      <c r="O288" s="8">
        <f t="shared" si="8"/>
        <v>1.5333333332673647</v>
      </c>
      <c r="P288" t="str">
        <f t="shared" si="9"/>
        <v>Yes</v>
      </c>
    </row>
    <row r="289" spans="1:16" x14ac:dyDescent="0.25">
      <c r="A289" s="2" t="s">
        <v>872</v>
      </c>
      <c r="B289" s="4">
        <v>46032.511805555558</v>
      </c>
      <c r="C289" s="2" t="s">
        <v>67</v>
      </c>
      <c r="D289" s="2" t="s">
        <v>95</v>
      </c>
      <c r="E289" s="2" t="s">
        <v>38</v>
      </c>
      <c r="F289" s="2" t="s">
        <v>96</v>
      </c>
      <c r="G289" s="2" t="s">
        <v>211</v>
      </c>
      <c r="H289" s="2" t="s">
        <v>74</v>
      </c>
      <c r="I289" s="2">
        <v>8</v>
      </c>
      <c r="J289" s="2" t="s">
        <v>75</v>
      </c>
      <c r="K289" s="4">
        <v>46032.72152777778</v>
      </c>
      <c r="L289" s="2" t="s">
        <v>24</v>
      </c>
      <c r="M289" s="2"/>
      <c r="N289" t="s">
        <v>8587</v>
      </c>
      <c r="O289" s="8">
        <f t="shared" si="8"/>
        <v>5.0333333333255723</v>
      </c>
      <c r="P289" t="str">
        <f t="shared" si="9"/>
        <v>N/A</v>
      </c>
    </row>
    <row r="290" spans="1:16" x14ac:dyDescent="0.25">
      <c r="A290" s="2" t="s">
        <v>875</v>
      </c>
      <c r="B290" s="4">
        <v>46027.842361111114</v>
      </c>
      <c r="C290" s="2" t="s">
        <v>28</v>
      </c>
      <c r="D290" s="2" t="s">
        <v>37</v>
      </c>
      <c r="E290" s="2" t="s">
        <v>46</v>
      </c>
      <c r="F290" s="2" t="s">
        <v>55</v>
      </c>
      <c r="G290" s="2" t="s">
        <v>110</v>
      </c>
      <c r="H290" s="2" t="s">
        <v>21</v>
      </c>
      <c r="I290" s="2">
        <v>24</v>
      </c>
      <c r="J290" s="2" t="s">
        <v>106</v>
      </c>
      <c r="K290" s="4">
        <v>46028.565972222219</v>
      </c>
      <c r="L290" s="2" t="s">
        <v>24</v>
      </c>
      <c r="M290" s="2">
        <v>2</v>
      </c>
      <c r="N290" t="s">
        <v>8585</v>
      </c>
      <c r="O290" s="8">
        <f t="shared" si="8"/>
        <v>17.366666666523088</v>
      </c>
      <c r="P290" t="str">
        <f t="shared" si="9"/>
        <v>Yes</v>
      </c>
    </row>
    <row r="291" spans="1:16" x14ac:dyDescent="0.25">
      <c r="A291" s="2" t="s">
        <v>878</v>
      </c>
      <c r="B291" s="4">
        <v>46247.280555555553</v>
      </c>
      <c r="C291" s="2" t="s">
        <v>16</v>
      </c>
      <c r="D291" s="2" t="s">
        <v>84</v>
      </c>
      <c r="E291" s="2" t="s">
        <v>18</v>
      </c>
      <c r="F291" s="2" t="s">
        <v>55</v>
      </c>
      <c r="G291" s="2" t="s">
        <v>211</v>
      </c>
      <c r="H291" s="2" t="s">
        <v>21</v>
      </c>
      <c r="I291" s="2">
        <v>24</v>
      </c>
      <c r="J291" s="2" t="s">
        <v>106</v>
      </c>
      <c r="K291" s="4">
        <v>46247.49722222222</v>
      </c>
      <c r="L291" s="2" t="s">
        <v>24</v>
      </c>
      <c r="M291" s="2"/>
      <c r="N291" t="s">
        <v>8587</v>
      </c>
      <c r="O291" s="8">
        <f t="shared" si="8"/>
        <v>5.2000000000116415</v>
      </c>
      <c r="P291" t="str">
        <f t="shared" si="9"/>
        <v>Yes</v>
      </c>
    </row>
    <row r="292" spans="1:16" x14ac:dyDescent="0.25">
      <c r="A292" s="2" t="s">
        <v>881</v>
      </c>
      <c r="B292" s="4">
        <v>46064.268055555556</v>
      </c>
      <c r="C292" s="2" t="s">
        <v>28</v>
      </c>
      <c r="D292" s="2" t="s">
        <v>100</v>
      </c>
      <c r="E292" s="2" t="s">
        <v>90</v>
      </c>
      <c r="F292" s="2" t="s">
        <v>96</v>
      </c>
      <c r="G292" s="2" t="s">
        <v>179</v>
      </c>
      <c r="H292" s="2" t="s">
        <v>21</v>
      </c>
      <c r="I292" s="2">
        <v>24</v>
      </c>
      <c r="J292" s="2" t="s">
        <v>106</v>
      </c>
      <c r="K292" s="4">
        <v>46064.356249999997</v>
      </c>
      <c r="L292" s="2" t="s">
        <v>24</v>
      </c>
      <c r="M292" s="2"/>
      <c r="N292" t="s">
        <v>8581</v>
      </c>
      <c r="O292" s="8">
        <f t="shared" si="8"/>
        <v>2.1166666665812954</v>
      </c>
      <c r="P292" t="str">
        <f t="shared" si="9"/>
        <v>Yes</v>
      </c>
    </row>
    <row r="293" spans="1:16" x14ac:dyDescent="0.25">
      <c r="A293" s="2" t="s">
        <v>884</v>
      </c>
      <c r="B293" s="4">
        <v>46241.631249999999</v>
      </c>
      <c r="C293" s="2" t="s">
        <v>67</v>
      </c>
      <c r="D293" s="2" t="s">
        <v>95</v>
      </c>
      <c r="E293" s="2" t="s">
        <v>79</v>
      </c>
      <c r="F293" s="2" t="s">
        <v>96</v>
      </c>
      <c r="G293" s="2" t="s">
        <v>211</v>
      </c>
      <c r="H293" s="2" t="s">
        <v>74</v>
      </c>
      <c r="I293" s="2">
        <v>8</v>
      </c>
      <c r="J293" s="2" t="s">
        <v>106</v>
      </c>
      <c r="K293" s="4">
        <v>46241.671527777777</v>
      </c>
      <c r="L293" s="2" t="s">
        <v>24</v>
      </c>
      <c r="M293" s="2"/>
      <c r="N293" t="s">
        <v>8582</v>
      </c>
      <c r="O293" s="8">
        <f t="shared" si="8"/>
        <v>0.96666666667442769</v>
      </c>
      <c r="P293" t="str">
        <f t="shared" si="9"/>
        <v>Yes</v>
      </c>
    </row>
    <row r="294" spans="1:16" x14ac:dyDescent="0.25">
      <c r="A294" s="2" t="s">
        <v>887</v>
      </c>
      <c r="B294" s="4">
        <v>46204.480555555558</v>
      </c>
      <c r="C294" s="2" t="s">
        <v>28</v>
      </c>
      <c r="D294" s="2" t="s">
        <v>100</v>
      </c>
      <c r="E294" s="2" t="s">
        <v>46</v>
      </c>
      <c r="F294" s="2" t="s">
        <v>96</v>
      </c>
      <c r="G294" s="2" t="s">
        <v>179</v>
      </c>
      <c r="H294" s="2" t="s">
        <v>32</v>
      </c>
      <c r="I294" s="2">
        <v>48</v>
      </c>
      <c r="J294" s="2" t="s">
        <v>106</v>
      </c>
      <c r="K294" s="4">
        <v>46205.307638888888</v>
      </c>
      <c r="L294" s="2" t="s">
        <v>24</v>
      </c>
      <c r="M294" s="2">
        <v>1</v>
      </c>
      <c r="N294" t="s">
        <v>8582</v>
      </c>
      <c r="O294" s="8">
        <f t="shared" si="8"/>
        <v>19.849999999918509</v>
      </c>
      <c r="P294" t="str">
        <f t="shared" si="9"/>
        <v>Yes</v>
      </c>
    </row>
    <row r="295" spans="1:16" x14ac:dyDescent="0.25">
      <c r="A295" s="2" t="s">
        <v>890</v>
      </c>
      <c r="B295" s="4">
        <v>46084.470833333333</v>
      </c>
      <c r="C295" s="2" t="s">
        <v>53</v>
      </c>
      <c r="D295" s="2" t="s">
        <v>61</v>
      </c>
      <c r="E295" s="2" t="s">
        <v>46</v>
      </c>
      <c r="F295" s="2" t="s">
        <v>30</v>
      </c>
      <c r="G295" s="2" t="s">
        <v>211</v>
      </c>
      <c r="H295" s="2" t="s">
        <v>32</v>
      </c>
      <c r="I295" s="2">
        <v>48</v>
      </c>
      <c r="J295" s="2" t="s">
        <v>106</v>
      </c>
      <c r="K295" s="4">
        <v>46086.868055555555</v>
      </c>
      <c r="L295" s="2" t="s">
        <v>24</v>
      </c>
      <c r="M295" s="2">
        <v>5</v>
      </c>
      <c r="N295" t="s">
        <v>8582</v>
      </c>
      <c r="O295" s="8">
        <f t="shared" si="8"/>
        <v>57.533333333325572</v>
      </c>
      <c r="P295" t="str">
        <f t="shared" si="9"/>
        <v>No</v>
      </c>
    </row>
    <row r="296" spans="1:16" x14ac:dyDescent="0.25">
      <c r="A296" s="2" t="s">
        <v>893</v>
      </c>
      <c r="B296" s="4">
        <v>46128.40347222222</v>
      </c>
      <c r="C296" s="2" t="s">
        <v>53</v>
      </c>
      <c r="D296" s="2" t="s">
        <v>61</v>
      </c>
      <c r="E296" s="2" t="s">
        <v>46</v>
      </c>
      <c r="F296" s="2" t="s">
        <v>113</v>
      </c>
      <c r="G296" s="2" t="s">
        <v>31</v>
      </c>
      <c r="H296" s="2" t="s">
        <v>74</v>
      </c>
      <c r="I296" s="2">
        <v>8</v>
      </c>
      <c r="J296" s="2" t="s">
        <v>106</v>
      </c>
      <c r="K296" s="4">
        <v>46128.695833333331</v>
      </c>
      <c r="L296" s="2" t="s">
        <v>24</v>
      </c>
      <c r="M296" s="2">
        <v>5</v>
      </c>
      <c r="N296" t="s">
        <v>8589</v>
      </c>
      <c r="O296" s="8">
        <f t="shared" si="8"/>
        <v>7.0166666666627862</v>
      </c>
      <c r="P296" t="str">
        <f t="shared" si="9"/>
        <v>Yes</v>
      </c>
    </row>
    <row r="297" spans="1:16" x14ac:dyDescent="0.25">
      <c r="A297" s="2" t="s">
        <v>896</v>
      </c>
      <c r="B297" s="4">
        <v>46168.855555555558</v>
      </c>
      <c r="C297" s="2" t="s">
        <v>28</v>
      </c>
      <c r="D297" s="2" t="s">
        <v>37</v>
      </c>
      <c r="E297" s="2" t="s">
        <v>85</v>
      </c>
      <c r="F297" s="2" t="s">
        <v>55</v>
      </c>
      <c r="G297" s="2" t="s">
        <v>31</v>
      </c>
      <c r="H297" s="2" t="s">
        <v>21</v>
      </c>
      <c r="I297" s="2">
        <v>24</v>
      </c>
      <c r="J297" s="2" t="s">
        <v>11</v>
      </c>
      <c r="K297" s="4" t="s">
        <v>8590</v>
      </c>
      <c r="L297" s="2" t="s">
        <v>92</v>
      </c>
      <c r="M297" s="2"/>
      <c r="N297" t="s">
        <v>8586</v>
      </c>
      <c r="O297" s="8" t="str">
        <f t="shared" si="8"/>
        <v/>
      </c>
      <c r="P297" t="str">
        <f t="shared" si="9"/>
        <v>N/A</v>
      </c>
    </row>
    <row r="298" spans="1:16" x14ac:dyDescent="0.25">
      <c r="A298" s="2" t="s">
        <v>898</v>
      </c>
      <c r="B298" s="4">
        <v>46140.413194444445</v>
      </c>
      <c r="C298" s="2" t="s">
        <v>67</v>
      </c>
      <c r="D298" s="2" t="s">
        <v>68</v>
      </c>
      <c r="E298" s="2" t="s">
        <v>85</v>
      </c>
      <c r="F298" s="2" t="s">
        <v>30</v>
      </c>
      <c r="G298" s="2" t="s">
        <v>183</v>
      </c>
      <c r="H298" s="2" t="s">
        <v>32</v>
      </c>
      <c r="I298" s="2">
        <v>48</v>
      </c>
      <c r="J298" s="2" t="s">
        <v>75</v>
      </c>
      <c r="K298" s="4">
        <v>46140.614583333336</v>
      </c>
      <c r="L298" s="2" t="s">
        <v>24</v>
      </c>
      <c r="M298" s="2"/>
      <c r="N298" t="s">
        <v>8585</v>
      </c>
      <c r="O298" s="8">
        <f t="shared" si="8"/>
        <v>4.8333333333721384</v>
      </c>
      <c r="P298" t="str">
        <f t="shared" si="9"/>
        <v>N/A</v>
      </c>
    </row>
    <row r="299" spans="1:16" x14ac:dyDescent="0.25">
      <c r="A299" s="2" t="s">
        <v>901</v>
      </c>
      <c r="B299" s="4">
        <v>46253.009722222225</v>
      </c>
      <c r="C299" s="2" t="s">
        <v>16</v>
      </c>
      <c r="D299" s="2" t="s">
        <v>17</v>
      </c>
      <c r="E299" s="2" t="s">
        <v>79</v>
      </c>
      <c r="F299" s="2" t="s">
        <v>113</v>
      </c>
      <c r="G299" s="2" t="s">
        <v>183</v>
      </c>
      <c r="H299" s="2" t="s">
        <v>32</v>
      </c>
      <c r="I299" s="2">
        <v>48</v>
      </c>
      <c r="J299" s="2" t="s">
        <v>287</v>
      </c>
      <c r="K299" s="4" t="s">
        <v>8590</v>
      </c>
      <c r="L299" s="2" t="s">
        <v>24</v>
      </c>
      <c r="M299" s="2"/>
      <c r="N299" t="s">
        <v>8585</v>
      </c>
      <c r="O299" s="8" t="str">
        <f t="shared" si="8"/>
        <v/>
      </c>
      <c r="P299" t="str">
        <f t="shared" si="9"/>
        <v>N/A</v>
      </c>
    </row>
    <row r="300" spans="1:16" x14ac:dyDescent="0.25">
      <c r="A300" s="2" t="s">
        <v>903</v>
      </c>
      <c r="B300" s="4">
        <v>46103.270138888889</v>
      </c>
      <c r="C300" s="2" t="s">
        <v>28</v>
      </c>
      <c r="D300" s="2" t="s">
        <v>100</v>
      </c>
      <c r="E300" s="2" t="s">
        <v>18</v>
      </c>
      <c r="F300" s="2" t="s">
        <v>113</v>
      </c>
      <c r="G300" s="2" t="s">
        <v>211</v>
      </c>
      <c r="H300" s="2" t="s">
        <v>74</v>
      </c>
      <c r="I300" s="2">
        <v>8</v>
      </c>
      <c r="J300" s="2" t="s">
        <v>287</v>
      </c>
      <c r="K300" s="4" t="s">
        <v>8590</v>
      </c>
      <c r="L300" s="2" t="s">
        <v>92</v>
      </c>
      <c r="M300" s="2"/>
      <c r="N300" t="s">
        <v>8584</v>
      </c>
      <c r="O300" s="8" t="str">
        <f t="shared" si="8"/>
        <v/>
      </c>
      <c r="P300" t="str">
        <f t="shared" si="9"/>
        <v>N/A</v>
      </c>
    </row>
    <row r="301" spans="1:16" x14ac:dyDescent="0.25">
      <c r="A301" s="2" t="s">
        <v>905</v>
      </c>
      <c r="B301" s="4">
        <v>46085.002083333333</v>
      </c>
      <c r="C301" s="2" t="s">
        <v>53</v>
      </c>
      <c r="D301" s="2" t="s">
        <v>54</v>
      </c>
      <c r="E301" s="2" t="s">
        <v>18</v>
      </c>
      <c r="F301" s="2" t="s">
        <v>55</v>
      </c>
      <c r="G301" s="2" t="s">
        <v>101</v>
      </c>
      <c r="H301" s="2" t="s">
        <v>80</v>
      </c>
      <c r="I301" s="2">
        <v>4</v>
      </c>
      <c r="J301" s="2" t="s">
        <v>106</v>
      </c>
      <c r="K301" s="4">
        <v>46085.041666666664</v>
      </c>
      <c r="L301" s="2" t="s">
        <v>24</v>
      </c>
      <c r="M301" s="2"/>
      <c r="N301" t="s">
        <v>8583</v>
      </c>
      <c r="O301" s="8">
        <f t="shared" si="8"/>
        <v>0.94999999995343387</v>
      </c>
      <c r="P301" t="str">
        <f t="shared" si="9"/>
        <v>Yes</v>
      </c>
    </row>
    <row r="302" spans="1:16" x14ac:dyDescent="0.25">
      <c r="A302" s="2" t="s">
        <v>908</v>
      </c>
      <c r="B302" s="4">
        <v>46240.578472222223</v>
      </c>
      <c r="C302" s="2" t="s">
        <v>67</v>
      </c>
      <c r="D302" s="2" t="s">
        <v>68</v>
      </c>
      <c r="E302" s="2" t="s">
        <v>18</v>
      </c>
      <c r="F302" s="2" t="s">
        <v>113</v>
      </c>
      <c r="G302" s="2" t="s">
        <v>179</v>
      </c>
      <c r="H302" s="2" t="s">
        <v>80</v>
      </c>
      <c r="I302" s="2">
        <v>4</v>
      </c>
      <c r="J302" s="2" t="s">
        <v>11</v>
      </c>
      <c r="K302" s="4" t="s">
        <v>8590</v>
      </c>
      <c r="L302" s="2" t="s">
        <v>92</v>
      </c>
      <c r="M302" s="2"/>
      <c r="N302" t="s">
        <v>8582</v>
      </c>
      <c r="O302" s="8" t="str">
        <f t="shared" si="8"/>
        <v/>
      </c>
      <c r="P302" t="str">
        <f t="shared" si="9"/>
        <v>N/A</v>
      </c>
    </row>
    <row r="303" spans="1:16" x14ac:dyDescent="0.25">
      <c r="A303" s="2" t="s">
        <v>910</v>
      </c>
      <c r="B303" s="4">
        <v>46219.620833333334</v>
      </c>
      <c r="C303" s="2" t="s">
        <v>16</v>
      </c>
      <c r="D303" s="2" t="s">
        <v>84</v>
      </c>
      <c r="E303" s="2" t="s">
        <v>46</v>
      </c>
      <c r="F303" s="2" t="s">
        <v>30</v>
      </c>
      <c r="G303" s="2" t="s">
        <v>31</v>
      </c>
      <c r="H303" s="2" t="s">
        <v>32</v>
      </c>
      <c r="I303" s="2">
        <v>48</v>
      </c>
      <c r="J303" s="2" t="s">
        <v>75</v>
      </c>
      <c r="K303" s="4">
        <v>46220.462500000001</v>
      </c>
      <c r="L303" s="2" t="s">
        <v>24</v>
      </c>
      <c r="M303" s="2">
        <v>5</v>
      </c>
      <c r="N303" t="s">
        <v>8586</v>
      </c>
      <c r="O303" s="8">
        <f t="shared" si="8"/>
        <v>20.200000000011642</v>
      </c>
      <c r="P303" t="str">
        <f t="shared" si="9"/>
        <v>N/A</v>
      </c>
    </row>
    <row r="304" spans="1:16" x14ac:dyDescent="0.25">
      <c r="A304" s="2" t="s">
        <v>913</v>
      </c>
      <c r="B304" s="4">
        <v>46169.556944444441</v>
      </c>
      <c r="C304" s="2" t="s">
        <v>67</v>
      </c>
      <c r="D304" s="2" t="s">
        <v>95</v>
      </c>
      <c r="E304" s="2" t="s">
        <v>46</v>
      </c>
      <c r="F304" s="2" t="s">
        <v>113</v>
      </c>
      <c r="G304" s="2" t="s">
        <v>101</v>
      </c>
      <c r="H304" s="2" t="s">
        <v>80</v>
      </c>
      <c r="I304" s="2">
        <v>4</v>
      </c>
      <c r="J304" s="2" t="s">
        <v>106</v>
      </c>
      <c r="K304" s="4">
        <v>46169.755555555559</v>
      </c>
      <c r="L304" s="2" t="s">
        <v>24</v>
      </c>
      <c r="M304" s="2">
        <v>3</v>
      </c>
      <c r="N304" t="s">
        <v>8582</v>
      </c>
      <c r="O304" s="8">
        <f t="shared" si="8"/>
        <v>4.7666666668374091</v>
      </c>
      <c r="P304" t="str">
        <f t="shared" si="9"/>
        <v>No</v>
      </c>
    </row>
    <row r="305" spans="1:16" x14ac:dyDescent="0.25">
      <c r="A305" s="2" t="s">
        <v>916</v>
      </c>
      <c r="B305" s="4">
        <v>46068.060416666667</v>
      </c>
      <c r="C305" s="2" t="s">
        <v>16</v>
      </c>
      <c r="D305" s="2" t="s">
        <v>84</v>
      </c>
      <c r="E305" s="2" t="s">
        <v>85</v>
      </c>
      <c r="F305" s="2" t="s">
        <v>55</v>
      </c>
      <c r="G305" s="2" t="s">
        <v>183</v>
      </c>
      <c r="H305" s="2" t="s">
        <v>74</v>
      </c>
      <c r="I305" s="2">
        <v>8</v>
      </c>
      <c r="J305" s="2" t="s">
        <v>106</v>
      </c>
      <c r="K305" s="4">
        <v>46068.14166666667</v>
      </c>
      <c r="L305" s="2" t="s">
        <v>24</v>
      </c>
      <c r="M305" s="2"/>
      <c r="N305" t="s">
        <v>8583</v>
      </c>
      <c r="O305" s="8">
        <f t="shared" si="8"/>
        <v>1.9500000000698492</v>
      </c>
      <c r="P305" t="str">
        <f t="shared" si="9"/>
        <v>Yes</v>
      </c>
    </row>
    <row r="306" spans="1:16" x14ac:dyDescent="0.25">
      <c r="A306" s="2" t="s">
        <v>919</v>
      </c>
      <c r="B306" s="4">
        <v>46236.134722222225</v>
      </c>
      <c r="C306" s="2" t="s">
        <v>67</v>
      </c>
      <c r="D306" s="2" t="s">
        <v>95</v>
      </c>
      <c r="E306" s="2" t="s">
        <v>46</v>
      </c>
      <c r="F306" s="2" t="s">
        <v>55</v>
      </c>
      <c r="G306" s="2" t="s">
        <v>31</v>
      </c>
      <c r="H306" s="2" t="s">
        <v>21</v>
      </c>
      <c r="I306" s="2">
        <v>24</v>
      </c>
      <c r="J306" s="2" t="s">
        <v>106</v>
      </c>
      <c r="K306" s="4">
        <v>46236.658333333333</v>
      </c>
      <c r="L306" s="2" t="s">
        <v>24</v>
      </c>
      <c r="M306" s="2">
        <v>5</v>
      </c>
      <c r="N306" t="s">
        <v>8589</v>
      </c>
      <c r="O306" s="8">
        <f t="shared" si="8"/>
        <v>12.566666666592937</v>
      </c>
      <c r="P306" t="str">
        <f t="shared" si="9"/>
        <v>Yes</v>
      </c>
    </row>
    <row r="307" spans="1:16" x14ac:dyDescent="0.25">
      <c r="A307" s="2" t="s">
        <v>922</v>
      </c>
      <c r="B307" s="4">
        <v>46137.025694444441</v>
      </c>
      <c r="C307" s="2" t="s">
        <v>53</v>
      </c>
      <c r="D307" s="2" t="s">
        <v>54</v>
      </c>
      <c r="E307" s="2" t="s">
        <v>85</v>
      </c>
      <c r="F307" s="2" t="s">
        <v>55</v>
      </c>
      <c r="G307" s="2" t="s">
        <v>179</v>
      </c>
      <c r="H307" s="2" t="s">
        <v>21</v>
      </c>
      <c r="I307" s="2">
        <v>24</v>
      </c>
      <c r="J307" s="2" t="s">
        <v>106</v>
      </c>
      <c r="K307" s="4" t="s">
        <v>8590</v>
      </c>
      <c r="L307" s="2" t="s">
        <v>24</v>
      </c>
      <c r="M307" s="2"/>
      <c r="N307" t="s">
        <v>8581</v>
      </c>
      <c r="O307" s="8" t="str">
        <f t="shared" si="8"/>
        <v/>
      </c>
      <c r="P307" t="str">
        <f t="shared" si="9"/>
        <v>No</v>
      </c>
    </row>
    <row r="308" spans="1:16" x14ac:dyDescent="0.25">
      <c r="A308" s="2" t="s">
        <v>924</v>
      </c>
      <c r="B308" s="4">
        <v>46254.323611111111</v>
      </c>
      <c r="C308" s="2" t="s">
        <v>53</v>
      </c>
      <c r="D308" s="2" t="s">
        <v>61</v>
      </c>
      <c r="E308" s="2" t="s">
        <v>85</v>
      </c>
      <c r="F308" s="2" t="s">
        <v>96</v>
      </c>
      <c r="G308" s="2" t="s">
        <v>101</v>
      </c>
      <c r="H308" s="2" t="s">
        <v>32</v>
      </c>
      <c r="I308" s="2">
        <v>48</v>
      </c>
      <c r="J308" s="2" t="s">
        <v>8580</v>
      </c>
      <c r="K308" s="4">
        <v>46255.145138888889</v>
      </c>
      <c r="L308" s="2" t="s">
        <v>24</v>
      </c>
      <c r="M308" s="2"/>
      <c r="N308" t="s">
        <v>8583</v>
      </c>
      <c r="O308" s="8">
        <f t="shared" si="8"/>
        <v>19.716666666674428</v>
      </c>
      <c r="P308" t="str">
        <f t="shared" si="9"/>
        <v>N/A</v>
      </c>
    </row>
    <row r="309" spans="1:16" x14ac:dyDescent="0.25">
      <c r="A309" s="2" t="s">
        <v>927</v>
      </c>
      <c r="B309" s="4">
        <v>46096.577777777777</v>
      </c>
      <c r="C309" s="2" t="s">
        <v>53</v>
      </c>
      <c r="D309" s="2" t="s">
        <v>61</v>
      </c>
      <c r="E309" s="2" t="s">
        <v>90</v>
      </c>
      <c r="F309" s="2" t="s">
        <v>113</v>
      </c>
      <c r="G309" s="2" t="s">
        <v>211</v>
      </c>
      <c r="H309" s="2" t="s">
        <v>74</v>
      </c>
      <c r="I309" s="2">
        <v>8</v>
      </c>
      <c r="J309" s="2" t="s">
        <v>106</v>
      </c>
      <c r="K309" s="4">
        <v>46096.672222222223</v>
      </c>
      <c r="L309" s="2" t="s">
        <v>24</v>
      </c>
      <c r="M309" s="2">
        <v>1</v>
      </c>
      <c r="N309" t="s">
        <v>8589</v>
      </c>
      <c r="O309" s="8">
        <f t="shared" si="8"/>
        <v>2.2666666667209938</v>
      </c>
      <c r="P309" t="str">
        <f t="shared" si="9"/>
        <v>Yes</v>
      </c>
    </row>
    <row r="310" spans="1:16" x14ac:dyDescent="0.25">
      <c r="A310" s="2" t="s">
        <v>930</v>
      </c>
      <c r="B310" s="4">
        <v>46082.507638888892</v>
      </c>
      <c r="C310" s="2" t="s">
        <v>67</v>
      </c>
      <c r="D310" s="2" t="s">
        <v>95</v>
      </c>
      <c r="E310" s="2" t="s">
        <v>38</v>
      </c>
      <c r="F310" s="2" t="s">
        <v>30</v>
      </c>
      <c r="G310" s="2" t="s">
        <v>183</v>
      </c>
      <c r="H310" s="2" t="s">
        <v>21</v>
      </c>
      <c r="I310" s="2">
        <v>24</v>
      </c>
      <c r="J310" s="2" t="s">
        <v>106</v>
      </c>
      <c r="K310" s="4">
        <v>46082.946527777778</v>
      </c>
      <c r="L310" s="2" t="s">
        <v>24</v>
      </c>
      <c r="M310" s="2"/>
      <c r="N310" t="s">
        <v>8585</v>
      </c>
      <c r="O310" s="8">
        <f t="shared" si="8"/>
        <v>10.533333333267365</v>
      </c>
      <c r="P310" t="str">
        <f t="shared" si="9"/>
        <v>Yes</v>
      </c>
    </row>
    <row r="311" spans="1:16" x14ac:dyDescent="0.25">
      <c r="A311" s="2" t="s">
        <v>933</v>
      </c>
      <c r="B311" s="4">
        <v>46200.018750000003</v>
      </c>
      <c r="C311" s="2" t="s">
        <v>16</v>
      </c>
      <c r="D311" s="2" t="s">
        <v>84</v>
      </c>
      <c r="E311" s="2" t="s">
        <v>18</v>
      </c>
      <c r="F311" s="2" t="s">
        <v>113</v>
      </c>
      <c r="G311" s="2" t="s">
        <v>101</v>
      </c>
      <c r="H311" s="2" t="s">
        <v>32</v>
      </c>
      <c r="I311" s="2">
        <v>48</v>
      </c>
      <c r="J311" s="2" t="s">
        <v>149</v>
      </c>
      <c r="K311" s="4" t="s">
        <v>8590</v>
      </c>
      <c r="L311" s="2" t="s">
        <v>24</v>
      </c>
      <c r="M311" s="2"/>
      <c r="N311" t="s">
        <v>8589</v>
      </c>
      <c r="O311" s="8" t="str">
        <f t="shared" si="8"/>
        <v/>
      </c>
      <c r="P311" t="str">
        <f t="shared" si="9"/>
        <v>N/A</v>
      </c>
    </row>
    <row r="312" spans="1:16" x14ac:dyDescent="0.25">
      <c r="A312" s="2" t="s">
        <v>935</v>
      </c>
      <c r="B312" s="4">
        <v>46106.647916666669</v>
      </c>
      <c r="C312" s="2" t="s">
        <v>16</v>
      </c>
      <c r="D312" s="2" t="s">
        <v>84</v>
      </c>
      <c r="E312" s="2" t="s">
        <v>85</v>
      </c>
      <c r="F312" s="2" t="s">
        <v>30</v>
      </c>
      <c r="G312" s="2" t="s">
        <v>183</v>
      </c>
      <c r="H312" s="2" t="s">
        <v>74</v>
      </c>
      <c r="I312" s="2">
        <v>8</v>
      </c>
      <c r="J312" s="2" t="s">
        <v>11</v>
      </c>
      <c r="K312" s="4" t="s">
        <v>8590</v>
      </c>
      <c r="L312" s="2" t="s">
        <v>92</v>
      </c>
      <c r="M312" s="2"/>
      <c r="N312" t="s">
        <v>8584</v>
      </c>
      <c r="O312" s="8" t="str">
        <f t="shared" si="8"/>
        <v/>
      </c>
      <c r="P312" t="str">
        <f t="shared" si="9"/>
        <v>N/A</v>
      </c>
    </row>
    <row r="313" spans="1:16" x14ac:dyDescent="0.25">
      <c r="A313" s="2" t="s">
        <v>937</v>
      </c>
      <c r="B313" s="4">
        <v>46208.506249999999</v>
      </c>
      <c r="C313" s="2" t="s">
        <v>53</v>
      </c>
      <c r="D313" s="2" t="s">
        <v>54</v>
      </c>
      <c r="E313" s="2" t="s">
        <v>85</v>
      </c>
      <c r="F313" s="2" t="s">
        <v>96</v>
      </c>
      <c r="G313" s="2" t="s">
        <v>183</v>
      </c>
      <c r="H313" s="2" t="s">
        <v>74</v>
      </c>
      <c r="I313" s="2">
        <v>8</v>
      </c>
      <c r="J313" s="2" t="s">
        <v>287</v>
      </c>
      <c r="K313" s="4" t="s">
        <v>8590</v>
      </c>
      <c r="L313" s="2" t="s">
        <v>24</v>
      </c>
      <c r="M313" s="2"/>
      <c r="N313" t="s">
        <v>8581</v>
      </c>
      <c r="O313" s="8" t="str">
        <f t="shared" si="8"/>
        <v/>
      </c>
      <c r="P313" t="str">
        <f t="shared" si="9"/>
        <v>N/A</v>
      </c>
    </row>
    <row r="314" spans="1:16" x14ac:dyDescent="0.25">
      <c r="A314" s="2" t="s">
        <v>939</v>
      </c>
      <c r="B314" s="4">
        <v>46134.000694444447</v>
      </c>
      <c r="C314" s="2" t="s">
        <v>53</v>
      </c>
      <c r="D314" s="2" t="s">
        <v>54</v>
      </c>
      <c r="E314" s="2" t="s">
        <v>18</v>
      </c>
      <c r="F314" s="2" t="s">
        <v>30</v>
      </c>
      <c r="G314" s="2" t="s">
        <v>211</v>
      </c>
      <c r="H314" s="2" t="s">
        <v>80</v>
      </c>
      <c r="I314" s="2">
        <v>4</v>
      </c>
      <c r="J314" s="2" t="s">
        <v>8580</v>
      </c>
      <c r="K314" s="4">
        <v>46134.070138888892</v>
      </c>
      <c r="L314" s="2" t="s">
        <v>24</v>
      </c>
      <c r="M314" s="2"/>
      <c r="N314" t="s">
        <v>8589</v>
      </c>
      <c r="O314" s="8">
        <f t="shared" si="8"/>
        <v>1.6666666666860692</v>
      </c>
      <c r="P314" t="str">
        <f t="shared" si="9"/>
        <v>N/A</v>
      </c>
    </row>
    <row r="315" spans="1:16" x14ac:dyDescent="0.25">
      <c r="A315" s="2" t="s">
        <v>942</v>
      </c>
      <c r="B315" s="4">
        <v>46122.197916666664</v>
      </c>
      <c r="C315" s="2" t="s">
        <v>28</v>
      </c>
      <c r="D315" s="2" t="s">
        <v>100</v>
      </c>
      <c r="E315" s="2" t="s">
        <v>90</v>
      </c>
      <c r="F315" s="2" t="s">
        <v>96</v>
      </c>
      <c r="G315" s="2" t="s">
        <v>110</v>
      </c>
      <c r="H315" s="2" t="s">
        <v>21</v>
      </c>
      <c r="I315" s="2">
        <v>24</v>
      </c>
      <c r="J315" s="2" t="s">
        <v>106</v>
      </c>
      <c r="K315" s="4">
        <v>46122.831250000003</v>
      </c>
      <c r="L315" s="2" t="s">
        <v>24</v>
      </c>
      <c r="M315" s="2">
        <v>3</v>
      </c>
      <c r="N315" t="s">
        <v>8584</v>
      </c>
      <c r="O315" s="8">
        <f t="shared" si="8"/>
        <v>15.200000000128057</v>
      </c>
      <c r="P315" t="str">
        <f t="shared" si="9"/>
        <v>Yes</v>
      </c>
    </row>
    <row r="316" spans="1:16" x14ac:dyDescent="0.25">
      <c r="A316" s="2" t="s">
        <v>945</v>
      </c>
      <c r="B316" s="4">
        <v>46192.962500000001</v>
      </c>
      <c r="C316" s="2" t="s">
        <v>16</v>
      </c>
      <c r="D316" s="2" t="s">
        <v>84</v>
      </c>
      <c r="E316" s="2" t="s">
        <v>18</v>
      </c>
      <c r="F316" s="2" t="s">
        <v>96</v>
      </c>
      <c r="G316" s="2" t="s">
        <v>31</v>
      </c>
      <c r="H316" s="2" t="s">
        <v>74</v>
      </c>
      <c r="I316" s="2">
        <v>8</v>
      </c>
      <c r="J316" s="2" t="s">
        <v>106</v>
      </c>
      <c r="K316" s="4">
        <v>46192.996527777781</v>
      </c>
      <c r="L316" s="2" t="s">
        <v>24</v>
      </c>
      <c r="M316" s="2">
        <v>5</v>
      </c>
      <c r="N316" t="s">
        <v>8584</v>
      </c>
      <c r="O316" s="8">
        <f t="shared" si="8"/>
        <v>0.81666666670935228</v>
      </c>
      <c r="P316" t="str">
        <f t="shared" si="9"/>
        <v>Yes</v>
      </c>
    </row>
    <row r="317" spans="1:16" x14ac:dyDescent="0.25">
      <c r="A317" s="2" t="s">
        <v>948</v>
      </c>
      <c r="B317" s="4">
        <v>46038.489583333336</v>
      </c>
      <c r="C317" s="2" t="s">
        <v>28</v>
      </c>
      <c r="D317" s="2" t="s">
        <v>100</v>
      </c>
      <c r="E317" s="2" t="s">
        <v>18</v>
      </c>
      <c r="F317" s="2" t="s">
        <v>113</v>
      </c>
      <c r="G317" s="2" t="s">
        <v>31</v>
      </c>
      <c r="H317" s="2" t="s">
        <v>32</v>
      </c>
      <c r="I317" s="2">
        <v>48</v>
      </c>
      <c r="J317" s="2" t="s">
        <v>106</v>
      </c>
      <c r="K317" s="4">
        <v>46041.188888888886</v>
      </c>
      <c r="L317" s="2" t="s">
        <v>24</v>
      </c>
      <c r="M317" s="2">
        <v>5</v>
      </c>
      <c r="N317" t="s">
        <v>8588</v>
      </c>
      <c r="O317" s="8">
        <f t="shared" si="8"/>
        <v>64.783333333209157</v>
      </c>
      <c r="P317" t="str">
        <f t="shared" si="9"/>
        <v>No</v>
      </c>
    </row>
    <row r="318" spans="1:16" x14ac:dyDescent="0.25">
      <c r="A318" s="2" t="s">
        <v>951</v>
      </c>
      <c r="B318" s="4">
        <v>46158.463888888888</v>
      </c>
      <c r="C318" s="2" t="s">
        <v>28</v>
      </c>
      <c r="D318" s="2" t="s">
        <v>37</v>
      </c>
      <c r="E318" s="2" t="s">
        <v>90</v>
      </c>
      <c r="F318" s="2" t="s">
        <v>96</v>
      </c>
      <c r="G318" s="2" t="s">
        <v>101</v>
      </c>
      <c r="H318" s="2" t="s">
        <v>32</v>
      </c>
      <c r="I318" s="2">
        <v>48</v>
      </c>
      <c r="J318" s="2" t="s">
        <v>75</v>
      </c>
      <c r="K318" s="4">
        <v>46158.534722222219</v>
      </c>
      <c r="L318" s="2" t="s">
        <v>24</v>
      </c>
      <c r="M318" s="2"/>
      <c r="N318" t="s">
        <v>8586</v>
      </c>
      <c r="O318" s="8">
        <f t="shared" si="8"/>
        <v>1.6999999999534339</v>
      </c>
      <c r="P318" t="str">
        <f t="shared" si="9"/>
        <v>N/A</v>
      </c>
    </row>
    <row r="319" spans="1:16" x14ac:dyDescent="0.25">
      <c r="A319" s="2" t="s">
        <v>954</v>
      </c>
      <c r="B319" s="4">
        <v>46158.287499999999</v>
      </c>
      <c r="C319" s="2" t="s">
        <v>28</v>
      </c>
      <c r="D319" s="2" t="s">
        <v>100</v>
      </c>
      <c r="E319" s="2" t="s">
        <v>79</v>
      </c>
      <c r="F319" s="2" t="s">
        <v>30</v>
      </c>
      <c r="G319" s="2" t="s">
        <v>179</v>
      </c>
      <c r="H319" s="2" t="s">
        <v>32</v>
      </c>
      <c r="I319" s="2">
        <v>48</v>
      </c>
      <c r="J319" s="2" t="s">
        <v>287</v>
      </c>
      <c r="K319" s="4" t="s">
        <v>8590</v>
      </c>
      <c r="L319" s="2" t="s">
        <v>24</v>
      </c>
      <c r="M319" s="2"/>
      <c r="N319" t="s">
        <v>8586</v>
      </c>
      <c r="O319" s="8" t="str">
        <f t="shared" si="8"/>
        <v/>
      </c>
      <c r="P319" t="str">
        <f t="shared" si="9"/>
        <v>N/A</v>
      </c>
    </row>
    <row r="320" spans="1:16" x14ac:dyDescent="0.25">
      <c r="A320" s="2" t="s">
        <v>956</v>
      </c>
      <c r="B320" s="4">
        <v>46249.727777777778</v>
      </c>
      <c r="C320" s="2" t="s">
        <v>53</v>
      </c>
      <c r="D320" s="2" t="s">
        <v>54</v>
      </c>
      <c r="E320" s="2" t="s">
        <v>85</v>
      </c>
      <c r="F320" s="2" t="s">
        <v>55</v>
      </c>
      <c r="G320" s="2" t="s">
        <v>31</v>
      </c>
      <c r="H320" s="2" t="s">
        <v>32</v>
      </c>
      <c r="I320" s="2">
        <v>48</v>
      </c>
      <c r="J320" s="2" t="s">
        <v>75</v>
      </c>
      <c r="K320" s="4">
        <v>46250.647222222222</v>
      </c>
      <c r="L320" s="2" t="s">
        <v>24</v>
      </c>
      <c r="M320" s="2">
        <v>4</v>
      </c>
      <c r="N320" t="s">
        <v>8583</v>
      </c>
      <c r="O320" s="8">
        <f t="shared" si="8"/>
        <v>22.066666666651145</v>
      </c>
      <c r="P320" t="str">
        <f t="shared" si="9"/>
        <v>N/A</v>
      </c>
    </row>
    <row r="321" spans="1:16" x14ac:dyDescent="0.25">
      <c r="A321" s="2" t="s">
        <v>959</v>
      </c>
      <c r="B321" s="4">
        <v>46089.78125</v>
      </c>
      <c r="C321" s="2" t="s">
        <v>16</v>
      </c>
      <c r="D321" s="2" t="s">
        <v>84</v>
      </c>
      <c r="E321" s="2" t="s">
        <v>148</v>
      </c>
      <c r="F321" s="2" t="s">
        <v>96</v>
      </c>
      <c r="G321" s="2" t="s">
        <v>110</v>
      </c>
      <c r="H321" s="2" t="s">
        <v>74</v>
      </c>
      <c r="I321" s="2">
        <v>8</v>
      </c>
      <c r="J321" s="2" t="s">
        <v>75</v>
      </c>
      <c r="K321" s="4">
        <v>46089.879166666666</v>
      </c>
      <c r="L321" s="2" t="s">
        <v>24</v>
      </c>
      <c r="M321" s="2">
        <v>5</v>
      </c>
      <c r="N321" t="s">
        <v>8587</v>
      </c>
      <c r="O321" s="8">
        <f t="shared" si="8"/>
        <v>2.3499999999767169</v>
      </c>
      <c r="P321" t="str">
        <f t="shared" si="9"/>
        <v>N/A</v>
      </c>
    </row>
    <row r="322" spans="1:16" x14ac:dyDescent="0.25">
      <c r="A322" s="2" t="s">
        <v>962</v>
      </c>
      <c r="B322" s="4">
        <v>46166.644444444442</v>
      </c>
      <c r="C322" s="2" t="s">
        <v>16</v>
      </c>
      <c r="D322" s="2" t="s">
        <v>17</v>
      </c>
      <c r="E322" s="2" t="s">
        <v>79</v>
      </c>
      <c r="F322" s="2" t="s">
        <v>113</v>
      </c>
      <c r="G322" s="2" t="s">
        <v>183</v>
      </c>
      <c r="H322" s="2" t="s">
        <v>74</v>
      </c>
      <c r="I322" s="2">
        <v>8</v>
      </c>
      <c r="J322" s="2" t="s">
        <v>11</v>
      </c>
      <c r="K322" s="4" t="s">
        <v>8590</v>
      </c>
      <c r="L322" s="2" t="s">
        <v>92</v>
      </c>
      <c r="M322" s="2"/>
      <c r="N322" t="s">
        <v>8589</v>
      </c>
      <c r="O322" s="8" t="str">
        <f t="shared" si="8"/>
        <v/>
      </c>
      <c r="P322" t="str">
        <f t="shared" si="9"/>
        <v>N/A</v>
      </c>
    </row>
    <row r="323" spans="1:16" x14ac:dyDescent="0.25">
      <c r="A323" s="2" t="s">
        <v>964</v>
      </c>
      <c r="B323" s="4">
        <v>46077.354861111111</v>
      </c>
      <c r="C323" s="2" t="s">
        <v>53</v>
      </c>
      <c r="D323" s="2" t="s">
        <v>54</v>
      </c>
      <c r="E323" s="2" t="s">
        <v>90</v>
      </c>
      <c r="F323" s="2" t="s">
        <v>113</v>
      </c>
      <c r="G323" s="2" t="s">
        <v>179</v>
      </c>
      <c r="H323" s="2" t="s">
        <v>21</v>
      </c>
      <c r="I323" s="2">
        <v>24</v>
      </c>
      <c r="J323" s="2" t="s">
        <v>106</v>
      </c>
      <c r="K323" s="4">
        <v>46077.884722222225</v>
      </c>
      <c r="L323" s="2" t="s">
        <v>24</v>
      </c>
      <c r="M323" s="2">
        <v>4</v>
      </c>
      <c r="N323" t="s">
        <v>8581</v>
      </c>
      <c r="O323" s="8">
        <f t="shared" ref="O323:O386" si="10">IF(K323="","",IF(K323="Missing Resolve Date","",(K323-B323)*24))</f>
        <v>12.716666666732635</v>
      </c>
      <c r="P323" t="str">
        <f t="shared" ref="P323:P386" si="11">IF(J323="Resolved",IF(O323&lt;=I323,"Yes","No"),"N/A")</f>
        <v>Yes</v>
      </c>
    </row>
    <row r="324" spans="1:16" x14ac:dyDescent="0.25">
      <c r="A324" s="2" t="s">
        <v>967</v>
      </c>
      <c r="B324" s="4">
        <v>46060.491666666669</v>
      </c>
      <c r="C324" s="2" t="s">
        <v>53</v>
      </c>
      <c r="D324" s="2" t="s">
        <v>54</v>
      </c>
      <c r="E324" s="2" t="s">
        <v>148</v>
      </c>
      <c r="F324" s="2" t="s">
        <v>30</v>
      </c>
      <c r="G324" s="2" t="s">
        <v>31</v>
      </c>
      <c r="H324" s="2" t="s">
        <v>21</v>
      </c>
      <c r="I324" s="2">
        <v>24</v>
      </c>
      <c r="J324" s="2" t="s">
        <v>287</v>
      </c>
      <c r="K324" s="4" t="s">
        <v>8590</v>
      </c>
      <c r="L324" s="2" t="s">
        <v>24</v>
      </c>
      <c r="M324" s="2"/>
      <c r="N324" t="s">
        <v>8588</v>
      </c>
      <c r="O324" s="8" t="str">
        <f t="shared" si="10"/>
        <v/>
      </c>
      <c r="P324" t="str">
        <f t="shared" si="11"/>
        <v>N/A</v>
      </c>
    </row>
    <row r="325" spans="1:16" x14ac:dyDescent="0.25">
      <c r="A325" s="2" t="s">
        <v>969</v>
      </c>
      <c r="B325" s="4">
        <v>46251.324999999997</v>
      </c>
      <c r="C325" s="2" t="s">
        <v>28</v>
      </c>
      <c r="D325" s="2" t="s">
        <v>37</v>
      </c>
      <c r="E325" s="2" t="s">
        <v>79</v>
      </c>
      <c r="F325" s="2" t="s">
        <v>55</v>
      </c>
      <c r="G325" s="2" t="s">
        <v>211</v>
      </c>
      <c r="H325" s="2" t="s">
        <v>74</v>
      </c>
      <c r="I325" s="2">
        <v>8</v>
      </c>
      <c r="J325" s="2" t="s">
        <v>106</v>
      </c>
      <c r="K325" s="4">
        <v>46251.47152777778</v>
      </c>
      <c r="L325" s="2" t="s">
        <v>24</v>
      </c>
      <c r="M325" s="2">
        <v>5</v>
      </c>
      <c r="N325" t="s">
        <v>8586</v>
      </c>
      <c r="O325" s="8">
        <f t="shared" si="10"/>
        <v>3.5166666667792015</v>
      </c>
      <c r="P325" t="str">
        <f t="shared" si="11"/>
        <v>Yes</v>
      </c>
    </row>
    <row r="326" spans="1:16" x14ac:dyDescent="0.25">
      <c r="A326" s="2" t="s">
        <v>972</v>
      </c>
      <c r="B326" s="4">
        <v>46234.029166666667</v>
      </c>
      <c r="C326" s="2" t="s">
        <v>16</v>
      </c>
      <c r="D326" s="2" t="s">
        <v>17</v>
      </c>
      <c r="E326" s="2" t="s">
        <v>18</v>
      </c>
      <c r="F326" s="2" t="s">
        <v>30</v>
      </c>
      <c r="G326" s="2" t="s">
        <v>110</v>
      </c>
      <c r="H326" s="2" t="s">
        <v>21</v>
      </c>
      <c r="I326" s="2">
        <v>24</v>
      </c>
      <c r="J326" s="2" t="s">
        <v>11</v>
      </c>
      <c r="K326" s="4" t="s">
        <v>8590</v>
      </c>
      <c r="L326" s="2" t="s">
        <v>92</v>
      </c>
      <c r="M326" s="2"/>
      <c r="N326" t="s">
        <v>8587</v>
      </c>
      <c r="O326" s="8" t="str">
        <f t="shared" si="10"/>
        <v/>
      </c>
      <c r="P326" t="str">
        <f t="shared" si="11"/>
        <v>N/A</v>
      </c>
    </row>
    <row r="327" spans="1:16" x14ac:dyDescent="0.25">
      <c r="A327" s="2" t="s">
        <v>974</v>
      </c>
      <c r="B327" s="4">
        <v>46062.063888888886</v>
      </c>
      <c r="C327" s="2" t="s">
        <v>16</v>
      </c>
      <c r="D327" s="2" t="s">
        <v>17</v>
      </c>
      <c r="E327" s="2" t="s">
        <v>90</v>
      </c>
      <c r="F327" s="2" t="s">
        <v>96</v>
      </c>
      <c r="G327" s="2" t="s">
        <v>101</v>
      </c>
      <c r="H327" s="2" t="s">
        <v>21</v>
      </c>
      <c r="I327" s="2">
        <v>24</v>
      </c>
      <c r="J327" s="2" t="s">
        <v>11</v>
      </c>
      <c r="K327" s="4" t="s">
        <v>8590</v>
      </c>
      <c r="L327" s="2" t="s">
        <v>92</v>
      </c>
      <c r="M327" s="2"/>
      <c r="N327" t="s">
        <v>8589</v>
      </c>
      <c r="O327" s="8" t="str">
        <f t="shared" si="10"/>
        <v/>
      </c>
      <c r="P327" t="str">
        <f t="shared" si="11"/>
        <v>N/A</v>
      </c>
    </row>
    <row r="328" spans="1:16" x14ac:dyDescent="0.25">
      <c r="A328" s="2" t="s">
        <v>976</v>
      </c>
      <c r="B328" s="4">
        <v>46033.504861111112</v>
      </c>
      <c r="C328" s="2" t="s">
        <v>53</v>
      </c>
      <c r="D328" s="2" t="s">
        <v>61</v>
      </c>
      <c r="E328" s="2" t="s">
        <v>38</v>
      </c>
      <c r="F328" s="2" t="s">
        <v>55</v>
      </c>
      <c r="G328" s="2" t="s">
        <v>101</v>
      </c>
      <c r="H328" s="2" t="s">
        <v>21</v>
      </c>
      <c r="I328" s="2">
        <v>24</v>
      </c>
      <c r="J328" s="2" t="s">
        <v>11</v>
      </c>
      <c r="K328" s="4" t="s">
        <v>8590</v>
      </c>
      <c r="L328" s="2" t="s">
        <v>92</v>
      </c>
      <c r="M328" s="2"/>
      <c r="N328" t="s">
        <v>8587</v>
      </c>
      <c r="O328" s="8" t="str">
        <f t="shared" si="10"/>
        <v/>
      </c>
      <c r="P328" t="str">
        <f t="shared" si="11"/>
        <v>N/A</v>
      </c>
    </row>
    <row r="329" spans="1:16" x14ac:dyDescent="0.25">
      <c r="A329" s="2" t="s">
        <v>978</v>
      </c>
      <c r="B329" s="4">
        <v>46027.542361111111</v>
      </c>
      <c r="C329" s="2" t="s">
        <v>16</v>
      </c>
      <c r="D329" s="2" t="s">
        <v>84</v>
      </c>
      <c r="E329" s="2" t="s">
        <v>18</v>
      </c>
      <c r="F329" s="2" t="s">
        <v>113</v>
      </c>
      <c r="G329" s="2" t="s">
        <v>179</v>
      </c>
      <c r="H329" s="2" t="s">
        <v>80</v>
      </c>
      <c r="I329" s="2">
        <v>4</v>
      </c>
      <c r="J329" s="2" t="s">
        <v>8580</v>
      </c>
      <c r="K329" s="4">
        <v>46027.683333333334</v>
      </c>
      <c r="L329" s="2" t="s">
        <v>24</v>
      </c>
      <c r="M329" s="2"/>
      <c r="N329" t="s">
        <v>8588</v>
      </c>
      <c r="O329" s="8">
        <f t="shared" si="10"/>
        <v>3.3833333333604969</v>
      </c>
      <c r="P329" t="str">
        <f t="shared" si="11"/>
        <v>N/A</v>
      </c>
    </row>
    <row r="330" spans="1:16" x14ac:dyDescent="0.25">
      <c r="A330" s="2" t="s">
        <v>981</v>
      </c>
      <c r="B330" s="4">
        <v>46167.175000000003</v>
      </c>
      <c r="C330" s="2" t="s">
        <v>67</v>
      </c>
      <c r="D330" s="2" t="s">
        <v>95</v>
      </c>
      <c r="E330" s="2" t="s">
        <v>90</v>
      </c>
      <c r="F330" s="2" t="s">
        <v>30</v>
      </c>
      <c r="G330" s="2" t="s">
        <v>31</v>
      </c>
      <c r="H330" s="2" t="s">
        <v>21</v>
      </c>
      <c r="I330" s="2">
        <v>24</v>
      </c>
      <c r="J330" s="2" t="s">
        <v>75</v>
      </c>
      <c r="K330" s="4">
        <v>46167.313888888886</v>
      </c>
      <c r="L330" s="2" t="s">
        <v>24</v>
      </c>
      <c r="M330" s="2">
        <v>5</v>
      </c>
      <c r="N330" t="s">
        <v>8588</v>
      </c>
      <c r="O330" s="8">
        <f t="shared" si="10"/>
        <v>3.3333333331975155</v>
      </c>
      <c r="P330" t="str">
        <f t="shared" si="11"/>
        <v>N/A</v>
      </c>
    </row>
    <row r="331" spans="1:16" x14ac:dyDescent="0.25">
      <c r="A331" s="2" t="s">
        <v>984</v>
      </c>
      <c r="B331" s="4">
        <v>46115.313194444447</v>
      </c>
      <c r="C331" s="2" t="s">
        <v>28</v>
      </c>
      <c r="D331" s="2" t="s">
        <v>100</v>
      </c>
      <c r="E331" s="2" t="s">
        <v>148</v>
      </c>
      <c r="F331" s="2" t="s">
        <v>96</v>
      </c>
      <c r="G331" s="2" t="s">
        <v>183</v>
      </c>
      <c r="H331" s="2" t="s">
        <v>32</v>
      </c>
      <c r="I331" s="2">
        <v>48</v>
      </c>
      <c r="J331" s="2" t="s">
        <v>11</v>
      </c>
      <c r="K331" s="4" t="s">
        <v>8590</v>
      </c>
      <c r="L331" s="2" t="s">
        <v>92</v>
      </c>
      <c r="M331" s="2"/>
      <c r="N331" t="s">
        <v>8586</v>
      </c>
      <c r="O331" s="8" t="str">
        <f t="shared" si="10"/>
        <v/>
      </c>
      <c r="P331" t="str">
        <f t="shared" si="11"/>
        <v>N/A</v>
      </c>
    </row>
    <row r="332" spans="1:16" x14ac:dyDescent="0.25">
      <c r="A332" s="2" t="s">
        <v>986</v>
      </c>
      <c r="B332" s="4">
        <v>46173.894444444442</v>
      </c>
      <c r="C332" s="2" t="s">
        <v>67</v>
      </c>
      <c r="D332" s="2" t="s">
        <v>68</v>
      </c>
      <c r="E332" s="2" t="s">
        <v>90</v>
      </c>
      <c r="F332" s="2" t="s">
        <v>55</v>
      </c>
      <c r="G332" s="2" t="s">
        <v>110</v>
      </c>
      <c r="H332" s="2" t="s">
        <v>74</v>
      </c>
      <c r="I332" s="2">
        <v>8</v>
      </c>
      <c r="J332" s="2" t="s">
        <v>106</v>
      </c>
      <c r="K332" s="4">
        <v>46174.131249999999</v>
      </c>
      <c r="L332" s="2" t="s">
        <v>24</v>
      </c>
      <c r="M332" s="2"/>
      <c r="N332" t="s">
        <v>8589</v>
      </c>
      <c r="O332" s="8">
        <f t="shared" si="10"/>
        <v>5.6833333333488554</v>
      </c>
      <c r="P332" t="str">
        <f t="shared" si="11"/>
        <v>Yes</v>
      </c>
    </row>
    <row r="333" spans="1:16" x14ac:dyDescent="0.25">
      <c r="A333" s="2" t="s">
        <v>989</v>
      </c>
      <c r="B333" s="4">
        <v>46228.995138888888</v>
      </c>
      <c r="C333" s="2" t="s">
        <v>67</v>
      </c>
      <c r="D333" s="2" t="s">
        <v>95</v>
      </c>
      <c r="E333" s="2" t="s">
        <v>79</v>
      </c>
      <c r="F333" s="2" t="s">
        <v>55</v>
      </c>
      <c r="G333" s="2" t="s">
        <v>211</v>
      </c>
      <c r="H333" s="2" t="s">
        <v>21</v>
      </c>
      <c r="I333" s="2">
        <v>24</v>
      </c>
      <c r="J333" s="2" t="s">
        <v>106</v>
      </c>
      <c r="K333" s="4">
        <v>46229.818749999999</v>
      </c>
      <c r="L333" s="2" t="s">
        <v>24</v>
      </c>
      <c r="M333" s="2">
        <v>5</v>
      </c>
      <c r="N333" t="s">
        <v>8589</v>
      </c>
      <c r="O333" s="8">
        <f t="shared" si="10"/>
        <v>19.766666666662786</v>
      </c>
      <c r="P333" t="str">
        <f t="shared" si="11"/>
        <v>Yes</v>
      </c>
    </row>
    <row r="334" spans="1:16" x14ac:dyDescent="0.25">
      <c r="A334" s="2" t="s">
        <v>992</v>
      </c>
      <c r="B334" s="4">
        <v>46132.908333333333</v>
      </c>
      <c r="C334" s="2" t="s">
        <v>16</v>
      </c>
      <c r="D334" s="2" t="s">
        <v>17</v>
      </c>
      <c r="E334" s="2" t="s">
        <v>85</v>
      </c>
      <c r="F334" s="2" t="s">
        <v>55</v>
      </c>
      <c r="G334" s="2" t="s">
        <v>101</v>
      </c>
      <c r="H334" s="2" t="s">
        <v>74</v>
      </c>
      <c r="I334" s="2">
        <v>8</v>
      </c>
      <c r="J334" s="2" t="s">
        <v>287</v>
      </c>
      <c r="K334" s="4" t="s">
        <v>8590</v>
      </c>
      <c r="L334" s="2" t="s">
        <v>24</v>
      </c>
      <c r="M334" s="2"/>
      <c r="N334" t="s">
        <v>8588</v>
      </c>
      <c r="O334" s="8" t="str">
        <f t="shared" si="10"/>
        <v/>
      </c>
      <c r="P334" t="str">
        <f t="shared" si="11"/>
        <v>N/A</v>
      </c>
    </row>
    <row r="335" spans="1:16" x14ac:dyDescent="0.25">
      <c r="A335" s="2" t="s">
        <v>994</v>
      </c>
      <c r="B335" s="4">
        <v>46041.283333333333</v>
      </c>
      <c r="C335" s="2" t="s">
        <v>16</v>
      </c>
      <c r="D335" s="2" t="s">
        <v>84</v>
      </c>
      <c r="E335" s="2" t="s">
        <v>85</v>
      </c>
      <c r="F335" s="2" t="s">
        <v>30</v>
      </c>
      <c r="G335" s="2" t="s">
        <v>211</v>
      </c>
      <c r="H335" s="2" t="s">
        <v>80</v>
      </c>
      <c r="I335" s="2">
        <v>4</v>
      </c>
      <c r="J335" s="2" t="s">
        <v>287</v>
      </c>
      <c r="K335" s="4" t="s">
        <v>8590</v>
      </c>
      <c r="L335" s="2" t="s">
        <v>24</v>
      </c>
      <c r="M335" s="2"/>
      <c r="N335" t="s">
        <v>8585</v>
      </c>
      <c r="O335" s="8" t="str">
        <f t="shared" si="10"/>
        <v/>
      </c>
      <c r="P335" t="str">
        <f t="shared" si="11"/>
        <v>N/A</v>
      </c>
    </row>
    <row r="336" spans="1:16" x14ac:dyDescent="0.25">
      <c r="A336" s="2" t="s">
        <v>996</v>
      </c>
      <c r="B336" s="4">
        <v>46062.786111111112</v>
      </c>
      <c r="C336" s="2" t="s">
        <v>67</v>
      </c>
      <c r="D336" s="2" t="s">
        <v>68</v>
      </c>
      <c r="E336" s="2" t="s">
        <v>46</v>
      </c>
      <c r="F336" s="2" t="s">
        <v>55</v>
      </c>
      <c r="G336" s="2" t="s">
        <v>101</v>
      </c>
      <c r="H336" s="2" t="s">
        <v>74</v>
      </c>
      <c r="I336" s="2">
        <v>8</v>
      </c>
      <c r="J336" s="2" t="s">
        <v>75</v>
      </c>
      <c r="K336" s="4">
        <v>46063.035416666666</v>
      </c>
      <c r="L336" s="2" t="s">
        <v>24</v>
      </c>
      <c r="M336" s="2">
        <v>5</v>
      </c>
      <c r="N336" t="s">
        <v>8588</v>
      </c>
      <c r="O336" s="8">
        <f t="shared" si="10"/>
        <v>5.9833333332790062</v>
      </c>
      <c r="P336" t="str">
        <f t="shared" si="11"/>
        <v>N/A</v>
      </c>
    </row>
    <row r="337" spans="1:16" x14ac:dyDescent="0.25">
      <c r="A337" s="2" t="s">
        <v>999</v>
      </c>
      <c r="B337" s="4">
        <v>46132.697222222225</v>
      </c>
      <c r="C337" s="2" t="s">
        <v>53</v>
      </c>
      <c r="D337" s="2" t="s">
        <v>61</v>
      </c>
      <c r="E337" s="2" t="s">
        <v>46</v>
      </c>
      <c r="F337" s="2" t="s">
        <v>96</v>
      </c>
      <c r="G337" s="2" t="s">
        <v>179</v>
      </c>
      <c r="H337" s="2" t="s">
        <v>32</v>
      </c>
      <c r="I337" s="2">
        <v>48</v>
      </c>
      <c r="J337" s="2" t="s">
        <v>11</v>
      </c>
      <c r="K337" s="4" t="s">
        <v>8590</v>
      </c>
      <c r="L337" s="2" t="s">
        <v>92</v>
      </c>
      <c r="M337" s="2"/>
      <c r="N337" t="s">
        <v>8589</v>
      </c>
      <c r="O337" s="8" t="str">
        <f t="shared" si="10"/>
        <v/>
      </c>
      <c r="P337" t="str">
        <f t="shared" si="11"/>
        <v>N/A</v>
      </c>
    </row>
    <row r="338" spans="1:16" x14ac:dyDescent="0.25">
      <c r="A338" s="2" t="s">
        <v>1001</v>
      </c>
      <c r="B338" s="4">
        <v>46231.9</v>
      </c>
      <c r="C338" s="2" t="s">
        <v>28</v>
      </c>
      <c r="D338" s="2" t="s">
        <v>100</v>
      </c>
      <c r="E338" s="2" t="s">
        <v>46</v>
      </c>
      <c r="F338" s="2" t="s">
        <v>55</v>
      </c>
      <c r="G338" s="2" t="s">
        <v>101</v>
      </c>
      <c r="H338" s="2" t="s">
        <v>32</v>
      </c>
      <c r="I338" s="2">
        <v>48</v>
      </c>
      <c r="J338" s="2" t="s">
        <v>11</v>
      </c>
      <c r="K338" s="4" t="s">
        <v>8590</v>
      </c>
      <c r="L338" s="2" t="s">
        <v>92</v>
      </c>
      <c r="M338" s="2"/>
      <c r="N338" t="s">
        <v>8584</v>
      </c>
      <c r="O338" s="8" t="str">
        <f t="shared" si="10"/>
        <v/>
      </c>
      <c r="P338" t="str">
        <f t="shared" si="11"/>
        <v>N/A</v>
      </c>
    </row>
    <row r="339" spans="1:16" x14ac:dyDescent="0.25">
      <c r="A339" s="2" t="s">
        <v>1003</v>
      </c>
      <c r="B339" s="4">
        <v>46060.548611111109</v>
      </c>
      <c r="C339" s="2" t="s">
        <v>16</v>
      </c>
      <c r="D339" s="2" t="s">
        <v>17</v>
      </c>
      <c r="E339" s="2" t="s">
        <v>38</v>
      </c>
      <c r="F339" s="2" t="s">
        <v>55</v>
      </c>
      <c r="G339" s="2" t="s">
        <v>211</v>
      </c>
      <c r="H339" s="2" t="s">
        <v>21</v>
      </c>
      <c r="I339" s="2">
        <v>24</v>
      </c>
      <c r="J339" s="2" t="s">
        <v>75</v>
      </c>
      <c r="K339" s="4">
        <v>46061.168055555558</v>
      </c>
      <c r="L339" s="2" t="s">
        <v>24</v>
      </c>
      <c r="M339" s="2">
        <v>5</v>
      </c>
      <c r="N339" t="s">
        <v>8587</v>
      </c>
      <c r="O339" s="8">
        <f t="shared" si="10"/>
        <v>14.866666666755918</v>
      </c>
      <c r="P339" t="str">
        <f t="shared" si="11"/>
        <v>N/A</v>
      </c>
    </row>
    <row r="340" spans="1:16" x14ac:dyDescent="0.25">
      <c r="A340" s="2" t="s">
        <v>1006</v>
      </c>
      <c r="B340" s="4">
        <v>46062.212500000001</v>
      </c>
      <c r="C340" s="2" t="s">
        <v>53</v>
      </c>
      <c r="D340" s="2" t="s">
        <v>54</v>
      </c>
      <c r="E340" s="2" t="s">
        <v>148</v>
      </c>
      <c r="F340" s="2" t="s">
        <v>55</v>
      </c>
      <c r="G340" s="2" t="s">
        <v>101</v>
      </c>
      <c r="H340" s="2" t="s">
        <v>32</v>
      </c>
      <c r="I340" s="2">
        <v>48</v>
      </c>
      <c r="J340" s="2" t="s">
        <v>11</v>
      </c>
      <c r="K340" s="4" t="s">
        <v>8590</v>
      </c>
      <c r="L340" s="2" t="s">
        <v>92</v>
      </c>
      <c r="M340" s="2"/>
      <c r="N340" t="s">
        <v>8588</v>
      </c>
      <c r="O340" s="8" t="str">
        <f t="shared" si="10"/>
        <v/>
      </c>
      <c r="P340" t="str">
        <f t="shared" si="11"/>
        <v>N/A</v>
      </c>
    </row>
    <row r="341" spans="1:16" x14ac:dyDescent="0.25">
      <c r="A341" s="2" t="s">
        <v>1008</v>
      </c>
      <c r="B341" s="4">
        <v>46226.739583333336</v>
      </c>
      <c r="C341" s="2" t="s">
        <v>67</v>
      </c>
      <c r="D341" s="2" t="s">
        <v>68</v>
      </c>
      <c r="E341" s="2" t="s">
        <v>46</v>
      </c>
      <c r="F341" s="2" t="s">
        <v>96</v>
      </c>
      <c r="G341" s="2" t="s">
        <v>211</v>
      </c>
      <c r="H341" s="2" t="s">
        <v>80</v>
      </c>
      <c r="I341" s="2">
        <v>4</v>
      </c>
      <c r="J341" s="2" t="s">
        <v>287</v>
      </c>
      <c r="K341" s="4" t="s">
        <v>8590</v>
      </c>
      <c r="L341" s="2" t="s">
        <v>24</v>
      </c>
      <c r="M341" s="2"/>
      <c r="N341" t="s">
        <v>8589</v>
      </c>
      <c r="O341" s="8" t="str">
        <f t="shared" si="10"/>
        <v/>
      </c>
      <c r="P341" t="str">
        <f t="shared" si="11"/>
        <v>N/A</v>
      </c>
    </row>
    <row r="342" spans="1:16" x14ac:dyDescent="0.25">
      <c r="A342" s="2" t="s">
        <v>1010</v>
      </c>
      <c r="B342" s="4">
        <v>46057.777777777781</v>
      </c>
      <c r="C342" s="2" t="s">
        <v>53</v>
      </c>
      <c r="D342" s="2" t="s">
        <v>61</v>
      </c>
      <c r="E342" s="2" t="s">
        <v>38</v>
      </c>
      <c r="F342" s="2" t="s">
        <v>113</v>
      </c>
      <c r="G342" s="2" t="s">
        <v>101</v>
      </c>
      <c r="H342" s="2" t="s">
        <v>21</v>
      </c>
      <c r="I342" s="2">
        <v>24</v>
      </c>
      <c r="J342" s="2" t="s">
        <v>149</v>
      </c>
      <c r="K342" s="4" t="s">
        <v>8590</v>
      </c>
      <c r="L342" s="2" t="s">
        <v>24</v>
      </c>
      <c r="M342" s="2"/>
      <c r="N342" t="s">
        <v>8585</v>
      </c>
      <c r="O342" s="8" t="str">
        <f t="shared" si="10"/>
        <v/>
      </c>
      <c r="P342" t="str">
        <f t="shared" si="11"/>
        <v>N/A</v>
      </c>
    </row>
    <row r="343" spans="1:16" x14ac:dyDescent="0.25">
      <c r="A343" s="2" t="s">
        <v>1012</v>
      </c>
      <c r="B343" s="4">
        <v>46206.579861111109</v>
      </c>
      <c r="C343" s="2" t="s">
        <v>16</v>
      </c>
      <c r="D343" s="2" t="s">
        <v>84</v>
      </c>
      <c r="E343" s="2" t="s">
        <v>79</v>
      </c>
      <c r="F343" s="2" t="s">
        <v>55</v>
      </c>
      <c r="G343" s="2" t="s">
        <v>179</v>
      </c>
      <c r="H343" s="2" t="s">
        <v>74</v>
      </c>
      <c r="I343" s="2">
        <v>8</v>
      </c>
      <c r="J343" s="2" t="s">
        <v>106</v>
      </c>
      <c r="K343" s="4">
        <v>46206.715277777781</v>
      </c>
      <c r="L343" s="2" t="s">
        <v>24</v>
      </c>
      <c r="M343" s="2">
        <v>1</v>
      </c>
      <c r="N343" t="s">
        <v>8585</v>
      </c>
      <c r="O343" s="8">
        <f t="shared" si="10"/>
        <v>3.2500000001164153</v>
      </c>
      <c r="P343" t="str">
        <f t="shared" si="11"/>
        <v>Yes</v>
      </c>
    </row>
    <row r="344" spans="1:16" x14ac:dyDescent="0.25">
      <c r="A344" s="2" t="s">
        <v>1015</v>
      </c>
      <c r="B344" s="4">
        <v>46210.672222222223</v>
      </c>
      <c r="C344" s="2" t="s">
        <v>16</v>
      </c>
      <c r="D344" s="2" t="s">
        <v>84</v>
      </c>
      <c r="E344" s="2" t="s">
        <v>38</v>
      </c>
      <c r="F344" s="2" t="s">
        <v>55</v>
      </c>
      <c r="G344" s="2" t="s">
        <v>183</v>
      </c>
      <c r="H344" s="2" t="s">
        <v>21</v>
      </c>
      <c r="I344" s="2">
        <v>24</v>
      </c>
      <c r="J344" s="2" t="s">
        <v>106</v>
      </c>
      <c r="K344" s="4">
        <v>46211.181944444441</v>
      </c>
      <c r="L344" s="2" t="s">
        <v>24</v>
      </c>
      <c r="M344" s="2">
        <v>1</v>
      </c>
      <c r="N344" t="s">
        <v>8586</v>
      </c>
      <c r="O344" s="8">
        <f t="shared" si="10"/>
        <v>12.233333333220799</v>
      </c>
      <c r="P344" t="str">
        <f t="shared" si="11"/>
        <v>Yes</v>
      </c>
    </row>
    <row r="345" spans="1:16" x14ac:dyDescent="0.25">
      <c r="A345" s="2" t="s">
        <v>1018</v>
      </c>
      <c r="B345" s="4">
        <v>46165.06527777778</v>
      </c>
      <c r="C345" s="2" t="s">
        <v>16</v>
      </c>
      <c r="D345" s="2" t="s">
        <v>84</v>
      </c>
      <c r="E345" s="2" t="s">
        <v>85</v>
      </c>
      <c r="F345" s="2" t="s">
        <v>96</v>
      </c>
      <c r="G345" s="2" t="s">
        <v>31</v>
      </c>
      <c r="H345" s="2" t="s">
        <v>32</v>
      </c>
      <c r="I345" s="2">
        <v>48</v>
      </c>
      <c r="J345" s="2" t="s">
        <v>149</v>
      </c>
      <c r="K345" s="4" t="s">
        <v>8590</v>
      </c>
      <c r="L345" s="2" t="s">
        <v>92</v>
      </c>
      <c r="M345" s="2"/>
      <c r="N345" t="s">
        <v>8589</v>
      </c>
      <c r="O345" s="8" t="str">
        <f t="shared" si="10"/>
        <v/>
      </c>
      <c r="P345" t="str">
        <f t="shared" si="11"/>
        <v>N/A</v>
      </c>
    </row>
    <row r="346" spans="1:16" x14ac:dyDescent="0.25">
      <c r="A346" s="2" t="s">
        <v>1020</v>
      </c>
      <c r="B346" s="4">
        <v>46118.664583333331</v>
      </c>
      <c r="C346" s="2" t="s">
        <v>16</v>
      </c>
      <c r="D346" s="2" t="s">
        <v>17</v>
      </c>
      <c r="E346" s="2" t="s">
        <v>85</v>
      </c>
      <c r="F346" s="2" t="s">
        <v>30</v>
      </c>
      <c r="G346" s="2" t="s">
        <v>31</v>
      </c>
      <c r="H346" s="2" t="s">
        <v>32</v>
      </c>
      <c r="I346" s="2">
        <v>48</v>
      </c>
      <c r="J346" s="2" t="s">
        <v>149</v>
      </c>
      <c r="K346" s="4" t="s">
        <v>8590</v>
      </c>
      <c r="L346" s="2" t="s">
        <v>24</v>
      </c>
      <c r="M346" s="2"/>
      <c r="N346" t="s">
        <v>8584</v>
      </c>
      <c r="O346" s="8" t="str">
        <f t="shared" si="10"/>
        <v/>
      </c>
      <c r="P346" t="str">
        <f t="shared" si="11"/>
        <v>N/A</v>
      </c>
    </row>
    <row r="347" spans="1:16" x14ac:dyDescent="0.25">
      <c r="A347" s="2" t="s">
        <v>1022</v>
      </c>
      <c r="B347" s="4">
        <v>46199.837500000001</v>
      </c>
      <c r="C347" s="2" t="s">
        <v>67</v>
      </c>
      <c r="D347" s="2" t="s">
        <v>95</v>
      </c>
      <c r="E347" s="2" t="s">
        <v>46</v>
      </c>
      <c r="F347" s="2" t="s">
        <v>30</v>
      </c>
      <c r="G347" s="2" t="s">
        <v>110</v>
      </c>
      <c r="H347" s="2" t="s">
        <v>32</v>
      </c>
      <c r="I347" s="2">
        <v>48</v>
      </c>
      <c r="J347" s="2" t="s">
        <v>75</v>
      </c>
      <c r="K347" s="4">
        <v>46200.615972222222</v>
      </c>
      <c r="L347" s="2" t="s">
        <v>24</v>
      </c>
      <c r="M347" s="2">
        <v>4</v>
      </c>
      <c r="N347" t="s">
        <v>8585</v>
      </c>
      <c r="O347" s="8">
        <f t="shared" si="10"/>
        <v>18.683333333290648</v>
      </c>
      <c r="P347" t="str">
        <f t="shared" si="11"/>
        <v>N/A</v>
      </c>
    </row>
    <row r="348" spans="1:16" x14ac:dyDescent="0.25">
      <c r="A348" s="2" t="s">
        <v>1025</v>
      </c>
      <c r="B348" s="4">
        <v>46182.629861111112</v>
      </c>
      <c r="C348" s="2" t="s">
        <v>28</v>
      </c>
      <c r="D348" s="2" t="s">
        <v>100</v>
      </c>
      <c r="E348" s="2" t="s">
        <v>79</v>
      </c>
      <c r="F348" s="2" t="s">
        <v>30</v>
      </c>
      <c r="G348" s="2" t="s">
        <v>31</v>
      </c>
      <c r="H348" s="2" t="s">
        <v>32</v>
      </c>
      <c r="I348" s="2">
        <v>48</v>
      </c>
      <c r="J348" s="2" t="s">
        <v>106</v>
      </c>
      <c r="K348" s="4">
        <v>46186.929861111108</v>
      </c>
      <c r="L348" s="2" t="s">
        <v>24</v>
      </c>
      <c r="M348" s="2">
        <v>4</v>
      </c>
      <c r="N348" t="s">
        <v>8582</v>
      </c>
      <c r="O348" s="8">
        <f t="shared" si="10"/>
        <v>103.19999999989523</v>
      </c>
      <c r="P348" t="str">
        <f t="shared" si="11"/>
        <v>No</v>
      </c>
    </row>
    <row r="349" spans="1:16" x14ac:dyDescent="0.25">
      <c r="A349" s="2" t="s">
        <v>1028</v>
      </c>
      <c r="B349" s="4">
        <v>46191.158333333333</v>
      </c>
      <c r="C349" s="2" t="s">
        <v>53</v>
      </c>
      <c r="D349" s="2" t="s">
        <v>54</v>
      </c>
      <c r="E349" s="2" t="s">
        <v>148</v>
      </c>
      <c r="F349" s="2" t="s">
        <v>30</v>
      </c>
      <c r="G349" s="2" t="s">
        <v>211</v>
      </c>
      <c r="H349" s="2" t="s">
        <v>74</v>
      </c>
      <c r="I349" s="2">
        <v>8</v>
      </c>
      <c r="J349" s="2" t="s">
        <v>75</v>
      </c>
      <c r="K349" s="4">
        <v>46192.020138888889</v>
      </c>
      <c r="L349" s="2" t="s">
        <v>24</v>
      </c>
      <c r="M349" s="2">
        <v>5</v>
      </c>
      <c r="N349" t="s">
        <v>8585</v>
      </c>
      <c r="O349" s="8">
        <f t="shared" si="10"/>
        <v>20.683333333348855</v>
      </c>
      <c r="P349" t="str">
        <f t="shared" si="11"/>
        <v>N/A</v>
      </c>
    </row>
    <row r="350" spans="1:16" x14ac:dyDescent="0.25">
      <c r="A350" s="2" t="s">
        <v>1031</v>
      </c>
      <c r="B350" s="4">
        <v>46233.196527777778</v>
      </c>
      <c r="C350" s="2" t="s">
        <v>16</v>
      </c>
      <c r="D350" s="2" t="s">
        <v>17</v>
      </c>
      <c r="E350" s="2" t="s">
        <v>90</v>
      </c>
      <c r="F350" s="2" t="s">
        <v>55</v>
      </c>
      <c r="G350" s="2" t="s">
        <v>183</v>
      </c>
      <c r="H350" s="2" t="s">
        <v>21</v>
      </c>
      <c r="I350" s="2">
        <v>24</v>
      </c>
      <c r="J350" s="2" t="s">
        <v>75</v>
      </c>
      <c r="K350" s="4">
        <v>46233.227083333331</v>
      </c>
      <c r="L350" s="2" t="s">
        <v>24</v>
      </c>
      <c r="M350" s="2">
        <v>4</v>
      </c>
      <c r="N350" t="s">
        <v>8588</v>
      </c>
      <c r="O350" s="8">
        <f t="shared" si="10"/>
        <v>0.73333333327900618</v>
      </c>
      <c r="P350" t="str">
        <f t="shared" si="11"/>
        <v>N/A</v>
      </c>
    </row>
    <row r="351" spans="1:16" x14ac:dyDescent="0.25">
      <c r="A351" s="2" t="s">
        <v>1034</v>
      </c>
      <c r="B351" s="4">
        <v>46159.470833333333</v>
      </c>
      <c r="C351" s="2" t="s">
        <v>16</v>
      </c>
      <c r="D351" s="2" t="s">
        <v>17</v>
      </c>
      <c r="E351" s="2" t="s">
        <v>90</v>
      </c>
      <c r="F351" s="2" t="s">
        <v>30</v>
      </c>
      <c r="G351" s="2" t="s">
        <v>179</v>
      </c>
      <c r="H351" s="2" t="s">
        <v>32</v>
      </c>
      <c r="I351" s="2">
        <v>48</v>
      </c>
      <c r="J351" s="2" t="s">
        <v>287</v>
      </c>
      <c r="K351" s="4" t="s">
        <v>8590</v>
      </c>
      <c r="L351" s="2" t="s">
        <v>24</v>
      </c>
      <c r="M351" s="2"/>
      <c r="N351" t="s">
        <v>8586</v>
      </c>
      <c r="O351" s="8" t="str">
        <f t="shared" si="10"/>
        <v/>
      </c>
      <c r="P351" t="str">
        <f t="shared" si="11"/>
        <v>N/A</v>
      </c>
    </row>
    <row r="352" spans="1:16" x14ac:dyDescent="0.25">
      <c r="A352" s="2" t="s">
        <v>1036</v>
      </c>
      <c r="B352" s="4">
        <v>46184.890972222223</v>
      </c>
      <c r="C352" s="2" t="s">
        <v>67</v>
      </c>
      <c r="D352" s="2" t="s">
        <v>68</v>
      </c>
      <c r="E352" s="2" t="s">
        <v>79</v>
      </c>
      <c r="F352" s="2" t="s">
        <v>55</v>
      </c>
      <c r="G352" s="2" t="s">
        <v>110</v>
      </c>
      <c r="H352" s="2" t="s">
        <v>21</v>
      </c>
      <c r="I352" s="2">
        <v>24</v>
      </c>
      <c r="J352" s="2" t="s">
        <v>11</v>
      </c>
      <c r="K352" s="4" t="s">
        <v>8590</v>
      </c>
      <c r="L352" s="2" t="s">
        <v>92</v>
      </c>
      <c r="M352" s="2"/>
      <c r="N352" t="s">
        <v>8588</v>
      </c>
      <c r="O352" s="8" t="str">
        <f t="shared" si="10"/>
        <v/>
      </c>
      <c r="P352" t="str">
        <f t="shared" si="11"/>
        <v>N/A</v>
      </c>
    </row>
    <row r="353" spans="1:16" x14ac:dyDescent="0.25">
      <c r="A353" s="2" t="s">
        <v>1038</v>
      </c>
      <c r="B353" s="4">
        <v>46159.07708333333</v>
      </c>
      <c r="C353" s="2" t="s">
        <v>28</v>
      </c>
      <c r="D353" s="2" t="s">
        <v>37</v>
      </c>
      <c r="E353" s="2" t="s">
        <v>38</v>
      </c>
      <c r="F353" s="2" t="s">
        <v>30</v>
      </c>
      <c r="G353" s="2" t="s">
        <v>179</v>
      </c>
      <c r="H353" s="2" t="s">
        <v>32</v>
      </c>
      <c r="I353" s="2">
        <v>48</v>
      </c>
      <c r="J353" s="2" t="s">
        <v>149</v>
      </c>
      <c r="K353" s="4" t="s">
        <v>8590</v>
      </c>
      <c r="L353" s="2" t="s">
        <v>24</v>
      </c>
      <c r="M353" s="2"/>
      <c r="N353" t="s">
        <v>8589</v>
      </c>
      <c r="O353" s="8" t="str">
        <f t="shared" si="10"/>
        <v/>
      </c>
      <c r="P353" t="str">
        <f t="shared" si="11"/>
        <v>N/A</v>
      </c>
    </row>
    <row r="354" spans="1:16" x14ac:dyDescent="0.25">
      <c r="A354" s="2" t="s">
        <v>1040</v>
      </c>
      <c r="B354" s="4">
        <v>46136.206250000003</v>
      </c>
      <c r="C354" s="2" t="s">
        <v>16</v>
      </c>
      <c r="D354" s="2" t="s">
        <v>17</v>
      </c>
      <c r="E354" s="2" t="s">
        <v>148</v>
      </c>
      <c r="F354" s="2" t="s">
        <v>30</v>
      </c>
      <c r="G354" s="2" t="s">
        <v>183</v>
      </c>
      <c r="H354" s="2" t="s">
        <v>32</v>
      </c>
      <c r="I354" s="2">
        <v>48</v>
      </c>
      <c r="J354" s="2" t="s">
        <v>106</v>
      </c>
      <c r="K354" s="4">
        <v>46137.289583333331</v>
      </c>
      <c r="L354" s="2" t="s">
        <v>24</v>
      </c>
      <c r="M354" s="2">
        <v>2</v>
      </c>
      <c r="N354" t="s">
        <v>8583</v>
      </c>
      <c r="O354" s="8">
        <f t="shared" si="10"/>
        <v>25.999999999883585</v>
      </c>
      <c r="P354" t="str">
        <f t="shared" si="11"/>
        <v>Yes</v>
      </c>
    </row>
    <row r="355" spans="1:16" x14ac:dyDescent="0.25">
      <c r="A355" s="2" t="s">
        <v>1043</v>
      </c>
      <c r="B355" s="4">
        <v>46148.170138888891</v>
      </c>
      <c r="C355" s="2" t="s">
        <v>53</v>
      </c>
      <c r="D355" s="2" t="s">
        <v>54</v>
      </c>
      <c r="E355" s="2" t="s">
        <v>148</v>
      </c>
      <c r="F355" s="2" t="s">
        <v>55</v>
      </c>
      <c r="G355" s="2" t="s">
        <v>211</v>
      </c>
      <c r="H355" s="2" t="s">
        <v>32</v>
      </c>
      <c r="I355" s="2">
        <v>48</v>
      </c>
      <c r="J355" s="2" t="s">
        <v>8580</v>
      </c>
      <c r="K355" s="4">
        <v>46148.461805555555</v>
      </c>
      <c r="L355" s="2" t="s">
        <v>24</v>
      </c>
      <c r="M355" s="2"/>
      <c r="N355" t="s">
        <v>8588</v>
      </c>
      <c r="O355" s="8">
        <f t="shared" si="10"/>
        <v>6.9999999999417923</v>
      </c>
      <c r="P355" t="str">
        <f t="shared" si="11"/>
        <v>N/A</v>
      </c>
    </row>
    <row r="356" spans="1:16" x14ac:dyDescent="0.25">
      <c r="A356" s="2" t="s">
        <v>1046</v>
      </c>
      <c r="B356" s="4">
        <v>46217.790972222225</v>
      </c>
      <c r="C356" s="2" t="s">
        <v>28</v>
      </c>
      <c r="D356" s="2" t="s">
        <v>100</v>
      </c>
      <c r="E356" s="2" t="s">
        <v>79</v>
      </c>
      <c r="F356" s="2" t="s">
        <v>30</v>
      </c>
      <c r="G356" s="2" t="s">
        <v>179</v>
      </c>
      <c r="H356" s="2" t="s">
        <v>74</v>
      </c>
      <c r="I356" s="2">
        <v>8</v>
      </c>
      <c r="J356" s="2" t="s">
        <v>149</v>
      </c>
      <c r="K356" s="4" t="s">
        <v>8590</v>
      </c>
      <c r="L356" s="2" t="s">
        <v>92</v>
      </c>
      <c r="M356" s="2"/>
      <c r="N356" t="s">
        <v>8589</v>
      </c>
      <c r="O356" s="8" t="str">
        <f t="shared" si="10"/>
        <v/>
      </c>
      <c r="P356" t="str">
        <f t="shared" si="11"/>
        <v>N/A</v>
      </c>
    </row>
    <row r="357" spans="1:16" x14ac:dyDescent="0.25">
      <c r="A357" s="2" t="s">
        <v>1048</v>
      </c>
      <c r="B357" s="4">
        <v>46073.571527777778</v>
      </c>
      <c r="C357" s="2" t="s">
        <v>53</v>
      </c>
      <c r="D357" s="2" t="s">
        <v>61</v>
      </c>
      <c r="E357" s="2" t="s">
        <v>46</v>
      </c>
      <c r="F357" s="2" t="s">
        <v>55</v>
      </c>
      <c r="G357" s="2" t="s">
        <v>110</v>
      </c>
      <c r="H357" s="2" t="s">
        <v>74</v>
      </c>
      <c r="I357" s="2">
        <v>8</v>
      </c>
      <c r="J357" s="2" t="s">
        <v>106</v>
      </c>
      <c r="K357" s="4">
        <v>46073.786805555559</v>
      </c>
      <c r="L357" s="2" t="s">
        <v>24</v>
      </c>
      <c r="M357" s="2">
        <v>4</v>
      </c>
      <c r="N357" t="s">
        <v>8585</v>
      </c>
      <c r="O357" s="8">
        <f t="shared" si="10"/>
        <v>5.1666666667442769</v>
      </c>
      <c r="P357" t="str">
        <f t="shared" si="11"/>
        <v>Yes</v>
      </c>
    </row>
    <row r="358" spans="1:16" x14ac:dyDescent="0.25">
      <c r="A358" s="2" t="s">
        <v>1051</v>
      </c>
      <c r="B358" s="4">
        <v>46209.184027777781</v>
      </c>
      <c r="C358" s="2" t="s">
        <v>16</v>
      </c>
      <c r="D358" s="2" t="s">
        <v>84</v>
      </c>
      <c r="E358" s="2" t="s">
        <v>18</v>
      </c>
      <c r="F358" s="2" t="s">
        <v>55</v>
      </c>
      <c r="G358" s="2" t="s">
        <v>179</v>
      </c>
      <c r="H358" s="2" t="s">
        <v>32</v>
      </c>
      <c r="I358" s="2">
        <v>48</v>
      </c>
      <c r="J358" s="2" t="s">
        <v>106</v>
      </c>
      <c r="K358" s="4">
        <v>46210.556250000001</v>
      </c>
      <c r="L358" s="2" t="s">
        <v>24</v>
      </c>
      <c r="M358" s="2">
        <v>5</v>
      </c>
      <c r="N358" t="s">
        <v>8582</v>
      </c>
      <c r="O358" s="8">
        <f t="shared" si="10"/>
        <v>32.933333333290648</v>
      </c>
      <c r="P358" t="str">
        <f t="shared" si="11"/>
        <v>Yes</v>
      </c>
    </row>
    <row r="359" spans="1:16" x14ac:dyDescent="0.25">
      <c r="A359" s="2" t="s">
        <v>1054</v>
      </c>
      <c r="B359" s="4">
        <v>46182.144444444442</v>
      </c>
      <c r="C359" s="2" t="s">
        <v>53</v>
      </c>
      <c r="D359" s="2" t="s">
        <v>61</v>
      </c>
      <c r="E359" s="2" t="s">
        <v>18</v>
      </c>
      <c r="F359" s="2" t="s">
        <v>96</v>
      </c>
      <c r="G359" s="2" t="s">
        <v>183</v>
      </c>
      <c r="H359" s="2" t="s">
        <v>32</v>
      </c>
      <c r="I359" s="2">
        <v>48</v>
      </c>
      <c r="J359" s="2" t="s">
        <v>287</v>
      </c>
      <c r="K359" s="4" t="s">
        <v>8590</v>
      </c>
      <c r="L359" s="2" t="s">
        <v>24</v>
      </c>
      <c r="M359" s="2"/>
      <c r="N359" t="s">
        <v>8583</v>
      </c>
      <c r="O359" s="8" t="str">
        <f t="shared" si="10"/>
        <v/>
      </c>
      <c r="P359" t="str">
        <f t="shared" si="11"/>
        <v>N/A</v>
      </c>
    </row>
    <row r="360" spans="1:16" x14ac:dyDescent="0.25">
      <c r="A360" s="2" t="s">
        <v>1056</v>
      </c>
      <c r="B360" s="4">
        <v>46131.022916666669</v>
      </c>
      <c r="C360" s="2" t="s">
        <v>53</v>
      </c>
      <c r="D360" s="2" t="s">
        <v>61</v>
      </c>
      <c r="E360" s="2" t="s">
        <v>38</v>
      </c>
      <c r="F360" s="2" t="s">
        <v>30</v>
      </c>
      <c r="G360" s="2" t="s">
        <v>101</v>
      </c>
      <c r="H360" s="2" t="s">
        <v>21</v>
      </c>
      <c r="I360" s="2">
        <v>24</v>
      </c>
      <c r="J360" s="2" t="s">
        <v>106</v>
      </c>
      <c r="K360" s="4">
        <v>46131.761805555558</v>
      </c>
      <c r="L360" s="2" t="s">
        <v>24</v>
      </c>
      <c r="M360" s="2"/>
      <c r="N360" t="s">
        <v>8586</v>
      </c>
      <c r="O360" s="8">
        <f t="shared" si="10"/>
        <v>17.733333333337214</v>
      </c>
      <c r="P360" t="str">
        <f t="shared" si="11"/>
        <v>Yes</v>
      </c>
    </row>
    <row r="361" spans="1:16" x14ac:dyDescent="0.25">
      <c r="A361" s="2" t="s">
        <v>1059</v>
      </c>
      <c r="B361" s="4">
        <v>46212.565972222219</v>
      </c>
      <c r="C361" s="2" t="s">
        <v>16</v>
      </c>
      <c r="D361" s="2" t="s">
        <v>17</v>
      </c>
      <c r="E361" s="2" t="s">
        <v>85</v>
      </c>
      <c r="F361" s="2" t="s">
        <v>96</v>
      </c>
      <c r="G361" s="2" t="s">
        <v>183</v>
      </c>
      <c r="H361" s="2" t="s">
        <v>74</v>
      </c>
      <c r="I361" s="2">
        <v>8</v>
      </c>
      <c r="J361" s="2" t="s">
        <v>75</v>
      </c>
      <c r="K361" s="4">
        <v>46212.594444444447</v>
      </c>
      <c r="L361" s="2" t="s">
        <v>24</v>
      </c>
      <c r="M361" s="2"/>
      <c r="N361" t="s">
        <v>8581</v>
      </c>
      <c r="O361" s="8">
        <f t="shared" si="10"/>
        <v>0.6833333334652707</v>
      </c>
      <c r="P361" t="str">
        <f t="shared" si="11"/>
        <v>N/A</v>
      </c>
    </row>
    <row r="362" spans="1:16" x14ac:dyDescent="0.25">
      <c r="A362" s="2" t="s">
        <v>1062</v>
      </c>
      <c r="B362" s="4">
        <v>46225.675694444442</v>
      </c>
      <c r="C362" s="2" t="s">
        <v>28</v>
      </c>
      <c r="D362" s="2" t="s">
        <v>100</v>
      </c>
      <c r="E362" s="2" t="s">
        <v>46</v>
      </c>
      <c r="F362" s="2" t="s">
        <v>30</v>
      </c>
      <c r="G362" s="2" t="s">
        <v>183</v>
      </c>
      <c r="H362" s="2" t="s">
        <v>74</v>
      </c>
      <c r="I362" s="2">
        <v>8</v>
      </c>
      <c r="J362" s="2" t="s">
        <v>75</v>
      </c>
      <c r="K362" s="4">
        <v>46225.755555555559</v>
      </c>
      <c r="L362" s="2" t="s">
        <v>24</v>
      </c>
      <c r="M362" s="2">
        <v>2</v>
      </c>
      <c r="N362" t="s">
        <v>8589</v>
      </c>
      <c r="O362" s="8">
        <f t="shared" si="10"/>
        <v>1.9166666668024845</v>
      </c>
      <c r="P362" t="str">
        <f t="shared" si="11"/>
        <v>N/A</v>
      </c>
    </row>
    <row r="363" spans="1:16" x14ac:dyDescent="0.25">
      <c r="A363" s="2" t="s">
        <v>1065</v>
      </c>
      <c r="B363" s="4">
        <v>46216.828472222223</v>
      </c>
      <c r="C363" s="2" t="s">
        <v>28</v>
      </c>
      <c r="D363" s="2" t="s">
        <v>37</v>
      </c>
      <c r="E363" s="2" t="s">
        <v>46</v>
      </c>
      <c r="F363" s="2" t="s">
        <v>30</v>
      </c>
      <c r="G363" s="2" t="s">
        <v>31</v>
      </c>
      <c r="H363" s="2" t="s">
        <v>32</v>
      </c>
      <c r="I363" s="2">
        <v>48</v>
      </c>
      <c r="J363" s="2" t="s">
        <v>8580</v>
      </c>
      <c r="K363" s="4">
        <v>46217.695138888892</v>
      </c>
      <c r="L363" s="2" t="s">
        <v>24</v>
      </c>
      <c r="M363" s="2"/>
      <c r="N363" t="s">
        <v>8589</v>
      </c>
      <c r="O363" s="8">
        <f t="shared" si="10"/>
        <v>20.800000000046566</v>
      </c>
      <c r="P363" t="str">
        <f t="shared" si="11"/>
        <v>N/A</v>
      </c>
    </row>
    <row r="364" spans="1:16" x14ac:dyDescent="0.25">
      <c r="A364" s="2" t="s">
        <v>1068</v>
      </c>
      <c r="B364" s="4">
        <v>46166.343055555553</v>
      </c>
      <c r="C364" s="2" t="s">
        <v>53</v>
      </c>
      <c r="D364" s="2" t="s">
        <v>54</v>
      </c>
      <c r="E364" s="2" t="s">
        <v>90</v>
      </c>
      <c r="F364" s="2" t="s">
        <v>55</v>
      </c>
      <c r="G364" s="2" t="s">
        <v>211</v>
      </c>
      <c r="H364" s="2" t="s">
        <v>74</v>
      </c>
      <c r="I364" s="2">
        <v>8</v>
      </c>
      <c r="J364" s="2" t="s">
        <v>75</v>
      </c>
      <c r="K364" s="4">
        <v>46166.743055555555</v>
      </c>
      <c r="L364" s="2" t="s">
        <v>24</v>
      </c>
      <c r="M364" s="2">
        <v>5</v>
      </c>
      <c r="N364" t="s">
        <v>8584</v>
      </c>
      <c r="O364" s="8">
        <f t="shared" si="10"/>
        <v>9.6000000000349246</v>
      </c>
      <c r="P364" t="str">
        <f t="shared" si="11"/>
        <v>N/A</v>
      </c>
    </row>
    <row r="365" spans="1:16" x14ac:dyDescent="0.25">
      <c r="A365" s="2" t="s">
        <v>1071</v>
      </c>
      <c r="B365" s="4">
        <v>46185.331250000003</v>
      </c>
      <c r="C365" s="2" t="s">
        <v>67</v>
      </c>
      <c r="D365" s="2" t="s">
        <v>68</v>
      </c>
      <c r="E365" s="2" t="s">
        <v>148</v>
      </c>
      <c r="F365" s="2" t="s">
        <v>113</v>
      </c>
      <c r="G365" s="2" t="s">
        <v>183</v>
      </c>
      <c r="H365" s="2" t="s">
        <v>74</v>
      </c>
      <c r="I365" s="2">
        <v>8</v>
      </c>
      <c r="J365" s="2" t="s">
        <v>75</v>
      </c>
      <c r="K365" s="4">
        <v>46186.03125</v>
      </c>
      <c r="L365" s="2" t="s">
        <v>24</v>
      </c>
      <c r="M365" s="2"/>
      <c r="N365" t="s">
        <v>8581</v>
      </c>
      <c r="O365" s="8">
        <f t="shared" si="10"/>
        <v>16.799999999930151</v>
      </c>
      <c r="P365" t="str">
        <f t="shared" si="11"/>
        <v>N/A</v>
      </c>
    </row>
    <row r="366" spans="1:16" x14ac:dyDescent="0.25">
      <c r="A366" s="2" t="s">
        <v>1074</v>
      </c>
      <c r="B366" s="4">
        <v>46067.568055555559</v>
      </c>
      <c r="C366" s="2" t="s">
        <v>67</v>
      </c>
      <c r="D366" s="2" t="s">
        <v>95</v>
      </c>
      <c r="E366" s="2" t="s">
        <v>18</v>
      </c>
      <c r="F366" s="2" t="s">
        <v>55</v>
      </c>
      <c r="G366" s="2" t="s">
        <v>110</v>
      </c>
      <c r="H366" s="2" t="s">
        <v>21</v>
      </c>
      <c r="I366" s="2">
        <v>24</v>
      </c>
      <c r="J366" s="2" t="s">
        <v>106</v>
      </c>
      <c r="K366" s="4">
        <v>46068.424305555556</v>
      </c>
      <c r="L366" s="2" t="s">
        <v>24</v>
      </c>
      <c r="M366" s="2"/>
      <c r="N366" t="s">
        <v>8587</v>
      </c>
      <c r="O366" s="8">
        <f t="shared" si="10"/>
        <v>20.549999999930151</v>
      </c>
      <c r="P366" t="str">
        <f t="shared" si="11"/>
        <v>Yes</v>
      </c>
    </row>
    <row r="367" spans="1:16" x14ac:dyDescent="0.25">
      <c r="A367" s="2" t="s">
        <v>1077</v>
      </c>
      <c r="B367" s="4">
        <v>46239.11041666667</v>
      </c>
      <c r="C367" s="2" t="s">
        <v>53</v>
      </c>
      <c r="D367" s="2" t="s">
        <v>61</v>
      </c>
      <c r="E367" s="2" t="s">
        <v>38</v>
      </c>
      <c r="F367" s="2" t="s">
        <v>113</v>
      </c>
      <c r="G367" s="2" t="s">
        <v>183</v>
      </c>
      <c r="H367" s="2" t="s">
        <v>32</v>
      </c>
      <c r="I367" s="2">
        <v>48</v>
      </c>
      <c r="J367" s="2" t="s">
        <v>75</v>
      </c>
      <c r="K367" s="4">
        <v>46240.289583333331</v>
      </c>
      <c r="L367" s="2" t="s">
        <v>24</v>
      </c>
      <c r="M367" s="2"/>
      <c r="N367" t="s">
        <v>8584</v>
      </c>
      <c r="O367" s="8">
        <f t="shared" si="10"/>
        <v>28.299999999871943</v>
      </c>
      <c r="P367" t="str">
        <f t="shared" si="11"/>
        <v>N/A</v>
      </c>
    </row>
    <row r="368" spans="1:16" x14ac:dyDescent="0.25">
      <c r="A368" s="2" t="s">
        <v>1080</v>
      </c>
      <c r="B368" s="4">
        <v>46166.009027777778</v>
      </c>
      <c r="C368" s="2" t="s">
        <v>28</v>
      </c>
      <c r="D368" s="2" t="s">
        <v>100</v>
      </c>
      <c r="E368" s="2" t="s">
        <v>148</v>
      </c>
      <c r="F368" s="2" t="s">
        <v>30</v>
      </c>
      <c r="G368" s="2" t="s">
        <v>211</v>
      </c>
      <c r="H368" s="2" t="s">
        <v>21</v>
      </c>
      <c r="I368" s="2">
        <v>24</v>
      </c>
      <c r="J368" s="2" t="s">
        <v>287</v>
      </c>
      <c r="K368" s="4" t="s">
        <v>8590</v>
      </c>
      <c r="L368" s="2" t="s">
        <v>24</v>
      </c>
      <c r="M368" s="2"/>
      <c r="N368" t="s">
        <v>8584</v>
      </c>
      <c r="O368" s="8" t="str">
        <f t="shared" si="10"/>
        <v/>
      </c>
      <c r="P368" t="str">
        <f t="shared" si="11"/>
        <v>N/A</v>
      </c>
    </row>
    <row r="369" spans="1:16" x14ac:dyDescent="0.25">
      <c r="A369" s="2" t="s">
        <v>1082</v>
      </c>
      <c r="B369" s="4">
        <v>46264.466666666667</v>
      </c>
      <c r="C369" s="2" t="s">
        <v>28</v>
      </c>
      <c r="D369" s="2" t="s">
        <v>100</v>
      </c>
      <c r="E369" s="2" t="s">
        <v>148</v>
      </c>
      <c r="F369" s="2" t="s">
        <v>113</v>
      </c>
      <c r="G369" s="2" t="s">
        <v>101</v>
      </c>
      <c r="H369" s="2" t="s">
        <v>32</v>
      </c>
      <c r="I369" s="2">
        <v>48</v>
      </c>
      <c r="J369" s="2" t="s">
        <v>75</v>
      </c>
      <c r="K369" s="4">
        <v>46269.702777777777</v>
      </c>
      <c r="L369" s="2" t="s">
        <v>24</v>
      </c>
      <c r="M369" s="2">
        <v>1</v>
      </c>
      <c r="N369" t="s">
        <v>8584</v>
      </c>
      <c r="O369" s="8">
        <f t="shared" si="10"/>
        <v>125.66666666662786</v>
      </c>
      <c r="P369" t="str">
        <f t="shared" si="11"/>
        <v>N/A</v>
      </c>
    </row>
    <row r="370" spans="1:16" x14ac:dyDescent="0.25">
      <c r="A370" s="2" t="s">
        <v>1085</v>
      </c>
      <c r="B370" s="4">
        <v>46168.913888888892</v>
      </c>
      <c r="C370" s="2" t="s">
        <v>16</v>
      </c>
      <c r="D370" s="2" t="s">
        <v>84</v>
      </c>
      <c r="E370" s="2" t="s">
        <v>85</v>
      </c>
      <c r="F370" s="2" t="s">
        <v>96</v>
      </c>
      <c r="G370" s="2" t="s">
        <v>31</v>
      </c>
      <c r="H370" s="2" t="s">
        <v>74</v>
      </c>
      <c r="I370" s="2">
        <v>8</v>
      </c>
      <c r="J370" s="2" t="s">
        <v>8580</v>
      </c>
      <c r="K370" s="4">
        <v>46168.994444444441</v>
      </c>
      <c r="L370" s="2" t="s">
        <v>24</v>
      </c>
      <c r="M370" s="2"/>
      <c r="N370" t="s">
        <v>8585</v>
      </c>
      <c r="O370" s="8">
        <f t="shared" si="10"/>
        <v>1.9333333331742324</v>
      </c>
      <c r="P370" t="str">
        <f t="shared" si="11"/>
        <v>N/A</v>
      </c>
    </row>
    <row r="371" spans="1:16" x14ac:dyDescent="0.25">
      <c r="A371" s="2" t="s">
        <v>1088</v>
      </c>
      <c r="B371" s="4">
        <v>46253.561805555553</v>
      </c>
      <c r="C371" s="2" t="s">
        <v>67</v>
      </c>
      <c r="D371" s="2" t="s">
        <v>68</v>
      </c>
      <c r="E371" s="2" t="s">
        <v>90</v>
      </c>
      <c r="F371" s="2" t="s">
        <v>113</v>
      </c>
      <c r="G371" s="2" t="s">
        <v>101</v>
      </c>
      <c r="H371" s="2" t="s">
        <v>74</v>
      </c>
      <c r="I371" s="2">
        <v>8</v>
      </c>
      <c r="J371" s="2" t="s">
        <v>75</v>
      </c>
      <c r="K371" s="4">
        <v>46253.648611111108</v>
      </c>
      <c r="L371" s="2" t="s">
        <v>24</v>
      </c>
      <c r="M371" s="2">
        <v>3</v>
      </c>
      <c r="N371" t="s">
        <v>8581</v>
      </c>
      <c r="O371" s="8">
        <f t="shared" si="10"/>
        <v>2.0833333333139308</v>
      </c>
      <c r="P371" t="str">
        <f t="shared" si="11"/>
        <v>N/A</v>
      </c>
    </row>
    <row r="372" spans="1:16" x14ac:dyDescent="0.25">
      <c r="A372" s="2" t="s">
        <v>1091</v>
      </c>
      <c r="B372" s="4">
        <v>46060.47152777778</v>
      </c>
      <c r="C372" s="2" t="s">
        <v>67</v>
      </c>
      <c r="D372" s="2" t="s">
        <v>95</v>
      </c>
      <c r="E372" s="2" t="s">
        <v>38</v>
      </c>
      <c r="F372" s="2" t="s">
        <v>96</v>
      </c>
      <c r="G372" s="2" t="s">
        <v>211</v>
      </c>
      <c r="H372" s="2" t="s">
        <v>32</v>
      </c>
      <c r="I372" s="2">
        <v>48</v>
      </c>
      <c r="J372" s="2" t="s">
        <v>106</v>
      </c>
      <c r="K372" s="4">
        <v>46061.955555555556</v>
      </c>
      <c r="L372" s="2" t="s">
        <v>24</v>
      </c>
      <c r="M372" s="2">
        <v>5</v>
      </c>
      <c r="N372" t="s">
        <v>8584</v>
      </c>
      <c r="O372" s="8">
        <f t="shared" si="10"/>
        <v>35.616666666639503</v>
      </c>
      <c r="P372" t="str">
        <f t="shared" si="11"/>
        <v>Yes</v>
      </c>
    </row>
    <row r="373" spans="1:16" x14ac:dyDescent="0.25">
      <c r="A373" s="2" t="s">
        <v>1094</v>
      </c>
      <c r="B373" s="4">
        <v>46060.343055555553</v>
      </c>
      <c r="C373" s="2" t="s">
        <v>53</v>
      </c>
      <c r="D373" s="2" t="s">
        <v>61</v>
      </c>
      <c r="E373" s="2" t="s">
        <v>79</v>
      </c>
      <c r="F373" s="2" t="s">
        <v>30</v>
      </c>
      <c r="G373" s="2" t="s">
        <v>31</v>
      </c>
      <c r="H373" s="2" t="s">
        <v>32</v>
      </c>
      <c r="I373" s="2">
        <v>48</v>
      </c>
      <c r="J373" s="2" t="s">
        <v>11</v>
      </c>
      <c r="K373" s="4" t="s">
        <v>8590</v>
      </c>
      <c r="L373" s="2" t="s">
        <v>92</v>
      </c>
      <c r="M373" s="2"/>
      <c r="N373" t="s">
        <v>8584</v>
      </c>
      <c r="O373" s="8" t="str">
        <f t="shared" si="10"/>
        <v/>
      </c>
      <c r="P373" t="str">
        <f t="shared" si="11"/>
        <v>N/A</v>
      </c>
    </row>
    <row r="374" spans="1:16" x14ac:dyDescent="0.25">
      <c r="A374" s="2" t="s">
        <v>1096</v>
      </c>
      <c r="B374" s="4">
        <v>46093.257638888892</v>
      </c>
      <c r="C374" s="2" t="s">
        <v>67</v>
      </c>
      <c r="D374" s="2" t="s">
        <v>68</v>
      </c>
      <c r="E374" s="2" t="s">
        <v>85</v>
      </c>
      <c r="F374" s="2" t="s">
        <v>113</v>
      </c>
      <c r="G374" s="2" t="s">
        <v>110</v>
      </c>
      <c r="H374" s="2" t="s">
        <v>32</v>
      </c>
      <c r="I374" s="2">
        <v>48</v>
      </c>
      <c r="J374" s="2" t="s">
        <v>11</v>
      </c>
      <c r="K374" s="4" t="s">
        <v>8590</v>
      </c>
      <c r="L374" s="2" t="s">
        <v>92</v>
      </c>
      <c r="M374" s="2"/>
      <c r="N374" t="s">
        <v>8583</v>
      </c>
      <c r="O374" s="8" t="str">
        <f t="shared" si="10"/>
        <v/>
      </c>
      <c r="P374" t="str">
        <f t="shared" si="11"/>
        <v>N/A</v>
      </c>
    </row>
    <row r="375" spans="1:16" x14ac:dyDescent="0.25">
      <c r="A375" s="2" t="s">
        <v>1098</v>
      </c>
      <c r="B375" s="4">
        <v>46199.690972222219</v>
      </c>
      <c r="C375" s="2" t="s">
        <v>16</v>
      </c>
      <c r="D375" s="2" t="s">
        <v>17</v>
      </c>
      <c r="E375" s="2" t="s">
        <v>85</v>
      </c>
      <c r="F375" s="2" t="s">
        <v>96</v>
      </c>
      <c r="G375" s="2" t="s">
        <v>110</v>
      </c>
      <c r="H375" s="2" t="s">
        <v>21</v>
      </c>
      <c r="I375" s="2">
        <v>24</v>
      </c>
      <c r="J375" s="2" t="s">
        <v>106</v>
      </c>
      <c r="K375" s="4">
        <v>46200.003472222219</v>
      </c>
      <c r="L375" s="2" t="s">
        <v>24</v>
      </c>
      <c r="M375" s="2">
        <v>4</v>
      </c>
      <c r="N375" t="s">
        <v>8589</v>
      </c>
      <c r="O375" s="8">
        <f t="shared" si="10"/>
        <v>7.5</v>
      </c>
      <c r="P375" t="str">
        <f t="shared" si="11"/>
        <v>Yes</v>
      </c>
    </row>
    <row r="376" spans="1:16" x14ac:dyDescent="0.25">
      <c r="A376" s="2" t="s">
        <v>1101</v>
      </c>
      <c r="B376" s="4">
        <v>46222.34097222222</v>
      </c>
      <c r="C376" s="2" t="s">
        <v>16</v>
      </c>
      <c r="D376" s="2" t="s">
        <v>17</v>
      </c>
      <c r="E376" s="2" t="s">
        <v>90</v>
      </c>
      <c r="F376" s="2" t="s">
        <v>96</v>
      </c>
      <c r="G376" s="2" t="s">
        <v>211</v>
      </c>
      <c r="H376" s="2" t="s">
        <v>21</v>
      </c>
      <c r="I376" s="2">
        <v>24</v>
      </c>
      <c r="J376" s="2" t="s">
        <v>106</v>
      </c>
      <c r="K376" s="4">
        <v>46222.825694444444</v>
      </c>
      <c r="L376" s="2" t="s">
        <v>24</v>
      </c>
      <c r="M376" s="2">
        <v>3</v>
      </c>
      <c r="N376" t="s">
        <v>8581</v>
      </c>
      <c r="O376" s="8">
        <f t="shared" si="10"/>
        <v>11.633333333360497</v>
      </c>
      <c r="P376" t="str">
        <f t="shared" si="11"/>
        <v>Yes</v>
      </c>
    </row>
    <row r="377" spans="1:16" x14ac:dyDescent="0.25">
      <c r="A377" s="2" t="s">
        <v>1103</v>
      </c>
      <c r="B377" s="4">
        <v>46128.90347222222</v>
      </c>
      <c r="C377" s="2" t="s">
        <v>53</v>
      </c>
      <c r="D377" s="2" t="s">
        <v>61</v>
      </c>
      <c r="E377" s="2" t="s">
        <v>148</v>
      </c>
      <c r="F377" s="2" t="s">
        <v>55</v>
      </c>
      <c r="G377" s="2" t="s">
        <v>110</v>
      </c>
      <c r="H377" s="2" t="s">
        <v>21</v>
      </c>
      <c r="I377" s="2">
        <v>24</v>
      </c>
      <c r="J377" s="2" t="s">
        <v>149</v>
      </c>
      <c r="K377" s="4" t="s">
        <v>8590</v>
      </c>
      <c r="L377" s="2" t="s">
        <v>92</v>
      </c>
      <c r="M377" s="2"/>
      <c r="N377" t="s">
        <v>8588</v>
      </c>
      <c r="O377" s="8" t="str">
        <f t="shared" si="10"/>
        <v/>
      </c>
      <c r="P377" t="str">
        <f t="shared" si="11"/>
        <v>N/A</v>
      </c>
    </row>
    <row r="378" spans="1:16" x14ac:dyDescent="0.25">
      <c r="A378" s="2" t="s">
        <v>1105</v>
      </c>
      <c r="B378" s="4">
        <v>46221.390277777777</v>
      </c>
      <c r="C378" s="2" t="s">
        <v>28</v>
      </c>
      <c r="D378" s="2" t="s">
        <v>100</v>
      </c>
      <c r="E378" s="2" t="s">
        <v>46</v>
      </c>
      <c r="F378" s="2" t="s">
        <v>30</v>
      </c>
      <c r="G378" s="2" t="s">
        <v>179</v>
      </c>
      <c r="H378" s="2" t="s">
        <v>32</v>
      </c>
      <c r="I378" s="2">
        <v>48</v>
      </c>
      <c r="J378" s="2" t="s">
        <v>149</v>
      </c>
      <c r="K378" s="4" t="s">
        <v>8590</v>
      </c>
      <c r="L378" s="2" t="s">
        <v>92</v>
      </c>
      <c r="M378" s="2"/>
      <c r="N378" t="s">
        <v>8586</v>
      </c>
      <c r="O378" s="8" t="str">
        <f t="shared" si="10"/>
        <v/>
      </c>
      <c r="P378" t="str">
        <f t="shared" si="11"/>
        <v>N/A</v>
      </c>
    </row>
    <row r="379" spans="1:16" x14ac:dyDescent="0.25">
      <c r="A379" s="2" t="s">
        <v>1107</v>
      </c>
      <c r="B379" s="4">
        <v>46074.136111111111</v>
      </c>
      <c r="C379" s="2" t="s">
        <v>53</v>
      </c>
      <c r="D379" s="2" t="s">
        <v>61</v>
      </c>
      <c r="E379" s="2" t="s">
        <v>79</v>
      </c>
      <c r="F379" s="2" t="s">
        <v>113</v>
      </c>
      <c r="G379" s="2" t="s">
        <v>110</v>
      </c>
      <c r="H379" s="2" t="s">
        <v>74</v>
      </c>
      <c r="I379" s="2">
        <v>8</v>
      </c>
      <c r="J379" s="2" t="s">
        <v>106</v>
      </c>
      <c r="K379" s="4">
        <v>46074.289583333331</v>
      </c>
      <c r="L379" s="2" t="s">
        <v>24</v>
      </c>
      <c r="M379" s="2">
        <v>4</v>
      </c>
      <c r="N379" t="s">
        <v>8587</v>
      </c>
      <c r="O379" s="8">
        <f t="shared" si="10"/>
        <v>3.6833333332906477</v>
      </c>
      <c r="P379" t="str">
        <f t="shared" si="11"/>
        <v>Yes</v>
      </c>
    </row>
    <row r="380" spans="1:16" x14ac:dyDescent="0.25">
      <c r="A380" s="2" t="s">
        <v>1110</v>
      </c>
      <c r="B380" s="4">
        <v>46103.606944444444</v>
      </c>
      <c r="C380" s="2" t="s">
        <v>67</v>
      </c>
      <c r="D380" s="2" t="s">
        <v>95</v>
      </c>
      <c r="E380" s="2" t="s">
        <v>90</v>
      </c>
      <c r="F380" s="2" t="s">
        <v>113</v>
      </c>
      <c r="G380" s="2" t="s">
        <v>179</v>
      </c>
      <c r="H380" s="2" t="s">
        <v>74</v>
      </c>
      <c r="I380" s="2">
        <v>8</v>
      </c>
      <c r="J380" s="2" t="s">
        <v>75</v>
      </c>
      <c r="K380" s="4">
        <v>46103.631249999999</v>
      </c>
      <c r="L380" s="2" t="s">
        <v>24</v>
      </c>
      <c r="M380" s="2"/>
      <c r="N380" t="s">
        <v>8587</v>
      </c>
      <c r="O380" s="8">
        <f t="shared" si="10"/>
        <v>0.58333333331393078</v>
      </c>
      <c r="P380" t="str">
        <f t="shared" si="11"/>
        <v>N/A</v>
      </c>
    </row>
    <row r="381" spans="1:16" x14ac:dyDescent="0.25">
      <c r="A381" s="2" t="s">
        <v>1113</v>
      </c>
      <c r="B381" s="4">
        <v>46162.587500000001</v>
      </c>
      <c r="C381" s="2" t="s">
        <v>53</v>
      </c>
      <c r="D381" s="2" t="s">
        <v>61</v>
      </c>
      <c r="E381" s="2" t="s">
        <v>85</v>
      </c>
      <c r="F381" s="2" t="s">
        <v>96</v>
      </c>
      <c r="G381" s="2" t="s">
        <v>101</v>
      </c>
      <c r="H381" s="2" t="s">
        <v>74</v>
      </c>
      <c r="I381" s="2">
        <v>8</v>
      </c>
      <c r="J381" s="2" t="s">
        <v>106</v>
      </c>
      <c r="K381" s="4">
        <v>46162.651388888888</v>
      </c>
      <c r="L381" s="2" t="s">
        <v>92</v>
      </c>
      <c r="M381" s="2">
        <v>5</v>
      </c>
      <c r="N381" t="s">
        <v>8589</v>
      </c>
      <c r="O381" s="8">
        <f t="shared" si="10"/>
        <v>1.5333333332673647</v>
      </c>
      <c r="P381" t="str">
        <f t="shared" si="11"/>
        <v>Yes</v>
      </c>
    </row>
    <row r="382" spans="1:16" x14ac:dyDescent="0.25">
      <c r="A382" s="2" t="s">
        <v>1116</v>
      </c>
      <c r="B382" s="4">
        <v>46047.758333333331</v>
      </c>
      <c r="C382" s="2" t="s">
        <v>16</v>
      </c>
      <c r="D382" s="2" t="s">
        <v>84</v>
      </c>
      <c r="E382" s="2" t="s">
        <v>85</v>
      </c>
      <c r="F382" s="2" t="s">
        <v>55</v>
      </c>
      <c r="G382" s="2" t="s">
        <v>110</v>
      </c>
      <c r="H382" s="2" t="s">
        <v>32</v>
      </c>
      <c r="I382" s="2">
        <v>48</v>
      </c>
      <c r="J382" s="2" t="s">
        <v>106</v>
      </c>
      <c r="K382" s="4">
        <v>46049.044444444444</v>
      </c>
      <c r="L382" s="2" t="s">
        <v>24</v>
      </c>
      <c r="M382" s="2">
        <v>2</v>
      </c>
      <c r="N382" t="s">
        <v>8583</v>
      </c>
      <c r="O382" s="8">
        <f t="shared" si="10"/>
        <v>30.866666666697711</v>
      </c>
      <c r="P382" t="str">
        <f t="shared" si="11"/>
        <v>Yes</v>
      </c>
    </row>
    <row r="383" spans="1:16" x14ac:dyDescent="0.25">
      <c r="A383" s="2" t="s">
        <v>1119</v>
      </c>
      <c r="B383" s="4">
        <v>46242.393055555556</v>
      </c>
      <c r="C383" s="2" t="s">
        <v>67</v>
      </c>
      <c r="D383" s="2" t="s">
        <v>68</v>
      </c>
      <c r="E383" s="2" t="s">
        <v>90</v>
      </c>
      <c r="F383" s="2" t="s">
        <v>55</v>
      </c>
      <c r="G383" s="2" t="s">
        <v>179</v>
      </c>
      <c r="H383" s="2" t="s">
        <v>74</v>
      </c>
      <c r="I383" s="2">
        <v>8</v>
      </c>
      <c r="J383" s="2" t="s">
        <v>106</v>
      </c>
      <c r="K383" s="4">
        <v>46242.55972222222</v>
      </c>
      <c r="L383" s="2" t="s">
        <v>24</v>
      </c>
      <c r="M383" s="2">
        <v>4</v>
      </c>
      <c r="N383" t="s">
        <v>8582</v>
      </c>
      <c r="O383" s="8">
        <f t="shared" si="10"/>
        <v>3.9999999999417923</v>
      </c>
      <c r="P383" t="str">
        <f t="shared" si="11"/>
        <v>Yes</v>
      </c>
    </row>
    <row r="384" spans="1:16" x14ac:dyDescent="0.25">
      <c r="A384" s="2" t="s">
        <v>1122</v>
      </c>
      <c r="B384" s="4">
        <v>46208.686111111114</v>
      </c>
      <c r="C384" s="2" t="s">
        <v>16</v>
      </c>
      <c r="D384" s="2" t="s">
        <v>84</v>
      </c>
      <c r="E384" s="2" t="s">
        <v>18</v>
      </c>
      <c r="F384" s="2" t="s">
        <v>113</v>
      </c>
      <c r="G384" s="2" t="s">
        <v>31</v>
      </c>
      <c r="H384" s="2" t="s">
        <v>74</v>
      </c>
      <c r="I384" s="2">
        <v>8</v>
      </c>
      <c r="J384" s="2" t="s">
        <v>106</v>
      </c>
      <c r="K384" s="4">
        <v>46208.881249999999</v>
      </c>
      <c r="L384" s="2" t="s">
        <v>24</v>
      </c>
      <c r="M384" s="2"/>
      <c r="N384" t="s">
        <v>8589</v>
      </c>
      <c r="O384" s="8">
        <f t="shared" si="10"/>
        <v>4.6833333332324401</v>
      </c>
      <c r="P384" t="str">
        <f t="shared" si="11"/>
        <v>Yes</v>
      </c>
    </row>
    <row r="385" spans="1:16" x14ac:dyDescent="0.25">
      <c r="A385" s="2" t="s">
        <v>1125</v>
      </c>
      <c r="B385" s="4">
        <v>46201.206944444442</v>
      </c>
      <c r="C385" s="2" t="s">
        <v>67</v>
      </c>
      <c r="D385" s="2" t="s">
        <v>68</v>
      </c>
      <c r="E385" s="2" t="s">
        <v>85</v>
      </c>
      <c r="F385" s="2" t="s">
        <v>55</v>
      </c>
      <c r="G385" s="2" t="s">
        <v>179</v>
      </c>
      <c r="H385" s="2" t="s">
        <v>21</v>
      </c>
      <c r="I385" s="2">
        <v>24</v>
      </c>
      <c r="J385" s="2" t="s">
        <v>149</v>
      </c>
      <c r="K385" s="4" t="s">
        <v>8590</v>
      </c>
      <c r="L385" s="2" t="s">
        <v>24</v>
      </c>
      <c r="M385" s="2"/>
      <c r="N385" t="s">
        <v>8581</v>
      </c>
      <c r="O385" s="8" t="str">
        <f t="shared" si="10"/>
        <v/>
      </c>
      <c r="P385" t="str">
        <f t="shared" si="11"/>
        <v>N/A</v>
      </c>
    </row>
    <row r="386" spans="1:16" x14ac:dyDescent="0.25">
      <c r="A386" s="2" t="s">
        <v>1127</v>
      </c>
      <c r="B386" s="4">
        <v>46172.84652777778</v>
      </c>
      <c r="C386" s="2" t="s">
        <v>16</v>
      </c>
      <c r="D386" s="2" t="s">
        <v>84</v>
      </c>
      <c r="E386" s="2" t="s">
        <v>79</v>
      </c>
      <c r="F386" s="2" t="s">
        <v>55</v>
      </c>
      <c r="G386" s="2" t="s">
        <v>110</v>
      </c>
      <c r="H386" s="2" t="s">
        <v>32</v>
      </c>
      <c r="I386" s="2">
        <v>48</v>
      </c>
      <c r="J386" s="2" t="s">
        <v>75</v>
      </c>
      <c r="K386" s="4">
        <v>46173.066666666666</v>
      </c>
      <c r="L386" s="2" t="s">
        <v>24</v>
      </c>
      <c r="M386" s="2">
        <v>3</v>
      </c>
      <c r="N386" t="s">
        <v>8588</v>
      </c>
      <c r="O386" s="8">
        <f t="shared" si="10"/>
        <v>5.2833333332673647</v>
      </c>
      <c r="P386" t="str">
        <f t="shared" si="11"/>
        <v>N/A</v>
      </c>
    </row>
    <row r="387" spans="1:16" x14ac:dyDescent="0.25">
      <c r="A387" s="2" t="s">
        <v>1130</v>
      </c>
      <c r="B387" s="4">
        <v>46094.092361111114</v>
      </c>
      <c r="C387" s="2" t="s">
        <v>67</v>
      </c>
      <c r="D387" s="2" t="s">
        <v>68</v>
      </c>
      <c r="E387" s="2" t="s">
        <v>85</v>
      </c>
      <c r="F387" s="2" t="s">
        <v>96</v>
      </c>
      <c r="G387" s="2" t="s">
        <v>179</v>
      </c>
      <c r="H387" s="2" t="s">
        <v>80</v>
      </c>
      <c r="I387" s="2">
        <v>4</v>
      </c>
      <c r="J387" s="2" t="s">
        <v>75</v>
      </c>
      <c r="K387" s="4">
        <v>46094.15</v>
      </c>
      <c r="L387" s="2" t="s">
        <v>24</v>
      </c>
      <c r="M387" s="2">
        <v>1</v>
      </c>
      <c r="N387" t="s">
        <v>8587</v>
      </c>
      <c r="O387" s="8">
        <f t="shared" ref="O387:O450" si="12">IF(K387="","",IF(K387="Missing Resolve Date","",(K387-B387)*24))</f>
        <v>1.3833333333022892</v>
      </c>
      <c r="P387" t="str">
        <f t="shared" ref="P387:P450" si="13">IF(J387="Resolved",IF(O387&lt;=I387,"Yes","No"),"N/A")</f>
        <v>N/A</v>
      </c>
    </row>
    <row r="388" spans="1:16" x14ac:dyDescent="0.25">
      <c r="A388" s="2" t="s">
        <v>1133</v>
      </c>
      <c r="B388" s="4">
        <v>46166.186805555553</v>
      </c>
      <c r="C388" s="2" t="s">
        <v>67</v>
      </c>
      <c r="D388" s="2" t="s">
        <v>95</v>
      </c>
      <c r="E388" s="2" t="s">
        <v>79</v>
      </c>
      <c r="F388" s="2" t="s">
        <v>96</v>
      </c>
      <c r="G388" s="2" t="s">
        <v>179</v>
      </c>
      <c r="H388" s="2" t="s">
        <v>32</v>
      </c>
      <c r="I388" s="2">
        <v>48</v>
      </c>
      <c r="J388" s="2" t="s">
        <v>75</v>
      </c>
      <c r="K388" s="4">
        <v>46171.859722222223</v>
      </c>
      <c r="L388" s="2" t="s">
        <v>92</v>
      </c>
      <c r="M388" s="2">
        <v>5</v>
      </c>
      <c r="N388" t="s">
        <v>8587</v>
      </c>
      <c r="O388" s="8">
        <f t="shared" si="12"/>
        <v>136.15000000008149</v>
      </c>
      <c r="P388" t="str">
        <f t="shared" si="13"/>
        <v>N/A</v>
      </c>
    </row>
    <row r="389" spans="1:16" x14ac:dyDescent="0.25">
      <c r="A389" s="2" t="s">
        <v>1136</v>
      </c>
      <c r="B389" s="4">
        <v>46064.680555555555</v>
      </c>
      <c r="C389" s="2" t="s">
        <v>28</v>
      </c>
      <c r="D389" s="2" t="s">
        <v>100</v>
      </c>
      <c r="E389" s="2" t="s">
        <v>18</v>
      </c>
      <c r="F389" s="2" t="s">
        <v>96</v>
      </c>
      <c r="G389" s="2" t="s">
        <v>101</v>
      </c>
      <c r="H389" s="2" t="s">
        <v>32</v>
      </c>
      <c r="I389" s="2">
        <v>48</v>
      </c>
      <c r="J389" s="2" t="s">
        <v>106</v>
      </c>
      <c r="K389" s="4">
        <v>46064.893750000003</v>
      </c>
      <c r="L389" s="2" t="s">
        <v>24</v>
      </c>
      <c r="M389" s="2"/>
      <c r="N389" t="s">
        <v>8585</v>
      </c>
      <c r="O389" s="8">
        <f t="shared" si="12"/>
        <v>5.1166666667559184</v>
      </c>
      <c r="P389" t="str">
        <f t="shared" si="13"/>
        <v>Yes</v>
      </c>
    </row>
    <row r="390" spans="1:16" x14ac:dyDescent="0.25">
      <c r="A390" s="2" t="s">
        <v>1139</v>
      </c>
      <c r="B390" s="4">
        <v>46105.287499999999</v>
      </c>
      <c r="C390" s="2" t="s">
        <v>16</v>
      </c>
      <c r="D390" s="2" t="s">
        <v>17</v>
      </c>
      <c r="E390" s="2" t="s">
        <v>85</v>
      </c>
      <c r="F390" s="2" t="s">
        <v>30</v>
      </c>
      <c r="G390" s="2" t="s">
        <v>31</v>
      </c>
      <c r="H390" s="2" t="s">
        <v>80</v>
      </c>
      <c r="I390" s="2">
        <v>4</v>
      </c>
      <c r="J390" s="2" t="s">
        <v>106</v>
      </c>
      <c r="K390" s="4">
        <v>46105.754166666666</v>
      </c>
      <c r="L390" s="2" t="s">
        <v>24</v>
      </c>
      <c r="M390" s="2">
        <v>2</v>
      </c>
      <c r="N390" t="s">
        <v>8589</v>
      </c>
      <c r="O390" s="8">
        <f t="shared" si="12"/>
        <v>11.200000000011642</v>
      </c>
      <c r="P390" t="str">
        <f t="shared" si="13"/>
        <v>No</v>
      </c>
    </row>
    <row r="391" spans="1:16" x14ac:dyDescent="0.25">
      <c r="A391" s="2" t="s">
        <v>1142</v>
      </c>
      <c r="B391" s="4">
        <v>46025.227777777778</v>
      </c>
      <c r="C391" s="2" t="s">
        <v>16</v>
      </c>
      <c r="D391" s="2" t="s">
        <v>84</v>
      </c>
      <c r="E391" s="2" t="s">
        <v>18</v>
      </c>
      <c r="F391" s="2" t="s">
        <v>55</v>
      </c>
      <c r="G391" s="2" t="s">
        <v>183</v>
      </c>
      <c r="H391" s="2" t="s">
        <v>21</v>
      </c>
      <c r="I391" s="2">
        <v>24</v>
      </c>
      <c r="J391" s="2" t="s">
        <v>149</v>
      </c>
      <c r="K391" s="4" t="s">
        <v>8590</v>
      </c>
      <c r="L391" s="2" t="s">
        <v>24</v>
      </c>
      <c r="M391" s="2"/>
      <c r="N391" t="s">
        <v>8584</v>
      </c>
      <c r="O391" s="8" t="str">
        <f t="shared" si="12"/>
        <v/>
      </c>
      <c r="P391" t="str">
        <f t="shared" si="13"/>
        <v>N/A</v>
      </c>
    </row>
    <row r="392" spans="1:16" x14ac:dyDescent="0.25">
      <c r="A392" s="2" t="s">
        <v>1144</v>
      </c>
      <c r="B392" s="4">
        <v>46259.949305555558</v>
      </c>
      <c r="C392" s="2" t="s">
        <v>53</v>
      </c>
      <c r="D392" s="2" t="s">
        <v>54</v>
      </c>
      <c r="E392" s="2" t="s">
        <v>148</v>
      </c>
      <c r="F392" s="2" t="s">
        <v>30</v>
      </c>
      <c r="G392" s="2" t="s">
        <v>110</v>
      </c>
      <c r="H392" s="2" t="s">
        <v>32</v>
      </c>
      <c r="I392" s="2">
        <v>48</v>
      </c>
      <c r="J392" s="2" t="s">
        <v>106</v>
      </c>
      <c r="K392" s="4">
        <v>46260.493750000001</v>
      </c>
      <c r="L392" s="2" t="s">
        <v>24</v>
      </c>
      <c r="M392" s="2">
        <v>5</v>
      </c>
      <c r="N392" t="s">
        <v>8582</v>
      </c>
      <c r="O392" s="8">
        <f t="shared" si="12"/>
        <v>13.066666666651145</v>
      </c>
      <c r="P392" t="str">
        <f t="shared" si="13"/>
        <v>Yes</v>
      </c>
    </row>
    <row r="393" spans="1:16" x14ac:dyDescent="0.25">
      <c r="A393" s="2" t="s">
        <v>1147</v>
      </c>
      <c r="B393" s="4">
        <v>46080.299305555556</v>
      </c>
      <c r="C393" s="2" t="s">
        <v>67</v>
      </c>
      <c r="D393" s="2" t="s">
        <v>95</v>
      </c>
      <c r="E393" s="2" t="s">
        <v>46</v>
      </c>
      <c r="F393" s="2" t="s">
        <v>113</v>
      </c>
      <c r="G393" s="2" t="s">
        <v>101</v>
      </c>
      <c r="H393" s="2" t="s">
        <v>32</v>
      </c>
      <c r="I393" s="2">
        <v>48</v>
      </c>
      <c r="J393" s="2" t="s">
        <v>11</v>
      </c>
      <c r="K393" s="4" t="s">
        <v>8590</v>
      </c>
      <c r="L393" s="2" t="s">
        <v>92</v>
      </c>
      <c r="M393" s="2"/>
      <c r="N393" t="s">
        <v>8582</v>
      </c>
      <c r="O393" s="8" t="str">
        <f t="shared" si="12"/>
        <v/>
      </c>
      <c r="P393" t="str">
        <f t="shared" si="13"/>
        <v>N/A</v>
      </c>
    </row>
    <row r="394" spans="1:16" x14ac:dyDescent="0.25">
      <c r="A394" s="2" t="s">
        <v>1149</v>
      </c>
      <c r="B394" s="4">
        <v>46215.257638888892</v>
      </c>
      <c r="C394" s="2" t="s">
        <v>28</v>
      </c>
      <c r="D394" s="2" t="s">
        <v>100</v>
      </c>
      <c r="E394" s="2" t="s">
        <v>79</v>
      </c>
      <c r="F394" s="2" t="s">
        <v>96</v>
      </c>
      <c r="G394" s="2" t="s">
        <v>101</v>
      </c>
      <c r="H394" s="2" t="s">
        <v>32</v>
      </c>
      <c r="I394" s="2">
        <v>48</v>
      </c>
      <c r="J394" s="2" t="s">
        <v>106</v>
      </c>
      <c r="K394" s="4">
        <v>46216.697222222225</v>
      </c>
      <c r="L394" s="2" t="s">
        <v>24</v>
      </c>
      <c r="M394" s="2">
        <v>4</v>
      </c>
      <c r="N394" t="s">
        <v>8588</v>
      </c>
      <c r="O394" s="8">
        <f t="shared" si="12"/>
        <v>34.549999999988358</v>
      </c>
      <c r="P394" t="str">
        <f t="shared" si="13"/>
        <v>Yes</v>
      </c>
    </row>
    <row r="395" spans="1:16" x14ac:dyDescent="0.25">
      <c r="A395" s="2" t="s">
        <v>1152</v>
      </c>
      <c r="B395" s="4">
        <v>46228.4375</v>
      </c>
      <c r="C395" s="2" t="s">
        <v>28</v>
      </c>
      <c r="D395" s="2" t="s">
        <v>37</v>
      </c>
      <c r="E395" s="2" t="s">
        <v>79</v>
      </c>
      <c r="F395" s="2" t="s">
        <v>55</v>
      </c>
      <c r="G395" s="2" t="s">
        <v>101</v>
      </c>
      <c r="H395" s="2" t="s">
        <v>32</v>
      </c>
      <c r="I395" s="2">
        <v>48</v>
      </c>
      <c r="J395" s="2" t="s">
        <v>106</v>
      </c>
      <c r="K395" s="4">
        <v>46229.981249999997</v>
      </c>
      <c r="L395" s="2" t="s">
        <v>24</v>
      </c>
      <c r="M395" s="2">
        <v>4</v>
      </c>
      <c r="N395" t="s">
        <v>8589</v>
      </c>
      <c r="O395" s="8">
        <f t="shared" si="12"/>
        <v>37.049999999930151</v>
      </c>
      <c r="P395" t="str">
        <f t="shared" si="13"/>
        <v>Yes</v>
      </c>
    </row>
    <row r="396" spans="1:16" x14ac:dyDescent="0.25">
      <c r="A396" s="2" t="s">
        <v>1155</v>
      </c>
      <c r="B396" s="4">
        <v>46134.094444444447</v>
      </c>
      <c r="C396" s="2" t="s">
        <v>28</v>
      </c>
      <c r="D396" s="2" t="s">
        <v>100</v>
      </c>
      <c r="E396" s="2" t="s">
        <v>148</v>
      </c>
      <c r="F396" s="2" t="s">
        <v>96</v>
      </c>
      <c r="G396" s="2" t="s">
        <v>101</v>
      </c>
      <c r="H396" s="2" t="s">
        <v>21</v>
      </c>
      <c r="I396" s="2">
        <v>24</v>
      </c>
      <c r="J396" s="2" t="s">
        <v>149</v>
      </c>
      <c r="K396" s="4" t="s">
        <v>8590</v>
      </c>
      <c r="L396" s="2" t="s">
        <v>24</v>
      </c>
      <c r="M396" s="2"/>
      <c r="N396" t="s">
        <v>8583</v>
      </c>
      <c r="O396" s="8" t="str">
        <f t="shared" si="12"/>
        <v/>
      </c>
      <c r="P396" t="str">
        <f t="shared" si="13"/>
        <v>N/A</v>
      </c>
    </row>
    <row r="397" spans="1:16" x14ac:dyDescent="0.25">
      <c r="A397" s="2" t="s">
        <v>1157</v>
      </c>
      <c r="B397" s="4">
        <v>46104.628472222219</v>
      </c>
      <c r="C397" s="2" t="s">
        <v>16</v>
      </c>
      <c r="D397" s="2" t="s">
        <v>17</v>
      </c>
      <c r="E397" s="2" t="s">
        <v>38</v>
      </c>
      <c r="F397" s="2" t="s">
        <v>113</v>
      </c>
      <c r="G397" s="2" t="s">
        <v>211</v>
      </c>
      <c r="H397" s="2" t="s">
        <v>32</v>
      </c>
      <c r="I397" s="2">
        <v>48</v>
      </c>
      <c r="J397" s="2" t="s">
        <v>75</v>
      </c>
      <c r="K397" s="4">
        <v>46105.834027777775</v>
      </c>
      <c r="L397" s="2" t="s">
        <v>24</v>
      </c>
      <c r="M397" s="2">
        <v>2</v>
      </c>
      <c r="N397" t="s">
        <v>8589</v>
      </c>
      <c r="O397" s="8">
        <f t="shared" si="12"/>
        <v>28.933333333348855</v>
      </c>
      <c r="P397" t="str">
        <f t="shared" si="13"/>
        <v>N/A</v>
      </c>
    </row>
    <row r="398" spans="1:16" x14ac:dyDescent="0.25">
      <c r="A398" s="2" t="s">
        <v>1160</v>
      </c>
      <c r="B398" s="4">
        <v>46243.295138888891</v>
      </c>
      <c r="C398" s="2" t="s">
        <v>16</v>
      </c>
      <c r="D398" s="2" t="s">
        <v>17</v>
      </c>
      <c r="E398" s="2" t="s">
        <v>85</v>
      </c>
      <c r="F398" s="2" t="s">
        <v>55</v>
      </c>
      <c r="G398" s="2" t="s">
        <v>183</v>
      </c>
      <c r="H398" s="2" t="s">
        <v>32</v>
      </c>
      <c r="I398" s="2">
        <v>48</v>
      </c>
      <c r="J398" s="2" t="s">
        <v>75</v>
      </c>
      <c r="K398" s="4">
        <v>46243.512499999997</v>
      </c>
      <c r="L398" s="2" t="s">
        <v>24</v>
      </c>
      <c r="M398" s="2">
        <v>5</v>
      </c>
      <c r="N398" t="s">
        <v>8589</v>
      </c>
      <c r="O398" s="8">
        <f t="shared" si="12"/>
        <v>5.2166666665580124</v>
      </c>
      <c r="P398" t="str">
        <f t="shared" si="13"/>
        <v>N/A</v>
      </c>
    </row>
    <row r="399" spans="1:16" x14ac:dyDescent="0.25">
      <c r="A399" s="2" t="s">
        <v>1163</v>
      </c>
      <c r="B399" s="4">
        <v>46193.95</v>
      </c>
      <c r="C399" s="2" t="s">
        <v>67</v>
      </c>
      <c r="D399" s="2" t="s">
        <v>95</v>
      </c>
      <c r="E399" s="2" t="s">
        <v>46</v>
      </c>
      <c r="F399" s="2" t="s">
        <v>113</v>
      </c>
      <c r="G399" s="2" t="s">
        <v>101</v>
      </c>
      <c r="H399" s="2" t="s">
        <v>80</v>
      </c>
      <c r="I399" s="2">
        <v>4</v>
      </c>
      <c r="J399" s="2" t="s">
        <v>11</v>
      </c>
      <c r="K399" s="4" t="s">
        <v>8590</v>
      </c>
      <c r="L399" s="2" t="s">
        <v>92</v>
      </c>
      <c r="M399" s="2"/>
      <c r="N399" t="s">
        <v>8589</v>
      </c>
      <c r="O399" s="8" t="str">
        <f t="shared" si="12"/>
        <v/>
      </c>
      <c r="P399" t="str">
        <f t="shared" si="13"/>
        <v>N/A</v>
      </c>
    </row>
    <row r="400" spans="1:16" x14ac:dyDescent="0.25">
      <c r="A400" s="2" t="s">
        <v>1165</v>
      </c>
      <c r="B400" s="4">
        <v>46155.416666666664</v>
      </c>
      <c r="C400" s="2" t="s">
        <v>67</v>
      </c>
      <c r="D400" s="2" t="s">
        <v>95</v>
      </c>
      <c r="E400" s="2" t="s">
        <v>90</v>
      </c>
      <c r="F400" s="2" t="s">
        <v>113</v>
      </c>
      <c r="G400" s="2" t="s">
        <v>183</v>
      </c>
      <c r="H400" s="2" t="s">
        <v>32</v>
      </c>
      <c r="I400" s="2">
        <v>48</v>
      </c>
      <c r="J400" s="2" t="s">
        <v>75</v>
      </c>
      <c r="K400" s="4">
        <v>46156.635416666664</v>
      </c>
      <c r="L400" s="2" t="s">
        <v>24</v>
      </c>
      <c r="M400" s="2">
        <v>4</v>
      </c>
      <c r="N400" t="s">
        <v>8586</v>
      </c>
      <c r="O400" s="8">
        <f t="shared" si="12"/>
        <v>29.25</v>
      </c>
      <c r="P400" t="str">
        <f t="shared" si="13"/>
        <v>N/A</v>
      </c>
    </row>
    <row r="401" spans="1:16" x14ac:dyDescent="0.25">
      <c r="A401" s="2" t="s">
        <v>1168</v>
      </c>
      <c r="B401" s="4">
        <v>46108.87222222222</v>
      </c>
      <c r="C401" s="2" t="s">
        <v>28</v>
      </c>
      <c r="D401" s="2" t="s">
        <v>37</v>
      </c>
      <c r="E401" s="2" t="s">
        <v>18</v>
      </c>
      <c r="F401" s="2" t="s">
        <v>55</v>
      </c>
      <c r="G401" s="2" t="s">
        <v>211</v>
      </c>
      <c r="H401" s="2" t="s">
        <v>32</v>
      </c>
      <c r="I401" s="2">
        <v>48</v>
      </c>
      <c r="J401" s="2" t="s">
        <v>11</v>
      </c>
      <c r="K401" s="4" t="s">
        <v>8590</v>
      </c>
      <c r="L401" s="2" t="s">
        <v>92</v>
      </c>
      <c r="M401" s="2"/>
      <c r="N401" t="s">
        <v>8582</v>
      </c>
      <c r="O401" s="8" t="str">
        <f t="shared" si="12"/>
        <v/>
      </c>
      <c r="P401" t="str">
        <f t="shared" si="13"/>
        <v>N/A</v>
      </c>
    </row>
    <row r="402" spans="1:16" x14ac:dyDescent="0.25">
      <c r="A402" s="2" t="s">
        <v>1170</v>
      </c>
      <c r="B402" s="4">
        <v>46147.17291666667</v>
      </c>
      <c r="C402" s="2" t="s">
        <v>28</v>
      </c>
      <c r="D402" s="2" t="s">
        <v>37</v>
      </c>
      <c r="E402" s="2" t="s">
        <v>38</v>
      </c>
      <c r="F402" s="2" t="s">
        <v>55</v>
      </c>
      <c r="G402" s="2" t="s">
        <v>211</v>
      </c>
      <c r="H402" s="2" t="s">
        <v>21</v>
      </c>
      <c r="I402" s="2">
        <v>24</v>
      </c>
      <c r="J402" s="2" t="s">
        <v>75</v>
      </c>
      <c r="K402" s="4">
        <v>46147.573611111111</v>
      </c>
      <c r="L402" s="2" t="s">
        <v>24</v>
      </c>
      <c r="M402" s="2">
        <v>4</v>
      </c>
      <c r="N402" t="s">
        <v>8588</v>
      </c>
      <c r="O402" s="8">
        <f t="shared" si="12"/>
        <v>9.6166666665812954</v>
      </c>
      <c r="P402" t="str">
        <f t="shared" si="13"/>
        <v>N/A</v>
      </c>
    </row>
    <row r="403" spans="1:16" x14ac:dyDescent="0.25">
      <c r="A403" s="2" t="s">
        <v>1173</v>
      </c>
      <c r="B403" s="4">
        <v>46094.600694444445</v>
      </c>
      <c r="C403" s="2" t="s">
        <v>28</v>
      </c>
      <c r="D403" s="2" t="s">
        <v>37</v>
      </c>
      <c r="E403" s="2" t="s">
        <v>90</v>
      </c>
      <c r="F403" s="2" t="s">
        <v>30</v>
      </c>
      <c r="G403" s="2" t="s">
        <v>101</v>
      </c>
      <c r="H403" s="2" t="s">
        <v>32</v>
      </c>
      <c r="I403" s="2">
        <v>48</v>
      </c>
      <c r="J403" s="2" t="s">
        <v>149</v>
      </c>
      <c r="K403" s="4" t="s">
        <v>8590</v>
      </c>
      <c r="L403" s="2" t="s">
        <v>92</v>
      </c>
      <c r="M403" s="2"/>
      <c r="N403" t="s">
        <v>8587</v>
      </c>
      <c r="O403" s="8" t="str">
        <f t="shared" si="12"/>
        <v/>
      </c>
      <c r="P403" t="str">
        <f t="shared" si="13"/>
        <v>N/A</v>
      </c>
    </row>
    <row r="404" spans="1:16" x14ac:dyDescent="0.25">
      <c r="A404" s="2" t="s">
        <v>1175</v>
      </c>
      <c r="B404" s="4">
        <v>46240.286805555559</v>
      </c>
      <c r="C404" s="2" t="s">
        <v>67</v>
      </c>
      <c r="D404" s="2" t="s">
        <v>68</v>
      </c>
      <c r="E404" s="2" t="s">
        <v>18</v>
      </c>
      <c r="F404" s="2" t="s">
        <v>96</v>
      </c>
      <c r="G404" s="2" t="s">
        <v>110</v>
      </c>
      <c r="H404" s="2" t="s">
        <v>32</v>
      </c>
      <c r="I404" s="2">
        <v>48</v>
      </c>
      <c r="J404" s="2" t="s">
        <v>75</v>
      </c>
      <c r="K404" s="4">
        <v>46244.385416666664</v>
      </c>
      <c r="L404" s="2" t="s">
        <v>92</v>
      </c>
      <c r="M404" s="2"/>
      <c r="N404" t="s">
        <v>8589</v>
      </c>
      <c r="O404" s="8">
        <f t="shared" si="12"/>
        <v>98.366666666523088</v>
      </c>
      <c r="P404" t="str">
        <f t="shared" si="13"/>
        <v>N/A</v>
      </c>
    </row>
    <row r="405" spans="1:16" x14ac:dyDescent="0.25">
      <c r="A405" s="2" t="s">
        <v>1178</v>
      </c>
      <c r="B405" s="4">
        <v>46223.080555555556</v>
      </c>
      <c r="C405" s="2" t="s">
        <v>53</v>
      </c>
      <c r="D405" s="2" t="s">
        <v>61</v>
      </c>
      <c r="E405" s="2" t="s">
        <v>38</v>
      </c>
      <c r="F405" s="2" t="s">
        <v>96</v>
      </c>
      <c r="G405" s="2" t="s">
        <v>31</v>
      </c>
      <c r="H405" s="2" t="s">
        <v>32</v>
      </c>
      <c r="I405" s="2">
        <v>48</v>
      </c>
      <c r="J405" s="2" t="s">
        <v>106</v>
      </c>
      <c r="K405" s="4">
        <v>46224.45</v>
      </c>
      <c r="L405" s="2" t="s">
        <v>24</v>
      </c>
      <c r="M405" s="2">
        <v>5</v>
      </c>
      <c r="N405" t="s">
        <v>8583</v>
      </c>
      <c r="O405" s="8">
        <f t="shared" si="12"/>
        <v>32.866666666581295</v>
      </c>
      <c r="P405" t="str">
        <f t="shared" si="13"/>
        <v>Yes</v>
      </c>
    </row>
    <row r="406" spans="1:16" x14ac:dyDescent="0.25">
      <c r="A406" s="2" t="s">
        <v>1181</v>
      </c>
      <c r="B406" s="4">
        <v>46211.4</v>
      </c>
      <c r="C406" s="2" t="s">
        <v>67</v>
      </c>
      <c r="D406" s="2" t="s">
        <v>68</v>
      </c>
      <c r="E406" s="2" t="s">
        <v>90</v>
      </c>
      <c r="F406" s="2" t="s">
        <v>55</v>
      </c>
      <c r="G406" s="2" t="s">
        <v>110</v>
      </c>
      <c r="H406" s="2" t="s">
        <v>74</v>
      </c>
      <c r="I406" s="2">
        <v>8</v>
      </c>
      <c r="J406" s="2" t="s">
        <v>149</v>
      </c>
      <c r="K406" s="4" t="s">
        <v>8590</v>
      </c>
      <c r="L406" s="2" t="s">
        <v>92</v>
      </c>
      <c r="M406" s="2"/>
      <c r="N406" t="s">
        <v>8587</v>
      </c>
      <c r="O406" s="8" t="str">
        <f t="shared" si="12"/>
        <v/>
      </c>
      <c r="P406" t="str">
        <f t="shared" si="13"/>
        <v>N/A</v>
      </c>
    </row>
    <row r="407" spans="1:16" x14ac:dyDescent="0.25">
      <c r="A407" s="2" t="s">
        <v>1183</v>
      </c>
      <c r="B407" s="4">
        <v>46132.59375</v>
      </c>
      <c r="C407" s="2" t="s">
        <v>28</v>
      </c>
      <c r="D407" s="2" t="s">
        <v>100</v>
      </c>
      <c r="E407" s="2" t="s">
        <v>18</v>
      </c>
      <c r="F407" s="2" t="s">
        <v>55</v>
      </c>
      <c r="G407" s="2" t="s">
        <v>183</v>
      </c>
      <c r="H407" s="2" t="s">
        <v>21</v>
      </c>
      <c r="I407" s="2">
        <v>24</v>
      </c>
      <c r="J407" s="2" t="s">
        <v>287</v>
      </c>
      <c r="K407" s="4" t="s">
        <v>8590</v>
      </c>
      <c r="L407" s="2" t="s">
        <v>24</v>
      </c>
      <c r="M407" s="2"/>
      <c r="N407" t="s">
        <v>8588</v>
      </c>
      <c r="O407" s="8" t="str">
        <f t="shared" si="12"/>
        <v/>
      </c>
      <c r="P407" t="str">
        <f t="shared" si="13"/>
        <v>N/A</v>
      </c>
    </row>
    <row r="408" spans="1:16" x14ac:dyDescent="0.25">
      <c r="A408" s="2" t="s">
        <v>1185</v>
      </c>
      <c r="B408" s="4">
        <v>46237.191666666666</v>
      </c>
      <c r="C408" s="2" t="s">
        <v>53</v>
      </c>
      <c r="D408" s="2" t="s">
        <v>54</v>
      </c>
      <c r="E408" s="2" t="s">
        <v>85</v>
      </c>
      <c r="F408" s="2" t="s">
        <v>55</v>
      </c>
      <c r="G408" s="2" t="s">
        <v>31</v>
      </c>
      <c r="H408" s="2" t="s">
        <v>32</v>
      </c>
      <c r="I408" s="2">
        <v>48</v>
      </c>
      <c r="J408" s="2" t="s">
        <v>75</v>
      </c>
      <c r="K408" s="4" t="s">
        <v>8590</v>
      </c>
      <c r="L408" s="2" t="s">
        <v>24</v>
      </c>
      <c r="M408" s="2"/>
      <c r="N408" t="s">
        <v>8589</v>
      </c>
      <c r="O408" s="8" t="str">
        <f t="shared" si="12"/>
        <v/>
      </c>
      <c r="P408" t="str">
        <f t="shared" si="13"/>
        <v>N/A</v>
      </c>
    </row>
    <row r="409" spans="1:16" x14ac:dyDescent="0.25">
      <c r="A409" s="2" t="s">
        <v>1187</v>
      </c>
      <c r="B409" s="4">
        <v>46205.811805555553</v>
      </c>
      <c r="C409" s="2" t="s">
        <v>28</v>
      </c>
      <c r="D409" s="2" t="s">
        <v>100</v>
      </c>
      <c r="E409" s="2" t="s">
        <v>18</v>
      </c>
      <c r="F409" s="2" t="s">
        <v>96</v>
      </c>
      <c r="G409" s="2" t="s">
        <v>211</v>
      </c>
      <c r="H409" s="2" t="s">
        <v>21</v>
      </c>
      <c r="I409" s="2">
        <v>24</v>
      </c>
      <c r="J409" s="2" t="s">
        <v>75</v>
      </c>
      <c r="K409" s="4">
        <v>46206.433333333334</v>
      </c>
      <c r="L409" s="2" t="s">
        <v>24</v>
      </c>
      <c r="M409" s="2"/>
      <c r="N409" t="s">
        <v>8581</v>
      </c>
      <c r="O409" s="8">
        <f t="shared" si="12"/>
        <v>14.916666666744277</v>
      </c>
      <c r="P409" t="str">
        <f t="shared" si="13"/>
        <v>N/A</v>
      </c>
    </row>
    <row r="410" spans="1:16" x14ac:dyDescent="0.25">
      <c r="A410" s="2" t="s">
        <v>1190</v>
      </c>
      <c r="B410" s="4">
        <v>46219.130555555559</v>
      </c>
      <c r="C410" s="2" t="s">
        <v>16</v>
      </c>
      <c r="D410" s="2" t="s">
        <v>84</v>
      </c>
      <c r="E410" s="2" t="s">
        <v>18</v>
      </c>
      <c r="F410" s="2" t="s">
        <v>30</v>
      </c>
      <c r="G410" s="2" t="s">
        <v>179</v>
      </c>
      <c r="H410" s="2" t="s">
        <v>21</v>
      </c>
      <c r="I410" s="2">
        <v>24</v>
      </c>
      <c r="J410" s="2" t="s">
        <v>149</v>
      </c>
      <c r="K410" s="4" t="s">
        <v>8590</v>
      </c>
      <c r="L410" s="2" t="s">
        <v>24</v>
      </c>
      <c r="M410" s="2"/>
      <c r="N410" t="s">
        <v>8581</v>
      </c>
      <c r="O410" s="8" t="str">
        <f t="shared" si="12"/>
        <v/>
      </c>
      <c r="P410" t="str">
        <f t="shared" si="13"/>
        <v>N/A</v>
      </c>
    </row>
    <row r="411" spans="1:16" x14ac:dyDescent="0.25">
      <c r="A411" s="2" t="s">
        <v>1192</v>
      </c>
      <c r="B411" s="4">
        <v>46186.509027777778</v>
      </c>
      <c r="C411" s="2" t="s">
        <v>53</v>
      </c>
      <c r="D411" s="2" t="s">
        <v>54</v>
      </c>
      <c r="E411" s="2" t="s">
        <v>46</v>
      </c>
      <c r="F411" s="2" t="s">
        <v>30</v>
      </c>
      <c r="G411" s="2" t="s">
        <v>101</v>
      </c>
      <c r="H411" s="2" t="s">
        <v>32</v>
      </c>
      <c r="I411" s="2">
        <v>48</v>
      </c>
      <c r="J411" s="2" t="s">
        <v>106</v>
      </c>
      <c r="K411" s="4">
        <v>46187.574999999997</v>
      </c>
      <c r="L411" s="2" t="s">
        <v>24</v>
      </c>
      <c r="M411" s="2">
        <v>5</v>
      </c>
      <c r="N411" t="s">
        <v>8583</v>
      </c>
      <c r="O411" s="8">
        <f t="shared" si="12"/>
        <v>25.583333333255723</v>
      </c>
      <c r="P411" t="str">
        <f t="shared" si="13"/>
        <v>Yes</v>
      </c>
    </row>
    <row r="412" spans="1:16" x14ac:dyDescent="0.25">
      <c r="A412" s="2" t="s">
        <v>1195</v>
      </c>
      <c r="B412" s="4">
        <v>46080.647916666669</v>
      </c>
      <c r="C412" s="2" t="s">
        <v>28</v>
      </c>
      <c r="D412" s="2" t="s">
        <v>37</v>
      </c>
      <c r="E412" s="2" t="s">
        <v>18</v>
      </c>
      <c r="F412" s="2" t="s">
        <v>96</v>
      </c>
      <c r="G412" s="2" t="s">
        <v>31</v>
      </c>
      <c r="H412" s="2" t="s">
        <v>21</v>
      </c>
      <c r="I412" s="2">
        <v>24</v>
      </c>
      <c r="J412" s="2" t="s">
        <v>106</v>
      </c>
      <c r="K412" s="4">
        <v>46083.568055555559</v>
      </c>
      <c r="L412" s="2" t="s">
        <v>24</v>
      </c>
      <c r="M412" s="2"/>
      <c r="N412" t="s">
        <v>8583</v>
      </c>
      <c r="O412" s="8">
        <f t="shared" si="12"/>
        <v>70.083333333372138</v>
      </c>
      <c r="P412" t="str">
        <f t="shared" si="13"/>
        <v>No</v>
      </c>
    </row>
    <row r="413" spans="1:16" x14ac:dyDescent="0.25">
      <c r="A413" s="2" t="s">
        <v>1198</v>
      </c>
      <c r="B413" s="4">
        <v>46219.384722222225</v>
      </c>
      <c r="C413" s="2" t="s">
        <v>28</v>
      </c>
      <c r="D413" s="2" t="s">
        <v>37</v>
      </c>
      <c r="E413" s="2" t="s">
        <v>90</v>
      </c>
      <c r="F413" s="2" t="s">
        <v>30</v>
      </c>
      <c r="G413" s="2" t="s">
        <v>179</v>
      </c>
      <c r="H413" s="2" t="s">
        <v>21</v>
      </c>
      <c r="I413" s="2">
        <v>24</v>
      </c>
      <c r="J413" s="2" t="s">
        <v>106</v>
      </c>
      <c r="K413" s="4">
        <v>46219.963888888888</v>
      </c>
      <c r="L413" s="2" t="s">
        <v>24</v>
      </c>
      <c r="M413" s="2">
        <v>2</v>
      </c>
      <c r="N413" t="s">
        <v>8583</v>
      </c>
      <c r="O413" s="8">
        <f t="shared" si="12"/>
        <v>13.899999999906868</v>
      </c>
      <c r="P413" t="str">
        <f t="shared" si="13"/>
        <v>Yes</v>
      </c>
    </row>
    <row r="414" spans="1:16" x14ac:dyDescent="0.25">
      <c r="A414" s="2" t="s">
        <v>1201</v>
      </c>
      <c r="B414" s="4">
        <v>46212.234722222223</v>
      </c>
      <c r="C414" s="2" t="s">
        <v>67</v>
      </c>
      <c r="D414" s="2" t="s">
        <v>95</v>
      </c>
      <c r="E414" s="2" t="s">
        <v>46</v>
      </c>
      <c r="F414" s="2" t="s">
        <v>55</v>
      </c>
      <c r="G414" s="2" t="s">
        <v>183</v>
      </c>
      <c r="H414" s="2" t="s">
        <v>21</v>
      </c>
      <c r="I414" s="2">
        <v>24</v>
      </c>
      <c r="J414" s="2" t="s">
        <v>11</v>
      </c>
      <c r="K414" s="4" t="s">
        <v>8590</v>
      </c>
      <c r="L414" s="2" t="s">
        <v>92</v>
      </c>
      <c r="M414" s="2"/>
      <c r="N414" t="s">
        <v>8588</v>
      </c>
      <c r="O414" s="8" t="str">
        <f t="shared" si="12"/>
        <v/>
      </c>
      <c r="P414" t="str">
        <f t="shared" si="13"/>
        <v>N/A</v>
      </c>
    </row>
    <row r="415" spans="1:16" x14ac:dyDescent="0.25">
      <c r="A415" s="2" t="s">
        <v>1203</v>
      </c>
      <c r="B415" s="4">
        <v>46122.757638888892</v>
      </c>
      <c r="C415" s="2" t="s">
        <v>16</v>
      </c>
      <c r="D415" s="2" t="s">
        <v>84</v>
      </c>
      <c r="E415" s="2" t="s">
        <v>148</v>
      </c>
      <c r="F415" s="2" t="s">
        <v>30</v>
      </c>
      <c r="G415" s="2" t="s">
        <v>183</v>
      </c>
      <c r="H415" s="2" t="s">
        <v>32</v>
      </c>
      <c r="I415" s="2">
        <v>48</v>
      </c>
      <c r="J415" s="2" t="s">
        <v>11</v>
      </c>
      <c r="K415" s="4" t="s">
        <v>8590</v>
      </c>
      <c r="L415" s="2" t="s">
        <v>92</v>
      </c>
      <c r="M415" s="2"/>
      <c r="N415" t="s">
        <v>8584</v>
      </c>
      <c r="O415" s="8" t="str">
        <f t="shared" si="12"/>
        <v/>
      </c>
      <c r="P415" t="str">
        <f t="shared" si="13"/>
        <v>N/A</v>
      </c>
    </row>
    <row r="416" spans="1:16" x14ac:dyDescent="0.25">
      <c r="A416" s="2" t="s">
        <v>1205</v>
      </c>
      <c r="B416" s="4">
        <v>46231.213194444441</v>
      </c>
      <c r="C416" s="2" t="s">
        <v>16</v>
      </c>
      <c r="D416" s="2" t="s">
        <v>17</v>
      </c>
      <c r="E416" s="2" t="s">
        <v>90</v>
      </c>
      <c r="F416" s="2" t="s">
        <v>30</v>
      </c>
      <c r="G416" s="2" t="s">
        <v>179</v>
      </c>
      <c r="H416" s="2" t="s">
        <v>80</v>
      </c>
      <c r="I416" s="2">
        <v>4</v>
      </c>
      <c r="J416" s="2" t="s">
        <v>106</v>
      </c>
      <c r="K416" s="4">
        <v>46231.245138888888</v>
      </c>
      <c r="L416" s="2" t="s">
        <v>24</v>
      </c>
      <c r="M416" s="2">
        <v>5</v>
      </c>
      <c r="N416" t="s">
        <v>8588</v>
      </c>
      <c r="O416" s="8">
        <f t="shared" si="12"/>
        <v>0.76666666672099382</v>
      </c>
      <c r="P416" t="str">
        <f t="shared" si="13"/>
        <v>Yes</v>
      </c>
    </row>
    <row r="417" spans="1:16" x14ac:dyDescent="0.25">
      <c r="A417" s="2" t="s">
        <v>1208</v>
      </c>
      <c r="B417" s="4">
        <v>46032.468055555553</v>
      </c>
      <c r="C417" s="2" t="s">
        <v>28</v>
      </c>
      <c r="D417" s="2" t="s">
        <v>100</v>
      </c>
      <c r="E417" s="2" t="s">
        <v>90</v>
      </c>
      <c r="F417" s="2" t="s">
        <v>96</v>
      </c>
      <c r="G417" s="2" t="s">
        <v>110</v>
      </c>
      <c r="H417" s="2" t="s">
        <v>80</v>
      </c>
      <c r="I417" s="2">
        <v>4</v>
      </c>
      <c r="J417" s="2" t="s">
        <v>11</v>
      </c>
      <c r="K417" s="4" t="s">
        <v>8590</v>
      </c>
      <c r="L417" s="2" t="s">
        <v>92</v>
      </c>
      <c r="M417" s="2"/>
      <c r="N417" t="s">
        <v>8587</v>
      </c>
      <c r="O417" s="8" t="str">
        <f t="shared" si="12"/>
        <v/>
      </c>
      <c r="P417" t="str">
        <f t="shared" si="13"/>
        <v>N/A</v>
      </c>
    </row>
    <row r="418" spans="1:16" x14ac:dyDescent="0.25">
      <c r="A418" s="2" t="s">
        <v>1210</v>
      </c>
      <c r="B418" s="4">
        <v>46117.960416666669</v>
      </c>
      <c r="C418" s="2" t="s">
        <v>28</v>
      </c>
      <c r="D418" s="2" t="s">
        <v>37</v>
      </c>
      <c r="E418" s="2" t="s">
        <v>148</v>
      </c>
      <c r="F418" s="2" t="s">
        <v>113</v>
      </c>
      <c r="G418" s="2" t="s">
        <v>179</v>
      </c>
      <c r="H418" s="2" t="s">
        <v>74</v>
      </c>
      <c r="I418" s="2">
        <v>8</v>
      </c>
      <c r="J418" s="2" t="s">
        <v>75</v>
      </c>
      <c r="K418" s="4">
        <v>46118.048611111109</v>
      </c>
      <c r="L418" s="2" t="s">
        <v>92</v>
      </c>
      <c r="M418" s="2">
        <v>4</v>
      </c>
      <c r="N418" t="s">
        <v>8588</v>
      </c>
      <c r="O418" s="8">
        <f t="shared" si="12"/>
        <v>2.1166666665812954</v>
      </c>
      <c r="P418" t="str">
        <f t="shared" si="13"/>
        <v>N/A</v>
      </c>
    </row>
    <row r="419" spans="1:16" x14ac:dyDescent="0.25">
      <c r="A419" s="2" t="s">
        <v>1213</v>
      </c>
      <c r="B419" s="4">
        <v>46245.602777777778</v>
      </c>
      <c r="C419" s="2" t="s">
        <v>28</v>
      </c>
      <c r="D419" s="2" t="s">
        <v>37</v>
      </c>
      <c r="E419" s="2" t="s">
        <v>38</v>
      </c>
      <c r="F419" s="2" t="s">
        <v>96</v>
      </c>
      <c r="G419" s="2" t="s">
        <v>179</v>
      </c>
      <c r="H419" s="2" t="s">
        <v>32</v>
      </c>
      <c r="I419" s="2">
        <v>48</v>
      </c>
      <c r="J419" s="2" t="s">
        <v>106</v>
      </c>
      <c r="K419" s="4" t="s">
        <v>8590</v>
      </c>
      <c r="L419" s="2" t="s">
        <v>24</v>
      </c>
      <c r="M419" s="2">
        <v>3</v>
      </c>
      <c r="N419" t="s">
        <v>8583</v>
      </c>
      <c r="O419" s="8" t="str">
        <f t="shared" si="12"/>
        <v/>
      </c>
      <c r="P419" t="str">
        <f t="shared" si="13"/>
        <v>No</v>
      </c>
    </row>
    <row r="420" spans="1:16" x14ac:dyDescent="0.25">
      <c r="A420" s="2" t="s">
        <v>1215</v>
      </c>
      <c r="B420" s="4">
        <v>46209.311805555553</v>
      </c>
      <c r="C420" s="2" t="s">
        <v>67</v>
      </c>
      <c r="D420" s="2" t="s">
        <v>95</v>
      </c>
      <c r="E420" s="2" t="s">
        <v>90</v>
      </c>
      <c r="F420" s="2" t="s">
        <v>30</v>
      </c>
      <c r="G420" s="2" t="s">
        <v>211</v>
      </c>
      <c r="H420" s="2" t="s">
        <v>80</v>
      </c>
      <c r="I420" s="2">
        <v>4</v>
      </c>
      <c r="J420" s="2" t="s">
        <v>75</v>
      </c>
      <c r="K420" s="4">
        <v>46209.424305555556</v>
      </c>
      <c r="L420" s="2" t="s">
        <v>24</v>
      </c>
      <c r="M420" s="2">
        <v>4</v>
      </c>
      <c r="N420" t="s">
        <v>8589</v>
      </c>
      <c r="O420" s="8">
        <f t="shared" si="12"/>
        <v>2.7000000000698492</v>
      </c>
      <c r="P420" t="str">
        <f t="shared" si="13"/>
        <v>N/A</v>
      </c>
    </row>
    <row r="421" spans="1:16" x14ac:dyDescent="0.25">
      <c r="A421" s="2" t="s">
        <v>1218</v>
      </c>
      <c r="B421" s="4">
        <v>46118.439583333333</v>
      </c>
      <c r="C421" s="2" t="s">
        <v>67</v>
      </c>
      <c r="D421" s="2" t="s">
        <v>95</v>
      </c>
      <c r="E421" s="2" t="s">
        <v>85</v>
      </c>
      <c r="F421" s="2" t="s">
        <v>30</v>
      </c>
      <c r="G421" s="2" t="s">
        <v>183</v>
      </c>
      <c r="H421" s="2" t="s">
        <v>74</v>
      </c>
      <c r="I421" s="2">
        <v>8</v>
      </c>
      <c r="J421" s="2" t="s">
        <v>287</v>
      </c>
      <c r="K421" s="4" t="s">
        <v>8590</v>
      </c>
      <c r="L421" s="2" t="s">
        <v>24</v>
      </c>
      <c r="M421" s="2"/>
      <c r="N421" t="s">
        <v>8588</v>
      </c>
      <c r="O421" s="8" t="str">
        <f t="shared" si="12"/>
        <v/>
      </c>
      <c r="P421" t="str">
        <f t="shared" si="13"/>
        <v>N/A</v>
      </c>
    </row>
    <row r="422" spans="1:16" x14ac:dyDescent="0.25">
      <c r="A422" s="2" t="s">
        <v>1220</v>
      </c>
      <c r="B422" s="4">
        <v>46242.606944444444</v>
      </c>
      <c r="C422" s="2" t="s">
        <v>28</v>
      </c>
      <c r="D422" s="2" t="s">
        <v>37</v>
      </c>
      <c r="E422" s="2" t="s">
        <v>90</v>
      </c>
      <c r="F422" s="2" t="s">
        <v>96</v>
      </c>
      <c r="G422" s="2" t="s">
        <v>211</v>
      </c>
      <c r="H422" s="2" t="s">
        <v>21</v>
      </c>
      <c r="I422" s="2">
        <v>24</v>
      </c>
      <c r="J422" s="2" t="s">
        <v>106</v>
      </c>
      <c r="K422" s="4">
        <v>46242.792361111111</v>
      </c>
      <c r="L422" s="2" t="s">
        <v>24</v>
      </c>
      <c r="M422" s="2"/>
      <c r="N422" t="s">
        <v>8581</v>
      </c>
      <c r="O422" s="8">
        <f t="shared" si="12"/>
        <v>4.4500000000116415</v>
      </c>
      <c r="P422" t="str">
        <f t="shared" si="13"/>
        <v>Yes</v>
      </c>
    </row>
    <row r="423" spans="1:16" x14ac:dyDescent="0.25">
      <c r="A423" s="2" t="s">
        <v>1223</v>
      </c>
      <c r="B423" s="4">
        <v>46031.599305555559</v>
      </c>
      <c r="C423" s="2" t="s">
        <v>53</v>
      </c>
      <c r="D423" s="2" t="s">
        <v>61</v>
      </c>
      <c r="E423" s="2" t="s">
        <v>79</v>
      </c>
      <c r="F423" s="2" t="s">
        <v>113</v>
      </c>
      <c r="G423" s="2" t="s">
        <v>110</v>
      </c>
      <c r="H423" s="2" t="s">
        <v>21</v>
      </c>
      <c r="I423" s="2">
        <v>24</v>
      </c>
      <c r="J423" s="2" t="s">
        <v>106</v>
      </c>
      <c r="K423" s="4">
        <v>46031.645138888889</v>
      </c>
      <c r="L423" s="2" t="s">
        <v>24</v>
      </c>
      <c r="M423" s="2">
        <v>3</v>
      </c>
      <c r="N423" t="s">
        <v>8586</v>
      </c>
      <c r="O423" s="8">
        <f t="shared" si="12"/>
        <v>1.0999999999185093</v>
      </c>
      <c r="P423" t="str">
        <f t="shared" si="13"/>
        <v>Yes</v>
      </c>
    </row>
    <row r="424" spans="1:16" x14ac:dyDescent="0.25">
      <c r="A424" s="2" t="s">
        <v>1226</v>
      </c>
      <c r="B424" s="4">
        <v>46117.539583333331</v>
      </c>
      <c r="C424" s="2" t="s">
        <v>28</v>
      </c>
      <c r="D424" s="2" t="s">
        <v>37</v>
      </c>
      <c r="E424" s="2" t="s">
        <v>90</v>
      </c>
      <c r="F424" s="2" t="s">
        <v>30</v>
      </c>
      <c r="G424" s="2" t="s">
        <v>211</v>
      </c>
      <c r="H424" s="2" t="s">
        <v>32</v>
      </c>
      <c r="I424" s="2">
        <v>48</v>
      </c>
      <c r="J424" s="2" t="s">
        <v>106</v>
      </c>
      <c r="K424" s="4">
        <v>46118.352083333331</v>
      </c>
      <c r="L424" s="2" t="s">
        <v>24</v>
      </c>
      <c r="M424" s="2"/>
      <c r="N424" t="s">
        <v>8588</v>
      </c>
      <c r="O424" s="8">
        <f t="shared" si="12"/>
        <v>19.5</v>
      </c>
      <c r="P424" t="str">
        <f t="shared" si="13"/>
        <v>Yes</v>
      </c>
    </row>
    <row r="425" spans="1:16" x14ac:dyDescent="0.25">
      <c r="A425" s="2" t="s">
        <v>1229</v>
      </c>
      <c r="B425" s="4">
        <v>46122.37777777778</v>
      </c>
      <c r="C425" s="2" t="s">
        <v>16</v>
      </c>
      <c r="D425" s="2" t="s">
        <v>84</v>
      </c>
      <c r="E425" s="2" t="s">
        <v>18</v>
      </c>
      <c r="F425" s="2" t="s">
        <v>96</v>
      </c>
      <c r="G425" s="2" t="s">
        <v>183</v>
      </c>
      <c r="H425" s="2" t="s">
        <v>21</v>
      </c>
      <c r="I425" s="2">
        <v>24</v>
      </c>
      <c r="J425" s="2" t="s">
        <v>8580</v>
      </c>
      <c r="K425" s="4">
        <v>46124.715277777781</v>
      </c>
      <c r="L425" s="2" t="s">
        <v>24</v>
      </c>
      <c r="M425" s="2"/>
      <c r="N425" t="s">
        <v>8589</v>
      </c>
      <c r="O425" s="8">
        <f t="shared" si="12"/>
        <v>56.100000000034925</v>
      </c>
      <c r="P425" t="str">
        <f t="shared" si="13"/>
        <v>N/A</v>
      </c>
    </row>
    <row r="426" spans="1:16" x14ac:dyDescent="0.25">
      <c r="A426" s="2" t="s">
        <v>1232</v>
      </c>
      <c r="B426" s="4">
        <v>46200.054166666669</v>
      </c>
      <c r="C426" s="2" t="s">
        <v>67</v>
      </c>
      <c r="D426" s="2" t="s">
        <v>68</v>
      </c>
      <c r="E426" s="2" t="s">
        <v>18</v>
      </c>
      <c r="F426" s="2" t="s">
        <v>30</v>
      </c>
      <c r="G426" s="2" t="s">
        <v>101</v>
      </c>
      <c r="H426" s="2" t="s">
        <v>32</v>
      </c>
      <c r="I426" s="2">
        <v>48</v>
      </c>
      <c r="J426" s="2" t="s">
        <v>149</v>
      </c>
      <c r="K426" s="4" t="s">
        <v>8590</v>
      </c>
      <c r="L426" s="2" t="s">
        <v>24</v>
      </c>
      <c r="M426" s="2"/>
      <c r="N426" t="s">
        <v>8587</v>
      </c>
      <c r="O426" s="8" t="str">
        <f t="shared" si="12"/>
        <v/>
      </c>
      <c r="P426" t="str">
        <f t="shared" si="13"/>
        <v>N/A</v>
      </c>
    </row>
    <row r="427" spans="1:16" x14ac:dyDescent="0.25">
      <c r="A427" s="2" t="s">
        <v>1234</v>
      </c>
      <c r="B427" s="4">
        <v>46155.62777777778</v>
      </c>
      <c r="C427" s="2" t="s">
        <v>16</v>
      </c>
      <c r="D427" s="2" t="s">
        <v>84</v>
      </c>
      <c r="E427" s="2" t="s">
        <v>148</v>
      </c>
      <c r="F427" s="2" t="s">
        <v>113</v>
      </c>
      <c r="G427" s="2" t="s">
        <v>31</v>
      </c>
      <c r="H427" s="2" t="s">
        <v>32</v>
      </c>
      <c r="I427" s="2">
        <v>48</v>
      </c>
      <c r="J427" s="2" t="s">
        <v>106</v>
      </c>
      <c r="K427" s="4">
        <v>46155.828472222223</v>
      </c>
      <c r="L427" s="2" t="s">
        <v>24</v>
      </c>
      <c r="M427" s="2">
        <v>4</v>
      </c>
      <c r="N427" t="s">
        <v>8585</v>
      </c>
      <c r="O427" s="8">
        <f t="shared" si="12"/>
        <v>4.8166666666511446</v>
      </c>
      <c r="P427" t="str">
        <f t="shared" si="13"/>
        <v>Yes</v>
      </c>
    </row>
    <row r="428" spans="1:16" x14ac:dyDescent="0.25">
      <c r="A428" s="2" t="s">
        <v>1237</v>
      </c>
      <c r="B428" s="4">
        <v>46208.59652777778</v>
      </c>
      <c r="C428" s="2" t="s">
        <v>67</v>
      </c>
      <c r="D428" s="2" t="s">
        <v>68</v>
      </c>
      <c r="E428" s="2" t="s">
        <v>46</v>
      </c>
      <c r="F428" s="2" t="s">
        <v>113</v>
      </c>
      <c r="G428" s="2" t="s">
        <v>211</v>
      </c>
      <c r="H428" s="2" t="s">
        <v>21</v>
      </c>
      <c r="I428" s="2">
        <v>24</v>
      </c>
      <c r="J428" s="2" t="s">
        <v>75</v>
      </c>
      <c r="K428" s="4">
        <v>46209.154861111114</v>
      </c>
      <c r="L428" s="2" t="s">
        <v>24</v>
      </c>
      <c r="M428" s="2">
        <v>1</v>
      </c>
      <c r="N428" t="s">
        <v>8581</v>
      </c>
      <c r="O428" s="8">
        <f t="shared" si="12"/>
        <v>13.400000000023283</v>
      </c>
      <c r="P428" t="str">
        <f t="shared" si="13"/>
        <v>N/A</v>
      </c>
    </row>
    <row r="429" spans="1:16" x14ac:dyDescent="0.25">
      <c r="A429" s="2" t="s">
        <v>1240</v>
      </c>
      <c r="B429" s="4">
        <v>46039.302777777775</v>
      </c>
      <c r="C429" s="2" t="s">
        <v>53</v>
      </c>
      <c r="D429" s="2" t="s">
        <v>61</v>
      </c>
      <c r="E429" s="2" t="s">
        <v>46</v>
      </c>
      <c r="F429" s="2" t="s">
        <v>55</v>
      </c>
      <c r="G429" s="2" t="s">
        <v>183</v>
      </c>
      <c r="H429" s="2" t="s">
        <v>32</v>
      </c>
      <c r="I429" s="2">
        <v>48</v>
      </c>
      <c r="J429" s="2" t="s">
        <v>106</v>
      </c>
      <c r="K429" s="4">
        <v>46040.723611111112</v>
      </c>
      <c r="L429" s="2" t="s">
        <v>24</v>
      </c>
      <c r="M429" s="2"/>
      <c r="N429" t="s">
        <v>8585</v>
      </c>
      <c r="O429" s="8">
        <f t="shared" si="12"/>
        <v>34.100000000093132</v>
      </c>
      <c r="P429" t="str">
        <f t="shared" si="13"/>
        <v>Yes</v>
      </c>
    </row>
    <row r="430" spans="1:16" x14ac:dyDescent="0.25">
      <c r="A430" s="2" t="s">
        <v>1243</v>
      </c>
      <c r="B430" s="4">
        <v>46170.038888888892</v>
      </c>
      <c r="C430" s="2" t="s">
        <v>16</v>
      </c>
      <c r="D430" s="2" t="s">
        <v>84</v>
      </c>
      <c r="E430" s="2" t="s">
        <v>46</v>
      </c>
      <c r="F430" s="2" t="s">
        <v>30</v>
      </c>
      <c r="G430" s="2" t="s">
        <v>179</v>
      </c>
      <c r="H430" s="2" t="s">
        <v>74</v>
      </c>
      <c r="I430" s="2">
        <v>8</v>
      </c>
      <c r="J430" s="2" t="s">
        <v>106</v>
      </c>
      <c r="K430" s="4">
        <v>46170.134722222225</v>
      </c>
      <c r="L430" s="2" t="s">
        <v>24</v>
      </c>
      <c r="M430" s="2"/>
      <c r="N430" t="s">
        <v>8584</v>
      </c>
      <c r="O430" s="8">
        <f t="shared" si="12"/>
        <v>2.2999999999883585</v>
      </c>
      <c r="P430" t="str">
        <f t="shared" si="13"/>
        <v>Yes</v>
      </c>
    </row>
    <row r="431" spans="1:16" x14ac:dyDescent="0.25">
      <c r="A431" s="2" t="s">
        <v>1246</v>
      </c>
      <c r="B431" s="4">
        <v>46033.994444444441</v>
      </c>
      <c r="C431" s="2" t="s">
        <v>28</v>
      </c>
      <c r="D431" s="2" t="s">
        <v>100</v>
      </c>
      <c r="E431" s="2" t="s">
        <v>90</v>
      </c>
      <c r="F431" s="2" t="s">
        <v>96</v>
      </c>
      <c r="G431" s="2" t="s">
        <v>211</v>
      </c>
      <c r="H431" s="2" t="s">
        <v>21</v>
      </c>
      <c r="I431" s="2">
        <v>24</v>
      </c>
      <c r="J431" s="2" t="s">
        <v>106</v>
      </c>
      <c r="K431" s="4">
        <v>46034.859027777777</v>
      </c>
      <c r="L431" s="2" t="s">
        <v>24</v>
      </c>
      <c r="M431" s="2">
        <v>4</v>
      </c>
      <c r="N431" t="s">
        <v>8584</v>
      </c>
      <c r="O431" s="8">
        <f t="shared" si="12"/>
        <v>20.750000000058208</v>
      </c>
      <c r="P431" t="str">
        <f t="shared" si="13"/>
        <v>Yes</v>
      </c>
    </row>
    <row r="432" spans="1:16" x14ac:dyDescent="0.25">
      <c r="A432" s="2" t="s">
        <v>1249</v>
      </c>
      <c r="B432" s="4">
        <v>46218.8</v>
      </c>
      <c r="C432" s="2" t="s">
        <v>16</v>
      </c>
      <c r="D432" s="2" t="s">
        <v>84</v>
      </c>
      <c r="E432" s="2" t="s">
        <v>38</v>
      </c>
      <c r="F432" s="2" t="s">
        <v>30</v>
      </c>
      <c r="G432" s="2" t="s">
        <v>31</v>
      </c>
      <c r="H432" s="2" t="s">
        <v>74</v>
      </c>
      <c r="I432" s="2">
        <v>8</v>
      </c>
      <c r="J432" s="2" t="s">
        <v>149</v>
      </c>
      <c r="K432" s="4" t="s">
        <v>8590</v>
      </c>
      <c r="L432" s="2" t="s">
        <v>24</v>
      </c>
      <c r="M432" s="2"/>
      <c r="N432" t="s">
        <v>8588</v>
      </c>
      <c r="O432" s="8" t="str">
        <f t="shared" si="12"/>
        <v/>
      </c>
      <c r="P432" t="str">
        <f t="shared" si="13"/>
        <v>N/A</v>
      </c>
    </row>
    <row r="433" spans="1:16" x14ac:dyDescent="0.25">
      <c r="A433" s="2" t="s">
        <v>1251</v>
      </c>
      <c r="B433" s="4">
        <v>46164.55</v>
      </c>
      <c r="C433" s="2" t="s">
        <v>67</v>
      </c>
      <c r="D433" s="2" t="s">
        <v>95</v>
      </c>
      <c r="E433" s="2" t="s">
        <v>46</v>
      </c>
      <c r="F433" s="2" t="s">
        <v>55</v>
      </c>
      <c r="G433" s="2" t="s">
        <v>101</v>
      </c>
      <c r="H433" s="2" t="s">
        <v>80</v>
      </c>
      <c r="I433" s="2">
        <v>4</v>
      </c>
      <c r="J433" s="2" t="s">
        <v>106</v>
      </c>
      <c r="K433" s="4">
        <v>46164.693749999999</v>
      </c>
      <c r="L433" s="2" t="s">
        <v>24</v>
      </c>
      <c r="M433" s="2"/>
      <c r="N433" t="s">
        <v>8583</v>
      </c>
      <c r="O433" s="8">
        <f t="shared" si="12"/>
        <v>3.4499999998952262</v>
      </c>
      <c r="P433" t="str">
        <f t="shared" si="13"/>
        <v>Yes</v>
      </c>
    </row>
    <row r="434" spans="1:16" x14ac:dyDescent="0.25">
      <c r="A434" s="2" t="s">
        <v>1254</v>
      </c>
      <c r="B434" s="4">
        <v>46220.642361111109</v>
      </c>
      <c r="C434" s="2" t="s">
        <v>53</v>
      </c>
      <c r="D434" s="2" t="s">
        <v>54</v>
      </c>
      <c r="E434" s="2" t="s">
        <v>79</v>
      </c>
      <c r="F434" s="2" t="s">
        <v>55</v>
      </c>
      <c r="G434" s="2" t="s">
        <v>179</v>
      </c>
      <c r="H434" s="2" t="s">
        <v>74</v>
      </c>
      <c r="I434" s="2">
        <v>8</v>
      </c>
      <c r="J434" s="2" t="s">
        <v>75</v>
      </c>
      <c r="K434" s="4">
        <v>46220.680555555555</v>
      </c>
      <c r="L434" s="2" t="s">
        <v>24</v>
      </c>
      <c r="M434" s="2">
        <v>2</v>
      </c>
      <c r="N434" t="s">
        <v>8589</v>
      </c>
      <c r="O434" s="8">
        <f t="shared" si="12"/>
        <v>0.91666666668606922</v>
      </c>
      <c r="P434" t="str">
        <f t="shared" si="13"/>
        <v>N/A</v>
      </c>
    </row>
    <row r="435" spans="1:16" x14ac:dyDescent="0.25">
      <c r="A435" s="2" t="s">
        <v>1257</v>
      </c>
      <c r="B435" s="4">
        <v>46099.947222222225</v>
      </c>
      <c r="C435" s="2" t="s">
        <v>16</v>
      </c>
      <c r="D435" s="2" t="s">
        <v>17</v>
      </c>
      <c r="E435" s="2" t="s">
        <v>46</v>
      </c>
      <c r="F435" s="2" t="s">
        <v>113</v>
      </c>
      <c r="G435" s="2" t="s">
        <v>31</v>
      </c>
      <c r="H435" s="2" t="s">
        <v>80</v>
      </c>
      <c r="I435" s="2">
        <v>4</v>
      </c>
      <c r="J435" s="2" t="s">
        <v>106</v>
      </c>
      <c r="K435" s="4">
        <v>46100.029166666667</v>
      </c>
      <c r="L435" s="2" t="s">
        <v>24</v>
      </c>
      <c r="M435" s="2">
        <v>5</v>
      </c>
      <c r="N435" t="s">
        <v>8586</v>
      </c>
      <c r="O435" s="8">
        <f t="shared" si="12"/>
        <v>1.96666666661622</v>
      </c>
      <c r="P435" t="str">
        <f t="shared" si="13"/>
        <v>Yes</v>
      </c>
    </row>
    <row r="436" spans="1:16" x14ac:dyDescent="0.25">
      <c r="A436" s="2" t="s">
        <v>1260</v>
      </c>
      <c r="B436" s="4">
        <v>46030.90625</v>
      </c>
      <c r="C436" s="2" t="s">
        <v>53</v>
      </c>
      <c r="D436" s="2" t="s">
        <v>54</v>
      </c>
      <c r="E436" s="2" t="s">
        <v>46</v>
      </c>
      <c r="F436" s="2" t="s">
        <v>30</v>
      </c>
      <c r="G436" s="2" t="s">
        <v>179</v>
      </c>
      <c r="H436" s="2" t="s">
        <v>32</v>
      </c>
      <c r="I436" s="2">
        <v>48</v>
      </c>
      <c r="J436" s="2" t="s">
        <v>106</v>
      </c>
      <c r="K436" s="4" t="s">
        <v>8590</v>
      </c>
      <c r="L436" s="2" t="s">
        <v>24</v>
      </c>
      <c r="M436" s="2">
        <v>4</v>
      </c>
      <c r="N436" t="s">
        <v>8584</v>
      </c>
      <c r="O436" s="8" t="str">
        <f t="shared" si="12"/>
        <v/>
      </c>
      <c r="P436" t="str">
        <f t="shared" si="13"/>
        <v>No</v>
      </c>
    </row>
    <row r="437" spans="1:16" x14ac:dyDescent="0.25">
      <c r="A437" s="2" t="s">
        <v>1262</v>
      </c>
      <c r="B437" s="4">
        <v>46223.636111111111</v>
      </c>
      <c r="C437" s="2" t="s">
        <v>16</v>
      </c>
      <c r="D437" s="2" t="s">
        <v>17</v>
      </c>
      <c r="E437" s="2" t="s">
        <v>148</v>
      </c>
      <c r="F437" s="2" t="s">
        <v>30</v>
      </c>
      <c r="G437" s="2" t="s">
        <v>101</v>
      </c>
      <c r="H437" s="2" t="s">
        <v>21</v>
      </c>
      <c r="I437" s="2">
        <v>24</v>
      </c>
      <c r="J437" s="2" t="s">
        <v>11</v>
      </c>
      <c r="K437" s="4" t="s">
        <v>8590</v>
      </c>
      <c r="L437" s="2" t="s">
        <v>92</v>
      </c>
      <c r="M437" s="2"/>
      <c r="N437" t="s">
        <v>8582</v>
      </c>
      <c r="O437" s="8" t="str">
        <f t="shared" si="12"/>
        <v/>
      </c>
      <c r="P437" t="str">
        <f t="shared" si="13"/>
        <v>N/A</v>
      </c>
    </row>
    <row r="438" spans="1:16" x14ac:dyDescent="0.25">
      <c r="A438" s="2" t="s">
        <v>1264</v>
      </c>
      <c r="B438" s="4">
        <v>46075.550694444442</v>
      </c>
      <c r="C438" s="2" t="s">
        <v>16</v>
      </c>
      <c r="D438" s="2" t="s">
        <v>17</v>
      </c>
      <c r="E438" s="2" t="s">
        <v>18</v>
      </c>
      <c r="F438" s="2" t="s">
        <v>55</v>
      </c>
      <c r="G438" s="2" t="s">
        <v>31</v>
      </c>
      <c r="H438" s="2" t="s">
        <v>21</v>
      </c>
      <c r="I438" s="2">
        <v>24</v>
      </c>
      <c r="J438" s="2" t="s">
        <v>106</v>
      </c>
      <c r="K438" s="4">
        <v>46075.933333333334</v>
      </c>
      <c r="L438" s="2" t="s">
        <v>24</v>
      </c>
      <c r="M438" s="2">
        <v>5</v>
      </c>
      <c r="N438" t="s">
        <v>8584</v>
      </c>
      <c r="O438" s="8">
        <f t="shared" si="12"/>
        <v>9.183333333407063</v>
      </c>
      <c r="P438" t="str">
        <f t="shared" si="13"/>
        <v>Yes</v>
      </c>
    </row>
    <row r="439" spans="1:16" x14ac:dyDescent="0.25">
      <c r="A439" s="2" t="s">
        <v>1267</v>
      </c>
      <c r="B439" s="4">
        <v>46086.484027777777</v>
      </c>
      <c r="C439" s="2" t="s">
        <v>16</v>
      </c>
      <c r="D439" s="2" t="s">
        <v>84</v>
      </c>
      <c r="E439" s="2" t="s">
        <v>148</v>
      </c>
      <c r="F439" s="2" t="s">
        <v>55</v>
      </c>
      <c r="G439" s="2" t="s">
        <v>110</v>
      </c>
      <c r="H439" s="2" t="s">
        <v>32</v>
      </c>
      <c r="I439" s="2">
        <v>48</v>
      </c>
      <c r="J439" s="2" t="s">
        <v>149</v>
      </c>
      <c r="K439" s="4" t="s">
        <v>8590</v>
      </c>
      <c r="L439" s="2" t="s">
        <v>92</v>
      </c>
      <c r="M439" s="2"/>
      <c r="N439" t="s">
        <v>8586</v>
      </c>
      <c r="O439" s="8" t="str">
        <f t="shared" si="12"/>
        <v/>
      </c>
      <c r="P439" t="str">
        <f t="shared" si="13"/>
        <v>N/A</v>
      </c>
    </row>
    <row r="440" spans="1:16" x14ac:dyDescent="0.25">
      <c r="A440" s="2" t="s">
        <v>1269</v>
      </c>
      <c r="B440" s="4">
        <v>46132.54583333333</v>
      </c>
      <c r="C440" s="2" t="s">
        <v>16</v>
      </c>
      <c r="D440" s="2" t="s">
        <v>17</v>
      </c>
      <c r="E440" s="2" t="s">
        <v>148</v>
      </c>
      <c r="F440" s="2" t="s">
        <v>113</v>
      </c>
      <c r="G440" s="2" t="s">
        <v>211</v>
      </c>
      <c r="H440" s="2" t="s">
        <v>21</v>
      </c>
      <c r="I440" s="2">
        <v>24</v>
      </c>
      <c r="J440" s="2" t="s">
        <v>11</v>
      </c>
      <c r="K440" s="4" t="s">
        <v>8590</v>
      </c>
      <c r="L440" s="2" t="s">
        <v>92</v>
      </c>
      <c r="M440" s="2"/>
      <c r="N440" t="s">
        <v>8583</v>
      </c>
      <c r="O440" s="8" t="str">
        <f t="shared" si="12"/>
        <v/>
      </c>
      <c r="P440" t="str">
        <f t="shared" si="13"/>
        <v>N/A</v>
      </c>
    </row>
    <row r="441" spans="1:16" x14ac:dyDescent="0.25">
      <c r="A441" s="2" t="s">
        <v>1271</v>
      </c>
      <c r="B441" s="4">
        <v>46257.645138888889</v>
      </c>
      <c r="C441" s="2" t="s">
        <v>67</v>
      </c>
      <c r="D441" s="2" t="s">
        <v>95</v>
      </c>
      <c r="E441" s="2" t="s">
        <v>90</v>
      </c>
      <c r="F441" s="2" t="s">
        <v>113</v>
      </c>
      <c r="G441" s="2" t="s">
        <v>110</v>
      </c>
      <c r="H441" s="2" t="s">
        <v>74</v>
      </c>
      <c r="I441" s="2">
        <v>8</v>
      </c>
      <c r="J441" s="2" t="s">
        <v>287</v>
      </c>
      <c r="K441" s="4" t="s">
        <v>8590</v>
      </c>
      <c r="L441" s="2" t="s">
        <v>24</v>
      </c>
      <c r="M441" s="2"/>
      <c r="N441" t="s">
        <v>8588</v>
      </c>
      <c r="O441" s="8" t="str">
        <f t="shared" si="12"/>
        <v/>
      </c>
      <c r="P441" t="str">
        <f t="shared" si="13"/>
        <v>N/A</v>
      </c>
    </row>
    <row r="442" spans="1:16" x14ac:dyDescent="0.25">
      <c r="A442" s="2" t="s">
        <v>1273</v>
      </c>
      <c r="B442" s="4">
        <v>46242.696527777778</v>
      </c>
      <c r="C442" s="2" t="s">
        <v>67</v>
      </c>
      <c r="D442" s="2" t="s">
        <v>68</v>
      </c>
      <c r="E442" s="2" t="s">
        <v>38</v>
      </c>
      <c r="F442" s="2" t="s">
        <v>96</v>
      </c>
      <c r="G442" s="2" t="s">
        <v>101</v>
      </c>
      <c r="H442" s="2" t="s">
        <v>21</v>
      </c>
      <c r="I442" s="2">
        <v>24</v>
      </c>
      <c r="J442" s="2" t="s">
        <v>75</v>
      </c>
      <c r="K442" s="4">
        <v>46245.604166666664</v>
      </c>
      <c r="L442" s="2" t="s">
        <v>24</v>
      </c>
      <c r="M442" s="2">
        <v>5</v>
      </c>
      <c r="N442" t="s">
        <v>8587</v>
      </c>
      <c r="O442" s="8">
        <f t="shared" si="12"/>
        <v>69.783333333267365</v>
      </c>
      <c r="P442" t="str">
        <f t="shared" si="13"/>
        <v>N/A</v>
      </c>
    </row>
    <row r="443" spans="1:16" x14ac:dyDescent="0.25">
      <c r="A443" s="2" t="s">
        <v>1276</v>
      </c>
      <c r="B443" s="4">
        <v>46092.645138888889</v>
      </c>
      <c r="C443" s="2" t="s">
        <v>53</v>
      </c>
      <c r="D443" s="2" t="s">
        <v>54</v>
      </c>
      <c r="E443" s="2" t="s">
        <v>46</v>
      </c>
      <c r="F443" s="2" t="s">
        <v>96</v>
      </c>
      <c r="G443" s="2" t="s">
        <v>179</v>
      </c>
      <c r="H443" s="2" t="s">
        <v>32</v>
      </c>
      <c r="I443" s="2">
        <v>48</v>
      </c>
      <c r="J443" s="2" t="s">
        <v>75</v>
      </c>
      <c r="K443" s="4">
        <v>46096.94027777778</v>
      </c>
      <c r="L443" s="2" t="s">
        <v>24</v>
      </c>
      <c r="M443" s="2">
        <v>1</v>
      </c>
      <c r="N443" t="s">
        <v>8587</v>
      </c>
      <c r="O443" s="8">
        <f t="shared" si="12"/>
        <v>103.08333333337214</v>
      </c>
      <c r="P443" t="str">
        <f t="shared" si="13"/>
        <v>N/A</v>
      </c>
    </row>
    <row r="444" spans="1:16" x14ac:dyDescent="0.25">
      <c r="A444" s="2" t="s">
        <v>1279</v>
      </c>
      <c r="B444" s="4">
        <v>46182.19027777778</v>
      </c>
      <c r="C444" s="2" t="s">
        <v>53</v>
      </c>
      <c r="D444" s="2" t="s">
        <v>61</v>
      </c>
      <c r="E444" s="2" t="s">
        <v>90</v>
      </c>
      <c r="F444" s="2" t="s">
        <v>96</v>
      </c>
      <c r="G444" s="2" t="s">
        <v>31</v>
      </c>
      <c r="H444" s="2" t="s">
        <v>21</v>
      </c>
      <c r="I444" s="2">
        <v>24</v>
      </c>
      <c r="J444" s="2" t="s">
        <v>106</v>
      </c>
      <c r="K444" s="4">
        <v>46182.838194444441</v>
      </c>
      <c r="L444" s="2" t="s">
        <v>24</v>
      </c>
      <c r="M444" s="2">
        <v>2</v>
      </c>
      <c r="N444" t="s">
        <v>8589</v>
      </c>
      <c r="O444" s="8">
        <f t="shared" si="12"/>
        <v>15.549999999871943</v>
      </c>
      <c r="P444" t="str">
        <f t="shared" si="13"/>
        <v>Yes</v>
      </c>
    </row>
    <row r="445" spans="1:16" x14ac:dyDescent="0.25">
      <c r="A445" s="2" t="s">
        <v>1282</v>
      </c>
      <c r="B445" s="4">
        <v>46045.570833333331</v>
      </c>
      <c r="C445" s="2" t="s">
        <v>28</v>
      </c>
      <c r="D445" s="2" t="s">
        <v>37</v>
      </c>
      <c r="E445" s="2" t="s">
        <v>46</v>
      </c>
      <c r="F445" s="2" t="s">
        <v>113</v>
      </c>
      <c r="G445" s="2" t="s">
        <v>101</v>
      </c>
      <c r="H445" s="2" t="s">
        <v>21</v>
      </c>
      <c r="I445" s="2">
        <v>24</v>
      </c>
      <c r="J445" s="2" t="s">
        <v>75</v>
      </c>
      <c r="K445" s="4">
        <v>46045.670138888891</v>
      </c>
      <c r="L445" s="2" t="s">
        <v>24</v>
      </c>
      <c r="M445" s="2">
        <v>4</v>
      </c>
      <c r="N445" t="s">
        <v>8587</v>
      </c>
      <c r="O445" s="8">
        <f t="shared" si="12"/>
        <v>2.3833333334187046</v>
      </c>
      <c r="P445" t="str">
        <f t="shared" si="13"/>
        <v>N/A</v>
      </c>
    </row>
    <row r="446" spans="1:16" x14ac:dyDescent="0.25">
      <c r="A446" s="2" t="s">
        <v>1285</v>
      </c>
      <c r="B446" s="4">
        <v>46149.7</v>
      </c>
      <c r="C446" s="2" t="s">
        <v>16</v>
      </c>
      <c r="D446" s="2" t="s">
        <v>84</v>
      </c>
      <c r="E446" s="2" t="s">
        <v>148</v>
      </c>
      <c r="F446" s="2" t="s">
        <v>55</v>
      </c>
      <c r="G446" s="2" t="s">
        <v>101</v>
      </c>
      <c r="H446" s="2" t="s">
        <v>74</v>
      </c>
      <c r="I446" s="2">
        <v>8</v>
      </c>
      <c r="J446" s="2" t="s">
        <v>106</v>
      </c>
      <c r="K446" s="4">
        <v>46149.748611111114</v>
      </c>
      <c r="L446" s="2" t="s">
        <v>24</v>
      </c>
      <c r="M446" s="2"/>
      <c r="N446" t="s">
        <v>8583</v>
      </c>
      <c r="O446" s="8">
        <f t="shared" si="12"/>
        <v>1.1666666668024845</v>
      </c>
      <c r="P446" t="str">
        <f t="shared" si="13"/>
        <v>Yes</v>
      </c>
    </row>
    <row r="447" spans="1:16" x14ac:dyDescent="0.25">
      <c r="A447" s="2" t="s">
        <v>1288</v>
      </c>
      <c r="B447" s="4">
        <v>46073.713888888888</v>
      </c>
      <c r="C447" s="2" t="s">
        <v>67</v>
      </c>
      <c r="D447" s="2" t="s">
        <v>95</v>
      </c>
      <c r="E447" s="2" t="s">
        <v>38</v>
      </c>
      <c r="F447" s="2" t="s">
        <v>113</v>
      </c>
      <c r="G447" s="2" t="s">
        <v>211</v>
      </c>
      <c r="H447" s="2" t="s">
        <v>74</v>
      </c>
      <c r="I447" s="2">
        <v>8</v>
      </c>
      <c r="J447" s="2" t="s">
        <v>149</v>
      </c>
      <c r="K447" s="4" t="s">
        <v>8590</v>
      </c>
      <c r="L447" s="2" t="s">
        <v>24</v>
      </c>
      <c r="M447" s="2"/>
      <c r="N447" t="s">
        <v>8582</v>
      </c>
      <c r="O447" s="8" t="str">
        <f t="shared" si="12"/>
        <v/>
      </c>
      <c r="P447" t="str">
        <f t="shared" si="13"/>
        <v>N/A</v>
      </c>
    </row>
    <row r="448" spans="1:16" x14ac:dyDescent="0.25">
      <c r="A448" s="2" t="s">
        <v>1290</v>
      </c>
      <c r="B448" s="4">
        <v>46159.097222222219</v>
      </c>
      <c r="C448" s="2" t="s">
        <v>28</v>
      </c>
      <c r="D448" s="2" t="s">
        <v>37</v>
      </c>
      <c r="E448" s="2" t="s">
        <v>85</v>
      </c>
      <c r="F448" s="2" t="s">
        <v>96</v>
      </c>
      <c r="G448" s="2" t="s">
        <v>101</v>
      </c>
      <c r="H448" s="2" t="s">
        <v>74</v>
      </c>
      <c r="I448" s="2">
        <v>8</v>
      </c>
      <c r="J448" s="2" t="s">
        <v>106</v>
      </c>
      <c r="K448" s="4">
        <v>46159.290972222225</v>
      </c>
      <c r="L448" s="2" t="s">
        <v>24</v>
      </c>
      <c r="M448" s="2">
        <v>4</v>
      </c>
      <c r="N448" t="s">
        <v>8589</v>
      </c>
      <c r="O448" s="8">
        <f t="shared" si="12"/>
        <v>4.6500000001396984</v>
      </c>
      <c r="P448" t="str">
        <f t="shared" si="13"/>
        <v>Yes</v>
      </c>
    </row>
    <row r="449" spans="1:16" x14ac:dyDescent="0.25">
      <c r="A449" s="2" t="s">
        <v>1293</v>
      </c>
      <c r="B449" s="4">
        <v>46094.822222222225</v>
      </c>
      <c r="C449" s="2" t="s">
        <v>53</v>
      </c>
      <c r="D449" s="2" t="s">
        <v>61</v>
      </c>
      <c r="E449" s="2" t="s">
        <v>38</v>
      </c>
      <c r="F449" s="2" t="s">
        <v>96</v>
      </c>
      <c r="G449" s="2" t="s">
        <v>179</v>
      </c>
      <c r="H449" s="2" t="s">
        <v>21</v>
      </c>
      <c r="I449" s="2">
        <v>24</v>
      </c>
      <c r="J449" s="2" t="s">
        <v>75</v>
      </c>
      <c r="K449" s="4">
        <v>46095.554166666669</v>
      </c>
      <c r="L449" s="2" t="s">
        <v>24</v>
      </c>
      <c r="M449" s="2"/>
      <c r="N449" t="s">
        <v>8582</v>
      </c>
      <c r="O449" s="8">
        <f t="shared" si="12"/>
        <v>17.566666666651145</v>
      </c>
      <c r="P449" t="str">
        <f t="shared" si="13"/>
        <v>N/A</v>
      </c>
    </row>
    <row r="450" spans="1:16" x14ac:dyDescent="0.25">
      <c r="A450" s="2" t="s">
        <v>1296</v>
      </c>
      <c r="B450" s="4">
        <v>46093.118055555555</v>
      </c>
      <c r="C450" s="2" t="s">
        <v>28</v>
      </c>
      <c r="D450" s="2" t="s">
        <v>37</v>
      </c>
      <c r="E450" s="2" t="s">
        <v>46</v>
      </c>
      <c r="F450" s="2" t="s">
        <v>30</v>
      </c>
      <c r="G450" s="2" t="s">
        <v>183</v>
      </c>
      <c r="H450" s="2" t="s">
        <v>21</v>
      </c>
      <c r="I450" s="2">
        <v>24</v>
      </c>
      <c r="J450" s="2" t="s">
        <v>287</v>
      </c>
      <c r="K450" s="4" t="s">
        <v>8590</v>
      </c>
      <c r="L450" s="2" t="s">
        <v>92</v>
      </c>
      <c r="M450" s="2"/>
      <c r="N450" t="s">
        <v>8589</v>
      </c>
      <c r="O450" s="8" t="str">
        <f t="shared" si="12"/>
        <v/>
      </c>
      <c r="P450" t="str">
        <f t="shared" si="13"/>
        <v>N/A</v>
      </c>
    </row>
    <row r="451" spans="1:16" x14ac:dyDescent="0.25">
      <c r="A451" s="2" t="s">
        <v>1298</v>
      </c>
      <c r="B451" s="4">
        <v>46110.970833333333</v>
      </c>
      <c r="C451" s="2" t="s">
        <v>67</v>
      </c>
      <c r="D451" s="2" t="s">
        <v>68</v>
      </c>
      <c r="E451" s="2" t="s">
        <v>38</v>
      </c>
      <c r="F451" s="2" t="s">
        <v>30</v>
      </c>
      <c r="G451" s="2" t="s">
        <v>179</v>
      </c>
      <c r="H451" s="2" t="s">
        <v>80</v>
      </c>
      <c r="I451" s="2">
        <v>4</v>
      </c>
      <c r="J451" s="2" t="s">
        <v>106</v>
      </c>
      <c r="K451" s="4">
        <v>46111.1875</v>
      </c>
      <c r="L451" s="2" t="s">
        <v>24</v>
      </c>
      <c r="M451" s="2">
        <v>4</v>
      </c>
      <c r="N451" t="s">
        <v>8586</v>
      </c>
      <c r="O451" s="8">
        <f t="shared" ref="O451:O514" si="14">IF(K451="","",IF(K451="Missing Resolve Date","",(K451-B451)*24))</f>
        <v>5.2000000000116415</v>
      </c>
      <c r="P451" t="str">
        <f t="shared" ref="P451:P514" si="15">IF(J451="Resolved",IF(O451&lt;=I451,"Yes","No"),"N/A")</f>
        <v>No</v>
      </c>
    </row>
    <row r="452" spans="1:16" x14ac:dyDescent="0.25">
      <c r="A452" s="2" t="s">
        <v>1301</v>
      </c>
      <c r="B452" s="4">
        <v>46250.222222222219</v>
      </c>
      <c r="C452" s="2" t="s">
        <v>28</v>
      </c>
      <c r="D452" s="2" t="s">
        <v>37</v>
      </c>
      <c r="E452" s="2" t="s">
        <v>90</v>
      </c>
      <c r="F452" s="2" t="s">
        <v>113</v>
      </c>
      <c r="G452" s="2" t="s">
        <v>183</v>
      </c>
      <c r="H452" s="2" t="s">
        <v>21</v>
      </c>
      <c r="I452" s="2">
        <v>24</v>
      </c>
      <c r="J452" s="2" t="s">
        <v>8580</v>
      </c>
      <c r="K452" s="4">
        <v>46250.255555555559</v>
      </c>
      <c r="L452" s="2" t="s">
        <v>24</v>
      </c>
      <c r="M452" s="2"/>
      <c r="N452" t="s">
        <v>8582</v>
      </c>
      <c r="O452" s="8">
        <f t="shared" si="14"/>
        <v>0.80000000016298145</v>
      </c>
      <c r="P452" t="str">
        <f t="shared" si="15"/>
        <v>N/A</v>
      </c>
    </row>
    <row r="453" spans="1:16" x14ac:dyDescent="0.25">
      <c r="A453" s="2" t="s">
        <v>1304</v>
      </c>
      <c r="B453" s="4">
        <v>46258.329861111109</v>
      </c>
      <c r="C453" s="2" t="s">
        <v>67</v>
      </c>
      <c r="D453" s="2" t="s">
        <v>68</v>
      </c>
      <c r="E453" s="2" t="s">
        <v>90</v>
      </c>
      <c r="F453" s="2" t="s">
        <v>113</v>
      </c>
      <c r="G453" s="2" t="s">
        <v>211</v>
      </c>
      <c r="H453" s="2" t="s">
        <v>32</v>
      </c>
      <c r="I453" s="2">
        <v>48</v>
      </c>
      <c r="J453" s="2" t="s">
        <v>287</v>
      </c>
      <c r="K453" s="4" t="s">
        <v>8590</v>
      </c>
      <c r="L453" s="2" t="s">
        <v>24</v>
      </c>
      <c r="M453" s="2"/>
      <c r="N453" t="s">
        <v>8586</v>
      </c>
      <c r="O453" s="8" t="str">
        <f t="shared" si="14"/>
        <v/>
      </c>
      <c r="P453" t="str">
        <f t="shared" si="15"/>
        <v>N/A</v>
      </c>
    </row>
    <row r="454" spans="1:16" x14ac:dyDescent="0.25">
      <c r="A454" s="2" t="s">
        <v>1306</v>
      </c>
      <c r="B454" s="4">
        <v>46144.484722222223</v>
      </c>
      <c r="C454" s="2" t="s">
        <v>28</v>
      </c>
      <c r="D454" s="2" t="s">
        <v>37</v>
      </c>
      <c r="E454" s="2" t="s">
        <v>90</v>
      </c>
      <c r="F454" s="2" t="s">
        <v>55</v>
      </c>
      <c r="G454" s="2" t="s">
        <v>211</v>
      </c>
      <c r="H454" s="2" t="s">
        <v>32</v>
      </c>
      <c r="I454" s="2">
        <v>48</v>
      </c>
      <c r="J454" s="2" t="s">
        <v>149</v>
      </c>
      <c r="K454" s="4" t="s">
        <v>8590</v>
      </c>
      <c r="L454" s="2" t="s">
        <v>24</v>
      </c>
      <c r="M454" s="2"/>
      <c r="N454" t="s">
        <v>8587</v>
      </c>
      <c r="O454" s="8" t="str">
        <f t="shared" si="14"/>
        <v/>
      </c>
      <c r="P454" t="str">
        <f t="shared" si="15"/>
        <v>N/A</v>
      </c>
    </row>
    <row r="455" spans="1:16" x14ac:dyDescent="0.25">
      <c r="A455" s="2" t="s">
        <v>1308</v>
      </c>
      <c r="B455" s="4">
        <v>46229.342361111114</v>
      </c>
      <c r="C455" s="2" t="s">
        <v>16</v>
      </c>
      <c r="D455" s="2" t="s">
        <v>17</v>
      </c>
      <c r="E455" s="2" t="s">
        <v>38</v>
      </c>
      <c r="F455" s="2" t="s">
        <v>113</v>
      </c>
      <c r="G455" s="2" t="s">
        <v>31</v>
      </c>
      <c r="H455" s="2" t="s">
        <v>32</v>
      </c>
      <c r="I455" s="2">
        <v>48</v>
      </c>
      <c r="J455" s="2" t="s">
        <v>106</v>
      </c>
      <c r="K455" s="4">
        <v>46229.977777777778</v>
      </c>
      <c r="L455" s="2" t="s">
        <v>24</v>
      </c>
      <c r="M455" s="2">
        <v>5</v>
      </c>
      <c r="N455" t="s">
        <v>8581</v>
      </c>
      <c r="O455" s="8">
        <f t="shared" si="14"/>
        <v>15.249999999941792</v>
      </c>
      <c r="P455" t="str">
        <f t="shared" si="15"/>
        <v>Yes</v>
      </c>
    </row>
    <row r="456" spans="1:16" x14ac:dyDescent="0.25">
      <c r="A456" s="2" t="s">
        <v>1311</v>
      </c>
      <c r="B456" s="4">
        <v>46128.236805555556</v>
      </c>
      <c r="C456" s="2" t="s">
        <v>53</v>
      </c>
      <c r="D456" s="2" t="s">
        <v>54</v>
      </c>
      <c r="E456" s="2" t="s">
        <v>79</v>
      </c>
      <c r="F456" s="2" t="s">
        <v>30</v>
      </c>
      <c r="G456" s="2" t="s">
        <v>183</v>
      </c>
      <c r="H456" s="2" t="s">
        <v>21</v>
      </c>
      <c r="I456" s="2">
        <v>24</v>
      </c>
      <c r="J456" s="2" t="s">
        <v>75</v>
      </c>
      <c r="K456" s="4">
        <v>46129.095138888886</v>
      </c>
      <c r="L456" s="2" t="s">
        <v>24</v>
      </c>
      <c r="M456" s="2">
        <v>2</v>
      </c>
      <c r="N456" t="s">
        <v>8582</v>
      </c>
      <c r="O456" s="8">
        <f t="shared" si="14"/>
        <v>20.599999999918509</v>
      </c>
      <c r="P456" t="str">
        <f t="shared" si="15"/>
        <v>N/A</v>
      </c>
    </row>
    <row r="457" spans="1:16" x14ac:dyDescent="0.25">
      <c r="A457" s="2" t="s">
        <v>1314</v>
      </c>
      <c r="B457" s="4">
        <v>46216.424305555556</v>
      </c>
      <c r="C457" s="2" t="s">
        <v>16</v>
      </c>
      <c r="D457" s="2" t="s">
        <v>84</v>
      </c>
      <c r="E457" s="2" t="s">
        <v>85</v>
      </c>
      <c r="F457" s="2" t="s">
        <v>113</v>
      </c>
      <c r="G457" s="2" t="s">
        <v>110</v>
      </c>
      <c r="H457" s="2" t="s">
        <v>74</v>
      </c>
      <c r="I457" s="2">
        <v>8</v>
      </c>
      <c r="J457" s="2" t="s">
        <v>106</v>
      </c>
      <c r="K457" s="4">
        <v>46217.147222222222</v>
      </c>
      <c r="L457" s="2" t="s">
        <v>24</v>
      </c>
      <c r="M457" s="2">
        <v>5</v>
      </c>
      <c r="N457" t="s">
        <v>8582</v>
      </c>
      <c r="O457" s="8">
        <f t="shared" si="14"/>
        <v>17.349999999976717</v>
      </c>
      <c r="P457" t="str">
        <f t="shared" si="15"/>
        <v>No</v>
      </c>
    </row>
    <row r="458" spans="1:16" x14ac:dyDescent="0.25">
      <c r="A458" s="2" t="s">
        <v>1317</v>
      </c>
      <c r="B458" s="4">
        <v>46189.576388888891</v>
      </c>
      <c r="C458" s="2" t="s">
        <v>67</v>
      </c>
      <c r="D458" s="2" t="s">
        <v>95</v>
      </c>
      <c r="E458" s="2" t="s">
        <v>18</v>
      </c>
      <c r="F458" s="2" t="s">
        <v>55</v>
      </c>
      <c r="G458" s="2" t="s">
        <v>183</v>
      </c>
      <c r="H458" s="2" t="s">
        <v>21</v>
      </c>
      <c r="I458" s="2">
        <v>24</v>
      </c>
      <c r="J458" s="2" t="s">
        <v>11</v>
      </c>
      <c r="K458" s="4" t="s">
        <v>8590</v>
      </c>
      <c r="L458" s="2" t="s">
        <v>92</v>
      </c>
      <c r="M458" s="2"/>
      <c r="N458" t="s">
        <v>8583</v>
      </c>
      <c r="O458" s="8" t="str">
        <f t="shared" si="14"/>
        <v/>
      </c>
      <c r="P458" t="str">
        <f t="shared" si="15"/>
        <v>N/A</v>
      </c>
    </row>
    <row r="459" spans="1:16" x14ac:dyDescent="0.25">
      <c r="A459" s="2" t="s">
        <v>1319</v>
      </c>
      <c r="B459" s="4">
        <v>46192.330555555556</v>
      </c>
      <c r="C459" s="2" t="s">
        <v>53</v>
      </c>
      <c r="D459" s="2" t="s">
        <v>61</v>
      </c>
      <c r="E459" s="2" t="s">
        <v>148</v>
      </c>
      <c r="F459" s="2" t="s">
        <v>96</v>
      </c>
      <c r="G459" s="2" t="s">
        <v>183</v>
      </c>
      <c r="H459" s="2" t="s">
        <v>80</v>
      </c>
      <c r="I459" s="2">
        <v>4</v>
      </c>
      <c r="J459" s="2" t="s">
        <v>75</v>
      </c>
      <c r="K459" s="4">
        <v>46192.398611111108</v>
      </c>
      <c r="L459" s="2" t="s">
        <v>24</v>
      </c>
      <c r="M459" s="2">
        <v>1</v>
      </c>
      <c r="N459" t="s">
        <v>8589</v>
      </c>
      <c r="O459" s="8">
        <f t="shared" si="14"/>
        <v>1.6333333332440816</v>
      </c>
      <c r="P459" t="str">
        <f t="shared" si="15"/>
        <v>N/A</v>
      </c>
    </row>
    <row r="460" spans="1:16" x14ac:dyDescent="0.25">
      <c r="A460" s="2" t="s">
        <v>1322</v>
      </c>
      <c r="B460" s="4">
        <v>46030.172222222223</v>
      </c>
      <c r="C460" s="2" t="s">
        <v>53</v>
      </c>
      <c r="D460" s="2" t="s">
        <v>54</v>
      </c>
      <c r="E460" s="2" t="s">
        <v>46</v>
      </c>
      <c r="F460" s="2" t="s">
        <v>113</v>
      </c>
      <c r="G460" s="2" t="s">
        <v>101</v>
      </c>
      <c r="H460" s="2" t="s">
        <v>21</v>
      </c>
      <c r="I460" s="2">
        <v>24</v>
      </c>
      <c r="J460" s="2" t="s">
        <v>75</v>
      </c>
      <c r="K460" s="4">
        <v>46030.631249999999</v>
      </c>
      <c r="L460" s="2" t="s">
        <v>24</v>
      </c>
      <c r="M460" s="2"/>
      <c r="N460" t="s">
        <v>8588</v>
      </c>
      <c r="O460" s="8">
        <f t="shared" si="14"/>
        <v>11.016666666604578</v>
      </c>
      <c r="P460" t="str">
        <f t="shared" si="15"/>
        <v>N/A</v>
      </c>
    </row>
    <row r="461" spans="1:16" x14ac:dyDescent="0.25">
      <c r="A461" s="2" t="s">
        <v>1325</v>
      </c>
      <c r="B461" s="4">
        <v>46264.152083333334</v>
      </c>
      <c r="C461" s="2" t="s">
        <v>28</v>
      </c>
      <c r="D461" s="2" t="s">
        <v>100</v>
      </c>
      <c r="E461" s="2" t="s">
        <v>85</v>
      </c>
      <c r="F461" s="2" t="s">
        <v>113</v>
      </c>
      <c r="G461" s="2" t="s">
        <v>31</v>
      </c>
      <c r="H461" s="2" t="s">
        <v>21</v>
      </c>
      <c r="I461" s="2">
        <v>24</v>
      </c>
      <c r="J461" s="2" t="s">
        <v>149</v>
      </c>
      <c r="K461" s="4" t="s">
        <v>8590</v>
      </c>
      <c r="L461" s="2" t="s">
        <v>24</v>
      </c>
      <c r="M461" s="2"/>
      <c r="N461" t="s">
        <v>8589</v>
      </c>
      <c r="O461" s="8" t="str">
        <f t="shared" si="14"/>
        <v/>
      </c>
      <c r="P461" t="str">
        <f t="shared" si="15"/>
        <v>N/A</v>
      </c>
    </row>
    <row r="462" spans="1:16" x14ac:dyDescent="0.25">
      <c r="A462" s="2" t="s">
        <v>1327</v>
      </c>
      <c r="B462" s="4">
        <v>46187.030555555553</v>
      </c>
      <c r="C462" s="2" t="s">
        <v>67</v>
      </c>
      <c r="D462" s="2" t="s">
        <v>68</v>
      </c>
      <c r="E462" s="2" t="s">
        <v>79</v>
      </c>
      <c r="F462" s="2" t="s">
        <v>30</v>
      </c>
      <c r="G462" s="2" t="s">
        <v>211</v>
      </c>
      <c r="H462" s="2" t="s">
        <v>74</v>
      </c>
      <c r="I462" s="2">
        <v>8</v>
      </c>
      <c r="J462" s="2" t="s">
        <v>11</v>
      </c>
      <c r="K462" s="4" t="s">
        <v>8590</v>
      </c>
      <c r="L462" s="2" t="s">
        <v>92</v>
      </c>
      <c r="M462" s="2"/>
      <c r="N462" t="s">
        <v>8582</v>
      </c>
      <c r="O462" s="8" t="str">
        <f t="shared" si="14"/>
        <v/>
      </c>
      <c r="P462" t="str">
        <f t="shared" si="15"/>
        <v>N/A</v>
      </c>
    </row>
    <row r="463" spans="1:16" x14ac:dyDescent="0.25">
      <c r="A463" s="2" t="s">
        <v>1329</v>
      </c>
      <c r="B463" s="4">
        <v>46188.909722222219</v>
      </c>
      <c r="C463" s="2" t="s">
        <v>67</v>
      </c>
      <c r="D463" s="2" t="s">
        <v>95</v>
      </c>
      <c r="E463" s="2" t="s">
        <v>148</v>
      </c>
      <c r="F463" s="2" t="s">
        <v>113</v>
      </c>
      <c r="G463" s="2" t="s">
        <v>179</v>
      </c>
      <c r="H463" s="2" t="s">
        <v>32</v>
      </c>
      <c r="I463" s="2">
        <v>48</v>
      </c>
      <c r="J463" s="2" t="s">
        <v>75</v>
      </c>
      <c r="K463" s="4">
        <v>46189.347916666666</v>
      </c>
      <c r="L463" s="2" t="s">
        <v>24</v>
      </c>
      <c r="M463" s="2">
        <v>5</v>
      </c>
      <c r="N463" t="s">
        <v>8589</v>
      </c>
      <c r="O463" s="8">
        <f t="shared" si="14"/>
        <v>10.516666666720994</v>
      </c>
      <c r="P463" t="str">
        <f t="shared" si="15"/>
        <v>N/A</v>
      </c>
    </row>
    <row r="464" spans="1:16" x14ac:dyDescent="0.25">
      <c r="A464" s="2" t="s">
        <v>1332</v>
      </c>
      <c r="B464" s="4">
        <v>46158.318055555559</v>
      </c>
      <c r="C464" s="2" t="s">
        <v>16</v>
      </c>
      <c r="D464" s="2" t="s">
        <v>84</v>
      </c>
      <c r="E464" s="2" t="s">
        <v>38</v>
      </c>
      <c r="F464" s="2" t="s">
        <v>96</v>
      </c>
      <c r="G464" s="2" t="s">
        <v>179</v>
      </c>
      <c r="H464" s="2" t="s">
        <v>32</v>
      </c>
      <c r="I464" s="2">
        <v>48</v>
      </c>
      <c r="J464" s="2" t="s">
        <v>106</v>
      </c>
      <c r="K464" s="4">
        <v>46158.788888888892</v>
      </c>
      <c r="L464" s="2" t="s">
        <v>24</v>
      </c>
      <c r="M464" s="2"/>
      <c r="N464" t="s">
        <v>8582</v>
      </c>
      <c r="O464" s="8">
        <f t="shared" si="14"/>
        <v>11.299999999988358</v>
      </c>
      <c r="P464" t="str">
        <f t="shared" si="15"/>
        <v>Yes</v>
      </c>
    </row>
    <row r="465" spans="1:16" x14ac:dyDescent="0.25">
      <c r="A465" s="2" t="s">
        <v>1335</v>
      </c>
      <c r="B465" s="4">
        <v>46225.771527777775</v>
      </c>
      <c r="C465" s="2" t="s">
        <v>28</v>
      </c>
      <c r="D465" s="2" t="s">
        <v>100</v>
      </c>
      <c r="E465" s="2" t="s">
        <v>18</v>
      </c>
      <c r="F465" s="2" t="s">
        <v>55</v>
      </c>
      <c r="G465" s="2" t="s">
        <v>101</v>
      </c>
      <c r="H465" s="2" t="s">
        <v>80</v>
      </c>
      <c r="I465" s="2">
        <v>4</v>
      </c>
      <c r="J465" s="2" t="s">
        <v>75</v>
      </c>
      <c r="K465" s="4">
        <v>46225.813888888886</v>
      </c>
      <c r="L465" s="2" t="s">
        <v>24</v>
      </c>
      <c r="M465" s="2">
        <v>1</v>
      </c>
      <c r="N465" t="s">
        <v>8586</v>
      </c>
      <c r="O465" s="8">
        <f t="shared" si="14"/>
        <v>1.0166666666627862</v>
      </c>
      <c r="P465" t="str">
        <f t="shared" si="15"/>
        <v>N/A</v>
      </c>
    </row>
    <row r="466" spans="1:16" x14ac:dyDescent="0.25">
      <c r="A466" s="2" t="s">
        <v>1338</v>
      </c>
      <c r="B466" s="4">
        <v>46252.321527777778</v>
      </c>
      <c r="C466" s="2" t="s">
        <v>16</v>
      </c>
      <c r="D466" s="2" t="s">
        <v>17</v>
      </c>
      <c r="E466" s="2" t="s">
        <v>46</v>
      </c>
      <c r="F466" s="2" t="s">
        <v>30</v>
      </c>
      <c r="G466" s="2" t="s">
        <v>179</v>
      </c>
      <c r="H466" s="2" t="s">
        <v>32</v>
      </c>
      <c r="I466" s="2">
        <v>48</v>
      </c>
      <c r="J466" s="2" t="s">
        <v>11</v>
      </c>
      <c r="K466" s="4" t="s">
        <v>8590</v>
      </c>
      <c r="L466" s="2" t="s">
        <v>92</v>
      </c>
      <c r="M466" s="2"/>
      <c r="N466" t="s">
        <v>8587</v>
      </c>
      <c r="O466" s="8" t="str">
        <f t="shared" si="14"/>
        <v/>
      </c>
      <c r="P466" t="str">
        <f t="shared" si="15"/>
        <v>N/A</v>
      </c>
    </row>
    <row r="467" spans="1:16" x14ac:dyDescent="0.25">
      <c r="A467" s="2" t="s">
        <v>1340</v>
      </c>
      <c r="B467" s="4">
        <v>46156.282638888886</v>
      </c>
      <c r="C467" s="2" t="s">
        <v>67</v>
      </c>
      <c r="D467" s="2" t="s">
        <v>95</v>
      </c>
      <c r="E467" s="2" t="s">
        <v>79</v>
      </c>
      <c r="F467" s="2" t="s">
        <v>30</v>
      </c>
      <c r="G467" s="2" t="s">
        <v>101</v>
      </c>
      <c r="H467" s="2" t="s">
        <v>32</v>
      </c>
      <c r="I467" s="2">
        <v>48</v>
      </c>
      <c r="J467" s="2" t="s">
        <v>287</v>
      </c>
      <c r="K467" s="4" t="s">
        <v>8590</v>
      </c>
      <c r="L467" s="2" t="s">
        <v>24</v>
      </c>
      <c r="M467" s="2"/>
      <c r="N467" t="s">
        <v>8589</v>
      </c>
      <c r="O467" s="8" t="str">
        <f t="shared" si="14"/>
        <v/>
      </c>
      <c r="P467" t="str">
        <f t="shared" si="15"/>
        <v>N/A</v>
      </c>
    </row>
    <row r="468" spans="1:16" x14ac:dyDescent="0.25">
      <c r="A468" s="2" t="s">
        <v>1342</v>
      </c>
      <c r="B468" s="4">
        <v>46173.84097222222</v>
      </c>
      <c r="C468" s="2" t="s">
        <v>67</v>
      </c>
      <c r="D468" s="2" t="s">
        <v>68</v>
      </c>
      <c r="E468" s="2" t="s">
        <v>85</v>
      </c>
      <c r="F468" s="2" t="s">
        <v>30</v>
      </c>
      <c r="G468" s="2" t="s">
        <v>31</v>
      </c>
      <c r="H468" s="2" t="s">
        <v>32</v>
      </c>
      <c r="I468" s="2">
        <v>48</v>
      </c>
      <c r="J468" s="2" t="s">
        <v>106</v>
      </c>
      <c r="K468" s="4">
        <v>46175.394444444442</v>
      </c>
      <c r="L468" s="2" t="s">
        <v>24</v>
      </c>
      <c r="M468" s="2">
        <v>4</v>
      </c>
      <c r="N468" t="s">
        <v>8589</v>
      </c>
      <c r="O468" s="8">
        <f t="shared" si="14"/>
        <v>37.283333333325572</v>
      </c>
      <c r="P468" t="str">
        <f t="shared" si="15"/>
        <v>Yes</v>
      </c>
    </row>
    <row r="469" spans="1:16" x14ac:dyDescent="0.25">
      <c r="A469" s="2" t="s">
        <v>1345</v>
      </c>
      <c r="B469" s="4">
        <v>46050.740972222222</v>
      </c>
      <c r="C469" s="2" t="s">
        <v>16</v>
      </c>
      <c r="D469" s="2" t="s">
        <v>17</v>
      </c>
      <c r="E469" s="2" t="s">
        <v>18</v>
      </c>
      <c r="F469" s="2" t="s">
        <v>55</v>
      </c>
      <c r="G469" s="2" t="s">
        <v>211</v>
      </c>
      <c r="H469" s="2" t="s">
        <v>21</v>
      </c>
      <c r="I469" s="2">
        <v>24</v>
      </c>
      <c r="J469" s="2" t="s">
        <v>106</v>
      </c>
      <c r="K469" s="4">
        <v>46051.50277777778</v>
      </c>
      <c r="L469" s="2" t="s">
        <v>24</v>
      </c>
      <c r="M469" s="2">
        <v>5</v>
      </c>
      <c r="N469" t="s">
        <v>8584</v>
      </c>
      <c r="O469" s="8">
        <f t="shared" si="14"/>
        <v>18.28333333338378</v>
      </c>
      <c r="P469" t="str">
        <f t="shared" si="15"/>
        <v>Yes</v>
      </c>
    </row>
    <row r="470" spans="1:16" x14ac:dyDescent="0.25">
      <c r="A470" s="2" t="s">
        <v>1348</v>
      </c>
      <c r="B470" s="4">
        <v>46072.325694444444</v>
      </c>
      <c r="C470" s="2" t="s">
        <v>53</v>
      </c>
      <c r="D470" s="2" t="s">
        <v>54</v>
      </c>
      <c r="E470" s="2" t="s">
        <v>148</v>
      </c>
      <c r="F470" s="2" t="s">
        <v>30</v>
      </c>
      <c r="G470" s="2" t="s">
        <v>211</v>
      </c>
      <c r="H470" s="2" t="s">
        <v>74</v>
      </c>
      <c r="I470" s="2">
        <v>8</v>
      </c>
      <c r="J470" s="2" t="s">
        <v>106</v>
      </c>
      <c r="K470" s="4">
        <v>46072.381249999999</v>
      </c>
      <c r="L470" s="2" t="s">
        <v>24</v>
      </c>
      <c r="M470" s="2">
        <v>5</v>
      </c>
      <c r="N470" t="s">
        <v>8584</v>
      </c>
      <c r="O470" s="8">
        <f t="shared" si="14"/>
        <v>1.3333333333139308</v>
      </c>
      <c r="P470" t="str">
        <f t="shared" si="15"/>
        <v>Yes</v>
      </c>
    </row>
    <row r="471" spans="1:16" x14ac:dyDescent="0.25">
      <c r="A471" s="2" t="s">
        <v>1351</v>
      </c>
      <c r="B471" s="4">
        <v>46201.477083333331</v>
      </c>
      <c r="C471" s="2" t="s">
        <v>53</v>
      </c>
      <c r="D471" s="2" t="s">
        <v>54</v>
      </c>
      <c r="E471" s="2" t="s">
        <v>85</v>
      </c>
      <c r="F471" s="2" t="s">
        <v>55</v>
      </c>
      <c r="G471" s="2" t="s">
        <v>183</v>
      </c>
      <c r="H471" s="2" t="s">
        <v>80</v>
      </c>
      <c r="I471" s="2">
        <v>4</v>
      </c>
      <c r="J471" s="2" t="s">
        <v>106</v>
      </c>
      <c r="K471" s="4">
        <v>46201.599305555559</v>
      </c>
      <c r="L471" s="2" t="s">
        <v>24</v>
      </c>
      <c r="M471" s="2">
        <v>4</v>
      </c>
      <c r="N471" t="s">
        <v>8589</v>
      </c>
      <c r="O471" s="8">
        <f t="shared" si="14"/>
        <v>2.9333333334652707</v>
      </c>
      <c r="P471" t="str">
        <f t="shared" si="15"/>
        <v>Yes</v>
      </c>
    </row>
    <row r="472" spans="1:16" x14ac:dyDescent="0.25">
      <c r="A472" s="2" t="s">
        <v>1354</v>
      </c>
      <c r="B472" s="4">
        <v>46116.962500000001</v>
      </c>
      <c r="C472" s="2" t="s">
        <v>67</v>
      </c>
      <c r="D472" s="2" t="s">
        <v>95</v>
      </c>
      <c r="E472" s="2" t="s">
        <v>90</v>
      </c>
      <c r="F472" s="2" t="s">
        <v>96</v>
      </c>
      <c r="G472" s="2" t="s">
        <v>110</v>
      </c>
      <c r="H472" s="2" t="s">
        <v>21</v>
      </c>
      <c r="I472" s="2">
        <v>24</v>
      </c>
      <c r="J472" s="2" t="s">
        <v>106</v>
      </c>
      <c r="K472" s="4">
        <v>46118.120138888888</v>
      </c>
      <c r="L472" s="2" t="s">
        <v>24</v>
      </c>
      <c r="M472" s="2">
        <v>5</v>
      </c>
      <c r="N472" t="s">
        <v>8589</v>
      </c>
      <c r="O472" s="8">
        <f t="shared" si="14"/>
        <v>27.783333333267365</v>
      </c>
      <c r="P472" t="str">
        <f t="shared" si="15"/>
        <v>No</v>
      </c>
    </row>
    <row r="473" spans="1:16" x14ac:dyDescent="0.25">
      <c r="A473" s="2" t="s">
        <v>1357</v>
      </c>
      <c r="B473" s="4">
        <v>46184.111111111109</v>
      </c>
      <c r="C473" s="2" t="s">
        <v>16</v>
      </c>
      <c r="D473" s="2" t="s">
        <v>17</v>
      </c>
      <c r="E473" s="2" t="s">
        <v>38</v>
      </c>
      <c r="F473" s="2" t="s">
        <v>55</v>
      </c>
      <c r="G473" s="2" t="s">
        <v>183</v>
      </c>
      <c r="H473" s="2" t="s">
        <v>21</v>
      </c>
      <c r="I473" s="2">
        <v>24</v>
      </c>
      <c r="J473" s="2" t="s">
        <v>106</v>
      </c>
      <c r="K473" s="4">
        <v>46184.902083333334</v>
      </c>
      <c r="L473" s="2" t="s">
        <v>24</v>
      </c>
      <c r="M473" s="2">
        <v>5</v>
      </c>
      <c r="N473" t="s">
        <v>8582</v>
      </c>
      <c r="O473" s="8">
        <f t="shared" si="14"/>
        <v>18.983333333395422</v>
      </c>
      <c r="P473" t="str">
        <f t="shared" si="15"/>
        <v>Yes</v>
      </c>
    </row>
    <row r="474" spans="1:16" x14ac:dyDescent="0.25">
      <c r="A474" s="2" t="s">
        <v>1360</v>
      </c>
      <c r="B474" s="4">
        <v>46071.259722222225</v>
      </c>
      <c r="C474" s="2" t="s">
        <v>28</v>
      </c>
      <c r="D474" s="2" t="s">
        <v>100</v>
      </c>
      <c r="E474" s="2" t="s">
        <v>90</v>
      </c>
      <c r="F474" s="2" t="s">
        <v>55</v>
      </c>
      <c r="G474" s="2" t="s">
        <v>110</v>
      </c>
      <c r="H474" s="2" t="s">
        <v>74</v>
      </c>
      <c r="I474" s="2">
        <v>8</v>
      </c>
      <c r="J474" s="2" t="s">
        <v>75</v>
      </c>
      <c r="K474" s="4">
        <v>46071.419444444444</v>
      </c>
      <c r="L474" s="2" t="s">
        <v>24</v>
      </c>
      <c r="M474" s="2">
        <v>1</v>
      </c>
      <c r="N474" t="s">
        <v>8582</v>
      </c>
      <c r="O474" s="8">
        <f t="shared" si="14"/>
        <v>3.8333333332557231</v>
      </c>
      <c r="P474" t="str">
        <f t="shared" si="15"/>
        <v>N/A</v>
      </c>
    </row>
    <row r="475" spans="1:16" x14ac:dyDescent="0.25">
      <c r="A475" s="2" t="s">
        <v>1363</v>
      </c>
      <c r="B475" s="4">
        <v>46071.565972222219</v>
      </c>
      <c r="C475" s="2" t="s">
        <v>67</v>
      </c>
      <c r="D475" s="2" t="s">
        <v>68</v>
      </c>
      <c r="E475" s="2" t="s">
        <v>38</v>
      </c>
      <c r="F475" s="2" t="s">
        <v>30</v>
      </c>
      <c r="G475" s="2" t="s">
        <v>110</v>
      </c>
      <c r="H475" s="2" t="s">
        <v>32</v>
      </c>
      <c r="I475" s="2">
        <v>48</v>
      </c>
      <c r="J475" s="2" t="s">
        <v>75</v>
      </c>
      <c r="K475" s="4">
        <v>46074.020138888889</v>
      </c>
      <c r="L475" s="2" t="s">
        <v>24</v>
      </c>
      <c r="M475" s="2">
        <v>4</v>
      </c>
      <c r="N475" t="s">
        <v>8582</v>
      </c>
      <c r="O475" s="8">
        <f t="shared" si="14"/>
        <v>58.900000000081491</v>
      </c>
      <c r="P475" t="str">
        <f t="shared" si="15"/>
        <v>N/A</v>
      </c>
    </row>
    <row r="476" spans="1:16" x14ac:dyDescent="0.25">
      <c r="A476" s="2" t="s">
        <v>1366</v>
      </c>
      <c r="B476" s="4">
        <v>46191.99722222222</v>
      </c>
      <c r="C476" s="2" t="s">
        <v>53</v>
      </c>
      <c r="D476" s="2" t="s">
        <v>54</v>
      </c>
      <c r="E476" s="2" t="s">
        <v>90</v>
      </c>
      <c r="F476" s="2" t="s">
        <v>113</v>
      </c>
      <c r="G476" s="2" t="s">
        <v>179</v>
      </c>
      <c r="H476" s="2" t="s">
        <v>32</v>
      </c>
      <c r="I476" s="2">
        <v>48</v>
      </c>
      <c r="J476" s="2" t="s">
        <v>75</v>
      </c>
      <c r="K476" s="4">
        <v>46195.445833333331</v>
      </c>
      <c r="L476" s="2" t="s">
        <v>24</v>
      </c>
      <c r="M476" s="2">
        <v>5</v>
      </c>
      <c r="N476" t="s">
        <v>8586</v>
      </c>
      <c r="O476" s="8">
        <f t="shared" si="14"/>
        <v>82.766666666662786</v>
      </c>
      <c r="P476" t="str">
        <f t="shared" si="15"/>
        <v>N/A</v>
      </c>
    </row>
    <row r="477" spans="1:16" x14ac:dyDescent="0.25">
      <c r="A477" s="2" t="s">
        <v>1369</v>
      </c>
      <c r="B477" s="4">
        <v>46073.717361111114</v>
      </c>
      <c r="C477" s="2" t="s">
        <v>16</v>
      </c>
      <c r="D477" s="2" t="s">
        <v>17</v>
      </c>
      <c r="E477" s="2" t="s">
        <v>79</v>
      </c>
      <c r="F477" s="2" t="s">
        <v>30</v>
      </c>
      <c r="G477" s="2" t="s">
        <v>211</v>
      </c>
      <c r="H477" s="2" t="s">
        <v>74</v>
      </c>
      <c r="I477" s="2">
        <v>8</v>
      </c>
      <c r="J477" s="2" t="s">
        <v>106</v>
      </c>
      <c r="K477" s="4">
        <v>46073.776388888888</v>
      </c>
      <c r="L477" s="2" t="s">
        <v>24</v>
      </c>
      <c r="M477" s="2">
        <v>5</v>
      </c>
      <c r="N477" t="s">
        <v>8581</v>
      </c>
      <c r="O477" s="8">
        <f t="shared" si="14"/>
        <v>1.4166666665696539</v>
      </c>
      <c r="P477" t="str">
        <f t="shared" si="15"/>
        <v>Yes</v>
      </c>
    </row>
    <row r="478" spans="1:16" x14ac:dyDescent="0.25">
      <c r="A478" s="2" t="s">
        <v>1372</v>
      </c>
      <c r="B478" s="4">
        <v>46099.711111111108</v>
      </c>
      <c r="C478" s="2" t="s">
        <v>28</v>
      </c>
      <c r="D478" s="2" t="s">
        <v>37</v>
      </c>
      <c r="E478" s="2" t="s">
        <v>79</v>
      </c>
      <c r="F478" s="2" t="s">
        <v>55</v>
      </c>
      <c r="G478" s="2" t="s">
        <v>31</v>
      </c>
      <c r="H478" s="2" t="s">
        <v>21</v>
      </c>
      <c r="I478" s="2">
        <v>24</v>
      </c>
      <c r="J478" s="2" t="s">
        <v>106</v>
      </c>
      <c r="K478" s="4">
        <v>46102.215277777781</v>
      </c>
      <c r="L478" s="2" t="s">
        <v>24</v>
      </c>
      <c r="M478" s="2">
        <v>5</v>
      </c>
      <c r="N478" t="s">
        <v>8584</v>
      </c>
      <c r="O478" s="8">
        <f t="shared" si="14"/>
        <v>60.10000000015134</v>
      </c>
      <c r="P478" t="str">
        <f t="shared" si="15"/>
        <v>No</v>
      </c>
    </row>
    <row r="479" spans="1:16" x14ac:dyDescent="0.25">
      <c r="A479" s="2" t="s">
        <v>1375</v>
      </c>
      <c r="B479" s="4">
        <v>46163.015277777777</v>
      </c>
      <c r="C479" s="2" t="s">
        <v>28</v>
      </c>
      <c r="D479" s="2" t="s">
        <v>100</v>
      </c>
      <c r="E479" s="2" t="s">
        <v>38</v>
      </c>
      <c r="F479" s="2" t="s">
        <v>30</v>
      </c>
      <c r="G479" s="2" t="s">
        <v>179</v>
      </c>
      <c r="H479" s="2" t="s">
        <v>32</v>
      </c>
      <c r="I479" s="2">
        <v>48</v>
      </c>
      <c r="J479" s="2" t="s">
        <v>75</v>
      </c>
      <c r="K479" s="4">
        <v>46163.613888888889</v>
      </c>
      <c r="L479" s="2" t="s">
        <v>24</v>
      </c>
      <c r="M479" s="2">
        <v>5</v>
      </c>
      <c r="N479" t="s">
        <v>8582</v>
      </c>
      <c r="O479" s="8">
        <f t="shared" si="14"/>
        <v>14.366666666697711</v>
      </c>
      <c r="P479" t="str">
        <f t="shared" si="15"/>
        <v>N/A</v>
      </c>
    </row>
    <row r="480" spans="1:16" x14ac:dyDescent="0.25">
      <c r="A480" s="2" t="s">
        <v>1378</v>
      </c>
      <c r="B480" s="4">
        <v>46225.509722222225</v>
      </c>
      <c r="C480" s="2" t="s">
        <v>28</v>
      </c>
      <c r="D480" s="2" t="s">
        <v>100</v>
      </c>
      <c r="E480" s="2" t="s">
        <v>38</v>
      </c>
      <c r="F480" s="2" t="s">
        <v>30</v>
      </c>
      <c r="G480" s="2" t="s">
        <v>31</v>
      </c>
      <c r="H480" s="2" t="s">
        <v>80</v>
      </c>
      <c r="I480" s="2">
        <v>4</v>
      </c>
      <c r="J480" s="2" t="s">
        <v>75</v>
      </c>
      <c r="K480" s="4">
        <v>46225.802083333336</v>
      </c>
      <c r="L480" s="2" t="s">
        <v>24</v>
      </c>
      <c r="M480" s="2">
        <v>5</v>
      </c>
      <c r="N480" t="s">
        <v>8589</v>
      </c>
      <c r="O480" s="8">
        <f t="shared" si="14"/>
        <v>7.0166666666627862</v>
      </c>
      <c r="P480" t="str">
        <f t="shared" si="15"/>
        <v>N/A</v>
      </c>
    </row>
    <row r="481" spans="1:16" x14ac:dyDescent="0.25">
      <c r="A481" s="2" t="s">
        <v>1381</v>
      </c>
      <c r="B481" s="4">
        <v>46149.118750000001</v>
      </c>
      <c r="C481" s="2" t="s">
        <v>67</v>
      </c>
      <c r="D481" s="2" t="s">
        <v>95</v>
      </c>
      <c r="E481" s="2" t="s">
        <v>85</v>
      </c>
      <c r="F481" s="2" t="s">
        <v>30</v>
      </c>
      <c r="G481" s="2" t="s">
        <v>31</v>
      </c>
      <c r="H481" s="2" t="s">
        <v>21</v>
      </c>
      <c r="I481" s="2">
        <v>24</v>
      </c>
      <c r="J481" s="2" t="s">
        <v>75</v>
      </c>
      <c r="K481" s="4">
        <v>46149.327777777777</v>
      </c>
      <c r="L481" s="2" t="s">
        <v>24</v>
      </c>
      <c r="M481" s="2">
        <v>1</v>
      </c>
      <c r="N481" t="s">
        <v>8589</v>
      </c>
      <c r="O481" s="8">
        <f t="shared" si="14"/>
        <v>5.0166666666045785</v>
      </c>
      <c r="P481" t="str">
        <f t="shared" si="15"/>
        <v>N/A</v>
      </c>
    </row>
    <row r="482" spans="1:16" x14ac:dyDescent="0.25">
      <c r="A482" s="2" t="s">
        <v>1384</v>
      </c>
      <c r="B482" s="4">
        <v>46139.384027777778</v>
      </c>
      <c r="C482" s="2" t="s">
        <v>16</v>
      </c>
      <c r="D482" s="2" t="s">
        <v>84</v>
      </c>
      <c r="E482" s="2" t="s">
        <v>46</v>
      </c>
      <c r="F482" s="2" t="s">
        <v>96</v>
      </c>
      <c r="G482" s="2" t="s">
        <v>31</v>
      </c>
      <c r="H482" s="2" t="s">
        <v>74</v>
      </c>
      <c r="I482" s="2">
        <v>8</v>
      </c>
      <c r="J482" s="2" t="s">
        <v>106</v>
      </c>
      <c r="K482" s="4">
        <v>46140.277083333334</v>
      </c>
      <c r="L482" s="2" t="s">
        <v>24</v>
      </c>
      <c r="M482" s="2">
        <v>5</v>
      </c>
      <c r="N482" t="s">
        <v>8582</v>
      </c>
      <c r="O482" s="8">
        <f t="shared" si="14"/>
        <v>21.433333333348855</v>
      </c>
      <c r="P482" t="str">
        <f t="shared" si="15"/>
        <v>No</v>
      </c>
    </row>
    <row r="483" spans="1:16" x14ac:dyDescent="0.25">
      <c r="A483" s="2" t="s">
        <v>1387</v>
      </c>
      <c r="B483" s="4">
        <v>46108.960416666669</v>
      </c>
      <c r="C483" s="2" t="s">
        <v>28</v>
      </c>
      <c r="D483" s="2" t="s">
        <v>37</v>
      </c>
      <c r="E483" s="2" t="s">
        <v>46</v>
      </c>
      <c r="F483" s="2" t="s">
        <v>113</v>
      </c>
      <c r="G483" s="2" t="s">
        <v>110</v>
      </c>
      <c r="H483" s="2" t="s">
        <v>21</v>
      </c>
      <c r="I483" s="2">
        <v>24</v>
      </c>
      <c r="J483" s="2" t="s">
        <v>149</v>
      </c>
      <c r="K483" s="4" t="s">
        <v>8590</v>
      </c>
      <c r="L483" s="2" t="s">
        <v>92</v>
      </c>
      <c r="M483" s="2"/>
      <c r="N483" t="s">
        <v>8589</v>
      </c>
      <c r="O483" s="8" t="str">
        <f t="shared" si="14"/>
        <v/>
      </c>
      <c r="P483" t="str">
        <f t="shared" si="15"/>
        <v>N/A</v>
      </c>
    </row>
    <row r="484" spans="1:16" x14ac:dyDescent="0.25">
      <c r="A484" s="2" t="s">
        <v>1389</v>
      </c>
      <c r="B484" s="4">
        <v>46207.666666666664</v>
      </c>
      <c r="C484" s="2" t="s">
        <v>28</v>
      </c>
      <c r="D484" s="2" t="s">
        <v>37</v>
      </c>
      <c r="E484" s="2" t="s">
        <v>90</v>
      </c>
      <c r="F484" s="2" t="s">
        <v>96</v>
      </c>
      <c r="G484" s="2" t="s">
        <v>31</v>
      </c>
      <c r="H484" s="2" t="s">
        <v>21</v>
      </c>
      <c r="I484" s="2">
        <v>24</v>
      </c>
      <c r="J484" s="2" t="s">
        <v>75</v>
      </c>
      <c r="K484" s="4">
        <v>46208.168749999997</v>
      </c>
      <c r="L484" s="2" t="s">
        <v>24</v>
      </c>
      <c r="M484" s="2">
        <v>5</v>
      </c>
      <c r="N484" t="s">
        <v>8589</v>
      </c>
      <c r="O484" s="8">
        <f t="shared" si="14"/>
        <v>12.049999999988358</v>
      </c>
      <c r="P484" t="str">
        <f t="shared" si="15"/>
        <v>N/A</v>
      </c>
    </row>
    <row r="485" spans="1:16" x14ac:dyDescent="0.25">
      <c r="A485" s="2" t="s">
        <v>1392</v>
      </c>
      <c r="B485" s="4">
        <v>46162.155555555553</v>
      </c>
      <c r="C485" s="2" t="s">
        <v>16</v>
      </c>
      <c r="D485" s="2" t="s">
        <v>84</v>
      </c>
      <c r="E485" s="2" t="s">
        <v>38</v>
      </c>
      <c r="F485" s="2" t="s">
        <v>96</v>
      </c>
      <c r="G485" s="2" t="s">
        <v>211</v>
      </c>
      <c r="H485" s="2" t="s">
        <v>80</v>
      </c>
      <c r="I485" s="2">
        <v>4</v>
      </c>
      <c r="J485" s="2" t="s">
        <v>106</v>
      </c>
      <c r="K485" s="4">
        <v>46162.204861111109</v>
      </c>
      <c r="L485" s="2" t="s">
        <v>24</v>
      </c>
      <c r="M485" s="2">
        <v>2</v>
      </c>
      <c r="N485" t="s">
        <v>8582</v>
      </c>
      <c r="O485" s="8">
        <f t="shared" si="14"/>
        <v>1.1833333333488554</v>
      </c>
      <c r="P485" t="str">
        <f t="shared" si="15"/>
        <v>Yes</v>
      </c>
    </row>
    <row r="486" spans="1:16" x14ac:dyDescent="0.25">
      <c r="A486" s="2" t="s">
        <v>1395</v>
      </c>
      <c r="B486" s="4">
        <v>46158.927083333336</v>
      </c>
      <c r="C486" s="2" t="s">
        <v>28</v>
      </c>
      <c r="D486" s="2" t="s">
        <v>37</v>
      </c>
      <c r="E486" s="2" t="s">
        <v>148</v>
      </c>
      <c r="F486" s="2" t="s">
        <v>113</v>
      </c>
      <c r="G486" s="2" t="s">
        <v>110</v>
      </c>
      <c r="H486" s="2" t="s">
        <v>32</v>
      </c>
      <c r="I486" s="2">
        <v>48</v>
      </c>
      <c r="J486" s="2" t="s">
        <v>11</v>
      </c>
      <c r="K486" s="4" t="s">
        <v>8590</v>
      </c>
      <c r="L486" s="2" t="s">
        <v>92</v>
      </c>
      <c r="M486" s="2"/>
      <c r="N486" t="s">
        <v>8584</v>
      </c>
      <c r="O486" s="8" t="str">
        <f t="shared" si="14"/>
        <v/>
      </c>
      <c r="P486" t="str">
        <f t="shared" si="15"/>
        <v>N/A</v>
      </c>
    </row>
    <row r="487" spans="1:16" x14ac:dyDescent="0.25">
      <c r="A487" s="2" t="s">
        <v>1397</v>
      </c>
      <c r="B487" s="4">
        <v>46247.710416666669</v>
      </c>
      <c r="C487" s="2" t="s">
        <v>16</v>
      </c>
      <c r="D487" s="2" t="s">
        <v>17</v>
      </c>
      <c r="E487" s="2" t="s">
        <v>85</v>
      </c>
      <c r="F487" s="2" t="s">
        <v>96</v>
      </c>
      <c r="G487" s="2" t="s">
        <v>110</v>
      </c>
      <c r="H487" s="2" t="s">
        <v>74</v>
      </c>
      <c r="I487" s="2">
        <v>8</v>
      </c>
      <c r="J487" s="2" t="s">
        <v>106</v>
      </c>
      <c r="K487" s="4">
        <v>46247.976388888892</v>
      </c>
      <c r="L487" s="2" t="s">
        <v>24</v>
      </c>
      <c r="M487" s="2"/>
      <c r="N487" t="s">
        <v>8583</v>
      </c>
      <c r="O487" s="8">
        <f t="shared" si="14"/>
        <v>6.3833333333604969</v>
      </c>
      <c r="P487" t="str">
        <f t="shared" si="15"/>
        <v>Yes</v>
      </c>
    </row>
    <row r="488" spans="1:16" x14ac:dyDescent="0.25">
      <c r="A488" s="2" t="s">
        <v>1400</v>
      </c>
      <c r="B488" s="4">
        <v>46216.027777777781</v>
      </c>
      <c r="C488" s="2" t="s">
        <v>28</v>
      </c>
      <c r="D488" s="2" t="s">
        <v>37</v>
      </c>
      <c r="E488" s="2" t="s">
        <v>18</v>
      </c>
      <c r="F488" s="2" t="s">
        <v>96</v>
      </c>
      <c r="G488" s="2" t="s">
        <v>211</v>
      </c>
      <c r="H488" s="2" t="s">
        <v>21</v>
      </c>
      <c r="I488" s="2">
        <v>24</v>
      </c>
      <c r="J488" s="2" t="s">
        <v>106</v>
      </c>
      <c r="K488" s="4">
        <v>46216.691666666666</v>
      </c>
      <c r="L488" s="2" t="s">
        <v>24</v>
      </c>
      <c r="M488" s="2">
        <v>4</v>
      </c>
      <c r="N488" t="s">
        <v>8585</v>
      </c>
      <c r="O488" s="8">
        <f t="shared" si="14"/>
        <v>15.93333333323244</v>
      </c>
      <c r="P488" t="str">
        <f t="shared" si="15"/>
        <v>Yes</v>
      </c>
    </row>
    <row r="489" spans="1:16" x14ac:dyDescent="0.25">
      <c r="A489" s="2" t="s">
        <v>1403</v>
      </c>
      <c r="B489" s="4">
        <v>46221.349305555559</v>
      </c>
      <c r="C489" s="2" t="s">
        <v>53</v>
      </c>
      <c r="D489" s="2" t="s">
        <v>61</v>
      </c>
      <c r="E489" s="2" t="s">
        <v>79</v>
      </c>
      <c r="F489" s="2" t="s">
        <v>96</v>
      </c>
      <c r="G489" s="2" t="s">
        <v>110</v>
      </c>
      <c r="H489" s="2" t="s">
        <v>21</v>
      </c>
      <c r="I489" s="2">
        <v>24</v>
      </c>
      <c r="J489" s="2" t="s">
        <v>75</v>
      </c>
      <c r="K489" s="4">
        <v>46221.9</v>
      </c>
      <c r="L489" s="2" t="s">
        <v>24</v>
      </c>
      <c r="M489" s="2">
        <v>5</v>
      </c>
      <c r="N489" t="s">
        <v>8585</v>
      </c>
      <c r="O489" s="8">
        <f t="shared" si="14"/>
        <v>13.21666666661622</v>
      </c>
      <c r="P489" t="str">
        <f t="shared" si="15"/>
        <v>N/A</v>
      </c>
    </row>
    <row r="490" spans="1:16" x14ac:dyDescent="0.25">
      <c r="A490" s="2" t="s">
        <v>1406</v>
      </c>
      <c r="B490" s="4">
        <v>46221.202777777777</v>
      </c>
      <c r="C490" s="2" t="s">
        <v>16</v>
      </c>
      <c r="D490" s="2" t="s">
        <v>17</v>
      </c>
      <c r="E490" s="2" t="s">
        <v>90</v>
      </c>
      <c r="F490" s="2" t="s">
        <v>55</v>
      </c>
      <c r="G490" s="2" t="s">
        <v>179</v>
      </c>
      <c r="H490" s="2" t="s">
        <v>32</v>
      </c>
      <c r="I490" s="2">
        <v>48</v>
      </c>
      <c r="J490" s="2" t="s">
        <v>11</v>
      </c>
      <c r="K490" s="4" t="s">
        <v>8590</v>
      </c>
      <c r="L490" s="2" t="s">
        <v>92</v>
      </c>
      <c r="M490" s="2"/>
      <c r="N490" t="s">
        <v>8588</v>
      </c>
      <c r="O490" s="8" t="str">
        <f t="shared" si="14"/>
        <v/>
      </c>
      <c r="P490" t="str">
        <f t="shared" si="15"/>
        <v>N/A</v>
      </c>
    </row>
    <row r="491" spans="1:16" x14ac:dyDescent="0.25">
      <c r="A491" s="2" t="s">
        <v>1408</v>
      </c>
      <c r="B491" s="4">
        <v>46221.876388888886</v>
      </c>
      <c r="C491" s="2" t="s">
        <v>16</v>
      </c>
      <c r="D491" s="2" t="s">
        <v>17</v>
      </c>
      <c r="E491" s="2" t="s">
        <v>38</v>
      </c>
      <c r="F491" s="2" t="s">
        <v>55</v>
      </c>
      <c r="G491" s="2" t="s">
        <v>31</v>
      </c>
      <c r="H491" s="2" t="s">
        <v>32</v>
      </c>
      <c r="I491" s="2">
        <v>48</v>
      </c>
      <c r="J491" s="2" t="s">
        <v>75</v>
      </c>
      <c r="K491" s="4">
        <v>46223.129166666666</v>
      </c>
      <c r="L491" s="2" t="s">
        <v>24</v>
      </c>
      <c r="M491" s="2">
        <v>1</v>
      </c>
      <c r="N491" t="s">
        <v>8584</v>
      </c>
      <c r="O491" s="8">
        <f t="shared" si="14"/>
        <v>30.066666666709352</v>
      </c>
      <c r="P491" t="str">
        <f t="shared" si="15"/>
        <v>N/A</v>
      </c>
    </row>
    <row r="492" spans="1:16" x14ac:dyDescent="0.25">
      <c r="A492" s="2" t="s">
        <v>1411</v>
      </c>
      <c r="B492" s="4">
        <v>46243.722222222219</v>
      </c>
      <c r="C492" s="2" t="s">
        <v>16</v>
      </c>
      <c r="D492" s="2" t="s">
        <v>17</v>
      </c>
      <c r="E492" s="2" t="s">
        <v>90</v>
      </c>
      <c r="F492" s="2" t="s">
        <v>113</v>
      </c>
      <c r="G492" s="2" t="s">
        <v>31</v>
      </c>
      <c r="H492" s="2" t="s">
        <v>32</v>
      </c>
      <c r="I492" s="2">
        <v>48</v>
      </c>
      <c r="J492" s="2" t="s">
        <v>106</v>
      </c>
      <c r="K492" s="4">
        <v>46244.547222222223</v>
      </c>
      <c r="L492" s="2" t="s">
        <v>24</v>
      </c>
      <c r="M492" s="2">
        <v>5</v>
      </c>
      <c r="N492" t="s">
        <v>8586</v>
      </c>
      <c r="O492" s="8">
        <f t="shared" si="14"/>
        <v>19.800000000104774</v>
      </c>
      <c r="P492" t="str">
        <f t="shared" si="15"/>
        <v>Yes</v>
      </c>
    </row>
    <row r="493" spans="1:16" x14ac:dyDescent="0.25">
      <c r="A493" s="2" t="s">
        <v>1414</v>
      </c>
      <c r="B493" s="4">
        <v>46231.759722222225</v>
      </c>
      <c r="C493" s="2" t="s">
        <v>16</v>
      </c>
      <c r="D493" s="2" t="s">
        <v>84</v>
      </c>
      <c r="E493" s="2" t="s">
        <v>46</v>
      </c>
      <c r="F493" s="2" t="s">
        <v>113</v>
      </c>
      <c r="G493" s="2" t="s">
        <v>179</v>
      </c>
      <c r="H493" s="2" t="s">
        <v>74</v>
      </c>
      <c r="I493" s="2">
        <v>8</v>
      </c>
      <c r="J493" s="2" t="s">
        <v>149</v>
      </c>
      <c r="K493" s="4" t="s">
        <v>8590</v>
      </c>
      <c r="L493" s="2" t="s">
        <v>24</v>
      </c>
      <c r="M493" s="2"/>
      <c r="N493" t="s">
        <v>8588</v>
      </c>
      <c r="O493" s="8" t="str">
        <f t="shared" si="14"/>
        <v/>
      </c>
      <c r="P493" t="str">
        <f t="shared" si="15"/>
        <v>N/A</v>
      </c>
    </row>
    <row r="494" spans="1:16" x14ac:dyDescent="0.25">
      <c r="A494" s="2" t="s">
        <v>1416</v>
      </c>
      <c r="B494" s="4">
        <v>46049.443055555559</v>
      </c>
      <c r="C494" s="2" t="s">
        <v>16</v>
      </c>
      <c r="D494" s="2" t="s">
        <v>84</v>
      </c>
      <c r="E494" s="2" t="s">
        <v>38</v>
      </c>
      <c r="F494" s="2" t="s">
        <v>30</v>
      </c>
      <c r="G494" s="2" t="s">
        <v>110</v>
      </c>
      <c r="H494" s="2" t="s">
        <v>74</v>
      </c>
      <c r="I494" s="2">
        <v>8</v>
      </c>
      <c r="J494" s="2" t="s">
        <v>11</v>
      </c>
      <c r="K494" s="4" t="s">
        <v>8590</v>
      </c>
      <c r="L494" s="2" t="s">
        <v>92</v>
      </c>
      <c r="M494" s="2"/>
      <c r="N494" t="s">
        <v>8582</v>
      </c>
      <c r="O494" s="8" t="str">
        <f t="shared" si="14"/>
        <v/>
      </c>
      <c r="P494" t="str">
        <f t="shared" si="15"/>
        <v>N/A</v>
      </c>
    </row>
    <row r="495" spans="1:16" x14ac:dyDescent="0.25">
      <c r="A495" s="2" t="s">
        <v>1418</v>
      </c>
      <c r="B495" s="4">
        <v>46156.658333333333</v>
      </c>
      <c r="C495" s="2" t="s">
        <v>16</v>
      </c>
      <c r="D495" s="2" t="s">
        <v>17</v>
      </c>
      <c r="E495" s="2" t="s">
        <v>148</v>
      </c>
      <c r="F495" s="2" t="s">
        <v>96</v>
      </c>
      <c r="G495" s="2" t="s">
        <v>183</v>
      </c>
      <c r="H495" s="2" t="s">
        <v>21</v>
      </c>
      <c r="I495" s="2">
        <v>24</v>
      </c>
      <c r="J495" s="2" t="s">
        <v>106</v>
      </c>
      <c r="K495" s="4">
        <v>46156.966666666667</v>
      </c>
      <c r="L495" s="2" t="s">
        <v>24</v>
      </c>
      <c r="M495" s="2"/>
      <c r="N495" t="s">
        <v>8581</v>
      </c>
      <c r="O495" s="8">
        <f t="shared" si="14"/>
        <v>7.4000000000232831</v>
      </c>
      <c r="P495" t="str">
        <f t="shared" si="15"/>
        <v>Yes</v>
      </c>
    </row>
    <row r="496" spans="1:16" x14ac:dyDescent="0.25">
      <c r="A496" s="2" t="s">
        <v>1421</v>
      </c>
      <c r="B496" s="4">
        <v>46093.597916666666</v>
      </c>
      <c r="C496" s="2" t="s">
        <v>16</v>
      </c>
      <c r="D496" s="2" t="s">
        <v>17</v>
      </c>
      <c r="E496" s="2" t="s">
        <v>79</v>
      </c>
      <c r="F496" s="2" t="s">
        <v>113</v>
      </c>
      <c r="G496" s="2" t="s">
        <v>179</v>
      </c>
      <c r="H496" s="2" t="s">
        <v>32</v>
      </c>
      <c r="I496" s="2">
        <v>48</v>
      </c>
      <c r="J496" s="2" t="s">
        <v>106</v>
      </c>
      <c r="K496" s="4">
        <v>46095.134722222225</v>
      </c>
      <c r="L496" s="2" t="s">
        <v>24</v>
      </c>
      <c r="M496" s="2">
        <v>4</v>
      </c>
      <c r="N496" t="s">
        <v>8589</v>
      </c>
      <c r="O496" s="8">
        <f t="shared" si="14"/>
        <v>36.883333333418705</v>
      </c>
      <c r="P496" t="str">
        <f t="shared" si="15"/>
        <v>Yes</v>
      </c>
    </row>
    <row r="497" spans="1:16" x14ac:dyDescent="0.25">
      <c r="A497" s="2" t="s">
        <v>1424</v>
      </c>
      <c r="B497" s="4">
        <v>46198.686111111114</v>
      </c>
      <c r="C497" s="2" t="s">
        <v>53</v>
      </c>
      <c r="D497" s="2" t="s">
        <v>61</v>
      </c>
      <c r="E497" s="2" t="s">
        <v>148</v>
      </c>
      <c r="F497" s="2" t="s">
        <v>55</v>
      </c>
      <c r="G497" s="2" t="s">
        <v>31</v>
      </c>
      <c r="H497" s="2" t="s">
        <v>21</v>
      </c>
      <c r="I497" s="2">
        <v>24</v>
      </c>
      <c r="J497" s="2" t="s">
        <v>106</v>
      </c>
      <c r="K497" s="4">
        <v>46200.04583333333</v>
      </c>
      <c r="L497" s="2" t="s">
        <v>24</v>
      </c>
      <c r="M497" s="2">
        <v>3</v>
      </c>
      <c r="N497" t="s">
        <v>8584</v>
      </c>
      <c r="O497" s="8">
        <f t="shared" si="14"/>
        <v>32.633333333185874</v>
      </c>
      <c r="P497" t="str">
        <f t="shared" si="15"/>
        <v>No</v>
      </c>
    </row>
    <row r="498" spans="1:16" x14ac:dyDescent="0.25">
      <c r="A498" s="2" t="s">
        <v>1427</v>
      </c>
      <c r="B498" s="4">
        <v>46210.633333333331</v>
      </c>
      <c r="C498" s="2" t="s">
        <v>67</v>
      </c>
      <c r="D498" s="2" t="s">
        <v>68</v>
      </c>
      <c r="E498" s="2" t="s">
        <v>38</v>
      </c>
      <c r="F498" s="2" t="s">
        <v>55</v>
      </c>
      <c r="G498" s="2" t="s">
        <v>101</v>
      </c>
      <c r="H498" s="2" t="s">
        <v>74</v>
      </c>
      <c r="I498" s="2">
        <v>8</v>
      </c>
      <c r="J498" s="2" t="s">
        <v>106</v>
      </c>
      <c r="K498" s="4">
        <v>46210.883333333331</v>
      </c>
      <c r="L498" s="2" t="s">
        <v>24</v>
      </c>
      <c r="M498" s="2">
        <v>5</v>
      </c>
      <c r="N498" t="s">
        <v>8582</v>
      </c>
      <c r="O498" s="8">
        <f t="shared" si="14"/>
        <v>6</v>
      </c>
      <c r="P498" t="str">
        <f t="shared" si="15"/>
        <v>Yes</v>
      </c>
    </row>
    <row r="499" spans="1:16" x14ac:dyDescent="0.25">
      <c r="A499" s="2" t="s">
        <v>1430</v>
      </c>
      <c r="B499" s="4">
        <v>46255.195833333331</v>
      </c>
      <c r="C499" s="2" t="s">
        <v>16</v>
      </c>
      <c r="D499" s="2" t="s">
        <v>84</v>
      </c>
      <c r="E499" s="2" t="s">
        <v>90</v>
      </c>
      <c r="F499" s="2" t="s">
        <v>30</v>
      </c>
      <c r="G499" s="2" t="s">
        <v>211</v>
      </c>
      <c r="H499" s="2" t="s">
        <v>74</v>
      </c>
      <c r="I499" s="2">
        <v>8</v>
      </c>
      <c r="J499" s="2" t="s">
        <v>106</v>
      </c>
      <c r="K499" s="4">
        <v>46255.347916666666</v>
      </c>
      <c r="L499" s="2" t="s">
        <v>24</v>
      </c>
      <c r="M499" s="2">
        <v>5</v>
      </c>
      <c r="N499" t="s">
        <v>8585</v>
      </c>
      <c r="O499" s="8">
        <f t="shared" si="14"/>
        <v>3.6500000000232831</v>
      </c>
      <c r="P499" t="str">
        <f t="shared" si="15"/>
        <v>Yes</v>
      </c>
    </row>
    <row r="500" spans="1:16" x14ac:dyDescent="0.25">
      <c r="A500" s="2" t="s">
        <v>1433</v>
      </c>
      <c r="B500" s="4">
        <v>46257.416666666664</v>
      </c>
      <c r="C500" s="2" t="s">
        <v>28</v>
      </c>
      <c r="D500" s="2" t="s">
        <v>100</v>
      </c>
      <c r="E500" s="2" t="s">
        <v>38</v>
      </c>
      <c r="F500" s="2" t="s">
        <v>113</v>
      </c>
      <c r="G500" s="2" t="s">
        <v>183</v>
      </c>
      <c r="H500" s="2" t="s">
        <v>21</v>
      </c>
      <c r="I500" s="2">
        <v>24</v>
      </c>
      <c r="J500" s="2" t="s">
        <v>106</v>
      </c>
      <c r="K500" s="4">
        <v>46258.092361111114</v>
      </c>
      <c r="L500" s="2" t="s">
        <v>24</v>
      </c>
      <c r="M500" s="2">
        <v>4</v>
      </c>
      <c r="N500" t="s">
        <v>8588</v>
      </c>
      <c r="O500" s="8">
        <f t="shared" si="14"/>
        <v>16.216666666790843</v>
      </c>
      <c r="P500" t="str">
        <f t="shared" si="15"/>
        <v>Yes</v>
      </c>
    </row>
    <row r="501" spans="1:16" x14ac:dyDescent="0.25">
      <c r="A501" s="2" t="s">
        <v>1436</v>
      </c>
      <c r="B501" s="4">
        <v>46156.090277777781</v>
      </c>
      <c r="C501" s="2" t="s">
        <v>16</v>
      </c>
      <c r="D501" s="2" t="s">
        <v>84</v>
      </c>
      <c r="E501" s="2" t="s">
        <v>90</v>
      </c>
      <c r="F501" s="2" t="s">
        <v>96</v>
      </c>
      <c r="G501" s="2" t="s">
        <v>179</v>
      </c>
      <c r="H501" s="2" t="s">
        <v>74</v>
      </c>
      <c r="I501" s="2">
        <v>8</v>
      </c>
      <c r="J501" s="2" t="s">
        <v>75</v>
      </c>
      <c r="K501" s="4">
        <v>46156.334027777775</v>
      </c>
      <c r="L501" s="2" t="s">
        <v>24</v>
      </c>
      <c r="M501" s="2"/>
      <c r="N501" t="s">
        <v>8589</v>
      </c>
      <c r="O501" s="8">
        <f t="shared" si="14"/>
        <v>5.8499999998603016</v>
      </c>
      <c r="P501" t="str">
        <f t="shared" si="15"/>
        <v>N/A</v>
      </c>
    </row>
    <row r="502" spans="1:16" x14ac:dyDescent="0.25">
      <c r="A502" s="2" t="s">
        <v>1439</v>
      </c>
      <c r="B502" s="4">
        <v>46232.539583333331</v>
      </c>
      <c r="C502" s="2" t="s">
        <v>67</v>
      </c>
      <c r="D502" s="2" t="s">
        <v>68</v>
      </c>
      <c r="E502" s="2" t="s">
        <v>46</v>
      </c>
      <c r="F502" s="2" t="s">
        <v>55</v>
      </c>
      <c r="G502" s="2" t="s">
        <v>31</v>
      </c>
      <c r="H502" s="2" t="s">
        <v>32</v>
      </c>
      <c r="I502" s="2">
        <v>48</v>
      </c>
      <c r="J502" s="2" t="s">
        <v>106</v>
      </c>
      <c r="K502" s="4">
        <v>46233.915972222225</v>
      </c>
      <c r="L502" s="2" t="s">
        <v>24</v>
      </c>
      <c r="M502" s="2"/>
      <c r="N502" t="s">
        <v>8582</v>
      </c>
      <c r="O502" s="8">
        <f t="shared" si="14"/>
        <v>33.033333333441988</v>
      </c>
      <c r="P502" t="str">
        <f t="shared" si="15"/>
        <v>Yes</v>
      </c>
    </row>
    <row r="503" spans="1:16" x14ac:dyDescent="0.25">
      <c r="A503" s="2" t="s">
        <v>1442</v>
      </c>
      <c r="B503" s="4">
        <v>46258.851388888892</v>
      </c>
      <c r="C503" s="2" t="s">
        <v>67</v>
      </c>
      <c r="D503" s="2" t="s">
        <v>68</v>
      </c>
      <c r="E503" s="2" t="s">
        <v>79</v>
      </c>
      <c r="F503" s="2" t="s">
        <v>113</v>
      </c>
      <c r="G503" s="2" t="s">
        <v>179</v>
      </c>
      <c r="H503" s="2" t="s">
        <v>21</v>
      </c>
      <c r="I503" s="2">
        <v>24</v>
      </c>
      <c r="J503" s="2" t="s">
        <v>75</v>
      </c>
      <c r="K503" s="4">
        <v>46259.636111111111</v>
      </c>
      <c r="L503" s="2" t="s">
        <v>24</v>
      </c>
      <c r="M503" s="2">
        <v>1</v>
      </c>
      <c r="N503" t="s">
        <v>8583</v>
      </c>
      <c r="O503" s="8">
        <f t="shared" si="14"/>
        <v>18.833333333255723</v>
      </c>
      <c r="P503" t="str">
        <f t="shared" si="15"/>
        <v>N/A</v>
      </c>
    </row>
    <row r="504" spans="1:16" x14ac:dyDescent="0.25">
      <c r="A504" s="2" t="s">
        <v>1445</v>
      </c>
      <c r="B504" s="4">
        <v>46164.595138888886</v>
      </c>
      <c r="C504" s="2" t="s">
        <v>16</v>
      </c>
      <c r="D504" s="2" t="s">
        <v>17</v>
      </c>
      <c r="E504" s="2" t="s">
        <v>79</v>
      </c>
      <c r="F504" s="2" t="s">
        <v>96</v>
      </c>
      <c r="G504" s="2" t="s">
        <v>31</v>
      </c>
      <c r="H504" s="2" t="s">
        <v>32</v>
      </c>
      <c r="I504" s="2">
        <v>48</v>
      </c>
      <c r="J504" s="2" t="s">
        <v>149</v>
      </c>
      <c r="K504" s="4" t="s">
        <v>8590</v>
      </c>
      <c r="L504" s="2" t="s">
        <v>92</v>
      </c>
      <c r="M504" s="2"/>
      <c r="N504" t="s">
        <v>8587</v>
      </c>
      <c r="O504" s="8" t="str">
        <f t="shared" si="14"/>
        <v/>
      </c>
      <c r="P504" t="str">
        <f t="shared" si="15"/>
        <v>N/A</v>
      </c>
    </row>
    <row r="505" spans="1:16" x14ac:dyDescent="0.25">
      <c r="A505" s="2" t="s">
        <v>1447</v>
      </c>
      <c r="B505" s="4">
        <v>46140.711111111108</v>
      </c>
      <c r="C505" s="2" t="s">
        <v>53</v>
      </c>
      <c r="D505" s="2" t="s">
        <v>61</v>
      </c>
      <c r="E505" s="2" t="s">
        <v>79</v>
      </c>
      <c r="F505" s="2" t="s">
        <v>55</v>
      </c>
      <c r="G505" s="2" t="s">
        <v>183</v>
      </c>
      <c r="H505" s="2" t="s">
        <v>21</v>
      </c>
      <c r="I505" s="2">
        <v>24</v>
      </c>
      <c r="J505" s="2" t="s">
        <v>106</v>
      </c>
      <c r="K505" s="4">
        <v>46141.1</v>
      </c>
      <c r="L505" s="2" t="s">
        <v>24</v>
      </c>
      <c r="M505" s="2">
        <v>1</v>
      </c>
      <c r="N505" t="s">
        <v>8589</v>
      </c>
      <c r="O505" s="8">
        <f t="shared" si="14"/>
        <v>9.3333333333721384</v>
      </c>
      <c r="P505" t="str">
        <f t="shared" si="15"/>
        <v>Yes</v>
      </c>
    </row>
    <row r="506" spans="1:16" x14ac:dyDescent="0.25">
      <c r="A506" s="2" t="s">
        <v>1450</v>
      </c>
      <c r="B506" s="4">
        <v>46217.614583333336</v>
      </c>
      <c r="C506" s="2" t="s">
        <v>67</v>
      </c>
      <c r="D506" s="2" t="s">
        <v>95</v>
      </c>
      <c r="E506" s="2" t="s">
        <v>79</v>
      </c>
      <c r="F506" s="2" t="s">
        <v>55</v>
      </c>
      <c r="G506" s="2" t="s">
        <v>183</v>
      </c>
      <c r="H506" s="2" t="s">
        <v>21</v>
      </c>
      <c r="I506" s="2">
        <v>24</v>
      </c>
      <c r="J506" s="2" t="s">
        <v>75</v>
      </c>
      <c r="K506" s="4">
        <v>46218.465277777781</v>
      </c>
      <c r="L506" s="2" t="s">
        <v>24</v>
      </c>
      <c r="M506" s="2"/>
      <c r="N506" t="s">
        <v>8587</v>
      </c>
      <c r="O506" s="8">
        <f t="shared" si="14"/>
        <v>20.416666666686069</v>
      </c>
      <c r="P506" t="str">
        <f t="shared" si="15"/>
        <v>N/A</v>
      </c>
    </row>
    <row r="507" spans="1:16" x14ac:dyDescent="0.25">
      <c r="A507" s="2" t="s">
        <v>1453</v>
      </c>
      <c r="B507" s="4">
        <v>46044.686805555553</v>
      </c>
      <c r="C507" s="2" t="s">
        <v>28</v>
      </c>
      <c r="D507" s="2" t="s">
        <v>100</v>
      </c>
      <c r="E507" s="2" t="s">
        <v>46</v>
      </c>
      <c r="F507" s="2" t="s">
        <v>96</v>
      </c>
      <c r="G507" s="2" t="s">
        <v>110</v>
      </c>
      <c r="H507" s="2" t="s">
        <v>21</v>
      </c>
      <c r="I507" s="2">
        <v>24</v>
      </c>
      <c r="J507" s="2" t="s">
        <v>75</v>
      </c>
      <c r="K507" s="4">
        <v>46045.20416666667</v>
      </c>
      <c r="L507" s="2" t="s">
        <v>92</v>
      </c>
      <c r="M507" s="2">
        <v>4</v>
      </c>
      <c r="N507" t="s">
        <v>8589</v>
      </c>
      <c r="O507" s="8">
        <f t="shared" si="14"/>
        <v>12.416666666802485</v>
      </c>
      <c r="P507" t="str">
        <f t="shared" si="15"/>
        <v>N/A</v>
      </c>
    </row>
    <row r="508" spans="1:16" x14ac:dyDescent="0.25">
      <c r="A508" s="2" t="s">
        <v>1456</v>
      </c>
      <c r="B508" s="4">
        <v>46048.313888888886</v>
      </c>
      <c r="C508" s="2" t="s">
        <v>16</v>
      </c>
      <c r="D508" s="2" t="s">
        <v>17</v>
      </c>
      <c r="E508" s="2" t="s">
        <v>38</v>
      </c>
      <c r="F508" s="2" t="s">
        <v>30</v>
      </c>
      <c r="G508" s="2" t="s">
        <v>110</v>
      </c>
      <c r="H508" s="2" t="s">
        <v>21</v>
      </c>
      <c r="I508" s="2">
        <v>24</v>
      </c>
      <c r="J508" s="2" t="s">
        <v>75</v>
      </c>
      <c r="K508" s="4">
        <v>46049.084722222222</v>
      </c>
      <c r="L508" s="2" t="s">
        <v>24</v>
      </c>
      <c r="M508" s="2">
        <v>4</v>
      </c>
      <c r="N508" t="s">
        <v>8585</v>
      </c>
      <c r="O508" s="8">
        <f t="shared" si="14"/>
        <v>18.500000000058208</v>
      </c>
      <c r="P508" t="str">
        <f t="shared" si="15"/>
        <v>N/A</v>
      </c>
    </row>
    <row r="509" spans="1:16" x14ac:dyDescent="0.25">
      <c r="A509" s="2" t="s">
        <v>1459</v>
      </c>
      <c r="B509" s="4">
        <v>46142.247916666667</v>
      </c>
      <c r="C509" s="2" t="s">
        <v>67</v>
      </c>
      <c r="D509" s="2" t="s">
        <v>68</v>
      </c>
      <c r="E509" s="2" t="s">
        <v>46</v>
      </c>
      <c r="F509" s="2" t="s">
        <v>30</v>
      </c>
      <c r="G509" s="2" t="s">
        <v>183</v>
      </c>
      <c r="H509" s="2" t="s">
        <v>21</v>
      </c>
      <c r="I509" s="2">
        <v>24</v>
      </c>
      <c r="J509" s="2" t="s">
        <v>106</v>
      </c>
      <c r="K509" s="4">
        <v>46142.851388888892</v>
      </c>
      <c r="L509" s="2" t="s">
        <v>92</v>
      </c>
      <c r="M509" s="2"/>
      <c r="N509" t="s">
        <v>8581</v>
      </c>
      <c r="O509" s="8">
        <f t="shared" si="14"/>
        <v>14.483333333395422</v>
      </c>
      <c r="P509" t="str">
        <f t="shared" si="15"/>
        <v>Yes</v>
      </c>
    </row>
    <row r="510" spans="1:16" x14ac:dyDescent="0.25">
      <c r="A510" s="2" t="s">
        <v>1462</v>
      </c>
      <c r="B510" s="4">
        <v>46143.823611111111</v>
      </c>
      <c r="C510" s="2" t="s">
        <v>16</v>
      </c>
      <c r="D510" s="2" t="s">
        <v>17</v>
      </c>
      <c r="E510" s="2" t="s">
        <v>90</v>
      </c>
      <c r="F510" s="2" t="s">
        <v>55</v>
      </c>
      <c r="G510" s="2" t="s">
        <v>110</v>
      </c>
      <c r="H510" s="2" t="s">
        <v>21</v>
      </c>
      <c r="I510" s="2">
        <v>24</v>
      </c>
      <c r="J510" s="2" t="s">
        <v>106</v>
      </c>
      <c r="K510" s="4">
        <v>46145.871527777781</v>
      </c>
      <c r="L510" s="2" t="s">
        <v>24</v>
      </c>
      <c r="M510" s="2"/>
      <c r="N510" t="s">
        <v>8589</v>
      </c>
      <c r="O510" s="8">
        <f t="shared" si="14"/>
        <v>49.150000000081491</v>
      </c>
      <c r="P510" t="str">
        <f t="shared" si="15"/>
        <v>No</v>
      </c>
    </row>
    <row r="511" spans="1:16" x14ac:dyDescent="0.25">
      <c r="A511" s="2" t="s">
        <v>1465</v>
      </c>
      <c r="B511" s="4">
        <v>46150.915277777778</v>
      </c>
      <c r="C511" s="2" t="s">
        <v>28</v>
      </c>
      <c r="D511" s="2" t="s">
        <v>100</v>
      </c>
      <c r="E511" s="2" t="s">
        <v>18</v>
      </c>
      <c r="F511" s="2" t="s">
        <v>55</v>
      </c>
      <c r="G511" s="2" t="s">
        <v>110</v>
      </c>
      <c r="H511" s="2" t="s">
        <v>74</v>
      </c>
      <c r="I511" s="2">
        <v>8</v>
      </c>
      <c r="J511" s="2" t="s">
        <v>106</v>
      </c>
      <c r="K511" s="4">
        <v>46151.10833333333</v>
      </c>
      <c r="L511" s="2" t="s">
        <v>24</v>
      </c>
      <c r="M511" s="2">
        <v>5</v>
      </c>
      <c r="N511" t="s">
        <v>8589</v>
      </c>
      <c r="O511" s="8">
        <f t="shared" si="14"/>
        <v>4.6333333332440816</v>
      </c>
      <c r="P511" t="str">
        <f t="shared" si="15"/>
        <v>Yes</v>
      </c>
    </row>
    <row r="512" spans="1:16" x14ac:dyDescent="0.25">
      <c r="A512" s="2" t="s">
        <v>1468</v>
      </c>
      <c r="B512" s="4">
        <v>46239.800694444442</v>
      </c>
      <c r="C512" s="2" t="s">
        <v>28</v>
      </c>
      <c r="D512" s="2" t="s">
        <v>37</v>
      </c>
      <c r="E512" s="2" t="s">
        <v>85</v>
      </c>
      <c r="F512" s="2" t="s">
        <v>55</v>
      </c>
      <c r="G512" s="2" t="s">
        <v>183</v>
      </c>
      <c r="H512" s="2" t="s">
        <v>80</v>
      </c>
      <c r="I512" s="2">
        <v>4</v>
      </c>
      <c r="J512" s="2" t="s">
        <v>75</v>
      </c>
      <c r="K512" s="4">
        <v>46239.849305555559</v>
      </c>
      <c r="L512" s="2" t="s">
        <v>24</v>
      </c>
      <c r="M512" s="2"/>
      <c r="N512" t="s">
        <v>8582</v>
      </c>
      <c r="O512" s="8">
        <f t="shared" si="14"/>
        <v>1.1666666668024845</v>
      </c>
      <c r="P512" t="str">
        <f t="shared" si="15"/>
        <v>N/A</v>
      </c>
    </row>
    <row r="513" spans="1:16" x14ac:dyDescent="0.25">
      <c r="A513" s="2" t="s">
        <v>1471</v>
      </c>
      <c r="B513" s="4">
        <v>46151.477777777778</v>
      </c>
      <c r="C513" s="2" t="s">
        <v>28</v>
      </c>
      <c r="D513" s="2" t="s">
        <v>37</v>
      </c>
      <c r="E513" s="2" t="s">
        <v>38</v>
      </c>
      <c r="F513" s="2" t="s">
        <v>96</v>
      </c>
      <c r="G513" s="2" t="s">
        <v>31</v>
      </c>
      <c r="H513" s="2" t="s">
        <v>32</v>
      </c>
      <c r="I513" s="2">
        <v>48</v>
      </c>
      <c r="J513" s="2" t="s">
        <v>11</v>
      </c>
      <c r="K513" s="4" t="s">
        <v>8590</v>
      </c>
      <c r="L513" s="2" t="s">
        <v>92</v>
      </c>
      <c r="M513" s="2"/>
      <c r="N513" t="s">
        <v>8583</v>
      </c>
      <c r="O513" s="8" t="str">
        <f t="shared" si="14"/>
        <v/>
      </c>
      <c r="P513" t="str">
        <f t="shared" si="15"/>
        <v>N/A</v>
      </c>
    </row>
    <row r="514" spans="1:16" x14ac:dyDescent="0.25">
      <c r="A514" s="2" t="s">
        <v>1473</v>
      </c>
      <c r="B514" s="4">
        <v>46229.554861111108</v>
      </c>
      <c r="C514" s="2" t="s">
        <v>16</v>
      </c>
      <c r="D514" s="2" t="s">
        <v>17</v>
      </c>
      <c r="E514" s="2" t="s">
        <v>90</v>
      </c>
      <c r="F514" s="2" t="s">
        <v>113</v>
      </c>
      <c r="G514" s="2" t="s">
        <v>183</v>
      </c>
      <c r="H514" s="2" t="s">
        <v>32</v>
      </c>
      <c r="I514" s="2">
        <v>48</v>
      </c>
      <c r="J514" s="2" t="s">
        <v>75</v>
      </c>
      <c r="K514" s="4">
        <v>46231.007638888892</v>
      </c>
      <c r="L514" s="2" t="s">
        <v>24</v>
      </c>
      <c r="M514" s="2"/>
      <c r="N514" t="s">
        <v>8589</v>
      </c>
      <c r="O514" s="8">
        <f t="shared" si="14"/>
        <v>34.866666666814126</v>
      </c>
      <c r="P514" t="str">
        <f t="shared" si="15"/>
        <v>N/A</v>
      </c>
    </row>
    <row r="515" spans="1:16" x14ac:dyDescent="0.25">
      <c r="A515" s="2" t="s">
        <v>1476</v>
      </c>
      <c r="B515" s="4">
        <v>46052.209027777775</v>
      </c>
      <c r="C515" s="2" t="s">
        <v>53</v>
      </c>
      <c r="D515" s="2" t="s">
        <v>54</v>
      </c>
      <c r="E515" s="2" t="s">
        <v>38</v>
      </c>
      <c r="F515" s="2" t="s">
        <v>30</v>
      </c>
      <c r="G515" s="2" t="s">
        <v>101</v>
      </c>
      <c r="H515" s="2" t="s">
        <v>21</v>
      </c>
      <c r="I515" s="2">
        <v>24</v>
      </c>
      <c r="J515" s="2" t="s">
        <v>106</v>
      </c>
      <c r="K515" s="4">
        <v>46052.961805555555</v>
      </c>
      <c r="L515" s="2" t="s">
        <v>24</v>
      </c>
      <c r="M515" s="2">
        <v>1</v>
      </c>
      <c r="N515" t="s">
        <v>8582</v>
      </c>
      <c r="O515" s="8">
        <f t="shared" ref="O515:O578" si="16">IF(K515="","",IF(K515="Missing Resolve Date","",(K515-B515)*24))</f>
        <v>18.066666666709352</v>
      </c>
      <c r="P515" t="str">
        <f t="shared" ref="P515:P578" si="17">IF(J515="Resolved",IF(O515&lt;=I515,"Yes","No"),"N/A")</f>
        <v>Yes</v>
      </c>
    </row>
    <row r="516" spans="1:16" x14ac:dyDescent="0.25">
      <c r="A516" s="2" t="s">
        <v>1479</v>
      </c>
      <c r="B516" s="4">
        <v>46135.259722222225</v>
      </c>
      <c r="C516" s="2" t="s">
        <v>28</v>
      </c>
      <c r="D516" s="2" t="s">
        <v>37</v>
      </c>
      <c r="E516" s="2" t="s">
        <v>85</v>
      </c>
      <c r="F516" s="2" t="s">
        <v>30</v>
      </c>
      <c r="G516" s="2" t="s">
        <v>179</v>
      </c>
      <c r="H516" s="2" t="s">
        <v>32</v>
      </c>
      <c r="I516" s="2">
        <v>48</v>
      </c>
      <c r="J516" s="2" t="s">
        <v>75</v>
      </c>
      <c r="K516" s="4">
        <v>46139.880555555559</v>
      </c>
      <c r="L516" s="2" t="s">
        <v>24</v>
      </c>
      <c r="M516" s="2"/>
      <c r="N516" t="s">
        <v>8587</v>
      </c>
      <c r="O516" s="8">
        <f t="shared" si="16"/>
        <v>110.90000000002328</v>
      </c>
      <c r="P516" t="str">
        <f t="shared" si="17"/>
        <v>N/A</v>
      </c>
    </row>
    <row r="517" spans="1:16" x14ac:dyDescent="0.25">
      <c r="A517" s="2" t="s">
        <v>1482</v>
      </c>
      <c r="B517" s="4">
        <v>46053.953472222223</v>
      </c>
      <c r="C517" s="2" t="s">
        <v>16</v>
      </c>
      <c r="D517" s="2" t="s">
        <v>17</v>
      </c>
      <c r="E517" s="2" t="s">
        <v>38</v>
      </c>
      <c r="F517" s="2" t="s">
        <v>30</v>
      </c>
      <c r="G517" s="2" t="s">
        <v>101</v>
      </c>
      <c r="H517" s="2" t="s">
        <v>32</v>
      </c>
      <c r="I517" s="2">
        <v>48</v>
      </c>
      <c r="J517" s="2" t="s">
        <v>149</v>
      </c>
      <c r="K517" s="4" t="s">
        <v>8590</v>
      </c>
      <c r="L517" s="2" t="s">
        <v>92</v>
      </c>
      <c r="M517" s="2"/>
      <c r="N517" t="s">
        <v>8589</v>
      </c>
      <c r="O517" s="8" t="str">
        <f t="shared" si="16"/>
        <v/>
      </c>
      <c r="P517" t="str">
        <f t="shared" si="17"/>
        <v>N/A</v>
      </c>
    </row>
    <row r="518" spans="1:16" x14ac:dyDescent="0.25">
      <c r="A518" s="2" t="s">
        <v>1484</v>
      </c>
      <c r="B518" s="4">
        <v>46180.811111111114</v>
      </c>
      <c r="C518" s="2" t="s">
        <v>67</v>
      </c>
      <c r="D518" s="2" t="s">
        <v>68</v>
      </c>
      <c r="E518" s="2" t="s">
        <v>79</v>
      </c>
      <c r="F518" s="2" t="s">
        <v>30</v>
      </c>
      <c r="G518" s="2" t="s">
        <v>179</v>
      </c>
      <c r="H518" s="2" t="s">
        <v>21</v>
      </c>
      <c r="I518" s="2">
        <v>24</v>
      </c>
      <c r="J518" s="2" t="s">
        <v>106</v>
      </c>
      <c r="K518" s="4">
        <v>46181.571527777778</v>
      </c>
      <c r="L518" s="2" t="s">
        <v>24</v>
      </c>
      <c r="M518" s="2">
        <v>3</v>
      </c>
      <c r="N518" t="s">
        <v>8589</v>
      </c>
      <c r="O518" s="8">
        <f t="shared" si="16"/>
        <v>18.249999999941792</v>
      </c>
      <c r="P518" t="str">
        <f t="shared" si="17"/>
        <v>Yes</v>
      </c>
    </row>
    <row r="519" spans="1:16" x14ac:dyDescent="0.25">
      <c r="A519" s="2" t="s">
        <v>1487</v>
      </c>
      <c r="B519" s="4">
        <v>46174.599305555559</v>
      </c>
      <c r="C519" s="2" t="s">
        <v>16</v>
      </c>
      <c r="D519" s="2" t="s">
        <v>17</v>
      </c>
      <c r="E519" s="2" t="s">
        <v>79</v>
      </c>
      <c r="F519" s="2" t="s">
        <v>30</v>
      </c>
      <c r="G519" s="2" t="s">
        <v>183</v>
      </c>
      <c r="H519" s="2" t="s">
        <v>21</v>
      </c>
      <c r="I519" s="2">
        <v>24</v>
      </c>
      <c r="J519" s="2" t="s">
        <v>11</v>
      </c>
      <c r="K519" s="4" t="s">
        <v>8590</v>
      </c>
      <c r="L519" s="2" t="s">
        <v>92</v>
      </c>
      <c r="M519" s="2"/>
      <c r="N519" t="s">
        <v>8589</v>
      </c>
      <c r="O519" s="8" t="str">
        <f t="shared" si="16"/>
        <v/>
      </c>
      <c r="P519" t="str">
        <f t="shared" si="17"/>
        <v>N/A</v>
      </c>
    </row>
    <row r="520" spans="1:16" x14ac:dyDescent="0.25">
      <c r="A520" s="2" t="s">
        <v>1489</v>
      </c>
      <c r="B520" s="4">
        <v>46185.293055555558</v>
      </c>
      <c r="C520" s="2" t="s">
        <v>53</v>
      </c>
      <c r="D520" s="2" t="s">
        <v>54</v>
      </c>
      <c r="E520" s="2" t="s">
        <v>46</v>
      </c>
      <c r="F520" s="2" t="s">
        <v>113</v>
      </c>
      <c r="G520" s="2" t="s">
        <v>110</v>
      </c>
      <c r="H520" s="2" t="s">
        <v>74</v>
      </c>
      <c r="I520" s="2">
        <v>8</v>
      </c>
      <c r="J520" s="2" t="s">
        <v>106</v>
      </c>
      <c r="K520" s="4">
        <v>46185.40347222222</v>
      </c>
      <c r="L520" s="2" t="s">
        <v>24</v>
      </c>
      <c r="M520" s="2">
        <v>2</v>
      </c>
      <c r="N520" t="s">
        <v>8588</v>
      </c>
      <c r="O520" s="8">
        <f t="shared" si="16"/>
        <v>2.6499999999068677</v>
      </c>
      <c r="P520" t="str">
        <f t="shared" si="17"/>
        <v>Yes</v>
      </c>
    </row>
    <row r="521" spans="1:16" x14ac:dyDescent="0.25">
      <c r="A521" s="2" t="s">
        <v>1492</v>
      </c>
      <c r="B521" s="4">
        <v>46059.438194444447</v>
      </c>
      <c r="C521" s="2" t="s">
        <v>67</v>
      </c>
      <c r="D521" s="2" t="s">
        <v>68</v>
      </c>
      <c r="E521" s="2" t="s">
        <v>38</v>
      </c>
      <c r="F521" s="2" t="s">
        <v>113</v>
      </c>
      <c r="G521" s="2" t="s">
        <v>110</v>
      </c>
      <c r="H521" s="2" t="s">
        <v>32</v>
      </c>
      <c r="I521" s="2">
        <v>48</v>
      </c>
      <c r="J521" s="2" t="s">
        <v>11</v>
      </c>
      <c r="K521" s="4" t="s">
        <v>8590</v>
      </c>
      <c r="L521" s="2" t="s">
        <v>92</v>
      </c>
      <c r="M521" s="2"/>
      <c r="N521" t="s">
        <v>8584</v>
      </c>
      <c r="O521" s="8" t="str">
        <f t="shared" si="16"/>
        <v/>
      </c>
      <c r="P521" t="str">
        <f t="shared" si="17"/>
        <v>N/A</v>
      </c>
    </row>
    <row r="522" spans="1:16" x14ac:dyDescent="0.25">
      <c r="A522" s="2" t="s">
        <v>1494</v>
      </c>
      <c r="B522" s="4">
        <v>46056.461805555555</v>
      </c>
      <c r="C522" s="2" t="s">
        <v>53</v>
      </c>
      <c r="D522" s="2" t="s">
        <v>54</v>
      </c>
      <c r="E522" s="2" t="s">
        <v>79</v>
      </c>
      <c r="F522" s="2" t="s">
        <v>55</v>
      </c>
      <c r="G522" s="2" t="s">
        <v>183</v>
      </c>
      <c r="H522" s="2" t="s">
        <v>32</v>
      </c>
      <c r="I522" s="2">
        <v>48</v>
      </c>
      <c r="J522" s="2" t="s">
        <v>75</v>
      </c>
      <c r="K522" s="4">
        <v>46056.71597222222</v>
      </c>
      <c r="L522" s="2" t="s">
        <v>24</v>
      </c>
      <c r="M522" s="2"/>
      <c r="N522" t="s">
        <v>8585</v>
      </c>
      <c r="O522" s="8">
        <f t="shared" si="16"/>
        <v>6.0999999999767169</v>
      </c>
      <c r="P522" t="str">
        <f t="shared" si="17"/>
        <v>N/A</v>
      </c>
    </row>
    <row r="523" spans="1:16" x14ac:dyDescent="0.25">
      <c r="A523" s="2" t="s">
        <v>1497</v>
      </c>
      <c r="B523" s="4">
        <v>46171.145833333336</v>
      </c>
      <c r="C523" s="2" t="s">
        <v>53</v>
      </c>
      <c r="D523" s="2" t="s">
        <v>61</v>
      </c>
      <c r="E523" s="2" t="s">
        <v>18</v>
      </c>
      <c r="F523" s="2" t="s">
        <v>30</v>
      </c>
      <c r="G523" s="2" t="s">
        <v>179</v>
      </c>
      <c r="H523" s="2" t="s">
        <v>21</v>
      </c>
      <c r="I523" s="2">
        <v>24</v>
      </c>
      <c r="J523" s="2" t="s">
        <v>106</v>
      </c>
      <c r="K523" s="4">
        <v>46172.035416666666</v>
      </c>
      <c r="L523" s="2" t="s">
        <v>24</v>
      </c>
      <c r="M523" s="2"/>
      <c r="N523" t="s">
        <v>8585</v>
      </c>
      <c r="O523" s="8">
        <f t="shared" si="16"/>
        <v>21.349999999918509</v>
      </c>
      <c r="P523" t="str">
        <f t="shared" si="17"/>
        <v>Yes</v>
      </c>
    </row>
    <row r="524" spans="1:16" x14ac:dyDescent="0.25">
      <c r="A524" s="2" t="s">
        <v>1500</v>
      </c>
      <c r="B524" s="4">
        <v>46222.856249999997</v>
      </c>
      <c r="C524" s="2" t="s">
        <v>16</v>
      </c>
      <c r="D524" s="2" t="s">
        <v>84</v>
      </c>
      <c r="E524" s="2" t="s">
        <v>148</v>
      </c>
      <c r="F524" s="2" t="s">
        <v>96</v>
      </c>
      <c r="G524" s="2" t="s">
        <v>179</v>
      </c>
      <c r="H524" s="2" t="s">
        <v>74</v>
      </c>
      <c r="I524" s="2">
        <v>8</v>
      </c>
      <c r="J524" s="2" t="s">
        <v>8580</v>
      </c>
      <c r="K524" s="4">
        <v>46223.111805555556</v>
      </c>
      <c r="L524" s="2" t="s">
        <v>24</v>
      </c>
      <c r="M524" s="2"/>
      <c r="N524" t="s">
        <v>8584</v>
      </c>
      <c r="O524" s="8">
        <f t="shared" si="16"/>
        <v>6.1333333334187046</v>
      </c>
      <c r="P524" t="str">
        <f t="shared" si="17"/>
        <v>N/A</v>
      </c>
    </row>
    <row r="525" spans="1:16" x14ac:dyDescent="0.25">
      <c r="A525" s="2" t="s">
        <v>1503</v>
      </c>
      <c r="B525" s="4">
        <v>46192.160416666666</v>
      </c>
      <c r="C525" s="2" t="s">
        <v>67</v>
      </c>
      <c r="D525" s="2" t="s">
        <v>68</v>
      </c>
      <c r="E525" s="2" t="s">
        <v>18</v>
      </c>
      <c r="F525" s="2" t="s">
        <v>96</v>
      </c>
      <c r="G525" s="2" t="s">
        <v>183</v>
      </c>
      <c r="H525" s="2" t="s">
        <v>32</v>
      </c>
      <c r="I525" s="2">
        <v>48</v>
      </c>
      <c r="J525" s="2" t="s">
        <v>149</v>
      </c>
      <c r="K525" s="4" t="s">
        <v>8590</v>
      </c>
      <c r="L525" s="2" t="s">
        <v>24</v>
      </c>
      <c r="M525" s="2"/>
      <c r="N525" t="s">
        <v>8589</v>
      </c>
      <c r="O525" s="8" t="str">
        <f t="shared" si="16"/>
        <v/>
      </c>
      <c r="P525" t="str">
        <f t="shared" si="17"/>
        <v>N/A</v>
      </c>
    </row>
    <row r="526" spans="1:16" x14ac:dyDescent="0.25">
      <c r="A526" s="2" t="s">
        <v>1505</v>
      </c>
      <c r="B526" s="4">
        <v>46081.065972222219</v>
      </c>
      <c r="C526" s="2" t="s">
        <v>53</v>
      </c>
      <c r="D526" s="2" t="s">
        <v>54</v>
      </c>
      <c r="E526" s="2" t="s">
        <v>148</v>
      </c>
      <c r="F526" s="2" t="s">
        <v>96</v>
      </c>
      <c r="G526" s="2" t="s">
        <v>211</v>
      </c>
      <c r="H526" s="2" t="s">
        <v>21</v>
      </c>
      <c r="I526" s="2">
        <v>24</v>
      </c>
      <c r="J526" s="2" t="s">
        <v>106</v>
      </c>
      <c r="K526" s="4">
        <v>46083.755555555559</v>
      </c>
      <c r="L526" s="2" t="s">
        <v>24</v>
      </c>
      <c r="M526" s="2"/>
      <c r="N526" t="s">
        <v>8589</v>
      </c>
      <c r="O526" s="8">
        <f t="shared" si="16"/>
        <v>64.550000000162981</v>
      </c>
      <c r="P526" t="str">
        <f t="shared" si="17"/>
        <v>No</v>
      </c>
    </row>
    <row r="527" spans="1:16" x14ac:dyDescent="0.25">
      <c r="A527" s="2" t="s">
        <v>1508</v>
      </c>
      <c r="B527" s="4">
        <v>46182.313888888886</v>
      </c>
      <c r="C527" s="2" t="s">
        <v>67</v>
      </c>
      <c r="D527" s="2" t="s">
        <v>95</v>
      </c>
      <c r="E527" s="2" t="s">
        <v>90</v>
      </c>
      <c r="F527" s="2" t="s">
        <v>113</v>
      </c>
      <c r="G527" s="2" t="s">
        <v>31</v>
      </c>
      <c r="H527" s="2" t="s">
        <v>21</v>
      </c>
      <c r="I527" s="2">
        <v>24</v>
      </c>
      <c r="J527" s="2" t="s">
        <v>149</v>
      </c>
      <c r="K527" s="4" t="s">
        <v>8590</v>
      </c>
      <c r="L527" s="2" t="s">
        <v>24</v>
      </c>
      <c r="M527" s="2"/>
      <c r="N527" t="s">
        <v>8589</v>
      </c>
      <c r="O527" s="8" t="str">
        <f t="shared" si="16"/>
        <v/>
      </c>
      <c r="P527" t="str">
        <f t="shared" si="17"/>
        <v>N/A</v>
      </c>
    </row>
    <row r="528" spans="1:16" x14ac:dyDescent="0.25">
      <c r="A528" s="2" t="s">
        <v>1510</v>
      </c>
      <c r="B528" s="4">
        <v>46157.362500000003</v>
      </c>
      <c r="C528" s="2" t="s">
        <v>16</v>
      </c>
      <c r="D528" s="2" t="s">
        <v>84</v>
      </c>
      <c r="E528" s="2" t="s">
        <v>18</v>
      </c>
      <c r="F528" s="2" t="s">
        <v>30</v>
      </c>
      <c r="G528" s="2" t="s">
        <v>31</v>
      </c>
      <c r="H528" s="2" t="s">
        <v>80</v>
      </c>
      <c r="I528" s="2">
        <v>4</v>
      </c>
      <c r="J528" s="2" t="s">
        <v>106</v>
      </c>
      <c r="K528" s="4">
        <v>46157.726388888892</v>
      </c>
      <c r="L528" s="2" t="s">
        <v>24</v>
      </c>
      <c r="M528" s="2">
        <v>5</v>
      </c>
      <c r="N528" t="s">
        <v>8583</v>
      </c>
      <c r="O528" s="8">
        <f t="shared" si="16"/>
        <v>8.7333333333372138</v>
      </c>
      <c r="P528" t="str">
        <f t="shared" si="17"/>
        <v>No</v>
      </c>
    </row>
    <row r="529" spans="1:16" x14ac:dyDescent="0.25">
      <c r="A529" s="2" t="s">
        <v>1513</v>
      </c>
      <c r="B529" s="4">
        <v>46089.523611111108</v>
      </c>
      <c r="C529" s="2" t="s">
        <v>53</v>
      </c>
      <c r="D529" s="2" t="s">
        <v>61</v>
      </c>
      <c r="E529" s="2" t="s">
        <v>79</v>
      </c>
      <c r="F529" s="2" t="s">
        <v>55</v>
      </c>
      <c r="G529" s="2" t="s">
        <v>110</v>
      </c>
      <c r="H529" s="2" t="s">
        <v>74</v>
      </c>
      <c r="I529" s="2">
        <v>8</v>
      </c>
      <c r="J529" s="2" t="s">
        <v>106</v>
      </c>
      <c r="K529" s="4">
        <v>46089.583333333336</v>
      </c>
      <c r="L529" s="2" t="s">
        <v>24</v>
      </c>
      <c r="M529" s="2">
        <v>5</v>
      </c>
      <c r="N529" t="s">
        <v>8587</v>
      </c>
      <c r="O529" s="8">
        <f t="shared" si="16"/>
        <v>1.4333333334652707</v>
      </c>
      <c r="P529" t="str">
        <f t="shared" si="17"/>
        <v>Yes</v>
      </c>
    </row>
    <row r="530" spans="1:16" x14ac:dyDescent="0.25">
      <c r="A530" s="2" t="s">
        <v>1516</v>
      </c>
      <c r="B530" s="4">
        <v>46244.01458333333</v>
      </c>
      <c r="C530" s="2" t="s">
        <v>16</v>
      </c>
      <c r="D530" s="2" t="s">
        <v>17</v>
      </c>
      <c r="E530" s="2" t="s">
        <v>90</v>
      </c>
      <c r="F530" s="2" t="s">
        <v>30</v>
      </c>
      <c r="G530" s="2" t="s">
        <v>183</v>
      </c>
      <c r="H530" s="2" t="s">
        <v>32</v>
      </c>
      <c r="I530" s="2">
        <v>48</v>
      </c>
      <c r="J530" s="2" t="s">
        <v>75</v>
      </c>
      <c r="K530" s="4">
        <v>46244.15347222222</v>
      </c>
      <c r="L530" s="2" t="s">
        <v>24</v>
      </c>
      <c r="M530" s="2">
        <v>5</v>
      </c>
      <c r="N530" t="s">
        <v>8581</v>
      </c>
      <c r="O530" s="8">
        <f t="shared" si="16"/>
        <v>3.3333333333721384</v>
      </c>
      <c r="P530" t="str">
        <f t="shared" si="17"/>
        <v>N/A</v>
      </c>
    </row>
    <row r="531" spans="1:16" x14ac:dyDescent="0.25">
      <c r="A531" s="2" t="s">
        <v>1519</v>
      </c>
      <c r="B531" s="4">
        <v>46250.53125</v>
      </c>
      <c r="C531" s="2" t="s">
        <v>53</v>
      </c>
      <c r="D531" s="2" t="s">
        <v>61</v>
      </c>
      <c r="E531" s="2" t="s">
        <v>148</v>
      </c>
      <c r="F531" s="2" t="s">
        <v>96</v>
      </c>
      <c r="G531" s="2" t="s">
        <v>110</v>
      </c>
      <c r="H531" s="2" t="s">
        <v>80</v>
      </c>
      <c r="I531" s="2">
        <v>4</v>
      </c>
      <c r="J531" s="2" t="s">
        <v>8580</v>
      </c>
      <c r="K531" s="4">
        <v>46250.625</v>
      </c>
      <c r="L531" s="2" t="s">
        <v>24</v>
      </c>
      <c r="M531" s="2"/>
      <c r="N531" t="s">
        <v>8584</v>
      </c>
      <c r="O531" s="8">
        <f t="shared" si="16"/>
        <v>2.25</v>
      </c>
      <c r="P531" t="str">
        <f t="shared" si="17"/>
        <v>N/A</v>
      </c>
    </row>
    <row r="532" spans="1:16" x14ac:dyDescent="0.25">
      <c r="A532" s="2" t="s">
        <v>1522</v>
      </c>
      <c r="B532" s="4">
        <v>46158.981249999997</v>
      </c>
      <c r="C532" s="2" t="s">
        <v>28</v>
      </c>
      <c r="D532" s="2" t="s">
        <v>100</v>
      </c>
      <c r="E532" s="2" t="s">
        <v>38</v>
      </c>
      <c r="F532" s="2" t="s">
        <v>30</v>
      </c>
      <c r="G532" s="2" t="s">
        <v>183</v>
      </c>
      <c r="H532" s="2" t="s">
        <v>32</v>
      </c>
      <c r="I532" s="2">
        <v>48</v>
      </c>
      <c r="J532" s="2" t="s">
        <v>75</v>
      </c>
      <c r="K532" s="4">
        <v>46160.290277777778</v>
      </c>
      <c r="L532" s="2" t="s">
        <v>24</v>
      </c>
      <c r="M532" s="2">
        <v>4</v>
      </c>
      <c r="N532" t="s">
        <v>8581</v>
      </c>
      <c r="O532" s="8">
        <f t="shared" si="16"/>
        <v>31.416666666744277</v>
      </c>
      <c r="P532" t="str">
        <f t="shared" si="17"/>
        <v>N/A</v>
      </c>
    </row>
    <row r="533" spans="1:16" x14ac:dyDescent="0.25">
      <c r="A533" s="2" t="s">
        <v>1525</v>
      </c>
      <c r="B533" s="4">
        <v>46149.943055555559</v>
      </c>
      <c r="C533" s="2" t="s">
        <v>28</v>
      </c>
      <c r="D533" s="2" t="s">
        <v>100</v>
      </c>
      <c r="E533" s="2" t="s">
        <v>90</v>
      </c>
      <c r="F533" s="2" t="s">
        <v>30</v>
      </c>
      <c r="G533" s="2" t="s">
        <v>31</v>
      </c>
      <c r="H533" s="2" t="s">
        <v>21</v>
      </c>
      <c r="I533" s="2">
        <v>24</v>
      </c>
      <c r="J533" s="2" t="s">
        <v>287</v>
      </c>
      <c r="K533" s="4" t="s">
        <v>8590</v>
      </c>
      <c r="L533" s="2" t="s">
        <v>24</v>
      </c>
      <c r="M533" s="2"/>
      <c r="N533" t="s">
        <v>8589</v>
      </c>
      <c r="O533" s="8" t="str">
        <f t="shared" si="16"/>
        <v/>
      </c>
      <c r="P533" t="str">
        <f t="shared" si="17"/>
        <v>N/A</v>
      </c>
    </row>
    <row r="534" spans="1:16" x14ac:dyDescent="0.25">
      <c r="A534" s="2" t="s">
        <v>1527</v>
      </c>
      <c r="B534" s="4">
        <v>46114.383333333331</v>
      </c>
      <c r="C534" s="2" t="s">
        <v>67</v>
      </c>
      <c r="D534" s="2" t="s">
        <v>68</v>
      </c>
      <c r="E534" s="2" t="s">
        <v>85</v>
      </c>
      <c r="F534" s="2" t="s">
        <v>30</v>
      </c>
      <c r="G534" s="2" t="s">
        <v>179</v>
      </c>
      <c r="H534" s="2" t="s">
        <v>21</v>
      </c>
      <c r="I534" s="2">
        <v>24</v>
      </c>
      <c r="J534" s="2" t="s">
        <v>75</v>
      </c>
      <c r="K534" s="4">
        <v>46115.088888888888</v>
      </c>
      <c r="L534" s="2" t="s">
        <v>24</v>
      </c>
      <c r="M534" s="2">
        <v>5</v>
      </c>
      <c r="N534" t="s">
        <v>8584</v>
      </c>
      <c r="O534" s="8">
        <f t="shared" si="16"/>
        <v>16.933333333348855</v>
      </c>
      <c r="P534" t="str">
        <f t="shared" si="17"/>
        <v>N/A</v>
      </c>
    </row>
    <row r="535" spans="1:16" x14ac:dyDescent="0.25">
      <c r="A535" s="2" t="s">
        <v>1530</v>
      </c>
      <c r="B535" s="4">
        <v>46237.388888888891</v>
      </c>
      <c r="C535" s="2" t="s">
        <v>53</v>
      </c>
      <c r="D535" s="2" t="s">
        <v>61</v>
      </c>
      <c r="E535" s="2" t="s">
        <v>18</v>
      </c>
      <c r="F535" s="2" t="s">
        <v>96</v>
      </c>
      <c r="G535" s="2" t="s">
        <v>101</v>
      </c>
      <c r="H535" s="2" t="s">
        <v>21</v>
      </c>
      <c r="I535" s="2">
        <v>24</v>
      </c>
      <c r="J535" s="2" t="s">
        <v>106</v>
      </c>
      <c r="K535" s="4">
        <v>46239.506249999999</v>
      </c>
      <c r="L535" s="2" t="s">
        <v>24</v>
      </c>
      <c r="M535" s="2">
        <v>2</v>
      </c>
      <c r="N535" t="s">
        <v>8583</v>
      </c>
      <c r="O535" s="8">
        <f t="shared" si="16"/>
        <v>50.816666666592937</v>
      </c>
      <c r="P535" t="str">
        <f t="shared" si="17"/>
        <v>No</v>
      </c>
    </row>
    <row r="536" spans="1:16" x14ac:dyDescent="0.25">
      <c r="A536" s="2" t="s">
        <v>1533</v>
      </c>
      <c r="B536" s="4">
        <v>46263.098611111112</v>
      </c>
      <c r="C536" s="2" t="s">
        <v>67</v>
      </c>
      <c r="D536" s="2" t="s">
        <v>95</v>
      </c>
      <c r="E536" s="2" t="s">
        <v>148</v>
      </c>
      <c r="F536" s="2" t="s">
        <v>96</v>
      </c>
      <c r="G536" s="2" t="s">
        <v>31</v>
      </c>
      <c r="H536" s="2" t="s">
        <v>32</v>
      </c>
      <c r="I536" s="2">
        <v>48</v>
      </c>
      <c r="J536" s="2" t="s">
        <v>106</v>
      </c>
      <c r="K536" s="4">
        <v>46264.611111111109</v>
      </c>
      <c r="L536" s="2" t="s">
        <v>24</v>
      </c>
      <c r="M536" s="2">
        <v>3</v>
      </c>
      <c r="N536" t="s">
        <v>8583</v>
      </c>
      <c r="O536" s="8">
        <f t="shared" si="16"/>
        <v>36.299999999930151</v>
      </c>
      <c r="P536" t="str">
        <f t="shared" si="17"/>
        <v>Yes</v>
      </c>
    </row>
    <row r="537" spans="1:16" x14ac:dyDescent="0.25">
      <c r="A537" s="2" t="s">
        <v>1536</v>
      </c>
      <c r="B537" s="4">
        <v>46210.504166666666</v>
      </c>
      <c r="C537" s="2" t="s">
        <v>67</v>
      </c>
      <c r="D537" s="2" t="s">
        <v>95</v>
      </c>
      <c r="E537" s="2" t="s">
        <v>85</v>
      </c>
      <c r="F537" s="2" t="s">
        <v>96</v>
      </c>
      <c r="G537" s="2" t="s">
        <v>179</v>
      </c>
      <c r="H537" s="2" t="s">
        <v>32</v>
      </c>
      <c r="I537" s="2">
        <v>48</v>
      </c>
      <c r="J537" s="2" t="s">
        <v>75</v>
      </c>
      <c r="K537" s="4">
        <v>46212.228472222225</v>
      </c>
      <c r="L537" s="2" t="s">
        <v>24</v>
      </c>
      <c r="M537" s="2"/>
      <c r="N537" t="s">
        <v>8581</v>
      </c>
      <c r="O537" s="8">
        <f t="shared" si="16"/>
        <v>41.383333333418705</v>
      </c>
      <c r="P537" t="str">
        <f t="shared" si="17"/>
        <v>N/A</v>
      </c>
    </row>
    <row r="538" spans="1:16" x14ac:dyDescent="0.25">
      <c r="A538" s="2" t="s">
        <v>1539</v>
      </c>
      <c r="B538" s="4">
        <v>46242.234027777777</v>
      </c>
      <c r="C538" s="2" t="s">
        <v>28</v>
      </c>
      <c r="D538" s="2" t="s">
        <v>100</v>
      </c>
      <c r="E538" s="2" t="s">
        <v>148</v>
      </c>
      <c r="F538" s="2" t="s">
        <v>96</v>
      </c>
      <c r="G538" s="2" t="s">
        <v>31</v>
      </c>
      <c r="H538" s="2" t="s">
        <v>21</v>
      </c>
      <c r="I538" s="2">
        <v>24</v>
      </c>
      <c r="J538" s="2" t="s">
        <v>106</v>
      </c>
      <c r="K538" s="4">
        <v>46242.621527777781</v>
      </c>
      <c r="L538" s="2" t="s">
        <v>24</v>
      </c>
      <c r="M538" s="2">
        <v>5</v>
      </c>
      <c r="N538" t="s">
        <v>8587</v>
      </c>
      <c r="O538" s="8">
        <f t="shared" si="16"/>
        <v>9.3000000001047738</v>
      </c>
      <c r="P538" t="str">
        <f t="shared" si="17"/>
        <v>Yes</v>
      </c>
    </row>
    <row r="539" spans="1:16" x14ac:dyDescent="0.25">
      <c r="A539" s="2" t="s">
        <v>1542</v>
      </c>
      <c r="B539" s="4">
        <v>46138.625694444447</v>
      </c>
      <c r="C539" s="2" t="s">
        <v>53</v>
      </c>
      <c r="D539" s="2" t="s">
        <v>61</v>
      </c>
      <c r="E539" s="2" t="s">
        <v>148</v>
      </c>
      <c r="F539" s="2" t="s">
        <v>96</v>
      </c>
      <c r="G539" s="2" t="s">
        <v>110</v>
      </c>
      <c r="H539" s="2" t="s">
        <v>74</v>
      </c>
      <c r="I539" s="2">
        <v>8</v>
      </c>
      <c r="J539" s="2" t="s">
        <v>149</v>
      </c>
      <c r="K539" s="4" t="s">
        <v>8590</v>
      </c>
      <c r="L539" s="2" t="s">
        <v>24</v>
      </c>
      <c r="M539" s="2"/>
      <c r="N539" t="s">
        <v>8584</v>
      </c>
      <c r="O539" s="8" t="str">
        <f t="shared" si="16"/>
        <v/>
      </c>
      <c r="P539" t="str">
        <f t="shared" si="17"/>
        <v>N/A</v>
      </c>
    </row>
    <row r="540" spans="1:16" x14ac:dyDescent="0.25">
      <c r="A540" s="2" t="s">
        <v>1544</v>
      </c>
      <c r="B540" s="4">
        <v>46115.324305555558</v>
      </c>
      <c r="C540" s="2" t="s">
        <v>67</v>
      </c>
      <c r="D540" s="2" t="s">
        <v>95</v>
      </c>
      <c r="E540" s="2" t="s">
        <v>38</v>
      </c>
      <c r="F540" s="2" t="s">
        <v>113</v>
      </c>
      <c r="G540" s="2" t="s">
        <v>31</v>
      </c>
      <c r="H540" s="2" t="s">
        <v>74</v>
      </c>
      <c r="I540" s="2">
        <v>8</v>
      </c>
      <c r="J540" s="2" t="s">
        <v>106</v>
      </c>
      <c r="K540" s="4">
        <v>46115.390972222223</v>
      </c>
      <c r="L540" s="2" t="s">
        <v>92</v>
      </c>
      <c r="M540" s="2">
        <v>2</v>
      </c>
      <c r="N540" t="s">
        <v>8584</v>
      </c>
      <c r="O540" s="8">
        <f t="shared" si="16"/>
        <v>1.5999999999767169</v>
      </c>
      <c r="P540" t="str">
        <f t="shared" si="17"/>
        <v>Yes</v>
      </c>
    </row>
    <row r="541" spans="1:16" x14ac:dyDescent="0.25">
      <c r="A541" s="2" t="s">
        <v>1547</v>
      </c>
      <c r="B541" s="4">
        <v>46173.677777777775</v>
      </c>
      <c r="C541" s="2" t="s">
        <v>16</v>
      </c>
      <c r="D541" s="2" t="s">
        <v>17</v>
      </c>
      <c r="E541" s="2" t="s">
        <v>18</v>
      </c>
      <c r="F541" s="2" t="s">
        <v>113</v>
      </c>
      <c r="G541" s="2" t="s">
        <v>101</v>
      </c>
      <c r="H541" s="2" t="s">
        <v>21</v>
      </c>
      <c r="I541" s="2">
        <v>24</v>
      </c>
      <c r="J541" s="2" t="s">
        <v>106</v>
      </c>
      <c r="K541" s="4">
        <v>46173.974305555559</v>
      </c>
      <c r="L541" s="2" t="s">
        <v>24</v>
      </c>
      <c r="M541" s="2"/>
      <c r="N541" t="s">
        <v>8587</v>
      </c>
      <c r="O541" s="8">
        <f t="shared" si="16"/>
        <v>7.1166666668141261</v>
      </c>
      <c r="P541" t="str">
        <f t="shared" si="17"/>
        <v>Yes</v>
      </c>
    </row>
    <row r="542" spans="1:16" x14ac:dyDescent="0.25">
      <c r="A542" s="2" t="s">
        <v>1550</v>
      </c>
      <c r="B542" s="4">
        <v>46198.286111111112</v>
      </c>
      <c r="C542" s="2" t="s">
        <v>28</v>
      </c>
      <c r="D542" s="2" t="s">
        <v>100</v>
      </c>
      <c r="E542" s="2" t="s">
        <v>85</v>
      </c>
      <c r="F542" s="2" t="s">
        <v>113</v>
      </c>
      <c r="G542" s="2" t="s">
        <v>31</v>
      </c>
      <c r="H542" s="2" t="s">
        <v>32</v>
      </c>
      <c r="I542" s="2">
        <v>48</v>
      </c>
      <c r="J542" s="2" t="s">
        <v>106</v>
      </c>
      <c r="K542" s="4">
        <v>46199.322916666664</v>
      </c>
      <c r="L542" s="2" t="s">
        <v>24</v>
      </c>
      <c r="M542" s="2">
        <v>4</v>
      </c>
      <c r="N542" t="s">
        <v>8586</v>
      </c>
      <c r="O542" s="8">
        <f t="shared" si="16"/>
        <v>24.883333333244082</v>
      </c>
      <c r="P542" t="str">
        <f t="shared" si="17"/>
        <v>Yes</v>
      </c>
    </row>
    <row r="543" spans="1:16" x14ac:dyDescent="0.25">
      <c r="A543" s="2" t="s">
        <v>1553</v>
      </c>
      <c r="B543" s="4">
        <v>46132.788888888892</v>
      </c>
      <c r="C543" s="2" t="s">
        <v>16</v>
      </c>
      <c r="D543" s="2" t="s">
        <v>84</v>
      </c>
      <c r="E543" s="2" t="s">
        <v>90</v>
      </c>
      <c r="F543" s="2" t="s">
        <v>30</v>
      </c>
      <c r="G543" s="2" t="s">
        <v>101</v>
      </c>
      <c r="H543" s="2" t="s">
        <v>32</v>
      </c>
      <c r="I543" s="2">
        <v>48</v>
      </c>
      <c r="J543" s="2" t="s">
        <v>287</v>
      </c>
      <c r="K543" s="4" t="s">
        <v>8590</v>
      </c>
      <c r="L543" s="2" t="s">
        <v>24</v>
      </c>
      <c r="M543" s="2"/>
      <c r="N543" t="s">
        <v>8587</v>
      </c>
      <c r="O543" s="8" t="str">
        <f t="shared" si="16"/>
        <v/>
      </c>
      <c r="P543" t="str">
        <f t="shared" si="17"/>
        <v>N/A</v>
      </c>
    </row>
    <row r="544" spans="1:16" x14ac:dyDescent="0.25">
      <c r="A544" s="2" t="s">
        <v>1555</v>
      </c>
      <c r="B544" s="4">
        <v>46231.010416666664</v>
      </c>
      <c r="C544" s="2" t="s">
        <v>16</v>
      </c>
      <c r="D544" s="2" t="s">
        <v>17</v>
      </c>
      <c r="E544" s="2" t="s">
        <v>46</v>
      </c>
      <c r="F544" s="2" t="s">
        <v>55</v>
      </c>
      <c r="G544" s="2" t="s">
        <v>183</v>
      </c>
      <c r="H544" s="2" t="s">
        <v>80</v>
      </c>
      <c r="I544" s="2">
        <v>4</v>
      </c>
      <c r="J544" s="2" t="s">
        <v>11</v>
      </c>
      <c r="K544" s="4" t="s">
        <v>8590</v>
      </c>
      <c r="L544" s="2" t="s">
        <v>92</v>
      </c>
      <c r="M544" s="2"/>
      <c r="N544" t="s">
        <v>8583</v>
      </c>
      <c r="O544" s="8" t="str">
        <f t="shared" si="16"/>
        <v/>
      </c>
      <c r="P544" t="str">
        <f t="shared" si="17"/>
        <v>N/A</v>
      </c>
    </row>
    <row r="545" spans="1:16" x14ac:dyDescent="0.25">
      <c r="A545" s="2" t="s">
        <v>1557</v>
      </c>
      <c r="B545" s="4">
        <v>46152.647916666669</v>
      </c>
      <c r="C545" s="2" t="s">
        <v>53</v>
      </c>
      <c r="D545" s="2" t="s">
        <v>54</v>
      </c>
      <c r="E545" s="2" t="s">
        <v>85</v>
      </c>
      <c r="F545" s="2" t="s">
        <v>30</v>
      </c>
      <c r="G545" s="2" t="s">
        <v>31</v>
      </c>
      <c r="H545" s="2" t="s">
        <v>80</v>
      </c>
      <c r="I545" s="2">
        <v>4</v>
      </c>
      <c r="J545" s="2" t="s">
        <v>106</v>
      </c>
      <c r="K545" s="4">
        <v>46152.672222222223</v>
      </c>
      <c r="L545" s="2" t="s">
        <v>24</v>
      </c>
      <c r="M545" s="2">
        <v>1</v>
      </c>
      <c r="N545" t="s">
        <v>8587</v>
      </c>
      <c r="O545" s="8">
        <f t="shared" si="16"/>
        <v>0.58333333331393078</v>
      </c>
      <c r="P545" t="str">
        <f t="shared" si="17"/>
        <v>Yes</v>
      </c>
    </row>
    <row r="546" spans="1:16" x14ac:dyDescent="0.25">
      <c r="A546" s="2" t="s">
        <v>1560</v>
      </c>
      <c r="B546" s="4">
        <v>46238.353472222225</v>
      </c>
      <c r="C546" s="2" t="s">
        <v>16</v>
      </c>
      <c r="D546" s="2" t="s">
        <v>84</v>
      </c>
      <c r="E546" s="2" t="s">
        <v>90</v>
      </c>
      <c r="F546" s="2" t="s">
        <v>113</v>
      </c>
      <c r="G546" s="2" t="s">
        <v>211</v>
      </c>
      <c r="H546" s="2" t="s">
        <v>32</v>
      </c>
      <c r="I546" s="2">
        <v>48</v>
      </c>
      <c r="J546" s="2" t="s">
        <v>75</v>
      </c>
      <c r="K546" s="4">
        <v>46239.501388888886</v>
      </c>
      <c r="L546" s="2" t="s">
        <v>24</v>
      </c>
      <c r="M546" s="2">
        <v>2</v>
      </c>
      <c r="N546" t="s">
        <v>8589</v>
      </c>
      <c r="O546" s="8">
        <f t="shared" si="16"/>
        <v>27.549999999871943</v>
      </c>
      <c r="P546" t="str">
        <f t="shared" si="17"/>
        <v>N/A</v>
      </c>
    </row>
    <row r="547" spans="1:16" x14ac:dyDescent="0.25">
      <c r="A547" s="2" t="s">
        <v>1563</v>
      </c>
      <c r="B547" s="4">
        <v>46058.602777777778</v>
      </c>
      <c r="C547" s="2" t="s">
        <v>67</v>
      </c>
      <c r="D547" s="2" t="s">
        <v>95</v>
      </c>
      <c r="E547" s="2" t="s">
        <v>46</v>
      </c>
      <c r="F547" s="2" t="s">
        <v>55</v>
      </c>
      <c r="G547" s="2" t="s">
        <v>101</v>
      </c>
      <c r="H547" s="2" t="s">
        <v>32</v>
      </c>
      <c r="I547" s="2">
        <v>48</v>
      </c>
      <c r="J547" s="2" t="s">
        <v>106</v>
      </c>
      <c r="K547" s="4">
        <v>46064.267361111109</v>
      </c>
      <c r="L547" s="2" t="s">
        <v>24</v>
      </c>
      <c r="M547" s="2"/>
      <c r="N547" t="s">
        <v>8581</v>
      </c>
      <c r="O547" s="8">
        <f t="shared" si="16"/>
        <v>135.94999999995343</v>
      </c>
      <c r="P547" t="str">
        <f t="shared" si="17"/>
        <v>No</v>
      </c>
    </row>
    <row r="548" spans="1:16" x14ac:dyDescent="0.25">
      <c r="A548" s="2" t="s">
        <v>1566</v>
      </c>
      <c r="B548" s="4">
        <v>46226.930555555555</v>
      </c>
      <c r="C548" s="2" t="s">
        <v>28</v>
      </c>
      <c r="D548" s="2" t="s">
        <v>100</v>
      </c>
      <c r="E548" s="2" t="s">
        <v>148</v>
      </c>
      <c r="F548" s="2" t="s">
        <v>30</v>
      </c>
      <c r="G548" s="2" t="s">
        <v>179</v>
      </c>
      <c r="H548" s="2" t="s">
        <v>21</v>
      </c>
      <c r="I548" s="2">
        <v>24</v>
      </c>
      <c r="J548" s="2" t="s">
        <v>106</v>
      </c>
      <c r="K548" s="4">
        <v>46227.563888888886</v>
      </c>
      <c r="L548" s="2" t="s">
        <v>24</v>
      </c>
      <c r="M548" s="2">
        <v>4</v>
      </c>
      <c r="N548" t="s">
        <v>8587</v>
      </c>
      <c r="O548" s="8">
        <f t="shared" si="16"/>
        <v>15.199999999953434</v>
      </c>
      <c r="P548" t="str">
        <f t="shared" si="17"/>
        <v>Yes</v>
      </c>
    </row>
    <row r="549" spans="1:16" x14ac:dyDescent="0.25">
      <c r="A549" s="2" t="s">
        <v>1569</v>
      </c>
      <c r="B549" s="4">
        <v>46072.770833333336</v>
      </c>
      <c r="C549" s="2" t="s">
        <v>53</v>
      </c>
      <c r="D549" s="2" t="s">
        <v>54</v>
      </c>
      <c r="E549" s="2" t="s">
        <v>38</v>
      </c>
      <c r="F549" s="2" t="s">
        <v>55</v>
      </c>
      <c r="G549" s="2" t="s">
        <v>110</v>
      </c>
      <c r="H549" s="2" t="s">
        <v>32</v>
      </c>
      <c r="I549" s="2">
        <v>48</v>
      </c>
      <c r="J549" s="2" t="s">
        <v>11</v>
      </c>
      <c r="K549" s="4" t="s">
        <v>8590</v>
      </c>
      <c r="L549" s="2" t="s">
        <v>92</v>
      </c>
      <c r="M549" s="2"/>
      <c r="N549" t="s">
        <v>8589</v>
      </c>
      <c r="O549" s="8" t="str">
        <f t="shared" si="16"/>
        <v/>
      </c>
      <c r="P549" t="str">
        <f t="shared" si="17"/>
        <v>N/A</v>
      </c>
    </row>
    <row r="550" spans="1:16" x14ac:dyDescent="0.25">
      <c r="A550" s="2" t="s">
        <v>1571</v>
      </c>
      <c r="B550" s="4">
        <v>46202.743750000001</v>
      </c>
      <c r="C550" s="2" t="s">
        <v>28</v>
      </c>
      <c r="D550" s="2" t="s">
        <v>100</v>
      </c>
      <c r="E550" s="2" t="s">
        <v>18</v>
      </c>
      <c r="F550" s="2" t="s">
        <v>30</v>
      </c>
      <c r="G550" s="2" t="s">
        <v>31</v>
      </c>
      <c r="H550" s="2" t="s">
        <v>32</v>
      </c>
      <c r="I550" s="2">
        <v>48</v>
      </c>
      <c r="J550" s="2" t="s">
        <v>149</v>
      </c>
      <c r="K550" s="4" t="s">
        <v>8590</v>
      </c>
      <c r="L550" s="2" t="s">
        <v>24</v>
      </c>
      <c r="M550" s="2"/>
      <c r="N550" t="s">
        <v>8581</v>
      </c>
      <c r="O550" s="8" t="str">
        <f t="shared" si="16"/>
        <v/>
      </c>
      <c r="P550" t="str">
        <f t="shared" si="17"/>
        <v>N/A</v>
      </c>
    </row>
    <row r="551" spans="1:16" x14ac:dyDescent="0.25">
      <c r="A551" s="2" t="s">
        <v>1573</v>
      </c>
      <c r="B551" s="4">
        <v>46176.334027777775</v>
      </c>
      <c r="C551" s="2" t="s">
        <v>53</v>
      </c>
      <c r="D551" s="2" t="s">
        <v>54</v>
      </c>
      <c r="E551" s="2" t="s">
        <v>38</v>
      </c>
      <c r="F551" s="2" t="s">
        <v>30</v>
      </c>
      <c r="G551" s="2" t="s">
        <v>110</v>
      </c>
      <c r="H551" s="2" t="s">
        <v>21</v>
      </c>
      <c r="I551" s="2">
        <v>24</v>
      </c>
      <c r="J551" s="2" t="s">
        <v>11</v>
      </c>
      <c r="K551" s="4" t="s">
        <v>8590</v>
      </c>
      <c r="L551" s="2" t="s">
        <v>92</v>
      </c>
      <c r="M551" s="2"/>
      <c r="N551" t="s">
        <v>8588</v>
      </c>
      <c r="O551" s="8" t="str">
        <f t="shared" si="16"/>
        <v/>
      </c>
      <c r="P551" t="str">
        <f t="shared" si="17"/>
        <v>N/A</v>
      </c>
    </row>
    <row r="552" spans="1:16" x14ac:dyDescent="0.25">
      <c r="A552" s="2" t="s">
        <v>1575</v>
      </c>
      <c r="B552" s="4">
        <v>46206.594444444447</v>
      </c>
      <c r="C552" s="2" t="s">
        <v>67</v>
      </c>
      <c r="D552" s="2" t="s">
        <v>68</v>
      </c>
      <c r="E552" s="2" t="s">
        <v>18</v>
      </c>
      <c r="F552" s="2" t="s">
        <v>30</v>
      </c>
      <c r="G552" s="2" t="s">
        <v>179</v>
      </c>
      <c r="H552" s="2" t="s">
        <v>74</v>
      </c>
      <c r="I552" s="2">
        <v>8</v>
      </c>
      <c r="J552" s="2" t="s">
        <v>149</v>
      </c>
      <c r="K552" s="4" t="s">
        <v>8590</v>
      </c>
      <c r="L552" s="2" t="s">
        <v>24</v>
      </c>
      <c r="M552" s="2"/>
      <c r="N552" t="s">
        <v>8581</v>
      </c>
      <c r="O552" s="8" t="str">
        <f t="shared" si="16"/>
        <v/>
      </c>
      <c r="P552" t="str">
        <f t="shared" si="17"/>
        <v>N/A</v>
      </c>
    </row>
    <row r="553" spans="1:16" x14ac:dyDescent="0.25">
      <c r="A553" s="2" t="s">
        <v>1577</v>
      </c>
      <c r="B553" s="4">
        <v>46137.921527777777</v>
      </c>
      <c r="C553" s="2" t="s">
        <v>67</v>
      </c>
      <c r="D553" s="2" t="s">
        <v>68</v>
      </c>
      <c r="E553" s="2" t="s">
        <v>46</v>
      </c>
      <c r="F553" s="2" t="s">
        <v>113</v>
      </c>
      <c r="G553" s="2" t="s">
        <v>110</v>
      </c>
      <c r="H553" s="2" t="s">
        <v>74</v>
      </c>
      <c r="I553" s="2">
        <v>8</v>
      </c>
      <c r="J553" s="2" t="s">
        <v>106</v>
      </c>
      <c r="K553" s="4">
        <v>46137.997916666667</v>
      </c>
      <c r="L553" s="2" t="s">
        <v>24</v>
      </c>
      <c r="M553" s="2">
        <v>2</v>
      </c>
      <c r="N553" t="s">
        <v>8581</v>
      </c>
      <c r="O553" s="8">
        <f t="shared" si="16"/>
        <v>1.8333333333721384</v>
      </c>
      <c r="P553" t="str">
        <f t="shared" si="17"/>
        <v>Yes</v>
      </c>
    </row>
    <row r="554" spans="1:16" x14ac:dyDescent="0.25">
      <c r="A554" s="2" t="s">
        <v>1580</v>
      </c>
      <c r="B554" s="4">
        <v>46085.085416666669</v>
      </c>
      <c r="C554" s="2" t="s">
        <v>53</v>
      </c>
      <c r="D554" s="2" t="s">
        <v>61</v>
      </c>
      <c r="E554" s="2" t="s">
        <v>38</v>
      </c>
      <c r="F554" s="2" t="s">
        <v>55</v>
      </c>
      <c r="G554" s="2" t="s">
        <v>179</v>
      </c>
      <c r="H554" s="2" t="s">
        <v>21</v>
      </c>
      <c r="I554" s="2">
        <v>24</v>
      </c>
      <c r="J554" s="2" t="s">
        <v>75</v>
      </c>
      <c r="K554" s="4">
        <v>46085.277083333334</v>
      </c>
      <c r="L554" s="2" t="s">
        <v>24</v>
      </c>
      <c r="M554" s="2">
        <v>4</v>
      </c>
      <c r="N554" t="s">
        <v>8585</v>
      </c>
      <c r="O554" s="8">
        <f t="shared" si="16"/>
        <v>4.5999999999767169</v>
      </c>
      <c r="P554" t="str">
        <f t="shared" si="17"/>
        <v>N/A</v>
      </c>
    </row>
    <row r="555" spans="1:16" x14ac:dyDescent="0.25">
      <c r="A555" s="2" t="s">
        <v>1583</v>
      </c>
      <c r="B555" s="4">
        <v>46217.992361111108</v>
      </c>
      <c r="C555" s="2" t="s">
        <v>53</v>
      </c>
      <c r="D555" s="2" t="s">
        <v>54</v>
      </c>
      <c r="E555" s="2" t="s">
        <v>46</v>
      </c>
      <c r="F555" s="2" t="s">
        <v>113</v>
      </c>
      <c r="G555" s="2" t="s">
        <v>101</v>
      </c>
      <c r="H555" s="2" t="s">
        <v>74</v>
      </c>
      <c r="I555" s="2">
        <v>8</v>
      </c>
      <c r="J555" s="2" t="s">
        <v>149</v>
      </c>
      <c r="K555" s="4" t="s">
        <v>8590</v>
      </c>
      <c r="L555" s="2" t="s">
        <v>24</v>
      </c>
      <c r="M555" s="2"/>
      <c r="N555" t="s">
        <v>8588</v>
      </c>
      <c r="O555" s="8" t="str">
        <f t="shared" si="16"/>
        <v/>
      </c>
      <c r="P555" t="str">
        <f t="shared" si="17"/>
        <v>N/A</v>
      </c>
    </row>
    <row r="556" spans="1:16" x14ac:dyDescent="0.25">
      <c r="A556" s="2" t="s">
        <v>1585</v>
      </c>
      <c r="B556" s="4">
        <v>46217.431944444441</v>
      </c>
      <c r="C556" s="2" t="s">
        <v>28</v>
      </c>
      <c r="D556" s="2" t="s">
        <v>100</v>
      </c>
      <c r="E556" s="2" t="s">
        <v>90</v>
      </c>
      <c r="F556" s="2" t="s">
        <v>113</v>
      </c>
      <c r="G556" s="2" t="s">
        <v>179</v>
      </c>
      <c r="H556" s="2" t="s">
        <v>74</v>
      </c>
      <c r="I556" s="2">
        <v>8</v>
      </c>
      <c r="J556" s="2" t="s">
        <v>75</v>
      </c>
      <c r="K556" s="4">
        <v>46217.617361111108</v>
      </c>
      <c r="L556" s="2" t="s">
        <v>24</v>
      </c>
      <c r="M556" s="2">
        <v>2</v>
      </c>
      <c r="N556" t="s">
        <v>8589</v>
      </c>
      <c r="O556" s="8">
        <f t="shared" si="16"/>
        <v>4.4500000000116415</v>
      </c>
      <c r="P556" t="str">
        <f t="shared" si="17"/>
        <v>N/A</v>
      </c>
    </row>
    <row r="557" spans="1:16" x14ac:dyDescent="0.25">
      <c r="A557" s="2" t="s">
        <v>1588</v>
      </c>
      <c r="B557" s="4">
        <v>46165.886805555558</v>
      </c>
      <c r="C557" s="2" t="s">
        <v>53</v>
      </c>
      <c r="D557" s="2" t="s">
        <v>61</v>
      </c>
      <c r="E557" s="2" t="s">
        <v>18</v>
      </c>
      <c r="F557" s="2" t="s">
        <v>113</v>
      </c>
      <c r="G557" s="2" t="s">
        <v>31</v>
      </c>
      <c r="H557" s="2" t="s">
        <v>74</v>
      </c>
      <c r="I557" s="2">
        <v>8</v>
      </c>
      <c r="J557" s="2" t="s">
        <v>75</v>
      </c>
      <c r="K557" s="4">
        <v>46165.960416666669</v>
      </c>
      <c r="L557" s="2" t="s">
        <v>24</v>
      </c>
      <c r="M557" s="2">
        <v>3</v>
      </c>
      <c r="N557" t="s">
        <v>8589</v>
      </c>
      <c r="O557" s="8">
        <f t="shared" si="16"/>
        <v>1.7666666666627862</v>
      </c>
      <c r="P557" t="str">
        <f t="shared" si="17"/>
        <v>N/A</v>
      </c>
    </row>
    <row r="558" spans="1:16" x14ac:dyDescent="0.25">
      <c r="A558" s="2" t="s">
        <v>1591</v>
      </c>
      <c r="B558" s="4">
        <v>46092.953472222223</v>
      </c>
      <c r="C558" s="2" t="s">
        <v>67</v>
      </c>
      <c r="D558" s="2" t="s">
        <v>95</v>
      </c>
      <c r="E558" s="2" t="s">
        <v>38</v>
      </c>
      <c r="F558" s="2" t="s">
        <v>30</v>
      </c>
      <c r="G558" s="2" t="s">
        <v>31</v>
      </c>
      <c r="H558" s="2" t="s">
        <v>32</v>
      </c>
      <c r="I558" s="2">
        <v>48</v>
      </c>
      <c r="J558" s="2" t="s">
        <v>11</v>
      </c>
      <c r="K558" s="4" t="s">
        <v>8590</v>
      </c>
      <c r="L558" s="2" t="s">
        <v>92</v>
      </c>
      <c r="M558" s="2"/>
      <c r="N558" t="s">
        <v>8588</v>
      </c>
      <c r="O558" s="8" t="str">
        <f t="shared" si="16"/>
        <v/>
      </c>
      <c r="P558" t="str">
        <f t="shared" si="17"/>
        <v>N/A</v>
      </c>
    </row>
    <row r="559" spans="1:16" x14ac:dyDescent="0.25">
      <c r="A559" s="2" t="s">
        <v>1593</v>
      </c>
      <c r="B559" s="4">
        <v>46152.154861111114</v>
      </c>
      <c r="C559" s="2" t="s">
        <v>16</v>
      </c>
      <c r="D559" s="2" t="s">
        <v>84</v>
      </c>
      <c r="E559" s="2" t="s">
        <v>85</v>
      </c>
      <c r="F559" s="2" t="s">
        <v>30</v>
      </c>
      <c r="G559" s="2" t="s">
        <v>211</v>
      </c>
      <c r="H559" s="2" t="s">
        <v>21</v>
      </c>
      <c r="I559" s="2">
        <v>24</v>
      </c>
      <c r="J559" s="2" t="s">
        <v>287</v>
      </c>
      <c r="K559" s="4" t="s">
        <v>8590</v>
      </c>
      <c r="L559" s="2" t="s">
        <v>24</v>
      </c>
      <c r="M559" s="2"/>
      <c r="N559" t="s">
        <v>8589</v>
      </c>
      <c r="O559" s="8" t="str">
        <f t="shared" si="16"/>
        <v/>
      </c>
      <c r="P559" t="str">
        <f t="shared" si="17"/>
        <v>N/A</v>
      </c>
    </row>
    <row r="560" spans="1:16" x14ac:dyDescent="0.25">
      <c r="A560" s="2" t="s">
        <v>1595</v>
      </c>
      <c r="B560" s="4">
        <v>46197.793055555558</v>
      </c>
      <c r="C560" s="2" t="s">
        <v>16</v>
      </c>
      <c r="D560" s="2" t="s">
        <v>17</v>
      </c>
      <c r="E560" s="2" t="s">
        <v>18</v>
      </c>
      <c r="F560" s="2" t="s">
        <v>30</v>
      </c>
      <c r="G560" s="2" t="s">
        <v>179</v>
      </c>
      <c r="H560" s="2" t="s">
        <v>80</v>
      </c>
      <c r="I560" s="2">
        <v>4</v>
      </c>
      <c r="J560" s="2" t="s">
        <v>106</v>
      </c>
      <c r="K560" s="4">
        <v>46197.84375</v>
      </c>
      <c r="L560" s="2" t="s">
        <v>24</v>
      </c>
      <c r="M560" s="2"/>
      <c r="N560" t="s">
        <v>8587</v>
      </c>
      <c r="O560" s="8">
        <f t="shared" si="16"/>
        <v>1.21666666661622</v>
      </c>
      <c r="P560" t="str">
        <f t="shared" si="17"/>
        <v>Yes</v>
      </c>
    </row>
    <row r="561" spans="1:16" x14ac:dyDescent="0.25">
      <c r="A561" s="2" t="s">
        <v>1598</v>
      </c>
      <c r="B561" s="4">
        <v>46215.390972222223</v>
      </c>
      <c r="C561" s="2" t="s">
        <v>28</v>
      </c>
      <c r="D561" s="2" t="s">
        <v>37</v>
      </c>
      <c r="E561" s="2" t="s">
        <v>38</v>
      </c>
      <c r="F561" s="2" t="s">
        <v>113</v>
      </c>
      <c r="G561" s="2" t="s">
        <v>101</v>
      </c>
      <c r="H561" s="2" t="s">
        <v>32</v>
      </c>
      <c r="I561" s="2">
        <v>48</v>
      </c>
      <c r="J561" s="2" t="s">
        <v>11</v>
      </c>
      <c r="K561" s="4" t="s">
        <v>8590</v>
      </c>
      <c r="L561" s="2" t="s">
        <v>92</v>
      </c>
      <c r="M561" s="2"/>
      <c r="N561" t="s">
        <v>8588</v>
      </c>
      <c r="O561" s="8" t="str">
        <f t="shared" si="16"/>
        <v/>
      </c>
      <c r="P561" t="str">
        <f t="shared" si="17"/>
        <v>N/A</v>
      </c>
    </row>
    <row r="562" spans="1:16" x14ac:dyDescent="0.25">
      <c r="A562" s="2" t="s">
        <v>1600</v>
      </c>
      <c r="B562" s="4">
        <v>46188.938194444447</v>
      </c>
      <c r="C562" s="2" t="s">
        <v>28</v>
      </c>
      <c r="D562" s="2" t="s">
        <v>100</v>
      </c>
      <c r="E562" s="2" t="s">
        <v>18</v>
      </c>
      <c r="F562" s="2" t="s">
        <v>30</v>
      </c>
      <c r="G562" s="2" t="s">
        <v>31</v>
      </c>
      <c r="H562" s="2" t="s">
        <v>21</v>
      </c>
      <c r="I562" s="2">
        <v>24</v>
      </c>
      <c r="J562" s="2" t="s">
        <v>106</v>
      </c>
      <c r="K562" s="4">
        <v>46190.515277777777</v>
      </c>
      <c r="L562" s="2" t="s">
        <v>24</v>
      </c>
      <c r="M562" s="2"/>
      <c r="N562" t="s">
        <v>8588</v>
      </c>
      <c r="O562" s="8">
        <f t="shared" si="16"/>
        <v>37.849999999918509</v>
      </c>
      <c r="P562" t="str">
        <f t="shared" si="17"/>
        <v>No</v>
      </c>
    </row>
    <row r="563" spans="1:16" x14ac:dyDescent="0.25">
      <c r="A563" s="2" t="s">
        <v>1603</v>
      </c>
      <c r="B563" s="4">
        <v>46036.943749999999</v>
      </c>
      <c r="C563" s="2" t="s">
        <v>16</v>
      </c>
      <c r="D563" s="2" t="s">
        <v>17</v>
      </c>
      <c r="E563" s="2" t="s">
        <v>85</v>
      </c>
      <c r="F563" s="2" t="s">
        <v>96</v>
      </c>
      <c r="G563" s="2" t="s">
        <v>31</v>
      </c>
      <c r="H563" s="2" t="s">
        <v>32</v>
      </c>
      <c r="I563" s="2">
        <v>48</v>
      </c>
      <c r="J563" s="2" t="s">
        <v>106</v>
      </c>
      <c r="K563" s="4">
        <v>46037.54583333333</v>
      </c>
      <c r="L563" s="2" t="s">
        <v>24</v>
      </c>
      <c r="M563" s="2">
        <v>5</v>
      </c>
      <c r="N563" t="s">
        <v>8585</v>
      </c>
      <c r="O563" s="8">
        <f t="shared" si="16"/>
        <v>14.449999999953434</v>
      </c>
      <c r="P563" t="str">
        <f t="shared" si="17"/>
        <v>Yes</v>
      </c>
    </row>
    <row r="564" spans="1:16" x14ac:dyDescent="0.25">
      <c r="A564" s="2" t="s">
        <v>1606</v>
      </c>
      <c r="B564" s="4">
        <v>46096.598611111112</v>
      </c>
      <c r="C564" s="2" t="s">
        <v>53</v>
      </c>
      <c r="D564" s="2" t="s">
        <v>54</v>
      </c>
      <c r="E564" s="2" t="s">
        <v>46</v>
      </c>
      <c r="F564" s="2" t="s">
        <v>96</v>
      </c>
      <c r="G564" s="2" t="s">
        <v>101</v>
      </c>
      <c r="H564" s="2" t="s">
        <v>32</v>
      </c>
      <c r="I564" s="2">
        <v>48</v>
      </c>
      <c r="J564" s="2" t="s">
        <v>11</v>
      </c>
      <c r="K564" s="4" t="s">
        <v>8590</v>
      </c>
      <c r="L564" s="2" t="s">
        <v>92</v>
      </c>
      <c r="M564" s="2"/>
      <c r="N564" t="s">
        <v>8586</v>
      </c>
      <c r="O564" s="8" t="str">
        <f t="shared" si="16"/>
        <v/>
      </c>
      <c r="P564" t="str">
        <f t="shared" si="17"/>
        <v>N/A</v>
      </c>
    </row>
    <row r="565" spans="1:16" x14ac:dyDescent="0.25">
      <c r="A565" s="2" t="s">
        <v>1608</v>
      </c>
      <c r="B565" s="4">
        <v>46055.487500000003</v>
      </c>
      <c r="C565" s="2" t="s">
        <v>28</v>
      </c>
      <c r="D565" s="2" t="s">
        <v>37</v>
      </c>
      <c r="E565" s="2" t="s">
        <v>90</v>
      </c>
      <c r="F565" s="2" t="s">
        <v>30</v>
      </c>
      <c r="G565" s="2" t="s">
        <v>211</v>
      </c>
      <c r="H565" s="2" t="s">
        <v>21</v>
      </c>
      <c r="I565" s="2">
        <v>24</v>
      </c>
      <c r="J565" s="2" t="s">
        <v>149</v>
      </c>
      <c r="K565" s="4" t="s">
        <v>8590</v>
      </c>
      <c r="L565" s="2" t="s">
        <v>24</v>
      </c>
      <c r="M565" s="2"/>
      <c r="N565" t="s">
        <v>8586</v>
      </c>
      <c r="O565" s="8" t="str">
        <f t="shared" si="16"/>
        <v/>
      </c>
      <c r="P565" t="str">
        <f t="shared" si="17"/>
        <v>N/A</v>
      </c>
    </row>
    <row r="566" spans="1:16" x14ac:dyDescent="0.25">
      <c r="A566" s="2" t="s">
        <v>1610</v>
      </c>
      <c r="B566" s="4">
        <v>46040.408333333333</v>
      </c>
      <c r="C566" s="2" t="s">
        <v>67</v>
      </c>
      <c r="D566" s="2" t="s">
        <v>95</v>
      </c>
      <c r="E566" s="2" t="s">
        <v>38</v>
      </c>
      <c r="F566" s="2" t="s">
        <v>55</v>
      </c>
      <c r="G566" s="2" t="s">
        <v>110</v>
      </c>
      <c r="H566" s="2" t="s">
        <v>74</v>
      </c>
      <c r="I566" s="2">
        <v>8</v>
      </c>
      <c r="J566" s="2" t="s">
        <v>75</v>
      </c>
      <c r="K566" s="4">
        <v>46041.093055555553</v>
      </c>
      <c r="L566" s="2" t="s">
        <v>24</v>
      </c>
      <c r="M566" s="2">
        <v>4</v>
      </c>
      <c r="N566" t="s">
        <v>8581</v>
      </c>
      <c r="O566" s="8">
        <f t="shared" si="16"/>
        <v>16.433333333290648</v>
      </c>
      <c r="P566" t="str">
        <f t="shared" si="17"/>
        <v>N/A</v>
      </c>
    </row>
    <row r="567" spans="1:16" x14ac:dyDescent="0.25">
      <c r="A567" s="2" t="s">
        <v>1613</v>
      </c>
      <c r="B567" s="4">
        <v>46230.524305555555</v>
      </c>
      <c r="C567" s="2" t="s">
        <v>28</v>
      </c>
      <c r="D567" s="2" t="s">
        <v>100</v>
      </c>
      <c r="E567" s="2" t="s">
        <v>46</v>
      </c>
      <c r="F567" s="2" t="s">
        <v>96</v>
      </c>
      <c r="G567" s="2" t="s">
        <v>179</v>
      </c>
      <c r="H567" s="2" t="s">
        <v>32</v>
      </c>
      <c r="I567" s="2">
        <v>48</v>
      </c>
      <c r="J567" s="2" t="s">
        <v>106</v>
      </c>
      <c r="K567" s="4">
        <v>46231.121527777781</v>
      </c>
      <c r="L567" s="2" t="s">
        <v>24</v>
      </c>
      <c r="M567" s="2"/>
      <c r="N567" t="s">
        <v>8587</v>
      </c>
      <c r="O567" s="8">
        <f t="shared" si="16"/>
        <v>14.333333333430346</v>
      </c>
      <c r="P567" t="str">
        <f t="shared" si="17"/>
        <v>Yes</v>
      </c>
    </row>
    <row r="568" spans="1:16" x14ac:dyDescent="0.25">
      <c r="A568" s="2" t="s">
        <v>1616</v>
      </c>
      <c r="B568" s="4">
        <v>46048.295138888891</v>
      </c>
      <c r="C568" s="2" t="s">
        <v>28</v>
      </c>
      <c r="D568" s="2" t="s">
        <v>37</v>
      </c>
      <c r="E568" s="2" t="s">
        <v>85</v>
      </c>
      <c r="F568" s="2" t="s">
        <v>96</v>
      </c>
      <c r="G568" s="2" t="s">
        <v>110</v>
      </c>
      <c r="H568" s="2" t="s">
        <v>21</v>
      </c>
      <c r="I568" s="2">
        <v>24</v>
      </c>
      <c r="J568" s="2" t="s">
        <v>8580</v>
      </c>
      <c r="K568" s="4">
        <v>46048.729166666664</v>
      </c>
      <c r="L568" s="2" t="s">
        <v>24</v>
      </c>
      <c r="M568" s="2"/>
      <c r="N568" t="s">
        <v>8588</v>
      </c>
      <c r="O568" s="8">
        <f t="shared" si="16"/>
        <v>10.416666666569654</v>
      </c>
      <c r="P568" t="str">
        <f t="shared" si="17"/>
        <v>N/A</v>
      </c>
    </row>
    <row r="569" spans="1:16" x14ac:dyDescent="0.25">
      <c r="A569" s="2" t="s">
        <v>1619</v>
      </c>
      <c r="B569" s="4">
        <v>46250.27847222222</v>
      </c>
      <c r="C569" s="2" t="s">
        <v>16</v>
      </c>
      <c r="D569" s="2" t="s">
        <v>84</v>
      </c>
      <c r="E569" s="2" t="s">
        <v>18</v>
      </c>
      <c r="F569" s="2" t="s">
        <v>30</v>
      </c>
      <c r="G569" s="2" t="s">
        <v>211</v>
      </c>
      <c r="H569" s="2" t="s">
        <v>21</v>
      </c>
      <c r="I569" s="2">
        <v>24</v>
      </c>
      <c r="J569" s="2" t="s">
        <v>287</v>
      </c>
      <c r="K569" s="4" t="s">
        <v>8590</v>
      </c>
      <c r="L569" s="2" t="s">
        <v>24</v>
      </c>
      <c r="M569" s="2"/>
      <c r="N569" t="s">
        <v>8589</v>
      </c>
      <c r="O569" s="8" t="str">
        <f t="shared" si="16"/>
        <v/>
      </c>
      <c r="P569" t="str">
        <f t="shared" si="17"/>
        <v>N/A</v>
      </c>
    </row>
    <row r="570" spans="1:16" x14ac:dyDescent="0.25">
      <c r="A570" s="2" t="s">
        <v>1621</v>
      </c>
      <c r="B570" s="4">
        <v>46074.069444444445</v>
      </c>
      <c r="C570" s="2" t="s">
        <v>28</v>
      </c>
      <c r="D570" s="2" t="s">
        <v>37</v>
      </c>
      <c r="E570" s="2" t="s">
        <v>38</v>
      </c>
      <c r="F570" s="2" t="s">
        <v>30</v>
      </c>
      <c r="G570" s="2" t="s">
        <v>101</v>
      </c>
      <c r="H570" s="2" t="s">
        <v>21</v>
      </c>
      <c r="I570" s="2">
        <v>24</v>
      </c>
      <c r="J570" s="2" t="s">
        <v>11</v>
      </c>
      <c r="K570" s="4" t="s">
        <v>8590</v>
      </c>
      <c r="L570" s="2" t="s">
        <v>92</v>
      </c>
      <c r="M570" s="2"/>
      <c r="N570" t="s">
        <v>8584</v>
      </c>
      <c r="O570" s="8" t="str">
        <f t="shared" si="16"/>
        <v/>
      </c>
      <c r="P570" t="str">
        <f t="shared" si="17"/>
        <v>N/A</v>
      </c>
    </row>
    <row r="571" spans="1:16" x14ac:dyDescent="0.25">
      <c r="A571" s="2" t="s">
        <v>1623</v>
      </c>
      <c r="B571" s="4">
        <v>46186.959027777775</v>
      </c>
      <c r="C571" s="2" t="s">
        <v>53</v>
      </c>
      <c r="D571" s="2" t="s">
        <v>54</v>
      </c>
      <c r="E571" s="2" t="s">
        <v>79</v>
      </c>
      <c r="F571" s="2" t="s">
        <v>96</v>
      </c>
      <c r="G571" s="2" t="s">
        <v>179</v>
      </c>
      <c r="H571" s="2" t="s">
        <v>21</v>
      </c>
      <c r="I571" s="2">
        <v>24</v>
      </c>
      <c r="J571" s="2" t="s">
        <v>106</v>
      </c>
      <c r="K571" s="4">
        <v>46187.756249999999</v>
      </c>
      <c r="L571" s="2" t="s">
        <v>24</v>
      </c>
      <c r="M571" s="2">
        <v>4</v>
      </c>
      <c r="N571" t="s">
        <v>8581</v>
      </c>
      <c r="O571" s="8">
        <f t="shared" si="16"/>
        <v>19.133333333360497</v>
      </c>
      <c r="P571" t="str">
        <f t="shared" si="17"/>
        <v>Yes</v>
      </c>
    </row>
    <row r="572" spans="1:16" x14ac:dyDescent="0.25">
      <c r="A572" s="2" t="s">
        <v>1626</v>
      </c>
      <c r="B572" s="4">
        <v>46173.390277777777</v>
      </c>
      <c r="C572" s="2" t="s">
        <v>67</v>
      </c>
      <c r="D572" s="2" t="s">
        <v>95</v>
      </c>
      <c r="E572" s="2" t="s">
        <v>38</v>
      </c>
      <c r="F572" s="2" t="s">
        <v>96</v>
      </c>
      <c r="G572" s="2" t="s">
        <v>101</v>
      </c>
      <c r="H572" s="2" t="s">
        <v>21</v>
      </c>
      <c r="I572" s="2">
        <v>24</v>
      </c>
      <c r="J572" s="2" t="s">
        <v>106</v>
      </c>
      <c r="K572" s="4">
        <v>46174.102777777778</v>
      </c>
      <c r="L572" s="2" t="s">
        <v>24</v>
      </c>
      <c r="M572" s="2">
        <v>2</v>
      </c>
      <c r="N572" t="s">
        <v>8584</v>
      </c>
      <c r="O572" s="8">
        <f t="shared" si="16"/>
        <v>17.100000000034925</v>
      </c>
      <c r="P572" t="str">
        <f t="shared" si="17"/>
        <v>Yes</v>
      </c>
    </row>
    <row r="573" spans="1:16" x14ac:dyDescent="0.25">
      <c r="A573" s="2" t="s">
        <v>1629</v>
      </c>
      <c r="B573" s="4">
        <v>46104.865277777775</v>
      </c>
      <c r="C573" s="2" t="s">
        <v>16</v>
      </c>
      <c r="D573" s="2" t="s">
        <v>17</v>
      </c>
      <c r="E573" s="2" t="s">
        <v>18</v>
      </c>
      <c r="F573" s="2" t="s">
        <v>30</v>
      </c>
      <c r="G573" s="2" t="s">
        <v>211</v>
      </c>
      <c r="H573" s="2" t="s">
        <v>21</v>
      </c>
      <c r="I573" s="2">
        <v>24</v>
      </c>
      <c r="J573" s="2" t="s">
        <v>287</v>
      </c>
      <c r="K573" s="4" t="s">
        <v>8590</v>
      </c>
      <c r="L573" s="2" t="s">
        <v>24</v>
      </c>
      <c r="M573" s="2"/>
      <c r="N573" t="s">
        <v>8588</v>
      </c>
      <c r="O573" s="8" t="str">
        <f t="shared" si="16"/>
        <v/>
      </c>
      <c r="P573" t="str">
        <f t="shared" si="17"/>
        <v>N/A</v>
      </c>
    </row>
    <row r="574" spans="1:16" x14ac:dyDescent="0.25">
      <c r="A574" s="2" t="s">
        <v>1631</v>
      </c>
      <c r="B574" s="4">
        <v>46065.111805555556</v>
      </c>
      <c r="C574" s="2" t="s">
        <v>28</v>
      </c>
      <c r="D574" s="2" t="s">
        <v>100</v>
      </c>
      <c r="E574" s="2" t="s">
        <v>79</v>
      </c>
      <c r="F574" s="2" t="s">
        <v>55</v>
      </c>
      <c r="G574" s="2" t="s">
        <v>211</v>
      </c>
      <c r="H574" s="2" t="s">
        <v>80</v>
      </c>
      <c r="I574" s="2">
        <v>4</v>
      </c>
      <c r="J574" s="2" t="s">
        <v>106</v>
      </c>
      <c r="K574" s="4">
        <v>46065.214583333334</v>
      </c>
      <c r="L574" s="2" t="s">
        <v>24</v>
      </c>
      <c r="M574" s="2">
        <v>4</v>
      </c>
      <c r="N574" t="s">
        <v>8584</v>
      </c>
      <c r="O574" s="8">
        <f t="shared" si="16"/>
        <v>2.4666666666744277</v>
      </c>
      <c r="P574" t="str">
        <f t="shared" si="17"/>
        <v>Yes</v>
      </c>
    </row>
    <row r="575" spans="1:16" x14ac:dyDescent="0.25">
      <c r="A575" s="2" t="s">
        <v>1634</v>
      </c>
      <c r="B575" s="4">
        <v>46245.522916666669</v>
      </c>
      <c r="C575" s="2" t="s">
        <v>28</v>
      </c>
      <c r="D575" s="2" t="s">
        <v>100</v>
      </c>
      <c r="E575" s="2" t="s">
        <v>90</v>
      </c>
      <c r="F575" s="2" t="s">
        <v>30</v>
      </c>
      <c r="G575" s="2" t="s">
        <v>179</v>
      </c>
      <c r="H575" s="2" t="s">
        <v>32</v>
      </c>
      <c r="I575" s="2">
        <v>48</v>
      </c>
      <c r="J575" s="2" t="s">
        <v>75</v>
      </c>
      <c r="K575" s="4">
        <v>46246.789583333331</v>
      </c>
      <c r="L575" s="2" t="s">
        <v>24</v>
      </c>
      <c r="M575" s="2">
        <v>3</v>
      </c>
      <c r="N575" t="s">
        <v>8586</v>
      </c>
      <c r="O575" s="8">
        <f t="shared" si="16"/>
        <v>30.399999999906868</v>
      </c>
      <c r="P575" t="str">
        <f t="shared" si="17"/>
        <v>N/A</v>
      </c>
    </row>
    <row r="576" spans="1:16" x14ac:dyDescent="0.25">
      <c r="A576" s="2" t="s">
        <v>1637</v>
      </c>
      <c r="B576" s="4">
        <v>46025.566666666666</v>
      </c>
      <c r="C576" s="2" t="s">
        <v>16</v>
      </c>
      <c r="D576" s="2" t="s">
        <v>84</v>
      </c>
      <c r="E576" s="2" t="s">
        <v>85</v>
      </c>
      <c r="F576" s="2" t="s">
        <v>55</v>
      </c>
      <c r="G576" s="2" t="s">
        <v>211</v>
      </c>
      <c r="H576" s="2" t="s">
        <v>80</v>
      </c>
      <c r="I576" s="2">
        <v>4</v>
      </c>
      <c r="J576" s="2" t="s">
        <v>106</v>
      </c>
      <c r="K576" s="4">
        <v>46025.654166666667</v>
      </c>
      <c r="L576" s="2" t="s">
        <v>24</v>
      </c>
      <c r="M576" s="2"/>
      <c r="N576" t="s">
        <v>8585</v>
      </c>
      <c r="O576" s="8">
        <f t="shared" si="16"/>
        <v>2.1000000000349246</v>
      </c>
      <c r="P576" t="str">
        <f t="shared" si="17"/>
        <v>Yes</v>
      </c>
    </row>
    <row r="577" spans="1:16" x14ac:dyDescent="0.25">
      <c r="A577" s="2" t="s">
        <v>1640</v>
      </c>
      <c r="B577" s="4">
        <v>46061.6875</v>
      </c>
      <c r="C577" s="2" t="s">
        <v>28</v>
      </c>
      <c r="D577" s="2" t="s">
        <v>37</v>
      </c>
      <c r="E577" s="2" t="s">
        <v>148</v>
      </c>
      <c r="F577" s="2" t="s">
        <v>30</v>
      </c>
      <c r="G577" s="2" t="s">
        <v>183</v>
      </c>
      <c r="H577" s="2" t="s">
        <v>80</v>
      </c>
      <c r="I577" s="2">
        <v>4</v>
      </c>
      <c r="J577" s="2" t="s">
        <v>106</v>
      </c>
      <c r="K577" s="4">
        <v>46062.037499999999</v>
      </c>
      <c r="L577" s="2" t="s">
        <v>24</v>
      </c>
      <c r="M577" s="2"/>
      <c r="N577" t="s">
        <v>8581</v>
      </c>
      <c r="O577" s="8">
        <f t="shared" si="16"/>
        <v>8.3999999999650754</v>
      </c>
      <c r="P577" t="str">
        <f t="shared" si="17"/>
        <v>No</v>
      </c>
    </row>
    <row r="578" spans="1:16" x14ac:dyDescent="0.25">
      <c r="A578" s="2" t="s">
        <v>1643</v>
      </c>
      <c r="B578" s="4">
        <v>46167.323611111111</v>
      </c>
      <c r="C578" s="2" t="s">
        <v>67</v>
      </c>
      <c r="D578" s="2" t="s">
        <v>95</v>
      </c>
      <c r="E578" s="2" t="s">
        <v>79</v>
      </c>
      <c r="F578" s="2" t="s">
        <v>96</v>
      </c>
      <c r="G578" s="2" t="s">
        <v>110</v>
      </c>
      <c r="H578" s="2" t="s">
        <v>80</v>
      </c>
      <c r="I578" s="2">
        <v>4</v>
      </c>
      <c r="J578" s="2" t="s">
        <v>106</v>
      </c>
      <c r="K578" s="4">
        <v>46167.679861111108</v>
      </c>
      <c r="L578" s="2" t="s">
        <v>24</v>
      </c>
      <c r="M578" s="2"/>
      <c r="N578" t="s">
        <v>8583</v>
      </c>
      <c r="O578" s="8">
        <f t="shared" si="16"/>
        <v>8.5499999999301508</v>
      </c>
      <c r="P578" t="str">
        <f t="shared" si="17"/>
        <v>No</v>
      </c>
    </row>
    <row r="579" spans="1:16" x14ac:dyDescent="0.25">
      <c r="A579" s="2" t="s">
        <v>1646</v>
      </c>
      <c r="B579" s="4">
        <v>46126.758333333331</v>
      </c>
      <c r="C579" s="2" t="s">
        <v>67</v>
      </c>
      <c r="D579" s="2" t="s">
        <v>68</v>
      </c>
      <c r="E579" s="2" t="s">
        <v>38</v>
      </c>
      <c r="F579" s="2" t="s">
        <v>30</v>
      </c>
      <c r="G579" s="2" t="s">
        <v>101</v>
      </c>
      <c r="H579" s="2" t="s">
        <v>32</v>
      </c>
      <c r="I579" s="2">
        <v>48</v>
      </c>
      <c r="J579" s="2" t="s">
        <v>106</v>
      </c>
      <c r="K579" s="4">
        <v>46131.998611111114</v>
      </c>
      <c r="L579" s="2" t="s">
        <v>24</v>
      </c>
      <c r="M579" s="2">
        <v>4</v>
      </c>
      <c r="N579" t="s">
        <v>8586</v>
      </c>
      <c r="O579" s="8">
        <f t="shared" ref="O579:O642" si="18">IF(K579="","",IF(K579="Missing Resolve Date","",(K579-B579)*24))</f>
        <v>125.7666666667792</v>
      </c>
      <c r="P579" t="str">
        <f t="shared" ref="P579:P642" si="19">IF(J579="Resolved",IF(O579&lt;=I579,"Yes","No"),"N/A")</f>
        <v>No</v>
      </c>
    </row>
    <row r="580" spans="1:16" x14ac:dyDescent="0.25">
      <c r="A580" s="2" t="s">
        <v>1649</v>
      </c>
      <c r="B580" s="4">
        <v>46118.862500000003</v>
      </c>
      <c r="C580" s="2" t="s">
        <v>67</v>
      </c>
      <c r="D580" s="2" t="s">
        <v>68</v>
      </c>
      <c r="E580" s="2" t="s">
        <v>148</v>
      </c>
      <c r="F580" s="2" t="s">
        <v>113</v>
      </c>
      <c r="G580" s="2" t="s">
        <v>211</v>
      </c>
      <c r="H580" s="2" t="s">
        <v>74</v>
      </c>
      <c r="I580" s="2">
        <v>8</v>
      </c>
      <c r="J580" s="2" t="s">
        <v>149</v>
      </c>
      <c r="K580" s="4" t="s">
        <v>8590</v>
      </c>
      <c r="L580" s="2" t="s">
        <v>24</v>
      </c>
      <c r="M580" s="2"/>
      <c r="N580" t="s">
        <v>8584</v>
      </c>
      <c r="O580" s="8" t="str">
        <f t="shared" si="18"/>
        <v/>
      </c>
      <c r="P580" t="str">
        <f t="shared" si="19"/>
        <v>N/A</v>
      </c>
    </row>
    <row r="581" spans="1:16" x14ac:dyDescent="0.25">
      <c r="A581" s="2" t="s">
        <v>1651</v>
      </c>
      <c r="B581" s="4">
        <v>46110.111805555556</v>
      </c>
      <c r="C581" s="2" t="s">
        <v>67</v>
      </c>
      <c r="D581" s="2" t="s">
        <v>95</v>
      </c>
      <c r="E581" s="2" t="s">
        <v>90</v>
      </c>
      <c r="F581" s="2" t="s">
        <v>96</v>
      </c>
      <c r="G581" s="2" t="s">
        <v>211</v>
      </c>
      <c r="H581" s="2" t="s">
        <v>32</v>
      </c>
      <c r="I581" s="2">
        <v>48</v>
      </c>
      <c r="J581" s="2" t="s">
        <v>106</v>
      </c>
      <c r="K581" s="4">
        <v>46113.79791666667</v>
      </c>
      <c r="L581" s="2" t="s">
        <v>24</v>
      </c>
      <c r="M581" s="2">
        <v>4</v>
      </c>
      <c r="N581" t="s">
        <v>8585</v>
      </c>
      <c r="O581" s="8">
        <f t="shared" si="18"/>
        <v>88.466666666732635</v>
      </c>
      <c r="P581" t="str">
        <f t="shared" si="19"/>
        <v>No</v>
      </c>
    </row>
    <row r="582" spans="1:16" x14ac:dyDescent="0.25">
      <c r="A582" s="2" t="s">
        <v>1654</v>
      </c>
      <c r="B582" s="4">
        <v>46214.293749999997</v>
      </c>
      <c r="C582" s="2" t="s">
        <v>67</v>
      </c>
      <c r="D582" s="2" t="s">
        <v>95</v>
      </c>
      <c r="E582" s="2" t="s">
        <v>46</v>
      </c>
      <c r="F582" s="2" t="s">
        <v>113</v>
      </c>
      <c r="G582" s="2" t="s">
        <v>183</v>
      </c>
      <c r="H582" s="2" t="s">
        <v>21</v>
      </c>
      <c r="I582" s="2">
        <v>24</v>
      </c>
      <c r="J582" s="2" t="s">
        <v>8580</v>
      </c>
      <c r="K582" s="4">
        <v>46214.69027777778</v>
      </c>
      <c r="L582" s="2" t="s">
        <v>24</v>
      </c>
      <c r="M582" s="2"/>
      <c r="N582" t="s">
        <v>8587</v>
      </c>
      <c r="O582" s="8">
        <f t="shared" si="18"/>
        <v>9.5166666667792015</v>
      </c>
      <c r="P582" t="str">
        <f t="shared" si="19"/>
        <v>N/A</v>
      </c>
    </row>
    <row r="583" spans="1:16" x14ac:dyDescent="0.25">
      <c r="A583" s="2" t="s">
        <v>1657</v>
      </c>
      <c r="B583" s="4">
        <v>46223.291666666664</v>
      </c>
      <c r="C583" s="2" t="s">
        <v>67</v>
      </c>
      <c r="D583" s="2" t="s">
        <v>68</v>
      </c>
      <c r="E583" s="2" t="s">
        <v>18</v>
      </c>
      <c r="F583" s="2" t="s">
        <v>96</v>
      </c>
      <c r="G583" s="2" t="s">
        <v>110</v>
      </c>
      <c r="H583" s="2" t="s">
        <v>21</v>
      </c>
      <c r="I583" s="2">
        <v>24</v>
      </c>
      <c r="J583" s="2" t="s">
        <v>8580</v>
      </c>
      <c r="K583" s="4">
        <v>46224.54583333333</v>
      </c>
      <c r="L583" s="2" t="s">
        <v>24</v>
      </c>
      <c r="M583" s="2"/>
      <c r="N583" t="s">
        <v>8589</v>
      </c>
      <c r="O583" s="8">
        <f t="shared" si="18"/>
        <v>30.099999999976717</v>
      </c>
      <c r="P583" t="str">
        <f t="shared" si="19"/>
        <v>N/A</v>
      </c>
    </row>
    <row r="584" spans="1:16" x14ac:dyDescent="0.25">
      <c r="A584" s="2" t="s">
        <v>1660</v>
      </c>
      <c r="B584" s="4">
        <v>46072.169444444444</v>
      </c>
      <c r="C584" s="2" t="s">
        <v>67</v>
      </c>
      <c r="D584" s="2" t="s">
        <v>95</v>
      </c>
      <c r="E584" s="2" t="s">
        <v>38</v>
      </c>
      <c r="F584" s="2" t="s">
        <v>30</v>
      </c>
      <c r="G584" s="2" t="s">
        <v>211</v>
      </c>
      <c r="H584" s="2" t="s">
        <v>21</v>
      </c>
      <c r="I584" s="2">
        <v>24</v>
      </c>
      <c r="J584" s="2" t="s">
        <v>106</v>
      </c>
      <c r="K584" s="4">
        <v>46072.79791666667</v>
      </c>
      <c r="L584" s="2" t="s">
        <v>24</v>
      </c>
      <c r="M584" s="2"/>
      <c r="N584" t="s">
        <v>8589</v>
      </c>
      <c r="O584" s="8">
        <f t="shared" si="18"/>
        <v>15.083333333430346</v>
      </c>
      <c r="P584" t="str">
        <f t="shared" si="19"/>
        <v>Yes</v>
      </c>
    </row>
    <row r="585" spans="1:16" x14ac:dyDescent="0.25">
      <c r="A585" s="2" t="s">
        <v>1663</v>
      </c>
      <c r="B585" s="4">
        <v>46092.799305555556</v>
      </c>
      <c r="C585" s="2" t="s">
        <v>28</v>
      </c>
      <c r="D585" s="2" t="s">
        <v>37</v>
      </c>
      <c r="E585" s="2" t="s">
        <v>79</v>
      </c>
      <c r="F585" s="2" t="s">
        <v>55</v>
      </c>
      <c r="G585" s="2" t="s">
        <v>110</v>
      </c>
      <c r="H585" s="2" t="s">
        <v>32</v>
      </c>
      <c r="I585" s="2">
        <v>48</v>
      </c>
      <c r="J585" s="2" t="s">
        <v>106</v>
      </c>
      <c r="K585" s="4">
        <v>46094.015972222223</v>
      </c>
      <c r="L585" s="2" t="s">
        <v>24</v>
      </c>
      <c r="M585" s="2"/>
      <c r="N585" t="s">
        <v>8586</v>
      </c>
      <c r="O585" s="8">
        <f t="shared" si="18"/>
        <v>29.200000000011642</v>
      </c>
      <c r="P585" t="str">
        <f t="shared" si="19"/>
        <v>Yes</v>
      </c>
    </row>
    <row r="586" spans="1:16" x14ac:dyDescent="0.25">
      <c r="A586" s="2" t="s">
        <v>1666</v>
      </c>
      <c r="B586" s="4">
        <v>46254.484722222223</v>
      </c>
      <c r="C586" s="2" t="s">
        <v>67</v>
      </c>
      <c r="D586" s="2" t="s">
        <v>95</v>
      </c>
      <c r="E586" s="2" t="s">
        <v>46</v>
      </c>
      <c r="F586" s="2" t="s">
        <v>113</v>
      </c>
      <c r="G586" s="2" t="s">
        <v>183</v>
      </c>
      <c r="H586" s="2" t="s">
        <v>21</v>
      </c>
      <c r="I586" s="2">
        <v>24</v>
      </c>
      <c r="J586" s="2" t="s">
        <v>106</v>
      </c>
      <c r="K586" s="4">
        <v>46254.552083333336</v>
      </c>
      <c r="L586" s="2" t="s">
        <v>24</v>
      </c>
      <c r="M586" s="2">
        <v>5</v>
      </c>
      <c r="N586" t="s">
        <v>8583</v>
      </c>
      <c r="O586" s="8">
        <f t="shared" si="18"/>
        <v>1.6166666666977108</v>
      </c>
      <c r="P586" t="str">
        <f t="shared" si="19"/>
        <v>Yes</v>
      </c>
    </row>
    <row r="587" spans="1:16" x14ac:dyDescent="0.25">
      <c r="A587" s="2" t="s">
        <v>1669</v>
      </c>
      <c r="B587" s="4">
        <v>46253.225694444445</v>
      </c>
      <c r="C587" s="2" t="s">
        <v>28</v>
      </c>
      <c r="D587" s="2" t="s">
        <v>37</v>
      </c>
      <c r="E587" s="2" t="s">
        <v>79</v>
      </c>
      <c r="F587" s="2" t="s">
        <v>96</v>
      </c>
      <c r="G587" s="2" t="s">
        <v>183</v>
      </c>
      <c r="H587" s="2" t="s">
        <v>21</v>
      </c>
      <c r="I587" s="2">
        <v>24</v>
      </c>
      <c r="J587" s="2" t="s">
        <v>287</v>
      </c>
      <c r="K587" s="4" t="s">
        <v>8590</v>
      </c>
      <c r="L587" s="2" t="s">
        <v>24</v>
      </c>
      <c r="M587" s="2"/>
      <c r="N587" t="s">
        <v>8585</v>
      </c>
      <c r="O587" s="8" t="str">
        <f t="shared" si="18"/>
        <v/>
      </c>
      <c r="P587" t="str">
        <f t="shared" si="19"/>
        <v>N/A</v>
      </c>
    </row>
    <row r="588" spans="1:16" x14ac:dyDescent="0.25">
      <c r="A588" s="2" t="s">
        <v>1671</v>
      </c>
      <c r="B588" s="4">
        <v>46031.53402777778</v>
      </c>
      <c r="C588" s="2" t="s">
        <v>16</v>
      </c>
      <c r="D588" s="2" t="s">
        <v>84</v>
      </c>
      <c r="E588" s="2" t="s">
        <v>90</v>
      </c>
      <c r="F588" s="2" t="s">
        <v>55</v>
      </c>
      <c r="G588" s="2" t="s">
        <v>101</v>
      </c>
      <c r="H588" s="2" t="s">
        <v>21</v>
      </c>
      <c r="I588" s="2">
        <v>24</v>
      </c>
      <c r="J588" s="2" t="s">
        <v>75</v>
      </c>
      <c r="K588" s="4">
        <v>46031.935416666667</v>
      </c>
      <c r="L588" s="2" t="s">
        <v>24</v>
      </c>
      <c r="M588" s="2">
        <v>2</v>
      </c>
      <c r="N588" t="s">
        <v>8589</v>
      </c>
      <c r="O588" s="8">
        <f t="shared" si="18"/>
        <v>9.6333333333022892</v>
      </c>
      <c r="P588" t="str">
        <f t="shared" si="19"/>
        <v>N/A</v>
      </c>
    </row>
    <row r="589" spans="1:16" x14ac:dyDescent="0.25">
      <c r="A589" s="2" t="s">
        <v>1674</v>
      </c>
      <c r="B589" s="4">
        <v>46083.788888888892</v>
      </c>
      <c r="C589" s="2" t="s">
        <v>67</v>
      </c>
      <c r="D589" s="2" t="s">
        <v>68</v>
      </c>
      <c r="E589" s="2" t="s">
        <v>90</v>
      </c>
      <c r="F589" s="2" t="s">
        <v>55</v>
      </c>
      <c r="G589" s="2" t="s">
        <v>101</v>
      </c>
      <c r="H589" s="2" t="s">
        <v>80</v>
      </c>
      <c r="I589" s="2">
        <v>4</v>
      </c>
      <c r="J589" s="2" t="s">
        <v>11</v>
      </c>
      <c r="K589" s="4" t="s">
        <v>8590</v>
      </c>
      <c r="L589" s="2" t="s">
        <v>92</v>
      </c>
      <c r="M589" s="2"/>
      <c r="N589" t="s">
        <v>8581</v>
      </c>
      <c r="O589" s="8" t="str">
        <f t="shared" si="18"/>
        <v/>
      </c>
      <c r="P589" t="str">
        <f t="shared" si="19"/>
        <v>N/A</v>
      </c>
    </row>
    <row r="590" spans="1:16" x14ac:dyDescent="0.25">
      <c r="A590" s="2" t="s">
        <v>1676</v>
      </c>
      <c r="B590" s="4">
        <v>46100.945138888892</v>
      </c>
      <c r="C590" s="2" t="s">
        <v>67</v>
      </c>
      <c r="D590" s="2" t="s">
        <v>95</v>
      </c>
      <c r="E590" s="2" t="s">
        <v>18</v>
      </c>
      <c r="F590" s="2" t="s">
        <v>30</v>
      </c>
      <c r="G590" s="2" t="s">
        <v>31</v>
      </c>
      <c r="H590" s="2" t="s">
        <v>74</v>
      </c>
      <c r="I590" s="2">
        <v>8</v>
      </c>
      <c r="J590" s="2" t="s">
        <v>75</v>
      </c>
      <c r="K590" s="4">
        <v>46101.038888888892</v>
      </c>
      <c r="L590" s="2" t="s">
        <v>24</v>
      </c>
      <c r="M590" s="2"/>
      <c r="N590" t="s">
        <v>8584</v>
      </c>
      <c r="O590" s="8">
        <f t="shared" si="18"/>
        <v>2.25</v>
      </c>
      <c r="P590" t="str">
        <f t="shared" si="19"/>
        <v>N/A</v>
      </c>
    </row>
    <row r="591" spans="1:16" x14ac:dyDescent="0.25">
      <c r="A591" s="2" t="s">
        <v>1679</v>
      </c>
      <c r="B591" s="4">
        <v>46133.262499999997</v>
      </c>
      <c r="C591" s="2" t="s">
        <v>67</v>
      </c>
      <c r="D591" s="2" t="s">
        <v>95</v>
      </c>
      <c r="E591" s="2" t="s">
        <v>79</v>
      </c>
      <c r="F591" s="2" t="s">
        <v>113</v>
      </c>
      <c r="G591" s="2" t="s">
        <v>31</v>
      </c>
      <c r="H591" s="2" t="s">
        <v>21</v>
      </c>
      <c r="I591" s="2">
        <v>24</v>
      </c>
      <c r="J591" s="2" t="s">
        <v>106</v>
      </c>
      <c r="K591" s="4">
        <v>46134.367361111108</v>
      </c>
      <c r="L591" s="2" t="s">
        <v>24</v>
      </c>
      <c r="M591" s="2">
        <v>3</v>
      </c>
      <c r="N591" t="s">
        <v>8582</v>
      </c>
      <c r="O591" s="8">
        <f t="shared" si="18"/>
        <v>26.516666666662786</v>
      </c>
      <c r="P591" t="str">
        <f t="shared" si="19"/>
        <v>No</v>
      </c>
    </row>
    <row r="592" spans="1:16" x14ac:dyDescent="0.25">
      <c r="A592" s="2" t="s">
        <v>1682</v>
      </c>
      <c r="B592" s="4">
        <v>46256.915277777778</v>
      </c>
      <c r="C592" s="2" t="s">
        <v>16</v>
      </c>
      <c r="D592" s="2" t="s">
        <v>84</v>
      </c>
      <c r="E592" s="2" t="s">
        <v>46</v>
      </c>
      <c r="F592" s="2" t="s">
        <v>96</v>
      </c>
      <c r="G592" s="2" t="s">
        <v>211</v>
      </c>
      <c r="H592" s="2" t="s">
        <v>74</v>
      </c>
      <c r="I592" s="2">
        <v>8</v>
      </c>
      <c r="J592" s="2" t="s">
        <v>75</v>
      </c>
      <c r="K592" s="4">
        <v>46257.027777777781</v>
      </c>
      <c r="L592" s="2" t="s">
        <v>24</v>
      </c>
      <c r="M592" s="2">
        <v>5</v>
      </c>
      <c r="N592" t="s">
        <v>8587</v>
      </c>
      <c r="O592" s="8">
        <f t="shared" si="18"/>
        <v>2.7000000000698492</v>
      </c>
      <c r="P592" t="str">
        <f t="shared" si="19"/>
        <v>N/A</v>
      </c>
    </row>
    <row r="593" spans="1:16" x14ac:dyDescent="0.25">
      <c r="A593" s="2" t="s">
        <v>1685</v>
      </c>
      <c r="B593" s="4">
        <v>46077.263888888891</v>
      </c>
      <c r="C593" s="2" t="s">
        <v>67</v>
      </c>
      <c r="D593" s="2" t="s">
        <v>68</v>
      </c>
      <c r="E593" s="2" t="s">
        <v>90</v>
      </c>
      <c r="F593" s="2" t="s">
        <v>30</v>
      </c>
      <c r="G593" s="2" t="s">
        <v>211</v>
      </c>
      <c r="H593" s="2" t="s">
        <v>21</v>
      </c>
      <c r="I593" s="2">
        <v>24</v>
      </c>
      <c r="J593" s="2" t="s">
        <v>106</v>
      </c>
      <c r="K593" s="4">
        <v>46077.940972222219</v>
      </c>
      <c r="L593" s="2" t="s">
        <v>24</v>
      </c>
      <c r="M593" s="2"/>
      <c r="N593" t="s">
        <v>8585</v>
      </c>
      <c r="O593" s="8">
        <f t="shared" si="18"/>
        <v>16.249999999883585</v>
      </c>
      <c r="P593" t="str">
        <f t="shared" si="19"/>
        <v>Yes</v>
      </c>
    </row>
    <row r="594" spans="1:16" x14ac:dyDescent="0.25">
      <c r="A594" s="2" t="s">
        <v>1688</v>
      </c>
      <c r="B594" s="4">
        <v>46058.097916666666</v>
      </c>
      <c r="C594" s="2" t="s">
        <v>67</v>
      </c>
      <c r="D594" s="2" t="s">
        <v>68</v>
      </c>
      <c r="E594" s="2" t="s">
        <v>46</v>
      </c>
      <c r="F594" s="2" t="s">
        <v>30</v>
      </c>
      <c r="G594" s="2" t="s">
        <v>31</v>
      </c>
      <c r="H594" s="2" t="s">
        <v>80</v>
      </c>
      <c r="I594" s="2">
        <v>4</v>
      </c>
      <c r="J594" s="2" t="s">
        <v>106</v>
      </c>
      <c r="K594" s="4">
        <v>46058.158333333333</v>
      </c>
      <c r="L594" s="2" t="s">
        <v>92</v>
      </c>
      <c r="M594" s="2">
        <v>3</v>
      </c>
      <c r="N594" t="s">
        <v>8587</v>
      </c>
      <c r="O594" s="8">
        <f t="shared" si="18"/>
        <v>1.4500000000116415</v>
      </c>
      <c r="P594" t="str">
        <f t="shared" si="19"/>
        <v>Yes</v>
      </c>
    </row>
    <row r="595" spans="1:16" x14ac:dyDescent="0.25">
      <c r="A595" s="2" t="s">
        <v>1691</v>
      </c>
      <c r="B595" s="4">
        <v>46081.574305555558</v>
      </c>
      <c r="C595" s="2" t="s">
        <v>67</v>
      </c>
      <c r="D595" s="2" t="s">
        <v>68</v>
      </c>
      <c r="E595" s="2" t="s">
        <v>148</v>
      </c>
      <c r="F595" s="2" t="s">
        <v>30</v>
      </c>
      <c r="G595" s="2" t="s">
        <v>183</v>
      </c>
      <c r="H595" s="2" t="s">
        <v>32</v>
      </c>
      <c r="I595" s="2">
        <v>48</v>
      </c>
      <c r="J595" s="2" t="s">
        <v>149</v>
      </c>
      <c r="K595" s="4" t="s">
        <v>8590</v>
      </c>
      <c r="L595" s="2" t="s">
        <v>24</v>
      </c>
      <c r="M595" s="2"/>
      <c r="N595" t="s">
        <v>8588</v>
      </c>
      <c r="O595" s="8" t="str">
        <f t="shared" si="18"/>
        <v/>
      </c>
      <c r="P595" t="str">
        <f t="shared" si="19"/>
        <v>N/A</v>
      </c>
    </row>
    <row r="596" spans="1:16" x14ac:dyDescent="0.25">
      <c r="A596" s="2" t="s">
        <v>1693</v>
      </c>
      <c r="B596" s="4">
        <v>46165.085416666669</v>
      </c>
      <c r="C596" s="2" t="s">
        <v>53</v>
      </c>
      <c r="D596" s="2" t="s">
        <v>54</v>
      </c>
      <c r="E596" s="2" t="s">
        <v>85</v>
      </c>
      <c r="F596" s="2" t="s">
        <v>96</v>
      </c>
      <c r="G596" s="2" t="s">
        <v>211</v>
      </c>
      <c r="H596" s="2" t="s">
        <v>21</v>
      </c>
      <c r="I596" s="2">
        <v>24</v>
      </c>
      <c r="J596" s="2" t="s">
        <v>287</v>
      </c>
      <c r="K596" s="4" t="s">
        <v>8590</v>
      </c>
      <c r="L596" s="2" t="s">
        <v>24</v>
      </c>
      <c r="M596" s="2"/>
      <c r="N596" t="s">
        <v>8587</v>
      </c>
      <c r="O596" s="8" t="str">
        <f t="shared" si="18"/>
        <v/>
      </c>
      <c r="P596" t="str">
        <f t="shared" si="19"/>
        <v>N/A</v>
      </c>
    </row>
    <row r="597" spans="1:16" x14ac:dyDescent="0.25">
      <c r="A597" s="2" t="s">
        <v>1695</v>
      </c>
      <c r="B597" s="4">
        <v>46254.491666666669</v>
      </c>
      <c r="C597" s="2" t="s">
        <v>16</v>
      </c>
      <c r="D597" s="2" t="s">
        <v>84</v>
      </c>
      <c r="E597" s="2" t="s">
        <v>79</v>
      </c>
      <c r="F597" s="2" t="s">
        <v>30</v>
      </c>
      <c r="G597" s="2" t="s">
        <v>101</v>
      </c>
      <c r="H597" s="2" t="s">
        <v>80</v>
      </c>
      <c r="I597" s="2">
        <v>4</v>
      </c>
      <c r="J597" s="2" t="s">
        <v>287</v>
      </c>
      <c r="K597" s="4" t="s">
        <v>8590</v>
      </c>
      <c r="L597" s="2" t="s">
        <v>24</v>
      </c>
      <c r="M597" s="2"/>
      <c r="N597" t="s">
        <v>8582</v>
      </c>
      <c r="O597" s="8" t="str">
        <f t="shared" si="18"/>
        <v/>
      </c>
      <c r="P597" t="str">
        <f t="shared" si="19"/>
        <v>N/A</v>
      </c>
    </row>
    <row r="598" spans="1:16" x14ac:dyDescent="0.25">
      <c r="A598" s="2" t="s">
        <v>1696</v>
      </c>
      <c r="B598" s="4">
        <v>46187.261805555558</v>
      </c>
      <c r="C598" s="2" t="s">
        <v>53</v>
      </c>
      <c r="D598" s="2" t="s">
        <v>54</v>
      </c>
      <c r="E598" s="2" t="s">
        <v>90</v>
      </c>
      <c r="F598" s="2" t="s">
        <v>96</v>
      </c>
      <c r="G598" s="2" t="s">
        <v>31</v>
      </c>
      <c r="H598" s="2" t="s">
        <v>21</v>
      </c>
      <c r="I598" s="2">
        <v>24</v>
      </c>
      <c r="J598" s="2" t="s">
        <v>75</v>
      </c>
      <c r="K598" s="4">
        <v>46187.629861111112</v>
      </c>
      <c r="L598" s="2" t="s">
        <v>24</v>
      </c>
      <c r="M598" s="2">
        <v>4</v>
      </c>
      <c r="N598" t="s">
        <v>8581</v>
      </c>
      <c r="O598" s="8">
        <f t="shared" si="18"/>
        <v>8.8333333333139308</v>
      </c>
      <c r="P598" t="str">
        <f t="shared" si="19"/>
        <v>N/A</v>
      </c>
    </row>
    <row r="599" spans="1:16" x14ac:dyDescent="0.25">
      <c r="A599" s="2" t="s">
        <v>1699</v>
      </c>
      <c r="B599" s="4">
        <v>46186.423611111109</v>
      </c>
      <c r="C599" s="2" t="s">
        <v>53</v>
      </c>
      <c r="D599" s="2" t="s">
        <v>61</v>
      </c>
      <c r="E599" s="2" t="s">
        <v>90</v>
      </c>
      <c r="F599" s="2" t="s">
        <v>96</v>
      </c>
      <c r="G599" s="2" t="s">
        <v>179</v>
      </c>
      <c r="H599" s="2" t="s">
        <v>32</v>
      </c>
      <c r="I599" s="2">
        <v>48</v>
      </c>
      <c r="J599" s="2" t="s">
        <v>106</v>
      </c>
      <c r="K599" s="4">
        <v>46186.710416666669</v>
      </c>
      <c r="L599" s="2" t="s">
        <v>24</v>
      </c>
      <c r="M599" s="2">
        <v>4</v>
      </c>
      <c r="N599" t="s">
        <v>8585</v>
      </c>
      <c r="O599" s="8">
        <f t="shared" si="18"/>
        <v>6.8833333334187046</v>
      </c>
      <c r="P599" t="str">
        <f t="shared" si="19"/>
        <v>Yes</v>
      </c>
    </row>
    <row r="600" spans="1:16" x14ac:dyDescent="0.25">
      <c r="A600" s="2" t="s">
        <v>1702</v>
      </c>
      <c r="B600" s="4">
        <v>46246.20208333333</v>
      </c>
      <c r="C600" s="2" t="s">
        <v>53</v>
      </c>
      <c r="D600" s="2" t="s">
        <v>61</v>
      </c>
      <c r="E600" s="2" t="s">
        <v>46</v>
      </c>
      <c r="F600" s="2" t="s">
        <v>30</v>
      </c>
      <c r="G600" s="2" t="s">
        <v>110</v>
      </c>
      <c r="H600" s="2" t="s">
        <v>32</v>
      </c>
      <c r="I600" s="2">
        <v>48</v>
      </c>
      <c r="J600" s="2" t="s">
        <v>11</v>
      </c>
      <c r="K600" s="4" t="s">
        <v>8590</v>
      </c>
      <c r="L600" s="2" t="s">
        <v>92</v>
      </c>
      <c r="M600" s="2"/>
      <c r="N600" t="s">
        <v>8587</v>
      </c>
      <c r="O600" s="8" t="str">
        <f t="shared" si="18"/>
        <v/>
      </c>
      <c r="P600" t="str">
        <f t="shared" si="19"/>
        <v>N/A</v>
      </c>
    </row>
    <row r="601" spans="1:16" x14ac:dyDescent="0.25">
      <c r="A601" s="2" t="s">
        <v>1704</v>
      </c>
      <c r="B601" s="4">
        <v>46071.40902777778</v>
      </c>
      <c r="C601" s="2" t="s">
        <v>67</v>
      </c>
      <c r="D601" s="2" t="s">
        <v>95</v>
      </c>
      <c r="E601" s="2" t="s">
        <v>79</v>
      </c>
      <c r="F601" s="2" t="s">
        <v>96</v>
      </c>
      <c r="G601" s="2" t="s">
        <v>179</v>
      </c>
      <c r="H601" s="2" t="s">
        <v>21</v>
      </c>
      <c r="I601" s="2">
        <v>24</v>
      </c>
      <c r="J601" s="2" t="s">
        <v>106</v>
      </c>
      <c r="K601" s="4">
        <v>46071.702777777777</v>
      </c>
      <c r="L601" s="2" t="s">
        <v>24</v>
      </c>
      <c r="M601" s="2">
        <v>5</v>
      </c>
      <c r="N601" t="s">
        <v>8584</v>
      </c>
      <c r="O601" s="8">
        <f t="shared" si="18"/>
        <v>7.0499999999301508</v>
      </c>
      <c r="P601" t="str">
        <f t="shared" si="19"/>
        <v>Yes</v>
      </c>
    </row>
    <row r="602" spans="1:16" x14ac:dyDescent="0.25">
      <c r="A602" s="2" t="s">
        <v>1707</v>
      </c>
      <c r="B602" s="4">
        <v>46210.559027777781</v>
      </c>
      <c r="C602" s="2" t="s">
        <v>67</v>
      </c>
      <c r="D602" s="2" t="s">
        <v>95</v>
      </c>
      <c r="E602" s="2" t="s">
        <v>79</v>
      </c>
      <c r="F602" s="2" t="s">
        <v>113</v>
      </c>
      <c r="G602" s="2" t="s">
        <v>31</v>
      </c>
      <c r="H602" s="2" t="s">
        <v>21</v>
      </c>
      <c r="I602" s="2">
        <v>24</v>
      </c>
      <c r="J602" s="2" t="s">
        <v>106</v>
      </c>
      <c r="K602" s="4">
        <v>46211.145138888889</v>
      </c>
      <c r="L602" s="2" t="s">
        <v>24</v>
      </c>
      <c r="M602" s="2">
        <v>3</v>
      </c>
      <c r="N602" t="s">
        <v>8589</v>
      </c>
      <c r="O602" s="8">
        <f t="shared" si="18"/>
        <v>14.066666666592937</v>
      </c>
      <c r="P602" t="str">
        <f t="shared" si="19"/>
        <v>Yes</v>
      </c>
    </row>
    <row r="603" spans="1:16" x14ac:dyDescent="0.25">
      <c r="A603" s="2" t="s">
        <v>1710</v>
      </c>
      <c r="B603" s="4">
        <v>46084.04583333333</v>
      </c>
      <c r="C603" s="2" t="s">
        <v>28</v>
      </c>
      <c r="D603" s="2" t="s">
        <v>37</v>
      </c>
      <c r="E603" s="2" t="s">
        <v>18</v>
      </c>
      <c r="F603" s="2" t="s">
        <v>55</v>
      </c>
      <c r="G603" s="2" t="s">
        <v>211</v>
      </c>
      <c r="H603" s="2" t="s">
        <v>21</v>
      </c>
      <c r="I603" s="2">
        <v>24</v>
      </c>
      <c r="J603" s="2" t="s">
        <v>11</v>
      </c>
      <c r="K603" s="4" t="s">
        <v>8590</v>
      </c>
      <c r="L603" s="2" t="s">
        <v>92</v>
      </c>
      <c r="M603" s="2"/>
      <c r="N603" t="s">
        <v>8588</v>
      </c>
      <c r="O603" s="8" t="str">
        <f t="shared" si="18"/>
        <v/>
      </c>
      <c r="P603" t="str">
        <f t="shared" si="19"/>
        <v>N/A</v>
      </c>
    </row>
    <row r="604" spans="1:16" x14ac:dyDescent="0.25">
      <c r="A604" s="2" t="s">
        <v>1712</v>
      </c>
      <c r="B604" s="4">
        <v>46079.915277777778</v>
      </c>
      <c r="C604" s="2" t="s">
        <v>53</v>
      </c>
      <c r="D604" s="2" t="s">
        <v>54</v>
      </c>
      <c r="E604" s="2" t="s">
        <v>90</v>
      </c>
      <c r="F604" s="2" t="s">
        <v>96</v>
      </c>
      <c r="G604" s="2" t="s">
        <v>110</v>
      </c>
      <c r="H604" s="2" t="s">
        <v>74</v>
      </c>
      <c r="I604" s="2">
        <v>8</v>
      </c>
      <c r="J604" s="2" t="s">
        <v>106</v>
      </c>
      <c r="K604" s="4">
        <v>46079.966666666667</v>
      </c>
      <c r="L604" s="2" t="s">
        <v>24</v>
      </c>
      <c r="M604" s="2">
        <v>5</v>
      </c>
      <c r="N604" t="s">
        <v>8582</v>
      </c>
      <c r="O604" s="8">
        <f t="shared" si="18"/>
        <v>1.2333333333372138</v>
      </c>
      <c r="P604" t="str">
        <f t="shared" si="19"/>
        <v>Yes</v>
      </c>
    </row>
    <row r="605" spans="1:16" x14ac:dyDescent="0.25">
      <c r="A605" s="2" t="s">
        <v>1715</v>
      </c>
      <c r="B605" s="4">
        <v>46158.962500000001</v>
      </c>
      <c r="C605" s="2" t="s">
        <v>28</v>
      </c>
      <c r="D605" s="2" t="s">
        <v>37</v>
      </c>
      <c r="E605" s="2" t="s">
        <v>46</v>
      </c>
      <c r="F605" s="2" t="s">
        <v>30</v>
      </c>
      <c r="G605" s="2" t="s">
        <v>183</v>
      </c>
      <c r="H605" s="2" t="s">
        <v>32</v>
      </c>
      <c r="I605" s="2">
        <v>48</v>
      </c>
      <c r="J605" s="2" t="s">
        <v>75</v>
      </c>
      <c r="K605" s="4">
        <v>46159.890277777777</v>
      </c>
      <c r="L605" s="2" t="s">
        <v>24</v>
      </c>
      <c r="M605" s="2"/>
      <c r="N605" t="s">
        <v>8585</v>
      </c>
      <c r="O605" s="8">
        <f t="shared" si="18"/>
        <v>22.266666666604578</v>
      </c>
      <c r="P605" t="str">
        <f t="shared" si="19"/>
        <v>N/A</v>
      </c>
    </row>
    <row r="606" spans="1:16" x14ac:dyDescent="0.25">
      <c r="A606" s="2" t="s">
        <v>1718</v>
      </c>
      <c r="B606" s="4">
        <v>46061.376388888886</v>
      </c>
      <c r="C606" s="2" t="s">
        <v>67</v>
      </c>
      <c r="D606" s="2" t="s">
        <v>68</v>
      </c>
      <c r="E606" s="2" t="s">
        <v>18</v>
      </c>
      <c r="F606" s="2" t="s">
        <v>55</v>
      </c>
      <c r="G606" s="2" t="s">
        <v>110</v>
      </c>
      <c r="H606" s="2" t="s">
        <v>80</v>
      </c>
      <c r="I606" s="2">
        <v>4</v>
      </c>
      <c r="J606" s="2" t="s">
        <v>75</v>
      </c>
      <c r="K606" s="4">
        <v>46061.523611111108</v>
      </c>
      <c r="L606" s="2" t="s">
        <v>24</v>
      </c>
      <c r="M606" s="2">
        <v>5</v>
      </c>
      <c r="N606" t="s">
        <v>8589</v>
      </c>
      <c r="O606" s="8">
        <f t="shared" si="18"/>
        <v>3.5333333333255723</v>
      </c>
      <c r="P606" t="str">
        <f t="shared" si="19"/>
        <v>N/A</v>
      </c>
    </row>
    <row r="607" spans="1:16" x14ac:dyDescent="0.25">
      <c r="A607" s="2" t="s">
        <v>1721</v>
      </c>
      <c r="B607" s="4">
        <v>46240.00277777778</v>
      </c>
      <c r="C607" s="2" t="s">
        <v>67</v>
      </c>
      <c r="D607" s="2" t="s">
        <v>68</v>
      </c>
      <c r="E607" s="2" t="s">
        <v>85</v>
      </c>
      <c r="F607" s="2" t="s">
        <v>113</v>
      </c>
      <c r="G607" s="2" t="s">
        <v>211</v>
      </c>
      <c r="H607" s="2" t="s">
        <v>74</v>
      </c>
      <c r="I607" s="2">
        <v>8</v>
      </c>
      <c r="J607" s="2" t="s">
        <v>149</v>
      </c>
      <c r="K607" s="4" t="s">
        <v>8590</v>
      </c>
      <c r="L607" s="2" t="s">
        <v>24</v>
      </c>
      <c r="M607" s="2"/>
      <c r="N607" t="s">
        <v>8584</v>
      </c>
      <c r="O607" s="8" t="str">
        <f t="shared" si="18"/>
        <v/>
      </c>
      <c r="P607" t="str">
        <f t="shared" si="19"/>
        <v>N/A</v>
      </c>
    </row>
    <row r="608" spans="1:16" x14ac:dyDescent="0.25">
      <c r="A608" s="2" t="s">
        <v>1723</v>
      </c>
      <c r="B608" s="4">
        <v>46231.789583333331</v>
      </c>
      <c r="C608" s="2" t="s">
        <v>28</v>
      </c>
      <c r="D608" s="2" t="s">
        <v>100</v>
      </c>
      <c r="E608" s="2" t="s">
        <v>79</v>
      </c>
      <c r="F608" s="2" t="s">
        <v>55</v>
      </c>
      <c r="G608" s="2" t="s">
        <v>110</v>
      </c>
      <c r="H608" s="2" t="s">
        <v>32</v>
      </c>
      <c r="I608" s="2">
        <v>48</v>
      </c>
      <c r="J608" s="2" t="s">
        <v>11</v>
      </c>
      <c r="K608" s="4" t="s">
        <v>8590</v>
      </c>
      <c r="L608" s="2" t="s">
        <v>92</v>
      </c>
      <c r="M608" s="2"/>
      <c r="N608" t="s">
        <v>8589</v>
      </c>
      <c r="O608" s="8" t="str">
        <f t="shared" si="18"/>
        <v/>
      </c>
      <c r="P608" t="str">
        <f t="shared" si="19"/>
        <v>N/A</v>
      </c>
    </row>
    <row r="609" spans="1:16" x14ac:dyDescent="0.25">
      <c r="A609" s="2" t="s">
        <v>1725</v>
      </c>
      <c r="B609" s="4">
        <v>46243.798611111109</v>
      </c>
      <c r="C609" s="2" t="s">
        <v>28</v>
      </c>
      <c r="D609" s="2" t="s">
        <v>100</v>
      </c>
      <c r="E609" s="2" t="s">
        <v>18</v>
      </c>
      <c r="F609" s="2" t="s">
        <v>55</v>
      </c>
      <c r="G609" s="2" t="s">
        <v>31</v>
      </c>
      <c r="H609" s="2" t="s">
        <v>32</v>
      </c>
      <c r="I609" s="2">
        <v>48</v>
      </c>
      <c r="J609" s="2" t="s">
        <v>106</v>
      </c>
      <c r="K609" s="4">
        <v>46248.522222222222</v>
      </c>
      <c r="L609" s="2" t="s">
        <v>24</v>
      </c>
      <c r="M609" s="2"/>
      <c r="N609" t="s">
        <v>8582</v>
      </c>
      <c r="O609" s="8">
        <f t="shared" si="18"/>
        <v>113.36666666669771</v>
      </c>
      <c r="P609" t="str">
        <f t="shared" si="19"/>
        <v>No</v>
      </c>
    </row>
    <row r="610" spans="1:16" x14ac:dyDescent="0.25">
      <c r="A610" s="2" t="s">
        <v>1728</v>
      </c>
      <c r="B610" s="4">
        <v>46144.781944444447</v>
      </c>
      <c r="C610" s="2" t="s">
        <v>53</v>
      </c>
      <c r="D610" s="2" t="s">
        <v>54</v>
      </c>
      <c r="E610" s="2" t="s">
        <v>38</v>
      </c>
      <c r="F610" s="2" t="s">
        <v>96</v>
      </c>
      <c r="G610" s="2" t="s">
        <v>101</v>
      </c>
      <c r="H610" s="2" t="s">
        <v>32</v>
      </c>
      <c r="I610" s="2">
        <v>48</v>
      </c>
      <c r="J610" s="2" t="s">
        <v>287</v>
      </c>
      <c r="K610" s="4" t="s">
        <v>8590</v>
      </c>
      <c r="L610" s="2" t="s">
        <v>24</v>
      </c>
      <c r="M610" s="2"/>
      <c r="N610" t="s">
        <v>8589</v>
      </c>
      <c r="O610" s="8" t="str">
        <f t="shared" si="18"/>
        <v/>
      </c>
      <c r="P610" t="str">
        <f t="shared" si="19"/>
        <v>N/A</v>
      </c>
    </row>
    <row r="611" spans="1:16" x14ac:dyDescent="0.25">
      <c r="A611" s="2" t="s">
        <v>1730</v>
      </c>
      <c r="B611" s="4">
        <v>46117.259722222225</v>
      </c>
      <c r="C611" s="2" t="s">
        <v>16</v>
      </c>
      <c r="D611" s="2" t="s">
        <v>17</v>
      </c>
      <c r="E611" s="2" t="s">
        <v>85</v>
      </c>
      <c r="F611" s="2" t="s">
        <v>96</v>
      </c>
      <c r="G611" s="2" t="s">
        <v>211</v>
      </c>
      <c r="H611" s="2" t="s">
        <v>21</v>
      </c>
      <c r="I611" s="2">
        <v>24</v>
      </c>
      <c r="J611" s="2" t="s">
        <v>106</v>
      </c>
      <c r="K611" s="4">
        <v>46120.154166666667</v>
      </c>
      <c r="L611" s="2" t="s">
        <v>92</v>
      </c>
      <c r="M611" s="2">
        <v>5</v>
      </c>
      <c r="N611" t="s">
        <v>8583</v>
      </c>
      <c r="O611" s="8">
        <f t="shared" si="18"/>
        <v>69.46666666661622</v>
      </c>
      <c r="P611" t="str">
        <f t="shared" si="19"/>
        <v>No</v>
      </c>
    </row>
    <row r="612" spans="1:16" x14ac:dyDescent="0.25">
      <c r="A612" s="2" t="s">
        <v>1733</v>
      </c>
      <c r="B612" s="4">
        <v>46190.095833333333</v>
      </c>
      <c r="C612" s="2" t="s">
        <v>28</v>
      </c>
      <c r="D612" s="2" t="s">
        <v>37</v>
      </c>
      <c r="E612" s="2" t="s">
        <v>90</v>
      </c>
      <c r="F612" s="2" t="s">
        <v>113</v>
      </c>
      <c r="G612" s="2" t="s">
        <v>211</v>
      </c>
      <c r="H612" s="2" t="s">
        <v>74</v>
      </c>
      <c r="I612" s="2">
        <v>8</v>
      </c>
      <c r="J612" s="2" t="s">
        <v>75</v>
      </c>
      <c r="K612" s="4" t="s">
        <v>8590</v>
      </c>
      <c r="L612" s="2" t="s">
        <v>24</v>
      </c>
      <c r="M612" s="2">
        <v>3</v>
      </c>
      <c r="N612" t="s">
        <v>8583</v>
      </c>
      <c r="O612" s="8" t="str">
        <f t="shared" si="18"/>
        <v/>
      </c>
      <c r="P612" t="str">
        <f t="shared" si="19"/>
        <v>N/A</v>
      </c>
    </row>
    <row r="613" spans="1:16" x14ac:dyDescent="0.25">
      <c r="A613" s="2" t="s">
        <v>1735</v>
      </c>
      <c r="B613" s="4">
        <v>46032.080555555556</v>
      </c>
      <c r="C613" s="2" t="s">
        <v>16</v>
      </c>
      <c r="D613" s="2" t="s">
        <v>84</v>
      </c>
      <c r="E613" s="2" t="s">
        <v>85</v>
      </c>
      <c r="F613" s="2" t="s">
        <v>55</v>
      </c>
      <c r="G613" s="2" t="s">
        <v>31</v>
      </c>
      <c r="H613" s="2" t="s">
        <v>74</v>
      </c>
      <c r="I613" s="2">
        <v>8</v>
      </c>
      <c r="J613" s="2" t="s">
        <v>11</v>
      </c>
      <c r="K613" s="4" t="s">
        <v>8590</v>
      </c>
      <c r="L613" s="2" t="s">
        <v>92</v>
      </c>
      <c r="M613" s="2"/>
      <c r="N613" t="s">
        <v>8587</v>
      </c>
      <c r="O613" s="8" t="str">
        <f t="shared" si="18"/>
        <v/>
      </c>
      <c r="P613" t="str">
        <f t="shared" si="19"/>
        <v>N/A</v>
      </c>
    </row>
    <row r="614" spans="1:16" x14ac:dyDescent="0.25">
      <c r="A614" s="2" t="s">
        <v>1737</v>
      </c>
      <c r="B614" s="4">
        <v>46070.697222222225</v>
      </c>
      <c r="C614" s="2" t="s">
        <v>53</v>
      </c>
      <c r="D614" s="2" t="s">
        <v>61</v>
      </c>
      <c r="E614" s="2" t="s">
        <v>46</v>
      </c>
      <c r="F614" s="2" t="s">
        <v>113</v>
      </c>
      <c r="G614" s="2" t="s">
        <v>211</v>
      </c>
      <c r="H614" s="2" t="s">
        <v>21</v>
      </c>
      <c r="I614" s="2">
        <v>24</v>
      </c>
      <c r="J614" s="2" t="s">
        <v>75</v>
      </c>
      <c r="K614" s="4">
        <v>46070.826388888891</v>
      </c>
      <c r="L614" s="2" t="s">
        <v>24</v>
      </c>
      <c r="M614" s="2"/>
      <c r="N614" t="s">
        <v>8582</v>
      </c>
      <c r="O614" s="8">
        <f t="shared" si="18"/>
        <v>3.0999999999767169</v>
      </c>
      <c r="P614" t="str">
        <f t="shared" si="19"/>
        <v>N/A</v>
      </c>
    </row>
    <row r="615" spans="1:16" x14ac:dyDescent="0.25">
      <c r="A615" s="2" t="s">
        <v>1740</v>
      </c>
      <c r="B615" s="4">
        <v>46120.852083333331</v>
      </c>
      <c r="C615" s="2" t="s">
        <v>28</v>
      </c>
      <c r="D615" s="2" t="s">
        <v>100</v>
      </c>
      <c r="E615" s="2" t="s">
        <v>38</v>
      </c>
      <c r="F615" s="2" t="s">
        <v>113</v>
      </c>
      <c r="G615" s="2" t="s">
        <v>211</v>
      </c>
      <c r="H615" s="2" t="s">
        <v>32</v>
      </c>
      <c r="I615" s="2">
        <v>48</v>
      </c>
      <c r="J615" s="2" t="s">
        <v>75</v>
      </c>
      <c r="K615" s="4">
        <v>46122.59097222222</v>
      </c>
      <c r="L615" s="2" t="s">
        <v>24</v>
      </c>
      <c r="M615" s="2">
        <v>1</v>
      </c>
      <c r="N615" t="s">
        <v>8588</v>
      </c>
      <c r="O615" s="8">
        <f t="shared" si="18"/>
        <v>41.733333333337214</v>
      </c>
      <c r="P615" t="str">
        <f t="shared" si="19"/>
        <v>N/A</v>
      </c>
    </row>
    <row r="616" spans="1:16" x14ac:dyDescent="0.25">
      <c r="A616" s="2" t="s">
        <v>1743</v>
      </c>
      <c r="B616" s="4">
        <v>46087.70416666667</v>
      </c>
      <c r="C616" s="2" t="s">
        <v>67</v>
      </c>
      <c r="D616" s="2" t="s">
        <v>95</v>
      </c>
      <c r="E616" s="2" t="s">
        <v>79</v>
      </c>
      <c r="F616" s="2" t="s">
        <v>30</v>
      </c>
      <c r="G616" s="2" t="s">
        <v>101</v>
      </c>
      <c r="H616" s="2" t="s">
        <v>21</v>
      </c>
      <c r="I616" s="2">
        <v>24</v>
      </c>
      <c r="J616" s="2" t="s">
        <v>106</v>
      </c>
      <c r="K616" s="4">
        <v>46088.29583333333</v>
      </c>
      <c r="L616" s="2" t="s">
        <v>24</v>
      </c>
      <c r="M616" s="2"/>
      <c r="N616" t="s">
        <v>8581</v>
      </c>
      <c r="O616" s="8">
        <f t="shared" si="18"/>
        <v>14.199999999837019</v>
      </c>
      <c r="P616" t="str">
        <f t="shared" si="19"/>
        <v>Yes</v>
      </c>
    </row>
    <row r="617" spans="1:16" x14ac:dyDescent="0.25">
      <c r="A617" s="2" t="s">
        <v>1746</v>
      </c>
      <c r="B617" s="4">
        <v>46122.790972222225</v>
      </c>
      <c r="C617" s="2" t="s">
        <v>67</v>
      </c>
      <c r="D617" s="2" t="s">
        <v>68</v>
      </c>
      <c r="E617" s="2" t="s">
        <v>38</v>
      </c>
      <c r="F617" s="2" t="s">
        <v>96</v>
      </c>
      <c r="G617" s="2" t="s">
        <v>183</v>
      </c>
      <c r="H617" s="2" t="s">
        <v>32</v>
      </c>
      <c r="I617" s="2">
        <v>48</v>
      </c>
      <c r="J617" s="2" t="s">
        <v>149</v>
      </c>
      <c r="K617" s="4" t="s">
        <v>8590</v>
      </c>
      <c r="L617" s="2" t="s">
        <v>92</v>
      </c>
      <c r="M617" s="2"/>
      <c r="N617" t="s">
        <v>8589</v>
      </c>
      <c r="O617" s="8" t="str">
        <f t="shared" si="18"/>
        <v/>
      </c>
      <c r="P617" t="str">
        <f t="shared" si="19"/>
        <v>N/A</v>
      </c>
    </row>
    <row r="618" spans="1:16" x14ac:dyDescent="0.25">
      <c r="A618" s="2" t="s">
        <v>1748</v>
      </c>
      <c r="B618" s="4">
        <v>46090.854166666664</v>
      </c>
      <c r="C618" s="2" t="s">
        <v>28</v>
      </c>
      <c r="D618" s="2" t="s">
        <v>100</v>
      </c>
      <c r="E618" s="2" t="s">
        <v>85</v>
      </c>
      <c r="F618" s="2" t="s">
        <v>30</v>
      </c>
      <c r="G618" s="2" t="s">
        <v>110</v>
      </c>
      <c r="H618" s="2" t="s">
        <v>74</v>
      </c>
      <c r="I618" s="2">
        <v>8</v>
      </c>
      <c r="J618" s="2" t="s">
        <v>106</v>
      </c>
      <c r="K618" s="4" t="s">
        <v>8590</v>
      </c>
      <c r="L618" s="2" t="s">
        <v>24</v>
      </c>
      <c r="M618" s="2">
        <v>2</v>
      </c>
      <c r="N618" t="s">
        <v>8588</v>
      </c>
      <c r="O618" s="8" t="str">
        <f t="shared" si="18"/>
        <v/>
      </c>
      <c r="P618" t="str">
        <f t="shared" si="19"/>
        <v>No</v>
      </c>
    </row>
    <row r="619" spans="1:16" x14ac:dyDescent="0.25">
      <c r="A619" s="2" t="s">
        <v>1750</v>
      </c>
      <c r="B619" s="4">
        <v>46245.979166666664</v>
      </c>
      <c r="C619" s="2" t="s">
        <v>67</v>
      </c>
      <c r="D619" s="2" t="s">
        <v>95</v>
      </c>
      <c r="E619" s="2" t="s">
        <v>90</v>
      </c>
      <c r="F619" s="2" t="s">
        <v>96</v>
      </c>
      <c r="G619" s="2" t="s">
        <v>183</v>
      </c>
      <c r="H619" s="2" t="s">
        <v>80</v>
      </c>
      <c r="I619" s="2">
        <v>4</v>
      </c>
      <c r="J619" s="2" t="s">
        <v>8580</v>
      </c>
      <c r="K619" s="4">
        <v>46246.040972222225</v>
      </c>
      <c r="L619" s="2" t="s">
        <v>24</v>
      </c>
      <c r="M619" s="2"/>
      <c r="N619" t="s">
        <v>8587</v>
      </c>
      <c r="O619" s="8">
        <f t="shared" si="18"/>
        <v>1.4833333334536292</v>
      </c>
      <c r="P619" t="str">
        <f t="shared" si="19"/>
        <v>N/A</v>
      </c>
    </row>
    <row r="620" spans="1:16" x14ac:dyDescent="0.25">
      <c r="A620" s="2" t="s">
        <v>1753</v>
      </c>
      <c r="B620" s="4">
        <v>46057.050694444442</v>
      </c>
      <c r="C620" s="2" t="s">
        <v>16</v>
      </c>
      <c r="D620" s="2" t="s">
        <v>84</v>
      </c>
      <c r="E620" s="2" t="s">
        <v>46</v>
      </c>
      <c r="F620" s="2" t="s">
        <v>30</v>
      </c>
      <c r="G620" s="2" t="s">
        <v>179</v>
      </c>
      <c r="H620" s="2" t="s">
        <v>80</v>
      </c>
      <c r="I620" s="2">
        <v>4</v>
      </c>
      <c r="J620" s="2" t="s">
        <v>106</v>
      </c>
      <c r="K620" s="4">
        <v>46057.463888888888</v>
      </c>
      <c r="L620" s="2" t="s">
        <v>92</v>
      </c>
      <c r="M620" s="2">
        <v>1</v>
      </c>
      <c r="N620" t="s">
        <v>8584</v>
      </c>
      <c r="O620" s="8">
        <f t="shared" si="18"/>
        <v>9.9166666666860692</v>
      </c>
      <c r="P620" t="str">
        <f t="shared" si="19"/>
        <v>No</v>
      </c>
    </row>
    <row r="621" spans="1:16" x14ac:dyDescent="0.25">
      <c r="A621" s="2" t="s">
        <v>1756</v>
      </c>
      <c r="B621" s="4">
        <v>46214.68472222222</v>
      </c>
      <c r="C621" s="2" t="s">
        <v>16</v>
      </c>
      <c r="D621" s="2" t="s">
        <v>84</v>
      </c>
      <c r="E621" s="2" t="s">
        <v>38</v>
      </c>
      <c r="F621" s="2" t="s">
        <v>113</v>
      </c>
      <c r="G621" s="2" t="s">
        <v>31</v>
      </c>
      <c r="H621" s="2" t="s">
        <v>32</v>
      </c>
      <c r="I621" s="2">
        <v>48</v>
      </c>
      <c r="J621" s="2" t="s">
        <v>149</v>
      </c>
      <c r="K621" s="4" t="s">
        <v>8590</v>
      </c>
      <c r="L621" s="2" t="s">
        <v>24</v>
      </c>
      <c r="M621" s="2"/>
      <c r="N621" t="s">
        <v>8589</v>
      </c>
      <c r="O621" s="8" t="str">
        <f t="shared" si="18"/>
        <v/>
      </c>
      <c r="P621" t="str">
        <f t="shared" si="19"/>
        <v>N/A</v>
      </c>
    </row>
    <row r="622" spans="1:16" x14ac:dyDescent="0.25">
      <c r="A622" s="2" t="s">
        <v>1758</v>
      </c>
      <c r="B622" s="4">
        <v>46230.140972222223</v>
      </c>
      <c r="C622" s="2" t="s">
        <v>67</v>
      </c>
      <c r="D622" s="2" t="s">
        <v>95</v>
      </c>
      <c r="E622" s="2" t="s">
        <v>148</v>
      </c>
      <c r="F622" s="2" t="s">
        <v>30</v>
      </c>
      <c r="G622" s="2" t="s">
        <v>183</v>
      </c>
      <c r="H622" s="2" t="s">
        <v>32</v>
      </c>
      <c r="I622" s="2">
        <v>48</v>
      </c>
      <c r="J622" s="2" t="s">
        <v>11</v>
      </c>
      <c r="K622" s="4" t="s">
        <v>8590</v>
      </c>
      <c r="L622" s="2" t="s">
        <v>92</v>
      </c>
      <c r="M622" s="2"/>
      <c r="N622" t="s">
        <v>8589</v>
      </c>
      <c r="O622" s="8" t="str">
        <f t="shared" si="18"/>
        <v/>
      </c>
      <c r="P622" t="str">
        <f t="shared" si="19"/>
        <v>N/A</v>
      </c>
    </row>
    <row r="623" spans="1:16" x14ac:dyDescent="0.25">
      <c r="A623" s="2" t="s">
        <v>1760</v>
      </c>
      <c r="B623" s="4">
        <v>46240.133333333331</v>
      </c>
      <c r="C623" s="2" t="s">
        <v>67</v>
      </c>
      <c r="D623" s="2" t="s">
        <v>95</v>
      </c>
      <c r="E623" s="2" t="s">
        <v>79</v>
      </c>
      <c r="F623" s="2" t="s">
        <v>30</v>
      </c>
      <c r="G623" s="2" t="s">
        <v>110</v>
      </c>
      <c r="H623" s="2" t="s">
        <v>74</v>
      </c>
      <c r="I623" s="2">
        <v>8</v>
      </c>
      <c r="J623" s="2" t="s">
        <v>75</v>
      </c>
      <c r="K623" s="4">
        <v>46240.334722222222</v>
      </c>
      <c r="L623" s="2" t="s">
        <v>24</v>
      </c>
      <c r="M623" s="2"/>
      <c r="N623" t="s">
        <v>8588</v>
      </c>
      <c r="O623" s="8">
        <f t="shared" si="18"/>
        <v>4.8333333333721384</v>
      </c>
      <c r="P623" t="str">
        <f t="shared" si="19"/>
        <v>N/A</v>
      </c>
    </row>
    <row r="624" spans="1:16" x14ac:dyDescent="0.25">
      <c r="A624" s="2" t="s">
        <v>1763</v>
      </c>
      <c r="B624" s="4">
        <v>46184.547222222223</v>
      </c>
      <c r="C624" s="2" t="s">
        <v>16</v>
      </c>
      <c r="D624" s="2" t="s">
        <v>17</v>
      </c>
      <c r="E624" s="2" t="s">
        <v>46</v>
      </c>
      <c r="F624" s="2" t="s">
        <v>55</v>
      </c>
      <c r="G624" s="2" t="s">
        <v>183</v>
      </c>
      <c r="H624" s="2" t="s">
        <v>32</v>
      </c>
      <c r="I624" s="2">
        <v>48</v>
      </c>
      <c r="J624" s="2" t="s">
        <v>75</v>
      </c>
      <c r="K624" s="4">
        <v>46184.832638888889</v>
      </c>
      <c r="L624" s="2" t="s">
        <v>92</v>
      </c>
      <c r="M624" s="2">
        <v>5</v>
      </c>
      <c r="N624" t="s">
        <v>8581</v>
      </c>
      <c r="O624" s="8">
        <f t="shared" si="18"/>
        <v>6.8499999999767169</v>
      </c>
      <c r="P624" t="str">
        <f t="shared" si="19"/>
        <v>N/A</v>
      </c>
    </row>
    <row r="625" spans="1:16" x14ac:dyDescent="0.25">
      <c r="A625" s="2" t="s">
        <v>1766</v>
      </c>
      <c r="B625" s="4">
        <v>46087.691666666666</v>
      </c>
      <c r="C625" s="2" t="s">
        <v>67</v>
      </c>
      <c r="D625" s="2" t="s">
        <v>95</v>
      </c>
      <c r="E625" s="2" t="s">
        <v>148</v>
      </c>
      <c r="F625" s="2" t="s">
        <v>55</v>
      </c>
      <c r="G625" s="2" t="s">
        <v>211</v>
      </c>
      <c r="H625" s="2" t="s">
        <v>21</v>
      </c>
      <c r="I625" s="2">
        <v>24</v>
      </c>
      <c r="J625" s="2" t="s">
        <v>149</v>
      </c>
      <c r="K625" s="4" t="s">
        <v>8590</v>
      </c>
      <c r="L625" s="2" t="s">
        <v>92</v>
      </c>
      <c r="M625" s="2"/>
      <c r="N625" t="s">
        <v>8588</v>
      </c>
      <c r="O625" s="8" t="str">
        <f t="shared" si="18"/>
        <v/>
      </c>
      <c r="P625" t="str">
        <f t="shared" si="19"/>
        <v>N/A</v>
      </c>
    </row>
    <row r="626" spans="1:16" x14ac:dyDescent="0.25">
      <c r="A626" s="2" t="s">
        <v>1768</v>
      </c>
      <c r="B626" s="4">
        <v>46035.968055555553</v>
      </c>
      <c r="C626" s="2" t="s">
        <v>53</v>
      </c>
      <c r="D626" s="2" t="s">
        <v>54</v>
      </c>
      <c r="E626" s="2" t="s">
        <v>90</v>
      </c>
      <c r="F626" s="2" t="s">
        <v>30</v>
      </c>
      <c r="G626" s="2" t="s">
        <v>179</v>
      </c>
      <c r="H626" s="2" t="s">
        <v>32</v>
      </c>
      <c r="I626" s="2">
        <v>48</v>
      </c>
      <c r="J626" s="2" t="s">
        <v>287</v>
      </c>
      <c r="K626" s="4" t="s">
        <v>8590</v>
      </c>
      <c r="L626" s="2" t="s">
        <v>24</v>
      </c>
      <c r="M626" s="2"/>
      <c r="N626" t="s">
        <v>8589</v>
      </c>
      <c r="O626" s="8" t="str">
        <f t="shared" si="18"/>
        <v/>
      </c>
      <c r="P626" t="str">
        <f t="shared" si="19"/>
        <v>N/A</v>
      </c>
    </row>
    <row r="627" spans="1:16" x14ac:dyDescent="0.25">
      <c r="A627" s="2" t="s">
        <v>1770</v>
      </c>
      <c r="B627" s="4">
        <v>46245.519444444442</v>
      </c>
      <c r="C627" s="2" t="s">
        <v>53</v>
      </c>
      <c r="D627" s="2" t="s">
        <v>61</v>
      </c>
      <c r="E627" s="2" t="s">
        <v>46</v>
      </c>
      <c r="F627" s="2" t="s">
        <v>96</v>
      </c>
      <c r="G627" s="2" t="s">
        <v>179</v>
      </c>
      <c r="H627" s="2" t="s">
        <v>32</v>
      </c>
      <c r="I627" s="2">
        <v>48</v>
      </c>
      <c r="J627" s="2" t="s">
        <v>75</v>
      </c>
      <c r="K627" s="4">
        <v>46245.595138888886</v>
      </c>
      <c r="L627" s="2" t="s">
        <v>24</v>
      </c>
      <c r="M627" s="2">
        <v>5</v>
      </c>
      <c r="N627" t="s">
        <v>8588</v>
      </c>
      <c r="O627" s="8">
        <f t="shared" si="18"/>
        <v>1.8166666666511446</v>
      </c>
      <c r="P627" t="str">
        <f t="shared" si="19"/>
        <v>N/A</v>
      </c>
    </row>
    <row r="628" spans="1:16" x14ac:dyDescent="0.25">
      <c r="A628" s="2" t="s">
        <v>1773</v>
      </c>
      <c r="B628" s="4">
        <v>46253.083333333336</v>
      </c>
      <c r="C628" s="2" t="s">
        <v>67</v>
      </c>
      <c r="D628" s="2" t="s">
        <v>68</v>
      </c>
      <c r="E628" s="2" t="s">
        <v>46</v>
      </c>
      <c r="F628" s="2" t="s">
        <v>55</v>
      </c>
      <c r="G628" s="2" t="s">
        <v>101</v>
      </c>
      <c r="H628" s="2" t="s">
        <v>32</v>
      </c>
      <c r="I628" s="2">
        <v>48</v>
      </c>
      <c r="J628" s="2" t="s">
        <v>106</v>
      </c>
      <c r="K628" s="4">
        <v>46254.036111111112</v>
      </c>
      <c r="L628" s="2" t="s">
        <v>24</v>
      </c>
      <c r="M628" s="2"/>
      <c r="N628" t="s">
        <v>8587</v>
      </c>
      <c r="O628" s="8">
        <f t="shared" si="18"/>
        <v>22.866666666639503</v>
      </c>
      <c r="P628" t="str">
        <f t="shared" si="19"/>
        <v>Yes</v>
      </c>
    </row>
    <row r="629" spans="1:16" x14ac:dyDescent="0.25">
      <c r="A629" s="2" t="s">
        <v>1776</v>
      </c>
      <c r="B629" s="4">
        <v>46066.563888888886</v>
      </c>
      <c r="C629" s="2" t="s">
        <v>28</v>
      </c>
      <c r="D629" s="2" t="s">
        <v>37</v>
      </c>
      <c r="E629" s="2" t="s">
        <v>79</v>
      </c>
      <c r="F629" s="2" t="s">
        <v>113</v>
      </c>
      <c r="G629" s="2" t="s">
        <v>110</v>
      </c>
      <c r="H629" s="2" t="s">
        <v>21</v>
      </c>
      <c r="I629" s="2">
        <v>24</v>
      </c>
      <c r="J629" s="2" t="s">
        <v>106</v>
      </c>
      <c r="K629" s="4">
        <v>46066.663194444445</v>
      </c>
      <c r="L629" s="2" t="s">
        <v>24</v>
      </c>
      <c r="M629" s="2"/>
      <c r="N629" t="s">
        <v>8585</v>
      </c>
      <c r="O629" s="8">
        <f t="shared" si="18"/>
        <v>2.3833333334187046</v>
      </c>
      <c r="P629" t="str">
        <f t="shared" si="19"/>
        <v>Yes</v>
      </c>
    </row>
    <row r="630" spans="1:16" x14ac:dyDescent="0.25">
      <c r="A630" s="2" t="s">
        <v>1779</v>
      </c>
      <c r="B630" s="4">
        <v>46116.723611111112</v>
      </c>
      <c r="C630" s="2" t="s">
        <v>67</v>
      </c>
      <c r="D630" s="2" t="s">
        <v>95</v>
      </c>
      <c r="E630" s="2" t="s">
        <v>90</v>
      </c>
      <c r="F630" s="2" t="s">
        <v>113</v>
      </c>
      <c r="G630" s="2" t="s">
        <v>101</v>
      </c>
      <c r="H630" s="2" t="s">
        <v>21</v>
      </c>
      <c r="I630" s="2">
        <v>24</v>
      </c>
      <c r="J630" s="2" t="s">
        <v>8580</v>
      </c>
      <c r="K630" s="4">
        <v>46119.054861111108</v>
      </c>
      <c r="L630" s="2" t="s">
        <v>24</v>
      </c>
      <c r="M630" s="2"/>
      <c r="N630" t="s">
        <v>8589</v>
      </c>
      <c r="O630" s="8">
        <f t="shared" si="18"/>
        <v>55.949999999895226</v>
      </c>
      <c r="P630" t="str">
        <f t="shared" si="19"/>
        <v>N/A</v>
      </c>
    </row>
    <row r="631" spans="1:16" x14ac:dyDescent="0.25">
      <c r="A631" s="2" t="s">
        <v>1782</v>
      </c>
      <c r="B631" s="4">
        <v>46247.100694444445</v>
      </c>
      <c r="C631" s="2" t="s">
        <v>67</v>
      </c>
      <c r="D631" s="2" t="s">
        <v>68</v>
      </c>
      <c r="E631" s="2" t="s">
        <v>148</v>
      </c>
      <c r="F631" s="2" t="s">
        <v>113</v>
      </c>
      <c r="G631" s="2" t="s">
        <v>211</v>
      </c>
      <c r="H631" s="2" t="s">
        <v>80</v>
      </c>
      <c r="I631" s="2">
        <v>4</v>
      </c>
      <c r="J631" s="2" t="s">
        <v>75</v>
      </c>
      <c r="K631" s="4">
        <v>46247.211805555555</v>
      </c>
      <c r="L631" s="2" t="s">
        <v>24</v>
      </c>
      <c r="M631" s="2">
        <v>1</v>
      </c>
      <c r="N631" t="s">
        <v>8588</v>
      </c>
      <c r="O631" s="8">
        <f t="shared" si="18"/>
        <v>2.6666666666278616</v>
      </c>
      <c r="P631" t="str">
        <f t="shared" si="19"/>
        <v>N/A</v>
      </c>
    </row>
    <row r="632" spans="1:16" x14ac:dyDescent="0.25">
      <c r="A632" s="2" t="s">
        <v>1785</v>
      </c>
      <c r="B632" s="4">
        <v>46069.612500000003</v>
      </c>
      <c r="C632" s="2" t="s">
        <v>16</v>
      </c>
      <c r="D632" s="2" t="s">
        <v>84</v>
      </c>
      <c r="E632" s="2" t="s">
        <v>79</v>
      </c>
      <c r="F632" s="2" t="s">
        <v>55</v>
      </c>
      <c r="G632" s="2" t="s">
        <v>31</v>
      </c>
      <c r="H632" s="2" t="s">
        <v>74</v>
      </c>
      <c r="I632" s="2">
        <v>8</v>
      </c>
      <c r="J632" s="2" t="s">
        <v>75</v>
      </c>
      <c r="K632" s="4">
        <v>46069.904166666667</v>
      </c>
      <c r="L632" s="2" t="s">
        <v>24</v>
      </c>
      <c r="M632" s="2">
        <v>1</v>
      </c>
      <c r="N632" t="s">
        <v>8587</v>
      </c>
      <c r="O632" s="8">
        <f t="shared" si="18"/>
        <v>6.9999999999417923</v>
      </c>
      <c r="P632" t="str">
        <f t="shared" si="19"/>
        <v>N/A</v>
      </c>
    </row>
    <row r="633" spans="1:16" x14ac:dyDescent="0.25">
      <c r="A633" s="2" t="s">
        <v>1788</v>
      </c>
      <c r="B633" s="4">
        <v>46206.209722222222</v>
      </c>
      <c r="C633" s="2" t="s">
        <v>53</v>
      </c>
      <c r="D633" s="2" t="s">
        <v>54</v>
      </c>
      <c r="E633" s="2" t="s">
        <v>18</v>
      </c>
      <c r="F633" s="2" t="s">
        <v>30</v>
      </c>
      <c r="G633" s="2" t="s">
        <v>101</v>
      </c>
      <c r="H633" s="2" t="s">
        <v>21</v>
      </c>
      <c r="I633" s="2">
        <v>24</v>
      </c>
      <c r="J633" s="2" t="s">
        <v>75</v>
      </c>
      <c r="K633" s="4">
        <v>46206.89166666667</v>
      </c>
      <c r="L633" s="2" t="s">
        <v>24</v>
      </c>
      <c r="M633" s="2">
        <v>5</v>
      </c>
      <c r="N633" t="s">
        <v>8584</v>
      </c>
      <c r="O633" s="8">
        <f t="shared" si="18"/>
        <v>16.366666666755918</v>
      </c>
      <c r="P633" t="str">
        <f t="shared" si="19"/>
        <v>N/A</v>
      </c>
    </row>
    <row r="634" spans="1:16" x14ac:dyDescent="0.25">
      <c r="A634" s="2" t="s">
        <v>1791</v>
      </c>
      <c r="B634" s="4">
        <v>46085.986805555556</v>
      </c>
      <c r="C634" s="2" t="s">
        <v>28</v>
      </c>
      <c r="D634" s="2" t="s">
        <v>100</v>
      </c>
      <c r="E634" s="2" t="s">
        <v>18</v>
      </c>
      <c r="F634" s="2" t="s">
        <v>96</v>
      </c>
      <c r="G634" s="2" t="s">
        <v>179</v>
      </c>
      <c r="H634" s="2" t="s">
        <v>74</v>
      </c>
      <c r="I634" s="2">
        <v>8</v>
      </c>
      <c r="J634" s="2" t="s">
        <v>106</v>
      </c>
      <c r="K634" s="4" t="s">
        <v>8590</v>
      </c>
      <c r="L634" s="2" t="s">
        <v>24</v>
      </c>
      <c r="M634" s="2">
        <v>4</v>
      </c>
      <c r="N634" t="s">
        <v>8588</v>
      </c>
      <c r="O634" s="8" t="str">
        <f t="shared" si="18"/>
        <v/>
      </c>
      <c r="P634" t="str">
        <f t="shared" si="19"/>
        <v>No</v>
      </c>
    </row>
    <row r="635" spans="1:16" x14ac:dyDescent="0.25">
      <c r="A635" s="2" t="s">
        <v>1793</v>
      </c>
      <c r="B635" s="4">
        <v>46077.200694444444</v>
      </c>
      <c r="C635" s="2" t="s">
        <v>67</v>
      </c>
      <c r="D635" s="2" t="s">
        <v>95</v>
      </c>
      <c r="E635" s="2" t="s">
        <v>18</v>
      </c>
      <c r="F635" s="2" t="s">
        <v>55</v>
      </c>
      <c r="G635" s="2" t="s">
        <v>110</v>
      </c>
      <c r="H635" s="2" t="s">
        <v>32</v>
      </c>
      <c r="I635" s="2">
        <v>48</v>
      </c>
      <c r="J635" s="2" t="s">
        <v>75</v>
      </c>
      <c r="K635" s="4">
        <v>46078.663888888892</v>
      </c>
      <c r="L635" s="2" t="s">
        <v>24</v>
      </c>
      <c r="M635" s="2">
        <v>4</v>
      </c>
      <c r="N635" t="s">
        <v>8582</v>
      </c>
      <c r="O635" s="8">
        <f t="shared" si="18"/>
        <v>35.116666666755918</v>
      </c>
      <c r="P635" t="str">
        <f t="shared" si="19"/>
        <v>N/A</v>
      </c>
    </row>
    <row r="636" spans="1:16" x14ac:dyDescent="0.25">
      <c r="A636" s="2" t="s">
        <v>1796</v>
      </c>
      <c r="B636" s="4">
        <v>46138.195833333331</v>
      </c>
      <c r="C636" s="2" t="s">
        <v>16</v>
      </c>
      <c r="D636" s="2" t="s">
        <v>84</v>
      </c>
      <c r="E636" s="2" t="s">
        <v>46</v>
      </c>
      <c r="F636" s="2" t="s">
        <v>30</v>
      </c>
      <c r="G636" s="2" t="s">
        <v>110</v>
      </c>
      <c r="H636" s="2" t="s">
        <v>32</v>
      </c>
      <c r="I636" s="2">
        <v>48</v>
      </c>
      <c r="J636" s="2" t="s">
        <v>8580</v>
      </c>
      <c r="K636" s="4">
        <v>46138.956250000003</v>
      </c>
      <c r="L636" s="2" t="s">
        <v>24</v>
      </c>
      <c r="M636" s="2"/>
      <c r="N636" t="s">
        <v>8584</v>
      </c>
      <c r="O636" s="8">
        <f t="shared" si="18"/>
        <v>18.250000000116415</v>
      </c>
      <c r="P636" t="str">
        <f t="shared" si="19"/>
        <v>N/A</v>
      </c>
    </row>
    <row r="637" spans="1:16" x14ac:dyDescent="0.25">
      <c r="A637" s="2" t="s">
        <v>1799</v>
      </c>
      <c r="B637" s="4">
        <v>46062.75</v>
      </c>
      <c r="C637" s="2" t="s">
        <v>67</v>
      </c>
      <c r="D637" s="2" t="s">
        <v>95</v>
      </c>
      <c r="E637" s="2" t="s">
        <v>38</v>
      </c>
      <c r="F637" s="2" t="s">
        <v>113</v>
      </c>
      <c r="G637" s="2" t="s">
        <v>110</v>
      </c>
      <c r="H637" s="2" t="s">
        <v>21</v>
      </c>
      <c r="I637" s="2">
        <v>24</v>
      </c>
      <c r="J637" s="2" t="s">
        <v>287</v>
      </c>
      <c r="K637" s="4" t="s">
        <v>8590</v>
      </c>
      <c r="L637" s="2" t="s">
        <v>24</v>
      </c>
      <c r="M637" s="2"/>
      <c r="N637" t="s">
        <v>8587</v>
      </c>
      <c r="O637" s="8" t="str">
        <f t="shared" si="18"/>
        <v/>
      </c>
      <c r="P637" t="str">
        <f t="shared" si="19"/>
        <v>N/A</v>
      </c>
    </row>
    <row r="638" spans="1:16" x14ac:dyDescent="0.25">
      <c r="A638" s="2" t="s">
        <v>1801</v>
      </c>
      <c r="B638" s="4">
        <v>46042.946527777778</v>
      </c>
      <c r="C638" s="2" t="s">
        <v>67</v>
      </c>
      <c r="D638" s="2" t="s">
        <v>68</v>
      </c>
      <c r="E638" s="2" t="s">
        <v>46</v>
      </c>
      <c r="F638" s="2" t="s">
        <v>113</v>
      </c>
      <c r="G638" s="2" t="s">
        <v>211</v>
      </c>
      <c r="H638" s="2" t="s">
        <v>74</v>
      </c>
      <c r="I638" s="2">
        <v>8</v>
      </c>
      <c r="J638" s="2" t="s">
        <v>149</v>
      </c>
      <c r="K638" s="4" t="s">
        <v>8590</v>
      </c>
      <c r="L638" s="2" t="s">
        <v>24</v>
      </c>
      <c r="M638" s="2"/>
      <c r="N638" t="s">
        <v>8582</v>
      </c>
      <c r="O638" s="8" t="str">
        <f t="shared" si="18"/>
        <v/>
      </c>
      <c r="P638" t="str">
        <f t="shared" si="19"/>
        <v>N/A</v>
      </c>
    </row>
    <row r="639" spans="1:16" x14ac:dyDescent="0.25">
      <c r="A639" s="2" t="s">
        <v>1803</v>
      </c>
      <c r="B639" s="4">
        <v>46154.239583333336</v>
      </c>
      <c r="C639" s="2" t="s">
        <v>67</v>
      </c>
      <c r="D639" s="2" t="s">
        <v>95</v>
      </c>
      <c r="E639" s="2" t="s">
        <v>90</v>
      </c>
      <c r="F639" s="2" t="s">
        <v>55</v>
      </c>
      <c r="G639" s="2" t="s">
        <v>101</v>
      </c>
      <c r="H639" s="2" t="s">
        <v>21</v>
      </c>
      <c r="I639" s="2">
        <v>24</v>
      </c>
      <c r="J639" s="2" t="s">
        <v>106</v>
      </c>
      <c r="K639" s="4" t="s">
        <v>8590</v>
      </c>
      <c r="L639" s="2" t="s">
        <v>24</v>
      </c>
      <c r="M639" s="2"/>
      <c r="N639" t="s">
        <v>8582</v>
      </c>
      <c r="O639" s="8" t="str">
        <f t="shared" si="18"/>
        <v/>
      </c>
      <c r="P639" t="str">
        <f t="shared" si="19"/>
        <v>No</v>
      </c>
    </row>
    <row r="640" spans="1:16" x14ac:dyDescent="0.25">
      <c r="A640" s="2" t="s">
        <v>1805</v>
      </c>
      <c r="B640" s="4">
        <v>46072.679861111108</v>
      </c>
      <c r="C640" s="2" t="s">
        <v>16</v>
      </c>
      <c r="D640" s="2" t="s">
        <v>84</v>
      </c>
      <c r="E640" s="2" t="s">
        <v>79</v>
      </c>
      <c r="F640" s="2" t="s">
        <v>30</v>
      </c>
      <c r="G640" s="2" t="s">
        <v>183</v>
      </c>
      <c r="H640" s="2" t="s">
        <v>32</v>
      </c>
      <c r="I640" s="2">
        <v>48</v>
      </c>
      <c r="J640" s="2" t="s">
        <v>106</v>
      </c>
      <c r="K640" s="4">
        <v>46076.422222222223</v>
      </c>
      <c r="L640" s="2" t="s">
        <v>24</v>
      </c>
      <c r="M640" s="2"/>
      <c r="N640" t="s">
        <v>8583</v>
      </c>
      <c r="O640" s="8">
        <f t="shared" si="18"/>
        <v>89.81666666676756</v>
      </c>
      <c r="P640" t="str">
        <f t="shared" si="19"/>
        <v>No</v>
      </c>
    </row>
    <row r="641" spans="1:16" x14ac:dyDescent="0.25">
      <c r="A641" s="2" t="s">
        <v>1808</v>
      </c>
      <c r="B641" s="4">
        <v>46044.012499999997</v>
      </c>
      <c r="C641" s="2" t="s">
        <v>28</v>
      </c>
      <c r="D641" s="2" t="s">
        <v>37</v>
      </c>
      <c r="E641" s="2" t="s">
        <v>90</v>
      </c>
      <c r="F641" s="2" t="s">
        <v>30</v>
      </c>
      <c r="G641" s="2" t="s">
        <v>211</v>
      </c>
      <c r="H641" s="2" t="s">
        <v>21</v>
      </c>
      <c r="I641" s="2">
        <v>24</v>
      </c>
      <c r="J641" s="2" t="s">
        <v>106</v>
      </c>
      <c r="K641" s="4">
        <v>46044.367361111108</v>
      </c>
      <c r="L641" s="2" t="s">
        <v>24</v>
      </c>
      <c r="M641" s="2"/>
      <c r="N641" t="s">
        <v>8589</v>
      </c>
      <c r="O641" s="8">
        <f t="shared" si="18"/>
        <v>8.5166666666627862</v>
      </c>
      <c r="P641" t="str">
        <f t="shared" si="19"/>
        <v>Yes</v>
      </c>
    </row>
    <row r="642" spans="1:16" x14ac:dyDescent="0.25">
      <c r="A642" s="2" t="s">
        <v>1811</v>
      </c>
      <c r="B642" s="4">
        <v>46118.896527777775</v>
      </c>
      <c r="C642" s="2" t="s">
        <v>53</v>
      </c>
      <c r="D642" s="2" t="s">
        <v>61</v>
      </c>
      <c r="E642" s="2" t="s">
        <v>18</v>
      </c>
      <c r="F642" s="2" t="s">
        <v>30</v>
      </c>
      <c r="G642" s="2" t="s">
        <v>211</v>
      </c>
      <c r="H642" s="2" t="s">
        <v>74</v>
      </c>
      <c r="I642" s="2">
        <v>8</v>
      </c>
      <c r="J642" s="2" t="s">
        <v>106</v>
      </c>
      <c r="K642" s="4">
        <v>46119.150694444441</v>
      </c>
      <c r="L642" s="2" t="s">
        <v>24</v>
      </c>
      <c r="M642" s="2">
        <v>1</v>
      </c>
      <c r="N642" t="s">
        <v>8586</v>
      </c>
      <c r="O642" s="8">
        <f t="shared" si="18"/>
        <v>6.0999999999767169</v>
      </c>
      <c r="P642" t="str">
        <f t="shared" si="19"/>
        <v>Yes</v>
      </c>
    </row>
    <row r="643" spans="1:16" x14ac:dyDescent="0.25">
      <c r="A643" s="2" t="s">
        <v>1814</v>
      </c>
      <c r="B643" s="4">
        <v>46025.117361111108</v>
      </c>
      <c r="C643" s="2" t="s">
        <v>28</v>
      </c>
      <c r="D643" s="2" t="s">
        <v>37</v>
      </c>
      <c r="E643" s="2" t="s">
        <v>18</v>
      </c>
      <c r="F643" s="2" t="s">
        <v>55</v>
      </c>
      <c r="G643" s="2" t="s">
        <v>183</v>
      </c>
      <c r="H643" s="2" t="s">
        <v>21</v>
      </c>
      <c r="I643" s="2">
        <v>24</v>
      </c>
      <c r="J643" s="2" t="s">
        <v>106</v>
      </c>
      <c r="K643" s="4">
        <v>46027.069444444445</v>
      </c>
      <c r="L643" s="2" t="s">
        <v>92</v>
      </c>
      <c r="M643" s="2">
        <v>2</v>
      </c>
      <c r="N643" t="s">
        <v>8583</v>
      </c>
      <c r="O643" s="8">
        <f t="shared" ref="O643:O706" si="20">IF(K643="","",IF(K643="Missing Resolve Date","",(K643-B643)*24))</f>
        <v>46.850000000093132</v>
      </c>
      <c r="P643" t="str">
        <f t="shared" ref="P643:P706" si="21">IF(J643="Resolved",IF(O643&lt;=I643,"Yes","No"),"N/A")</f>
        <v>No</v>
      </c>
    </row>
    <row r="644" spans="1:16" x14ac:dyDescent="0.25">
      <c r="A644" s="2" t="s">
        <v>1817</v>
      </c>
      <c r="B644" s="4">
        <v>46239.638888888891</v>
      </c>
      <c r="C644" s="2" t="s">
        <v>16</v>
      </c>
      <c r="D644" s="2" t="s">
        <v>17</v>
      </c>
      <c r="E644" s="2" t="s">
        <v>46</v>
      </c>
      <c r="F644" s="2" t="s">
        <v>96</v>
      </c>
      <c r="G644" s="2" t="s">
        <v>211</v>
      </c>
      <c r="H644" s="2" t="s">
        <v>32</v>
      </c>
      <c r="I644" s="2">
        <v>48</v>
      </c>
      <c r="J644" s="2" t="s">
        <v>106</v>
      </c>
      <c r="K644" s="4">
        <v>46244.069444444445</v>
      </c>
      <c r="L644" s="2" t="s">
        <v>24</v>
      </c>
      <c r="M644" s="2"/>
      <c r="N644" t="s">
        <v>8587</v>
      </c>
      <c r="O644" s="8">
        <f t="shared" si="20"/>
        <v>106.33333333331393</v>
      </c>
      <c r="P644" t="str">
        <f t="shared" si="21"/>
        <v>No</v>
      </c>
    </row>
    <row r="645" spans="1:16" x14ac:dyDescent="0.25">
      <c r="A645" s="2" t="s">
        <v>1820</v>
      </c>
      <c r="B645" s="4">
        <v>46136.20416666667</v>
      </c>
      <c r="C645" s="2" t="s">
        <v>28</v>
      </c>
      <c r="D645" s="2" t="s">
        <v>100</v>
      </c>
      <c r="E645" s="2" t="s">
        <v>90</v>
      </c>
      <c r="F645" s="2" t="s">
        <v>55</v>
      </c>
      <c r="G645" s="2" t="s">
        <v>110</v>
      </c>
      <c r="H645" s="2" t="s">
        <v>80</v>
      </c>
      <c r="I645" s="2">
        <v>4</v>
      </c>
      <c r="J645" s="2" t="s">
        <v>75</v>
      </c>
      <c r="K645" s="4">
        <v>46136.234722222223</v>
      </c>
      <c r="L645" s="2" t="s">
        <v>24</v>
      </c>
      <c r="M645" s="2"/>
      <c r="N645" t="s">
        <v>8584</v>
      </c>
      <c r="O645" s="8">
        <f t="shared" si="20"/>
        <v>0.73333333327900618</v>
      </c>
      <c r="P645" t="str">
        <f t="shared" si="21"/>
        <v>N/A</v>
      </c>
    </row>
    <row r="646" spans="1:16" x14ac:dyDescent="0.25">
      <c r="A646" s="2" t="s">
        <v>1823</v>
      </c>
      <c r="B646" s="4">
        <v>46196.908333333333</v>
      </c>
      <c r="C646" s="2" t="s">
        <v>53</v>
      </c>
      <c r="D646" s="2" t="s">
        <v>54</v>
      </c>
      <c r="E646" s="2" t="s">
        <v>90</v>
      </c>
      <c r="F646" s="2" t="s">
        <v>55</v>
      </c>
      <c r="G646" s="2" t="s">
        <v>31</v>
      </c>
      <c r="H646" s="2" t="s">
        <v>80</v>
      </c>
      <c r="I646" s="2">
        <v>4</v>
      </c>
      <c r="J646" s="2" t="s">
        <v>106</v>
      </c>
      <c r="K646" s="4">
        <v>46196.974999999999</v>
      </c>
      <c r="L646" s="2" t="s">
        <v>24</v>
      </c>
      <c r="M646" s="2"/>
      <c r="N646" t="s">
        <v>8585</v>
      </c>
      <c r="O646" s="8">
        <f t="shared" si="20"/>
        <v>1.5999999999767169</v>
      </c>
      <c r="P646" t="str">
        <f t="shared" si="21"/>
        <v>Yes</v>
      </c>
    </row>
    <row r="647" spans="1:16" x14ac:dyDescent="0.25">
      <c r="A647" s="2" t="s">
        <v>1826</v>
      </c>
      <c r="B647" s="4">
        <v>46250.584722222222</v>
      </c>
      <c r="C647" s="2" t="s">
        <v>28</v>
      </c>
      <c r="D647" s="2" t="s">
        <v>37</v>
      </c>
      <c r="E647" s="2" t="s">
        <v>90</v>
      </c>
      <c r="F647" s="2" t="s">
        <v>55</v>
      </c>
      <c r="G647" s="2" t="s">
        <v>183</v>
      </c>
      <c r="H647" s="2" t="s">
        <v>74</v>
      </c>
      <c r="I647" s="2">
        <v>8</v>
      </c>
      <c r="J647" s="2" t="s">
        <v>75</v>
      </c>
      <c r="K647" s="4">
        <v>46250.770138888889</v>
      </c>
      <c r="L647" s="2" t="s">
        <v>24</v>
      </c>
      <c r="M647" s="2"/>
      <c r="N647" t="s">
        <v>8585</v>
      </c>
      <c r="O647" s="8">
        <f t="shared" si="20"/>
        <v>4.4500000000116415</v>
      </c>
      <c r="P647" t="str">
        <f t="shared" si="21"/>
        <v>N/A</v>
      </c>
    </row>
    <row r="648" spans="1:16" x14ac:dyDescent="0.25">
      <c r="A648" s="2" t="s">
        <v>1829</v>
      </c>
      <c r="B648" s="4">
        <v>46087.501388888886</v>
      </c>
      <c r="C648" s="2" t="s">
        <v>28</v>
      </c>
      <c r="D648" s="2" t="s">
        <v>100</v>
      </c>
      <c r="E648" s="2" t="s">
        <v>38</v>
      </c>
      <c r="F648" s="2" t="s">
        <v>30</v>
      </c>
      <c r="G648" s="2" t="s">
        <v>110</v>
      </c>
      <c r="H648" s="2" t="s">
        <v>74</v>
      </c>
      <c r="I648" s="2">
        <v>8</v>
      </c>
      <c r="J648" s="2" t="s">
        <v>11</v>
      </c>
      <c r="K648" s="4" t="s">
        <v>8590</v>
      </c>
      <c r="L648" s="2" t="s">
        <v>92</v>
      </c>
      <c r="M648" s="2"/>
      <c r="N648" t="s">
        <v>8581</v>
      </c>
      <c r="O648" s="8" t="str">
        <f t="shared" si="20"/>
        <v/>
      </c>
      <c r="P648" t="str">
        <f t="shared" si="21"/>
        <v>N/A</v>
      </c>
    </row>
    <row r="649" spans="1:16" x14ac:dyDescent="0.25">
      <c r="A649" s="2" t="s">
        <v>1831</v>
      </c>
      <c r="B649" s="4">
        <v>46061.915972222225</v>
      </c>
      <c r="C649" s="2" t="s">
        <v>16</v>
      </c>
      <c r="D649" s="2" t="s">
        <v>17</v>
      </c>
      <c r="E649" s="2" t="s">
        <v>46</v>
      </c>
      <c r="F649" s="2" t="s">
        <v>113</v>
      </c>
      <c r="G649" s="2" t="s">
        <v>211</v>
      </c>
      <c r="H649" s="2" t="s">
        <v>74</v>
      </c>
      <c r="I649" s="2">
        <v>8</v>
      </c>
      <c r="J649" s="2" t="s">
        <v>75</v>
      </c>
      <c r="K649" s="4">
        <v>46062.195833333331</v>
      </c>
      <c r="L649" s="2" t="s">
        <v>24</v>
      </c>
      <c r="M649" s="2"/>
      <c r="N649" t="s">
        <v>8586</v>
      </c>
      <c r="O649" s="8">
        <f t="shared" si="20"/>
        <v>6.7166666665580124</v>
      </c>
      <c r="P649" t="str">
        <f t="shared" si="21"/>
        <v>N/A</v>
      </c>
    </row>
    <row r="650" spans="1:16" x14ac:dyDescent="0.25">
      <c r="A650" s="2" t="s">
        <v>1834</v>
      </c>
      <c r="B650" s="4">
        <v>46185.792361111111</v>
      </c>
      <c r="C650" s="2" t="s">
        <v>53</v>
      </c>
      <c r="D650" s="2" t="s">
        <v>61</v>
      </c>
      <c r="E650" s="2" t="s">
        <v>85</v>
      </c>
      <c r="F650" s="2" t="s">
        <v>96</v>
      </c>
      <c r="G650" s="2" t="s">
        <v>179</v>
      </c>
      <c r="H650" s="2" t="s">
        <v>74</v>
      </c>
      <c r="I650" s="2">
        <v>8</v>
      </c>
      <c r="J650" s="2" t="s">
        <v>11</v>
      </c>
      <c r="K650" s="4" t="s">
        <v>8590</v>
      </c>
      <c r="L650" s="2" t="s">
        <v>92</v>
      </c>
      <c r="M650" s="2"/>
      <c r="N650" t="s">
        <v>8582</v>
      </c>
      <c r="O650" s="8" t="str">
        <f t="shared" si="20"/>
        <v/>
      </c>
      <c r="P650" t="str">
        <f t="shared" si="21"/>
        <v>N/A</v>
      </c>
    </row>
    <row r="651" spans="1:16" x14ac:dyDescent="0.25">
      <c r="A651" s="2" t="s">
        <v>1836</v>
      </c>
      <c r="B651" s="4">
        <v>46257.125</v>
      </c>
      <c r="C651" s="2" t="s">
        <v>53</v>
      </c>
      <c r="D651" s="2" t="s">
        <v>61</v>
      </c>
      <c r="E651" s="2" t="s">
        <v>90</v>
      </c>
      <c r="F651" s="2" t="s">
        <v>55</v>
      </c>
      <c r="G651" s="2" t="s">
        <v>101</v>
      </c>
      <c r="H651" s="2" t="s">
        <v>21</v>
      </c>
      <c r="I651" s="2">
        <v>24</v>
      </c>
      <c r="J651" s="2" t="s">
        <v>8580</v>
      </c>
      <c r="K651" s="4">
        <v>46257.227777777778</v>
      </c>
      <c r="L651" s="2" t="s">
        <v>24</v>
      </c>
      <c r="M651" s="2"/>
      <c r="N651" t="s">
        <v>8584</v>
      </c>
      <c r="O651" s="8">
        <f t="shared" si="20"/>
        <v>2.4666666666744277</v>
      </c>
      <c r="P651" t="str">
        <f t="shared" si="21"/>
        <v>N/A</v>
      </c>
    </row>
    <row r="652" spans="1:16" x14ac:dyDescent="0.25">
      <c r="A652" s="2" t="s">
        <v>1839</v>
      </c>
      <c r="B652" s="4">
        <v>46210.948611111111</v>
      </c>
      <c r="C652" s="2" t="s">
        <v>16</v>
      </c>
      <c r="D652" s="2" t="s">
        <v>84</v>
      </c>
      <c r="E652" s="2" t="s">
        <v>46</v>
      </c>
      <c r="F652" s="2" t="s">
        <v>113</v>
      </c>
      <c r="G652" s="2" t="s">
        <v>179</v>
      </c>
      <c r="H652" s="2" t="s">
        <v>21</v>
      </c>
      <c r="I652" s="2">
        <v>24</v>
      </c>
      <c r="J652" s="2" t="s">
        <v>75</v>
      </c>
      <c r="K652" s="4">
        <v>46211.793749999997</v>
      </c>
      <c r="L652" s="2" t="s">
        <v>24</v>
      </c>
      <c r="M652" s="2">
        <v>5</v>
      </c>
      <c r="N652" t="s">
        <v>8582</v>
      </c>
      <c r="O652" s="8">
        <f t="shared" si="20"/>
        <v>20.283333333267365</v>
      </c>
      <c r="P652" t="str">
        <f t="shared" si="21"/>
        <v>N/A</v>
      </c>
    </row>
    <row r="653" spans="1:16" x14ac:dyDescent="0.25">
      <c r="A653" s="2" t="s">
        <v>1842</v>
      </c>
      <c r="B653" s="4">
        <v>46139.145833333336</v>
      </c>
      <c r="C653" s="2" t="s">
        <v>28</v>
      </c>
      <c r="D653" s="2" t="s">
        <v>100</v>
      </c>
      <c r="E653" s="2" t="s">
        <v>85</v>
      </c>
      <c r="F653" s="2" t="s">
        <v>96</v>
      </c>
      <c r="G653" s="2" t="s">
        <v>211</v>
      </c>
      <c r="H653" s="2" t="s">
        <v>32</v>
      </c>
      <c r="I653" s="2">
        <v>48</v>
      </c>
      <c r="J653" s="2" t="s">
        <v>106</v>
      </c>
      <c r="K653" s="4">
        <v>46140.866666666669</v>
      </c>
      <c r="L653" s="2" t="s">
        <v>24</v>
      </c>
      <c r="M653" s="2"/>
      <c r="N653" t="s">
        <v>8587</v>
      </c>
      <c r="O653" s="8">
        <f t="shared" si="20"/>
        <v>41.299999999988358</v>
      </c>
      <c r="P653" t="str">
        <f t="shared" si="21"/>
        <v>Yes</v>
      </c>
    </row>
    <row r="654" spans="1:16" x14ac:dyDescent="0.25">
      <c r="A654" s="2" t="s">
        <v>1845</v>
      </c>
      <c r="B654" s="4">
        <v>46247.842361111114</v>
      </c>
      <c r="C654" s="2" t="s">
        <v>16</v>
      </c>
      <c r="D654" s="2" t="s">
        <v>84</v>
      </c>
      <c r="E654" s="2" t="s">
        <v>85</v>
      </c>
      <c r="F654" s="2" t="s">
        <v>96</v>
      </c>
      <c r="G654" s="2" t="s">
        <v>101</v>
      </c>
      <c r="H654" s="2" t="s">
        <v>80</v>
      </c>
      <c r="I654" s="2">
        <v>4</v>
      </c>
      <c r="J654" s="2" t="s">
        <v>75</v>
      </c>
      <c r="K654" s="4">
        <v>46247.931250000001</v>
      </c>
      <c r="L654" s="2" t="s">
        <v>24</v>
      </c>
      <c r="M654" s="2"/>
      <c r="N654" t="s">
        <v>8583</v>
      </c>
      <c r="O654" s="8">
        <f t="shared" si="20"/>
        <v>2.1333333333022892</v>
      </c>
      <c r="P654" t="str">
        <f t="shared" si="21"/>
        <v>N/A</v>
      </c>
    </row>
    <row r="655" spans="1:16" x14ac:dyDescent="0.25">
      <c r="A655" s="2" t="s">
        <v>1848</v>
      </c>
      <c r="B655" s="4">
        <v>46040.59375</v>
      </c>
      <c r="C655" s="2" t="s">
        <v>53</v>
      </c>
      <c r="D655" s="2" t="s">
        <v>54</v>
      </c>
      <c r="E655" s="2" t="s">
        <v>90</v>
      </c>
      <c r="F655" s="2" t="s">
        <v>96</v>
      </c>
      <c r="G655" s="2" t="s">
        <v>179</v>
      </c>
      <c r="H655" s="2" t="s">
        <v>74</v>
      </c>
      <c r="I655" s="2">
        <v>8</v>
      </c>
      <c r="J655" s="2" t="s">
        <v>287</v>
      </c>
      <c r="K655" s="4" t="s">
        <v>8590</v>
      </c>
      <c r="L655" s="2" t="s">
        <v>24</v>
      </c>
      <c r="M655" s="2"/>
      <c r="N655" t="s">
        <v>8587</v>
      </c>
      <c r="O655" s="8" t="str">
        <f t="shared" si="20"/>
        <v/>
      </c>
      <c r="P655" t="str">
        <f t="shared" si="21"/>
        <v>N/A</v>
      </c>
    </row>
    <row r="656" spans="1:16" x14ac:dyDescent="0.25">
      <c r="A656" s="2" t="s">
        <v>1850</v>
      </c>
      <c r="B656" s="4">
        <v>46217.902777777781</v>
      </c>
      <c r="C656" s="2" t="s">
        <v>67</v>
      </c>
      <c r="D656" s="2" t="s">
        <v>95</v>
      </c>
      <c r="E656" s="2" t="s">
        <v>18</v>
      </c>
      <c r="F656" s="2" t="s">
        <v>55</v>
      </c>
      <c r="G656" s="2" t="s">
        <v>183</v>
      </c>
      <c r="H656" s="2" t="s">
        <v>32</v>
      </c>
      <c r="I656" s="2">
        <v>48</v>
      </c>
      <c r="J656" s="2" t="s">
        <v>75</v>
      </c>
      <c r="K656" s="4">
        <v>46221.715277777781</v>
      </c>
      <c r="L656" s="2" t="s">
        <v>24</v>
      </c>
      <c r="M656" s="2">
        <v>2</v>
      </c>
      <c r="N656" t="s">
        <v>8583</v>
      </c>
      <c r="O656" s="8">
        <f t="shared" si="20"/>
        <v>91.5</v>
      </c>
      <c r="P656" t="str">
        <f t="shared" si="21"/>
        <v>N/A</v>
      </c>
    </row>
    <row r="657" spans="1:16" x14ac:dyDescent="0.25">
      <c r="A657" s="2" t="s">
        <v>1853</v>
      </c>
      <c r="B657" s="4">
        <v>46080.058333333334</v>
      </c>
      <c r="C657" s="2" t="s">
        <v>28</v>
      </c>
      <c r="D657" s="2" t="s">
        <v>37</v>
      </c>
      <c r="E657" s="2" t="s">
        <v>46</v>
      </c>
      <c r="F657" s="2" t="s">
        <v>113</v>
      </c>
      <c r="G657" s="2" t="s">
        <v>110</v>
      </c>
      <c r="H657" s="2" t="s">
        <v>21</v>
      </c>
      <c r="I657" s="2">
        <v>24</v>
      </c>
      <c r="J657" s="2" t="s">
        <v>11</v>
      </c>
      <c r="K657" s="4" t="s">
        <v>8590</v>
      </c>
      <c r="L657" s="2" t="s">
        <v>92</v>
      </c>
      <c r="M657" s="2"/>
      <c r="N657" t="s">
        <v>8589</v>
      </c>
      <c r="O657" s="8" t="str">
        <f t="shared" si="20"/>
        <v/>
      </c>
      <c r="P657" t="str">
        <f t="shared" si="21"/>
        <v>N/A</v>
      </c>
    </row>
    <row r="658" spans="1:16" x14ac:dyDescent="0.25">
      <c r="A658" s="2" t="s">
        <v>1855</v>
      </c>
      <c r="B658" s="4">
        <v>46190.792361111111</v>
      </c>
      <c r="C658" s="2" t="s">
        <v>53</v>
      </c>
      <c r="D658" s="2" t="s">
        <v>54</v>
      </c>
      <c r="E658" s="2" t="s">
        <v>79</v>
      </c>
      <c r="F658" s="2" t="s">
        <v>113</v>
      </c>
      <c r="G658" s="2" t="s">
        <v>183</v>
      </c>
      <c r="H658" s="2" t="s">
        <v>21</v>
      </c>
      <c r="I658" s="2">
        <v>24</v>
      </c>
      <c r="J658" s="2" t="s">
        <v>106</v>
      </c>
      <c r="K658" s="4">
        <v>46191.535416666666</v>
      </c>
      <c r="L658" s="2" t="s">
        <v>24</v>
      </c>
      <c r="M658" s="2">
        <v>3</v>
      </c>
      <c r="N658" t="s">
        <v>8583</v>
      </c>
      <c r="O658" s="8">
        <f t="shared" si="20"/>
        <v>17.833333333313931</v>
      </c>
      <c r="P658" t="str">
        <f t="shared" si="21"/>
        <v>Yes</v>
      </c>
    </row>
    <row r="659" spans="1:16" x14ac:dyDescent="0.25">
      <c r="A659" s="2" t="s">
        <v>1858</v>
      </c>
      <c r="B659" s="4">
        <v>46081.752083333333</v>
      </c>
      <c r="C659" s="2" t="s">
        <v>67</v>
      </c>
      <c r="D659" s="2" t="s">
        <v>68</v>
      </c>
      <c r="E659" s="2" t="s">
        <v>18</v>
      </c>
      <c r="F659" s="2" t="s">
        <v>55</v>
      </c>
      <c r="G659" s="2" t="s">
        <v>179</v>
      </c>
      <c r="H659" s="2" t="s">
        <v>32</v>
      </c>
      <c r="I659" s="2">
        <v>48</v>
      </c>
      <c r="J659" s="2" t="s">
        <v>287</v>
      </c>
      <c r="K659" s="4" t="s">
        <v>8590</v>
      </c>
      <c r="L659" s="2" t="s">
        <v>24</v>
      </c>
      <c r="M659" s="2"/>
      <c r="N659" t="s">
        <v>8589</v>
      </c>
      <c r="O659" s="8" t="str">
        <f t="shared" si="20"/>
        <v/>
      </c>
      <c r="P659" t="str">
        <f t="shared" si="21"/>
        <v>N/A</v>
      </c>
    </row>
    <row r="660" spans="1:16" x14ac:dyDescent="0.25">
      <c r="A660" s="2" t="s">
        <v>1860</v>
      </c>
      <c r="B660" s="4">
        <v>46148.340277777781</v>
      </c>
      <c r="C660" s="2" t="s">
        <v>67</v>
      </c>
      <c r="D660" s="2" t="s">
        <v>68</v>
      </c>
      <c r="E660" s="2" t="s">
        <v>18</v>
      </c>
      <c r="F660" s="2" t="s">
        <v>113</v>
      </c>
      <c r="G660" s="2" t="s">
        <v>101</v>
      </c>
      <c r="H660" s="2" t="s">
        <v>32</v>
      </c>
      <c r="I660" s="2">
        <v>48</v>
      </c>
      <c r="J660" s="2" t="s">
        <v>149</v>
      </c>
      <c r="K660" s="4" t="s">
        <v>8590</v>
      </c>
      <c r="L660" s="2" t="s">
        <v>24</v>
      </c>
      <c r="M660" s="2"/>
      <c r="N660" t="s">
        <v>8581</v>
      </c>
      <c r="O660" s="8" t="str">
        <f t="shared" si="20"/>
        <v/>
      </c>
      <c r="P660" t="str">
        <f t="shared" si="21"/>
        <v>N/A</v>
      </c>
    </row>
    <row r="661" spans="1:16" x14ac:dyDescent="0.25">
      <c r="A661" s="2" t="s">
        <v>1862</v>
      </c>
      <c r="B661" s="4">
        <v>46151.563194444447</v>
      </c>
      <c r="C661" s="2" t="s">
        <v>67</v>
      </c>
      <c r="D661" s="2" t="s">
        <v>95</v>
      </c>
      <c r="E661" s="2" t="s">
        <v>46</v>
      </c>
      <c r="F661" s="2" t="s">
        <v>113</v>
      </c>
      <c r="G661" s="2" t="s">
        <v>211</v>
      </c>
      <c r="H661" s="2" t="s">
        <v>21</v>
      </c>
      <c r="I661" s="2">
        <v>24</v>
      </c>
      <c r="J661" s="2" t="s">
        <v>106</v>
      </c>
      <c r="K661" s="4">
        <v>46152.415277777778</v>
      </c>
      <c r="L661" s="2" t="s">
        <v>24</v>
      </c>
      <c r="M661" s="2"/>
      <c r="N661" t="s">
        <v>8589</v>
      </c>
      <c r="O661" s="8">
        <f t="shared" si="20"/>
        <v>20.449999999953434</v>
      </c>
      <c r="P661" t="str">
        <f t="shared" si="21"/>
        <v>Yes</v>
      </c>
    </row>
    <row r="662" spans="1:16" x14ac:dyDescent="0.25">
      <c r="A662" s="2" t="s">
        <v>1865</v>
      </c>
      <c r="B662" s="4">
        <v>46168.57708333333</v>
      </c>
      <c r="C662" s="2" t="s">
        <v>16</v>
      </c>
      <c r="D662" s="2" t="s">
        <v>17</v>
      </c>
      <c r="E662" s="2" t="s">
        <v>46</v>
      </c>
      <c r="F662" s="2" t="s">
        <v>113</v>
      </c>
      <c r="G662" s="2" t="s">
        <v>211</v>
      </c>
      <c r="H662" s="2" t="s">
        <v>32</v>
      </c>
      <c r="I662" s="2">
        <v>48</v>
      </c>
      <c r="J662" s="2" t="s">
        <v>149</v>
      </c>
      <c r="K662" s="4" t="s">
        <v>8590</v>
      </c>
      <c r="L662" s="2" t="s">
        <v>92</v>
      </c>
      <c r="M662" s="2"/>
      <c r="N662" t="s">
        <v>8589</v>
      </c>
      <c r="O662" s="8" t="str">
        <f t="shared" si="20"/>
        <v/>
      </c>
      <c r="P662" t="str">
        <f t="shared" si="21"/>
        <v>N/A</v>
      </c>
    </row>
    <row r="663" spans="1:16" x14ac:dyDescent="0.25">
      <c r="A663" s="2" t="s">
        <v>1867</v>
      </c>
      <c r="B663" s="4">
        <v>46175.76458333333</v>
      </c>
      <c r="C663" s="2" t="s">
        <v>28</v>
      </c>
      <c r="D663" s="2" t="s">
        <v>37</v>
      </c>
      <c r="E663" s="2" t="s">
        <v>46</v>
      </c>
      <c r="F663" s="2" t="s">
        <v>113</v>
      </c>
      <c r="G663" s="2" t="s">
        <v>183</v>
      </c>
      <c r="H663" s="2" t="s">
        <v>32</v>
      </c>
      <c r="I663" s="2">
        <v>48</v>
      </c>
      <c r="J663" s="2" t="s">
        <v>149</v>
      </c>
      <c r="K663" s="4" t="s">
        <v>8590</v>
      </c>
      <c r="L663" s="2" t="s">
        <v>24</v>
      </c>
      <c r="M663" s="2"/>
      <c r="N663" t="s">
        <v>8582</v>
      </c>
      <c r="O663" s="8" t="str">
        <f t="shared" si="20"/>
        <v/>
      </c>
      <c r="P663" t="str">
        <f t="shared" si="21"/>
        <v>N/A</v>
      </c>
    </row>
    <row r="664" spans="1:16" x14ac:dyDescent="0.25">
      <c r="A664" s="2" t="s">
        <v>1869</v>
      </c>
      <c r="B664" s="4">
        <v>46173.601388888892</v>
      </c>
      <c r="C664" s="2" t="s">
        <v>28</v>
      </c>
      <c r="D664" s="2" t="s">
        <v>100</v>
      </c>
      <c r="E664" s="2" t="s">
        <v>18</v>
      </c>
      <c r="F664" s="2" t="s">
        <v>30</v>
      </c>
      <c r="G664" s="2" t="s">
        <v>211</v>
      </c>
      <c r="H664" s="2" t="s">
        <v>74</v>
      </c>
      <c r="I664" s="2">
        <v>8</v>
      </c>
      <c r="J664" s="2" t="s">
        <v>75</v>
      </c>
      <c r="K664" s="4">
        <v>46173.699305555558</v>
      </c>
      <c r="L664" s="2" t="s">
        <v>24</v>
      </c>
      <c r="M664" s="2"/>
      <c r="N664" t="s">
        <v>8581</v>
      </c>
      <c r="O664" s="8">
        <f t="shared" si="20"/>
        <v>2.3499999999767169</v>
      </c>
      <c r="P664" t="str">
        <f t="shared" si="21"/>
        <v>N/A</v>
      </c>
    </row>
    <row r="665" spans="1:16" x14ac:dyDescent="0.25">
      <c r="A665" s="2" t="s">
        <v>1872</v>
      </c>
      <c r="B665" s="4">
        <v>46057.730555555558</v>
      </c>
      <c r="C665" s="2" t="s">
        <v>53</v>
      </c>
      <c r="D665" s="2" t="s">
        <v>61</v>
      </c>
      <c r="E665" s="2" t="s">
        <v>90</v>
      </c>
      <c r="F665" s="2" t="s">
        <v>55</v>
      </c>
      <c r="G665" s="2" t="s">
        <v>101</v>
      </c>
      <c r="H665" s="2" t="s">
        <v>21</v>
      </c>
      <c r="I665" s="2">
        <v>24</v>
      </c>
      <c r="J665" s="2" t="s">
        <v>106</v>
      </c>
      <c r="K665" s="4">
        <v>46058.070833333331</v>
      </c>
      <c r="L665" s="2" t="s">
        <v>24</v>
      </c>
      <c r="M665" s="2">
        <v>5</v>
      </c>
      <c r="N665" t="s">
        <v>8583</v>
      </c>
      <c r="O665" s="8">
        <f t="shared" si="20"/>
        <v>8.1666666665696539</v>
      </c>
      <c r="P665" t="str">
        <f t="shared" si="21"/>
        <v>Yes</v>
      </c>
    </row>
    <row r="666" spans="1:16" x14ac:dyDescent="0.25">
      <c r="A666" s="2" t="s">
        <v>1875</v>
      </c>
      <c r="B666" s="4">
        <v>46131.981249999997</v>
      </c>
      <c r="C666" s="2" t="s">
        <v>16</v>
      </c>
      <c r="D666" s="2" t="s">
        <v>17</v>
      </c>
      <c r="E666" s="2" t="s">
        <v>90</v>
      </c>
      <c r="F666" s="2" t="s">
        <v>96</v>
      </c>
      <c r="G666" s="2" t="s">
        <v>211</v>
      </c>
      <c r="H666" s="2" t="s">
        <v>32</v>
      </c>
      <c r="I666" s="2">
        <v>48</v>
      </c>
      <c r="J666" s="2" t="s">
        <v>106</v>
      </c>
      <c r="K666" s="4">
        <v>46133.219444444447</v>
      </c>
      <c r="L666" s="2" t="s">
        <v>24</v>
      </c>
      <c r="M666" s="2">
        <v>4</v>
      </c>
      <c r="N666" t="s">
        <v>8589</v>
      </c>
      <c r="O666" s="8">
        <f t="shared" si="20"/>
        <v>29.716666666790843</v>
      </c>
      <c r="P666" t="str">
        <f t="shared" si="21"/>
        <v>Yes</v>
      </c>
    </row>
    <row r="667" spans="1:16" x14ac:dyDescent="0.25">
      <c r="A667" s="2" t="s">
        <v>1878</v>
      </c>
      <c r="B667" s="4">
        <v>46184.25</v>
      </c>
      <c r="C667" s="2" t="s">
        <v>16</v>
      </c>
      <c r="D667" s="2" t="s">
        <v>17</v>
      </c>
      <c r="E667" s="2" t="s">
        <v>38</v>
      </c>
      <c r="F667" s="2" t="s">
        <v>96</v>
      </c>
      <c r="G667" s="2" t="s">
        <v>110</v>
      </c>
      <c r="H667" s="2" t="s">
        <v>21</v>
      </c>
      <c r="I667" s="2">
        <v>24</v>
      </c>
      <c r="J667" s="2" t="s">
        <v>75</v>
      </c>
      <c r="K667" s="4">
        <v>46184.275694444441</v>
      </c>
      <c r="L667" s="2" t="s">
        <v>24</v>
      </c>
      <c r="M667" s="2"/>
      <c r="N667" t="s">
        <v>8581</v>
      </c>
      <c r="O667" s="8">
        <f t="shared" si="20"/>
        <v>0.61666666658129543</v>
      </c>
      <c r="P667" t="str">
        <f t="shared" si="21"/>
        <v>N/A</v>
      </c>
    </row>
    <row r="668" spans="1:16" x14ac:dyDescent="0.25">
      <c r="A668" s="2" t="s">
        <v>1881</v>
      </c>
      <c r="B668" s="4">
        <v>46024.356944444444</v>
      </c>
      <c r="C668" s="2" t="s">
        <v>53</v>
      </c>
      <c r="D668" s="2" t="s">
        <v>54</v>
      </c>
      <c r="E668" s="2" t="s">
        <v>18</v>
      </c>
      <c r="F668" s="2" t="s">
        <v>113</v>
      </c>
      <c r="G668" s="2" t="s">
        <v>211</v>
      </c>
      <c r="H668" s="2" t="s">
        <v>74</v>
      </c>
      <c r="I668" s="2">
        <v>8</v>
      </c>
      <c r="J668" s="2" t="s">
        <v>106</v>
      </c>
      <c r="K668" s="4">
        <v>46024.552777777775</v>
      </c>
      <c r="L668" s="2" t="s">
        <v>24</v>
      </c>
      <c r="M668" s="2">
        <v>5</v>
      </c>
      <c r="N668" t="s">
        <v>8584</v>
      </c>
      <c r="O668" s="8">
        <f t="shared" si="20"/>
        <v>4.6999999999534339</v>
      </c>
      <c r="P668" t="str">
        <f t="shared" si="21"/>
        <v>Yes</v>
      </c>
    </row>
    <row r="669" spans="1:16" x14ac:dyDescent="0.25">
      <c r="A669" s="2" t="s">
        <v>1884</v>
      </c>
      <c r="B669" s="4">
        <v>46065.09375</v>
      </c>
      <c r="C669" s="2" t="s">
        <v>67</v>
      </c>
      <c r="D669" s="2" t="s">
        <v>95</v>
      </c>
      <c r="E669" s="2" t="s">
        <v>148</v>
      </c>
      <c r="F669" s="2" t="s">
        <v>96</v>
      </c>
      <c r="G669" s="2" t="s">
        <v>211</v>
      </c>
      <c r="H669" s="2" t="s">
        <v>21</v>
      </c>
      <c r="I669" s="2">
        <v>24</v>
      </c>
      <c r="J669" s="2" t="s">
        <v>106</v>
      </c>
      <c r="K669" s="4">
        <v>46065.56527777778</v>
      </c>
      <c r="L669" s="2" t="s">
        <v>92</v>
      </c>
      <c r="M669" s="2">
        <v>5</v>
      </c>
      <c r="N669" t="s">
        <v>8582</v>
      </c>
      <c r="O669" s="8">
        <f t="shared" si="20"/>
        <v>11.316666666709352</v>
      </c>
      <c r="P669" t="str">
        <f t="shared" si="21"/>
        <v>Yes</v>
      </c>
    </row>
    <row r="670" spans="1:16" x14ac:dyDescent="0.25">
      <c r="A670" s="2" t="s">
        <v>1887</v>
      </c>
      <c r="B670" s="4">
        <v>46100.429166666669</v>
      </c>
      <c r="C670" s="2" t="s">
        <v>28</v>
      </c>
      <c r="D670" s="2" t="s">
        <v>100</v>
      </c>
      <c r="E670" s="2" t="s">
        <v>85</v>
      </c>
      <c r="F670" s="2" t="s">
        <v>113</v>
      </c>
      <c r="G670" s="2" t="s">
        <v>183</v>
      </c>
      <c r="H670" s="2" t="s">
        <v>32</v>
      </c>
      <c r="I670" s="2">
        <v>48</v>
      </c>
      <c r="J670" s="2" t="s">
        <v>8580</v>
      </c>
      <c r="K670" s="4">
        <v>46100.886111111111</v>
      </c>
      <c r="L670" s="2" t="s">
        <v>24</v>
      </c>
      <c r="M670" s="2"/>
      <c r="N670" t="s">
        <v>8587</v>
      </c>
      <c r="O670" s="8">
        <f t="shared" si="20"/>
        <v>10.96666666661622</v>
      </c>
      <c r="P670" t="str">
        <f t="shared" si="21"/>
        <v>N/A</v>
      </c>
    </row>
    <row r="671" spans="1:16" x14ac:dyDescent="0.25">
      <c r="A671" s="2" t="s">
        <v>1890</v>
      </c>
      <c r="B671" s="4">
        <v>46092.195138888892</v>
      </c>
      <c r="C671" s="2" t="s">
        <v>28</v>
      </c>
      <c r="D671" s="2" t="s">
        <v>100</v>
      </c>
      <c r="E671" s="2" t="s">
        <v>46</v>
      </c>
      <c r="F671" s="2" t="s">
        <v>30</v>
      </c>
      <c r="G671" s="2" t="s">
        <v>101</v>
      </c>
      <c r="H671" s="2" t="s">
        <v>32</v>
      </c>
      <c r="I671" s="2">
        <v>48</v>
      </c>
      <c r="J671" s="2" t="s">
        <v>11</v>
      </c>
      <c r="K671" s="4" t="s">
        <v>8590</v>
      </c>
      <c r="L671" s="2" t="s">
        <v>92</v>
      </c>
      <c r="M671" s="2"/>
      <c r="N671" t="s">
        <v>8586</v>
      </c>
      <c r="O671" s="8" t="str">
        <f t="shared" si="20"/>
        <v/>
      </c>
      <c r="P671" t="str">
        <f t="shared" si="21"/>
        <v>N/A</v>
      </c>
    </row>
    <row r="672" spans="1:16" x14ac:dyDescent="0.25">
      <c r="A672" s="2" t="s">
        <v>1892</v>
      </c>
      <c r="B672" s="4">
        <v>46078.836111111108</v>
      </c>
      <c r="C672" s="2" t="s">
        <v>53</v>
      </c>
      <c r="D672" s="2" t="s">
        <v>61</v>
      </c>
      <c r="E672" s="2" t="s">
        <v>18</v>
      </c>
      <c r="F672" s="2" t="s">
        <v>113</v>
      </c>
      <c r="G672" s="2" t="s">
        <v>179</v>
      </c>
      <c r="H672" s="2" t="s">
        <v>32</v>
      </c>
      <c r="I672" s="2">
        <v>48</v>
      </c>
      <c r="J672" s="2" t="s">
        <v>75</v>
      </c>
      <c r="K672" s="4">
        <v>46083.90902777778</v>
      </c>
      <c r="L672" s="2" t="s">
        <v>24</v>
      </c>
      <c r="M672" s="2">
        <v>4</v>
      </c>
      <c r="N672" t="s">
        <v>8582</v>
      </c>
      <c r="O672" s="8">
        <f t="shared" si="20"/>
        <v>121.75000000011642</v>
      </c>
      <c r="P672" t="str">
        <f t="shared" si="21"/>
        <v>N/A</v>
      </c>
    </row>
    <row r="673" spans="1:16" x14ac:dyDescent="0.25">
      <c r="A673" s="2" t="s">
        <v>1895</v>
      </c>
      <c r="B673" s="4">
        <v>46218.581250000003</v>
      </c>
      <c r="C673" s="2" t="s">
        <v>53</v>
      </c>
      <c r="D673" s="2" t="s">
        <v>61</v>
      </c>
      <c r="E673" s="2" t="s">
        <v>148</v>
      </c>
      <c r="F673" s="2" t="s">
        <v>113</v>
      </c>
      <c r="G673" s="2" t="s">
        <v>110</v>
      </c>
      <c r="H673" s="2" t="s">
        <v>21</v>
      </c>
      <c r="I673" s="2">
        <v>24</v>
      </c>
      <c r="J673" s="2" t="s">
        <v>106</v>
      </c>
      <c r="K673" s="4">
        <v>46219.274305555555</v>
      </c>
      <c r="L673" s="2" t="s">
        <v>24</v>
      </c>
      <c r="M673" s="2">
        <v>5</v>
      </c>
      <c r="N673" t="s">
        <v>8581</v>
      </c>
      <c r="O673" s="8">
        <f t="shared" si="20"/>
        <v>16.633333333244082</v>
      </c>
      <c r="P673" t="str">
        <f t="shared" si="21"/>
        <v>Yes</v>
      </c>
    </row>
    <row r="674" spans="1:16" x14ac:dyDescent="0.25">
      <c r="A674" s="2" t="s">
        <v>1898</v>
      </c>
      <c r="B674" s="4">
        <v>46132.509722222225</v>
      </c>
      <c r="C674" s="2" t="s">
        <v>16</v>
      </c>
      <c r="D674" s="2" t="s">
        <v>17</v>
      </c>
      <c r="E674" s="2" t="s">
        <v>85</v>
      </c>
      <c r="F674" s="2" t="s">
        <v>55</v>
      </c>
      <c r="G674" s="2" t="s">
        <v>110</v>
      </c>
      <c r="H674" s="2" t="s">
        <v>80</v>
      </c>
      <c r="I674" s="2">
        <v>4</v>
      </c>
      <c r="J674" s="2" t="s">
        <v>106</v>
      </c>
      <c r="K674" s="4">
        <v>46132.59375</v>
      </c>
      <c r="L674" s="2" t="s">
        <v>24</v>
      </c>
      <c r="M674" s="2">
        <v>5</v>
      </c>
      <c r="N674" t="s">
        <v>8588</v>
      </c>
      <c r="O674" s="8">
        <f t="shared" si="20"/>
        <v>2.0166666666045785</v>
      </c>
      <c r="P674" t="str">
        <f t="shared" si="21"/>
        <v>Yes</v>
      </c>
    </row>
    <row r="675" spans="1:16" x14ac:dyDescent="0.25">
      <c r="A675" s="2" t="s">
        <v>1900</v>
      </c>
      <c r="B675" s="4">
        <v>46111.013194444444</v>
      </c>
      <c r="C675" s="2" t="s">
        <v>28</v>
      </c>
      <c r="D675" s="2" t="s">
        <v>100</v>
      </c>
      <c r="E675" s="2" t="s">
        <v>38</v>
      </c>
      <c r="F675" s="2" t="s">
        <v>113</v>
      </c>
      <c r="G675" s="2" t="s">
        <v>179</v>
      </c>
      <c r="H675" s="2" t="s">
        <v>32</v>
      </c>
      <c r="I675" s="2">
        <v>48</v>
      </c>
      <c r="J675" s="2" t="s">
        <v>11</v>
      </c>
      <c r="K675" s="4" t="s">
        <v>8590</v>
      </c>
      <c r="L675" s="2" t="s">
        <v>92</v>
      </c>
      <c r="M675" s="2"/>
      <c r="N675" t="s">
        <v>8582</v>
      </c>
      <c r="O675" s="8" t="str">
        <f t="shared" si="20"/>
        <v/>
      </c>
      <c r="P675" t="str">
        <f t="shared" si="21"/>
        <v>N/A</v>
      </c>
    </row>
    <row r="676" spans="1:16" x14ac:dyDescent="0.25">
      <c r="A676" s="2" t="s">
        <v>1902</v>
      </c>
      <c r="B676" s="4">
        <v>46190.425694444442</v>
      </c>
      <c r="C676" s="2" t="s">
        <v>67</v>
      </c>
      <c r="D676" s="2" t="s">
        <v>95</v>
      </c>
      <c r="E676" s="2" t="s">
        <v>148</v>
      </c>
      <c r="F676" s="2" t="s">
        <v>55</v>
      </c>
      <c r="G676" s="2" t="s">
        <v>179</v>
      </c>
      <c r="H676" s="2" t="s">
        <v>74</v>
      </c>
      <c r="I676" s="2">
        <v>8</v>
      </c>
      <c r="J676" s="2" t="s">
        <v>75</v>
      </c>
      <c r="K676" s="4">
        <v>46190.901388888888</v>
      </c>
      <c r="L676" s="2" t="s">
        <v>24</v>
      </c>
      <c r="M676" s="2">
        <v>5</v>
      </c>
      <c r="N676" t="s">
        <v>8582</v>
      </c>
      <c r="O676" s="8">
        <f t="shared" si="20"/>
        <v>11.416666666686069</v>
      </c>
      <c r="P676" t="str">
        <f t="shared" si="21"/>
        <v>N/A</v>
      </c>
    </row>
    <row r="677" spans="1:16" x14ac:dyDescent="0.25">
      <c r="A677" s="2" t="s">
        <v>1905</v>
      </c>
      <c r="B677" s="4">
        <v>46051.726388888892</v>
      </c>
      <c r="C677" s="2" t="s">
        <v>28</v>
      </c>
      <c r="D677" s="2" t="s">
        <v>37</v>
      </c>
      <c r="E677" s="2" t="s">
        <v>38</v>
      </c>
      <c r="F677" s="2" t="s">
        <v>30</v>
      </c>
      <c r="G677" s="2" t="s">
        <v>179</v>
      </c>
      <c r="H677" s="2" t="s">
        <v>74</v>
      </c>
      <c r="I677" s="2">
        <v>8</v>
      </c>
      <c r="J677" s="2" t="s">
        <v>106</v>
      </c>
      <c r="K677" s="4">
        <v>46051.774305555555</v>
      </c>
      <c r="L677" s="2" t="s">
        <v>24</v>
      </c>
      <c r="M677" s="2">
        <v>5</v>
      </c>
      <c r="N677" t="s">
        <v>8588</v>
      </c>
      <c r="O677" s="8">
        <f t="shared" si="20"/>
        <v>1.1499999999068677</v>
      </c>
      <c r="P677" t="str">
        <f t="shared" si="21"/>
        <v>Yes</v>
      </c>
    </row>
    <row r="678" spans="1:16" x14ac:dyDescent="0.25">
      <c r="A678" s="2" t="s">
        <v>1908</v>
      </c>
      <c r="B678" s="4">
        <v>46187.498611111114</v>
      </c>
      <c r="C678" s="2" t="s">
        <v>16</v>
      </c>
      <c r="D678" s="2" t="s">
        <v>17</v>
      </c>
      <c r="E678" s="2" t="s">
        <v>18</v>
      </c>
      <c r="F678" s="2" t="s">
        <v>96</v>
      </c>
      <c r="G678" s="2" t="s">
        <v>31</v>
      </c>
      <c r="H678" s="2" t="s">
        <v>74</v>
      </c>
      <c r="I678" s="2">
        <v>8</v>
      </c>
      <c r="J678" s="2" t="s">
        <v>106</v>
      </c>
      <c r="K678" s="4" t="s">
        <v>8590</v>
      </c>
      <c r="L678" s="2" t="s">
        <v>24</v>
      </c>
      <c r="M678" s="2"/>
      <c r="N678" t="s">
        <v>8589</v>
      </c>
      <c r="O678" s="8" t="str">
        <f t="shared" si="20"/>
        <v/>
      </c>
      <c r="P678" t="str">
        <f t="shared" si="21"/>
        <v>No</v>
      </c>
    </row>
    <row r="679" spans="1:16" x14ac:dyDescent="0.25">
      <c r="A679" s="2" t="s">
        <v>1910</v>
      </c>
      <c r="B679" s="4">
        <v>46167.415972222225</v>
      </c>
      <c r="C679" s="2" t="s">
        <v>28</v>
      </c>
      <c r="D679" s="2" t="s">
        <v>100</v>
      </c>
      <c r="E679" s="2" t="s">
        <v>18</v>
      </c>
      <c r="F679" s="2" t="s">
        <v>30</v>
      </c>
      <c r="G679" s="2" t="s">
        <v>183</v>
      </c>
      <c r="H679" s="2" t="s">
        <v>32</v>
      </c>
      <c r="I679" s="2">
        <v>48</v>
      </c>
      <c r="J679" s="2" t="s">
        <v>11</v>
      </c>
      <c r="K679" s="4" t="s">
        <v>8590</v>
      </c>
      <c r="L679" s="2" t="s">
        <v>92</v>
      </c>
      <c r="M679" s="2"/>
      <c r="N679" t="s">
        <v>8589</v>
      </c>
      <c r="O679" s="8" t="str">
        <f t="shared" si="20"/>
        <v/>
      </c>
      <c r="P679" t="str">
        <f t="shared" si="21"/>
        <v>N/A</v>
      </c>
    </row>
    <row r="680" spans="1:16" x14ac:dyDescent="0.25">
      <c r="A680" s="2" t="s">
        <v>1912</v>
      </c>
      <c r="B680" s="4">
        <v>46111.369444444441</v>
      </c>
      <c r="C680" s="2" t="s">
        <v>28</v>
      </c>
      <c r="D680" s="2" t="s">
        <v>100</v>
      </c>
      <c r="E680" s="2" t="s">
        <v>85</v>
      </c>
      <c r="F680" s="2" t="s">
        <v>113</v>
      </c>
      <c r="G680" s="2" t="s">
        <v>211</v>
      </c>
      <c r="H680" s="2" t="s">
        <v>74</v>
      </c>
      <c r="I680" s="2">
        <v>8</v>
      </c>
      <c r="J680" s="2" t="s">
        <v>106</v>
      </c>
      <c r="K680" s="4">
        <v>46111.588194444441</v>
      </c>
      <c r="L680" s="2" t="s">
        <v>24</v>
      </c>
      <c r="M680" s="2">
        <v>5</v>
      </c>
      <c r="N680" t="s">
        <v>8587</v>
      </c>
      <c r="O680" s="8">
        <f t="shared" si="20"/>
        <v>5.25</v>
      </c>
      <c r="P680" t="str">
        <f t="shared" si="21"/>
        <v>Yes</v>
      </c>
    </row>
    <row r="681" spans="1:16" x14ac:dyDescent="0.25">
      <c r="A681" s="2" t="s">
        <v>1915</v>
      </c>
      <c r="B681" s="4">
        <v>46089.852777777778</v>
      </c>
      <c r="C681" s="2" t="s">
        <v>16</v>
      </c>
      <c r="D681" s="2" t="s">
        <v>84</v>
      </c>
      <c r="E681" s="2" t="s">
        <v>90</v>
      </c>
      <c r="F681" s="2" t="s">
        <v>113</v>
      </c>
      <c r="G681" s="2" t="s">
        <v>211</v>
      </c>
      <c r="H681" s="2" t="s">
        <v>21</v>
      </c>
      <c r="I681" s="2">
        <v>24</v>
      </c>
      <c r="J681" s="2" t="s">
        <v>75</v>
      </c>
      <c r="K681" s="4">
        <v>46090.644444444442</v>
      </c>
      <c r="L681" s="2" t="s">
        <v>24</v>
      </c>
      <c r="M681" s="2"/>
      <c r="N681" t="s">
        <v>8585</v>
      </c>
      <c r="O681" s="8">
        <f t="shared" si="20"/>
        <v>18.999999999941792</v>
      </c>
      <c r="P681" t="str">
        <f t="shared" si="21"/>
        <v>N/A</v>
      </c>
    </row>
    <row r="682" spans="1:16" x14ac:dyDescent="0.25">
      <c r="A682" s="2" t="s">
        <v>1918</v>
      </c>
      <c r="B682" s="4">
        <v>46258.256249999999</v>
      </c>
      <c r="C682" s="2" t="s">
        <v>53</v>
      </c>
      <c r="D682" s="2" t="s">
        <v>54</v>
      </c>
      <c r="E682" s="2" t="s">
        <v>79</v>
      </c>
      <c r="F682" s="2" t="s">
        <v>55</v>
      </c>
      <c r="G682" s="2" t="s">
        <v>183</v>
      </c>
      <c r="H682" s="2" t="s">
        <v>32</v>
      </c>
      <c r="I682" s="2">
        <v>48</v>
      </c>
      <c r="J682" s="2" t="s">
        <v>75</v>
      </c>
      <c r="K682" s="4">
        <v>46259.260416666664</v>
      </c>
      <c r="L682" s="2" t="s">
        <v>24</v>
      </c>
      <c r="M682" s="2"/>
      <c r="N682" t="s">
        <v>8589</v>
      </c>
      <c r="O682" s="8">
        <f t="shared" si="20"/>
        <v>24.099999999976717</v>
      </c>
      <c r="P682" t="str">
        <f t="shared" si="21"/>
        <v>N/A</v>
      </c>
    </row>
    <row r="683" spans="1:16" x14ac:dyDescent="0.25">
      <c r="A683" s="2" t="s">
        <v>1921</v>
      </c>
      <c r="B683" s="4">
        <v>46075.811111111114</v>
      </c>
      <c r="C683" s="2" t="s">
        <v>28</v>
      </c>
      <c r="D683" s="2" t="s">
        <v>100</v>
      </c>
      <c r="E683" s="2" t="s">
        <v>85</v>
      </c>
      <c r="F683" s="2" t="s">
        <v>55</v>
      </c>
      <c r="G683" s="2" t="s">
        <v>31</v>
      </c>
      <c r="H683" s="2" t="s">
        <v>21</v>
      </c>
      <c r="I683" s="2">
        <v>24</v>
      </c>
      <c r="J683" s="2" t="s">
        <v>11</v>
      </c>
      <c r="K683" s="4" t="s">
        <v>8590</v>
      </c>
      <c r="L683" s="2" t="s">
        <v>92</v>
      </c>
      <c r="M683" s="2"/>
      <c r="N683" t="s">
        <v>8584</v>
      </c>
      <c r="O683" s="8" t="str">
        <f t="shared" si="20"/>
        <v/>
      </c>
      <c r="P683" t="str">
        <f t="shared" si="21"/>
        <v>N/A</v>
      </c>
    </row>
    <row r="684" spans="1:16" x14ac:dyDescent="0.25">
      <c r="A684" s="2" t="s">
        <v>1923</v>
      </c>
      <c r="B684" s="4">
        <v>46027.759027777778</v>
      </c>
      <c r="C684" s="2" t="s">
        <v>53</v>
      </c>
      <c r="D684" s="2" t="s">
        <v>54</v>
      </c>
      <c r="E684" s="2" t="s">
        <v>38</v>
      </c>
      <c r="F684" s="2" t="s">
        <v>113</v>
      </c>
      <c r="G684" s="2" t="s">
        <v>31</v>
      </c>
      <c r="H684" s="2" t="s">
        <v>21</v>
      </c>
      <c r="I684" s="2">
        <v>24</v>
      </c>
      <c r="J684" s="2" t="s">
        <v>75</v>
      </c>
      <c r="K684" s="4">
        <v>46027.849305555559</v>
      </c>
      <c r="L684" s="2" t="s">
        <v>24</v>
      </c>
      <c r="M684" s="2">
        <v>5</v>
      </c>
      <c r="N684" t="s">
        <v>8581</v>
      </c>
      <c r="O684" s="8">
        <f t="shared" si="20"/>
        <v>2.1666666667442769</v>
      </c>
      <c r="P684" t="str">
        <f t="shared" si="21"/>
        <v>N/A</v>
      </c>
    </row>
    <row r="685" spans="1:16" x14ac:dyDescent="0.25">
      <c r="A685" s="2" t="s">
        <v>1926</v>
      </c>
      <c r="B685" s="4">
        <v>46092.62777777778</v>
      </c>
      <c r="C685" s="2" t="s">
        <v>16</v>
      </c>
      <c r="D685" s="2" t="s">
        <v>17</v>
      </c>
      <c r="E685" s="2" t="s">
        <v>38</v>
      </c>
      <c r="F685" s="2" t="s">
        <v>55</v>
      </c>
      <c r="G685" s="2" t="s">
        <v>31</v>
      </c>
      <c r="H685" s="2" t="s">
        <v>21</v>
      </c>
      <c r="I685" s="2">
        <v>24</v>
      </c>
      <c r="J685" s="2" t="s">
        <v>106</v>
      </c>
      <c r="K685" s="4">
        <v>46092.718055555553</v>
      </c>
      <c r="L685" s="2" t="s">
        <v>24</v>
      </c>
      <c r="M685" s="2">
        <v>5</v>
      </c>
      <c r="N685" t="s">
        <v>8584</v>
      </c>
      <c r="O685" s="8">
        <f t="shared" si="20"/>
        <v>2.1666666665696539</v>
      </c>
      <c r="P685" t="str">
        <f t="shared" si="21"/>
        <v>Yes</v>
      </c>
    </row>
    <row r="686" spans="1:16" x14ac:dyDescent="0.25">
      <c r="A686" s="2" t="s">
        <v>1929</v>
      </c>
      <c r="B686" s="4">
        <v>46195.703472222223</v>
      </c>
      <c r="C686" s="2" t="s">
        <v>28</v>
      </c>
      <c r="D686" s="2" t="s">
        <v>100</v>
      </c>
      <c r="E686" s="2" t="s">
        <v>46</v>
      </c>
      <c r="F686" s="2" t="s">
        <v>55</v>
      </c>
      <c r="G686" s="2" t="s">
        <v>211</v>
      </c>
      <c r="H686" s="2" t="s">
        <v>21</v>
      </c>
      <c r="I686" s="2">
        <v>24</v>
      </c>
      <c r="J686" s="2" t="s">
        <v>11</v>
      </c>
      <c r="K686" s="4" t="s">
        <v>8590</v>
      </c>
      <c r="L686" s="2" t="s">
        <v>92</v>
      </c>
      <c r="M686" s="2"/>
      <c r="N686" t="s">
        <v>8583</v>
      </c>
      <c r="O686" s="8" t="str">
        <f t="shared" si="20"/>
        <v/>
      </c>
      <c r="P686" t="str">
        <f t="shared" si="21"/>
        <v>N/A</v>
      </c>
    </row>
    <row r="687" spans="1:16" x14ac:dyDescent="0.25">
      <c r="A687" s="2" t="s">
        <v>1931</v>
      </c>
      <c r="B687" s="4">
        <v>46231.242361111108</v>
      </c>
      <c r="C687" s="2" t="s">
        <v>16</v>
      </c>
      <c r="D687" s="2" t="s">
        <v>17</v>
      </c>
      <c r="E687" s="2" t="s">
        <v>38</v>
      </c>
      <c r="F687" s="2" t="s">
        <v>55</v>
      </c>
      <c r="G687" s="2" t="s">
        <v>183</v>
      </c>
      <c r="H687" s="2" t="s">
        <v>21</v>
      </c>
      <c r="I687" s="2">
        <v>24</v>
      </c>
      <c r="J687" s="2" t="s">
        <v>75</v>
      </c>
      <c r="K687" s="4">
        <v>46231.996527777781</v>
      </c>
      <c r="L687" s="2" t="s">
        <v>24</v>
      </c>
      <c r="M687" s="2">
        <v>4</v>
      </c>
      <c r="N687" t="s">
        <v>8589</v>
      </c>
      <c r="O687" s="8">
        <f t="shared" si="20"/>
        <v>18.10000000015134</v>
      </c>
      <c r="P687" t="str">
        <f t="shared" si="21"/>
        <v>N/A</v>
      </c>
    </row>
    <row r="688" spans="1:16" x14ac:dyDescent="0.25">
      <c r="A688" s="2" t="s">
        <v>1934</v>
      </c>
      <c r="B688" s="4">
        <v>46089.765972222223</v>
      </c>
      <c r="C688" s="2" t="s">
        <v>67</v>
      </c>
      <c r="D688" s="2" t="s">
        <v>68</v>
      </c>
      <c r="E688" s="2" t="s">
        <v>79</v>
      </c>
      <c r="F688" s="2" t="s">
        <v>55</v>
      </c>
      <c r="G688" s="2" t="s">
        <v>179</v>
      </c>
      <c r="H688" s="2" t="s">
        <v>21</v>
      </c>
      <c r="I688" s="2">
        <v>24</v>
      </c>
      <c r="J688" s="2" t="s">
        <v>106</v>
      </c>
      <c r="K688" s="4">
        <v>46091.550694444442</v>
      </c>
      <c r="L688" s="2" t="s">
        <v>24</v>
      </c>
      <c r="M688" s="2">
        <v>2</v>
      </c>
      <c r="N688" t="s">
        <v>8589</v>
      </c>
      <c r="O688" s="8">
        <f t="shared" si="20"/>
        <v>42.833333333255723</v>
      </c>
      <c r="P688" t="str">
        <f t="shared" si="21"/>
        <v>No</v>
      </c>
    </row>
    <row r="689" spans="1:16" x14ac:dyDescent="0.25">
      <c r="A689" s="2" t="s">
        <v>1937</v>
      </c>
      <c r="B689" s="4">
        <v>46064.047222222223</v>
      </c>
      <c r="C689" s="2" t="s">
        <v>53</v>
      </c>
      <c r="D689" s="2" t="s">
        <v>54</v>
      </c>
      <c r="E689" s="2" t="s">
        <v>79</v>
      </c>
      <c r="F689" s="2" t="s">
        <v>30</v>
      </c>
      <c r="G689" s="2" t="s">
        <v>31</v>
      </c>
      <c r="H689" s="2" t="s">
        <v>74</v>
      </c>
      <c r="I689" s="2">
        <v>8</v>
      </c>
      <c r="J689" s="2" t="s">
        <v>287</v>
      </c>
      <c r="K689" s="4" t="s">
        <v>8590</v>
      </c>
      <c r="L689" s="2" t="s">
        <v>24</v>
      </c>
      <c r="M689" s="2"/>
      <c r="N689" t="s">
        <v>8582</v>
      </c>
      <c r="O689" s="8" t="str">
        <f t="shared" si="20"/>
        <v/>
      </c>
      <c r="P689" t="str">
        <f t="shared" si="21"/>
        <v>N/A</v>
      </c>
    </row>
    <row r="690" spans="1:16" x14ac:dyDescent="0.25">
      <c r="A690" s="2" t="s">
        <v>1939</v>
      </c>
      <c r="B690" s="4">
        <v>46254.03125</v>
      </c>
      <c r="C690" s="2" t="s">
        <v>16</v>
      </c>
      <c r="D690" s="2" t="s">
        <v>84</v>
      </c>
      <c r="E690" s="2" t="s">
        <v>90</v>
      </c>
      <c r="F690" s="2" t="s">
        <v>30</v>
      </c>
      <c r="G690" s="2" t="s">
        <v>101</v>
      </c>
      <c r="H690" s="2" t="s">
        <v>74</v>
      </c>
      <c r="I690" s="2">
        <v>8</v>
      </c>
      <c r="J690" s="2" t="s">
        <v>149</v>
      </c>
      <c r="K690" s="4" t="s">
        <v>8590</v>
      </c>
      <c r="L690" s="2" t="s">
        <v>24</v>
      </c>
      <c r="M690" s="2"/>
      <c r="N690" t="s">
        <v>8584</v>
      </c>
      <c r="O690" s="8" t="str">
        <f t="shared" si="20"/>
        <v/>
      </c>
      <c r="P690" t="str">
        <f t="shared" si="21"/>
        <v>N/A</v>
      </c>
    </row>
    <row r="691" spans="1:16" x14ac:dyDescent="0.25">
      <c r="A691" s="2" t="s">
        <v>1941</v>
      </c>
      <c r="B691" s="4">
        <v>46139.325694444444</v>
      </c>
      <c r="C691" s="2" t="s">
        <v>16</v>
      </c>
      <c r="D691" s="2" t="s">
        <v>84</v>
      </c>
      <c r="E691" s="2" t="s">
        <v>90</v>
      </c>
      <c r="F691" s="2" t="s">
        <v>30</v>
      </c>
      <c r="G691" s="2" t="s">
        <v>101</v>
      </c>
      <c r="H691" s="2" t="s">
        <v>74</v>
      </c>
      <c r="I691" s="2">
        <v>8</v>
      </c>
      <c r="J691" s="2" t="s">
        <v>106</v>
      </c>
      <c r="K691" s="4">
        <v>46139.62222222222</v>
      </c>
      <c r="L691" s="2" t="s">
        <v>24</v>
      </c>
      <c r="M691" s="2">
        <v>2</v>
      </c>
      <c r="N691" t="s">
        <v>8583</v>
      </c>
      <c r="O691" s="8">
        <f t="shared" si="20"/>
        <v>7.1166666666395031</v>
      </c>
      <c r="P691" t="str">
        <f t="shared" si="21"/>
        <v>Yes</v>
      </c>
    </row>
    <row r="692" spans="1:16" x14ac:dyDescent="0.25">
      <c r="A692" s="2" t="s">
        <v>1944</v>
      </c>
      <c r="B692" s="4">
        <v>46118.102777777778</v>
      </c>
      <c r="C692" s="2" t="s">
        <v>53</v>
      </c>
      <c r="D692" s="2" t="s">
        <v>54</v>
      </c>
      <c r="E692" s="2" t="s">
        <v>79</v>
      </c>
      <c r="F692" s="2" t="s">
        <v>55</v>
      </c>
      <c r="G692" s="2" t="s">
        <v>211</v>
      </c>
      <c r="H692" s="2" t="s">
        <v>21</v>
      </c>
      <c r="I692" s="2">
        <v>24</v>
      </c>
      <c r="J692" s="2" t="s">
        <v>11</v>
      </c>
      <c r="K692" s="4" t="s">
        <v>8590</v>
      </c>
      <c r="L692" s="2" t="s">
        <v>92</v>
      </c>
      <c r="M692" s="2"/>
      <c r="N692" t="s">
        <v>8581</v>
      </c>
      <c r="O692" s="8" t="str">
        <f t="shared" si="20"/>
        <v/>
      </c>
      <c r="P692" t="str">
        <f t="shared" si="21"/>
        <v>N/A</v>
      </c>
    </row>
    <row r="693" spans="1:16" x14ac:dyDescent="0.25">
      <c r="A693" s="2" t="s">
        <v>1946</v>
      </c>
      <c r="B693" s="4">
        <v>46264.115972222222</v>
      </c>
      <c r="C693" s="2" t="s">
        <v>28</v>
      </c>
      <c r="D693" s="2" t="s">
        <v>100</v>
      </c>
      <c r="E693" s="2" t="s">
        <v>90</v>
      </c>
      <c r="F693" s="2" t="s">
        <v>30</v>
      </c>
      <c r="G693" s="2" t="s">
        <v>101</v>
      </c>
      <c r="H693" s="2" t="s">
        <v>21</v>
      </c>
      <c r="I693" s="2">
        <v>24</v>
      </c>
      <c r="J693" s="2" t="s">
        <v>75</v>
      </c>
      <c r="K693" s="4">
        <v>46264.35833333333</v>
      </c>
      <c r="L693" s="2" t="s">
        <v>24</v>
      </c>
      <c r="M693" s="2">
        <v>3</v>
      </c>
      <c r="N693" t="s">
        <v>8584</v>
      </c>
      <c r="O693" s="8">
        <f t="shared" si="20"/>
        <v>5.816666666592937</v>
      </c>
      <c r="P693" t="str">
        <f t="shared" si="21"/>
        <v>N/A</v>
      </c>
    </row>
    <row r="694" spans="1:16" x14ac:dyDescent="0.25">
      <c r="A694" s="2" t="s">
        <v>1949</v>
      </c>
      <c r="B694" s="4">
        <v>46105.986805555556</v>
      </c>
      <c r="C694" s="2" t="s">
        <v>53</v>
      </c>
      <c r="D694" s="2" t="s">
        <v>54</v>
      </c>
      <c r="E694" s="2" t="s">
        <v>79</v>
      </c>
      <c r="F694" s="2" t="s">
        <v>96</v>
      </c>
      <c r="G694" s="2" t="s">
        <v>101</v>
      </c>
      <c r="H694" s="2" t="s">
        <v>21</v>
      </c>
      <c r="I694" s="2">
        <v>24</v>
      </c>
      <c r="J694" s="2" t="s">
        <v>106</v>
      </c>
      <c r="K694" s="4">
        <v>46106.145833333336</v>
      </c>
      <c r="L694" s="2" t="s">
        <v>24</v>
      </c>
      <c r="M694" s="2">
        <v>4</v>
      </c>
      <c r="N694" t="s">
        <v>8582</v>
      </c>
      <c r="O694" s="8">
        <f t="shared" si="20"/>
        <v>3.8166666667093523</v>
      </c>
      <c r="P694" t="str">
        <f t="shared" si="21"/>
        <v>Yes</v>
      </c>
    </row>
    <row r="695" spans="1:16" x14ac:dyDescent="0.25">
      <c r="A695" s="2" t="s">
        <v>1952</v>
      </c>
      <c r="B695" s="4">
        <v>46246.202777777777</v>
      </c>
      <c r="C695" s="2" t="s">
        <v>53</v>
      </c>
      <c r="D695" s="2" t="s">
        <v>54</v>
      </c>
      <c r="E695" s="2" t="s">
        <v>46</v>
      </c>
      <c r="F695" s="2" t="s">
        <v>96</v>
      </c>
      <c r="G695" s="2" t="s">
        <v>211</v>
      </c>
      <c r="H695" s="2" t="s">
        <v>32</v>
      </c>
      <c r="I695" s="2">
        <v>48</v>
      </c>
      <c r="J695" s="2" t="s">
        <v>106</v>
      </c>
      <c r="K695" s="4">
        <v>46247.791666666664</v>
      </c>
      <c r="L695" s="2" t="s">
        <v>24</v>
      </c>
      <c r="M695" s="2">
        <v>5</v>
      </c>
      <c r="N695" t="s">
        <v>8586</v>
      </c>
      <c r="O695" s="8">
        <f t="shared" si="20"/>
        <v>38.133333333302289</v>
      </c>
      <c r="P695" t="str">
        <f t="shared" si="21"/>
        <v>Yes</v>
      </c>
    </row>
    <row r="696" spans="1:16" x14ac:dyDescent="0.25">
      <c r="A696" s="2" t="s">
        <v>1955</v>
      </c>
      <c r="B696" s="4">
        <v>46166.673611111109</v>
      </c>
      <c r="C696" s="2" t="s">
        <v>16</v>
      </c>
      <c r="D696" s="2" t="s">
        <v>84</v>
      </c>
      <c r="E696" s="2" t="s">
        <v>79</v>
      </c>
      <c r="F696" s="2" t="s">
        <v>55</v>
      </c>
      <c r="G696" s="2" t="s">
        <v>101</v>
      </c>
      <c r="H696" s="2" t="s">
        <v>21</v>
      </c>
      <c r="I696" s="2">
        <v>24</v>
      </c>
      <c r="J696" s="2" t="s">
        <v>11</v>
      </c>
      <c r="K696" s="4" t="s">
        <v>8590</v>
      </c>
      <c r="L696" s="2" t="s">
        <v>92</v>
      </c>
      <c r="M696" s="2"/>
      <c r="N696" t="s">
        <v>8589</v>
      </c>
      <c r="O696" s="8" t="str">
        <f t="shared" si="20"/>
        <v/>
      </c>
      <c r="P696" t="str">
        <f t="shared" si="21"/>
        <v>N/A</v>
      </c>
    </row>
    <row r="697" spans="1:16" x14ac:dyDescent="0.25">
      <c r="A697" s="2" t="s">
        <v>1957</v>
      </c>
      <c r="B697" s="4">
        <v>46174.335416666669</v>
      </c>
      <c r="C697" s="2" t="s">
        <v>67</v>
      </c>
      <c r="D697" s="2" t="s">
        <v>68</v>
      </c>
      <c r="E697" s="2" t="s">
        <v>18</v>
      </c>
      <c r="F697" s="2" t="s">
        <v>113</v>
      </c>
      <c r="G697" s="2" t="s">
        <v>31</v>
      </c>
      <c r="H697" s="2" t="s">
        <v>74</v>
      </c>
      <c r="I697" s="2">
        <v>8</v>
      </c>
      <c r="J697" s="2" t="s">
        <v>106</v>
      </c>
      <c r="K697" s="4">
        <v>46174.90347222222</v>
      </c>
      <c r="L697" s="2" t="s">
        <v>24</v>
      </c>
      <c r="M697" s="2"/>
      <c r="N697" t="s">
        <v>8586</v>
      </c>
      <c r="O697" s="8">
        <f t="shared" si="20"/>
        <v>13.633333333244082</v>
      </c>
      <c r="P697" t="str">
        <f t="shared" si="21"/>
        <v>No</v>
      </c>
    </row>
    <row r="698" spans="1:16" x14ac:dyDescent="0.25">
      <c r="A698" s="2" t="s">
        <v>1960</v>
      </c>
      <c r="B698" s="4">
        <v>46199.615972222222</v>
      </c>
      <c r="C698" s="2" t="s">
        <v>28</v>
      </c>
      <c r="D698" s="2" t="s">
        <v>37</v>
      </c>
      <c r="E698" s="2" t="s">
        <v>18</v>
      </c>
      <c r="F698" s="2" t="s">
        <v>96</v>
      </c>
      <c r="G698" s="2" t="s">
        <v>101</v>
      </c>
      <c r="H698" s="2" t="s">
        <v>32</v>
      </c>
      <c r="I698" s="2">
        <v>48</v>
      </c>
      <c r="J698" s="2" t="s">
        <v>75</v>
      </c>
      <c r="K698" s="4">
        <v>46201.04791666667</v>
      </c>
      <c r="L698" s="2" t="s">
        <v>24</v>
      </c>
      <c r="M698" s="2">
        <v>5</v>
      </c>
      <c r="N698" t="s">
        <v>8581</v>
      </c>
      <c r="O698" s="8">
        <f t="shared" si="20"/>
        <v>34.366666666755918</v>
      </c>
      <c r="P698" t="str">
        <f t="shared" si="21"/>
        <v>N/A</v>
      </c>
    </row>
    <row r="699" spans="1:16" x14ac:dyDescent="0.25">
      <c r="A699" s="2" t="s">
        <v>1963</v>
      </c>
      <c r="B699" s="4">
        <v>46086.079861111109</v>
      </c>
      <c r="C699" s="2" t="s">
        <v>16</v>
      </c>
      <c r="D699" s="2" t="s">
        <v>17</v>
      </c>
      <c r="E699" s="2" t="s">
        <v>79</v>
      </c>
      <c r="F699" s="2" t="s">
        <v>96</v>
      </c>
      <c r="G699" s="2" t="s">
        <v>101</v>
      </c>
      <c r="H699" s="2" t="s">
        <v>32</v>
      </c>
      <c r="I699" s="2">
        <v>48</v>
      </c>
      <c r="J699" s="2" t="s">
        <v>149</v>
      </c>
      <c r="K699" s="4" t="s">
        <v>8590</v>
      </c>
      <c r="L699" s="2" t="s">
        <v>24</v>
      </c>
      <c r="M699" s="2"/>
      <c r="N699" t="s">
        <v>8583</v>
      </c>
      <c r="O699" s="8" t="str">
        <f t="shared" si="20"/>
        <v/>
      </c>
      <c r="P699" t="str">
        <f t="shared" si="21"/>
        <v>N/A</v>
      </c>
    </row>
    <row r="700" spans="1:16" x14ac:dyDescent="0.25">
      <c r="A700" s="2" t="s">
        <v>1965</v>
      </c>
      <c r="B700" s="4">
        <v>46124.627083333333</v>
      </c>
      <c r="C700" s="2" t="s">
        <v>67</v>
      </c>
      <c r="D700" s="2" t="s">
        <v>95</v>
      </c>
      <c r="E700" s="2" t="s">
        <v>38</v>
      </c>
      <c r="F700" s="2" t="s">
        <v>96</v>
      </c>
      <c r="G700" s="2" t="s">
        <v>211</v>
      </c>
      <c r="H700" s="2" t="s">
        <v>32</v>
      </c>
      <c r="I700" s="2">
        <v>48</v>
      </c>
      <c r="J700" s="2" t="s">
        <v>106</v>
      </c>
      <c r="K700" s="4">
        <v>46125.95416666667</v>
      </c>
      <c r="L700" s="2" t="s">
        <v>24</v>
      </c>
      <c r="M700" s="2"/>
      <c r="N700" t="s">
        <v>8584</v>
      </c>
      <c r="O700" s="8">
        <f t="shared" si="20"/>
        <v>31.850000000093132</v>
      </c>
      <c r="P700" t="str">
        <f t="shared" si="21"/>
        <v>Yes</v>
      </c>
    </row>
    <row r="701" spans="1:16" x14ac:dyDescent="0.25">
      <c r="A701" s="2" t="s">
        <v>1968</v>
      </c>
      <c r="B701" s="4">
        <v>46223.604166666664</v>
      </c>
      <c r="C701" s="2" t="s">
        <v>67</v>
      </c>
      <c r="D701" s="2" t="s">
        <v>68</v>
      </c>
      <c r="E701" s="2" t="s">
        <v>90</v>
      </c>
      <c r="F701" s="2" t="s">
        <v>96</v>
      </c>
      <c r="G701" s="2" t="s">
        <v>179</v>
      </c>
      <c r="H701" s="2" t="s">
        <v>80</v>
      </c>
      <c r="I701" s="2">
        <v>4</v>
      </c>
      <c r="J701" s="2" t="s">
        <v>287</v>
      </c>
      <c r="K701" s="4" t="s">
        <v>8590</v>
      </c>
      <c r="L701" s="2" t="s">
        <v>92</v>
      </c>
      <c r="M701" s="2"/>
      <c r="N701" t="s">
        <v>8583</v>
      </c>
      <c r="O701" s="8" t="str">
        <f t="shared" si="20"/>
        <v/>
      </c>
      <c r="P701" t="str">
        <f t="shared" si="21"/>
        <v>N/A</v>
      </c>
    </row>
    <row r="702" spans="1:16" x14ac:dyDescent="0.25">
      <c r="A702" s="2" t="s">
        <v>1970</v>
      </c>
      <c r="B702" s="4">
        <v>46121.512499999997</v>
      </c>
      <c r="C702" s="2" t="s">
        <v>67</v>
      </c>
      <c r="D702" s="2" t="s">
        <v>68</v>
      </c>
      <c r="E702" s="2" t="s">
        <v>46</v>
      </c>
      <c r="F702" s="2" t="s">
        <v>55</v>
      </c>
      <c r="G702" s="2" t="s">
        <v>31</v>
      </c>
      <c r="H702" s="2" t="s">
        <v>21</v>
      </c>
      <c r="I702" s="2">
        <v>24</v>
      </c>
      <c r="J702" s="2" t="s">
        <v>75</v>
      </c>
      <c r="K702" s="4">
        <v>46121.668055555558</v>
      </c>
      <c r="L702" s="2" t="s">
        <v>24</v>
      </c>
      <c r="M702" s="2">
        <v>4</v>
      </c>
      <c r="N702" t="s">
        <v>8586</v>
      </c>
      <c r="O702" s="8">
        <f t="shared" si="20"/>
        <v>3.7333333334536292</v>
      </c>
      <c r="P702" t="str">
        <f t="shared" si="21"/>
        <v>N/A</v>
      </c>
    </row>
    <row r="703" spans="1:16" x14ac:dyDescent="0.25">
      <c r="A703" s="2" t="s">
        <v>1973</v>
      </c>
      <c r="B703" s="4">
        <v>46257.369444444441</v>
      </c>
      <c r="C703" s="2" t="s">
        <v>67</v>
      </c>
      <c r="D703" s="2" t="s">
        <v>68</v>
      </c>
      <c r="E703" s="2" t="s">
        <v>79</v>
      </c>
      <c r="F703" s="2" t="s">
        <v>55</v>
      </c>
      <c r="G703" s="2" t="s">
        <v>110</v>
      </c>
      <c r="H703" s="2" t="s">
        <v>21</v>
      </c>
      <c r="I703" s="2">
        <v>24</v>
      </c>
      <c r="J703" s="2" t="s">
        <v>106</v>
      </c>
      <c r="K703" s="4">
        <v>46259.711111111108</v>
      </c>
      <c r="L703" s="2" t="s">
        <v>24</v>
      </c>
      <c r="M703" s="2">
        <v>3</v>
      </c>
      <c r="N703" t="s">
        <v>8582</v>
      </c>
      <c r="O703" s="8">
        <f t="shared" si="20"/>
        <v>56.200000000011642</v>
      </c>
      <c r="P703" t="str">
        <f t="shared" si="21"/>
        <v>No</v>
      </c>
    </row>
    <row r="704" spans="1:16" x14ac:dyDescent="0.25">
      <c r="A704" s="2" t="s">
        <v>1976</v>
      </c>
      <c r="B704" s="4">
        <v>46039.731249999997</v>
      </c>
      <c r="C704" s="2" t="s">
        <v>28</v>
      </c>
      <c r="D704" s="2" t="s">
        <v>100</v>
      </c>
      <c r="E704" s="2" t="s">
        <v>46</v>
      </c>
      <c r="F704" s="2" t="s">
        <v>30</v>
      </c>
      <c r="G704" s="2" t="s">
        <v>211</v>
      </c>
      <c r="H704" s="2" t="s">
        <v>32</v>
      </c>
      <c r="I704" s="2">
        <v>48</v>
      </c>
      <c r="J704" s="2" t="s">
        <v>106</v>
      </c>
      <c r="K704" s="4">
        <v>46039.969444444447</v>
      </c>
      <c r="L704" s="2" t="s">
        <v>24</v>
      </c>
      <c r="M704" s="2"/>
      <c r="N704" t="s">
        <v>8581</v>
      </c>
      <c r="O704" s="8">
        <f t="shared" si="20"/>
        <v>5.716666666790843</v>
      </c>
      <c r="P704" t="str">
        <f t="shared" si="21"/>
        <v>Yes</v>
      </c>
    </row>
    <row r="705" spans="1:16" x14ac:dyDescent="0.25">
      <c r="A705" s="2" t="s">
        <v>1979</v>
      </c>
      <c r="B705" s="4">
        <v>46220.55</v>
      </c>
      <c r="C705" s="2" t="s">
        <v>28</v>
      </c>
      <c r="D705" s="2" t="s">
        <v>37</v>
      </c>
      <c r="E705" s="2" t="s">
        <v>18</v>
      </c>
      <c r="F705" s="2" t="s">
        <v>113</v>
      </c>
      <c r="G705" s="2" t="s">
        <v>31</v>
      </c>
      <c r="H705" s="2" t="s">
        <v>74</v>
      </c>
      <c r="I705" s="2">
        <v>8</v>
      </c>
      <c r="J705" s="2" t="s">
        <v>11</v>
      </c>
      <c r="K705" s="4" t="s">
        <v>8590</v>
      </c>
      <c r="L705" s="2" t="s">
        <v>92</v>
      </c>
      <c r="M705" s="2"/>
      <c r="N705" t="s">
        <v>8583</v>
      </c>
      <c r="O705" s="8" t="str">
        <f t="shared" si="20"/>
        <v/>
      </c>
      <c r="P705" t="str">
        <f t="shared" si="21"/>
        <v>N/A</v>
      </c>
    </row>
    <row r="706" spans="1:16" x14ac:dyDescent="0.25">
      <c r="A706" s="2" t="s">
        <v>1981</v>
      </c>
      <c r="B706" s="4">
        <v>46176.761111111111</v>
      </c>
      <c r="C706" s="2" t="s">
        <v>67</v>
      </c>
      <c r="D706" s="2" t="s">
        <v>95</v>
      </c>
      <c r="E706" s="2" t="s">
        <v>90</v>
      </c>
      <c r="F706" s="2" t="s">
        <v>96</v>
      </c>
      <c r="G706" s="2" t="s">
        <v>110</v>
      </c>
      <c r="H706" s="2" t="s">
        <v>21</v>
      </c>
      <c r="I706" s="2">
        <v>24</v>
      </c>
      <c r="J706" s="2" t="s">
        <v>75</v>
      </c>
      <c r="K706" s="4">
        <v>46179.457638888889</v>
      </c>
      <c r="L706" s="2" t="s">
        <v>24</v>
      </c>
      <c r="M706" s="2"/>
      <c r="N706" t="s">
        <v>8584</v>
      </c>
      <c r="O706" s="8">
        <f t="shared" si="20"/>
        <v>64.716666666674428</v>
      </c>
      <c r="P706" t="str">
        <f t="shared" si="21"/>
        <v>N/A</v>
      </c>
    </row>
    <row r="707" spans="1:16" x14ac:dyDescent="0.25">
      <c r="A707" s="2" t="s">
        <v>1984</v>
      </c>
      <c r="B707" s="4">
        <v>46225.020833333336</v>
      </c>
      <c r="C707" s="2" t="s">
        <v>28</v>
      </c>
      <c r="D707" s="2" t="s">
        <v>100</v>
      </c>
      <c r="E707" s="2" t="s">
        <v>46</v>
      </c>
      <c r="F707" s="2" t="s">
        <v>113</v>
      </c>
      <c r="G707" s="2" t="s">
        <v>183</v>
      </c>
      <c r="H707" s="2" t="s">
        <v>74</v>
      </c>
      <c r="I707" s="2">
        <v>8</v>
      </c>
      <c r="J707" s="2" t="s">
        <v>106</v>
      </c>
      <c r="K707" s="4">
        <v>46225.081250000003</v>
      </c>
      <c r="L707" s="2" t="s">
        <v>24</v>
      </c>
      <c r="M707" s="2"/>
      <c r="N707" t="s">
        <v>8581</v>
      </c>
      <c r="O707" s="8">
        <f t="shared" ref="O707:O770" si="22">IF(K707="","",IF(K707="Missing Resolve Date","",(K707-B707)*24))</f>
        <v>1.4500000000116415</v>
      </c>
      <c r="P707" t="str">
        <f t="shared" ref="P707:P770" si="23">IF(J707="Resolved",IF(O707&lt;=I707,"Yes","No"),"N/A")</f>
        <v>Yes</v>
      </c>
    </row>
    <row r="708" spans="1:16" x14ac:dyDescent="0.25">
      <c r="A708" s="2" t="s">
        <v>1987</v>
      </c>
      <c r="B708" s="4">
        <v>46116.964583333334</v>
      </c>
      <c r="C708" s="2" t="s">
        <v>28</v>
      </c>
      <c r="D708" s="2" t="s">
        <v>100</v>
      </c>
      <c r="E708" s="2" t="s">
        <v>79</v>
      </c>
      <c r="F708" s="2" t="s">
        <v>96</v>
      </c>
      <c r="G708" s="2" t="s">
        <v>211</v>
      </c>
      <c r="H708" s="2" t="s">
        <v>32</v>
      </c>
      <c r="I708" s="2">
        <v>48</v>
      </c>
      <c r="J708" s="2" t="s">
        <v>106</v>
      </c>
      <c r="K708" s="4">
        <v>46118.19027777778</v>
      </c>
      <c r="L708" s="2" t="s">
        <v>24</v>
      </c>
      <c r="M708" s="2">
        <v>5</v>
      </c>
      <c r="N708" t="s">
        <v>8587</v>
      </c>
      <c r="O708" s="8">
        <f t="shared" si="22"/>
        <v>29.416666666686069</v>
      </c>
      <c r="P708" t="str">
        <f t="shared" si="23"/>
        <v>Yes</v>
      </c>
    </row>
    <row r="709" spans="1:16" x14ac:dyDescent="0.25">
      <c r="A709" s="2" t="s">
        <v>1990</v>
      </c>
      <c r="B709" s="4">
        <v>46175.777083333334</v>
      </c>
      <c r="C709" s="2" t="s">
        <v>53</v>
      </c>
      <c r="D709" s="2" t="s">
        <v>61</v>
      </c>
      <c r="E709" s="2" t="s">
        <v>148</v>
      </c>
      <c r="F709" s="2" t="s">
        <v>113</v>
      </c>
      <c r="G709" s="2" t="s">
        <v>110</v>
      </c>
      <c r="H709" s="2" t="s">
        <v>32</v>
      </c>
      <c r="I709" s="2">
        <v>48</v>
      </c>
      <c r="J709" s="2" t="s">
        <v>11</v>
      </c>
      <c r="K709" s="4" t="s">
        <v>8590</v>
      </c>
      <c r="L709" s="2" t="s">
        <v>92</v>
      </c>
      <c r="M709" s="2"/>
      <c r="N709" t="s">
        <v>8589</v>
      </c>
      <c r="O709" s="8" t="str">
        <f t="shared" si="22"/>
        <v/>
      </c>
      <c r="P709" t="str">
        <f t="shared" si="23"/>
        <v>N/A</v>
      </c>
    </row>
    <row r="710" spans="1:16" x14ac:dyDescent="0.25">
      <c r="A710" s="2" t="s">
        <v>1992</v>
      </c>
      <c r="B710" s="4">
        <v>46144.967361111114</v>
      </c>
      <c r="C710" s="2" t="s">
        <v>67</v>
      </c>
      <c r="D710" s="2" t="s">
        <v>68</v>
      </c>
      <c r="E710" s="2" t="s">
        <v>148</v>
      </c>
      <c r="F710" s="2" t="s">
        <v>113</v>
      </c>
      <c r="G710" s="2" t="s">
        <v>179</v>
      </c>
      <c r="H710" s="2" t="s">
        <v>21</v>
      </c>
      <c r="I710" s="2">
        <v>24</v>
      </c>
      <c r="J710" s="2" t="s">
        <v>106</v>
      </c>
      <c r="K710" s="4">
        <v>46146.654861111114</v>
      </c>
      <c r="L710" s="2" t="s">
        <v>24</v>
      </c>
      <c r="M710" s="2">
        <v>1</v>
      </c>
      <c r="N710" t="s">
        <v>8589</v>
      </c>
      <c r="O710" s="8">
        <f t="shared" si="22"/>
        <v>40.5</v>
      </c>
      <c r="P710" t="str">
        <f t="shared" si="23"/>
        <v>No</v>
      </c>
    </row>
    <row r="711" spans="1:16" x14ac:dyDescent="0.25">
      <c r="A711" s="2" t="s">
        <v>1995</v>
      </c>
      <c r="B711" s="4">
        <v>46033.919444444444</v>
      </c>
      <c r="C711" s="2" t="s">
        <v>28</v>
      </c>
      <c r="D711" s="2" t="s">
        <v>100</v>
      </c>
      <c r="E711" s="2" t="s">
        <v>79</v>
      </c>
      <c r="F711" s="2" t="s">
        <v>55</v>
      </c>
      <c r="G711" s="2" t="s">
        <v>31</v>
      </c>
      <c r="H711" s="2" t="s">
        <v>32</v>
      </c>
      <c r="I711" s="2">
        <v>48</v>
      </c>
      <c r="J711" s="2" t="s">
        <v>75</v>
      </c>
      <c r="K711" s="4">
        <v>46034.57916666667</v>
      </c>
      <c r="L711" s="2" t="s">
        <v>24</v>
      </c>
      <c r="M711" s="2"/>
      <c r="N711" t="s">
        <v>8586</v>
      </c>
      <c r="O711" s="8">
        <f t="shared" si="22"/>
        <v>15.833333333430346</v>
      </c>
      <c r="P711" t="str">
        <f t="shared" si="23"/>
        <v>N/A</v>
      </c>
    </row>
    <row r="712" spans="1:16" x14ac:dyDescent="0.25">
      <c r="A712" s="2" t="s">
        <v>1998</v>
      </c>
      <c r="B712" s="4">
        <v>46185.922222222223</v>
      </c>
      <c r="C712" s="2" t="s">
        <v>67</v>
      </c>
      <c r="D712" s="2" t="s">
        <v>68</v>
      </c>
      <c r="E712" s="2" t="s">
        <v>90</v>
      </c>
      <c r="F712" s="2" t="s">
        <v>113</v>
      </c>
      <c r="G712" s="2" t="s">
        <v>110</v>
      </c>
      <c r="H712" s="2" t="s">
        <v>74</v>
      </c>
      <c r="I712" s="2">
        <v>8</v>
      </c>
      <c r="J712" s="2" t="s">
        <v>75</v>
      </c>
      <c r="K712" s="4">
        <v>46186.145833333336</v>
      </c>
      <c r="L712" s="2" t="s">
        <v>24</v>
      </c>
      <c r="M712" s="2"/>
      <c r="N712" t="s">
        <v>8585</v>
      </c>
      <c r="O712" s="8">
        <f t="shared" si="22"/>
        <v>5.3666666666977108</v>
      </c>
      <c r="P712" t="str">
        <f t="shared" si="23"/>
        <v>N/A</v>
      </c>
    </row>
    <row r="713" spans="1:16" x14ac:dyDescent="0.25">
      <c r="A713" s="2" t="s">
        <v>2001</v>
      </c>
      <c r="B713" s="4">
        <v>46239.859722222223</v>
      </c>
      <c r="C713" s="2" t="s">
        <v>53</v>
      </c>
      <c r="D713" s="2" t="s">
        <v>54</v>
      </c>
      <c r="E713" s="2" t="s">
        <v>79</v>
      </c>
      <c r="F713" s="2" t="s">
        <v>30</v>
      </c>
      <c r="G713" s="2" t="s">
        <v>101</v>
      </c>
      <c r="H713" s="2" t="s">
        <v>32</v>
      </c>
      <c r="I713" s="2">
        <v>48</v>
      </c>
      <c r="J713" s="2" t="s">
        <v>8580</v>
      </c>
      <c r="K713" s="4" t="s">
        <v>8590</v>
      </c>
      <c r="L713" s="2" t="s">
        <v>24</v>
      </c>
      <c r="M713" s="2"/>
      <c r="N713" t="s">
        <v>8582</v>
      </c>
      <c r="O713" s="8" t="str">
        <f t="shared" si="22"/>
        <v/>
      </c>
      <c r="P713" t="str">
        <f t="shared" si="23"/>
        <v>N/A</v>
      </c>
    </row>
    <row r="714" spans="1:16" x14ac:dyDescent="0.25">
      <c r="A714" s="2" t="s">
        <v>2003</v>
      </c>
      <c r="B714" s="4">
        <v>46035.196527777778</v>
      </c>
      <c r="C714" s="2" t="s">
        <v>16</v>
      </c>
      <c r="D714" s="2" t="s">
        <v>84</v>
      </c>
      <c r="E714" s="2" t="s">
        <v>90</v>
      </c>
      <c r="F714" s="2" t="s">
        <v>55</v>
      </c>
      <c r="G714" s="2" t="s">
        <v>101</v>
      </c>
      <c r="H714" s="2" t="s">
        <v>80</v>
      </c>
      <c r="I714" s="2">
        <v>4</v>
      </c>
      <c r="J714" s="2" t="s">
        <v>11</v>
      </c>
      <c r="K714" s="4" t="s">
        <v>8590</v>
      </c>
      <c r="L714" s="2" t="s">
        <v>92</v>
      </c>
      <c r="M714" s="2"/>
      <c r="N714" t="s">
        <v>8588</v>
      </c>
      <c r="O714" s="8" t="str">
        <f t="shared" si="22"/>
        <v/>
      </c>
      <c r="P714" t="str">
        <f t="shared" si="23"/>
        <v>N/A</v>
      </c>
    </row>
    <row r="715" spans="1:16" x14ac:dyDescent="0.25">
      <c r="A715" s="2" t="s">
        <v>2005</v>
      </c>
      <c r="B715" s="4">
        <v>46047.900694444441</v>
      </c>
      <c r="C715" s="2" t="s">
        <v>53</v>
      </c>
      <c r="D715" s="2" t="s">
        <v>54</v>
      </c>
      <c r="E715" s="2" t="s">
        <v>85</v>
      </c>
      <c r="F715" s="2" t="s">
        <v>113</v>
      </c>
      <c r="G715" s="2" t="s">
        <v>211</v>
      </c>
      <c r="H715" s="2" t="s">
        <v>80</v>
      </c>
      <c r="I715" s="2">
        <v>4</v>
      </c>
      <c r="J715" s="2" t="s">
        <v>75</v>
      </c>
      <c r="K715" s="4">
        <v>46048.043749999997</v>
      </c>
      <c r="L715" s="2" t="s">
        <v>24</v>
      </c>
      <c r="M715" s="2">
        <v>4</v>
      </c>
      <c r="N715" t="s">
        <v>8586</v>
      </c>
      <c r="O715" s="8">
        <f t="shared" si="22"/>
        <v>3.4333333333488554</v>
      </c>
      <c r="P715" t="str">
        <f t="shared" si="23"/>
        <v>N/A</v>
      </c>
    </row>
    <row r="716" spans="1:16" x14ac:dyDescent="0.25">
      <c r="A716" s="2" t="s">
        <v>2008</v>
      </c>
      <c r="B716" s="4">
        <v>46116.720138888886</v>
      </c>
      <c r="C716" s="2" t="s">
        <v>67</v>
      </c>
      <c r="D716" s="2" t="s">
        <v>68</v>
      </c>
      <c r="E716" s="2" t="s">
        <v>148</v>
      </c>
      <c r="F716" s="2" t="s">
        <v>30</v>
      </c>
      <c r="G716" s="2" t="s">
        <v>110</v>
      </c>
      <c r="H716" s="2" t="s">
        <v>21</v>
      </c>
      <c r="I716" s="2">
        <v>24</v>
      </c>
      <c r="J716" s="2" t="s">
        <v>149</v>
      </c>
      <c r="K716" s="4" t="s">
        <v>8590</v>
      </c>
      <c r="L716" s="2" t="s">
        <v>24</v>
      </c>
      <c r="M716" s="2"/>
      <c r="N716" t="s">
        <v>8581</v>
      </c>
      <c r="O716" s="8" t="str">
        <f t="shared" si="22"/>
        <v/>
      </c>
      <c r="P716" t="str">
        <f t="shared" si="23"/>
        <v>N/A</v>
      </c>
    </row>
    <row r="717" spans="1:16" x14ac:dyDescent="0.25">
      <c r="A717" s="2" t="s">
        <v>2010</v>
      </c>
      <c r="B717" s="4">
        <v>46114.027083333334</v>
      </c>
      <c r="C717" s="2" t="s">
        <v>16</v>
      </c>
      <c r="D717" s="2" t="s">
        <v>84</v>
      </c>
      <c r="E717" s="2" t="s">
        <v>46</v>
      </c>
      <c r="F717" s="2" t="s">
        <v>30</v>
      </c>
      <c r="G717" s="2" t="s">
        <v>211</v>
      </c>
      <c r="H717" s="2" t="s">
        <v>32</v>
      </c>
      <c r="I717" s="2">
        <v>48</v>
      </c>
      <c r="J717" s="2" t="s">
        <v>106</v>
      </c>
      <c r="K717" s="4">
        <v>46114.823611111111</v>
      </c>
      <c r="L717" s="2" t="s">
        <v>24</v>
      </c>
      <c r="M717" s="2">
        <v>5</v>
      </c>
      <c r="N717" t="s">
        <v>8585</v>
      </c>
      <c r="O717" s="8">
        <f t="shared" si="22"/>
        <v>19.116666666639503</v>
      </c>
      <c r="P717" t="str">
        <f t="shared" si="23"/>
        <v>Yes</v>
      </c>
    </row>
    <row r="718" spans="1:16" x14ac:dyDescent="0.25">
      <c r="A718" s="2" t="s">
        <v>2013</v>
      </c>
      <c r="B718" s="4">
        <v>46257.586111111108</v>
      </c>
      <c r="C718" s="2" t="s">
        <v>53</v>
      </c>
      <c r="D718" s="2" t="s">
        <v>54</v>
      </c>
      <c r="E718" s="2" t="s">
        <v>38</v>
      </c>
      <c r="F718" s="2" t="s">
        <v>55</v>
      </c>
      <c r="G718" s="2" t="s">
        <v>211</v>
      </c>
      <c r="H718" s="2" t="s">
        <v>80</v>
      </c>
      <c r="I718" s="2">
        <v>4</v>
      </c>
      <c r="J718" s="2" t="s">
        <v>75</v>
      </c>
      <c r="K718" s="4">
        <v>46257.664583333331</v>
      </c>
      <c r="L718" s="2" t="s">
        <v>24</v>
      </c>
      <c r="M718" s="2"/>
      <c r="N718" t="s">
        <v>8584</v>
      </c>
      <c r="O718" s="8">
        <f t="shared" si="22"/>
        <v>1.8833333333604969</v>
      </c>
      <c r="P718" t="str">
        <f t="shared" si="23"/>
        <v>N/A</v>
      </c>
    </row>
    <row r="719" spans="1:16" x14ac:dyDescent="0.25">
      <c r="A719" s="2" t="s">
        <v>2016</v>
      </c>
      <c r="B719" s="4">
        <v>46095.973611111112</v>
      </c>
      <c r="C719" s="2" t="s">
        <v>53</v>
      </c>
      <c r="D719" s="2" t="s">
        <v>54</v>
      </c>
      <c r="E719" s="2" t="s">
        <v>90</v>
      </c>
      <c r="F719" s="2" t="s">
        <v>113</v>
      </c>
      <c r="G719" s="2" t="s">
        <v>110</v>
      </c>
      <c r="H719" s="2" t="s">
        <v>21</v>
      </c>
      <c r="I719" s="2">
        <v>24</v>
      </c>
      <c r="J719" s="2" t="s">
        <v>106</v>
      </c>
      <c r="K719" s="4">
        <v>46096.868750000001</v>
      </c>
      <c r="L719" s="2" t="s">
        <v>24</v>
      </c>
      <c r="M719" s="2">
        <v>2</v>
      </c>
      <c r="N719" t="s">
        <v>8583</v>
      </c>
      <c r="O719" s="8">
        <f t="shared" si="22"/>
        <v>21.483333333337214</v>
      </c>
      <c r="P719" t="str">
        <f t="shared" si="23"/>
        <v>Yes</v>
      </c>
    </row>
    <row r="720" spans="1:16" x14ac:dyDescent="0.25">
      <c r="A720" s="2" t="s">
        <v>2019</v>
      </c>
      <c r="B720" s="4">
        <v>46162.88958333333</v>
      </c>
      <c r="C720" s="2" t="s">
        <v>28</v>
      </c>
      <c r="D720" s="2" t="s">
        <v>100</v>
      </c>
      <c r="E720" s="2" t="s">
        <v>148</v>
      </c>
      <c r="F720" s="2" t="s">
        <v>55</v>
      </c>
      <c r="G720" s="2" t="s">
        <v>101</v>
      </c>
      <c r="H720" s="2" t="s">
        <v>74</v>
      </c>
      <c r="I720" s="2">
        <v>8</v>
      </c>
      <c r="J720" s="2" t="s">
        <v>106</v>
      </c>
      <c r="K720" s="4">
        <v>46163.159722222219</v>
      </c>
      <c r="L720" s="2" t="s">
        <v>24</v>
      </c>
      <c r="M720" s="2">
        <v>5</v>
      </c>
      <c r="N720" t="s">
        <v>8589</v>
      </c>
      <c r="O720" s="8">
        <f t="shared" si="22"/>
        <v>6.4833333333372138</v>
      </c>
      <c r="P720" t="str">
        <f t="shared" si="23"/>
        <v>Yes</v>
      </c>
    </row>
    <row r="721" spans="1:16" x14ac:dyDescent="0.25">
      <c r="A721" s="2" t="s">
        <v>2022</v>
      </c>
      <c r="B721" s="4">
        <v>46072.444444444445</v>
      </c>
      <c r="C721" s="2" t="s">
        <v>53</v>
      </c>
      <c r="D721" s="2" t="s">
        <v>61</v>
      </c>
      <c r="E721" s="2" t="s">
        <v>18</v>
      </c>
      <c r="F721" s="2" t="s">
        <v>30</v>
      </c>
      <c r="G721" s="2" t="s">
        <v>101</v>
      </c>
      <c r="H721" s="2" t="s">
        <v>32</v>
      </c>
      <c r="I721" s="2">
        <v>48</v>
      </c>
      <c r="J721" s="2" t="s">
        <v>75</v>
      </c>
      <c r="K721" s="4">
        <v>46077.627083333333</v>
      </c>
      <c r="L721" s="2" t="s">
        <v>24</v>
      </c>
      <c r="M721" s="2">
        <v>5</v>
      </c>
      <c r="N721" t="s">
        <v>8583</v>
      </c>
      <c r="O721" s="8">
        <f t="shared" si="22"/>
        <v>124.38333333330229</v>
      </c>
      <c r="P721" t="str">
        <f t="shared" si="23"/>
        <v>N/A</v>
      </c>
    </row>
    <row r="722" spans="1:16" x14ac:dyDescent="0.25">
      <c r="A722" s="2" t="s">
        <v>2025</v>
      </c>
      <c r="B722" s="4">
        <v>46113.180555555555</v>
      </c>
      <c r="C722" s="2" t="s">
        <v>67</v>
      </c>
      <c r="D722" s="2" t="s">
        <v>68</v>
      </c>
      <c r="E722" s="2" t="s">
        <v>148</v>
      </c>
      <c r="F722" s="2" t="s">
        <v>113</v>
      </c>
      <c r="G722" s="2" t="s">
        <v>110</v>
      </c>
      <c r="H722" s="2" t="s">
        <v>74</v>
      </c>
      <c r="I722" s="2">
        <v>8</v>
      </c>
      <c r="J722" s="2" t="s">
        <v>8580</v>
      </c>
      <c r="K722" s="4">
        <v>46113.340277777781</v>
      </c>
      <c r="L722" s="2" t="s">
        <v>24</v>
      </c>
      <c r="M722" s="2"/>
      <c r="N722" t="s">
        <v>8587</v>
      </c>
      <c r="O722" s="8">
        <f t="shared" si="22"/>
        <v>3.8333333334303461</v>
      </c>
      <c r="P722" t="str">
        <f t="shared" si="23"/>
        <v>N/A</v>
      </c>
    </row>
    <row r="723" spans="1:16" x14ac:dyDescent="0.25">
      <c r="A723" s="2" t="s">
        <v>2028</v>
      </c>
      <c r="B723" s="4">
        <v>46234.120833333334</v>
      </c>
      <c r="C723" s="2" t="s">
        <v>16</v>
      </c>
      <c r="D723" s="2" t="s">
        <v>84</v>
      </c>
      <c r="E723" s="2" t="s">
        <v>148</v>
      </c>
      <c r="F723" s="2" t="s">
        <v>96</v>
      </c>
      <c r="G723" s="2" t="s">
        <v>101</v>
      </c>
      <c r="H723" s="2" t="s">
        <v>32</v>
      </c>
      <c r="I723" s="2">
        <v>48</v>
      </c>
      <c r="J723" s="2" t="s">
        <v>11</v>
      </c>
      <c r="K723" s="4" t="s">
        <v>8590</v>
      </c>
      <c r="L723" s="2" t="s">
        <v>92</v>
      </c>
      <c r="M723" s="2"/>
      <c r="N723" t="s">
        <v>8584</v>
      </c>
      <c r="O723" s="8" t="str">
        <f t="shared" si="22"/>
        <v/>
      </c>
      <c r="P723" t="str">
        <f t="shared" si="23"/>
        <v>N/A</v>
      </c>
    </row>
    <row r="724" spans="1:16" x14ac:dyDescent="0.25">
      <c r="A724" s="2" t="s">
        <v>2030</v>
      </c>
      <c r="B724" s="4">
        <v>46035.259722222225</v>
      </c>
      <c r="C724" s="2" t="s">
        <v>67</v>
      </c>
      <c r="D724" s="2" t="s">
        <v>68</v>
      </c>
      <c r="E724" s="2" t="s">
        <v>90</v>
      </c>
      <c r="F724" s="2" t="s">
        <v>96</v>
      </c>
      <c r="G724" s="2" t="s">
        <v>211</v>
      </c>
      <c r="H724" s="2" t="s">
        <v>80</v>
      </c>
      <c r="I724" s="2">
        <v>4</v>
      </c>
      <c r="J724" s="2" t="s">
        <v>106</v>
      </c>
      <c r="K724" s="4">
        <v>46035.293749999997</v>
      </c>
      <c r="L724" s="2" t="s">
        <v>24</v>
      </c>
      <c r="M724" s="2">
        <v>4</v>
      </c>
      <c r="N724" t="s">
        <v>8581</v>
      </c>
      <c r="O724" s="8">
        <f t="shared" si="22"/>
        <v>0.8166666665347293</v>
      </c>
      <c r="P724" t="str">
        <f t="shared" si="23"/>
        <v>Yes</v>
      </c>
    </row>
    <row r="725" spans="1:16" x14ac:dyDescent="0.25">
      <c r="A725" s="2" t="s">
        <v>2033</v>
      </c>
      <c r="B725" s="4">
        <v>46171.416666666664</v>
      </c>
      <c r="C725" s="2" t="s">
        <v>67</v>
      </c>
      <c r="D725" s="2" t="s">
        <v>68</v>
      </c>
      <c r="E725" s="2" t="s">
        <v>38</v>
      </c>
      <c r="F725" s="2" t="s">
        <v>113</v>
      </c>
      <c r="G725" s="2" t="s">
        <v>110</v>
      </c>
      <c r="H725" s="2" t="s">
        <v>21</v>
      </c>
      <c r="I725" s="2">
        <v>24</v>
      </c>
      <c r="J725" s="2" t="s">
        <v>75</v>
      </c>
      <c r="K725" s="4">
        <v>46172.224999999999</v>
      </c>
      <c r="L725" s="2" t="s">
        <v>24</v>
      </c>
      <c r="M725" s="2">
        <v>1</v>
      </c>
      <c r="N725" t="s">
        <v>8588</v>
      </c>
      <c r="O725" s="8">
        <f t="shared" si="22"/>
        <v>19.400000000023283</v>
      </c>
      <c r="P725" t="str">
        <f t="shared" si="23"/>
        <v>N/A</v>
      </c>
    </row>
    <row r="726" spans="1:16" x14ac:dyDescent="0.25">
      <c r="A726" s="2" t="s">
        <v>2036</v>
      </c>
      <c r="B726" s="4">
        <v>46251.895833333336</v>
      </c>
      <c r="C726" s="2" t="s">
        <v>16</v>
      </c>
      <c r="D726" s="2" t="s">
        <v>17</v>
      </c>
      <c r="E726" s="2" t="s">
        <v>38</v>
      </c>
      <c r="F726" s="2" t="s">
        <v>113</v>
      </c>
      <c r="G726" s="2" t="s">
        <v>110</v>
      </c>
      <c r="H726" s="2" t="s">
        <v>21</v>
      </c>
      <c r="I726" s="2">
        <v>24</v>
      </c>
      <c r="J726" s="2" t="s">
        <v>106</v>
      </c>
      <c r="K726" s="4">
        <v>46252.154166666667</v>
      </c>
      <c r="L726" s="2" t="s">
        <v>24</v>
      </c>
      <c r="M726" s="2">
        <v>1</v>
      </c>
      <c r="N726" t="s">
        <v>8583</v>
      </c>
      <c r="O726" s="8">
        <f t="shared" si="22"/>
        <v>6.1999999999534339</v>
      </c>
      <c r="P726" t="str">
        <f t="shared" si="23"/>
        <v>Yes</v>
      </c>
    </row>
    <row r="727" spans="1:16" x14ac:dyDescent="0.25">
      <c r="A727" s="2" t="s">
        <v>2039</v>
      </c>
      <c r="B727" s="4">
        <v>46079.746527777781</v>
      </c>
      <c r="C727" s="2" t="s">
        <v>16</v>
      </c>
      <c r="D727" s="2" t="s">
        <v>17</v>
      </c>
      <c r="E727" s="2" t="s">
        <v>148</v>
      </c>
      <c r="F727" s="2" t="s">
        <v>30</v>
      </c>
      <c r="G727" s="2" t="s">
        <v>101</v>
      </c>
      <c r="H727" s="2" t="s">
        <v>32</v>
      </c>
      <c r="I727" s="2">
        <v>48</v>
      </c>
      <c r="J727" s="2" t="s">
        <v>75</v>
      </c>
      <c r="K727" s="4">
        <v>46080.140277777777</v>
      </c>
      <c r="L727" s="2" t="s">
        <v>24</v>
      </c>
      <c r="M727" s="2"/>
      <c r="N727" t="s">
        <v>8584</v>
      </c>
      <c r="O727" s="8">
        <f t="shared" si="22"/>
        <v>9.4499999998952262</v>
      </c>
      <c r="P727" t="str">
        <f t="shared" si="23"/>
        <v>N/A</v>
      </c>
    </row>
    <row r="728" spans="1:16" x14ac:dyDescent="0.25">
      <c r="A728" s="2" t="s">
        <v>2042</v>
      </c>
      <c r="B728" s="4">
        <v>46062.474999999999</v>
      </c>
      <c r="C728" s="2" t="s">
        <v>28</v>
      </c>
      <c r="D728" s="2" t="s">
        <v>37</v>
      </c>
      <c r="E728" s="2" t="s">
        <v>18</v>
      </c>
      <c r="F728" s="2" t="s">
        <v>30</v>
      </c>
      <c r="G728" s="2" t="s">
        <v>101</v>
      </c>
      <c r="H728" s="2" t="s">
        <v>74</v>
      </c>
      <c r="I728" s="2">
        <v>8</v>
      </c>
      <c r="J728" s="2" t="s">
        <v>75</v>
      </c>
      <c r="K728" s="4">
        <v>46062.656944444447</v>
      </c>
      <c r="L728" s="2" t="s">
        <v>24</v>
      </c>
      <c r="M728" s="2">
        <v>5</v>
      </c>
      <c r="N728" t="s">
        <v>8588</v>
      </c>
      <c r="O728" s="8">
        <f t="shared" si="22"/>
        <v>4.3666666667559184</v>
      </c>
      <c r="P728" t="str">
        <f t="shared" si="23"/>
        <v>N/A</v>
      </c>
    </row>
    <row r="729" spans="1:16" x14ac:dyDescent="0.25">
      <c r="A729" s="2" t="s">
        <v>2045</v>
      </c>
      <c r="B729" s="4">
        <v>46185.676388888889</v>
      </c>
      <c r="C729" s="2" t="s">
        <v>16</v>
      </c>
      <c r="D729" s="2" t="s">
        <v>84</v>
      </c>
      <c r="E729" s="2" t="s">
        <v>46</v>
      </c>
      <c r="F729" s="2" t="s">
        <v>55</v>
      </c>
      <c r="G729" s="2" t="s">
        <v>183</v>
      </c>
      <c r="H729" s="2" t="s">
        <v>74</v>
      </c>
      <c r="I729" s="2">
        <v>8</v>
      </c>
      <c r="J729" s="2" t="s">
        <v>75</v>
      </c>
      <c r="K729" s="4">
        <v>46185.779166666667</v>
      </c>
      <c r="L729" s="2" t="s">
        <v>24</v>
      </c>
      <c r="M729" s="2"/>
      <c r="N729" t="s">
        <v>8582</v>
      </c>
      <c r="O729" s="8">
        <f t="shared" si="22"/>
        <v>2.4666666666744277</v>
      </c>
      <c r="P729" t="str">
        <f t="shared" si="23"/>
        <v>N/A</v>
      </c>
    </row>
    <row r="730" spans="1:16" x14ac:dyDescent="0.25">
      <c r="A730" s="2" t="s">
        <v>2048</v>
      </c>
      <c r="B730" s="4">
        <v>46247.18472222222</v>
      </c>
      <c r="C730" s="2" t="s">
        <v>67</v>
      </c>
      <c r="D730" s="2" t="s">
        <v>68</v>
      </c>
      <c r="E730" s="2" t="s">
        <v>85</v>
      </c>
      <c r="F730" s="2" t="s">
        <v>55</v>
      </c>
      <c r="G730" s="2" t="s">
        <v>31</v>
      </c>
      <c r="H730" s="2" t="s">
        <v>32</v>
      </c>
      <c r="I730" s="2">
        <v>48</v>
      </c>
      <c r="J730" s="2" t="s">
        <v>11</v>
      </c>
      <c r="K730" s="4" t="s">
        <v>8590</v>
      </c>
      <c r="L730" s="2" t="s">
        <v>92</v>
      </c>
      <c r="M730" s="2"/>
      <c r="N730" t="s">
        <v>8589</v>
      </c>
      <c r="O730" s="8" t="str">
        <f t="shared" si="22"/>
        <v/>
      </c>
      <c r="P730" t="str">
        <f t="shared" si="23"/>
        <v>N/A</v>
      </c>
    </row>
    <row r="731" spans="1:16" x14ac:dyDescent="0.25">
      <c r="A731" s="2" t="s">
        <v>2050</v>
      </c>
      <c r="B731" s="4">
        <v>46246.506944444445</v>
      </c>
      <c r="C731" s="2" t="s">
        <v>28</v>
      </c>
      <c r="D731" s="2" t="s">
        <v>37</v>
      </c>
      <c r="E731" s="2" t="s">
        <v>85</v>
      </c>
      <c r="F731" s="2" t="s">
        <v>55</v>
      </c>
      <c r="G731" s="2" t="s">
        <v>101</v>
      </c>
      <c r="H731" s="2" t="s">
        <v>32</v>
      </c>
      <c r="I731" s="2">
        <v>48</v>
      </c>
      <c r="J731" s="2" t="s">
        <v>149</v>
      </c>
      <c r="K731" s="4" t="s">
        <v>8590</v>
      </c>
      <c r="L731" s="2" t="s">
        <v>24</v>
      </c>
      <c r="M731" s="2"/>
      <c r="N731" t="s">
        <v>8587</v>
      </c>
      <c r="O731" s="8" t="str">
        <f t="shared" si="22"/>
        <v/>
      </c>
      <c r="P731" t="str">
        <f t="shared" si="23"/>
        <v>N/A</v>
      </c>
    </row>
    <row r="732" spans="1:16" x14ac:dyDescent="0.25">
      <c r="A732" s="2" t="s">
        <v>2052</v>
      </c>
      <c r="B732" s="4">
        <v>46152.629166666666</v>
      </c>
      <c r="C732" s="2" t="s">
        <v>53</v>
      </c>
      <c r="D732" s="2" t="s">
        <v>54</v>
      </c>
      <c r="E732" s="2" t="s">
        <v>148</v>
      </c>
      <c r="F732" s="2" t="s">
        <v>55</v>
      </c>
      <c r="G732" s="2" t="s">
        <v>179</v>
      </c>
      <c r="H732" s="2" t="s">
        <v>74</v>
      </c>
      <c r="I732" s="2">
        <v>8</v>
      </c>
      <c r="J732" s="2" t="s">
        <v>149</v>
      </c>
      <c r="K732" s="4" t="s">
        <v>8590</v>
      </c>
      <c r="L732" s="2" t="s">
        <v>24</v>
      </c>
      <c r="M732" s="2"/>
      <c r="N732" t="s">
        <v>8585</v>
      </c>
      <c r="O732" s="8" t="str">
        <f t="shared" si="22"/>
        <v/>
      </c>
      <c r="P732" t="str">
        <f t="shared" si="23"/>
        <v>N/A</v>
      </c>
    </row>
    <row r="733" spans="1:16" x14ac:dyDescent="0.25">
      <c r="A733" s="2" t="s">
        <v>2054</v>
      </c>
      <c r="B733" s="4">
        <v>46170.136111111111</v>
      </c>
      <c r="C733" s="2" t="s">
        <v>16</v>
      </c>
      <c r="D733" s="2" t="s">
        <v>84</v>
      </c>
      <c r="E733" s="2" t="s">
        <v>90</v>
      </c>
      <c r="F733" s="2" t="s">
        <v>96</v>
      </c>
      <c r="G733" s="2" t="s">
        <v>211</v>
      </c>
      <c r="H733" s="2" t="s">
        <v>32</v>
      </c>
      <c r="I733" s="2">
        <v>48</v>
      </c>
      <c r="J733" s="2" t="s">
        <v>106</v>
      </c>
      <c r="K733" s="4">
        <v>46171.441666666666</v>
      </c>
      <c r="L733" s="2" t="s">
        <v>24</v>
      </c>
      <c r="M733" s="2"/>
      <c r="N733" t="s">
        <v>8582</v>
      </c>
      <c r="O733" s="8">
        <f t="shared" si="22"/>
        <v>31.333333333313931</v>
      </c>
      <c r="P733" t="str">
        <f t="shared" si="23"/>
        <v>Yes</v>
      </c>
    </row>
    <row r="734" spans="1:16" x14ac:dyDescent="0.25">
      <c r="A734" s="2" t="s">
        <v>2057</v>
      </c>
      <c r="B734" s="4">
        <v>46207.686111111114</v>
      </c>
      <c r="C734" s="2" t="s">
        <v>53</v>
      </c>
      <c r="D734" s="2" t="s">
        <v>61</v>
      </c>
      <c r="E734" s="2" t="s">
        <v>85</v>
      </c>
      <c r="F734" s="2" t="s">
        <v>96</v>
      </c>
      <c r="G734" s="2" t="s">
        <v>179</v>
      </c>
      <c r="H734" s="2" t="s">
        <v>21</v>
      </c>
      <c r="I734" s="2">
        <v>24</v>
      </c>
      <c r="J734" s="2" t="s">
        <v>106</v>
      </c>
      <c r="K734" s="4">
        <v>46208.03125</v>
      </c>
      <c r="L734" s="2" t="s">
        <v>24</v>
      </c>
      <c r="M734" s="2">
        <v>5</v>
      </c>
      <c r="N734" t="s">
        <v>8584</v>
      </c>
      <c r="O734" s="8">
        <f t="shared" si="22"/>
        <v>8.2833333332673647</v>
      </c>
      <c r="P734" t="str">
        <f t="shared" si="23"/>
        <v>Yes</v>
      </c>
    </row>
    <row r="735" spans="1:16" x14ac:dyDescent="0.25">
      <c r="A735" s="2" t="s">
        <v>2060</v>
      </c>
      <c r="B735" s="4">
        <v>46078.940972222219</v>
      </c>
      <c r="C735" s="2" t="s">
        <v>28</v>
      </c>
      <c r="D735" s="2" t="s">
        <v>100</v>
      </c>
      <c r="E735" s="2" t="s">
        <v>46</v>
      </c>
      <c r="F735" s="2" t="s">
        <v>113</v>
      </c>
      <c r="G735" s="2" t="s">
        <v>211</v>
      </c>
      <c r="H735" s="2" t="s">
        <v>21</v>
      </c>
      <c r="I735" s="2">
        <v>24</v>
      </c>
      <c r="J735" s="2" t="s">
        <v>75</v>
      </c>
      <c r="K735" s="4">
        <v>46078.977777777778</v>
      </c>
      <c r="L735" s="2" t="s">
        <v>24</v>
      </c>
      <c r="M735" s="2">
        <v>1</v>
      </c>
      <c r="N735" t="s">
        <v>8589</v>
      </c>
      <c r="O735" s="8">
        <f t="shared" si="22"/>
        <v>0.88333333341870457</v>
      </c>
      <c r="P735" t="str">
        <f t="shared" si="23"/>
        <v>N/A</v>
      </c>
    </row>
    <row r="736" spans="1:16" x14ac:dyDescent="0.25">
      <c r="A736" s="2" t="s">
        <v>2063</v>
      </c>
      <c r="B736" s="4">
        <v>46131.32708333333</v>
      </c>
      <c r="C736" s="2" t="s">
        <v>67</v>
      </c>
      <c r="D736" s="2" t="s">
        <v>68</v>
      </c>
      <c r="E736" s="2" t="s">
        <v>148</v>
      </c>
      <c r="F736" s="2" t="s">
        <v>55</v>
      </c>
      <c r="G736" s="2" t="s">
        <v>211</v>
      </c>
      <c r="H736" s="2" t="s">
        <v>80</v>
      </c>
      <c r="I736" s="2">
        <v>4</v>
      </c>
      <c r="J736" s="2" t="s">
        <v>149</v>
      </c>
      <c r="K736" s="4" t="s">
        <v>8590</v>
      </c>
      <c r="L736" s="2" t="s">
        <v>24</v>
      </c>
      <c r="M736" s="2"/>
      <c r="N736" t="s">
        <v>8586</v>
      </c>
      <c r="O736" s="8" t="str">
        <f t="shared" si="22"/>
        <v/>
      </c>
      <c r="P736" t="str">
        <f t="shared" si="23"/>
        <v>N/A</v>
      </c>
    </row>
    <row r="737" spans="1:16" x14ac:dyDescent="0.25">
      <c r="A737" s="2" t="s">
        <v>2065</v>
      </c>
      <c r="B737" s="4">
        <v>46133.045138888891</v>
      </c>
      <c r="C737" s="2" t="s">
        <v>67</v>
      </c>
      <c r="D737" s="2" t="s">
        <v>95</v>
      </c>
      <c r="E737" s="2" t="s">
        <v>18</v>
      </c>
      <c r="F737" s="2" t="s">
        <v>55</v>
      </c>
      <c r="G737" s="2" t="s">
        <v>179</v>
      </c>
      <c r="H737" s="2" t="s">
        <v>21</v>
      </c>
      <c r="I737" s="2">
        <v>24</v>
      </c>
      <c r="J737" s="2" t="s">
        <v>106</v>
      </c>
      <c r="K737" s="4">
        <v>46134.604166666664</v>
      </c>
      <c r="L737" s="2" t="s">
        <v>24</v>
      </c>
      <c r="M737" s="2">
        <v>5</v>
      </c>
      <c r="N737" t="s">
        <v>8583</v>
      </c>
      <c r="O737" s="8">
        <f t="shared" si="22"/>
        <v>37.416666666569654</v>
      </c>
      <c r="P737" t="str">
        <f t="shared" si="23"/>
        <v>No</v>
      </c>
    </row>
    <row r="738" spans="1:16" x14ac:dyDescent="0.25">
      <c r="A738" s="2" t="s">
        <v>2068</v>
      </c>
      <c r="B738" s="4">
        <v>46156.594444444447</v>
      </c>
      <c r="C738" s="2" t="s">
        <v>53</v>
      </c>
      <c r="D738" s="2" t="s">
        <v>54</v>
      </c>
      <c r="E738" s="2" t="s">
        <v>148</v>
      </c>
      <c r="F738" s="2" t="s">
        <v>113</v>
      </c>
      <c r="G738" s="2" t="s">
        <v>110</v>
      </c>
      <c r="H738" s="2" t="s">
        <v>32</v>
      </c>
      <c r="I738" s="2">
        <v>48</v>
      </c>
      <c r="J738" s="2" t="s">
        <v>106</v>
      </c>
      <c r="K738" s="4">
        <v>46161.401388888888</v>
      </c>
      <c r="L738" s="2" t="s">
        <v>24</v>
      </c>
      <c r="M738" s="2">
        <v>5</v>
      </c>
      <c r="N738" t="s">
        <v>8584</v>
      </c>
      <c r="O738" s="8">
        <f t="shared" si="22"/>
        <v>115.3666666665813</v>
      </c>
      <c r="P738" t="str">
        <f t="shared" si="23"/>
        <v>No</v>
      </c>
    </row>
    <row r="739" spans="1:16" x14ac:dyDescent="0.25">
      <c r="A739" s="2" t="s">
        <v>2071</v>
      </c>
      <c r="B739" s="4">
        <v>46101.270833333336</v>
      </c>
      <c r="C739" s="2" t="s">
        <v>53</v>
      </c>
      <c r="D739" s="2" t="s">
        <v>54</v>
      </c>
      <c r="E739" s="2" t="s">
        <v>90</v>
      </c>
      <c r="F739" s="2" t="s">
        <v>30</v>
      </c>
      <c r="G739" s="2" t="s">
        <v>110</v>
      </c>
      <c r="H739" s="2" t="s">
        <v>74</v>
      </c>
      <c r="I739" s="2">
        <v>8</v>
      </c>
      <c r="J739" s="2" t="s">
        <v>11</v>
      </c>
      <c r="K739" s="4" t="s">
        <v>8590</v>
      </c>
      <c r="L739" s="2" t="s">
        <v>92</v>
      </c>
      <c r="M739" s="2"/>
      <c r="N739" t="s">
        <v>8586</v>
      </c>
      <c r="O739" s="8" t="str">
        <f t="shared" si="22"/>
        <v/>
      </c>
      <c r="P739" t="str">
        <f t="shared" si="23"/>
        <v>N/A</v>
      </c>
    </row>
    <row r="740" spans="1:16" x14ac:dyDescent="0.25">
      <c r="A740" s="2" t="s">
        <v>2073</v>
      </c>
      <c r="B740" s="4">
        <v>46160.243750000001</v>
      </c>
      <c r="C740" s="2" t="s">
        <v>67</v>
      </c>
      <c r="D740" s="2" t="s">
        <v>68</v>
      </c>
      <c r="E740" s="2" t="s">
        <v>18</v>
      </c>
      <c r="F740" s="2" t="s">
        <v>96</v>
      </c>
      <c r="G740" s="2" t="s">
        <v>179</v>
      </c>
      <c r="H740" s="2" t="s">
        <v>32</v>
      </c>
      <c r="I740" s="2">
        <v>48</v>
      </c>
      <c r="J740" s="2" t="s">
        <v>106</v>
      </c>
      <c r="K740" s="4">
        <v>46161.416666666664</v>
      </c>
      <c r="L740" s="2" t="s">
        <v>24</v>
      </c>
      <c r="M740" s="2">
        <v>5</v>
      </c>
      <c r="N740" t="s">
        <v>8588</v>
      </c>
      <c r="O740" s="8">
        <f t="shared" si="22"/>
        <v>28.149999999906868</v>
      </c>
      <c r="P740" t="str">
        <f t="shared" si="23"/>
        <v>Yes</v>
      </c>
    </row>
    <row r="741" spans="1:16" x14ac:dyDescent="0.25">
      <c r="A741" s="2" t="s">
        <v>2076</v>
      </c>
      <c r="B741" s="4">
        <v>46257.695138888892</v>
      </c>
      <c r="C741" s="2" t="s">
        <v>53</v>
      </c>
      <c r="D741" s="2" t="s">
        <v>61</v>
      </c>
      <c r="E741" s="2" t="s">
        <v>38</v>
      </c>
      <c r="F741" s="2" t="s">
        <v>55</v>
      </c>
      <c r="G741" s="2" t="s">
        <v>183</v>
      </c>
      <c r="H741" s="2" t="s">
        <v>21</v>
      </c>
      <c r="I741" s="2">
        <v>24</v>
      </c>
      <c r="J741" s="2" t="s">
        <v>149</v>
      </c>
      <c r="K741" s="4" t="s">
        <v>8590</v>
      </c>
      <c r="L741" s="2" t="s">
        <v>24</v>
      </c>
      <c r="M741" s="2"/>
      <c r="N741" t="s">
        <v>8583</v>
      </c>
      <c r="O741" s="8" t="str">
        <f t="shared" si="22"/>
        <v/>
      </c>
      <c r="P741" t="str">
        <f t="shared" si="23"/>
        <v>N/A</v>
      </c>
    </row>
    <row r="742" spans="1:16" x14ac:dyDescent="0.25">
      <c r="A742" s="2" t="s">
        <v>2078</v>
      </c>
      <c r="B742" s="4">
        <v>46153.53402777778</v>
      </c>
      <c r="C742" s="2" t="s">
        <v>67</v>
      </c>
      <c r="D742" s="2" t="s">
        <v>68</v>
      </c>
      <c r="E742" s="2" t="s">
        <v>85</v>
      </c>
      <c r="F742" s="2" t="s">
        <v>30</v>
      </c>
      <c r="G742" s="2" t="s">
        <v>101</v>
      </c>
      <c r="H742" s="2" t="s">
        <v>21</v>
      </c>
      <c r="I742" s="2">
        <v>24</v>
      </c>
      <c r="J742" s="2" t="s">
        <v>287</v>
      </c>
      <c r="K742" s="4" t="s">
        <v>8590</v>
      </c>
      <c r="L742" s="2" t="s">
        <v>24</v>
      </c>
      <c r="M742" s="2"/>
      <c r="N742" t="s">
        <v>8586</v>
      </c>
      <c r="O742" s="8" t="str">
        <f t="shared" si="22"/>
        <v/>
      </c>
      <c r="P742" t="str">
        <f t="shared" si="23"/>
        <v>N/A</v>
      </c>
    </row>
    <row r="743" spans="1:16" x14ac:dyDescent="0.25">
      <c r="A743" s="2" t="s">
        <v>2080</v>
      </c>
      <c r="B743" s="4">
        <v>46036.2</v>
      </c>
      <c r="C743" s="2" t="s">
        <v>28</v>
      </c>
      <c r="D743" s="2" t="s">
        <v>100</v>
      </c>
      <c r="E743" s="2" t="s">
        <v>46</v>
      </c>
      <c r="F743" s="2" t="s">
        <v>55</v>
      </c>
      <c r="G743" s="2" t="s">
        <v>183</v>
      </c>
      <c r="H743" s="2" t="s">
        <v>80</v>
      </c>
      <c r="I743" s="2">
        <v>4</v>
      </c>
      <c r="J743" s="2" t="s">
        <v>106</v>
      </c>
      <c r="K743" s="4">
        <v>46036.297222222223</v>
      </c>
      <c r="L743" s="2" t="s">
        <v>24</v>
      </c>
      <c r="M743" s="2">
        <v>5</v>
      </c>
      <c r="N743" t="s">
        <v>8589</v>
      </c>
      <c r="O743" s="8">
        <f t="shared" si="22"/>
        <v>2.3333333334303461</v>
      </c>
      <c r="P743" t="str">
        <f t="shared" si="23"/>
        <v>Yes</v>
      </c>
    </row>
    <row r="744" spans="1:16" x14ac:dyDescent="0.25">
      <c r="A744" s="2" t="s">
        <v>2083</v>
      </c>
      <c r="B744" s="4">
        <v>46207.605555555558</v>
      </c>
      <c r="C744" s="2" t="s">
        <v>28</v>
      </c>
      <c r="D744" s="2" t="s">
        <v>37</v>
      </c>
      <c r="E744" s="2" t="s">
        <v>18</v>
      </c>
      <c r="F744" s="2" t="s">
        <v>30</v>
      </c>
      <c r="G744" s="2" t="s">
        <v>31</v>
      </c>
      <c r="H744" s="2" t="s">
        <v>32</v>
      </c>
      <c r="I744" s="2">
        <v>48</v>
      </c>
      <c r="J744" s="2" t="s">
        <v>75</v>
      </c>
      <c r="K744" s="4">
        <v>46211.543749999997</v>
      </c>
      <c r="L744" s="2" t="s">
        <v>24</v>
      </c>
      <c r="M744" s="2">
        <v>4</v>
      </c>
      <c r="N744" t="s">
        <v>8585</v>
      </c>
      <c r="O744" s="8">
        <f t="shared" si="22"/>
        <v>94.516666666546371</v>
      </c>
      <c r="P744" t="str">
        <f t="shared" si="23"/>
        <v>N/A</v>
      </c>
    </row>
    <row r="745" spans="1:16" x14ac:dyDescent="0.25">
      <c r="A745" s="2" t="s">
        <v>2086</v>
      </c>
      <c r="B745" s="4">
        <v>46136.361805555556</v>
      </c>
      <c r="C745" s="2" t="s">
        <v>16</v>
      </c>
      <c r="D745" s="2" t="s">
        <v>17</v>
      </c>
      <c r="E745" s="2" t="s">
        <v>18</v>
      </c>
      <c r="F745" s="2" t="s">
        <v>30</v>
      </c>
      <c r="G745" s="2" t="s">
        <v>179</v>
      </c>
      <c r="H745" s="2" t="s">
        <v>80</v>
      </c>
      <c r="I745" s="2">
        <v>4</v>
      </c>
      <c r="J745" s="2" t="s">
        <v>106</v>
      </c>
      <c r="K745" s="4">
        <v>46136.463194444441</v>
      </c>
      <c r="L745" s="2" t="s">
        <v>92</v>
      </c>
      <c r="M745" s="2">
        <v>2</v>
      </c>
      <c r="N745" t="s">
        <v>8581</v>
      </c>
      <c r="O745" s="8">
        <f t="shared" si="22"/>
        <v>2.4333333332324401</v>
      </c>
      <c r="P745" t="str">
        <f t="shared" si="23"/>
        <v>Yes</v>
      </c>
    </row>
    <row r="746" spans="1:16" x14ac:dyDescent="0.25">
      <c r="A746" s="2" t="s">
        <v>2089</v>
      </c>
      <c r="B746" s="4">
        <v>46173.336111111108</v>
      </c>
      <c r="C746" s="2" t="s">
        <v>16</v>
      </c>
      <c r="D746" s="2" t="s">
        <v>84</v>
      </c>
      <c r="E746" s="2" t="s">
        <v>18</v>
      </c>
      <c r="F746" s="2" t="s">
        <v>55</v>
      </c>
      <c r="G746" s="2" t="s">
        <v>183</v>
      </c>
      <c r="H746" s="2" t="s">
        <v>32</v>
      </c>
      <c r="I746" s="2">
        <v>48</v>
      </c>
      <c r="J746" s="2" t="s">
        <v>149</v>
      </c>
      <c r="K746" s="4" t="s">
        <v>8590</v>
      </c>
      <c r="L746" s="2" t="s">
        <v>24</v>
      </c>
      <c r="M746" s="2"/>
      <c r="N746" t="s">
        <v>8587</v>
      </c>
      <c r="O746" s="8" t="str">
        <f t="shared" si="22"/>
        <v/>
      </c>
      <c r="P746" t="str">
        <f t="shared" si="23"/>
        <v>N/A</v>
      </c>
    </row>
    <row r="747" spans="1:16" x14ac:dyDescent="0.25">
      <c r="A747" s="2" t="s">
        <v>2091</v>
      </c>
      <c r="B747" s="4">
        <v>46235.113888888889</v>
      </c>
      <c r="C747" s="2" t="s">
        <v>53</v>
      </c>
      <c r="D747" s="2" t="s">
        <v>61</v>
      </c>
      <c r="E747" s="2" t="s">
        <v>46</v>
      </c>
      <c r="F747" s="2" t="s">
        <v>96</v>
      </c>
      <c r="G747" s="2" t="s">
        <v>211</v>
      </c>
      <c r="H747" s="2" t="s">
        <v>80</v>
      </c>
      <c r="I747" s="2">
        <v>4</v>
      </c>
      <c r="J747" s="2" t="s">
        <v>106</v>
      </c>
      <c r="K747" s="4">
        <v>46235.176388888889</v>
      </c>
      <c r="L747" s="2" t="s">
        <v>92</v>
      </c>
      <c r="M747" s="2">
        <v>5</v>
      </c>
      <c r="N747" t="s">
        <v>8584</v>
      </c>
      <c r="O747" s="8">
        <f t="shared" si="22"/>
        <v>1.5</v>
      </c>
      <c r="P747" t="str">
        <f t="shared" si="23"/>
        <v>Yes</v>
      </c>
    </row>
    <row r="748" spans="1:16" x14ac:dyDescent="0.25">
      <c r="A748" s="2" t="s">
        <v>2094</v>
      </c>
      <c r="B748" s="4">
        <v>46100.455555555556</v>
      </c>
      <c r="C748" s="2" t="s">
        <v>28</v>
      </c>
      <c r="D748" s="2" t="s">
        <v>37</v>
      </c>
      <c r="E748" s="2" t="s">
        <v>79</v>
      </c>
      <c r="F748" s="2" t="s">
        <v>55</v>
      </c>
      <c r="G748" s="2" t="s">
        <v>110</v>
      </c>
      <c r="H748" s="2" t="s">
        <v>74</v>
      </c>
      <c r="I748" s="2">
        <v>8</v>
      </c>
      <c r="J748" s="2" t="s">
        <v>106</v>
      </c>
      <c r="K748" s="4">
        <v>46101.129166666666</v>
      </c>
      <c r="L748" s="2" t="s">
        <v>24</v>
      </c>
      <c r="M748" s="2">
        <v>1</v>
      </c>
      <c r="N748" t="s">
        <v>8586</v>
      </c>
      <c r="O748" s="8">
        <f t="shared" si="22"/>
        <v>16.166666666627862</v>
      </c>
      <c r="P748" t="str">
        <f t="shared" si="23"/>
        <v>No</v>
      </c>
    </row>
    <row r="749" spans="1:16" x14ac:dyDescent="0.25">
      <c r="A749" s="2" t="s">
        <v>2097</v>
      </c>
      <c r="B749" s="4">
        <v>46129.754861111112</v>
      </c>
      <c r="C749" s="2" t="s">
        <v>28</v>
      </c>
      <c r="D749" s="2" t="s">
        <v>37</v>
      </c>
      <c r="E749" s="2" t="s">
        <v>18</v>
      </c>
      <c r="F749" s="2" t="s">
        <v>96</v>
      </c>
      <c r="G749" s="2" t="s">
        <v>179</v>
      </c>
      <c r="H749" s="2" t="s">
        <v>32</v>
      </c>
      <c r="I749" s="2">
        <v>48</v>
      </c>
      <c r="J749" s="2" t="s">
        <v>106</v>
      </c>
      <c r="K749" s="4">
        <v>46130.303472222222</v>
      </c>
      <c r="L749" s="2" t="s">
        <v>24</v>
      </c>
      <c r="M749" s="2">
        <v>5</v>
      </c>
      <c r="N749" t="s">
        <v>8584</v>
      </c>
      <c r="O749" s="8">
        <f t="shared" si="22"/>
        <v>13.166666666627862</v>
      </c>
      <c r="P749" t="str">
        <f t="shared" si="23"/>
        <v>Yes</v>
      </c>
    </row>
    <row r="750" spans="1:16" x14ac:dyDescent="0.25">
      <c r="A750" s="2" t="s">
        <v>2100</v>
      </c>
      <c r="B750" s="4">
        <v>46201.749305555553</v>
      </c>
      <c r="C750" s="2" t="s">
        <v>67</v>
      </c>
      <c r="D750" s="2" t="s">
        <v>68</v>
      </c>
      <c r="E750" s="2" t="s">
        <v>46</v>
      </c>
      <c r="F750" s="2" t="s">
        <v>96</v>
      </c>
      <c r="G750" s="2" t="s">
        <v>211</v>
      </c>
      <c r="H750" s="2" t="s">
        <v>32</v>
      </c>
      <c r="I750" s="2">
        <v>48</v>
      </c>
      <c r="J750" s="2" t="s">
        <v>287</v>
      </c>
      <c r="K750" s="4" t="s">
        <v>8590</v>
      </c>
      <c r="L750" s="2" t="s">
        <v>24</v>
      </c>
      <c r="M750" s="2"/>
      <c r="N750" t="s">
        <v>8587</v>
      </c>
      <c r="O750" s="8" t="str">
        <f t="shared" si="22"/>
        <v/>
      </c>
      <c r="P750" t="str">
        <f t="shared" si="23"/>
        <v>N/A</v>
      </c>
    </row>
    <row r="751" spans="1:16" x14ac:dyDescent="0.25">
      <c r="A751" s="2" t="s">
        <v>2102</v>
      </c>
      <c r="B751" s="4">
        <v>46240.54583333333</v>
      </c>
      <c r="C751" s="2" t="s">
        <v>28</v>
      </c>
      <c r="D751" s="2" t="s">
        <v>37</v>
      </c>
      <c r="E751" s="2" t="s">
        <v>38</v>
      </c>
      <c r="F751" s="2" t="s">
        <v>55</v>
      </c>
      <c r="G751" s="2" t="s">
        <v>183</v>
      </c>
      <c r="H751" s="2" t="s">
        <v>74</v>
      </c>
      <c r="I751" s="2">
        <v>8</v>
      </c>
      <c r="J751" s="2" t="s">
        <v>75</v>
      </c>
      <c r="K751" s="4">
        <v>46240.829861111109</v>
      </c>
      <c r="L751" s="2" t="s">
        <v>24</v>
      </c>
      <c r="M751" s="2">
        <v>4</v>
      </c>
      <c r="N751" t="s">
        <v>8584</v>
      </c>
      <c r="O751" s="8">
        <f t="shared" si="22"/>
        <v>6.8166666667093523</v>
      </c>
      <c r="P751" t="str">
        <f t="shared" si="23"/>
        <v>N/A</v>
      </c>
    </row>
    <row r="752" spans="1:16" x14ac:dyDescent="0.25">
      <c r="A752" s="2" t="s">
        <v>2105</v>
      </c>
      <c r="B752" s="4">
        <v>46083.283333333333</v>
      </c>
      <c r="C752" s="2" t="s">
        <v>16</v>
      </c>
      <c r="D752" s="2" t="s">
        <v>17</v>
      </c>
      <c r="E752" s="2" t="s">
        <v>79</v>
      </c>
      <c r="F752" s="2" t="s">
        <v>113</v>
      </c>
      <c r="G752" s="2" t="s">
        <v>110</v>
      </c>
      <c r="H752" s="2" t="s">
        <v>32</v>
      </c>
      <c r="I752" s="2">
        <v>48</v>
      </c>
      <c r="J752" s="2" t="s">
        <v>106</v>
      </c>
      <c r="K752" s="4">
        <v>46084.279166666667</v>
      </c>
      <c r="L752" s="2" t="s">
        <v>24</v>
      </c>
      <c r="M752" s="2">
        <v>3</v>
      </c>
      <c r="N752" t="s">
        <v>8587</v>
      </c>
      <c r="O752" s="8">
        <f t="shared" si="22"/>
        <v>23.900000000023283</v>
      </c>
      <c r="P752" t="str">
        <f t="shared" si="23"/>
        <v>Yes</v>
      </c>
    </row>
    <row r="753" spans="1:16" x14ac:dyDescent="0.25">
      <c r="A753" s="2" t="s">
        <v>2108</v>
      </c>
      <c r="B753" s="4">
        <v>46254.874305555553</v>
      </c>
      <c r="C753" s="2" t="s">
        <v>28</v>
      </c>
      <c r="D753" s="2" t="s">
        <v>37</v>
      </c>
      <c r="E753" s="2" t="s">
        <v>148</v>
      </c>
      <c r="F753" s="2" t="s">
        <v>96</v>
      </c>
      <c r="G753" s="2" t="s">
        <v>31</v>
      </c>
      <c r="H753" s="2" t="s">
        <v>74</v>
      </c>
      <c r="I753" s="2">
        <v>8</v>
      </c>
      <c r="J753" s="2" t="s">
        <v>149</v>
      </c>
      <c r="K753" s="4" t="s">
        <v>8590</v>
      </c>
      <c r="L753" s="2" t="s">
        <v>24</v>
      </c>
      <c r="M753" s="2"/>
      <c r="N753" t="s">
        <v>8586</v>
      </c>
      <c r="O753" s="8" t="str">
        <f t="shared" si="22"/>
        <v/>
      </c>
      <c r="P753" t="str">
        <f t="shared" si="23"/>
        <v>N/A</v>
      </c>
    </row>
    <row r="754" spans="1:16" x14ac:dyDescent="0.25">
      <c r="A754" s="2" t="s">
        <v>2110</v>
      </c>
      <c r="B754" s="4">
        <v>46098.618750000001</v>
      </c>
      <c r="C754" s="2" t="s">
        <v>67</v>
      </c>
      <c r="D754" s="2" t="s">
        <v>68</v>
      </c>
      <c r="E754" s="2" t="s">
        <v>46</v>
      </c>
      <c r="F754" s="2" t="s">
        <v>96</v>
      </c>
      <c r="G754" s="2" t="s">
        <v>101</v>
      </c>
      <c r="H754" s="2" t="s">
        <v>21</v>
      </c>
      <c r="I754" s="2">
        <v>24</v>
      </c>
      <c r="J754" s="2" t="s">
        <v>106</v>
      </c>
      <c r="K754" s="4">
        <v>46099.138194444444</v>
      </c>
      <c r="L754" s="2" t="s">
        <v>24</v>
      </c>
      <c r="M754" s="2">
        <v>5</v>
      </c>
      <c r="N754" t="s">
        <v>8589</v>
      </c>
      <c r="O754" s="8">
        <f t="shared" si="22"/>
        <v>12.46666666661622</v>
      </c>
      <c r="P754" t="str">
        <f t="shared" si="23"/>
        <v>Yes</v>
      </c>
    </row>
    <row r="755" spans="1:16" x14ac:dyDescent="0.25">
      <c r="A755" s="2" t="s">
        <v>2113</v>
      </c>
      <c r="B755" s="4">
        <v>46254.962500000001</v>
      </c>
      <c r="C755" s="2" t="s">
        <v>16</v>
      </c>
      <c r="D755" s="2" t="s">
        <v>84</v>
      </c>
      <c r="E755" s="2" t="s">
        <v>38</v>
      </c>
      <c r="F755" s="2" t="s">
        <v>30</v>
      </c>
      <c r="G755" s="2" t="s">
        <v>31</v>
      </c>
      <c r="H755" s="2" t="s">
        <v>21</v>
      </c>
      <c r="I755" s="2">
        <v>24</v>
      </c>
      <c r="J755" s="2" t="s">
        <v>106</v>
      </c>
      <c r="K755" s="4">
        <v>46255.838194444441</v>
      </c>
      <c r="L755" s="2" t="s">
        <v>24</v>
      </c>
      <c r="M755" s="2"/>
      <c r="N755" t="s">
        <v>8583</v>
      </c>
      <c r="O755" s="8">
        <f t="shared" si="22"/>
        <v>21.016666666546371</v>
      </c>
      <c r="P755" t="str">
        <f t="shared" si="23"/>
        <v>Yes</v>
      </c>
    </row>
    <row r="756" spans="1:16" x14ac:dyDescent="0.25">
      <c r="A756" s="2" t="s">
        <v>2116</v>
      </c>
      <c r="B756" s="4">
        <v>46099.593055555553</v>
      </c>
      <c r="C756" s="2" t="s">
        <v>28</v>
      </c>
      <c r="D756" s="2" t="s">
        <v>37</v>
      </c>
      <c r="E756" s="2" t="s">
        <v>85</v>
      </c>
      <c r="F756" s="2" t="s">
        <v>55</v>
      </c>
      <c r="G756" s="2" t="s">
        <v>183</v>
      </c>
      <c r="H756" s="2" t="s">
        <v>74</v>
      </c>
      <c r="I756" s="2">
        <v>8</v>
      </c>
      <c r="J756" s="2" t="s">
        <v>106</v>
      </c>
      <c r="K756" s="4">
        <v>46099.686805555553</v>
      </c>
      <c r="L756" s="2" t="s">
        <v>92</v>
      </c>
      <c r="M756" s="2"/>
      <c r="N756" t="s">
        <v>8585</v>
      </c>
      <c r="O756" s="8">
        <f t="shared" si="22"/>
        <v>2.25</v>
      </c>
      <c r="P756" t="str">
        <f t="shared" si="23"/>
        <v>Yes</v>
      </c>
    </row>
    <row r="757" spans="1:16" x14ac:dyDescent="0.25">
      <c r="A757" s="2" t="s">
        <v>2119</v>
      </c>
      <c r="B757" s="4">
        <v>46143.105555555558</v>
      </c>
      <c r="C757" s="2" t="s">
        <v>28</v>
      </c>
      <c r="D757" s="2" t="s">
        <v>37</v>
      </c>
      <c r="E757" s="2" t="s">
        <v>46</v>
      </c>
      <c r="F757" s="2" t="s">
        <v>55</v>
      </c>
      <c r="G757" s="2" t="s">
        <v>211</v>
      </c>
      <c r="H757" s="2" t="s">
        <v>21</v>
      </c>
      <c r="I757" s="2">
        <v>24</v>
      </c>
      <c r="J757" s="2" t="s">
        <v>75</v>
      </c>
      <c r="K757" s="4">
        <v>46143.477777777778</v>
      </c>
      <c r="L757" s="2" t="s">
        <v>24</v>
      </c>
      <c r="M757" s="2"/>
      <c r="N757" t="s">
        <v>8586</v>
      </c>
      <c r="O757" s="8">
        <f t="shared" si="22"/>
        <v>8.9333333332906477</v>
      </c>
      <c r="P757" t="str">
        <f t="shared" si="23"/>
        <v>N/A</v>
      </c>
    </row>
    <row r="758" spans="1:16" x14ac:dyDescent="0.25">
      <c r="A758" s="2" t="s">
        <v>2122</v>
      </c>
      <c r="B758" s="4">
        <v>46244.367361111108</v>
      </c>
      <c r="C758" s="2" t="s">
        <v>53</v>
      </c>
      <c r="D758" s="2" t="s">
        <v>54</v>
      </c>
      <c r="E758" s="2" t="s">
        <v>79</v>
      </c>
      <c r="F758" s="2" t="s">
        <v>113</v>
      </c>
      <c r="G758" s="2" t="s">
        <v>31</v>
      </c>
      <c r="H758" s="2" t="s">
        <v>74</v>
      </c>
      <c r="I758" s="2">
        <v>8</v>
      </c>
      <c r="J758" s="2" t="s">
        <v>75</v>
      </c>
      <c r="K758" s="4">
        <v>46244.635416666664</v>
      </c>
      <c r="L758" s="2" t="s">
        <v>24</v>
      </c>
      <c r="M758" s="2"/>
      <c r="N758" t="s">
        <v>8589</v>
      </c>
      <c r="O758" s="8">
        <f t="shared" si="22"/>
        <v>6.4333333333488554</v>
      </c>
      <c r="P758" t="str">
        <f t="shared" si="23"/>
        <v>N/A</v>
      </c>
    </row>
    <row r="759" spans="1:16" x14ac:dyDescent="0.25">
      <c r="A759" s="2" t="s">
        <v>2125</v>
      </c>
      <c r="B759" s="4">
        <v>46151.472222222219</v>
      </c>
      <c r="C759" s="2" t="s">
        <v>53</v>
      </c>
      <c r="D759" s="2" t="s">
        <v>54</v>
      </c>
      <c r="E759" s="2" t="s">
        <v>46</v>
      </c>
      <c r="F759" s="2" t="s">
        <v>113</v>
      </c>
      <c r="G759" s="2" t="s">
        <v>211</v>
      </c>
      <c r="H759" s="2" t="s">
        <v>74</v>
      </c>
      <c r="I759" s="2">
        <v>8</v>
      </c>
      <c r="J759" s="2" t="s">
        <v>75</v>
      </c>
      <c r="K759" s="4">
        <v>46151.70208333333</v>
      </c>
      <c r="L759" s="2" t="s">
        <v>24</v>
      </c>
      <c r="M759" s="2">
        <v>2</v>
      </c>
      <c r="N759" t="s">
        <v>8589</v>
      </c>
      <c r="O759" s="8">
        <f t="shared" si="22"/>
        <v>5.5166666666627862</v>
      </c>
      <c r="P759" t="str">
        <f t="shared" si="23"/>
        <v>N/A</v>
      </c>
    </row>
    <row r="760" spans="1:16" x14ac:dyDescent="0.25">
      <c r="A760" s="2" t="s">
        <v>2128</v>
      </c>
      <c r="B760" s="4">
        <v>46170.467361111114</v>
      </c>
      <c r="C760" s="2" t="s">
        <v>53</v>
      </c>
      <c r="D760" s="2" t="s">
        <v>61</v>
      </c>
      <c r="E760" s="2" t="s">
        <v>18</v>
      </c>
      <c r="F760" s="2" t="s">
        <v>113</v>
      </c>
      <c r="G760" s="2" t="s">
        <v>101</v>
      </c>
      <c r="H760" s="2" t="s">
        <v>74</v>
      </c>
      <c r="I760" s="2">
        <v>8</v>
      </c>
      <c r="J760" s="2" t="s">
        <v>75</v>
      </c>
      <c r="K760" s="4">
        <v>46170.563194444447</v>
      </c>
      <c r="L760" s="2" t="s">
        <v>24</v>
      </c>
      <c r="M760" s="2"/>
      <c r="N760" t="s">
        <v>8589</v>
      </c>
      <c r="O760" s="8">
        <f t="shared" si="22"/>
        <v>2.2999999999883585</v>
      </c>
      <c r="P760" t="str">
        <f t="shared" si="23"/>
        <v>N/A</v>
      </c>
    </row>
    <row r="761" spans="1:16" x14ac:dyDescent="0.25">
      <c r="A761" s="2" t="s">
        <v>2131</v>
      </c>
      <c r="B761" s="4">
        <v>46133.015972222223</v>
      </c>
      <c r="C761" s="2" t="s">
        <v>53</v>
      </c>
      <c r="D761" s="2" t="s">
        <v>61</v>
      </c>
      <c r="E761" s="2" t="s">
        <v>90</v>
      </c>
      <c r="F761" s="2" t="s">
        <v>96</v>
      </c>
      <c r="G761" s="2" t="s">
        <v>101</v>
      </c>
      <c r="H761" s="2" t="s">
        <v>21</v>
      </c>
      <c r="I761" s="2">
        <v>24</v>
      </c>
      <c r="J761" s="2" t="s">
        <v>149</v>
      </c>
      <c r="K761" s="4" t="s">
        <v>8590</v>
      </c>
      <c r="L761" s="2" t="s">
        <v>24</v>
      </c>
      <c r="M761" s="2"/>
      <c r="N761" t="s">
        <v>8586</v>
      </c>
      <c r="O761" s="8" t="str">
        <f t="shared" si="22"/>
        <v/>
      </c>
      <c r="P761" t="str">
        <f t="shared" si="23"/>
        <v>N/A</v>
      </c>
    </row>
    <row r="762" spans="1:16" x14ac:dyDescent="0.25">
      <c r="A762" s="2" t="s">
        <v>2133</v>
      </c>
      <c r="B762" s="4">
        <v>46249.087500000001</v>
      </c>
      <c r="C762" s="2" t="s">
        <v>16</v>
      </c>
      <c r="D762" s="2" t="s">
        <v>17</v>
      </c>
      <c r="E762" s="2" t="s">
        <v>18</v>
      </c>
      <c r="F762" s="2" t="s">
        <v>96</v>
      </c>
      <c r="G762" s="2" t="s">
        <v>101</v>
      </c>
      <c r="H762" s="2" t="s">
        <v>74</v>
      </c>
      <c r="I762" s="2">
        <v>8</v>
      </c>
      <c r="J762" s="2" t="s">
        <v>106</v>
      </c>
      <c r="K762" s="4">
        <v>46249.349305555559</v>
      </c>
      <c r="L762" s="2" t="s">
        <v>92</v>
      </c>
      <c r="M762" s="2">
        <v>5</v>
      </c>
      <c r="N762" t="s">
        <v>8589</v>
      </c>
      <c r="O762" s="8">
        <f t="shared" si="22"/>
        <v>6.28333333338378</v>
      </c>
      <c r="P762" t="str">
        <f t="shared" si="23"/>
        <v>Yes</v>
      </c>
    </row>
    <row r="763" spans="1:16" x14ac:dyDescent="0.25">
      <c r="A763" s="2" t="s">
        <v>2136</v>
      </c>
      <c r="B763" s="4">
        <v>46186.520138888889</v>
      </c>
      <c r="C763" s="2" t="s">
        <v>28</v>
      </c>
      <c r="D763" s="2" t="s">
        <v>100</v>
      </c>
      <c r="E763" s="2" t="s">
        <v>85</v>
      </c>
      <c r="F763" s="2" t="s">
        <v>113</v>
      </c>
      <c r="G763" s="2" t="s">
        <v>211</v>
      </c>
      <c r="H763" s="2" t="s">
        <v>32</v>
      </c>
      <c r="I763" s="2">
        <v>48</v>
      </c>
      <c r="J763" s="2" t="s">
        <v>287</v>
      </c>
      <c r="K763" s="4" t="s">
        <v>8590</v>
      </c>
      <c r="L763" s="2" t="s">
        <v>24</v>
      </c>
      <c r="M763" s="2"/>
      <c r="N763" t="s">
        <v>8583</v>
      </c>
      <c r="O763" s="8" t="str">
        <f t="shared" si="22"/>
        <v/>
      </c>
      <c r="P763" t="str">
        <f t="shared" si="23"/>
        <v>N/A</v>
      </c>
    </row>
    <row r="764" spans="1:16" x14ac:dyDescent="0.25">
      <c r="A764" s="2" t="s">
        <v>2138</v>
      </c>
      <c r="B764" s="4">
        <v>46030.02847222222</v>
      </c>
      <c r="C764" s="2" t="s">
        <v>53</v>
      </c>
      <c r="D764" s="2" t="s">
        <v>61</v>
      </c>
      <c r="E764" s="2" t="s">
        <v>18</v>
      </c>
      <c r="F764" s="2" t="s">
        <v>30</v>
      </c>
      <c r="G764" s="2" t="s">
        <v>101</v>
      </c>
      <c r="H764" s="2" t="s">
        <v>21</v>
      </c>
      <c r="I764" s="2">
        <v>24</v>
      </c>
      <c r="J764" s="2" t="s">
        <v>106</v>
      </c>
      <c r="K764" s="4">
        <v>46030.12222222222</v>
      </c>
      <c r="L764" s="2" t="s">
        <v>92</v>
      </c>
      <c r="M764" s="2">
        <v>5</v>
      </c>
      <c r="N764" t="s">
        <v>8582</v>
      </c>
      <c r="O764" s="8">
        <f t="shared" si="22"/>
        <v>2.25</v>
      </c>
      <c r="P764" t="str">
        <f t="shared" si="23"/>
        <v>Yes</v>
      </c>
    </row>
    <row r="765" spans="1:16" x14ac:dyDescent="0.25">
      <c r="A765" s="2" t="s">
        <v>2141</v>
      </c>
      <c r="B765" s="4">
        <v>46089.547222222223</v>
      </c>
      <c r="C765" s="2" t="s">
        <v>16</v>
      </c>
      <c r="D765" s="2" t="s">
        <v>17</v>
      </c>
      <c r="E765" s="2" t="s">
        <v>148</v>
      </c>
      <c r="F765" s="2" t="s">
        <v>30</v>
      </c>
      <c r="G765" s="2" t="s">
        <v>31</v>
      </c>
      <c r="H765" s="2" t="s">
        <v>21</v>
      </c>
      <c r="I765" s="2">
        <v>24</v>
      </c>
      <c r="J765" s="2" t="s">
        <v>106</v>
      </c>
      <c r="K765" s="4">
        <v>46092.487500000003</v>
      </c>
      <c r="L765" s="2" t="s">
        <v>24</v>
      </c>
      <c r="M765" s="2"/>
      <c r="N765" t="s">
        <v>8586</v>
      </c>
      <c r="O765" s="8">
        <f t="shared" si="22"/>
        <v>70.566666666709352</v>
      </c>
      <c r="P765" t="str">
        <f t="shared" si="23"/>
        <v>No</v>
      </c>
    </row>
    <row r="766" spans="1:16" x14ac:dyDescent="0.25">
      <c r="A766" s="2" t="s">
        <v>2144</v>
      </c>
      <c r="B766" s="4">
        <v>46250.632638888892</v>
      </c>
      <c r="C766" s="2" t="s">
        <v>16</v>
      </c>
      <c r="D766" s="2" t="s">
        <v>17</v>
      </c>
      <c r="E766" s="2" t="s">
        <v>18</v>
      </c>
      <c r="F766" s="2" t="s">
        <v>30</v>
      </c>
      <c r="G766" s="2" t="s">
        <v>110</v>
      </c>
      <c r="H766" s="2" t="s">
        <v>32</v>
      </c>
      <c r="I766" s="2">
        <v>48</v>
      </c>
      <c r="J766" s="2" t="s">
        <v>106</v>
      </c>
      <c r="K766" s="4">
        <v>46251.260416666664</v>
      </c>
      <c r="L766" s="2" t="s">
        <v>24</v>
      </c>
      <c r="M766" s="2">
        <v>4</v>
      </c>
      <c r="N766" t="s">
        <v>8584</v>
      </c>
      <c r="O766" s="8">
        <f t="shared" si="22"/>
        <v>15.066666666534729</v>
      </c>
      <c r="P766" t="str">
        <f t="shared" si="23"/>
        <v>Yes</v>
      </c>
    </row>
    <row r="767" spans="1:16" x14ac:dyDescent="0.25">
      <c r="A767" s="2" t="s">
        <v>2147</v>
      </c>
      <c r="B767" s="4">
        <v>46151.49722222222</v>
      </c>
      <c r="C767" s="2" t="s">
        <v>67</v>
      </c>
      <c r="D767" s="2" t="s">
        <v>68</v>
      </c>
      <c r="E767" s="2" t="s">
        <v>46</v>
      </c>
      <c r="F767" s="2" t="s">
        <v>55</v>
      </c>
      <c r="G767" s="2" t="s">
        <v>211</v>
      </c>
      <c r="H767" s="2" t="s">
        <v>74</v>
      </c>
      <c r="I767" s="2">
        <v>8</v>
      </c>
      <c r="J767" s="2" t="s">
        <v>8580</v>
      </c>
      <c r="K767" s="4">
        <v>46151.711111111108</v>
      </c>
      <c r="L767" s="2" t="s">
        <v>24</v>
      </c>
      <c r="M767" s="2"/>
      <c r="N767" t="s">
        <v>8588</v>
      </c>
      <c r="O767" s="8">
        <f t="shared" si="22"/>
        <v>5.1333333333022892</v>
      </c>
      <c r="P767" t="str">
        <f t="shared" si="23"/>
        <v>N/A</v>
      </c>
    </row>
    <row r="768" spans="1:16" x14ac:dyDescent="0.25">
      <c r="A768" s="2" t="s">
        <v>2150</v>
      </c>
      <c r="B768" s="4">
        <v>46193.378472222219</v>
      </c>
      <c r="C768" s="2" t="s">
        <v>53</v>
      </c>
      <c r="D768" s="2" t="s">
        <v>54</v>
      </c>
      <c r="E768" s="2" t="s">
        <v>18</v>
      </c>
      <c r="F768" s="2" t="s">
        <v>55</v>
      </c>
      <c r="G768" s="2" t="s">
        <v>211</v>
      </c>
      <c r="H768" s="2" t="s">
        <v>21</v>
      </c>
      <c r="I768" s="2">
        <v>24</v>
      </c>
      <c r="J768" s="2" t="s">
        <v>106</v>
      </c>
      <c r="K768" s="4">
        <v>46194.097222222219</v>
      </c>
      <c r="L768" s="2" t="s">
        <v>24</v>
      </c>
      <c r="M768" s="2"/>
      <c r="N768" t="s">
        <v>8589</v>
      </c>
      <c r="O768" s="8">
        <f t="shared" si="22"/>
        <v>17.25</v>
      </c>
      <c r="P768" t="str">
        <f t="shared" si="23"/>
        <v>Yes</v>
      </c>
    </row>
    <row r="769" spans="1:16" x14ac:dyDescent="0.25">
      <c r="A769" s="2" t="s">
        <v>2153</v>
      </c>
      <c r="B769" s="4">
        <v>46210.888888888891</v>
      </c>
      <c r="C769" s="2" t="s">
        <v>16</v>
      </c>
      <c r="D769" s="2" t="s">
        <v>17</v>
      </c>
      <c r="E769" s="2" t="s">
        <v>46</v>
      </c>
      <c r="F769" s="2" t="s">
        <v>30</v>
      </c>
      <c r="G769" s="2" t="s">
        <v>101</v>
      </c>
      <c r="H769" s="2" t="s">
        <v>32</v>
      </c>
      <c r="I769" s="2">
        <v>48</v>
      </c>
      <c r="J769" s="2" t="s">
        <v>287</v>
      </c>
      <c r="K769" s="4" t="s">
        <v>8590</v>
      </c>
      <c r="L769" s="2" t="s">
        <v>24</v>
      </c>
      <c r="M769" s="2"/>
      <c r="N769" t="s">
        <v>8589</v>
      </c>
      <c r="O769" s="8" t="str">
        <f t="shared" si="22"/>
        <v/>
      </c>
      <c r="P769" t="str">
        <f t="shared" si="23"/>
        <v>N/A</v>
      </c>
    </row>
    <row r="770" spans="1:16" x14ac:dyDescent="0.25">
      <c r="A770" s="2" t="s">
        <v>2155</v>
      </c>
      <c r="B770" s="4">
        <v>46085.612500000003</v>
      </c>
      <c r="C770" s="2" t="s">
        <v>28</v>
      </c>
      <c r="D770" s="2" t="s">
        <v>100</v>
      </c>
      <c r="E770" s="2" t="s">
        <v>79</v>
      </c>
      <c r="F770" s="2" t="s">
        <v>96</v>
      </c>
      <c r="G770" s="2" t="s">
        <v>183</v>
      </c>
      <c r="H770" s="2" t="s">
        <v>21</v>
      </c>
      <c r="I770" s="2">
        <v>24</v>
      </c>
      <c r="J770" s="2" t="s">
        <v>149</v>
      </c>
      <c r="K770" s="4" t="s">
        <v>8590</v>
      </c>
      <c r="L770" s="2" t="s">
        <v>24</v>
      </c>
      <c r="M770" s="2"/>
      <c r="N770" t="s">
        <v>8585</v>
      </c>
      <c r="O770" s="8" t="str">
        <f t="shared" si="22"/>
        <v/>
      </c>
      <c r="P770" t="str">
        <f t="shared" si="23"/>
        <v>N/A</v>
      </c>
    </row>
    <row r="771" spans="1:16" x14ac:dyDescent="0.25">
      <c r="A771" s="2" t="s">
        <v>2157</v>
      </c>
      <c r="B771" s="4">
        <v>46258.243055555555</v>
      </c>
      <c r="C771" s="2" t="s">
        <v>28</v>
      </c>
      <c r="D771" s="2" t="s">
        <v>100</v>
      </c>
      <c r="E771" s="2" t="s">
        <v>38</v>
      </c>
      <c r="F771" s="2" t="s">
        <v>113</v>
      </c>
      <c r="G771" s="2" t="s">
        <v>211</v>
      </c>
      <c r="H771" s="2" t="s">
        <v>74</v>
      </c>
      <c r="I771" s="2">
        <v>8</v>
      </c>
      <c r="J771" s="2" t="s">
        <v>106</v>
      </c>
      <c r="K771" s="4">
        <v>46259.023611111108</v>
      </c>
      <c r="L771" s="2" t="s">
        <v>24</v>
      </c>
      <c r="M771" s="2"/>
      <c r="N771" t="s">
        <v>8584</v>
      </c>
      <c r="O771" s="8">
        <f t="shared" ref="O771:O834" si="24">IF(K771="","",IF(K771="Missing Resolve Date","",(K771-B771)*24))</f>
        <v>18.733333333279006</v>
      </c>
      <c r="P771" t="str">
        <f t="shared" ref="P771:P834" si="25">IF(J771="Resolved",IF(O771&lt;=I771,"Yes","No"),"N/A")</f>
        <v>No</v>
      </c>
    </row>
    <row r="772" spans="1:16" x14ac:dyDescent="0.25">
      <c r="A772" s="2" t="s">
        <v>2160</v>
      </c>
      <c r="B772" s="4">
        <v>46181.10833333333</v>
      </c>
      <c r="C772" s="2" t="s">
        <v>28</v>
      </c>
      <c r="D772" s="2" t="s">
        <v>100</v>
      </c>
      <c r="E772" s="2" t="s">
        <v>46</v>
      </c>
      <c r="F772" s="2" t="s">
        <v>55</v>
      </c>
      <c r="G772" s="2" t="s">
        <v>211</v>
      </c>
      <c r="H772" s="2" t="s">
        <v>32</v>
      </c>
      <c r="I772" s="2">
        <v>48</v>
      </c>
      <c r="J772" s="2" t="s">
        <v>75</v>
      </c>
      <c r="K772" s="4">
        <v>46185.623611111114</v>
      </c>
      <c r="L772" s="2" t="s">
        <v>24</v>
      </c>
      <c r="M772" s="2"/>
      <c r="N772" t="s">
        <v>8588</v>
      </c>
      <c r="O772" s="8">
        <f t="shared" si="24"/>
        <v>108.36666666681413</v>
      </c>
      <c r="P772" t="str">
        <f t="shared" si="25"/>
        <v>N/A</v>
      </c>
    </row>
    <row r="773" spans="1:16" x14ac:dyDescent="0.25">
      <c r="A773" s="2" t="s">
        <v>2163</v>
      </c>
      <c r="B773" s="4">
        <v>46234.311111111114</v>
      </c>
      <c r="C773" s="2" t="s">
        <v>67</v>
      </c>
      <c r="D773" s="2" t="s">
        <v>68</v>
      </c>
      <c r="E773" s="2" t="s">
        <v>85</v>
      </c>
      <c r="F773" s="2" t="s">
        <v>55</v>
      </c>
      <c r="G773" s="2" t="s">
        <v>211</v>
      </c>
      <c r="H773" s="2" t="s">
        <v>32</v>
      </c>
      <c r="I773" s="2">
        <v>48</v>
      </c>
      <c r="J773" s="2" t="s">
        <v>287</v>
      </c>
      <c r="K773" s="4" t="s">
        <v>8590</v>
      </c>
      <c r="L773" s="2" t="s">
        <v>24</v>
      </c>
      <c r="M773" s="2"/>
      <c r="N773" t="s">
        <v>8588</v>
      </c>
      <c r="O773" s="8" t="str">
        <f t="shared" si="24"/>
        <v/>
      </c>
      <c r="P773" t="str">
        <f t="shared" si="25"/>
        <v>N/A</v>
      </c>
    </row>
    <row r="774" spans="1:16" x14ac:dyDescent="0.25">
      <c r="A774" s="2" t="s">
        <v>2165</v>
      </c>
      <c r="B774" s="4">
        <v>46242.341666666667</v>
      </c>
      <c r="C774" s="2" t="s">
        <v>67</v>
      </c>
      <c r="D774" s="2" t="s">
        <v>95</v>
      </c>
      <c r="E774" s="2" t="s">
        <v>46</v>
      </c>
      <c r="F774" s="2" t="s">
        <v>55</v>
      </c>
      <c r="G774" s="2" t="s">
        <v>179</v>
      </c>
      <c r="H774" s="2" t="s">
        <v>74</v>
      </c>
      <c r="I774" s="2">
        <v>8</v>
      </c>
      <c r="J774" s="2" t="s">
        <v>75</v>
      </c>
      <c r="K774" s="4">
        <v>46242.585416666669</v>
      </c>
      <c r="L774" s="2" t="s">
        <v>24</v>
      </c>
      <c r="M774" s="2">
        <v>1</v>
      </c>
      <c r="N774" t="s">
        <v>8583</v>
      </c>
      <c r="O774" s="8">
        <f t="shared" si="24"/>
        <v>5.8500000000349246</v>
      </c>
      <c r="P774" t="str">
        <f t="shared" si="25"/>
        <v>N/A</v>
      </c>
    </row>
    <row r="775" spans="1:16" x14ac:dyDescent="0.25">
      <c r="A775" s="2" t="s">
        <v>2168</v>
      </c>
      <c r="B775" s="4">
        <v>46116.836805555555</v>
      </c>
      <c r="C775" s="2" t="s">
        <v>53</v>
      </c>
      <c r="D775" s="2" t="s">
        <v>61</v>
      </c>
      <c r="E775" s="2" t="s">
        <v>38</v>
      </c>
      <c r="F775" s="2" t="s">
        <v>113</v>
      </c>
      <c r="G775" s="2" t="s">
        <v>211</v>
      </c>
      <c r="H775" s="2" t="s">
        <v>80</v>
      </c>
      <c r="I775" s="2">
        <v>4</v>
      </c>
      <c r="J775" s="2" t="s">
        <v>149</v>
      </c>
      <c r="K775" s="4" t="s">
        <v>8590</v>
      </c>
      <c r="L775" s="2" t="s">
        <v>24</v>
      </c>
      <c r="M775" s="2"/>
      <c r="N775" t="s">
        <v>8584</v>
      </c>
      <c r="O775" s="8" t="str">
        <f t="shared" si="24"/>
        <v/>
      </c>
      <c r="P775" t="str">
        <f t="shared" si="25"/>
        <v>N/A</v>
      </c>
    </row>
    <row r="776" spans="1:16" x14ac:dyDescent="0.25">
      <c r="A776" s="2" t="s">
        <v>2170</v>
      </c>
      <c r="B776" s="4">
        <v>46247.494444444441</v>
      </c>
      <c r="C776" s="2" t="s">
        <v>28</v>
      </c>
      <c r="D776" s="2" t="s">
        <v>100</v>
      </c>
      <c r="E776" s="2" t="s">
        <v>85</v>
      </c>
      <c r="F776" s="2" t="s">
        <v>30</v>
      </c>
      <c r="G776" s="2" t="s">
        <v>110</v>
      </c>
      <c r="H776" s="2" t="s">
        <v>74</v>
      </c>
      <c r="I776" s="2">
        <v>8</v>
      </c>
      <c r="J776" s="2" t="s">
        <v>75</v>
      </c>
      <c r="K776" s="4">
        <v>46247.709027777775</v>
      </c>
      <c r="L776" s="2" t="s">
        <v>24</v>
      </c>
      <c r="M776" s="2">
        <v>1</v>
      </c>
      <c r="N776" t="s">
        <v>8581</v>
      </c>
      <c r="O776" s="8">
        <f t="shared" si="24"/>
        <v>5.1500000000232831</v>
      </c>
      <c r="P776" t="str">
        <f t="shared" si="25"/>
        <v>N/A</v>
      </c>
    </row>
    <row r="777" spans="1:16" x14ac:dyDescent="0.25">
      <c r="A777" s="2" t="s">
        <v>2173</v>
      </c>
      <c r="B777" s="4">
        <v>46250.409722222219</v>
      </c>
      <c r="C777" s="2" t="s">
        <v>53</v>
      </c>
      <c r="D777" s="2" t="s">
        <v>54</v>
      </c>
      <c r="E777" s="2" t="s">
        <v>79</v>
      </c>
      <c r="F777" s="2" t="s">
        <v>113</v>
      </c>
      <c r="G777" s="2" t="s">
        <v>110</v>
      </c>
      <c r="H777" s="2" t="s">
        <v>21</v>
      </c>
      <c r="I777" s="2">
        <v>24</v>
      </c>
      <c r="J777" s="2" t="s">
        <v>75</v>
      </c>
      <c r="K777" s="4">
        <v>46251.925000000003</v>
      </c>
      <c r="L777" s="2" t="s">
        <v>92</v>
      </c>
      <c r="M777" s="2">
        <v>5</v>
      </c>
      <c r="N777" t="s">
        <v>8583</v>
      </c>
      <c r="O777" s="8">
        <f t="shared" si="24"/>
        <v>36.366666666814126</v>
      </c>
      <c r="P777" t="str">
        <f t="shared" si="25"/>
        <v>N/A</v>
      </c>
    </row>
    <row r="778" spans="1:16" x14ac:dyDescent="0.25">
      <c r="A778" s="2" t="s">
        <v>2176</v>
      </c>
      <c r="B778" s="4">
        <v>46205.818055555559</v>
      </c>
      <c r="C778" s="2" t="s">
        <v>67</v>
      </c>
      <c r="D778" s="2" t="s">
        <v>95</v>
      </c>
      <c r="E778" s="2" t="s">
        <v>46</v>
      </c>
      <c r="F778" s="2" t="s">
        <v>113</v>
      </c>
      <c r="G778" s="2" t="s">
        <v>110</v>
      </c>
      <c r="H778" s="2" t="s">
        <v>21</v>
      </c>
      <c r="I778" s="2">
        <v>24</v>
      </c>
      <c r="J778" s="2" t="s">
        <v>75</v>
      </c>
      <c r="K778" s="4">
        <v>46206.667361111111</v>
      </c>
      <c r="L778" s="2" t="s">
        <v>24</v>
      </c>
      <c r="M778" s="2">
        <v>5</v>
      </c>
      <c r="N778" t="s">
        <v>8588</v>
      </c>
      <c r="O778" s="8">
        <f t="shared" si="24"/>
        <v>20.383333333244082</v>
      </c>
      <c r="P778" t="str">
        <f t="shared" si="25"/>
        <v>N/A</v>
      </c>
    </row>
    <row r="779" spans="1:16" x14ac:dyDescent="0.25">
      <c r="A779" s="2" t="s">
        <v>2179</v>
      </c>
      <c r="B779" s="4">
        <v>46134.095833333333</v>
      </c>
      <c r="C779" s="2" t="s">
        <v>16</v>
      </c>
      <c r="D779" s="2" t="s">
        <v>84</v>
      </c>
      <c r="E779" s="2" t="s">
        <v>38</v>
      </c>
      <c r="F779" s="2" t="s">
        <v>30</v>
      </c>
      <c r="G779" s="2" t="s">
        <v>101</v>
      </c>
      <c r="H779" s="2" t="s">
        <v>21</v>
      </c>
      <c r="I779" s="2">
        <v>24</v>
      </c>
      <c r="J779" s="2" t="s">
        <v>106</v>
      </c>
      <c r="K779" s="4">
        <v>46134.683333333334</v>
      </c>
      <c r="L779" s="2" t="s">
        <v>24</v>
      </c>
      <c r="M779" s="2">
        <v>5</v>
      </c>
      <c r="N779" t="s">
        <v>8587</v>
      </c>
      <c r="O779" s="8">
        <f t="shared" si="24"/>
        <v>14.100000000034925</v>
      </c>
      <c r="P779" t="str">
        <f t="shared" si="25"/>
        <v>Yes</v>
      </c>
    </row>
    <row r="780" spans="1:16" x14ac:dyDescent="0.25">
      <c r="A780" s="2" t="s">
        <v>2182</v>
      </c>
      <c r="B780" s="4">
        <v>46225.011805555558</v>
      </c>
      <c r="C780" s="2" t="s">
        <v>16</v>
      </c>
      <c r="D780" s="2" t="s">
        <v>17</v>
      </c>
      <c r="E780" s="2" t="s">
        <v>85</v>
      </c>
      <c r="F780" s="2" t="s">
        <v>96</v>
      </c>
      <c r="G780" s="2" t="s">
        <v>211</v>
      </c>
      <c r="H780" s="2" t="s">
        <v>74</v>
      </c>
      <c r="I780" s="2">
        <v>8</v>
      </c>
      <c r="J780" s="2" t="s">
        <v>106</v>
      </c>
      <c r="K780" s="4">
        <v>46225.251388888886</v>
      </c>
      <c r="L780" s="2" t="s">
        <v>24</v>
      </c>
      <c r="M780" s="2">
        <v>1</v>
      </c>
      <c r="N780" t="s">
        <v>8588</v>
      </c>
      <c r="O780" s="8">
        <f t="shared" si="24"/>
        <v>5.7499999998835847</v>
      </c>
      <c r="P780" t="str">
        <f t="shared" si="25"/>
        <v>Yes</v>
      </c>
    </row>
    <row r="781" spans="1:16" x14ac:dyDescent="0.25">
      <c r="A781" s="2" t="s">
        <v>2185</v>
      </c>
      <c r="B781" s="4">
        <v>46218.867361111108</v>
      </c>
      <c r="C781" s="2" t="s">
        <v>53</v>
      </c>
      <c r="D781" s="2" t="s">
        <v>61</v>
      </c>
      <c r="E781" s="2" t="s">
        <v>85</v>
      </c>
      <c r="F781" s="2" t="s">
        <v>55</v>
      </c>
      <c r="G781" s="2" t="s">
        <v>183</v>
      </c>
      <c r="H781" s="2" t="s">
        <v>32</v>
      </c>
      <c r="I781" s="2">
        <v>48</v>
      </c>
      <c r="J781" s="2" t="s">
        <v>11</v>
      </c>
      <c r="K781" s="4" t="s">
        <v>8590</v>
      </c>
      <c r="L781" s="2" t="s">
        <v>92</v>
      </c>
      <c r="M781" s="2"/>
      <c r="N781" t="s">
        <v>8586</v>
      </c>
      <c r="O781" s="8" t="str">
        <f t="shared" si="24"/>
        <v/>
      </c>
      <c r="P781" t="str">
        <f t="shared" si="25"/>
        <v>N/A</v>
      </c>
    </row>
    <row r="782" spans="1:16" x14ac:dyDescent="0.25">
      <c r="A782" s="2" t="s">
        <v>2187</v>
      </c>
      <c r="B782" s="4">
        <v>46237.240972222222</v>
      </c>
      <c r="C782" s="2" t="s">
        <v>67</v>
      </c>
      <c r="D782" s="2" t="s">
        <v>68</v>
      </c>
      <c r="E782" s="2" t="s">
        <v>18</v>
      </c>
      <c r="F782" s="2" t="s">
        <v>30</v>
      </c>
      <c r="G782" s="2" t="s">
        <v>211</v>
      </c>
      <c r="H782" s="2" t="s">
        <v>32</v>
      </c>
      <c r="I782" s="2">
        <v>48</v>
      </c>
      <c r="J782" s="2" t="s">
        <v>106</v>
      </c>
      <c r="K782" s="4">
        <v>46238.064583333333</v>
      </c>
      <c r="L782" s="2" t="s">
        <v>24</v>
      </c>
      <c r="M782" s="2"/>
      <c r="N782" t="s">
        <v>8581</v>
      </c>
      <c r="O782" s="8">
        <f t="shared" si="24"/>
        <v>19.766666666662786</v>
      </c>
      <c r="P782" t="str">
        <f t="shared" si="25"/>
        <v>Yes</v>
      </c>
    </row>
    <row r="783" spans="1:16" x14ac:dyDescent="0.25">
      <c r="A783" s="2" t="s">
        <v>2190</v>
      </c>
      <c r="B783" s="4">
        <v>46044.779166666667</v>
      </c>
      <c r="C783" s="2" t="s">
        <v>28</v>
      </c>
      <c r="D783" s="2" t="s">
        <v>37</v>
      </c>
      <c r="E783" s="2" t="s">
        <v>46</v>
      </c>
      <c r="F783" s="2" t="s">
        <v>55</v>
      </c>
      <c r="G783" s="2" t="s">
        <v>183</v>
      </c>
      <c r="H783" s="2" t="s">
        <v>74</v>
      </c>
      <c r="I783" s="2">
        <v>8</v>
      </c>
      <c r="J783" s="2" t="s">
        <v>75</v>
      </c>
      <c r="K783" s="4">
        <v>46044.824999999997</v>
      </c>
      <c r="L783" s="2" t="s">
        <v>24</v>
      </c>
      <c r="M783" s="2"/>
      <c r="N783" t="s">
        <v>8587</v>
      </c>
      <c r="O783" s="8">
        <f t="shared" si="24"/>
        <v>1.0999999999185093</v>
      </c>
      <c r="P783" t="str">
        <f t="shared" si="25"/>
        <v>N/A</v>
      </c>
    </row>
    <row r="784" spans="1:16" x14ac:dyDescent="0.25">
      <c r="A784" s="2" t="s">
        <v>2193</v>
      </c>
      <c r="B784" s="4">
        <v>46230.65</v>
      </c>
      <c r="C784" s="2" t="s">
        <v>28</v>
      </c>
      <c r="D784" s="2" t="s">
        <v>100</v>
      </c>
      <c r="E784" s="2" t="s">
        <v>85</v>
      </c>
      <c r="F784" s="2" t="s">
        <v>55</v>
      </c>
      <c r="G784" s="2" t="s">
        <v>31</v>
      </c>
      <c r="H784" s="2" t="s">
        <v>74</v>
      </c>
      <c r="I784" s="2">
        <v>8</v>
      </c>
      <c r="J784" s="2" t="s">
        <v>75</v>
      </c>
      <c r="K784" s="4">
        <v>46230.838194444441</v>
      </c>
      <c r="L784" s="2" t="s">
        <v>24</v>
      </c>
      <c r="M784" s="2"/>
      <c r="N784" t="s">
        <v>8583</v>
      </c>
      <c r="O784" s="8">
        <f t="shared" si="24"/>
        <v>4.5166666665463708</v>
      </c>
      <c r="P784" t="str">
        <f t="shared" si="25"/>
        <v>N/A</v>
      </c>
    </row>
    <row r="785" spans="1:16" x14ac:dyDescent="0.25">
      <c r="A785" s="2" t="s">
        <v>2196</v>
      </c>
      <c r="B785" s="4">
        <v>46119.530555555553</v>
      </c>
      <c r="C785" s="2" t="s">
        <v>28</v>
      </c>
      <c r="D785" s="2" t="s">
        <v>37</v>
      </c>
      <c r="E785" s="2" t="s">
        <v>85</v>
      </c>
      <c r="F785" s="2" t="s">
        <v>55</v>
      </c>
      <c r="G785" s="2" t="s">
        <v>179</v>
      </c>
      <c r="H785" s="2" t="s">
        <v>21</v>
      </c>
      <c r="I785" s="2">
        <v>24</v>
      </c>
      <c r="J785" s="2" t="s">
        <v>106</v>
      </c>
      <c r="K785" s="4">
        <v>46120.385416666664</v>
      </c>
      <c r="L785" s="2" t="s">
        <v>24</v>
      </c>
      <c r="M785" s="2">
        <v>4</v>
      </c>
      <c r="N785" t="s">
        <v>8581</v>
      </c>
      <c r="O785" s="8">
        <f t="shared" si="24"/>
        <v>20.516666666662786</v>
      </c>
      <c r="P785" t="str">
        <f t="shared" si="25"/>
        <v>Yes</v>
      </c>
    </row>
    <row r="786" spans="1:16" x14ac:dyDescent="0.25">
      <c r="A786" s="2" t="s">
        <v>2199</v>
      </c>
      <c r="B786" s="4">
        <v>46217.998611111114</v>
      </c>
      <c r="C786" s="2" t="s">
        <v>28</v>
      </c>
      <c r="D786" s="2" t="s">
        <v>100</v>
      </c>
      <c r="E786" s="2" t="s">
        <v>38</v>
      </c>
      <c r="F786" s="2" t="s">
        <v>113</v>
      </c>
      <c r="G786" s="2" t="s">
        <v>179</v>
      </c>
      <c r="H786" s="2" t="s">
        <v>32</v>
      </c>
      <c r="I786" s="2">
        <v>48</v>
      </c>
      <c r="J786" s="2" t="s">
        <v>106</v>
      </c>
      <c r="K786" s="4">
        <v>46218.77847222222</v>
      </c>
      <c r="L786" s="2" t="s">
        <v>24</v>
      </c>
      <c r="M786" s="2"/>
      <c r="N786" t="s">
        <v>8582</v>
      </c>
      <c r="O786" s="8">
        <f t="shared" si="24"/>
        <v>18.716666666558012</v>
      </c>
      <c r="P786" t="str">
        <f t="shared" si="25"/>
        <v>Yes</v>
      </c>
    </row>
    <row r="787" spans="1:16" x14ac:dyDescent="0.25">
      <c r="A787" s="2" t="s">
        <v>2202</v>
      </c>
      <c r="B787" s="4">
        <v>46039.637499999997</v>
      </c>
      <c r="C787" s="2" t="s">
        <v>16</v>
      </c>
      <c r="D787" s="2" t="s">
        <v>84</v>
      </c>
      <c r="E787" s="2" t="s">
        <v>46</v>
      </c>
      <c r="F787" s="2" t="s">
        <v>96</v>
      </c>
      <c r="G787" s="2" t="s">
        <v>179</v>
      </c>
      <c r="H787" s="2" t="s">
        <v>80</v>
      </c>
      <c r="I787" s="2">
        <v>4</v>
      </c>
      <c r="J787" s="2" t="s">
        <v>106</v>
      </c>
      <c r="K787" s="4">
        <v>46039.85833333333</v>
      </c>
      <c r="L787" s="2" t="s">
        <v>24</v>
      </c>
      <c r="M787" s="2">
        <v>4</v>
      </c>
      <c r="N787" t="s">
        <v>8584</v>
      </c>
      <c r="O787" s="8">
        <f t="shared" si="24"/>
        <v>5.2999999999883585</v>
      </c>
      <c r="P787" t="str">
        <f t="shared" si="25"/>
        <v>No</v>
      </c>
    </row>
    <row r="788" spans="1:16" x14ac:dyDescent="0.25">
      <c r="A788" s="2" t="s">
        <v>2205</v>
      </c>
      <c r="B788" s="4">
        <v>46140.27847222222</v>
      </c>
      <c r="C788" s="2" t="s">
        <v>53</v>
      </c>
      <c r="D788" s="2" t="s">
        <v>54</v>
      </c>
      <c r="E788" s="2" t="s">
        <v>38</v>
      </c>
      <c r="F788" s="2" t="s">
        <v>113</v>
      </c>
      <c r="G788" s="2" t="s">
        <v>211</v>
      </c>
      <c r="H788" s="2" t="s">
        <v>74</v>
      </c>
      <c r="I788" s="2">
        <v>8</v>
      </c>
      <c r="J788" s="2" t="s">
        <v>11</v>
      </c>
      <c r="K788" s="4" t="s">
        <v>8590</v>
      </c>
      <c r="L788" s="2" t="s">
        <v>92</v>
      </c>
      <c r="M788" s="2"/>
      <c r="N788" t="s">
        <v>8585</v>
      </c>
      <c r="O788" s="8" t="str">
        <f t="shared" si="24"/>
        <v/>
      </c>
      <c r="P788" t="str">
        <f t="shared" si="25"/>
        <v>N/A</v>
      </c>
    </row>
    <row r="789" spans="1:16" x14ac:dyDescent="0.25">
      <c r="A789" s="2" t="s">
        <v>2207</v>
      </c>
      <c r="B789" s="4">
        <v>46136.286805555559</v>
      </c>
      <c r="C789" s="2" t="s">
        <v>28</v>
      </c>
      <c r="D789" s="2" t="s">
        <v>37</v>
      </c>
      <c r="E789" s="2" t="s">
        <v>46</v>
      </c>
      <c r="F789" s="2" t="s">
        <v>113</v>
      </c>
      <c r="G789" s="2" t="s">
        <v>179</v>
      </c>
      <c r="H789" s="2" t="s">
        <v>32</v>
      </c>
      <c r="I789" s="2">
        <v>48</v>
      </c>
      <c r="J789" s="2" t="s">
        <v>75</v>
      </c>
      <c r="K789" s="4">
        <v>46136.504166666666</v>
      </c>
      <c r="L789" s="2" t="s">
        <v>24</v>
      </c>
      <c r="M789" s="2">
        <v>4</v>
      </c>
      <c r="N789" t="s">
        <v>8589</v>
      </c>
      <c r="O789" s="8">
        <f t="shared" si="24"/>
        <v>5.2166666665580124</v>
      </c>
      <c r="P789" t="str">
        <f t="shared" si="25"/>
        <v>N/A</v>
      </c>
    </row>
    <row r="790" spans="1:16" x14ac:dyDescent="0.25">
      <c r="A790" s="2" t="s">
        <v>2210</v>
      </c>
      <c r="B790" s="4">
        <v>46153.242361111108</v>
      </c>
      <c r="C790" s="2" t="s">
        <v>16</v>
      </c>
      <c r="D790" s="2" t="s">
        <v>84</v>
      </c>
      <c r="E790" s="2" t="s">
        <v>85</v>
      </c>
      <c r="F790" s="2" t="s">
        <v>30</v>
      </c>
      <c r="G790" s="2" t="s">
        <v>183</v>
      </c>
      <c r="H790" s="2" t="s">
        <v>32</v>
      </c>
      <c r="I790" s="2">
        <v>48</v>
      </c>
      <c r="J790" s="2" t="s">
        <v>11</v>
      </c>
      <c r="K790" s="4" t="s">
        <v>8590</v>
      </c>
      <c r="L790" s="2" t="s">
        <v>92</v>
      </c>
      <c r="M790" s="2"/>
      <c r="N790" t="s">
        <v>8583</v>
      </c>
      <c r="O790" s="8" t="str">
        <f t="shared" si="24"/>
        <v/>
      </c>
      <c r="P790" t="str">
        <f t="shared" si="25"/>
        <v>N/A</v>
      </c>
    </row>
    <row r="791" spans="1:16" x14ac:dyDescent="0.25">
      <c r="A791" s="2" t="s">
        <v>2212</v>
      </c>
      <c r="B791" s="4">
        <v>46191.42291666667</v>
      </c>
      <c r="C791" s="2" t="s">
        <v>16</v>
      </c>
      <c r="D791" s="2" t="s">
        <v>17</v>
      </c>
      <c r="E791" s="2" t="s">
        <v>79</v>
      </c>
      <c r="F791" s="2" t="s">
        <v>113</v>
      </c>
      <c r="G791" s="2" t="s">
        <v>110</v>
      </c>
      <c r="H791" s="2" t="s">
        <v>32</v>
      </c>
      <c r="I791" s="2">
        <v>48</v>
      </c>
      <c r="J791" s="2" t="s">
        <v>75</v>
      </c>
      <c r="K791" s="4">
        <v>46192.254861111112</v>
      </c>
      <c r="L791" s="2" t="s">
        <v>24</v>
      </c>
      <c r="M791" s="2">
        <v>5</v>
      </c>
      <c r="N791" t="s">
        <v>8589</v>
      </c>
      <c r="O791" s="8">
        <f t="shared" si="24"/>
        <v>19.96666666661622</v>
      </c>
      <c r="P791" t="str">
        <f t="shared" si="25"/>
        <v>N/A</v>
      </c>
    </row>
    <row r="792" spans="1:16" x14ac:dyDescent="0.25">
      <c r="A792" s="2" t="s">
        <v>2215</v>
      </c>
      <c r="B792" s="4">
        <v>46253.177777777775</v>
      </c>
      <c r="C792" s="2" t="s">
        <v>67</v>
      </c>
      <c r="D792" s="2" t="s">
        <v>68</v>
      </c>
      <c r="E792" s="2" t="s">
        <v>18</v>
      </c>
      <c r="F792" s="2" t="s">
        <v>30</v>
      </c>
      <c r="G792" s="2" t="s">
        <v>211</v>
      </c>
      <c r="H792" s="2" t="s">
        <v>21</v>
      </c>
      <c r="I792" s="2">
        <v>24</v>
      </c>
      <c r="J792" s="2" t="s">
        <v>106</v>
      </c>
      <c r="K792" s="4">
        <v>46253.263888888891</v>
      </c>
      <c r="L792" s="2" t="s">
        <v>24</v>
      </c>
      <c r="M792" s="2">
        <v>4</v>
      </c>
      <c r="N792" t="s">
        <v>8589</v>
      </c>
      <c r="O792" s="8">
        <f t="shared" si="24"/>
        <v>2.0666666667675599</v>
      </c>
      <c r="P792" t="str">
        <f t="shared" si="25"/>
        <v>Yes</v>
      </c>
    </row>
    <row r="793" spans="1:16" x14ac:dyDescent="0.25">
      <c r="A793" s="2" t="s">
        <v>2218</v>
      </c>
      <c r="B793" s="4">
        <v>46131.460416666669</v>
      </c>
      <c r="C793" s="2" t="s">
        <v>28</v>
      </c>
      <c r="D793" s="2" t="s">
        <v>37</v>
      </c>
      <c r="E793" s="2" t="s">
        <v>85</v>
      </c>
      <c r="F793" s="2" t="s">
        <v>113</v>
      </c>
      <c r="G793" s="2" t="s">
        <v>110</v>
      </c>
      <c r="H793" s="2" t="s">
        <v>32</v>
      </c>
      <c r="I793" s="2">
        <v>48</v>
      </c>
      <c r="J793" s="2" t="s">
        <v>106</v>
      </c>
      <c r="K793" s="4">
        <v>46132.861805555556</v>
      </c>
      <c r="L793" s="2" t="s">
        <v>24</v>
      </c>
      <c r="M793" s="2">
        <v>4</v>
      </c>
      <c r="N793" t="s">
        <v>8585</v>
      </c>
      <c r="O793" s="8">
        <f t="shared" si="24"/>
        <v>33.633333333302289</v>
      </c>
      <c r="P793" t="str">
        <f t="shared" si="25"/>
        <v>Yes</v>
      </c>
    </row>
    <row r="794" spans="1:16" x14ac:dyDescent="0.25">
      <c r="A794" s="2" t="s">
        <v>2221</v>
      </c>
      <c r="B794" s="4">
        <v>46094.129861111112</v>
      </c>
      <c r="C794" s="2" t="s">
        <v>28</v>
      </c>
      <c r="D794" s="2" t="s">
        <v>100</v>
      </c>
      <c r="E794" s="2" t="s">
        <v>148</v>
      </c>
      <c r="F794" s="2" t="s">
        <v>96</v>
      </c>
      <c r="G794" s="2" t="s">
        <v>179</v>
      </c>
      <c r="H794" s="2" t="s">
        <v>80</v>
      </c>
      <c r="I794" s="2">
        <v>4</v>
      </c>
      <c r="J794" s="2" t="s">
        <v>287</v>
      </c>
      <c r="K794" s="4" t="s">
        <v>8590</v>
      </c>
      <c r="L794" s="2" t="s">
        <v>24</v>
      </c>
      <c r="M794" s="2"/>
      <c r="N794" t="s">
        <v>8588</v>
      </c>
      <c r="O794" s="8" t="str">
        <f t="shared" si="24"/>
        <v/>
      </c>
      <c r="P794" t="str">
        <f t="shared" si="25"/>
        <v>N/A</v>
      </c>
    </row>
    <row r="795" spans="1:16" x14ac:dyDescent="0.25">
      <c r="A795" s="2" t="s">
        <v>2223</v>
      </c>
      <c r="B795" s="4">
        <v>46158.417361111111</v>
      </c>
      <c r="C795" s="2" t="s">
        <v>16</v>
      </c>
      <c r="D795" s="2" t="s">
        <v>17</v>
      </c>
      <c r="E795" s="2" t="s">
        <v>46</v>
      </c>
      <c r="F795" s="2" t="s">
        <v>55</v>
      </c>
      <c r="G795" s="2" t="s">
        <v>110</v>
      </c>
      <c r="H795" s="2" t="s">
        <v>32</v>
      </c>
      <c r="I795" s="2">
        <v>48</v>
      </c>
      <c r="J795" s="2" t="s">
        <v>287</v>
      </c>
      <c r="K795" s="4" t="s">
        <v>8590</v>
      </c>
      <c r="L795" s="2" t="s">
        <v>24</v>
      </c>
      <c r="M795" s="2"/>
      <c r="N795" t="s">
        <v>8585</v>
      </c>
      <c r="O795" s="8" t="str">
        <f t="shared" si="24"/>
        <v/>
      </c>
      <c r="P795" t="str">
        <f t="shared" si="25"/>
        <v>N/A</v>
      </c>
    </row>
    <row r="796" spans="1:16" x14ac:dyDescent="0.25">
      <c r="A796" s="2" t="s">
        <v>2225</v>
      </c>
      <c r="B796" s="4">
        <v>46165.215277777781</v>
      </c>
      <c r="C796" s="2" t="s">
        <v>53</v>
      </c>
      <c r="D796" s="2" t="s">
        <v>61</v>
      </c>
      <c r="E796" s="2" t="s">
        <v>46</v>
      </c>
      <c r="F796" s="2" t="s">
        <v>96</v>
      </c>
      <c r="G796" s="2" t="s">
        <v>183</v>
      </c>
      <c r="H796" s="2" t="s">
        <v>74</v>
      </c>
      <c r="I796" s="2">
        <v>8</v>
      </c>
      <c r="J796" s="2" t="s">
        <v>75</v>
      </c>
      <c r="K796" s="4">
        <v>46165.254166666666</v>
      </c>
      <c r="L796" s="2" t="s">
        <v>24</v>
      </c>
      <c r="M796" s="2"/>
      <c r="N796" t="s">
        <v>8589</v>
      </c>
      <c r="O796" s="8">
        <f t="shared" si="24"/>
        <v>0.93333333323244005</v>
      </c>
      <c r="P796" t="str">
        <f t="shared" si="25"/>
        <v>N/A</v>
      </c>
    </row>
    <row r="797" spans="1:16" x14ac:dyDescent="0.25">
      <c r="A797" s="2" t="s">
        <v>2228</v>
      </c>
      <c r="B797" s="4">
        <v>46131.545138888891</v>
      </c>
      <c r="C797" s="2" t="s">
        <v>53</v>
      </c>
      <c r="D797" s="2" t="s">
        <v>61</v>
      </c>
      <c r="E797" s="2" t="s">
        <v>46</v>
      </c>
      <c r="F797" s="2" t="s">
        <v>113</v>
      </c>
      <c r="G797" s="2" t="s">
        <v>31</v>
      </c>
      <c r="H797" s="2" t="s">
        <v>32</v>
      </c>
      <c r="I797" s="2">
        <v>48</v>
      </c>
      <c r="J797" s="2" t="s">
        <v>75</v>
      </c>
      <c r="K797" s="4">
        <v>46132.488888888889</v>
      </c>
      <c r="L797" s="2" t="s">
        <v>24</v>
      </c>
      <c r="M797" s="2"/>
      <c r="N797" t="s">
        <v>8584</v>
      </c>
      <c r="O797" s="8">
        <f t="shared" si="24"/>
        <v>22.649999999965075</v>
      </c>
      <c r="P797" t="str">
        <f t="shared" si="25"/>
        <v>N/A</v>
      </c>
    </row>
    <row r="798" spans="1:16" x14ac:dyDescent="0.25">
      <c r="A798" s="2" t="s">
        <v>2231</v>
      </c>
      <c r="B798" s="4">
        <v>46163.124305555553</v>
      </c>
      <c r="C798" s="2" t="s">
        <v>67</v>
      </c>
      <c r="D798" s="2" t="s">
        <v>68</v>
      </c>
      <c r="E798" s="2" t="s">
        <v>46</v>
      </c>
      <c r="F798" s="2" t="s">
        <v>30</v>
      </c>
      <c r="G798" s="2" t="s">
        <v>110</v>
      </c>
      <c r="H798" s="2" t="s">
        <v>74</v>
      </c>
      <c r="I798" s="2">
        <v>8</v>
      </c>
      <c r="J798" s="2" t="s">
        <v>149</v>
      </c>
      <c r="K798" s="4" t="s">
        <v>8590</v>
      </c>
      <c r="L798" s="2" t="s">
        <v>24</v>
      </c>
      <c r="M798" s="2"/>
      <c r="N798" t="s">
        <v>8589</v>
      </c>
      <c r="O798" s="8" t="str">
        <f t="shared" si="24"/>
        <v/>
      </c>
      <c r="P798" t="str">
        <f t="shared" si="25"/>
        <v>N/A</v>
      </c>
    </row>
    <row r="799" spans="1:16" x14ac:dyDescent="0.25">
      <c r="A799" s="2" t="s">
        <v>2233</v>
      </c>
      <c r="B799" s="4">
        <v>46157.84652777778</v>
      </c>
      <c r="C799" s="2" t="s">
        <v>53</v>
      </c>
      <c r="D799" s="2" t="s">
        <v>54</v>
      </c>
      <c r="E799" s="2" t="s">
        <v>46</v>
      </c>
      <c r="F799" s="2" t="s">
        <v>96</v>
      </c>
      <c r="G799" s="2" t="s">
        <v>183</v>
      </c>
      <c r="H799" s="2" t="s">
        <v>32</v>
      </c>
      <c r="I799" s="2">
        <v>48</v>
      </c>
      <c r="J799" s="2" t="s">
        <v>149</v>
      </c>
      <c r="K799" s="4" t="s">
        <v>8590</v>
      </c>
      <c r="L799" s="2" t="s">
        <v>24</v>
      </c>
      <c r="M799" s="2"/>
      <c r="N799" t="s">
        <v>8585</v>
      </c>
      <c r="O799" s="8" t="str">
        <f t="shared" si="24"/>
        <v/>
      </c>
      <c r="P799" t="str">
        <f t="shared" si="25"/>
        <v>N/A</v>
      </c>
    </row>
    <row r="800" spans="1:16" x14ac:dyDescent="0.25">
      <c r="A800" s="2" t="s">
        <v>2235</v>
      </c>
      <c r="B800" s="4">
        <v>46198.671527777777</v>
      </c>
      <c r="C800" s="2" t="s">
        <v>16</v>
      </c>
      <c r="D800" s="2" t="s">
        <v>17</v>
      </c>
      <c r="E800" s="2" t="s">
        <v>79</v>
      </c>
      <c r="F800" s="2" t="s">
        <v>30</v>
      </c>
      <c r="G800" s="2" t="s">
        <v>101</v>
      </c>
      <c r="H800" s="2" t="s">
        <v>74</v>
      </c>
      <c r="I800" s="2">
        <v>8</v>
      </c>
      <c r="J800" s="2" t="s">
        <v>106</v>
      </c>
      <c r="K800" s="4">
        <v>46198.793749999997</v>
      </c>
      <c r="L800" s="2" t="s">
        <v>24</v>
      </c>
      <c r="M800" s="2">
        <v>3</v>
      </c>
      <c r="N800" t="s">
        <v>8587</v>
      </c>
      <c r="O800" s="8">
        <f t="shared" si="24"/>
        <v>2.9333333332906477</v>
      </c>
      <c r="P800" t="str">
        <f t="shared" si="25"/>
        <v>Yes</v>
      </c>
    </row>
    <row r="801" spans="1:16" x14ac:dyDescent="0.25">
      <c r="A801" s="2" t="s">
        <v>2238</v>
      </c>
      <c r="B801" s="4">
        <v>46234.520138888889</v>
      </c>
      <c r="C801" s="2" t="s">
        <v>16</v>
      </c>
      <c r="D801" s="2" t="s">
        <v>17</v>
      </c>
      <c r="E801" s="2" t="s">
        <v>18</v>
      </c>
      <c r="F801" s="2" t="s">
        <v>113</v>
      </c>
      <c r="G801" s="2" t="s">
        <v>101</v>
      </c>
      <c r="H801" s="2" t="s">
        <v>32</v>
      </c>
      <c r="I801" s="2">
        <v>48</v>
      </c>
      <c r="J801" s="2" t="s">
        <v>106</v>
      </c>
      <c r="K801" s="4">
        <v>46234.674305555556</v>
      </c>
      <c r="L801" s="2" t="s">
        <v>24</v>
      </c>
      <c r="M801" s="2"/>
      <c r="N801" t="s">
        <v>8589</v>
      </c>
      <c r="O801" s="8">
        <f t="shared" si="24"/>
        <v>3.7000000000116415</v>
      </c>
      <c r="P801" t="str">
        <f t="shared" si="25"/>
        <v>Yes</v>
      </c>
    </row>
    <row r="802" spans="1:16" x14ac:dyDescent="0.25">
      <c r="A802" s="2" t="s">
        <v>2241</v>
      </c>
      <c r="B802" s="4">
        <v>46055.342361111114</v>
      </c>
      <c r="C802" s="2" t="s">
        <v>67</v>
      </c>
      <c r="D802" s="2" t="s">
        <v>95</v>
      </c>
      <c r="E802" s="2" t="s">
        <v>90</v>
      </c>
      <c r="F802" s="2" t="s">
        <v>113</v>
      </c>
      <c r="G802" s="2" t="s">
        <v>211</v>
      </c>
      <c r="H802" s="2" t="s">
        <v>32</v>
      </c>
      <c r="I802" s="2">
        <v>48</v>
      </c>
      <c r="J802" s="2" t="s">
        <v>149</v>
      </c>
      <c r="K802" s="4" t="s">
        <v>8590</v>
      </c>
      <c r="L802" s="2" t="s">
        <v>24</v>
      </c>
      <c r="M802" s="2"/>
      <c r="N802" t="s">
        <v>8584</v>
      </c>
      <c r="O802" s="8" t="str">
        <f t="shared" si="24"/>
        <v/>
      </c>
      <c r="P802" t="str">
        <f t="shared" si="25"/>
        <v>N/A</v>
      </c>
    </row>
    <row r="803" spans="1:16" x14ac:dyDescent="0.25">
      <c r="A803" s="2" t="s">
        <v>2243</v>
      </c>
      <c r="B803" s="4">
        <v>46177.384722222225</v>
      </c>
      <c r="C803" s="2" t="s">
        <v>28</v>
      </c>
      <c r="D803" s="2" t="s">
        <v>100</v>
      </c>
      <c r="E803" s="2" t="s">
        <v>148</v>
      </c>
      <c r="F803" s="2" t="s">
        <v>55</v>
      </c>
      <c r="G803" s="2" t="s">
        <v>101</v>
      </c>
      <c r="H803" s="2" t="s">
        <v>80</v>
      </c>
      <c r="I803" s="2">
        <v>4</v>
      </c>
      <c r="J803" s="2" t="s">
        <v>106</v>
      </c>
      <c r="K803" s="4">
        <v>46177.490277777775</v>
      </c>
      <c r="L803" s="2" t="s">
        <v>24</v>
      </c>
      <c r="M803" s="2">
        <v>1</v>
      </c>
      <c r="N803" t="s">
        <v>8589</v>
      </c>
      <c r="O803" s="8">
        <f t="shared" si="24"/>
        <v>2.533333333209157</v>
      </c>
      <c r="P803" t="str">
        <f t="shared" si="25"/>
        <v>Yes</v>
      </c>
    </row>
    <row r="804" spans="1:16" x14ac:dyDescent="0.25">
      <c r="A804" s="2" t="s">
        <v>2246</v>
      </c>
      <c r="B804" s="4">
        <v>46180.955555555556</v>
      </c>
      <c r="C804" s="2" t="s">
        <v>67</v>
      </c>
      <c r="D804" s="2" t="s">
        <v>95</v>
      </c>
      <c r="E804" s="2" t="s">
        <v>148</v>
      </c>
      <c r="F804" s="2" t="s">
        <v>55</v>
      </c>
      <c r="G804" s="2" t="s">
        <v>101</v>
      </c>
      <c r="H804" s="2" t="s">
        <v>21</v>
      </c>
      <c r="I804" s="2">
        <v>24</v>
      </c>
      <c r="J804" s="2" t="s">
        <v>75</v>
      </c>
      <c r="K804" s="4">
        <v>46181.270138888889</v>
      </c>
      <c r="L804" s="2" t="s">
        <v>24</v>
      </c>
      <c r="M804" s="2">
        <v>5</v>
      </c>
      <c r="N804" t="s">
        <v>8589</v>
      </c>
      <c r="O804" s="8">
        <f t="shared" si="24"/>
        <v>7.5499999999883585</v>
      </c>
      <c r="P804" t="str">
        <f t="shared" si="25"/>
        <v>N/A</v>
      </c>
    </row>
    <row r="805" spans="1:16" x14ac:dyDescent="0.25">
      <c r="A805" s="2" t="s">
        <v>2249</v>
      </c>
      <c r="B805" s="4">
        <v>46086.921527777777</v>
      </c>
      <c r="C805" s="2" t="s">
        <v>16</v>
      </c>
      <c r="D805" s="2" t="s">
        <v>84</v>
      </c>
      <c r="E805" s="2" t="s">
        <v>38</v>
      </c>
      <c r="F805" s="2" t="s">
        <v>113</v>
      </c>
      <c r="G805" s="2" t="s">
        <v>110</v>
      </c>
      <c r="H805" s="2" t="s">
        <v>74</v>
      </c>
      <c r="I805" s="2">
        <v>8</v>
      </c>
      <c r="J805" s="2" t="s">
        <v>106</v>
      </c>
      <c r="K805" s="4">
        <v>46087.21875</v>
      </c>
      <c r="L805" s="2" t="s">
        <v>24</v>
      </c>
      <c r="M805" s="2">
        <v>5</v>
      </c>
      <c r="N805" t="s">
        <v>8587</v>
      </c>
      <c r="O805" s="8">
        <f t="shared" si="24"/>
        <v>7.1333333333604969</v>
      </c>
      <c r="P805" t="str">
        <f t="shared" si="25"/>
        <v>Yes</v>
      </c>
    </row>
    <row r="806" spans="1:16" x14ac:dyDescent="0.25">
      <c r="A806" s="2" t="s">
        <v>2252</v>
      </c>
      <c r="B806" s="4">
        <v>46098.106944444444</v>
      </c>
      <c r="C806" s="2" t="s">
        <v>53</v>
      </c>
      <c r="D806" s="2" t="s">
        <v>54</v>
      </c>
      <c r="E806" s="2" t="s">
        <v>148</v>
      </c>
      <c r="F806" s="2" t="s">
        <v>96</v>
      </c>
      <c r="G806" s="2" t="s">
        <v>179</v>
      </c>
      <c r="H806" s="2" t="s">
        <v>80</v>
      </c>
      <c r="I806" s="2">
        <v>4</v>
      </c>
      <c r="J806" s="2" t="s">
        <v>106</v>
      </c>
      <c r="K806" s="4">
        <v>46098.213888888888</v>
      </c>
      <c r="L806" s="2" t="s">
        <v>24</v>
      </c>
      <c r="M806" s="2">
        <v>5</v>
      </c>
      <c r="N806" t="s">
        <v>8585</v>
      </c>
      <c r="O806" s="8">
        <f t="shared" si="24"/>
        <v>2.5666666666511446</v>
      </c>
      <c r="P806" t="str">
        <f t="shared" si="25"/>
        <v>Yes</v>
      </c>
    </row>
    <row r="807" spans="1:16" x14ac:dyDescent="0.25">
      <c r="A807" s="2" t="s">
        <v>2255</v>
      </c>
      <c r="B807" s="4">
        <v>46057.458333333336</v>
      </c>
      <c r="C807" s="2" t="s">
        <v>16</v>
      </c>
      <c r="D807" s="2" t="s">
        <v>84</v>
      </c>
      <c r="E807" s="2" t="s">
        <v>90</v>
      </c>
      <c r="F807" s="2" t="s">
        <v>55</v>
      </c>
      <c r="G807" s="2" t="s">
        <v>101</v>
      </c>
      <c r="H807" s="2" t="s">
        <v>80</v>
      </c>
      <c r="I807" s="2">
        <v>4</v>
      </c>
      <c r="J807" s="2" t="s">
        <v>75</v>
      </c>
      <c r="K807" s="4">
        <v>46057.488888888889</v>
      </c>
      <c r="L807" s="2" t="s">
        <v>24</v>
      </c>
      <c r="M807" s="2">
        <v>5</v>
      </c>
      <c r="N807" t="s">
        <v>8585</v>
      </c>
      <c r="O807" s="8">
        <f t="shared" si="24"/>
        <v>0.73333333327900618</v>
      </c>
      <c r="P807" t="str">
        <f t="shared" si="25"/>
        <v>N/A</v>
      </c>
    </row>
    <row r="808" spans="1:16" x14ac:dyDescent="0.25">
      <c r="A808" s="2" t="s">
        <v>2258</v>
      </c>
      <c r="B808" s="4">
        <v>46052.282638888886</v>
      </c>
      <c r="C808" s="2" t="s">
        <v>16</v>
      </c>
      <c r="D808" s="2" t="s">
        <v>17</v>
      </c>
      <c r="E808" s="2" t="s">
        <v>38</v>
      </c>
      <c r="F808" s="2" t="s">
        <v>30</v>
      </c>
      <c r="G808" s="2" t="s">
        <v>110</v>
      </c>
      <c r="H808" s="2" t="s">
        <v>80</v>
      </c>
      <c r="I808" s="2">
        <v>4</v>
      </c>
      <c r="J808" s="2" t="s">
        <v>106</v>
      </c>
      <c r="K808" s="4">
        <v>46052.599305555559</v>
      </c>
      <c r="L808" s="2" t="s">
        <v>24</v>
      </c>
      <c r="M808" s="2">
        <v>1</v>
      </c>
      <c r="N808" t="s">
        <v>8589</v>
      </c>
      <c r="O808" s="8">
        <f t="shared" si="24"/>
        <v>7.6000000001513399</v>
      </c>
      <c r="P808" t="str">
        <f t="shared" si="25"/>
        <v>No</v>
      </c>
    </row>
    <row r="809" spans="1:16" x14ac:dyDescent="0.25">
      <c r="A809" s="2" t="s">
        <v>2261</v>
      </c>
      <c r="B809" s="4">
        <v>46240.477083333331</v>
      </c>
      <c r="C809" s="2" t="s">
        <v>16</v>
      </c>
      <c r="D809" s="2" t="s">
        <v>17</v>
      </c>
      <c r="E809" s="2" t="s">
        <v>38</v>
      </c>
      <c r="F809" s="2" t="s">
        <v>113</v>
      </c>
      <c r="G809" s="2" t="s">
        <v>101</v>
      </c>
      <c r="H809" s="2" t="s">
        <v>21</v>
      </c>
      <c r="I809" s="2">
        <v>24</v>
      </c>
      <c r="J809" s="2" t="s">
        <v>8580</v>
      </c>
      <c r="K809" s="4">
        <v>46242.127083333333</v>
      </c>
      <c r="L809" s="2" t="s">
        <v>24</v>
      </c>
      <c r="M809" s="2"/>
      <c r="N809" t="s">
        <v>8583</v>
      </c>
      <c r="O809" s="8">
        <f t="shared" si="24"/>
        <v>39.600000000034925</v>
      </c>
      <c r="P809" t="str">
        <f t="shared" si="25"/>
        <v>N/A</v>
      </c>
    </row>
    <row r="810" spans="1:16" x14ac:dyDescent="0.25">
      <c r="A810" s="2" t="s">
        <v>2264</v>
      </c>
      <c r="B810" s="4">
        <v>46190.050694444442</v>
      </c>
      <c r="C810" s="2" t="s">
        <v>53</v>
      </c>
      <c r="D810" s="2" t="s">
        <v>54</v>
      </c>
      <c r="E810" s="2" t="s">
        <v>79</v>
      </c>
      <c r="F810" s="2" t="s">
        <v>55</v>
      </c>
      <c r="G810" s="2" t="s">
        <v>179</v>
      </c>
      <c r="H810" s="2" t="s">
        <v>32</v>
      </c>
      <c r="I810" s="2">
        <v>48</v>
      </c>
      <c r="J810" s="2" t="s">
        <v>106</v>
      </c>
      <c r="K810" s="4">
        <v>46194.287499999999</v>
      </c>
      <c r="L810" s="2" t="s">
        <v>24</v>
      </c>
      <c r="M810" s="2"/>
      <c r="N810" t="s">
        <v>8588</v>
      </c>
      <c r="O810" s="8">
        <f t="shared" si="24"/>
        <v>101.68333333334886</v>
      </c>
      <c r="P810" t="str">
        <f t="shared" si="25"/>
        <v>No</v>
      </c>
    </row>
    <row r="811" spans="1:16" x14ac:dyDescent="0.25">
      <c r="A811" s="2" t="s">
        <v>2267</v>
      </c>
      <c r="B811" s="4">
        <v>46173.478472222225</v>
      </c>
      <c r="C811" s="2" t="s">
        <v>53</v>
      </c>
      <c r="D811" s="2" t="s">
        <v>54</v>
      </c>
      <c r="E811" s="2" t="s">
        <v>90</v>
      </c>
      <c r="F811" s="2" t="s">
        <v>96</v>
      </c>
      <c r="G811" s="2" t="s">
        <v>179</v>
      </c>
      <c r="H811" s="2" t="s">
        <v>21</v>
      </c>
      <c r="I811" s="2">
        <v>24</v>
      </c>
      <c r="J811" s="2" t="s">
        <v>106</v>
      </c>
      <c r="K811" s="4">
        <v>46173.977777777778</v>
      </c>
      <c r="L811" s="2" t="s">
        <v>24</v>
      </c>
      <c r="M811" s="2">
        <v>5</v>
      </c>
      <c r="N811" t="s">
        <v>8587</v>
      </c>
      <c r="O811" s="8">
        <f t="shared" si="24"/>
        <v>11.983333333279006</v>
      </c>
      <c r="P811" t="str">
        <f t="shared" si="25"/>
        <v>Yes</v>
      </c>
    </row>
    <row r="812" spans="1:16" x14ac:dyDescent="0.25">
      <c r="A812" s="2" t="s">
        <v>2270</v>
      </c>
      <c r="B812" s="4">
        <v>46223.250694444447</v>
      </c>
      <c r="C812" s="2" t="s">
        <v>53</v>
      </c>
      <c r="D812" s="2" t="s">
        <v>54</v>
      </c>
      <c r="E812" s="2" t="s">
        <v>90</v>
      </c>
      <c r="F812" s="2" t="s">
        <v>55</v>
      </c>
      <c r="G812" s="2" t="s">
        <v>110</v>
      </c>
      <c r="H812" s="2" t="s">
        <v>74</v>
      </c>
      <c r="I812" s="2">
        <v>8</v>
      </c>
      <c r="J812" s="2" t="s">
        <v>287</v>
      </c>
      <c r="K812" s="4" t="s">
        <v>8590</v>
      </c>
      <c r="L812" s="2" t="s">
        <v>24</v>
      </c>
      <c r="M812" s="2"/>
      <c r="N812" t="s">
        <v>8588</v>
      </c>
      <c r="O812" s="8" t="str">
        <f t="shared" si="24"/>
        <v/>
      </c>
      <c r="P812" t="str">
        <f t="shared" si="25"/>
        <v>N/A</v>
      </c>
    </row>
    <row r="813" spans="1:16" x14ac:dyDescent="0.25">
      <c r="A813" s="2" t="s">
        <v>2272</v>
      </c>
      <c r="B813" s="4">
        <v>46226.301388888889</v>
      </c>
      <c r="C813" s="2" t="s">
        <v>53</v>
      </c>
      <c r="D813" s="2" t="s">
        <v>61</v>
      </c>
      <c r="E813" s="2" t="s">
        <v>148</v>
      </c>
      <c r="F813" s="2" t="s">
        <v>55</v>
      </c>
      <c r="G813" s="2" t="s">
        <v>211</v>
      </c>
      <c r="H813" s="2" t="s">
        <v>32</v>
      </c>
      <c r="I813" s="2">
        <v>48</v>
      </c>
      <c r="J813" s="2" t="s">
        <v>106</v>
      </c>
      <c r="K813" s="4">
        <v>46226.502083333333</v>
      </c>
      <c r="L813" s="2" t="s">
        <v>24</v>
      </c>
      <c r="M813" s="2"/>
      <c r="N813" t="s">
        <v>8587</v>
      </c>
      <c r="O813" s="8">
        <f t="shared" si="24"/>
        <v>4.8166666666511446</v>
      </c>
      <c r="P813" t="str">
        <f t="shared" si="25"/>
        <v>Yes</v>
      </c>
    </row>
    <row r="814" spans="1:16" x14ac:dyDescent="0.25">
      <c r="A814" s="2" t="s">
        <v>2275</v>
      </c>
      <c r="B814" s="4">
        <v>46122.520833333336</v>
      </c>
      <c r="C814" s="2" t="s">
        <v>28</v>
      </c>
      <c r="D814" s="2" t="s">
        <v>100</v>
      </c>
      <c r="E814" s="2" t="s">
        <v>18</v>
      </c>
      <c r="F814" s="2" t="s">
        <v>113</v>
      </c>
      <c r="G814" s="2" t="s">
        <v>179</v>
      </c>
      <c r="H814" s="2" t="s">
        <v>74</v>
      </c>
      <c r="I814" s="2">
        <v>8</v>
      </c>
      <c r="J814" s="2" t="s">
        <v>106</v>
      </c>
      <c r="K814" s="4">
        <v>46122.624305555553</v>
      </c>
      <c r="L814" s="2" t="s">
        <v>24</v>
      </c>
      <c r="M814" s="2">
        <v>5</v>
      </c>
      <c r="N814" t="s">
        <v>8585</v>
      </c>
      <c r="O814" s="8">
        <f t="shared" si="24"/>
        <v>2.4833333332207985</v>
      </c>
      <c r="P814" t="str">
        <f t="shared" si="25"/>
        <v>Yes</v>
      </c>
    </row>
    <row r="815" spans="1:16" x14ac:dyDescent="0.25">
      <c r="A815" s="2" t="s">
        <v>2278</v>
      </c>
      <c r="B815" s="4">
        <v>46106.94027777778</v>
      </c>
      <c r="C815" s="2" t="s">
        <v>53</v>
      </c>
      <c r="D815" s="2" t="s">
        <v>61</v>
      </c>
      <c r="E815" s="2" t="s">
        <v>18</v>
      </c>
      <c r="F815" s="2" t="s">
        <v>30</v>
      </c>
      <c r="G815" s="2" t="s">
        <v>183</v>
      </c>
      <c r="H815" s="2" t="s">
        <v>21</v>
      </c>
      <c r="I815" s="2">
        <v>24</v>
      </c>
      <c r="J815" s="2" t="s">
        <v>75</v>
      </c>
      <c r="K815" s="4">
        <v>46108.374305555553</v>
      </c>
      <c r="L815" s="2" t="s">
        <v>24</v>
      </c>
      <c r="M815" s="2">
        <v>5</v>
      </c>
      <c r="N815" t="s">
        <v>8583</v>
      </c>
      <c r="O815" s="8">
        <f t="shared" si="24"/>
        <v>34.416666666569654</v>
      </c>
      <c r="P815" t="str">
        <f t="shared" si="25"/>
        <v>N/A</v>
      </c>
    </row>
    <row r="816" spans="1:16" x14ac:dyDescent="0.25">
      <c r="A816" s="2" t="s">
        <v>2281</v>
      </c>
      <c r="B816" s="4">
        <v>46155.486111111109</v>
      </c>
      <c r="C816" s="2" t="s">
        <v>16</v>
      </c>
      <c r="D816" s="2" t="s">
        <v>17</v>
      </c>
      <c r="E816" s="2" t="s">
        <v>148</v>
      </c>
      <c r="F816" s="2" t="s">
        <v>55</v>
      </c>
      <c r="G816" s="2" t="s">
        <v>31</v>
      </c>
      <c r="H816" s="2" t="s">
        <v>32</v>
      </c>
      <c r="I816" s="2">
        <v>48</v>
      </c>
      <c r="J816" s="2" t="s">
        <v>106</v>
      </c>
      <c r="K816" s="4">
        <v>46155.544444444444</v>
      </c>
      <c r="L816" s="2" t="s">
        <v>24</v>
      </c>
      <c r="M816" s="2">
        <v>3</v>
      </c>
      <c r="N816" t="s">
        <v>8585</v>
      </c>
      <c r="O816" s="8">
        <f t="shared" si="24"/>
        <v>1.4000000000232831</v>
      </c>
      <c r="P816" t="str">
        <f t="shared" si="25"/>
        <v>Yes</v>
      </c>
    </row>
    <row r="817" spans="1:16" x14ac:dyDescent="0.25">
      <c r="A817" s="2" t="s">
        <v>2284</v>
      </c>
      <c r="B817" s="4">
        <v>46164.734722222223</v>
      </c>
      <c r="C817" s="2" t="s">
        <v>28</v>
      </c>
      <c r="D817" s="2" t="s">
        <v>37</v>
      </c>
      <c r="E817" s="2" t="s">
        <v>18</v>
      </c>
      <c r="F817" s="2" t="s">
        <v>113</v>
      </c>
      <c r="G817" s="2" t="s">
        <v>211</v>
      </c>
      <c r="H817" s="2" t="s">
        <v>21</v>
      </c>
      <c r="I817" s="2">
        <v>24</v>
      </c>
      <c r="J817" s="2" t="s">
        <v>11</v>
      </c>
      <c r="K817" s="4" t="s">
        <v>8590</v>
      </c>
      <c r="L817" s="2" t="s">
        <v>92</v>
      </c>
      <c r="M817" s="2"/>
      <c r="N817" t="s">
        <v>8586</v>
      </c>
      <c r="O817" s="8" t="str">
        <f t="shared" si="24"/>
        <v/>
      </c>
      <c r="P817" t="str">
        <f t="shared" si="25"/>
        <v>N/A</v>
      </c>
    </row>
    <row r="818" spans="1:16" x14ac:dyDescent="0.25">
      <c r="A818" s="2" t="s">
        <v>2286</v>
      </c>
      <c r="B818" s="4">
        <v>46111.106944444444</v>
      </c>
      <c r="C818" s="2" t="s">
        <v>28</v>
      </c>
      <c r="D818" s="2" t="s">
        <v>100</v>
      </c>
      <c r="E818" s="2" t="s">
        <v>85</v>
      </c>
      <c r="F818" s="2" t="s">
        <v>113</v>
      </c>
      <c r="G818" s="2" t="s">
        <v>183</v>
      </c>
      <c r="H818" s="2" t="s">
        <v>74</v>
      </c>
      <c r="I818" s="2">
        <v>8</v>
      </c>
      <c r="J818" s="2" t="s">
        <v>106</v>
      </c>
      <c r="K818" s="4">
        <v>46111.241666666669</v>
      </c>
      <c r="L818" s="2" t="s">
        <v>24</v>
      </c>
      <c r="M818" s="2"/>
      <c r="N818" t="s">
        <v>8582</v>
      </c>
      <c r="O818" s="8">
        <f t="shared" si="24"/>
        <v>3.2333333333954215</v>
      </c>
      <c r="P818" t="str">
        <f t="shared" si="25"/>
        <v>Yes</v>
      </c>
    </row>
    <row r="819" spans="1:16" x14ac:dyDescent="0.25">
      <c r="A819" s="2" t="s">
        <v>2289</v>
      </c>
      <c r="B819" s="4">
        <v>46225.666666666664</v>
      </c>
      <c r="C819" s="2" t="s">
        <v>28</v>
      </c>
      <c r="D819" s="2" t="s">
        <v>100</v>
      </c>
      <c r="E819" s="2" t="s">
        <v>90</v>
      </c>
      <c r="F819" s="2" t="s">
        <v>30</v>
      </c>
      <c r="G819" s="2" t="s">
        <v>211</v>
      </c>
      <c r="H819" s="2" t="s">
        <v>21</v>
      </c>
      <c r="I819" s="2">
        <v>24</v>
      </c>
      <c r="J819" s="2" t="s">
        <v>106</v>
      </c>
      <c r="K819" s="4">
        <v>46226.029166666667</v>
      </c>
      <c r="L819" s="2" t="s">
        <v>24</v>
      </c>
      <c r="M819" s="2"/>
      <c r="N819" t="s">
        <v>8585</v>
      </c>
      <c r="O819" s="8">
        <f t="shared" si="24"/>
        <v>8.7000000000698492</v>
      </c>
      <c r="P819" t="str">
        <f t="shared" si="25"/>
        <v>Yes</v>
      </c>
    </row>
    <row r="820" spans="1:16" x14ac:dyDescent="0.25">
      <c r="A820" s="2" t="s">
        <v>2292</v>
      </c>
      <c r="B820" s="4">
        <v>46102.978472222225</v>
      </c>
      <c r="C820" s="2" t="s">
        <v>53</v>
      </c>
      <c r="D820" s="2" t="s">
        <v>61</v>
      </c>
      <c r="E820" s="2" t="s">
        <v>38</v>
      </c>
      <c r="F820" s="2" t="s">
        <v>55</v>
      </c>
      <c r="G820" s="2" t="s">
        <v>183</v>
      </c>
      <c r="H820" s="2" t="s">
        <v>32</v>
      </c>
      <c r="I820" s="2">
        <v>48</v>
      </c>
      <c r="J820" s="2" t="s">
        <v>149</v>
      </c>
      <c r="K820" s="4" t="s">
        <v>8590</v>
      </c>
      <c r="L820" s="2" t="s">
        <v>24</v>
      </c>
      <c r="M820" s="2"/>
      <c r="N820" t="s">
        <v>8589</v>
      </c>
      <c r="O820" s="8" t="str">
        <f t="shared" si="24"/>
        <v/>
      </c>
      <c r="P820" t="str">
        <f t="shared" si="25"/>
        <v>N/A</v>
      </c>
    </row>
    <row r="821" spans="1:16" x14ac:dyDescent="0.25">
      <c r="A821" s="2" t="s">
        <v>2294</v>
      </c>
      <c r="B821" s="4">
        <v>46210.408333333333</v>
      </c>
      <c r="C821" s="2" t="s">
        <v>67</v>
      </c>
      <c r="D821" s="2" t="s">
        <v>95</v>
      </c>
      <c r="E821" s="2" t="s">
        <v>38</v>
      </c>
      <c r="F821" s="2" t="s">
        <v>96</v>
      </c>
      <c r="G821" s="2" t="s">
        <v>183</v>
      </c>
      <c r="H821" s="2" t="s">
        <v>80</v>
      </c>
      <c r="I821" s="2">
        <v>4</v>
      </c>
      <c r="J821" s="2" t="s">
        <v>149</v>
      </c>
      <c r="K821" s="4" t="s">
        <v>8590</v>
      </c>
      <c r="L821" s="2" t="s">
        <v>24</v>
      </c>
      <c r="M821" s="2"/>
      <c r="N821" t="s">
        <v>8589</v>
      </c>
      <c r="O821" s="8" t="str">
        <f t="shared" si="24"/>
        <v/>
      </c>
      <c r="P821" t="str">
        <f t="shared" si="25"/>
        <v>N/A</v>
      </c>
    </row>
    <row r="822" spans="1:16" x14ac:dyDescent="0.25">
      <c r="A822" s="2" t="s">
        <v>2296</v>
      </c>
      <c r="B822" s="4">
        <v>46217.168749999997</v>
      </c>
      <c r="C822" s="2" t="s">
        <v>16</v>
      </c>
      <c r="D822" s="2" t="s">
        <v>17</v>
      </c>
      <c r="E822" s="2" t="s">
        <v>38</v>
      </c>
      <c r="F822" s="2" t="s">
        <v>55</v>
      </c>
      <c r="G822" s="2" t="s">
        <v>31</v>
      </c>
      <c r="H822" s="2" t="s">
        <v>21</v>
      </c>
      <c r="I822" s="2">
        <v>24</v>
      </c>
      <c r="J822" s="2" t="s">
        <v>106</v>
      </c>
      <c r="K822" s="4" t="s">
        <v>8590</v>
      </c>
      <c r="L822" s="2" t="s">
        <v>24</v>
      </c>
      <c r="M822" s="2"/>
      <c r="N822" t="s">
        <v>8586</v>
      </c>
      <c r="O822" s="8" t="str">
        <f t="shared" si="24"/>
        <v/>
      </c>
      <c r="P822" t="str">
        <f t="shared" si="25"/>
        <v>No</v>
      </c>
    </row>
    <row r="823" spans="1:16" x14ac:dyDescent="0.25">
      <c r="A823" s="2" t="s">
        <v>2298</v>
      </c>
      <c r="B823" s="4">
        <v>46137.638194444444</v>
      </c>
      <c r="C823" s="2" t="s">
        <v>16</v>
      </c>
      <c r="D823" s="2" t="s">
        <v>84</v>
      </c>
      <c r="E823" s="2" t="s">
        <v>90</v>
      </c>
      <c r="F823" s="2" t="s">
        <v>30</v>
      </c>
      <c r="G823" s="2" t="s">
        <v>31</v>
      </c>
      <c r="H823" s="2" t="s">
        <v>21</v>
      </c>
      <c r="I823" s="2">
        <v>24</v>
      </c>
      <c r="J823" s="2" t="s">
        <v>8580</v>
      </c>
      <c r="K823" s="4">
        <v>46138.363194444442</v>
      </c>
      <c r="L823" s="2" t="s">
        <v>24</v>
      </c>
      <c r="M823" s="2"/>
      <c r="N823" t="s">
        <v>8587</v>
      </c>
      <c r="O823" s="8">
        <f t="shared" si="24"/>
        <v>17.399999999965075</v>
      </c>
      <c r="P823" t="str">
        <f t="shared" si="25"/>
        <v>N/A</v>
      </c>
    </row>
    <row r="824" spans="1:16" x14ac:dyDescent="0.25">
      <c r="A824" s="2" t="s">
        <v>2301</v>
      </c>
      <c r="B824" s="4">
        <v>46246.307638888888</v>
      </c>
      <c r="C824" s="2" t="s">
        <v>16</v>
      </c>
      <c r="D824" s="2" t="s">
        <v>84</v>
      </c>
      <c r="E824" s="2" t="s">
        <v>90</v>
      </c>
      <c r="F824" s="2" t="s">
        <v>30</v>
      </c>
      <c r="G824" s="2" t="s">
        <v>179</v>
      </c>
      <c r="H824" s="2" t="s">
        <v>32</v>
      </c>
      <c r="I824" s="2">
        <v>48</v>
      </c>
      <c r="J824" s="2" t="s">
        <v>8580</v>
      </c>
      <c r="K824" s="4">
        <v>46246.63958333333</v>
      </c>
      <c r="L824" s="2" t="s">
        <v>24</v>
      </c>
      <c r="M824" s="2"/>
      <c r="N824" t="s">
        <v>8582</v>
      </c>
      <c r="O824" s="8">
        <f t="shared" si="24"/>
        <v>7.96666666661622</v>
      </c>
      <c r="P824" t="str">
        <f t="shared" si="25"/>
        <v>N/A</v>
      </c>
    </row>
    <row r="825" spans="1:16" x14ac:dyDescent="0.25">
      <c r="A825" s="2" t="s">
        <v>2304</v>
      </c>
      <c r="B825" s="4">
        <v>46042.995138888888</v>
      </c>
      <c r="C825" s="2" t="s">
        <v>16</v>
      </c>
      <c r="D825" s="2" t="s">
        <v>84</v>
      </c>
      <c r="E825" s="2" t="s">
        <v>18</v>
      </c>
      <c r="F825" s="2" t="s">
        <v>55</v>
      </c>
      <c r="G825" s="2" t="s">
        <v>179</v>
      </c>
      <c r="H825" s="2" t="s">
        <v>80</v>
      </c>
      <c r="I825" s="2">
        <v>4</v>
      </c>
      <c r="J825" s="2" t="s">
        <v>11</v>
      </c>
      <c r="K825" s="4" t="s">
        <v>8590</v>
      </c>
      <c r="L825" s="2" t="s">
        <v>92</v>
      </c>
      <c r="M825" s="2"/>
      <c r="N825" t="s">
        <v>8581</v>
      </c>
      <c r="O825" s="8" t="str">
        <f t="shared" si="24"/>
        <v/>
      </c>
      <c r="P825" t="str">
        <f t="shared" si="25"/>
        <v>N/A</v>
      </c>
    </row>
    <row r="826" spans="1:16" x14ac:dyDescent="0.25">
      <c r="A826" s="2" t="s">
        <v>2306</v>
      </c>
      <c r="B826" s="4">
        <v>46065.712500000001</v>
      </c>
      <c r="C826" s="2" t="s">
        <v>67</v>
      </c>
      <c r="D826" s="2" t="s">
        <v>95</v>
      </c>
      <c r="E826" s="2" t="s">
        <v>46</v>
      </c>
      <c r="F826" s="2" t="s">
        <v>55</v>
      </c>
      <c r="G826" s="2" t="s">
        <v>179</v>
      </c>
      <c r="H826" s="2" t="s">
        <v>74</v>
      </c>
      <c r="I826" s="2">
        <v>8</v>
      </c>
      <c r="J826" s="2" t="s">
        <v>106</v>
      </c>
      <c r="K826" s="4">
        <v>46065.870833333334</v>
      </c>
      <c r="L826" s="2" t="s">
        <v>24</v>
      </c>
      <c r="M826" s="2">
        <v>4</v>
      </c>
      <c r="N826" t="s">
        <v>8583</v>
      </c>
      <c r="O826" s="8">
        <f t="shared" si="24"/>
        <v>3.7999999999883585</v>
      </c>
      <c r="P826" t="str">
        <f t="shared" si="25"/>
        <v>Yes</v>
      </c>
    </row>
    <row r="827" spans="1:16" x14ac:dyDescent="0.25">
      <c r="A827" s="2" t="s">
        <v>2309</v>
      </c>
      <c r="B827" s="4">
        <v>46106.155555555553</v>
      </c>
      <c r="C827" s="2" t="s">
        <v>53</v>
      </c>
      <c r="D827" s="2" t="s">
        <v>54</v>
      </c>
      <c r="E827" s="2" t="s">
        <v>18</v>
      </c>
      <c r="F827" s="2" t="s">
        <v>30</v>
      </c>
      <c r="G827" s="2" t="s">
        <v>110</v>
      </c>
      <c r="H827" s="2" t="s">
        <v>21</v>
      </c>
      <c r="I827" s="2">
        <v>24</v>
      </c>
      <c r="J827" s="2" t="s">
        <v>106</v>
      </c>
      <c r="K827" s="4">
        <v>46106.374305555553</v>
      </c>
      <c r="L827" s="2" t="s">
        <v>24</v>
      </c>
      <c r="M827" s="2">
        <v>3</v>
      </c>
      <c r="N827" t="s">
        <v>8581</v>
      </c>
      <c r="O827" s="8">
        <f t="shared" si="24"/>
        <v>5.25</v>
      </c>
      <c r="P827" t="str">
        <f t="shared" si="25"/>
        <v>Yes</v>
      </c>
    </row>
    <row r="828" spans="1:16" x14ac:dyDescent="0.25">
      <c r="A828" s="2" t="s">
        <v>2312</v>
      </c>
      <c r="B828" s="4">
        <v>46052.378472222219</v>
      </c>
      <c r="C828" s="2" t="s">
        <v>67</v>
      </c>
      <c r="D828" s="2" t="s">
        <v>68</v>
      </c>
      <c r="E828" s="2" t="s">
        <v>46</v>
      </c>
      <c r="F828" s="2" t="s">
        <v>96</v>
      </c>
      <c r="G828" s="2" t="s">
        <v>101</v>
      </c>
      <c r="H828" s="2" t="s">
        <v>32</v>
      </c>
      <c r="I828" s="2">
        <v>48</v>
      </c>
      <c r="J828" s="2" t="s">
        <v>106</v>
      </c>
      <c r="K828" s="4">
        <v>46053.29791666667</v>
      </c>
      <c r="L828" s="2" t="s">
        <v>92</v>
      </c>
      <c r="M828" s="2">
        <v>4</v>
      </c>
      <c r="N828" t="s">
        <v>8586</v>
      </c>
      <c r="O828" s="8">
        <f t="shared" si="24"/>
        <v>22.066666666825768</v>
      </c>
      <c r="P828" t="str">
        <f t="shared" si="25"/>
        <v>Yes</v>
      </c>
    </row>
    <row r="829" spans="1:16" x14ac:dyDescent="0.25">
      <c r="A829" s="2" t="s">
        <v>2315</v>
      </c>
      <c r="B829" s="4">
        <v>46120.070833333331</v>
      </c>
      <c r="C829" s="2" t="s">
        <v>67</v>
      </c>
      <c r="D829" s="2" t="s">
        <v>95</v>
      </c>
      <c r="E829" s="2" t="s">
        <v>38</v>
      </c>
      <c r="F829" s="2" t="s">
        <v>113</v>
      </c>
      <c r="G829" s="2" t="s">
        <v>183</v>
      </c>
      <c r="H829" s="2" t="s">
        <v>74</v>
      </c>
      <c r="I829" s="2">
        <v>8</v>
      </c>
      <c r="J829" s="2" t="s">
        <v>106</v>
      </c>
      <c r="K829" s="4">
        <v>46120.340277777781</v>
      </c>
      <c r="L829" s="2" t="s">
        <v>24</v>
      </c>
      <c r="M829" s="2"/>
      <c r="N829" t="s">
        <v>8589</v>
      </c>
      <c r="O829" s="8">
        <f t="shared" si="24"/>
        <v>6.466666666790843</v>
      </c>
      <c r="P829" t="str">
        <f t="shared" si="25"/>
        <v>Yes</v>
      </c>
    </row>
    <row r="830" spans="1:16" x14ac:dyDescent="0.25">
      <c r="A830" s="2" t="s">
        <v>2318</v>
      </c>
      <c r="B830" s="4">
        <v>46034.814583333333</v>
      </c>
      <c r="C830" s="2" t="s">
        <v>53</v>
      </c>
      <c r="D830" s="2" t="s">
        <v>54</v>
      </c>
      <c r="E830" s="2" t="s">
        <v>18</v>
      </c>
      <c r="F830" s="2" t="s">
        <v>55</v>
      </c>
      <c r="G830" s="2" t="s">
        <v>179</v>
      </c>
      <c r="H830" s="2" t="s">
        <v>74</v>
      </c>
      <c r="I830" s="2">
        <v>8</v>
      </c>
      <c r="J830" s="2" t="s">
        <v>106</v>
      </c>
      <c r="K830" s="4">
        <v>46034.993750000001</v>
      </c>
      <c r="L830" s="2" t="s">
        <v>24</v>
      </c>
      <c r="M830" s="2">
        <v>2</v>
      </c>
      <c r="N830" t="s">
        <v>8585</v>
      </c>
      <c r="O830" s="8">
        <f t="shared" si="24"/>
        <v>4.3000000000465661</v>
      </c>
      <c r="P830" t="str">
        <f t="shared" si="25"/>
        <v>Yes</v>
      </c>
    </row>
    <row r="831" spans="1:16" x14ac:dyDescent="0.25">
      <c r="A831" s="2" t="s">
        <v>2321</v>
      </c>
      <c r="B831" s="4">
        <v>46043.521527777775</v>
      </c>
      <c r="C831" s="2" t="s">
        <v>16</v>
      </c>
      <c r="D831" s="2" t="s">
        <v>84</v>
      </c>
      <c r="E831" s="2" t="s">
        <v>18</v>
      </c>
      <c r="F831" s="2" t="s">
        <v>113</v>
      </c>
      <c r="G831" s="2" t="s">
        <v>179</v>
      </c>
      <c r="H831" s="2" t="s">
        <v>21</v>
      </c>
      <c r="I831" s="2">
        <v>24</v>
      </c>
      <c r="J831" s="2" t="s">
        <v>106</v>
      </c>
      <c r="K831" s="4">
        <v>46046.3125</v>
      </c>
      <c r="L831" s="2" t="s">
        <v>24</v>
      </c>
      <c r="M831" s="2">
        <v>4</v>
      </c>
      <c r="N831" t="s">
        <v>8589</v>
      </c>
      <c r="O831" s="8">
        <f t="shared" si="24"/>
        <v>66.983333333395422</v>
      </c>
      <c r="P831" t="str">
        <f t="shared" si="25"/>
        <v>No</v>
      </c>
    </row>
    <row r="832" spans="1:16" x14ac:dyDescent="0.25">
      <c r="A832" s="2" t="s">
        <v>2324</v>
      </c>
      <c r="B832" s="4">
        <v>46133.636111111111</v>
      </c>
      <c r="C832" s="2" t="s">
        <v>28</v>
      </c>
      <c r="D832" s="2" t="s">
        <v>37</v>
      </c>
      <c r="E832" s="2" t="s">
        <v>46</v>
      </c>
      <c r="F832" s="2" t="s">
        <v>113</v>
      </c>
      <c r="G832" s="2" t="s">
        <v>31</v>
      </c>
      <c r="H832" s="2" t="s">
        <v>74</v>
      </c>
      <c r="I832" s="2">
        <v>8</v>
      </c>
      <c r="J832" s="2" t="s">
        <v>75</v>
      </c>
      <c r="K832" s="4">
        <v>46133.802083333336</v>
      </c>
      <c r="L832" s="2" t="s">
        <v>24</v>
      </c>
      <c r="M832" s="2">
        <v>4</v>
      </c>
      <c r="N832" t="s">
        <v>8583</v>
      </c>
      <c r="O832" s="8">
        <f t="shared" si="24"/>
        <v>3.9833333333954215</v>
      </c>
      <c r="P832" t="str">
        <f t="shared" si="25"/>
        <v>N/A</v>
      </c>
    </row>
    <row r="833" spans="1:16" x14ac:dyDescent="0.25">
      <c r="A833" s="2" t="s">
        <v>2327</v>
      </c>
      <c r="B833" s="4">
        <v>46121.556944444441</v>
      </c>
      <c r="C833" s="2" t="s">
        <v>67</v>
      </c>
      <c r="D833" s="2" t="s">
        <v>95</v>
      </c>
      <c r="E833" s="2" t="s">
        <v>18</v>
      </c>
      <c r="F833" s="2" t="s">
        <v>113</v>
      </c>
      <c r="G833" s="2" t="s">
        <v>211</v>
      </c>
      <c r="H833" s="2" t="s">
        <v>32</v>
      </c>
      <c r="I833" s="2">
        <v>48</v>
      </c>
      <c r="J833" s="2" t="s">
        <v>106</v>
      </c>
      <c r="K833" s="4">
        <v>46122.777083333334</v>
      </c>
      <c r="L833" s="2" t="s">
        <v>24</v>
      </c>
      <c r="M833" s="2">
        <v>3</v>
      </c>
      <c r="N833" t="s">
        <v>8588</v>
      </c>
      <c r="O833" s="8">
        <f t="shared" si="24"/>
        <v>29.283333333441988</v>
      </c>
      <c r="P833" t="str">
        <f t="shared" si="25"/>
        <v>Yes</v>
      </c>
    </row>
    <row r="834" spans="1:16" x14ac:dyDescent="0.25">
      <c r="A834" s="2" t="s">
        <v>2330</v>
      </c>
      <c r="B834" s="4">
        <v>46088.74722222222</v>
      </c>
      <c r="C834" s="2" t="s">
        <v>67</v>
      </c>
      <c r="D834" s="2" t="s">
        <v>95</v>
      </c>
      <c r="E834" s="2" t="s">
        <v>38</v>
      </c>
      <c r="F834" s="2" t="s">
        <v>55</v>
      </c>
      <c r="G834" s="2" t="s">
        <v>179</v>
      </c>
      <c r="H834" s="2" t="s">
        <v>32</v>
      </c>
      <c r="I834" s="2">
        <v>48</v>
      </c>
      <c r="J834" s="2" t="s">
        <v>75</v>
      </c>
      <c r="K834" s="4">
        <v>46089.458333333336</v>
      </c>
      <c r="L834" s="2" t="s">
        <v>24</v>
      </c>
      <c r="M834" s="2">
        <v>3</v>
      </c>
      <c r="N834" t="s">
        <v>8587</v>
      </c>
      <c r="O834" s="8">
        <f t="shared" si="24"/>
        <v>17.06666666676756</v>
      </c>
      <c r="P834" t="str">
        <f t="shared" si="25"/>
        <v>N/A</v>
      </c>
    </row>
    <row r="835" spans="1:16" x14ac:dyDescent="0.25">
      <c r="A835" s="2" t="s">
        <v>2333</v>
      </c>
      <c r="B835" s="4">
        <v>46055.046527777777</v>
      </c>
      <c r="C835" s="2" t="s">
        <v>53</v>
      </c>
      <c r="D835" s="2" t="s">
        <v>61</v>
      </c>
      <c r="E835" s="2" t="s">
        <v>79</v>
      </c>
      <c r="F835" s="2" t="s">
        <v>55</v>
      </c>
      <c r="G835" s="2" t="s">
        <v>183</v>
      </c>
      <c r="H835" s="2" t="s">
        <v>32</v>
      </c>
      <c r="I835" s="2">
        <v>48</v>
      </c>
      <c r="J835" s="2" t="s">
        <v>106</v>
      </c>
      <c r="K835" s="4">
        <v>46060.314583333333</v>
      </c>
      <c r="L835" s="2" t="s">
        <v>24</v>
      </c>
      <c r="M835" s="2">
        <v>5</v>
      </c>
      <c r="N835" t="s">
        <v>8584</v>
      </c>
      <c r="O835" s="8">
        <f t="shared" ref="O835:O898" si="26">IF(K835="","",IF(K835="Missing Resolve Date","",(K835-B835)*24))</f>
        <v>126.43333333334886</v>
      </c>
      <c r="P835" t="str">
        <f t="shared" ref="P835:P898" si="27">IF(J835="Resolved",IF(O835&lt;=I835,"Yes","No"),"N/A")</f>
        <v>No</v>
      </c>
    </row>
    <row r="836" spans="1:16" x14ac:dyDescent="0.25">
      <c r="A836" s="2" t="s">
        <v>2336</v>
      </c>
      <c r="B836" s="4">
        <v>46043.144444444442</v>
      </c>
      <c r="C836" s="2" t="s">
        <v>67</v>
      </c>
      <c r="D836" s="2" t="s">
        <v>68</v>
      </c>
      <c r="E836" s="2" t="s">
        <v>46</v>
      </c>
      <c r="F836" s="2" t="s">
        <v>113</v>
      </c>
      <c r="G836" s="2" t="s">
        <v>183</v>
      </c>
      <c r="H836" s="2" t="s">
        <v>74</v>
      </c>
      <c r="I836" s="2">
        <v>8</v>
      </c>
      <c r="J836" s="2" t="s">
        <v>149</v>
      </c>
      <c r="K836" s="4" t="s">
        <v>8590</v>
      </c>
      <c r="L836" s="2" t="s">
        <v>24</v>
      </c>
      <c r="M836" s="2"/>
      <c r="N836" t="s">
        <v>8582</v>
      </c>
      <c r="O836" s="8" t="str">
        <f t="shared" si="26"/>
        <v/>
      </c>
      <c r="P836" t="str">
        <f t="shared" si="27"/>
        <v>N/A</v>
      </c>
    </row>
    <row r="837" spans="1:16" x14ac:dyDescent="0.25">
      <c r="A837" s="2" t="s">
        <v>2338</v>
      </c>
      <c r="B837" s="4">
        <v>46082.549305555556</v>
      </c>
      <c r="C837" s="2" t="s">
        <v>53</v>
      </c>
      <c r="D837" s="2" t="s">
        <v>61</v>
      </c>
      <c r="E837" s="2" t="s">
        <v>90</v>
      </c>
      <c r="F837" s="2" t="s">
        <v>96</v>
      </c>
      <c r="G837" s="2" t="s">
        <v>101</v>
      </c>
      <c r="H837" s="2" t="s">
        <v>21</v>
      </c>
      <c r="I837" s="2">
        <v>24</v>
      </c>
      <c r="J837" s="2" t="s">
        <v>11</v>
      </c>
      <c r="K837" s="4" t="s">
        <v>8590</v>
      </c>
      <c r="L837" s="2" t="s">
        <v>92</v>
      </c>
      <c r="M837" s="2"/>
      <c r="N837" t="s">
        <v>8584</v>
      </c>
      <c r="O837" s="8" t="str">
        <f t="shared" si="26"/>
        <v/>
      </c>
      <c r="P837" t="str">
        <f t="shared" si="27"/>
        <v>N/A</v>
      </c>
    </row>
    <row r="838" spans="1:16" x14ac:dyDescent="0.25">
      <c r="A838" s="2" t="s">
        <v>2340</v>
      </c>
      <c r="B838" s="4">
        <v>46143.98333333333</v>
      </c>
      <c r="C838" s="2" t="s">
        <v>67</v>
      </c>
      <c r="D838" s="2" t="s">
        <v>68</v>
      </c>
      <c r="E838" s="2" t="s">
        <v>46</v>
      </c>
      <c r="F838" s="2" t="s">
        <v>55</v>
      </c>
      <c r="G838" s="2" t="s">
        <v>179</v>
      </c>
      <c r="H838" s="2" t="s">
        <v>21</v>
      </c>
      <c r="I838" s="2">
        <v>24</v>
      </c>
      <c r="J838" s="2" t="s">
        <v>287</v>
      </c>
      <c r="K838" s="4" t="s">
        <v>8590</v>
      </c>
      <c r="L838" s="2" t="s">
        <v>24</v>
      </c>
      <c r="M838" s="2"/>
      <c r="N838" t="s">
        <v>8582</v>
      </c>
      <c r="O838" s="8" t="str">
        <f t="shared" si="26"/>
        <v/>
      </c>
      <c r="P838" t="str">
        <f t="shared" si="27"/>
        <v>N/A</v>
      </c>
    </row>
    <row r="839" spans="1:16" x14ac:dyDescent="0.25">
      <c r="A839" s="2" t="s">
        <v>2342</v>
      </c>
      <c r="B839" s="4">
        <v>46147.636805555558</v>
      </c>
      <c r="C839" s="2" t="s">
        <v>67</v>
      </c>
      <c r="D839" s="2" t="s">
        <v>95</v>
      </c>
      <c r="E839" s="2" t="s">
        <v>90</v>
      </c>
      <c r="F839" s="2" t="s">
        <v>113</v>
      </c>
      <c r="G839" s="2" t="s">
        <v>183</v>
      </c>
      <c r="H839" s="2" t="s">
        <v>32</v>
      </c>
      <c r="I839" s="2">
        <v>48</v>
      </c>
      <c r="J839" s="2" t="s">
        <v>75</v>
      </c>
      <c r="K839" s="4">
        <v>46148.988194444442</v>
      </c>
      <c r="L839" s="2" t="s">
        <v>24</v>
      </c>
      <c r="M839" s="2"/>
      <c r="N839" t="s">
        <v>8582</v>
      </c>
      <c r="O839" s="8">
        <f t="shared" si="26"/>
        <v>32.43333333323244</v>
      </c>
      <c r="P839" t="str">
        <f t="shared" si="27"/>
        <v>N/A</v>
      </c>
    </row>
    <row r="840" spans="1:16" x14ac:dyDescent="0.25">
      <c r="A840" s="2" t="s">
        <v>2345</v>
      </c>
      <c r="B840" s="4">
        <v>46199.034722222219</v>
      </c>
      <c r="C840" s="2" t="s">
        <v>53</v>
      </c>
      <c r="D840" s="2" t="s">
        <v>61</v>
      </c>
      <c r="E840" s="2" t="s">
        <v>38</v>
      </c>
      <c r="F840" s="2" t="s">
        <v>30</v>
      </c>
      <c r="G840" s="2" t="s">
        <v>110</v>
      </c>
      <c r="H840" s="2" t="s">
        <v>80</v>
      </c>
      <c r="I840" s="2">
        <v>4</v>
      </c>
      <c r="J840" s="2" t="s">
        <v>106</v>
      </c>
      <c r="K840" s="4">
        <v>46199.4</v>
      </c>
      <c r="L840" s="2" t="s">
        <v>24</v>
      </c>
      <c r="M840" s="2"/>
      <c r="N840" t="s">
        <v>8587</v>
      </c>
      <c r="O840" s="8">
        <f t="shared" si="26"/>
        <v>8.7666666667792015</v>
      </c>
      <c r="P840" t="str">
        <f t="shared" si="27"/>
        <v>No</v>
      </c>
    </row>
    <row r="841" spans="1:16" x14ac:dyDescent="0.25">
      <c r="A841" s="2" t="s">
        <v>2348</v>
      </c>
      <c r="B841" s="4">
        <v>46051.885416666664</v>
      </c>
      <c r="C841" s="2" t="s">
        <v>16</v>
      </c>
      <c r="D841" s="2" t="s">
        <v>84</v>
      </c>
      <c r="E841" s="2" t="s">
        <v>79</v>
      </c>
      <c r="F841" s="2" t="s">
        <v>55</v>
      </c>
      <c r="G841" s="2" t="s">
        <v>183</v>
      </c>
      <c r="H841" s="2" t="s">
        <v>21</v>
      </c>
      <c r="I841" s="2">
        <v>24</v>
      </c>
      <c r="J841" s="2" t="s">
        <v>75</v>
      </c>
      <c r="K841" s="4">
        <v>46052.203472222223</v>
      </c>
      <c r="L841" s="2" t="s">
        <v>24</v>
      </c>
      <c r="M841" s="2"/>
      <c r="N841" t="s">
        <v>8585</v>
      </c>
      <c r="O841" s="8">
        <f t="shared" si="26"/>
        <v>7.6333333334187046</v>
      </c>
      <c r="P841" t="str">
        <f t="shared" si="27"/>
        <v>N/A</v>
      </c>
    </row>
    <row r="842" spans="1:16" x14ac:dyDescent="0.25">
      <c r="A842" s="2" t="s">
        <v>2351</v>
      </c>
      <c r="B842" s="4">
        <v>46065.904166666667</v>
      </c>
      <c r="C842" s="2" t="s">
        <v>67</v>
      </c>
      <c r="D842" s="2" t="s">
        <v>95</v>
      </c>
      <c r="E842" s="2" t="s">
        <v>46</v>
      </c>
      <c r="F842" s="2" t="s">
        <v>30</v>
      </c>
      <c r="G842" s="2" t="s">
        <v>110</v>
      </c>
      <c r="H842" s="2" t="s">
        <v>21</v>
      </c>
      <c r="I842" s="2">
        <v>24</v>
      </c>
      <c r="J842" s="2" t="s">
        <v>11</v>
      </c>
      <c r="K842" s="4" t="s">
        <v>8590</v>
      </c>
      <c r="L842" s="2" t="s">
        <v>92</v>
      </c>
      <c r="M842" s="2"/>
      <c r="N842" t="s">
        <v>8586</v>
      </c>
      <c r="O842" s="8" t="str">
        <f t="shared" si="26"/>
        <v/>
      </c>
      <c r="P842" t="str">
        <f t="shared" si="27"/>
        <v>N/A</v>
      </c>
    </row>
    <row r="843" spans="1:16" x14ac:dyDescent="0.25">
      <c r="A843" s="2" t="s">
        <v>2353</v>
      </c>
      <c r="B843" s="4">
        <v>46188.168749999997</v>
      </c>
      <c r="C843" s="2" t="s">
        <v>67</v>
      </c>
      <c r="D843" s="2" t="s">
        <v>95</v>
      </c>
      <c r="E843" s="2" t="s">
        <v>38</v>
      </c>
      <c r="F843" s="2" t="s">
        <v>113</v>
      </c>
      <c r="G843" s="2" t="s">
        <v>211</v>
      </c>
      <c r="H843" s="2" t="s">
        <v>74</v>
      </c>
      <c r="I843" s="2">
        <v>8</v>
      </c>
      <c r="J843" s="2" t="s">
        <v>149</v>
      </c>
      <c r="K843" s="4" t="s">
        <v>8590</v>
      </c>
      <c r="L843" s="2" t="s">
        <v>24</v>
      </c>
      <c r="M843" s="2"/>
      <c r="N843" t="s">
        <v>8587</v>
      </c>
      <c r="O843" s="8" t="str">
        <f t="shared" si="26"/>
        <v/>
      </c>
      <c r="P843" t="str">
        <f t="shared" si="27"/>
        <v>N/A</v>
      </c>
    </row>
    <row r="844" spans="1:16" x14ac:dyDescent="0.25">
      <c r="A844" s="2" t="s">
        <v>2355</v>
      </c>
      <c r="B844" s="4">
        <v>46071.645833333336</v>
      </c>
      <c r="C844" s="2" t="s">
        <v>28</v>
      </c>
      <c r="D844" s="2" t="s">
        <v>37</v>
      </c>
      <c r="E844" s="2" t="s">
        <v>38</v>
      </c>
      <c r="F844" s="2" t="s">
        <v>113</v>
      </c>
      <c r="G844" s="2" t="s">
        <v>101</v>
      </c>
      <c r="H844" s="2" t="s">
        <v>74</v>
      </c>
      <c r="I844" s="2">
        <v>8</v>
      </c>
      <c r="J844" s="2" t="s">
        <v>75</v>
      </c>
      <c r="K844" s="4">
        <v>46071.8</v>
      </c>
      <c r="L844" s="2" t="s">
        <v>24</v>
      </c>
      <c r="M844" s="2"/>
      <c r="N844" t="s">
        <v>8589</v>
      </c>
      <c r="O844" s="8">
        <f t="shared" si="26"/>
        <v>3.7000000000116415</v>
      </c>
      <c r="P844" t="str">
        <f t="shared" si="27"/>
        <v>N/A</v>
      </c>
    </row>
    <row r="845" spans="1:16" x14ac:dyDescent="0.25">
      <c r="A845" s="2" t="s">
        <v>2358</v>
      </c>
      <c r="B845" s="4">
        <v>46051.631249999999</v>
      </c>
      <c r="C845" s="2" t="s">
        <v>16</v>
      </c>
      <c r="D845" s="2" t="s">
        <v>84</v>
      </c>
      <c r="E845" s="2" t="s">
        <v>148</v>
      </c>
      <c r="F845" s="2" t="s">
        <v>113</v>
      </c>
      <c r="G845" s="2" t="s">
        <v>31</v>
      </c>
      <c r="H845" s="2" t="s">
        <v>80</v>
      </c>
      <c r="I845" s="2">
        <v>4</v>
      </c>
      <c r="J845" s="2" t="s">
        <v>11</v>
      </c>
      <c r="K845" s="4" t="s">
        <v>8590</v>
      </c>
      <c r="L845" s="2" t="s">
        <v>92</v>
      </c>
      <c r="M845" s="2"/>
      <c r="N845" t="s">
        <v>8587</v>
      </c>
      <c r="O845" s="8" t="str">
        <f t="shared" si="26"/>
        <v/>
      </c>
      <c r="P845" t="str">
        <f t="shared" si="27"/>
        <v>N/A</v>
      </c>
    </row>
    <row r="846" spans="1:16" x14ac:dyDescent="0.25">
      <c r="A846" s="2" t="s">
        <v>2360</v>
      </c>
      <c r="B846" s="4">
        <v>46095.316666666666</v>
      </c>
      <c r="C846" s="2" t="s">
        <v>16</v>
      </c>
      <c r="D846" s="2" t="s">
        <v>84</v>
      </c>
      <c r="E846" s="2" t="s">
        <v>90</v>
      </c>
      <c r="F846" s="2" t="s">
        <v>96</v>
      </c>
      <c r="G846" s="2" t="s">
        <v>110</v>
      </c>
      <c r="H846" s="2" t="s">
        <v>32</v>
      </c>
      <c r="I846" s="2">
        <v>48</v>
      </c>
      <c r="J846" s="2" t="s">
        <v>11</v>
      </c>
      <c r="K846" s="4" t="s">
        <v>8590</v>
      </c>
      <c r="L846" s="2" t="s">
        <v>92</v>
      </c>
      <c r="M846" s="2"/>
      <c r="N846" t="s">
        <v>8589</v>
      </c>
      <c r="O846" s="8" t="str">
        <f t="shared" si="26"/>
        <v/>
      </c>
      <c r="P846" t="str">
        <f t="shared" si="27"/>
        <v>N/A</v>
      </c>
    </row>
    <row r="847" spans="1:16" x14ac:dyDescent="0.25">
      <c r="A847" s="2" t="s">
        <v>2362</v>
      </c>
      <c r="B847" s="4">
        <v>46261.599999999999</v>
      </c>
      <c r="C847" s="2" t="s">
        <v>53</v>
      </c>
      <c r="D847" s="2" t="s">
        <v>54</v>
      </c>
      <c r="E847" s="2" t="s">
        <v>46</v>
      </c>
      <c r="F847" s="2" t="s">
        <v>113</v>
      </c>
      <c r="G847" s="2" t="s">
        <v>110</v>
      </c>
      <c r="H847" s="2" t="s">
        <v>32</v>
      </c>
      <c r="I847" s="2">
        <v>48</v>
      </c>
      <c r="J847" s="2" t="s">
        <v>287</v>
      </c>
      <c r="K847" s="4" t="s">
        <v>8590</v>
      </c>
      <c r="L847" s="2" t="s">
        <v>24</v>
      </c>
      <c r="M847" s="2"/>
      <c r="N847" t="s">
        <v>8582</v>
      </c>
      <c r="O847" s="8" t="str">
        <f t="shared" si="26"/>
        <v/>
      </c>
      <c r="P847" t="str">
        <f t="shared" si="27"/>
        <v>N/A</v>
      </c>
    </row>
    <row r="848" spans="1:16" x14ac:dyDescent="0.25">
      <c r="A848" s="2" t="s">
        <v>2364</v>
      </c>
      <c r="B848" s="4">
        <v>46073.429166666669</v>
      </c>
      <c r="C848" s="2" t="s">
        <v>28</v>
      </c>
      <c r="D848" s="2" t="s">
        <v>100</v>
      </c>
      <c r="E848" s="2" t="s">
        <v>79</v>
      </c>
      <c r="F848" s="2" t="s">
        <v>30</v>
      </c>
      <c r="G848" s="2" t="s">
        <v>179</v>
      </c>
      <c r="H848" s="2" t="s">
        <v>74</v>
      </c>
      <c r="I848" s="2">
        <v>8</v>
      </c>
      <c r="J848" s="2" t="s">
        <v>106</v>
      </c>
      <c r="K848" s="4">
        <v>46073.57916666667</v>
      </c>
      <c r="L848" s="2" t="s">
        <v>24</v>
      </c>
      <c r="M848" s="2">
        <v>5</v>
      </c>
      <c r="N848" t="s">
        <v>8587</v>
      </c>
      <c r="O848" s="8">
        <f t="shared" si="26"/>
        <v>3.6000000000349246</v>
      </c>
      <c r="P848" t="str">
        <f t="shared" si="27"/>
        <v>Yes</v>
      </c>
    </row>
    <row r="849" spans="1:16" x14ac:dyDescent="0.25">
      <c r="A849" s="2" t="s">
        <v>2367</v>
      </c>
      <c r="B849" s="4">
        <v>46143.529861111114</v>
      </c>
      <c r="C849" s="2" t="s">
        <v>53</v>
      </c>
      <c r="D849" s="2" t="s">
        <v>61</v>
      </c>
      <c r="E849" s="2" t="s">
        <v>148</v>
      </c>
      <c r="F849" s="2" t="s">
        <v>113</v>
      </c>
      <c r="G849" s="2" t="s">
        <v>183</v>
      </c>
      <c r="H849" s="2" t="s">
        <v>32</v>
      </c>
      <c r="I849" s="2">
        <v>48</v>
      </c>
      <c r="J849" s="2" t="s">
        <v>106</v>
      </c>
      <c r="K849" s="4">
        <v>46148.663194444445</v>
      </c>
      <c r="L849" s="2" t="s">
        <v>24</v>
      </c>
      <c r="M849" s="2"/>
      <c r="N849" t="s">
        <v>8581</v>
      </c>
      <c r="O849" s="8">
        <f t="shared" si="26"/>
        <v>123.19999999995343</v>
      </c>
      <c r="P849" t="str">
        <f t="shared" si="27"/>
        <v>No</v>
      </c>
    </row>
    <row r="850" spans="1:16" x14ac:dyDescent="0.25">
      <c r="A850" s="2" t="s">
        <v>2370</v>
      </c>
      <c r="B850" s="4">
        <v>46051.911111111112</v>
      </c>
      <c r="C850" s="2" t="s">
        <v>67</v>
      </c>
      <c r="D850" s="2" t="s">
        <v>95</v>
      </c>
      <c r="E850" s="2" t="s">
        <v>79</v>
      </c>
      <c r="F850" s="2" t="s">
        <v>55</v>
      </c>
      <c r="G850" s="2" t="s">
        <v>179</v>
      </c>
      <c r="H850" s="2" t="s">
        <v>21</v>
      </c>
      <c r="I850" s="2">
        <v>24</v>
      </c>
      <c r="J850" s="2" t="s">
        <v>106</v>
      </c>
      <c r="K850" s="4">
        <v>46051.986805555556</v>
      </c>
      <c r="L850" s="2" t="s">
        <v>24</v>
      </c>
      <c r="M850" s="2">
        <v>4</v>
      </c>
      <c r="N850" t="s">
        <v>8582</v>
      </c>
      <c r="O850" s="8">
        <f t="shared" si="26"/>
        <v>1.8166666666511446</v>
      </c>
      <c r="P850" t="str">
        <f t="shared" si="27"/>
        <v>Yes</v>
      </c>
    </row>
    <row r="851" spans="1:16" x14ac:dyDescent="0.25">
      <c r="A851" s="2" t="s">
        <v>2373</v>
      </c>
      <c r="B851" s="4">
        <v>46027.857638888891</v>
      </c>
      <c r="C851" s="2" t="s">
        <v>28</v>
      </c>
      <c r="D851" s="2" t="s">
        <v>100</v>
      </c>
      <c r="E851" s="2" t="s">
        <v>90</v>
      </c>
      <c r="F851" s="2" t="s">
        <v>96</v>
      </c>
      <c r="G851" s="2" t="s">
        <v>110</v>
      </c>
      <c r="H851" s="2" t="s">
        <v>32</v>
      </c>
      <c r="I851" s="2">
        <v>48</v>
      </c>
      <c r="J851" s="2" t="s">
        <v>106</v>
      </c>
      <c r="K851" s="4">
        <v>46028.387499999997</v>
      </c>
      <c r="L851" s="2" t="s">
        <v>92</v>
      </c>
      <c r="M851" s="2"/>
      <c r="N851" t="s">
        <v>8587</v>
      </c>
      <c r="O851" s="8">
        <f t="shared" si="26"/>
        <v>12.716666666558012</v>
      </c>
      <c r="P851" t="str">
        <f t="shared" si="27"/>
        <v>Yes</v>
      </c>
    </row>
    <row r="852" spans="1:16" x14ac:dyDescent="0.25">
      <c r="A852" s="2" t="s">
        <v>2376</v>
      </c>
      <c r="B852" s="4">
        <v>46200.151388888888</v>
      </c>
      <c r="C852" s="2" t="s">
        <v>16</v>
      </c>
      <c r="D852" s="2" t="s">
        <v>84</v>
      </c>
      <c r="E852" s="2" t="s">
        <v>148</v>
      </c>
      <c r="F852" s="2" t="s">
        <v>96</v>
      </c>
      <c r="G852" s="2" t="s">
        <v>110</v>
      </c>
      <c r="H852" s="2" t="s">
        <v>74</v>
      </c>
      <c r="I852" s="2">
        <v>8</v>
      </c>
      <c r="J852" s="2" t="s">
        <v>106</v>
      </c>
      <c r="K852" s="4">
        <v>46200.181250000001</v>
      </c>
      <c r="L852" s="2" t="s">
        <v>24</v>
      </c>
      <c r="M852" s="2">
        <v>5</v>
      </c>
      <c r="N852" t="s">
        <v>8585</v>
      </c>
      <c r="O852" s="8">
        <f t="shared" si="26"/>
        <v>0.71666666673263535</v>
      </c>
      <c r="P852" t="str">
        <f t="shared" si="27"/>
        <v>Yes</v>
      </c>
    </row>
    <row r="853" spans="1:16" x14ac:dyDescent="0.25">
      <c r="A853" s="2" t="s">
        <v>2379</v>
      </c>
      <c r="B853" s="4">
        <v>46182.217361111114</v>
      </c>
      <c r="C853" s="2" t="s">
        <v>53</v>
      </c>
      <c r="D853" s="2" t="s">
        <v>54</v>
      </c>
      <c r="E853" s="2" t="s">
        <v>90</v>
      </c>
      <c r="F853" s="2" t="s">
        <v>96</v>
      </c>
      <c r="G853" s="2" t="s">
        <v>31</v>
      </c>
      <c r="H853" s="2" t="s">
        <v>21</v>
      </c>
      <c r="I853" s="2">
        <v>24</v>
      </c>
      <c r="J853" s="2" t="s">
        <v>11</v>
      </c>
      <c r="K853" s="4" t="s">
        <v>8590</v>
      </c>
      <c r="L853" s="2" t="s">
        <v>92</v>
      </c>
      <c r="M853" s="2"/>
      <c r="N853" t="s">
        <v>8583</v>
      </c>
      <c r="O853" s="8" t="str">
        <f t="shared" si="26"/>
        <v/>
      </c>
      <c r="P853" t="str">
        <f t="shared" si="27"/>
        <v>N/A</v>
      </c>
    </row>
    <row r="854" spans="1:16" x14ac:dyDescent="0.25">
      <c r="A854" s="2" t="s">
        <v>2381</v>
      </c>
      <c r="B854" s="4">
        <v>46028.680555555555</v>
      </c>
      <c r="C854" s="2" t="s">
        <v>67</v>
      </c>
      <c r="D854" s="2" t="s">
        <v>68</v>
      </c>
      <c r="E854" s="2" t="s">
        <v>79</v>
      </c>
      <c r="F854" s="2" t="s">
        <v>55</v>
      </c>
      <c r="G854" s="2" t="s">
        <v>211</v>
      </c>
      <c r="H854" s="2" t="s">
        <v>32</v>
      </c>
      <c r="I854" s="2">
        <v>48</v>
      </c>
      <c r="J854" s="2" t="s">
        <v>149</v>
      </c>
      <c r="K854" s="4" t="s">
        <v>8590</v>
      </c>
      <c r="L854" s="2" t="s">
        <v>24</v>
      </c>
      <c r="M854" s="2"/>
      <c r="N854" t="s">
        <v>8589</v>
      </c>
      <c r="O854" s="8" t="str">
        <f t="shared" si="26"/>
        <v/>
      </c>
      <c r="P854" t="str">
        <f t="shared" si="27"/>
        <v>N/A</v>
      </c>
    </row>
    <row r="855" spans="1:16" x14ac:dyDescent="0.25">
      <c r="A855" s="2" t="s">
        <v>2383</v>
      </c>
      <c r="B855" s="4">
        <v>46039.928472222222</v>
      </c>
      <c r="C855" s="2" t="s">
        <v>53</v>
      </c>
      <c r="D855" s="2" t="s">
        <v>61</v>
      </c>
      <c r="E855" s="2" t="s">
        <v>85</v>
      </c>
      <c r="F855" s="2" t="s">
        <v>30</v>
      </c>
      <c r="G855" s="2" t="s">
        <v>183</v>
      </c>
      <c r="H855" s="2" t="s">
        <v>74</v>
      </c>
      <c r="I855" s="2">
        <v>8</v>
      </c>
      <c r="J855" s="2" t="s">
        <v>75</v>
      </c>
      <c r="K855" s="4">
        <v>46040.298611111109</v>
      </c>
      <c r="L855" s="2" t="s">
        <v>24</v>
      </c>
      <c r="M855" s="2">
        <v>3</v>
      </c>
      <c r="N855" t="s">
        <v>8585</v>
      </c>
      <c r="O855" s="8">
        <f t="shared" si="26"/>
        <v>8.8833333333022892</v>
      </c>
      <c r="P855" t="str">
        <f t="shared" si="27"/>
        <v>N/A</v>
      </c>
    </row>
    <row r="856" spans="1:16" x14ac:dyDescent="0.25">
      <c r="A856" s="2" t="s">
        <v>2386</v>
      </c>
      <c r="B856" s="4">
        <v>46084.143055555556</v>
      </c>
      <c r="C856" s="2" t="s">
        <v>53</v>
      </c>
      <c r="D856" s="2" t="s">
        <v>54</v>
      </c>
      <c r="E856" s="2" t="s">
        <v>148</v>
      </c>
      <c r="F856" s="2" t="s">
        <v>96</v>
      </c>
      <c r="G856" s="2" t="s">
        <v>110</v>
      </c>
      <c r="H856" s="2" t="s">
        <v>21</v>
      </c>
      <c r="I856" s="2">
        <v>24</v>
      </c>
      <c r="J856" s="2" t="s">
        <v>75</v>
      </c>
      <c r="K856" s="4">
        <v>46085.55972222222</v>
      </c>
      <c r="L856" s="2" t="s">
        <v>24</v>
      </c>
      <c r="M856" s="2">
        <v>4</v>
      </c>
      <c r="N856" t="s">
        <v>8582</v>
      </c>
      <c r="O856" s="8">
        <f t="shared" si="26"/>
        <v>33.999999999941792</v>
      </c>
      <c r="P856" t="str">
        <f t="shared" si="27"/>
        <v>N/A</v>
      </c>
    </row>
    <row r="857" spans="1:16" x14ac:dyDescent="0.25">
      <c r="A857" s="2" t="s">
        <v>2389</v>
      </c>
      <c r="B857" s="4">
        <v>46119.215277777781</v>
      </c>
      <c r="C857" s="2" t="s">
        <v>28</v>
      </c>
      <c r="D857" s="2" t="s">
        <v>37</v>
      </c>
      <c r="E857" s="2" t="s">
        <v>38</v>
      </c>
      <c r="F857" s="2" t="s">
        <v>30</v>
      </c>
      <c r="G857" s="2" t="s">
        <v>31</v>
      </c>
      <c r="H857" s="2" t="s">
        <v>21</v>
      </c>
      <c r="I857" s="2">
        <v>24</v>
      </c>
      <c r="J857" s="2" t="s">
        <v>75</v>
      </c>
      <c r="K857" s="4">
        <v>46120.000694444447</v>
      </c>
      <c r="L857" s="2" t="s">
        <v>24</v>
      </c>
      <c r="M857" s="2"/>
      <c r="N857" t="s">
        <v>8589</v>
      </c>
      <c r="O857" s="8">
        <f t="shared" si="26"/>
        <v>18.849999999976717</v>
      </c>
      <c r="P857" t="str">
        <f t="shared" si="27"/>
        <v>N/A</v>
      </c>
    </row>
    <row r="858" spans="1:16" x14ac:dyDescent="0.25">
      <c r="A858" s="2" t="s">
        <v>2392</v>
      </c>
      <c r="B858" s="4">
        <v>46025.715277777781</v>
      </c>
      <c r="C858" s="2" t="s">
        <v>53</v>
      </c>
      <c r="D858" s="2" t="s">
        <v>61</v>
      </c>
      <c r="E858" s="2" t="s">
        <v>79</v>
      </c>
      <c r="F858" s="2" t="s">
        <v>96</v>
      </c>
      <c r="G858" s="2" t="s">
        <v>101</v>
      </c>
      <c r="H858" s="2" t="s">
        <v>21</v>
      </c>
      <c r="I858" s="2">
        <v>24</v>
      </c>
      <c r="J858" s="2" t="s">
        <v>75</v>
      </c>
      <c r="K858" s="4">
        <v>46028.690972222219</v>
      </c>
      <c r="L858" s="2" t="s">
        <v>24</v>
      </c>
      <c r="M858" s="2"/>
      <c r="N858" t="s">
        <v>8581</v>
      </c>
      <c r="O858" s="8">
        <f t="shared" si="26"/>
        <v>71.416666666511446</v>
      </c>
      <c r="P858" t="str">
        <f t="shared" si="27"/>
        <v>N/A</v>
      </c>
    </row>
    <row r="859" spans="1:16" x14ac:dyDescent="0.25">
      <c r="A859" s="2" t="s">
        <v>2395</v>
      </c>
      <c r="B859" s="4">
        <v>46143.056250000001</v>
      </c>
      <c r="C859" s="2" t="s">
        <v>28</v>
      </c>
      <c r="D859" s="2" t="s">
        <v>100</v>
      </c>
      <c r="E859" s="2" t="s">
        <v>148</v>
      </c>
      <c r="F859" s="2" t="s">
        <v>30</v>
      </c>
      <c r="G859" s="2" t="s">
        <v>183</v>
      </c>
      <c r="H859" s="2" t="s">
        <v>21</v>
      </c>
      <c r="I859" s="2">
        <v>24</v>
      </c>
      <c r="J859" s="2" t="s">
        <v>11</v>
      </c>
      <c r="K859" s="4" t="s">
        <v>8590</v>
      </c>
      <c r="L859" s="2" t="s">
        <v>92</v>
      </c>
      <c r="M859" s="2"/>
      <c r="N859" t="s">
        <v>8588</v>
      </c>
      <c r="O859" s="8" t="str">
        <f t="shared" si="26"/>
        <v/>
      </c>
      <c r="P859" t="str">
        <f t="shared" si="27"/>
        <v>N/A</v>
      </c>
    </row>
    <row r="860" spans="1:16" x14ac:dyDescent="0.25">
      <c r="A860" s="2" t="s">
        <v>2397</v>
      </c>
      <c r="B860" s="4">
        <v>46089.925694444442</v>
      </c>
      <c r="C860" s="2" t="s">
        <v>67</v>
      </c>
      <c r="D860" s="2" t="s">
        <v>68</v>
      </c>
      <c r="E860" s="2" t="s">
        <v>38</v>
      </c>
      <c r="F860" s="2" t="s">
        <v>113</v>
      </c>
      <c r="G860" s="2" t="s">
        <v>179</v>
      </c>
      <c r="H860" s="2" t="s">
        <v>32</v>
      </c>
      <c r="I860" s="2">
        <v>48</v>
      </c>
      <c r="J860" s="2" t="s">
        <v>106</v>
      </c>
      <c r="K860" s="4">
        <v>46092.578472222223</v>
      </c>
      <c r="L860" s="2" t="s">
        <v>24</v>
      </c>
      <c r="M860" s="2">
        <v>5</v>
      </c>
      <c r="N860" t="s">
        <v>8586</v>
      </c>
      <c r="O860" s="8">
        <f t="shared" si="26"/>
        <v>63.666666666744277</v>
      </c>
      <c r="P860" t="str">
        <f t="shared" si="27"/>
        <v>No</v>
      </c>
    </row>
    <row r="861" spans="1:16" x14ac:dyDescent="0.25">
      <c r="A861" s="2" t="s">
        <v>2400</v>
      </c>
      <c r="B861" s="4">
        <v>46073.53125</v>
      </c>
      <c r="C861" s="2" t="s">
        <v>28</v>
      </c>
      <c r="D861" s="2" t="s">
        <v>37</v>
      </c>
      <c r="E861" s="2" t="s">
        <v>79</v>
      </c>
      <c r="F861" s="2" t="s">
        <v>113</v>
      </c>
      <c r="G861" s="2" t="s">
        <v>101</v>
      </c>
      <c r="H861" s="2" t="s">
        <v>74</v>
      </c>
      <c r="I861" s="2">
        <v>8</v>
      </c>
      <c r="J861" s="2" t="s">
        <v>149</v>
      </c>
      <c r="K861" s="4" t="s">
        <v>8590</v>
      </c>
      <c r="L861" s="2" t="s">
        <v>24</v>
      </c>
      <c r="M861" s="2"/>
      <c r="N861" t="s">
        <v>8589</v>
      </c>
      <c r="O861" s="8" t="str">
        <f t="shared" si="26"/>
        <v/>
      </c>
      <c r="P861" t="str">
        <f t="shared" si="27"/>
        <v>N/A</v>
      </c>
    </row>
    <row r="862" spans="1:16" x14ac:dyDescent="0.25">
      <c r="A862" s="2" t="s">
        <v>2402</v>
      </c>
      <c r="B862" s="4">
        <v>46209.579861111109</v>
      </c>
      <c r="C862" s="2" t="s">
        <v>53</v>
      </c>
      <c r="D862" s="2" t="s">
        <v>61</v>
      </c>
      <c r="E862" s="2" t="s">
        <v>148</v>
      </c>
      <c r="F862" s="2" t="s">
        <v>55</v>
      </c>
      <c r="G862" s="2" t="s">
        <v>110</v>
      </c>
      <c r="H862" s="2" t="s">
        <v>74</v>
      </c>
      <c r="I862" s="2">
        <v>8</v>
      </c>
      <c r="J862" s="2" t="s">
        <v>106</v>
      </c>
      <c r="K862" s="4">
        <v>46209.694444444445</v>
      </c>
      <c r="L862" s="2" t="s">
        <v>24</v>
      </c>
      <c r="M862" s="2"/>
      <c r="N862" t="s">
        <v>8585</v>
      </c>
      <c r="O862" s="8">
        <f t="shared" si="26"/>
        <v>2.7500000000582077</v>
      </c>
      <c r="P862" t="str">
        <f t="shared" si="27"/>
        <v>Yes</v>
      </c>
    </row>
    <row r="863" spans="1:16" x14ac:dyDescent="0.25">
      <c r="A863" s="2" t="s">
        <v>2405</v>
      </c>
      <c r="B863" s="4">
        <v>46052.036111111112</v>
      </c>
      <c r="C863" s="2" t="s">
        <v>16</v>
      </c>
      <c r="D863" s="2" t="s">
        <v>84</v>
      </c>
      <c r="E863" s="2" t="s">
        <v>148</v>
      </c>
      <c r="F863" s="2" t="s">
        <v>30</v>
      </c>
      <c r="G863" s="2" t="s">
        <v>183</v>
      </c>
      <c r="H863" s="2" t="s">
        <v>74</v>
      </c>
      <c r="I863" s="2">
        <v>8</v>
      </c>
      <c r="J863" s="2" t="s">
        <v>75</v>
      </c>
      <c r="K863" s="4">
        <v>46052.103472222225</v>
      </c>
      <c r="L863" s="2" t="s">
        <v>24</v>
      </c>
      <c r="M863" s="2">
        <v>5</v>
      </c>
      <c r="N863" t="s">
        <v>8583</v>
      </c>
      <c r="O863" s="8">
        <f t="shared" si="26"/>
        <v>1.6166666666977108</v>
      </c>
      <c r="P863" t="str">
        <f t="shared" si="27"/>
        <v>N/A</v>
      </c>
    </row>
    <row r="864" spans="1:16" x14ac:dyDescent="0.25">
      <c r="A864" s="2" t="s">
        <v>2408</v>
      </c>
      <c r="B864" s="4">
        <v>46106.317361111112</v>
      </c>
      <c r="C864" s="2" t="s">
        <v>28</v>
      </c>
      <c r="D864" s="2" t="s">
        <v>37</v>
      </c>
      <c r="E864" s="2" t="s">
        <v>85</v>
      </c>
      <c r="F864" s="2" t="s">
        <v>55</v>
      </c>
      <c r="G864" s="2" t="s">
        <v>183</v>
      </c>
      <c r="H864" s="2" t="s">
        <v>21</v>
      </c>
      <c r="I864" s="2">
        <v>24</v>
      </c>
      <c r="J864" s="2" t="s">
        <v>149</v>
      </c>
      <c r="K864" s="4" t="s">
        <v>8590</v>
      </c>
      <c r="L864" s="2" t="s">
        <v>24</v>
      </c>
      <c r="M864" s="2"/>
      <c r="N864" t="s">
        <v>8589</v>
      </c>
      <c r="O864" s="8" t="str">
        <f t="shared" si="26"/>
        <v/>
      </c>
      <c r="P864" t="str">
        <f t="shared" si="27"/>
        <v>N/A</v>
      </c>
    </row>
    <row r="865" spans="1:16" x14ac:dyDescent="0.25">
      <c r="A865" s="2" t="s">
        <v>2410</v>
      </c>
      <c r="B865" s="4">
        <v>46256.262499999997</v>
      </c>
      <c r="C865" s="2" t="s">
        <v>53</v>
      </c>
      <c r="D865" s="2" t="s">
        <v>61</v>
      </c>
      <c r="E865" s="2" t="s">
        <v>18</v>
      </c>
      <c r="F865" s="2" t="s">
        <v>30</v>
      </c>
      <c r="G865" s="2" t="s">
        <v>101</v>
      </c>
      <c r="H865" s="2" t="s">
        <v>21</v>
      </c>
      <c r="I865" s="2">
        <v>24</v>
      </c>
      <c r="J865" s="2" t="s">
        <v>75</v>
      </c>
      <c r="K865" s="4">
        <v>46257.080555555556</v>
      </c>
      <c r="L865" s="2" t="s">
        <v>24</v>
      </c>
      <c r="M865" s="2">
        <v>4</v>
      </c>
      <c r="N865" t="s">
        <v>8585</v>
      </c>
      <c r="O865" s="8">
        <f t="shared" si="26"/>
        <v>19.633333333418705</v>
      </c>
      <c r="P865" t="str">
        <f t="shared" si="27"/>
        <v>N/A</v>
      </c>
    </row>
    <row r="866" spans="1:16" x14ac:dyDescent="0.25">
      <c r="A866" s="2" t="s">
        <v>2413</v>
      </c>
      <c r="B866" s="4">
        <v>46078.249305555553</v>
      </c>
      <c r="C866" s="2" t="s">
        <v>53</v>
      </c>
      <c r="D866" s="2" t="s">
        <v>61</v>
      </c>
      <c r="E866" s="2" t="s">
        <v>90</v>
      </c>
      <c r="F866" s="2" t="s">
        <v>55</v>
      </c>
      <c r="G866" s="2" t="s">
        <v>110</v>
      </c>
      <c r="H866" s="2" t="s">
        <v>21</v>
      </c>
      <c r="I866" s="2">
        <v>24</v>
      </c>
      <c r="J866" s="2" t="s">
        <v>106</v>
      </c>
      <c r="K866" s="4">
        <v>46079.017361111109</v>
      </c>
      <c r="L866" s="2" t="s">
        <v>24</v>
      </c>
      <c r="M866" s="2">
        <v>4</v>
      </c>
      <c r="N866" t="s">
        <v>8584</v>
      </c>
      <c r="O866" s="8">
        <f t="shared" si="26"/>
        <v>18.433333333348855</v>
      </c>
      <c r="P866" t="str">
        <f t="shared" si="27"/>
        <v>Yes</v>
      </c>
    </row>
    <row r="867" spans="1:16" x14ac:dyDescent="0.25">
      <c r="A867" s="2" t="s">
        <v>2416</v>
      </c>
      <c r="B867" s="4">
        <v>46259.678472222222</v>
      </c>
      <c r="C867" s="2" t="s">
        <v>16</v>
      </c>
      <c r="D867" s="2" t="s">
        <v>17</v>
      </c>
      <c r="E867" s="2" t="s">
        <v>85</v>
      </c>
      <c r="F867" s="2" t="s">
        <v>113</v>
      </c>
      <c r="G867" s="2" t="s">
        <v>183</v>
      </c>
      <c r="H867" s="2" t="s">
        <v>21</v>
      </c>
      <c r="I867" s="2">
        <v>24</v>
      </c>
      <c r="J867" s="2" t="s">
        <v>106</v>
      </c>
      <c r="K867" s="4">
        <v>46260.009722222225</v>
      </c>
      <c r="L867" s="2" t="s">
        <v>24</v>
      </c>
      <c r="M867" s="2">
        <v>5</v>
      </c>
      <c r="N867" t="s">
        <v>8587</v>
      </c>
      <c r="O867" s="8">
        <f t="shared" si="26"/>
        <v>7.9500000000698492</v>
      </c>
      <c r="P867" t="str">
        <f t="shared" si="27"/>
        <v>Yes</v>
      </c>
    </row>
    <row r="868" spans="1:16" x14ac:dyDescent="0.25">
      <c r="A868" s="2" t="s">
        <v>2419</v>
      </c>
      <c r="B868" s="4">
        <v>46226.946527777778</v>
      </c>
      <c r="C868" s="2" t="s">
        <v>67</v>
      </c>
      <c r="D868" s="2" t="s">
        <v>95</v>
      </c>
      <c r="E868" s="2" t="s">
        <v>46</v>
      </c>
      <c r="F868" s="2" t="s">
        <v>113</v>
      </c>
      <c r="G868" s="2" t="s">
        <v>101</v>
      </c>
      <c r="H868" s="2" t="s">
        <v>74</v>
      </c>
      <c r="I868" s="2">
        <v>8</v>
      </c>
      <c r="J868" s="2" t="s">
        <v>75</v>
      </c>
      <c r="K868" s="4">
        <v>46227.031944444447</v>
      </c>
      <c r="L868" s="2" t="s">
        <v>24</v>
      </c>
      <c r="M868" s="2">
        <v>4</v>
      </c>
      <c r="N868" t="s">
        <v>8589</v>
      </c>
      <c r="O868" s="8">
        <f t="shared" si="26"/>
        <v>2.0500000000465661</v>
      </c>
      <c r="P868" t="str">
        <f t="shared" si="27"/>
        <v>N/A</v>
      </c>
    </row>
    <row r="869" spans="1:16" x14ac:dyDescent="0.25">
      <c r="A869" s="2" t="s">
        <v>2422</v>
      </c>
      <c r="B869" s="4">
        <v>46248.850694444445</v>
      </c>
      <c r="C869" s="2" t="s">
        <v>53</v>
      </c>
      <c r="D869" s="2" t="s">
        <v>61</v>
      </c>
      <c r="E869" s="2" t="s">
        <v>18</v>
      </c>
      <c r="F869" s="2" t="s">
        <v>55</v>
      </c>
      <c r="G869" s="2" t="s">
        <v>31</v>
      </c>
      <c r="H869" s="2" t="s">
        <v>32</v>
      </c>
      <c r="I869" s="2">
        <v>48</v>
      </c>
      <c r="J869" s="2" t="s">
        <v>106</v>
      </c>
      <c r="K869" s="4">
        <v>46249.972222222219</v>
      </c>
      <c r="L869" s="2" t="s">
        <v>92</v>
      </c>
      <c r="M869" s="2">
        <v>4</v>
      </c>
      <c r="N869" t="s">
        <v>8581</v>
      </c>
      <c r="O869" s="8">
        <f t="shared" si="26"/>
        <v>26.916666666569654</v>
      </c>
      <c r="P869" t="str">
        <f t="shared" si="27"/>
        <v>Yes</v>
      </c>
    </row>
    <row r="870" spans="1:16" x14ac:dyDescent="0.25">
      <c r="A870" s="2" t="s">
        <v>2425</v>
      </c>
      <c r="B870" s="4">
        <v>46158.065972222219</v>
      </c>
      <c r="C870" s="2" t="s">
        <v>28</v>
      </c>
      <c r="D870" s="2" t="s">
        <v>100</v>
      </c>
      <c r="E870" s="2" t="s">
        <v>148</v>
      </c>
      <c r="F870" s="2" t="s">
        <v>96</v>
      </c>
      <c r="G870" s="2" t="s">
        <v>183</v>
      </c>
      <c r="H870" s="2" t="s">
        <v>21</v>
      </c>
      <c r="I870" s="2">
        <v>24</v>
      </c>
      <c r="J870" s="2" t="s">
        <v>75</v>
      </c>
      <c r="K870" s="4">
        <v>46158.807638888888</v>
      </c>
      <c r="L870" s="2" t="s">
        <v>24</v>
      </c>
      <c r="M870" s="2">
        <v>5</v>
      </c>
      <c r="N870" t="s">
        <v>8586</v>
      </c>
      <c r="O870" s="8">
        <f t="shared" si="26"/>
        <v>17.800000000046566</v>
      </c>
      <c r="P870" t="str">
        <f t="shared" si="27"/>
        <v>N/A</v>
      </c>
    </row>
    <row r="871" spans="1:16" x14ac:dyDescent="0.25">
      <c r="A871" s="2" t="s">
        <v>2428</v>
      </c>
      <c r="B871" s="4">
        <v>46033.130555555559</v>
      </c>
      <c r="C871" s="2" t="s">
        <v>28</v>
      </c>
      <c r="D871" s="2" t="s">
        <v>37</v>
      </c>
      <c r="E871" s="2" t="s">
        <v>18</v>
      </c>
      <c r="F871" s="2" t="s">
        <v>55</v>
      </c>
      <c r="G871" s="2" t="s">
        <v>101</v>
      </c>
      <c r="H871" s="2" t="s">
        <v>32</v>
      </c>
      <c r="I871" s="2">
        <v>48</v>
      </c>
      <c r="J871" s="2" t="s">
        <v>149</v>
      </c>
      <c r="K871" s="4" t="s">
        <v>8590</v>
      </c>
      <c r="L871" s="2" t="s">
        <v>24</v>
      </c>
      <c r="M871" s="2"/>
      <c r="N871" t="s">
        <v>8581</v>
      </c>
      <c r="O871" s="8" t="str">
        <f t="shared" si="26"/>
        <v/>
      </c>
      <c r="P871" t="str">
        <f t="shared" si="27"/>
        <v>N/A</v>
      </c>
    </row>
    <row r="872" spans="1:16" x14ac:dyDescent="0.25">
      <c r="A872" s="2" t="s">
        <v>2430</v>
      </c>
      <c r="B872" s="4">
        <v>46122.027777777781</v>
      </c>
      <c r="C872" s="2" t="s">
        <v>53</v>
      </c>
      <c r="D872" s="2" t="s">
        <v>54</v>
      </c>
      <c r="E872" s="2" t="s">
        <v>18</v>
      </c>
      <c r="F872" s="2" t="s">
        <v>113</v>
      </c>
      <c r="G872" s="2" t="s">
        <v>110</v>
      </c>
      <c r="H872" s="2" t="s">
        <v>32</v>
      </c>
      <c r="I872" s="2">
        <v>48</v>
      </c>
      <c r="J872" s="2" t="s">
        <v>75</v>
      </c>
      <c r="K872" s="4">
        <v>46122.415972222225</v>
      </c>
      <c r="L872" s="2" t="s">
        <v>92</v>
      </c>
      <c r="M872" s="2">
        <v>2</v>
      </c>
      <c r="N872" t="s">
        <v>8582</v>
      </c>
      <c r="O872" s="8">
        <f t="shared" si="26"/>
        <v>9.3166666666511446</v>
      </c>
      <c r="P872" t="str">
        <f t="shared" si="27"/>
        <v>N/A</v>
      </c>
    </row>
    <row r="873" spans="1:16" x14ac:dyDescent="0.25">
      <c r="A873" s="2" t="s">
        <v>2433</v>
      </c>
      <c r="B873" s="4">
        <v>46174.511805555558</v>
      </c>
      <c r="C873" s="2" t="s">
        <v>16</v>
      </c>
      <c r="D873" s="2" t="s">
        <v>84</v>
      </c>
      <c r="E873" s="2" t="s">
        <v>148</v>
      </c>
      <c r="F873" s="2" t="s">
        <v>96</v>
      </c>
      <c r="G873" s="2" t="s">
        <v>110</v>
      </c>
      <c r="H873" s="2" t="s">
        <v>21</v>
      </c>
      <c r="I873" s="2">
        <v>24</v>
      </c>
      <c r="J873" s="2" t="s">
        <v>8580</v>
      </c>
      <c r="K873" s="4">
        <v>46174.621527777781</v>
      </c>
      <c r="L873" s="2" t="s">
        <v>92</v>
      </c>
      <c r="M873" s="2"/>
      <c r="N873" t="s">
        <v>8587</v>
      </c>
      <c r="O873" s="8">
        <f t="shared" si="26"/>
        <v>2.6333333333604969</v>
      </c>
      <c r="P873" t="str">
        <f t="shared" si="27"/>
        <v>N/A</v>
      </c>
    </row>
    <row r="874" spans="1:16" x14ac:dyDescent="0.25">
      <c r="A874" s="2" t="s">
        <v>2436</v>
      </c>
      <c r="B874" s="4">
        <v>46052.986111111109</v>
      </c>
      <c r="C874" s="2" t="s">
        <v>16</v>
      </c>
      <c r="D874" s="2" t="s">
        <v>17</v>
      </c>
      <c r="E874" s="2" t="s">
        <v>79</v>
      </c>
      <c r="F874" s="2" t="s">
        <v>113</v>
      </c>
      <c r="G874" s="2" t="s">
        <v>211</v>
      </c>
      <c r="H874" s="2" t="s">
        <v>74</v>
      </c>
      <c r="I874" s="2">
        <v>8</v>
      </c>
      <c r="J874" s="2" t="s">
        <v>287</v>
      </c>
      <c r="K874" s="4" t="s">
        <v>8590</v>
      </c>
      <c r="L874" s="2" t="s">
        <v>24</v>
      </c>
      <c r="M874" s="2"/>
      <c r="N874" t="s">
        <v>8587</v>
      </c>
      <c r="O874" s="8" t="str">
        <f t="shared" si="26"/>
        <v/>
      </c>
      <c r="P874" t="str">
        <f t="shared" si="27"/>
        <v>N/A</v>
      </c>
    </row>
    <row r="875" spans="1:16" x14ac:dyDescent="0.25">
      <c r="A875" s="2" t="s">
        <v>2438</v>
      </c>
      <c r="B875" s="4">
        <v>46253.30972222222</v>
      </c>
      <c r="C875" s="2" t="s">
        <v>16</v>
      </c>
      <c r="D875" s="2" t="s">
        <v>17</v>
      </c>
      <c r="E875" s="2" t="s">
        <v>148</v>
      </c>
      <c r="F875" s="2" t="s">
        <v>30</v>
      </c>
      <c r="G875" s="2" t="s">
        <v>101</v>
      </c>
      <c r="H875" s="2" t="s">
        <v>32</v>
      </c>
      <c r="I875" s="2">
        <v>48</v>
      </c>
      <c r="J875" s="2" t="s">
        <v>11</v>
      </c>
      <c r="K875" s="4" t="s">
        <v>8590</v>
      </c>
      <c r="L875" s="2" t="s">
        <v>92</v>
      </c>
      <c r="M875" s="2"/>
      <c r="N875" t="s">
        <v>8586</v>
      </c>
      <c r="O875" s="8" t="str">
        <f t="shared" si="26"/>
        <v/>
      </c>
      <c r="P875" t="str">
        <f t="shared" si="27"/>
        <v>N/A</v>
      </c>
    </row>
    <row r="876" spans="1:16" x14ac:dyDescent="0.25">
      <c r="A876" s="2" t="s">
        <v>2440</v>
      </c>
      <c r="B876" s="4">
        <v>46214.570833333331</v>
      </c>
      <c r="C876" s="2" t="s">
        <v>28</v>
      </c>
      <c r="D876" s="2" t="s">
        <v>37</v>
      </c>
      <c r="E876" s="2" t="s">
        <v>38</v>
      </c>
      <c r="F876" s="2" t="s">
        <v>96</v>
      </c>
      <c r="G876" s="2" t="s">
        <v>211</v>
      </c>
      <c r="H876" s="2" t="s">
        <v>80</v>
      </c>
      <c r="I876" s="2">
        <v>4</v>
      </c>
      <c r="J876" s="2" t="s">
        <v>106</v>
      </c>
      <c r="K876" s="4">
        <v>46214.63958333333</v>
      </c>
      <c r="L876" s="2" t="s">
        <v>24</v>
      </c>
      <c r="M876" s="2">
        <v>5</v>
      </c>
      <c r="N876" t="s">
        <v>8589</v>
      </c>
      <c r="O876" s="8">
        <f t="shared" si="26"/>
        <v>1.6499999999650754</v>
      </c>
      <c r="P876" t="str">
        <f t="shared" si="27"/>
        <v>Yes</v>
      </c>
    </row>
    <row r="877" spans="1:16" x14ac:dyDescent="0.25">
      <c r="A877" s="2" t="s">
        <v>2443</v>
      </c>
      <c r="B877" s="4">
        <v>46246.499305555553</v>
      </c>
      <c r="C877" s="2" t="s">
        <v>67</v>
      </c>
      <c r="D877" s="2" t="s">
        <v>95</v>
      </c>
      <c r="E877" s="2" t="s">
        <v>85</v>
      </c>
      <c r="F877" s="2" t="s">
        <v>55</v>
      </c>
      <c r="G877" s="2" t="s">
        <v>183</v>
      </c>
      <c r="H877" s="2" t="s">
        <v>74</v>
      </c>
      <c r="I877" s="2">
        <v>8</v>
      </c>
      <c r="J877" s="2" t="s">
        <v>75</v>
      </c>
      <c r="K877" s="4">
        <v>46247.17291666667</v>
      </c>
      <c r="L877" s="2" t="s">
        <v>24</v>
      </c>
      <c r="M877" s="2"/>
      <c r="N877" t="s">
        <v>8588</v>
      </c>
      <c r="O877" s="8">
        <f t="shared" si="26"/>
        <v>16.166666666802485</v>
      </c>
      <c r="P877" t="str">
        <f t="shared" si="27"/>
        <v>N/A</v>
      </c>
    </row>
    <row r="878" spans="1:16" x14ac:dyDescent="0.25">
      <c r="A878" s="2" t="s">
        <v>2446</v>
      </c>
      <c r="B878" s="4">
        <v>46254.833333333336</v>
      </c>
      <c r="C878" s="2" t="s">
        <v>67</v>
      </c>
      <c r="D878" s="2" t="s">
        <v>68</v>
      </c>
      <c r="E878" s="2" t="s">
        <v>18</v>
      </c>
      <c r="F878" s="2" t="s">
        <v>30</v>
      </c>
      <c r="G878" s="2" t="s">
        <v>179</v>
      </c>
      <c r="H878" s="2" t="s">
        <v>21</v>
      </c>
      <c r="I878" s="2">
        <v>24</v>
      </c>
      <c r="J878" s="2" t="s">
        <v>106</v>
      </c>
      <c r="K878" s="4">
        <v>46255.366666666669</v>
      </c>
      <c r="L878" s="2" t="s">
        <v>24</v>
      </c>
      <c r="M878" s="2"/>
      <c r="N878" t="s">
        <v>8582</v>
      </c>
      <c r="O878" s="8">
        <f t="shared" si="26"/>
        <v>12.799999999988358</v>
      </c>
      <c r="P878" t="str">
        <f t="shared" si="27"/>
        <v>Yes</v>
      </c>
    </row>
    <row r="879" spans="1:16" x14ac:dyDescent="0.25">
      <c r="A879" s="2" t="s">
        <v>2449</v>
      </c>
      <c r="B879" s="4">
        <v>46243.265277777777</v>
      </c>
      <c r="C879" s="2" t="s">
        <v>16</v>
      </c>
      <c r="D879" s="2" t="s">
        <v>84</v>
      </c>
      <c r="E879" s="2" t="s">
        <v>90</v>
      </c>
      <c r="F879" s="2" t="s">
        <v>30</v>
      </c>
      <c r="G879" s="2" t="s">
        <v>110</v>
      </c>
      <c r="H879" s="2" t="s">
        <v>21</v>
      </c>
      <c r="I879" s="2">
        <v>24</v>
      </c>
      <c r="J879" s="2" t="s">
        <v>75</v>
      </c>
      <c r="K879" s="4">
        <v>46243.444444444445</v>
      </c>
      <c r="L879" s="2" t="s">
        <v>24</v>
      </c>
      <c r="M879" s="2">
        <v>4</v>
      </c>
      <c r="N879" t="s">
        <v>8585</v>
      </c>
      <c r="O879" s="8">
        <f t="shared" si="26"/>
        <v>4.3000000000465661</v>
      </c>
      <c r="P879" t="str">
        <f t="shared" si="27"/>
        <v>N/A</v>
      </c>
    </row>
    <row r="880" spans="1:16" x14ac:dyDescent="0.25">
      <c r="A880" s="2" t="s">
        <v>2452</v>
      </c>
      <c r="B880" s="4">
        <v>46068.021527777775</v>
      </c>
      <c r="C880" s="2" t="s">
        <v>28</v>
      </c>
      <c r="D880" s="2" t="s">
        <v>37</v>
      </c>
      <c r="E880" s="2" t="s">
        <v>46</v>
      </c>
      <c r="F880" s="2" t="s">
        <v>96</v>
      </c>
      <c r="G880" s="2" t="s">
        <v>179</v>
      </c>
      <c r="H880" s="2" t="s">
        <v>21</v>
      </c>
      <c r="I880" s="2">
        <v>24</v>
      </c>
      <c r="J880" s="2" t="s">
        <v>11</v>
      </c>
      <c r="K880" s="4" t="s">
        <v>8590</v>
      </c>
      <c r="L880" s="2" t="s">
        <v>92</v>
      </c>
      <c r="M880" s="2"/>
      <c r="N880" t="s">
        <v>8589</v>
      </c>
      <c r="O880" s="8" t="str">
        <f t="shared" si="26"/>
        <v/>
      </c>
      <c r="P880" t="str">
        <f t="shared" si="27"/>
        <v>N/A</v>
      </c>
    </row>
    <row r="881" spans="1:16" x14ac:dyDescent="0.25">
      <c r="A881" s="2" t="s">
        <v>2454</v>
      </c>
      <c r="B881" s="4">
        <v>46037.211805555555</v>
      </c>
      <c r="C881" s="2" t="s">
        <v>53</v>
      </c>
      <c r="D881" s="2" t="s">
        <v>54</v>
      </c>
      <c r="E881" s="2" t="s">
        <v>46</v>
      </c>
      <c r="F881" s="2" t="s">
        <v>55</v>
      </c>
      <c r="G881" s="2" t="s">
        <v>211</v>
      </c>
      <c r="H881" s="2" t="s">
        <v>21</v>
      </c>
      <c r="I881" s="2">
        <v>24</v>
      </c>
      <c r="J881" s="2" t="s">
        <v>11</v>
      </c>
      <c r="K881" s="4" t="s">
        <v>8590</v>
      </c>
      <c r="L881" s="2" t="s">
        <v>92</v>
      </c>
      <c r="M881" s="2"/>
      <c r="N881" t="s">
        <v>8584</v>
      </c>
      <c r="O881" s="8" t="str">
        <f t="shared" si="26"/>
        <v/>
      </c>
      <c r="P881" t="str">
        <f t="shared" si="27"/>
        <v>N/A</v>
      </c>
    </row>
    <row r="882" spans="1:16" x14ac:dyDescent="0.25">
      <c r="A882" s="2" t="s">
        <v>2456</v>
      </c>
      <c r="B882" s="4">
        <v>46183.881249999999</v>
      </c>
      <c r="C882" s="2" t="s">
        <v>53</v>
      </c>
      <c r="D882" s="2" t="s">
        <v>54</v>
      </c>
      <c r="E882" s="2" t="s">
        <v>38</v>
      </c>
      <c r="F882" s="2" t="s">
        <v>96</v>
      </c>
      <c r="G882" s="2" t="s">
        <v>101</v>
      </c>
      <c r="H882" s="2" t="s">
        <v>21</v>
      </c>
      <c r="I882" s="2">
        <v>24</v>
      </c>
      <c r="J882" s="2" t="s">
        <v>11</v>
      </c>
      <c r="K882" s="4" t="s">
        <v>8590</v>
      </c>
      <c r="L882" s="2" t="s">
        <v>92</v>
      </c>
      <c r="M882" s="2"/>
      <c r="N882" t="s">
        <v>8585</v>
      </c>
      <c r="O882" s="8" t="str">
        <f t="shared" si="26"/>
        <v/>
      </c>
      <c r="P882" t="str">
        <f t="shared" si="27"/>
        <v>N/A</v>
      </c>
    </row>
    <row r="883" spans="1:16" x14ac:dyDescent="0.25">
      <c r="A883" s="2" t="s">
        <v>2458</v>
      </c>
      <c r="B883" s="4">
        <v>46028.245138888888</v>
      </c>
      <c r="C883" s="2" t="s">
        <v>28</v>
      </c>
      <c r="D883" s="2" t="s">
        <v>100</v>
      </c>
      <c r="E883" s="2" t="s">
        <v>79</v>
      </c>
      <c r="F883" s="2" t="s">
        <v>55</v>
      </c>
      <c r="G883" s="2" t="s">
        <v>110</v>
      </c>
      <c r="H883" s="2" t="s">
        <v>74</v>
      </c>
      <c r="I883" s="2">
        <v>8</v>
      </c>
      <c r="J883" s="2" t="s">
        <v>8580</v>
      </c>
      <c r="K883" s="4">
        <v>46028.402083333334</v>
      </c>
      <c r="L883" s="2" t="s">
        <v>24</v>
      </c>
      <c r="M883" s="2"/>
      <c r="N883" t="s">
        <v>8583</v>
      </c>
      <c r="O883" s="8">
        <f t="shared" si="26"/>
        <v>3.7666666667209938</v>
      </c>
      <c r="P883" t="str">
        <f t="shared" si="27"/>
        <v>N/A</v>
      </c>
    </row>
    <row r="884" spans="1:16" x14ac:dyDescent="0.25">
      <c r="A884" s="2" t="s">
        <v>2461</v>
      </c>
      <c r="B884" s="4">
        <v>46144.914583333331</v>
      </c>
      <c r="C884" s="2" t="s">
        <v>28</v>
      </c>
      <c r="D884" s="2" t="s">
        <v>100</v>
      </c>
      <c r="E884" s="2" t="s">
        <v>38</v>
      </c>
      <c r="F884" s="2" t="s">
        <v>30</v>
      </c>
      <c r="G884" s="2" t="s">
        <v>179</v>
      </c>
      <c r="H884" s="2" t="s">
        <v>74</v>
      </c>
      <c r="I884" s="2">
        <v>8</v>
      </c>
      <c r="J884" s="2" t="s">
        <v>106</v>
      </c>
      <c r="K884" s="4">
        <v>46145.302777777775</v>
      </c>
      <c r="L884" s="2" t="s">
        <v>24</v>
      </c>
      <c r="M884" s="2"/>
      <c r="N884" t="s">
        <v>8586</v>
      </c>
      <c r="O884" s="8">
        <f t="shared" si="26"/>
        <v>9.3166666666511446</v>
      </c>
      <c r="P884" t="str">
        <f t="shared" si="27"/>
        <v>No</v>
      </c>
    </row>
    <row r="885" spans="1:16" x14ac:dyDescent="0.25">
      <c r="A885" s="2" t="s">
        <v>2464</v>
      </c>
      <c r="B885" s="4">
        <v>46080.74722222222</v>
      </c>
      <c r="C885" s="2" t="s">
        <v>16</v>
      </c>
      <c r="D885" s="2" t="s">
        <v>84</v>
      </c>
      <c r="E885" s="2" t="s">
        <v>148</v>
      </c>
      <c r="F885" s="2" t="s">
        <v>55</v>
      </c>
      <c r="G885" s="2" t="s">
        <v>31</v>
      </c>
      <c r="H885" s="2" t="s">
        <v>21</v>
      </c>
      <c r="I885" s="2">
        <v>24</v>
      </c>
      <c r="J885" s="2" t="s">
        <v>75</v>
      </c>
      <c r="K885" s="4">
        <v>46080.890277777777</v>
      </c>
      <c r="L885" s="2" t="s">
        <v>24</v>
      </c>
      <c r="M885" s="2">
        <v>4</v>
      </c>
      <c r="N885" t="s">
        <v>8583</v>
      </c>
      <c r="O885" s="8">
        <f t="shared" si="26"/>
        <v>3.4333333333488554</v>
      </c>
      <c r="P885" t="str">
        <f t="shared" si="27"/>
        <v>N/A</v>
      </c>
    </row>
    <row r="886" spans="1:16" x14ac:dyDescent="0.25">
      <c r="A886" s="2" t="s">
        <v>2467</v>
      </c>
      <c r="B886" s="4">
        <v>46130.772222222222</v>
      </c>
      <c r="C886" s="2" t="s">
        <v>16</v>
      </c>
      <c r="D886" s="2" t="s">
        <v>17</v>
      </c>
      <c r="E886" s="2" t="s">
        <v>46</v>
      </c>
      <c r="F886" s="2" t="s">
        <v>113</v>
      </c>
      <c r="G886" s="2" t="s">
        <v>31</v>
      </c>
      <c r="H886" s="2" t="s">
        <v>21</v>
      </c>
      <c r="I886" s="2">
        <v>24</v>
      </c>
      <c r="J886" s="2" t="s">
        <v>106</v>
      </c>
      <c r="K886" s="4">
        <v>46130.823611111111</v>
      </c>
      <c r="L886" s="2" t="s">
        <v>24</v>
      </c>
      <c r="M886" s="2"/>
      <c r="N886" t="s">
        <v>8583</v>
      </c>
      <c r="O886" s="8">
        <f t="shared" si="26"/>
        <v>1.2333333333372138</v>
      </c>
      <c r="P886" t="str">
        <f t="shared" si="27"/>
        <v>Yes</v>
      </c>
    </row>
    <row r="887" spans="1:16" x14ac:dyDescent="0.25">
      <c r="A887" s="2" t="s">
        <v>2470</v>
      </c>
      <c r="B887" s="4">
        <v>46257.01458333333</v>
      </c>
      <c r="C887" s="2" t="s">
        <v>16</v>
      </c>
      <c r="D887" s="2" t="s">
        <v>84</v>
      </c>
      <c r="E887" s="2" t="s">
        <v>79</v>
      </c>
      <c r="F887" s="2" t="s">
        <v>55</v>
      </c>
      <c r="G887" s="2" t="s">
        <v>110</v>
      </c>
      <c r="H887" s="2" t="s">
        <v>32</v>
      </c>
      <c r="I887" s="2">
        <v>48</v>
      </c>
      <c r="J887" s="2" t="s">
        <v>149</v>
      </c>
      <c r="K887" s="4" t="s">
        <v>8590</v>
      </c>
      <c r="L887" s="2" t="s">
        <v>24</v>
      </c>
      <c r="M887" s="2"/>
      <c r="N887" t="s">
        <v>8588</v>
      </c>
      <c r="O887" s="8" t="str">
        <f t="shared" si="26"/>
        <v/>
      </c>
      <c r="P887" t="str">
        <f t="shared" si="27"/>
        <v>N/A</v>
      </c>
    </row>
    <row r="888" spans="1:16" x14ac:dyDescent="0.25">
      <c r="A888" s="2" t="s">
        <v>2472</v>
      </c>
      <c r="B888" s="4">
        <v>46188.99722222222</v>
      </c>
      <c r="C888" s="2" t="s">
        <v>28</v>
      </c>
      <c r="D888" s="2" t="s">
        <v>37</v>
      </c>
      <c r="E888" s="2" t="s">
        <v>148</v>
      </c>
      <c r="F888" s="2" t="s">
        <v>30</v>
      </c>
      <c r="G888" s="2" t="s">
        <v>110</v>
      </c>
      <c r="H888" s="2" t="s">
        <v>32</v>
      </c>
      <c r="I888" s="2">
        <v>48</v>
      </c>
      <c r="J888" s="2" t="s">
        <v>106</v>
      </c>
      <c r="K888" s="4">
        <v>46189.792361111111</v>
      </c>
      <c r="L888" s="2" t="s">
        <v>24</v>
      </c>
      <c r="M888" s="2">
        <v>3</v>
      </c>
      <c r="N888" t="s">
        <v>8581</v>
      </c>
      <c r="O888" s="8">
        <f t="shared" si="26"/>
        <v>19.083333333372138</v>
      </c>
      <c r="P888" t="str">
        <f t="shared" si="27"/>
        <v>Yes</v>
      </c>
    </row>
    <row r="889" spans="1:16" x14ac:dyDescent="0.25">
      <c r="A889" s="2" t="s">
        <v>2475</v>
      </c>
      <c r="B889" s="4">
        <v>46217.76458333333</v>
      </c>
      <c r="C889" s="2" t="s">
        <v>16</v>
      </c>
      <c r="D889" s="2" t="s">
        <v>84</v>
      </c>
      <c r="E889" s="2" t="s">
        <v>18</v>
      </c>
      <c r="F889" s="2" t="s">
        <v>55</v>
      </c>
      <c r="G889" s="2" t="s">
        <v>211</v>
      </c>
      <c r="H889" s="2" t="s">
        <v>80</v>
      </c>
      <c r="I889" s="2">
        <v>4</v>
      </c>
      <c r="J889" s="2" t="s">
        <v>106</v>
      </c>
      <c r="K889" s="4">
        <v>46217.814583333333</v>
      </c>
      <c r="L889" s="2" t="s">
        <v>24</v>
      </c>
      <c r="M889" s="2">
        <v>5</v>
      </c>
      <c r="N889" t="s">
        <v>8582</v>
      </c>
      <c r="O889" s="8">
        <f t="shared" si="26"/>
        <v>1.2000000000698492</v>
      </c>
      <c r="P889" t="str">
        <f t="shared" si="27"/>
        <v>Yes</v>
      </c>
    </row>
    <row r="890" spans="1:16" x14ac:dyDescent="0.25">
      <c r="A890" s="2" t="s">
        <v>2478</v>
      </c>
      <c r="B890" s="4">
        <v>46176.736111111109</v>
      </c>
      <c r="C890" s="2" t="s">
        <v>53</v>
      </c>
      <c r="D890" s="2" t="s">
        <v>54</v>
      </c>
      <c r="E890" s="2" t="s">
        <v>46</v>
      </c>
      <c r="F890" s="2" t="s">
        <v>96</v>
      </c>
      <c r="G890" s="2" t="s">
        <v>179</v>
      </c>
      <c r="H890" s="2" t="s">
        <v>32</v>
      </c>
      <c r="I890" s="2">
        <v>48</v>
      </c>
      <c r="J890" s="2" t="s">
        <v>75</v>
      </c>
      <c r="K890" s="4">
        <v>46179.884722222225</v>
      </c>
      <c r="L890" s="2" t="s">
        <v>24</v>
      </c>
      <c r="M890" s="2">
        <v>5</v>
      </c>
      <c r="N890" t="s">
        <v>8588</v>
      </c>
      <c r="O890" s="8">
        <f t="shared" si="26"/>
        <v>75.56666666676756</v>
      </c>
      <c r="P890" t="str">
        <f t="shared" si="27"/>
        <v>N/A</v>
      </c>
    </row>
    <row r="891" spans="1:16" x14ac:dyDescent="0.25">
      <c r="A891" s="2" t="s">
        <v>2481</v>
      </c>
      <c r="B891" s="4">
        <v>46051.251388888886</v>
      </c>
      <c r="C891" s="2" t="s">
        <v>53</v>
      </c>
      <c r="D891" s="2" t="s">
        <v>54</v>
      </c>
      <c r="E891" s="2" t="s">
        <v>148</v>
      </c>
      <c r="F891" s="2" t="s">
        <v>55</v>
      </c>
      <c r="G891" s="2" t="s">
        <v>101</v>
      </c>
      <c r="H891" s="2" t="s">
        <v>21</v>
      </c>
      <c r="I891" s="2">
        <v>24</v>
      </c>
      <c r="J891" s="2" t="s">
        <v>106</v>
      </c>
      <c r="K891" s="4">
        <v>46051.540277777778</v>
      </c>
      <c r="L891" s="2" t="s">
        <v>24</v>
      </c>
      <c r="M891" s="2"/>
      <c r="N891" t="s">
        <v>8588</v>
      </c>
      <c r="O891" s="8">
        <f t="shared" si="26"/>
        <v>6.933333333407063</v>
      </c>
      <c r="P891" t="str">
        <f t="shared" si="27"/>
        <v>Yes</v>
      </c>
    </row>
    <row r="892" spans="1:16" x14ac:dyDescent="0.25">
      <c r="A892" s="2" t="s">
        <v>2484</v>
      </c>
      <c r="B892" s="4">
        <v>46255.851388888892</v>
      </c>
      <c r="C892" s="2" t="s">
        <v>67</v>
      </c>
      <c r="D892" s="2" t="s">
        <v>95</v>
      </c>
      <c r="E892" s="2" t="s">
        <v>46</v>
      </c>
      <c r="F892" s="2" t="s">
        <v>96</v>
      </c>
      <c r="G892" s="2" t="s">
        <v>211</v>
      </c>
      <c r="H892" s="2" t="s">
        <v>74</v>
      </c>
      <c r="I892" s="2">
        <v>8</v>
      </c>
      <c r="J892" s="2" t="s">
        <v>106</v>
      </c>
      <c r="K892" s="4" t="s">
        <v>8590</v>
      </c>
      <c r="L892" s="2" t="s">
        <v>24</v>
      </c>
      <c r="M892" s="2">
        <v>2</v>
      </c>
      <c r="N892" t="s">
        <v>8588</v>
      </c>
      <c r="O892" s="8" t="str">
        <f t="shared" si="26"/>
        <v/>
      </c>
      <c r="P892" t="str">
        <f t="shared" si="27"/>
        <v>No</v>
      </c>
    </row>
    <row r="893" spans="1:16" x14ac:dyDescent="0.25">
      <c r="A893" s="2" t="s">
        <v>2486</v>
      </c>
      <c r="B893" s="4">
        <v>46213.909722222219</v>
      </c>
      <c r="C893" s="2" t="s">
        <v>16</v>
      </c>
      <c r="D893" s="2" t="s">
        <v>17</v>
      </c>
      <c r="E893" s="2" t="s">
        <v>148</v>
      </c>
      <c r="F893" s="2" t="s">
        <v>55</v>
      </c>
      <c r="G893" s="2" t="s">
        <v>31</v>
      </c>
      <c r="H893" s="2" t="s">
        <v>21</v>
      </c>
      <c r="I893" s="2">
        <v>24</v>
      </c>
      <c r="J893" s="2" t="s">
        <v>11</v>
      </c>
      <c r="K893" s="4" t="s">
        <v>8590</v>
      </c>
      <c r="L893" s="2" t="s">
        <v>92</v>
      </c>
      <c r="M893" s="2"/>
      <c r="N893" t="s">
        <v>8582</v>
      </c>
      <c r="O893" s="8" t="str">
        <f t="shared" si="26"/>
        <v/>
      </c>
      <c r="P893" t="str">
        <f t="shared" si="27"/>
        <v>N/A</v>
      </c>
    </row>
    <row r="894" spans="1:16" x14ac:dyDescent="0.25">
      <c r="A894" s="2" t="s">
        <v>2488</v>
      </c>
      <c r="B894" s="4">
        <v>46102.669444444444</v>
      </c>
      <c r="C894" s="2" t="s">
        <v>16</v>
      </c>
      <c r="D894" s="2" t="s">
        <v>17</v>
      </c>
      <c r="E894" s="2" t="s">
        <v>85</v>
      </c>
      <c r="F894" s="2" t="s">
        <v>30</v>
      </c>
      <c r="G894" s="2" t="s">
        <v>211</v>
      </c>
      <c r="H894" s="2" t="s">
        <v>80</v>
      </c>
      <c r="I894" s="2">
        <v>4</v>
      </c>
      <c r="J894" s="2" t="s">
        <v>8580</v>
      </c>
      <c r="K894" s="4">
        <v>46103.151388888888</v>
      </c>
      <c r="L894" s="2" t="s">
        <v>24</v>
      </c>
      <c r="M894" s="2"/>
      <c r="N894" t="s">
        <v>8589</v>
      </c>
      <c r="O894" s="8">
        <f t="shared" si="26"/>
        <v>11.566666666651145</v>
      </c>
      <c r="P894" t="str">
        <f t="shared" si="27"/>
        <v>N/A</v>
      </c>
    </row>
    <row r="895" spans="1:16" x14ac:dyDescent="0.25">
      <c r="A895" s="2" t="s">
        <v>2491</v>
      </c>
      <c r="B895" s="4">
        <v>46114.290277777778</v>
      </c>
      <c r="C895" s="2" t="s">
        <v>16</v>
      </c>
      <c r="D895" s="2" t="s">
        <v>17</v>
      </c>
      <c r="E895" s="2" t="s">
        <v>18</v>
      </c>
      <c r="F895" s="2" t="s">
        <v>96</v>
      </c>
      <c r="G895" s="2" t="s">
        <v>110</v>
      </c>
      <c r="H895" s="2" t="s">
        <v>21</v>
      </c>
      <c r="I895" s="2">
        <v>24</v>
      </c>
      <c r="J895" s="2" t="s">
        <v>75</v>
      </c>
      <c r="K895" s="4" t="s">
        <v>8590</v>
      </c>
      <c r="L895" s="2" t="s">
        <v>92</v>
      </c>
      <c r="M895" s="2">
        <v>5</v>
      </c>
      <c r="N895" t="s">
        <v>8582</v>
      </c>
      <c r="O895" s="8" t="str">
        <f t="shared" si="26"/>
        <v/>
      </c>
      <c r="P895" t="str">
        <f t="shared" si="27"/>
        <v>N/A</v>
      </c>
    </row>
    <row r="896" spans="1:16" x14ac:dyDescent="0.25">
      <c r="A896" s="2" t="s">
        <v>2493</v>
      </c>
      <c r="B896" s="4">
        <v>46178.638888888891</v>
      </c>
      <c r="C896" s="2" t="s">
        <v>67</v>
      </c>
      <c r="D896" s="2" t="s">
        <v>95</v>
      </c>
      <c r="E896" s="2" t="s">
        <v>85</v>
      </c>
      <c r="F896" s="2" t="s">
        <v>55</v>
      </c>
      <c r="G896" s="2" t="s">
        <v>183</v>
      </c>
      <c r="H896" s="2" t="s">
        <v>21</v>
      </c>
      <c r="I896" s="2">
        <v>24</v>
      </c>
      <c r="J896" s="2" t="s">
        <v>106</v>
      </c>
      <c r="K896" s="4">
        <v>46178.830555555556</v>
      </c>
      <c r="L896" s="2" t="s">
        <v>24</v>
      </c>
      <c r="M896" s="2">
        <v>2</v>
      </c>
      <c r="N896" t="s">
        <v>8584</v>
      </c>
      <c r="O896" s="8">
        <f t="shared" si="26"/>
        <v>4.5999999999767169</v>
      </c>
      <c r="P896" t="str">
        <f t="shared" si="27"/>
        <v>Yes</v>
      </c>
    </row>
    <row r="897" spans="1:16" x14ac:dyDescent="0.25">
      <c r="A897" s="2" t="s">
        <v>2496</v>
      </c>
      <c r="B897" s="4">
        <v>46189.374305555553</v>
      </c>
      <c r="C897" s="2" t="s">
        <v>53</v>
      </c>
      <c r="D897" s="2" t="s">
        <v>54</v>
      </c>
      <c r="E897" s="2" t="s">
        <v>85</v>
      </c>
      <c r="F897" s="2" t="s">
        <v>113</v>
      </c>
      <c r="G897" s="2" t="s">
        <v>110</v>
      </c>
      <c r="H897" s="2" t="s">
        <v>21</v>
      </c>
      <c r="I897" s="2">
        <v>24</v>
      </c>
      <c r="J897" s="2" t="s">
        <v>149</v>
      </c>
      <c r="K897" s="4" t="s">
        <v>8590</v>
      </c>
      <c r="L897" s="2" t="s">
        <v>24</v>
      </c>
      <c r="M897" s="2"/>
      <c r="N897" t="s">
        <v>8582</v>
      </c>
      <c r="O897" s="8" t="str">
        <f t="shared" si="26"/>
        <v/>
      </c>
      <c r="P897" t="str">
        <f t="shared" si="27"/>
        <v>N/A</v>
      </c>
    </row>
    <row r="898" spans="1:16" x14ac:dyDescent="0.25">
      <c r="A898" s="2" t="s">
        <v>2498</v>
      </c>
      <c r="B898" s="4">
        <v>46179.501388888886</v>
      </c>
      <c r="C898" s="2" t="s">
        <v>16</v>
      </c>
      <c r="D898" s="2" t="s">
        <v>84</v>
      </c>
      <c r="E898" s="2" t="s">
        <v>148</v>
      </c>
      <c r="F898" s="2" t="s">
        <v>96</v>
      </c>
      <c r="G898" s="2" t="s">
        <v>110</v>
      </c>
      <c r="H898" s="2" t="s">
        <v>21</v>
      </c>
      <c r="I898" s="2">
        <v>24</v>
      </c>
      <c r="J898" s="2" t="s">
        <v>106</v>
      </c>
      <c r="K898" s="4">
        <v>46180.701388888891</v>
      </c>
      <c r="L898" s="2" t="s">
        <v>24</v>
      </c>
      <c r="M898" s="2"/>
      <c r="N898" t="s">
        <v>8587</v>
      </c>
      <c r="O898" s="8">
        <f t="shared" si="26"/>
        <v>28.800000000104774</v>
      </c>
      <c r="P898" t="str">
        <f t="shared" si="27"/>
        <v>No</v>
      </c>
    </row>
    <row r="899" spans="1:16" x14ac:dyDescent="0.25">
      <c r="A899" s="2" t="s">
        <v>2501</v>
      </c>
      <c r="B899" s="4">
        <v>46142.540277777778</v>
      </c>
      <c r="C899" s="2" t="s">
        <v>67</v>
      </c>
      <c r="D899" s="2" t="s">
        <v>68</v>
      </c>
      <c r="E899" s="2" t="s">
        <v>148</v>
      </c>
      <c r="F899" s="2" t="s">
        <v>96</v>
      </c>
      <c r="G899" s="2" t="s">
        <v>211</v>
      </c>
      <c r="H899" s="2" t="s">
        <v>80</v>
      </c>
      <c r="I899" s="2">
        <v>4</v>
      </c>
      <c r="J899" s="2" t="s">
        <v>287</v>
      </c>
      <c r="K899" s="4" t="s">
        <v>8590</v>
      </c>
      <c r="L899" s="2" t="s">
        <v>24</v>
      </c>
      <c r="M899" s="2"/>
      <c r="N899" t="s">
        <v>8588</v>
      </c>
      <c r="O899" s="8" t="str">
        <f t="shared" ref="O899:O962" si="28">IF(K899="","",IF(K899="Missing Resolve Date","",(K899-B899)*24))</f>
        <v/>
      </c>
      <c r="P899" t="str">
        <f t="shared" ref="P899:P962" si="29">IF(J899="Resolved",IF(O899&lt;=I899,"Yes","No"),"N/A")</f>
        <v>N/A</v>
      </c>
    </row>
    <row r="900" spans="1:16" x14ac:dyDescent="0.25">
      <c r="A900" s="2" t="s">
        <v>2503</v>
      </c>
      <c r="B900" s="4">
        <v>46118.688194444447</v>
      </c>
      <c r="C900" s="2" t="s">
        <v>16</v>
      </c>
      <c r="D900" s="2" t="s">
        <v>17</v>
      </c>
      <c r="E900" s="2" t="s">
        <v>90</v>
      </c>
      <c r="F900" s="2" t="s">
        <v>113</v>
      </c>
      <c r="G900" s="2" t="s">
        <v>31</v>
      </c>
      <c r="H900" s="2" t="s">
        <v>32</v>
      </c>
      <c r="I900" s="2">
        <v>48</v>
      </c>
      <c r="J900" s="2" t="s">
        <v>11</v>
      </c>
      <c r="K900" s="4" t="s">
        <v>8590</v>
      </c>
      <c r="L900" s="2" t="s">
        <v>92</v>
      </c>
      <c r="M900" s="2"/>
      <c r="N900" t="s">
        <v>8582</v>
      </c>
      <c r="O900" s="8" t="str">
        <f t="shared" si="28"/>
        <v/>
      </c>
      <c r="P900" t="str">
        <f t="shared" si="29"/>
        <v>N/A</v>
      </c>
    </row>
    <row r="901" spans="1:16" x14ac:dyDescent="0.25">
      <c r="A901" s="2" t="s">
        <v>2505</v>
      </c>
      <c r="B901" s="4">
        <v>46064.440972222219</v>
      </c>
      <c r="C901" s="2" t="s">
        <v>53</v>
      </c>
      <c r="D901" s="2" t="s">
        <v>54</v>
      </c>
      <c r="E901" s="2" t="s">
        <v>46</v>
      </c>
      <c r="F901" s="2" t="s">
        <v>113</v>
      </c>
      <c r="G901" s="2" t="s">
        <v>31</v>
      </c>
      <c r="H901" s="2" t="s">
        <v>74</v>
      </c>
      <c r="I901" s="2">
        <v>8</v>
      </c>
      <c r="J901" s="2" t="s">
        <v>11</v>
      </c>
      <c r="K901" s="4" t="s">
        <v>8590</v>
      </c>
      <c r="L901" s="2" t="s">
        <v>92</v>
      </c>
      <c r="M901" s="2"/>
      <c r="N901" t="s">
        <v>8588</v>
      </c>
      <c r="O901" s="8" t="str">
        <f t="shared" si="28"/>
        <v/>
      </c>
      <c r="P901" t="str">
        <f t="shared" si="29"/>
        <v>N/A</v>
      </c>
    </row>
    <row r="902" spans="1:16" x14ac:dyDescent="0.25">
      <c r="A902" s="2" t="s">
        <v>2507</v>
      </c>
      <c r="B902" s="4">
        <v>46186.657638888886</v>
      </c>
      <c r="C902" s="2" t="s">
        <v>53</v>
      </c>
      <c r="D902" s="2" t="s">
        <v>54</v>
      </c>
      <c r="E902" s="2" t="s">
        <v>38</v>
      </c>
      <c r="F902" s="2" t="s">
        <v>96</v>
      </c>
      <c r="G902" s="2" t="s">
        <v>101</v>
      </c>
      <c r="H902" s="2" t="s">
        <v>80</v>
      </c>
      <c r="I902" s="2">
        <v>4</v>
      </c>
      <c r="J902" s="2" t="s">
        <v>106</v>
      </c>
      <c r="K902" s="4">
        <v>46186.755555555559</v>
      </c>
      <c r="L902" s="2" t="s">
        <v>24</v>
      </c>
      <c r="M902" s="2">
        <v>2</v>
      </c>
      <c r="N902" t="s">
        <v>8589</v>
      </c>
      <c r="O902" s="8">
        <f t="shared" si="28"/>
        <v>2.3500000001513399</v>
      </c>
      <c r="P902" t="str">
        <f t="shared" si="29"/>
        <v>Yes</v>
      </c>
    </row>
    <row r="903" spans="1:16" x14ac:dyDescent="0.25">
      <c r="A903" s="2" t="s">
        <v>2510</v>
      </c>
      <c r="B903" s="4">
        <v>46256.70416666667</v>
      </c>
      <c r="C903" s="2" t="s">
        <v>28</v>
      </c>
      <c r="D903" s="2" t="s">
        <v>37</v>
      </c>
      <c r="E903" s="2" t="s">
        <v>148</v>
      </c>
      <c r="F903" s="2" t="s">
        <v>113</v>
      </c>
      <c r="G903" s="2" t="s">
        <v>110</v>
      </c>
      <c r="H903" s="2" t="s">
        <v>21</v>
      </c>
      <c r="I903" s="2">
        <v>24</v>
      </c>
      <c r="J903" s="2" t="s">
        <v>11</v>
      </c>
      <c r="K903" s="4" t="s">
        <v>8590</v>
      </c>
      <c r="L903" s="2" t="s">
        <v>92</v>
      </c>
      <c r="M903" s="2"/>
      <c r="N903" t="s">
        <v>8587</v>
      </c>
      <c r="O903" s="8" t="str">
        <f t="shared" si="28"/>
        <v/>
      </c>
      <c r="P903" t="str">
        <f t="shared" si="29"/>
        <v>N/A</v>
      </c>
    </row>
    <row r="904" spans="1:16" x14ac:dyDescent="0.25">
      <c r="A904" s="2" t="s">
        <v>2512</v>
      </c>
      <c r="B904" s="4">
        <v>46162.550694444442</v>
      </c>
      <c r="C904" s="2" t="s">
        <v>28</v>
      </c>
      <c r="D904" s="2" t="s">
        <v>37</v>
      </c>
      <c r="E904" s="2" t="s">
        <v>85</v>
      </c>
      <c r="F904" s="2" t="s">
        <v>113</v>
      </c>
      <c r="G904" s="2" t="s">
        <v>110</v>
      </c>
      <c r="H904" s="2" t="s">
        <v>32</v>
      </c>
      <c r="I904" s="2">
        <v>48</v>
      </c>
      <c r="J904" s="2" t="s">
        <v>287</v>
      </c>
      <c r="K904" s="4" t="s">
        <v>8590</v>
      </c>
      <c r="L904" s="2" t="s">
        <v>24</v>
      </c>
      <c r="M904" s="2"/>
      <c r="N904" t="s">
        <v>8589</v>
      </c>
      <c r="O904" s="8" t="str">
        <f t="shared" si="28"/>
        <v/>
      </c>
      <c r="P904" t="str">
        <f t="shared" si="29"/>
        <v>N/A</v>
      </c>
    </row>
    <row r="905" spans="1:16" x14ac:dyDescent="0.25">
      <c r="A905" s="2" t="s">
        <v>2514</v>
      </c>
      <c r="B905" s="4">
        <v>46172.006944444445</v>
      </c>
      <c r="C905" s="2" t="s">
        <v>16</v>
      </c>
      <c r="D905" s="2" t="s">
        <v>84</v>
      </c>
      <c r="E905" s="2" t="s">
        <v>18</v>
      </c>
      <c r="F905" s="2" t="s">
        <v>113</v>
      </c>
      <c r="G905" s="2" t="s">
        <v>110</v>
      </c>
      <c r="H905" s="2" t="s">
        <v>32</v>
      </c>
      <c r="I905" s="2">
        <v>48</v>
      </c>
      <c r="J905" s="2" t="s">
        <v>75</v>
      </c>
      <c r="K905" s="4">
        <v>46173.040972222225</v>
      </c>
      <c r="L905" s="2" t="s">
        <v>24</v>
      </c>
      <c r="M905" s="2">
        <v>1</v>
      </c>
      <c r="N905" t="s">
        <v>8586</v>
      </c>
      <c r="O905" s="8">
        <f t="shared" si="28"/>
        <v>24.816666666709352</v>
      </c>
      <c r="P905" t="str">
        <f t="shared" si="29"/>
        <v>N/A</v>
      </c>
    </row>
    <row r="906" spans="1:16" x14ac:dyDescent="0.25">
      <c r="A906" s="2" t="s">
        <v>2517</v>
      </c>
      <c r="B906" s="4">
        <v>46076.352777777778</v>
      </c>
      <c r="C906" s="2" t="s">
        <v>67</v>
      </c>
      <c r="D906" s="2" t="s">
        <v>68</v>
      </c>
      <c r="E906" s="2" t="s">
        <v>90</v>
      </c>
      <c r="F906" s="2" t="s">
        <v>96</v>
      </c>
      <c r="G906" s="2" t="s">
        <v>183</v>
      </c>
      <c r="H906" s="2" t="s">
        <v>74</v>
      </c>
      <c r="I906" s="2">
        <v>8</v>
      </c>
      <c r="J906" s="2" t="s">
        <v>149</v>
      </c>
      <c r="K906" s="4" t="s">
        <v>8590</v>
      </c>
      <c r="L906" s="2" t="s">
        <v>24</v>
      </c>
      <c r="M906" s="2"/>
      <c r="N906" t="s">
        <v>8586</v>
      </c>
      <c r="O906" s="8" t="str">
        <f t="shared" si="28"/>
        <v/>
      </c>
      <c r="P906" t="str">
        <f t="shared" si="29"/>
        <v>N/A</v>
      </c>
    </row>
    <row r="907" spans="1:16" x14ac:dyDescent="0.25">
      <c r="A907" s="2" t="s">
        <v>2519</v>
      </c>
      <c r="B907" s="4">
        <v>46046.561805555553</v>
      </c>
      <c r="C907" s="2" t="s">
        <v>16</v>
      </c>
      <c r="D907" s="2" t="s">
        <v>17</v>
      </c>
      <c r="E907" s="2" t="s">
        <v>90</v>
      </c>
      <c r="F907" s="2" t="s">
        <v>30</v>
      </c>
      <c r="G907" s="2" t="s">
        <v>183</v>
      </c>
      <c r="H907" s="2" t="s">
        <v>32</v>
      </c>
      <c r="I907" s="2">
        <v>48</v>
      </c>
      <c r="J907" s="2" t="s">
        <v>149</v>
      </c>
      <c r="K907" s="4" t="s">
        <v>8590</v>
      </c>
      <c r="L907" s="2" t="s">
        <v>24</v>
      </c>
      <c r="M907" s="2"/>
      <c r="N907" t="s">
        <v>8581</v>
      </c>
      <c r="O907" s="8" t="str">
        <f t="shared" si="28"/>
        <v/>
      </c>
      <c r="P907" t="str">
        <f t="shared" si="29"/>
        <v>N/A</v>
      </c>
    </row>
    <row r="908" spans="1:16" x14ac:dyDescent="0.25">
      <c r="A908" s="2" t="s">
        <v>2521</v>
      </c>
      <c r="B908" s="4">
        <v>46139.177777777775</v>
      </c>
      <c r="C908" s="2" t="s">
        <v>28</v>
      </c>
      <c r="D908" s="2" t="s">
        <v>37</v>
      </c>
      <c r="E908" s="2" t="s">
        <v>46</v>
      </c>
      <c r="F908" s="2" t="s">
        <v>113</v>
      </c>
      <c r="G908" s="2" t="s">
        <v>183</v>
      </c>
      <c r="H908" s="2" t="s">
        <v>32</v>
      </c>
      <c r="I908" s="2">
        <v>48</v>
      </c>
      <c r="J908" s="2" t="s">
        <v>75</v>
      </c>
      <c r="K908" s="4">
        <v>46145.147916666669</v>
      </c>
      <c r="L908" s="2" t="s">
        <v>24</v>
      </c>
      <c r="M908" s="2"/>
      <c r="N908" t="s">
        <v>8588</v>
      </c>
      <c r="O908" s="8">
        <f t="shared" si="28"/>
        <v>143.28333333344199</v>
      </c>
      <c r="P908" t="str">
        <f t="shared" si="29"/>
        <v>N/A</v>
      </c>
    </row>
    <row r="909" spans="1:16" x14ac:dyDescent="0.25">
      <c r="A909" s="2" t="s">
        <v>2524</v>
      </c>
      <c r="B909" s="4">
        <v>46261.143750000003</v>
      </c>
      <c r="C909" s="2" t="s">
        <v>28</v>
      </c>
      <c r="D909" s="2" t="s">
        <v>100</v>
      </c>
      <c r="E909" s="2" t="s">
        <v>85</v>
      </c>
      <c r="F909" s="2" t="s">
        <v>30</v>
      </c>
      <c r="G909" s="2" t="s">
        <v>179</v>
      </c>
      <c r="H909" s="2" t="s">
        <v>21</v>
      </c>
      <c r="I909" s="2">
        <v>24</v>
      </c>
      <c r="J909" s="2" t="s">
        <v>75</v>
      </c>
      <c r="K909" s="4">
        <v>46261.224999999999</v>
      </c>
      <c r="L909" s="2" t="s">
        <v>24</v>
      </c>
      <c r="M909" s="2">
        <v>3</v>
      </c>
      <c r="N909" t="s">
        <v>8586</v>
      </c>
      <c r="O909" s="8">
        <f t="shared" si="28"/>
        <v>1.9499999998952262</v>
      </c>
      <c r="P909" t="str">
        <f t="shared" si="29"/>
        <v>N/A</v>
      </c>
    </row>
    <row r="910" spans="1:16" x14ac:dyDescent="0.25">
      <c r="A910" s="2" t="s">
        <v>2527</v>
      </c>
      <c r="B910" s="4">
        <v>46136.854861111111</v>
      </c>
      <c r="C910" s="2" t="s">
        <v>16</v>
      </c>
      <c r="D910" s="2" t="s">
        <v>84</v>
      </c>
      <c r="E910" s="2" t="s">
        <v>90</v>
      </c>
      <c r="F910" s="2" t="s">
        <v>55</v>
      </c>
      <c r="G910" s="2" t="s">
        <v>31</v>
      </c>
      <c r="H910" s="2" t="s">
        <v>74</v>
      </c>
      <c r="I910" s="2">
        <v>8</v>
      </c>
      <c r="J910" s="2" t="s">
        <v>11</v>
      </c>
      <c r="K910" s="4" t="s">
        <v>8590</v>
      </c>
      <c r="L910" s="2" t="s">
        <v>92</v>
      </c>
      <c r="M910" s="2"/>
      <c r="N910" t="s">
        <v>8584</v>
      </c>
      <c r="O910" s="8" t="str">
        <f t="shared" si="28"/>
        <v/>
      </c>
      <c r="P910" t="str">
        <f t="shared" si="29"/>
        <v>N/A</v>
      </c>
    </row>
    <row r="911" spans="1:16" x14ac:dyDescent="0.25">
      <c r="A911" s="2" t="s">
        <v>2529</v>
      </c>
      <c r="B911" s="4">
        <v>46206.678472222222</v>
      </c>
      <c r="C911" s="2" t="s">
        <v>53</v>
      </c>
      <c r="D911" s="2" t="s">
        <v>61</v>
      </c>
      <c r="E911" s="2" t="s">
        <v>46</v>
      </c>
      <c r="F911" s="2" t="s">
        <v>30</v>
      </c>
      <c r="G911" s="2" t="s">
        <v>211</v>
      </c>
      <c r="H911" s="2" t="s">
        <v>32</v>
      </c>
      <c r="I911" s="2">
        <v>48</v>
      </c>
      <c r="J911" s="2" t="s">
        <v>106</v>
      </c>
      <c r="K911" s="4">
        <v>46206.887499999997</v>
      </c>
      <c r="L911" s="2" t="s">
        <v>24</v>
      </c>
      <c r="M911" s="2"/>
      <c r="N911" t="s">
        <v>8586</v>
      </c>
      <c r="O911" s="8">
        <f t="shared" si="28"/>
        <v>5.0166666666045785</v>
      </c>
      <c r="P911" t="str">
        <f t="shared" si="29"/>
        <v>Yes</v>
      </c>
    </row>
    <row r="912" spans="1:16" x14ac:dyDescent="0.25">
      <c r="A912" s="2" t="s">
        <v>2532</v>
      </c>
      <c r="B912" s="4">
        <v>46221.868055555555</v>
      </c>
      <c r="C912" s="2" t="s">
        <v>67</v>
      </c>
      <c r="D912" s="2" t="s">
        <v>95</v>
      </c>
      <c r="E912" s="2" t="s">
        <v>148</v>
      </c>
      <c r="F912" s="2" t="s">
        <v>113</v>
      </c>
      <c r="G912" s="2" t="s">
        <v>183</v>
      </c>
      <c r="H912" s="2" t="s">
        <v>74</v>
      </c>
      <c r="I912" s="2">
        <v>8</v>
      </c>
      <c r="J912" s="2" t="s">
        <v>75</v>
      </c>
      <c r="K912" s="4">
        <v>46221.9375</v>
      </c>
      <c r="L912" s="2" t="s">
        <v>24</v>
      </c>
      <c r="M912" s="2">
        <v>4</v>
      </c>
      <c r="N912" t="s">
        <v>8587</v>
      </c>
      <c r="O912" s="8">
        <f t="shared" si="28"/>
        <v>1.6666666666860692</v>
      </c>
      <c r="P912" t="str">
        <f t="shared" si="29"/>
        <v>N/A</v>
      </c>
    </row>
    <row r="913" spans="1:16" x14ac:dyDescent="0.25">
      <c r="A913" s="2" t="s">
        <v>2535</v>
      </c>
      <c r="B913" s="4">
        <v>46069.76666666667</v>
      </c>
      <c r="C913" s="2" t="s">
        <v>28</v>
      </c>
      <c r="D913" s="2" t="s">
        <v>100</v>
      </c>
      <c r="E913" s="2" t="s">
        <v>79</v>
      </c>
      <c r="F913" s="2" t="s">
        <v>96</v>
      </c>
      <c r="G913" s="2" t="s">
        <v>179</v>
      </c>
      <c r="H913" s="2" t="s">
        <v>21</v>
      </c>
      <c r="I913" s="2">
        <v>24</v>
      </c>
      <c r="J913" s="2" t="s">
        <v>75</v>
      </c>
      <c r="K913" s="4">
        <v>46070.125</v>
      </c>
      <c r="L913" s="2" t="s">
        <v>24</v>
      </c>
      <c r="M913" s="2"/>
      <c r="N913" t="s">
        <v>8589</v>
      </c>
      <c r="O913" s="8">
        <f t="shared" si="28"/>
        <v>8.5999999999185093</v>
      </c>
      <c r="P913" t="str">
        <f t="shared" si="29"/>
        <v>N/A</v>
      </c>
    </row>
    <row r="914" spans="1:16" x14ac:dyDescent="0.25">
      <c r="A914" s="2" t="s">
        <v>2538</v>
      </c>
      <c r="B914" s="4">
        <v>46041.772916666669</v>
      </c>
      <c r="C914" s="2" t="s">
        <v>28</v>
      </c>
      <c r="D914" s="2" t="s">
        <v>37</v>
      </c>
      <c r="E914" s="2" t="s">
        <v>38</v>
      </c>
      <c r="F914" s="2" t="s">
        <v>113</v>
      </c>
      <c r="G914" s="2" t="s">
        <v>31</v>
      </c>
      <c r="H914" s="2" t="s">
        <v>32</v>
      </c>
      <c r="I914" s="2">
        <v>48</v>
      </c>
      <c r="J914" s="2" t="s">
        <v>106</v>
      </c>
      <c r="K914" s="4">
        <v>46041.979166666664</v>
      </c>
      <c r="L914" s="2" t="s">
        <v>24</v>
      </c>
      <c r="M914" s="2">
        <v>2</v>
      </c>
      <c r="N914" t="s">
        <v>8587</v>
      </c>
      <c r="O914" s="8">
        <f t="shared" si="28"/>
        <v>4.9499999998952262</v>
      </c>
      <c r="P914" t="str">
        <f t="shared" si="29"/>
        <v>Yes</v>
      </c>
    </row>
    <row r="915" spans="1:16" x14ac:dyDescent="0.25">
      <c r="A915" s="2" t="s">
        <v>2541</v>
      </c>
      <c r="B915" s="4">
        <v>46195.982638888891</v>
      </c>
      <c r="C915" s="2" t="s">
        <v>16</v>
      </c>
      <c r="D915" s="2" t="s">
        <v>84</v>
      </c>
      <c r="E915" s="2" t="s">
        <v>18</v>
      </c>
      <c r="F915" s="2" t="s">
        <v>96</v>
      </c>
      <c r="G915" s="2" t="s">
        <v>110</v>
      </c>
      <c r="H915" s="2" t="s">
        <v>74</v>
      </c>
      <c r="I915" s="2">
        <v>8</v>
      </c>
      <c r="J915" s="2" t="s">
        <v>75</v>
      </c>
      <c r="K915" s="4">
        <v>46196.207638888889</v>
      </c>
      <c r="L915" s="2" t="s">
        <v>24</v>
      </c>
      <c r="M915" s="2">
        <v>4</v>
      </c>
      <c r="N915" t="s">
        <v>8589</v>
      </c>
      <c r="O915" s="8">
        <f t="shared" si="28"/>
        <v>5.3999999999650754</v>
      </c>
      <c r="P915" t="str">
        <f t="shared" si="29"/>
        <v>N/A</v>
      </c>
    </row>
    <row r="916" spans="1:16" x14ac:dyDescent="0.25">
      <c r="A916" s="2" t="s">
        <v>2544</v>
      </c>
      <c r="B916" s="4">
        <v>46043.004166666666</v>
      </c>
      <c r="C916" s="2" t="s">
        <v>16</v>
      </c>
      <c r="D916" s="2" t="s">
        <v>17</v>
      </c>
      <c r="E916" s="2" t="s">
        <v>46</v>
      </c>
      <c r="F916" s="2" t="s">
        <v>30</v>
      </c>
      <c r="G916" s="2" t="s">
        <v>101</v>
      </c>
      <c r="H916" s="2" t="s">
        <v>21</v>
      </c>
      <c r="I916" s="2">
        <v>24</v>
      </c>
      <c r="J916" s="2" t="s">
        <v>149</v>
      </c>
      <c r="K916" s="4" t="s">
        <v>8590</v>
      </c>
      <c r="L916" s="2" t="s">
        <v>24</v>
      </c>
      <c r="M916" s="2"/>
      <c r="N916" t="s">
        <v>8582</v>
      </c>
      <c r="O916" s="8" t="str">
        <f t="shared" si="28"/>
        <v/>
      </c>
      <c r="P916" t="str">
        <f t="shared" si="29"/>
        <v>N/A</v>
      </c>
    </row>
    <row r="917" spans="1:16" x14ac:dyDescent="0.25">
      <c r="A917" s="2" t="s">
        <v>2546</v>
      </c>
      <c r="B917" s="4">
        <v>46160.242361111108</v>
      </c>
      <c r="C917" s="2" t="s">
        <v>28</v>
      </c>
      <c r="D917" s="2" t="s">
        <v>37</v>
      </c>
      <c r="E917" s="2" t="s">
        <v>38</v>
      </c>
      <c r="F917" s="2" t="s">
        <v>55</v>
      </c>
      <c r="G917" s="2" t="s">
        <v>179</v>
      </c>
      <c r="H917" s="2" t="s">
        <v>74</v>
      </c>
      <c r="I917" s="2">
        <v>8</v>
      </c>
      <c r="J917" s="2" t="s">
        <v>75</v>
      </c>
      <c r="K917" s="4" t="s">
        <v>8590</v>
      </c>
      <c r="L917" s="2" t="s">
        <v>24</v>
      </c>
      <c r="M917" s="2"/>
      <c r="N917" t="s">
        <v>8589</v>
      </c>
      <c r="O917" s="8" t="str">
        <f t="shared" si="28"/>
        <v/>
      </c>
      <c r="P917" t="str">
        <f t="shared" si="29"/>
        <v>N/A</v>
      </c>
    </row>
    <row r="918" spans="1:16" x14ac:dyDescent="0.25">
      <c r="A918" s="2" t="s">
        <v>2548</v>
      </c>
      <c r="B918" s="4">
        <v>46073.045138888891</v>
      </c>
      <c r="C918" s="2" t="s">
        <v>28</v>
      </c>
      <c r="D918" s="2" t="s">
        <v>37</v>
      </c>
      <c r="E918" s="2" t="s">
        <v>85</v>
      </c>
      <c r="F918" s="2" t="s">
        <v>30</v>
      </c>
      <c r="G918" s="2" t="s">
        <v>183</v>
      </c>
      <c r="H918" s="2" t="s">
        <v>74</v>
      </c>
      <c r="I918" s="2">
        <v>8</v>
      </c>
      <c r="J918" s="2" t="s">
        <v>106</v>
      </c>
      <c r="K918" s="4">
        <v>46073.205555555556</v>
      </c>
      <c r="L918" s="2" t="s">
        <v>24</v>
      </c>
      <c r="M918" s="2"/>
      <c r="N918" t="s">
        <v>8585</v>
      </c>
      <c r="O918" s="8">
        <f t="shared" si="28"/>
        <v>3.8499999999767169</v>
      </c>
      <c r="P918" t="str">
        <f t="shared" si="29"/>
        <v>Yes</v>
      </c>
    </row>
    <row r="919" spans="1:16" x14ac:dyDescent="0.25">
      <c r="A919" s="2" t="s">
        <v>2551</v>
      </c>
      <c r="B919" s="4">
        <v>46202.188888888886</v>
      </c>
      <c r="C919" s="2" t="s">
        <v>53</v>
      </c>
      <c r="D919" s="2" t="s">
        <v>61</v>
      </c>
      <c r="E919" s="2" t="s">
        <v>79</v>
      </c>
      <c r="F919" s="2" t="s">
        <v>30</v>
      </c>
      <c r="G919" s="2" t="s">
        <v>110</v>
      </c>
      <c r="H919" s="2" t="s">
        <v>32</v>
      </c>
      <c r="I919" s="2">
        <v>48</v>
      </c>
      <c r="J919" s="2" t="s">
        <v>106</v>
      </c>
      <c r="K919" s="4">
        <v>46202.802777777775</v>
      </c>
      <c r="L919" s="2" t="s">
        <v>24</v>
      </c>
      <c r="M919" s="2">
        <v>2</v>
      </c>
      <c r="N919" t="s">
        <v>8587</v>
      </c>
      <c r="O919" s="8">
        <f t="shared" si="28"/>
        <v>14.733333333337214</v>
      </c>
      <c r="P919" t="str">
        <f t="shared" si="29"/>
        <v>Yes</v>
      </c>
    </row>
    <row r="920" spans="1:16" x14ac:dyDescent="0.25">
      <c r="A920" s="2" t="s">
        <v>2554</v>
      </c>
      <c r="B920" s="4">
        <v>46226.693055555559</v>
      </c>
      <c r="C920" s="2" t="s">
        <v>53</v>
      </c>
      <c r="D920" s="2" t="s">
        <v>61</v>
      </c>
      <c r="E920" s="2" t="s">
        <v>38</v>
      </c>
      <c r="F920" s="2" t="s">
        <v>113</v>
      </c>
      <c r="G920" s="2" t="s">
        <v>101</v>
      </c>
      <c r="H920" s="2" t="s">
        <v>21</v>
      </c>
      <c r="I920" s="2">
        <v>24</v>
      </c>
      <c r="J920" s="2" t="s">
        <v>75</v>
      </c>
      <c r="K920" s="4">
        <v>46227.951388888891</v>
      </c>
      <c r="L920" s="2" t="s">
        <v>24</v>
      </c>
      <c r="M920" s="2"/>
      <c r="N920" t="s">
        <v>8582</v>
      </c>
      <c r="O920" s="8">
        <f t="shared" si="28"/>
        <v>30.199999999953434</v>
      </c>
      <c r="P920" t="str">
        <f t="shared" si="29"/>
        <v>N/A</v>
      </c>
    </row>
    <row r="921" spans="1:16" x14ac:dyDescent="0.25">
      <c r="A921" s="2" t="s">
        <v>2557</v>
      </c>
      <c r="B921" s="4">
        <v>46177.631249999999</v>
      </c>
      <c r="C921" s="2" t="s">
        <v>28</v>
      </c>
      <c r="D921" s="2" t="s">
        <v>37</v>
      </c>
      <c r="E921" s="2" t="s">
        <v>79</v>
      </c>
      <c r="F921" s="2" t="s">
        <v>55</v>
      </c>
      <c r="G921" s="2" t="s">
        <v>101</v>
      </c>
      <c r="H921" s="2" t="s">
        <v>32</v>
      </c>
      <c r="I921" s="2">
        <v>48</v>
      </c>
      <c r="J921" s="2" t="s">
        <v>106</v>
      </c>
      <c r="K921" s="4">
        <v>46182.718055555553</v>
      </c>
      <c r="L921" s="2" t="s">
        <v>24</v>
      </c>
      <c r="M921" s="2"/>
      <c r="N921" t="s">
        <v>8583</v>
      </c>
      <c r="O921" s="8">
        <f t="shared" si="28"/>
        <v>122.08333333331393</v>
      </c>
      <c r="P921" t="str">
        <f t="shared" si="29"/>
        <v>No</v>
      </c>
    </row>
    <row r="922" spans="1:16" x14ac:dyDescent="0.25">
      <c r="A922" s="2" t="s">
        <v>2560</v>
      </c>
      <c r="B922" s="4">
        <v>46254.324999999997</v>
      </c>
      <c r="C922" s="2" t="s">
        <v>67</v>
      </c>
      <c r="D922" s="2" t="s">
        <v>68</v>
      </c>
      <c r="E922" s="2" t="s">
        <v>46</v>
      </c>
      <c r="F922" s="2" t="s">
        <v>113</v>
      </c>
      <c r="G922" s="2" t="s">
        <v>211</v>
      </c>
      <c r="H922" s="2" t="s">
        <v>21</v>
      </c>
      <c r="I922" s="2">
        <v>24</v>
      </c>
      <c r="J922" s="2" t="s">
        <v>75</v>
      </c>
      <c r="K922" s="4">
        <v>46256.280555555553</v>
      </c>
      <c r="L922" s="2" t="s">
        <v>24</v>
      </c>
      <c r="M922" s="2">
        <v>1</v>
      </c>
      <c r="N922" t="s">
        <v>8587</v>
      </c>
      <c r="O922" s="8">
        <f t="shared" si="28"/>
        <v>46.933333333348855</v>
      </c>
      <c r="P922" t="str">
        <f t="shared" si="29"/>
        <v>N/A</v>
      </c>
    </row>
    <row r="923" spans="1:16" x14ac:dyDescent="0.25">
      <c r="A923" s="2" t="s">
        <v>2563</v>
      </c>
      <c r="B923" s="4">
        <v>46192.991666666669</v>
      </c>
      <c r="C923" s="2" t="s">
        <v>28</v>
      </c>
      <c r="D923" s="2" t="s">
        <v>37</v>
      </c>
      <c r="E923" s="2" t="s">
        <v>90</v>
      </c>
      <c r="F923" s="2" t="s">
        <v>55</v>
      </c>
      <c r="G923" s="2" t="s">
        <v>183</v>
      </c>
      <c r="H923" s="2" t="s">
        <v>21</v>
      </c>
      <c r="I923" s="2">
        <v>24</v>
      </c>
      <c r="J923" s="2" t="s">
        <v>75</v>
      </c>
      <c r="K923" s="4">
        <v>46193.508333333331</v>
      </c>
      <c r="L923" s="2" t="s">
        <v>24</v>
      </c>
      <c r="M923" s="2">
        <v>2</v>
      </c>
      <c r="N923" t="s">
        <v>8583</v>
      </c>
      <c r="O923" s="8">
        <f t="shared" si="28"/>
        <v>12.399999999906868</v>
      </c>
      <c r="P923" t="str">
        <f t="shared" si="29"/>
        <v>N/A</v>
      </c>
    </row>
    <row r="924" spans="1:16" x14ac:dyDescent="0.25">
      <c r="A924" s="2" t="s">
        <v>2566</v>
      </c>
      <c r="B924" s="4">
        <v>46241.515972222223</v>
      </c>
      <c r="C924" s="2" t="s">
        <v>28</v>
      </c>
      <c r="D924" s="2" t="s">
        <v>37</v>
      </c>
      <c r="E924" s="2" t="s">
        <v>18</v>
      </c>
      <c r="F924" s="2" t="s">
        <v>30</v>
      </c>
      <c r="G924" s="2" t="s">
        <v>211</v>
      </c>
      <c r="H924" s="2" t="s">
        <v>74</v>
      </c>
      <c r="I924" s="2">
        <v>8</v>
      </c>
      <c r="J924" s="2" t="s">
        <v>287</v>
      </c>
      <c r="K924" s="4" t="s">
        <v>8590</v>
      </c>
      <c r="L924" s="2" t="s">
        <v>24</v>
      </c>
      <c r="M924" s="2"/>
      <c r="N924" t="s">
        <v>8585</v>
      </c>
      <c r="O924" s="8" t="str">
        <f t="shared" si="28"/>
        <v/>
      </c>
      <c r="P924" t="str">
        <f t="shared" si="29"/>
        <v>N/A</v>
      </c>
    </row>
    <row r="925" spans="1:16" x14ac:dyDescent="0.25">
      <c r="A925" s="2" t="s">
        <v>2568</v>
      </c>
      <c r="B925" s="4">
        <v>46145.057638888888</v>
      </c>
      <c r="C925" s="2" t="s">
        <v>28</v>
      </c>
      <c r="D925" s="2" t="s">
        <v>100</v>
      </c>
      <c r="E925" s="2" t="s">
        <v>38</v>
      </c>
      <c r="F925" s="2" t="s">
        <v>55</v>
      </c>
      <c r="G925" s="2" t="s">
        <v>179</v>
      </c>
      <c r="H925" s="2" t="s">
        <v>74</v>
      </c>
      <c r="I925" s="2">
        <v>8</v>
      </c>
      <c r="J925" s="2" t="s">
        <v>287</v>
      </c>
      <c r="K925" s="4" t="s">
        <v>8590</v>
      </c>
      <c r="L925" s="2" t="s">
        <v>92</v>
      </c>
      <c r="M925" s="2"/>
      <c r="N925" t="s">
        <v>8585</v>
      </c>
      <c r="O925" s="8" t="str">
        <f t="shared" si="28"/>
        <v/>
      </c>
      <c r="P925" t="str">
        <f t="shared" si="29"/>
        <v>N/A</v>
      </c>
    </row>
    <row r="926" spans="1:16" x14ac:dyDescent="0.25">
      <c r="A926" s="2" t="s">
        <v>2570</v>
      </c>
      <c r="B926" s="4">
        <v>46057.129166666666</v>
      </c>
      <c r="C926" s="2" t="s">
        <v>28</v>
      </c>
      <c r="D926" s="2" t="s">
        <v>100</v>
      </c>
      <c r="E926" s="2" t="s">
        <v>148</v>
      </c>
      <c r="F926" s="2" t="s">
        <v>55</v>
      </c>
      <c r="G926" s="2" t="s">
        <v>110</v>
      </c>
      <c r="H926" s="2" t="s">
        <v>32</v>
      </c>
      <c r="I926" s="2">
        <v>48</v>
      </c>
      <c r="J926" s="2" t="s">
        <v>149</v>
      </c>
      <c r="K926" s="4" t="s">
        <v>8590</v>
      </c>
      <c r="L926" s="2" t="s">
        <v>24</v>
      </c>
      <c r="M926" s="2"/>
      <c r="N926" t="s">
        <v>8583</v>
      </c>
      <c r="O926" s="8" t="str">
        <f t="shared" si="28"/>
        <v/>
      </c>
      <c r="P926" t="str">
        <f t="shared" si="29"/>
        <v>N/A</v>
      </c>
    </row>
    <row r="927" spans="1:16" x14ac:dyDescent="0.25">
      <c r="A927" s="2" t="s">
        <v>2572</v>
      </c>
      <c r="B927" s="4">
        <v>46192.040277777778</v>
      </c>
      <c r="C927" s="2" t="s">
        <v>28</v>
      </c>
      <c r="D927" s="2" t="s">
        <v>100</v>
      </c>
      <c r="E927" s="2" t="s">
        <v>46</v>
      </c>
      <c r="F927" s="2" t="s">
        <v>55</v>
      </c>
      <c r="G927" s="2" t="s">
        <v>179</v>
      </c>
      <c r="H927" s="2" t="s">
        <v>21</v>
      </c>
      <c r="I927" s="2">
        <v>24</v>
      </c>
      <c r="J927" s="2" t="s">
        <v>75</v>
      </c>
      <c r="K927" s="4">
        <v>46192.51666666667</v>
      </c>
      <c r="L927" s="2" t="s">
        <v>24</v>
      </c>
      <c r="M927" s="2">
        <v>1</v>
      </c>
      <c r="N927" t="s">
        <v>8589</v>
      </c>
      <c r="O927" s="8">
        <f t="shared" si="28"/>
        <v>11.433333333407063</v>
      </c>
      <c r="P927" t="str">
        <f t="shared" si="29"/>
        <v>N/A</v>
      </c>
    </row>
    <row r="928" spans="1:16" x14ac:dyDescent="0.25">
      <c r="A928" s="2" t="s">
        <v>2575</v>
      </c>
      <c r="B928" s="4">
        <v>46066.334027777775</v>
      </c>
      <c r="C928" s="2" t="s">
        <v>28</v>
      </c>
      <c r="D928" s="2" t="s">
        <v>37</v>
      </c>
      <c r="E928" s="2" t="s">
        <v>46</v>
      </c>
      <c r="F928" s="2" t="s">
        <v>96</v>
      </c>
      <c r="G928" s="2" t="s">
        <v>211</v>
      </c>
      <c r="H928" s="2" t="s">
        <v>80</v>
      </c>
      <c r="I928" s="2">
        <v>4</v>
      </c>
      <c r="J928" s="2" t="s">
        <v>106</v>
      </c>
      <c r="K928" s="4">
        <v>46066.431944444441</v>
      </c>
      <c r="L928" s="2" t="s">
        <v>24</v>
      </c>
      <c r="M928" s="2">
        <v>5</v>
      </c>
      <c r="N928" t="s">
        <v>8581</v>
      </c>
      <c r="O928" s="8">
        <f t="shared" si="28"/>
        <v>2.3499999999767169</v>
      </c>
      <c r="P928" t="str">
        <f t="shared" si="29"/>
        <v>Yes</v>
      </c>
    </row>
    <row r="929" spans="1:16" x14ac:dyDescent="0.25">
      <c r="A929" s="2" t="s">
        <v>2578</v>
      </c>
      <c r="B929" s="4">
        <v>46097.777777777781</v>
      </c>
      <c r="C929" s="2" t="s">
        <v>67</v>
      </c>
      <c r="D929" s="2" t="s">
        <v>68</v>
      </c>
      <c r="E929" s="2" t="s">
        <v>90</v>
      </c>
      <c r="F929" s="2" t="s">
        <v>96</v>
      </c>
      <c r="G929" s="2" t="s">
        <v>179</v>
      </c>
      <c r="H929" s="2" t="s">
        <v>32</v>
      </c>
      <c r="I929" s="2">
        <v>48</v>
      </c>
      <c r="J929" s="2" t="s">
        <v>11</v>
      </c>
      <c r="K929" s="4" t="s">
        <v>8590</v>
      </c>
      <c r="L929" s="2" t="s">
        <v>92</v>
      </c>
      <c r="M929" s="2"/>
      <c r="N929" t="s">
        <v>8589</v>
      </c>
      <c r="O929" s="8" t="str">
        <f t="shared" si="28"/>
        <v/>
      </c>
      <c r="P929" t="str">
        <f t="shared" si="29"/>
        <v>N/A</v>
      </c>
    </row>
    <row r="930" spans="1:16" x14ac:dyDescent="0.25">
      <c r="A930" s="2" t="s">
        <v>2580</v>
      </c>
      <c r="B930" s="4">
        <v>46061.008333333331</v>
      </c>
      <c r="C930" s="2" t="s">
        <v>28</v>
      </c>
      <c r="D930" s="2" t="s">
        <v>37</v>
      </c>
      <c r="E930" s="2" t="s">
        <v>90</v>
      </c>
      <c r="F930" s="2" t="s">
        <v>30</v>
      </c>
      <c r="G930" s="2" t="s">
        <v>183</v>
      </c>
      <c r="H930" s="2" t="s">
        <v>21</v>
      </c>
      <c r="I930" s="2">
        <v>24</v>
      </c>
      <c r="J930" s="2" t="s">
        <v>11</v>
      </c>
      <c r="K930" s="4" t="s">
        <v>8590</v>
      </c>
      <c r="L930" s="2" t="s">
        <v>92</v>
      </c>
      <c r="M930" s="2"/>
      <c r="N930" t="s">
        <v>8589</v>
      </c>
      <c r="O930" s="8" t="str">
        <f t="shared" si="28"/>
        <v/>
      </c>
      <c r="P930" t="str">
        <f t="shared" si="29"/>
        <v>N/A</v>
      </c>
    </row>
    <row r="931" spans="1:16" x14ac:dyDescent="0.25">
      <c r="A931" s="2" t="s">
        <v>2582</v>
      </c>
      <c r="B931" s="4">
        <v>46047.970833333333</v>
      </c>
      <c r="C931" s="2" t="s">
        <v>16</v>
      </c>
      <c r="D931" s="2" t="s">
        <v>17</v>
      </c>
      <c r="E931" s="2" t="s">
        <v>85</v>
      </c>
      <c r="F931" s="2" t="s">
        <v>96</v>
      </c>
      <c r="G931" s="2" t="s">
        <v>31</v>
      </c>
      <c r="H931" s="2" t="s">
        <v>74</v>
      </c>
      <c r="I931" s="2">
        <v>8</v>
      </c>
      <c r="J931" s="2" t="s">
        <v>106</v>
      </c>
      <c r="K931" s="4">
        <v>46048.204861111109</v>
      </c>
      <c r="L931" s="2" t="s">
        <v>24</v>
      </c>
      <c r="M931" s="2"/>
      <c r="N931" t="s">
        <v>8585</v>
      </c>
      <c r="O931" s="8">
        <f t="shared" si="28"/>
        <v>5.6166666666395031</v>
      </c>
      <c r="P931" t="str">
        <f t="shared" si="29"/>
        <v>Yes</v>
      </c>
    </row>
    <row r="932" spans="1:16" x14ac:dyDescent="0.25">
      <c r="A932" s="2" t="s">
        <v>2585</v>
      </c>
      <c r="B932" s="4">
        <v>46052.507638888892</v>
      </c>
      <c r="C932" s="2" t="s">
        <v>16</v>
      </c>
      <c r="D932" s="2" t="s">
        <v>17</v>
      </c>
      <c r="E932" s="2" t="s">
        <v>46</v>
      </c>
      <c r="F932" s="2" t="s">
        <v>30</v>
      </c>
      <c r="G932" s="2" t="s">
        <v>110</v>
      </c>
      <c r="H932" s="2" t="s">
        <v>21</v>
      </c>
      <c r="I932" s="2">
        <v>24</v>
      </c>
      <c r="J932" s="2" t="s">
        <v>287</v>
      </c>
      <c r="K932" s="4" t="s">
        <v>8590</v>
      </c>
      <c r="L932" s="2" t="s">
        <v>24</v>
      </c>
      <c r="M932" s="2"/>
      <c r="N932" t="s">
        <v>8585</v>
      </c>
      <c r="O932" s="8" t="str">
        <f t="shared" si="28"/>
        <v/>
      </c>
      <c r="P932" t="str">
        <f t="shared" si="29"/>
        <v>N/A</v>
      </c>
    </row>
    <row r="933" spans="1:16" x14ac:dyDescent="0.25">
      <c r="A933" s="2" t="s">
        <v>2587</v>
      </c>
      <c r="B933" s="4">
        <v>46128.357638888891</v>
      </c>
      <c r="C933" s="2" t="s">
        <v>28</v>
      </c>
      <c r="D933" s="2" t="s">
        <v>37</v>
      </c>
      <c r="E933" s="2" t="s">
        <v>46</v>
      </c>
      <c r="F933" s="2" t="s">
        <v>55</v>
      </c>
      <c r="G933" s="2" t="s">
        <v>183</v>
      </c>
      <c r="H933" s="2" t="s">
        <v>74</v>
      </c>
      <c r="I933" s="2">
        <v>8</v>
      </c>
      <c r="J933" s="2" t="s">
        <v>106</v>
      </c>
      <c r="K933" s="4">
        <v>46128.384722222225</v>
      </c>
      <c r="L933" s="2" t="s">
        <v>24</v>
      </c>
      <c r="M933" s="2"/>
      <c r="N933" t="s">
        <v>8582</v>
      </c>
      <c r="O933" s="8">
        <f t="shared" si="28"/>
        <v>0.65000000002328306</v>
      </c>
      <c r="P933" t="str">
        <f t="shared" si="29"/>
        <v>Yes</v>
      </c>
    </row>
    <row r="934" spans="1:16" x14ac:dyDescent="0.25">
      <c r="A934" s="2" t="s">
        <v>2590</v>
      </c>
      <c r="B934" s="4">
        <v>46222.142361111109</v>
      </c>
      <c r="C934" s="2" t="s">
        <v>67</v>
      </c>
      <c r="D934" s="2" t="s">
        <v>95</v>
      </c>
      <c r="E934" s="2" t="s">
        <v>38</v>
      </c>
      <c r="F934" s="2" t="s">
        <v>113</v>
      </c>
      <c r="G934" s="2" t="s">
        <v>183</v>
      </c>
      <c r="H934" s="2" t="s">
        <v>21</v>
      </c>
      <c r="I934" s="2">
        <v>24</v>
      </c>
      <c r="J934" s="2" t="s">
        <v>149</v>
      </c>
      <c r="K934" s="4" t="s">
        <v>8590</v>
      </c>
      <c r="L934" s="2" t="s">
        <v>24</v>
      </c>
      <c r="M934" s="2"/>
      <c r="N934" t="s">
        <v>8587</v>
      </c>
      <c r="O934" s="8" t="str">
        <f t="shared" si="28"/>
        <v/>
      </c>
      <c r="P934" t="str">
        <f t="shared" si="29"/>
        <v>N/A</v>
      </c>
    </row>
    <row r="935" spans="1:16" x14ac:dyDescent="0.25">
      <c r="A935" s="2" t="s">
        <v>2592</v>
      </c>
      <c r="B935" s="4">
        <v>46263.782638888886</v>
      </c>
      <c r="C935" s="2" t="s">
        <v>28</v>
      </c>
      <c r="D935" s="2" t="s">
        <v>37</v>
      </c>
      <c r="E935" s="2" t="s">
        <v>18</v>
      </c>
      <c r="F935" s="2" t="s">
        <v>30</v>
      </c>
      <c r="G935" s="2" t="s">
        <v>101</v>
      </c>
      <c r="H935" s="2" t="s">
        <v>74</v>
      </c>
      <c r="I935" s="2">
        <v>8</v>
      </c>
      <c r="J935" s="2" t="s">
        <v>106</v>
      </c>
      <c r="K935" s="4">
        <v>46264.713194444441</v>
      </c>
      <c r="L935" s="2" t="s">
        <v>24</v>
      </c>
      <c r="M935" s="2">
        <v>1</v>
      </c>
      <c r="N935" t="s">
        <v>8582</v>
      </c>
      <c r="O935" s="8">
        <f t="shared" si="28"/>
        <v>22.333333333313931</v>
      </c>
      <c r="P935" t="str">
        <f t="shared" si="29"/>
        <v>No</v>
      </c>
    </row>
    <row r="936" spans="1:16" x14ac:dyDescent="0.25">
      <c r="A936" s="2" t="s">
        <v>2595</v>
      </c>
      <c r="B936" s="4">
        <v>46148.055555555555</v>
      </c>
      <c r="C936" s="2" t="s">
        <v>16</v>
      </c>
      <c r="D936" s="2" t="s">
        <v>17</v>
      </c>
      <c r="E936" s="2" t="s">
        <v>38</v>
      </c>
      <c r="F936" s="2" t="s">
        <v>30</v>
      </c>
      <c r="G936" s="2" t="s">
        <v>179</v>
      </c>
      <c r="H936" s="2" t="s">
        <v>32</v>
      </c>
      <c r="I936" s="2">
        <v>48</v>
      </c>
      <c r="J936" s="2" t="s">
        <v>75</v>
      </c>
      <c r="K936" s="4">
        <v>46149.661111111112</v>
      </c>
      <c r="L936" s="2" t="s">
        <v>24</v>
      </c>
      <c r="M936" s="2"/>
      <c r="N936" t="s">
        <v>8581</v>
      </c>
      <c r="O936" s="8">
        <f t="shared" si="28"/>
        <v>38.53333333338378</v>
      </c>
      <c r="P936" t="str">
        <f t="shared" si="29"/>
        <v>N/A</v>
      </c>
    </row>
    <row r="937" spans="1:16" x14ac:dyDescent="0.25">
      <c r="A937" s="2" t="s">
        <v>2598</v>
      </c>
      <c r="B937" s="4">
        <v>46102.025694444441</v>
      </c>
      <c r="C937" s="2" t="s">
        <v>67</v>
      </c>
      <c r="D937" s="2" t="s">
        <v>95</v>
      </c>
      <c r="E937" s="2" t="s">
        <v>18</v>
      </c>
      <c r="F937" s="2" t="s">
        <v>96</v>
      </c>
      <c r="G937" s="2" t="s">
        <v>31</v>
      </c>
      <c r="H937" s="2" t="s">
        <v>21</v>
      </c>
      <c r="I937" s="2">
        <v>24</v>
      </c>
      <c r="J937" s="2" t="s">
        <v>106</v>
      </c>
      <c r="K937" s="4">
        <v>46103.640972222223</v>
      </c>
      <c r="L937" s="2" t="s">
        <v>24</v>
      </c>
      <c r="M937" s="2">
        <v>5</v>
      </c>
      <c r="N937" t="s">
        <v>8582</v>
      </c>
      <c r="O937" s="8">
        <f t="shared" si="28"/>
        <v>38.766666666779201</v>
      </c>
      <c r="P937" t="str">
        <f t="shared" si="29"/>
        <v>No</v>
      </c>
    </row>
    <row r="938" spans="1:16" x14ac:dyDescent="0.25">
      <c r="A938" s="2" t="s">
        <v>2601</v>
      </c>
      <c r="B938" s="4">
        <v>46078.673611111109</v>
      </c>
      <c r="C938" s="2" t="s">
        <v>16</v>
      </c>
      <c r="D938" s="2" t="s">
        <v>17</v>
      </c>
      <c r="E938" s="2" t="s">
        <v>18</v>
      </c>
      <c r="F938" s="2" t="s">
        <v>30</v>
      </c>
      <c r="G938" s="2" t="s">
        <v>179</v>
      </c>
      <c r="H938" s="2" t="s">
        <v>74</v>
      </c>
      <c r="I938" s="2">
        <v>8</v>
      </c>
      <c r="J938" s="2" t="s">
        <v>106</v>
      </c>
      <c r="K938" s="4">
        <v>46078.72152777778</v>
      </c>
      <c r="L938" s="2" t="s">
        <v>24</v>
      </c>
      <c r="M938" s="2">
        <v>1</v>
      </c>
      <c r="N938" t="s">
        <v>8589</v>
      </c>
      <c r="O938" s="8">
        <f t="shared" si="28"/>
        <v>1.1500000000814907</v>
      </c>
      <c r="P938" t="str">
        <f t="shared" si="29"/>
        <v>Yes</v>
      </c>
    </row>
    <row r="939" spans="1:16" x14ac:dyDescent="0.25">
      <c r="A939" s="2" t="s">
        <v>2604</v>
      </c>
      <c r="B939" s="4">
        <v>46081.95416666667</v>
      </c>
      <c r="C939" s="2" t="s">
        <v>53</v>
      </c>
      <c r="D939" s="2" t="s">
        <v>54</v>
      </c>
      <c r="E939" s="2" t="s">
        <v>90</v>
      </c>
      <c r="F939" s="2" t="s">
        <v>55</v>
      </c>
      <c r="G939" s="2" t="s">
        <v>110</v>
      </c>
      <c r="H939" s="2" t="s">
        <v>74</v>
      </c>
      <c r="I939" s="2">
        <v>8</v>
      </c>
      <c r="J939" s="2" t="s">
        <v>106</v>
      </c>
      <c r="K939" s="4">
        <v>46082.184027777781</v>
      </c>
      <c r="L939" s="2" t="s">
        <v>24</v>
      </c>
      <c r="M939" s="2">
        <v>5</v>
      </c>
      <c r="N939" t="s">
        <v>8589</v>
      </c>
      <c r="O939" s="8">
        <f t="shared" si="28"/>
        <v>5.5166666666627862</v>
      </c>
      <c r="P939" t="str">
        <f t="shared" si="29"/>
        <v>Yes</v>
      </c>
    </row>
    <row r="940" spans="1:16" x14ac:dyDescent="0.25">
      <c r="A940" s="2" t="s">
        <v>2607</v>
      </c>
      <c r="B940" s="4">
        <v>46196.378472222219</v>
      </c>
      <c r="C940" s="2" t="s">
        <v>53</v>
      </c>
      <c r="D940" s="2" t="s">
        <v>54</v>
      </c>
      <c r="E940" s="2" t="s">
        <v>38</v>
      </c>
      <c r="F940" s="2" t="s">
        <v>96</v>
      </c>
      <c r="G940" s="2" t="s">
        <v>211</v>
      </c>
      <c r="H940" s="2" t="s">
        <v>21</v>
      </c>
      <c r="I940" s="2">
        <v>24</v>
      </c>
      <c r="J940" s="2" t="s">
        <v>106</v>
      </c>
      <c r="K940" s="4">
        <v>46197.974999999999</v>
      </c>
      <c r="L940" s="2" t="s">
        <v>24</v>
      </c>
      <c r="M940" s="2"/>
      <c r="N940" t="s">
        <v>8589</v>
      </c>
      <c r="O940" s="8">
        <f t="shared" si="28"/>
        <v>38.316666666709352</v>
      </c>
      <c r="P940" t="str">
        <f t="shared" si="29"/>
        <v>No</v>
      </c>
    </row>
    <row r="941" spans="1:16" x14ac:dyDescent="0.25">
      <c r="A941" s="2" t="s">
        <v>2610</v>
      </c>
      <c r="B941" s="4">
        <v>46153.897222222222</v>
      </c>
      <c r="C941" s="2" t="s">
        <v>16</v>
      </c>
      <c r="D941" s="2" t="s">
        <v>84</v>
      </c>
      <c r="E941" s="2" t="s">
        <v>46</v>
      </c>
      <c r="F941" s="2" t="s">
        <v>55</v>
      </c>
      <c r="G941" s="2" t="s">
        <v>31</v>
      </c>
      <c r="H941" s="2" t="s">
        <v>32</v>
      </c>
      <c r="I941" s="2">
        <v>48</v>
      </c>
      <c r="J941" s="2" t="s">
        <v>106</v>
      </c>
      <c r="K941" s="4">
        <v>46155.657638888886</v>
      </c>
      <c r="L941" s="2" t="s">
        <v>92</v>
      </c>
      <c r="M941" s="2">
        <v>5</v>
      </c>
      <c r="N941" t="s">
        <v>8584</v>
      </c>
      <c r="O941" s="8">
        <f t="shared" si="28"/>
        <v>42.249999999941792</v>
      </c>
      <c r="P941" t="str">
        <f t="shared" si="29"/>
        <v>Yes</v>
      </c>
    </row>
    <row r="942" spans="1:16" x14ac:dyDescent="0.25">
      <c r="A942" s="2" t="s">
        <v>2613</v>
      </c>
      <c r="B942" s="4">
        <v>46197.041666666664</v>
      </c>
      <c r="C942" s="2" t="s">
        <v>16</v>
      </c>
      <c r="D942" s="2" t="s">
        <v>17</v>
      </c>
      <c r="E942" s="2" t="s">
        <v>85</v>
      </c>
      <c r="F942" s="2" t="s">
        <v>55</v>
      </c>
      <c r="G942" s="2" t="s">
        <v>31</v>
      </c>
      <c r="H942" s="2" t="s">
        <v>21</v>
      </c>
      <c r="I942" s="2">
        <v>24</v>
      </c>
      <c r="J942" s="2" t="s">
        <v>106</v>
      </c>
      <c r="K942" s="4">
        <v>46197.451388888891</v>
      </c>
      <c r="L942" s="2" t="s">
        <v>92</v>
      </c>
      <c r="M942" s="2">
        <v>5</v>
      </c>
      <c r="N942" t="s">
        <v>8589</v>
      </c>
      <c r="O942" s="8">
        <f t="shared" si="28"/>
        <v>9.8333333334303461</v>
      </c>
      <c r="P942" t="str">
        <f t="shared" si="29"/>
        <v>Yes</v>
      </c>
    </row>
    <row r="943" spans="1:16" x14ac:dyDescent="0.25">
      <c r="A943" s="2" t="s">
        <v>2616</v>
      </c>
      <c r="B943" s="4">
        <v>46040.361805555556</v>
      </c>
      <c r="C943" s="2" t="s">
        <v>67</v>
      </c>
      <c r="D943" s="2" t="s">
        <v>95</v>
      </c>
      <c r="E943" s="2" t="s">
        <v>38</v>
      </c>
      <c r="F943" s="2" t="s">
        <v>96</v>
      </c>
      <c r="G943" s="2" t="s">
        <v>179</v>
      </c>
      <c r="H943" s="2" t="s">
        <v>32</v>
      </c>
      <c r="I943" s="2">
        <v>48</v>
      </c>
      <c r="J943" s="2" t="s">
        <v>8580</v>
      </c>
      <c r="K943" s="4">
        <v>46042.12222222222</v>
      </c>
      <c r="L943" s="2" t="s">
        <v>24</v>
      </c>
      <c r="M943" s="2"/>
      <c r="N943" t="s">
        <v>8589</v>
      </c>
      <c r="O943" s="8">
        <f t="shared" si="28"/>
        <v>42.249999999941792</v>
      </c>
      <c r="P943" t="str">
        <f t="shared" si="29"/>
        <v>N/A</v>
      </c>
    </row>
    <row r="944" spans="1:16" x14ac:dyDescent="0.25">
      <c r="A944" s="2" t="s">
        <v>2619</v>
      </c>
      <c r="B944" s="4">
        <v>46126.902777777781</v>
      </c>
      <c r="C944" s="2" t="s">
        <v>53</v>
      </c>
      <c r="D944" s="2" t="s">
        <v>61</v>
      </c>
      <c r="E944" s="2" t="s">
        <v>46</v>
      </c>
      <c r="F944" s="2" t="s">
        <v>55</v>
      </c>
      <c r="G944" s="2" t="s">
        <v>31</v>
      </c>
      <c r="H944" s="2" t="s">
        <v>32</v>
      </c>
      <c r="I944" s="2">
        <v>48</v>
      </c>
      <c r="J944" s="2" t="s">
        <v>106</v>
      </c>
      <c r="K944" s="4">
        <v>46127.277083333334</v>
      </c>
      <c r="L944" s="2" t="s">
        <v>24</v>
      </c>
      <c r="M944" s="2"/>
      <c r="N944" t="s">
        <v>8584</v>
      </c>
      <c r="O944" s="8">
        <f t="shared" si="28"/>
        <v>8.9833333332790062</v>
      </c>
      <c r="P944" t="str">
        <f t="shared" si="29"/>
        <v>Yes</v>
      </c>
    </row>
    <row r="945" spans="1:16" x14ac:dyDescent="0.25">
      <c r="A945" s="2" t="s">
        <v>2622</v>
      </c>
      <c r="B945" s="4">
        <v>46058.462500000001</v>
      </c>
      <c r="C945" s="2" t="s">
        <v>67</v>
      </c>
      <c r="D945" s="2" t="s">
        <v>68</v>
      </c>
      <c r="E945" s="2" t="s">
        <v>79</v>
      </c>
      <c r="F945" s="2" t="s">
        <v>55</v>
      </c>
      <c r="G945" s="2" t="s">
        <v>31</v>
      </c>
      <c r="H945" s="2" t="s">
        <v>74</v>
      </c>
      <c r="I945" s="2">
        <v>8</v>
      </c>
      <c r="J945" s="2" t="s">
        <v>106</v>
      </c>
      <c r="K945" s="4">
        <v>46058.82916666667</v>
      </c>
      <c r="L945" s="2" t="s">
        <v>24</v>
      </c>
      <c r="M945" s="2">
        <v>2</v>
      </c>
      <c r="N945" t="s">
        <v>8589</v>
      </c>
      <c r="O945" s="8">
        <f t="shared" si="28"/>
        <v>8.8000000000465661</v>
      </c>
      <c r="P945" t="str">
        <f t="shared" si="29"/>
        <v>No</v>
      </c>
    </row>
    <row r="946" spans="1:16" x14ac:dyDescent="0.25">
      <c r="A946" s="2" t="s">
        <v>2625</v>
      </c>
      <c r="B946" s="4">
        <v>46050.693749999999</v>
      </c>
      <c r="C946" s="2" t="s">
        <v>28</v>
      </c>
      <c r="D946" s="2" t="s">
        <v>37</v>
      </c>
      <c r="E946" s="2" t="s">
        <v>38</v>
      </c>
      <c r="F946" s="2" t="s">
        <v>55</v>
      </c>
      <c r="G946" s="2" t="s">
        <v>211</v>
      </c>
      <c r="H946" s="2" t="s">
        <v>32</v>
      </c>
      <c r="I946" s="2">
        <v>48</v>
      </c>
      <c r="J946" s="2" t="s">
        <v>75</v>
      </c>
      <c r="K946" s="4">
        <v>46054.806944444441</v>
      </c>
      <c r="L946" s="2" t="s">
        <v>24</v>
      </c>
      <c r="M946" s="2">
        <v>5</v>
      </c>
      <c r="N946" t="s">
        <v>8581</v>
      </c>
      <c r="O946" s="8">
        <f t="shared" si="28"/>
        <v>98.71666666661622</v>
      </c>
      <c r="P946" t="str">
        <f t="shared" si="29"/>
        <v>N/A</v>
      </c>
    </row>
    <row r="947" spans="1:16" x14ac:dyDescent="0.25">
      <c r="A947" s="2" t="s">
        <v>2628</v>
      </c>
      <c r="B947" s="4">
        <v>46114.87777777778</v>
      </c>
      <c r="C947" s="2" t="s">
        <v>67</v>
      </c>
      <c r="D947" s="2" t="s">
        <v>95</v>
      </c>
      <c r="E947" s="2" t="s">
        <v>85</v>
      </c>
      <c r="F947" s="2" t="s">
        <v>30</v>
      </c>
      <c r="G947" s="2" t="s">
        <v>110</v>
      </c>
      <c r="H947" s="2" t="s">
        <v>80</v>
      </c>
      <c r="I947" s="2">
        <v>4</v>
      </c>
      <c r="J947" s="2" t="s">
        <v>75</v>
      </c>
      <c r="K947" s="4">
        <v>46115.022916666669</v>
      </c>
      <c r="L947" s="2" t="s">
        <v>24</v>
      </c>
      <c r="M947" s="2">
        <v>5</v>
      </c>
      <c r="N947" t="s">
        <v>8587</v>
      </c>
      <c r="O947" s="8">
        <f t="shared" si="28"/>
        <v>3.4833333333372138</v>
      </c>
      <c r="P947" t="str">
        <f t="shared" si="29"/>
        <v>N/A</v>
      </c>
    </row>
    <row r="948" spans="1:16" x14ac:dyDescent="0.25">
      <c r="A948" s="2" t="s">
        <v>2631</v>
      </c>
      <c r="B948" s="4">
        <v>46085.885416666664</v>
      </c>
      <c r="C948" s="2" t="s">
        <v>28</v>
      </c>
      <c r="D948" s="2" t="s">
        <v>100</v>
      </c>
      <c r="E948" s="2" t="s">
        <v>46</v>
      </c>
      <c r="F948" s="2" t="s">
        <v>30</v>
      </c>
      <c r="G948" s="2" t="s">
        <v>211</v>
      </c>
      <c r="H948" s="2" t="s">
        <v>32</v>
      </c>
      <c r="I948" s="2">
        <v>48</v>
      </c>
      <c r="J948" s="2" t="s">
        <v>75</v>
      </c>
      <c r="K948" s="4">
        <v>46089.056944444441</v>
      </c>
      <c r="L948" s="2" t="s">
        <v>24</v>
      </c>
      <c r="M948" s="2">
        <v>5</v>
      </c>
      <c r="N948" t="s">
        <v>8586</v>
      </c>
      <c r="O948" s="8">
        <f t="shared" si="28"/>
        <v>76.116666666639503</v>
      </c>
      <c r="P948" t="str">
        <f t="shared" si="29"/>
        <v>N/A</v>
      </c>
    </row>
    <row r="949" spans="1:16" x14ac:dyDescent="0.25">
      <c r="A949" s="2" t="s">
        <v>2634</v>
      </c>
      <c r="B949" s="4">
        <v>46112.474305555559</v>
      </c>
      <c r="C949" s="2" t="s">
        <v>28</v>
      </c>
      <c r="D949" s="2" t="s">
        <v>37</v>
      </c>
      <c r="E949" s="2" t="s">
        <v>79</v>
      </c>
      <c r="F949" s="2" t="s">
        <v>113</v>
      </c>
      <c r="G949" s="2" t="s">
        <v>179</v>
      </c>
      <c r="H949" s="2" t="s">
        <v>21</v>
      </c>
      <c r="I949" s="2">
        <v>24</v>
      </c>
      <c r="J949" s="2" t="s">
        <v>287</v>
      </c>
      <c r="K949" s="4" t="s">
        <v>8590</v>
      </c>
      <c r="L949" s="2" t="s">
        <v>92</v>
      </c>
      <c r="M949" s="2"/>
      <c r="N949" t="s">
        <v>8581</v>
      </c>
      <c r="O949" s="8" t="str">
        <f t="shared" si="28"/>
        <v/>
      </c>
      <c r="P949" t="str">
        <f t="shared" si="29"/>
        <v>N/A</v>
      </c>
    </row>
    <row r="950" spans="1:16" x14ac:dyDescent="0.25">
      <c r="A950" s="2" t="s">
        <v>2636</v>
      </c>
      <c r="B950" s="4">
        <v>46156.317361111112</v>
      </c>
      <c r="C950" s="2" t="s">
        <v>67</v>
      </c>
      <c r="D950" s="2" t="s">
        <v>95</v>
      </c>
      <c r="E950" s="2" t="s">
        <v>79</v>
      </c>
      <c r="F950" s="2" t="s">
        <v>30</v>
      </c>
      <c r="G950" s="2" t="s">
        <v>101</v>
      </c>
      <c r="H950" s="2" t="s">
        <v>21</v>
      </c>
      <c r="I950" s="2">
        <v>24</v>
      </c>
      <c r="J950" s="2" t="s">
        <v>11</v>
      </c>
      <c r="K950" s="4" t="s">
        <v>8590</v>
      </c>
      <c r="L950" s="2" t="s">
        <v>92</v>
      </c>
      <c r="M950" s="2"/>
      <c r="N950" t="s">
        <v>8589</v>
      </c>
      <c r="O950" s="8" t="str">
        <f t="shared" si="28"/>
        <v/>
      </c>
      <c r="P950" t="str">
        <f t="shared" si="29"/>
        <v>N/A</v>
      </c>
    </row>
    <row r="951" spans="1:16" x14ac:dyDescent="0.25">
      <c r="A951" s="2" t="s">
        <v>2638</v>
      </c>
      <c r="B951" s="4">
        <v>46149.540277777778</v>
      </c>
      <c r="C951" s="2" t="s">
        <v>28</v>
      </c>
      <c r="D951" s="2" t="s">
        <v>100</v>
      </c>
      <c r="E951" s="2" t="s">
        <v>46</v>
      </c>
      <c r="F951" s="2" t="s">
        <v>96</v>
      </c>
      <c r="G951" s="2" t="s">
        <v>211</v>
      </c>
      <c r="H951" s="2" t="s">
        <v>74</v>
      </c>
      <c r="I951" s="2">
        <v>8</v>
      </c>
      <c r="J951" s="2" t="s">
        <v>106</v>
      </c>
      <c r="K951" s="4">
        <v>46149.586805555555</v>
      </c>
      <c r="L951" s="2" t="s">
        <v>24</v>
      </c>
      <c r="M951" s="2">
        <v>4</v>
      </c>
      <c r="N951" t="s">
        <v>8584</v>
      </c>
      <c r="O951" s="8">
        <f t="shared" si="28"/>
        <v>1.1166666666395031</v>
      </c>
      <c r="P951" t="str">
        <f t="shared" si="29"/>
        <v>Yes</v>
      </c>
    </row>
    <row r="952" spans="1:16" x14ac:dyDescent="0.25">
      <c r="A952" s="2" t="s">
        <v>2641</v>
      </c>
      <c r="B952" s="4">
        <v>46242.630555555559</v>
      </c>
      <c r="C952" s="2" t="s">
        <v>53</v>
      </c>
      <c r="D952" s="2" t="s">
        <v>61</v>
      </c>
      <c r="E952" s="2" t="s">
        <v>38</v>
      </c>
      <c r="F952" s="2" t="s">
        <v>30</v>
      </c>
      <c r="G952" s="2" t="s">
        <v>179</v>
      </c>
      <c r="H952" s="2" t="s">
        <v>32</v>
      </c>
      <c r="I952" s="2">
        <v>48</v>
      </c>
      <c r="J952" s="2" t="s">
        <v>11</v>
      </c>
      <c r="K952" s="4" t="s">
        <v>8590</v>
      </c>
      <c r="L952" s="2" t="s">
        <v>92</v>
      </c>
      <c r="M952" s="2"/>
      <c r="N952" t="s">
        <v>8588</v>
      </c>
      <c r="O952" s="8" t="str">
        <f t="shared" si="28"/>
        <v/>
      </c>
      <c r="P952" t="str">
        <f t="shared" si="29"/>
        <v>N/A</v>
      </c>
    </row>
    <row r="953" spans="1:16" x14ac:dyDescent="0.25">
      <c r="A953" s="2" t="s">
        <v>2643</v>
      </c>
      <c r="B953" s="4">
        <v>46217</v>
      </c>
      <c r="C953" s="2" t="s">
        <v>67</v>
      </c>
      <c r="D953" s="2" t="s">
        <v>95</v>
      </c>
      <c r="E953" s="2" t="s">
        <v>85</v>
      </c>
      <c r="F953" s="2" t="s">
        <v>55</v>
      </c>
      <c r="G953" s="2" t="s">
        <v>101</v>
      </c>
      <c r="H953" s="2" t="s">
        <v>21</v>
      </c>
      <c r="I953" s="2">
        <v>24</v>
      </c>
      <c r="J953" s="2" t="s">
        <v>106</v>
      </c>
      <c r="K953" s="4">
        <v>46217.336805555555</v>
      </c>
      <c r="L953" s="2" t="s">
        <v>24</v>
      </c>
      <c r="M953" s="2">
        <v>5</v>
      </c>
      <c r="N953" t="s">
        <v>8583</v>
      </c>
      <c r="O953" s="8">
        <f t="shared" si="28"/>
        <v>8.0833333333139308</v>
      </c>
      <c r="P953" t="str">
        <f t="shared" si="29"/>
        <v>Yes</v>
      </c>
    </row>
    <row r="954" spans="1:16" x14ac:dyDescent="0.25">
      <c r="A954" s="2" t="s">
        <v>2646</v>
      </c>
      <c r="B954" s="4">
        <v>46034.536805555559</v>
      </c>
      <c r="C954" s="2" t="s">
        <v>67</v>
      </c>
      <c r="D954" s="2" t="s">
        <v>95</v>
      </c>
      <c r="E954" s="2" t="s">
        <v>85</v>
      </c>
      <c r="F954" s="2" t="s">
        <v>55</v>
      </c>
      <c r="G954" s="2" t="s">
        <v>31</v>
      </c>
      <c r="H954" s="2" t="s">
        <v>74</v>
      </c>
      <c r="I954" s="2">
        <v>8</v>
      </c>
      <c r="J954" s="2" t="s">
        <v>106</v>
      </c>
      <c r="K954" s="4" t="s">
        <v>8590</v>
      </c>
      <c r="L954" s="2" t="s">
        <v>24</v>
      </c>
      <c r="M954" s="2">
        <v>4</v>
      </c>
      <c r="N954" t="s">
        <v>8584</v>
      </c>
      <c r="O954" s="8" t="str">
        <f t="shared" si="28"/>
        <v/>
      </c>
      <c r="P954" t="str">
        <f t="shared" si="29"/>
        <v>No</v>
      </c>
    </row>
    <row r="955" spans="1:16" x14ac:dyDescent="0.25">
      <c r="A955" s="2" t="s">
        <v>2648</v>
      </c>
      <c r="B955" s="4">
        <v>46259.407638888886</v>
      </c>
      <c r="C955" s="2" t="s">
        <v>67</v>
      </c>
      <c r="D955" s="2" t="s">
        <v>68</v>
      </c>
      <c r="E955" s="2" t="s">
        <v>38</v>
      </c>
      <c r="F955" s="2" t="s">
        <v>55</v>
      </c>
      <c r="G955" s="2" t="s">
        <v>211</v>
      </c>
      <c r="H955" s="2" t="s">
        <v>32</v>
      </c>
      <c r="I955" s="2">
        <v>48</v>
      </c>
      <c r="J955" s="2" t="s">
        <v>11</v>
      </c>
      <c r="K955" s="4" t="s">
        <v>8590</v>
      </c>
      <c r="L955" s="2" t="s">
        <v>92</v>
      </c>
      <c r="M955" s="2"/>
      <c r="N955" t="s">
        <v>8588</v>
      </c>
      <c r="O955" s="8" t="str">
        <f t="shared" si="28"/>
        <v/>
      </c>
      <c r="P955" t="str">
        <f t="shared" si="29"/>
        <v>N/A</v>
      </c>
    </row>
    <row r="956" spans="1:16" x14ac:dyDescent="0.25">
      <c r="A956" s="2" t="s">
        <v>2650</v>
      </c>
      <c r="B956" s="4">
        <v>46180.486111111109</v>
      </c>
      <c r="C956" s="2" t="s">
        <v>16</v>
      </c>
      <c r="D956" s="2" t="s">
        <v>84</v>
      </c>
      <c r="E956" s="2" t="s">
        <v>18</v>
      </c>
      <c r="F956" s="2" t="s">
        <v>55</v>
      </c>
      <c r="G956" s="2" t="s">
        <v>211</v>
      </c>
      <c r="H956" s="2" t="s">
        <v>21</v>
      </c>
      <c r="I956" s="2">
        <v>24</v>
      </c>
      <c r="J956" s="2" t="s">
        <v>106</v>
      </c>
      <c r="K956" s="4">
        <v>46181.25</v>
      </c>
      <c r="L956" s="2" t="s">
        <v>24</v>
      </c>
      <c r="M956" s="2">
        <v>5</v>
      </c>
      <c r="N956" t="s">
        <v>8581</v>
      </c>
      <c r="O956" s="8">
        <f t="shared" si="28"/>
        <v>18.333333333372138</v>
      </c>
      <c r="P956" t="str">
        <f t="shared" si="29"/>
        <v>Yes</v>
      </c>
    </row>
    <row r="957" spans="1:16" x14ac:dyDescent="0.25">
      <c r="A957" s="2" t="s">
        <v>2653</v>
      </c>
      <c r="B957" s="4">
        <v>46218.574305555558</v>
      </c>
      <c r="C957" s="2" t="s">
        <v>53</v>
      </c>
      <c r="D957" s="2" t="s">
        <v>54</v>
      </c>
      <c r="E957" s="2" t="s">
        <v>38</v>
      </c>
      <c r="F957" s="2" t="s">
        <v>30</v>
      </c>
      <c r="G957" s="2" t="s">
        <v>211</v>
      </c>
      <c r="H957" s="2" t="s">
        <v>80</v>
      </c>
      <c r="I957" s="2">
        <v>4</v>
      </c>
      <c r="J957" s="2" t="s">
        <v>149</v>
      </c>
      <c r="K957" s="4" t="s">
        <v>8590</v>
      </c>
      <c r="L957" s="2" t="s">
        <v>24</v>
      </c>
      <c r="M957" s="2"/>
      <c r="N957" t="s">
        <v>8581</v>
      </c>
      <c r="O957" s="8" t="str">
        <f t="shared" si="28"/>
        <v/>
      </c>
      <c r="P957" t="str">
        <f t="shared" si="29"/>
        <v>N/A</v>
      </c>
    </row>
    <row r="958" spans="1:16" x14ac:dyDescent="0.25">
      <c r="A958" s="2" t="s">
        <v>2655</v>
      </c>
      <c r="B958" s="4">
        <v>46047.90902777778</v>
      </c>
      <c r="C958" s="2" t="s">
        <v>28</v>
      </c>
      <c r="D958" s="2" t="s">
        <v>100</v>
      </c>
      <c r="E958" s="2" t="s">
        <v>85</v>
      </c>
      <c r="F958" s="2" t="s">
        <v>113</v>
      </c>
      <c r="G958" s="2" t="s">
        <v>110</v>
      </c>
      <c r="H958" s="2" t="s">
        <v>80</v>
      </c>
      <c r="I958" s="2">
        <v>4</v>
      </c>
      <c r="J958" s="2" t="s">
        <v>106</v>
      </c>
      <c r="K958" s="4">
        <v>46048.052083333336</v>
      </c>
      <c r="L958" s="2" t="s">
        <v>24</v>
      </c>
      <c r="M958" s="2">
        <v>5</v>
      </c>
      <c r="N958" t="s">
        <v>8582</v>
      </c>
      <c r="O958" s="8">
        <f t="shared" si="28"/>
        <v>3.4333333333488554</v>
      </c>
      <c r="P958" t="str">
        <f t="shared" si="29"/>
        <v>Yes</v>
      </c>
    </row>
    <row r="959" spans="1:16" x14ac:dyDescent="0.25">
      <c r="A959" s="2" t="s">
        <v>2658</v>
      </c>
      <c r="B959" s="4">
        <v>46153.257638888892</v>
      </c>
      <c r="C959" s="2" t="s">
        <v>67</v>
      </c>
      <c r="D959" s="2" t="s">
        <v>95</v>
      </c>
      <c r="E959" s="2" t="s">
        <v>85</v>
      </c>
      <c r="F959" s="2" t="s">
        <v>113</v>
      </c>
      <c r="G959" s="2" t="s">
        <v>110</v>
      </c>
      <c r="H959" s="2" t="s">
        <v>21</v>
      </c>
      <c r="I959" s="2">
        <v>24</v>
      </c>
      <c r="J959" s="2" t="s">
        <v>106</v>
      </c>
      <c r="K959" s="4">
        <v>46153.946527777778</v>
      </c>
      <c r="L959" s="2" t="s">
        <v>24</v>
      </c>
      <c r="M959" s="2"/>
      <c r="N959" t="s">
        <v>8582</v>
      </c>
      <c r="O959" s="8">
        <f t="shared" si="28"/>
        <v>16.533333333267365</v>
      </c>
      <c r="P959" t="str">
        <f t="shared" si="29"/>
        <v>Yes</v>
      </c>
    </row>
    <row r="960" spans="1:16" x14ac:dyDescent="0.25">
      <c r="A960" s="2" t="s">
        <v>2661</v>
      </c>
      <c r="B960" s="4">
        <v>46248.456250000003</v>
      </c>
      <c r="C960" s="2" t="s">
        <v>16</v>
      </c>
      <c r="D960" s="2" t="s">
        <v>17</v>
      </c>
      <c r="E960" s="2" t="s">
        <v>79</v>
      </c>
      <c r="F960" s="2" t="s">
        <v>96</v>
      </c>
      <c r="G960" s="2" t="s">
        <v>110</v>
      </c>
      <c r="H960" s="2" t="s">
        <v>32</v>
      </c>
      <c r="I960" s="2">
        <v>48</v>
      </c>
      <c r="J960" s="2" t="s">
        <v>106</v>
      </c>
      <c r="K960" s="4">
        <v>46251.117361111108</v>
      </c>
      <c r="L960" s="2" t="s">
        <v>24</v>
      </c>
      <c r="M960" s="2"/>
      <c r="N960" t="s">
        <v>8581</v>
      </c>
      <c r="O960" s="8">
        <f t="shared" si="28"/>
        <v>63.866666666523088</v>
      </c>
      <c r="P960" t="str">
        <f t="shared" si="29"/>
        <v>No</v>
      </c>
    </row>
    <row r="961" spans="1:16" x14ac:dyDescent="0.25">
      <c r="A961" s="2" t="s">
        <v>2664</v>
      </c>
      <c r="B961" s="4">
        <v>46256.788194444445</v>
      </c>
      <c r="C961" s="2" t="s">
        <v>16</v>
      </c>
      <c r="D961" s="2" t="s">
        <v>17</v>
      </c>
      <c r="E961" s="2" t="s">
        <v>85</v>
      </c>
      <c r="F961" s="2" t="s">
        <v>96</v>
      </c>
      <c r="G961" s="2" t="s">
        <v>179</v>
      </c>
      <c r="H961" s="2" t="s">
        <v>80</v>
      </c>
      <c r="I961" s="2">
        <v>4</v>
      </c>
      <c r="J961" s="2" t="s">
        <v>11</v>
      </c>
      <c r="K961" s="4" t="s">
        <v>8590</v>
      </c>
      <c r="L961" s="2" t="s">
        <v>92</v>
      </c>
      <c r="M961" s="2"/>
      <c r="N961" t="s">
        <v>8582</v>
      </c>
      <c r="O961" s="8" t="str">
        <f t="shared" si="28"/>
        <v/>
      </c>
      <c r="P961" t="str">
        <f t="shared" si="29"/>
        <v>N/A</v>
      </c>
    </row>
    <row r="962" spans="1:16" x14ac:dyDescent="0.25">
      <c r="A962" s="2" t="s">
        <v>2666</v>
      </c>
      <c r="B962" s="4">
        <v>46166.28125</v>
      </c>
      <c r="C962" s="2" t="s">
        <v>67</v>
      </c>
      <c r="D962" s="2" t="s">
        <v>95</v>
      </c>
      <c r="E962" s="2" t="s">
        <v>85</v>
      </c>
      <c r="F962" s="2" t="s">
        <v>113</v>
      </c>
      <c r="G962" s="2" t="s">
        <v>179</v>
      </c>
      <c r="H962" s="2" t="s">
        <v>74</v>
      </c>
      <c r="I962" s="2">
        <v>8</v>
      </c>
      <c r="J962" s="2" t="s">
        <v>106</v>
      </c>
      <c r="K962" s="4">
        <v>46166.748611111114</v>
      </c>
      <c r="L962" s="2" t="s">
        <v>24</v>
      </c>
      <c r="M962" s="2">
        <v>4</v>
      </c>
      <c r="N962" t="s">
        <v>8588</v>
      </c>
      <c r="O962" s="8">
        <f t="shared" si="28"/>
        <v>11.216666666732635</v>
      </c>
      <c r="P962" t="str">
        <f t="shared" si="29"/>
        <v>No</v>
      </c>
    </row>
    <row r="963" spans="1:16" x14ac:dyDescent="0.25">
      <c r="A963" s="2" t="s">
        <v>2669</v>
      </c>
      <c r="B963" s="4">
        <v>46152.647916666669</v>
      </c>
      <c r="C963" s="2" t="s">
        <v>53</v>
      </c>
      <c r="D963" s="2" t="s">
        <v>61</v>
      </c>
      <c r="E963" s="2" t="s">
        <v>79</v>
      </c>
      <c r="F963" s="2" t="s">
        <v>30</v>
      </c>
      <c r="G963" s="2" t="s">
        <v>31</v>
      </c>
      <c r="H963" s="2" t="s">
        <v>32</v>
      </c>
      <c r="I963" s="2">
        <v>48</v>
      </c>
      <c r="J963" s="2" t="s">
        <v>106</v>
      </c>
      <c r="K963" s="4">
        <v>46156.460416666669</v>
      </c>
      <c r="L963" s="2" t="s">
        <v>24</v>
      </c>
      <c r="M963" s="2"/>
      <c r="N963" t="s">
        <v>8588</v>
      </c>
      <c r="O963" s="8">
        <f t="shared" ref="O963:O1026" si="30">IF(K963="","",IF(K963="Missing Resolve Date","",(K963-B963)*24))</f>
        <v>91.5</v>
      </c>
      <c r="P963" t="str">
        <f t="shared" ref="P963:P1026" si="31">IF(J963="Resolved",IF(O963&lt;=I963,"Yes","No"),"N/A")</f>
        <v>No</v>
      </c>
    </row>
    <row r="964" spans="1:16" x14ac:dyDescent="0.25">
      <c r="A964" s="2" t="s">
        <v>2671</v>
      </c>
      <c r="B964" s="4">
        <v>46251.160416666666</v>
      </c>
      <c r="C964" s="2" t="s">
        <v>16</v>
      </c>
      <c r="D964" s="2" t="s">
        <v>17</v>
      </c>
      <c r="E964" s="2" t="s">
        <v>46</v>
      </c>
      <c r="F964" s="2" t="s">
        <v>96</v>
      </c>
      <c r="G964" s="2" t="s">
        <v>110</v>
      </c>
      <c r="H964" s="2" t="s">
        <v>74</v>
      </c>
      <c r="I964" s="2">
        <v>8</v>
      </c>
      <c r="J964" s="2" t="s">
        <v>11</v>
      </c>
      <c r="K964" s="4" t="s">
        <v>8590</v>
      </c>
      <c r="L964" s="2" t="s">
        <v>92</v>
      </c>
      <c r="M964" s="2"/>
      <c r="N964" t="s">
        <v>8581</v>
      </c>
      <c r="O964" s="8" t="str">
        <f t="shared" si="30"/>
        <v/>
      </c>
      <c r="P964" t="str">
        <f t="shared" si="31"/>
        <v>N/A</v>
      </c>
    </row>
    <row r="965" spans="1:16" x14ac:dyDescent="0.25">
      <c r="A965" s="2" t="s">
        <v>2673</v>
      </c>
      <c r="B965" s="4">
        <v>46254.47152777778</v>
      </c>
      <c r="C965" s="2" t="s">
        <v>16</v>
      </c>
      <c r="D965" s="2" t="s">
        <v>84</v>
      </c>
      <c r="E965" s="2" t="s">
        <v>79</v>
      </c>
      <c r="F965" s="2" t="s">
        <v>30</v>
      </c>
      <c r="G965" s="2" t="s">
        <v>31</v>
      </c>
      <c r="H965" s="2" t="s">
        <v>21</v>
      </c>
      <c r="I965" s="2">
        <v>24</v>
      </c>
      <c r="J965" s="2" t="s">
        <v>106</v>
      </c>
      <c r="K965" s="4">
        <v>46256.754166666666</v>
      </c>
      <c r="L965" s="2" t="s">
        <v>24</v>
      </c>
      <c r="M965" s="2">
        <v>3</v>
      </c>
      <c r="N965" t="s">
        <v>8589</v>
      </c>
      <c r="O965" s="8">
        <f t="shared" si="30"/>
        <v>54.783333333267365</v>
      </c>
      <c r="P965" t="str">
        <f t="shared" si="31"/>
        <v>No</v>
      </c>
    </row>
    <row r="966" spans="1:16" x14ac:dyDescent="0.25">
      <c r="A966" s="2" t="s">
        <v>2676</v>
      </c>
      <c r="B966" s="4">
        <v>46200.003472222219</v>
      </c>
      <c r="C966" s="2" t="s">
        <v>53</v>
      </c>
      <c r="D966" s="2" t="s">
        <v>54</v>
      </c>
      <c r="E966" s="2" t="s">
        <v>38</v>
      </c>
      <c r="F966" s="2" t="s">
        <v>30</v>
      </c>
      <c r="G966" s="2" t="s">
        <v>31</v>
      </c>
      <c r="H966" s="2" t="s">
        <v>80</v>
      </c>
      <c r="I966" s="2">
        <v>4</v>
      </c>
      <c r="J966" s="2" t="s">
        <v>11</v>
      </c>
      <c r="K966" s="4" t="s">
        <v>8590</v>
      </c>
      <c r="L966" s="2" t="s">
        <v>92</v>
      </c>
      <c r="M966" s="2"/>
      <c r="N966" t="s">
        <v>8588</v>
      </c>
      <c r="O966" s="8" t="str">
        <f t="shared" si="30"/>
        <v/>
      </c>
      <c r="P966" t="str">
        <f t="shared" si="31"/>
        <v>N/A</v>
      </c>
    </row>
    <row r="967" spans="1:16" x14ac:dyDescent="0.25">
      <c r="A967" s="2" t="s">
        <v>2677</v>
      </c>
      <c r="B967" s="4">
        <v>46214.038888888892</v>
      </c>
      <c r="C967" s="2" t="s">
        <v>53</v>
      </c>
      <c r="D967" s="2" t="s">
        <v>54</v>
      </c>
      <c r="E967" s="2" t="s">
        <v>79</v>
      </c>
      <c r="F967" s="2" t="s">
        <v>30</v>
      </c>
      <c r="G967" s="2" t="s">
        <v>101</v>
      </c>
      <c r="H967" s="2" t="s">
        <v>32</v>
      </c>
      <c r="I967" s="2">
        <v>48</v>
      </c>
      <c r="J967" s="2" t="s">
        <v>106</v>
      </c>
      <c r="K967" s="4">
        <v>46214.852777777778</v>
      </c>
      <c r="L967" s="2" t="s">
        <v>24</v>
      </c>
      <c r="M967" s="2">
        <v>4</v>
      </c>
      <c r="N967" t="s">
        <v>8581</v>
      </c>
      <c r="O967" s="8">
        <f t="shared" si="30"/>
        <v>19.533333333267365</v>
      </c>
      <c r="P967" t="str">
        <f t="shared" si="31"/>
        <v>Yes</v>
      </c>
    </row>
    <row r="968" spans="1:16" x14ac:dyDescent="0.25">
      <c r="A968" s="2" t="s">
        <v>2680</v>
      </c>
      <c r="B968" s="4">
        <v>46221.338888888888</v>
      </c>
      <c r="C968" s="2" t="s">
        <v>53</v>
      </c>
      <c r="D968" s="2" t="s">
        <v>61</v>
      </c>
      <c r="E968" s="2" t="s">
        <v>148</v>
      </c>
      <c r="F968" s="2" t="s">
        <v>96</v>
      </c>
      <c r="G968" s="2" t="s">
        <v>31</v>
      </c>
      <c r="H968" s="2" t="s">
        <v>74</v>
      </c>
      <c r="I968" s="2">
        <v>8</v>
      </c>
      <c r="J968" s="2" t="s">
        <v>11</v>
      </c>
      <c r="K968" s="4" t="s">
        <v>8590</v>
      </c>
      <c r="L968" s="2" t="s">
        <v>92</v>
      </c>
      <c r="M968" s="2"/>
      <c r="N968" t="s">
        <v>8582</v>
      </c>
      <c r="O968" s="8" t="str">
        <f t="shared" si="30"/>
        <v/>
      </c>
      <c r="P968" t="str">
        <f t="shared" si="31"/>
        <v>N/A</v>
      </c>
    </row>
    <row r="969" spans="1:16" x14ac:dyDescent="0.25">
      <c r="A969" s="2" t="s">
        <v>2682</v>
      </c>
      <c r="B969" s="4">
        <v>46125.712500000001</v>
      </c>
      <c r="C969" s="2" t="s">
        <v>16</v>
      </c>
      <c r="D969" s="2" t="s">
        <v>17</v>
      </c>
      <c r="E969" s="2" t="s">
        <v>38</v>
      </c>
      <c r="F969" s="2" t="s">
        <v>96</v>
      </c>
      <c r="G969" s="2" t="s">
        <v>179</v>
      </c>
      <c r="H969" s="2" t="s">
        <v>21</v>
      </c>
      <c r="I969" s="2">
        <v>24</v>
      </c>
      <c r="J969" s="2" t="s">
        <v>75</v>
      </c>
      <c r="K969" s="4">
        <v>46125.772916666669</v>
      </c>
      <c r="L969" s="2" t="s">
        <v>24</v>
      </c>
      <c r="M969" s="2"/>
      <c r="N969" t="s">
        <v>8588</v>
      </c>
      <c r="O969" s="8">
        <f t="shared" si="30"/>
        <v>1.4500000000116415</v>
      </c>
      <c r="P969" t="str">
        <f t="shared" si="31"/>
        <v>N/A</v>
      </c>
    </row>
    <row r="970" spans="1:16" x14ac:dyDescent="0.25">
      <c r="A970" s="2" t="s">
        <v>2685</v>
      </c>
      <c r="B970" s="4">
        <v>46052.036111111112</v>
      </c>
      <c r="C970" s="2" t="s">
        <v>28</v>
      </c>
      <c r="D970" s="2" t="s">
        <v>100</v>
      </c>
      <c r="E970" s="2" t="s">
        <v>38</v>
      </c>
      <c r="F970" s="2" t="s">
        <v>113</v>
      </c>
      <c r="G970" s="2" t="s">
        <v>183</v>
      </c>
      <c r="H970" s="2" t="s">
        <v>21</v>
      </c>
      <c r="I970" s="2">
        <v>24</v>
      </c>
      <c r="J970" s="2" t="s">
        <v>106</v>
      </c>
      <c r="K970" s="4">
        <v>46053.634722222225</v>
      </c>
      <c r="L970" s="2" t="s">
        <v>24</v>
      </c>
      <c r="M970" s="2">
        <v>5</v>
      </c>
      <c r="N970" t="s">
        <v>8586</v>
      </c>
      <c r="O970" s="8">
        <f t="shared" si="30"/>
        <v>38.366666666697711</v>
      </c>
      <c r="P970" t="str">
        <f t="shared" si="31"/>
        <v>No</v>
      </c>
    </row>
    <row r="971" spans="1:16" x14ac:dyDescent="0.25">
      <c r="A971" s="2" t="s">
        <v>2687</v>
      </c>
      <c r="B971" s="4">
        <v>46220.113888888889</v>
      </c>
      <c r="C971" s="2" t="s">
        <v>67</v>
      </c>
      <c r="D971" s="2" t="s">
        <v>68</v>
      </c>
      <c r="E971" s="2" t="s">
        <v>148</v>
      </c>
      <c r="F971" s="2" t="s">
        <v>30</v>
      </c>
      <c r="G971" s="2" t="s">
        <v>110</v>
      </c>
      <c r="H971" s="2" t="s">
        <v>74</v>
      </c>
      <c r="I971" s="2">
        <v>8</v>
      </c>
      <c r="J971" s="2" t="s">
        <v>106</v>
      </c>
      <c r="K971" s="4">
        <v>46220.23541666667</v>
      </c>
      <c r="L971" s="2" t="s">
        <v>24</v>
      </c>
      <c r="M971" s="2">
        <v>2</v>
      </c>
      <c r="N971" t="s">
        <v>8587</v>
      </c>
      <c r="O971" s="8">
        <f t="shared" si="30"/>
        <v>2.9166666667442769</v>
      </c>
      <c r="P971" t="str">
        <f t="shared" si="31"/>
        <v>Yes</v>
      </c>
    </row>
    <row r="972" spans="1:16" x14ac:dyDescent="0.25">
      <c r="A972" s="2" t="s">
        <v>2690</v>
      </c>
      <c r="B972" s="4">
        <v>46084.243055555555</v>
      </c>
      <c r="C972" s="2" t="s">
        <v>67</v>
      </c>
      <c r="D972" s="2" t="s">
        <v>68</v>
      </c>
      <c r="E972" s="2" t="s">
        <v>148</v>
      </c>
      <c r="F972" s="2" t="s">
        <v>30</v>
      </c>
      <c r="G972" s="2" t="s">
        <v>179</v>
      </c>
      <c r="H972" s="2" t="s">
        <v>80</v>
      </c>
      <c r="I972" s="2">
        <v>4</v>
      </c>
      <c r="J972" s="2" t="s">
        <v>106</v>
      </c>
      <c r="K972" s="4">
        <v>46084.362500000003</v>
      </c>
      <c r="L972" s="2" t="s">
        <v>24</v>
      </c>
      <c r="M972" s="2"/>
      <c r="N972" t="s">
        <v>8584</v>
      </c>
      <c r="O972" s="8">
        <f t="shared" si="30"/>
        <v>2.8666666667559184</v>
      </c>
      <c r="P972" t="str">
        <f t="shared" si="31"/>
        <v>Yes</v>
      </c>
    </row>
    <row r="973" spans="1:16" x14ac:dyDescent="0.25">
      <c r="A973" s="2" t="s">
        <v>2693</v>
      </c>
      <c r="B973" s="4">
        <v>46086.70416666667</v>
      </c>
      <c r="C973" s="2" t="s">
        <v>28</v>
      </c>
      <c r="D973" s="2" t="s">
        <v>100</v>
      </c>
      <c r="E973" s="2" t="s">
        <v>148</v>
      </c>
      <c r="F973" s="2" t="s">
        <v>55</v>
      </c>
      <c r="G973" s="2" t="s">
        <v>183</v>
      </c>
      <c r="H973" s="2" t="s">
        <v>32</v>
      </c>
      <c r="I973" s="2">
        <v>48</v>
      </c>
      <c r="J973" s="2" t="s">
        <v>287</v>
      </c>
      <c r="K973" s="4" t="s">
        <v>8590</v>
      </c>
      <c r="L973" s="2" t="s">
        <v>24</v>
      </c>
      <c r="M973" s="2"/>
      <c r="N973" t="s">
        <v>8583</v>
      </c>
      <c r="O973" s="8" t="str">
        <f t="shared" si="30"/>
        <v/>
      </c>
      <c r="P973" t="str">
        <f t="shared" si="31"/>
        <v>N/A</v>
      </c>
    </row>
    <row r="974" spans="1:16" x14ac:dyDescent="0.25">
      <c r="A974" s="2" t="s">
        <v>2695</v>
      </c>
      <c r="B974" s="4">
        <v>46214.671527777777</v>
      </c>
      <c r="C974" s="2" t="s">
        <v>53</v>
      </c>
      <c r="D974" s="2" t="s">
        <v>54</v>
      </c>
      <c r="E974" s="2" t="s">
        <v>85</v>
      </c>
      <c r="F974" s="2" t="s">
        <v>96</v>
      </c>
      <c r="G974" s="2" t="s">
        <v>31</v>
      </c>
      <c r="H974" s="2" t="s">
        <v>74</v>
      </c>
      <c r="I974" s="2">
        <v>8</v>
      </c>
      <c r="J974" s="2" t="s">
        <v>106</v>
      </c>
      <c r="K974" s="4" t="s">
        <v>8590</v>
      </c>
      <c r="L974" s="2" t="s">
        <v>24</v>
      </c>
      <c r="M974" s="2">
        <v>5</v>
      </c>
      <c r="N974" t="s">
        <v>8589</v>
      </c>
      <c r="O974" s="8" t="str">
        <f t="shared" si="30"/>
        <v/>
      </c>
      <c r="P974" t="str">
        <f t="shared" si="31"/>
        <v>No</v>
      </c>
    </row>
    <row r="975" spans="1:16" x14ac:dyDescent="0.25">
      <c r="A975" s="2" t="s">
        <v>2697</v>
      </c>
      <c r="B975" s="4">
        <v>46202.34652777778</v>
      </c>
      <c r="C975" s="2" t="s">
        <v>53</v>
      </c>
      <c r="D975" s="2" t="s">
        <v>54</v>
      </c>
      <c r="E975" s="2" t="s">
        <v>79</v>
      </c>
      <c r="F975" s="2" t="s">
        <v>55</v>
      </c>
      <c r="G975" s="2" t="s">
        <v>110</v>
      </c>
      <c r="H975" s="2" t="s">
        <v>32</v>
      </c>
      <c r="I975" s="2">
        <v>48</v>
      </c>
      <c r="J975" s="2" t="s">
        <v>106</v>
      </c>
      <c r="K975" s="4">
        <v>46202.411805555559</v>
      </c>
      <c r="L975" s="2" t="s">
        <v>24</v>
      </c>
      <c r="M975" s="2">
        <v>5</v>
      </c>
      <c r="N975" t="s">
        <v>8588</v>
      </c>
      <c r="O975" s="8">
        <f t="shared" si="30"/>
        <v>1.5666666667093523</v>
      </c>
      <c r="P975" t="str">
        <f t="shared" si="31"/>
        <v>Yes</v>
      </c>
    </row>
    <row r="976" spans="1:16" x14ac:dyDescent="0.25">
      <c r="A976" s="2" t="s">
        <v>2700</v>
      </c>
      <c r="B976" s="4">
        <v>46232.416666666664</v>
      </c>
      <c r="C976" s="2" t="s">
        <v>53</v>
      </c>
      <c r="D976" s="2" t="s">
        <v>54</v>
      </c>
      <c r="E976" s="2" t="s">
        <v>38</v>
      </c>
      <c r="F976" s="2" t="s">
        <v>113</v>
      </c>
      <c r="G976" s="2" t="s">
        <v>179</v>
      </c>
      <c r="H976" s="2" t="s">
        <v>21</v>
      </c>
      <c r="I976" s="2">
        <v>24</v>
      </c>
      <c r="J976" s="2" t="s">
        <v>106</v>
      </c>
      <c r="K976" s="4">
        <v>46232.989583333336</v>
      </c>
      <c r="L976" s="2" t="s">
        <v>24</v>
      </c>
      <c r="M976" s="2">
        <v>5</v>
      </c>
      <c r="N976" t="s">
        <v>8587</v>
      </c>
      <c r="O976" s="8">
        <f t="shared" si="30"/>
        <v>13.750000000116415</v>
      </c>
      <c r="P976" t="str">
        <f t="shared" si="31"/>
        <v>Yes</v>
      </c>
    </row>
    <row r="977" spans="1:16" x14ac:dyDescent="0.25">
      <c r="A977" s="2" t="s">
        <v>2703</v>
      </c>
      <c r="B977" s="4">
        <v>46089.84375</v>
      </c>
      <c r="C977" s="2" t="s">
        <v>28</v>
      </c>
      <c r="D977" s="2" t="s">
        <v>100</v>
      </c>
      <c r="E977" s="2" t="s">
        <v>38</v>
      </c>
      <c r="F977" s="2" t="s">
        <v>30</v>
      </c>
      <c r="G977" s="2" t="s">
        <v>179</v>
      </c>
      <c r="H977" s="2" t="s">
        <v>80</v>
      </c>
      <c r="I977" s="2">
        <v>4</v>
      </c>
      <c r="J977" s="2" t="s">
        <v>287</v>
      </c>
      <c r="K977" s="4" t="s">
        <v>8590</v>
      </c>
      <c r="L977" s="2" t="s">
        <v>24</v>
      </c>
      <c r="M977" s="2"/>
      <c r="N977" t="s">
        <v>8583</v>
      </c>
      <c r="O977" s="8" t="str">
        <f t="shared" si="30"/>
        <v/>
      </c>
      <c r="P977" t="str">
        <f t="shared" si="31"/>
        <v>N/A</v>
      </c>
    </row>
    <row r="978" spans="1:16" x14ac:dyDescent="0.25">
      <c r="A978" s="2" t="s">
        <v>2705</v>
      </c>
      <c r="B978" s="4">
        <v>46195.381249999999</v>
      </c>
      <c r="C978" s="2" t="s">
        <v>53</v>
      </c>
      <c r="D978" s="2" t="s">
        <v>61</v>
      </c>
      <c r="E978" s="2" t="s">
        <v>148</v>
      </c>
      <c r="F978" s="2" t="s">
        <v>30</v>
      </c>
      <c r="G978" s="2" t="s">
        <v>110</v>
      </c>
      <c r="H978" s="2" t="s">
        <v>32</v>
      </c>
      <c r="I978" s="2">
        <v>48</v>
      </c>
      <c r="J978" s="2" t="s">
        <v>11</v>
      </c>
      <c r="K978" s="4" t="s">
        <v>8590</v>
      </c>
      <c r="L978" s="2" t="s">
        <v>92</v>
      </c>
      <c r="M978" s="2"/>
      <c r="N978" t="s">
        <v>8584</v>
      </c>
      <c r="O978" s="8" t="str">
        <f t="shared" si="30"/>
        <v/>
      </c>
      <c r="P978" t="str">
        <f t="shared" si="31"/>
        <v>N/A</v>
      </c>
    </row>
    <row r="979" spans="1:16" x14ac:dyDescent="0.25">
      <c r="A979" s="2" t="s">
        <v>2707</v>
      </c>
      <c r="B979" s="4">
        <v>46129.005555555559</v>
      </c>
      <c r="C979" s="2" t="s">
        <v>67</v>
      </c>
      <c r="D979" s="2" t="s">
        <v>95</v>
      </c>
      <c r="E979" s="2" t="s">
        <v>148</v>
      </c>
      <c r="F979" s="2" t="s">
        <v>55</v>
      </c>
      <c r="G979" s="2" t="s">
        <v>31</v>
      </c>
      <c r="H979" s="2" t="s">
        <v>21</v>
      </c>
      <c r="I979" s="2">
        <v>24</v>
      </c>
      <c r="J979" s="2" t="s">
        <v>149</v>
      </c>
      <c r="K979" s="4" t="s">
        <v>8590</v>
      </c>
      <c r="L979" s="2" t="s">
        <v>92</v>
      </c>
      <c r="M979" s="2"/>
      <c r="N979" t="s">
        <v>8583</v>
      </c>
      <c r="O979" s="8" t="str">
        <f t="shared" si="30"/>
        <v/>
      </c>
      <c r="P979" t="str">
        <f t="shared" si="31"/>
        <v>N/A</v>
      </c>
    </row>
    <row r="980" spans="1:16" x14ac:dyDescent="0.25">
      <c r="A980" s="2" t="s">
        <v>2709</v>
      </c>
      <c r="B980" s="4">
        <v>46238.208333333336</v>
      </c>
      <c r="C980" s="2" t="s">
        <v>28</v>
      </c>
      <c r="D980" s="2" t="s">
        <v>37</v>
      </c>
      <c r="E980" s="2" t="s">
        <v>79</v>
      </c>
      <c r="F980" s="2" t="s">
        <v>30</v>
      </c>
      <c r="G980" s="2" t="s">
        <v>179</v>
      </c>
      <c r="H980" s="2" t="s">
        <v>32</v>
      </c>
      <c r="I980" s="2">
        <v>48</v>
      </c>
      <c r="J980" s="2" t="s">
        <v>106</v>
      </c>
      <c r="K980" s="4">
        <v>46239.783333333333</v>
      </c>
      <c r="L980" s="2" t="s">
        <v>24</v>
      </c>
      <c r="M980" s="2">
        <v>4</v>
      </c>
      <c r="N980" t="s">
        <v>8583</v>
      </c>
      <c r="O980" s="8">
        <f t="shared" si="30"/>
        <v>37.799999999930151</v>
      </c>
      <c r="P980" t="str">
        <f t="shared" si="31"/>
        <v>Yes</v>
      </c>
    </row>
    <row r="981" spans="1:16" x14ac:dyDescent="0.25">
      <c r="A981" s="2" t="s">
        <v>2712</v>
      </c>
      <c r="B981" s="4">
        <v>46242.072222222225</v>
      </c>
      <c r="C981" s="2" t="s">
        <v>53</v>
      </c>
      <c r="D981" s="2" t="s">
        <v>61</v>
      </c>
      <c r="E981" s="2" t="s">
        <v>46</v>
      </c>
      <c r="F981" s="2" t="s">
        <v>30</v>
      </c>
      <c r="G981" s="2" t="s">
        <v>31</v>
      </c>
      <c r="H981" s="2" t="s">
        <v>32</v>
      </c>
      <c r="I981" s="2">
        <v>48</v>
      </c>
      <c r="J981" s="2" t="s">
        <v>75</v>
      </c>
      <c r="K981" s="4">
        <v>46243.618750000001</v>
      </c>
      <c r="L981" s="2" t="s">
        <v>24</v>
      </c>
      <c r="M981" s="2">
        <v>2</v>
      </c>
      <c r="N981" t="s">
        <v>8586</v>
      </c>
      <c r="O981" s="8">
        <f t="shared" si="30"/>
        <v>37.116666666639503</v>
      </c>
      <c r="P981" t="str">
        <f t="shared" si="31"/>
        <v>N/A</v>
      </c>
    </row>
    <row r="982" spans="1:16" x14ac:dyDescent="0.25">
      <c r="A982" s="2" t="s">
        <v>2715</v>
      </c>
      <c r="B982" s="4">
        <v>46153.457638888889</v>
      </c>
      <c r="C982" s="2" t="s">
        <v>16</v>
      </c>
      <c r="D982" s="2" t="s">
        <v>84</v>
      </c>
      <c r="E982" s="2" t="s">
        <v>79</v>
      </c>
      <c r="F982" s="2" t="s">
        <v>96</v>
      </c>
      <c r="G982" s="2" t="s">
        <v>31</v>
      </c>
      <c r="H982" s="2" t="s">
        <v>74</v>
      </c>
      <c r="I982" s="2">
        <v>8</v>
      </c>
      <c r="J982" s="2" t="s">
        <v>75</v>
      </c>
      <c r="K982" s="4">
        <v>46154.354861111111</v>
      </c>
      <c r="L982" s="2" t="s">
        <v>24</v>
      </c>
      <c r="M982" s="2"/>
      <c r="N982" t="s">
        <v>8582</v>
      </c>
      <c r="O982" s="8">
        <f t="shared" si="30"/>
        <v>21.533333333325572</v>
      </c>
      <c r="P982" t="str">
        <f t="shared" si="31"/>
        <v>N/A</v>
      </c>
    </row>
    <row r="983" spans="1:16" x14ac:dyDescent="0.25">
      <c r="A983" s="2" t="s">
        <v>2718</v>
      </c>
      <c r="B983" s="4">
        <v>46103.605555555558</v>
      </c>
      <c r="C983" s="2" t="s">
        <v>16</v>
      </c>
      <c r="D983" s="2" t="s">
        <v>17</v>
      </c>
      <c r="E983" s="2" t="s">
        <v>90</v>
      </c>
      <c r="F983" s="2" t="s">
        <v>96</v>
      </c>
      <c r="G983" s="2" t="s">
        <v>211</v>
      </c>
      <c r="H983" s="2" t="s">
        <v>80</v>
      </c>
      <c r="I983" s="2">
        <v>4</v>
      </c>
      <c r="J983" s="2" t="s">
        <v>106</v>
      </c>
      <c r="K983" s="4">
        <v>46103.637499999997</v>
      </c>
      <c r="L983" s="2" t="s">
        <v>24</v>
      </c>
      <c r="M983" s="2">
        <v>5</v>
      </c>
      <c r="N983" t="s">
        <v>8585</v>
      </c>
      <c r="O983" s="8">
        <f t="shared" si="30"/>
        <v>0.76666666654637083</v>
      </c>
      <c r="P983" t="str">
        <f t="shared" si="31"/>
        <v>Yes</v>
      </c>
    </row>
    <row r="984" spans="1:16" x14ac:dyDescent="0.25">
      <c r="A984" s="2" t="s">
        <v>2721</v>
      </c>
      <c r="B984" s="4">
        <v>46055.029861111114</v>
      </c>
      <c r="C984" s="2" t="s">
        <v>67</v>
      </c>
      <c r="D984" s="2" t="s">
        <v>95</v>
      </c>
      <c r="E984" s="2" t="s">
        <v>90</v>
      </c>
      <c r="F984" s="2" t="s">
        <v>30</v>
      </c>
      <c r="G984" s="2" t="s">
        <v>211</v>
      </c>
      <c r="H984" s="2" t="s">
        <v>74</v>
      </c>
      <c r="I984" s="2">
        <v>8</v>
      </c>
      <c r="J984" s="2" t="s">
        <v>106</v>
      </c>
      <c r="K984" s="4">
        <v>46055.268055555556</v>
      </c>
      <c r="L984" s="2" t="s">
        <v>92</v>
      </c>
      <c r="M984" s="2">
        <v>5</v>
      </c>
      <c r="N984" t="s">
        <v>8589</v>
      </c>
      <c r="O984" s="8">
        <f t="shared" si="30"/>
        <v>5.71666666661622</v>
      </c>
      <c r="P984" t="str">
        <f t="shared" si="31"/>
        <v>Yes</v>
      </c>
    </row>
    <row r="985" spans="1:16" x14ac:dyDescent="0.25">
      <c r="A985" s="2" t="s">
        <v>2724</v>
      </c>
      <c r="B985" s="4">
        <v>46072.607638888891</v>
      </c>
      <c r="C985" s="2" t="s">
        <v>16</v>
      </c>
      <c r="D985" s="2" t="s">
        <v>17</v>
      </c>
      <c r="E985" s="2" t="s">
        <v>79</v>
      </c>
      <c r="F985" s="2" t="s">
        <v>113</v>
      </c>
      <c r="G985" s="2" t="s">
        <v>183</v>
      </c>
      <c r="H985" s="2" t="s">
        <v>74</v>
      </c>
      <c r="I985" s="2">
        <v>8</v>
      </c>
      <c r="J985" s="2" t="s">
        <v>75</v>
      </c>
      <c r="K985" s="4">
        <v>46073.431944444441</v>
      </c>
      <c r="L985" s="2" t="s">
        <v>24</v>
      </c>
      <c r="M985" s="2"/>
      <c r="N985" t="s">
        <v>8589</v>
      </c>
      <c r="O985" s="8">
        <f t="shared" si="30"/>
        <v>19.783333333209157</v>
      </c>
      <c r="P985" t="str">
        <f t="shared" si="31"/>
        <v>N/A</v>
      </c>
    </row>
    <row r="986" spans="1:16" x14ac:dyDescent="0.25">
      <c r="A986" s="2" t="s">
        <v>2727</v>
      </c>
      <c r="B986" s="4">
        <v>46154.071527777778</v>
      </c>
      <c r="C986" s="2" t="s">
        <v>53</v>
      </c>
      <c r="D986" s="2" t="s">
        <v>54</v>
      </c>
      <c r="E986" s="2" t="s">
        <v>85</v>
      </c>
      <c r="F986" s="2" t="s">
        <v>55</v>
      </c>
      <c r="G986" s="2" t="s">
        <v>101</v>
      </c>
      <c r="H986" s="2" t="s">
        <v>21</v>
      </c>
      <c r="I986" s="2">
        <v>24</v>
      </c>
      <c r="J986" s="2" t="s">
        <v>106</v>
      </c>
      <c r="K986" s="4">
        <v>46154.260416666664</v>
      </c>
      <c r="L986" s="2" t="s">
        <v>24</v>
      </c>
      <c r="M986" s="2"/>
      <c r="N986" t="s">
        <v>8588</v>
      </c>
      <c r="O986" s="8">
        <f t="shared" si="30"/>
        <v>4.5333333332673647</v>
      </c>
      <c r="P986" t="str">
        <f t="shared" si="31"/>
        <v>Yes</v>
      </c>
    </row>
    <row r="987" spans="1:16" x14ac:dyDescent="0.25">
      <c r="A987" s="2" t="s">
        <v>2730</v>
      </c>
      <c r="B987" s="4">
        <v>46097.112500000003</v>
      </c>
      <c r="C987" s="2" t="s">
        <v>28</v>
      </c>
      <c r="D987" s="2" t="s">
        <v>100</v>
      </c>
      <c r="E987" s="2" t="s">
        <v>90</v>
      </c>
      <c r="F987" s="2" t="s">
        <v>30</v>
      </c>
      <c r="G987" s="2" t="s">
        <v>211</v>
      </c>
      <c r="H987" s="2" t="s">
        <v>74</v>
      </c>
      <c r="I987" s="2">
        <v>8</v>
      </c>
      <c r="J987" s="2" t="s">
        <v>149</v>
      </c>
      <c r="K987" s="4" t="s">
        <v>8590</v>
      </c>
      <c r="L987" s="2" t="s">
        <v>24</v>
      </c>
      <c r="M987" s="2"/>
      <c r="N987" t="s">
        <v>8589</v>
      </c>
      <c r="O987" s="8" t="str">
        <f t="shared" si="30"/>
        <v/>
      </c>
      <c r="P987" t="str">
        <f t="shared" si="31"/>
        <v>N/A</v>
      </c>
    </row>
    <row r="988" spans="1:16" x14ac:dyDescent="0.25">
      <c r="A988" s="2" t="s">
        <v>2732</v>
      </c>
      <c r="B988" s="4">
        <v>46130.571527777778</v>
      </c>
      <c r="C988" s="2" t="s">
        <v>28</v>
      </c>
      <c r="D988" s="2" t="s">
        <v>100</v>
      </c>
      <c r="E988" s="2" t="s">
        <v>90</v>
      </c>
      <c r="F988" s="2" t="s">
        <v>96</v>
      </c>
      <c r="G988" s="2" t="s">
        <v>183</v>
      </c>
      <c r="H988" s="2" t="s">
        <v>74</v>
      </c>
      <c r="I988" s="2">
        <v>8</v>
      </c>
      <c r="J988" s="2" t="s">
        <v>75</v>
      </c>
      <c r="K988" s="4">
        <v>46131.429166666669</v>
      </c>
      <c r="L988" s="2" t="s">
        <v>24</v>
      </c>
      <c r="M988" s="2">
        <v>5</v>
      </c>
      <c r="N988" t="s">
        <v>8581</v>
      </c>
      <c r="O988" s="8">
        <f t="shared" si="30"/>
        <v>20.583333333372138</v>
      </c>
      <c r="P988" t="str">
        <f t="shared" si="31"/>
        <v>N/A</v>
      </c>
    </row>
    <row r="989" spans="1:16" x14ac:dyDescent="0.25">
      <c r="A989" s="2" t="s">
        <v>2734</v>
      </c>
      <c r="B989" s="4">
        <v>46035.027083333334</v>
      </c>
      <c r="C989" s="2" t="s">
        <v>67</v>
      </c>
      <c r="D989" s="2" t="s">
        <v>68</v>
      </c>
      <c r="E989" s="2" t="s">
        <v>148</v>
      </c>
      <c r="F989" s="2" t="s">
        <v>30</v>
      </c>
      <c r="G989" s="2" t="s">
        <v>101</v>
      </c>
      <c r="H989" s="2" t="s">
        <v>21</v>
      </c>
      <c r="I989" s="2">
        <v>24</v>
      </c>
      <c r="J989" s="2" t="s">
        <v>8580</v>
      </c>
      <c r="K989" s="4">
        <v>46035.186111111114</v>
      </c>
      <c r="L989" s="2" t="s">
        <v>24</v>
      </c>
      <c r="M989" s="2"/>
      <c r="N989" t="s">
        <v>8582</v>
      </c>
      <c r="O989" s="8">
        <f t="shared" si="30"/>
        <v>3.8166666667093523</v>
      </c>
      <c r="P989" t="str">
        <f t="shared" si="31"/>
        <v>N/A</v>
      </c>
    </row>
    <row r="990" spans="1:16" x14ac:dyDescent="0.25">
      <c r="A990" s="2" t="s">
        <v>2737</v>
      </c>
      <c r="B990" s="4">
        <v>46125.771527777775</v>
      </c>
      <c r="C990" s="2" t="s">
        <v>53</v>
      </c>
      <c r="D990" s="2" t="s">
        <v>54</v>
      </c>
      <c r="E990" s="2" t="s">
        <v>85</v>
      </c>
      <c r="F990" s="2" t="s">
        <v>55</v>
      </c>
      <c r="G990" s="2" t="s">
        <v>101</v>
      </c>
      <c r="H990" s="2" t="s">
        <v>80</v>
      </c>
      <c r="I990" s="2">
        <v>4</v>
      </c>
      <c r="J990" s="2" t="s">
        <v>11</v>
      </c>
      <c r="K990" s="4" t="s">
        <v>8590</v>
      </c>
      <c r="L990" s="2" t="s">
        <v>92</v>
      </c>
      <c r="M990" s="2"/>
      <c r="N990" t="s">
        <v>8583</v>
      </c>
      <c r="O990" s="8" t="str">
        <f t="shared" si="30"/>
        <v/>
      </c>
      <c r="P990" t="str">
        <f t="shared" si="31"/>
        <v>N/A</v>
      </c>
    </row>
    <row r="991" spans="1:16" x14ac:dyDescent="0.25">
      <c r="A991" s="2" t="s">
        <v>2739</v>
      </c>
      <c r="B991" s="4">
        <v>46123.291666666664</v>
      </c>
      <c r="C991" s="2" t="s">
        <v>53</v>
      </c>
      <c r="D991" s="2" t="s">
        <v>61</v>
      </c>
      <c r="E991" s="2" t="s">
        <v>38</v>
      </c>
      <c r="F991" s="2" t="s">
        <v>55</v>
      </c>
      <c r="G991" s="2" t="s">
        <v>31</v>
      </c>
      <c r="H991" s="2" t="s">
        <v>80</v>
      </c>
      <c r="I991" s="2">
        <v>4</v>
      </c>
      <c r="J991" s="2" t="s">
        <v>106</v>
      </c>
      <c r="K991" s="4">
        <v>46123.334027777775</v>
      </c>
      <c r="L991" s="2" t="s">
        <v>92</v>
      </c>
      <c r="M991" s="2">
        <v>3</v>
      </c>
      <c r="N991" t="s">
        <v>8587</v>
      </c>
      <c r="O991" s="8">
        <f t="shared" si="30"/>
        <v>1.0166666666627862</v>
      </c>
      <c r="P991" t="str">
        <f t="shared" si="31"/>
        <v>Yes</v>
      </c>
    </row>
    <row r="992" spans="1:16" x14ac:dyDescent="0.25">
      <c r="A992" s="2" t="s">
        <v>2742</v>
      </c>
      <c r="B992" s="4">
        <v>46093.168749999997</v>
      </c>
      <c r="C992" s="2" t="s">
        <v>53</v>
      </c>
      <c r="D992" s="2" t="s">
        <v>54</v>
      </c>
      <c r="E992" s="2" t="s">
        <v>90</v>
      </c>
      <c r="F992" s="2" t="s">
        <v>113</v>
      </c>
      <c r="G992" s="2" t="s">
        <v>211</v>
      </c>
      <c r="H992" s="2" t="s">
        <v>32</v>
      </c>
      <c r="I992" s="2">
        <v>48</v>
      </c>
      <c r="J992" s="2" t="s">
        <v>149</v>
      </c>
      <c r="K992" s="4" t="s">
        <v>8590</v>
      </c>
      <c r="L992" s="2" t="s">
        <v>24</v>
      </c>
      <c r="M992" s="2"/>
      <c r="N992" t="s">
        <v>8588</v>
      </c>
      <c r="O992" s="8" t="str">
        <f t="shared" si="30"/>
        <v/>
      </c>
      <c r="P992" t="str">
        <f t="shared" si="31"/>
        <v>N/A</v>
      </c>
    </row>
    <row r="993" spans="1:16" x14ac:dyDescent="0.25">
      <c r="A993" s="2" t="s">
        <v>2744</v>
      </c>
      <c r="B993" s="4">
        <v>46154.061111111114</v>
      </c>
      <c r="C993" s="2" t="s">
        <v>67</v>
      </c>
      <c r="D993" s="2" t="s">
        <v>68</v>
      </c>
      <c r="E993" s="2" t="s">
        <v>18</v>
      </c>
      <c r="F993" s="2" t="s">
        <v>96</v>
      </c>
      <c r="G993" s="2" t="s">
        <v>101</v>
      </c>
      <c r="H993" s="2" t="s">
        <v>32</v>
      </c>
      <c r="I993" s="2">
        <v>48</v>
      </c>
      <c r="J993" s="2" t="s">
        <v>106</v>
      </c>
      <c r="K993" s="4">
        <v>46155.03125</v>
      </c>
      <c r="L993" s="2" t="s">
        <v>24</v>
      </c>
      <c r="M993" s="2"/>
      <c r="N993" t="s">
        <v>8583</v>
      </c>
      <c r="O993" s="8">
        <f t="shared" si="30"/>
        <v>23.283333333267365</v>
      </c>
      <c r="P993" t="str">
        <f t="shared" si="31"/>
        <v>Yes</v>
      </c>
    </row>
    <row r="994" spans="1:16" x14ac:dyDescent="0.25">
      <c r="A994" s="2" t="s">
        <v>2747</v>
      </c>
      <c r="B994" s="4">
        <v>46039.111111111109</v>
      </c>
      <c r="C994" s="2" t="s">
        <v>53</v>
      </c>
      <c r="D994" s="2" t="s">
        <v>54</v>
      </c>
      <c r="E994" s="2" t="s">
        <v>85</v>
      </c>
      <c r="F994" s="2" t="s">
        <v>96</v>
      </c>
      <c r="G994" s="2" t="s">
        <v>31</v>
      </c>
      <c r="H994" s="2" t="s">
        <v>32</v>
      </c>
      <c r="I994" s="2">
        <v>48</v>
      </c>
      <c r="J994" s="2" t="s">
        <v>11</v>
      </c>
      <c r="K994" s="4" t="s">
        <v>8590</v>
      </c>
      <c r="L994" s="2" t="s">
        <v>92</v>
      </c>
      <c r="M994" s="2"/>
      <c r="N994" t="s">
        <v>8582</v>
      </c>
      <c r="O994" s="8" t="str">
        <f t="shared" si="30"/>
        <v/>
      </c>
      <c r="P994" t="str">
        <f t="shared" si="31"/>
        <v>N/A</v>
      </c>
    </row>
    <row r="995" spans="1:16" x14ac:dyDescent="0.25">
      <c r="A995" s="2" t="s">
        <v>2749</v>
      </c>
      <c r="B995" s="4">
        <v>46251.185416666667</v>
      </c>
      <c r="C995" s="2" t="s">
        <v>53</v>
      </c>
      <c r="D995" s="2" t="s">
        <v>54</v>
      </c>
      <c r="E995" s="2" t="s">
        <v>79</v>
      </c>
      <c r="F995" s="2" t="s">
        <v>30</v>
      </c>
      <c r="G995" s="2" t="s">
        <v>179</v>
      </c>
      <c r="H995" s="2" t="s">
        <v>74</v>
      </c>
      <c r="I995" s="2">
        <v>8</v>
      </c>
      <c r="J995" s="2" t="s">
        <v>106</v>
      </c>
      <c r="K995" s="4">
        <v>46251.617361111108</v>
      </c>
      <c r="L995" s="2" t="s">
        <v>24</v>
      </c>
      <c r="M995" s="2"/>
      <c r="N995" t="s">
        <v>8589</v>
      </c>
      <c r="O995" s="8">
        <f t="shared" si="30"/>
        <v>10.366666666581295</v>
      </c>
      <c r="P995" t="str">
        <f t="shared" si="31"/>
        <v>No</v>
      </c>
    </row>
    <row r="996" spans="1:16" x14ac:dyDescent="0.25">
      <c r="A996" s="2" t="s">
        <v>2752</v>
      </c>
      <c r="B996" s="4">
        <v>46166.713888888888</v>
      </c>
      <c r="C996" s="2" t="s">
        <v>67</v>
      </c>
      <c r="D996" s="2" t="s">
        <v>95</v>
      </c>
      <c r="E996" s="2" t="s">
        <v>148</v>
      </c>
      <c r="F996" s="2" t="s">
        <v>55</v>
      </c>
      <c r="G996" s="2" t="s">
        <v>179</v>
      </c>
      <c r="H996" s="2" t="s">
        <v>32</v>
      </c>
      <c r="I996" s="2">
        <v>48</v>
      </c>
      <c r="J996" s="2" t="s">
        <v>106</v>
      </c>
      <c r="K996" s="4">
        <v>46167.511805555558</v>
      </c>
      <c r="L996" s="2" t="s">
        <v>24</v>
      </c>
      <c r="M996" s="2">
        <v>4</v>
      </c>
      <c r="N996" t="s">
        <v>8584</v>
      </c>
      <c r="O996" s="8">
        <f t="shared" si="30"/>
        <v>19.150000000081491</v>
      </c>
      <c r="P996" t="str">
        <f t="shared" si="31"/>
        <v>Yes</v>
      </c>
    </row>
    <row r="997" spans="1:16" x14ac:dyDescent="0.25">
      <c r="A997" s="2" t="s">
        <v>2755</v>
      </c>
      <c r="B997" s="4">
        <v>46185.749305555553</v>
      </c>
      <c r="C997" s="2" t="s">
        <v>28</v>
      </c>
      <c r="D997" s="2" t="s">
        <v>37</v>
      </c>
      <c r="E997" s="2" t="s">
        <v>38</v>
      </c>
      <c r="F997" s="2" t="s">
        <v>55</v>
      </c>
      <c r="G997" s="2" t="s">
        <v>110</v>
      </c>
      <c r="H997" s="2" t="s">
        <v>21</v>
      </c>
      <c r="I997" s="2">
        <v>24</v>
      </c>
      <c r="J997" s="2" t="s">
        <v>106</v>
      </c>
      <c r="K997" s="4">
        <v>46186.45416666667</v>
      </c>
      <c r="L997" s="2" t="s">
        <v>24</v>
      </c>
      <c r="M997" s="2">
        <v>2</v>
      </c>
      <c r="N997" t="s">
        <v>8586</v>
      </c>
      <c r="O997" s="8">
        <f t="shared" si="30"/>
        <v>16.916666666802485</v>
      </c>
      <c r="P997" t="str">
        <f t="shared" si="31"/>
        <v>Yes</v>
      </c>
    </row>
    <row r="998" spans="1:16" x14ac:dyDescent="0.25">
      <c r="A998" s="2" t="s">
        <v>2758</v>
      </c>
      <c r="B998" s="4">
        <v>46078.567361111112</v>
      </c>
      <c r="C998" s="2" t="s">
        <v>67</v>
      </c>
      <c r="D998" s="2" t="s">
        <v>95</v>
      </c>
      <c r="E998" s="2" t="s">
        <v>46</v>
      </c>
      <c r="F998" s="2" t="s">
        <v>55</v>
      </c>
      <c r="G998" s="2" t="s">
        <v>211</v>
      </c>
      <c r="H998" s="2" t="s">
        <v>21</v>
      </c>
      <c r="I998" s="2">
        <v>24</v>
      </c>
      <c r="J998" s="2" t="s">
        <v>106</v>
      </c>
      <c r="K998" s="4">
        <v>46078.638194444444</v>
      </c>
      <c r="L998" s="2" t="s">
        <v>24</v>
      </c>
      <c r="M998" s="2"/>
      <c r="N998" t="s">
        <v>8583</v>
      </c>
      <c r="O998" s="8">
        <f t="shared" si="30"/>
        <v>1.6999999999534339</v>
      </c>
      <c r="P998" t="str">
        <f t="shared" si="31"/>
        <v>Yes</v>
      </c>
    </row>
    <row r="999" spans="1:16" x14ac:dyDescent="0.25">
      <c r="A999" s="2" t="s">
        <v>2761</v>
      </c>
      <c r="B999" s="4">
        <v>46090.15625</v>
      </c>
      <c r="C999" s="2" t="s">
        <v>53</v>
      </c>
      <c r="D999" s="2" t="s">
        <v>54</v>
      </c>
      <c r="E999" s="2" t="s">
        <v>85</v>
      </c>
      <c r="F999" s="2" t="s">
        <v>113</v>
      </c>
      <c r="G999" s="2" t="s">
        <v>211</v>
      </c>
      <c r="H999" s="2" t="s">
        <v>21</v>
      </c>
      <c r="I999" s="2">
        <v>24</v>
      </c>
      <c r="J999" s="2" t="s">
        <v>106</v>
      </c>
      <c r="K999" s="4">
        <v>46090.745833333334</v>
      </c>
      <c r="L999" s="2" t="s">
        <v>24</v>
      </c>
      <c r="M999" s="2"/>
      <c r="N999" t="s">
        <v>8587</v>
      </c>
      <c r="O999" s="8">
        <f t="shared" si="30"/>
        <v>14.150000000023283</v>
      </c>
      <c r="P999" t="str">
        <f t="shared" si="31"/>
        <v>Yes</v>
      </c>
    </row>
    <row r="1000" spans="1:16" x14ac:dyDescent="0.25">
      <c r="A1000" s="2" t="s">
        <v>2764</v>
      </c>
      <c r="B1000" s="4">
        <v>46046.470833333333</v>
      </c>
      <c r="C1000" s="2" t="s">
        <v>28</v>
      </c>
      <c r="D1000" s="2" t="s">
        <v>100</v>
      </c>
      <c r="E1000" s="2" t="s">
        <v>148</v>
      </c>
      <c r="F1000" s="2" t="s">
        <v>30</v>
      </c>
      <c r="G1000" s="2" t="s">
        <v>31</v>
      </c>
      <c r="H1000" s="2" t="s">
        <v>21</v>
      </c>
      <c r="I1000" s="2">
        <v>24</v>
      </c>
      <c r="J1000" s="2" t="s">
        <v>106</v>
      </c>
      <c r="K1000" s="4">
        <v>46046.54791666667</v>
      </c>
      <c r="L1000" s="2" t="s">
        <v>92</v>
      </c>
      <c r="M1000" s="2"/>
      <c r="N1000" t="s">
        <v>8588</v>
      </c>
      <c r="O1000" s="8">
        <f t="shared" si="30"/>
        <v>1.8500000000931323</v>
      </c>
      <c r="P1000" t="str">
        <f t="shared" si="31"/>
        <v>Yes</v>
      </c>
    </row>
    <row r="1001" spans="1:16" x14ac:dyDescent="0.25">
      <c r="A1001" s="2" t="s">
        <v>2767</v>
      </c>
      <c r="B1001" s="4">
        <v>46084.914583333331</v>
      </c>
      <c r="C1001" s="2" t="s">
        <v>67</v>
      </c>
      <c r="D1001" s="2" t="s">
        <v>68</v>
      </c>
      <c r="E1001" s="2" t="s">
        <v>79</v>
      </c>
      <c r="F1001" s="2" t="s">
        <v>113</v>
      </c>
      <c r="G1001" s="2" t="s">
        <v>110</v>
      </c>
      <c r="H1001" s="2" t="s">
        <v>80</v>
      </c>
      <c r="I1001" s="2">
        <v>4</v>
      </c>
      <c r="J1001" s="2" t="s">
        <v>75</v>
      </c>
      <c r="K1001" s="4">
        <v>46085.027777777781</v>
      </c>
      <c r="L1001" s="2" t="s">
        <v>24</v>
      </c>
      <c r="M1001" s="2">
        <v>3</v>
      </c>
      <c r="N1001" t="s">
        <v>8589</v>
      </c>
      <c r="O1001" s="8">
        <f t="shared" si="30"/>
        <v>2.716666666790843</v>
      </c>
      <c r="P1001" t="str">
        <f t="shared" si="31"/>
        <v>N/A</v>
      </c>
    </row>
    <row r="1002" spans="1:16" x14ac:dyDescent="0.25">
      <c r="A1002" s="2" t="s">
        <v>2770</v>
      </c>
      <c r="B1002" s="4">
        <v>46120.869444444441</v>
      </c>
      <c r="C1002" s="2" t="s">
        <v>28</v>
      </c>
      <c r="D1002" s="2" t="s">
        <v>100</v>
      </c>
      <c r="E1002" s="2" t="s">
        <v>18</v>
      </c>
      <c r="F1002" s="2" t="s">
        <v>30</v>
      </c>
      <c r="G1002" s="2" t="s">
        <v>31</v>
      </c>
      <c r="H1002" s="2" t="s">
        <v>21</v>
      </c>
      <c r="I1002" s="2">
        <v>24</v>
      </c>
      <c r="J1002" s="2" t="s">
        <v>11</v>
      </c>
      <c r="K1002" s="4" t="s">
        <v>8590</v>
      </c>
      <c r="L1002" s="2" t="s">
        <v>92</v>
      </c>
      <c r="M1002" s="2"/>
      <c r="N1002" t="s">
        <v>8584</v>
      </c>
      <c r="O1002" s="8" t="str">
        <f t="shared" si="30"/>
        <v/>
      </c>
      <c r="P1002" t="str">
        <f t="shared" si="31"/>
        <v>N/A</v>
      </c>
    </row>
    <row r="1003" spans="1:16" x14ac:dyDescent="0.25">
      <c r="A1003" s="2" t="s">
        <v>2772</v>
      </c>
      <c r="B1003" s="4">
        <v>46133.93472222222</v>
      </c>
      <c r="C1003" s="2" t="s">
        <v>28</v>
      </c>
      <c r="D1003" s="2" t="s">
        <v>37</v>
      </c>
      <c r="E1003" s="2" t="s">
        <v>79</v>
      </c>
      <c r="F1003" s="2" t="s">
        <v>30</v>
      </c>
      <c r="G1003" s="2" t="s">
        <v>101</v>
      </c>
      <c r="H1003" s="2" t="s">
        <v>74</v>
      </c>
      <c r="I1003" s="2">
        <v>8</v>
      </c>
      <c r="J1003" s="2" t="s">
        <v>106</v>
      </c>
      <c r="K1003" s="4">
        <v>46134.000694444447</v>
      </c>
      <c r="L1003" s="2" t="s">
        <v>24</v>
      </c>
      <c r="M1003" s="2"/>
      <c r="N1003" t="s">
        <v>8588</v>
      </c>
      <c r="O1003" s="8">
        <f t="shared" si="30"/>
        <v>1.5833333334303461</v>
      </c>
      <c r="P1003" t="str">
        <f t="shared" si="31"/>
        <v>Yes</v>
      </c>
    </row>
    <row r="1004" spans="1:16" x14ac:dyDescent="0.25">
      <c r="A1004" s="2" t="s">
        <v>2774</v>
      </c>
      <c r="B1004" s="4">
        <v>46089.548611111109</v>
      </c>
      <c r="C1004" s="2" t="s">
        <v>28</v>
      </c>
      <c r="D1004" s="2" t="s">
        <v>37</v>
      </c>
      <c r="E1004" s="2" t="s">
        <v>79</v>
      </c>
      <c r="F1004" s="2" t="s">
        <v>55</v>
      </c>
      <c r="G1004" s="2" t="s">
        <v>110</v>
      </c>
      <c r="H1004" s="2" t="s">
        <v>32</v>
      </c>
      <c r="I1004" s="2">
        <v>48</v>
      </c>
      <c r="J1004" s="2" t="s">
        <v>106</v>
      </c>
      <c r="K1004" s="4">
        <v>46092.154166666667</v>
      </c>
      <c r="L1004" s="2" t="s">
        <v>24</v>
      </c>
      <c r="M1004" s="2">
        <v>4</v>
      </c>
      <c r="N1004" t="s">
        <v>8584</v>
      </c>
      <c r="O1004" s="8">
        <f t="shared" si="30"/>
        <v>62.53333333338378</v>
      </c>
      <c r="P1004" t="str">
        <f t="shared" si="31"/>
        <v>No</v>
      </c>
    </row>
    <row r="1005" spans="1:16" x14ac:dyDescent="0.25">
      <c r="A1005" s="2" t="s">
        <v>2777</v>
      </c>
      <c r="B1005" s="4">
        <v>46113.743055555555</v>
      </c>
      <c r="C1005" s="2" t="s">
        <v>67</v>
      </c>
      <c r="D1005" s="2" t="s">
        <v>95</v>
      </c>
      <c r="E1005" s="2" t="s">
        <v>148</v>
      </c>
      <c r="F1005" s="2" t="s">
        <v>30</v>
      </c>
      <c r="G1005" s="2" t="s">
        <v>183</v>
      </c>
      <c r="H1005" s="2" t="s">
        <v>21</v>
      </c>
      <c r="I1005" s="2">
        <v>24</v>
      </c>
      <c r="J1005" s="2" t="s">
        <v>149</v>
      </c>
      <c r="K1005" s="4" t="s">
        <v>8590</v>
      </c>
      <c r="L1005" s="2" t="s">
        <v>24</v>
      </c>
      <c r="M1005" s="2"/>
      <c r="N1005" t="s">
        <v>8587</v>
      </c>
      <c r="O1005" s="8" t="str">
        <f t="shared" si="30"/>
        <v/>
      </c>
      <c r="P1005" t="str">
        <f t="shared" si="31"/>
        <v>N/A</v>
      </c>
    </row>
    <row r="1006" spans="1:16" x14ac:dyDescent="0.25">
      <c r="A1006" s="2" t="s">
        <v>2779</v>
      </c>
      <c r="B1006" s="4">
        <v>46112.629166666666</v>
      </c>
      <c r="C1006" s="2" t="s">
        <v>28</v>
      </c>
      <c r="D1006" s="2" t="s">
        <v>37</v>
      </c>
      <c r="E1006" s="2" t="s">
        <v>18</v>
      </c>
      <c r="F1006" s="2" t="s">
        <v>113</v>
      </c>
      <c r="G1006" s="2" t="s">
        <v>31</v>
      </c>
      <c r="H1006" s="2" t="s">
        <v>74</v>
      </c>
      <c r="I1006" s="2">
        <v>8</v>
      </c>
      <c r="J1006" s="2" t="s">
        <v>75</v>
      </c>
      <c r="K1006" s="4">
        <v>46112.902777777781</v>
      </c>
      <c r="L1006" s="2" t="s">
        <v>24</v>
      </c>
      <c r="M1006" s="2">
        <v>1</v>
      </c>
      <c r="N1006" t="s">
        <v>8587</v>
      </c>
      <c r="O1006" s="8">
        <f t="shared" si="30"/>
        <v>6.5666666667675599</v>
      </c>
      <c r="P1006" t="str">
        <f t="shared" si="31"/>
        <v>N/A</v>
      </c>
    </row>
    <row r="1007" spans="1:16" x14ac:dyDescent="0.25">
      <c r="A1007" s="2" t="s">
        <v>2782</v>
      </c>
      <c r="B1007" s="4">
        <v>46227.533333333333</v>
      </c>
      <c r="C1007" s="2" t="s">
        <v>53</v>
      </c>
      <c r="D1007" s="2" t="s">
        <v>61</v>
      </c>
      <c r="E1007" s="2" t="s">
        <v>85</v>
      </c>
      <c r="F1007" s="2" t="s">
        <v>113</v>
      </c>
      <c r="G1007" s="2" t="s">
        <v>110</v>
      </c>
      <c r="H1007" s="2" t="s">
        <v>21</v>
      </c>
      <c r="I1007" s="2">
        <v>24</v>
      </c>
      <c r="J1007" s="2" t="s">
        <v>106</v>
      </c>
      <c r="K1007" s="4">
        <v>46227.752083333333</v>
      </c>
      <c r="L1007" s="2" t="s">
        <v>24</v>
      </c>
      <c r="M1007" s="2">
        <v>2</v>
      </c>
      <c r="N1007" t="s">
        <v>8587</v>
      </c>
      <c r="O1007" s="8">
        <f t="shared" si="30"/>
        <v>5.25</v>
      </c>
      <c r="P1007" t="str">
        <f t="shared" si="31"/>
        <v>Yes</v>
      </c>
    </row>
    <row r="1008" spans="1:16" x14ac:dyDescent="0.25">
      <c r="A1008" s="2" t="s">
        <v>2785</v>
      </c>
      <c r="B1008" s="4">
        <v>46235.794444444444</v>
      </c>
      <c r="C1008" s="2" t="s">
        <v>28</v>
      </c>
      <c r="D1008" s="2" t="s">
        <v>37</v>
      </c>
      <c r="E1008" s="2" t="s">
        <v>85</v>
      </c>
      <c r="F1008" s="2" t="s">
        <v>30</v>
      </c>
      <c r="G1008" s="2" t="s">
        <v>101</v>
      </c>
      <c r="H1008" s="2" t="s">
        <v>32</v>
      </c>
      <c r="I1008" s="2">
        <v>48</v>
      </c>
      <c r="J1008" s="2" t="s">
        <v>106</v>
      </c>
      <c r="K1008" s="4">
        <v>46236.068055555559</v>
      </c>
      <c r="L1008" s="2" t="s">
        <v>24</v>
      </c>
      <c r="M1008" s="2">
        <v>4</v>
      </c>
      <c r="N1008" t="s">
        <v>8581</v>
      </c>
      <c r="O1008" s="8">
        <f t="shared" si="30"/>
        <v>6.5666666667675599</v>
      </c>
      <c r="P1008" t="str">
        <f t="shared" si="31"/>
        <v>Yes</v>
      </c>
    </row>
    <row r="1009" spans="1:16" x14ac:dyDescent="0.25">
      <c r="A1009" s="2" t="s">
        <v>2788</v>
      </c>
      <c r="B1009" s="4">
        <v>46059.236111111109</v>
      </c>
      <c r="C1009" s="2" t="s">
        <v>28</v>
      </c>
      <c r="D1009" s="2" t="s">
        <v>100</v>
      </c>
      <c r="E1009" s="2" t="s">
        <v>148</v>
      </c>
      <c r="F1009" s="2" t="s">
        <v>30</v>
      </c>
      <c r="G1009" s="2" t="s">
        <v>101</v>
      </c>
      <c r="H1009" s="2" t="s">
        <v>32</v>
      </c>
      <c r="I1009" s="2">
        <v>48</v>
      </c>
      <c r="J1009" s="2" t="s">
        <v>106</v>
      </c>
      <c r="K1009" s="4">
        <v>46060.682638888888</v>
      </c>
      <c r="L1009" s="2" t="s">
        <v>24</v>
      </c>
      <c r="M1009" s="2"/>
      <c r="N1009" t="s">
        <v>8589</v>
      </c>
      <c r="O1009" s="8">
        <f t="shared" si="30"/>
        <v>34.716666666674428</v>
      </c>
      <c r="P1009" t="str">
        <f t="shared" si="31"/>
        <v>Yes</v>
      </c>
    </row>
    <row r="1010" spans="1:16" x14ac:dyDescent="0.25">
      <c r="A1010" s="2" t="s">
        <v>2791</v>
      </c>
      <c r="B1010" s="4">
        <v>46192.972222222219</v>
      </c>
      <c r="C1010" s="2" t="s">
        <v>16</v>
      </c>
      <c r="D1010" s="2" t="s">
        <v>84</v>
      </c>
      <c r="E1010" s="2" t="s">
        <v>46</v>
      </c>
      <c r="F1010" s="2" t="s">
        <v>96</v>
      </c>
      <c r="G1010" s="2" t="s">
        <v>211</v>
      </c>
      <c r="H1010" s="2" t="s">
        <v>74</v>
      </c>
      <c r="I1010" s="2">
        <v>8</v>
      </c>
      <c r="J1010" s="2" t="s">
        <v>106</v>
      </c>
      <c r="K1010" s="4">
        <v>46193.194444444445</v>
      </c>
      <c r="L1010" s="2" t="s">
        <v>24</v>
      </c>
      <c r="M1010" s="2">
        <v>4</v>
      </c>
      <c r="N1010" t="s">
        <v>8582</v>
      </c>
      <c r="O1010" s="8">
        <f t="shared" si="30"/>
        <v>5.3333333334303461</v>
      </c>
      <c r="P1010" t="str">
        <f t="shared" si="31"/>
        <v>Yes</v>
      </c>
    </row>
    <row r="1011" spans="1:16" x14ac:dyDescent="0.25">
      <c r="A1011" s="2" t="s">
        <v>2794</v>
      </c>
      <c r="B1011" s="4">
        <v>46026.747916666667</v>
      </c>
      <c r="C1011" s="2" t="s">
        <v>67</v>
      </c>
      <c r="D1011" s="2" t="s">
        <v>68</v>
      </c>
      <c r="E1011" s="2" t="s">
        <v>148</v>
      </c>
      <c r="F1011" s="2" t="s">
        <v>30</v>
      </c>
      <c r="G1011" s="2" t="s">
        <v>183</v>
      </c>
      <c r="H1011" s="2" t="s">
        <v>32</v>
      </c>
      <c r="I1011" s="2">
        <v>48</v>
      </c>
      <c r="J1011" s="2" t="s">
        <v>106</v>
      </c>
      <c r="K1011" s="4">
        <v>46028.257638888892</v>
      </c>
      <c r="L1011" s="2" t="s">
        <v>24</v>
      </c>
      <c r="M1011" s="2"/>
      <c r="N1011" t="s">
        <v>8588</v>
      </c>
      <c r="O1011" s="8">
        <f t="shared" si="30"/>
        <v>36.233333333395422</v>
      </c>
      <c r="P1011" t="str">
        <f t="shared" si="31"/>
        <v>Yes</v>
      </c>
    </row>
    <row r="1012" spans="1:16" x14ac:dyDescent="0.25">
      <c r="A1012" s="2" t="s">
        <v>2797</v>
      </c>
      <c r="B1012" s="4">
        <v>46118.696527777778</v>
      </c>
      <c r="C1012" s="2" t="s">
        <v>53</v>
      </c>
      <c r="D1012" s="2" t="s">
        <v>61</v>
      </c>
      <c r="E1012" s="2" t="s">
        <v>85</v>
      </c>
      <c r="F1012" s="2" t="s">
        <v>113</v>
      </c>
      <c r="G1012" s="2" t="s">
        <v>211</v>
      </c>
      <c r="H1012" s="2" t="s">
        <v>21</v>
      </c>
      <c r="I1012" s="2">
        <v>24</v>
      </c>
      <c r="J1012" s="2" t="s">
        <v>8580</v>
      </c>
      <c r="K1012" s="4">
        <v>46118.831250000003</v>
      </c>
      <c r="L1012" s="2" t="s">
        <v>24</v>
      </c>
      <c r="M1012" s="2"/>
      <c r="N1012" t="s">
        <v>8587</v>
      </c>
      <c r="O1012" s="8">
        <f t="shared" si="30"/>
        <v>3.2333333333954215</v>
      </c>
      <c r="P1012" t="str">
        <f t="shared" si="31"/>
        <v>N/A</v>
      </c>
    </row>
    <row r="1013" spans="1:16" x14ac:dyDescent="0.25">
      <c r="A1013" s="2" t="s">
        <v>2800</v>
      </c>
      <c r="B1013" s="4">
        <v>46182.750694444447</v>
      </c>
      <c r="C1013" s="2" t="s">
        <v>67</v>
      </c>
      <c r="D1013" s="2" t="s">
        <v>68</v>
      </c>
      <c r="E1013" s="2" t="s">
        <v>148</v>
      </c>
      <c r="F1013" s="2" t="s">
        <v>55</v>
      </c>
      <c r="G1013" s="2" t="s">
        <v>211</v>
      </c>
      <c r="H1013" s="2" t="s">
        <v>32</v>
      </c>
      <c r="I1013" s="2">
        <v>48</v>
      </c>
      <c r="J1013" s="2" t="s">
        <v>287</v>
      </c>
      <c r="K1013" s="4" t="s">
        <v>8590</v>
      </c>
      <c r="L1013" s="2" t="s">
        <v>24</v>
      </c>
      <c r="M1013" s="2"/>
      <c r="N1013" t="s">
        <v>8583</v>
      </c>
      <c r="O1013" s="8" t="str">
        <f t="shared" si="30"/>
        <v/>
      </c>
      <c r="P1013" t="str">
        <f t="shared" si="31"/>
        <v>N/A</v>
      </c>
    </row>
    <row r="1014" spans="1:16" x14ac:dyDescent="0.25">
      <c r="A1014" s="2" t="s">
        <v>2802</v>
      </c>
      <c r="B1014" s="4">
        <v>46149.005555555559</v>
      </c>
      <c r="C1014" s="2" t="s">
        <v>28</v>
      </c>
      <c r="D1014" s="2" t="s">
        <v>37</v>
      </c>
      <c r="E1014" s="2" t="s">
        <v>38</v>
      </c>
      <c r="F1014" s="2" t="s">
        <v>30</v>
      </c>
      <c r="G1014" s="2" t="s">
        <v>183</v>
      </c>
      <c r="H1014" s="2" t="s">
        <v>74</v>
      </c>
      <c r="I1014" s="2">
        <v>8</v>
      </c>
      <c r="J1014" s="2" t="s">
        <v>287</v>
      </c>
      <c r="K1014" s="4" t="s">
        <v>8590</v>
      </c>
      <c r="L1014" s="2" t="s">
        <v>24</v>
      </c>
      <c r="M1014" s="2"/>
      <c r="N1014" t="s">
        <v>8587</v>
      </c>
      <c r="O1014" s="8" t="str">
        <f t="shared" si="30"/>
        <v/>
      </c>
      <c r="P1014" t="str">
        <f t="shared" si="31"/>
        <v>N/A</v>
      </c>
    </row>
    <row r="1015" spans="1:16" x14ac:dyDescent="0.25">
      <c r="A1015" s="2" t="s">
        <v>2804</v>
      </c>
      <c r="B1015" s="4">
        <v>46037.506944444445</v>
      </c>
      <c r="C1015" s="2" t="s">
        <v>53</v>
      </c>
      <c r="D1015" s="2" t="s">
        <v>61</v>
      </c>
      <c r="E1015" s="2" t="s">
        <v>38</v>
      </c>
      <c r="F1015" s="2" t="s">
        <v>55</v>
      </c>
      <c r="G1015" s="2" t="s">
        <v>211</v>
      </c>
      <c r="H1015" s="2" t="s">
        <v>32</v>
      </c>
      <c r="I1015" s="2">
        <v>48</v>
      </c>
      <c r="J1015" s="2" t="s">
        <v>106</v>
      </c>
      <c r="K1015" s="4">
        <v>46038.050694444442</v>
      </c>
      <c r="L1015" s="2" t="s">
        <v>24</v>
      </c>
      <c r="M1015" s="2"/>
      <c r="N1015" t="s">
        <v>8582</v>
      </c>
      <c r="O1015" s="8">
        <f t="shared" si="30"/>
        <v>13.049999999930151</v>
      </c>
      <c r="P1015" t="str">
        <f t="shared" si="31"/>
        <v>Yes</v>
      </c>
    </row>
    <row r="1016" spans="1:16" x14ac:dyDescent="0.25">
      <c r="A1016" s="2" t="s">
        <v>2807</v>
      </c>
      <c r="B1016" s="4">
        <v>46250.972916666666</v>
      </c>
      <c r="C1016" s="2" t="s">
        <v>28</v>
      </c>
      <c r="D1016" s="2" t="s">
        <v>100</v>
      </c>
      <c r="E1016" s="2" t="s">
        <v>46</v>
      </c>
      <c r="F1016" s="2" t="s">
        <v>55</v>
      </c>
      <c r="G1016" s="2" t="s">
        <v>179</v>
      </c>
      <c r="H1016" s="2" t="s">
        <v>80</v>
      </c>
      <c r="I1016" s="2">
        <v>4</v>
      </c>
      <c r="J1016" s="2" t="s">
        <v>8580</v>
      </c>
      <c r="K1016" s="4">
        <v>46250.995833333334</v>
      </c>
      <c r="L1016" s="2" t="s">
        <v>92</v>
      </c>
      <c r="M1016" s="2"/>
      <c r="N1016" t="s">
        <v>8589</v>
      </c>
      <c r="O1016" s="8">
        <f t="shared" si="30"/>
        <v>0.55000000004656613</v>
      </c>
      <c r="P1016" t="str">
        <f t="shared" si="31"/>
        <v>N/A</v>
      </c>
    </row>
    <row r="1017" spans="1:16" x14ac:dyDescent="0.25">
      <c r="A1017" s="2" t="s">
        <v>2810</v>
      </c>
      <c r="B1017" s="4">
        <v>46083.995833333334</v>
      </c>
      <c r="C1017" s="2" t="s">
        <v>67</v>
      </c>
      <c r="D1017" s="2" t="s">
        <v>68</v>
      </c>
      <c r="E1017" s="2" t="s">
        <v>46</v>
      </c>
      <c r="F1017" s="2" t="s">
        <v>96</v>
      </c>
      <c r="G1017" s="2" t="s">
        <v>110</v>
      </c>
      <c r="H1017" s="2" t="s">
        <v>74</v>
      </c>
      <c r="I1017" s="2">
        <v>8</v>
      </c>
      <c r="J1017" s="2" t="s">
        <v>106</v>
      </c>
      <c r="K1017" s="4">
        <v>46084.229861111111</v>
      </c>
      <c r="L1017" s="2" t="s">
        <v>24</v>
      </c>
      <c r="M1017" s="2"/>
      <c r="N1017" t="s">
        <v>8587</v>
      </c>
      <c r="O1017" s="8">
        <f t="shared" si="30"/>
        <v>5.6166666666395031</v>
      </c>
      <c r="P1017" t="str">
        <f t="shared" si="31"/>
        <v>Yes</v>
      </c>
    </row>
    <row r="1018" spans="1:16" x14ac:dyDescent="0.25">
      <c r="A1018" s="2" t="s">
        <v>2813</v>
      </c>
      <c r="B1018" s="4">
        <v>46140.44027777778</v>
      </c>
      <c r="C1018" s="2" t="s">
        <v>53</v>
      </c>
      <c r="D1018" s="2" t="s">
        <v>61</v>
      </c>
      <c r="E1018" s="2" t="s">
        <v>46</v>
      </c>
      <c r="F1018" s="2" t="s">
        <v>113</v>
      </c>
      <c r="G1018" s="2" t="s">
        <v>179</v>
      </c>
      <c r="H1018" s="2" t="s">
        <v>32</v>
      </c>
      <c r="I1018" s="2">
        <v>48</v>
      </c>
      <c r="J1018" s="2" t="s">
        <v>75</v>
      </c>
      <c r="K1018" s="4">
        <v>46141.909722222219</v>
      </c>
      <c r="L1018" s="2" t="s">
        <v>24</v>
      </c>
      <c r="M1018" s="2">
        <v>5</v>
      </c>
      <c r="N1018" t="s">
        <v>8587</v>
      </c>
      <c r="O1018" s="8">
        <f t="shared" si="30"/>
        <v>35.266666666546371</v>
      </c>
      <c r="P1018" t="str">
        <f t="shared" si="31"/>
        <v>N/A</v>
      </c>
    </row>
    <row r="1019" spans="1:16" x14ac:dyDescent="0.25">
      <c r="A1019" s="2" t="s">
        <v>2816</v>
      </c>
      <c r="B1019" s="4">
        <v>46062.515972222223</v>
      </c>
      <c r="C1019" s="2" t="s">
        <v>67</v>
      </c>
      <c r="D1019" s="2" t="s">
        <v>68</v>
      </c>
      <c r="E1019" s="2" t="s">
        <v>90</v>
      </c>
      <c r="F1019" s="2" t="s">
        <v>30</v>
      </c>
      <c r="G1019" s="2" t="s">
        <v>31</v>
      </c>
      <c r="H1019" s="2" t="s">
        <v>74</v>
      </c>
      <c r="I1019" s="2">
        <v>8</v>
      </c>
      <c r="J1019" s="2" t="s">
        <v>75</v>
      </c>
      <c r="K1019" s="4">
        <v>46062.753472222219</v>
      </c>
      <c r="L1019" s="2" t="s">
        <v>92</v>
      </c>
      <c r="M1019" s="2">
        <v>5</v>
      </c>
      <c r="N1019" t="s">
        <v>8587</v>
      </c>
      <c r="O1019" s="8">
        <f t="shared" si="30"/>
        <v>5.6999999998952262</v>
      </c>
      <c r="P1019" t="str">
        <f t="shared" si="31"/>
        <v>N/A</v>
      </c>
    </row>
    <row r="1020" spans="1:16" x14ac:dyDescent="0.25">
      <c r="A1020" s="2" t="s">
        <v>2819</v>
      </c>
      <c r="B1020" s="4">
        <v>46042.35833333333</v>
      </c>
      <c r="C1020" s="2" t="s">
        <v>53</v>
      </c>
      <c r="D1020" s="2" t="s">
        <v>54</v>
      </c>
      <c r="E1020" s="2" t="s">
        <v>85</v>
      </c>
      <c r="F1020" s="2" t="s">
        <v>55</v>
      </c>
      <c r="G1020" s="2" t="s">
        <v>110</v>
      </c>
      <c r="H1020" s="2" t="s">
        <v>32</v>
      </c>
      <c r="I1020" s="2">
        <v>48</v>
      </c>
      <c r="J1020" s="2" t="s">
        <v>75</v>
      </c>
      <c r="K1020" s="4">
        <v>46045.522916666669</v>
      </c>
      <c r="L1020" s="2" t="s">
        <v>24</v>
      </c>
      <c r="M1020" s="2">
        <v>2</v>
      </c>
      <c r="N1020" t="s">
        <v>8587</v>
      </c>
      <c r="O1020" s="8">
        <f t="shared" si="30"/>
        <v>75.950000000128057</v>
      </c>
      <c r="P1020" t="str">
        <f t="shared" si="31"/>
        <v>N/A</v>
      </c>
    </row>
    <row r="1021" spans="1:16" x14ac:dyDescent="0.25">
      <c r="A1021" s="2" t="s">
        <v>2822</v>
      </c>
      <c r="B1021" s="4">
        <v>46116.970138888886</v>
      </c>
      <c r="C1021" s="2" t="s">
        <v>16</v>
      </c>
      <c r="D1021" s="2" t="s">
        <v>17</v>
      </c>
      <c r="E1021" s="2" t="s">
        <v>18</v>
      </c>
      <c r="F1021" s="2" t="s">
        <v>30</v>
      </c>
      <c r="G1021" s="2" t="s">
        <v>110</v>
      </c>
      <c r="H1021" s="2" t="s">
        <v>32</v>
      </c>
      <c r="I1021" s="2">
        <v>48</v>
      </c>
      <c r="J1021" s="2" t="s">
        <v>106</v>
      </c>
      <c r="K1021" s="4">
        <v>46118.691666666666</v>
      </c>
      <c r="L1021" s="2" t="s">
        <v>92</v>
      </c>
      <c r="M1021" s="2">
        <v>1</v>
      </c>
      <c r="N1021" t="s">
        <v>8587</v>
      </c>
      <c r="O1021" s="8">
        <f t="shared" si="30"/>
        <v>41.316666666709352</v>
      </c>
      <c r="P1021" t="str">
        <f t="shared" si="31"/>
        <v>Yes</v>
      </c>
    </row>
    <row r="1022" spans="1:16" x14ac:dyDescent="0.25">
      <c r="A1022" s="2" t="s">
        <v>2825</v>
      </c>
      <c r="B1022" s="4">
        <v>46187.916666666664</v>
      </c>
      <c r="C1022" s="2" t="s">
        <v>28</v>
      </c>
      <c r="D1022" s="2" t="s">
        <v>37</v>
      </c>
      <c r="E1022" s="2" t="s">
        <v>90</v>
      </c>
      <c r="F1022" s="2" t="s">
        <v>55</v>
      </c>
      <c r="G1022" s="2" t="s">
        <v>110</v>
      </c>
      <c r="H1022" s="2" t="s">
        <v>32</v>
      </c>
      <c r="I1022" s="2">
        <v>48</v>
      </c>
      <c r="J1022" s="2" t="s">
        <v>11</v>
      </c>
      <c r="K1022" s="4" t="s">
        <v>8590</v>
      </c>
      <c r="L1022" s="2" t="s">
        <v>92</v>
      </c>
      <c r="M1022" s="2"/>
      <c r="N1022" t="s">
        <v>8589</v>
      </c>
      <c r="O1022" s="8" t="str">
        <f t="shared" si="30"/>
        <v/>
      </c>
      <c r="P1022" t="str">
        <f t="shared" si="31"/>
        <v>N/A</v>
      </c>
    </row>
    <row r="1023" spans="1:16" x14ac:dyDescent="0.25">
      <c r="A1023" s="2" t="s">
        <v>2827</v>
      </c>
      <c r="B1023" s="4">
        <v>46107.703472222223</v>
      </c>
      <c r="C1023" s="2" t="s">
        <v>16</v>
      </c>
      <c r="D1023" s="2" t="s">
        <v>17</v>
      </c>
      <c r="E1023" s="2" t="s">
        <v>46</v>
      </c>
      <c r="F1023" s="2" t="s">
        <v>55</v>
      </c>
      <c r="G1023" s="2" t="s">
        <v>179</v>
      </c>
      <c r="H1023" s="2" t="s">
        <v>80</v>
      </c>
      <c r="I1023" s="2">
        <v>4</v>
      </c>
      <c r="J1023" s="2" t="s">
        <v>287</v>
      </c>
      <c r="K1023" s="4" t="s">
        <v>8590</v>
      </c>
      <c r="L1023" s="2" t="s">
        <v>24</v>
      </c>
      <c r="M1023" s="2"/>
      <c r="N1023" t="s">
        <v>8583</v>
      </c>
      <c r="O1023" s="8" t="str">
        <f t="shared" si="30"/>
        <v/>
      </c>
      <c r="P1023" t="str">
        <f t="shared" si="31"/>
        <v>N/A</v>
      </c>
    </row>
    <row r="1024" spans="1:16" x14ac:dyDescent="0.25">
      <c r="A1024" s="2" t="s">
        <v>2829</v>
      </c>
      <c r="B1024" s="4">
        <v>46236.411805555559</v>
      </c>
      <c r="C1024" s="2" t="s">
        <v>53</v>
      </c>
      <c r="D1024" s="2" t="s">
        <v>54</v>
      </c>
      <c r="E1024" s="2" t="s">
        <v>148</v>
      </c>
      <c r="F1024" s="2" t="s">
        <v>96</v>
      </c>
      <c r="G1024" s="2" t="s">
        <v>211</v>
      </c>
      <c r="H1024" s="2" t="s">
        <v>74</v>
      </c>
      <c r="I1024" s="2">
        <v>8</v>
      </c>
      <c r="J1024" s="2" t="s">
        <v>75</v>
      </c>
      <c r="K1024" s="4">
        <v>46236.45208333333</v>
      </c>
      <c r="L1024" s="2" t="s">
        <v>24</v>
      </c>
      <c r="M1024" s="2">
        <v>4</v>
      </c>
      <c r="N1024" t="s">
        <v>8584</v>
      </c>
      <c r="O1024" s="8">
        <f t="shared" si="30"/>
        <v>0.96666666649980471</v>
      </c>
      <c r="P1024" t="str">
        <f t="shared" si="31"/>
        <v>N/A</v>
      </c>
    </row>
    <row r="1025" spans="1:16" x14ac:dyDescent="0.25">
      <c r="A1025" s="2" t="s">
        <v>2832</v>
      </c>
      <c r="B1025" s="4">
        <v>46084.898611111108</v>
      </c>
      <c r="C1025" s="2" t="s">
        <v>28</v>
      </c>
      <c r="D1025" s="2" t="s">
        <v>100</v>
      </c>
      <c r="E1025" s="2" t="s">
        <v>79</v>
      </c>
      <c r="F1025" s="2" t="s">
        <v>96</v>
      </c>
      <c r="G1025" s="2" t="s">
        <v>211</v>
      </c>
      <c r="H1025" s="2" t="s">
        <v>80</v>
      </c>
      <c r="I1025" s="2">
        <v>4</v>
      </c>
      <c r="J1025" s="2" t="s">
        <v>106</v>
      </c>
      <c r="K1025" s="4">
        <v>46085.037499999999</v>
      </c>
      <c r="L1025" s="2" t="s">
        <v>24</v>
      </c>
      <c r="M1025" s="2">
        <v>5</v>
      </c>
      <c r="N1025" t="s">
        <v>8585</v>
      </c>
      <c r="O1025" s="8">
        <f t="shared" si="30"/>
        <v>3.3333333333721384</v>
      </c>
      <c r="P1025" t="str">
        <f t="shared" si="31"/>
        <v>Yes</v>
      </c>
    </row>
    <row r="1026" spans="1:16" x14ac:dyDescent="0.25">
      <c r="A1026" s="2" t="s">
        <v>2835</v>
      </c>
      <c r="B1026" s="4">
        <v>46086.020833333336</v>
      </c>
      <c r="C1026" s="2" t="s">
        <v>53</v>
      </c>
      <c r="D1026" s="2" t="s">
        <v>54</v>
      </c>
      <c r="E1026" s="2" t="s">
        <v>46</v>
      </c>
      <c r="F1026" s="2" t="s">
        <v>55</v>
      </c>
      <c r="G1026" s="2" t="s">
        <v>179</v>
      </c>
      <c r="H1026" s="2" t="s">
        <v>21</v>
      </c>
      <c r="I1026" s="2">
        <v>24</v>
      </c>
      <c r="J1026" s="2" t="s">
        <v>75</v>
      </c>
      <c r="K1026" s="4">
        <v>46086.599305555559</v>
      </c>
      <c r="L1026" s="2" t="s">
        <v>24</v>
      </c>
      <c r="M1026" s="2"/>
      <c r="N1026" t="s">
        <v>8581</v>
      </c>
      <c r="O1026" s="8">
        <f t="shared" si="30"/>
        <v>13.883333333360497</v>
      </c>
      <c r="P1026" t="str">
        <f t="shared" si="31"/>
        <v>N/A</v>
      </c>
    </row>
    <row r="1027" spans="1:16" x14ac:dyDescent="0.25">
      <c r="A1027" s="2" t="s">
        <v>2838</v>
      </c>
      <c r="B1027" s="4">
        <v>46207.183333333334</v>
      </c>
      <c r="C1027" s="2" t="s">
        <v>28</v>
      </c>
      <c r="D1027" s="2" t="s">
        <v>37</v>
      </c>
      <c r="E1027" s="2" t="s">
        <v>148</v>
      </c>
      <c r="F1027" s="2" t="s">
        <v>55</v>
      </c>
      <c r="G1027" s="2" t="s">
        <v>110</v>
      </c>
      <c r="H1027" s="2" t="s">
        <v>74</v>
      </c>
      <c r="I1027" s="2">
        <v>8</v>
      </c>
      <c r="J1027" s="2" t="s">
        <v>106</v>
      </c>
      <c r="K1027" s="4">
        <v>46207.353472222225</v>
      </c>
      <c r="L1027" s="2" t="s">
        <v>24</v>
      </c>
      <c r="M1027" s="2">
        <v>2</v>
      </c>
      <c r="N1027" t="s">
        <v>8584</v>
      </c>
      <c r="O1027" s="8">
        <f t="shared" ref="O1027:O1090" si="32">IF(K1027="","",IF(K1027="Missing Resolve Date","",(K1027-B1027)*24))</f>
        <v>4.0833333333721384</v>
      </c>
      <c r="P1027" t="str">
        <f t="shared" ref="P1027:P1090" si="33">IF(J1027="Resolved",IF(O1027&lt;=I1027,"Yes","No"),"N/A")</f>
        <v>Yes</v>
      </c>
    </row>
    <row r="1028" spans="1:16" x14ac:dyDescent="0.25">
      <c r="A1028" s="2" t="s">
        <v>2841</v>
      </c>
      <c r="B1028" s="4">
        <v>46110.519444444442</v>
      </c>
      <c r="C1028" s="2" t="s">
        <v>28</v>
      </c>
      <c r="D1028" s="2" t="s">
        <v>100</v>
      </c>
      <c r="E1028" s="2" t="s">
        <v>79</v>
      </c>
      <c r="F1028" s="2" t="s">
        <v>96</v>
      </c>
      <c r="G1028" s="2" t="s">
        <v>179</v>
      </c>
      <c r="H1028" s="2" t="s">
        <v>32</v>
      </c>
      <c r="I1028" s="2">
        <v>48</v>
      </c>
      <c r="J1028" s="2" t="s">
        <v>75</v>
      </c>
      <c r="K1028" s="4">
        <v>46111.25277777778</v>
      </c>
      <c r="L1028" s="2" t="s">
        <v>24</v>
      </c>
      <c r="M1028" s="2">
        <v>2</v>
      </c>
      <c r="N1028" t="s">
        <v>8584</v>
      </c>
      <c r="O1028" s="8">
        <f t="shared" si="32"/>
        <v>17.600000000093132</v>
      </c>
      <c r="P1028" t="str">
        <f t="shared" si="33"/>
        <v>N/A</v>
      </c>
    </row>
    <row r="1029" spans="1:16" x14ac:dyDescent="0.25">
      <c r="A1029" s="2" t="s">
        <v>2844</v>
      </c>
      <c r="B1029" s="4">
        <v>46119.691666666666</v>
      </c>
      <c r="C1029" s="2" t="s">
        <v>67</v>
      </c>
      <c r="D1029" s="2" t="s">
        <v>68</v>
      </c>
      <c r="E1029" s="2" t="s">
        <v>46</v>
      </c>
      <c r="F1029" s="2" t="s">
        <v>55</v>
      </c>
      <c r="G1029" s="2" t="s">
        <v>211</v>
      </c>
      <c r="H1029" s="2" t="s">
        <v>21</v>
      </c>
      <c r="I1029" s="2">
        <v>24</v>
      </c>
      <c r="J1029" s="2" t="s">
        <v>287</v>
      </c>
      <c r="K1029" s="4" t="s">
        <v>8590</v>
      </c>
      <c r="L1029" s="2" t="s">
        <v>24</v>
      </c>
      <c r="M1029" s="2"/>
      <c r="N1029" t="s">
        <v>8583</v>
      </c>
      <c r="O1029" s="8" t="str">
        <f t="shared" si="32"/>
        <v/>
      </c>
      <c r="P1029" t="str">
        <f t="shared" si="33"/>
        <v>N/A</v>
      </c>
    </row>
    <row r="1030" spans="1:16" x14ac:dyDescent="0.25">
      <c r="A1030" s="2" t="s">
        <v>2846</v>
      </c>
      <c r="B1030" s="4">
        <v>46165.495138888888</v>
      </c>
      <c r="C1030" s="2" t="s">
        <v>53</v>
      </c>
      <c r="D1030" s="2" t="s">
        <v>54</v>
      </c>
      <c r="E1030" s="2" t="s">
        <v>90</v>
      </c>
      <c r="F1030" s="2" t="s">
        <v>96</v>
      </c>
      <c r="G1030" s="2" t="s">
        <v>31</v>
      </c>
      <c r="H1030" s="2" t="s">
        <v>74</v>
      </c>
      <c r="I1030" s="2">
        <v>8</v>
      </c>
      <c r="J1030" s="2" t="s">
        <v>75</v>
      </c>
      <c r="K1030" s="4">
        <v>46165.760416666664</v>
      </c>
      <c r="L1030" s="2" t="s">
        <v>24</v>
      </c>
      <c r="M1030" s="2"/>
      <c r="N1030" t="s">
        <v>8584</v>
      </c>
      <c r="O1030" s="8">
        <f t="shared" si="32"/>
        <v>6.3666666666395031</v>
      </c>
      <c r="P1030" t="str">
        <f t="shared" si="33"/>
        <v>N/A</v>
      </c>
    </row>
    <row r="1031" spans="1:16" x14ac:dyDescent="0.25">
      <c r="A1031" s="2" t="s">
        <v>2849</v>
      </c>
      <c r="B1031" s="4">
        <v>46101.65</v>
      </c>
      <c r="C1031" s="2" t="s">
        <v>53</v>
      </c>
      <c r="D1031" s="2" t="s">
        <v>61</v>
      </c>
      <c r="E1031" s="2" t="s">
        <v>148</v>
      </c>
      <c r="F1031" s="2" t="s">
        <v>96</v>
      </c>
      <c r="G1031" s="2" t="s">
        <v>179</v>
      </c>
      <c r="H1031" s="2" t="s">
        <v>32</v>
      </c>
      <c r="I1031" s="2">
        <v>48</v>
      </c>
      <c r="J1031" s="2" t="s">
        <v>75</v>
      </c>
      <c r="K1031" s="4">
        <v>46107.224305555559</v>
      </c>
      <c r="L1031" s="2" t="s">
        <v>24</v>
      </c>
      <c r="M1031" s="2"/>
      <c r="N1031" t="s">
        <v>8585</v>
      </c>
      <c r="O1031" s="8">
        <f t="shared" si="32"/>
        <v>133.78333333338378</v>
      </c>
      <c r="P1031" t="str">
        <f t="shared" si="33"/>
        <v>N/A</v>
      </c>
    </row>
    <row r="1032" spans="1:16" x14ac:dyDescent="0.25">
      <c r="A1032" s="2" t="s">
        <v>2852</v>
      </c>
      <c r="B1032" s="4">
        <v>46252.882638888892</v>
      </c>
      <c r="C1032" s="2" t="s">
        <v>67</v>
      </c>
      <c r="D1032" s="2" t="s">
        <v>95</v>
      </c>
      <c r="E1032" s="2" t="s">
        <v>90</v>
      </c>
      <c r="F1032" s="2" t="s">
        <v>30</v>
      </c>
      <c r="G1032" s="2" t="s">
        <v>101</v>
      </c>
      <c r="H1032" s="2" t="s">
        <v>32</v>
      </c>
      <c r="I1032" s="2">
        <v>48</v>
      </c>
      <c r="J1032" s="2" t="s">
        <v>149</v>
      </c>
      <c r="K1032" s="4" t="s">
        <v>8590</v>
      </c>
      <c r="L1032" s="2" t="s">
        <v>24</v>
      </c>
      <c r="M1032" s="2"/>
      <c r="N1032" t="s">
        <v>8587</v>
      </c>
      <c r="O1032" s="8" t="str">
        <f t="shared" si="32"/>
        <v/>
      </c>
      <c r="P1032" t="str">
        <f t="shared" si="33"/>
        <v>N/A</v>
      </c>
    </row>
    <row r="1033" spans="1:16" x14ac:dyDescent="0.25">
      <c r="A1033" s="2" t="s">
        <v>2854</v>
      </c>
      <c r="B1033" s="4">
        <v>46192.84097222222</v>
      </c>
      <c r="C1033" s="2" t="s">
        <v>67</v>
      </c>
      <c r="D1033" s="2" t="s">
        <v>68</v>
      </c>
      <c r="E1033" s="2" t="s">
        <v>46</v>
      </c>
      <c r="F1033" s="2" t="s">
        <v>30</v>
      </c>
      <c r="G1033" s="2" t="s">
        <v>110</v>
      </c>
      <c r="H1033" s="2" t="s">
        <v>80</v>
      </c>
      <c r="I1033" s="2">
        <v>4</v>
      </c>
      <c r="J1033" s="2" t="s">
        <v>149</v>
      </c>
      <c r="K1033" s="4" t="s">
        <v>8590</v>
      </c>
      <c r="L1033" s="2" t="s">
        <v>24</v>
      </c>
      <c r="M1033" s="2"/>
      <c r="N1033" t="s">
        <v>8581</v>
      </c>
      <c r="O1033" s="8" t="str">
        <f t="shared" si="32"/>
        <v/>
      </c>
      <c r="P1033" t="str">
        <f t="shared" si="33"/>
        <v>N/A</v>
      </c>
    </row>
    <row r="1034" spans="1:16" x14ac:dyDescent="0.25">
      <c r="A1034" s="2" t="s">
        <v>2856</v>
      </c>
      <c r="B1034" s="4">
        <v>46107.129861111112</v>
      </c>
      <c r="C1034" s="2" t="s">
        <v>67</v>
      </c>
      <c r="D1034" s="2" t="s">
        <v>95</v>
      </c>
      <c r="E1034" s="2" t="s">
        <v>79</v>
      </c>
      <c r="F1034" s="2" t="s">
        <v>30</v>
      </c>
      <c r="G1034" s="2" t="s">
        <v>211</v>
      </c>
      <c r="H1034" s="2" t="s">
        <v>74</v>
      </c>
      <c r="I1034" s="2">
        <v>8</v>
      </c>
      <c r="J1034" s="2" t="s">
        <v>287</v>
      </c>
      <c r="K1034" s="4" t="s">
        <v>8590</v>
      </c>
      <c r="L1034" s="2" t="s">
        <v>24</v>
      </c>
      <c r="M1034" s="2"/>
      <c r="N1034" t="s">
        <v>8588</v>
      </c>
      <c r="O1034" s="8" t="str">
        <f t="shared" si="32"/>
        <v/>
      </c>
      <c r="P1034" t="str">
        <f t="shared" si="33"/>
        <v>N/A</v>
      </c>
    </row>
    <row r="1035" spans="1:16" x14ac:dyDescent="0.25">
      <c r="A1035" s="2" t="s">
        <v>2858</v>
      </c>
      <c r="B1035" s="4">
        <v>46024.527777777781</v>
      </c>
      <c r="C1035" s="2" t="s">
        <v>67</v>
      </c>
      <c r="D1035" s="2" t="s">
        <v>68</v>
      </c>
      <c r="E1035" s="2" t="s">
        <v>85</v>
      </c>
      <c r="F1035" s="2" t="s">
        <v>55</v>
      </c>
      <c r="G1035" s="2" t="s">
        <v>179</v>
      </c>
      <c r="H1035" s="2" t="s">
        <v>21</v>
      </c>
      <c r="I1035" s="2">
        <v>24</v>
      </c>
      <c r="J1035" s="2" t="s">
        <v>75</v>
      </c>
      <c r="K1035" s="4">
        <v>46025.002083333333</v>
      </c>
      <c r="L1035" s="2" t="s">
        <v>24</v>
      </c>
      <c r="M1035" s="2"/>
      <c r="N1035" t="s">
        <v>8589</v>
      </c>
      <c r="O1035" s="8">
        <f t="shared" si="32"/>
        <v>11.383333333244082</v>
      </c>
      <c r="P1035" t="str">
        <f t="shared" si="33"/>
        <v>N/A</v>
      </c>
    </row>
    <row r="1036" spans="1:16" x14ac:dyDescent="0.25">
      <c r="A1036" s="2" t="s">
        <v>2861</v>
      </c>
      <c r="B1036" s="4">
        <v>46046.249305555553</v>
      </c>
      <c r="C1036" s="2" t="s">
        <v>53</v>
      </c>
      <c r="D1036" s="2" t="s">
        <v>61</v>
      </c>
      <c r="E1036" s="2" t="s">
        <v>90</v>
      </c>
      <c r="F1036" s="2" t="s">
        <v>55</v>
      </c>
      <c r="G1036" s="2" t="s">
        <v>101</v>
      </c>
      <c r="H1036" s="2" t="s">
        <v>80</v>
      </c>
      <c r="I1036" s="2">
        <v>4</v>
      </c>
      <c r="J1036" s="2" t="s">
        <v>287</v>
      </c>
      <c r="K1036" s="4" t="s">
        <v>8590</v>
      </c>
      <c r="L1036" s="2" t="s">
        <v>24</v>
      </c>
      <c r="M1036" s="2"/>
      <c r="N1036" t="s">
        <v>8583</v>
      </c>
      <c r="O1036" s="8" t="str">
        <f t="shared" si="32"/>
        <v/>
      </c>
      <c r="P1036" t="str">
        <f t="shared" si="33"/>
        <v>N/A</v>
      </c>
    </row>
    <row r="1037" spans="1:16" x14ac:dyDescent="0.25">
      <c r="A1037" s="2" t="s">
        <v>2863</v>
      </c>
      <c r="B1037" s="4">
        <v>46221.806944444441</v>
      </c>
      <c r="C1037" s="2" t="s">
        <v>28</v>
      </c>
      <c r="D1037" s="2" t="s">
        <v>37</v>
      </c>
      <c r="E1037" s="2" t="s">
        <v>18</v>
      </c>
      <c r="F1037" s="2" t="s">
        <v>113</v>
      </c>
      <c r="G1037" s="2" t="s">
        <v>183</v>
      </c>
      <c r="H1037" s="2" t="s">
        <v>21</v>
      </c>
      <c r="I1037" s="2">
        <v>24</v>
      </c>
      <c r="J1037" s="2" t="s">
        <v>8580</v>
      </c>
      <c r="K1037" s="4">
        <v>46221.980555555558</v>
      </c>
      <c r="L1037" s="2" t="s">
        <v>24</v>
      </c>
      <c r="M1037" s="2"/>
      <c r="N1037" t="s">
        <v>8581</v>
      </c>
      <c r="O1037" s="8">
        <f t="shared" si="32"/>
        <v>4.1666666668024845</v>
      </c>
      <c r="P1037" t="str">
        <f t="shared" si="33"/>
        <v>N/A</v>
      </c>
    </row>
    <row r="1038" spans="1:16" x14ac:dyDescent="0.25">
      <c r="A1038" s="2" t="s">
        <v>2866</v>
      </c>
      <c r="B1038" s="4">
        <v>46070.299305555556</v>
      </c>
      <c r="C1038" s="2" t="s">
        <v>16</v>
      </c>
      <c r="D1038" s="2" t="s">
        <v>84</v>
      </c>
      <c r="E1038" s="2" t="s">
        <v>90</v>
      </c>
      <c r="F1038" s="2" t="s">
        <v>55</v>
      </c>
      <c r="G1038" s="2" t="s">
        <v>211</v>
      </c>
      <c r="H1038" s="2" t="s">
        <v>74</v>
      </c>
      <c r="I1038" s="2">
        <v>8</v>
      </c>
      <c r="J1038" s="2" t="s">
        <v>106</v>
      </c>
      <c r="K1038" s="4">
        <v>46070.504861111112</v>
      </c>
      <c r="L1038" s="2" t="s">
        <v>24</v>
      </c>
      <c r="M1038" s="2"/>
      <c r="N1038" t="s">
        <v>8582</v>
      </c>
      <c r="O1038" s="8">
        <f t="shared" si="32"/>
        <v>4.9333333333488554</v>
      </c>
      <c r="P1038" t="str">
        <f t="shared" si="33"/>
        <v>Yes</v>
      </c>
    </row>
    <row r="1039" spans="1:16" x14ac:dyDescent="0.25">
      <c r="A1039" s="2" t="s">
        <v>2869</v>
      </c>
      <c r="B1039" s="4">
        <v>46072.494444444441</v>
      </c>
      <c r="C1039" s="2" t="s">
        <v>16</v>
      </c>
      <c r="D1039" s="2" t="s">
        <v>84</v>
      </c>
      <c r="E1039" s="2" t="s">
        <v>85</v>
      </c>
      <c r="F1039" s="2" t="s">
        <v>96</v>
      </c>
      <c r="G1039" s="2" t="s">
        <v>183</v>
      </c>
      <c r="H1039" s="2" t="s">
        <v>32</v>
      </c>
      <c r="I1039" s="2">
        <v>48</v>
      </c>
      <c r="J1039" s="2" t="s">
        <v>75</v>
      </c>
      <c r="K1039" s="4" t="s">
        <v>8590</v>
      </c>
      <c r="L1039" s="2" t="s">
        <v>24</v>
      </c>
      <c r="M1039" s="2"/>
      <c r="N1039" t="s">
        <v>8588</v>
      </c>
      <c r="O1039" s="8" t="str">
        <f t="shared" si="32"/>
        <v/>
      </c>
      <c r="P1039" t="str">
        <f t="shared" si="33"/>
        <v>N/A</v>
      </c>
    </row>
    <row r="1040" spans="1:16" x14ac:dyDescent="0.25">
      <c r="A1040" s="2" t="s">
        <v>2871</v>
      </c>
      <c r="B1040" s="4">
        <v>46130.885416666664</v>
      </c>
      <c r="C1040" s="2" t="s">
        <v>16</v>
      </c>
      <c r="D1040" s="2" t="s">
        <v>17</v>
      </c>
      <c r="E1040" s="2" t="s">
        <v>148</v>
      </c>
      <c r="F1040" s="2" t="s">
        <v>96</v>
      </c>
      <c r="G1040" s="2" t="s">
        <v>110</v>
      </c>
      <c r="H1040" s="2" t="s">
        <v>74</v>
      </c>
      <c r="I1040" s="2">
        <v>8</v>
      </c>
      <c r="J1040" s="2" t="s">
        <v>106</v>
      </c>
      <c r="K1040" s="4">
        <v>46131.168055555558</v>
      </c>
      <c r="L1040" s="2" t="s">
        <v>24</v>
      </c>
      <c r="M1040" s="2">
        <v>2</v>
      </c>
      <c r="N1040" t="s">
        <v>8584</v>
      </c>
      <c r="O1040" s="8">
        <f t="shared" si="32"/>
        <v>6.7833333334419876</v>
      </c>
      <c r="P1040" t="str">
        <f t="shared" si="33"/>
        <v>Yes</v>
      </c>
    </row>
    <row r="1041" spans="1:16" x14ac:dyDescent="0.25">
      <c r="A1041" s="2" t="s">
        <v>2874</v>
      </c>
      <c r="B1041" s="4">
        <v>46202.504166666666</v>
      </c>
      <c r="C1041" s="2" t="s">
        <v>28</v>
      </c>
      <c r="D1041" s="2" t="s">
        <v>37</v>
      </c>
      <c r="E1041" s="2" t="s">
        <v>90</v>
      </c>
      <c r="F1041" s="2" t="s">
        <v>96</v>
      </c>
      <c r="G1041" s="2" t="s">
        <v>211</v>
      </c>
      <c r="H1041" s="2" t="s">
        <v>21</v>
      </c>
      <c r="I1041" s="2">
        <v>24</v>
      </c>
      <c r="J1041" s="2" t="s">
        <v>106</v>
      </c>
      <c r="K1041" s="4">
        <v>46202.761111111111</v>
      </c>
      <c r="L1041" s="2" t="s">
        <v>24</v>
      </c>
      <c r="M1041" s="2">
        <v>4</v>
      </c>
      <c r="N1041" t="s">
        <v>8589</v>
      </c>
      <c r="O1041" s="8">
        <f t="shared" si="32"/>
        <v>6.1666666666860692</v>
      </c>
      <c r="P1041" t="str">
        <f t="shared" si="33"/>
        <v>Yes</v>
      </c>
    </row>
    <row r="1042" spans="1:16" x14ac:dyDescent="0.25">
      <c r="A1042" s="2" t="s">
        <v>2877</v>
      </c>
      <c r="B1042" s="4">
        <v>46092.036805555559</v>
      </c>
      <c r="C1042" s="2" t="s">
        <v>16</v>
      </c>
      <c r="D1042" s="2" t="s">
        <v>17</v>
      </c>
      <c r="E1042" s="2" t="s">
        <v>38</v>
      </c>
      <c r="F1042" s="2" t="s">
        <v>30</v>
      </c>
      <c r="G1042" s="2" t="s">
        <v>110</v>
      </c>
      <c r="H1042" s="2" t="s">
        <v>32</v>
      </c>
      <c r="I1042" s="2">
        <v>48</v>
      </c>
      <c r="J1042" s="2" t="s">
        <v>106</v>
      </c>
      <c r="K1042" s="4">
        <v>46097.509722222225</v>
      </c>
      <c r="L1042" s="2" t="s">
        <v>24</v>
      </c>
      <c r="M1042" s="2"/>
      <c r="N1042" t="s">
        <v>8589</v>
      </c>
      <c r="O1042" s="8">
        <f t="shared" si="32"/>
        <v>131.34999999997672</v>
      </c>
      <c r="P1042" t="str">
        <f t="shared" si="33"/>
        <v>No</v>
      </c>
    </row>
    <row r="1043" spans="1:16" x14ac:dyDescent="0.25">
      <c r="A1043" s="2" t="s">
        <v>2880</v>
      </c>
      <c r="B1043" s="4">
        <v>46225.416666666664</v>
      </c>
      <c r="C1043" s="2" t="s">
        <v>67</v>
      </c>
      <c r="D1043" s="2" t="s">
        <v>95</v>
      </c>
      <c r="E1043" s="2" t="s">
        <v>79</v>
      </c>
      <c r="F1043" s="2" t="s">
        <v>96</v>
      </c>
      <c r="G1043" s="2" t="s">
        <v>211</v>
      </c>
      <c r="H1043" s="2" t="s">
        <v>74</v>
      </c>
      <c r="I1043" s="2">
        <v>8</v>
      </c>
      <c r="J1043" s="2" t="s">
        <v>287</v>
      </c>
      <c r="K1043" s="4" t="s">
        <v>8590</v>
      </c>
      <c r="L1043" s="2" t="s">
        <v>24</v>
      </c>
      <c r="M1043" s="2"/>
      <c r="N1043" t="s">
        <v>8582</v>
      </c>
      <c r="O1043" s="8" t="str">
        <f t="shared" si="32"/>
        <v/>
      </c>
      <c r="P1043" t="str">
        <f t="shared" si="33"/>
        <v>N/A</v>
      </c>
    </row>
    <row r="1044" spans="1:16" x14ac:dyDescent="0.25">
      <c r="A1044" s="2" t="s">
        <v>2882</v>
      </c>
      <c r="B1044" s="4">
        <v>46179.538888888892</v>
      </c>
      <c r="C1044" s="2" t="s">
        <v>28</v>
      </c>
      <c r="D1044" s="2" t="s">
        <v>100</v>
      </c>
      <c r="E1044" s="2" t="s">
        <v>85</v>
      </c>
      <c r="F1044" s="2" t="s">
        <v>113</v>
      </c>
      <c r="G1044" s="2" t="s">
        <v>211</v>
      </c>
      <c r="H1044" s="2" t="s">
        <v>21</v>
      </c>
      <c r="I1044" s="2">
        <v>24</v>
      </c>
      <c r="J1044" s="2" t="s">
        <v>106</v>
      </c>
      <c r="K1044" s="4">
        <v>46180.001388888886</v>
      </c>
      <c r="L1044" s="2" t="s">
        <v>24</v>
      </c>
      <c r="M1044" s="2"/>
      <c r="N1044" t="s">
        <v>8585</v>
      </c>
      <c r="O1044" s="8">
        <f t="shared" si="32"/>
        <v>11.099999999860302</v>
      </c>
      <c r="P1044" t="str">
        <f t="shared" si="33"/>
        <v>Yes</v>
      </c>
    </row>
    <row r="1045" spans="1:16" x14ac:dyDescent="0.25">
      <c r="A1045" s="2" t="s">
        <v>2885</v>
      </c>
      <c r="B1045" s="4">
        <v>46262.161111111112</v>
      </c>
      <c r="C1045" s="2" t="s">
        <v>16</v>
      </c>
      <c r="D1045" s="2" t="s">
        <v>84</v>
      </c>
      <c r="E1045" s="2" t="s">
        <v>38</v>
      </c>
      <c r="F1045" s="2" t="s">
        <v>55</v>
      </c>
      <c r="G1045" s="2" t="s">
        <v>211</v>
      </c>
      <c r="H1045" s="2" t="s">
        <v>32</v>
      </c>
      <c r="I1045" s="2">
        <v>48</v>
      </c>
      <c r="J1045" s="2" t="s">
        <v>287</v>
      </c>
      <c r="K1045" s="4" t="s">
        <v>8590</v>
      </c>
      <c r="L1045" s="2" t="s">
        <v>24</v>
      </c>
      <c r="M1045" s="2"/>
      <c r="N1045" t="s">
        <v>8581</v>
      </c>
      <c r="O1045" s="8" t="str">
        <f t="shared" si="32"/>
        <v/>
      </c>
      <c r="P1045" t="str">
        <f t="shared" si="33"/>
        <v>N/A</v>
      </c>
    </row>
    <row r="1046" spans="1:16" x14ac:dyDescent="0.25">
      <c r="A1046" s="2" t="s">
        <v>2887</v>
      </c>
      <c r="B1046" s="4">
        <v>46086.277083333334</v>
      </c>
      <c r="C1046" s="2" t="s">
        <v>53</v>
      </c>
      <c r="D1046" s="2" t="s">
        <v>61</v>
      </c>
      <c r="E1046" s="2" t="s">
        <v>18</v>
      </c>
      <c r="F1046" s="2" t="s">
        <v>96</v>
      </c>
      <c r="G1046" s="2" t="s">
        <v>211</v>
      </c>
      <c r="H1046" s="2" t="s">
        <v>32</v>
      </c>
      <c r="I1046" s="2">
        <v>48</v>
      </c>
      <c r="J1046" s="2" t="s">
        <v>106</v>
      </c>
      <c r="K1046" s="4">
        <v>46086.386111111111</v>
      </c>
      <c r="L1046" s="2" t="s">
        <v>24</v>
      </c>
      <c r="M1046" s="2"/>
      <c r="N1046" t="s">
        <v>8581</v>
      </c>
      <c r="O1046" s="8">
        <f t="shared" si="32"/>
        <v>2.6166666666395031</v>
      </c>
      <c r="P1046" t="str">
        <f t="shared" si="33"/>
        <v>Yes</v>
      </c>
    </row>
    <row r="1047" spans="1:16" x14ac:dyDescent="0.25">
      <c r="A1047" s="2" t="s">
        <v>2890</v>
      </c>
      <c r="B1047" s="4">
        <v>46257.267361111109</v>
      </c>
      <c r="C1047" s="2" t="s">
        <v>28</v>
      </c>
      <c r="D1047" s="2" t="s">
        <v>37</v>
      </c>
      <c r="E1047" s="2" t="s">
        <v>85</v>
      </c>
      <c r="F1047" s="2" t="s">
        <v>96</v>
      </c>
      <c r="G1047" s="2" t="s">
        <v>211</v>
      </c>
      <c r="H1047" s="2" t="s">
        <v>74</v>
      </c>
      <c r="I1047" s="2">
        <v>8</v>
      </c>
      <c r="J1047" s="2" t="s">
        <v>106</v>
      </c>
      <c r="K1047" s="4">
        <v>46258.121527777781</v>
      </c>
      <c r="L1047" s="2" t="s">
        <v>24</v>
      </c>
      <c r="M1047" s="2">
        <v>5</v>
      </c>
      <c r="N1047" t="s">
        <v>8581</v>
      </c>
      <c r="O1047" s="8">
        <f t="shared" si="32"/>
        <v>20.500000000116415</v>
      </c>
      <c r="P1047" t="str">
        <f t="shared" si="33"/>
        <v>No</v>
      </c>
    </row>
    <row r="1048" spans="1:16" x14ac:dyDescent="0.25">
      <c r="A1048" s="2" t="s">
        <v>2893</v>
      </c>
      <c r="B1048" s="4">
        <v>46065.695138888892</v>
      </c>
      <c r="C1048" s="2" t="s">
        <v>28</v>
      </c>
      <c r="D1048" s="2" t="s">
        <v>100</v>
      </c>
      <c r="E1048" s="2" t="s">
        <v>79</v>
      </c>
      <c r="F1048" s="2" t="s">
        <v>96</v>
      </c>
      <c r="G1048" s="2" t="s">
        <v>179</v>
      </c>
      <c r="H1048" s="2" t="s">
        <v>74</v>
      </c>
      <c r="I1048" s="2">
        <v>8</v>
      </c>
      <c r="J1048" s="2" t="s">
        <v>149</v>
      </c>
      <c r="K1048" s="4" t="s">
        <v>8590</v>
      </c>
      <c r="L1048" s="2" t="s">
        <v>92</v>
      </c>
      <c r="M1048" s="2"/>
      <c r="N1048" t="s">
        <v>8587</v>
      </c>
      <c r="O1048" s="8" t="str">
        <f t="shared" si="32"/>
        <v/>
      </c>
      <c r="P1048" t="str">
        <f t="shared" si="33"/>
        <v>N/A</v>
      </c>
    </row>
    <row r="1049" spans="1:16" x14ac:dyDescent="0.25">
      <c r="A1049" s="2" t="s">
        <v>2895</v>
      </c>
      <c r="B1049" s="4">
        <v>46194.260416666664</v>
      </c>
      <c r="C1049" s="2" t="s">
        <v>16</v>
      </c>
      <c r="D1049" s="2" t="s">
        <v>17</v>
      </c>
      <c r="E1049" s="2" t="s">
        <v>79</v>
      </c>
      <c r="F1049" s="2" t="s">
        <v>113</v>
      </c>
      <c r="G1049" s="2" t="s">
        <v>211</v>
      </c>
      <c r="H1049" s="2" t="s">
        <v>32</v>
      </c>
      <c r="I1049" s="2">
        <v>48</v>
      </c>
      <c r="J1049" s="2" t="s">
        <v>106</v>
      </c>
      <c r="K1049" s="4">
        <v>46199.638194444444</v>
      </c>
      <c r="L1049" s="2" t="s">
        <v>24</v>
      </c>
      <c r="M1049" s="2">
        <v>5</v>
      </c>
      <c r="N1049" t="s">
        <v>8582</v>
      </c>
      <c r="O1049" s="8">
        <f t="shared" si="32"/>
        <v>129.06666666670935</v>
      </c>
      <c r="P1049" t="str">
        <f t="shared" si="33"/>
        <v>No</v>
      </c>
    </row>
    <row r="1050" spans="1:16" x14ac:dyDescent="0.25">
      <c r="A1050" s="2" t="s">
        <v>2898</v>
      </c>
      <c r="B1050" s="4">
        <v>46171.893750000003</v>
      </c>
      <c r="C1050" s="2" t="s">
        <v>53</v>
      </c>
      <c r="D1050" s="2" t="s">
        <v>61</v>
      </c>
      <c r="E1050" s="2" t="s">
        <v>85</v>
      </c>
      <c r="F1050" s="2" t="s">
        <v>113</v>
      </c>
      <c r="G1050" s="2" t="s">
        <v>183</v>
      </c>
      <c r="H1050" s="2" t="s">
        <v>32</v>
      </c>
      <c r="I1050" s="2">
        <v>48</v>
      </c>
      <c r="J1050" s="2" t="s">
        <v>75</v>
      </c>
      <c r="K1050" s="4">
        <v>46174.481249999997</v>
      </c>
      <c r="L1050" s="2" t="s">
        <v>24</v>
      </c>
      <c r="M1050" s="2"/>
      <c r="N1050" t="s">
        <v>8582</v>
      </c>
      <c r="O1050" s="8">
        <f t="shared" si="32"/>
        <v>62.099999999860302</v>
      </c>
      <c r="P1050" t="str">
        <f t="shared" si="33"/>
        <v>N/A</v>
      </c>
    </row>
    <row r="1051" spans="1:16" x14ac:dyDescent="0.25">
      <c r="A1051" s="2" t="s">
        <v>2901</v>
      </c>
      <c r="B1051" s="4">
        <v>46117.239583333336</v>
      </c>
      <c r="C1051" s="2" t="s">
        <v>67</v>
      </c>
      <c r="D1051" s="2" t="s">
        <v>68</v>
      </c>
      <c r="E1051" s="2" t="s">
        <v>90</v>
      </c>
      <c r="F1051" s="2" t="s">
        <v>96</v>
      </c>
      <c r="G1051" s="2" t="s">
        <v>179</v>
      </c>
      <c r="H1051" s="2" t="s">
        <v>21</v>
      </c>
      <c r="I1051" s="2">
        <v>24</v>
      </c>
      <c r="J1051" s="2" t="s">
        <v>75</v>
      </c>
      <c r="K1051" s="4">
        <v>46117.615972222222</v>
      </c>
      <c r="L1051" s="2" t="s">
        <v>24</v>
      </c>
      <c r="M1051" s="2">
        <v>2</v>
      </c>
      <c r="N1051" t="s">
        <v>8585</v>
      </c>
      <c r="O1051" s="8">
        <f t="shared" si="32"/>
        <v>9.0333333332673647</v>
      </c>
      <c r="P1051" t="str">
        <f t="shared" si="33"/>
        <v>N/A</v>
      </c>
    </row>
    <row r="1052" spans="1:16" x14ac:dyDescent="0.25">
      <c r="A1052" s="2" t="s">
        <v>2904</v>
      </c>
      <c r="B1052" s="4">
        <v>46111.603472222225</v>
      </c>
      <c r="C1052" s="2" t="s">
        <v>67</v>
      </c>
      <c r="D1052" s="2" t="s">
        <v>68</v>
      </c>
      <c r="E1052" s="2" t="s">
        <v>85</v>
      </c>
      <c r="F1052" s="2" t="s">
        <v>96</v>
      </c>
      <c r="G1052" s="2" t="s">
        <v>31</v>
      </c>
      <c r="H1052" s="2" t="s">
        <v>32</v>
      </c>
      <c r="I1052" s="2">
        <v>48</v>
      </c>
      <c r="J1052" s="2" t="s">
        <v>106</v>
      </c>
      <c r="K1052" s="4">
        <v>46112.834027777775</v>
      </c>
      <c r="L1052" s="2" t="s">
        <v>24</v>
      </c>
      <c r="M1052" s="2"/>
      <c r="N1052" t="s">
        <v>8587</v>
      </c>
      <c r="O1052" s="8">
        <f t="shared" si="32"/>
        <v>29.533333333209157</v>
      </c>
      <c r="P1052" t="str">
        <f t="shared" si="33"/>
        <v>Yes</v>
      </c>
    </row>
    <row r="1053" spans="1:16" x14ac:dyDescent="0.25">
      <c r="A1053" s="2" t="s">
        <v>2907</v>
      </c>
      <c r="B1053" s="4">
        <v>46082.861805555556</v>
      </c>
      <c r="C1053" s="2" t="s">
        <v>28</v>
      </c>
      <c r="D1053" s="2" t="s">
        <v>37</v>
      </c>
      <c r="E1053" s="2" t="s">
        <v>46</v>
      </c>
      <c r="F1053" s="2" t="s">
        <v>55</v>
      </c>
      <c r="G1053" s="2" t="s">
        <v>31</v>
      </c>
      <c r="H1053" s="2" t="s">
        <v>21</v>
      </c>
      <c r="I1053" s="2">
        <v>24</v>
      </c>
      <c r="J1053" s="2" t="s">
        <v>11</v>
      </c>
      <c r="K1053" s="4" t="s">
        <v>8590</v>
      </c>
      <c r="L1053" s="2" t="s">
        <v>92</v>
      </c>
      <c r="M1053" s="2"/>
      <c r="N1053" t="s">
        <v>8584</v>
      </c>
      <c r="O1053" s="8" t="str">
        <f t="shared" si="32"/>
        <v/>
      </c>
      <c r="P1053" t="str">
        <f t="shared" si="33"/>
        <v>N/A</v>
      </c>
    </row>
    <row r="1054" spans="1:16" x14ac:dyDescent="0.25">
      <c r="A1054" s="2" t="s">
        <v>2909</v>
      </c>
      <c r="B1054" s="4">
        <v>46034.644444444442</v>
      </c>
      <c r="C1054" s="2" t="s">
        <v>53</v>
      </c>
      <c r="D1054" s="2" t="s">
        <v>54</v>
      </c>
      <c r="E1054" s="2" t="s">
        <v>79</v>
      </c>
      <c r="F1054" s="2" t="s">
        <v>55</v>
      </c>
      <c r="G1054" s="2" t="s">
        <v>31</v>
      </c>
      <c r="H1054" s="2" t="s">
        <v>21</v>
      </c>
      <c r="I1054" s="2">
        <v>24</v>
      </c>
      <c r="J1054" s="2" t="s">
        <v>287</v>
      </c>
      <c r="K1054" s="4" t="s">
        <v>8590</v>
      </c>
      <c r="L1054" s="2" t="s">
        <v>24</v>
      </c>
      <c r="M1054" s="2"/>
      <c r="N1054" t="s">
        <v>8586</v>
      </c>
      <c r="O1054" s="8" t="str">
        <f t="shared" si="32"/>
        <v/>
      </c>
      <c r="P1054" t="str">
        <f t="shared" si="33"/>
        <v>N/A</v>
      </c>
    </row>
    <row r="1055" spans="1:16" x14ac:dyDescent="0.25">
      <c r="A1055" s="2" t="s">
        <v>2911</v>
      </c>
      <c r="B1055" s="4">
        <v>46091.040972222225</v>
      </c>
      <c r="C1055" s="2" t="s">
        <v>28</v>
      </c>
      <c r="D1055" s="2" t="s">
        <v>100</v>
      </c>
      <c r="E1055" s="2" t="s">
        <v>46</v>
      </c>
      <c r="F1055" s="2" t="s">
        <v>96</v>
      </c>
      <c r="G1055" s="2" t="s">
        <v>179</v>
      </c>
      <c r="H1055" s="2" t="s">
        <v>74</v>
      </c>
      <c r="I1055" s="2">
        <v>8</v>
      </c>
      <c r="J1055" s="2" t="s">
        <v>149</v>
      </c>
      <c r="K1055" s="4" t="s">
        <v>8590</v>
      </c>
      <c r="L1055" s="2" t="s">
        <v>24</v>
      </c>
      <c r="M1055" s="2"/>
      <c r="N1055" t="s">
        <v>8589</v>
      </c>
      <c r="O1055" s="8" t="str">
        <f t="shared" si="32"/>
        <v/>
      </c>
      <c r="P1055" t="str">
        <f t="shared" si="33"/>
        <v>N/A</v>
      </c>
    </row>
    <row r="1056" spans="1:16" x14ac:dyDescent="0.25">
      <c r="A1056" s="2" t="s">
        <v>2913</v>
      </c>
      <c r="B1056" s="4">
        <v>46213.987500000003</v>
      </c>
      <c r="C1056" s="2" t="s">
        <v>53</v>
      </c>
      <c r="D1056" s="2" t="s">
        <v>54</v>
      </c>
      <c r="E1056" s="2" t="s">
        <v>90</v>
      </c>
      <c r="F1056" s="2" t="s">
        <v>113</v>
      </c>
      <c r="G1056" s="2" t="s">
        <v>31</v>
      </c>
      <c r="H1056" s="2" t="s">
        <v>74</v>
      </c>
      <c r="I1056" s="2">
        <v>8</v>
      </c>
      <c r="J1056" s="2" t="s">
        <v>106</v>
      </c>
      <c r="K1056" s="4">
        <v>46214.209722222222</v>
      </c>
      <c r="L1056" s="2" t="s">
        <v>92</v>
      </c>
      <c r="M1056" s="2">
        <v>4</v>
      </c>
      <c r="N1056" t="s">
        <v>8585</v>
      </c>
      <c r="O1056" s="8">
        <f t="shared" si="32"/>
        <v>5.3333333332557231</v>
      </c>
      <c r="P1056" t="str">
        <f t="shared" si="33"/>
        <v>Yes</v>
      </c>
    </row>
    <row r="1057" spans="1:16" x14ac:dyDescent="0.25">
      <c r="A1057" s="2" t="s">
        <v>2916</v>
      </c>
      <c r="B1057" s="4">
        <v>46247.45</v>
      </c>
      <c r="C1057" s="2" t="s">
        <v>53</v>
      </c>
      <c r="D1057" s="2" t="s">
        <v>61</v>
      </c>
      <c r="E1057" s="2" t="s">
        <v>38</v>
      </c>
      <c r="F1057" s="2" t="s">
        <v>30</v>
      </c>
      <c r="G1057" s="2" t="s">
        <v>110</v>
      </c>
      <c r="H1057" s="2" t="s">
        <v>21</v>
      </c>
      <c r="I1057" s="2">
        <v>24</v>
      </c>
      <c r="J1057" s="2" t="s">
        <v>106</v>
      </c>
      <c r="K1057" s="4">
        <v>46248.103472222225</v>
      </c>
      <c r="L1057" s="2" t="s">
        <v>24</v>
      </c>
      <c r="M1057" s="2"/>
      <c r="N1057" t="s">
        <v>8587</v>
      </c>
      <c r="O1057" s="8">
        <f t="shared" si="32"/>
        <v>15.683333333465271</v>
      </c>
      <c r="P1057" t="str">
        <f t="shared" si="33"/>
        <v>Yes</v>
      </c>
    </row>
    <row r="1058" spans="1:16" x14ac:dyDescent="0.25">
      <c r="A1058" s="2" t="s">
        <v>2919</v>
      </c>
      <c r="B1058" s="4">
        <v>46231.356944444444</v>
      </c>
      <c r="C1058" s="2" t="s">
        <v>53</v>
      </c>
      <c r="D1058" s="2" t="s">
        <v>61</v>
      </c>
      <c r="E1058" s="2" t="s">
        <v>148</v>
      </c>
      <c r="F1058" s="2" t="s">
        <v>30</v>
      </c>
      <c r="G1058" s="2" t="s">
        <v>179</v>
      </c>
      <c r="H1058" s="2" t="s">
        <v>74</v>
      </c>
      <c r="I1058" s="2">
        <v>8</v>
      </c>
      <c r="J1058" s="2" t="s">
        <v>106</v>
      </c>
      <c r="K1058" s="4">
        <v>46231.472916666666</v>
      </c>
      <c r="L1058" s="2" t="s">
        <v>24</v>
      </c>
      <c r="M1058" s="2">
        <v>1</v>
      </c>
      <c r="N1058" t="s">
        <v>8589</v>
      </c>
      <c r="O1058" s="8">
        <f t="shared" si="32"/>
        <v>2.7833333333255723</v>
      </c>
      <c r="P1058" t="str">
        <f t="shared" si="33"/>
        <v>Yes</v>
      </c>
    </row>
    <row r="1059" spans="1:16" x14ac:dyDescent="0.25">
      <c r="A1059" s="2" t="s">
        <v>2922</v>
      </c>
      <c r="B1059" s="4">
        <v>46129.84652777778</v>
      </c>
      <c r="C1059" s="2" t="s">
        <v>67</v>
      </c>
      <c r="D1059" s="2" t="s">
        <v>68</v>
      </c>
      <c r="E1059" s="2" t="s">
        <v>79</v>
      </c>
      <c r="F1059" s="2" t="s">
        <v>30</v>
      </c>
      <c r="G1059" s="2" t="s">
        <v>183</v>
      </c>
      <c r="H1059" s="2" t="s">
        <v>21</v>
      </c>
      <c r="I1059" s="2">
        <v>24</v>
      </c>
      <c r="J1059" s="2" t="s">
        <v>75</v>
      </c>
      <c r="K1059" s="4">
        <v>46130.595138888886</v>
      </c>
      <c r="L1059" s="2" t="s">
        <v>24</v>
      </c>
      <c r="M1059" s="2">
        <v>5</v>
      </c>
      <c r="N1059" t="s">
        <v>8589</v>
      </c>
      <c r="O1059" s="8">
        <f t="shared" si="32"/>
        <v>17.966666666558012</v>
      </c>
      <c r="P1059" t="str">
        <f t="shared" si="33"/>
        <v>N/A</v>
      </c>
    </row>
    <row r="1060" spans="1:16" x14ac:dyDescent="0.25">
      <c r="A1060" s="2" t="s">
        <v>2925</v>
      </c>
      <c r="B1060" s="4">
        <v>46112.107638888891</v>
      </c>
      <c r="C1060" s="2" t="s">
        <v>16</v>
      </c>
      <c r="D1060" s="2" t="s">
        <v>84</v>
      </c>
      <c r="E1060" s="2" t="s">
        <v>46</v>
      </c>
      <c r="F1060" s="2" t="s">
        <v>96</v>
      </c>
      <c r="G1060" s="2" t="s">
        <v>31</v>
      </c>
      <c r="H1060" s="2" t="s">
        <v>74</v>
      </c>
      <c r="I1060" s="2">
        <v>8</v>
      </c>
      <c r="J1060" s="2" t="s">
        <v>75</v>
      </c>
      <c r="K1060" s="4">
        <v>46112.231249999997</v>
      </c>
      <c r="L1060" s="2" t="s">
        <v>24</v>
      </c>
      <c r="M1060" s="2">
        <v>5</v>
      </c>
      <c r="N1060" t="s">
        <v>8583</v>
      </c>
      <c r="O1060" s="8">
        <f t="shared" si="32"/>
        <v>2.9666666665580124</v>
      </c>
      <c r="P1060" t="str">
        <f t="shared" si="33"/>
        <v>N/A</v>
      </c>
    </row>
    <row r="1061" spans="1:16" x14ac:dyDescent="0.25">
      <c r="A1061" s="2" t="s">
        <v>2928</v>
      </c>
      <c r="B1061" s="4">
        <v>46248.503472222219</v>
      </c>
      <c r="C1061" s="2" t="s">
        <v>53</v>
      </c>
      <c r="D1061" s="2" t="s">
        <v>61</v>
      </c>
      <c r="E1061" s="2" t="s">
        <v>38</v>
      </c>
      <c r="F1061" s="2" t="s">
        <v>113</v>
      </c>
      <c r="G1061" s="2" t="s">
        <v>110</v>
      </c>
      <c r="H1061" s="2" t="s">
        <v>21</v>
      </c>
      <c r="I1061" s="2">
        <v>24</v>
      </c>
      <c r="J1061" s="2" t="s">
        <v>106</v>
      </c>
      <c r="K1061" s="4">
        <v>46250.649305555555</v>
      </c>
      <c r="L1061" s="2" t="s">
        <v>24</v>
      </c>
      <c r="M1061" s="2"/>
      <c r="N1061" t="s">
        <v>8585</v>
      </c>
      <c r="O1061" s="8">
        <f t="shared" si="32"/>
        <v>51.500000000058208</v>
      </c>
      <c r="P1061" t="str">
        <f t="shared" si="33"/>
        <v>No</v>
      </c>
    </row>
    <row r="1062" spans="1:16" x14ac:dyDescent="0.25">
      <c r="A1062" s="2" t="s">
        <v>2931</v>
      </c>
      <c r="B1062" s="4">
        <v>46130.918055555558</v>
      </c>
      <c r="C1062" s="2" t="s">
        <v>16</v>
      </c>
      <c r="D1062" s="2" t="s">
        <v>17</v>
      </c>
      <c r="E1062" s="2" t="s">
        <v>148</v>
      </c>
      <c r="F1062" s="2" t="s">
        <v>55</v>
      </c>
      <c r="G1062" s="2" t="s">
        <v>179</v>
      </c>
      <c r="H1062" s="2" t="s">
        <v>32</v>
      </c>
      <c r="I1062" s="2">
        <v>48</v>
      </c>
      <c r="J1062" s="2" t="s">
        <v>106</v>
      </c>
      <c r="K1062" s="4">
        <v>46132.170138888891</v>
      </c>
      <c r="L1062" s="2" t="s">
        <v>24</v>
      </c>
      <c r="M1062" s="2">
        <v>3</v>
      </c>
      <c r="N1062" t="s">
        <v>8589</v>
      </c>
      <c r="O1062" s="8">
        <f t="shared" si="32"/>
        <v>30.049999999988358</v>
      </c>
      <c r="P1062" t="str">
        <f t="shared" si="33"/>
        <v>Yes</v>
      </c>
    </row>
    <row r="1063" spans="1:16" x14ac:dyDescent="0.25">
      <c r="A1063" s="2" t="s">
        <v>2934</v>
      </c>
      <c r="B1063" s="4">
        <v>46213.788888888892</v>
      </c>
      <c r="C1063" s="2" t="s">
        <v>28</v>
      </c>
      <c r="D1063" s="2" t="s">
        <v>37</v>
      </c>
      <c r="E1063" s="2" t="s">
        <v>148</v>
      </c>
      <c r="F1063" s="2" t="s">
        <v>96</v>
      </c>
      <c r="G1063" s="2" t="s">
        <v>211</v>
      </c>
      <c r="H1063" s="2" t="s">
        <v>32</v>
      </c>
      <c r="I1063" s="2">
        <v>48</v>
      </c>
      <c r="J1063" s="2" t="s">
        <v>75</v>
      </c>
      <c r="K1063" s="4">
        <v>46214.27847222222</v>
      </c>
      <c r="L1063" s="2" t="s">
        <v>24</v>
      </c>
      <c r="M1063" s="2"/>
      <c r="N1063" t="s">
        <v>8581</v>
      </c>
      <c r="O1063" s="8">
        <f t="shared" si="32"/>
        <v>11.749999999883585</v>
      </c>
      <c r="P1063" t="str">
        <f t="shared" si="33"/>
        <v>N/A</v>
      </c>
    </row>
    <row r="1064" spans="1:16" x14ac:dyDescent="0.25">
      <c r="A1064" s="2" t="s">
        <v>2937</v>
      </c>
      <c r="B1064" s="4">
        <v>46034.323611111111</v>
      </c>
      <c r="C1064" s="2" t="s">
        <v>16</v>
      </c>
      <c r="D1064" s="2" t="s">
        <v>84</v>
      </c>
      <c r="E1064" s="2" t="s">
        <v>46</v>
      </c>
      <c r="F1064" s="2" t="s">
        <v>30</v>
      </c>
      <c r="G1064" s="2" t="s">
        <v>110</v>
      </c>
      <c r="H1064" s="2" t="s">
        <v>32</v>
      </c>
      <c r="I1064" s="2">
        <v>48</v>
      </c>
      <c r="J1064" s="2" t="s">
        <v>75</v>
      </c>
      <c r="K1064" s="4">
        <v>46034.440972222219</v>
      </c>
      <c r="L1064" s="2" t="s">
        <v>24</v>
      </c>
      <c r="M1064" s="2"/>
      <c r="N1064" t="s">
        <v>8581</v>
      </c>
      <c r="O1064" s="8">
        <f t="shared" si="32"/>
        <v>2.816666666592937</v>
      </c>
      <c r="P1064" t="str">
        <f t="shared" si="33"/>
        <v>N/A</v>
      </c>
    </row>
    <row r="1065" spans="1:16" x14ac:dyDescent="0.25">
      <c r="A1065" s="2" t="s">
        <v>2940</v>
      </c>
      <c r="B1065" s="4">
        <v>46125.378472222219</v>
      </c>
      <c r="C1065" s="2" t="s">
        <v>28</v>
      </c>
      <c r="D1065" s="2" t="s">
        <v>100</v>
      </c>
      <c r="E1065" s="2" t="s">
        <v>85</v>
      </c>
      <c r="F1065" s="2" t="s">
        <v>55</v>
      </c>
      <c r="G1065" s="2" t="s">
        <v>183</v>
      </c>
      <c r="H1065" s="2" t="s">
        <v>80</v>
      </c>
      <c r="I1065" s="2">
        <v>4</v>
      </c>
      <c r="J1065" s="2" t="s">
        <v>11</v>
      </c>
      <c r="K1065" s="4" t="s">
        <v>8590</v>
      </c>
      <c r="L1065" s="2" t="s">
        <v>92</v>
      </c>
      <c r="M1065" s="2"/>
      <c r="N1065" t="s">
        <v>8585</v>
      </c>
      <c r="O1065" s="8" t="str">
        <f t="shared" si="32"/>
        <v/>
      </c>
      <c r="P1065" t="str">
        <f t="shared" si="33"/>
        <v>N/A</v>
      </c>
    </row>
    <row r="1066" spans="1:16" x14ac:dyDescent="0.25">
      <c r="A1066" s="2" t="s">
        <v>2942</v>
      </c>
      <c r="B1066" s="4">
        <v>46162.493750000001</v>
      </c>
      <c r="C1066" s="2" t="s">
        <v>67</v>
      </c>
      <c r="D1066" s="2" t="s">
        <v>95</v>
      </c>
      <c r="E1066" s="2" t="s">
        <v>18</v>
      </c>
      <c r="F1066" s="2" t="s">
        <v>96</v>
      </c>
      <c r="G1066" s="2" t="s">
        <v>101</v>
      </c>
      <c r="H1066" s="2" t="s">
        <v>74</v>
      </c>
      <c r="I1066" s="2">
        <v>8</v>
      </c>
      <c r="J1066" s="2" t="s">
        <v>106</v>
      </c>
      <c r="K1066" s="4">
        <v>46162.524305555555</v>
      </c>
      <c r="L1066" s="2" t="s">
        <v>24</v>
      </c>
      <c r="M1066" s="2"/>
      <c r="N1066" t="s">
        <v>8585</v>
      </c>
      <c r="O1066" s="8">
        <f t="shared" si="32"/>
        <v>0.73333333327900618</v>
      </c>
      <c r="P1066" t="str">
        <f t="shared" si="33"/>
        <v>Yes</v>
      </c>
    </row>
    <row r="1067" spans="1:16" x14ac:dyDescent="0.25">
      <c r="A1067" s="2" t="s">
        <v>2945</v>
      </c>
      <c r="B1067" s="4">
        <v>46200.916666666664</v>
      </c>
      <c r="C1067" s="2" t="s">
        <v>16</v>
      </c>
      <c r="D1067" s="2" t="s">
        <v>17</v>
      </c>
      <c r="E1067" s="2" t="s">
        <v>90</v>
      </c>
      <c r="F1067" s="2" t="s">
        <v>30</v>
      </c>
      <c r="G1067" s="2" t="s">
        <v>110</v>
      </c>
      <c r="H1067" s="2" t="s">
        <v>74</v>
      </c>
      <c r="I1067" s="2">
        <v>8</v>
      </c>
      <c r="J1067" s="2" t="s">
        <v>75</v>
      </c>
      <c r="K1067" s="4">
        <v>46201.033333333333</v>
      </c>
      <c r="L1067" s="2" t="s">
        <v>24</v>
      </c>
      <c r="M1067" s="2">
        <v>1</v>
      </c>
      <c r="N1067" t="s">
        <v>8581</v>
      </c>
      <c r="O1067" s="8">
        <f t="shared" si="32"/>
        <v>2.8000000000465661</v>
      </c>
      <c r="P1067" t="str">
        <f t="shared" si="33"/>
        <v>N/A</v>
      </c>
    </row>
    <row r="1068" spans="1:16" x14ac:dyDescent="0.25">
      <c r="A1068" s="2" t="s">
        <v>2948</v>
      </c>
      <c r="B1068" s="4">
        <v>46206.504861111112</v>
      </c>
      <c r="C1068" s="2" t="s">
        <v>16</v>
      </c>
      <c r="D1068" s="2" t="s">
        <v>84</v>
      </c>
      <c r="E1068" s="2" t="s">
        <v>90</v>
      </c>
      <c r="F1068" s="2" t="s">
        <v>96</v>
      </c>
      <c r="G1068" s="2" t="s">
        <v>110</v>
      </c>
      <c r="H1068" s="2" t="s">
        <v>32</v>
      </c>
      <c r="I1068" s="2">
        <v>48</v>
      </c>
      <c r="J1068" s="2" t="s">
        <v>106</v>
      </c>
      <c r="K1068" s="4">
        <v>46209.918055555558</v>
      </c>
      <c r="L1068" s="2" t="s">
        <v>92</v>
      </c>
      <c r="M1068" s="2">
        <v>4</v>
      </c>
      <c r="N1068" t="s">
        <v>8586</v>
      </c>
      <c r="O1068" s="8">
        <f t="shared" si="32"/>
        <v>81.916666666686069</v>
      </c>
      <c r="P1068" t="str">
        <f t="shared" si="33"/>
        <v>No</v>
      </c>
    </row>
    <row r="1069" spans="1:16" x14ac:dyDescent="0.25">
      <c r="A1069" s="2" t="s">
        <v>2951</v>
      </c>
      <c r="B1069" s="4">
        <v>46069.617361111108</v>
      </c>
      <c r="C1069" s="2" t="s">
        <v>28</v>
      </c>
      <c r="D1069" s="2" t="s">
        <v>37</v>
      </c>
      <c r="E1069" s="2" t="s">
        <v>38</v>
      </c>
      <c r="F1069" s="2" t="s">
        <v>96</v>
      </c>
      <c r="G1069" s="2" t="s">
        <v>31</v>
      </c>
      <c r="H1069" s="2" t="s">
        <v>32</v>
      </c>
      <c r="I1069" s="2">
        <v>48</v>
      </c>
      <c r="J1069" s="2" t="s">
        <v>75</v>
      </c>
      <c r="K1069" s="4">
        <v>46070.96875</v>
      </c>
      <c r="L1069" s="2" t="s">
        <v>24</v>
      </c>
      <c r="M1069" s="2">
        <v>3</v>
      </c>
      <c r="N1069" t="s">
        <v>8581</v>
      </c>
      <c r="O1069" s="8">
        <f t="shared" si="32"/>
        <v>32.433333333407063</v>
      </c>
      <c r="P1069" t="str">
        <f t="shared" si="33"/>
        <v>N/A</v>
      </c>
    </row>
    <row r="1070" spans="1:16" x14ac:dyDescent="0.25">
      <c r="A1070" s="2" t="s">
        <v>2954</v>
      </c>
      <c r="B1070" s="4">
        <v>46220.397222222222</v>
      </c>
      <c r="C1070" s="2" t="s">
        <v>16</v>
      </c>
      <c r="D1070" s="2" t="s">
        <v>84</v>
      </c>
      <c r="E1070" s="2" t="s">
        <v>79</v>
      </c>
      <c r="F1070" s="2" t="s">
        <v>96</v>
      </c>
      <c r="G1070" s="2" t="s">
        <v>110</v>
      </c>
      <c r="H1070" s="2" t="s">
        <v>80</v>
      </c>
      <c r="I1070" s="2">
        <v>4</v>
      </c>
      <c r="J1070" s="2" t="s">
        <v>75</v>
      </c>
      <c r="K1070" s="4">
        <v>46220.517361111109</v>
      </c>
      <c r="L1070" s="2" t="s">
        <v>24</v>
      </c>
      <c r="M1070" s="2">
        <v>5</v>
      </c>
      <c r="N1070" t="s">
        <v>8589</v>
      </c>
      <c r="O1070" s="8">
        <f t="shared" si="32"/>
        <v>2.8833333333022892</v>
      </c>
      <c r="P1070" t="str">
        <f t="shared" si="33"/>
        <v>N/A</v>
      </c>
    </row>
    <row r="1071" spans="1:16" x14ac:dyDescent="0.25">
      <c r="A1071" s="2" t="s">
        <v>2957</v>
      </c>
      <c r="B1071" s="4">
        <v>46188.661111111112</v>
      </c>
      <c r="C1071" s="2" t="s">
        <v>16</v>
      </c>
      <c r="D1071" s="2" t="s">
        <v>84</v>
      </c>
      <c r="E1071" s="2" t="s">
        <v>90</v>
      </c>
      <c r="F1071" s="2" t="s">
        <v>55</v>
      </c>
      <c r="G1071" s="2" t="s">
        <v>101</v>
      </c>
      <c r="H1071" s="2" t="s">
        <v>80</v>
      </c>
      <c r="I1071" s="2">
        <v>4</v>
      </c>
      <c r="J1071" s="2" t="s">
        <v>149</v>
      </c>
      <c r="K1071" s="4" t="s">
        <v>8590</v>
      </c>
      <c r="L1071" s="2" t="s">
        <v>24</v>
      </c>
      <c r="M1071" s="2"/>
      <c r="N1071" t="s">
        <v>8583</v>
      </c>
      <c r="O1071" s="8" t="str">
        <f t="shared" si="32"/>
        <v/>
      </c>
      <c r="P1071" t="str">
        <f t="shared" si="33"/>
        <v>N/A</v>
      </c>
    </row>
    <row r="1072" spans="1:16" x14ac:dyDescent="0.25">
      <c r="A1072" s="2" t="s">
        <v>2959</v>
      </c>
      <c r="B1072" s="4">
        <v>46262.057638888888</v>
      </c>
      <c r="C1072" s="2" t="s">
        <v>67</v>
      </c>
      <c r="D1072" s="2" t="s">
        <v>68</v>
      </c>
      <c r="E1072" s="2" t="s">
        <v>46</v>
      </c>
      <c r="F1072" s="2" t="s">
        <v>113</v>
      </c>
      <c r="G1072" s="2" t="s">
        <v>211</v>
      </c>
      <c r="H1072" s="2" t="s">
        <v>74</v>
      </c>
      <c r="I1072" s="2">
        <v>8</v>
      </c>
      <c r="J1072" s="2" t="s">
        <v>75</v>
      </c>
      <c r="K1072" s="4">
        <v>46262.166666666664</v>
      </c>
      <c r="L1072" s="2" t="s">
        <v>24</v>
      </c>
      <c r="M1072" s="2">
        <v>5</v>
      </c>
      <c r="N1072" t="s">
        <v>8586</v>
      </c>
      <c r="O1072" s="8">
        <f t="shared" si="32"/>
        <v>2.6166666666395031</v>
      </c>
      <c r="P1072" t="str">
        <f t="shared" si="33"/>
        <v>N/A</v>
      </c>
    </row>
    <row r="1073" spans="1:16" x14ac:dyDescent="0.25">
      <c r="A1073" s="2" t="s">
        <v>2962</v>
      </c>
      <c r="B1073" s="4">
        <v>46234.7</v>
      </c>
      <c r="C1073" s="2" t="s">
        <v>28</v>
      </c>
      <c r="D1073" s="2" t="s">
        <v>37</v>
      </c>
      <c r="E1073" s="2" t="s">
        <v>46</v>
      </c>
      <c r="F1073" s="2" t="s">
        <v>30</v>
      </c>
      <c r="G1073" s="2" t="s">
        <v>211</v>
      </c>
      <c r="H1073" s="2" t="s">
        <v>74</v>
      </c>
      <c r="I1073" s="2">
        <v>8</v>
      </c>
      <c r="J1073" s="2" t="s">
        <v>75</v>
      </c>
      <c r="K1073" s="4">
        <v>46234.73333333333</v>
      </c>
      <c r="L1073" s="2" t="s">
        <v>24</v>
      </c>
      <c r="M1073" s="2"/>
      <c r="N1073" t="s">
        <v>8584</v>
      </c>
      <c r="O1073" s="8">
        <f t="shared" si="32"/>
        <v>0.79999999998835847</v>
      </c>
      <c r="P1073" t="str">
        <f t="shared" si="33"/>
        <v>N/A</v>
      </c>
    </row>
    <row r="1074" spans="1:16" x14ac:dyDescent="0.25">
      <c r="A1074" s="2" t="s">
        <v>2965</v>
      </c>
      <c r="B1074" s="4">
        <v>46140.321527777778</v>
      </c>
      <c r="C1074" s="2" t="s">
        <v>67</v>
      </c>
      <c r="D1074" s="2" t="s">
        <v>95</v>
      </c>
      <c r="E1074" s="2" t="s">
        <v>90</v>
      </c>
      <c r="F1074" s="2" t="s">
        <v>96</v>
      </c>
      <c r="G1074" s="2" t="s">
        <v>211</v>
      </c>
      <c r="H1074" s="2" t="s">
        <v>21</v>
      </c>
      <c r="I1074" s="2">
        <v>24</v>
      </c>
      <c r="J1074" s="2" t="s">
        <v>11</v>
      </c>
      <c r="K1074" s="4" t="s">
        <v>8590</v>
      </c>
      <c r="L1074" s="2" t="s">
        <v>92</v>
      </c>
      <c r="M1074" s="2"/>
      <c r="N1074" t="s">
        <v>8589</v>
      </c>
      <c r="O1074" s="8" t="str">
        <f t="shared" si="32"/>
        <v/>
      </c>
      <c r="P1074" t="str">
        <f t="shared" si="33"/>
        <v>N/A</v>
      </c>
    </row>
    <row r="1075" spans="1:16" x14ac:dyDescent="0.25">
      <c r="A1075" s="2" t="s">
        <v>2967</v>
      </c>
      <c r="B1075" s="4">
        <v>46185.570833333331</v>
      </c>
      <c r="C1075" s="2" t="s">
        <v>28</v>
      </c>
      <c r="D1075" s="2" t="s">
        <v>100</v>
      </c>
      <c r="E1075" s="2" t="s">
        <v>79</v>
      </c>
      <c r="F1075" s="2" t="s">
        <v>30</v>
      </c>
      <c r="G1075" s="2" t="s">
        <v>110</v>
      </c>
      <c r="H1075" s="2" t="s">
        <v>80</v>
      </c>
      <c r="I1075" s="2">
        <v>4</v>
      </c>
      <c r="J1075" s="2" t="s">
        <v>106</v>
      </c>
      <c r="K1075" s="4">
        <v>46185.622916666667</v>
      </c>
      <c r="L1075" s="2" t="s">
        <v>24</v>
      </c>
      <c r="M1075" s="2">
        <v>1</v>
      </c>
      <c r="N1075" t="s">
        <v>8588</v>
      </c>
      <c r="O1075" s="8">
        <f t="shared" si="32"/>
        <v>1.2500000000582077</v>
      </c>
      <c r="P1075" t="str">
        <f t="shared" si="33"/>
        <v>Yes</v>
      </c>
    </row>
    <row r="1076" spans="1:16" x14ac:dyDescent="0.25">
      <c r="A1076" s="2" t="s">
        <v>2970</v>
      </c>
      <c r="B1076" s="4">
        <v>46141.217361111114</v>
      </c>
      <c r="C1076" s="2" t="s">
        <v>28</v>
      </c>
      <c r="D1076" s="2" t="s">
        <v>100</v>
      </c>
      <c r="E1076" s="2" t="s">
        <v>79</v>
      </c>
      <c r="F1076" s="2" t="s">
        <v>55</v>
      </c>
      <c r="G1076" s="2" t="s">
        <v>211</v>
      </c>
      <c r="H1076" s="2" t="s">
        <v>21</v>
      </c>
      <c r="I1076" s="2">
        <v>24</v>
      </c>
      <c r="J1076" s="2" t="s">
        <v>106</v>
      </c>
      <c r="K1076" s="4">
        <v>46144.212500000001</v>
      </c>
      <c r="L1076" s="2" t="s">
        <v>92</v>
      </c>
      <c r="M1076" s="2">
        <v>1</v>
      </c>
      <c r="N1076" t="s">
        <v>8584</v>
      </c>
      <c r="O1076" s="8">
        <f t="shared" si="32"/>
        <v>71.883333333302289</v>
      </c>
      <c r="P1076" t="str">
        <f t="shared" si="33"/>
        <v>No</v>
      </c>
    </row>
    <row r="1077" spans="1:16" x14ac:dyDescent="0.25">
      <c r="A1077" s="2" t="s">
        <v>2973</v>
      </c>
      <c r="B1077" s="4">
        <v>46119.654166666667</v>
      </c>
      <c r="C1077" s="2" t="s">
        <v>67</v>
      </c>
      <c r="D1077" s="2" t="s">
        <v>95</v>
      </c>
      <c r="E1077" s="2" t="s">
        <v>90</v>
      </c>
      <c r="F1077" s="2" t="s">
        <v>30</v>
      </c>
      <c r="G1077" s="2" t="s">
        <v>110</v>
      </c>
      <c r="H1077" s="2" t="s">
        <v>21</v>
      </c>
      <c r="I1077" s="2">
        <v>24</v>
      </c>
      <c r="J1077" s="2" t="s">
        <v>106</v>
      </c>
      <c r="K1077" s="4">
        <v>46120.069444444445</v>
      </c>
      <c r="L1077" s="2" t="s">
        <v>24</v>
      </c>
      <c r="M1077" s="2"/>
      <c r="N1077" t="s">
        <v>8587</v>
      </c>
      <c r="O1077" s="8">
        <f t="shared" si="32"/>
        <v>9.9666666666744277</v>
      </c>
      <c r="P1077" t="str">
        <f t="shared" si="33"/>
        <v>Yes</v>
      </c>
    </row>
    <row r="1078" spans="1:16" x14ac:dyDescent="0.25">
      <c r="A1078" s="2" t="s">
        <v>2976</v>
      </c>
      <c r="B1078" s="4">
        <v>46093.438194444447</v>
      </c>
      <c r="C1078" s="2" t="s">
        <v>67</v>
      </c>
      <c r="D1078" s="2" t="s">
        <v>95</v>
      </c>
      <c r="E1078" s="2" t="s">
        <v>148</v>
      </c>
      <c r="F1078" s="2" t="s">
        <v>113</v>
      </c>
      <c r="G1078" s="2" t="s">
        <v>183</v>
      </c>
      <c r="H1078" s="2" t="s">
        <v>80</v>
      </c>
      <c r="I1078" s="2">
        <v>4</v>
      </c>
      <c r="J1078" s="2" t="s">
        <v>11</v>
      </c>
      <c r="K1078" s="4" t="s">
        <v>8590</v>
      </c>
      <c r="L1078" s="2" t="s">
        <v>92</v>
      </c>
      <c r="M1078" s="2"/>
      <c r="N1078" t="s">
        <v>8581</v>
      </c>
      <c r="O1078" s="8" t="str">
        <f t="shared" si="32"/>
        <v/>
      </c>
      <c r="P1078" t="str">
        <f t="shared" si="33"/>
        <v>N/A</v>
      </c>
    </row>
    <row r="1079" spans="1:16" x14ac:dyDescent="0.25">
      <c r="A1079" s="2" t="s">
        <v>2978</v>
      </c>
      <c r="B1079" s="4">
        <v>46082.76458333333</v>
      </c>
      <c r="C1079" s="2" t="s">
        <v>67</v>
      </c>
      <c r="D1079" s="2" t="s">
        <v>68</v>
      </c>
      <c r="E1079" s="2" t="s">
        <v>18</v>
      </c>
      <c r="F1079" s="2" t="s">
        <v>30</v>
      </c>
      <c r="G1079" s="2" t="s">
        <v>101</v>
      </c>
      <c r="H1079" s="2" t="s">
        <v>21</v>
      </c>
      <c r="I1079" s="2">
        <v>24</v>
      </c>
      <c r="J1079" s="2" t="s">
        <v>75</v>
      </c>
      <c r="K1079" s="4">
        <v>46084.582638888889</v>
      </c>
      <c r="L1079" s="2" t="s">
        <v>24</v>
      </c>
      <c r="M1079" s="2">
        <v>5</v>
      </c>
      <c r="N1079" t="s">
        <v>8581</v>
      </c>
      <c r="O1079" s="8">
        <f t="shared" si="32"/>
        <v>43.633333333418705</v>
      </c>
      <c r="P1079" t="str">
        <f t="shared" si="33"/>
        <v>N/A</v>
      </c>
    </row>
    <row r="1080" spans="1:16" x14ac:dyDescent="0.25">
      <c r="A1080" s="2" t="s">
        <v>2981</v>
      </c>
      <c r="B1080" s="4">
        <v>46096.152777777781</v>
      </c>
      <c r="C1080" s="2" t="s">
        <v>16</v>
      </c>
      <c r="D1080" s="2" t="s">
        <v>84</v>
      </c>
      <c r="E1080" s="2" t="s">
        <v>38</v>
      </c>
      <c r="F1080" s="2" t="s">
        <v>30</v>
      </c>
      <c r="G1080" s="2" t="s">
        <v>31</v>
      </c>
      <c r="H1080" s="2" t="s">
        <v>32</v>
      </c>
      <c r="I1080" s="2">
        <v>48</v>
      </c>
      <c r="J1080" s="2" t="s">
        <v>287</v>
      </c>
      <c r="K1080" s="4" t="s">
        <v>8590</v>
      </c>
      <c r="L1080" s="2" t="s">
        <v>24</v>
      </c>
      <c r="M1080" s="2"/>
      <c r="N1080" t="s">
        <v>8581</v>
      </c>
      <c r="O1080" s="8" t="str">
        <f t="shared" si="32"/>
        <v/>
      </c>
      <c r="P1080" t="str">
        <f t="shared" si="33"/>
        <v>N/A</v>
      </c>
    </row>
    <row r="1081" spans="1:16" x14ac:dyDescent="0.25">
      <c r="A1081" s="2" t="s">
        <v>2983</v>
      </c>
      <c r="B1081" s="4">
        <v>46257.988888888889</v>
      </c>
      <c r="C1081" s="2" t="s">
        <v>67</v>
      </c>
      <c r="D1081" s="2" t="s">
        <v>95</v>
      </c>
      <c r="E1081" s="2" t="s">
        <v>85</v>
      </c>
      <c r="F1081" s="2" t="s">
        <v>96</v>
      </c>
      <c r="G1081" s="2" t="s">
        <v>179</v>
      </c>
      <c r="H1081" s="2" t="s">
        <v>21</v>
      </c>
      <c r="I1081" s="2">
        <v>24</v>
      </c>
      <c r="J1081" s="2" t="s">
        <v>287</v>
      </c>
      <c r="K1081" s="4" t="s">
        <v>8590</v>
      </c>
      <c r="L1081" s="2" t="s">
        <v>24</v>
      </c>
      <c r="M1081" s="2"/>
      <c r="N1081" t="s">
        <v>8585</v>
      </c>
      <c r="O1081" s="8" t="str">
        <f t="shared" si="32"/>
        <v/>
      </c>
      <c r="P1081" t="str">
        <f t="shared" si="33"/>
        <v>N/A</v>
      </c>
    </row>
    <row r="1082" spans="1:16" x14ac:dyDescent="0.25">
      <c r="A1082" s="2" t="s">
        <v>2985</v>
      </c>
      <c r="B1082" s="4">
        <v>46202.03402777778</v>
      </c>
      <c r="C1082" s="2" t="s">
        <v>16</v>
      </c>
      <c r="D1082" s="2" t="s">
        <v>84</v>
      </c>
      <c r="E1082" s="2" t="s">
        <v>46</v>
      </c>
      <c r="F1082" s="2" t="s">
        <v>113</v>
      </c>
      <c r="G1082" s="2" t="s">
        <v>211</v>
      </c>
      <c r="H1082" s="2" t="s">
        <v>21</v>
      </c>
      <c r="I1082" s="2">
        <v>24</v>
      </c>
      <c r="J1082" s="2" t="s">
        <v>106</v>
      </c>
      <c r="K1082" s="4">
        <v>46202.402777777781</v>
      </c>
      <c r="L1082" s="2" t="s">
        <v>24</v>
      </c>
      <c r="M1082" s="2"/>
      <c r="N1082" t="s">
        <v>8587</v>
      </c>
      <c r="O1082" s="8">
        <f t="shared" si="32"/>
        <v>8.8500000000349246</v>
      </c>
      <c r="P1082" t="str">
        <f t="shared" si="33"/>
        <v>Yes</v>
      </c>
    </row>
    <row r="1083" spans="1:16" x14ac:dyDescent="0.25">
      <c r="A1083" s="2" t="s">
        <v>2988</v>
      </c>
      <c r="B1083" s="4">
        <v>46042.679166666669</v>
      </c>
      <c r="C1083" s="2" t="s">
        <v>28</v>
      </c>
      <c r="D1083" s="2" t="s">
        <v>100</v>
      </c>
      <c r="E1083" s="2" t="s">
        <v>85</v>
      </c>
      <c r="F1083" s="2" t="s">
        <v>30</v>
      </c>
      <c r="G1083" s="2" t="s">
        <v>110</v>
      </c>
      <c r="H1083" s="2" t="s">
        <v>21</v>
      </c>
      <c r="I1083" s="2">
        <v>24</v>
      </c>
      <c r="J1083" s="2" t="s">
        <v>287</v>
      </c>
      <c r="K1083" s="4" t="s">
        <v>8590</v>
      </c>
      <c r="L1083" s="2" t="s">
        <v>92</v>
      </c>
      <c r="M1083" s="2"/>
      <c r="N1083" t="s">
        <v>8585</v>
      </c>
      <c r="O1083" s="8" t="str">
        <f t="shared" si="32"/>
        <v/>
      </c>
      <c r="P1083" t="str">
        <f t="shared" si="33"/>
        <v>N/A</v>
      </c>
    </row>
    <row r="1084" spans="1:16" x14ac:dyDescent="0.25">
      <c r="A1084" s="2" t="s">
        <v>2990</v>
      </c>
      <c r="B1084" s="4">
        <v>46033.142361111109</v>
      </c>
      <c r="C1084" s="2" t="s">
        <v>28</v>
      </c>
      <c r="D1084" s="2" t="s">
        <v>100</v>
      </c>
      <c r="E1084" s="2" t="s">
        <v>148</v>
      </c>
      <c r="F1084" s="2" t="s">
        <v>113</v>
      </c>
      <c r="G1084" s="2" t="s">
        <v>101</v>
      </c>
      <c r="H1084" s="2" t="s">
        <v>21</v>
      </c>
      <c r="I1084" s="2">
        <v>24</v>
      </c>
      <c r="J1084" s="2" t="s">
        <v>287</v>
      </c>
      <c r="K1084" s="4" t="s">
        <v>8590</v>
      </c>
      <c r="L1084" s="2" t="s">
        <v>24</v>
      </c>
      <c r="M1084" s="2"/>
      <c r="N1084" t="s">
        <v>8586</v>
      </c>
      <c r="O1084" s="8" t="str">
        <f t="shared" si="32"/>
        <v/>
      </c>
      <c r="P1084" t="str">
        <f t="shared" si="33"/>
        <v>N/A</v>
      </c>
    </row>
    <row r="1085" spans="1:16" x14ac:dyDescent="0.25">
      <c r="A1085" s="2" t="s">
        <v>2992</v>
      </c>
      <c r="B1085" s="4">
        <v>46177.802083333336</v>
      </c>
      <c r="C1085" s="2" t="s">
        <v>28</v>
      </c>
      <c r="D1085" s="2" t="s">
        <v>37</v>
      </c>
      <c r="E1085" s="2" t="s">
        <v>18</v>
      </c>
      <c r="F1085" s="2" t="s">
        <v>96</v>
      </c>
      <c r="G1085" s="2" t="s">
        <v>211</v>
      </c>
      <c r="H1085" s="2" t="s">
        <v>21</v>
      </c>
      <c r="I1085" s="2">
        <v>24</v>
      </c>
      <c r="J1085" s="2" t="s">
        <v>106</v>
      </c>
      <c r="K1085" s="4">
        <v>46179.42291666667</v>
      </c>
      <c r="L1085" s="2" t="s">
        <v>24</v>
      </c>
      <c r="M1085" s="2">
        <v>3</v>
      </c>
      <c r="N1085" t="s">
        <v>8583</v>
      </c>
      <c r="O1085" s="8">
        <f t="shared" si="32"/>
        <v>38.900000000023283</v>
      </c>
      <c r="P1085" t="str">
        <f t="shared" si="33"/>
        <v>No</v>
      </c>
    </row>
    <row r="1086" spans="1:16" x14ac:dyDescent="0.25">
      <c r="A1086" s="2" t="s">
        <v>2995</v>
      </c>
      <c r="B1086" s="4">
        <v>46182.490277777775</v>
      </c>
      <c r="C1086" s="2" t="s">
        <v>28</v>
      </c>
      <c r="D1086" s="2" t="s">
        <v>100</v>
      </c>
      <c r="E1086" s="2" t="s">
        <v>18</v>
      </c>
      <c r="F1086" s="2" t="s">
        <v>55</v>
      </c>
      <c r="G1086" s="2" t="s">
        <v>110</v>
      </c>
      <c r="H1086" s="2" t="s">
        <v>32</v>
      </c>
      <c r="I1086" s="2">
        <v>48</v>
      </c>
      <c r="J1086" s="2" t="s">
        <v>106</v>
      </c>
      <c r="K1086" s="4">
        <v>46185.950694444444</v>
      </c>
      <c r="L1086" s="2" t="s">
        <v>24</v>
      </c>
      <c r="M1086" s="2">
        <v>5</v>
      </c>
      <c r="N1086" t="s">
        <v>8584</v>
      </c>
      <c r="O1086" s="8">
        <f t="shared" si="32"/>
        <v>83.050000000046566</v>
      </c>
      <c r="P1086" t="str">
        <f t="shared" si="33"/>
        <v>No</v>
      </c>
    </row>
    <row r="1087" spans="1:16" x14ac:dyDescent="0.25">
      <c r="A1087" s="2" t="s">
        <v>2998</v>
      </c>
      <c r="B1087" s="4">
        <v>46143.644444444442</v>
      </c>
      <c r="C1087" s="2" t="s">
        <v>16</v>
      </c>
      <c r="D1087" s="2" t="s">
        <v>17</v>
      </c>
      <c r="E1087" s="2" t="s">
        <v>79</v>
      </c>
      <c r="F1087" s="2" t="s">
        <v>55</v>
      </c>
      <c r="G1087" s="2" t="s">
        <v>31</v>
      </c>
      <c r="H1087" s="2" t="s">
        <v>32</v>
      </c>
      <c r="I1087" s="2">
        <v>48</v>
      </c>
      <c r="J1087" s="2" t="s">
        <v>75</v>
      </c>
      <c r="K1087" s="4">
        <v>46144.322222222225</v>
      </c>
      <c r="L1087" s="2" t="s">
        <v>24</v>
      </c>
      <c r="M1087" s="2">
        <v>5</v>
      </c>
      <c r="N1087" t="s">
        <v>8587</v>
      </c>
      <c r="O1087" s="8">
        <f t="shared" si="32"/>
        <v>16.266666666779201</v>
      </c>
      <c r="P1087" t="str">
        <f t="shared" si="33"/>
        <v>N/A</v>
      </c>
    </row>
    <row r="1088" spans="1:16" x14ac:dyDescent="0.25">
      <c r="A1088" s="2" t="s">
        <v>3001</v>
      </c>
      <c r="B1088" s="4">
        <v>46259.996527777781</v>
      </c>
      <c r="C1088" s="2" t="s">
        <v>67</v>
      </c>
      <c r="D1088" s="2" t="s">
        <v>68</v>
      </c>
      <c r="E1088" s="2" t="s">
        <v>79</v>
      </c>
      <c r="F1088" s="2" t="s">
        <v>96</v>
      </c>
      <c r="G1088" s="2" t="s">
        <v>179</v>
      </c>
      <c r="H1088" s="2" t="s">
        <v>74</v>
      </c>
      <c r="I1088" s="2">
        <v>8</v>
      </c>
      <c r="J1088" s="2" t="s">
        <v>149</v>
      </c>
      <c r="K1088" s="4" t="s">
        <v>8590</v>
      </c>
      <c r="L1088" s="2" t="s">
        <v>24</v>
      </c>
      <c r="M1088" s="2"/>
      <c r="N1088" t="s">
        <v>8582</v>
      </c>
      <c r="O1088" s="8" t="str">
        <f t="shared" si="32"/>
        <v/>
      </c>
      <c r="P1088" t="str">
        <f t="shared" si="33"/>
        <v>N/A</v>
      </c>
    </row>
    <row r="1089" spans="1:16" x14ac:dyDescent="0.25">
      <c r="A1089" s="2" t="s">
        <v>3003</v>
      </c>
      <c r="B1089" s="4">
        <v>46162.438194444447</v>
      </c>
      <c r="C1089" s="2" t="s">
        <v>53</v>
      </c>
      <c r="D1089" s="2" t="s">
        <v>61</v>
      </c>
      <c r="E1089" s="2" t="s">
        <v>18</v>
      </c>
      <c r="F1089" s="2" t="s">
        <v>55</v>
      </c>
      <c r="G1089" s="2" t="s">
        <v>183</v>
      </c>
      <c r="H1089" s="2" t="s">
        <v>74</v>
      </c>
      <c r="I1089" s="2">
        <v>8</v>
      </c>
      <c r="J1089" s="2" t="s">
        <v>11</v>
      </c>
      <c r="K1089" s="4" t="s">
        <v>8590</v>
      </c>
      <c r="L1089" s="2" t="s">
        <v>92</v>
      </c>
      <c r="M1089" s="2"/>
      <c r="N1089" t="s">
        <v>8588</v>
      </c>
      <c r="O1089" s="8" t="str">
        <f t="shared" si="32"/>
        <v/>
      </c>
      <c r="P1089" t="str">
        <f t="shared" si="33"/>
        <v>N/A</v>
      </c>
    </row>
    <row r="1090" spans="1:16" x14ac:dyDescent="0.25">
      <c r="A1090" s="2" t="s">
        <v>3005</v>
      </c>
      <c r="B1090" s="4">
        <v>46025.768750000003</v>
      </c>
      <c r="C1090" s="2" t="s">
        <v>53</v>
      </c>
      <c r="D1090" s="2" t="s">
        <v>54</v>
      </c>
      <c r="E1090" s="2" t="s">
        <v>148</v>
      </c>
      <c r="F1090" s="2" t="s">
        <v>30</v>
      </c>
      <c r="G1090" s="2" t="s">
        <v>101</v>
      </c>
      <c r="H1090" s="2" t="s">
        <v>21</v>
      </c>
      <c r="I1090" s="2">
        <v>24</v>
      </c>
      <c r="J1090" s="2" t="s">
        <v>106</v>
      </c>
      <c r="K1090" s="4">
        <v>46026.474999999999</v>
      </c>
      <c r="L1090" s="2" t="s">
        <v>24</v>
      </c>
      <c r="M1090" s="2">
        <v>1</v>
      </c>
      <c r="N1090" t="s">
        <v>8581</v>
      </c>
      <c r="O1090" s="8">
        <f t="shared" si="32"/>
        <v>16.949999999895226</v>
      </c>
      <c r="P1090" t="str">
        <f t="shared" si="33"/>
        <v>Yes</v>
      </c>
    </row>
    <row r="1091" spans="1:16" x14ac:dyDescent="0.25">
      <c r="A1091" s="2" t="s">
        <v>3008</v>
      </c>
      <c r="B1091" s="4">
        <v>46111.251388888886</v>
      </c>
      <c r="C1091" s="2" t="s">
        <v>28</v>
      </c>
      <c r="D1091" s="2" t="s">
        <v>100</v>
      </c>
      <c r="E1091" s="2" t="s">
        <v>148</v>
      </c>
      <c r="F1091" s="2" t="s">
        <v>55</v>
      </c>
      <c r="G1091" s="2" t="s">
        <v>211</v>
      </c>
      <c r="H1091" s="2" t="s">
        <v>32</v>
      </c>
      <c r="I1091" s="2">
        <v>48</v>
      </c>
      <c r="J1091" s="2" t="s">
        <v>149</v>
      </c>
      <c r="K1091" s="4" t="s">
        <v>8590</v>
      </c>
      <c r="L1091" s="2" t="s">
        <v>24</v>
      </c>
      <c r="M1091" s="2"/>
      <c r="N1091" t="s">
        <v>8589</v>
      </c>
      <c r="O1091" s="8" t="str">
        <f t="shared" ref="O1091:O1154" si="34">IF(K1091="","",IF(K1091="Missing Resolve Date","",(K1091-B1091)*24))</f>
        <v/>
      </c>
      <c r="P1091" t="str">
        <f t="shared" ref="P1091:P1154" si="35">IF(J1091="Resolved",IF(O1091&lt;=I1091,"Yes","No"),"N/A")</f>
        <v>N/A</v>
      </c>
    </row>
    <row r="1092" spans="1:16" x14ac:dyDescent="0.25">
      <c r="A1092" s="2" t="s">
        <v>3010</v>
      </c>
      <c r="B1092" s="4">
        <v>46158.54583333333</v>
      </c>
      <c r="C1092" s="2" t="s">
        <v>67</v>
      </c>
      <c r="D1092" s="2" t="s">
        <v>95</v>
      </c>
      <c r="E1092" s="2" t="s">
        <v>90</v>
      </c>
      <c r="F1092" s="2" t="s">
        <v>30</v>
      </c>
      <c r="G1092" s="2" t="s">
        <v>101</v>
      </c>
      <c r="H1092" s="2" t="s">
        <v>74</v>
      </c>
      <c r="I1092" s="2">
        <v>8</v>
      </c>
      <c r="J1092" s="2" t="s">
        <v>75</v>
      </c>
      <c r="K1092" s="4">
        <v>46158.619444444441</v>
      </c>
      <c r="L1092" s="2" t="s">
        <v>24</v>
      </c>
      <c r="M1092" s="2"/>
      <c r="N1092" t="s">
        <v>8581</v>
      </c>
      <c r="O1092" s="8">
        <f t="shared" si="34"/>
        <v>1.7666666666627862</v>
      </c>
      <c r="P1092" t="str">
        <f t="shared" si="35"/>
        <v>N/A</v>
      </c>
    </row>
    <row r="1093" spans="1:16" x14ac:dyDescent="0.25">
      <c r="A1093" s="2" t="s">
        <v>3013</v>
      </c>
      <c r="B1093" s="4">
        <v>46024.862500000003</v>
      </c>
      <c r="C1093" s="2" t="s">
        <v>28</v>
      </c>
      <c r="D1093" s="2" t="s">
        <v>37</v>
      </c>
      <c r="E1093" s="2" t="s">
        <v>46</v>
      </c>
      <c r="F1093" s="2" t="s">
        <v>55</v>
      </c>
      <c r="G1093" s="2" t="s">
        <v>183</v>
      </c>
      <c r="H1093" s="2" t="s">
        <v>21</v>
      </c>
      <c r="I1093" s="2">
        <v>24</v>
      </c>
      <c r="J1093" s="2" t="s">
        <v>106</v>
      </c>
      <c r="K1093" s="4">
        <v>46025.051388888889</v>
      </c>
      <c r="L1093" s="2" t="s">
        <v>24</v>
      </c>
      <c r="M1093" s="2"/>
      <c r="N1093" t="s">
        <v>8583</v>
      </c>
      <c r="O1093" s="8">
        <f t="shared" si="34"/>
        <v>4.5333333332673647</v>
      </c>
      <c r="P1093" t="str">
        <f t="shared" si="35"/>
        <v>Yes</v>
      </c>
    </row>
    <row r="1094" spans="1:16" x14ac:dyDescent="0.25">
      <c r="A1094" s="2" t="s">
        <v>3016</v>
      </c>
      <c r="B1094" s="4">
        <v>46121.947222222225</v>
      </c>
      <c r="C1094" s="2" t="s">
        <v>67</v>
      </c>
      <c r="D1094" s="2" t="s">
        <v>68</v>
      </c>
      <c r="E1094" s="2" t="s">
        <v>46</v>
      </c>
      <c r="F1094" s="2" t="s">
        <v>30</v>
      </c>
      <c r="G1094" s="2" t="s">
        <v>179</v>
      </c>
      <c r="H1094" s="2" t="s">
        <v>21</v>
      </c>
      <c r="I1094" s="2">
        <v>24</v>
      </c>
      <c r="J1094" s="2" t="s">
        <v>106</v>
      </c>
      <c r="K1094" s="4">
        <v>46122.581250000003</v>
      </c>
      <c r="L1094" s="2" t="s">
        <v>24</v>
      </c>
      <c r="M1094" s="2"/>
      <c r="N1094" t="s">
        <v>8583</v>
      </c>
      <c r="O1094" s="8">
        <f t="shared" si="34"/>
        <v>15.216666666674428</v>
      </c>
      <c r="P1094" t="str">
        <f t="shared" si="35"/>
        <v>Yes</v>
      </c>
    </row>
    <row r="1095" spans="1:16" x14ac:dyDescent="0.25">
      <c r="A1095" s="2" t="s">
        <v>3019</v>
      </c>
      <c r="B1095" s="4">
        <v>46140.695138888892</v>
      </c>
      <c r="C1095" s="2" t="s">
        <v>16</v>
      </c>
      <c r="D1095" s="2" t="s">
        <v>84</v>
      </c>
      <c r="E1095" s="2" t="s">
        <v>90</v>
      </c>
      <c r="F1095" s="2" t="s">
        <v>55</v>
      </c>
      <c r="G1095" s="2" t="s">
        <v>110</v>
      </c>
      <c r="H1095" s="2" t="s">
        <v>74</v>
      </c>
      <c r="I1095" s="2">
        <v>8</v>
      </c>
      <c r="J1095" s="2" t="s">
        <v>106</v>
      </c>
      <c r="K1095" s="4">
        <v>46140.790972222225</v>
      </c>
      <c r="L1095" s="2" t="s">
        <v>24</v>
      </c>
      <c r="M1095" s="2">
        <v>4</v>
      </c>
      <c r="N1095" t="s">
        <v>8585</v>
      </c>
      <c r="O1095" s="8">
        <f t="shared" si="34"/>
        <v>2.2999999999883585</v>
      </c>
      <c r="P1095" t="str">
        <f t="shared" si="35"/>
        <v>Yes</v>
      </c>
    </row>
    <row r="1096" spans="1:16" x14ac:dyDescent="0.25">
      <c r="A1096" s="2" t="s">
        <v>3022</v>
      </c>
      <c r="B1096" s="4">
        <v>46230.511805555558</v>
      </c>
      <c r="C1096" s="2" t="s">
        <v>67</v>
      </c>
      <c r="D1096" s="2" t="s">
        <v>95</v>
      </c>
      <c r="E1096" s="2" t="s">
        <v>148</v>
      </c>
      <c r="F1096" s="2" t="s">
        <v>96</v>
      </c>
      <c r="G1096" s="2" t="s">
        <v>183</v>
      </c>
      <c r="H1096" s="2" t="s">
        <v>21</v>
      </c>
      <c r="I1096" s="2">
        <v>24</v>
      </c>
      <c r="J1096" s="2" t="s">
        <v>149</v>
      </c>
      <c r="K1096" s="4" t="s">
        <v>8590</v>
      </c>
      <c r="L1096" s="2" t="s">
        <v>24</v>
      </c>
      <c r="M1096" s="2"/>
      <c r="N1096" t="s">
        <v>8586</v>
      </c>
      <c r="O1096" s="8" t="str">
        <f t="shared" si="34"/>
        <v/>
      </c>
      <c r="P1096" t="str">
        <f t="shared" si="35"/>
        <v>N/A</v>
      </c>
    </row>
    <row r="1097" spans="1:16" x14ac:dyDescent="0.25">
      <c r="A1097" s="2" t="s">
        <v>3024</v>
      </c>
      <c r="B1097" s="4">
        <v>46253.875</v>
      </c>
      <c r="C1097" s="2" t="s">
        <v>16</v>
      </c>
      <c r="D1097" s="2" t="s">
        <v>84</v>
      </c>
      <c r="E1097" s="2" t="s">
        <v>85</v>
      </c>
      <c r="F1097" s="2" t="s">
        <v>96</v>
      </c>
      <c r="G1097" s="2" t="s">
        <v>179</v>
      </c>
      <c r="H1097" s="2" t="s">
        <v>32</v>
      </c>
      <c r="I1097" s="2">
        <v>48</v>
      </c>
      <c r="J1097" s="2" t="s">
        <v>106</v>
      </c>
      <c r="K1097" s="4">
        <v>46255.081250000003</v>
      </c>
      <c r="L1097" s="2" t="s">
        <v>24</v>
      </c>
      <c r="M1097" s="2">
        <v>3</v>
      </c>
      <c r="N1097" t="s">
        <v>8582</v>
      </c>
      <c r="O1097" s="8">
        <f t="shared" si="34"/>
        <v>28.950000000069849</v>
      </c>
      <c r="P1097" t="str">
        <f t="shared" si="35"/>
        <v>Yes</v>
      </c>
    </row>
    <row r="1098" spans="1:16" x14ac:dyDescent="0.25">
      <c r="A1098" s="2" t="s">
        <v>3027</v>
      </c>
      <c r="B1098" s="4">
        <v>46134.645138888889</v>
      </c>
      <c r="C1098" s="2" t="s">
        <v>28</v>
      </c>
      <c r="D1098" s="2" t="s">
        <v>100</v>
      </c>
      <c r="E1098" s="2" t="s">
        <v>38</v>
      </c>
      <c r="F1098" s="2" t="s">
        <v>113</v>
      </c>
      <c r="G1098" s="2" t="s">
        <v>101</v>
      </c>
      <c r="H1098" s="2" t="s">
        <v>32</v>
      </c>
      <c r="I1098" s="2">
        <v>48</v>
      </c>
      <c r="J1098" s="2" t="s">
        <v>11</v>
      </c>
      <c r="K1098" s="4" t="s">
        <v>8590</v>
      </c>
      <c r="L1098" s="2" t="s">
        <v>92</v>
      </c>
      <c r="M1098" s="2"/>
      <c r="N1098" t="s">
        <v>8582</v>
      </c>
      <c r="O1098" s="8" t="str">
        <f t="shared" si="34"/>
        <v/>
      </c>
      <c r="P1098" t="str">
        <f t="shared" si="35"/>
        <v>N/A</v>
      </c>
    </row>
    <row r="1099" spans="1:16" x14ac:dyDescent="0.25">
      <c r="A1099" s="2" t="s">
        <v>3029</v>
      </c>
      <c r="B1099" s="4">
        <v>46223.531944444447</v>
      </c>
      <c r="C1099" s="2" t="s">
        <v>28</v>
      </c>
      <c r="D1099" s="2" t="s">
        <v>37</v>
      </c>
      <c r="E1099" s="2" t="s">
        <v>38</v>
      </c>
      <c r="F1099" s="2" t="s">
        <v>96</v>
      </c>
      <c r="G1099" s="2" t="s">
        <v>101</v>
      </c>
      <c r="H1099" s="2" t="s">
        <v>74</v>
      </c>
      <c r="I1099" s="2">
        <v>8</v>
      </c>
      <c r="J1099" s="2" t="s">
        <v>106</v>
      </c>
      <c r="K1099" s="4">
        <v>46223.577777777777</v>
      </c>
      <c r="L1099" s="2" t="s">
        <v>24</v>
      </c>
      <c r="M1099" s="2">
        <v>4</v>
      </c>
      <c r="N1099" t="s">
        <v>8587</v>
      </c>
      <c r="O1099" s="8">
        <f t="shared" si="34"/>
        <v>1.0999999999185093</v>
      </c>
      <c r="P1099" t="str">
        <f t="shared" si="35"/>
        <v>Yes</v>
      </c>
    </row>
    <row r="1100" spans="1:16" x14ac:dyDescent="0.25">
      <c r="A1100" s="2" t="s">
        <v>3032</v>
      </c>
      <c r="B1100" s="4">
        <v>46232.191666666666</v>
      </c>
      <c r="C1100" s="2" t="s">
        <v>28</v>
      </c>
      <c r="D1100" s="2" t="s">
        <v>37</v>
      </c>
      <c r="E1100" s="2" t="s">
        <v>90</v>
      </c>
      <c r="F1100" s="2" t="s">
        <v>55</v>
      </c>
      <c r="G1100" s="2" t="s">
        <v>183</v>
      </c>
      <c r="H1100" s="2" t="s">
        <v>32</v>
      </c>
      <c r="I1100" s="2">
        <v>48</v>
      </c>
      <c r="J1100" s="2" t="s">
        <v>149</v>
      </c>
      <c r="K1100" s="4" t="s">
        <v>8590</v>
      </c>
      <c r="L1100" s="2" t="s">
        <v>24</v>
      </c>
      <c r="M1100" s="2"/>
      <c r="N1100" t="s">
        <v>8587</v>
      </c>
      <c r="O1100" s="8" t="str">
        <f t="shared" si="34"/>
        <v/>
      </c>
      <c r="P1100" t="str">
        <f t="shared" si="35"/>
        <v>N/A</v>
      </c>
    </row>
    <row r="1101" spans="1:16" x14ac:dyDescent="0.25">
      <c r="A1101" s="2" t="s">
        <v>3034</v>
      </c>
      <c r="B1101" s="4">
        <v>46150.03125</v>
      </c>
      <c r="C1101" s="2" t="s">
        <v>28</v>
      </c>
      <c r="D1101" s="2" t="s">
        <v>37</v>
      </c>
      <c r="E1101" s="2" t="s">
        <v>38</v>
      </c>
      <c r="F1101" s="2" t="s">
        <v>55</v>
      </c>
      <c r="G1101" s="2" t="s">
        <v>110</v>
      </c>
      <c r="H1101" s="2" t="s">
        <v>21</v>
      </c>
      <c r="I1101" s="2">
        <v>24</v>
      </c>
      <c r="J1101" s="2" t="s">
        <v>75</v>
      </c>
      <c r="K1101" s="4">
        <v>46150.57708333333</v>
      </c>
      <c r="L1101" s="2" t="s">
        <v>92</v>
      </c>
      <c r="M1101" s="2"/>
      <c r="N1101" t="s">
        <v>8588</v>
      </c>
      <c r="O1101" s="8">
        <f t="shared" si="34"/>
        <v>13.099999999918509</v>
      </c>
      <c r="P1101" t="str">
        <f t="shared" si="35"/>
        <v>N/A</v>
      </c>
    </row>
    <row r="1102" spans="1:16" x14ac:dyDescent="0.25">
      <c r="A1102" s="2" t="s">
        <v>3037</v>
      </c>
      <c r="B1102" s="4">
        <v>46031.429861111108</v>
      </c>
      <c r="C1102" s="2" t="s">
        <v>28</v>
      </c>
      <c r="D1102" s="2" t="s">
        <v>100</v>
      </c>
      <c r="E1102" s="2" t="s">
        <v>148</v>
      </c>
      <c r="F1102" s="2" t="s">
        <v>113</v>
      </c>
      <c r="G1102" s="2" t="s">
        <v>31</v>
      </c>
      <c r="H1102" s="2" t="s">
        <v>32</v>
      </c>
      <c r="I1102" s="2">
        <v>48</v>
      </c>
      <c r="J1102" s="2" t="s">
        <v>106</v>
      </c>
      <c r="K1102" s="4">
        <v>46032.467361111114</v>
      </c>
      <c r="L1102" s="2" t="s">
        <v>24</v>
      </c>
      <c r="M1102" s="2">
        <v>5</v>
      </c>
      <c r="N1102" t="s">
        <v>8586</v>
      </c>
      <c r="O1102" s="8">
        <f t="shared" si="34"/>
        <v>24.900000000139698</v>
      </c>
      <c r="P1102" t="str">
        <f t="shared" si="35"/>
        <v>Yes</v>
      </c>
    </row>
    <row r="1103" spans="1:16" x14ac:dyDescent="0.25">
      <c r="A1103" s="2" t="s">
        <v>3040</v>
      </c>
      <c r="B1103" s="4">
        <v>46133.738888888889</v>
      </c>
      <c r="C1103" s="2" t="s">
        <v>28</v>
      </c>
      <c r="D1103" s="2" t="s">
        <v>100</v>
      </c>
      <c r="E1103" s="2" t="s">
        <v>148</v>
      </c>
      <c r="F1103" s="2" t="s">
        <v>30</v>
      </c>
      <c r="G1103" s="2" t="s">
        <v>31</v>
      </c>
      <c r="H1103" s="2" t="s">
        <v>32</v>
      </c>
      <c r="I1103" s="2">
        <v>48</v>
      </c>
      <c r="J1103" s="2" t="s">
        <v>11</v>
      </c>
      <c r="K1103" s="4" t="s">
        <v>8590</v>
      </c>
      <c r="L1103" s="2" t="s">
        <v>92</v>
      </c>
      <c r="M1103" s="2"/>
      <c r="N1103" t="s">
        <v>8582</v>
      </c>
      <c r="O1103" s="8" t="str">
        <f t="shared" si="34"/>
        <v/>
      </c>
      <c r="P1103" t="str">
        <f t="shared" si="35"/>
        <v>N/A</v>
      </c>
    </row>
    <row r="1104" spans="1:16" x14ac:dyDescent="0.25">
      <c r="A1104" s="2" t="s">
        <v>3042</v>
      </c>
      <c r="B1104" s="4">
        <v>46026.825694444444</v>
      </c>
      <c r="C1104" s="2" t="s">
        <v>28</v>
      </c>
      <c r="D1104" s="2" t="s">
        <v>37</v>
      </c>
      <c r="E1104" s="2" t="s">
        <v>79</v>
      </c>
      <c r="F1104" s="2" t="s">
        <v>30</v>
      </c>
      <c r="G1104" s="2" t="s">
        <v>31</v>
      </c>
      <c r="H1104" s="2" t="s">
        <v>21</v>
      </c>
      <c r="I1104" s="2">
        <v>24</v>
      </c>
      <c r="J1104" s="2" t="s">
        <v>75</v>
      </c>
      <c r="K1104" s="4">
        <v>46027.283333333333</v>
      </c>
      <c r="L1104" s="2" t="s">
        <v>24</v>
      </c>
      <c r="M1104" s="2"/>
      <c r="N1104" t="s">
        <v>8588</v>
      </c>
      <c r="O1104" s="8">
        <f t="shared" si="34"/>
        <v>10.983333333337214</v>
      </c>
      <c r="P1104" t="str">
        <f t="shared" si="35"/>
        <v>N/A</v>
      </c>
    </row>
    <row r="1105" spans="1:16" x14ac:dyDescent="0.25">
      <c r="A1105" s="2" t="s">
        <v>3045</v>
      </c>
      <c r="B1105" s="4">
        <v>46184.055555555555</v>
      </c>
      <c r="C1105" s="2" t="s">
        <v>28</v>
      </c>
      <c r="D1105" s="2" t="s">
        <v>100</v>
      </c>
      <c r="E1105" s="2" t="s">
        <v>85</v>
      </c>
      <c r="F1105" s="2" t="s">
        <v>113</v>
      </c>
      <c r="G1105" s="2" t="s">
        <v>31</v>
      </c>
      <c r="H1105" s="2" t="s">
        <v>21</v>
      </c>
      <c r="I1105" s="2">
        <v>24</v>
      </c>
      <c r="J1105" s="2" t="s">
        <v>75</v>
      </c>
      <c r="K1105" s="4" t="s">
        <v>8590</v>
      </c>
      <c r="L1105" s="2" t="s">
        <v>24</v>
      </c>
      <c r="M1105" s="2">
        <v>4</v>
      </c>
      <c r="N1105" t="s">
        <v>8584</v>
      </c>
      <c r="O1105" s="8" t="str">
        <f t="shared" si="34"/>
        <v/>
      </c>
      <c r="P1105" t="str">
        <f t="shared" si="35"/>
        <v>N/A</v>
      </c>
    </row>
    <row r="1106" spans="1:16" x14ac:dyDescent="0.25">
      <c r="A1106" s="2" t="s">
        <v>3047</v>
      </c>
      <c r="B1106" s="4">
        <v>46042.155555555553</v>
      </c>
      <c r="C1106" s="2" t="s">
        <v>16</v>
      </c>
      <c r="D1106" s="2" t="s">
        <v>17</v>
      </c>
      <c r="E1106" s="2" t="s">
        <v>18</v>
      </c>
      <c r="F1106" s="2" t="s">
        <v>30</v>
      </c>
      <c r="G1106" s="2" t="s">
        <v>110</v>
      </c>
      <c r="H1106" s="2" t="s">
        <v>21</v>
      </c>
      <c r="I1106" s="2">
        <v>24</v>
      </c>
      <c r="J1106" s="2" t="s">
        <v>106</v>
      </c>
      <c r="K1106" s="4">
        <v>46043.006944444445</v>
      </c>
      <c r="L1106" s="2" t="s">
        <v>24</v>
      </c>
      <c r="M1106" s="2"/>
      <c r="N1106" t="s">
        <v>8583</v>
      </c>
      <c r="O1106" s="8">
        <f t="shared" si="34"/>
        <v>20.433333333407063</v>
      </c>
      <c r="P1106" t="str">
        <f t="shared" si="35"/>
        <v>Yes</v>
      </c>
    </row>
    <row r="1107" spans="1:16" x14ac:dyDescent="0.25">
      <c r="A1107" s="2" t="s">
        <v>3050</v>
      </c>
      <c r="B1107" s="4">
        <v>46033.276388888888</v>
      </c>
      <c r="C1107" s="2" t="s">
        <v>16</v>
      </c>
      <c r="D1107" s="2" t="s">
        <v>17</v>
      </c>
      <c r="E1107" s="2" t="s">
        <v>79</v>
      </c>
      <c r="F1107" s="2" t="s">
        <v>113</v>
      </c>
      <c r="G1107" s="2" t="s">
        <v>101</v>
      </c>
      <c r="H1107" s="2" t="s">
        <v>74</v>
      </c>
      <c r="I1107" s="2">
        <v>8</v>
      </c>
      <c r="J1107" s="2" t="s">
        <v>287</v>
      </c>
      <c r="K1107" s="4" t="s">
        <v>8590</v>
      </c>
      <c r="L1107" s="2" t="s">
        <v>92</v>
      </c>
      <c r="M1107" s="2"/>
      <c r="N1107" t="s">
        <v>8584</v>
      </c>
      <c r="O1107" s="8" t="str">
        <f t="shared" si="34"/>
        <v/>
      </c>
      <c r="P1107" t="str">
        <f t="shared" si="35"/>
        <v>N/A</v>
      </c>
    </row>
    <row r="1108" spans="1:16" x14ac:dyDescent="0.25">
      <c r="A1108" s="2" t="s">
        <v>3052</v>
      </c>
      <c r="B1108" s="4">
        <v>46129.695833333331</v>
      </c>
      <c r="C1108" s="2" t="s">
        <v>28</v>
      </c>
      <c r="D1108" s="2" t="s">
        <v>100</v>
      </c>
      <c r="E1108" s="2" t="s">
        <v>38</v>
      </c>
      <c r="F1108" s="2" t="s">
        <v>113</v>
      </c>
      <c r="G1108" s="2" t="s">
        <v>211</v>
      </c>
      <c r="H1108" s="2" t="s">
        <v>80</v>
      </c>
      <c r="I1108" s="2">
        <v>4</v>
      </c>
      <c r="J1108" s="2" t="s">
        <v>106</v>
      </c>
      <c r="K1108" s="4">
        <v>46129.742361111108</v>
      </c>
      <c r="L1108" s="2" t="s">
        <v>24</v>
      </c>
      <c r="M1108" s="2"/>
      <c r="N1108" t="s">
        <v>8588</v>
      </c>
      <c r="O1108" s="8">
        <f t="shared" si="34"/>
        <v>1.1166666666395031</v>
      </c>
      <c r="P1108" t="str">
        <f t="shared" si="35"/>
        <v>Yes</v>
      </c>
    </row>
    <row r="1109" spans="1:16" x14ac:dyDescent="0.25">
      <c r="A1109" s="2" t="s">
        <v>3055</v>
      </c>
      <c r="B1109" s="4">
        <v>46218.550694444442</v>
      </c>
      <c r="C1109" s="2" t="s">
        <v>67</v>
      </c>
      <c r="D1109" s="2" t="s">
        <v>68</v>
      </c>
      <c r="E1109" s="2" t="s">
        <v>18</v>
      </c>
      <c r="F1109" s="2" t="s">
        <v>113</v>
      </c>
      <c r="G1109" s="2" t="s">
        <v>179</v>
      </c>
      <c r="H1109" s="2" t="s">
        <v>21</v>
      </c>
      <c r="I1109" s="2">
        <v>24</v>
      </c>
      <c r="J1109" s="2" t="s">
        <v>106</v>
      </c>
      <c r="K1109" s="4">
        <v>46218.957638888889</v>
      </c>
      <c r="L1109" s="2" t="s">
        <v>24</v>
      </c>
      <c r="M1109" s="2"/>
      <c r="N1109" t="s">
        <v>8586</v>
      </c>
      <c r="O1109" s="8">
        <f t="shared" si="34"/>
        <v>9.7666666667209938</v>
      </c>
      <c r="P1109" t="str">
        <f t="shared" si="35"/>
        <v>Yes</v>
      </c>
    </row>
    <row r="1110" spans="1:16" x14ac:dyDescent="0.25">
      <c r="A1110" s="2" t="s">
        <v>3058</v>
      </c>
      <c r="B1110" s="4">
        <v>46124.035416666666</v>
      </c>
      <c r="C1110" s="2" t="s">
        <v>53</v>
      </c>
      <c r="D1110" s="2" t="s">
        <v>54</v>
      </c>
      <c r="E1110" s="2" t="s">
        <v>38</v>
      </c>
      <c r="F1110" s="2" t="s">
        <v>55</v>
      </c>
      <c r="G1110" s="2" t="s">
        <v>183</v>
      </c>
      <c r="H1110" s="2" t="s">
        <v>21</v>
      </c>
      <c r="I1110" s="2">
        <v>24</v>
      </c>
      <c r="J1110" s="2" t="s">
        <v>11</v>
      </c>
      <c r="K1110" s="4" t="s">
        <v>8590</v>
      </c>
      <c r="L1110" s="2" t="s">
        <v>92</v>
      </c>
      <c r="M1110" s="2"/>
      <c r="N1110" t="s">
        <v>8587</v>
      </c>
      <c r="O1110" s="8" t="str">
        <f t="shared" si="34"/>
        <v/>
      </c>
      <c r="P1110" t="str">
        <f t="shared" si="35"/>
        <v>N/A</v>
      </c>
    </row>
    <row r="1111" spans="1:16" x14ac:dyDescent="0.25">
      <c r="A1111" s="2" t="s">
        <v>3060</v>
      </c>
      <c r="B1111" s="4">
        <v>46176.689583333333</v>
      </c>
      <c r="C1111" s="2" t="s">
        <v>67</v>
      </c>
      <c r="D1111" s="2" t="s">
        <v>95</v>
      </c>
      <c r="E1111" s="2" t="s">
        <v>46</v>
      </c>
      <c r="F1111" s="2" t="s">
        <v>96</v>
      </c>
      <c r="G1111" s="2" t="s">
        <v>31</v>
      </c>
      <c r="H1111" s="2" t="s">
        <v>21</v>
      </c>
      <c r="I1111" s="2">
        <v>24</v>
      </c>
      <c r="J1111" s="2" t="s">
        <v>106</v>
      </c>
      <c r="K1111" s="4">
        <v>46176.788888888892</v>
      </c>
      <c r="L1111" s="2" t="s">
        <v>24</v>
      </c>
      <c r="M1111" s="2"/>
      <c r="N1111" t="s">
        <v>8583</v>
      </c>
      <c r="O1111" s="8">
        <f t="shared" si="34"/>
        <v>2.3833333334187046</v>
      </c>
      <c r="P1111" t="str">
        <f t="shared" si="35"/>
        <v>Yes</v>
      </c>
    </row>
    <row r="1112" spans="1:16" x14ac:dyDescent="0.25">
      <c r="A1112" s="2" t="s">
        <v>3063</v>
      </c>
      <c r="B1112" s="4">
        <v>46199.24722222222</v>
      </c>
      <c r="C1112" s="2" t="s">
        <v>16</v>
      </c>
      <c r="D1112" s="2" t="s">
        <v>17</v>
      </c>
      <c r="E1112" s="2" t="s">
        <v>18</v>
      </c>
      <c r="F1112" s="2" t="s">
        <v>96</v>
      </c>
      <c r="G1112" s="2" t="s">
        <v>31</v>
      </c>
      <c r="H1112" s="2" t="s">
        <v>32</v>
      </c>
      <c r="I1112" s="2">
        <v>48</v>
      </c>
      <c r="J1112" s="2" t="s">
        <v>106</v>
      </c>
      <c r="K1112" s="4">
        <v>46199.95416666667</v>
      </c>
      <c r="L1112" s="2" t="s">
        <v>24</v>
      </c>
      <c r="M1112" s="2">
        <v>5</v>
      </c>
      <c r="N1112" t="s">
        <v>8586</v>
      </c>
      <c r="O1112" s="8">
        <f t="shared" si="34"/>
        <v>16.966666666790843</v>
      </c>
      <c r="P1112" t="str">
        <f t="shared" si="35"/>
        <v>Yes</v>
      </c>
    </row>
    <row r="1113" spans="1:16" x14ac:dyDescent="0.25">
      <c r="A1113" s="2" t="s">
        <v>3066</v>
      </c>
      <c r="B1113" s="4">
        <v>46107.913194444445</v>
      </c>
      <c r="C1113" s="2" t="s">
        <v>16</v>
      </c>
      <c r="D1113" s="2" t="s">
        <v>84</v>
      </c>
      <c r="E1113" s="2" t="s">
        <v>46</v>
      </c>
      <c r="F1113" s="2" t="s">
        <v>30</v>
      </c>
      <c r="G1113" s="2" t="s">
        <v>211</v>
      </c>
      <c r="H1113" s="2" t="s">
        <v>21</v>
      </c>
      <c r="I1113" s="2">
        <v>24</v>
      </c>
      <c r="J1113" s="2" t="s">
        <v>149</v>
      </c>
      <c r="K1113" s="4" t="s">
        <v>8590</v>
      </c>
      <c r="L1113" s="2" t="s">
        <v>24</v>
      </c>
      <c r="M1113" s="2"/>
      <c r="N1113" t="s">
        <v>8584</v>
      </c>
      <c r="O1113" s="8" t="str">
        <f t="shared" si="34"/>
        <v/>
      </c>
      <c r="P1113" t="str">
        <f t="shared" si="35"/>
        <v>N/A</v>
      </c>
    </row>
    <row r="1114" spans="1:16" x14ac:dyDescent="0.25">
      <c r="A1114" s="2" t="s">
        <v>3068</v>
      </c>
      <c r="B1114" s="4">
        <v>46024.509722222225</v>
      </c>
      <c r="C1114" s="2" t="s">
        <v>16</v>
      </c>
      <c r="D1114" s="2" t="s">
        <v>17</v>
      </c>
      <c r="E1114" s="2" t="s">
        <v>85</v>
      </c>
      <c r="F1114" s="2" t="s">
        <v>96</v>
      </c>
      <c r="G1114" s="2" t="s">
        <v>31</v>
      </c>
      <c r="H1114" s="2" t="s">
        <v>21</v>
      </c>
      <c r="I1114" s="2">
        <v>24</v>
      </c>
      <c r="J1114" s="2" t="s">
        <v>106</v>
      </c>
      <c r="K1114" s="4">
        <v>46024.729166666664</v>
      </c>
      <c r="L1114" s="2" t="s">
        <v>24</v>
      </c>
      <c r="M1114" s="2">
        <v>2</v>
      </c>
      <c r="N1114" t="s">
        <v>8589</v>
      </c>
      <c r="O1114" s="8">
        <f t="shared" si="34"/>
        <v>5.2666666665463708</v>
      </c>
      <c r="P1114" t="str">
        <f t="shared" si="35"/>
        <v>Yes</v>
      </c>
    </row>
    <row r="1115" spans="1:16" x14ac:dyDescent="0.25">
      <c r="A1115" s="2" t="s">
        <v>3071</v>
      </c>
      <c r="B1115" s="4">
        <v>46104.696527777778</v>
      </c>
      <c r="C1115" s="2" t="s">
        <v>53</v>
      </c>
      <c r="D1115" s="2" t="s">
        <v>61</v>
      </c>
      <c r="E1115" s="2" t="s">
        <v>38</v>
      </c>
      <c r="F1115" s="2" t="s">
        <v>55</v>
      </c>
      <c r="G1115" s="2" t="s">
        <v>101</v>
      </c>
      <c r="H1115" s="2" t="s">
        <v>74</v>
      </c>
      <c r="I1115" s="2">
        <v>8</v>
      </c>
      <c r="J1115" s="2" t="s">
        <v>11</v>
      </c>
      <c r="K1115" s="4" t="s">
        <v>8590</v>
      </c>
      <c r="L1115" s="2" t="s">
        <v>92</v>
      </c>
      <c r="M1115" s="2"/>
      <c r="N1115" t="s">
        <v>8587</v>
      </c>
      <c r="O1115" s="8" t="str">
        <f t="shared" si="34"/>
        <v/>
      </c>
      <c r="P1115" t="str">
        <f t="shared" si="35"/>
        <v>N/A</v>
      </c>
    </row>
    <row r="1116" spans="1:16" x14ac:dyDescent="0.25">
      <c r="A1116" s="2" t="s">
        <v>3073</v>
      </c>
      <c r="B1116" s="4">
        <v>46094.532638888886</v>
      </c>
      <c r="C1116" s="2" t="s">
        <v>53</v>
      </c>
      <c r="D1116" s="2" t="s">
        <v>54</v>
      </c>
      <c r="E1116" s="2" t="s">
        <v>18</v>
      </c>
      <c r="F1116" s="2" t="s">
        <v>113</v>
      </c>
      <c r="G1116" s="2" t="s">
        <v>31</v>
      </c>
      <c r="H1116" s="2" t="s">
        <v>21</v>
      </c>
      <c r="I1116" s="2">
        <v>24</v>
      </c>
      <c r="J1116" s="2" t="s">
        <v>106</v>
      </c>
      <c r="K1116" s="4">
        <v>46094.665277777778</v>
      </c>
      <c r="L1116" s="2" t="s">
        <v>24</v>
      </c>
      <c r="M1116" s="2"/>
      <c r="N1116" t="s">
        <v>8584</v>
      </c>
      <c r="O1116" s="8">
        <f t="shared" si="34"/>
        <v>3.183333333407063</v>
      </c>
      <c r="P1116" t="str">
        <f t="shared" si="35"/>
        <v>Yes</v>
      </c>
    </row>
    <row r="1117" spans="1:16" x14ac:dyDescent="0.25">
      <c r="A1117" s="2" t="s">
        <v>3076</v>
      </c>
      <c r="B1117" s="4">
        <v>46259.951388888891</v>
      </c>
      <c r="C1117" s="2" t="s">
        <v>67</v>
      </c>
      <c r="D1117" s="2" t="s">
        <v>68</v>
      </c>
      <c r="E1117" s="2" t="s">
        <v>46</v>
      </c>
      <c r="F1117" s="2" t="s">
        <v>96</v>
      </c>
      <c r="G1117" s="2" t="s">
        <v>183</v>
      </c>
      <c r="H1117" s="2" t="s">
        <v>74</v>
      </c>
      <c r="I1117" s="2">
        <v>8</v>
      </c>
      <c r="J1117" s="2" t="s">
        <v>106</v>
      </c>
      <c r="K1117" s="4">
        <v>46260.009722222225</v>
      </c>
      <c r="L1117" s="2" t="s">
        <v>24</v>
      </c>
      <c r="M1117" s="2">
        <v>5</v>
      </c>
      <c r="N1117" t="s">
        <v>8589</v>
      </c>
      <c r="O1117" s="8">
        <f t="shared" si="34"/>
        <v>1.4000000000232831</v>
      </c>
      <c r="P1117" t="str">
        <f t="shared" si="35"/>
        <v>Yes</v>
      </c>
    </row>
    <row r="1118" spans="1:16" x14ac:dyDescent="0.25">
      <c r="A1118" s="2" t="s">
        <v>3078</v>
      </c>
      <c r="B1118" s="4">
        <v>46258.493055555555</v>
      </c>
      <c r="C1118" s="2" t="s">
        <v>67</v>
      </c>
      <c r="D1118" s="2" t="s">
        <v>95</v>
      </c>
      <c r="E1118" s="2" t="s">
        <v>46</v>
      </c>
      <c r="F1118" s="2" t="s">
        <v>30</v>
      </c>
      <c r="G1118" s="2" t="s">
        <v>183</v>
      </c>
      <c r="H1118" s="2" t="s">
        <v>32</v>
      </c>
      <c r="I1118" s="2">
        <v>48</v>
      </c>
      <c r="J1118" s="2" t="s">
        <v>75</v>
      </c>
      <c r="K1118" s="4">
        <v>46259.956250000003</v>
      </c>
      <c r="L1118" s="2" t="s">
        <v>24</v>
      </c>
      <c r="M1118" s="2"/>
      <c r="N1118" t="s">
        <v>8586</v>
      </c>
      <c r="O1118" s="8">
        <f t="shared" si="34"/>
        <v>35.116666666755918</v>
      </c>
      <c r="P1118" t="str">
        <f t="shared" si="35"/>
        <v>N/A</v>
      </c>
    </row>
    <row r="1119" spans="1:16" x14ac:dyDescent="0.25">
      <c r="A1119" s="2" t="s">
        <v>3081</v>
      </c>
      <c r="B1119" s="4">
        <v>46067.341666666667</v>
      </c>
      <c r="C1119" s="2" t="s">
        <v>28</v>
      </c>
      <c r="D1119" s="2" t="s">
        <v>37</v>
      </c>
      <c r="E1119" s="2" t="s">
        <v>85</v>
      </c>
      <c r="F1119" s="2" t="s">
        <v>96</v>
      </c>
      <c r="G1119" s="2" t="s">
        <v>31</v>
      </c>
      <c r="H1119" s="2" t="s">
        <v>32</v>
      </c>
      <c r="I1119" s="2">
        <v>48</v>
      </c>
      <c r="J1119" s="2" t="s">
        <v>106</v>
      </c>
      <c r="K1119" s="4">
        <v>46067.552777777775</v>
      </c>
      <c r="L1119" s="2" t="s">
        <v>24</v>
      </c>
      <c r="M1119" s="2">
        <v>5</v>
      </c>
      <c r="N1119" t="s">
        <v>8586</v>
      </c>
      <c r="O1119" s="8">
        <f t="shared" si="34"/>
        <v>5.066666666592937</v>
      </c>
      <c r="P1119" t="str">
        <f t="shared" si="35"/>
        <v>Yes</v>
      </c>
    </row>
    <row r="1120" spans="1:16" x14ac:dyDescent="0.25">
      <c r="A1120" s="2" t="s">
        <v>3084</v>
      </c>
      <c r="B1120" s="4">
        <v>46207.333333333336</v>
      </c>
      <c r="C1120" s="2" t="s">
        <v>67</v>
      </c>
      <c r="D1120" s="2" t="s">
        <v>95</v>
      </c>
      <c r="E1120" s="2" t="s">
        <v>85</v>
      </c>
      <c r="F1120" s="2" t="s">
        <v>30</v>
      </c>
      <c r="G1120" s="2" t="s">
        <v>110</v>
      </c>
      <c r="H1120" s="2" t="s">
        <v>21</v>
      </c>
      <c r="I1120" s="2">
        <v>24</v>
      </c>
      <c r="J1120" s="2" t="s">
        <v>106</v>
      </c>
      <c r="K1120" s="4">
        <v>46208.106249999997</v>
      </c>
      <c r="L1120" s="2" t="s">
        <v>24</v>
      </c>
      <c r="M1120" s="2">
        <v>2</v>
      </c>
      <c r="N1120" t="s">
        <v>8581</v>
      </c>
      <c r="O1120" s="8">
        <f t="shared" si="34"/>
        <v>18.549999999871943</v>
      </c>
      <c r="P1120" t="str">
        <f t="shared" si="35"/>
        <v>Yes</v>
      </c>
    </row>
    <row r="1121" spans="1:16" x14ac:dyDescent="0.25">
      <c r="A1121" s="2" t="s">
        <v>3087</v>
      </c>
      <c r="B1121" s="4">
        <v>46031.523611111108</v>
      </c>
      <c r="C1121" s="2" t="s">
        <v>67</v>
      </c>
      <c r="D1121" s="2" t="s">
        <v>95</v>
      </c>
      <c r="E1121" s="2" t="s">
        <v>18</v>
      </c>
      <c r="F1121" s="2" t="s">
        <v>96</v>
      </c>
      <c r="G1121" s="2" t="s">
        <v>110</v>
      </c>
      <c r="H1121" s="2" t="s">
        <v>21</v>
      </c>
      <c r="I1121" s="2">
        <v>24</v>
      </c>
      <c r="J1121" s="2" t="s">
        <v>75</v>
      </c>
      <c r="K1121" s="4">
        <v>46032.116666666669</v>
      </c>
      <c r="L1121" s="2" t="s">
        <v>92</v>
      </c>
      <c r="M1121" s="2"/>
      <c r="N1121" t="s">
        <v>8581</v>
      </c>
      <c r="O1121" s="8">
        <f t="shared" si="34"/>
        <v>14.233333333453629</v>
      </c>
      <c r="P1121" t="str">
        <f t="shared" si="35"/>
        <v>N/A</v>
      </c>
    </row>
    <row r="1122" spans="1:16" x14ac:dyDescent="0.25">
      <c r="A1122" s="2" t="s">
        <v>3090</v>
      </c>
      <c r="B1122" s="4">
        <v>46172.765277777777</v>
      </c>
      <c r="C1122" s="2" t="s">
        <v>28</v>
      </c>
      <c r="D1122" s="2" t="s">
        <v>37</v>
      </c>
      <c r="E1122" s="2" t="s">
        <v>18</v>
      </c>
      <c r="F1122" s="2" t="s">
        <v>30</v>
      </c>
      <c r="G1122" s="2" t="s">
        <v>183</v>
      </c>
      <c r="H1122" s="2" t="s">
        <v>21</v>
      </c>
      <c r="I1122" s="2">
        <v>24</v>
      </c>
      <c r="J1122" s="2" t="s">
        <v>11</v>
      </c>
      <c r="K1122" s="4" t="s">
        <v>8590</v>
      </c>
      <c r="L1122" s="2" t="s">
        <v>92</v>
      </c>
      <c r="M1122" s="2"/>
      <c r="N1122" t="s">
        <v>8583</v>
      </c>
      <c r="O1122" s="8" t="str">
        <f t="shared" si="34"/>
        <v/>
      </c>
      <c r="P1122" t="str">
        <f t="shared" si="35"/>
        <v>N/A</v>
      </c>
    </row>
    <row r="1123" spans="1:16" x14ac:dyDescent="0.25">
      <c r="A1123" s="2" t="s">
        <v>3092</v>
      </c>
      <c r="B1123" s="4">
        <v>46204.652777777781</v>
      </c>
      <c r="C1123" s="2" t="s">
        <v>53</v>
      </c>
      <c r="D1123" s="2" t="s">
        <v>54</v>
      </c>
      <c r="E1123" s="2" t="s">
        <v>38</v>
      </c>
      <c r="F1123" s="2" t="s">
        <v>96</v>
      </c>
      <c r="G1123" s="2" t="s">
        <v>110</v>
      </c>
      <c r="H1123" s="2" t="s">
        <v>74</v>
      </c>
      <c r="I1123" s="2">
        <v>8</v>
      </c>
      <c r="J1123" s="2" t="s">
        <v>106</v>
      </c>
      <c r="K1123" s="4">
        <v>46204.915277777778</v>
      </c>
      <c r="L1123" s="2" t="s">
        <v>24</v>
      </c>
      <c r="M1123" s="2"/>
      <c r="N1123" t="s">
        <v>8582</v>
      </c>
      <c r="O1123" s="8">
        <f t="shared" si="34"/>
        <v>6.2999999999301508</v>
      </c>
      <c r="P1123" t="str">
        <f t="shared" si="35"/>
        <v>Yes</v>
      </c>
    </row>
    <row r="1124" spans="1:16" x14ac:dyDescent="0.25">
      <c r="A1124" s="2" t="s">
        <v>3095</v>
      </c>
      <c r="B1124" s="4">
        <v>46045.893055555556</v>
      </c>
      <c r="C1124" s="2" t="s">
        <v>53</v>
      </c>
      <c r="D1124" s="2" t="s">
        <v>61</v>
      </c>
      <c r="E1124" s="2" t="s">
        <v>46</v>
      </c>
      <c r="F1124" s="2" t="s">
        <v>96</v>
      </c>
      <c r="G1124" s="2" t="s">
        <v>101</v>
      </c>
      <c r="H1124" s="2" t="s">
        <v>21</v>
      </c>
      <c r="I1124" s="2">
        <v>24</v>
      </c>
      <c r="J1124" s="2" t="s">
        <v>106</v>
      </c>
      <c r="K1124" s="4">
        <v>46046.569444444445</v>
      </c>
      <c r="L1124" s="2" t="s">
        <v>24</v>
      </c>
      <c r="M1124" s="2"/>
      <c r="N1124" t="s">
        <v>8586</v>
      </c>
      <c r="O1124" s="8">
        <f t="shared" si="34"/>
        <v>16.233333333337214</v>
      </c>
      <c r="P1124" t="str">
        <f t="shared" si="35"/>
        <v>Yes</v>
      </c>
    </row>
    <row r="1125" spans="1:16" x14ac:dyDescent="0.25">
      <c r="A1125" s="2" t="s">
        <v>3098</v>
      </c>
      <c r="B1125" s="4">
        <v>46056.383333333331</v>
      </c>
      <c r="C1125" s="2" t="s">
        <v>53</v>
      </c>
      <c r="D1125" s="2" t="s">
        <v>54</v>
      </c>
      <c r="E1125" s="2" t="s">
        <v>90</v>
      </c>
      <c r="F1125" s="2" t="s">
        <v>96</v>
      </c>
      <c r="G1125" s="2" t="s">
        <v>101</v>
      </c>
      <c r="H1125" s="2" t="s">
        <v>74</v>
      </c>
      <c r="I1125" s="2">
        <v>8</v>
      </c>
      <c r="J1125" s="2" t="s">
        <v>75</v>
      </c>
      <c r="K1125" s="4">
        <v>46056.45</v>
      </c>
      <c r="L1125" s="2" t="s">
        <v>24</v>
      </c>
      <c r="M1125" s="2">
        <v>5</v>
      </c>
      <c r="N1125" t="s">
        <v>8589</v>
      </c>
      <c r="O1125" s="8">
        <f t="shared" si="34"/>
        <v>1.5999999999767169</v>
      </c>
      <c r="P1125" t="str">
        <f t="shared" si="35"/>
        <v>N/A</v>
      </c>
    </row>
    <row r="1126" spans="1:16" x14ac:dyDescent="0.25">
      <c r="A1126" s="2" t="s">
        <v>3101</v>
      </c>
      <c r="B1126" s="4">
        <v>46205.306944444441</v>
      </c>
      <c r="C1126" s="2" t="s">
        <v>16</v>
      </c>
      <c r="D1126" s="2" t="s">
        <v>17</v>
      </c>
      <c r="E1126" s="2" t="s">
        <v>90</v>
      </c>
      <c r="F1126" s="2" t="s">
        <v>96</v>
      </c>
      <c r="G1126" s="2" t="s">
        <v>110</v>
      </c>
      <c r="H1126" s="2" t="s">
        <v>21</v>
      </c>
      <c r="I1126" s="2">
        <v>24</v>
      </c>
      <c r="J1126" s="2" t="s">
        <v>75</v>
      </c>
      <c r="K1126" s="4">
        <v>46205.613888888889</v>
      </c>
      <c r="L1126" s="2" t="s">
        <v>24</v>
      </c>
      <c r="M1126" s="2"/>
      <c r="N1126" t="s">
        <v>8584</v>
      </c>
      <c r="O1126" s="8">
        <f t="shared" si="34"/>
        <v>7.3666666667559184</v>
      </c>
      <c r="P1126" t="str">
        <f t="shared" si="35"/>
        <v>N/A</v>
      </c>
    </row>
    <row r="1127" spans="1:16" x14ac:dyDescent="0.25">
      <c r="A1127" s="2" t="s">
        <v>3104</v>
      </c>
      <c r="B1127" s="4">
        <v>46195.916666666664</v>
      </c>
      <c r="C1127" s="2" t="s">
        <v>67</v>
      </c>
      <c r="D1127" s="2" t="s">
        <v>68</v>
      </c>
      <c r="E1127" s="2" t="s">
        <v>38</v>
      </c>
      <c r="F1127" s="2" t="s">
        <v>55</v>
      </c>
      <c r="G1127" s="2" t="s">
        <v>31</v>
      </c>
      <c r="H1127" s="2" t="s">
        <v>21</v>
      </c>
      <c r="I1127" s="2">
        <v>24</v>
      </c>
      <c r="J1127" s="2" t="s">
        <v>75</v>
      </c>
      <c r="K1127" s="4">
        <v>46196.287499999999</v>
      </c>
      <c r="L1127" s="2" t="s">
        <v>24</v>
      </c>
      <c r="M1127" s="2"/>
      <c r="N1127" t="s">
        <v>8586</v>
      </c>
      <c r="O1127" s="8">
        <f t="shared" si="34"/>
        <v>8.9000000000232831</v>
      </c>
      <c r="P1127" t="str">
        <f t="shared" si="35"/>
        <v>N/A</v>
      </c>
    </row>
    <row r="1128" spans="1:16" x14ac:dyDescent="0.25">
      <c r="A1128" s="2" t="s">
        <v>3107</v>
      </c>
      <c r="B1128" s="4">
        <v>46253.197222222225</v>
      </c>
      <c r="C1128" s="2" t="s">
        <v>53</v>
      </c>
      <c r="D1128" s="2" t="s">
        <v>54</v>
      </c>
      <c r="E1128" s="2" t="s">
        <v>18</v>
      </c>
      <c r="F1128" s="2" t="s">
        <v>55</v>
      </c>
      <c r="G1128" s="2" t="s">
        <v>101</v>
      </c>
      <c r="H1128" s="2" t="s">
        <v>32</v>
      </c>
      <c r="I1128" s="2">
        <v>48</v>
      </c>
      <c r="J1128" s="2" t="s">
        <v>75</v>
      </c>
      <c r="K1128" s="4" t="s">
        <v>8590</v>
      </c>
      <c r="L1128" s="2" t="s">
        <v>24</v>
      </c>
      <c r="M1128" s="2"/>
      <c r="N1128" t="s">
        <v>8589</v>
      </c>
      <c r="O1128" s="8" t="str">
        <f t="shared" si="34"/>
        <v/>
      </c>
      <c r="P1128" t="str">
        <f t="shared" si="35"/>
        <v>N/A</v>
      </c>
    </row>
    <row r="1129" spans="1:16" x14ac:dyDescent="0.25">
      <c r="A1129" s="2" t="s">
        <v>3109</v>
      </c>
      <c r="B1129" s="4">
        <v>46103.46875</v>
      </c>
      <c r="C1129" s="2" t="s">
        <v>67</v>
      </c>
      <c r="D1129" s="2" t="s">
        <v>68</v>
      </c>
      <c r="E1129" s="2" t="s">
        <v>79</v>
      </c>
      <c r="F1129" s="2" t="s">
        <v>30</v>
      </c>
      <c r="G1129" s="2" t="s">
        <v>110</v>
      </c>
      <c r="H1129" s="2" t="s">
        <v>32</v>
      </c>
      <c r="I1129" s="2">
        <v>48</v>
      </c>
      <c r="J1129" s="2" t="s">
        <v>106</v>
      </c>
      <c r="K1129" s="4">
        <v>46105.113194444442</v>
      </c>
      <c r="L1129" s="2" t="s">
        <v>24</v>
      </c>
      <c r="M1129" s="2"/>
      <c r="N1129" t="s">
        <v>8582</v>
      </c>
      <c r="O1129" s="8">
        <f t="shared" si="34"/>
        <v>39.46666666661622</v>
      </c>
      <c r="P1129" t="str">
        <f t="shared" si="35"/>
        <v>Yes</v>
      </c>
    </row>
    <row r="1130" spans="1:16" x14ac:dyDescent="0.25">
      <c r="A1130" s="2" t="s">
        <v>3112</v>
      </c>
      <c r="B1130" s="4">
        <v>46048.5</v>
      </c>
      <c r="C1130" s="2" t="s">
        <v>53</v>
      </c>
      <c r="D1130" s="2" t="s">
        <v>61</v>
      </c>
      <c r="E1130" s="2" t="s">
        <v>85</v>
      </c>
      <c r="F1130" s="2" t="s">
        <v>30</v>
      </c>
      <c r="G1130" s="2" t="s">
        <v>183</v>
      </c>
      <c r="H1130" s="2" t="s">
        <v>74</v>
      </c>
      <c r="I1130" s="2">
        <v>8</v>
      </c>
      <c r="J1130" s="2" t="s">
        <v>287</v>
      </c>
      <c r="K1130" s="4" t="s">
        <v>8590</v>
      </c>
      <c r="L1130" s="2" t="s">
        <v>24</v>
      </c>
      <c r="M1130" s="2"/>
      <c r="N1130" t="s">
        <v>8582</v>
      </c>
      <c r="O1130" s="8" t="str">
        <f t="shared" si="34"/>
        <v/>
      </c>
      <c r="P1130" t="str">
        <f t="shared" si="35"/>
        <v>N/A</v>
      </c>
    </row>
    <row r="1131" spans="1:16" x14ac:dyDescent="0.25">
      <c r="A1131" s="2" t="s">
        <v>3114</v>
      </c>
      <c r="B1131" s="4">
        <v>46150.06527777778</v>
      </c>
      <c r="C1131" s="2" t="s">
        <v>67</v>
      </c>
      <c r="D1131" s="2" t="s">
        <v>68</v>
      </c>
      <c r="E1131" s="2" t="s">
        <v>18</v>
      </c>
      <c r="F1131" s="2" t="s">
        <v>96</v>
      </c>
      <c r="G1131" s="2" t="s">
        <v>183</v>
      </c>
      <c r="H1131" s="2" t="s">
        <v>21</v>
      </c>
      <c r="I1131" s="2">
        <v>24</v>
      </c>
      <c r="J1131" s="2" t="s">
        <v>11</v>
      </c>
      <c r="K1131" s="4" t="s">
        <v>8590</v>
      </c>
      <c r="L1131" s="2" t="s">
        <v>92</v>
      </c>
      <c r="M1131" s="2"/>
      <c r="N1131" t="s">
        <v>8583</v>
      </c>
      <c r="O1131" s="8" t="str">
        <f t="shared" si="34"/>
        <v/>
      </c>
      <c r="P1131" t="str">
        <f t="shared" si="35"/>
        <v>N/A</v>
      </c>
    </row>
    <row r="1132" spans="1:16" x14ac:dyDescent="0.25">
      <c r="A1132" s="2" t="s">
        <v>3116</v>
      </c>
      <c r="B1132" s="4">
        <v>46252.004166666666</v>
      </c>
      <c r="C1132" s="2" t="s">
        <v>53</v>
      </c>
      <c r="D1132" s="2" t="s">
        <v>54</v>
      </c>
      <c r="E1132" s="2" t="s">
        <v>90</v>
      </c>
      <c r="F1132" s="2" t="s">
        <v>30</v>
      </c>
      <c r="G1132" s="2" t="s">
        <v>110</v>
      </c>
      <c r="H1132" s="2" t="s">
        <v>74</v>
      </c>
      <c r="I1132" s="2">
        <v>8</v>
      </c>
      <c r="J1132" s="2" t="s">
        <v>287</v>
      </c>
      <c r="K1132" s="4" t="s">
        <v>8590</v>
      </c>
      <c r="L1132" s="2" t="s">
        <v>24</v>
      </c>
      <c r="M1132" s="2"/>
      <c r="N1132" t="s">
        <v>8587</v>
      </c>
      <c r="O1132" s="8" t="str">
        <f t="shared" si="34"/>
        <v/>
      </c>
      <c r="P1132" t="str">
        <f t="shared" si="35"/>
        <v>N/A</v>
      </c>
    </row>
    <row r="1133" spans="1:16" x14ac:dyDescent="0.25">
      <c r="A1133" s="2" t="s">
        <v>3118</v>
      </c>
      <c r="B1133" s="4">
        <v>46252.663194444445</v>
      </c>
      <c r="C1133" s="2" t="s">
        <v>67</v>
      </c>
      <c r="D1133" s="2" t="s">
        <v>95</v>
      </c>
      <c r="E1133" s="2" t="s">
        <v>18</v>
      </c>
      <c r="F1133" s="2" t="s">
        <v>55</v>
      </c>
      <c r="G1133" s="2" t="s">
        <v>179</v>
      </c>
      <c r="H1133" s="2" t="s">
        <v>80</v>
      </c>
      <c r="I1133" s="2">
        <v>4</v>
      </c>
      <c r="J1133" s="2" t="s">
        <v>106</v>
      </c>
      <c r="K1133" s="4">
        <v>46252.810416666667</v>
      </c>
      <c r="L1133" s="2" t="s">
        <v>24</v>
      </c>
      <c r="M1133" s="2"/>
      <c r="N1133" t="s">
        <v>8582</v>
      </c>
      <c r="O1133" s="8">
        <f t="shared" si="34"/>
        <v>3.5333333333255723</v>
      </c>
      <c r="P1133" t="str">
        <f t="shared" si="35"/>
        <v>Yes</v>
      </c>
    </row>
    <row r="1134" spans="1:16" x14ac:dyDescent="0.25">
      <c r="A1134" s="2" t="s">
        <v>3121</v>
      </c>
      <c r="B1134" s="4">
        <v>46208.070138888892</v>
      </c>
      <c r="C1134" s="2" t="s">
        <v>28</v>
      </c>
      <c r="D1134" s="2" t="s">
        <v>100</v>
      </c>
      <c r="E1134" s="2" t="s">
        <v>90</v>
      </c>
      <c r="F1134" s="2" t="s">
        <v>113</v>
      </c>
      <c r="G1134" s="2" t="s">
        <v>31</v>
      </c>
      <c r="H1134" s="2" t="s">
        <v>32</v>
      </c>
      <c r="I1134" s="2">
        <v>48</v>
      </c>
      <c r="J1134" s="2" t="s">
        <v>75</v>
      </c>
      <c r="K1134" s="4">
        <v>46209.586111111108</v>
      </c>
      <c r="L1134" s="2" t="s">
        <v>24</v>
      </c>
      <c r="M1134" s="2"/>
      <c r="N1134" t="s">
        <v>8581</v>
      </c>
      <c r="O1134" s="8">
        <f t="shared" si="34"/>
        <v>36.383333333185874</v>
      </c>
      <c r="P1134" t="str">
        <f t="shared" si="35"/>
        <v>N/A</v>
      </c>
    </row>
    <row r="1135" spans="1:16" x14ac:dyDescent="0.25">
      <c r="A1135" s="2" t="s">
        <v>3124</v>
      </c>
      <c r="B1135" s="4">
        <v>46126.633333333331</v>
      </c>
      <c r="C1135" s="2" t="s">
        <v>28</v>
      </c>
      <c r="D1135" s="2" t="s">
        <v>37</v>
      </c>
      <c r="E1135" s="2" t="s">
        <v>85</v>
      </c>
      <c r="F1135" s="2" t="s">
        <v>30</v>
      </c>
      <c r="G1135" s="2" t="s">
        <v>211</v>
      </c>
      <c r="H1135" s="2" t="s">
        <v>21</v>
      </c>
      <c r="I1135" s="2">
        <v>24</v>
      </c>
      <c r="J1135" s="2" t="s">
        <v>106</v>
      </c>
      <c r="K1135" s="4">
        <v>46126.96597222222</v>
      </c>
      <c r="L1135" s="2" t="s">
        <v>24</v>
      </c>
      <c r="M1135" s="2">
        <v>5</v>
      </c>
      <c r="N1135" t="s">
        <v>8583</v>
      </c>
      <c r="O1135" s="8">
        <f t="shared" si="34"/>
        <v>7.9833333333372138</v>
      </c>
      <c r="P1135" t="str">
        <f t="shared" si="35"/>
        <v>Yes</v>
      </c>
    </row>
    <row r="1136" spans="1:16" x14ac:dyDescent="0.25">
      <c r="A1136" s="2" t="s">
        <v>3127</v>
      </c>
      <c r="B1136" s="4">
        <v>46081.64166666667</v>
      </c>
      <c r="C1136" s="2" t="s">
        <v>67</v>
      </c>
      <c r="D1136" s="2" t="s">
        <v>68</v>
      </c>
      <c r="E1136" s="2" t="s">
        <v>38</v>
      </c>
      <c r="F1136" s="2" t="s">
        <v>55</v>
      </c>
      <c r="G1136" s="2" t="s">
        <v>211</v>
      </c>
      <c r="H1136" s="2" t="s">
        <v>32</v>
      </c>
      <c r="I1136" s="2">
        <v>48</v>
      </c>
      <c r="J1136" s="2" t="s">
        <v>11</v>
      </c>
      <c r="K1136" s="4" t="s">
        <v>8590</v>
      </c>
      <c r="L1136" s="2" t="s">
        <v>92</v>
      </c>
      <c r="M1136" s="2"/>
      <c r="N1136" t="s">
        <v>8582</v>
      </c>
      <c r="O1136" s="8" t="str">
        <f t="shared" si="34"/>
        <v/>
      </c>
      <c r="P1136" t="str">
        <f t="shared" si="35"/>
        <v>N/A</v>
      </c>
    </row>
    <row r="1137" spans="1:16" x14ac:dyDescent="0.25">
      <c r="A1137" s="2" t="s">
        <v>3129</v>
      </c>
      <c r="B1137" s="4">
        <v>46162.211111111108</v>
      </c>
      <c r="C1137" s="2" t="s">
        <v>16</v>
      </c>
      <c r="D1137" s="2" t="s">
        <v>84</v>
      </c>
      <c r="E1137" s="2" t="s">
        <v>79</v>
      </c>
      <c r="F1137" s="2" t="s">
        <v>30</v>
      </c>
      <c r="G1137" s="2" t="s">
        <v>110</v>
      </c>
      <c r="H1137" s="2" t="s">
        <v>74</v>
      </c>
      <c r="I1137" s="2">
        <v>8</v>
      </c>
      <c r="J1137" s="2" t="s">
        <v>106</v>
      </c>
      <c r="K1137" s="4">
        <v>46162.236111111109</v>
      </c>
      <c r="L1137" s="2" t="s">
        <v>24</v>
      </c>
      <c r="M1137" s="2">
        <v>5</v>
      </c>
      <c r="N1137" t="s">
        <v>8587</v>
      </c>
      <c r="O1137" s="8">
        <f t="shared" si="34"/>
        <v>0.6000000000349246</v>
      </c>
      <c r="P1137" t="str">
        <f t="shared" si="35"/>
        <v>Yes</v>
      </c>
    </row>
    <row r="1138" spans="1:16" x14ac:dyDescent="0.25">
      <c r="A1138" s="2" t="s">
        <v>3132</v>
      </c>
      <c r="B1138" s="4">
        <v>46095.802083333336</v>
      </c>
      <c r="C1138" s="2" t="s">
        <v>28</v>
      </c>
      <c r="D1138" s="2" t="s">
        <v>100</v>
      </c>
      <c r="E1138" s="2" t="s">
        <v>90</v>
      </c>
      <c r="F1138" s="2" t="s">
        <v>113</v>
      </c>
      <c r="G1138" s="2" t="s">
        <v>110</v>
      </c>
      <c r="H1138" s="2" t="s">
        <v>32</v>
      </c>
      <c r="I1138" s="2">
        <v>48</v>
      </c>
      <c r="J1138" s="2" t="s">
        <v>149</v>
      </c>
      <c r="K1138" s="4" t="s">
        <v>8590</v>
      </c>
      <c r="L1138" s="2" t="s">
        <v>24</v>
      </c>
      <c r="M1138" s="2"/>
      <c r="N1138" t="s">
        <v>8584</v>
      </c>
      <c r="O1138" s="8" t="str">
        <f t="shared" si="34"/>
        <v/>
      </c>
      <c r="P1138" t="str">
        <f t="shared" si="35"/>
        <v>N/A</v>
      </c>
    </row>
    <row r="1139" spans="1:16" x14ac:dyDescent="0.25">
      <c r="A1139" s="2" t="s">
        <v>3134</v>
      </c>
      <c r="B1139" s="4">
        <v>46075.86041666667</v>
      </c>
      <c r="C1139" s="2" t="s">
        <v>67</v>
      </c>
      <c r="D1139" s="2" t="s">
        <v>95</v>
      </c>
      <c r="E1139" s="2" t="s">
        <v>90</v>
      </c>
      <c r="F1139" s="2" t="s">
        <v>113</v>
      </c>
      <c r="G1139" s="2" t="s">
        <v>179</v>
      </c>
      <c r="H1139" s="2" t="s">
        <v>21</v>
      </c>
      <c r="I1139" s="2">
        <v>24</v>
      </c>
      <c r="J1139" s="2" t="s">
        <v>8580</v>
      </c>
      <c r="K1139" s="4">
        <v>46078.839583333334</v>
      </c>
      <c r="L1139" s="2" t="s">
        <v>24</v>
      </c>
      <c r="M1139" s="2"/>
      <c r="N1139" t="s">
        <v>8586</v>
      </c>
      <c r="O1139" s="8">
        <f t="shared" si="34"/>
        <v>71.499999999941792</v>
      </c>
      <c r="P1139" t="str">
        <f t="shared" si="35"/>
        <v>N/A</v>
      </c>
    </row>
    <row r="1140" spans="1:16" x14ac:dyDescent="0.25">
      <c r="A1140" s="2" t="s">
        <v>3137</v>
      </c>
      <c r="B1140" s="4">
        <v>46066.683333333334</v>
      </c>
      <c r="C1140" s="2" t="s">
        <v>67</v>
      </c>
      <c r="D1140" s="2" t="s">
        <v>68</v>
      </c>
      <c r="E1140" s="2" t="s">
        <v>18</v>
      </c>
      <c r="F1140" s="2" t="s">
        <v>55</v>
      </c>
      <c r="G1140" s="2" t="s">
        <v>183</v>
      </c>
      <c r="H1140" s="2" t="s">
        <v>80</v>
      </c>
      <c r="I1140" s="2">
        <v>4</v>
      </c>
      <c r="J1140" s="2" t="s">
        <v>8580</v>
      </c>
      <c r="K1140" s="4">
        <v>46066.793749999997</v>
      </c>
      <c r="L1140" s="2" t="s">
        <v>24</v>
      </c>
      <c r="M1140" s="2"/>
      <c r="N1140" t="s">
        <v>8588</v>
      </c>
      <c r="O1140" s="8">
        <f t="shared" si="34"/>
        <v>2.6499999999068677</v>
      </c>
      <c r="P1140" t="str">
        <f t="shared" si="35"/>
        <v>N/A</v>
      </c>
    </row>
    <row r="1141" spans="1:16" x14ac:dyDescent="0.25">
      <c r="A1141" s="2" t="s">
        <v>3140</v>
      </c>
      <c r="B1141" s="4">
        <v>46072.285416666666</v>
      </c>
      <c r="C1141" s="2" t="s">
        <v>28</v>
      </c>
      <c r="D1141" s="2" t="s">
        <v>37</v>
      </c>
      <c r="E1141" s="2" t="s">
        <v>46</v>
      </c>
      <c r="F1141" s="2" t="s">
        <v>55</v>
      </c>
      <c r="G1141" s="2" t="s">
        <v>31</v>
      </c>
      <c r="H1141" s="2" t="s">
        <v>80</v>
      </c>
      <c r="I1141" s="2">
        <v>4</v>
      </c>
      <c r="J1141" s="2" t="s">
        <v>106</v>
      </c>
      <c r="K1141" s="4">
        <v>46072.365972222222</v>
      </c>
      <c r="L1141" s="2" t="s">
        <v>24</v>
      </c>
      <c r="M1141" s="2">
        <v>4</v>
      </c>
      <c r="N1141" t="s">
        <v>8589</v>
      </c>
      <c r="O1141" s="8">
        <f t="shared" si="34"/>
        <v>1.9333333333488554</v>
      </c>
      <c r="P1141" t="str">
        <f t="shared" si="35"/>
        <v>Yes</v>
      </c>
    </row>
    <row r="1142" spans="1:16" x14ac:dyDescent="0.25">
      <c r="A1142" s="2" t="s">
        <v>3143</v>
      </c>
      <c r="B1142" s="4">
        <v>46161.245138888888</v>
      </c>
      <c r="C1142" s="2" t="s">
        <v>67</v>
      </c>
      <c r="D1142" s="2" t="s">
        <v>95</v>
      </c>
      <c r="E1142" s="2" t="s">
        <v>85</v>
      </c>
      <c r="F1142" s="2" t="s">
        <v>30</v>
      </c>
      <c r="G1142" s="2" t="s">
        <v>179</v>
      </c>
      <c r="H1142" s="2" t="s">
        <v>21</v>
      </c>
      <c r="I1142" s="2">
        <v>24</v>
      </c>
      <c r="J1142" s="2" t="s">
        <v>75</v>
      </c>
      <c r="K1142" s="4">
        <v>46161.881249999999</v>
      </c>
      <c r="L1142" s="2" t="s">
        <v>24</v>
      </c>
      <c r="M1142" s="2">
        <v>5</v>
      </c>
      <c r="N1142" t="s">
        <v>8583</v>
      </c>
      <c r="O1142" s="8">
        <f t="shared" si="34"/>
        <v>15.266666666662786</v>
      </c>
      <c r="P1142" t="str">
        <f t="shared" si="35"/>
        <v>N/A</v>
      </c>
    </row>
    <row r="1143" spans="1:16" x14ac:dyDescent="0.25">
      <c r="A1143" s="2" t="s">
        <v>3146</v>
      </c>
      <c r="B1143" s="4">
        <v>46243.431944444441</v>
      </c>
      <c r="C1143" s="2" t="s">
        <v>28</v>
      </c>
      <c r="D1143" s="2" t="s">
        <v>100</v>
      </c>
      <c r="E1143" s="2" t="s">
        <v>90</v>
      </c>
      <c r="F1143" s="2" t="s">
        <v>96</v>
      </c>
      <c r="G1143" s="2" t="s">
        <v>110</v>
      </c>
      <c r="H1143" s="2" t="s">
        <v>32</v>
      </c>
      <c r="I1143" s="2">
        <v>48</v>
      </c>
      <c r="J1143" s="2" t="s">
        <v>11</v>
      </c>
      <c r="K1143" s="4" t="s">
        <v>8590</v>
      </c>
      <c r="L1143" s="2" t="s">
        <v>92</v>
      </c>
      <c r="M1143" s="2"/>
      <c r="N1143" t="s">
        <v>8587</v>
      </c>
      <c r="O1143" s="8" t="str">
        <f t="shared" si="34"/>
        <v/>
      </c>
      <c r="P1143" t="str">
        <f t="shared" si="35"/>
        <v>N/A</v>
      </c>
    </row>
    <row r="1144" spans="1:16" x14ac:dyDescent="0.25">
      <c r="A1144" s="2" t="s">
        <v>3148</v>
      </c>
      <c r="B1144" s="4">
        <v>46239.844444444447</v>
      </c>
      <c r="C1144" s="2" t="s">
        <v>28</v>
      </c>
      <c r="D1144" s="2" t="s">
        <v>100</v>
      </c>
      <c r="E1144" s="2" t="s">
        <v>79</v>
      </c>
      <c r="F1144" s="2" t="s">
        <v>30</v>
      </c>
      <c r="G1144" s="2" t="s">
        <v>211</v>
      </c>
      <c r="H1144" s="2" t="s">
        <v>32</v>
      </c>
      <c r="I1144" s="2">
        <v>48</v>
      </c>
      <c r="J1144" s="2" t="s">
        <v>75</v>
      </c>
      <c r="K1144" s="4">
        <v>46244.015277777777</v>
      </c>
      <c r="L1144" s="2" t="s">
        <v>92</v>
      </c>
      <c r="M1144" s="2">
        <v>5</v>
      </c>
      <c r="N1144" t="s">
        <v>8586</v>
      </c>
      <c r="O1144" s="8">
        <f t="shared" si="34"/>
        <v>100.09999999991851</v>
      </c>
      <c r="P1144" t="str">
        <f t="shared" si="35"/>
        <v>N/A</v>
      </c>
    </row>
    <row r="1145" spans="1:16" x14ac:dyDescent="0.25">
      <c r="A1145" s="2" t="s">
        <v>3151</v>
      </c>
      <c r="B1145" s="4">
        <v>46224.344444444447</v>
      </c>
      <c r="C1145" s="2" t="s">
        <v>28</v>
      </c>
      <c r="D1145" s="2" t="s">
        <v>37</v>
      </c>
      <c r="E1145" s="2" t="s">
        <v>38</v>
      </c>
      <c r="F1145" s="2" t="s">
        <v>55</v>
      </c>
      <c r="G1145" s="2" t="s">
        <v>183</v>
      </c>
      <c r="H1145" s="2" t="s">
        <v>21</v>
      </c>
      <c r="I1145" s="2">
        <v>24</v>
      </c>
      <c r="J1145" s="2" t="s">
        <v>106</v>
      </c>
      <c r="K1145" s="4">
        <v>46225.022222222222</v>
      </c>
      <c r="L1145" s="2" t="s">
        <v>24</v>
      </c>
      <c r="M1145" s="2">
        <v>1</v>
      </c>
      <c r="N1145" t="s">
        <v>8582</v>
      </c>
      <c r="O1145" s="8">
        <f t="shared" si="34"/>
        <v>16.266666666604578</v>
      </c>
      <c r="P1145" t="str">
        <f t="shared" si="35"/>
        <v>Yes</v>
      </c>
    </row>
    <row r="1146" spans="1:16" x14ac:dyDescent="0.25">
      <c r="A1146" s="2" t="s">
        <v>3154</v>
      </c>
      <c r="B1146" s="4">
        <v>46048.23541666667</v>
      </c>
      <c r="C1146" s="2" t="s">
        <v>67</v>
      </c>
      <c r="D1146" s="2" t="s">
        <v>68</v>
      </c>
      <c r="E1146" s="2" t="s">
        <v>85</v>
      </c>
      <c r="F1146" s="2" t="s">
        <v>96</v>
      </c>
      <c r="G1146" s="2" t="s">
        <v>101</v>
      </c>
      <c r="H1146" s="2" t="s">
        <v>32</v>
      </c>
      <c r="I1146" s="2">
        <v>48</v>
      </c>
      <c r="J1146" s="2" t="s">
        <v>106</v>
      </c>
      <c r="K1146" s="4">
        <v>46049.69027777778</v>
      </c>
      <c r="L1146" s="2" t="s">
        <v>24</v>
      </c>
      <c r="M1146" s="2">
        <v>4</v>
      </c>
      <c r="N1146" t="s">
        <v>8585</v>
      </c>
      <c r="O1146" s="8">
        <f t="shared" si="34"/>
        <v>34.916666666627862</v>
      </c>
      <c r="P1146" t="str">
        <f t="shared" si="35"/>
        <v>Yes</v>
      </c>
    </row>
    <row r="1147" spans="1:16" x14ac:dyDescent="0.25">
      <c r="A1147" s="2" t="s">
        <v>3157</v>
      </c>
      <c r="B1147" s="4">
        <v>46237.925000000003</v>
      </c>
      <c r="C1147" s="2" t="s">
        <v>28</v>
      </c>
      <c r="D1147" s="2" t="s">
        <v>37</v>
      </c>
      <c r="E1147" s="2" t="s">
        <v>46</v>
      </c>
      <c r="F1147" s="2" t="s">
        <v>113</v>
      </c>
      <c r="G1147" s="2" t="s">
        <v>211</v>
      </c>
      <c r="H1147" s="2" t="s">
        <v>32</v>
      </c>
      <c r="I1147" s="2">
        <v>48</v>
      </c>
      <c r="J1147" s="2" t="s">
        <v>75</v>
      </c>
      <c r="K1147" s="4">
        <v>46238.651388888888</v>
      </c>
      <c r="L1147" s="2" t="s">
        <v>24</v>
      </c>
      <c r="M1147" s="2">
        <v>5</v>
      </c>
      <c r="N1147" t="s">
        <v>8589</v>
      </c>
      <c r="O1147" s="8">
        <f t="shared" si="34"/>
        <v>17.43333333323244</v>
      </c>
      <c r="P1147" t="str">
        <f t="shared" si="35"/>
        <v>N/A</v>
      </c>
    </row>
    <row r="1148" spans="1:16" x14ac:dyDescent="0.25">
      <c r="A1148" s="2" t="s">
        <v>3160</v>
      </c>
      <c r="B1148" s="4">
        <v>46192.597916666666</v>
      </c>
      <c r="C1148" s="2" t="s">
        <v>53</v>
      </c>
      <c r="D1148" s="2" t="s">
        <v>61</v>
      </c>
      <c r="E1148" s="2" t="s">
        <v>90</v>
      </c>
      <c r="F1148" s="2" t="s">
        <v>30</v>
      </c>
      <c r="G1148" s="2" t="s">
        <v>179</v>
      </c>
      <c r="H1148" s="2" t="s">
        <v>21</v>
      </c>
      <c r="I1148" s="2">
        <v>24</v>
      </c>
      <c r="J1148" s="2" t="s">
        <v>287</v>
      </c>
      <c r="K1148" s="4" t="s">
        <v>8590</v>
      </c>
      <c r="L1148" s="2" t="s">
        <v>24</v>
      </c>
      <c r="M1148" s="2"/>
      <c r="N1148" t="s">
        <v>8588</v>
      </c>
      <c r="O1148" s="8" t="str">
        <f t="shared" si="34"/>
        <v/>
      </c>
      <c r="P1148" t="str">
        <f t="shared" si="35"/>
        <v>N/A</v>
      </c>
    </row>
    <row r="1149" spans="1:16" x14ac:dyDescent="0.25">
      <c r="A1149" s="2" t="s">
        <v>3162</v>
      </c>
      <c r="B1149" s="4">
        <v>46043.376388888886</v>
      </c>
      <c r="C1149" s="2" t="s">
        <v>67</v>
      </c>
      <c r="D1149" s="2" t="s">
        <v>68</v>
      </c>
      <c r="E1149" s="2" t="s">
        <v>18</v>
      </c>
      <c r="F1149" s="2" t="s">
        <v>96</v>
      </c>
      <c r="G1149" s="2" t="s">
        <v>211</v>
      </c>
      <c r="H1149" s="2" t="s">
        <v>74</v>
      </c>
      <c r="I1149" s="2">
        <v>8</v>
      </c>
      <c r="J1149" s="2" t="s">
        <v>75</v>
      </c>
      <c r="K1149" s="4">
        <v>46043.533333333333</v>
      </c>
      <c r="L1149" s="2" t="s">
        <v>24</v>
      </c>
      <c r="M1149" s="2">
        <v>5</v>
      </c>
      <c r="N1149" t="s">
        <v>8589</v>
      </c>
      <c r="O1149" s="8">
        <f t="shared" si="34"/>
        <v>3.7666666667209938</v>
      </c>
      <c r="P1149" t="str">
        <f t="shared" si="35"/>
        <v>N/A</v>
      </c>
    </row>
    <row r="1150" spans="1:16" x14ac:dyDescent="0.25">
      <c r="A1150" s="2" t="s">
        <v>3165</v>
      </c>
      <c r="B1150" s="4">
        <v>46095.158333333333</v>
      </c>
      <c r="C1150" s="2" t="s">
        <v>16</v>
      </c>
      <c r="D1150" s="2" t="s">
        <v>84</v>
      </c>
      <c r="E1150" s="2" t="s">
        <v>85</v>
      </c>
      <c r="F1150" s="2" t="s">
        <v>96</v>
      </c>
      <c r="G1150" s="2" t="s">
        <v>31</v>
      </c>
      <c r="H1150" s="2" t="s">
        <v>32</v>
      </c>
      <c r="I1150" s="2">
        <v>48</v>
      </c>
      <c r="J1150" s="2" t="s">
        <v>106</v>
      </c>
      <c r="K1150" s="4">
        <v>46095.400694444441</v>
      </c>
      <c r="L1150" s="2" t="s">
        <v>24</v>
      </c>
      <c r="M1150" s="2">
        <v>4</v>
      </c>
      <c r="N1150" t="s">
        <v>8581</v>
      </c>
      <c r="O1150" s="8">
        <f t="shared" si="34"/>
        <v>5.816666666592937</v>
      </c>
      <c r="P1150" t="str">
        <f t="shared" si="35"/>
        <v>Yes</v>
      </c>
    </row>
    <row r="1151" spans="1:16" x14ac:dyDescent="0.25">
      <c r="A1151" s="2" t="s">
        <v>3168</v>
      </c>
      <c r="B1151" s="4">
        <v>46210.643055555556</v>
      </c>
      <c r="C1151" s="2" t="s">
        <v>67</v>
      </c>
      <c r="D1151" s="2" t="s">
        <v>68</v>
      </c>
      <c r="E1151" s="2" t="s">
        <v>46</v>
      </c>
      <c r="F1151" s="2" t="s">
        <v>113</v>
      </c>
      <c r="G1151" s="2" t="s">
        <v>211</v>
      </c>
      <c r="H1151" s="2" t="s">
        <v>21</v>
      </c>
      <c r="I1151" s="2">
        <v>24</v>
      </c>
      <c r="J1151" s="2" t="s">
        <v>106</v>
      </c>
      <c r="K1151" s="4">
        <v>46213.251388888886</v>
      </c>
      <c r="L1151" s="2" t="s">
        <v>24</v>
      </c>
      <c r="M1151" s="2"/>
      <c r="N1151" t="s">
        <v>8583</v>
      </c>
      <c r="O1151" s="8">
        <f t="shared" si="34"/>
        <v>62.599999999918509</v>
      </c>
      <c r="P1151" t="str">
        <f t="shared" si="35"/>
        <v>No</v>
      </c>
    </row>
    <row r="1152" spans="1:16" x14ac:dyDescent="0.25">
      <c r="A1152" s="2" t="s">
        <v>3171</v>
      </c>
      <c r="B1152" s="4">
        <v>46220.667361111111</v>
      </c>
      <c r="C1152" s="2" t="s">
        <v>67</v>
      </c>
      <c r="D1152" s="2" t="s">
        <v>68</v>
      </c>
      <c r="E1152" s="2" t="s">
        <v>148</v>
      </c>
      <c r="F1152" s="2" t="s">
        <v>113</v>
      </c>
      <c r="G1152" s="2" t="s">
        <v>110</v>
      </c>
      <c r="H1152" s="2" t="s">
        <v>21</v>
      </c>
      <c r="I1152" s="2">
        <v>24</v>
      </c>
      <c r="J1152" s="2" t="s">
        <v>106</v>
      </c>
      <c r="K1152" s="4">
        <v>46221.144444444442</v>
      </c>
      <c r="L1152" s="2" t="s">
        <v>24</v>
      </c>
      <c r="M1152" s="2">
        <v>4</v>
      </c>
      <c r="N1152" t="s">
        <v>8589</v>
      </c>
      <c r="O1152" s="8">
        <f t="shared" si="34"/>
        <v>11.449999999953434</v>
      </c>
      <c r="P1152" t="str">
        <f t="shared" si="35"/>
        <v>Yes</v>
      </c>
    </row>
    <row r="1153" spans="1:16" x14ac:dyDescent="0.25">
      <c r="A1153" s="2" t="s">
        <v>3174</v>
      </c>
      <c r="B1153" s="4">
        <v>46110.180555555555</v>
      </c>
      <c r="C1153" s="2" t="s">
        <v>53</v>
      </c>
      <c r="D1153" s="2" t="s">
        <v>61</v>
      </c>
      <c r="E1153" s="2" t="s">
        <v>46</v>
      </c>
      <c r="F1153" s="2" t="s">
        <v>113</v>
      </c>
      <c r="G1153" s="2" t="s">
        <v>183</v>
      </c>
      <c r="H1153" s="2" t="s">
        <v>21</v>
      </c>
      <c r="I1153" s="2">
        <v>24</v>
      </c>
      <c r="J1153" s="2" t="s">
        <v>75</v>
      </c>
      <c r="K1153" s="4">
        <v>46110.662499999999</v>
      </c>
      <c r="L1153" s="2" t="s">
        <v>24</v>
      </c>
      <c r="M1153" s="2">
        <v>5</v>
      </c>
      <c r="N1153" t="s">
        <v>8587</v>
      </c>
      <c r="O1153" s="8">
        <f t="shared" si="34"/>
        <v>11.566666666651145</v>
      </c>
      <c r="P1153" t="str">
        <f t="shared" si="35"/>
        <v>N/A</v>
      </c>
    </row>
    <row r="1154" spans="1:16" x14ac:dyDescent="0.25">
      <c r="A1154" s="2" t="s">
        <v>3177</v>
      </c>
      <c r="B1154" s="4">
        <v>46219.711111111108</v>
      </c>
      <c r="C1154" s="2" t="s">
        <v>53</v>
      </c>
      <c r="D1154" s="2" t="s">
        <v>54</v>
      </c>
      <c r="E1154" s="2" t="s">
        <v>46</v>
      </c>
      <c r="F1154" s="2" t="s">
        <v>55</v>
      </c>
      <c r="G1154" s="2" t="s">
        <v>101</v>
      </c>
      <c r="H1154" s="2" t="s">
        <v>74</v>
      </c>
      <c r="I1154" s="2">
        <v>8</v>
      </c>
      <c r="J1154" s="2" t="s">
        <v>287</v>
      </c>
      <c r="K1154" s="4" t="s">
        <v>8590</v>
      </c>
      <c r="L1154" s="2" t="s">
        <v>24</v>
      </c>
      <c r="M1154" s="2"/>
      <c r="N1154" t="s">
        <v>8584</v>
      </c>
      <c r="O1154" s="8" t="str">
        <f t="shared" si="34"/>
        <v/>
      </c>
      <c r="P1154" t="str">
        <f t="shared" si="35"/>
        <v>N/A</v>
      </c>
    </row>
    <row r="1155" spans="1:16" x14ac:dyDescent="0.25">
      <c r="A1155" s="2" t="s">
        <v>3179</v>
      </c>
      <c r="B1155" s="4">
        <v>46120.289583333331</v>
      </c>
      <c r="C1155" s="2" t="s">
        <v>28</v>
      </c>
      <c r="D1155" s="2" t="s">
        <v>100</v>
      </c>
      <c r="E1155" s="2" t="s">
        <v>148</v>
      </c>
      <c r="F1155" s="2" t="s">
        <v>96</v>
      </c>
      <c r="G1155" s="2" t="s">
        <v>183</v>
      </c>
      <c r="H1155" s="2" t="s">
        <v>32</v>
      </c>
      <c r="I1155" s="2">
        <v>48</v>
      </c>
      <c r="J1155" s="2" t="s">
        <v>149</v>
      </c>
      <c r="K1155" s="4" t="s">
        <v>8590</v>
      </c>
      <c r="L1155" s="2" t="s">
        <v>24</v>
      </c>
      <c r="M1155" s="2"/>
      <c r="N1155" t="s">
        <v>8589</v>
      </c>
      <c r="O1155" s="8" t="str">
        <f t="shared" ref="O1155:O1218" si="36">IF(K1155="","",IF(K1155="Missing Resolve Date","",(K1155-B1155)*24))</f>
        <v/>
      </c>
      <c r="P1155" t="str">
        <f t="shared" ref="P1155:P1218" si="37">IF(J1155="Resolved",IF(O1155&lt;=I1155,"Yes","No"),"N/A")</f>
        <v>N/A</v>
      </c>
    </row>
    <row r="1156" spans="1:16" x14ac:dyDescent="0.25">
      <c r="A1156" s="2" t="s">
        <v>3181</v>
      </c>
      <c r="B1156" s="4">
        <v>46085.231249999997</v>
      </c>
      <c r="C1156" s="2" t="s">
        <v>67</v>
      </c>
      <c r="D1156" s="2" t="s">
        <v>68</v>
      </c>
      <c r="E1156" s="2" t="s">
        <v>79</v>
      </c>
      <c r="F1156" s="2" t="s">
        <v>55</v>
      </c>
      <c r="G1156" s="2" t="s">
        <v>31</v>
      </c>
      <c r="H1156" s="2" t="s">
        <v>21</v>
      </c>
      <c r="I1156" s="2">
        <v>24</v>
      </c>
      <c r="J1156" s="2" t="s">
        <v>75</v>
      </c>
      <c r="K1156" s="4">
        <v>46086.026388888888</v>
      </c>
      <c r="L1156" s="2" t="s">
        <v>24</v>
      </c>
      <c r="M1156" s="2">
        <v>4</v>
      </c>
      <c r="N1156" t="s">
        <v>8584</v>
      </c>
      <c r="O1156" s="8">
        <f t="shared" si="36"/>
        <v>19.083333333372138</v>
      </c>
      <c r="P1156" t="str">
        <f t="shared" si="37"/>
        <v>N/A</v>
      </c>
    </row>
    <row r="1157" spans="1:16" x14ac:dyDescent="0.25">
      <c r="A1157" s="2" t="s">
        <v>3184</v>
      </c>
      <c r="B1157" s="4">
        <v>46155.363194444442</v>
      </c>
      <c r="C1157" s="2" t="s">
        <v>53</v>
      </c>
      <c r="D1157" s="2" t="s">
        <v>61</v>
      </c>
      <c r="E1157" s="2" t="s">
        <v>85</v>
      </c>
      <c r="F1157" s="2" t="s">
        <v>113</v>
      </c>
      <c r="G1157" s="2" t="s">
        <v>110</v>
      </c>
      <c r="H1157" s="2" t="s">
        <v>21</v>
      </c>
      <c r="I1157" s="2">
        <v>24</v>
      </c>
      <c r="J1157" s="2" t="s">
        <v>106</v>
      </c>
      <c r="K1157" s="4">
        <v>46156.051388888889</v>
      </c>
      <c r="L1157" s="2" t="s">
        <v>24</v>
      </c>
      <c r="M1157" s="2">
        <v>5</v>
      </c>
      <c r="N1157" t="s">
        <v>8581</v>
      </c>
      <c r="O1157" s="8">
        <f t="shared" si="36"/>
        <v>16.516666666720994</v>
      </c>
      <c r="P1157" t="str">
        <f t="shared" si="37"/>
        <v>Yes</v>
      </c>
    </row>
    <row r="1158" spans="1:16" x14ac:dyDescent="0.25">
      <c r="A1158" s="2" t="s">
        <v>3187</v>
      </c>
      <c r="B1158" s="4">
        <v>46052.106944444444</v>
      </c>
      <c r="C1158" s="2" t="s">
        <v>28</v>
      </c>
      <c r="D1158" s="2" t="s">
        <v>100</v>
      </c>
      <c r="E1158" s="2" t="s">
        <v>79</v>
      </c>
      <c r="F1158" s="2" t="s">
        <v>113</v>
      </c>
      <c r="G1158" s="2" t="s">
        <v>211</v>
      </c>
      <c r="H1158" s="2" t="s">
        <v>80</v>
      </c>
      <c r="I1158" s="2">
        <v>4</v>
      </c>
      <c r="J1158" s="2" t="s">
        <v>149</v>
      </c>
      <c r="K1158" s="4" t="s">
        <v>8590</v>
      </c>
      <c r="L1158" s="2" t="s">
        <v>24</v>
      </c>
      <c r="M1158" s="2"/>
      <c r="N1158" t="s">
        <v>8586</v>
      </c>
      <c r="O1158" s="8" t="str">
        <f t="shared" si="36"/>
        <v/>
      </c>
      <c r="P1158" t="str">
        <f t="shared" si="37"/>
        <v>N/A</v>
      </c>
    </row>
    <row r="1159" spans="1:16" x14ac:dyDescent="0.25">
      <c r="A1159" s="2" t="s">
        <v>3189</v>
      </c>
      <c r="B1159" s="4">
        <v>46200.095138888886</v>
      </c>
      <c r="C1159" s="2" t="s">
        <v>67</v>
      </c>
      <c r="D1159" s="2" t="s">
        <v>95</v>
      </c>
      <c r="E1159" s="2" t="s">
        <v>46</v>
      </c>
      <c r="F1159" s="2" t="s">
        <v>113</v>
      </c>
      <c r="G1159" s="2" t="s">
        <v>179</v>
      </c>
      <c r="H1159" s="2" t="s">
        <v>21</v>
      </c>
      <c r="I1159" s="2">
        <v>24</v>
      </c>
      <c r="J1159" s="2" t="s">
        <v>11</v>
      </c>
      <c r="K1159" s="4" t="s">
        <v>8590</v>
      </c>
      <c r="L1159" s="2" t="s">
        <v>92</v>
      </c>
      <c r="M1159" s="2"/>
      <c r="N1159" t="s">
        <v>8585</v>
      </c>
      <c r="O1159" s="8" t="str">
        <f t="shared" si="36"/>
        <v/>
      </c>
      <c r="P1159" t="str">
        <f t="shared" si="37"/>
        <v>N/A</v>
      </c>
    </row>
    <row r="1160" spans="1:16" x14ac:dyDescent="0.25">
      <c r="A1160" s="2" t="s">
        <v>3191</v>
      </c>
      <c r="B1160" s="4">
        <v>46217.671527777777</v>
      </c>
      <c r="C1160" s="2" t="s">
        <v>53</v>
      </c>
      <c r="D1160" s="2" t="s">
        <v>61</v>
      </c>
      <c r="E1160" s="2" t="s">
        <v>148</v>
      </c>
      <c r="F1160" s="2" t="s">
        <v>113</v>
      </c>
      <c r="G1160" s="2" t="s">
        <v>183</v>
      </c>
      <c r="H1160" s="2" t="s">
        <v>74</v>
      </c>
      <c r="I1160" s="2">
        <v>8</v>
      </c>
      <c r="J1160" s="2" t="s">
        <v>75</v>
      </c>
      <c r="K1160" s="4">
        <v>46217.751388888886</v>
      </c>
      <c r="L1160" s="2" t="s">
        <v>24</v>
      </c>
      <c r="M1160" s="2">
        <v>4</v>
      </c>
      <c r="N1160" t="s">
        <v>8583</v>
      </c>
      <c r="O1160" s="8">
        <f t="shared" si="36"/>
        <v>1.9166666666278616</v>
      </c>
      <c r="P1160" t="str">
        <f t="shared" si="37"/>
        <v>N/A</v>
      </c>
    </row>
    <row r="1161" spans="1:16" x14ac:dyDescent="0.25">
      <c r="A1161" s="2" t="s">
        <v>3194</v>
      </c>
      <c r="B1161" s="4">
        <v>46042.472916666666</v>
      </c>
      <c r="C1161" s="2" t="s">
        <v>16</v>
      </c>
      <c r="D1161" s="2" t="s">
        <v>17</v>
      </c>
      <c r="E1161" s="2" t="s">
        <v>79</v>
      </c>
      <c r="F1161" s="2" t="s">
        <v>30</v>
      </c>
      <c r="G1161" s="2" t="s">
        <v>31</v>
      </c>
      <c r="H1161" s="2" t="s">
        <v>21</v>
      </c>
      <c r="I1161" s="2">
        <v>24</v>
      </c>
      <c r="J1161" s="2" t="s">
        <v>106</v>
      </c>
      <c r="K1161" s="4">
        <v>46042.518750000003</v>
      </c>
      <c r="L1161" s="2" t="s">
        <v>24</v>
      </c>
      <c r="M1161" s="2"/>
      <c r="N1161" t="s">
        <v>8586</v>
      </c>
      <c r="O1161" s="8">
        <f t="shared" si="36"/>
        <v>1.1000000000931323</v>
      </c>
      <c r="P1161" t="str">
        <f t="shared" si="37"/>
        <v>Yes</v>
      </c>
    </row>
    <row r="1162" spans="1:16" x14ac:dyDescent="0.25">
      <c r="A1162" s="2" t="s">
        <v>3197</v>
      </c>
      <c r="B1162" s="4">
        <v>46115.677777777775</v>
      </c>
      <c r="C1162" s="2" t="s">
        <v>67</v>
      </c>
      <c r="D1162" s="2" t="s">
        <v>68</v>
      </c>
      <c r="E1162" s="2" t="s">
        <v>38</v>
      </c>
      <c r="F1162" s="2" t="s">
        <v>30</v>
      </c>
      <c r="G1162" s="2" t="s">
        <v>31</v>
      </c>
      <c r="H1162" s="2" t="s">
        <v>80</v>
      </c>
      <c r="I1162" s="2">
        <v>4</v>
      </c>
      <c r="J1162" s="2" t="s">
        <v>75</v>
      </c>
      <c r="K1162" s="4">
        <v>46115.761805555558</v>
      </c>
      <c r="L1162" s="2" t="s">
        <v>24</v>
      </c>
      <c r="M1162" s="2">
        <v>5</v>
      </c>
      <c r="N1162" t="s">
        <v>8589</v>
      </c>
      <c r="O1162" s="8">
        <f t="shared" si="36"/>
        <v>2.0166666667792015</v>
      </c>
      <c r="P1162" t="str">
        <f t="shared" si="37"/>
        <v>N/A</v>
      </c>
    </row>
    <row r="1163" spans="1:16" x14ac:dyDescent="0.25">
      <c r="A1163" s="2" t="s">
        <v>3200</v>
      </c>
      <c r="B1163" s="4">
        <v>46172.289583333331</v>
      </c>
      <c r="C1163" s="2" t="s">
        <v>67</v>
      </c>
      <c r="D1163" s="2" t="s">
        <v>68</v>
      </c>
      <c r="E1163" s="2" t="s">
        <v>90</v>
      </c>
      <c r="F1163" s="2" t="s">
        <v>113</v>
      </c>
      <c r="G1163" s="2" t="s">
        <v>110</v>
      </c>
      <c r="H1163" s="2" t="s">
        <v>32</v>
      </c>
      <c r="I1163" s="2">
        <v>48</v>
      </c>
      <c r="J1163" s="2" t="s">
        <v>75</v>
      </c>
      <c r="K1163" s="4">
        <v>46172.613888888889</v>
      </c>
      <c r="L1163" s="2" t="s">
        <v>24</v>
      </c>
      <c r="M1163" s="2">
        <v>4</v>
      </c>
      <c r="N1163" t="s">
        <v>8582</v>
      </c>
      <c r="O1163" s="8">
        <f t="shared" si="36"/>
        <v>7.78333333338378</v>
      </c>
      <c r="P1163" t="str">
        <f t="shared" si="37"/>
        <v>N/A</v>
      </c>
    </row>
    <row r="1164" spans="1:16" x14ac:dyDescent="0.25">
      <c r="A1164" s="2" t="s">
        <v>3203</v>
      </c>
      <c r="B1164" s="4">
        <v>46198.09652777778</v>
      </c>
      <c r="C1164" s="2" t="s">
        <v>28</v>
      </c>
      <c r="D1164" s="2" t="s">
        <v>37</v>
      </c>
      <c r="E1164" s="2" t="s">
        <v>79</v>
      </c>
      <c r="F1164" s="2" t="s">
        <v>30</v>
      </c>
      <c r="G1164" s="2" t="s">
        <v>31</v>
      </c>
      <c r="H1164" s="2" t="s">
        <v>74</v>
      </c>
      <c r="I1164" s="2">
        <v>8</v>
      </c>
      <c r="J1164" s="2" t="s">
        <v>75</v>
      </c>
      <c r="K1164" s="4" t="s">
        <v>8590</v>
      </c>
      <c r="L1164" s="2" t="s">
        <v>24</v>
      </c>
      <c r="M1164" s="2">
        <v>5</v>
      </c>
      <c r="N1164" t="s">
        <v>8583</v>
      </c>
      <c r="O1164" s="8" t="str">
        <f t="shared" si="36"/>
        <v/>
      </c>
      <c r="P1164" t="str">
        <f t="shared" si="37"/>
        <v>N/A</v>
      </c>
    </row>
    <row r="1165" spans="1:16" x14ac:dyDescent="0.25">
      <c r="A1165" s="2" t="s">
        <v>3205</v>
      </c>
      <c r="B1165" s="4">
        <v>46054.231249999997</v>
      </c>
      <c r="C1165" s="2" t="s">
        <v>28</v>
      </c>
      <c r="D1165" s="2" t="s">
        <v>37</v>
      </c>
      <c r="E1165" s="2" t="s">
        <v>90</v>
      </c>
      <c r="F1165" s="2" t="s">
        <v>55</v>
      </c>
      <c r="G1165" s="2" t="s">
        <v>211</v>
      </c>
      <c r="H1165" s="2" t="s">
        <v>21</v>
      </c>
      <c r="I1165" s="2">
        <v>24</v>
      </c>
      <c r="J1165" s="2" t="s">
        <v>106</v>
      </c>
      <c r="K1165" s="4">
        <v>46056.696527777778</v>
      </c>
      <c r="L1165" s="2" t="s">
        <v>24</v>
      </c>
      <c r="M1165" s="2">
        <v>5</v>
      </c>
      <c r="N1165" t="s">
        <v>8589</v>
      </c>
      <c r="O1165" s="8">
        <f t="shared" si="36"/>
        <v>59.166666666744277</v>
      </c>
      <c r="P1165" t="str">
        <f t="shared" si="37"/>
        <v>No</v>
      </c>
    </row>
    <row r="1166" spans="1:16" x14ac:dyDescent="0.25">
      <c r="A1166" s="2" t="s">
        <v>3208</v>
      </c>
      <c r="B1166" s="4">
        <v>46108.148611111108</v>
      </c>
      <c r="C1166" s="2" t="s">
        <v>16</v>
      </c>
      <c r="D1166" s="2" t="s">
        <v>17</v>
      </c>
      <c r="E1166" s="2" t="s">
        <v>79</v>
      </c>
      <c r="F1166" s="2" t="s">
        <v>30</v>
      </c>
      <c r="G1166" s="2" t="s">
        <v>183</v>
      </c>
      <c r="H1166" s="2" t="s">
        <v>32</v>
      </c>
      <c r="I1166" s="2">
        <v>48</v>
      </c>
      <c r="J1166" s="2" t="s">
        <v>106</v>
      </c>
      <c r="K1166" s="4">
        <v>46109.814583333333</v>
      </c>
      <c r="L1166" s="2" t="s">
        <v>24</v>
      </c>
      <c r="M1166" s="2"/>
      <c r="N1166" t="s">
        <v>8589</v>
      </c>
      <c r="O1166" s="8">
        <f t="shared" si="36"/>
        <v>39.983333333395422</v>
      </c>
      <c r="P1166" t="str">
        <f t="shared" si="37"/>
        <v>Yes</v>
      </c>
    </row>
    <row r="1167" spans="1:16" x14ac:dyDescent="0.25">
      <c r="A1167" s="2" t="s">
        <v>3211</v>
      </c>
      <c r="B1167" s="4">
        <v>46047.743055555555</v>
      </c>
      <c r="C1167" s="2" t="s">
        <v>16</v>
      </c>
      <c r="D1167" s="2" t="s">
        <v>84</v>
      </c>
      <c r="E1167" s="2" t="s">
        <v>85</v>
      </c>
      <c r="F1167" s="2" t="s">
        <v>96</v>
      </c>
      <c r="G1167" s="2" t="s">
        <v>183</v>
      </c>
      <c r="H1167" s="2" t="s">
        <v>80</v>
      </c>
      <c r="I1167" s="2">
        <v>4</v>
      </c>
      <c r="J1167" s="2" t="s">
        <v>106</v>
      </c>
      <c r="K1167" s="4">
        <v>46048.06527777778</v>
      </c>
      <c r="L1167" s="2" t="s">
        <v>24</v>
      </c>
      <c r="M1167" s="2">
        <v>3</v>
      </c>
      <c r="N1167" t="s">
        <v>8581</v>
      </c>
      <c r="O1167" s="8">
        <f t="shared" si="36"/>
        <v>7.7333333333954215</v>
      </c>
      <c r="P1167" t="str">
        <f t="shared" si="37"/>
        <v>No</v>
      </c>
    </row>
    <row r="1168" spans="1:16" x14ac:dyDescent="0.25">
      <c r="A1168" s="2" t="s">
        <v>3214</v>
      </c>
      <c r="B1168" s="4">
        <v>46163.523611111108</v>
      </c>
      <c r="C1168" s="2" t="s">
        <v>28</v>
      </c>
      <c r="D1168" s="2" t="s">
        <v>100</v>
      </c>
      <c r="E1168" s="2" t="s">
        <v>18</v>
      </c>
      <c r="F1168" s="2" t="s">
        <v>96</v>
      </c>
      <c r="G1168" s="2" t="s">
        <v>211</v>
      </c>
      <c r="H1168" s="2" t="s">
        <v>74</v>
      </c>
      <c r="I1168" s="2">
        <v>8</v>
      </c>
      <c r="J1168" s="2" t="s">
        <v>106</v>
      </c>
      <c r="K1168" s="4">
        <v>46163.779166666667</v>
      </c>
      <c r="L1168" s="2" t="s">
        <v>24</v>
      </c>
      <c r="M1168" s="2">
        <v>4</v>
      </c>
      <c r="N1168" t="s">
        <v>8583</v>
      </c>
      <c r="O1168" s="8">
        <f t="shared" si="36"/>
        <v>6.1333333334187046</v>
      </c>
      <c r="P1168" t="str">
        <f t="shared" si="37"/>
        <v>Yes</v>
      </c>
    </row>
    <row r="1169" spans="1:16" x14ac:dyDescent="0.25">
      <c r="A1169" s="2" t="s">
        <v>3217</v>
      </c>
      <c r="B1169" s="4">
        <v>46109.9</v>
      </c>
      <c r="C1169" s="2" t="s">
        <v>28</v>
      </c>
      <c r="D1169" s="2" t="s">
        <v>100</v>
      </c>
      <c r="E1169" s="2" t="s">
        <v>38</v>
      </c>
      <c r="F1169" s="2" t="s">
        <v>96</v>
      </c>
      <c r="G1169" s="2" t="s">
        <v>110</v>
      </c>
      <c r="H1169" s="2" t="s">
        <v>74</v>
      </c>
      <c r="I1169" s="2">
        <v>8</v>
      </c>
      <c r="J1169" s="2" t="s">
        <v>106</v>
      </c>
      <c r="K1169" s="4">
        <v>46110.56527777778</v>
      </c>
      <c r="L1169" s="2" t="s">
        <v>24</v>
      </c>
      <c r="M1169" s="2">
        <v>4</v>
      </c>
      <c r="N1169" t="s">
        <v>8583</v>
      </c>
      <c r="O1169" s="8">
        <f t="shared" si="36"/>
        <v>15.966666666674428</v>
      </c>
      <c r="P1169" t="str">
        <f t="shared" si="37"/>
        <v>No</v>
      </c>
    </row>
    <row r="1170" spans="1:16" x14ac:dyDescent="0.25">
      <c r="A1170" s="2" t="s">
        <v>3220</v>
      </c>
      <c r="B1170" s="4">
        <v>46120.854861111111</v>
      </c>
      <c r="C1170" s="2" t="s">
        <v>28</v>
      </c>
      <c r="D1170" s="2" t="s">
        <v>37</v>
      </c>
      <c r="E1170" s="2" t="s">
        <v>18</v>
      </c>
      <c r="F1170" s="2" t="s">
        <v>30</v>
      </c>
      <c r="G1170" s="2" t="s">
        <v>179</v>
      </c>
      <c r="H1170" s="2" t="s">
        <v>32</v>
      </c>
      <c r="I1170" s="2">
        <v>48</v>
      </c>
      <c r="J1170" s="2" t="s">
        <v>106</v>
      </c>
      <c r="K1170" s="4" t="s">
        <v>8590</v>
      </c>
      <c r="L1170" s="2" t="s">
        <v>24</v>
      </c>
      <c r="M1170" s="2">
        <v>1</v>
      </c>
      <c r="N1170" t="s">
        <v>8589</v>
      </c>
      <c r="O1170" s="8" t="str">
        <f t="shared" si="36"/>
        <v/>
      </c>
      <c r="P1170" t="str">
        <f t="shared" si="37"/>
        <v>No</v>
      </c>
    </row>
    <row r="1171" spans="1:16" x14ac:dyDescent="0.25">
      <c r="A1171" s="2" t="s">
        <v>3222</v>
      </c>
      <c r="B1171" s="4">
        <v>46261.177777777775</v>
      </c>
      <c r="C1171" s="2" t="s">
        <v>28</v>
      </c>
      <c r="D1171" s="2" t="s">
        <v>37</v>
      </c>
      <c r="E1171" s="2" t="s">
        <v>79</v>
      </c>
      <c r="F1171" s="2" t="s">
        <v>96</v>
      </c>
      <c r="G1171" s="2" t="s">
        <v>211</v>
      </c>
      <c r="H1171" s="2" t="s">
        <v>32</v>
      </c>
      <c r="I1171" s="2">
        <v>48</v>
      </c>
      <c r="J1171" s="2" t="s">
        <v>106</v>
      </c>
      <c r="K1171" s="4" t="s">
        <v>8590</v>
      </c>
      <c r="L1171" s="2" t="s">
        <v>24</v>
      </c>
      <c r="M1171" s="2"/>
      <c r="N1171" t="s">
        <v>8587</v>
      </c>
      <c r="O1171" s="8" t="str">
        <f t="shared" si="36"/>
        <v/>
      </c>
      <c r="P1171" t="str">
        <f t="shared" si="37"/>
        <v>No</v>
      </c>
    </row>
    <row r="1172" spans="1:16" x14ac:dyDescent="0.25">
      <c r="A1172" s="2" t="s">
        <v>3224</v>
      </c>
      <c r="B1172" s="4">
        <v>46124.61041666667</v>
      </c>
      <c r="C1172" s="2" t="s">
        <v>16</v>
      </c>
      <c r="D1172" s="2" t="s">
        <v>84</v>
      </c>
      <c r="E1172" s="2" t="s">
        <v>38</v>
      </c>
      <c r="F1172" s="2" t="s">
        <v>96</v>
      </c>
      <c r="G1172" s="2" t="s">
        <v>179</v>
      </c>
      <c r="H1172" s="2" t="s">
        <v>80</v>
      </c>
      <c r="I1172" s="2">
        <v>4</v>
      </c>
      <c r="J1172" s="2" t="s">
        <v>106</v>
      </c>
      <c r="K1172" s="4">
        <v>46124.732638888891</v>
      </c>
      <c r="L1172" s="2" t="s">
        <v>24</v>
      </c>
      <c r="M1172" s="2">
        <v>1</v>
      </c>
      <c r="N1172" t="s">
        <v>8583</v>
      </c>
      <c r="O1172" s="8">
        <f t="shared" si="36"/>
        <v>2.9333333332906477</v>
      </c>
      <c r="P1172" t="str">
        <f t="shared" si="37"/>
        <v>Yes</v>
      </c>
    </row>
    <row r="1173" spans="1:16" x14ac:dyDescent="0.25">
      <c r="A1173" s="2" t="s">
        <v>3227</v>
      </c>
      <c r="B1173" s="4">
        <v>46137.100694444445</v>
      </c>
      <c r="C1173" s="2" t="s">
        <v>67</v>
      </c>
      <c r="D1173" s="2" t="s">
        <v>95</v>
      </c>
      <c r="E1173" s="2" t="s">
        <v>18</v>
      </c>
      <c r="F1173" s="2" t="s">
        <v>55</v>
      </c>
      <c r="G1173" s="2" t="s">
        <v>110</v>
      </c>
      <c r="H1173" s="2" t="s">
        <v>32</v>
      </c>
      <c r="I1173" s="2">
        <v>48</v>
      </c>
      <c r="J1173" s="2" t="s">
        <v>75</v>
      </c>
      <c r="K1173" s="4">
        <v>46141.163888888892</v>
      </c>
      <c r="L1173" s="2" t="s">
        <v>24</v>
      </c>
      <c r="M1173" s="2">
        <v>4</v>
      </c>
      <c r="N1173" t="s">
        <v>8589</v>
      </c>
      <c r="O1173" s="8">
        <f t="shared" si="36"/>
        <v>97.516666666720994</v>
      </c>
      <c r="P1173" t="str">
        <f t="shared" si="37"/>
        <v>N/A</v>
      </c>
    </row>
    <row r="1174" spans="1:16" x14ac:dyDescent="0.25">
      <c r="A1174" s="2" t="s">
        <v>3230</v>
      </c>
      <c r="B1174" s="4">
        <v>46206.582638888889</v>
      </c>
      <c r="C1174" s="2" t="s">
        <v>28</v>
      </c>
      <c r="D1174" s="2" t="s">
        <v>100</v>
      </c>
      <c r="E1174" s="2" t="s">
        <v>85</v>
      </c>
      <c r="F1174" s="2" t="s">
        <v>96</v>
      </c>
      <c r="G1174" s="2" t="s">
        <v>31</v>
      </c>
      <c r="H1174" s="2" t="s">
        <v>74</v>
      </c>
      <c r="I1174" s="2">
        <v>8</v>
      </c>
      <c r="J1174" s="2" t="s">
        <v>106</v>
      </c>
      <c r="K1174" s="4">
        <v>46206.775694444441</v>
      </c>
      <c r="L1174" s="2" t="s">
        <v>24</v>
      </c>
      <c r="M1174" s="2">
        <v>4</v>
      </c>
      <c r="N1174" t="s">
        <v>8588</v>
      </c>
      <c r="O1174" s="8">
        <f t="shared" si="36"/>
        <v>4.6333333332440816</v>
      </c>
      <c r="P1174" t="str">
        <f t="shared" si="37"/>
        <v>Yes</v>
      </c>
    </row>
    <row r="1175" spans="1:16" x14ac:dyDescent="0.25">
      <c r="A1175" s="2" t="s">
        <v>3233</v>
      </c>
      <c r="B1175" s="4">
        <v>46198.681250000001</v>
      </c>
      <c r="C1175" s="2" t="s">
        <v>67</v>
      </c>
      <c r="D1175" s="2" t="s">
        <v>95</v>
      </c>
      <c r="E1175" s="2" t="s">
        <v>79</v>
      </c>
      <c r="F1175" s="2" t="s">
        <v>96</v>
      </c>
      <c r="G1175" s="2" t="s">
        <v>101</v>
      </c>
      <c r="H1175" s="2" t="s">
        <v>32</v>
      </c>
      <c r="I1175" s="2">
        <v>48</v>
      </c>
      <c r="J1175" s="2" t="s">
        <v>287</v>
      </c>
      <c r="K1175" s="4" t="s">
        <v>8590</v>
      </c>
      <c r="L1175" s="2" t="s">
        <v>24</v>
      </c>
      <c r="M1175" s="2"/>
      <c r="N1175" t="s">
        <v>8589</v>
      </c>
      <c r="O1175" s="8" t="str">
        <f t="shared" si="36"/>
        <v/>
      </c>
      <c r="P1175" t="str">
        <f t="shared" si="37"/>
        <v>N/A</v>
      </c>
    </row>
    <row r="1176" spans="1:16" x14ac:dyDescent="0.25">
      <c r="A1176" s="2" t="s">
        <v>3235</v>
      </c>
      <c r="B1176" s="4">
        <v>46088.821527777778</v>
      </c>
      <c r="C1176" s="2" t="s">
        <v>67</v>
      </c>
      <c r="D1176" s="2" t="s">
        <v>68</v>
      </c>
      <c r="E1176" s="2" t="s">
        <v>38</v>
      </c>
      <c r="F1176" s="2" t="s">
        <v>113</v>
      </c>
      <c r="G1176" s="2" t="s">
        <v>110</v>
      </c>
      <c r="H1176" s="2" t="s">
        <v>21</v>
      </c>
      <c r="I1176" s="2">
        <v>24</v>
      </c>
      <c r="J1176" s="2" t="s">
        <v>106</v>
      </c>
      <c r="K1176" s="4">
        <v>46089.212500000001</v>
      </c>
      <c r="L1176" s="2" t="s">
        <v>24</v>
      </c>
      <c r="M1176" s="2">
        <v>4</v>
      </c>
      <c r="N1176" t="s">
        <v>8589</v>
      </c>
      <c r="O1176" s="8">
        <f t="shared" si="36"/>
        <v>9.3833333333604969</v>
      </c>
      <c r="P1176" t="str">
        <f t="shared" si="37"/>
        <v>Yes</v>
      </c>
    </row>
    <row r="1177" spans="1:16" x14ac:dyDescent="0.25">
      <c r="A1177" s="2" t="s">
        <v>3238</v>
      </c>
      <c r="B1177" s="4">
        <v>46159.772222222222</v>
      </c>
      <c r="C1177" s="2" t="s">
        <v>53</v>
      </c>
      <c r="D1177" s="2" t="s">
        <v>61</v>
      </c>
      <c r="E1177" s="2" t="s">
        <v>46</v>
      </c>
      <c r="F1177" s="2" t="s">
        <v>113</v>
      </c>
      <c r="G1177" s="2" t="s">
        <v>110</v>
      </c>
      <c r="H1177" s="2" t="s">
        <v>21</v>
      </c>
      <c r="I1177" s="2">
        <v>24</v>
      </c>
      <c r="J1177" s="2" t="s">
        <v>11</v>
      </c>
      <c r="K1177" s="4" t="s">
        <v>8590</v>
      </c>
      <c r="L1177" s="2" t="s">
        <v>92</v>
      </c>
      <c r="M1177" s="2"/>
      <c r="N1177" t="s">
        <v>8586</v>
      </c>
      <c r="O1177" s="8" t="str">
        <f t="shared" si="36"/>
        <v/>
      </c>
      <c r="P1177" t="str">
        <f t="shared" si="37"/>
        <v>N/A</v>
      </c>
    </row>
    <row r="1178" spans="1:16" x14ac:dyDescent="0.25">
      <c r="A1178" s="2" t="s">
        <v>3240</v>
      </c>
      <c r="B1178" s="4">
        <v>46079.990277777775</v>
      </c>
      <c r="C1178" s="2" t="s">
        <v>16</v>
      </c>
      <c r="D1178" s="2" t="s">
        <v>17</v>
      </c>
      <c r="E1178" s="2" t="s">
        <v>18</v>
      </c>
      <c r="F1178" s="2" t="s">
        <v>30</v>
      </c>
      <c r="G1178" s="2" t="s">
        <v>101</v>
      </c>
      <c r="H1178" s="2" t="s">
        <v>21</v>
      </c>
      <c r="I1178" s="2">
        <v>24</v>
      </c>
      <c r="J1178" s="2" t="s">
        <v>287</v>
      </c>
      <c r="K1178" s="4" t="s">
        <v>8590</v>
      </c>
      <c r="L1178" s="2" t="s">
        <v>92</v>
      </c>
      <c r="M1178" s="2"/>
      <c r="N1178" t="s">
        <v>8584</v>
      </c>
      <c r="O1178" s="8" t="str">
        <f t="shared" si="36"/>
        <v/>
      </c>
      <c r="P1178" t="str">
        <f t="shared" si="37"/>
        <v>N/A</v>
      </c>
    </row>
    <row r="1179" spans="1:16" x14ac:dyDescent="0.25">
      <c r="A1179" s="2" t="s">
        <v>3242</v>
      </c>
      <c r="B1179" s="4">
        <v>46139.377083333333</v>
      </c>
      <c r="C1179" s="2" t="s">
        <v>67</v>
      </c>
      <c r="D1179" s="2" t="s">
        <v>68</v>
      </c>
      <c r="E1179" s="2" t="s">
        <v>85</v>
      </c>
      <c r="F1179" s="2" t="s">
        <v>55</v>
      </c>
      <c r="G1179" s="2" t="s">
        <v>110</v>
      </c>
      <c r="H1179" s="2" t="s">
        <v>32</v>
      </c>
      <c r="I1179" s="2">
        <v>48</v>
      </c>
      <c r="J1179" s="2" t="s">
        <v>106</v>
      </c>
      <c r="K1179" s="4">
        <v>46139.802083333336</v>
      </c>
      <c r="L1179" s="2" t="s">
        <v>24</v>
      </c>
      <c r="M1179" s="2">
        <v>4</v>
      </c>
      <c r="N1179" t="s">
        <v>8583</v>
      </c>
      <c r="O1179" s="8">
        <f t="shared" si="36"/>
        <v>10.200000000069849</v>
      </c>
      <c r="P1179" t="str">
        <f t="shared" si="37"/>
        <v>Yes</v>
      </c>
    </row>
    <row r="1180" spans="1:16" x14ac:dyDescent="0.25">
      <c r="A1180" s="2" t="s">
        <v>3245</v>
      </c>
      <c r="B1180" s="4">
        <v>46124.277777777781</v>
      </c>
      <c r="C1180" s="2" t="s">
        <v>16</v>
      </c>
      <c r="D1180" s="2" t="s">
        <v>84</v>
      </c>
      <c r="E1180" s="2" t="s">
        <v>85</v>
      </c>
      <c r="F1180" s="2" t="s">
        <v>30</v>
      </c>
      <c r="G1180" s="2" t="s">
        <v>179</v>
      </c>
      <c r="H1180" s="2" t="s">
        <v>74</v>
      </c>
      <c r="I1180" s="2">
        <v>8</v>
      </c>
      <c r="J1180" s="2" t="s">
        <v>106</v>
      </c>
      <c r="K1180" s="4">
        <v>46124.699305555558</v>
      </c>
      <c r="L1180" s="2" t="s">
        <v>24</v>
      </c>
      <c r="M1180" s="2"/>
      <c r="N1180" t="s">
        <v>8589</v>
      </c>
      <c r="O1180" s="8">
        <f t="shared" si="36"/>
        <v>10.116666666639503</v>
      </c>
      <c r="P1180" t="str">
        <f t="shared" si="37"/>
        <v>No</v>
      </c>
    </row>
    <row r="1181" spans="1:16" x14ac:dyDescent="0.25">
      <c r="A1181" s="2" t="s">
        <v>3248</v>
      </c>
      <c r="B1181" s="4">
        <v>46140.269444444442</v>
      </c>
      <c r="C1181" s="2" t="s">
        <v>53</v>
      </c>
      <c r="D1181" s="2" t="s">
        <v>54</v>
      </c>
      <c r="E1181" s="2" t="s">
        <v>85</v>
      </c>
      <c r="F1181" s="2" t="s">
        <v>113</v>
      </c>
      <c r="G1181" s="2" t="s">
        <v>179</v>
      </c>
      <c r="H1181" s="2" t="s">
        <v>74</v>
      </c>
      <c r="I1181" s="2">
        <v>8</v>
      </c>
      <c r="J1181" s="2" t="s">
        <v>75</v>
      </c>
      <c r="K1181" s="4" t="s">
        <v>8590</v>
      </c>
      <c r="L1181" s="2" t="s">
        <v>24</v>
      </c>
      <c r="M1181" s="2"/>
      <c r="N1181" t="s">
        <v>8585</v>
      </c>
      <c r="O1181" s="8" t="str">
        <f t="shared" si="36"/>
        <v/>
      </c>
      <c r="P1181" t="str">
        <f t="shared" si="37"/>
        <v>N/A</v>
      </c>
    </row>
    <row r="1182" spans="1:16" x14ac:dyDescent="0.25">
      <c r="A1182" s="2" t="s">
        <v>3250</v>
      </c>
      <c r="B1182" s="4">
        <v>46024.704861111109</v>
      </c>
      <c r="C1182" s="2" t="s">
        <v>28</v>
      </c>
      <c r="D1182" s="2" t="s">
        <v>37</v>
      </c>
      <c r="E1182" s="2" t="s">
        <v>46</v>
      </c>
      <c r="F1182" s="2" t="s">
        <v>55</v>
      </c>
      <c r="G1182" s="2" t="s">
        <v>101</v>
      </c>
      <c r="H1182" s="2" t="s">
        <v>74</v>
      </c>
      <c r="I1182" s="2">
        <v>8</v>
      </c>
      <c r="J1182" s="2" t="s">
        <v>11</v>
      </c>
      <c r="K1182" s="4" t="s">
        <v>8590</v>
      </c>
      <c r="L1182" s="2" t="s">
        <v>92</v>
      </c>
      <c r="M1182" s="2"/>
      <c r="N1182" t="s">
        <v>8585</v>
      </c>
      <c r="O1182" s="8" t="str">
        <f t="shared" si="36"/>
        <v/>
      </c>
      <c r="P1182" t="str">
        <f t="shared" si="37"/>
        <v>N/A</v>
      </c>
    </row>
    <row r="1183" spans="1:16" x14ac:dyDescent="0.25">
      <c r="A1183" s="2" t="s">
        <v>3252</v>
      </c>
      <c r="B1183" s="4">
        <v>46077.888194444444</v>
      </c>
      <c r="C1183" s="2" t="s">
        <v>16</v>
      </c>
      <c r="D1183" s="2" t="s">
        <v>84</v>
      </c>
      <c r="E1183" s="2" t="s">
        <v>38</v>
      </c>
      <c r="F1183" s="2" t="s">
        <v>30</v>
      </c>
      <c r="G1183" s="2" t="s">
        <v>211</v>
      </c>
      <c r="H1183" s="2" t="s">
        <v>32</v>
      </c>
      <c r="I1183" s="2">
        <v>48</v>
      </c>
      <c r="J1183" s="2" t="s">
        <v>287</v>
      </c>
      <c r="K1183" s="4" t="s">
        <v>8590</v>
      </c>
      <c r="L1183" s="2" t="s">
        <v>24</v>
      </c>
      <c r="M1183" s="2"/>
      <c r="N1183" t="s">
        <v>8584</v>
      </c>
      <c r="O1183" s="8" t="str">
        <f t="shared" si="36"/>
        <v/>
      </c>
      <c r="P1183" t="str">
        <f t="shared" si="37"/>
        <v>N/A</v>
      </c>
    </row>
    <row r="1184" spans="1:16" x14ac:dyDescent="0.25">
      <c r="A1184" s="2" t="s">
        <v>3254</v>
      </c>
      <c r="B1184" s="4">
        <v>46215.147916666669</v>
      </c>
      <c r="C1184" s="2" t="s">
        <v>53</v>
      </c>
      <c r="D1184" s="2" t="s">
        <v>61</v>
      </c>
      <c r="E1184" s="2" t="s">
        <v>148</v>
      </c>
      <c r="F1184" s="2" t="s">
        <v>113</v>
      </c>
      <c r="G1184" s="2" t="s">
        <v>183</v>
      </c>
      <c r="H1184" s="2" t="s">
        <v>74</v>
      </c>
      <c r="I1184" s="2">
        <v>8</v>
      </c>
      <c r="J1184" s="2" t="s">
        <v>287</v>
      </c>
      <c r="K1184" s="4" t="s">
        <v>8590</v>
      </c>
      <c r="L1184" s="2" t="s">
        <v>24</v>
      </c>
      <c r="M1184" s="2"/>
      <c r="N1184" t="s">
        <v>8589</v>
      </c>
      <c r="O1184" s="8" t="str">
        <f t="shared" si="36"/>
        <v/>
      </c>
      <c r="P1184" t="str">
        <f t="shared" si="37"/>
        <v>N/A</v>
      </c>
    </row>
    <row r="1185" spans="1:16" x14ac:dyDescent="0.25">
      <c r="A1185" s="2" t="s">
        <v>3256</v>
      </c>
      <c r="B1185" s="4">
        <v>46041.04583333333</v>
      </c>
      <c r="C1185" s="2" t="s">
        <v>53</v>
      </c>
      <c r="D1185" s="2" t="s">
        <v>61</v>
      </c>
      <c r="E1185" s="2" t="s">
        <v>85</v>
      </c>
      <c r="F1185" s="2" t="s">
        <v>30</v>
      </c>
      <c r="G1185" s="2" t="s">
        <v>179</v>
      </c>
      <c r="H1185" s="2" t="s">
        <v>74</v>
      </c>
      <c r="I1185" s="2">
        <v>8</v>
      </c>
      <c r="J1185" s="2" t="s">
        <v>149</v>
      </c>
      <c r="K1185" s="4" t="s">
        <v>8590</v>
      </c>
      <c r="L1185" s="2" t="s">
        <v>24</v>
      </c>
      <c r="M1185" s="2"/>
      <c r="N1185" t="s">
        <v>8581</v>
      </c>
      <c r="O1185" s="8" t="str">
        <f t="shared" si="36"/>
        <v/>
      </c>
      <c r="P1185" t="str">
        <f t="shared" si="37"/>
        <v>N/A</v>
      </c>
    </row>
    <row r="1186" spans="1:16" x14ac:dyDescent="0.25">
      <c r="A1186" s="2" t="s">
        <v>3258</v>
      </c>
      <c r="B1186" s="4">
        <v>46189.795138888891</v>
      </c>
      <c r="C1186" s="2" t="s">
        <v>16</v>
      </c>
      <c r="D1186" s="2" t="s">
        <v>84</v>
      </c>
      <c r="E1186" s="2" t="s">
        <v>18</v>
      </c>
      <c r="F1186" s="2" t="s">
        <v>30</v>
      </c>
      <c r="G1186" s="2" t="s">
        <v>101</v>
      </c>
      <c r="H1186" s="2" t="s">
        <v>74</v>
      </c>
      <c r="I1186" s="2">
        <v>8</v>
      </c>
      <c r="J1186" s="2" t="s">
        <v>287</v>
      </c>
      <c r="K1186" s="4" t="s">
        <v>8590</v>
      </c>
      <c r="L1186" s="2" t="s">
        <v>24</v>
      </c>
      <c r="M1186" s="2"/>
      <c r="N1186" t="s">
        <v>8586</v>
      </c>
      <c r="O1186" s="8" t="str">
        <f t="shared" si="36"/>
        <v/>
      </c>
      <c r="P1186" t="str">
        <f t="shared" si="37"/>
        <v>N/A</v>
      </c>
    </row>
    <row r="1187" spans="1:16" x14ac:dyDescent="0.25">
      <c r="A1187" s="2" t="s">
        <v>3260</v>
      </c>
      <c r="B1187" s="4">
        <v>46148.526388888888</v>
      </c>
      <c r="C1187" s="2" t="s">
        <v>53</v>
      </c>
      <c r="D1187" s="2" t="s">
        <v>54</v>
      </c>
      <c r="E1187" s="2" t="s">
        <v>85</v>
      </c>
      <c r="F1187" s="2" t="s">
        <v>113</v>
      </c>
      <c r="G1187" s="2" t="s">
        <v>110</v>
      </c>
      <c r="H1187" s="2" t="s">
        <v>32</v>
      </c>
      <c r="I1187" s="2">
        <v>48</v>
      </c>
      <c r="J1187" s="2" t="s">
        <v>149</v>
      </c>
      <c r="K1187" s="4" t="s">
        <v>8590</v>
      </c>
      <c r="L1187" s="2" t="s">
        <v>24</v>
      </c>
      <c r="M1187" s="2"/>
      <c r="N1187" t="s">
        <v>8584</v>
      </c>
      <c r="O1187" s="8" t="str">
        <f t="shared" si="36"/>
        <v/>
      </c>
      <c r="P1187" t="str">
        <f t="shared" si="37"/>
        <v>N/A</v>
      </c>
    </row>
    <row r="1188" spans="1:16" x14ac:dyDescent="0.25">
      <c r="A1188" s="2" t="s">
        <v>3262</v>
      </c>
      <c r="B1188" s="4">
        <v>46249.570138888892</v>
      </c>
      <c r="C1188" s="2" t="s">
        <v>28</v>
      </c>
      <c r="D1188" s="2" t="s">
        <v>100</v>
      </c>
      <c r="E1188" s="2" t="s">
        <v>18</v>
      </c>
      <c r="F1188" s="2" t="s">
        <v>113</v>
      </c>
      <c r="G1188" s="2" t="s">
        <v>179</v>
      </c>
      <c r="H1188" s="2" t="s">
        <v>21</v>
      </c>
      <c r="I1188" s="2">
        <v>24</v>
      </c>
      <c r="J1188" s="2" t="s">
        <v>75</v>
      </c>
      <c r="K1188" s="4">
        <v>46250.291666666664</v>
      </c>
      <c r="L1188" s="2" t="s">
        <v>24</v>
      </c>
      <c r="M1188" s="2">
        <v>1</v>
      </c>
      <c r="N1188" t="s">
        <v>8587</v>
      </c>
      <c r="O1188" s="8">
        <f t="shared" si="36"/>
        <v>17.316666666534729</v>
      </c>
      <c r="P1188" t="str">
        <f t="shared" si="37"/>
        <v>N/A</v>
      </c>
    </row>
    <row r="1189" spans="1:16" x14ac:dyDescent="0.25">
      <c r="A1189" s="2" t="s">
        <v>3265</v>
      </c>
      <c r="B1189" s="4">
        <v>46127.522916666669</v>
      </c>
      <c r="C1189" s="2" t="s">
        <v>67</v>
      </c>
      <c r="D1189" s="2" t="s">
        <v>68</v>
      </c>
      <c r="E1189" s="2" t="s">
        <v>90</v>
      </c>
      <c r="F1189" s="2" t="s">
        <v>30</v>
      </c>
      <c r="G1189" s="2" t="s">
        <v>110</v>
      </c>
      <c r="H1189" s="2" t="s">
        <v>32</v>
      </c>
      <c r="I1189" s="2">
        <v>48</v>
      </c>
      <c r="J1189" s="2" t="s">
        <v>106</v>
      </c>
      <c r="K1189" s="4">
        <v>46128.519444444442</v>
      </c>
      <c r="L1189" s="2" t="s">
        <v>24</v>
      </c>
      <c r="M1189" s="2">
        <v>4</v>
      </c>
      <c r="N1189" t="s">
        <v>8582</v>
      </c>
      <c r="O1189" s="8">
        <f t="shared" si="36"/>
        <v>23.916666666569654</v>
      </c>
      <c r="P1189" t="str">
        <f t="shared" si="37"/>
        <v>Yes</v>
      </c>
    </row>
    <row r="1190" spans="1:16" x14ac:dyDescent="0.25">
      <c r="A1190" s="2" t="s">
        <v>3268</v>
      </c>
      <c r="B1190" s="4">
        <v>46255.202777777777</v>
      </c>
      <c r="C1190" s="2" t="s">
        <v>16</v>
      </c>
      <c r="D1190" s="2" t="s">
        <v>84</v>
      </c>
      <c r="E1190" s="2" t="s">
        <v>18</v>
      </c>
      <c r="F1190" s="2" t="s">
        <v>30</v>
      </c>
      <c r="G1190" s="2" t="s">
        <v>179</v>
      </c>
      <c r="H1190" s="2" t="s">
        <v>21</v>
      </c>
      <c r="I1190" s="2">
        <v>24</v>
      </c>
      <c r="J1190" s="2" t="s">
        <v>106</v>
      </c>
      <c r="K1190" s="4">
        <v>46255.568749999999</v>
      </c>
      <c r="L1190" s="2" t="s">
        <v>24</v>
      </c>
      <c r="M1190" s="2"/>
      <c r="N1190" t="s">
        <v>8586</v>
      </c>
      <c r="O1190" s="8">
        <f t="shared" si="36"/>
        <v>8.7833333333255723</v>
      </c>
      <c r="P1190" t="str">
        <f t="shared" si="37"/>
        <v>Yes</v>
      </c>
    </row>
    <row r="1191" spans="1:16" x14ac:dyDescent="0.25">
      <c r="A1191" s="2" t="s">
        <v>3271</v>
      </c>
      <c r="B1191" s="4">
        <v>46185.470833333333</v>
      </c>
      <c r="C1191" s="2" t="s">
        <v>16</v>
      </c>
      <c r="D1191" s="2" t="s">
        <v>84</v>
      </c>
      <c r="E1191" s="2" t="s">
        <v>85</v>
      </c>
      <c r="F1191" s="2" t="s">
        <v>30</v>
      </c>
      <c r="G1191" s="2" t="s">
        <v>31</v>
      </c>
      <c r="H1191" s="2" t="s">
        <v>21</v>
      </c>
      <c r="I1191" s="2">
        <v>24</v>
      </c>
      <c r="J1191" s="2" t="s">
        <v>149</v>
      </c>
      <c r="K1191" s="4" t="s">
        <v>8590</v>
      </c>
      <c r="L1191" s="2" t="s">
        <v>92</v>
      </c>
      <c r="M1191" s="2"/>
      <c r="N1191" t="s">
        <v>8588</v>
      </c>
      <c r="O1191" s="8" t="str">
        <f t="shared" si="36"/>
        <v/>
      </c>
      <c r="P1191" t="str">
        <f t="shared" si="37"/>
        <v>N/A</v>
      </c>
    </row>
    <row r="1192" spans="1:16" x14ac:dyDescent="0.25">
      <c r="A1192" s="2" t="s">
        <v>3273</v>
      </c>
      <c r="B1192" s="4">
        <v>46238.724999999999</v>
      </c>
      <c r="C1192" s="2" t="s">
        <v>53</v>
      </c>
      <c r="D1192" s="2" t="s">
        <v>54</v>
      </c>
      <c r="E1192" s="2" t="s">
        <v>148</v>
      </c>
      <c r="F1192" s="2" t="s">
        <v>55</v>
      </c>
      <c r="G1192" s="2" t="s">
        <v>183</v>
      </c>
      <c r="H1192" s="2" t="s">
        <v>21</v>
      </c>
      <c r="I1192" s="2">
        <v>24</v>
      </c>
      <c r="J1192" s="2" t="s">
        <v>106</v>
      </c>
      <c r="K1192" s="4">
        <v>46238.804166666669</v>
      </c>
      <c r="L1192" s="2" t="s">
        <v>24</v>
      </c>
      <c r="M1192" s="2">
        <v>4</v>
      </c>
      <c r="N1192" t="s">
        <v>8582</v>
      </c>
      <c r="O1192" s="8">
        <f t="shared" si="36"/>
        <v>1.9000000000814907</v>
      </c>
      <c r="P1192" t="str">
        <f t="shared" si="37"/>
        <v>Yes</v>
      </c>
    </row>
    <row r="1193" spans="1:16" x14ac:dyDescent="0.25">
      <c r="A1193" s="2" t="s">
        <v>3276</v>
      </c>
      <c r="B1193" s="4">
        <v>46238.205555555556</v>
      </c>
      <c r="C1193" s="2" t="s">
        <v>53</v>
      </c>
      <c r="D1193" s="2" t="s">
        <v>61</v>
      </c>
      <c r="E1193" s="2" t="s">
        <v>148</v>
      </c>
      <c r="F1193" s="2" t="s">
        <v>30</v>
      </c>
      <c r="G1193" s="2" t="s">
        <v>101</v>
      </c>
      <c r="H1193" s="2" t="s">
        <v>32</v>
      </c>
      <c r="I1193" s="2">
        <v>48</v>
      </c>
      <c r="J1193" s="2" t="s">
        <v>75</v>
      </c>
      <c r="K1193" s="4">
        <v>46241.195833333331</v>
      </c>
      <c r="L1193" s="2" t="s">
        <v>24</v>
      </c>
      <c r="M1193" s="2"/>
      <c r="N1193" t="s">
        <v>8586</v>
      </c>
      <c r="O1193" s="8">
        <f t="shared" si="36"/>
        <v>71.766666666604578</v>
      </c>
      <c r="P1193" t="str">
        <f t="shared" si="37"/>
        <v>N/A</v>
      </c>
    </row>
    <row r="1194" spans="1:16" x14ac:dyDescent="0.25">
      <c r="A1194" s="2" t="s">
        <v>3279</v>
      </c>
      <c r="B1194" s="4">
        <v>46099.211111111108</v>
      </c>
      <c r="C1194" s="2" t="s">
        <v>53</v>
      </c>
      <c r="D1194" s="2" t="s">
        <v>54</v>
      </c>
      <c r="E1194" s="2" t="s">
        <v>85</v>
      </c>
      <c r="F1194" s="2" t="s">
        <v>96</v>
      </c>
      <c r="G1194" s="2" t="s">
        <v>179</v>
      </c>
      <c r="H1194" s="2" t="s">
        <v>74</v>
      </c>
      <c r="I1194" s="2">
        <v>8</v>
      </c>
      <c r="J1194" s="2" t="s">
        <v>149</v>
      </c>
      <c r="K1194" s="4" t="s">
        <v>8590</v>
      </c>
      <c r="L1194" s="2" t="s">
        <v>24</v>
      </c>
      <c r="M1194" s="2"/>
      <c r="N1194" t="s">
        <v>8589</v>
      </c>
      <c r="O1194" s="8" t="str">
        <f t="shared" si="36"/>
        <v/>
      </c>
      <c r="P1194" t="str">
        <f t="shared" si="37"/>
        <v>N/A</v>
      </c>
    </row>
    <row r="1195" spans="1:16" x14ac:dyDescent="0.25">
      <c r="A1195" s="2" t="s">
        <v>3281</v>
      </c>
      <c r="B1195" s="4">
        <v>46034.015972222223</v>
      </c>
      <c r="C1195" s="2" t="s">
        <v>28</v>
      </c>
      <c r="D1195" s="2" t="s">
        <v>37</v>
      </c>
      <c r="E1195" s="2" t="s">
        <v>79</v>
      </c>
      <c r="F1195" s="2" t="s">
        <v>96</v>
      </c>
      <c r="G1195" s="2" t="s">
        <v>110</v>
      </c>
      <c r="H1195" s="2" t="s">
        <v>80</v>
      </c>
      <c r="I1195" s="2">
        <v>4</v>
      </c>
      <c r="J1195" s="2" t="s">
        <v>106</v>
      </c>
      <c r="K1195" s="4">
        <v>46034.113194444442</v>
      </c>
      <c r="L1195" s="2" t="s">
        <v>24</v>
      </c>
      <c r="M1195" s="2">
        <v>4</v>
      </c>
      <c r="N1195" t="s">
        <v>8587</v>
      </c>
      <c r="O1195" s="8">
        <f t="shared" si="36"/>
        <v>2.3333333332557231</v>
      </c>
      <c r="P1195" t="str">
        <f t="shared" si="37"/>
        <v>Yes</v>
      </c>
    </row>
    <row r="1196" spans="1:16" x14ac:dyDescent="0.25">
      <c r="A1196" s="2" t="s">
        <v>3284</v>
      </c>
      <c r="B1196" s="4">
        <v>46042.732638888891</v>
      </c>
      <c r="C1196" s="2" t="s">
        <v>53</v>
      </c>
      <c r="D1196" s="2" t="s">
        <v>54</v>
      </c>
      <c r="E1196" s="2" t="s">
        <v>46</v>
      </c>
      <c r="F1196" s="2" t="s">
        <v>30</v>
      </c>
      <c r="G1196" s="2" t="s">
        <v>183</v>
      </c>
      <c r="H1196" s="2" t="s">
        <v>32</v>
      </c>
      <c r="I1196" s="2">
        <v>48</v>
      </c>
      <c r="J1196" s="2" t="s">
        <v>75</v>
      </c>
      <c r="K1196" s="4">
        <v>46047.426388888889</v>
      </c>
      <c r="L1196" s="2" t="s">
        <v>24</v>
      </c>
      <c r="M1196" s="2">
        <v>5</v>
      </c>
      <c r="N1196" t="s">
        <v>8589</v>
      </c>
      <c r="O1196" s="8">
        <f t="shared" si="36"/>
        <v>112.64999999996508</v>
      </c>
      <c r="P1196" t="str">
        <f t="shared" si="37"/>
        <v>N/A</v>
      </c>
    </row>
    <row r="1197" spans="1:16" x14ac:dyDescent="0.25">
      <c r="A1197" s="2" t="s">
        <v>3287</v>
      </c>
      <c r="B1197" s="4">
        <v>46129.654166666667</v>
      </c>
      <c r="C1197" s="2" t="s">
        <v>16</v>
      </c>
      <c r="D1197" s="2" t="s">
        <v>84</v>
      </c>
      <c r="E1197" s="2" t="s">
        <v>148</v>
      </c>
      <c r="F1197" s="2" t="s">
        <v>113</v>
      </c>
      <c r="G1197" s="2" t="s">
        <v>31</v>
      </c>
      <c r="H1197" s="2" t="s">
        <v>21</v>
      </c>
      <c r="I1197" s="2">
        <v>24</v>
      </c>
      <c r="J1197" s="2" t="s">
        <v>75</v>
      </c>
      <c r="K1197" s="4">
        <v>46129.836111111108</v>
      </c>
      <c r="L1197" s="2" t="s">
        <v>24</v>
      </c>
      <c r="M1197" s="2">
        <v>2</v>
      </c>
      <c r="N1197" t="s">
        <v>8586</v>
      </c>
      <c r="O1197" s="8">
        <f t="shared" si="36"/>
        <v>4.3666666665812954</v>
      </c>
      <c r="P1197" t="str">
        <f t="shared" si="37"/>
        <v>N/A</v>
      </c>
    </row>
    <row r="1198" spans="1:16" x14ac:dyDescent="0.25">
      <c r="A1198" s="2" t="s">
        <v>3290</v>
      </c>
      <c r="B1198" s="4">
        <v>46145.768750000003</v>
      </c>
      <c r="C1198" s="2" t="s">
        <v>67</v>
      </c>
      <c r="D1198" s="2" t="s">
        <v>68</v>
      </c>
      <c r="E1198" s="2" t="s">
        <v>46</v>
      </c>
      <c r="F1198" s="2" t="s">
        <v>113</v>
      </c>
      <c r="G1198" s="2" t="s">
        <v>110</v>
      </c>
      <c r="H1198" s="2" t="s">
        <v>32</v>
      </c>
      <c r="I1198" s="2">
        <v>48</v>
      </c>
      <c r="J1198" s="2" t="s">
        <v>11</v>
      </c>
      <c r="K1198" s="4" t="s">
        <v>8590</v>
      </c>
      <c r="L1198" s="2" t="s">
        <v>92</v>
      </c>
      <c r="M1198" s="2"/>
      <c r="N1198" t="s">
        <v>8587</v>
      </c>
      <c r="O1198" s="8" t="str">
        <f t="shared" si="36"/>
        <v/>
      </c>
      <c r="P1198" t="str">
        <f t="shared" si="37"/>
        <v>N/A</v>
      </c>
    </row>
    <row r="1199" spans="1:16" x14ac:dyDescent="0.25">
      <c r="A1199" s="2" t="s">
        <v>3292</v>
      </c>
      <c r="B1199" s="4">
        <v>46238.552777777775</v>
      </c>
      <c r="C1199" s="2" t="s">
        <v>16</v>
      </c>
      <c r="D1199" s="2" t="s">
        <v>84</v>
      </c>
      <c r="E1199" s="2" t="s">
        <v>148</v>
      </c>
      <c r="F1199" s="2" t="s">
        <v>96</v>
      </c>
      <c r="G1199" s="2" t="s">
        <v>110</v>
      </c>
      <c r="H1199" s="2" t="s">
        <v>21</v>
      </c>
      <c r="I1199" s="2">
        <v>24</v>
      </c>
      <c r="J1199" s="2" t="s">
        <v>106</v>
      </c>
      <c r="K1199" s="4">
        <v>46239.271527777775</v>
      </c>
      <c r="L1199" s="2" t="s">
        <v>24</v>
      </c>
      <c r="M1199" s="2"/>
      <c r="N1199" t="s">
        <v>8588</v>
      </c>
      <c r="O1199" s="8">
        <f t="shared" si="36"/>
        <v>17.25</v>
      </c>
      <c r="P1199" t="str">
        <f t="shared" si="37"/>
        <v>Yes</v>
      </c>
    </row>
    <row r="1200" spans="1:16" x14ac:dyDescent="0.25">
      <c r="A1200" s="2" t="s">
        <v>3295</v>
      </c>
      <c r="B1200" s="4">
        <v>46050.267361111109</v>
      </c>
      <c r="C1200" s="2" t="s">
        <v>53</v>
      </c>
      <c r="D1200" s="2" t="s">
        <v>61</v>
      </c>
      <c r="E1200" s="2" t="s">
        <v>79</v>
      </c>
      <c r="F1200" s="2" t="s">
        <v>113</v>
      </c>
      <c r="G1200" s="2" t="s">
        <v>110</v>
      </c>
      <c r="H1200" s="2" t="s">
        <v>21</v>
      </c>
      <c r="I1200" s="2">
        <v>24</v>
      </c>
      <c r="J1200" s="2" t="s">
        <v>106</v>
      </c>
      <c r="K1200" s="4">
        <v>46050.542361111111</v>
      </c>
      <c r="L1200" s="2" t="s">
        <v>24</v>
      </c>
      <c r="M1200" s="2"/>
      <c r="N1200" t="s">
        <v>8582</v>
      </c>
      <c r="O1200" s="8">
        <f t="shared" si="36"/>
        <v>6.6000000000349246</v>
      </c>
      <c r="P1200" t="str">
        <f t="shared" si="37"/>
        <v>Yes</v>
      </c>
    </row>
    <row r="1201" spans="1:16" x14ac:dyDescent="0.25">
      <c r="A1201" s="2" t="s">
        <v>3298</v>
      </c>
      <c r="B1201" s="4">
        <v>46062.729861111111</v>
      </c>
      <c r="C1201" s="2" t="s">
        <v>53</v>
      </c>
      <c r="D1201" s="2" t="s">
        <v>61</v>
      </c>
      <c r="E1201" s="2" t="s">
        <v>18</v>
      </c>
      <c r="F1201" s="2" t="s">
        <v>30</v>
      </c>
      <c r="G1201" s="2" t="s">
        <v>183</v>
      </c>
      <c r="H1201" s="2" t="s">
        <v>21</v>
      </c>
      <c r="I1201" s="2">
        <v>24</v>
      </c>
      <c r="J1201" s="2" t="s">
        <v>106</v>
      </c>
      <c r="K1201" s="4">
        <v>46062.811111111114</v>
      </c>
      <c r="L1201" s="2" t="s">
        <v>24</v>
      </c>
      <c r="M1201" s="2">
        <v>2</v>
      </c>
      <c r="N1201" t="s">
        <v>8582</v>
      </c>
      <c r="O1201" s="8">
        <f t="shared" si="36"/>
        <v>1.9500000000698492</v>
      </c>
      <c r="P1201" t="str">
        <f t="shared" si="37"/>
        <v>Yes</v>
      </c>
    </row>
    <row r="1202" spans="1:16" x14ac:dyDescent="0.25">
      <c r="A1202" s="2" t="s">
        <v>3301</v>
      </c>
      <c r="B1202" s="4">
        <v>46054.01458333333</v>
      </c>
      <c r="C1202" s="2" t="s">
        <v>28</v>
      </c>
      <c r="D1202" s="2" t="s">
        <v>100</v>
      </c>
      <c r="E1202" s="2" t="s">
        <v>46</v>
      </c>
      <c r="F1202" s="2" t="s">
        <v>30</v>
      </c>
      <c r="G1202" s="2" t="s">
        <v>183</v>
      </c>
      <c r="H1202" s="2" t="s">
        <v>32</v>
      </c>
      <c r="I1202" s="2">
        <v>48</v>
      </c>
      <c r="J1202" s="2" t="s">
        <v>106</v>
      </c>
      <c r="K1202" s="4">
        <v>46054.709027777775</v>
      </c>
      <c r="L1202" s="2" t="s">
        <v>24</v>
      </c>
      <c r="M1202" s="2">
        <v>4</v>
      </c>
      <c r="N1202" t="s">
        <v>8584</v>
      </c>
      <c r="O1202" s="8">
        <f t="shared" si="36"/>
        <v>16.666666666686069</v>
      </c>
      <c r="P1202" t="str">
        <f t="shared" si="37"/>
        <v>Yes</v>
      </c>
    </row>
    <row r="1203" spans="1:16" x14ac:dyDescent="0.25">
      <c r="A1203" s="2" t="s">
        <v>3304</v>
      </c>
      <c r="B1203" s="4">
        <v>46123.23333333333</v>
      </c>
      <c r="C1203" s="2" t="s">
        <v>28</v>
      </c>
      <c r="D1203" s="2" t="s">
        <v>37</v>
      </c>
      <c r="E1203" s="2" t="s">
        <v>46</v>
      </c>
      <c r="F1203" s="2" t="s">
        <v>30</v>
      </c>
      <c r="G1203" s="2" t="s">
        <v>211</v>
      </c>
      <c r="H1203" s="2" t="s">
        <v>21</v>
      </c>
      <c r="I1203" s="2">
        <v>24</v>
      </c>
      <c r="J1203" s="2" t="s">
        <v>106</v>
      </c>
      <c r="K1203" s="4">
        <v>46124.077777777777</v>
      </c>
      <c r="L1203" s="2" t="s">
        <v>24</v>
      </c>
      <c r="M1203" s="2">
        <v>1</v>
      </c>
      <c r="N1203" t="s">
        <v>8589</v>
      </c>
      <c r="O1203" s="8">
        <f t="shared" si="36"/>
        <v>20.266666666720994</v>
      </c>
      <c r="P1203" t="str">
        <f t="shared" si="37"/>
        <v>Yes</v>
      </c>
    </row>
    <row r="1204" spans="1:16" x14ac:dyDescent="0.25">
      <c r="A1204" s="2" t="s">
        <v>3307</v>
      </c>
      <c r="B1204" s="4">
        <v>46162.784722222219</v>
      </c>
      <c r="C1204" s="2" t="s">
        <v>53</v>
      </c>
      <c r="D1204" s="2" t="s">
        <v>54</v>
      </c>
      <c r="E1204" s="2" t="s">
        <v>79</v>
      </c>
      <c r="F1204" s="2" t="s">
        <v>113</v>
      </c>
      <c r="G1204" s="2" t="s">
        <v>110</v>
      </c>
      <c r="H1204" s="2" t="s">
        <v>32</v>
      </c>
      <c r="I1204" s="2">
        <v>48</v>
      </c>
      <c r="J1204" s="2" t="s">
        <v>106</v>
      </c>
      <c r="K1204" s="4">
        <v>46163.042361111111</v>
      </c>
      <c r="L1204" s="2" t="s">
        <v>92</v>
      </c>
      <c r="M1204" s="2">
        <v>2</v>
      </c>
      <c r="N1204" t="s">
        <v>8581</v>
      </c>
      <c r="O1204" s="8">
        <f t="shared" si="36"/>
        <v>6.183333333407063</v>
      </c>
      <c r="P1204" t="str">
        <f t="shared" si="37"/>
        <v>Yes</v>
      </c>
    </row>
    <row r="1205" spans="1:16" x14ac:dyDescent="0.25">
      <c r="A1205" s="2" t="s">
        <v>3310</v>
      </c>
      <c r="B1205" s="4">
        <v>46042.97152777778</v>
      </c>
      <c r="C1205" s="2" t="s">
        <v>53</v>
      </c>
      <c r="D1205" s="2" t="s">
        <v>54</v>
      </c>
      <c r="E1205" s="2" t="s">
        <v>46</v>
      </c>
      <c r="F1205" s="2" t="s">
        <v>96</v>
      </c>
      <c r="G1205" s="2" t="s">
        <v>110</v>
      </c>
      <c r="H1205" s="2" t="s">
        <v>32</v>
      </c>
      <c r="I1205" s="2">
        <v>48</v>
      </c>
      <c r="J1205" s="2" t="s">
        <v>106</v>
      </c>
      <c r="K1205" s="4" t="s">
        <v>8590</v>
      </c>
      <c r="L1205" s="2" t="s">
        <v>24</v>
      </c>
      <c r="M1205" s="2">
        <v>2</v>
      </c>
      <c r="N1205" t="s">
        <v>8582</v>
      </c>
      <c r="O1205" s="8" t="str">
        <f t="shared" si="36"/>
        <v/>
      </c>
      <c r="P1205" t="str">
        <f t="shared" si="37"/>
        <v>No</v>
      </c>
    </row>
    <row r="1206" spans="1:16" x14ac:dyDescent="0.25">
      <c r="A1206" s="2" t="s">
        <v>3312</v>
      </c>
      <c r="B1206" s="4">
        <v>46264.09097222222</v>
      </c>
      <c r="C1206" s="2" t="s">
        <v>53</v>
      </c>
      <c r="D1206" s="2" t="s">
        <v>61</v>
      </c>
      <c r="E1206" s="2" t="s">
        <v>85</v>
      </c>
      <c r="F1206" s="2" t="s">
        <v>30</v>
      </c>
      <c r="G1206" s="2" t="s">
        <v>101</v>
      </c>
      <c r="H1206" s="2" t="s">
        <v>32</v>
      </c>
      <c r="I1206" s="2">
        <v>48</v>
      </c>
      <c r="J1206" s="2" t="s">
        <v>75</v>
      </c>
      <c r="K1206" s="4">
        <v>46264.588888888888</v>
      </c>
      <c r="L1206" s="2" t="s">
        <v>92</v>
      </c>
      <c r="M1206" s="2"/>
      <c r="N1206" t="s">
        <v>8585</v>
      </c>
      <c r="O1206" s="8">
        <f t="shared" si="36"/>
        <v>11.950000000011642</v>
      </c>
      <c r="P1206" t="str">
        <f t="shared" si="37"/>
        <v>N/A</v>
      </c>
    </row>
    <row r="1207" spans="1:16" x14ac:dyDescent="0.25">
      <c r="A1207" s="2" t="s">
        <v>3315</v>
      </c>
      <c r="B1207" s="4">
        <v>46169.29583333333</v>
      </c>
      <c r="C1207" s="2" t="s">
        <v>28</v>
      </c>
      <c r="D1207" s="2" t="s">
        <v>37</v>
      </c>
      <c r="E1207" s="2" t="s">
        <v>46</v>
      </c>
      <c r="F1207" s="2" t="s">
        <v>113</v>
      </c>
      <c r="G1207" s="2" t="s">
        <v>183</v>
      </c>
      <c r="H1207" s="2" t="s">
        <v>74</v>
      </c>
      <c r="I1207" s="2">
        <v>8</v>
      </c>
      <c r="J1207" s="2" t="s">
        <v>149</v>
      </c>
      <c r="K1207" s="4" t="s">
        <v>8590</v>
      </c>
      <c r="L1207" s="2" t="s">
        <v>24</v>
      </c>
      <c r="M1207" s="2"/>
      <c r="N1207" t="s">
        <v>8582</v>
      </c>
      <c r="O1207" s="8" t="str">
        <f t="shared" si="36"/>
        <v/>
      </c>
      <c r="P1207" t="str">
        <f t="shared" si="37"/>
        <v>N/A</v>
      </c>
    </row>
    <row r="1208" spans="1:16" x14ac:dyDescent="0.25">
      <c r="A1208" s="2" t="s">
        <v>3317</v>
      </c>
      <c r="B1208" s="4">
        <v>46176.54791666667</v>
      </c>
      <c r="C1208" s="2" t="s">
        <v>28</v>
      </c>
      <c r="D1208" s="2" t="s">
        <v>100</v>
      </c>
      <c r="E1208" s="2" t="s">
        <v>38</v>
      </c>
      <c r="F1208" s="2" t="s">
        <v>113</v>
      </c>
      <c r="G1208" s="2" t="s">
        <v>179</v>
      </c>
      <c r="H1208" s="2" t="s">
        <v>74</v>
      </c>
      <c r="I1208" s="2">
        <v>8</v>
      </c>
      <c r="J1208" s="2" t="s">
        <v>106</v>
      </c>
      <c r="K1208" s="4">
        <v>46176.649305555555</v>
      </c>
      <c r="L1208" s="2" t="s">
        <v>24</v>
      </c>
      <c r="M1208" s="2">
        <v>4</v>
      </c>
      <c r="N1208" t="s">
        <v>8584</v>
      </c>
      <c r="O1208" s="8">
        <f t="shared" si="36"/>
        <v>2.4333333332324401</v>
      </c>
      <c r="P1208" t="str">
        <f t="shared" si="37"/>
        <v>Yes</v>
      </c>
    </row>
    <row r="1209" spans="1:16" x14ac:dyDescent="0.25">
      <c r="A1209" s="2" t="s">
        <v>3320</v>
      </c>
      <c r="B1209" s="4">
        <v>46077.15347222222</v>
      </c>
      <c r="C1209" s="2" t="s">
        <v>28</v>
      </c>
      <c r="D1209" s="2" t="s">
        <v>37</v>
      </c>
      <c r="E1209" s="2" t="s">
        <v>79</v>
      </c>
      <c r="F1209" s="2" t="s">
        <v>30</v>
      </c>
      <c r="G1209" s="2" t="s">
        <v>110</v>
      </c>
      <c r="H1209" s="2" t="s">
        <v>32</v>
      </c>
      <c r="I1209" s="2">
        <v>48</v>
      </c>
      <c r="J1209" s="2" t="s">
        <v>106</v>
      </c>
      <c r="K1209" s="4">
        <v>46077.19027777778</v>
      </c>
      <c r="L1209" s="2" t="s">
        <v>24</v>
      </c>
      <c r="M1209" s="2">
        <v>5</v>
      </c>
      <c r="N1209" t="s">
        <v>8584</v>
      </c>
      <c r="O1209" s="8">
        <f t="shared" si="36"/>
        <v>0.88333333341870457</v>
      </c>
      <c r="P1209" t="str">
        <f t="shared" si="37"/>
        <v>Yes</v>
      </c>
    </row>
    <row r="1210" spans="1:16" x14ac:dyDescent="0.25">
      <c r="A1210" s="2" t="s">
        <v>3323</v>
      </c>
      <c r="B1210" s="4">
        <v>46189.856944444444</v>
      </c>
      <c r="C1210" s="2" t="s">
        <v>67</v>
      </c>
      <c r="D1210" s="2" t="s">
        <v>95</v>
      </c>
      <c r="E1210" s="2" t="s">
        <v>46</v>
      </c>
      <c r="F1210" s="2" t="s">
        <v>113</v>
      </c>
      <c r="G1210" s="2" t="s">
        <v>31</v>
      </c>
      <c r="H1210" s="2" t="s">
        <v>74</v>
      </c>
      <c r="I1210" s="2">
        <v>8</v>
      </c>
      <c r="J1210" s="2" t="s">
        <v>287</v>
      </c>
      <c r="K1210" s="4" t="s">
        <v>8590</v>
      </c>
      <c r="L1210" s="2" t="s">
        <v>24</v>
      </c>
      <c r="M1210" s="2"/>
      <c r="N1210" t="s">
        <v>8581</v>
      </c>
      <c r="O1210" s="8" t="str">
        <f t="shared" si="36"/>
        <v/>
      </c>
      <c r="P1210" t="str">
        <f t="shared" si="37"/>
        <v>N/A</v>
      </c>
    </row>
    <row r="1211" spans="1:16" x14ac:dyDescent="0.25">
      <c r="A1211" s="2" t="s">
        <v>3325</v>
      </c>
      <c r="B1211" s="4">
        <v>46137.341666666667</v>
      </c>
      <c r="C1211" s="2" t="s">
        <v>16</v>
      </c>
      <c r="D1211" s="2" t="s">
        <v>84</v>
      </c>
      <c r="E1211" s="2" t="s">
        <v>38</v>
      </c>
      <c r="F1211" s="2" t="s">
        <v>96</v>
      </c>
      <c r="G1211" s="2" t="s">
        <v>31</v>
      </c>
      <c r="H1211" s="2" t="s">
        <v>80</v>
      </c>
      <c r="I1211" s="2">
        <v>4</v>
      </c>
      <c r="J1211" s="2" t="s">
        <v>106</v>
      </c>
      <c r="K1211" s="4">
        <v>46137.376388888886</v>
      </c>
      <c r="L1211" s="2" t="s">
        <v>24</v>
      </c>
      <c r="M1211" s="2"/>
      <c r="N1211" t="s">
        <v>8589</v>
      </c>
      <c r="O1211" s="8">
        <f t="shared" si="36"/>
        <v>0.83333333325572312</v>
      </c>
      <c r="P1211" t="str">
        <f t="shared" si="37"/>
        <v>Yes</v>
      </c>
    </row>
    <row r="1212" spans="1:16" x14ac:dyDescent="0.25">
      <c r="A1212" s="2" t="s">
        <v>3328</v>
      </c>
      <c r="B1212" s="4">
        <v>46042.949305555558</v>
      </c>
      <c r="C1212" s="2" t="s">
        <v>67</v>
      </c>
      <c r="D1212" s="2" t="s">
        <v>68</v>
      </c>
      <c r="E1212" s="2" t="s">
        <v>46</v>
      </c>
      <c r="F1212" s="2" t="s">
        <v>55</v>
      </c>
      <c r="G1212" s="2" t="s">
        <v>183</v>
      </c>
      <c r="H1212" s="2" t="s">
        <v>21</v>
      </c>
      <c r="I1212" s="2">
        <v>24</v>
      </c>
      <c r="J1212" s="2" t="s">
        <v>11</v>
      </c>
      <c r="K1212" s="4" t="s">
        <v>8590</v>
      </c>
      <c r="L1212" s="2" t="s">
        <v>92</v>
      </c>
      <c r="M1212" s="2"/>
      <c r="N1212" t="s">
        <v>8586</v>
      </c>
      <c r="O1212" s="8" t="str">
        <f t="shared" si="36"/>
        <v/>
      </c>
      <c r="P1212" t="str">
        <f t="shared" si="37"/>
        <v>N/A</v>
      </c>
    </row>
    <row r="1213" spans="1:16" x14ac:dyDescent="0.25">
      <c r="A1213" s="2" t="s">
        <v>3330</v>
      </c>
      <c r="B1213" s="4">
        <v>46232.515277777777</v>
      </c>
      <c r="C1213" s="2" t="s">
        <v>67</v>
      </c>
      <c r="D1213" s="2" t="s">
        <v>95</v>
      </c>
      <c r="E1213" s="2" t="s">
        <v>90</v>
      </c>
      <c r="F1213" s="2" t="s">
        <v>30</v>
      </c>
      <c r="G1213" s="2" t="s">
        <v>110</v>
      </c>
      <c r="H1213" s="2" t="s">
        <v>80</v>
      </c>
      <c r="I1213" s="2">
        <v>4</v>
      </c>
      <c r="J1213" s="2" t="s">
        <v>106</v>
      </c>
      <c r="K1213" s="4">
        <v>46232.54583333333</v>
      </c>
      <c r="L1213" s="2" t="s">
        <v>24</v>
      </c>
      <c r="M1213" s="2">
        <v>1</v>
      </c>
      <c r="N1213" t="s">
        <v>8583</v>
      </c>
      <c r="O1213" s="8">
        <f t="shared" si="36"/>
        <v>0.73333333327900618</v>
      </c>
      <c r="P1213" t="str">
        <f t="shared" si="37"/>
        <v>Yes</v>
      </c>
    </row>
    <row r="1214" spans="1:16" x14ac:dyDescent="0.25">
      <c r="A1214" s="2" t="s">
        <v>3333</v>
      </c>
      <c r="B1214" s="4">
        <v>46245.893055555556</v>
      </c>
      <c r="C1214" s="2" t="s">
        <v>28</v>
      </c>
      <c r="D1214" s="2" t="s">
        <v>100</v>
      </c>
      <c r="E1214" s="2" t="s">
        <v>148</v>
      </c>
      <c r="F1214" s="2" t="s">
        <v>96</v>
      </c>
      <c r="G1214" s="2" t="s">
        <v>31</v>
      </c>
      <c r="H1214" s="2" t="s">
        <v>21</v>
      </c>
      <c r="I1214" s="2">
        <v>24</v>
      </c>
      <c r="J1214" s="2" t="s">
        <v>149</v>
      </c>
      <c r="K1214" s="4" t="s">
        <v>8590</v>
      </c>
      <c r="L1214" s="2" t="s">
        <v>24</v>
      </c>
      <c r="M1214" s="2"/>
      <c r="N1214" t="s">
        <v>8581</v>
      </c>
      <c r="O1214" s="8" t="str">
        <f t="shared" si="36"/>
        <v/>
      </c>
      <c r="P1214" t="str">
        <f t="shared" si="37"/>
        <v>N/A</v>
      </c>
    </row>
    <row r="1215" spans="1:16" x14ac:dyDescent="0.25">
      <c r="A1215" s="2" t="s">
        <v>3335</v>
      </c>
      <c r="B1215" s="4">
        <v>46160.936805555553</v>
      </c>
      <c r="C1215" s="2" t="s">
        <v>16</v>
      </c>
      <c r="D1215" s="2" t="s">
        <v>17</v>
      </c>
      <c r="E1215" s="2" t="s">
        <v>85</v>
      </c>
      <c r="F1215" s="2" t="s">
        <v>96</v>
      </c>
      <c r="G1215" s="2" t="s">
        <v>211</v>
      </c>
      <c r="H1215" s="2" t="s">
        <v>21</v>
      </c>
      <c r="I1215" s="2">
        <v>24</v>
      </c>
      <c r="J1215" s="2" t="s">
        <v>106</v>
      </c>
      <c r="K1215" s="4">
        <v>46163.522916666669</v>
      </c>
      <c r="L1215" s="2" t="s">
        <v>24</v>
      </c>
      <c r="M1215" s="2">
        <v>3</v>
      </c>
      <c r="N1215" t="s">
        <v>8582</v>
      </c>
      <c r="O1215" s="8">
        <f t="shared" si="36"/>
        <v>62.06666666676756</v>
      </c>
      <c r="P1215" t="str">
        <f t="shared" si="37"/>
        <v>No</v>
      </c>
    </row>
    <row r="1216" spans="1:16" x14ac:dyDescent="0.25">
      <c r="A1216" s="2" t="s">
        <v>3338</v>
      </c>
      <c r="B1216" s="4">
        <v>46045.583333333336</v>
      </c>
      <c r="C1216" s="2" t="s">
        <v>16</v>
      </c>
      <c r="D1216" s="2" t="s">
        <v>84</v>
      </c>
      <c r="E1216" s="2" t="s">
        <v>38</v>
      </c>
      <c r="F1216" s="2" t="s">
        <v>96</v>
      </c>
      <c r="G1216" s="2" t="s">
        <v>211</v>
      </c>
      <c r="H1216" s="2" t="s">
        <v>21</v>
      </c>
      <c r="I1216" s="2">
        <v>24</v>
      </c>
      <c r="J1216" s="2" t="s">
        <v>75</v>
      </c>
      <c r="K1216" s="4">
        <v>46046.995833333334</v>
      </c>
      <c r="L1216" s="2" t="s">
        <v>24</v>
      </c>
      <c r="M1216" s="2">
        <v>2</v>
      </c>
      <c r="N1216" t="s">
        <v>8581</v>
      </c>
      <c r="O1216" s="8">
        <f t="shared" si="36"/>
        <v>33.899999999965075</v>
      </c>
      <c r="P1216" t="str">
        <f t="shared" si="37"/>
        <v>N/A</v>
      </c>
    </row>
    <row r="1217" spans="1:16" x14ac:dyDescent="0.25">
      <c r="A1217" s="2" t="s">
        <v>3341</v>
      </c>
      <c r="B1217" s="4">
        <v>46107.661805555559</v>
      </c>
      <c r="C1217" s="2" t="s">
        <v>28</v>
      </c>
      <c r="D1217" s="2" t="s">
        <v>37</v>
      </c>
      <c r="E1217" s="2" t="s">
        <v>85</v>
      </c>
      <c r="F1217" s="2" t="s">
        <v>96</v>
      </c>
      <c r="G1217" s="2" t="s">
        <v>211</v>
      </c>
      <c r="H1217" s="2" t="s">
        <v>32</v>
      </c>
      <c r="I1217" s="2">
        <v>48</v>
      </c>
      <c r="J1217" s="2" t="s">
        <v>106</v>
      </c>
      <c r="K1217" s="4">
        <v>46108.507638888892</v>
      </c>
      <c r="L1217" s="2" t="s">
        <v>24</v>
      </c>
      <c r="M1217" s="2">
        <v>2</v>
      </c>
      <c r="N1217" t="s">
        <v>8585</v>
      </c>
      <c r="O1217" s="8">
        <f t="shared" si="36"/>
        <v>20.299999999988358</v>
      </c>
      <c r="P1217" t="str">
        <f t="shared" si="37"/>
        <v>Yes</v>
      </c>
    </row>
    <row r="1218" spans="1:16" x14ac:dyDescent="0.25">
      <c r="A1218" s="2" t="s">
        <v>3344</v>
      </c>
      <c r="B1218" s="4">
        <v>46238.927777777775</v>
      </c>
      <c r="C1218" s="2" t="s">
        <v>28</v>
      </c>
      <c r="D1218" s="2" t="s">
        <v>100</v>
      </c>
      <c r="E1218" s="2" t="s">
        <v>148</v>
      </c>
      <c r="F1218" s="2" t="s">
        <v>113</v>
      </c>
      <c r="G1218" s="2" t="s">
        <v>183</v>
      </c>
      <c r="H1218" s="2" t="s">
        <v>80</v>
      </c>
      <c r="I1218" s="2">
        <v>4</v>
      </c>
      <c r="J1218" s="2" t="s">
        <v>106</v>
      </c>
      <c r="K1218" s="4">
        <v>46239.359027777777</v>
      </c>
      <c r="L1218" s="2" t="s">
        <v>24</v>
      </c>
      <c r="M1218" s="2">
        <v>5</v>
      </c>
      <c r="N1218" t="s">
        <v>8584</v>
      </c>
      <c r="O1218" s="8">
        <f t="shared" si="36"/>
        <v>10.350000000034925</v>
      </c>
      <c r="P1218" t="str">
        <f t="shared" si="37"/>
        <v>No</v>
      </c>
    </row>
    <row r="1219" spans="1:16" x14ac:dyDescent="0.25">
      <c r="A1219" s="2" t="s">
        <v>3347</v>
      </c>
      <c r="B1219" s="4">
        <v>46055.357638888891</v>
      </c>
      <c r="C1219" s="2" t="s">
        <v>53</v>
      </c>
      <c r="D1219" s="2" t="s">
        <v>54</v>
      </c>
      <c r="E1219" s="2" t="s">
        <v>148</v>
      </c>
      <c r="F1219" s="2" t="s">
        <v>96</v>
      </c>
      <c r="G1219" s="2" t="s">
        <v>101</v>
      </c>
      <c r="H1219" s="2" t="s">
        <v>21</v>
      </c>
      <c r="I1219" s="2">
        <v>24</v>
      </c>
      <c r="J1219" s="2" t="s">
        <v>106</v>
      </c>
      <c r="K1219" s="4">
        <v>46055.440972222219</v>
      </c>
      <c r="L1219" s="2" t="s">
        <v>24</v>
      </c>
      <c r="M1219" s="2">
        <v>2</v>
      </c>
      <c r="N1219" t="s">
        <v>8589</v>
      </c>
      <c r="O1219" s="8">
        <f t="shared" ref="O1219:O1282" si="38">IF(K1219="","",IF(K1219="Missing Resolve Date","",(K1219-B1219)*24))</f>
        <v>1.9999999998835847</v>
      </c>
      <c r="P1219" t="str">
        <f t="shared" ref="P1219:P1282" si="39">IF(J1219="Resolved",IF(O1219&lt;=I1219,"Yes","No"),"N/A")</f>
        <v>Yes</v>
      </c>
    </row>
    <row r="1220" spans="1:16" x14ac:dyDescent="0.25">
      <c r="A1220" s="2" t="s">
        <v>3350</v>
      </c>
      <c r="B1220" s="4">
        <v>46226.693749999999</v>
      </c>
      <c r="C1220" s="2" t="s">
        <v>16</v>
      </c>
      <c r="D1220" s="2" t="s">
        <v>17</v>
      </c>
      <c r="E1220" s="2" t="s">
        <v>18</v>
      </c>
      <c r="F1220" s="2" t="s">
        <v>30</v>
      </c>
      <c r="G1220" s="2" t="s">
        <v>183</v>
      </c>
      <c r="H1220" s="2" t="s">
        <v>74</v>
      </c>
      <c r="I1220" s="2">
        <v>8</v>
      </c>
      <c r="J1220" s="2" t="s">
        <v>75</v>
      </c>
      <c r="K1220" s="4">
        <v>46226.807638888888</v>
      </c>
      <c r="L1220" s="2" t="s">
        <v>24</v>
      </c>
      <c r="M1220" s="2">
        <v>2</v>
      </c>
      <c r="N1220" t="s">
        <v>8585</v>
      </c>
      <c r="O1220" s="8">
        <f t="shared" si="38"/>
        <v>2.7333333333372138</v>
      </c>
      <c r="P1220" t="str">
        <f t="shared" si="39"/>
        <v>N/A</v>
      </c>
    </row>
    <row r="1221" spans="1:16" x14ac:dyDescent="0.25">
      <c r="A1221" s="2" t="s">
        <v>3353</v>
      </c>
      <c r="B1221" s="4">
        <v>46038.154166666667</v>
      </c>
      <c r="C1221" s="2" t="s">
        <v>67</v>
      </c>
      <c r="D1221" s="2" t="s">
        <v>68</v>
      </c>
      <c r="E1221" s="2" t="s">
        <v>90</v>
      </c>
      <c r="F1221" s="2" t="s">
        <v>55</v>
      </c>
      <c r="G1221" s="2" t="s">
        <v>179</v>
      </c>
      <c r="H1221" s="2" t="s">
        <v>32</v>
      </c>
      <c r="I1221" s="2">
        <v>48</v>
      </c>
      <c r="J1221" s="2" t="s">
        <v>75</v>
      </c>
      <c r="K1221" s="4">
        <v>46039.504166666666</v>
      </c>
      <c r="L1221" s="2" t="s">
        <v>24</v>
      </c>
      <c r="M1221" s="2">
        <v>1</v>
      </c>
      <c r="N1221" t="s">
        <v>8589</v>
      </c>
      <c r="O1221" s="8">
        <f t="shared" si="38"/>
        <v>32.399999999965075</v>
      </c>
      <c r="P1221" t="str">
        <f t="shared" si="39"/>
        <v>N/A</v>
      </c>
    </row>
    <row r="1222" spans="1:16" x14ac:dyDescent="0.25">
      <c r="A1222" s="2" t="s">
        <v>3356</v>
      </c>
      <c r="B1222" s="4">
        <v>46111.309027777781</v>
      </c>
      <c r="C1222" s="2" t="s">
        <v>16</v>
      </c>
      <c r="D1222" s="2" t="s">
        <v>17</v>
      </c>
      <c r="E1222" s="2" t="s">
        <v>85</v>
      </c>
      <c r="F1222" s="2" t="s">
        <v>30</v>
      </c>
      <c r="G1222" s="2" t="s">
        <v>110</v>
      </c>
      <c r="H1222" s="2" t="s">
        <v>21</v>
      </c>
      <c r="I1222" s="2">
        <v>24</v>
      </c>
      <c r="J1222" s="2" t="s">
        <v>106</v>
      </c>
      <c r="K1222" s="4">
        <v>46111.491666666669</v>
      </c>
      <c r="L1222" s="2" t="s">
        <v>92</v>
      </c>
      <c r="M1222" s="2">
        <v>3</v>
      </c>
      <c r="N1222" t="s">
        <v>8582</v>
      </c>
      <c r="O1222" s="8">
        <f t="shared" si="38"/>
        <v>4.3833333333022892</v>
      </c>
      <c r="P1222" t="str">
        <f t="shared" si="39"/>
        <v>Yes</v>
      </c>
    </row>
    <row r="1223" spans="1:16" x14ac:dyDescent="0.25">
      <c r="A1223" s="2" t="s">
        <v>3359</v>
      </c>
      <c r="B1223" s="4">
        <v>46050.544444444444</v>
      </c>
      <c r="C1223" s="2" t="s">
        <v>16</v>
      </c>
      <c r="D1223" s="2" t="s">
        <v>84</v>
      </c>
      <c r="E1223" s="2" t="s">
        <v>90</v>
      </c>
      <c r="F1223" s="2" t="s">
        <v>96</v>
      </c>
      <c r="G1223" s="2" t="s">
        <v>179</v>
      </c>
      <c r="H1223" s="2" t="s">
        <v>32</v>
      </c>
      <c r="I1223" s="2">
        <v>48</v>
      </c>
      <c r="J1223" s="2" t="s">
        <v>11</v>
      </c>
      <c r="K1223" s="4" t="s">
        <v>8590</v>
      </c>
      <c r="L1223" s="2" t="s">
        <v>92</v>
      </c>
      <c r="M1223" s="2"/>
      <c r="N1223" t="s">
        <v>8582</v>
      </c>
      <c r="O1223" s="8" t="str">
        <f t="shared" si="38"/>
        <v/>
      </c>
      <c r="P1223" t="str">
        <f t="shared" si="39"/>
        <v>N/A</v>
      </c>
    </row>
    <row r="1224" spans="1:16" x14ac:dyDescent="0.25">
      <c r="A1224" s="2" t="s">
        <v>3361</v>
      </c>
      <c r="B1224" s="4">
        <v>46177.904861111114</v>
      </c>
      <c r="C1224" s="2" t="s">
        <v>53</v>
      </c>
      <c r="D1224" s="2" t="s">
        <v>54</v>
      </c>
      <c r="E1224" s="2" t="s">
        <v>79</v>
      </c>
      <c r="F1224" s="2" t="s">
        <v>30</v>
      </c>
      <c r="G1224" s="2" t="s">
        <v>101</v>
      </c>
      <c r="H1224" s="2" t="s">
        <v>74</v>
      </c>
      <c r="I1224" s="2">
        <v>8</v>
      </c>
      <c r="J1224" s="2" t="s">
        <v>75</v>
      </c>
      <c r="K1224" s="4">
        <v>46177.928472222222</v>
      </c>
      <c r="L1224" s="2" t="s">
        <v>24</v>
      </c>
      <c r="M1224" s="2">
        <v>3</v>
      </c>
      <c r="N1224" t="s">
        <v>8585</v>
      </c>
      <c r="O1224" s="8">
        <f t="shared" si="38"/>
        <v>0.56666666659293696</v>
      </c>
      <c r="P1224" t="str">
        <f t="shared" si="39"/>
        <v>N/A</v>
      </c>
    </row>
    <row r="1225" spans="1:16" x14ac:dyDescent="0.25">
      <c r="A1225" s="2" t="s">
        <v>3364</v>
      </c>
      <c r="B1225" s="4">
        <v>46246.277777777781</v>
      </c>
      <c r="C1225" s="2" t="s">
        <v>67</v>
      </c>
      <c r="D1225" s="2" t="s">
        <v>95</v>
      </c>
      <c r="E1225" s="2" t="s">
        <v>90</v>
      </c>
      <c r="F1225" s="2" t="s">
        <v>96</v>
      </c>
      <c r="G1225" s="2" t="s">
        <v>31</v>
      </c>
      <c r="H1225" s="2" t="s">
        <v>32</v>
      </c>
      <c r="I1225" s="2">
        <v>48</v>
      </c>
      <c r="J1225" s="2" t="s">
        <v>75</v>
      </c>
      <c r="K1225" s="4">
        <v>46248.036111111112</v>
      </c>
      <c r="L1225" s="2" t="s">
        <v>24</v>
      </c>
      <c r="M1225" s="2">
        <v>4</v>
      </c>
      <c r="N1225" t="s">
        <v>8582</v>
      </c>
      <c r="O1225" s="8">
        <f t="shared" si="38"/>
        <v>42.199999999953434</v>
      </c>
      <c r="P1225" t="str">
        <f t="shared" si="39"/>
        <v>N/A</v>
      </c>
    </row>
    <row r="1226" spans="1:16" x14ac:dyDescent="0.25">
      <c r="A1226" s="2" t="s">
        <v>3367</v>
      </c>
      <c r="B1226" s="4">
        <v>46204.870138888888</v>
      </c>
      <c r="C1226" s="2" t="s">
        <v>67</v>
      </c>
      <c r="D1226" s="2" t="s">
        <v>95</v>
      </c>
      <c r="E1226" s="2" t="s">
        <v>85</v>
      </c>
      <c r="F1226" s="2" t="s">
        <v>30</v>
      </c>
      <c r="G1226" s="2" t="s">
        <v>31</v>
      </c>
      <c r="H1226" s="2" t="s">
        <v>21</v>
      </c>
      <c r="I1226" s="2">
        <v>24</v>
      </c>
      <c r="J1226" s="2" t="s">
        <v>106</v>
      </c>
      <c r="K1226" s="4">
        <v>46207.370833333334</v>
      </c>
      <c r="L1226" s="2" t="s">
        <v>24</v>
      </c>
      <c r="M1226" s="2"/>
      <c r="N1226" t="s">
        <v>8584</v>
      </c>
      <c r="O1226" s="8">
        <f t="shared" si="38"/>
        <v>60.016666666720994</v>
      </c>
      <c r="P1226" t="str">
        <f t="shared" si="39"/>
        <v>No</v>
      </c>
    </row>
    <row r="1227" spans="1:16" x14ac:dyDescent="0.25">
      <c r="A1227" s="2" t="s">
        <v>3370</v>
      </c>
      <c r="B1227" s="4">
        <v>46245.736805555556</v>
      </c>
      <c r="C1227" s="2" t="s">
        <v>28</v>
      </c>
      <c r="D1227" s="2" t="s">
        <v>100</v>
      </c>
      <c r="E1227" s="2" t="s">
        <v>38</v>
      </c>
      <c r="F1227" s="2" t="s">
        <v>113</v>
      </c>
      <c r="G1227" s="2" t="s">
        <v>110</v>
      </c>
      <c r="H1227" s="2" t="s">
        <v>80</v>
      </c>
      <c r="I1227" s="2">
        <v>4</v>
      </c>
      <c r="J1227" s="2" t="s">
        <v>106</v>
      </c>
      <c r="K1227" s="4">
        <v>46245.789583333331</v>
      </c>
      <c r="L1227" s="2" t="s">
        <v>24</v>
      </c>
      <c r="M1227" s="2">
        <v>3</v>
      </c>
      <c r="N1227" t="s">
        <v>8585</v>
      </c>
      <c r="O1227" s="8">
        <f t="shared" si="38"/>
        <v>1.2666666666045785</v>
      </c>
      <c r="P1227" t="str">
        <f t="shared" si="39"/>
        <v>Yes</v>
      </c>
    </row>
    <row r="1228" spans="1:16" x14ac:dyDescent="0.25">
      <c r="A1228" s="2" t="s">
        <v>3373</v>
      </c>
      <c r="B1228" s="4">
        <v>46029.893750000003</v>
      </c>
      <c r="C1228" s="2" t="s">
        <v>67</v>
      </c>
      <c r="D1228" s="2" t="s">
        <v>68</v>
      </c>
      <c r="E1228" s="2" t="s">
        <v>85</v>
      </c>
      <c r="F1228" s="2" t="s">
        <v>113</v>
      </c>
      <c r="G1228" s="2" t="s">
        <v>211</v>
      </c>
      <c r="H1228" s="2" t="s">
        <v>21</v>
      </c>
      <c r="I1228" s="2">
        <v>24</v>
      </c>
      <c r="J1228" s="2" t="s">
        <v>149</v>
      </c>
      <c r="K1228" s="4" t="s">
        <v>8590</v>
      </c>
      <c r="L1228" s="2" t="s">
        <v>24</v>
      </c>
      <c r="M1228" s="2"/>
      <c r="N1228" t="s">
        <v>8589</v>
      </c>
      <c r="O1228" s="8" t="str">
        <f t="shared" si="38"/>
        <v/>
      </c>
      <c r="P1228" t="str">
        <f t="shared" si="39"/>
        <v>N/A</v>
      </c>
    </row>
    <row r="1229" spans="1:16" x14ac:dyDescent="0.25">
      <c r="A1229" s="2" t="s">
        <v>3375</v>
      </c>
      <c r="B1229" s="4">
        <v>46204.250694444447</v>
      </c>
      <c r="C1229" s="2" t="s">
        <v>67</v>
      </c>
      <c r="D1229" s="2" t="s">
        <v>68</v>
      </c>
      <c r="E1229" s="2" t="s">
        <v>46</v>
      </c>
      <c r="F1229" s="2" t="s">
        <v>55</v>
      </c>
      <c r="G1229" s="2" t="s">
        <v>211</v>
      </c>
      <c r="H1229" s="2" t="s">
        <v>21</v>
      </c>
      <c r="I1229" s="2">
        <v>24</v>
      </c>
      <c r="J1229" s="2" t="s">
        <v>149</v>
      </c>
      <c r="K1229" s="4" t="s">
        <v>8590</v>
      </c>
      <c r="L1229" s="2" t="s">
        <v>24</v>
      </c>
      <c r="M1229" s="2"/>
      <c r="N1229" t="s">
        <v>8588</v>
      </c>
      <c r="O1229" s="8" t="str">
        <f t="shared" si="38"/>
        <v/>
      </c>
      <c r="P1229" t="str">
        <f t="shared" si="39"/>
        <v>N/A</v>
      </c>
    </row>
    <row r="1230" spans="1:16" x14ac:dyDescent="0.25">
      <c r="A1230" s="2" t="s">
        <v>3377</v>
      </c>
      <c r="B1230" s="4">
        <v>46128.142361111109</v>
      </c>
      <c r="C1230" s="2" t="s">
        <v>53</v>
      </c>
      <c r="D1230" s="2" t="s">
        <v>54</v>
      </c>
      <c r="E1230" s="2" t="s">
        <v>79</v>
      </c>
      <c r="F1230" s="2" t="s">
        <v>30</v>
      </c>
      <c r="G1230" s="2" t="s">
        <v>179</v>
      </c>
      <c r="H1230" s="2" t="s">
        <v>74</v>
      </c>
      <c r="I1230" s="2">
        <v>8</v>
      </c>
      <c r="J1230" s="2" t="s">
        <v>75</v>
      </c>
      <c r="K1230" s="4">
        <v>46128.277083333334</v>
      </c>
      <c r="L1230" s="2" t="s">
        <v>24</v>
      </c>
      <c r="M1230" s="2">
        <v>2</v>
      </c>
      <c r="N1230" t="s">
        <v>8588</v>
      </c>
      <c r="O1230" s="8">
        <f t="shared" si="38"/>
        <v>3.2333333333954215</v>
      </c>
      <c r="P1230" t="str">
        <f t="shared" si="39"/>
        <v>N/A</v>
      </c>
    </row>
    <row r="1231" spans="1:16" x14ac:dyDescent="0.25">
      <c r="A1231" s="2" t="s">
        <v>3380</v>
      </c>
      <c r="B1231" s="4">
        <v>46145.866666666669</v>
      </c>
      <c r="C1231" s="2" t="s">
        <v>67</v>
      </c>
      <c r="D1231" s="2" t="s">
        <v>95</v>
      </c>
      <c r="E1231" s="2" t="s">
        <v>79</v>
      </c>
      <c r="F1231" s="2" t="s">
        <v>30</v>
      </c>
      <c r="G1231" s="2" t="s">
        <v>110</v>
      </c>
      <c r="H1231" s="2" t="s">
        <v>21</v>
      </c>
      <c r="I1231" s="2">
        <v>24</v>
      </c>
      <c r="J1231" s="2" t="s">
        <v>106</v>
      </c>
      <c r="K1231" s="4">
        <v>46146.011805555558</v>
      </c>
      <c r="L1231" s="2" t="s">
        <v>24</v>
      </c>
      <c r="M1231" s="2"/>
      <c r="N1231" t="s">
        <v>8584</v>
      </c>
      <c r="O1231" s="8">
        <f t="shared" si="38"/>
        <v>3.4833333333372138</v>
      </c>
      <c r="P1231" t="str">
        <f t="shared" si="39"/>
        <v>Yes</v>
      </c>
    </row>
    <row r="1232" spans="1:16" x14ac:dyDescent="0.25">
      <c r="A1232" s="2" t="s">
        <v>3383</v>
      </c>
      <c r="B1232" s="4">
        <v>46183.694444444445</v>
      </c>
      <c r="C1232" s="2" t="s">
        <v>67</v>
      </c>
      <c r="D1232" s="2" t="s">
        <v>68</v>
      </c>
      <c r="E1232" s="2" t="s">
        <v>148</v>
      </c>
      <c r="F1232" s="2" t="s">
        <v>113</v>
      </c>
      <c r="G1232" s="2" t="s">
        <v>183</v>
      </c>
      <c r="H1232" s="2" t="s">
        <v>74</v>
      </c>
      <c r="I1232" s="2">
        <v>8</v>
      </c>
      <c r="J1232" s="2" t="s">
        <v>106</v>
      </c>
      <c r="K1232" s="4">
        <v>46184.07708333333</v>
      </c>
      <c r="L1232" s="2" t="s">
        <v>24</v>
      </c>
      <c r="M1232" s="2">
        <v>5</v>
      </c>
      <c r="N1232" t="s">
        <v>8588</v>
      </c>
      <c r="O1232" s="8">
        <f t="shared" si="38"/>
        <v>9.1833333332324401</v>
      </c>
      <c r="P1232" t="str">
        <f t="shared" si="39"/>
        <v>No</v>
      </c>
    </row>
    <row r="1233" spans="1:16" x14ac:dyDescent="0.25">
      <c r="A1233" s="2" t="s">
        <v>3386</v>
      </c>
      <c r="B1233" s="4">
        <v>46214.791666666664</v>
      </c>
      <c r="C1233" s="2" t="s">
        <v>53</v>
      </c>
      <c r="D1233" s="2" t="s">
        <v>54</v>
      </c>
      <c r="E1233" s="2" t="s">
        <v>90</v>
      </c>
      <c r="F1233" s="2" t="s">
        <v>55</v>
      </c>
      <c r="G1233" s="2" t="s">
        <v>179</v>
      </c>
      <c r="H1233" s="2" t="s">
        <v>21</v>
      </c>
      <c r="I1233" s="2">
        <v>24</v>
      </c>
      <c r="J1233" s="2" t="s">
        <v>106</v>
      </c>
      <c r="K1233" s="4">
        <v>46217.452777777777</v>
      </c>
      <c r="L1233" s="2" t="s">
        <v>24</v>
      </c>
      <c r="M1233" s="2">
        <v>5</v>
      </c>
      <c r="N1233" t="s">
        <v>8589</v>
      </c>
      <c r="O1233" s="8">
        <f t="shared" si="38"/>
        <v>63.866666666697711</v>
      </c>
      <c r="P1233" t="str">
        <f t="shared" si="39"/>
        <v>No</v>
      </c>
    </row>
    <row r="1234" spans="1:16" x14ac:dyDescent="0.25">
      <c r="A1234" s="2" t="s">
        <v>3389</v>
      </c>
      <c r="B1234" s="4">
        <v>46055.569444444445</v>
      </c>
      <c r="C1234" s="2" t="s">
        <v>67</v>
      </c>
      <c r="D1234" s="2" t="s">
        <v>95</v>
      </c>
      <c r="E1234" s="2" t="s">
        <v>148</v>
      </c>
      <c r="F1234" s="2" t="s">
        <v>55</v>
      </c>
      <c r="G1234" s="2" t="s">
        <v>101</v>
      </c>
      <c r="H1234" s="2" t="s">
        <v>21</v>
      </c>
      <c r="I1234" s="2">
        <v>24</v>
      </c>
      <c r="J1234" s="2" t="s">
        <v>106</v>
      </c>
      <c r="K1234" s="4">
        <v>46058.242361111108</v>
      </c>
      <c r="L1234" s="2" t="s">
        <v>24</v>
      </c>
      <c r="M1234" s="2"/>
      <c r="N1234" t="s">
        <v>8589</v>
      </c>
      <c r="O1234" s="8">
        <f t="shared" si="38"/>
        <v>64.149999999906868</v>
      </c>
      <c r="P1234" t="str">
        <f t="shared" si="39"/>
        <v>No</v>
      </c>
    </row>
    <row r="1235" spans="1:16" x14ac:dyDescent="0.25">
      <c r="A1235" s="2" t="s">
        <v>3392</v>
      </c>
      <c r="B1235" s="4">
        <v>46030.96875</v>
      </c>
      <c r="C1235" s="2" t="s">
        <v>67</v>
      </c>
      <c r="D1235" s="2" t="s">
        <v>68</v>
      </c>
      <c r="E1235" s="2" t="s">
        <v>38</v>
      </c>
      <c r="F1235" s="2" t="s">
        <v>113</v>
      </c>
      <c r="G1235" s="2" t="s">
        <v>179</v>
      </c>
      <c r="H1235" s="2" t="s">
        <v>32</v>
      </c>
      <c r="I1235" s="2">
        <v>48</v>
      </c>
      <c r="J1235" s="2" t="s">
        <v>287</v>
      </c>
      <c r="K1235" s="4" t="s">
        <v>8590</v>
      </c>
      <c r="L1235" s="2" t="s">
        <v>24</v>
      </c>
      <c r="M1235" s="2"/>
      <c r="N1235" t="s">
        <v>8589</v>
      </c>
      <c r="O1235" s="8" t="str">
        <f t="shared" si="38"/>
        <v/>
      </c>
      <c r="P1235" t="str">
        <f t="shared" si="39"/>
        <v>N/A</v>
      </c>
    </row>
    <row r="1236" spans="1:16" x14ac:dyDescent="0.25">
      <c r="A1236" s="2" t="s">
        <v>3394</v>
      </c>
      <c r="B1236" s="4">
        <v>46030.173611111109</v>
      </c>
      <c r="C1236" s="2" t="s">
        <v>53</v>
      </c>
      <c r="D1236" s="2" t="s">
        <v>54</v>
      </c>
      <c r="E1236" s="2" t="s">
        <v>18</v>
      </c>
      <c r="F1236" s="2" t="s">
        <v>96</v>
      </c>
      <c r="G1236" s="2" t="s">
        <v>183</v>
      </c>
      <c r="H1236" s="2" t="s">
        <v>21</v>
      </c>
      <c r="I1236" s="2">
        <v>24</v>
      </c>
      <c r="J1236" s="2" t="s">
        <v>106</v>
      </c>
      <c r="K1236" s="4">
        <v>46030.864583333336</v>
      </c>
      <c r="L1236" s="2" t="s">
        <v>24</v>
      </c>
      <c r="M1236" s="2"/>
      <c r="N1236" t="s">
        <v>8588</v>
      </c>
      <c r="O1236" s="8">
        <f t="shared" si="38"/>
        <v>16.583333333430346</v>
      </c>
      <c r="P1236" t="str">
        <f t="shared" si="39"/>
        <v>Yes</v>
      </c>
    </row>
    <row r="1237" spans="1:16" x14ac:dyDescent="0.25">
      <c r="A1237" s="2" t="s">
        <v>3397</v>
      </c>
      <c r="B1237" s="4">
        <v>46144.872916666667</v>
      </c>
      <c r="C1237" s="2" t="s">
        <v>53</v>
      </c>
      <c r="D1237" s="2" t="s">
        <v>61</v>
      </c>
      <c r="E1237" s="2" t="s">
        <v>18</v>
      </c>
      <c r="F1237" s="2" t="s">
        <v>55</v>
      </c>
      <c r="G1237" s="2" t="s">
        <v>183</v>
      </c>
      <c r="H1237" s="2" t="s">
        <v>74</v>
      </c>
      <c r="I1237" s="2">
        <v>8</v>
      </c>
      <c r="J1237" s="2" t="s">
        <v>106</v>
      </c>
      <c r="K1237" s="4">
        <v>46145.135416666664</v>
      </c>
      <c r="L1237" s="2" t="s">
        <v>24</v>
      </c>
      <c r="M1237" s="2">
        <v>5</v>
      </c>
      <c r="N1237" t="s">
        <v>8584</v>
      </c>
      <c r="O1237" s="8">
        <f t="shared" si="38"/>
        <v>6.2999999999301508</v>
      </c>
      <c r="P1237" t="str">
        <f t="shared" si="39"/>
        <v>Yes</v>
      </c>
    </row>
    <row r="1238" spans="1:16" x14ac:dyDescent="0.25">
      <c r="A1238" s="2" t="s">
        <v>3400</v>
      </c>
      <c r="B1238" s="4">
        <v>46025.841666666667</v>
      </c>
      <c r="C1238" s="2" t="s">
        <v>28</v>
      </c>
      <c r="D1238" s="2" t="s">
        <v>100</v>
      </c>
      <c r="E1238" s="2" t="s">
        <v>148</v>
      </c>
      <c r="F1238" s="2" t="s">
        <v>96</v>
      </c>
      <c r="G1238" s="2" t="s">
        <v>183</v>
      </c>
      <c r="H1238" s="2" t="s">
        <v>21</v>
      </c>
      <c r="I1238" s="2">
        <v>24</v>
      </c>
      <c r="J1238" s="2" t="s">
        <v>106</v>
      </c>
      <c r="K1238" s="4">
        <v>46026.054166666669</v>
      </c>
      <c r="L1238" s="2" t="s">
        <v>24</v>
      </c>
      <c r="M1238" s="2">
        <v>5</v>
      </c>
      <c r="N1238" t="s">
        <v>8581</v>
      </c>
      <c r="O1238" s="8">
        <f t="shared" si="38"/>
        <v>5.1000000000349246</v>
      </c>
      <c r="P1238" t="str">
        <f t="shared" si="39"/>
        <v>Yes</v>
      </c>
    </row>
    <row r="1239" spans="1:16" x14ac:dyDescent="0.25">
      <c r="A1239" s="2" t="s">
        <v>3403</v>
      </c>
      <c r="B1239" s="4">
        <v>46189.077777777777</v>
      </c>
      <c r="C1239" s="2" t="s">
        <v>16</v>
      </c>
      <c r="D1239" s="2" t="s">
        <v>17</v>
      </c>
      <c r="E1239" s="2" t="s">
        <v>38</v>
      </c>
      <c r="F1239" s="2" t="s">
        <v>55</v>
      </c>
      <c r="G1239" s="2" t="s">
        <v>179</v>
      </c>
      <c r="H1239" s="2" t="s">
        <v>32</v>
      </c>
      <c r="I1239" s="2">
        <v>48</v>
      </c>
      <c r="J1239" s="2" t="s">
        <v>149</v>
      </c>
      <c r="K1239" s="4" t="s">
        <v>8590</v>
      </c>
      <c r="L1239" s="2" t="s">
        <v>24</v>
      </c>
      <c r="M1239" s="2"/>
      <c r="N1239" t="s">
        <v>8586</v>
      </c>
      <c r="O1239" s="8" t="str">
        <f t="shared" si="38"/>
        <v/>
      </c>
      <c r="P1239" t="str">
        <f t="shared" si="39"/>
        <v>N/A</v>
      </c>
    </row>
    <row r="1240" spans="1:16" x14ac:dyDescent="0.25">
      <c r="A1240" s="2" t="s">
        <v>3405</v>
      </c>
      <c r="B1240" s="4">
        <v>46125.005555555559</v>
      </c>
      <c r="C1240" s="2" t="s">
        <v>53</v>
      </c>
      <c r="D1240" s="2" t="s">
        <v>54</v>
      </c>
      <c r="E1240" s="2" t="s">
        <v>85</v>
      </c>
      <c r="F1240" s="2" t="s">
        <v>96</v>
      </c>
      <c r="G1240" s="2" t="s">
        <v>101</v>
      </c>
      <c r="H1240" s="2" t="s">
        <v>21</v>
      </c>
      <c r="I1240" s="2">
        <v>24</v>
      </c>
      <c r="J1240" s="2" t="s">
        <v>149</v>
      </c>
      <c r="K1240" s="4" t="s">
        <v>8590</v>
      </c>
      <c r="L1240" s="2" t="s">
        <v>24</v>
      </c>
      <c r="M1240" s="2"/>
      <c r="N1240" t="s">
        <v>8581</v>
      </c>
      <c r="O1240" s="8" t="str">
        <f t="shared" si="38"/>
        <v/>
      </c>
      <c r="P1240" t="str">
        <f t="shared" si="39"/>
        <v>N/A</v>
      </c>
    </row>
    <row r="1241" spans="1:16" x14ac:dyDescent="0.25">
      <c r="A1241" s="2" t="s">
        <v>3407</v>
      </c>
      <c r="B1241" s="4">
        <v>46086.217361111114</v>
      </c>
      <c r="C1241" s="2" t="s">
        <v>53</v>
      </c>
      <c r="D1241" s="2" t="s">
        <v>61</v>
      </c>
      <c r="E1241" s="2" t="s">
        <v>85</v>
      </c>
      <c r="F1241" s="2" t="s">
        <v>96</v>
      </c>
      <c r="G1241" s="2" t="s">
        <v>179</v>
      </c>
      <c r="H1241" s="2" t="s">
        <v>74</v>
      </c>
      <c r="I1241" s="2">
        <v>8</v>
      </c>
      <c r="J1241" s="2" t="s">
        <v>149</v>
      </c>
      <c r="K1241" s="4" t="s">
        <v>8590</v>
      </c>
      <c r="L1241" s="2" t="s">
        <v>24</v>
      </c>
      <c r="M1241" s="2"/>
      <c r="N1241" t="s">
        <v>8585</v>
      </c>
      <c r="O1241" s="8" t="str">
        <f t="shared" si="38"/>
        <v/>
      </c>
      <c r="P1241" t="str">
        <f t="shared" si="39"/>
        <v>N/A</v>
      </c>
    </row>
    <row r="1242" spans="1:16" x14ac:dyDescent="0.25">
      <c r="A1242" s="2" t="s">
        <v>3409</v>
      </c>
      <c r="B1242" s="4">
        <v>46032.659722222219</v>
      </c>
      <c r="C1242" s="2" t="s">
        <v>53</v>
      </c>
      <c r="D1242" s="2" t="s">
        <v>54</v>
      </c>
      <c r="E1242" s="2" t="s">
        <v>148</v>
      </c>
      <c r="F1242" s="2" t="s">
        <v>96</v>
      </c>
      <c r="G1242" s="2" t="s">
        <v>101</v>
      </c>
      <c r="H1242" s="2" t="s">
        <v>32</v>
      </c>
      <c r="I1242" s="2">
        <v>48</v>
      </c>
      <c r="J1242" s="2" t="s">
        <v>8580</v>
      </c>
      <c r="K1242" s="4">
        <v>46033.975694444445</v>
      </c>
      <c r="L1242" s="2" t="s">
        <v>24</v>
      </c>
      <c r="M1242" s="2"/>
      <c r="N1242" t="s">
        <v>8583</v>
      </c>
      <c r="O1242" s="8">
        <f t="shared" si="38"/>
        <v>31.583333333430346</v>
      </c>
      <c r="P1242" t="str">
        <f t="shared" si="39"/>
        <v>N/A</v>
      </c>
    </row>
    <row r="1243" spans="1:16" x14ac:dyDescent="0.25">
      <c r="A1243" s="2" t="s">
        <v>3412</v>
      </c>
      <c r="B1243" s="4">
        <v>46046.175000000003</v>
      </c>
      <c r="C1243" s="2" t="s">
        <v>53</v>
      </c>
      <c r="D1243" s="2" t="s">
        <v>61</v>
      </c>
      <c r="E1243" s="2" t="s">
        <v>79</v>
      </c>
      <c r="F1243" s="2" t="s">
        <v>96</v>
      </c>
      <c r="G1243" s="2" t="s">
        <v>101</v>
      </c>
      <c r="H1243" s="2" t="s">
        <v>74</v>
      </c>
      <c r="I1243" s="2">
        <v>8</v>
      </c>
      <c r="J1243" s="2" t="s">
        <v>106</v>
      </c>
      <c r="K1243" s="4">
        <v>46046.68472222222</v>
      </c>
      <c r="L1243" s="2" t="s">
        <v>24</v>
      </c>
      <c r="M1243" s="2"/>
      <c r="N1243" t="s">
        <v>8581</v>
      </c>
      <c r="O1243" s="8">
        <f t="shared" si="38"/>
        <v>12.233333333220799</v>
      </c>
      <c r="P1243" t="str">
        <f t="shared" si="39"/>
        <v>No</v>
      </c>
    </row>
    <row r="1244" spans="1:16" x14ac:dyDescent="0.25">
      <c r="A1244" s="2" t="s">
        <v>3415</v>
      </c>
      <c r="B1244" s="4">
        <v>46080.666666666664</v>
      </c>
      <c r="C1244" s="2" t="s">
        <v>16</v>
      </c>
      <c r="D1244" s="2" t="s">
        <v>17</v>
      </c>
      <c r="E1244" s="2" t="s">
        <v>79</v>
      </c>
      <c r="F1244" s="2" t="s">
        <v>55</v>
      </c>
      <c r="G1244" s="2" t="s">
        <v>31</v>
      </c>
      <c r="H1244" s="2" t="s">
        <v>32</v>
      </c>
      <c r="I1244" s="2">
        <v>48</v>
      </c>
      <c r="J1244" s="2" t="s">
        <v>75</v>
      </c>
      <c r="K1244" s="4">
        <v>46084.70416666667</v>
      </c>
      <c r="L1244" s="2" t="s">
        <v>24</v>
      </c>
      <c r="M1244" s="2">
        <v>4</v>
      </c>
      <c r="N1244" t="s">
        <v>8588</v>
      </c>
      <c r="O1244" s="8">
        <f t="shared" si="38"/>
        <v>96.900000000139698</v>
      </c>
      <c r="P1244" t="str">
        <f t="shared" si="39"/>
        <v>N/A</v>
      </c>
    </row>
    <row r="1245" spans="1:16" x14ac:dyDescent="0.25">
      <c r="A1245" s="2" t="s">
        <v>3418</v>
      </c>
      <c r="B1245" s="4">
        <v>46260.143055555556</v>
      </c>
      <c r="C1245" s="2" t="s">
        <v>53</v>
      </c>
      <c r="D1245" s="2" t="s">
        <v>61</v>
      </c>
      <c r="E1245" s="2" t="s">
        <v>18</v>
      </c>
      <c r="F1245" s="2" t="s">
        <v>30</v>
      </c>
      <c r="G1245" s="2" t="s">
        <v>179</v>
      </c>
      <c r="H1245" s="2" t="s">
        <v>21</v>
      </c>
      <c r="I1245" s="2">
        <v>24</v>
      </c>
      <c r="J1245" s="2" t="s">
        <v>106</v>
      </c>
      <c r="K1245" s="4" t="s">
        <v>8590</v>
      </c>
      <c r="L1245" s="2" t="s">
        <v>24</v>
      </c>
      <c r="M1245" s="2"/>
      <c r="N1245" t="s">
        <v>8585</v>
      </c>
      <c r="O1245" s="8" t="str">
        <f t="shared" si="38"/>
        <v/>
      </c>
      <c r="P1245" t="str">
        <f t="shared" si="39"/>
        <v>No</v>
      </c>
    </row>
    <row r="1246" spans="1:16" x14ac:dyDescent="0.25">
      <c r="A1246" s="2" t="s">
        <v>3420</v>
      </c>
      <c r="B1246" s="4">
        <v>46166.862500000003</v>
      </c>
      <c r="C1246" s="2" t="s">
        <v>16</v>
      </c>
      <c r="D1246" s="2" t="s">
        <v>84</v>
      </c>
      <c r="E1246" s="2" t="s">
        <v>18</v>
      </c>
      <c r="F1246" s="2" t="s">
        <v>55</v>
      </c>
      <c r="G1246" s="2" t="s">
        <v>101</v>
      </c>
      <c r="H1246" s="2" t="s">
        <v>21</v>
      </c>
      <c r="I1246" s="2">
        <v>24</v>
      </c>
      <c r="J1246" s="2" t="s">
        <v>106</v>
      </c>
      <c r="K1246" s="4">
        <v>46167.747916666667</v>
      </c>
      <c r="L1246" s="2" t="s">
        <v>24</v>
      </c>
      <c r="M1246" s="2"/>
      <c r="N1246" t="s">
        <v>8587</v>
      </c>
      <c r="O1246" s="8">
        <f t="shared" si="38"/>
        <v>21.249999999941792</v>
      </c>
      <c r="P1246" t="str">
        <f t="shared" si="39"/>
        <v>Yes</v>
      </c>
    </row>
    <row r="1247" spans="1:16" x14ac:dyDescent="0.25">
      <c r="A1247" s="2" t="s">
        <v>3423</v>
      </c>
      <c r="B1247" s="4">
        <v>46034.84375</v>
      </c>
      <c r="C1247" s="2" t="s">
        <v>16</v>
      </c>
      <c r="D1247" s="2" t="s">
        <v>84</v>
      </c>
      <c r="E1247" s="2" t="s">
        <v>79</v>
      </c>
      <c r="F1247" s="2" t="s">
        <v>113</v>
      </c>
      <c r="G1247" s="2" t="s">
        <v>31</v>
      </c>
      <c r="H1247" s="2" t="s">
        <v>32</v>
      </c>
      <c r="I1247" s="2">
        <v>48</v>
      </c>
      <c r="J1247" s="2" t="s">
        <v>287</v>
      </c>
      <c r="K1247" s="4" t="s">
        <v>8590</v>
      </c>
      <c r="L1247" s="2" t="s">
        <v>24</v>
      </c>
      <c r="M1247" s="2"/>
      <c r="N1247" t="s">
        <v>8583</v>
      </c>
      <c r="O1247" s="8" t="str">
        <f t="shared" si="38"/>
        <v/>
      </c>
      <c r="P1247" t="str">
        <f t="shared" si="39"/>
        <v>N/A</v>
      </c>
    </row>
    <row r="1248" spans="1:16" x14ac:dyDescent="0.25">
      <c r="A1248" s="2" t="s">
        <v>3425</v>
      </c>
      <c r="B1248" s="4">
        <v>46029.039583333331</v>
      </c>
      <c r="C1248" s="2" t="s">
        <v>16</v>
      </c>
      <c r="D1248" s="2" t="s">
        <v>84</v>
      </c>
      <c r="E1248" s="2" t="s">
        <v>148</v>
      </c>
      <c r="F1248" s="2" t="s">
        <v>113</v>
      </c>
      <c r="G1248" s="2" t="s">
        <v>183</v>
      </c>
      <c r="H1248" s="2" t="s">
        <v>21</v>
      </c>
      <c r="I1248" s="2">
        <v>24</v>
      </c>
      <c r="J1248" s="2" t="s">
        <v>8580</v>
      </c>
      <c r="K1248" s="4">
        <v>46029.936805555553</v>
      </c>
      <c r="L1248" s="2" t="s">
        <v>24</v>
      </c>
      <c r="M1248" s="2"/>
      <c r="N1248" t="s">
        <v>8589</v>
      </c>
      <c r="O1248" s="8">
        <f t="shared" si="38"/>
        <v>21.533333333325572</v>
      </c>
      <c r="P1248" t="str">
        <f t="shared" si="39"/>
        <v>N/A</v>
      </c>
    </row>
    <row r="1249" spans="1:16" x14ac:dyDescent="0.25">
      <c r="A1249" s="2" t="s">
        <v>3428</v>
      </c>
      <c r="B1249" s="4">
        <v>46152.886805555558</v>
      </c>
      <c r="C1249" s="2" t="s">
        <v>67</v>
      </c>
      <c r="D1249" s="2" t="s">
        <v>68</v>
      </c>
      <c r="E1249" s="2" t="s">
        <v>46</v>
      </c>
      <c r="F1249" s="2" t="s">
        <v>55</v>
      </c>
      <c r="G1249" s="2" t="s">
        <v>31</v>
      </c>
      <c r="H1249" s="2" t="s">
        <v>32</v>
      </c>
      <c r="I1249" s="2">
        <v>48</v>
      </c>
      <c r="J1249" s="2" t="s">
        <v>75</v>
      </c>
      <c r="K1249" s="4">
        <v>46158.279166666667</v>
      </c>
      <c r="L1249" s="2" t="s">
        <v>24</v>
      </c>
      <c r="M1249" s="2">
        <v>3</v>
      </c>
      <c r="N1249" t="s">
        <v>8581</v>
      </c>
      <c r="O1249" s="8">
        <f t="shared" si="38"/>
        <v>129.41666666662786</v>
      </c>
      <c r="P1249" t="str">
        <f t="shared" si="39"/>
        <v>N/A</v>
      </c>
    </row>
    <row r="1250" spans="1:16" x14ac:dyDescent="0.25">
      <c r="A1250" s="2" t="s">
        <v>3431</v>
      </c>
      <c r="B1250" s="4">
        <v>46203.463888888888</v>
      </c>
      <c r="C1250" s="2" t="s">
        <v>67</v>
      </c>
      <c r="D1250" s="2" t="s">
        <v>95</v>
      </c>
      <c r="E1250" s="2" t="s">
        <v>148</v>
      </c>
      <c r="F1250" s="2" t="s">
        <v>96</v>
      </c>
      <c r="G1250" s="2" t="s">
        <v>211</v>
      </c>
      <c r="H1250" s="2" t="s">
        <v>21</v>
      </c>
      <c r="I1250" s="2">
        <v>24</v>
      </c>
      <c r="J1250" s="2" t="s">
        <v>106</v>
      </c>
      <c r="K1250" s="4">
        <v>46203.506249999999</v>
      </c>
      <c r="L1250" s="2" t="s">
        <v>24</v>
      </c>
      <c r="M1250" s="2">
        <v>5</v>
      </c>
      <c r="N1250" t="s">
        <v>8582</v>
      </c>
      <c r="O1250" s="8">
        <f t="shared" si="38"/>
        <v>1.0166666666627862</v>
      </c>
      <c r="P1250" t="str">
        <f t="shared" si="39"/>
        <v>Yes</v>
      </c>
    </row>
    <row r="1251" spans="1:16" x14ac:dyDescent="0.25">
      <c r="A1251" s="2" t="s">
        <v>3434</v>
      </c>
      <c r="B1251" s="4">
        <v>46056.898611111108</v>
      </c>
      <c r="C1251" s="2" t="s">
        <v>16</v>
      </c>
      <c r="D1251" s="2" t="s">
        <v>84</v>
      </c>
      <c r="E1251" s="2" t="s">
        <v>38</v>
      </c>
      <c r="F1251" s="2" t="s">
        <v>30</v>
      </c>
      <c r="G1251" s="2" t="s">
        <v>179</v>
      </c>
      <c r="H1251" s="2" t="s">
        <v>74</v>
      </c>
      <c r="I1251" s="2">
        <v>8</v>
      </c>
      <c r="J1251" s="2" t="s">
        <v>287</v>
      </c>
      <c r="K1251" s="4" t="s">
        <v>8590</v>
      </c>
      <c r="L1251" s="2" t="s">
        <v>24</v>
      </c>
      <c r="M1251" s="2"/>
      <c r="N1251" t="s">
        <v>8588</v>
      </c>
      <c r="O1251" s="8" t="str">
        <f t="shared" si="38"/>
        <v/>
      </c>
      <c r="P1251" t="str">
        <f t="shared" si="39"/>
        <v>N/A</v>
      </c>
    </row>
    <row r="1252" spans="1:16" x14ac:dyDescent="0.25">
      <c r="A1252" s="2" t="s">
        <v>3436</v>
      </c>
      <c r="B1252" s="4">
        <v>46090.168055555558</v>
      </c>
      <c r="C1252" s="2" t="s">
        <v>16</v>
      </c>
      <c r="D1252" s="2" t="s">
        <v>17</v>
      </c>
      <c r="E1252" s="2" t="s">
        <v>79</v>
      </c>
      <c r="F1252" s="2" t="s">
        <v>113</v>
      </c>
      <c r="G1252" s="2" t="s">
        <v>110</v>
      </c>
      <c r="H1252" s="2" t="s">
        <v>74</v>
      </c>
      <c r="I1252" s="2">
        <v>8</v>
      </c>
      <c r="J1252" s="2" t="s">
        <v>75</v>
      </c>
      <c r="K1252" s="4">
        <v>46090.958333333336</v>
      </c>
      <c r="L1252" s="2" t="s">
        <v>24</v>
      </c>
      <c r="M1252" s="2">
        <v>1</v>
      </c>
      <c r="N1252" t="s">
        <v>8587</v>
      </c>
      <c r="O1252" s="8">
        <f t="shared" si="38"/>
        <v>18.966666666674428</v>
      </c>
      <c r="P1252" t="str">
        <f t="shared" si="39"/>
        <v>N/A</v>
      </c>
    </row>
    <row r="1253" spans="1:16" x14ac:dyDescent="0.25">
      <c r="A1253" s="2" t="s">
        <v>3439</v>
      </c>
      <c r="B1253" s="4">
        <v>46104.359722222223</v>
      </c>
      <c r="C1253" s="2" t="s">
        <v>67</v>
      </c>
      <c r="D1253" s="2" t="s">
        <v>68</v>
      </c>
      <c r="E1253" s="2" t="s">
        <v>148</v>
      </c>
      <c r="F1253" s="2" t="s">
        <v>96</v>
      </c>
      <c r="G1253" s="2" t="s">
        <v>110</v>
      </c>
      <c r="H1253" s="2" t="s">
        <v>74</v>
      </c>
      <c r="I1253" s="2">
        <v>8</v>
      </c>
      <c r="J1253" s="2" t="s">
        <v>11</v>
      </c>
      <c r="K1253" s="4" t="s">
        <v>8590</v>
      </c>
      <c r="L1253" s="2" t="s">
        <v>92</v>
      </c>
      <c r="M1253" s="2"/>
      <c r="N1253" t="s">
        <v>8585</v>
      </c>
      <c r="O1253" s="8" t="str">
        <f t="shared" si="38"/>
        <v/>
      </c>
      <c r="P1253" t="str">
        <f t="shared" si="39"/>
        <v>N/A</v>
      </c>
    </row>
    <row r="1254" spans="1:16" x14ac:dyDescent="0.25">
      <c r="A1254" s="2" t="s">
        <v>3441</v>
      </c>
      <c r="B1254" s="4">
        <v>46177.548611111109</v>
      </c>
      <c r="C1254" s="2" t="s">
        <v>53</v>
      </c>
      <c r="D1254" s="2" t="s">
        <v>61</v>
      </c>
      <c r="E1254" s="2" t="s">
        <v>148</v>
      </c>
      <c r="F1254" s="2" t="s">
        <v>30</v>
      </c>
      <c r="G1254" s="2" t="s">
        <v>110</v>
      </c>
      <c r="H1254" s="2" t="s">
        <v>32</v>
      </c>
      <c r="I1254" s="2">
        <v>48</v>
      </c>
      <c r="J1254" s="2" t="s">
        <v>287</v>
      </c>
      <c r="K1254" s="4" t="s">
        <v>8590</v>
      </c>
      <c r="L1254" s="2" t="s">
        <v>24</v>
      </c>
      <c r="M1254" s="2"/>
      <c r="N1254" t="s">
        <v>8589</v>
      </c>
      <c r="O1254" s="8" t="str">
        <f t="shared" si="38"/>
        <v/>
      </c>
      <c r="P1254" t="str">
        <f t="shared" si="39"/>
        <v>N/A</v>
      </c>
    </row>
    <row r="1255" spans="1:16" x14ac:dyDescent="0.25">
      <c r="A1255" s="2" t="s">
        <v>3443</v>
      </c>
      <c r="B1255" s="4">
        <v>46189.813888888886</v>
      </c>
      <c r="C1255" s="2" t="s">
        <v>28</v>
      </c>
      <c r="D1255" s="2" t="s">
        <v>100</v>
      </c>
      <c r="E1255" s="2" t="s">
        <v>85</v>
      </c>
      <c r="F1255" s="2" t="s">
        <v>96</v>
      </c>
      <c r="G1255" s="2" t="s">
        <v>183</v>
      </c>
      <c r="H1255" s="2" t="s">
        <v>74</v>
      </c>
      <c r="I1255" s="2">
        <v>8</v>
      </c>
      <c r="J1255" s="2" t="s">
        <v>106</v>
      </c>
      <c r="K1255" s="4">
        <v>46190.327777777777</v>
      </c>
      <c r="L1255" s="2" t="s">
        <v>24</v>
      </c>
      <c r="M1255" s="2">
        <v>5</v>
      </c>
      <c r="N1255" t="s">
        <v>8584</v>
      </c>
      <c r="O1255" s="8">
        <f t="shared" si="38"/>
        <v>12.333333333372138</v>
      </c>
      <c r="P1255" t="str">
        <f t="shared" si="39"/>
        <v>No</v>
      </c>
    </row>
    <row r="1256" spans="1:16" x14ac:dyDescent="0.25">
      <c r="A1256" s="2" t="s">
        <v>3446</v>
      </c>
      <c r="B1256" s="4">
        <v>46071.680555555555</v>
      </c>
      <c r="C1256" s="2" t="s">
        <v>28</v>
      </c>
      <c r="D1256" s="2" t="s">
        <v>37</v>
      </c>
      <c r="E1256" s="2" t="s">
        <v>79</v>
      </c>
      <c r="F1256" s="2" t="s">
        <v>30</v>
      </c>
      <c r="G1256" s="2" t="s">
        <v>31</v>
      </c>
      <c r="H1256" s="2" t="s">
        <v>80</v>
      </c>
      <c r="I1256" s="2">
        <v>4</v>
      </c>
      <c r="J1256" s="2" t="s">
        <v>149</v>
      </c>
      <c r="K1256" s="4" t="s">
        <v>8590</v>
      </c>
      <c r="L1256" s="2" t="s">
        <v>24</v>
      </c>
      <c r="M1256" s="2"/>
      <c r="N1256" t="s">
        <v>8588</v>
      </c>
      <c r="O1256" s="8" t="str">
        <f t="shared" si="38"/>
        <v/>
      </c>
      <c r="P1256" t="str">
        <f t="shared" si="39"/>
        <v>N/A</v>
      </c>
    </row>
    <row r="1257" spans="1:16" x14ac:dyDescent="0.25">
      <c r="A1257" s="2" t="s">
        <v>3448</v>
      </c>
      <c r="B1257" s="4">
        <v>46045.995138888888</v>
      </c>
      <c r="C1257" s="2" t="s">
        <v>16</v>
      </c>
      <c r="D1257" s="2" t="s">
        <v>84</v>
      </c>
      <c r="E1257" s="2" t="s">
        <v>85</v>
      </c>
      <c r="F1257" s="2" t="s">
        <v>113</v>
      </c>
      <c r="G1257" s="2" t="s">
        <v>101</v>
      </c>
      <c r="H1257" s="2" t="s">
        <v>80</v>
      </c>
      <c r="I1257" s="2">
        <v>4</v>
      </c>
      <c r="J1257" s="2" t="s">
        <v>287</v>
      </c>
      <c r="K1257" s="4" t="s">
        <v>8590</v>
      </c>
      <c r="L1257" s="2" t="s">
        <v>24</v>
      </c>
      <c r="M1257" s="2"/>
      <c r="N1257" t="s">
        <v>8588</v>
      </c>
      <c r="O1257" s="8" t="str">
        <f t="shared" si="38"/>
        <v/>
      </c>
      <c r="P1257" t="str">
        <f t="shared" si="39"/>
        <v>N/A</v>
      </c>
    </row>
    <row r="1258" spans="1:16" x14ac:dyDescent="0.25">
      <c r="A1258" s="2" t="s">
        <v>3450</v>
      </c>
      <c r="B1258" s="4">
        <v>46154.793749999997</v>
      </c>
      <c r="C1258" s="2" t="s">
        <v>28</v>
      </c>
      <c r="D1258" s="2" t="s">
        <v>37</v>
      </c>
      <c r="E1258" s="2" t="s">
        <v>46</v>
      </c>
      <c r="F1258" s="2" t="s">
        <v>113</v>
      </c>
      <c r="G1258" s="2" t="s">
        <v>31</v>
      </c>
      <c r="H1258" s="2" t="s">
        <v>21</v>
      </c>
      <c r="I1258" s="2">
        <v>24</v>
      </c>
      <c r="J1258" s="2" t="s">
        <v>287</v>
      </c>
      <c r="K1258" s="4" t="s">
        <v>8590</v>
      </c>
      <c r="L1258" s="2" t="s">
        <v>24</v>
      </c>
      <c r="M1258" s="2"/>
      <c r="N1258" t="s">
        <v>8581</v>
      </c>
      <c r="O1258" s="8" t="str">
        <f t="shared" si="38"/>
        <v/>
      </c>
      <c r="P1258" t="str">
        <f t="shared" si="39"/>
        <v>N/A</v>
      </c>
    </row>
    <row r="1259" spans="1:16" x14ac:dyDescent="0.25">
      <c r="A1259" s="2" t="s">
        <v>3452</v>
      </c>
      <c r="B1259" s="4">
        <v>46128.311805555553</v>
      </c>
      <c r="C1259" s="2" t="s">
        <v>67</v>
      </c>
      <c r="D1259" s="2" t="s">
        <v>95</v>
      </c>
      <c r="E1259" s="2" t="s">
        <v>90</v>
      </c>
      <c r="F1259" s="2" t="s">
        <v>96</v>
      </c>
      <c r="G1259" s="2" t="s">
        <v>183</v>
      </c>
      <c r="H1259" s="2" t="s">
        <v>80</v>
      </c>
      <c r="I1259" s="2">
        <v>4</v>
      </c>
      <c r="J1259" s="2" t="s">
        <v>287</v>
      </c>
      <c r="K1259" s="4" t="s">
        <v>8590</v>
      </c>
      <c r="L1259" s="2" t="s">
        <v>24</v>
      </c>
      <c r="M1259" s="2"/>
      <c r="N1259" t="s">
        <v>8581</v>
      </c>
      <c r="O1259" s="8" t="str">
        <f t="shared" si="38"/>
        <v/>
      </c>
      <c r="P1259" t="str">
        <f t="shared" si="39"/>
        <v>N/A</v>
      </c>
    </row>
    <row r="1260" spans="1:16" x14ac:dyDescent="0.25">
      <c r="A1260" s="2" t="s">
        <v>3454</v>
      </c>
      <c r="B1260" s="4">
        <v>46074.749305555553</v>
      </c>
      <c r="C1260" s="2" t="s">
        <v>53</v>
      </c>
      <c r="D1260" s="2" t="s">
        <v>54</v>
      </c>
      <c r="E1260" s="2" t="s">
        <v>90</v>
      </c>
      <c r="F1260" s="2" t="s">
        <v>96</v>
      </c>
      <c r="G1260" s="2" t="s">
        <v>31</v>
      </c>
      <c r="H1260" s="2" t="s">
        <v>21</v>
      </c>
      <c r="I1260" s="2">
        <v>24</v>
      </c>
      <c r="J1260" s="2" t="s">
        <v>106</v>
      </c>
      <c r="K1260" s="4" t="s">
        <v>8590</v>
      </c>
      <c r="L1260" s="2" t="s">
        <v>24</v>
      </c>
      <c r="M1260" s="2"/>
      <c r="N1260" t="s">
        <v>8582</v>
      </c>
      <c r="O1260" s="8" t="str">
        <f t="shared" si="38"/>
        <v/>
      </c>
      <c r="P1260" t="str">
        <f t="shared" si="39"/>
        <v>No</v>
      </c>
    </row>
    <row r="1261" spans="1:16" x14ac:dyDescent="0.25">
      <c r="A1261" s="2" t="s">
        <v>3456</v>
      </c>
      <c r="B1261" s="4">
        <v>46123.046527777777</v>
      </c>
      <c r="C1261" s="2" t="s">
        <v>67</v>
      </c>
      <c r="D1261" s="2" t="s">
        <v>68</v>
      </c>
      <c r="E1261" s="2" t="s">
        <v>18</v>
      </c>
      <c r="F1261" s="2" t="s">
        <v>55</v>
      </c>
      <c r="G1261" s="2" t="s">
        <v>101</v>
      </c>
      <c r="H1261" s="2" t="s">
        <v>21</v>
      </c>
      <c r="I1261" s="2">
        <v>24</v>
      </c>
      <c r="J1261" s="2" t="s">
        <v>106</v>
      </c>
      <c r="K1261" s="4">
        <v>46123.193055555559</v>
      </c>
      <c r="L1261" s="2" t="s">
        <v>24</v>
      </c>
      <c r="M1261" s="2">
        <v>4</v>
      </c>
      <c r="N1261" t="s">
        <v>8584</v>
      </c>
      <c r="O1261" s="8">
        <f t="shared" si="38"/>
        <v>3.5166666667792015</v>
      </c>
      <c r="P1261" t="str">
        <f t="shared" si="39"/>
        <v>Yes</v>
      </c>
    </row>
    <row r="1262" spans="1:16" x14ac:dyDescent="0.25">
      <c r="A1262" s="2" t="s">
        <v>3459</v>
      </c>
      <c r="B1262" s="4">
        <v>46235.558333333334</v>
      </c>
      <c r="C1262" s="2" t="s">
        <v>67</v>
      </c>
      <c r="D1262" s="2" t="s">
        <v>68</v>
      </c>
      <c r="E1262" s="2" t="s">
        <v>85</v>
      </c>
      <c r="F1262" s="2" t="s">
        <v>30</v>
      </c>
      <c r="G1262" s="2" t="s">
        <v>183</v>
      </c>
      <c r="H1262" s="2" t="s">
        <v>21</v>
      </c>
      <c r="I1262" s="2">
        <v>24</v>
      </c>
      <c r="J1262" s="2" t="s">
        <v>75</v>
      </c>
      <c r="K1262" s="4">
        <v>46237.607638888891</v>
      </c>
      <c r="L1262" s="2" t="s">
        <v>24</v>
      </c>
      <c r="M1262" s="2"/>
      <c r="N1262" t="s">
        <v>8586</v>
      </c>
      <c r="O1262" s="8">
        <f t="shared" si="38"/>
        <v>49.183333333348855</v>
      </c>
      <c r="P1262" t="str">
        <f t="shared" si="39"/>
        <v>N/A</v>
      </c>
    </row>
    <row r="1263" spans="1:16" x14ac:dyDescent="0.25">
      <c r="A1263" s="2" t="s">
        <v>3462</v>
      </c>
      <c r="B1263" s="4">
        <v>46067.136111111111</v>
      </c>
      <c r="C1263" s="2" t="s">
        <v>67</v>
      </c>
      <c r="D1263" s="2" t="s">
        <v>68</v>
      </c>
      <c r="E1263" s="2" t="s">
        <v>38</v>
      </c>
      <c r="F1263" s="2" t="s">
        <v>96</v>
      </c>
      <c r="G1263" s="2" t="s">
        <v>31</v>
      </c>
      <c r="H1263" s="2" t="s">
        <v>32</v>
      </c>
      <c r="I1263" s="2">
        <v>48</v>
      </c>
      <c r="J1263" s="2" t="s">
        <v>11</v>
      </c>
      <c r="K1263" s="4" t="s">
        <v>8590</v>
      </c>
      <c r="L1263" s="2" t="s">
        <v>92</v>
      </c>
      <c r="M1263" s="2"/>
      <c r="N1263" t="s">
        <v>8589</v>
      </c>
      <c r="O1263" s="8" t="str">
        <f t="shared" si="38"/>
        <v/>
      </c>
      <c r="P1263" t="str">
        <f t="shared" si="39"/>
        <v>N/A</v>
      </c>
    </row>
    <row r="1264" spans="1:16" x14ac:dyDescent="0.25">
      <c r="A1264" s="2" t="s">
        <v>3464</v>
      </c>
      <c r="B1264" s="4">
        <v>46111.072222222225</v>
      </c>
      <c r="C1264" s="2" t="s">
        <v>67</v>
      </c>
      <c r="D1264" s="2" t="s">
        <v>95</v>
      </c>
      <c r="E1264" s="2" t="s">
        <v>18</v>
      </c>
      <c r="F1264" s="2" t="s">
        <v>55</v>
      </c>
      <c r="G1264" s="2" t="s">
        <v>179</v>
      </c>
      <c r="H1264" s="2" t="s">
        <v>80</v>
      </c>
      <c r="I1264" s="2">
        <v>4</v>
      </c>
      <c r="J1264" s="2" t="s">
        <v>106</v>
      </c>
      <c r="K1264" s="4">
        <v>46111.101388888892</v>
      </c>
      <c r="L1264" s="2" t="s">
        <v>24</v>
      </c>
      <c r="M1264" s="2"/>
      <c r="N1264" t="s">
        <v>8589</v>
      </c>
      <c r="O1264" s="8">
        <f t="shared" si="38"/>
        <v>0.70000000001164153</v>
      </c>
      <c r="P1264" t="str">
        <f t="shared" si="39"/>
        <v>Yes</v>
      </c>
    </row>
    <row r="1265" spans="1:16" x14ac:dyDescent="0.25">
      <c r="A1265" s="2" t="s">
        <v>3467</v>
      </c>
      <c r="B1265" s="4">
        <v>46117.065972222219</v>
      </c>
      <c r="C1265" s="2" t="s">
        <v>53</v>
      </c>
      <c r="D1265" s="2" t="s">
        <v>61</v>
      </c>
      <c r="E1265" s="2" t="s">
        <v>46</v>
      </c>
      <c r="F1265" s="2" t="s">
        <v>96</v>
      </c>
      <c r="G1265" s="2" t="s">
        <v>110</v>
      </c>
      <c r="H1265" s="2" t="s">
        <v>32</v>
      </c>
      <c r="I1265" s="2">
        <v>48</v>
      </c>
      <c r="J1265" s="2" t="s">
        <v>106</v>
      </c>
      <c r="K1265" s="4">
        <v>46118.563194444447</v>
      </c>
      <c r="L1265" s="2" t="s">
        <v>24</v>
      </c>
      <c r="M1265" s="2">
        <v>4</v>
      </c>
      <c r="N1265" t="s">
        <v>8586</v>
      </c>
      <c r="O1265" s="8">
        <f t="shared" si="38"/>
        <v>35.933333333465271</v>
      </c>
      <c r="P1265" t="str">
        <f t="shared" si="39"/>
        <v>Yes</v>
      </c>
    </row>
    <row r="1266" spans="1:16" x14ac:dyDescent="0.25">
      <c r="A1266" s="2" t="s">
        <v>3470</v>
      </c>
      <c r="B1266" s="4">
        <v>46126.032638888886</v>
      </c>
      <c r="C1266" s="2" t="s">
        <v>53</v>
      </c>
      <c r="D1266" s="2" t="s">
        <v>54</v>
      </c>
      <c r="E1266" s="2" t="s">
        <v>85</v>
      </c>
      <c r="F1266" s="2" t="s">
        <v>96</v>
      </c>
      <c r="G1266" s="2" t="s">
        <v>179</v>
      </c>
      <c r="H1266" s="2" t="s">
        <v>74</v>
      </c>
      <c r="I1266" s="2">
        <v>8</v>
      </c>
      <c r="J1266" s="2" t="s">
        <v>11</v>
      </c>
      <c r="K1266" s="4" t="s">
        <v>8590</v>
      </c>
      <c r="L1266" s="2" t="s">
        <v>92</v>
      </c>
      <c r="M1266" s="2"/>
      <c r="N1266" t="s">
        <v>8589</v>
      </c>
      <c r="O1266" s="8" t="str">
        <f t="shared" si="38"/>
        <v/>
      </c>
      <c r="P1266" t="str">
        <f t="shared" si="39"/>
        <v>N/A</v>
      </c>
    </row>
    <row r="1267" spans="1:16" x14ac:dyDescent="0.25">
      <c r="A1267" s="2" t="s">
        <v>3472</v>
      </c>
      <c r="B1267" s="4">
        <v>46209.073611111111</v>
      </c>
      <c r="C1267" s="2" t="s">
        <v>53</v>
      </c>
      <c r="D1267" s="2" t="s">
        <v>54</v>
      </c>
      <c r="E1267" s="2" t="s">
        <v>148</v>
      </c>
      <c r="F1267" s="2" t="s">
        <v>55</v>
      </c>
      <c r="G1267" s="2" t="s">
        <v>179</v>
      </c>
      <c r="H1267" s="2" t="s">
        <v>21</v>
      </c>
      <c r="I1267" s="2">
        <v>24</v>
      </c>
      <c r="J1267" s="2" t="s">
        <v>75</v>
      </c>
      <c r="K1267" s="4">
        <v>46210.364583333336</v>
      </c>
      <c r="L1267" s="2" t="s">
        <v>24</v>
      </c>
      <c r="M1267" s="2">
        <v>4</v>
      </c>
      <c r="N1267" t="s">
        <v>8582</v>
      </c>
      <c r="O1267" s="8">
        <f t="shared" si="38"/>
        <v>30.983333333395422</v>
      </c>
      <c r="P1267" t="str">
        <f t="shared" si="39"/>
        <v>N/A</v>
      </c>
    </row>
    <row r="1268" spans="1:16" x14ac:dyDescent="0.25">
      <c r="A1268" s="2" t="s">
        <v>3475</v>
      </c>
      <c r="B1268" s="4">
        <v>46190.142361111109</v>
      </c>
      <c r="C1268" s="2" t="s">
        <v>28</v>
      </c>
      <c r="D1268" s="2" t="s">
        <v>100</v>
      </c>
      <c r="E1268" s="2" t="s">
        <v>85</v>
      </c>
      <c r="F1268" s="2" t="s">
        <v>113</v>
      </c>
      <c r="G1268" s="2" t="s">
        <v>179</v>
      </c>
      <c r="H1268" s="2" t="s">
        <v>80</v>
      </c>
      <c r="I1268" s="2">
        <v>4</v>
      </c>
      <c r="J1268" s="2" t="s">
        <v>11</v>
      </c>
      <c r="K1268" s="4" t="s">
        <v>8590</v>
      </c>
      <c r="L1268" s="2" t="s">
        <v>92</v>
      </c>
      <c r="M1268" s="2"/>
      <c r="N1268" t="s">
        <v>8589</v>
      </c>
      <c r="O1268" s="8" t="str">
        <f t="shared" si="38"/>
        <v/>
      </c>
      <c r="P1268" t="str">
        <f t="shared" si="39"/>
        <v>N/A</v>
      </c>
    </row>
    <row r="1269" spans="1:16" x14ac:dyDescent="0.25">
      <c r="A1269" s="2" t="s">
        <v>3477</v>
      </c>
      <c r="B1269" s="4">
        <v>46256.806944444441</v>
      </c>
      <c r="C1269" s="2" t="s">
        <v>53</v>
      </c>
      <c r="D1269" s="2" t="s">
        <v>54</v>
      </c>
      <c r="E1269" s="2" t="s">
        <v>18</v>
      </c>
      <c r="F1269" s="2" t="s">
        <v>96</v>
      </c>
      <c r="G1269" s="2" t="s">
        <v>183</v>
      </c>
      <c r="H1269" s="2" t="s">
        <v>32</v>
      </c>
      <c r="I1269" s="2">
        <v>48</v>
      </c>
      <c r="J1269" s="2" t="s">
        <v>11</v>
      </c>
      <c r="K1269" s="4" t="s">
        <v>8590</v>
      </c>
      <c r="L1269" s="2" t="s">
        <v>92</v>
      </c>
      <c r="M1269" s="2"/>
      <c r="N1269" t="s">
        <v>8587</v>
      </c>
      <c r="O1269" s="8" t="str">
        <f t="shared" si="38"/>
        <v/>
      </c>
      <c r="P1269" t="str">
        <f t="shared" si="39"/>
        <v>N/A</v>
      </c>
    </row>
    <row r="1270" spans="1:16" x14ac:dyDescent="0.25">
      <c r="A1270" s="2" t="s">
        <v>3479</v>
      </c>
      <c r="B1270" s="4">
        <v>46172.029861111114</v>
      </c>
      <c r="C1270" s="2" t="s">
        <v>28</v>
      </c>
      <c r="D1270" s="2" t="s">
        <v>37</v>
      </c>
      <c r="E1270" s="2" t="s">
        <v>18</v>
      </c>
      <c r="F1270" s="2" t="s">
        <v>30</v>
      </c>
      <c r="G1270" s="2" t="s">
        <v>110</v>
      </c>
      <c r="H1270" s="2" t="s">
        <v>74</v>
      </c>
      <c r="I1270" s="2">
        <v>8</v>
      </c>
      <c r="J1270" s="2" t="s">
        <v>106</v>
      </c>
      <c r="K1270" s="4">
        <v>46172.575694444444</v>
      </c>
      <c r="L1270" s="2" t="s">
        <v>24</v>
      </c>
      <c r="M1270" s="2"/>
      <c r="N1270" t="s">
        <v>8583</v>
      </c>
      <c r="O1270" s="8">
        <f t="shared" si="38"/>
        <v>13.099999999918509</v>
      </c>
      <c r="P1270" t="str">
        <f t="shared" si="39"/>
        <v>No</v>
      </c>
    </row>
    <row r="1271" spans="1:16" x14ac:dyDescent="0.25">
      <c r="A1271" s="2" t="s">
        <v>3482</v>
      </c>
      <c r="B1271" s="4">
        <v>46173.12777777778</v>
      </c>
      <c r="C1271" s="2" t="s">
        <v>53</v>
      </c>
      <c r="D1271" s="2" t="s">
        <v>54</v>
      </c>
      <c r="E1271" s="2" t="s">
        <v>18</v>
      </c>
      <c r="F1271" s="2" t="s">
        <v>55</v>
      </c>
      <c r="G1271" s="2" t="s">
        <v>31</v>
      </c>
      <c r="H1271" s="2" t="s">
        <v>32</v>
      </c>
      <c r="I1271" s="2">
        <v>48</v>
      </c>
      <c r="J1271" s="2" t="s">
        <v>149</v>
      </c>
      <c r="K1271" s="4" t="s">
        <v>8590</v>
      </c>
      <c r="L1271" s="2" t="s">
        <v>24</v>
      </c>
      <c r="M1271" s="2"/>
      <c r="N1271" t="s">
        <v>8584</v>
      </c>
      <c r="O1271" s="8" t="str">
        <f t="shared" si="38"/>
        <v/>
      </c>
      <c r="P1271" t="str">
        <f t="shared" si="39"/>
        <v>N/A</v>
      </c>
    </row>
    <row r="1272" spans="1:16" x14ac:dyDescent="0.25">
      <c r="A1272" s="2" t="s">
        <v>3484</v>
      </c>
      <c r="B1272" s="4">
        <v>46023.381944444445</v>
      </c>
      <c r="C1272" s="2" t="s">
        <v>16</v>
      </c>
      <c r="D1272" s="2" t="s">
        <v>17</v>
      </c>
      <c r="E1272" s="2" t="s">
        <v>18</v>
      </c>
      <c r="F1272" s="2" t="s">
        <v>96</v>
      </c>
      <c r="G1272" s="2" t="s">
        <v>211</v>
      </c>
      <c r="H1272" s="2" t="s">
        <v>21</v>
      </c>
      <c r="I1272" s="2">
        <v>24</v>
      </c>
      <c r="J1272" s="2" t="s">
        <v>8580</v>
      </c>
      <c r="K1272" s="4">
        <v>46023.918749999997</v>
      </c>
      <c r="L1272" s="2" t="s">
        <v>24</v>
      </c>
      <c r="M1272" s="2"/>
      <c r="N1272" t="s">
        <v>8583</v>
      </c>
      <c r="O1272" s="8">
        <f t="shared" si="38"/>
        <v>12.883333333244082</v>
      </c>
      <c r="P1272" t="str">
        <f t="shared" si="39"/>
        <v>N/A</v>
      </c>
    </row>
    <row r="1273" spans="1:16" x14ac:dyDescent="0.25">
      <c r="A1273" s="2" t="s">
        <v>3487</v>
      </c>
      <c r="B1273" s="4">
        <v>46172.788194444445</v>
      </c>
      <c r="C1273" s="2" t="s">
        <v>53</v>
      </c>
      <c r="D1273" s="2" t="s">
        <v>61</v>
      </c>
      <c r="E1273" s="2" t="s">
        <v>46</v>
      </c>
      <c r="F1273" s="2" t="s">
        <v>30</v>
      </c>
      <c r="G1273" s="2" t="s">
        <v>183</v>
      </c>
      <c r="H1273" s="2" t="s">
        <v>21</v>
      </c>
      <c r="I1273" s="2">
        <v>24</v>
      </c>
      <c r="J1273" s="2" t="s">
        <v>8580</v>
      </c>
      <c r="K1273" s="4">
        <v>46172.865972222222</v>
      </c>
      <c r="L1273" s="2" t="s">
        <v>24</v>
      </c>
      <c r="M1273" s="2"/>
      <c r="N1273" t="s">
        <v>8585</v>
      </c>
      <c r="O1273" s="8">
        <f t="shared" si="38"/>
        <v>1.8666666666395031</v>
      </c>
      <c r="P1273" t="str">
        <f t="shared" si="39"/>
        <v>N/A</v>
      </c>
    </row>
    <row r="1274" spans="1:16" x14ac:dyDescent="0.25">
      <c r="A1274" s="2" t="s">
        <v>3490</v>
      </c>
      <c r="B1274" s="4">
        <v>46143.965277777781</v>
      </c>
      <c r="C1274" s="2" t="s">
        <v>16</v>
      </c>
      <c r="D1274" s="2" t="s">
        <v>84</v>
      </c>
      <c r="E1274" s="2" t="s">
        <v>79</v>
      </c>
      <c r="F1274" s="2" t="s">
        <v>96</v>
      </c>
      <c r="G1274" s="2" t="s">
        <v>31</v>
      </c>
      <c r="H1274" s="2" t="s">
        <v>32</v>
      </c>
      <c r="I1274" s="2">
        <v>48</v>
      </c>
      <c r="J1274" s="2" t="s">
        <v>287</v>
      </c>
      <c r="K1274" s="4" t="s">
        <v>8590</v>
      </c>
      <c r="L1274" s="2" t="s">
        <v>24</v>
      </c>
      <c r="M1274" s="2"/>
      <c r="N1274" t="s">
        <v>8589</v>
      </c>
      <c r="O1274" s="8" t="str">
        <f t="shared" si="38"/>
        <v/>
      </c>
      <c r="P1274" t="str">
        <f t="shared" si="39"/>
        <v>N/A</v>
      </c>
    </row>
    <row r="1275" spans="1:16" x14ac:dyDescent="0.25">
      <c r="A1275" s="2" t="s">
        <v>3492</v>
      </c>
      <c r="B1275" s="4">
        <v>46133.734722222223</v>
      </c>
      <c r="C1275" s="2" t="s">
        <v>28</v>
      </c>
      <c r="D1275" s="2" t="s">
        <v>100</v>
      </c>
      <c r="E1275" s="2" t="s">
        <v>148</v>
      </c>
      <c r="F1275" s="2" t="s">
        <v>96</v>
      </c>
      <c r="G1275" s="2" t="s">
        <v>183</v>
      </c>
      <c r="H1275" s="2" t="s">
        <v>74</v>
      </c>
      <c r="I1275" s="2">
        <v>8</v>
      </c>
      <c r="J1275" s="2" t="s">
        <v>106</v>
      </c>
      <c r="K1275" s="4">
        <v>46134.104166666664</v>
      </c>
      <c r="L1275" s="2" t="s">
        <v>24</v>
      </c>
      <c r="M1275" s="2"/>
      <c r="N1275" t="s">
        <v>8582</v>
      </c>
      <c r="O1275" s="8">
        <f t="shared" si="38"/>
        <v>8.8666666665812954</v>
      </c>
      <c r="P1275" t="str">
        <f t="shared" si="39"/>
        <v>No</v>
      </c>
    </row>
    <row r="1276" spans="1:16" x14ac:dyDescent="0.25">
      <c r="A1276" s="2" t="s">
        <v>3495</v>
      </c>
      <c r="B1276" s="4">
        <v>46109.816666666666</v>
      </c>
      <c r="C1276" s="2" t="s">
        <v>53</v>
      </c>
      <c r="D1276" s="2" t="s">
        <v>54</v>
      </c>
      <c r="E1276" s="2" t="s">
        <v>85</v>
      </c>
      <c r="F1276" s="2" t="s">
        <v>96</v>
      </c>
      <c r="G1276" s="2" t="s">
        <v>183</v>
      </c>
      <c r="H1276" s="2" t="s">
        <v>74</v>
      </c>
      <c r="I1276" s="2">
        <v>8</v>
      </c>
      <c r="J1276" s="2" t="s">
        <v>106</v>
      </c>
      <c r="K1276" s="4">
        <v>46110.333333333336</v>
      </c>
      <c r="L1276" s="2" t="s">
        <v>24</v>
      </c>
      <c r="M1276" s="2">
        <v>5</v>
      </c>
      <c r="N1276" t="s">
        <v>8581</v>
      </c>
      <c r="O1276" s="8">
        <f t="shared" si="38"/>
        <v>12.400000000081491</v>
      </c>
      <c r="P1276" t="str">
        <f t="shared" si="39"/>
        <v>No</v>
      </c>
    </row>
    <row r="1277" spans="1:16" x14ac:dyDescent="0.25">
      <c r="A1277" s="2" t="s">
        <v>3498</v>
      </c>
      <c r="B1277" s="4">
        <v>46068.143750000003</v>
      </c>
      <c r="C1277" s="2" t="s">
        <v>53</v>
      </c>
      <c r="D1277" s="2" t="s">
        <v>61</v>
      </c>
      <c r="E1277" s="2" t="s">
        <v>79</v>
      </c>
      <c r="F1277" s="2" t="s">
        <v>113</v>
      </c>
      <c r="G1277" s="2" t="s">
        <v>179</v>
      </c>
      <c r="H1277" s="2" t="s">
        <v>74</v>
      </c>
      <c r="I1277" s="2">
        <v>8</v>
      </c>
      <c r="J1277" s="2" t="s">
        <v>149</v>
      </c>
      <c r="K1277" s="4" t="s">
        <v>8590</v>
      </c>
      <c r="L1277" s="2" t="s">
        <v>24</v>
      </c>
      <c r="M1277" s="2"/>
      <c r="N1277" t="s">
        <v>8589</v>
      </c>
      <c r="O1277" s="8" t="str">
        <f t="shared" si="38"/>
        <v/>
      </c>
      <c r="P1277" t="str">
        <f t="shared" si="39"/>
        <v>N/A</v>
      </c>
    </row>
    <row r="1278" spans="1:16" x14ac:dyDescent="0.25">
      <c r="A1278" s="2" t="s">
        <v>3500</v>
      </c>
      <c r="B1278" s="4">
        <v>46032.675000000003</v>
      </c>
      <c r="C1278" s="2" t="s">
        <v>53</v>
      </c>
      <c r="D1278" s="2" t="s">
        <v>61</v>
      </c>
      <c r="E1278" s="2" t="s">
        <v>18</v>
      </c>
      <c r="F1278" s="2" t="s">
        <v>113</v>
      </c>
      <c r="G1278" s="2" t="s">
        <v>179</v>
      </c>
      <c r="H1278" s="2" t="s">
        <v>21</v>
      </c>
      <c r="I1278" s="2">
        <v>24</v>
      </c>
      <c r="J1278" s="2" t="s">
        <v>106</v>
      </c>
      <c r="K1278" s="4">
        <v>46033.01458333333</v>
      </c>
      <c r="L1278" s="2" t="s">
        <v>24</v>
      </c>
      <c r="M1278" s="2">
        <v>5</v>
      </c>
      <c r="N1278" t="s">
        <v>8584</v>
      </c>
      <c r="O1278" s="8">
        <f t="shared" si="38"/>
        <v>8.1499999998486601</v>
      </c>
      <c r="P1278" t="str">
        <f t="shared" si="39"/>
        <v>Yes</v>
      </c>
    </row>
    <row r="1279" spans="1:16" x14ac:dyDescent="0.25">
      <c r="A1279" s="2" t="s">
        <v>3503</v>
      </c>
      <c r="B1279" s="4">
        <v>46247.253472222219</v>
      </c>
      <c r="C1279" s="2" t="s">
        <v>16</v>
      </c>
      <c r="D1279" s="2" t="s">
        <v>84</v>
      </c>
      <c r="E1279" s="2" t="s">
        <v>79</v>
      </c>
      <c r="F1279" s="2" t="s">
        <v>55</v>
      </c>
      <c r="G1279" s="2" t="s">
        <v>31</v>
      </c>
      <c r="H1279" s="2" t="s">
        <v>21</v>
      </c>
      <c r="I1279" s="2">
        <v>24</v>
      </c>
      <c r="J1279" s="2" t="s">
        <v>75</v>
      </c>
      <c r="K1279" s="4">
        <v>46247.510416666664</v>
      </c>
      <c r="L1279" s="2" t="s">
        <v>24</v>
      </c>
      <c r="M1279" s="2">
        <v>3</v>
      </c>
      <c r="N1279" t="s">
        <v>8589</v>
      </c>
      <c r="O1279" s="8">
        <f t="shared" si="38"/>
        <v>6.1666666666860692</v>
      </c>
      <c r="P1279" t="str">
        <f t="shared" si="39"/>
        <v>N/A</v>
      </c>
    </row>
    <row r="1280" spans="1:16" x14ac:dyDescent="0.25">
      <c r="A1280" s="2" t="s">
        <v>3506</v>
      </c>
      <c r="B1280" s="4">
        <v>46264.620138888888</v>
      </c>
      <c r="C1280" s="2" t="s">
        <v>53</v>
      </c>
      <c r="D1280" s="2" t="s">
        <v>61</v>
      </c>
      <c r="E1280" s="2" t="s">
        <v>148</v>
      </c>
      <c r="F1280" s="2" t="s">
        <v>55</v>
      </c>
      <c r="G1280" s="2" t="s">
        <v>110</v>
      </c>
      <c r="H1280" s="2" t="s">
        <v>32</v>
      </c>
      <c r="I1280" s="2">
        <v>48</v>
      </c>
      <c r="J1280" s="2" t="s">
        <v>106</v>
      </c>
      <c r="K1280" s="4">
        <v>46265.564583333333</v>
      </c>
      <c r="L1280" s="2" t="s">
        <v>24</v>
      </c>
      <c r="M1280" s="2">
        <v>4</v>
      </c>
      <c r="N1280" t="s">
        <v>8583</v>
      </c>
      <c r="O1280" s="8">
        <f t="shared" si="38"/>
        <v>22.666666666686069</v>
      </c>
      <c r="P1280" t="str">
        <f t="shared" si="39"/>
        <v>Yes</v>
      </c>
    </row>
    <row r="1281" spans="1:16" x14ac:dyDescent="0.25">
      <c r="A1281" s="2" t="s">
        <v>3509</v>
      </c>
      <c r="B1281" s="4">
        <v>46098.965277777781</v>
      </c>
      <c r="C1281" s="2" t="s">
        <v>28</v>
      </c>
      <c r="D1281" s="2" t="s">
        <v>100</v>
      </c>
      <c r="E1281" s="2" t="s">
        <v>38</v>
      </c>
      <c r="F1281" s="2" t="s">
        <v>55</v>
      </c>
      <c r="G1281" s="2" t="s">
        <v>31</v>
      </c>
      <c r="H1281" s="2" t="s">
        <v>21</v>
      </c>
      <c r="I1281" s="2">
        <v>24</v>
      </c>
      <c r="J1281" s="2" t="s">
        <v>75</v>
      </c>
      <c r="K1281" s="4">
        <v>46100.384722222225</v>
      </c>
      <c r="L1281" s="2" t="s">
        <v>24</v>
      </c>
      <c r="M1281" s="2">
        <v>3</v>
      </c>
      <c r="N1281" t="s">
        <v>8589</v>
      </c>
      <c r="O1281" s="8">
        <f t="shared" si="38"/>
        <v>34.066666666651145</v>
      </c>
      <c r="P1281" t="str">
        <f t="shared" si="39"/>
        <v>N/A</v>
      </c>
    </row>
    <row r="1282" spans="1:16" x14ac:dyDescent="0.25">
      <c r="A1282" s="2" t="s">
        <v>3512</v>
      </c>
      <c r="B1282" s="4">
        <v>46242.304166666669</v>
      </c>
      <c r="C1282" s="2" t="s">
        <v>53</v>
      </c>
      <c r="D1282" s="2" t="s">
        <v>61</v>
      </c>
      <c r="E1282" s="2" t="s">
        <v>38</v>
      </c>
      <c r="F1282" s="2" t="s">
        <v>30</v>
      </c>
      <c r="G1282" s="2" t="s">
        <v>179</v>
      </c>
      <c r="H1282" s="2" t="s">
        <v>74</v>
      </c>
      <c r="I1282" s="2">
        <v>8</v>
      </c>
      <c r="J1282" s="2" t="s">
        <v>106</v>
      </c>
      <c r="K1282" s="4">
        <v>46242.447222222225</v>
      </c>
      <c r="L1282" s="2" t="s">
        <v>24</v>
      </c>
      <c r="M1282" s="2">
        <v>1</v>
      </c>
      <c r="N1282" t="s">
        <v>8587</v>
      </c>
      <c r="O1282" s="8">
        <f t="shared" si="38"/>
        <v>3.4333333333488554</v>
      </c>
      <c r="P1282" t="str">
        <f t="shared" si="39"/>
        <v>Yes</v>
      </c>
    </row>
    <row r="1283" spans="1:16" x14ac:dyDescent="0.25">
      <c r="A1283" s="2" t="s">
        <v>3515</v>
      </c>
      <c r="B1283" s="4">
        <v>46050.981944444444</v>
      </c>
      <c r="C1283" s="2" t="s">
        <v>16</v>
      </c>
      <c r="D1283" s="2" t="s">
        <v>84</v>
      </c>
      <c r="E1283" s="2" t="s">
        <v>46</v>
      </c>
      <c r="F1283" s="2" t="s">
        <v>30</v>
      </c>
      <c r="G1283" s="2" t="s">
        <v>183</v>
      </c>
      <c r="H1283" s="2" t="s">
        <v>21</v>
      </c>
      <c r="I1283" s="2">
        <v>24</v>
      </c>
      <c r="J1283" s="2" t="s">
        <v>287</v>
      </c>
      <c r="K1283" s="4" t="s">
        <v>8590</v>
      </c>
      <c r="L1283" s="2" t="s">
        <v>24</v>
      </c>
      <c r="M1283" s="2"/>
      <c r="N1283" t="s">
        <v>8583</v>
      </c>
      <c r="O1283" s="8" t="str">
        <f t="shared" ref="O1283:O1346" si="40">IF(K1283="","",IF(K1283="Missing Resolve Date","",(K1283-B1283)*24))</f>
        <v/>
      </c>
      <c r="P1283" t="str">
        <f t="shared" ref="P1283:P1346" si="41">IF(J1283="Resolved",IF(O1283&lt;=I1283,"Yes","No"),"N/A")</f>
        <v>N/A</v>
      </c>
    </row>
    <row r="1284" spans="1:16" x14ac:dyDescent="0.25">
      <c r="A1284" s="2" t="s">
        <v>3517</v>
      </c>
      <c r="B1284" s="4">
        <v>46235.611111111109</v>
      </c>
      <c r="C1284" s="2" t="s">
        <v>53</v>
      </c>
      <c r="D1284" s="2" t="s">
        <v>54</v>
      </c>
      <c r="E1284" s="2" t="s">
        <v>85</v>
      </c>
      <c r="F1284" s="2" t="s">
        <v>96</v>
      </c>
      <c r="G1284" s="2" t="s">
        <v>110</v>
      </c>
      <c r="H1284" s="2" t="s">
        <v>32</v>
      </c>
      <c r="I1284" s="2">
        <v>48</v>
      </c>
      <c r="J1284" s="2" t="s">
        <v>106</v>
      </c>
      <c r="K1284" s="4">
        <v>46239.723611111112</v>
      </c>
      <c r="L1284" s="2" t="s">
        <v>24</v>
      </c>
      <c r="M1284" s="2"/>
      <c r="N1284" t="s">
        <v>8584</v>
      </c>
      <c r="O1284" s="8">
        <f t="shared" si="40"/>
        <v>98.700000000069849</v>
      </c>
      <c r="P1284" t="str">
        <f t="shared" si="41"/>
        <v>No</v>
      </c>
    </row>
    <row r="1285" spans="1:16" x14ac:dyDescent="0.25">
      <c r="A1285" s="2" t="s">
        <v>3520</v>
      </c>
      <c r="B1285" s="4">
        <v>46121.032638888886</v>
      </c>
      <c r="C1285" s="2" t="s">
        <v>16</v>
      </c>
      <c r="D1285" s="2" t="s">
        <v>84</v>
      </c>
      <c r="E1285" s="2" t="s">
        <v>38</v>
      </c>
      <c r="F1285" s="2" t="s">
        <v>96</v>
      </c>
      <c r="G1285" s="2" t="s">
        <v>31</v>
      </c>
      <c r="H1285" s="2" t="s">
        <v>32</v>
      </c>
      <c r="I1285" s="2">
        <v>48</v>
      </c>
      <c r="J1285" s="2" t="s">
        <v>106</v>
      </c>
      <c r="K1285" s="4">
        <v>46126.066666666666</v>
      </c>
      <c r="L1285" s="2" t="s">
        <v>24</v>
      </c>
      <c r="M1285" s="2"/>
      <c r="N1285" t="s">
        <v>8581</v>
      </c>
      <c r="O1285" s="8">
        <f t="shared" si="40"/>
        <v>120.81666666670935</v>
      </c>
      <c r="P1285" t="str">
        <f t="shared" si="41"/>
        <v>No</v>
      </c>
    </row>
    <row r="1286" spans="1:16" x14ac:dyDescent="0.25">
      <c r="A1286" s="2" t="s">
        <v>3523</v>
      </c>
      <c r="B1286" s="4">
        <v>46164.290277777778</v>
      </c>
      <c r="C1286" s="2" t="s">
        <v>53</v>
      </c>
      <c r="D1286" s="2" t="s">
        <v>54</v>
      </c>
      <c r="E1286" s="2" t="s">
        <v>148</v>
      </c>
      <c r="F1286" s="2" t="s">
        <v>30</v>
      </c>
      <c r="G1286" s="2" t="s">
        <v>179</v>
      </c>
      <c r="H1286" s="2" t="s">
        <v>32</v>
      </c>
      <c r="I1286" s="2">
        <v>48</v>
      </c>
      <c r="J1286" s="2" t="s">
        <v>106</v>
      </c>
      <c r="K1286" s="4">
        <v>46164.913194444445</v>
      </c>
      <c r="L1286" s="2" t="s">
        <v>24</v>
      </c>
      <c r="M1286" s="2"/>
      <c r="N1286" t="s">
        <v>8588</v>
      </c>
      <c r="O1286" s="8">
        <f t="shared" si="40"/>
        <v>14.950000000011642</v>
      </c>
      <c r="P1286" t="str">
        <f t="shared" si="41"/>
        <v>Yes</v>
      </c>
    </row>
    <row r="1287" spans="1:16" x14ac:dyDescent="0.25">
      <c r="A1287" s="2" t="s">
        <v>3526</v>
      </c>
      <c r="B1287" s="4">
        <v>46157.203472222223</v>
      </c>
      <c r="C1287" s="2" t="s">
        <v>16</v>
      </c>
      <c r="D1287" s="2" t="s">
        <v>84</v>
      </c>
      <c r="E1287" s="2" t="s">
        <v>90</v>
      </c>
      <c r="F1287" s="2" t="s">
        <v>96</v>
      </c>
      <c r="G1287" s="2" t="s">
        <v>110</v>
      </c>
      <c r="H1287" s="2" t="s">
        <v>21</v>
      </c>
      <c r="I1287" s="2">
        <v>24</v>
      </c>
      <c r="J1287" s="2" t="s">
        <v>75</v>
      </c>
      <c r="K1287" s="4">
        <v>46158.022222222222</v>
      </c>
      <c r="L1287" s="2" t="s">
        <v>24</v>
      </c>
      <c r="M1287" s="2">
        <v>4</v>
      </c>
      <c r="N1287" t="s">
        <v>8583</v>
      </c>
      <c r="O1287" s="8">
        <f t="shared" si="40"/>
        <v>19.649999999965075</v>
      </c>
      <c r="P1287" t="str">
        <f t="shared" si="41"/>
        <v>N/A</v>
      </c>
    </row>
    <row r="1288" spans="1:16" x14ac:dyDescent="0.25">
      <c r="A1288" s="2" t="s">
        <v>3529</v>
      </c>
      <c r="B1288" s="4">
        <v>46036.497916666667</v>
      </c>
      <c r="C1288" s="2" t="s">
        <v>67</v>
      </c>
      <c r="D1288" s="2" t="s">
        <v>68</v>
      </c>
      <c r="E1288" s="2" t="s">
        <v>148</v>
      </c>
      <c r="F1288" s="2" t="s">
        <v>96</v>
      </c>
      <c r="G1288" s="2" t="s">
        <v>101</v>
      </c>
      <c r="H1288" s="2" t="s">
        <v>21</v>
      </c>
      <c r="I1288" s="2">
        <v>24</v>
      </c>
      <c r="J1288" s="2" t="s">
        <v>106</v>
      </c>
      <c r="K1288" s="4">
        <v>46037.01666666667</v>
      </c>
      <c r="L1288" s="2" t="s">
        <v>24</v>
      </c>
      <c r="M1288" s="2">
        <v>1</v>
      </c>
      <c r="N1288" t="s">
        <v>8581</v>
      </c>
      <c r="O1288" s="8">
        <f t="shared" si="40"/>
        <v>12.450000000069849</v>
      </c>
      <c r="P1288" t="str">
        <f t="shared" si="41"/>
        <v>Yes</v>
      </c>
    </row>
    <row r="1289" spans="1:16" x14ac:dyDescent="0.25">
      <c r="A1289" s="2" t="s">
        <v>3532</v>
      </c>
      <c r="B1289" s="4">
        <v>46135.338888888888</v>
      </c>
      <c r="C1289" s="2" t="s">
        <v>53</v>
      </c>
      <c r="D1289" s="2" t="s">
        <v>54</v>
      </c>
      <c r="E1289" s="2" t="s">
        <v>85</v>
      </c>
      <c r="F1289" s="2" t="s">
        <v>55</v>
      </c>
      <c r="G1289" s="2" t="s">
        <v>179</v>
      </c>
      <c r="H1289" s="2" t="s">
        <v>32</v>
      </c>
      <c r="I1289" s="2">
        <v>48</v>
      </c>
      <c r="J1289" s="2" t="s">
        <v>106</v>
      </c>
      <c r="K1289" s="4">
        <v>46139.576388888891</v>
      </c>
      <c r="L1289" s="2" t="s">
        <v>24</v>
      </c>
      <c r="M1289" s="2"/>
      <c r="N1289" t="s">
        <v>8582</v>
      </c>
      <c r="O1289" s="8">
        <f t="shared" si="40"/>
        <v>101.70000000006985</v>
      </c>
      <c r="P1289" t="str">
        <f t="shared" si="41"/>
        <v>No</v>
      </c>
    </row>
    <row r="1290" spans="1:16" x14ac:dyDescent="0.25">
      <c r="A1290" s="2" t="s">
        <v>3535</v>
      </c>
      <c r="B1290" s="4">
        <v>46195.26458333333</v>
      </c>
      <c r="C1290" s="2" t="s">
        <v>53</v>
      </c>
      <c r="D1290" s="2" t="s">
        <v>54</v>
      </c>
      <c r="E1290" s="2" t="s">
        <v>79</v>
      </c>
      <c r="F1290" s="2" t="s">
        <v>55</v>
      </c>
      <c r="G1290" s="2" t="s">
        <v>31</v>
      </c>
      <c r="H1290" s="2" t="s">
        <v>21</v>
      </c>
      <c r="I1290" s="2">
        <v>24</v>
      </c>
      <c r="J1290" s="2" t="s">
        <v>106</v>
      </c>
      <c r="K1290" s="4">
        <v>46197.245833333334</v>
      </c>
      <c r="L1290" s="2" t="s">
        <v>24</v>
      </c>
      <c r="M1290" s="2">
        <v>5</v>
      </c>
      <c r="N1290" t="s">
        <v>8584</v>
      </c>
      <c r="O1290" s="8">
        <f t="shared" si="40"/>
        <v>47.550000000104774</v>
      </c>
      <c r="P1290" t="str">
        <f t="shared" si="41"/>
        <v>No</v>
      </c>
    </row>
    <row r="1291" spans="1:16" x14ac:dyDescent="0.25">
      <c r="A1291" s="2" t="s">
        <v>3538</v>
      </c>
      <c r="B1291" s="4">
        <v>46175.690972222219</v>
      </c>
      <c r="C1291" s="2" t="s">
        <v>53</v>
      </c>
      <c r="D1291" s="2" t="s">
        <v>61</v>
      </c>
      <c r="E1291" s="2" t="s">
        <v>148</v>
      </c>
      <c r="F1291" s="2" t="s">
        <v>55</v>
      </c>
      <c r="G1291" s="2" t="s">
        <v>183</v>
      </c>
      <c r="H1291" s="2" t="s">
        <v>74</v>
      </c>
      <c r="I1291" s="2">
        <v>8</v>
      </c>
      <c r="J1291" s="2" t="s">
        <v>8580</v>
      </c>
      <c r="K1291" s="4">
        <v>46175.712500000001</v>
      </c>
      <c r="L1291" s="2" t="s">
        <v>24</v>
      </c>
      <c r="M1291" s="2"/>
      <c r="N1291" t="s">
        <v>8581</v>
      </c>
      <c r="O1291" s="8">
        <f t="shared" si="40"/>
        <v>0.51666666677920148</v>
      </c>
      <c r="P1291" t="str">
        <f t="shared" si="41"/>
        <v>N/A</v>
      </c>
    </row>
    <row r="1292" spans="1:16" x14ac:dyDescent="0.25">
      <c r="A1292" s="2" t="s">
        <v>3541</v>
      </c>
      <c r="B1292" s="4">
        <v>46059.604861111111</v>
      </c>
      <c r="C1292" s="2" t="s">
        <v>67</v>
      </c>
      <c r="D1292" s="2" t="s">
        <v>68</v>
      </c>
      <c r="E1292" s="2" t="s">
        <v>18</v>
      </c>
      <c r="F1292" s="2" t="s">
        <v>30</v>
      </c>
      <c r="G1292" s="2" t="s">
        <v>31</v>
      </c>
      <c r="H1292" s="2" t="s">
        <v>32</v>
      </c>
      <c r="I1292" s="2">
        <v>48</v>
      </c>
      <c r="J1292" s="2" t="s">
        <v>75</v>
      </c>
      <c r="K1292" s="4">
        <v>46060.463194444441</v>
      </c>
      <c r="L1292" s="2" t="s">
        <v>24</v>
      </c>
      <c r="M1292" s="2">
        <v>4</v>
      </c>
      <c r="N1292" t="s">
        <v>8589</v>
      </c>
      <c r="O1292" s="8">
        <f t="shared" si="40"/>
        <v>20.599999999918509</v>
      </c>
      <c r="P1292" t="str">
        <f t="shared" si="41"/>
        <v>N/A</v>
      </c>
    </row>
    <row r="1293" spans="1:16" x14ac:dyDescent="0.25">
      <c r="A1293" s="2" t="s">
        <v>3544</v>
      </c>
      <c r="B1293" s="4">
        <v>46148.640277777777</v>
      </c>
      <c r="C1293" s="2" t="s">
        <v>53</v>
      </c>
      <c r="D1293" s="2" t="s">
        <v>54</v>
      </c>
      <c r="E1293" s="2" t="s">
        <v>38</v>
      </c>
      <c r="F1293" s="2" t="s">
        <v>96</v>
      </c>
      <c r="G1293" s="2" t="s">
        <v>101</v>
      </c>
      <c r="H1293" s="2" t="s">
        <v>74</v>
      </c>
      <c r="I1293" s="2">
        <v>8</v>
      </c>
      <c r="J1293" s="2" t="s">
        <v>75</v>
      </c>
      <c r="K1293" s="4">
        <v>46149.460416666669</v>
      </c>
      <c r="L1293" s="2" t="s">
        <v>24</v>
      </c>
      <c r="M1293" s="2">
        <v>5</v>
      </c>
      <c r="N1293" t="s">
        <v>8589</v>
      </c>
      <c r="O1293" s="8">
        <f t="shared" si="40"/>
        <v>19.683333333407063</v>
      </c>
      <c r="P1293" t="str">
        <f t="shared" si="41"/>
        <v>N/A</v>
      </c>
    </row>
    <row r="1294" spans="1:16" x14ac:dyDescent="0.25">
      <c r="A1294" s="2" t="s">
        <v>3547</v>
      </c>
      <c r="B1294" s="4">
        <v>46249.150694444441</v>
      </c>
      <c r="C1294" s="2" t="s">
        <v>28</v>
      </c>
      <c r="D1294" s="2" t="s">
        <v>37</v>
      </c>
      <c r="E1294" s="2" t="s">
        <v>90</v>
      </c>
      <c r="F1294" s="2" t="s">
        <v>96</v>
      </c>
      <c r="G1294" s="2" t="s">
        <v>211</v>
      </c>
      <c r="H1294" s="2" t="s">
        <v>21</v>
      </c>
      <c r="I1294" s="2">
        <v>24</v>
      </c>
      <c r="J1294" s="2" t="s">
        <v>75</v>
      </c>
      <c r="K1294" s="4">
        <v>46249.409722222219</v>
      </c>
      <c r="L1294" s="2" t="s">
        <v>24</v>
      </c>
      <c r="M1294" s="2"/>
      <c r="N1294" t="s">
        <v>8581</v>
      </c>
      <c r="O1294" s="8">
        <f t="shared" si="40"/>
        <v>6.2166666666744277</v>
      </c>
      <c r="P1294" t="str">
        <f t="shared" si="41"/>
        <v>N/A</v>
      </c>
    </row>
    <row r="1295" spans="1:16" x14ac:dyDescent="0.25">
      <c r="A1295" s="2" t="s">
        <v>3550</v>
      </c>
      <c r="B1295" s="4">
        <v>46165.306944444441</v>
      </c>
      <c r="C1295" s="2" t="s">
        <v>53</v>
      </c>
      <c r="D1295" s="2" t="s">
        <v>54</v>
      </c>
      <c r="E1295" s="2" t="s">
        <v>148</v>
      </c>
      <c r="F1295" s="2" t="s">
        <v>30</v>
      </c>
      <c r="G1295" s="2" t="s">
        <v>110</v>
      </c>
      <c r="H1295" s="2" t="s">
        <v>21</v>
      </c>
      <c r="I1295" s="2">
        <v>24</v>
      </c>
      <c r="J1295" s="2" t="s">
        <v>75</v>
      </c>
      <c r="K1295" s="4">
        <v>46166.09375</v>
      </c>
      <c r="L1295" s="2" t="s">
        <v>24</v>
      </c>
      <c r="M1295" s="2">
        <v>3</v>
      </c>
      <c r="N1295" t="s">
        <v>8587</v>
      </c>
      <c r="O1295" s="8">
        <f t="shared" si="40"/>
        <v>18.883333333418705</v>
      </c>
      <c r="P1295" t="str">
        <f t="shared" si="41"/>
        <v>N/A</v>
      </c>
    </row>
    <row r="1296" spans="1:16" x14ac:dyDescent="0.25">
      <c r="A1296" s="2" t="s">
        <v>3553</v>
      </c>
      <c r="B1296" s="4">
        <v>46219.482638888891</v>
      </c>
      <c r="C1296" s="2" t="s">
        <v>67</v>
      </c>
      <c r="D1296" s="2" t="s">
        <v>95</v>
      </c>
      <c r="E1296" s="2" t="s">
        <v>79</v>
      </c>
      <c r="F1296" s="2" t="s">
        <v>113</v>
      </c>
      <c r="G1296" s="2" t="s">
        <v>101</v>
      </c>
      <c r="H1296" s="2" t="s">
        <v>32</v>
      </c>
      <c r="I1296" s="2">
        <v>48</v>
      </c>
      <c r="J1296" s="2" t="s">
        <v>75</v>
      </c>
      <c r="K1296" s="4">
        <v>46220.424305555556</v>
      </c>
      <c r="L1296" s="2" t="s">
        <v>24</v>
      </c>
      <c r="M1296" s="2"/>
      <c r="N1296" t="s">
        <v>8589</v>
      </c>
      <c r="O1296" s="8">
        <f t="shared" si="40"/>
        <v>22.599999999976717</v>
      </c>
      <c r="P1296" t="str">
        <f t="shared" si="41"/>
        <v>N/A</v>
      </c>
    </row>
    <row r="1297" spans="1:16" x14ac:dyDescent="0.25">
      <c r="A1297" s="2" t="s">
        <v>3556</v>
      </c>
      <c r="B1297" s="4">
        <v>46182.443055555559</v>
      </c>
      <c r="C1297" s="2" t="s">
        <v>28</v>
      </c>
      <c r="D1297" s="2" t="s">
        <v>100</v>
      </c>
      <c r="E1297" s="2" t="s">
        <v>79</v>
      </c>
      <c r="F1297" s="2" t="s">
        <v>113</v>
      </c>
      <c r="G1297" s="2" t="s">
        <v>211</v>
      </c>
      <c r="H1297" s="2" t="s">
        <v>32</v>
      </c>
      <c r="I1297" s="2">
        <v>48</v>
      </c>
      <c r="J1297" s="2" t="s">
        <v>287</v>
      </c>
      <c r="K1297" s="4" t="s">
        <v>8590</v>
      </c>
      <c r="L1297" s="2" t="s">
        <v>92</v>
      </c>
      <c r="M1297" s="2"/>
      <c r="N1297" t="s">
        <v>8589</v>
      </c>
      <c r="O1297" s="8" t="str">
        <f t="shared" si="40"/>
        <v/>
      </c>
      <c r="P1297" t="str">
        <f t="shared" si="41"/>
        <v>N/A</v>
      </c>
    </row>
    <row r="1298" spans="1:16" x14ac:dyDescent="0.25">
      <c r="A1298" s="2" t="s">
        <v>3558</v>
      </c>
      <c r="B1298" s="4">
        <v>46152.525694444441</v>
      </c>
      <c r="C1298" s="2" t="s">
        <v>28</v>
      </c>
      <c r="D1298" s="2" t="s">
        <v>37</v>
      </c>
      <c r="E1298" s="2" t="s">
        <v>46</v>
      </c>
      <c r="F1298" s="2" t="s">
        <v>30</v>
      </c>
      <c r="G1298" s="2" t="s">
        <v>183</v>
      </c>
      <c r="H1298" s="2" t="s">
        <v>21</v>
      </c>
      <c r="I1298" s="2">
        <v>24</v>
      </c>
      <c r="J1298" s="2" t="s">
        <v>75</v>
      </c>
      <c r="K1298" s="4">
        <v>46152.783333333333</v>
      </c>
      <c r="L1298" s="2" t="s">
        <v>24</v>
      </c>
      <c r="M1298" s="2"/>
      <c r="N1298" t="s">
        <v>8584</v>
      </c>
      <c r="O1298" s="8">
        <f t="shared" si="40"/>
        <v>6.183333333407063</v>
      </c>
      <c r="P1298" t="str">
        <f t="shared" si="41"/>
        <v>N/A</v>
      </c>
    </row>
    <row r="1299" spans="1:16" x14ac:dyDescent="0.25">
      <c r="A1299" s="2" t="s">
        <v>3561</v>
      </c>
      <c r="B1299" s="4">
        <v>46187.265277777777</v>
      </c>
      <c r="C1299" s="2" t="s">
        <v>67</v>
      </c>
      <c r="D1299" s="2" t="s">
        <v>68</v>
      </c>
      <c r="E1299" s="2" t="s">
        <v>85</v>
      </c>
      <c r="F1299" s="2" t="s">
        <v>96</v>
      </c>
      <c r="G1299" s="2" t="s">
        <v>101</v>
      </c>
      <c r="H1299" s="2" t="s">
        <v>32</v>
      </c>
      <c r="I1299" s="2">
        <v>48</v>
      </c>
      <c r="J1299" s="2" t="s">
        <v>149</v>
      </c>
      <c r="K1299" s="4" t="s">
        <v>8590</v>
      </c>
      <c r="L1299" s="2" t="s">
        <v>24</v>
      </c>
      <c r="M1299" s="2"/>
      <c r="N1299" t="s">
        <v>8589</v>
      </c>
      <c r="O1299" s="8" t="str">
        <f t="shared" si="40"/>
        <v/>
      </c>
      <c r="P1299" t="str">
        <f t="shared" si="41"/>
        <v>N/A</v>
      </c>
    </row>
    <row r="1300" spans="1:16" x14ac:dyDescent="0.25">
      <c r="A1300" s="2" t="s">
        <v>3563</v>
      </c>
      <c r="B1300" s="4">
        <v>46103.866666666669</v>
      </c>
      <c r="C1300" s="2" t="s">
        <v>16</v>
      </c>
      <c r="D1300" s="2" t="s">
        <v>17</v>
      </c>
      <c r="E1300" s="2" t="s">
        <v>148</v>
      </c>
      <c r="F1300" s="2" t="s">
        <v>96</v>
      </c>
      <c r="G1300" s="2" t="s">
        <v>101</v>
      </c>
      <c r="H1300" s="2" t="s">
        <v>21</v>
      </c>
      <c r="I1300" s="2">
        <v>24</v>
      </c>
      <c r="J1300" s="2" t="s">
        <v>8580</v>
      </c>
      <c r="K1300" s="4">
        <v>46103.940972222219</v>
      </c>
      <c r="L1300" s="2" t="s">
        <v>24</v>
      </c>
      <c r="M1300" s="2"/>
      <c r="N1300" t="s">
        <v>8586</v>
      </c>
      <c r="O1300" s="8">
        <f t="shared" si="40"/>
        <v>1.783333333209157</v>
      </c>
      <c r="P1300" t="str">
        <f t="shared" si="41"/>
        <v>N/A</v>
      </c>
    </row>
    <row r="1301" spans="1:16" x14ac:dyDescent="0.25">
      <c r="A1301" s="2" t="s">
        <v>3566</v>
      </c>
      <c r="B1301" s="4">
        <v>46144.992361111108</v>
      </c>
      <c r="C1301" s="2" t="s">
        <v>53</v>
      </c>
      <c r="D1301" s="2" t="s">
        <v>61</v>
      </c>
      <c r="E1301" s="2" t="s">
        <v>148</v>
      </c>
      <c r="F1301" s="2" t="s">
        <v>55</v>
      </c>
      <c r="G1301" s="2" t="s">
        <v>183</v>
      </c>
      <c r="H1301" s="2" t="s">
        <v>80</v>
      </c>
      <c r="I1301" s="2">
        <v>4</v>
      </c>
      <c r="J1301" s="2" t="s">
        <v>11</v>
      </c>
      <c r="K1301" s="4" t="s">
        <v>8590</v>
      </c>
      <c r="L1301" s="2" t="s">
        <v>92</v>
      </c>
      <c r="M1301" s="2"/>
      <c r="N1301" t="s">
        <v>8589</v>
      </c>
      <c r="O1301" s="8" t="str">
        <f t="shared" si="40"/>
        <v/>
      </c>
      <c r="P1301" t="str">
        <f t="shared" si="41"/>
        <v>N/A</v>
      </c>
    </row>
    <row r="1302" spans="1:16" x14ac:dyDescent="0.25">
      <c r="A1302" s="2" t="s">
        <v>3568</v>
      </c>
      <c r="B1302" s="4">
        <v>46151.308333333334</v>
      </c>
      <c r="C1302" s="2" t="s">
        <v>28</v>
      </c>
      <c r="D1302" s="2" t="s">
        <v>100</v>
      </c>
      <c r="E1302" s="2" t="s">
        <v>90</v>
      </c>
      <c r="F1302" s="2" t="s">
        <v>113</v>
      </c>
      <c r="G1302" s="2" t="s">
        <v>110</v>
      </c>
      <c r="H1302" s="2" t="s">
        <v>21</v>
      </c>
      <c r="I1302" s="2">
        <v>24</v>
      </c>
      <c r="J1302" s="2" t="s">
        <v>106</v>
      </c>
      <c r="K1302" s="4">
        <v>46151.570833333331</v>
      </c>
      <c r="L1302" s="2" t="s">
        <v>92</v>
      </c>
      <c r="M1302" s="2">
        <v>1</v>
      </c>
      <c r="N1302" t="s">
        <v>8589</v>
      </c>
      <c r="O1302" s="8">
        <f t="shared" si="40"/>
        <v>6.2999999999301508</v>
      </c>
      <c r="P1302" t="str">
        <f t="shared" si="41"/>
        <v>Yes</v>
      </c>
    </row>
    <row r="1303" spans="1:16" x14ac:dyDescent="0.25">
      <c r="A1303" s="2" t="s">
        <v>3571</v>
      </c>
      <c r="B1303" s="4">
        <v>46224.802083333336</v>
      </c>
      <c r="C1303" s="2" t="s">
        <v>28</v>
      </c>
      <c r="D1303" s="2" t="s">
        <v>100</v>
      </c>
      <c r="E1303" s="2" t="s">
        <v>148</v>
      </c>
      <c r="F1303" s="2" t="s">
        <v>30</v>
      </c>
      <c r="G1303" s="2" t="s">
        <v>31</v>
      </c>
      <c r="H1303" s="2" t="s">
        <v>80</v>
      </c>
      <c r="I1303" s="2">
        <v>4</v>
      </c>
      <c r="J1303" s="2" t="s">
        <v>106</v>
      </c>
      <c r="K1303" s="4">
        <v>46225.120833333334</v>
      </c>
      <c r="L1303" s="2" t="s">
        <v>24</v>
      </c>
      <c r="M1303" s="2">
        <v>5</v>
      </c>
      <c r="N1303" t="s">
        <v>8589</v>
      </c>
      <c r="O1303" s="8">
        <f t="shared" si="40"/>
        <v>7.6499999999650754</v>
      </c>
      <c r="P1303" t="str">
        <f t="shared" si="41"/>
        <v>No</v>
      </c>
    </row>
    <row r="1304" spans="1:16" x14ac:dyDescent="0.25">
      <c r="A1304" s="2" t="s">
        <v>3574</v>
      </c>
      <c r="B1304" s="4">
        <v>46214.617361111108</v>
      </c>
      <c r="C1304" s="2" t="s">
        <v>53</v>
      </c>
      <c r="D1304" s="2" t="s">
        <v>61</v>
      </c>
      <c r="E1304" s="2" t="s">
        <v>148</v>
      </c>
      <c r="F1304" s="2" t="s">
        <v>30</v>
      </c>
      <c r="G1304" s="2" t="s">
        <v>211</v>
      </c>
      <c r="H1304" s="2" t="s">
        <v>21</v>
      </c>
      <c r="I1304" s="2">
        <v>24</v>
      </c>
      <c r="J1304" s="2" t="s">
        <v>106</v>
      </c>
      <c r="K1304" s="4">
        <v>46217.109027777777</v>
      </c>
      <c r="L1304" s="2" t="s">
        <v>24</v>
      </c>
      <c r="M1304" s="2">
        <v>4</v>
      </c>
      <c r="N1304" t="s">
        <v>8589</v>
      </c>
      <c r="O1304" s="8">
        <f t="shared" si="40"/>
        <v>59.800000000046566</v>
      </c>
      <c r="P1304" t="str">
        <f t="shared" si="41"/>
        <v>No</v>
      </c>
    </row>
    <row r="1305" spans="1:16" x14ac:dyDescent="0.25">
      <c r="A1305" s="2" t="s">
        <v>3577</v>
      </c>
      <c r="B1305" s="4">
        <v>46214.26666666667</v>
      </c>
      <c r="C1305" s="2" t="s">
        <v>16</v>
      </c>
      <c r="D1305" s="2" t="s">
        <v>17</v>
      </c>
      <c r="E1305" s="2" t="s">
        <v>85</v>
      </c>
      <c r="F1305" s="2" t="s">
        <v>30</v>
      </c>
      <c r="G1305" s="2" t="s">
        <v>211</v>
      </c>
      <c r="H1305" s="2" t="s">
        <v>32</v>
      </c>
      <c r="I1305" s="2">
        <v>48</v>
      </c>
      <c r="J1305" s="2" t="s">
        <v>75</v>
      </c>
      <c r="K1305" s="4">
        <v>46216.976388888892</v>
      </c>
      <c r="L1305" s="2" t="s">
        <v>24</v>
      </c>
      <c r="M1305" s="2"/>
      <c r="N1305" t="s">
        <v>8583</v>
      </c>
      <c r="O1305" s="8">
        <f t="shared" si="40"/>
        <v>65.033333333325572</v>
      </c>
      <c r="P1305" t="str">
        <f t="shared" si="41"/>
        <v>N/A</v>
      </c>
    </row>
    <row r="1306" spans="1:16" x14ac:dyDescent="0.25">
      <c r="A1306" s="2" t="s">
        <v>3580</v>
      </c>
      <c r="B1306" s="4">
        <v>46237.936805555553</v>
      </c>
      <c r="C1306" s="2" t="s">
        <v>53</v>
      </c>
      <c r="D1306" s="2" t="s">
        <v>54</v>
      </c>
      <c r="E1306" s="2" t="s">
        <v>18</v>
      </c>
      <c r="F1306" s="2" t="s">
        <v>96</v>
      </c>
      <c r="G1306" s="2" t="s">
        <v>211</v>
      </c>
      <c r="H1306" s="2" t="s">
        <v>32</v>
      </c>
      <c r="I1306" s="2">
        <v>48</v>
      </c>
      <c r="J1306" s="2" t="s">
        <v>11</v>
      </c>
      <c r="K1306" s="4" t="s">
        <v>8590</v>
      </c>
      <c r="L1306" s="2" t="s">
        <v>92</v>
      </c>
      <c r="M1306" s="2"/>
      <c r="N1306" t="s">
        <v>8587</v>
      </c>
      <c r="O1306" s="8" t="str">
        <f t="shared" si="40"/>
        <v/>
      </c>
      <c r="P1306" t="str">
        <f t="shared" si="41"/>
        <v>N/A</v>
      </c>
    </row>
    <row r="1307" spans="1:16" x14ac:dyDescent="0.25">
      <c r="A1307" s="2" t="s">
        <v>3582</v>
      </c>
      <c r="B1307" s="4">
        <v>46264.979861111111</v>
      </c>
      <c r="C1307" s="2" t="s">
        <v>28</v>
      </c>
      <c r="D1307" s="2" t="s">
        <v>37</v>
      </c>
      <c r="E1307" s="2" t="s">
        <v>46</v>
      </c>
      <c r="F1307" s="2" t="s">
        <v>30</v>
      </c>
      <c r="G1307" s="2" t="s">
        <v>101</v>
      </c>
      <c r="H1307" s="2" t="s">
        <v>32</v>
      </c>
      <c r="I1307" s="2">
        <v>48</v>
      </c>
      <c r="J1307" s="2" t="s">
        <v>75</v>
      </c>
      <c r="K1307" s="4">
        <v>46266.191666666666</v>
      </c>
      <c r="L1307" s="2" t="s">
        <v>24</v>
      </c>
      <c r="M1307" s="2">
        <v>5</v>
      </c>
      <c r="N1307" t="s">
        <v>8583</v>
      </c>
      <c r="O1307" s="8">
        <f t="shared" si="40"/>
        <v>29.083333333313931</v>
      </c>
      <c r="P1307" t="str">
        <f t="shared" si="41"/>
        <v>N/A</v>
      </c>
    </row>
    <row r="1308" spans="1:16" x14ac:dyDescent="0.25">
      <c r="A1308" s="2" t="s">
        <v>3585</v>
      </c>
      <c r="B1308" s="4">
        <v>46183.301388888889</v>
      </c>
      <c r="C1308" s="2" t="s">
        <v>28</v>
      </c>
      <c r="D1308" s="2" t="s">
        <v>100</v>
      </c>
      <c r="E1308" s="2" t="s">
        <v>79</v>
      </c>
      <c r="F1308" s="2" t="s">
        <v>113</v>
      </c>
      <c r="G1308" s="2" t="s">
        <v>183</v>
      </c>
      <c r="H1308" s="2" t="s">
        <v>74</v>
      </c>
      <c r="I1308" s="2">
        <v>8</v>
      </c>
      <c r="J1308" s="2" t="s">
        <v>106</v>
      </c>
      <c r="K1308" s="4">
        <v>46184.209722222222</v>
      </c>
      <c r="L1308" s="2" t="s">
        <v>24</v>
      </c>
      <c r="M1308" s="2">
        <v>4</v>
      </c>
      <c r="N1308" t="s">
        <v>8588</v>
      </c>
      <c r="O1308" s="8">
        <f t="shared" si="40"/>
        <v>21.799999999988358</v>
      </c>
      <c r="P1308" t="str">
        <f t="shared" si="41"/>
        <v>No</v>
      </c>
    </row>
    <row r="1309" spans="1:16" x14ac:dyDescent="0.25">
      <c r="A1309" s="2" t="s">
        <v>3588</v>
      </c>
      <c r="B1309" s="4">
        <v>46073.322222222225</v>
      </c>
      <c r="C1309" s="2" t="s">
        <v>16</v>
      </c>
      <c r="D1309" s="2" t="s">
        <v>84</v>
      </c>
      <c r="E1309" s="2" t="s">
        <v>46</v>
      </c>
      <c r="F1309" s="2" t="s">
        <v>30</v>
      </c>
      <c r="G1309" s="2" t="s">
        <v>110</v>
      </c>
      <c r="H1309" s="2" t="s">
        <v>32</v>
      </c>
      <c r="I1309" s="2">
        <v>48</v>
      </c>
      <c r="J1309" s="2" t="s">
        <v>75</v>
      </c>
      <c r="K1309" s="4">
        <v>46073.993750000001</v>
      </c>
      <c r="L1309" s="2" t="s">
        <v>24</v>
      </c>
      <c r="M1309" s="2">
        <v>1</v>
      </c>
      <c r="N1309" t="s">
        <v>8586</v>
      </c>
      <c r="O1309" s="8">
        <f t="shared" si="40"/>
        <v>16.116666666639503</v>
      </c>
      <c r="P1309" t="str">
        <f t="shared" si="41"/>
        <v>N/A</v>
      </c>
    </row>
    <row r="1310" spans="1:16" x14ac:dyDescent="0.25">
      <c r="A1310" s="2" t="s">
        <v>3591</v>
      </c>
      <c r="B1310" s="4">
        <v>46094.231249999997</v>
      </c>
      <c r="C1310" s="2" t="s">
        <v>16</v>
      </c>
      <c r="D1310" s="2" t="s">
        <v>17</v>
      </c>
      <c r="E1310" s="2" t="s">
        <v>38</v>
      </c>
      <c r="F1310" s="2" t="s">
        <v>96</v>
      </c>
      <c r="G1310" s="2" t="s">
        <v>101</v>
      </c>
      <c r="H1310" s="2" t="s">
        <v>21</v>
      </c>
      <c r="I1310" s="2">
        <v>24</v>
      </c>
      <c r="J1310" s="2" t="s">
        <v>75</v>
      </c>
      <c r="K1310" s="4">
        <v>46094.549305555556</v>
      </c>
      <c r="L1310" s="2" t="s">
        <v>24</v>
      </c>
      <c r="M1310" s="2"/>
      <c r="N1310" t="s">
        <v>8583</v>
      </c>
      <c r="O1310" s="8">
        <f t="shared" si="40"/>
        <v>7.6333333334187046</v>
      </c>
      <c r="P1310" t="str">
        <f t="shared" si="41"/>
        <v>N/A</v>
      </c>
    </row>
    <row r="1311" spans="1:16" x14ac:dyDescent="0.25">
      <c r="A1311" s="2" t="s">
        <v>3594</v>
      </c>
      <c r="B1311" s="4">
        <v>46036.228472222225</v>
      </c>
      <c r="C1311" s="2" t="s">
        <v>28</v>
      </c>
      <c r="D1311" s="2" t="s">
        <v>37</v>
      </c>
      <c r="E1311" s="2" t="s">
        <v>18</v>
      </c>
      <c r="F1311" s="2" t="s">
        <v>55</v>
      </c>
      <c r="G1311" s="2" t="s">
        <v>211</v>
      </c>
      <c r="H1311" s="2" t="s">
        <v>32</v>
      </c>
      <c r="I1311" s="2">
        <v>48</v>
      </c>
      <c r="J1311" s="2" t="s">
        <v>106</v>
      </c>
      <c r="K1311" s="4">
        <v>46036.38958333333</v>
      </c>
      <c r="L1311" s="2" t="s">
        <v>24</v>
      </c>
      <c r="M1311" s="2"/>
      <c r="N1311" t="s">
        <v>8584</v>
      </c>
      <c r="O1311" s="8">
        <f t="shared" si="40"/>
        <v>3.8666666665230878</v>
      </c>
      <c r="P1311" t="str">
        <f t="shared" si="41"/>
        <v>Yes</v>
      </c>
    </row>
    <row r="1312" spans="1:16" x14ac:dyDescent="0.25">
      <c r="A1312" s="2" t="s">
        <v>3597</v>
      </c>
      <c r="B1312" s="4">
        <v>46224.913888888892</v>
      </c>
      <c r="C1312" s="2" t="s">
        <v>67</v>
      </c>
      <c r="D1312" s="2" t="s">
        <v>95</v>
      </c>
      <c r="E1312" s="2" t="s">
        <v>38</v>
      </c>
      <c r="F1312" s="2" t="s">
        <v>113</v>
      </c>
      <c r="G1312" s="2" t="s">
        <v>110</v>
      </c>
      <c r="H1312" s="2" t="s">
        <v>74</v>
      </c>
      <c r="I1312" s="2">
        <v>8</v>
      </c>
      <c r="J1312" s="2" t="s">
        <v>106</v>
      </c>
      <c r="K1312" s="4">
        <v>46225.081250000003</v>
      </c>
      <c r="L1312" s="2" t="s">
        <v>24</v>
      </c>
      <c r="M1312" s="2">
        <v>5</v>
      </c>
      <c r="N1312" t="s">
        <v>8589</v>
      </c>
      <c r="O1312" s="8">
        <f t="shared" si="40"/>
        <v>4.0166666666627862</v>
      </c>
      <c r="P1312" t="str">
        <f t="shared" si="41"/>
        <v>Yes</v>
      </c>
    </row>
    <row r="1313" spans="1:16" x14ac:dyDescent="0.25">
      <c r="A1313" s="2" t="s">
        <v>3599</v>
      </c>
      <c r="B1313" s="4">
        <v>46259.96875</v>
      </c>
      <c r="C1313" s="2" t="s">
        <v>53</v>
      </c>
      <c r="D1313" s="2" t="s">
        <v>54</v>
      </c>
      <c r="E1313" s="2" t="s">
        <v>18</v>
      </c>
      <c r="F1313" s="2" t="s">
        <v>55</v>
      </c>
      <c r="G1313" s="2" t="s">
        <v>31</v>
      </c>
      <c r="H1313" s="2" t="s">
        <v>32</v>
      </c>
      <c r="I1313" s="2">
        <v>48</v>
      </c>
      <c r="J1313" s="2" t="s">
        <v>11</v>
      </c>
      <c r="K1313" s="4" t="s">
        <v>8590</v>
      </c>
      <c r="L1313" s="2" t="s">
        <v>92</v>
      </c>
      <c r="M1313" s="2"/>
      <c r="N1313" t="s">
        <v>8582</v>
      </c>
      <c r="O1313" s="8" t="str">
        <f t="shared" si="40"/>
        <v/>
      </c>
      <c r="P1313" t="str">
        <f t="shared" si="41"/>
        <v>N/A</v>
      </c>
    </row>
    <row r="1314" spans="1:16" x14ac:dyDescent="0.25">
      <c r="A1314" s="2" t="s">
        <v>3601</v>
      </c>
      <c r="B1314" s="4">
        <v>46099.510416666664</v>
      </c>
      <c r="C1314" s="2" t="s">
        <v>28</v>
      </c>
      <c r="D1314" s="2" t="s">
        <v>37</v>
      </c>
      <c r="E1314" s="2" t="s">
        <v>148</v>
      </c>
      <c r="F1314" s="2" t="s">
        <v>55</v>
      </c>
      <c r="G1314" s="2" t="s">
        <v>101</v>
      </c>
      <c r="H1314" s="2" t="s">
        <v>21</v>
      </c>
      <c r="I1314" s="2">
        <v>24</v>
      </c>
      <c r="J1314" s="2" t="s">
        <v>106</v>
      </c>
      <c r="K1314" s="4">
        <v>46101.048611111109</v>
      </c>
      <c r="L1314" s="2" t="s">
        <v>24</v>
      </c>
      <c r="M1314" s="2">
        <v>1</v>
      </c>
      <c r="N1314" t="s">
        <v>8589</v>
      </c>
      <c r="O1314" s="8">
        <f t="shared" si="40"/>
        <v>36.916666666686069</v>
      </c>
      <c r="P1314" t="str">
        <f t="shared" si="41"/>
        <v>No</v>
      </c>
    </row>
    <row r="1315" spans="1:16" x14ac:dyDescent="0.25">
      <c r="A1315" s="2" t="s">
        <v>3604</v>
      </c>
      <c r="B1315" s="4">
        <v>46089.22152777778</v>
      </c>
      <c r="C1315" s="2" t="s">
        <v>16</v>
      </c>
      <c r="D1315" s="2" t="s">
        <v>17</v>
      </c>
      <c r="E1315" s="2" t="s">
        <v>79</v>
      </c>
      <c r="F1315" s="2" t="s">
        <v>55</v>
      </c>
      <c r="G1315" s="2" t="s">
        <v>211</v>
      </c>
      <c r="H1315" s="2" t="s">
        <v>74</v>
      </c>
      <c r="I1315" s="2">
        <v>8</v>
      </c>
      <c r="J1315" s="2" t="s">
        <v>106</v>
      </c>
      <c r="K1315" s="4">
        <v>46089.27847222222</v>
      </c>
      <c r="L1315" s="2" t="s">
        <v>24</v>
      </c>
      <c r="M1315" s="2">
        <v>5</v>
      </c>
      <c r="N1315" t="s">
        <v>8585</v>
      </c>
      <c r="O1315" s="8">
        <f t="shared" si="40"/>
        <v>1.3666666665812954</v>
      </c>
      <c r="P1315" t="str">
        <f t="shared" si="41"/>
        <v>Yes</v>
      </c>
    </row>
    <row r="1316" spans="1:16" x14ac:dyDescent="0.25">
      <c r="A1316" s="2" t="s">
        <v>3607</v>
      </c>
      <c r="B1316" s="4">
        <v>46261.375694444447</v>
      </c>
      <c r="C1316" s="2" t="s">
        <v>28</v>
      </c>
      <c r="D1316" s="2" t="s">
        <v>100</v>
      </c>
      <c r="E1316" s="2" t="s">
        <v>18</v>
      </c>
      <c r="F1316" s="2" t="s">
        <v>96</v>
      </c>
      <c r="G1316" s="2" t="s">
        <v>101</v>
      </c>
      <c r="H1316" s="2" t="s">
        <v>21</v>
      </c>
      <c r="I1316" s="2">
        <v>24</v>
      </c>
      <c r="J1316" s="2" t="s">
        <v>75</v>
      </c>
      <c r="K1316" s="4">
        <v>46261.543749999997</v>
      </c>
      <c r="L1316" s="2" t="s">
        <v>92</v>
      </c>
      <c r="M1316" s="2"/>
      <c r="N1316" t="s">
        <v>8586</v>
      </c>
      <c r="O1316" s="8">
        <f t="shared" si="40"/>
        <v>4.033333333209157</v>
      </c>
      <c r="P1316" t="str">
        <f t="shared" si="41"/>
        <v>N/A</v>
      </c>
    </row>
    <row r="1317" spans="1:16" x14ac:dyDescent="0.25">
      <c r="A1317" s="2" t="s">
        <v>3610</v>
      </c>
      <c r="B1317" s="4">
        <v>46216.217361111114</v>
      </c>
      <c r="C1317" s="2" t="s">
        <v>28</v>
      </c>
      <c r="D1317" s="2" t="s">
        <v>37</v>
      </c>
      <c r="E1317" s="2" t="s">
        <v>38</v>
      </c>
      <c r="F1317" s="2" t="s">
        <v>55</v>
      </c>
      <c r="G1317" s="2" t="s">
        <v>179</v>
      </c>
      <c r="H1317" s="2" t="s">
        <v>32</v>
      </c>
      <c r="I1317" s="2">
        <v>48</v>
      </c>
      <c r="J1317" s="2" t="s">
        <v>149</v>
      </c>
      <c r="K1317" s="4" t="s">
        <v>8590</v>
      </c>
      <c r="L1317" s="2" t="s">
        <v>24</v>
      </c>
      <c r="M1317" s="2"/>
      <c r="N1317" t="s">
        <v>8588</v>
      </c>
      <c r="O1317" s="8" t="str">
        <f t="shared" si="40"/>
        <v/>
      </c>
      <c r="P1317" t="str">
        <f t="shared" si="41"/>
        <v>N/A</v>
      </c>
    </row>
    <row r="1318" spans="1:16" x14ac:dyDescent="0.25">
      <c r="A1318" s="2" t="s">
        <v>3612</v>
      </c>
      <c r="B1318" s="4">
        <v>46113.184027777781</v>
      </c>
      <c r="C1318" s="2" t="s">
        <v>28</v>
      </c>
      <c r="D1318" s="2" t="s">
        <v>37</v>
      </c>
      <c r="E1318" s="2" t="s">
        <v>90</v>
      </c>
      <c r="F1318" s="2" t="s">
        <v>30</v>
      </c>
      <c r="G1318" s="2" t="s">
        <v>110</v>
      </c>
      <c r="H1318" s="2" t="s">
        <v>21</v>
      </c>
      <c r="I1318" s="2">
        <v>24</v>
      </c>
      <c r="J1318" s="2" t="s">
        <v>106</v>
      </c>
      <c r="K1318" s="4">
        <v>46113.659722222219</v>
      </c>
      <c r="L1318" s="2" t="s">
        <v>24</v>
      </c>
      <c r="M1318" s="2">
        <v>1</v>
      </c>
      <c r="N1318" t="s">
        <v>8587</v>
      </c>
      <c r="O1318" s="8">
        <f t="shared" si="40"/>
        <v>11.416666666511446</v>
      </c>
      <c r="P1318" t="str">
        <f t="shared" si="41"/>
        <v>Yes</v>
      </c>
    </row>
    <row r="1319" spans="1:16" x14ac:dyDescent="0.25">
      <c r="A1319" s="2" t="s">
        <v>3615</v>
      </c>
      <c r="B1319" s="4">
        <v>46133.908333333333</v>
      </c>
      <c r="C1319" s="2" t="s">
        <v>28</v>
      </c>
      <c r="D1319" s="2" t="s">
        <v>37</v>
      </c>
      <c r="E1319" s="2" t="s">
        <v>90</v>
      </c>
      <c r="F1319" s="2" t="s">
        <v>113</v>
      </c>
      <c r="G1319" s="2" t="s">
        <v>211</v>
      </c>
      <c r="H1319" s="2" t="s">
        <v>21</v>
      </c>
      <c r="I1319" s="2">
        <v>24</v>
      </c>
      <c r="J1319" s="2" t="s">
        <v>75</v>
      </c>
      <c r="K1319" s="4">
        <v>46134.719444444447</v>
      </c>
      <c r="L1319" s="2" t="s">
        <v>24</v>
      </c>
      <c r="M1319" s="2">
        <v>3</v>
      </c>
      <c r="N1319" t="s">
        <v>8581</v>
      </c>
      <c r="O1319" s="8">
        <f t="shared" si="40"/>
        <v>19.466666666732635</v>
      </c>
      <c r="P1319" t="str">
        <f t="shared" si="41"/>
        <v>N/A</v>
      </c>
    </row>
    <row r="1320" spans="1:16" x14ac:dyDescent="0.25">
      <c r="A1320" s="2" t="s">
        <v>3618</v>
      </c>
      <c r="B1320" s="4">
        <v>46026.969444444447</v>
      </c>
      <c r="C1320" s="2" t="s">
        <v>67</v>
      </c>
      <c r="D1320" s="2" t="s">
        <v>68</v>
      </c>
      <c r="E1320" s="2" t="s">
        <v>90</v>
      </c>
      <c r="F1320" s="2" t="s">
        <v>113</v>
      </c>
      <c r="G1320" s="2" t="s">
        <v>183</v>
      </c>
      <c r="H1320" s="2" t="s">
        <v>21</v>
      </c>
      <c r="I1320" s="2">
        <v>24</v>
      </c>
      <c r="J1320" s="2" t="s">
        <v>106</v>
      </c>
      <c r="K1320" s="4">
        <v>46028.998611111114</v>
      </c>
      <c r="L1320" s="2" t="s">
        <v>24</v>
      </c>
      <c r="M1320" s="2">
        <v>3</v>
      </c>
      <c r="N1320" t="s">
        <v>8584</v>
      </c>
      <c r="O1320" s="8">
        <f t="shared" si="40"/>
        <v>48.700000000011642</v>
      </c>
      <c r="P1320" t="str">
        <f t="shared" si="41"/>
        <v>No</v>
      </c>
    </row>
    <row r="1321" spans="1:16" x14ac:dyDescent="0.25">
      <c r="A1321" s="2" t="s">
        <v>3621</v>
      </c>
      <c r="B1321" s="4">
        <v>46092.351388888892</v>
      </c>
      <c r="C1321" s="2" t="s">
        <v>16</v>
      </c>
      <c r="D1321" s="2" t="s">
        <v>17</v>
      </c>
      <c r="E1321" s="2" t="s">
        <v>148</v>
      </c>
      <c r="F1321" s="2" t="s">
        <v>30</v>
      </c>
      <c r="G1321" s="2" t="s">
        <v>179</v>
      </c>
      <c r="H1321" s="2" t="s">
        <v>21</v>
      </c>
      <c r="I1321" s="2">
        <v>24</v>
      </c>
      <c r="J1321" s="2" t="s">
        <v>287</v>
      </c>
      <c r="K1321" s="4" t="s">
        <v>8590</v>
      </c>
      <c r="L1321" s="2" t="s">
        <v>24</v>
      </c>
      <c r="M1321" s="2"/>
      <c r="N1321" t="s">
        <v>8581</v>
      </c>
      <c r="O1321" s="8" t="str">
        <f t="shared" si="40"/>
        <v/>
      </c>
      <c r="P1321" t="str">
        <f t="shared" si="41"/>
        <v>N/A</v>
      </c>
    </row>
    <row r="1322" spans="1:16" x14ac:dyDescent="0.25">
      <c r="A1322" s="2" t="s">
        <v>3623</v>
      </c>
      <c r="B1322" s="4">
        <v>46188.438888888886</v>
      </c>
      <c r="C1322" s="2" t="s">
        <v>16</v>
      </c>
      <c r="D1322" s="2" t="s">
        <v>17</v>
      </c>
      <c r="E1322" s="2" t="s">
        <v>38</v>
      </c>
      <c r="F1322" s="2" t="s">
        <v>55</v>
      </c>
      <c r="G1322" s="2" t="s">
        <v>179</v>
      </c>
      <c r="H1322" s="2" t="s">
        <v>21</v>
      </c>
      <c r="I1322" s="2">
        <v>24</v>
      </c>
      <c r="J1322" s="2" t="s">
        <v>75</v>
      </c>
      <c r="K1322" s="4">
        <v>46191.384027777778</v>
      </c>
      <c r="L1322" s="2" t="s">
        <v>24</v>
      </c>
      <c r="M1322" s="2"/>
      <c r="N1322" t="s">
        <v>8584</v>
      </c>
      <c r="O1322" s="8">
        <f t="shared" si="40"/>
        <v>70.683333333407063</v>
      </c>
      <c r="P1322" t="str">
        <f t="shared" si="41"/>
        <v>N/A</v>
      </c>
    </row>
    <row r="1323" spans="1:16" x14ac:dyDescent="0.25">
      <c r="A1323" s="2" t="s">
        <v>3626</v>
      </c>
      <c r="B1323" s="4">
        <v>46204.938888888886</v>
      </c>
      <c r="C1323" s="2" t="s">
        <v>16</v>
      </c>
      <c r="D1323" s="2" t="s">
        <v>17</v>
      </c>
      <c r="E1323" s="2" t="s">
        <v>79</v>
      </c>
      <c r="F1323" s="2" t="s">
        <v>30</v>
      </c>
      <c r="G1323" s="2" t="s">
        <v>179</v>
      </c>
      <c r="H1323" s="2" t="s">
        <v>21</v>
      </c>
      <c r="I1323" s="2">
        <v>24</v>
      </c>
      <c r="J1323" s="2" t="s">
        <v>106</v>
      </c>
      <c r="K1323" s="4">
        <v>46205.357638888891</v>
      </c>
      <c r="L1323" s="2" t="s">
        <v>24</v>
      </c>
      <c r="M1323" s="2">
        <v>5</v>
      </c>
      <c r="N1323" t="s">
        <v>8581</v>
      </c>
      <c r="O1323" s="8">
        <f t="shared" si="40"/>
        <v>10.050000000104774</v>
      </c>
      <c r="P1323" t="str">
        <f t="shared" si="41"/>
        <v>Yes</v>
      </c>
    </row>
    <row r="1324" spans="1:16" x14ac:dyDescent="0.25">
      <c r="A1324" s="2" t="s">
        <v>3629</v>
      </c>
      <c r="B1324" s="4">
        <v>46239.869444444441</v>
      </c>
      <c r="C1324" s="2" t="s">
        <v>67</v>
      </c>
      <c r="D1324" s="2" t="s">
        <v>68</v>
      </c>
      <c r="E1324" s="2" t="s">
        <v>148</v>
      </c>
      <c r="F1324" s="2" t="s">
        <v>30</v>
      </c>
      <c r="G1324" s="2" t="s">
        <v>110</v>
      </c>
      <c r="H1324" s="2" t="s">
        <v>21</v>
      </c>
      <c r="I1324" s="2">
        <v>24</v>
      </c>
      <c r="J1324" s="2" t="s">
        <v>149</v>
      </c>
      <c r="K1324" s="4" t="s">
        <v>8590</v>
      </c>
      <c r="L1324" s="2" t="s">
        <v>24</v>
      </c>
      <c r="M1324" s="2"/>
      <c r="N1324" t="s">
        <v>8582</v>
      </c>
      <c r="O1324" s="8" t="str">
        <f t="shared" si="40"/>
        <v/>
      </c>
      <c r="P1324" t="str">
        <f t="shared" si="41"/>
        <v>N/A</v>
      </c>
    </row>
    <row r="1325" spans="1:16" x14ac:dyDescent="0.25">
      <c r="A1325" s="2" t="s">
        <v>3631</v>
      </c>
      <c r="B1325" s="4">
        <v>46224.345138888886</v>
      </c>
      <c r="C1325" s="2" t="s">
        <v>67</v>
      </c>
      <c r="D1325" s="2" t="s">
        <v>95</v>
      </c>
      <c r="E1325" s="2" t="s">
        <v>85</v>
      </c>
      <c r="F1325" s="2" t="s">
        <v>55</v>
      </c>
      <c r="G1325" s="2" t="s">
        <v>110</v>
      </c>
      <c r="H1325" s="2" t="s">
        <v>32</v>
      </c>
      <c r="I1325" s="2">
        <v>48</v>
      </c>
      <c r="J1325" s="2" t="s">
        <v>75</v>
      </c>
      <c r="K1325" s="4">
        <v>46224.535416666666</v>
      </c>
      <c r="L1325" s="2" t="s">
        <v>24</v>
      </c>
      <c r="M1325" s="2"/>
      <c r="N1325" t="s">
        <v>8589</v>
      </c>
      <c r="O1325" s="8">
        <f t="shared" si="40"/>
        <v>4.5666666667093523</v>
      </c>
      <c r="P1325" t="str">
        <f t="shared" si="41"/>
        <v>N/A</v>
      </c>
    </row>
    <row r="1326" spans="1:16" x14ac:dyDescent="0.25">
      <c r="A1326" s="2" t="s">
        <v>3634</v>
      </c>
      <c r="B1326" s="4">
        <v>46127.918749999997</v>
      </c>
      <c r="C1326" s="2" t="s">
        <v>28</v>
      </c>
      <c r="D1326" s="2" t="s">
        <v>100</v>
      </c>
      <c r="E1326" s="2" t="s">
        <v>90</v>
      </c>
      <c r="F1326" s="2" t="s">
        <v>55</v>
      </c>
      <c r="G1326" s="2" t="s">
        <v>183</v>
      </c>
      <c r="H1326" s="2" t="s">
        <v>32</v>
      </c>
      <c r="I1326" s="2">
        <v>48</v>
      </c>
      <c r="J1326" s="2" t="s">
        <v>106</v>
      </c>
      <c r="K1326" s="4">
        <v>46129.589583333334</v>
      </c>
      <c r="L1326" s="2" t="s">
        <v>24</v>
      </c>
      <c r="M1326" s="2">
        <v>5</v>
      </c>
      <c r="N1326" t="s">
        <v>8589</v>
      </c>
      <c r="O1326" s="8">
        <f t="shared" si="40"/>
        <v>40.100000000093132</v>
      </c>
      <c r="P1326" t="str">
        <f t="shared" si="41"/>
        <v>Yes</v>
      </c>
    </row>
    <row r="1327" spans="1:16" x14ac:dyDescent="0.25">
      <c r="A1327" s="2" t="s">
        <v>3637</v>
      </c>
      <c r="B1327" s="4">
        <v>46070.029861111114</v>
      </c>
      <c r="C1327" s="2" t="s">
        <v>28</v>
      </c>
      <c r="D1327" s="2" t="s">
        <v>37</v>
      </c>
      <c r="E1327" s="2" t="s">
        <v>46</v>
      </c>
      <c r="F1327" s="2" t="s">
        <v>96</v>
      </c>
      <c r="G1327" s="2" t="s">
        <v>179</v>
      </c>
      <c r="H1327" s="2" t="s">
        <v>32</v>
      </c>
      <c r="I1327" s="2">
        <v>48</v>
      </c>
      <c r="J1327" s="2" t="s">
        <v>149</v>
      </c>
      <c r="K1327" s="4" t="s">
        <v>8590</v>
      </c>
      <c r="L1327" s="2" t="s">
        <v>92</v>
      </c>
      <c r="M1327" s="2"/>
      <c r="N1327" t="s">
        <v>8589</v>
      </c>
      <c r="O1327" s="8" t="str">
        <f t="shared" si="40"/>
        <v/>
      </c>
      <c r="P1327" t="str">
        <f t="shared" si="41"/>
        <v>N/A</v>
      </c>
    </row>
    <row r="1328" spans="1:16" x14ac:dyDescent="0.25">
      <c r="A1328" s="2" t="s">
        <v>3639</v>
      </c>
      <c r="B1328" s="4">
        <v>46233.504166666666</v>
      </c>
      <c r="C1328" s="2" t="s">
        <v>67</v>
      </c>
      <c r="D1328" s="2" t="s">
        <v>68</v>
      </c>
      <c r="E1328" s="2" t="s">
        <v>38</v>
      </c>
      <c r="F1328" s="2" t="s">
        <v>55</v>
      </c>
      <c r="G1328" s="2" t="s">
        <v>31</v>
      </c>
      <c r="H1328" s="2" t="s">
        <v>21</v>
      </c>
      <c r="I1328" s="2">
        <v>24</v>
      </c>
      <c r="J1328" s="2" t="s">
        <v>75</v>
      </c>
      <c r="K1328" s="4">
        <v>46234.1875</v>
      </c>
      <c r="L1328" s="2" t="s">
        <v>24</v>
      </c>
      <c r="M1328" s="2"/>
      <c r="N1328" t="s">
        <v>8581</v>
      </c>
      <c r="O1328" s="8">
        <f t="shared" si="40"/>
        <v>16.400000000023283</v>
      </c>
      <c r="P1328" t="str">
        <f t="shared" si="41"/>
        <v>N/A</v>
      </c>
    </row>
    <row r="1329" spans="1:16" x14ac:dyDescent="0.25">
      <c r="A1329" s="2" t="s">
        <v>3642</v>
      </c>
      <c r="B1329" s="4">
        <v>46114.382638888892</v>
      </c>
      <c r="C1329" s="2" t="s">
        <v>16</v>
      </c>
      <c r="D1329" s="2" t="s">
        <v>17</v>
      </c>
      <c r="E1329" s="2" t="s">
        <v>79</v>
      </c>
      <c r="F1329" s="2" t="s">
        <v>30</v>
      </c>
      <c r="G1329" s="2" t="s">
        <v>110</v>
      </c>
      <c r="H1329" s="2" t="s">
        <v>21</v>
      </c>
      <c r="I1329" s="2">
        <v>24</v>
      </c>
      <c r="J1329" s="2" t="s">
        <v>149</v>
      </c>
      <c r="K1329" s="4" t="s">
        <v>8590</v>
      </c>
      <c r="L1329" s="2" t="s">
        <v>24</v>
      </c>
      <c r="M1329" s="2"/>
      <c r="N1329" t="s">
        <v>8582</v>
      </c>
      <c r="O1329" s="8" t="str">
        <f t="shared" si="40"/>
        <v/>
      </c>
      <c r="P1329" t="str">
        <f t="shared" si="41"/>
        <v>N/A</v>
      </c>
    </row>
    <row r="1330" spans="1:16" x14ac:dyDescent="0.25">
      <c r="A1330" s="2" t="s">
        <v>3644</v>
      </c>
      <c r="B1330" s="4">
        <v>46046.056250000001</v>
      </c>
      <c r="C1330" s="2" t="s">
        <v>53</v>
      </c>
      <c r="D1330" s="2" t="s">
        <v>54</v>
      </c>
      <c r="E1330" s="2" t="s">
        <v>38</v>
      </c>
      <c r="F1330" s="2" t="s">
        <v>55</v>
      </c>
      <c r="G1330" s="2" t="s">
        <v>101</v>
      </c>
      <c r="H1330" s="2" t="s">
        <v>74</v>
      </c>
      <c r="I1330" s="2">
        <v>8</v>
      </c>
      <c r="J1330" s="2" t="s">
        <v>106</v>
      </c>
      <c r="K1330" s="4">
        <v>46046.270138888889</v>
      </c>
      <c r="L1330" s="2" t="s">
        <v>24</v>
      </c>
      <c r="M1330" s="2"/>
      <c r="N1330" t="s">
        <v>8583</v>
      </c>
      <c r="O1330" s="8">
        <f t="shared" si="40"/>
        <v>5.1333333333022892</v>
      </c>
      <c r="P1330" t="str">
        <f t="shared" si="41"/>
        <v>Yes</v>
      </c>
    </row>
    <row r="1331" spans="1:16" x14ac:dyDescent="0.25">
      <c r="A1331" s="2" t="s">
        <v>3647</v>
      </c>
      <c r="B1331" s="4">
        <v>46079.261805555558</v>
      </c>
      <c r="C1331" s="2" t="s">
        <v>28</v>
      </c>
      <c r="D1331" s="2" t="s">
        <v>100</v>
      </c>
      <c r="E1331" s="2" t="s">
        <v>46</v>
      </c>
      <c r="F1331" s="2" t="s">
        <v>30</v>
      </c>
      <c r="G1331" s="2" t="s">
        <v>101</v>
      </c>
      <c r="H1331" s="2" t="s">
        <v>21</v>
      </c>
      <c r="I1331" s="2">
        <v>24</v>
      </c>
      <c r="J1331" s="2" t="s">
        <v>106</v>
      </c>
      <c r="K1331" s="4">
        <v>46080.400694444441</v>
      </c>
      <c r="L1331" s="2" t="s">
        <v>92</v>
      </c>
      <c r="M1331" s="2">
        <v>3</v>
      </c>
      <c r="N1331" t="s">
        <v>8589</v>
      </c>
      <c r="O1331" s="8">
        <f t="shared" si="40"/>
        <v>27.333333333197515</v>
      </c>
      <c r="P1331" t="str">
        <f t="shared" si="41"/>
        <v>No</v>
      </c>
    </row>
    <row r="1332" spans="1:16" x14ac:dyDescent="0.25">
      <c r="A1332" s="2" t="s">
        <v>3650</v>
      </c>
      <c r="B1332" s="4">
        <v>46224.052777777775</v>
      </c>
      <c r="C1332" s="2" t="s">
        <v>67</v>
      </c>
      <c r="D1332" s="2" t="s">
        <v>95</v>
      </c>
      <c r="E1332" s="2" t="s">
        <v>46</v>
      </c>
      <c r="F1332" s="2" t="s">
        <v>30</v>
      </c>
      <c r="G1332" s="2" t="s">
        <v>183</v>
      </c>
      <c r="H1332" s="2" t="s">
        <v>21</v>
      </c>
      <c r="I1332" s="2">
        <v>24</v>
      </c>
      <c r="J1332" s="2" t="s">
        <v>8580</v>
      </c>
      <c r="K1332" s="4">
        <v>46224.637499999997</v>
      </c>
      <c r="L1332" s="2" t="s">
        <v>24</v>
      </c>
      <c r="M1332" s="2"/>
      <c r="N1332" t="s">
        <v>8584</v>
      </c>
      <c r="O1332" s="8">
        <f t="shared" si="40"/>
        <v>14.033333333325572</v>
      </c>
      <c r="P1332" t="str">
        <f t="shared" si="41"/>
        <v>N/A</v>
      </c>
    </row>
    <row r="1333" spans="1:16" x14ac:dyDescent="0.25">
      <c r="A1333" s="2" t="s">
        <v>3653</v>
      </c>
      <c r="B1333" s="4">
        <v>46219.836111111108</v>
      </c>
      <c r="C1333" s="2" t="s">
        <v>28</v>
      </c>
      <c r="D1333" s="2" t="s">
        <v>37</v>
      </c>
      <c r="E1333" s="2" t="s">
        <v>79</v>
      </c>
      <c r="F1333" s="2" t="s">
        <v>30</v>
      </c>
      <c r="G1333" s="2" t="s">
        <v>110</v>
      </c>
      <c r="H1333" s="2" t="s">
        <v>21</v>
      </c>
      <c r="I1333" s="2">
        <v>24</v>
      </c>
      <c r="J1333" s="2" t="s">
        <v>287</v>
      </c>
      <c r="K1333" s="4" t="s">
        <v>8590</v>
      </c>
      <c r="L1333" s="2" t="s">
        <v>24</v>
      </c>
      <c r="M1333" s="2"/>
      <c r="N1333" t="s">
        <v>8582</v>
      </c>
      <c r="O1333" s="8" t="str">
        <f t="shared" si="40"/>
        <v/>
      </c>
      <c r="P1333" t="str">
        <f t="shared" si="41"/>
        <v>N/A</v>
      </c>
    </row>
    <row r="1334" spans="1:16" x14ac:dyDescent="0.25">
      <c r="A1334" s="2" t="s">
        <v>3655</v>
      </c>
      <c r="B1334" s="4">
        <v>46081.37222222222</v>
      </c>
      <c r="C1334" s="2" t="s">
        <v>16</v>
      </c>
      <c r="D1334" s="2" t="s">
        <v>84</v>
      </c>
      <c r="E1334" s="2" t="s">
        <v>46</v>
      </c>
      <c r="F1334" s="2" t="s">
        <v>96</v>
      </c>
      <c r="G1334" s="2" t="s">
        <v>110</v>
      </c>
      <c r="H1334" s="2" t="s">
        <v>21</v>
      </c>
      <c r="I1334" s="2">
        <v>24</v>
      </c>
      <c r="J1334" s="2" t="s">
        <v>75</v>
      </c>
      <c r="K1334" s="4" t="s">
        <v>8590</v>
      </c>
      <c r="L1334" s="2" t="s">
        <v>24</v>
      </c>
      <c r="M1334" s="2">
        <v>4</v>
      </c>
      <c r="N1334" t="s">
        <v>8585</v>
      </c>
      <c r="O1334" s="8" t="str">
        <f t="shared" si="40"/>
        <v/>
      </c>
      <c r="P1334" t="str">
        <f t="shared" si="41"/>
        <v>N/A</v>
      </c>
    </row>
    <row r="1335" spans="1:16" x14ac:dyDescent="0.25">
      <c r="A1335" s="2" t="s">
        <v>3657</v>
      </c>
      <c r="B1335" s="4">
        <v>46209.067361111112</v>
      </c>
      <c r="C1335" s="2" t="s">
        <v>53</v>
      </c>
      <c r="D1335" s="2" t="s">
        <v>61</v>
      </c>
      <c r="E1335" s="2" t="s">
        <v>18</v>
      </c>
      <c r="F1335" s="2" t="s">
        <v>30</v>
      </c>
      <c r="G1335" s="2" t="s">
        <v>179</v>
      </c>
      <c r="H1335" s="2" t="s">
        <v>74</v>
      </c>
      <c r="I1335" s="2">
        <v>8</v>
      </c>
      <c r="J1335" s="2" t="s">
        <v>75</v>
      </c>
      <c r="K1335" s="4">
        <v>46209.206250000003</v>
      </c>
      <c r="L1335" s="2" t="s">
        <v>24</v>
      </c>
      <c r="M1335" s="2">
        <v>4</v>
      </c>
      <c r="N1335" t="s">
        <v>8581</v>
      </c>
      <c r="O1335" s="8">
        <f t="shared" si="40"/>
        <v>3.3333333333721384</v>
      </c>
      <c r="P1335" t="str">
        <f t="shared" si="41"/>
        <v>N/A</v>
      </c>
    </row>
    <row r="1336" spans="1:16" x14ac:dyDescent="0.25">
      <c r="A1336" s="2" t="s">
        <v>3660</v>
      </c>
      <c r="B1336" s="4">
        <v>46083.045138888891</v>
      </c>
      <c r="C1336" s="2" t="s">
        <v>28</v>
      </c>
      <c r="D1336" s="2" t="s">
        <v>37</v>
      </c>
      <c r="E1336" s="2" t="s">
        <v>46</v>
      </c>
      <c r="F1336" s="2" t="s">
        <v>113</v>
      </c>
      <c r="G1336" s="2" t="s">
        <v>31</v>
      </c>
      <c r="H1336" s="2" t="s">
        <v>32</v>
      </c>
      <c r="I1336" s="2">
        <v>48</v>
      </c>
      <c r="J1336" s="2" t="s">
        <v>149</v>
      </c>
      <c r="K1336" s="4" t="s">
        <v>8590</v>
      </c>
      <c r="L1336" s="2" t="s">
        <v>24</v>
      </c>
      <c r="M1336" s="2"/>
      <c r="N1336" t="s">
        <v>8589</v>
      </c>
      <c r="O1336" s="8" t="str">
        <f t="shared" si="40"/>
        <v/>
      </c>
      <c r="P1336" t="str">
        <f t="shared" si="41"/>
        <v>N/A</v>
      </c>
    </row>
    <row r="1337" spans="1:16" x14ac:dyDescent="0.25">
      <c r="A1337" s="2" t="s">
        <v>3662</v>
      </c>
      <c r="B1337" s="4">
        <v>46225.130555555559</v>
      </c>
      <c r="C1337" s="2" t="s">
        <v>16</v>
      </c>
      <c r="D1337" s="2" t="s">
        <v>17</v>
      </c>
      <c r="E1337" s="2" t="s">
        <v>18</v>
      </c>
      <c r="F1337" s="2" t="s">
        <v>96</v>
      </c>
      <c r="G1337" s="2" t="s">
        <v>31</v>
      </c>
      <c r="H1337" s="2" t="s">
        <v>74</v>
      </c>
      <c r="I1337" s="2">
        <v>8</v>
      </c>
      <c r="J1337" s="2" t="s">
        <v>106</v>
      </c>
      <c r="K1337" s="4">
        <v>46225.659722222219</v>
      </c>
      <c r="L1337" s="2" t="s">
        <v>92</v>
      </c>
      <c r="M1337" s="2">
        <v>5</v>
      </c>
      <c r="N1337" t="s">
        <v>8586</v>
      </c>
      <c r="O1337" s="8">
        <f t="shared" si="40"/>
        <v>12.699999999837019</v>
      </c>
      <c r="P1337" t="str">
        <f t="shared" si="41"/>
        <v>No</v>
      </c>
    </row>
    <row r="1338" spans="1:16" x14ac:dyDescent="0.25">
      <c r="A1338" s="2" t="s">
        <v>3665</v>
      </c>
      <c r="B1338" s="4">
        <v>46229.965277777781</v>
      </c>
      <c r="C1338" s="2" t="s">
        <v>67</v>
      </c>
      <c r="D1338" s="2" t="s">
        <v>95</v>
      </c>
      <c r="E1338" s="2" t="s">
        <v>148</v>
      </c>
      <c r="F1338" s="2" t="s">
        <v>30</v>
      </c>
      <c r="G1338" s="2" t="s">
        <v>179</v>
      </c>
      <c r="H1338" s="2" t="s">
        <v>74</v>
      </c>
      <c r="I1338" s="2">
        <v>8</v>
      </c>
      <c r="J1338" s="2" t="s">
        <v>75</v>
      </c>
      <c r="K1338" s="4">
        <v>46230.085416666669</v>
      </c>
      <c r="L1338" s="2" t="s">
        <v>24</v>
      </c>
      <c r="M1338" s="2"/>
      <c r="N1338" t="s">
        <v>8581</v>
      </c>
      <c r="O1338" s="8">
        <f t="shared" si="40"/>
        <v>2.8833333333022892</v>
      </c>
      <c r="P1338" t="str">
        <f t="shared" si="41"/>
        <v>N/A</v>
      </c>
    </row>
    <row r="1339" spans="1:16" x14ac:dyDescent="0.25">
      <c r="A1339" s="2" t="s">
        <v>3668</v>
      </c>
      <c r="B1339" s="4">
        <v>46190.443749999999</v>
      </c>
      <c r="C1339" s="2" t="s">
        <v>16</v>
      </c>
      <c r="D1339" s="2" t="s">
        <v>17</v>
      </c>
      <c r="E1339" s="2" t="s">
        <v>46</v>
      </c>
      <c r="F1339" s="2" t="s">
        <v>113</v>
      </c>
      <c r="G1339" s="2" t="s">
        <v>31</v>
      </c>
      <c r="H1339" s="2" t="s">
        <v>21</v>
      </c>
      <c r="I1339" s="2">
        <v>24</v>
      </c>
      <c r="J1339" s="2" t="s">
        <v>75</v>
      </c>
      <c r="K1339" s="4" t="s">
        <v>8590</v>
      </c>
      <c r="L1339" s="2" t="s">
        <v>24</v>
      </c>
      <c r="M1339" s="2">
        <v>1</v>
      </c>
      <c r="N1339" t="s">
        <v>8583</v>
      </c>
      <c r="O1339" s="8" t="str">
        <f t="shared" si="40"/>
        <v/>
      </c>
      <c r="P1339" t="str">
        <f t="shared" si="41"/>
        <v>N/A</v>
      </c>
    </row>
    <row r="1340" spans="1:16" x14ac:dyDescent="0.25">
      <c r="A1340" s="2" t="s">
        <v>3670</v>
      </c>
      <c r="B1340" s="4">
        <v>46198.981249999997</v>
      </c>
      <c r="C1340" s="2" t="s">
        <v>53</v>
      </c>
      <c r="D1340" s="2" t="s">
        <v>61</v>
      </c>
      <c r="E1340" s="2" t="s">
        <v>79</v>
      </c>
      <c r="F1340" s="2" t="s">
        <v>96</v>
      </c>
      <c r="G1340" s="2" t="s">
        <v>101</v>
      </c>
      <c r="H1340" s="2" t="s">
        <v>21</v>
      </c>
      <c r="I1340" s="2">
        <v>24</v>
      </c>
      <c r="J1340" s="2" t="s">
        <v>106</v>
      </c>
      <c r="K1340" s="4">
        <v>46199.627083333333</v>
      </c>
      <c r="L1340" s="2" t="s">
        <v>24</v>
      </c>
      <c r="M1340" s="2"/>
      <c r="N1340" t="s">
        <v>8588</v>
      </c>
      <c r="O1340" s="8">
        <f t="shared" si="40"/>
        <v>15.500000000058208</v>
      </c>
      <c r="P1340" t="str">
        <f t="shared" si="41"/>
        <v>Yes</v>
      </c>
    </row>
    <row r="1341" spans="1:16" x14ac:dyDescent="0.25">
      <c r="A1341" s="2" t="s">
        <v>3673</v>
      </c>
      <c r="B1341" s="4">
        <v>46103.688888888886</v>
      </c>
      <c r="C1341" s="2" t="s">
        <v>28</v>
      </c>
      <c r="D1341" s="2" t="s">
        <v>37</v>
      </c>
      <c r="E1341" s="2" t="s">
        <v>38</v>
      </c>
      <c r="F1341" s="2" t="s">
        <v>113</v>
      </c>
      <c r="G1341" s="2" t="s">
        <v>179</v>
      </c>
      <c r="H1341" s="2" t="s">
        <v>74</v>
      </c>
      <c r="I1341" s="2">
        <v>8</v>
      </c>
      <c r="J1341" s="2" t="s">
        <v>11</v>
      </c>
      <c r="K1341" s="4" t="s">
        <v>8590</v>
      </c>
      <c r="L1341" s="2" t="s">
        <v>92</v>
      </c>
      <c r="M1341" s="2"/>
      <c r="N1341" t="s">
        <v>8583</v>
      </c>
      <c r="O1341" s="8" t="str">
        <f t="shared" si="40"/>
        <v/>
      </c>
      <c r="P1341" t="str">
        <f t="shared" si="41"/>
        <v>N/A</v>
      </c>
    </row>
    <row r="1342" spans="1:16" x14ac:dyDescent="0.25">
      <c r="A1342" s="2" t="s">
        <v>3675</v>
      </c>
      <c r="B1342" s="4">
        <v>46227.15347222222</v>
      </c>
      <c r="C1342" s="2" t="s">
        <v>67</v>
      </c>
      <c r="D1342" s="2" t="s">
        <v>95</v>
      </c>
      <c r="E1342" s="2" t="s">
        <v>38</v>
      </c>
      <c r="F1342" s="2" t="s">
        <v>55</v>
      </c>
      <c r="G1342" s="2" t="s">
        <v>31</v>
      </c>
      <c r="H1342" s="2" t="s">
        <v>32</v>
      </c>
      <c r="I1342" s="2">
        <v>48</v>
      </c>
      <c r="J1342" s="2" t="s">
        <v>75</v>
      </c>
      <c r="K1342" s="4">
        <v>46228.495138888888</v>
      </c>
      <c r="L1342" s="2" t="s">
        <v>24</v>
      </c>
      <c r="M1342" s="2"/>
      <c r="N1342" t="s">
        <v>8581</v>
      </c>
      <c r="O1342" s="8">
        <f t="shared" si="40"/>
        <v>32.200000000011642</v>
      </c>
      <c r="P1342" t="str">
        <f t="shared" si="41"/>
        <v>N/A</v>
      </c>
    </row>
    <row r="1343" spans="1:16" x14ac:dyDescent="0.25">
      <c r="A1343" s="2" t="s">
        <v>3678</v>
      </c>
      <c r="B1343" s="4">
        <v>46251.376388888886</v>
      </c>
      <c r="C1343" s="2" t="s">
        <v>67</v>
      </c>
      <c r="D1343" s="2" t="s">
        <v>68</v>
      </c>
      <c r="E1343" s="2" t="s">
        <v>18</v>
      </c>
      <c r="F1343" s="2" t="s">
        <v>96</v>
      </c>
      <c r="G1343" s="2" t="s">
        <v>101</v>
      </c>
      <c r="H1343" s="2" t="s">
        <v>32</v>
      </c>
      <c r="I1343" s="2">
        <v>48</v>
      </c>
      <c r="J1343" s="2" t="s">
        <v>11</v>
      </c>
      <c r="K1343" s="4" t="s">
        <v>8590</v>
      </c>
      <c r="L1343" s="2" t="s">
        <v>92</v>
      </c>
      <c r="M1343" s="2"/>
      <c r="N1343" t="s">
        <v>8584</v>
      </c>
      <c r="O1343" s="8" t="str">
        <f t="shared" si="40"/>
        <v/>
      </c>
      <c r="P1343" t="str">
        <f t="shared" si="41"/>
        <v>N/A</v>
      </c>
    </row>
    <row r="1344" spans="1:16" x14ac:dyDescent="0.25">
      <c r="A1344" s="2" t="s">
        <v>3680</v>
      </c>
      <c r="B1344" s="4">
        <v>46248.361111111109</v>
      </c>
      <c r="C1344" s="2" t="s">
        <v>67</v>
      </c>
      <c r="D1344" s="2" t="s">
        <v>68</v>
      </c>
      <c r="E1344" s="2" t="s">
        <v>90</v>
      </c>
      <c r="F1344" s="2" t="s">
        <v>96</v>
      </c>
      <c r="G1344" s="2" t="s">
        <v>110</v>
      </c>
      <c r="H1344" s="2" t="s">
        <v>21</v>
      </c>
      <c r="I1344" s="2">
        <v>24</v>
      </c>
      <c r="J1344" s="2" t="s">
        <v>106</v>
      </c>
      <c r="K1344" s="4">
        <v>46248.875</v>
      </c>
      <c r="L1344" s="2" t="s">
        <v>92</v>
      </c>
      <c r="M1344" s="2"/>
      <c r="N1344" t="s">
        <v>8585</v>
      </c>
      <c r="O1344" s="8">
        <f t="shared" si="40"/>
        <v>12.333333333372138</v>
      </c>
      <c r="P1344" t="str">
        <f t="shared" si="41"/>
        <v>Yes</v>
      </c>
    </row>
    <row r="1345" spans="1:16" x14ac:dyDescent="0.25">
      <c r="A1345" s="2" t="s">
        <v>3683</v>
      </c>
      <c r="B1345" s="4">
        <v>46070.109722222223</v>
      </c>
      <c r="C1345" s="2" t="s">
        <v>67</v>
      </c>
      <c r="D1345" s="2" t="s">
        <v>68</v>
      </c>
      <c r="E1345" s="2" t="s">
        <v>38</v>
      </c>
      <c r="F1345" s="2" t="s">
        <v>113</v>
      </c>
      <c r="G1345" s="2" t="s">
        <v>183</v>
      </c>
      <c r="H1345" s="2" t="s">
        <v>74</v>
      </c>
      <c r="I1345" s="2">
        <v>8</v>
      </c>
      <c r="J1345" s="2" t="s">
        <v>106</v>
      </c>
      <c r="K1345" s="4">
        <v>46070.348611111112</v>
      </c>
      <c r="L1345" s="2" t="s">
        <v>24</v>
      </c>
      <c r="M1345" s="2">
        <v>2</v>
      </c>
      <c r="N1345" t="s">
        <v>8587</v>
      </c>
      <c r="O1345" s="8">
        <f t="shared" si="40"/>
        <v>5.7333333333372138</v>
      </c>
      <c r="P1345" t="str">
        <f t="shared" si="41"/>
        <v>Yes</v>
      </c>
    </row>
    <row r="1346" spans="1:16" x14ac:dyDescent="0.25">
      <c r="A1346" s="2" t="s">
        <v>3686</v>
      </c>
      <c r="B1346" s="4">
        <v>46178.368750000001</v>
      </c>
      <c r="C1346" s="2" t="s">
        <v>67</v>
      </c>
      <c r="D1346" s="2" t="s">
        <v>68</v>
      </c>
      <c r="E1346" s="2" t="s">
        <v>38</v>
      </c>
      <c r="F1346" s="2" t="s">
        <v>30</v>
      </c>
      <c r="G1346" s="2" t="s">
        <v>183</v>
      </c>
      <c r="H1346" s="2" t="s">
        <v>80</v>
      </c>
      <c r="I1346" s="2">
        <v>4</v>
      </c>
      <c r="J1346" s="2" t="s">
        <v>75</v>
      </c>
      <c r="K1346" s="4">
        <v>46178.481249999997</v>
      </c>
      <c r="L1346" s="2" t="s">
        <v>24</v>
      </c>
      <c r="M1346" s="2">
        <v>5</v>
      </c>
      <c r="N1346" t="s">
        <v>8586</v>
      </c>
      <c r="O1346" s="8">
        <f t="shared" si="40"/>
        <v>2.6999999998952262</v>
      </c>
      <c r="P1346" t="str">
        <f t="shared" si="41"/>
        <v>N/A</v>
      </c>
    </row>
    <row r="1347" spans="1:16" x14ac:dyDescent="0.25">
      <c r="A1347" s="2" t="s">
        <v>3689</v>
      </c>
      <c r="B1347" s="4">
        <v>46262.702777777777</v>
      </c>
      <c r="C1347" s="2" t="s">
        <v>28</v>
      </c>
      <c r="D1347" s="2" t="s">
        <v>37</v>
      </c>
      <c r="E1347" s="2" t="s">
        <v>85</v>
      </c>
      <c r="F1347" s="2" t="s">
        <v>96</v>
      </c>
      <c r="G1347" s="2" t="s">
        <v>183</v>
      </c>
      <c r="H1347" s="2" t="s">
        <v>74</v>
      </c>
      <c r="I1347" s="2">
        <v>8</v>
      </c>
      <c r="J1347" s="2" t="s">
        <v>106</v>
      </c>
      <c r="K1347" s="4">
        <v>46262.980555555558</v>
      </c>
      <c r="L1347" s="2" t="s">
        <v>24</v>
      </c>
      <c r="M1347" s="2"/>
      <c r="N1347" t="s">
        <v>8581</v>
      </c>
      <c r="O1347" s="8">
        <f t="shared" ref="O1347:O1410" si="42">IF(K1347="","",IF(K1347="Missing Resolve Date","",(K1347-B1347)*24))</f>
        <v>6.6666666667442769</v>
      </c>
      <c r="P1347" t="str">
        <f t="shared" ref="P1347:P1410" si="43">IF(J1347="Resolved",IF(O1347&lt;=I1347,"Yes","No"),"N/A")</f>
        <v>Yes</v>
      </c>
    </row>
    <row r="1348" spans="1:16" x14ac:dyDescent="0.25">
      <c r="A1348" s="2" t="s">
        <v>3692</v>
      </c>
      <c r="B1348" s="4">
        <v>46207.590277777781</v>
      </c>
      <c r="C1348" s="2" t="s">
        <v>67</v>
      </c>
      <c r="D1348" s="2" t="s">
        <v>68</v>
      </c>
      <c r="E1348" s="2" t="s">
        <v>18</v>
      </c>
      <c r="F1348" s="2" t="s">
        <v>55</v>
      </c>
      <c r="G1348" s="2" t="s">
        <v>110</v>
      </c>
      <c r="H1348" s="2" t="s">
        <v>21</v>
      </c>
      <c r="I1348" s="2">
        <v>24</v>
      </c>
      <c r="J1348" s="2" t="s">
        <v>11</v>
      </c>
      <c r="K1348" s="4" t="s">
        <v>8590</v>
      </c>
      <c r="L1348" s="2" t="s">
        <v>92</v>
      </c>
      <c r="M1348" s="2"/>
      <c r="N1348" t="s">
        <v>8585</v>
      </c>
      <c r="O1348" s="8" t="str">
        <f t="shared" si="42"/>
        <v/>
      </c>
      <c r="P1348" t="str">
        <f t="shared" si="43"/>
        <v>N/A</v>
      </c>
    </row>
    <row r="1349" spans="1:16" x14ac:dyDescent="0.25">
      <c r="A1349" s="2" t="s">
        <v>3694</v>
      </c>
      <c r="B1349" s="4">
        <v>46046.008333333331</v>
      </c>
      <c r="C1349" s="2" t="s">
        <v>53</v>
      </c>
      <c r="D1349" s="2" t="s">
        <v>61</v>
      </c>
      <c r="E1349" s="2" t="s">
        <v>85</v>
      </c>
      <c r="F1349" s="2" t="s">
        <v>30</v>
      </c>
      <c r="G1349" s="2" t="s">
        <v>101</v>
      </c>
      <c r="H1349" s="2" t="s">
        <v>21</v>
      </c>
      <c r="I1349" s="2">
        <v>24</v>
      </c>
      <c r="J1349" s="2" t="s">
        <v>287</v>
      </c>
      <c r="K1349" s="4" t="s">
        <v>8590</v>
      </c>
      <c r="L1349" s="2" t="s">
        <v>92</v>
      </c>
      <c r="M1349" s="2"/>
      <c r="N1349" t="s">
        <v>8589</v>
      </c>
      <c r="O1349" s="8" t="str">
        <f t="shared" si="42"/>
        <v/>
      </c>
      <c r="P1349" t="str">
        <f t="shared" si="43"/>
        <v>N/A</v>
      </c>
    </row>
    <row r="1350" spans="1:16" x14ac:dyDescent="0.25">
      <c r="A1350" s="2" t="s">
        <v>3696</v>
      </c>
      <c r="B1350" s="4">
        <v>46054.303472222222</v>
      </c>
      <c r="C1350" s="2" t="s">
        <v>28</v>
      </c>
      <c r="D1350" s="2" t="s">
        <v>37</v>
      </c>
      <c r="E1350" s="2" t="s">
        <v>148</v>
      </c>
      <c r="F1350" s="2" t="s">
        <v>55</v>
      </c>
      <c r="G1350" s="2" t="s">
        <v>101</v>
      </c>
      <c r="H1350" s="2" t="s">
        <v>32</v>
      </c>
      <c r="I1350" s="2">
        <v>48</v>
      </c>
      <c r="J1350" s="2" t="s">
        <v>106</v>
      </c>
      <c r="K1350" s="4">
        <v>46056.093055555553</v>
      </c>
      <c r="L1350" s="2" t="s">
        <v>24</v>
      </c>
      <c r="M1350" s="2">
        <v>5</v>
      </c>
      <c r="N1350" t="s">
        <v>8584</v>
      </c>
      <c r="O1350" s="8">
        <f t="shared" si="42"/>
        <v>42.949999999953434</v>
      </c>
      <c r="P1350" t="str">
        <f t="shared" si="43"/>
        <v>Yes</v>
      </c>
    </row>
    <row r="1351" spans="1:16" x14ac:dyDescent="0.25">
      <c r="A1351" s="2" t="s">
        <v>3699</v>
      </c>
      <c r="B1351" s="4">
        <v>46092.913194444445</v>
      </c>
      <c r="C1351" s="2" t="s">
        <v>16</v>
      </c>
      <c r="D1351" s="2" t="s">
        <v>84</v>
      </c>
      <c r="E1351" s="2" t="s">
        <v>46</v>
      </c>
      <c r="F1351" s="2" t="s">
        <v>113</v>
      </c>
      <c r="G1351" s="2" t="s">
        <v>110</v>
      </c>
      <c r="H1351" s="2" t="s">
        <v>74</v>
      </c>
      <c r="I1351" s="2">
        <v>8</v>
      </c>
      <c r="J1351" s="2" t="s">
        <v>287</v>
      </c>
      <c r="K1351" s="4" t="s">
        <v>8590</v>
      </c>
      <c r="L1351" s="2" t="s">
        <v>24</v>
      </c>
      <c r="M1351" s="2"/>
      <c r="N1351" t="s">
        <v>8584</v>
      </c>
      <c r="O1351" s="8" t="str">
        <f t="shared" si="42"/>
        <v/>
      </c>
      <c r="P1351" t="str">
        <f t="shared" si="43"/>
        <v>N/A</v>
      </c>
    </row>
    <row r="1352" spans="1:16" x14ac:dyDescent="0.25">
      <c r="A1352" s="2" t="s">
        <v>3701</v>
      </c>
      <c r="B1352" s="4">
        <v>46159.189583333333</v>
      </c>
      <c r="C1352" s="2" t="s">
        <v>28</v>
      </c>
      <c r="D1352" s="2" t="s">
        <v>100</v>
      </c>
      <c r="E1352" s="2" t="s">
        <v>79</v>
      </c>
      <c r="F1352" s="2" t="s">
        <v>113</v>
      </c>
      <c r="G1352" s="2" t="s">
        <v>183</v>
      </c>
      <c r="H1352" s="2" t="s">
        <v>21</v>
      </c>
      <c r="I1352" s="2">
        <v>24</v>
      </c>
      <c r="J1352" s="2" t="s">
        <v>106</v>
      </c>
      <c r="K1352" s="4">
        <v>46160.052083333336</v>
      </c>
      <c r="L1352" s="2" t="s">
        <v>92</v>
      </c>
      <c r="M1352" s="2"/>
      <c r="N1352" t="s">
        <v>8588</v>
      </c>
      <c r="O1352" s="8">
        <f t="shared" si="42"/>
        <v>20.700000000069849</v>
      </c>
      <c r="P1352" t="str">
        <f t="shared" si="43"/>
        <v>Yes</v>
      </c>
    </row>
    <row r="1353" spans="1:16" x14ac:dyDescent="0.25">
      <c r="A1353" s="2" t="s">
        <v>3704</v>
      </c>
      <c r="B1353" s="4">
        <v>46157.681250000001</v>
      </c>
      <c r="C1353" s="2" t="s">
        <v>28</v>
      </c>
      <c r="D1353" s="2" t="s">
        <v>100</v>
      </c>
      <c r="E1353" s="2" t="s">
        <v>46</v>
      </c>
      <c r="F1353" s="2" t="s">
        <v>113</v>
      </c>
      <c r="G1353" s="2" t="s">
        <v>101</v>
      </c>
      <c r="H1353" s="2" t="s">
        <v>74</v>
      </c>
      <c r="I1353" s="2">
        <v>8</v>
      </c>
      <c r="J1353" s="2" t="s">
        <v>11</v>
      </c>
      <c r="K1353" s="4" t="s">
        <v>8590</v>
      </c>
      <c r="L1353" s="2" t="s">
        <v>92</v>
      </c>
      <c r="M1353" s="2"/>
      <c r="N1353" t="s">
        <v>8588</v>
      </c>
      <c r="O1353" s="8" t="str">
        <f t="shared" si="42"/>
        <v/>
      </c>
      <c r="P1353" t="str">
        <f t="shared" si="43"/>
        <v>N/A</v>
      </c>
    </row>
    <row r="1354" spans="1:16" x14ac:dyDescent="0.25">
      <c r="A1354" s="2" t="s">
        <v>3706</v>
      </c>
      <c r="B1354" s="4">
        <v>46215.38958333333</v>
      </c>
      <c r="C1354" s="2" t="s">
        <v>28</v>
      </c>
      <c r="D1354" s="2" t="s">
        <v>37</v>
      </c>
      <c r="E1354" s="2" t="s">
        <v>79</v>
      </c>
      <c r="F1354" s="2" t="s">
        <v>96</v>
      </c>
      <c r="G1354" s="2" t="s">
        <v>211</v>
      </c>
      <c r="H1354" s="2" t="s">
        <v>21</v>
      </c>
      <c r="I1354" s="2">
        <v>24</v>
      </c>
      <c r="J1354" s="2" t="s">
        <v>75</v>
      </c>
      <c r="K1354" s="4">
        <v>46215.699305555558</v>
      </c>
      <c r="L1354" s="2" t="s">
        <v>24</v>
      </c>
      <c r="M1354" s="2"/>
      <c r="N1354" t="s">
        <v>8589</v>
      </c>
      <c r="O1354" s="8">
        <f t="shared" si="42"/>
        <v>7.4333333334652707</v>
      </c>
      <c r="P1354" t="str">
        <f t="shared" si="43"/>
        <v>N/A</v>
      </c>
    </row>
    <row r="1355" spans="1:16" x14ac:dyDescent="0.25">
      <c r="A1355" s="2" t="s">
        <v>3709</v>
      </c>
      <c r="B1355" s="4">
        <v>46137.776388888888</v>
      </c>
      <c r="C1355" s="2" t="s">
        <v>53</v>
      </c>
      <c r="D1355" s="2" t="s">
        <v>61</v>
      </c>
      <c r="E1355" s="2" t="s">
        <v>148</v>
      </c>
      <c r="F1355" s="2" t="s">
        <v>96</v>
      </c>
      <c r="G1355" s="2" t="s">
        <v>31</v>
      </c>
      <c r="H1355" s="2" t="s">
        <v>32</v>
      </c>
      <c r="I1355" s="2">
        <v>48</v>
      </c>
      <c r="J1355" s="2" t="s">
        <v>75</v>
      </c>
      <c r="K1355" s="4" t="s">
        <v>8590</v>
      </c>
      <c r="L1355" s="2" t="s">
        <v>24</v>
      </c>
      <c r="M1355" s="2"/>
      <c r="N1355" t="s">
        <v>8582</v>
      </c>
      <c r="O1355" s="8" t="str">
        <f t="shared" si="42"/>
        <v/>
      </c>
      <c r="P1355" t="str">
        <f t="shared" si="43"/>
        <v>N/A</v>
      </c>
    </row>
    <row r="1356" spans="1:16" x14ac:dyDescent="0.25">
      <c r="A1356" s="2" t="s">
        <v>3711</v>
      </c>
      <c r="B1356" s="4">
        <v>46050.720833333333</v>
      </c>
      <c r="C1356" s="2" t="s">
        <v>16</v>
      </c>
      <c r="D1356" s="2" t="s">
        <v>84</v>
      </c>
      <c r="E1356" s="2" t="s">
        <v>79</v>
      </c>
      <c r="F1356" s="2" t="s">
        <v>96</v>
      </c>
      <c r="G1356" s="2" t="s">
        <v>31</v>
      </c>
      <c r="H1356" s="2" t="s">
        <v>74</v>
      </c>
      <c r="I1356" s="2">
        <v>8</v>
      </c>
      <c r="J1356" s="2" t="s">
        <v>149</v>
      </c>
      <c r="K1356" s="4" t="s">
        <v>8590</v>
      </c>
      <c r="L1356" s="2" t="s">
        <v>24</v>
      </c>
      <c r="M1356" s="2"/>
      <c r="N1356" t="s">
        <v>8588</v>
      </c>
      <c r="O1356" s="8" t="str">
        <f t="shared" si="42"/>
        <v/>
      </c>
      <c r="P1356" t="str">
        <f t="shared" si="43"/>
        <v>N/A</v>
      </c>
    </row>
    <row r="1357" spans="1:16" x14ac:dyDescent="0.25">
      <c r="A1357" s="2" t="s">
        <v>3713</v>
      </c>
      <c r="B1357" s="4">
        <v>46122.012499999997</v>
      </c>
      <c r="C1357" s="2" t="s">
        <v>28</v>
      </c>
      <c r="D1357" s="2" t="s">
        <v>37</v>
      </c>
      <c r="E1357" s="2" t="s">
        <v>38</v>
      </c>
      <c r="F1357" s="2" t="s">
        <v>96</v>
      </c>
      <c r="G1357" s="2" t="s">
        <v>31</v>
      </c>
      <c r="H1357" s="2" t="s">
        <v>74</v>
      </c>
      <c r="I1357" s="2">
        <v>8</v>
      </c>
      <c r="J1357" s="2" t="s">
        <v>8580</v>
      </c>
      <c r="K1357" s="4">
        <v>46122.059027777781</v>
      </c>
      <c r="L1357" s="2" t="s">
        <v>24</v>
      </c>
      <c r="M1357" s="2"/>
      <c r="N1357" t="s">
        <v>8581</v>
      </c>
      <c r="O1357" s="8">
        <f t="shared" si="42"/>
        <v>1.1166666668141261</v>
      </c>
      <c r="P1357" t="str">
        <f t="shared" si="43"/>
        <v>N/A</v>
      </c>
    </row>
    <row r="1358" spans="1:16" x14ac:dyDescent="0.25">
      <c r="A1358" s="2" t="s">
        <v>3716</v>
      </c>
      <c r="B1358" s="4">
        <v>46110.763888888891</v>
      </c>
      <c r="C1358" s="2" t="s">
        <v>28</v>
      </c>
      <c r="D1358" s="2" t="s">
        <v>37</v>
      </c>
      <c r="E1358" s="2" t="s">
        <v>18</v>
      </c>
      <c r="F1358" s="2" t="s">
        <v>113</v>
      </c>
      <c r="G1358" s="2" t="s">
        <v>211</v>
      </c>
      <c r="H1358" s="2" t="s">
        <v>21</v>
      </c>
      <c r="I1358" s="2">
        <v>24</v>
      </c>
      <c r="J1358" s="2" t="s">
        <v>106</v>
      </c>
      <c r="K1358" s="4" t="s">
        <v>8590</v>
      </c>
      <c r="L1358" s="2" t="s">
        <v>24</v>
      </c>
      <c r="M1358" s="2">
        <v>4</v>
      </c>
      <c r="N1358" t="s">
        <v>8589</v>
      </c>
      <c r="O1358" s="8" t="str">
        <f t="shared" si="42"/>
        <v/>
      </c>
      <c r="P1358" t="str">
        <f t="shared" si="43"/>
        <v>No</v>
      </c>
    </row>
    <row r="1359" spans="1:16" x14ac:dyDescent="0.25">
      <c r="A1359" s="2" t="s">
        <v>3718</v>
      </c>
      <c r="B1359" s="4">
        <v>46251.039583333331</v>
      </c>
      <c r="C1359" s="2" t="s">
        <v>53</v>
      </c>
      <c r="D1359" s="2" t="s">
        <v>54</v>
      </c>
      <c r="E1359" s="2" t="s">
        <v>18</v>
      </c>
      <c r="F1359" s="2" t="s">
        <v>30</v>
      </c>
      <c r="G1359" s="2" t="s">
        <v>211</v>
      </c>
      <c r="H1359" s="2" t="s">
        <v>74</v>
      </c>
      <c r="I1359" s="2">
        <v>8</v>
      </c>
      <c r="J1359" s="2" t="s">
        <v>11</v>
      </c>
      <c r="K1359" s="4" t="s">
        <v>8590</v>
      </c>
      <c r="L1359" s="2" t="s">
        <v>92</v>
      </c>
      <c r="M1359" s="2"/>
      <c r="N1359" t="s">
        <v>8588</v>
      </c>
      <c r="O1359" s="8" t="str">
        <f t="shared" si="42"/>
        <v/>
      </c>
      <c r="P1359" t="str">
        <f t="shared" si="43"/>
        <v>N/A</v>
      </c>
    </row>
    <row r="1360" spans="1:16" x14ac:dyDescent="0.25">
      <c r="A1360" s="2" t="s">
        <v>3720</v>
      </c>
      <c r="B1360" s="4">
        <v>46093.185416666667</v>
      </c>
      <c r="C1360" s="2" t="s">
        <v>16</v>
      </c>
      <c r="D1360" s="2" t="s">
        <v>84</v>
      </c>
      <c r="E1360" s="2" t="s">
        <v>85</v>
      </c>
      <c r="F1360" s="2" t="s">
        <v>30</v>
      </c>
      <c r="G1360" s="2" t="s">
        <v>211</v>
      </c>
      <c r="H1360" s="2" t="s">
        <v>21</v>
      </c>
      <c r="I1360" s="2">
        <v>24</v>
      </c>
      <c r="J1360" s="2" t="s">
        <v>287</v>
      </c>
      <c r="K1360" s="4" t="s">
        <v>8590</v>
      </c>
      <c r="L1360" s="2" t="s">
        <v>24</v>
      </c>
      <c r="M1360" s="2"/>
      <c r="N1360" t="s">
        <v>8588</v>
      </c>
      <c r="O1360" s="8" t="str">
        <f t="shared" si="42"/>
        <v/>
      </c>
      <c r="P1360" t="str">
        <f t="shared" si="43"/>
        <v>N/A</v>
      </c>
    </row>
    <row r="1361" spans="1:16" x14ac:dyDescent="0.25">
      <c r="A1361" s="2" t="s">
        <v>3722</v>
      </c>
      <c r="B1361" s="4">
        <v>46236.874305555553</v>
      </c>
      <c r="C1361" s="2" t="s">
        <v>53</v>
      </c>
      <c r="D1361" s="2" t="s">
        <v>54</v>
      </c>
      <c r="E1361" s="2" t="s">
        <v>38</v>
      </c>
      <c r="F1361" s="2" t="s">
        <v>113</v>
      </c>
      <c r="G1361" s="2" t="s">
        <v>31</v>
      </c>
      <c r="H1361" s="2" t="s">
        <v>32</v>
      </c>
      <c r="I1361" s="2">
        <v>48</v>
      </c>
      <c r="J1361" s="2" t="s">
        <v>106</v>
      </c>
      <c r="K1361" s="4">
        <v>46239.852777777778</v>
      </c>
      <c r="L1361" s="2" t="s">
        <v>24</v>
      </c>
      <c r="M1361" s="2">
        <v>4</v>
      </c>
      <c r="N1361" t="s">
        <v>8586</v>
      </c>
      <c r="O1361" s="8">
        <f t="shared" si="42"/>
        <v>71.483333333395422</v>
      </c>
      <c r="P1361" t="str">
        <f t="shared" si="43"/>
        <v>No</v>
      </c>
    </row>
    <row r="1362" spans="1:16" x14ac:dyDescent="0.25">
      <c r="A1362" s="2" t="s">
        <v>3725</v>
      </c>
      <c r="B1362" s="4">
        <v>46235.061111111114</v>
      </c>
      <c r="C1362" s="2" t="s">
        <v>53</v>
      </c>
      <c r="D1362" s="2" t="s">
        <v>61</v>
      </c>
      <c r="E1362" s="2" t="s">
        <v>79</v>
      </c>
      <c r="F1362" s="2" t="s">
        <v>113</v>
      </c>
      <c r="G1362" s="2" t="s">
        <v>211</v>
      </c>
      <c r="H1362" s="2" t="s">
        <v>21</v>
      </c>
      <c r="I1362" s="2">
        <v>24</v>
      </c>
      <c r="J1362" s="2" t="s">
        <v>106</v>
      </c>
      <c r="K1362" s="4">
        <v>46235.576388888891</v>
      </c>
      <c r="L1362" s="2" t="s">
        <v>24</v>
      </c>
      <c r="M1362" s="2">
        <v>5</v>
      </c>
      <c r="N1362" t="s">
        <v>8589</v>
      </c>
      <c r="O1362" s="8">
        <f t="shared" si="42"/>
        <v>12.366666666639503</v>
      </c>
      <c r="P1362" t="str">
        <f t="shared" si="43"/>
        <v>Yes</v>
      </c>
    </row>
    <row r="1363" spans="1:16" x14ac:dyDescent="0.25">
      <c r="A1363" s="2" t="s">
        <v>3728</v>
      </c>
      <c r="B1363" s="4">
        <v>46173.576388888891</v>
      </c>
      <c r="C1363" s="2" t="s">
        <v>53</v>
      </c>
      <c r="D1363" s="2" t="s">
        <v>61</v>
      </c>
      <c r="E1363" s="2" t="s">
        <v>90</v>
      </c>
      <c r="F1363" s="2" t="s">
        <v>55</v>
      </c>
      <c r="G1363" s="2" t="s">
        <v>211</v>
      </c>
      <c r="H1363" s="2" t="s">
        <v>74</v>
      </c>
      <c r="I1363" s="2">
        <v>8</v>
      </c>
      <c r="J1363" s="2" t="s">
        <v>11</v>
      </c>
      <c r="K1363" s="4" t="s">
        <v>8590</v>
      </c>
      <c r="L1363" s="2" t="s">
        <v>92</v>
      </c>
      <c r="M1363" s="2"/>
      <c r="N1363" t="s">
        <v>8581</v>
      </c>
      <c r="O1363" s="8" t="str">
        <f t="shared" si="42"/>
        <v/>
      </c>
      <c r="P1363" t="str">
        <f t="shared" si="43"/>
        <v>N/A</v>
      </c>
    </row>
    <row r="1364" spans="1:16" x14ac:dyDescent="0.25">
      <c r="A1364" s="2" t="s">
        <v>3730</v>
      </c>
      <c r="B1364" s="4">
        <v>46135.477777777778</v>
      </c>
      <c r="C1364" s="2" t="s">
        <v>67</v>
      </c>
      <c r="D1364" s="2" t="s">
        <v>68</v>
      </c>
      <c r="E1364" s="2" t="s">
        <v>85</v>
      </c>
      <c r="F1364" s="2" t="s">
        <v>55</v>
      </c>
      <c r="G1364" s="2" t="s">
        <v>110</v>
      </c>
      <c r="H1364" s="2" t="s">
        <v>74</v>
      </c>
      <c r="I1364" s="2">
        <v>8</v>
      </c>
      <c r="J1364" s="2" t="s">
        <v>106</v>
      </c>
      <c r="K1364" s="4">
        <v>46135.728472222225</v>
      </c>
      <c r="L1364" s="2" t="s">
        <v>24</v>
      </c>
      <c r="M1364" s="2">
        <v>5</v>
      </c>
      <c r="N1364" t="s">
        <v>8589</v>
      </c>
      <c r="O1364" s="8">
        <f t="shared" si="42"/>
        <v>6.0166666667209938</v>
      </c>
      <c r="P1364" t="str">
        <f t="shared" si="43"/>
        <v>Yes</v>
      </c>
    </row>
    <row r="1365" spans="1:16" x14ac:dyDescent="0.25">
      <c r="A1365" s="2" t="s">
        <v>3733</v>
      </c>
      <c r="B1365" s="4">
        <v>46145.716666666667</v>
      </c>
      <c r="C1365" s="2" t="s">
        <v>67</v>
      </c>
      <c r="D1365" s="2" t="s">
        <v>95</v>
      </c>
      <c r="E1365" s="2" t="s">
        <v>148</v>
      </c>
      <c r="F1365" s="2" t="s">
        <v>30</v>
      </c>
      <c r="G1365" s="2" t="s">
        <v>110</v>
      </c>
      <c r="H1365" s="2" t="s">
        <v>74</v>
      </c>
      <c r="I1365" s="2">
        <v>8</v>
      </c>
      <c r="J1365" s="2" t="s">
        <v>11</v>
      </c>
      <c r="K1365" s="4" t="s">
        <v>8590</v>
      </c>
      <c r="L1365" s="2" t="s">
        <v>92</v>
      </c>
      <c r="M1365" s="2"/>
      <c r="N1365" t="s">
        <v>8589</v>
      </c>
      <c r="O1365" s="8" t="str">
        <f t="shared" si="42"/>
        <v/>
      </c>
      <c r="P1365" t="str">
        <f t="shared" si="43"/>
        <v>N/A</v>
      </c>
    </row>
    <row r="1366" spans="1:16" x14ac:dyDescent="0.25">
      <c r="A1366" s="2" t="s">
        <v>3735</v>
      </c>
      <c r="B1366" s="4">
        <v>46162.036805555559</v>
      </c>
      <c r="C1366" s="2" t="s">
        <v>16</v>
      </c>
      <c r="D1366" s="2" t="s">
        <v>84</v>
      </c>
      <c r="E1366" s="2" t="s">
        <v>18</v>
      </c>
      <c r="F1366" s="2" t="s">
        <v>55</v>
      </c>
      <c r="G1366" s="2" t="s">
        <v>183</v>
      </c>
      <c r="H1366" s="2" t="s">
        <v>74</v>
      </c>
      <c r="I1366" s="2">
        <v>8</v>
      </c>
      <c r="J1366" s="2" t="s">
        <v>11</v>
      </c>
      <c r="K1366" s="4" t="s">
        <v>8590</v>
      </c>
      <c r="L1366" s="2" t="s">
        <v>92</v>
      </c>
      <c r="M1366" s="2"/>
      <c r="N1366" t="s">
        <v>8588</v>
      </c>
      <c r="O1366" s="8" t="str">
        <f t="shared" si="42"/>
        <v/>
      </c>
      <c r="P1366" t="str">
        <f t="shared" si="43"/>
        <v>N/A</v>
      </c>
    </row>
    <row r="1367" spans="1:16" x14ac:dyDescent="0.25">
      <c r="A1367" s="2" t="s">
        <v>3737</v>
      </c>
      <c r="B1367" s="4">
        <v>46111.490972222222</v>
      </c>
      <c r="C1367" s="2" t="s">
        <v>28</v>
      </c>
      <c r="D1367" s="2" t="s">
        <v>37</v>
      </c>
      <c r="E1367" s="2" t="s">
        <v>38</v>
      </c>
      <c r="F1367" s="2" t="s">
        <v>96</v>
      </c>
      <c r="G1367" s="2" t="s">
        <v>183</v>
      </c>
      <c r="H1367" s="2" t="s">
        <v>21</v>
      </c>
      <c r="I1367" s="2">
        <v>24</v>
      </c>
      <c r="J1367" s="2" t="s">
        <v>75</v>
      </c>
      <c r="K1367" s="4">
        <v>46111.740972222222</v>
      </c>
      <c r="L1367" s="2" t="s">
        <v>24</v>
      </c>
      <c r="M1367" s="2"/>
      <c r="N1367" t="s">
        <v>8583</v>
      </c>
      <c r="O1367" s="8">
        <f t="shared" si="42"/>
        <v>6</v>
      </c>
      <c r="P1367" t="str">
        <f t="shared" si="43"/>
        <v>N/A</v>
      </c>
    </row>
    <row r="1368" spans="1:16" x14ac:dyDescent="0.25">
      <c r="A1368" s="2" t="s">
        <v>3740</v>
      </c>
      <c r="B1368" s="4">
        <v>46216.495833333334</v>
      </c>
      <c r="C1368" s="2" t="s">
        <v>67</v>
      </c>
      <c r="D1368" s="2" t="s">
        <v>68</v>
      </c>
      <c r="E1368" s="2" t="s">
        <v>38</v>
      </c>
      <c r="F1368" s="2" t="s">
        <v>113</v>
      </c>
      <c r="G1368" s="2" t="s">
        <v>101</v>
      </c>
      <c r="H1368" s="2" t="s">
        <v>21</v>
      </c>
      <c r="I1368" s="2">
        <v>24</v>
      </c>
      <c r="J1368" s="2" t="s">
        <v>75</v>
      </c>
      <c r="K1368" s="4">
        <v>46217.163194444445</v>
      </c>
      <c r="L1368" s="2" t="s">
        <v>24</v>
      </c>
      <c r="M1368" s="2"/>
      <c r="N1368" t="s">
        <v>8583</v>
      </c>
      <c r="O1368" s="8">
        <f t="shared" si="42"/>
        <v>16.016666666662786</v>
      </c>
      <c r="P1368" t="str">
        <f t="shared" si="43"/>
        <v>N/A</v>
      </c>
    </row>
    <row r="1369" spans="1:16" x14ac:dyDescent="0.25">
      <c r="A1369" s="2" t="s">
        <v>3743</v>
      </c>
      <c r="B1369" s="4">
        <v>46137.695833333331</v>
      </c>
      <c r="C1369" s="2" t="s">
        <v>53</v>
      </c>
      <c r="D1369" s="2" t="s">
        <v>61</v>
      </c>
      <c r="E1369" s="2" t="s">
        <v>46</v>
      </c>
      <c r="F1369" s="2" t="s">
        <v>55</v>
      </c>
      <c r="G1369" s="2" t="s">
        <v>183</v>
      </c>
      <c r="H1369" s="2" t="s">
        <v>21</v>
      </c>
      <c r="I1369" s="2">
        <v>24</v>
      </c>
      <c r="J1369" s="2" t="s">
        <v>75</v>
      </c>
      <c r="K1369" s="4">
        <v>46138.981249999997</v>
      </c>
      <c r="L1369" s="2" t="s">
        <v>24</v>
      </c>
      <c r="M1369" s="2"/>
      <c r="N1369" t="s">
        <v>8585</v>
      </c>
      <c r="O1369" s="8">
        <f t="shared" si="42"/>
        <v>30.849999999976717</v>
      </c>
      <c r="P1369" t="str">
        <f t="shared" si="43"/>
        <v>N/A</v>
      </c>
    </row>
    <row r="1370" spans="1:16" x14ac:dyDescent="0.25">
      <c r="A1370" s="2" t="s">
        <v>3746</v>
      </c>
      <c r="B1370" s="4">
        <v>46125.522916666669</v>
      </c>
      <c r="C1370" s="2" t="s">
        <v>28</v>
      </c>
      <c r="D1370" s="2" t="s">
        <v>37</v>
      </c>
      <c r="E1370" s="2" t="s">
        <v>38</v>
      </c>
      <c r="F1370" s="2" t="s">
        <v>113</v>
      </c>
      <c r="G1370" s="2" t="s">
        <v>183</v>
      </c>
      <c r="H1370" s="2" t="s">
        <v>21</v>
      </c>
      <c r="I1370" s="2">
        <v>24</v>
      </c>
      <c r="J1370" s="2" t="s">
        <v>106</v>
      </c>
      <c r="K1370" s="4">
        <v>46127.159722222219</v>
      </c>
      <c r="L1370" s="2" t="s">
        <v>24</v>
      </c>
      <c r="M1370" s="2">
        <v>5</v>
      </c>
      <c r="N1370" t="s">
        <v>8585</v>
      </c>
      <c r="O1370" s="8">
        <f t="shared" si="42"/>
        <v>39.283333333209157</v>
      </c>
      <c r="P1370" t="str">
        <f t="shared" si="43"/>
        <v>No</v>
      </c>
    </row>
    <row r="1371" spans="1:16" x14ac:dyDescent="0.25">
      <c r="A1371" s="2" t="s">
        <v>3749</v>
      </c>
      <c r="B1371" s="4">
        <v>46087.15902777778</v>
      </c>
      <c r="C1371" s="2" t="s">
        <v>67</v>
      </c>
      <c r="D1371" s="2" t="s">
        <v>95</v>
      </c>
      <c r="E1371" s="2" t="s">
        <v>90</v>
      </c>
      <c r="F1371" s="2" t="s">
        <v>96</v>
      </c>
      <c r="G1371" s="2" t="s">
        <v>31</v>
      </c>
      <c r="H1371" s="2" t="s">
        <v>21</v>
      </c>
      <c r="I1371" s="2">
        <v>24</v>
      </c>
      <c r="J1371" s="2" t="s">
        <v>11</v>
      </c>
      <c r="K1371" s="4" t="s">
        <v>8590</v>
      </c>
      <c r="L1371" s="2" t="s">
        <v>92</v>
      </c>
      <c r="M1371" s="2"/>
      <c r="N1371" t="s">
        <v>8583</v>
      </c>
      <c r="O1371" s="8" t="str">
        <f t="shared" si="42"/>
        <v/>
      </c>
      <c r="P1371" t="str">
        <f t="shared" si="43"/>
        <v>N/A</v>
      </c>
    </row>
    <row r="1372" spans="1:16" x14ac:dyDescent="0.25">
      <c r="A1372" s="2" t="s">
        <v>3751</v>
      </c>
      <c r="B1372" s="4">
        <v>46103.785416666666</v>
      </c>
      <c r="C1372" s="2" t="s">
        <v>16</v>
      </c>
      <c r="D1372" s="2" t="s">
        <v>84</v>
      </c>
      <c r="E1372" s="2" t="s">
        <v>90</v>
      </c>
      <c r="F1372" s="2" t="s">
        <v>96</v>
      </c>
      <c r="G1372" s="2" t="s">
        <v>101</v>
      </c>
      <c r="H1372" s="2" t="s">
        <v>74</v>
      </c>
      <c r="I1372" s="2">
        <v>8</v>
      </c>
      <c r="J1372" s="2" t="s">
        <v>149</v>
      </c>
      <c r="K1372" s="4" t="s">
        <v>8590</v>
      </c>
      <c r="L1372" s="2" t="s">
        <v>24</v>
      </c>
      <c r="M1372" s="2"/>
      <c r="N1372" t="s">
        <v>8587</v>
      </c>
      <c r="O1372" s="8" t="str">
        <f t="shared" si="42"/>
        <v/>
      </c>
      <c r="P1372" t="str">
        <f t="shared" si="43"/>
        <v>N/A</v>
      </c>
    </row>
    <row r="1373" spans="1:16" x14ac:dyDescent="0.25">
      <c r="A1373" s="2" t="s">
        <v>3753</v>
      </c>
      <c r="B1373" s="4">
        <v>46079.796527777777</v>
      </c>
      <c r="C1373" s="2" t="s">
        <v>53</v>
      </c>
      <c r="D1373" s="2" t="s">
        <v>61</v>
      </c>
      <c r="E1373" s="2" t="s">
        <v>85</v>
      </c>
      <c r="F1373" s="2" t="s">
        <v>30</v>
      </c>
      <c r="G1373" s="2" t="s">
        <v>211</v>
      </c>
      <c r="H1373" s="2" t="s">
        <v>32</v>
      </c>
      <c r="I1373" s="2">
        <v>48</v>
      </c>
      <c r="J1373" s="2" t="s">
        <v>11</v>
      </c>
      <c r="K1373" s="4" t="s">
        <v>8590</v>
      </c>
      <c r="L1373" s="2" t="s">
        <v>92</v>
      </c>
      <c r="M1373" s="2"/>
      <c r="N1373" t="s">
        <v>8581</v>
      </c>
      <c r="O1373" s="8" t="str">
        <f t="shared" si="42"/>
        <v/>
      </c>
      <c r="P1373" t="str">
        <f t="shared" si="43"/>
        <v>N/A</v>
      </c>
    </row>
    <row r="1374" spans="1:16" x14ac:dyDescent="0.25">
      <c r="A1374" s="2" t="s">
        <v>3755</v>
      </c>
      <c r="B1374" s="4">
        <v>46194.232638888891</v>
      </c>
      <c r="C1374" s="2" t="s">
        <v>16</v>
      </c>
      <c r="D1374" s="2" t="s">
        <v>84</v>
      </c>
      <c r="E1374" s="2" t="s">
        <v>90</v>
      </c>
      <c r="F1374" s="2" t="s">
        <v>96</v>
      </c>
      <c r="G1374" s="2" t="s">
        <v>110</v>
      </c>
      <c r="H1374" s="2" t="s">
        <v>21</v>
      </c>
      <c r="I1374" s="2">
        <v>24</v>
      </c>
      <c r="J1374" s="2" t="s">
        <v>106</v>
      </c>
      <c r="K1374" s="4">
        <v>46194.909722222219</v>
      </c>
      <c r="L1374" s="2" t="s">
        <v>24</v>
      </c>
      <c r="M1374" s="2">
        <v>2</v>
      </c>
      <c r="N1374" t="s">
        <v>8588</v>
      </c>
      <c r="O1374" s="8">
        <f t="shared" si="42"/>
        <v>16.249999999883585</v>
      </c>
      <c r="P1374" t="str">
        <f t="shared" si="43"/>
        <v>Yes</v>
      </c>
    </row>
    <row r="1375" spans="1:16" x14ac:dyDescent="0.25">
      <c r="A1375" s="2" t="s">
        <v>3758</v>
      </c>
      <c r="B1375" s="4">
        <v>46235.609027777777</v>
      </c>
      <c r="C1375" s="2" t="s">
        <v>16</v>
      </c>
      <c r="D1375" s="2" t="s">
        <v>84</v>
      </c>
      <c r="E1375" s="2" t="s">
        <v>46</v>
      </c>
      <c r="F1375" s="2" t="s">
        <v>30</v>
      </c>
      <c r="G1375" s="2" t="s">
        <v>211</v>
      </c>
      <c r="H1375" s="2" t="s">
        <v>21</v>
      </c>
      <c r="I1375" s="2">
        <v>24</v>
      </c>
      <c r="J1375" s="2" t="s">
        <v>106</v>
      </c>
      <c r="K1375" s="4">
        <v>46235.757638888892</v>
      </c>
      <c r="L1375" s="2" t="s">
        <v>24</v>
      </c>
      <c r="M1375" s="2">
        <v>3</v>
      </c>
      <c r="N1375" t="s">
        <v>8586</v>
      </c>
      <c r="O1375" s="8">
        <f t="shared" si="42"/>
        <v>3.5666666667675599</v>
      </c>
      <c r="P1375" t="str">
        <f t="shared" si="43"/>
        <v>Yes</v>
      </c>
    </row>
    <row r="1376" spans="1:16" x14ac:dyDescent="0.25">
      <c r="A1376" s="2" t="s">
        <v>3761</v>
      </c>
      <c r="B1376" s="4">
        <v>46142.876388888886</v>
      </c>
      <c r="C1376" s="2" t="s">
        <v>16</v>
      </c>
      <c r="D1376" s="2" t="s">
        <v>84</v>
      </c>
      <c r="E1376" s="2" t="s">
        <v>90</v>
      </c>
      <c r="F1376" s="2" t="s">
        <v>96</v>
      </c>
      <c r="G1376" s="2" t="s">
        <v>211</v>
      </c>
      <c r="H1376" s="2" t="s">
        <v>32</v>
      </c>
      <c r="I1376" s="2">
        <v>48</v>
      </c>
      <c r="J1376" s="2" t="s">
        <v>75</v>
      </c>
      <c r="K1376" s="4">
        <v>46146.737500000003</v>
      </c>
      <c r="L1376" s="2" t="s">
        <v>24</v>
      </c>
      <c r="M1376" s="2"/>
      <c r="N1376" t="s">
        <v>8581</v>
      </c>
      <c r="O1376" s="8">
        <f t="shared" si="42"/>
        <v>92.666666666802485</v>
      </c>
      <c r="P1376" t="str">
        <f t="shared" si="43"/>
        <v>N/A</v>
      </c>
    </row>
    <row r="1377" spans="1:16" x14ac:dyDescent="0.25">
      <c r="A1377" s="2" t="s">
        <v>3764</v>
      </c>
      <c r="B1377" s="4">
        <v>46074.988888888889</v>
      </c>
      <c r="C1377" s="2" t="s">
        <v>16</v>
      </c>
      <c r="D1377" s="2" t="s">
        <v>17</v>
      </c>
      <c r="E1377" s="2" t="s">
        <v>90</v>
      </c>
      <c r="F1377" s="2" t="s">
        <v>96</v>
      </c>
      <c r="G1377" s="2" t="s">
        <v>101</v>
      </c>
      <c r="H1377" s="2" t="s">
        <v>80</v>
      </c>
      <c r="I1377" s="2">
        <v>4</v>
      </c>
      <c r="J1377" s="2" t="s">
        <v>106</v>
      </c>
      <c r="K1377" s="4">
        <v>46075.133333333331</v>
      </c>
      <c r="L1377" s="2" t="s">
        <v>24</v>
      </c>
      <c r="M1377" s="2"/>
      <c r="N1377" t="s">
        <v>8582</v>
      </c>
      <c r="O1377" s="8">
        <f t="shared" si="42"/>
        <v>3.46666666661622</v>
      </c>
      <c r="P1377" t="str">
        <f t="shared" si="43"/>
        <v>Yes</v>
      </c>
    </row>
    <row r="1378" spans="1:16" x14ac:dyDescent="0.25">
      <c r="A1378" s="2" t="s">
        <v>3767</v>
      </c>
      <c r="B1378" s="4">
        <v>46058.370833333334</v>
      </c>
      <c r="C1378" s="2" t="s">
        <v>53</v>
      </c>
      <c r="D1378" s="2" t="s">
        <v>54</v>
      </c>
      <c r="E1378" s="2" t="s">
        <v>46</v>
      </c>
      <c r="F1378" s="2" t="s">
        <v>113</v>
      </c>
      <c r="G1378" s="2" t="s">
        <v>179</v>
      </c>
      <c r="H1378" s="2" t="s">
        <v>32</v>
      </c>
      <c r="I1378" s="2">
        <v>48</v>
      </c>
      <c r="J1378" s="2" t="s">
        <v>106</v>
      </c>
      <c r="K1378" s="4">
        <v>46060.086111111108</v>
      </c>
      <c r="L1378" s="2" t="s">
        <v>24</v>
      </c>
      <c r="M1378" s="2"/>
      <c r="N1378" t="s">
        <v>8583</v>
      </c>
      <c r="O1378" s="8">
        <f t="shared" si="42"/>
        <v>41.166666666569654</v>
      </c>
      <c r="P1378" t="str">
        <f t="shared" si="43"/>
        <v>Yes</v>
      </c>
    </row>
    <row r="1379" spans="1:16" x14ac:dyDescent="0.25">
      <c r="A1379" s="2" t="s">
        <v>3770</v>
      </c>
      <c r="B1379" s="4">
        <v>46041.01458333333</v>
      </c>
      <c r="C1379" s="2" t="s">
        <v>53</v>
      </c>
      <c r="D1379" s="2" t="s">
        <v>54</v>
      </c>
      <c r="E1379" s="2" t="s">
        <v>90</v>
      </c>
      <c r="F1379" s="2" t="s">
        <v>30</v>
      </c>
      <c r="G1379" s="2" t="s">
        <v>179</v>
      </c>
      <c r="H1379" s="2" t="s">
        <v>74</v>
      </c>
      <c r="I1379" s="2">
        <v>8</v>
      </c>
      <c r="J1379" s="2" t="s">
        <v>106</v>
      </c>
      <c r="K1379" s="4">
        <v>46041.038888888892</v>
      </c>
      <c r="L1379" s="2" t="s">
        <v>24</v>
      </c>
      <c r="M1379" s="2">
        <v>1</v>
      </c>
      <c r="N1379" t="s">
        <v>8585</v>
      </c>
      <c r="O1379" s="8">
        <f t="shared" si="42"/>
        <v>0.58333333348855376</v>
      </c>
      <c r="P1379" t="str">
        <f t="shared" si="43"/>
        <v>Yes</v>
      </c>
    </row>
    <row r="1380" spans="1:16" x14ac:dyDescent="0.25">
      <c r="A1380" s="2" t="s">
        <v>3773</v>
      </c>
      <c r="B1380" s="4">
        <v>46194.836111111108</v>
      </c>
      <c r="C1380" s="2" t="s">
        <v>16</v>
      </c>
      <c r="D1380" s="2" t="s">
        <v>84</v>
      </c>
      <c r="E1380" s="2" t="s">
        <v>148</v>
      </c>
      <c r="F1380" s="2" t="s">
        <v>30</v>
      </c>
      <c r="G1380" s="2" t="s">
        <v>183</v>
      </c>
      <c r="H1380" s="2" t="s">
        <v>21</v>
      </c>
      <c r="I1380" s="2">
        <v>24</v>
      </c>
      <c r="J1380" s="2" t="s">
        <v>106</v>
      </c>
      <c r="K1380" s="4">
        <v>46196.202777777777</v>
      </c>
      <c r="L1380" s="2" t="s">
        <v>24</v>
      </c>
      <c r="M1380" s="2"/>
      <c r="N1380" t="s">
        <v>8585</v>
      </c>
      <c r="O1380" s="8">
        <f t="shared" si="42"/>
        <v>32.800000000046566</v>
      </c>
      <c r="P1380" t="str">
        <f t="shared" si="43"/>
        <v>No</v>
      </c>
    </row>
    <row r="1381" spans="1:16" x14ac:dyDescent="0.25">
      <c r="A1381" s="2" t="s">
        <v>3776</v>
      </c>
      <c r="B1381" s="4">
        <v>46261.953472222223</v>
      </c>
      <c r="C1381" s="2" t="s">
        <v>28</v>
      </c>
      <c r="D1381" s="2" t="s">
        <v>100</v>
      </c>
      <c r="E1381" s="2" t="s">
        <v>18</v>
      </c>
      <c r="F1381" s="2" t="s">
        <v>113</v>
      </c>
      <c r="G1381" s="2" t="s">
        <v>31</v>
      </c>
      <c r="H1381" s="2" t="s">
        <v>32</v>
      </c>
      <c r="I1381" s="2">
        <v>48</v>
      </c>
      <c r="J1381" s="2" t="s">
        <v>106</v>
      </c>
      <c r="K1381" s="4">
        <v>46262.661111111112</v>
      </c>
      <c r="L1381" s="2" t="s">
        <v>24</v>
      </c>
      <c r="M1381" s="2">
        <v>1</v>
      </c>
      <c r="N1381" t="s">
        <v>8581</v>
      </c>
      <c r="O1381" s="8">
        <f t="shared" si="42"/>
        <v>16.983333333337214</v>
      </c>
      <c r="P1381" t="str">
        <f t="shared" si="43"/>
        <v>Yes</v>
      </c>
    </row>
    <row r="1382" spans="1:16" x14ac:dyDescent="0.25">
      <c r="A1382" s="2" t="s">
        <v>3779</v>
      </c>
      <c r="B1382" s="4">
        <v>46090.861805555556</v>
      </c>
      <c r="C1382" s="2" t="s">
        <v>67</v>
      </c>
      <c r="D1382" s="2" t="s">
        <v>95</v>
      </c>
      <c r="E1382" s="2" t="s">
        <v>79</v>
      </c>
      <c r="F1382" s="2" t="s">
        <v>55</v>
      </c>
      <c r="G1382" s="2" t="s">
        <v>179</v>
      </c>
      <c r="H1382" s="2" t="s">
        <v>21</v>
      </c>
      <c r="I1382" s="2">
        <v>24</v>
      </c>
      <c r="J1382" s="2" t="s">
        <v>75</v>
      </c>
      <c r="K1382" s="4">
        <v>46092.274305555555</v>
      </c>
      <c r="L1382" s="2" t="s">
        <v>24</v>
      </c>
      <c r="M1382" s="2"/>
      <c r="N1382" t="s">
        <v>8582</v>
      </c>
      <c r="O1382" s="8">
        <f t="shared" si="42"/>
        <v>33.899999999965075</v>
      </c>
      <c r="P1382" t="str">
        <f t="shared" si="43"/>
        <v>N/A</v>
      </c>
    </row>
    <row r="1383" spans="1:16" x14ac:dyDescent="0.25">
      <c r="A1383" s="2" t="s">
        <v>3782</v>
      </c>
      <c r="B1383" s="4">
        <v>46214.981249999997</v>
      </c>
      <c r="C1383" s="2" t="s">
        <v>53</v>
      </c>
      <c r="D1383" s="2" t="s">
        <v>61</v>
      </c>
      <c r="E1383" s="2" t="s">
        <v>79</v>
      </c>
      <c r="F1383" s="2" t="s">
        <v>55</v>
      </c>
      <c r="G1383" s="2" t="s">
        <v>101</v>
      </c>
      <c r="H1383" s="2" t="s">
        <v>74</v>
      </c>
      <c r="I1383" s="2">
        <v>8</v>
      </c>
      <c r="J1383" s="2" t="s">
        <v>106</v>
      </c>
      <c r="K1383" s="4">
        <v>46215.956250000003</v>
      </c>
      <c r="L1383" s="2" t="s">
        <v>92</v>
      </c>
      <c r="M1383" s="2">
        <v>5</v>
      </c>
      <c r="N1383" t="s">
        <v>8589</v>
      </c>
      <c r="O1383" s="8">
        <f t="shared" si="42"/>
        <v>23.400000000139698</v>
      </c>
      <c r="P1383" t="str">
        <f t="shared" si="43"/>
        <v>No</v>
      </c>
    </row>
    <row r="1384" spans="1:16" x14ac:dyDescent="0.25">
      <c r="A1384" s="2" t="s">
        <v>3785</v>
      </c>
      <c r="B1384" s="4">
        <v>46040.291666666664</v>
      </c>
      <c r="C1384" s="2" t="s">
        <v>67</v>
      </c>
      <c r="D1384" s="2" t="s">
        <v>95</v>
      </c>
      <c r="E1384" s="2" t="s">
        <v>18</v>
      </c>
      <c r="F1384" s="2" t="s">
        <v>113</v>
      </c>
      <c r="G1384" s="2" t="s">
        <v>31</v>
      </c>
      <c r="H1384" s="2" t="s">
        <v>80</v>
      </c>
      <c r="I1384" s="2">
        <v>4</v>
      </c>
      <c r="J1384" s="2" t="s">
        <v>106</v>
      </c>
      <c r="K1384" s="4">
        <v>46040.602777777778</v>
      </c>
      <c r="L1384" s="2" t="s">
        <v>24</v>
      </c>
      <c r="M1384" s="2">
        <v>3</v>
      </c>
      <c r="N1384" t="s">
        <v>8581</v>
      </c>
      <c r="O1384" s="8">
        <f t="shared" si="42"/>
        <v>7.4666666667326353</v>
      </c>
      <c r="P1384" t="str">
        <f t="shared" si="43"/>
        <v>No</v>
      </c>
    </row>
    <row r="1385" spans="1:16" x14ac:dyDescent="0.25">
      <c r="A1385" s="2" t="s">
        <v>3788</v>
      </c>
      <c r="B1385" s="4">
        <v>46029.893055555556</v>
      </c>
      <c r="C1385" s="2" t="s">
        <v>67</v>
      </c>
      <c r="D1385" s="2" t="s">
        <v>68</v>
      </c>
      <c r="E1385" s="2" t="s">
        <v>46</v>
      </c>
      <c r="F1385" s="2" t="s">
        <v>113</v>
      </c>
      <c r="G1385" s="2" t="s">
        <v>101</v>
      </c>
      <c r="H1385" s="2" t="s">
        <v>74</v>
      </c>
      <c r="I1385" s="2">
        <v>8</v>
      </c>
      <c r="J1385" s="2" t="s">
        <v>149</v>
      </c>
      <c r="K1385" s="4" t="s">
        <v>8590</v>
      </c>
      <c r="L1385" s="2" t="s">
        <v>24</v>
      </c>
      <c r="M1385" s="2"/>
      <c r="N1385" t="s">
        <v>8589</v>
      </c>
      <c r="O1385" s="8" t="str">
        <f t="shared" si="42"/>
        <v/>
      </c>
      <c r="P1385" t="str">
        <f t="shared" si="43"/>
        <v>N/A</v>
      </c>
    </row>
    <row r="1386" spans="1:16" x14ac:dyDescent="0.25">
      <c r="A1386" s="2" t="s">
        <v>3790</v>
      </c>
      <c r="B1386" s="4">
        <v>46193.864583333336</v>
      </c>
      <c r="C1386" s="2" t="s">
        <v>16</v>
      </c>
      <c r="D1386" s="2" t="s">
        <v>84</v>
      </c>
      <c r="E1386" s="2" t="s">
        <v>46</v>
      </c>
      <c r="F1386" s="2" t="s">
        <v>30</v>
      </c>
      <c r="G1386" s="2" t="s">
        <v>101</v>
      </c>
      <c r="H1386" s="2" t="s">
        <v>32</v>
      </c>
      <c r="I1386" s="2">
        <v>48</v>
      </c>
      <c r="J1386" s="2" t="s">
        <v>75</v>
      </c>
      <c r="K1386" s="4">
        <v>46195.582638888889</v>
      </c>
      <c r="L1386" s="2" t="s">
        <v>24</v>
      </c>
      <c r="M1386" s="2"/>
      <c r="N1386" t="s">
        <v>8586</v>
      </c>
      <c r="O1386" s="8">
        <f t="shared" si="42"/>
        <v>41.233333333279006</v>
      </c>
      <c r="P1386" t="str">
        <f t="shared" si="43"/>
        <v>N/A</v>
      </c>
    </row>
    <row r="1387" spans="1:16" x14ac:dyDescent="0.25">
      <c r="A1387" s="2" t="s">
        <v>3793</v>
      </c>
      <c r="B1387" s="4">
        <v>46182.039583333331</v>
      </c>
      <c r="C1387" s="2" t="s">
        <v>53</v>
      </c>
      <c r="D1387" s="2" t="s">
        <v>61</v>
      </c>
      <c r="E1387" s="2" t="s">
        <v>38</v>
      </c>
      <c r="F1387" s="2" t="s">
        <v>55</v>
      </c>
      <c r="G1387" s="2" t="s">
        <v>110</v>
      </c>
      <c r="H1387" s="2" t="s">
        <v>32</v>
      </c>
      <c r="I1387" s="2">
        <v>48</v>
      </c>
      <c r="J1387" s="2" t="s">
        <v>149</v>
      </c>
      <c r="K1387" s="4" t="s">
        <v>8590</v>
      </c>
      <c r="L1387" s="2" t="s">
        <v>92</v>
      </c>
      <c r="M1387" s="2"/>
      <c r="N1387" t="s">
        <v>8581</v>
      </c>
      <c r="O1387" s="8" t="str">
        <f t="shared" si="42"/>
        <v/>
      </c>
      <c r="P1387" t="str">
        <f t="shared" si="43"/>
        <v>N/A</v>
      </c>
    </row>
    <row r="1388" spans="1:16" x14ac:dyDescent="0.25">
      <c r="A1388" s="2" t="s">
        <v>3795</v>
      </c>
      <c r="B1388" s="4">
        <v>46255.222916666666</v>
      </c>
      <c r="C1388" s="2" t="s">
        <v>16</v>
      </c>
      <c r="D1388" s="2" t="s">
        <v>17</v>
      </c>
      <c r="E1388" s="2" t="s">
        <v>46</v>
      </c>
      <c r="F1388" s="2" t="s">
        <v>113</v>
      </c>
      <c r="G1388" s="2" t="s">
        <v>211</v>
      </c>
      <c r="H1388" s="2" t="s">
        <v>21</v>
      </c>
      <c r="I1388" s="2">
        <v>24</v>
      </c>
      <c r="J1388" s="2" t="s">
        <v>75</v>
      </c>
      <c r="K1388" s="4">
        <v>46256.897916666669</v>
      </c>
      <c r="L1388" s="2" t="s">
        <v>24</v>
      </c>
      <c r="M1388" s="2">
        <v>5</v>
      </c>
      <c r="N1388" t="s">
        <v>8587</v>
      </c>
      <c r="O1388" s="8">
        <f t="shared" si="42"/>
        <v>40.200000000069849</v>
      </c>
      <c r="P1388" t="str">
        <f t="shared" si="43"/>
        <v>N/A</v>
      </c>
    </row>
    <row r="1389" spans="1:16" x14ac:dyDescent="0.25">
      <c r="A1389" s="2" t="s">
        <v>3798</v>
      </c>
      <c r="B1389" s="4">
        <v>46061.695833333331</v>
      </c>
      <c r="C1389" s="2" t="s">
        <v>53</v>
      </c>
      <c r="D1389" s="2" t="s">
        <v>61</v>
      </c>
      <c r="E1389" s="2" t="s">
        <v>18</v>
      </c>
      <c r="F1389" s="2" t="s">
        <v>96</v>
      </c>
      <c r="G1389" s="2" t="s">
        <v>31</v>
      </c>
      <c r="H1389" s="2" t="s">
        <v>74</v>
      </c>
      <c r="I1389" s="2">
        <v>8</v>
      </c>
      <c r="J1389" s="2" t="s">
        <v>106</v>
      </c>
      <c r="K1389" s="4">
        <v>46061.948611111111</v>
      </c>
      <c r="L1389" s="2" t="s">
        <v>24</v>
      </c>
      <c r="M1389" s="2"/>
      <c r="N1389" t="s">
        <v>8584</v>
      </c>
      <c r="O1389" s="8">
        <f t="shared" si="42"/>
        <v>6.0666666667093523</v>
      </c>
      <c r="P1389" t="str">
        <f t="shared" si="43"/>
        <v>Yes</v>
      </c>
    </row>
    <row r="1390" spans="1:16" x14ac:dyDescent="0.25">
      <c r="A1390" s="2" t="s">
        <v>3801</v>
      </c>
      <c r="B1390" s="4">
        <v>46037.793055555558</v>
      </c>
      <c r="C1390" s="2" t="s">
        <v>16</v>
      </c>
      <c r="D1390" s="2" t="s">
        <v>17</v>
      </c>
      <c r="E1390" s="2" t="s">
        <v>18</v>
      </c>
      <c r="F1390" s="2" t="s">
        <v>96</v>
      </c>
      <c r="G1390" s="2" t="s">
        <v>179</v>
      </c>
      <c r="H1390" s="2" t="s">
        <v>32</v>
      </c>
      <c r="I1390" s="2">
        <v>48</v>
      </c>
      <c r="J1390" s="2" t="s">
        <v>106</v>
      </c>
      <c r="K1390" s="4">
        <v>46041.652083333334</v>
      </c>
      <c r="L1390" s="2" t="s">
        <v>24</v>
      </c>
      <c r="M1390" s="2">
        <v>1</v>
      </c>
      <c r="N1390" t="s">
        <v>8583</v>
      </c>
      <c r="O1390" s="8">
        <f t="shared" si="42"/>
        <v>92.616666666639503</v>
      </c>
      <c r="P1390" t="str">
        <f t="shared" si="43"/>
        <v>No</v>
      </c>
    </row>
    <row r="1391" spans="1:16" x14ac:dyDescent="0.25">
      <c r="A1391" s="2" t="s">
        <v>3804</v>
      </c>
      <c r="B1391" s="4">
        <v>46207.838888888888</v>
      </c>
      <c r="C1391" s="2" t="s">
        <v>16</v>
      </c>
      <c r="D1391" s="2" t="s">
        <v>17</v>
      </c>
      <c r="E1391" s="2" t="s">
        <v>79</v>
      </c>
      <c r="F1391" s="2" t="s">
        <v>55</v>
      </c>
      <c r="G1391" s="2" t="s">
        <v>211</v>
      </c>
      <c r="H1391" s="2" t="s">
        <v>74</v>
      </c>
      <c r="I1391" s="2">
        <v>8</v>
      </c>
      <c r="J1391" s="2" t="s">
        <v>75</v>
      </c>
      <c r="K1391" s="4">
        <v>46207.976388888892</v>
      </c>
      <c r="L1391" s="2" t="s">
        <v>24</v>
      </c>
      <c r="M1391" s="2"/>
      <c r="N1391" t="s">
        <v>8584</v>
      </c>
      <c r="O1391" s="8">
        <f t="shared" si="42"/>
        <v>3.3000000001047738</v>
      </c>
      <c r="P1391" t="str">
        <f t="shared" si="43"/>
        <v>N/A</v>
      </c>
    </row>
    <row r="1392" spans="1:16" x14ac:dyDescent="0.25">
      <c r="A1392" s="2" t="s">
        <v>3807</v>
      </c>
      <c r="B1392" s="4">
        <v>46212.000694444447</v>
      </c>
      <c r="C1392" s="2" t="s">
        <v>16</v>
      </c>
      <c r="D1392" s="2" t="s">
        <v>17</v>
      </c>
      <c r="E1392" s="2" t="s">
        <v>148</v>
      </c>
      <c r="F1392" s="2" t="s">
        <v>113</v>
      </c>
      <c r="G1392" s="2" t="s">
        <v>211</v>
      </c>
      <c r="H1392" s="2" t="s">
        <v>32</v>
      </c>
      <c r="I1392" s="2">
        <v>48</v>
      </c>
      <c r="J1392" s="2" t="s">
        <v>11</v>
      </c>
      <c r="K1392" s="4" t="s">
        <v>8590</v>
      </c>
      <c r="L1392" s="2" t="s">
        <v>92</v>
      </c>
      <c r="M1392" s="2"/>
      <c r="N1392" t="s">
        <v>8589</v>
      </c>
      <c r="O1392" s="8" t="str">
        <f t="shared" si="42"/>
        <v/>
      </c>
      <c r="P1392" t="str">
        <f t="shared" si="43"/>
        <v>N/A</v>
      </c>
    </row>
    <row r="1393" spans="1:16" x14ac:dyDescent="0.25">
      <c r="A1393" s="2" t="s">
        <v>3809</v>
      </c>
      <c r="B1393" s="4">
        <v>46206.379166666666</v>
      </c>
      <c r="C1393" s="2" t="s">
        <v>67</v>
      </c>
      <c r="D1393" s="2" t="s">
        <v>68</v>
      </c>
      <c r="E1393" s="2" t="s">
        <v>38</v>
      </c>
      <c r="F1393" s="2" t="s">
        <v>55</v>
      </c>
      <c r="G1393" s="2" t="s">
        <v>110</v>
      </c>
      <c r="H1393" s="2" t="s">
        <v>21</v>
      </c>
      <c r="I1393" s="2">
        <v>24</v>
      </c>
      <c r="J1393" s="2" t="s">
        <v>106</v>
      </c>
      <c r="K1393" s="4">
        <v>46206.877083333333</v>
      </c>
      <c r="L1393" s="2" t="s">
        <v>24</v>
      </c>
      <c r="M1393" s="2"/>
      <c r="N1393" t="s">
        <v>8584</v>
      </c>
      <c r="O1393" s="8">
        <f t="shared" si="42"/>
        <v>11.950000000011642</v>
      </c>
      <c r="P1393" t="str">
        <f t="shared" si="43"/>
        <v>Yes</v>
      </c>
    </row>
    <row r="1394" spans="1:16" x14ac:dyDescent="0.25">
      <c r="A1394" s="2" t="s">
        <v>3812</v>
      </c>
      <c r="B1394" s="4">
        <v>46109.0625</v>
      </c>
      <c r="C1394" s="2" t="s">
        <v>16</v>
      </c>
      <c r="D1394" s="2" t="s">
        <v>17</v>
      </c>
      <c r="E1394" s="2" t="s">
        <v>18</v>
      </c>
      <c r="F1394" s="2" t="s">
        <v>55</v>
      </c>
      <c r="G1394" s="2" t="s">
        <v>110</v>
      </c>
      <c r="H1394" s="2" t="s">
        <v>21</v>
      </c>
      <c r="I1394" s="2">
        <v>24</v>
      </c>
      <c r="J1394" s="2" t="s">
        <v>75</v>
      </c>
      <c r="K1394" s="4">
        <v>46109.336805555555</v>
      </c>
      <c r="L1394" s="2" t="s">
        <v>24</v>
      </c>
      <c r="M1394" s="2"/>
      <c r="N1394" t="s">
        <v>8588</v>
      </c>
      <c r="O1394" s="8">
        <f t="shared" si="42"/>
        <v>6.5833333333139308</v>
      </c>
      <c r="P1394" t="str">
        <f t="shared" si="43"/>
        <v>N/A</v>
      </c>
    </row>
    <row r="1395" spans="1:16" x14ac:dyDescent="0.25">
      <c r="A1395" s="2" t="s">
        <v>3815</v>
      </c>
      <c r="B1395" s="4">
        <v>46173.636111111111</v>
      </c>
      <c r="C1395" s="2" t="s">
        <v>67</v>
      </c>
      <c r="D1395" s="2" t="s">
        <v>68</v>
      </c>
      <c r="E1395" s="2" t="s">
        <v>79</v>
      </c>
      <c r="F1395" s="2" t="s">
        <v>30</v>
      </c>
      <c r="G1395" s="2" t="s">
        <v>110</v>
      </c>
      <c r="H1395" s="2" t="s">
        <v>74</v>
      </c>
      <c r="I1395" s="2">
        <v>8</v>
      </c>
      <c r="J1395" s="2" t="s">
        <v>149</v>
      </c>
      <c r="K1395" s="4" t="s">
        <v>8590</v>
      </c>
      <c r="L1395" s="2" t="s">
        <v>24</v>
      </c>
      <c r="M1395" s="2"/>
      <c r="N1395" t="s">
        <v>8587</v>
      </c>
      <c r="O1395" s="8" t="str">
        <f t="shared" si="42"/>
        <v/>
      </c>
      <c r="P1395" t="str">
        <f t="shared" si="43"/>
        <v>N/A</v>
      </c>
    </row>
    <row r="1396" spans="1:16" x14ac:dyDescent="0.25">
      <c r="A1396" s="2" t="s">
        <v>3817</v>
      </c>
      <c r="B1396" s="4">
        <v>46225.144444444442</v>
      </c>
      <c r="C1396" s="2" t="s">
        <v>53</v>
      </c>
      <c r="D1396" s="2" t="s">
        <v>54</v>
      </c>
      <c r="E1396" s="2" t="s">
        <v>90</v>
      </c>
      <c r="F1396" s="2" t="s">
        <v>113</v>
      </c>
      <c r="G1396" s="2" t="s">
        <v>183</v>
      </c>
      <c r="H1396" s="2" t="s">
        <v>21</v>
      </c>
      <c r="I1396" s="2">
        <v>24</v>
      </c>
      <c r="J1396" s="2" t="s">
        <v>75</v>
      </c>
      <c r="K1396" s="4">
        <v>46225.95416666667</v>
      </c>
      <c r="L1396" s="2" t="s">
        <v>24</v>
      </c>
      <c r="M1396" s="2">
        <v>1</v>
      </c>
      <c r="N1396" t="s">
        <v>8584</v>
      </c>
      <c r="O1396" s="8">
        <f t="shared" si="42"/>
        <v>19.433333333465271</v>
      </c>
      <c r="P1396" t="str">
        <f t="shared" si="43"/>
        <v>N/A</v>
      </c>
    </row>
    <row r="1397" spans="1:16" x14ac:dyDescent="0.25">
      <c r="A1397" s="2" t="s">
        <v>3820</v>
      </c>
      <c r="B1397" s="4">
        <v>46162.631249999999</v>
      </c>
      <c r="C1397" s="2" t="s">
        <v>67</v>
      </c>
      <c r="D1397" s="2" t="s">
        <v>68</v>
      </c>
      <c r="E1397" s="2" t="s">
        <v>79</v>
      </c>
      <c r="F1397" s="2" t="s">
        <v>30</v>
      </c>
      <c r="G1397" s="2" t="s">
        <v>183</v>
      </c>
      <c r="H1397" s="2" t="s">
        <v>74</v>
      </c>
      <c r="I1397" s="2">
        <v>8</v>
      </c>
      <c r="J1397" s="2" t="s">
        <v>75</v>
      </c>
      <c r="K1397" s="4">
        <v>46162.852083333331</v>
      </c>
      <c r="L1397" s="2" t="s">
        <v>24</v>
      </c>
      <c r="M1397" s="2">
        <v>4</v>
      </c>
      <c r="N1397" t="s">
        <v>8587</v>
      </c>
      <c r="O1397" s="8">
        <f t="shared" si="42"/>
        <v>5.2999999999883585</v>
      </c>
      <c r="P1397" t="str">
        <f t="shared" si="43"/>
        <v>N/A</v>
      </c>
    </row>
    <row r="1398" spans="1:16" x14ac:dyDescent="0.25">
      <c r="A1398" s="2" t="s">
        <v>3823</v>
      </c>
      <c r="B1398" s="4">
        <v>46024.62777777778</v>
      </c>
      <c r="C1398" s="2" t="s">
        <v>53</v>
      </c>
      <c r="D1398" s="2" t="s">
        <v>54</v>
      </c>
      <c r="E1398" s="2" t="s">
        <v>90</v>
      </c>
      <c r="F1398" s="2" t="s">
        <v>30</v>
      </c>
      <c r="G1398" s="2" t="s">
        <v>179</v>
      </c>
      <c r="H1398" s="2" t="s">
        <v>32</v>
      </c>
      <c r="I1398" s="2">
        <v>48</v>
      </c>
      <c r="J1398" s="2" t="s">
        <v>287</v>
      </c>
      <c r="K1398" s="4" t="s">
        <v>8590</v>
      </c>
      <c r="L1398" s="2" t="s">
        <v>24</v>
      </c>
      <c r="M1398" s="2"/>
      <c r="N1398" t="s">
        <v>8586</v>
      </c>
      <c r="O1398" s="8" t="str">
        <f t="shared" si="42"/>
        <v/>
      </c>
      <c r="P1398" t="str">
        <f t="shared" si="43"/>
        <v>N/A</v>
      </c>
    </row>
    <row r="1399" spans="1:16" x14ac:dyDescent="0.25">
      <c r="A1399" s="2" t="s">
        <v>3825</v>
      </c>
      <c r="B1399" s="4">
        <v>46216.628472222219</v>
      </c>
      <c r="C1399" s="2" t="s">
        <v>67</v>
      </c>
      <c r="D1399" s="2" t="s">
        <v>68</v>
      </c>
      <c r="E1399" s="2" t="s">
        <v>79</v>
      </c>
      <c r="F1399" s="2" t="s">
        <v>30</v>
      </c>
      <c r="G1399" s="2" t="s">
        <v>179</v>
      </c>
      <c r="H1399" s="2" t="s">
        <v>74</v>
      </c>
      <c r="I1399" s="2">
        <v>8</v>
      </c>
      <c r="J1399" s="2" t="s">
        <v>106</v>
      </c>
      <c r="K1399" s="4">
        <v>46217.166666666664</v>
      </c>
      <c r="L1399" s="2" t="s">
        <v>24</v>
      </c>
      <c r="M1399" s="2">
        <v>5</v>
      </c>
      <c r="N1399" t="s">
        <v>8588</v>
      </c>
      <c r="O1399" s="8">
        <f t="shared" si="42"/>
        <v>12.916666666686069</v>
      </c>
      <c r="P1399" t="str">
        <f t="shared" si="43"/>
        <v>No</v>
      </c>
    </row>
    <row r="1400" spans="1:16" x14ac:dyDescent="0.25">
      <c r="A1400" s="2" t="s">
        <v>3828</v>
      </c>
      <c r="B1400" s="4">
        <v>46036.740277777775</v>
      </c>
      <c r="C1400" s="2" t="s">
        <v>53</v>
      </c>
      <c r="D1400" s="2" t="s">
        <v>54</v>
      </c>
      <c r="E1400" s="2" t="s">
        <v>18</v>
      </c>
      <c r="F1400" s="2" t="s">
        <v>96</v>
      </c>
      <c r="G1400" s="2" t="s">
        <v>31</v>
      </c>
      <c r="H1400" s="2" t="s">
        <v>32</v>
      </c>
      <c r="I1400" s="2">
        <v>48</v>
      </c>
      <c r="J1400" s="2" t="s">
        <v>106</v>
      </c>
      <c r="K1400" s="4">
        <v>46037.561111111114</v>
      </c>
      <c r="L1400" s="2" t="s">
        <v>24</v>
      </c>
      <c r="M1400" s="2">
        <v>2</v>
      </c>
      <c r="N1400" t="s">
        <v>8582</v>
      </c>
      <c r="O1400" s="8">
        <f t="shared" si="42"/>
        <v>19.700000000128057</v>
      </c>
      <c r="P1400" t="str">
        <f t="shared" si="43"/>
        <v>Yes</v>
      </c>
    </row>
    <row r="1401" spans="1:16" x14ac:dyDescent="0.25">
      <c r="A1401" s="2" t="s">
        <v>3831</v>
      </c>
      <c r="B1401" s="4">
        <v>46137.438888888886</v>
      </c>
      <c r="C1401" s="2" t="s">
        <v>16</v>
      </c>
      <c r="D1401" s="2" t="s">
        <v>84</v>
      </c>
      <c r="E1401" s="2" t="s">
        <v>8589</v>
      </c>
      <c r="F1401" s="2" t="s">
        <v>113</v>
      </c>
      <c r="G1401" s="2" t="s">
        <v>31</v>
      </c>
      <c r="H1401" s="2" t="s">
        <v>21</v>
      </c>
      <c r="I1401" s="2">
        <v>24</v>
      </c>
      <c r="J1401" s="2" t="s">
        <v>106</v>
      </c>
      <c r="K1401" s="4">
        <v>46137.750694444447</v>
      </c>
      <c r="L1401" s="2" t="s">
        <v>24</v>
      </c>
      <c r="M1401" s="2">
        <v>5</v>
      </c>
      <c r="N1401" t="s">
        <v>8585</v>
      </c>
      <c r="O1401" s="8">
        <f t="shared" si="42"/>
        <v>7.4833333334536292</v>
      </c>
      <c r="P1401" t="str">
        <f t="shared" si="43"/>
        <v>Yes</v>
      </c>
    </row>
    <row r="1402" spans="1:16" x14ac:dyDescent="0.25">
      <c r="A1402" s="2" t="s">
        <v>3834</v>
      </c>
      <c r="B1402" s="4">
        <v>46143.740277777775</v>
      </c>
      <c r="C1402" s="2" t="s">
        <v>28</v>
      </c>
      <c r="D1402" s="2" t="s">
        <v>37</v>
      </c>
      <c r="E1402" s="2" t="s">
        <v>90</v>
      </c>
      <c r="F1402" s="2" t="s">
        <v>96</v>
      </c>
      <c r="G1402" s="2" t="s">
        <v>110</v>
      </c>
      <c r="H1402" s="2" t="s">
        <v>21</v>
      </c>
      <c r="I1402" s="2">
        <v>24</v>
      </c>
      <c r="J1402" s="2" t="s">
        <v>106</v>
      </c>
      <c r="K1402" s="4">
        <v>46144.292361111111</v>
      </c>
      <c r="L1402" s="2" t="s">
        <v>24</v>
      </c>
      <c r="M1402" s="2">
        <v>2</v>
      </c>
      <c r="N1402" t="s">
        <v>8588</v>
      </c>
      <c r="O1402" s="8">
        <f t="shared" si="42"/>
        <v>13.250000000058208</v>
      </c>
      <c r="P1402" t="str">
        <f t="shared" si="43"/>
        <v>Yes</v>
      </c>
    </row>
    <row r="1403" spans="1:16" x14ac:dyDescent="0.25">
      <c r="A1403" s="2" t="s">
        <v>3837</v>
      </c>
      <c r="B1403" s="4">
        <v>46115.12222222222</v>
      </c>
      <c r="C1403" s="2" t="s">
        <v>28</v>
      </c>
      <c r="D1403" s="2" t="s">
        <v>37</v>
      </c>
      <c r="E1403" s="2" t="s">
        <v>38</v>
      </c>
      <c r="F1403" s="2" t="s">
        <v>96</v>
      </c>
      <c r="G1403" s="2" t="s">
        <v>183</v>
      </c>
      <c r="H1403" s="2" t="s">
        <v>32</v>
      </c>
      <c r="I1403" s="2">
        <v>48</v>
      </c>
      <c r="J1403" s="2" t="s">
        <v>75</v>
      </c>
      <c r="K1403" s="4">
        <v>46117.547222222223</v>
      </c>
      <c r="L1403" s="2" t="s">
        <v>24</v>
      </c>
      <c r="M1403" s="2">
        <v>3</v>
      </c>
      <c r="N1403" t="s">
        <v>8587</v>
      </c>
      <c r="O1403" s="8">
        <f t="shared" si="42"/>
        <v>58.200000000069849</v>
      </c>
      <c r="P1403" t="str">
        <f t="shared" si="43"/>
        <v>N/A</v>
      </c>
    </row>
    <row r="1404" spans="1:16" x14ac:dyDescent="0.25">
      <c r="A1404" s="2" t="s">
        <v>3840</v>
      </c>
      <c r="B1404" s="4">
        <v>46173.585416666669</v>
      </c>
      <c r="C1404" s="2" t="s">
        <v>16</v>
      </c>
      <c r="D1404" s="2" t="s">
        <v>84</v>
      </c>
      <c r="E1404" s="2" t="s">
        <v>85</v>
      </c>
      <c r="F1404" s="2" t="s">
        <v>96</v>
      </c>
      <c r="G1404" s="2" t="s">
        <v>183</v>
      </c>
      <c r="H1404" s="2" t="s">
        <v>21</v>
      </c>
      <c r="I1404" s="2">
        <v>24</v>
      </c>
      <c r="J1404" s="2" t="s">
        <v>8580</v>
      </c>
      <c r="K1404" s="4" t="s">
        <v>8590</v>
      </c>
      <c r="L1404" s="2" t="s">
        <v>24</v>
      </c>
      <c r="M1404" s="2"/>
      <c r="N1404" t="s">
        <v>8589</v>
      </c>
      <c r="O1404" s="8" t="str">
        <f t="shared" si="42"/>
        <v/>
      </c>
      <c r="P1404" t="str">
        <f t="shared" si="43"/>
        <v>N/A</v>
      </c>
    </row>
    <row r="1405" spans="1:16" x14ac:dyDescent="0.25">
      <c r="A1405" s="2" t="s">
        <v>3842</v>
      </c>
      <c r="B1405" s="4">
        <v>46083.427777777775</v>
      </c>
      <c r="C1405" s="2" t="s">
        <v>67</v>
      </c>
      <c r="D1405" s="2" t="s">
        <v>95</v>
      </c>
      <c r="E1405" s="2" t="s">
        <v>85</v>
      </c>
      <c r="F1405" s="2" t="s">
        <v>96</v>
      </c>
      <c r="G1405" s="2" t="s">
        <v>101</v>
      </c>
      <c r="H1405" s="2" t="s">
        <v>21</v>
      </c>
      <c r="I1405" s="2">
        <v>24</v>
      </c>
      <c r="J1405" s="2" t="s">
        <v>287</v>
      </c>
      <c r="K1405" s="4" t="s">
        <v>8590</v>
      </c>
      <c r="L1405" s="2" t="s">
        <v>24</v>
      </c>
      <c r="M1405" s="2"/>
      <c r="N1405" t="s">
        <v>8588</v>
      </c>
      <c r="O1405" s="8" t="str">
        <f t="shared" si="42"/>
        <v/>
      </c>
      <c r="P1405" t="str">
        <f t="shared" si="43"/>
        <v>N/A</v>
      </c>
    </row>
    <row r="1406" spans="1:16" x14ac:dyDescent="0.25">
      <c r="A1406" s="2" t="s">
        <v>3844</v>
      </c>
      <c r="B1406" s="4">
        <v>46190.263194444444</v>
      </c>
      <c r="C1406" s="2" t="s">
        <v>53</v>
      </c>
      <c r="D1406" s="2" t="s">
        <v>54</v>
      </c>
      <c r="E1406" s="2" t="s">
        <v>90</v>
      </c>
      <c r="F1406" s="2" t="s">
        <v>55</v>
      </c>
      <c r="G1406" s="2" t="s">
        <v>179</v>
      </c>
      <c r="H1406" s="2" t="s">
        <v>21</v>
      </c>
      <c r="I1406" s="2">
        <v>24</v>
      </c>
      <c r="J1406" s="2" t="s">
        <v>75</v>
      </c>
      <c r="K1406" s="4">
        <v>46191.079861111109</v>
      </c>
      <c r="L1406" s="2" t="s">
        <v>24</v>
      </c>
      <c r="M1406" s="2"/>
      <c r="N1406" t="s">
        <v>8583</v>
      </c>
      <c r="O1406" s="8">
        <f t="shared" si="42"/>
        <v>19.599999999976717</v>
      </c>
      <c r="P1406" t="str">
        <f t="shared" si="43"/>
        <v>N/A</v>
      </c>
    </row>
    <row r="1407" spans="1:16" x14ac:dyDescent="0.25">
      <c r="A1407" s="2" t="s">
        <v>3847</v>
      </c>
      <c r="B1407" s="4">
        <v>46133.431944444441</v>
      </c>
      <c r="C1407" s="2" t="s">
        <v>16</v>
      </c>
      <c r="D1407" s="2" t="s">
        <v>17</v>
      </c>
      <c r="E1407" s="2" t="s">
        <v>46</v>
      </c>
      <c r="F1407" s="2" t="s">
        <v>96</v>
      </c>
      <c r="G1407" s="2" t="s">
        <v>110</v>
      </c>
      <c r="H1407" s="2" t="s">
        <v>74</v>
      </c>
      <c r="I1407" s="2">
        <v>8</v>
      </c>
      <c r="J1407" s="2" t="s">
        <v>106</v>
      </c>
      <c r="K1407" s="4">
        <v>46133.675000000003</v>
      </c>
      <c r="L1407" s="2" t="s">
        <v>24</v>
      </c>
      <c r="M1407" s="2">
        <v>1</v>
      </c>
      <c r="N1407" t="s">
        <v>8589</v>
      </c>
      <c r="O1407" s="8">
        <f t="shared" si="42"/>
        <v>5.8333333334885538</v>
      </c>
      <c r="P1407" t="str">
        <f t="shared" si="43"/>
        <v>Yes</v>
      </c>
    </row>
    <row r="1408" spans="1:16" x14ac:dyDescent="0.25">
      <c r="A1408" s="2" t="s">
        <v>3850</v>
      </c>
      <c r="B1408" s="4">
        <v>46098.234027777777</v>
      </c>
      <c r="C1408" s="2" t="s">
        <v>53</v>
      </c>
      <c r="D1408" s="2" t="s">
        <v>54</v>
      </c>
      <c r="E1408" s="2" t="s">
        <v>148</v>
      </c>
      <c r="F1408" s="2" t="s">
        <v>113</v>
      </c>
      <c r="G1408" s="2" t="s">
        <v>31</v>
      </c>
      <c r="H1408" s="2" t="s">
        <v>21</v>
      </c>
      <c r="I1408" s="2">
        <v>24</v>
      </c>
      <c r="J1408" s="2" t="s">
        <v>75</v>
      </c>
      <c r="K1408" s="4" t="s">
        <v>8590</v>
      </c>
      <c r="L1408" s="2" t="s">
        <v>24</v>
      </c>
      <c r="M1408" s="2">
        <v>4</v>
      </c>
      <c r="N1408" t="s">
        <v>8587</v>
      </c>
      <c r="O1408" s="8" t="str">
        <f t="shared" si="42"/>
        <v/>
      </c>
      <c r="P1408" t="str">
        <f t="shared" si="43"/>
        <v>N/A</v>
      </c>
    </row>
    <row r="1409" spans="1:16" x14ac:dyDescent="0.25">
      <c r="A1409" s="2" t="s">
        <v>3852</v>
      </c>
      <c r="B1409" s="4">
        <v>46235.412499999999</v>
      </c>
      <c r="C1409" s="2" t="s">
        <v>53</v>
      </c>
      <c r="D1409" s="2" t="s">
        <v>61</v>
      </c>
      <c r="E1409" s="2" t="s">
        <v>90</v>
      </c>
      <c r="F1409" s="2" t="s">
        <v>55</v>
      </c>
      <c r="G1409" s="2" t="s">
        <v>211</v>
      </c>
      <c r="H1409" s="2" t="s">
        <v>74</v>
      </c>
      <c r="I1409" s="2">
        <v>8</v>
      </c>
      <c r="J1409" s="2" t="s">
        <v>106</v>
      </c>
      <c r="K1409" s="4">
        <v>46236.32916666667</v>
      </c>
      <c r="L1409" s="2" t="s">
        <v>24</v>
      </c>
      <c r="M1409" s="2">
        <v>4</v>
      </c>
      <c r="N1409" t="s">
        <v>8586</v>
      </c>
      <c r="O1409" s="8">
        <f t="shared" si="42"/>
        <v>22.000000000116415</v>
      </c>
      <c r="P1409" t="str">
        <f t="shared" si="43"/>
        <v>No</v>
      </c>
    </row>
    <row r="1410" spans="1:16" x14ac:dyDescent="0.25">
      <c r="A1410" s="2" t="s">
        <v>3855</v>
      </c>
      <c r="B1410" s="4">
        <v>46050.021527777775</v>
      </c>
      <c r="C1410" s="2" t="s">
        <v>53</v>
      </c>
      <c r="D1410" s="2" t="s">
        <v>61</v>
      </c>
      <c r="E1410" s="2" t="s">
        <v>46</v>
      </c>
      <c r="F1410" s="2" t="s">
        <v>113</v>
      </c>
      <c r="G1410" s="2" t="s">
        <v>183</v>
      </c>
      <c r="H1410" s="2" t="s">
        <v>74</v>
      </c>
      <c r="I1410" s="2">
        <v>8</v>
      </c>
      <c r="J1410" s="2" t="s">
        <v>106</v>
      </c>
      <c r="K1410" s="4">
        <v>46050.259027777778</v>
      </c>
      <c r="L1410" s="2" t="s">
        <v>24</v>
      </c>
      <c r="M1410" s="2"/>
      <c r="N1410" t="s">
        <v>8582</v>
      </c>
      <c r="O1410" s="8">
        <f t="shared" si="42"/>
        <v>5.7000000000698492</v>
      </c>
      <c r="P1410" t="str">
        <f t="shared" si="43"/>
        <v>Yes</v>
      </c>
    </row>
    <row r="1411" spans="1:16" x14ac:dyDescent="0.25">
      <c r="A1411" s="2" t="s">
        <v>3858</v>
      </c>
      <c r="B1411" s="4">
        <v>46262.715277777781</v>
      </c>
      <c r="C1411" s="2" t="s">
        <v>53</v>
      </c>
      <c r="D1411" s="2" t="s">
        <v>61</v>
      </c>
      <c r="E1411" s="2" t="s">
        <v>18</v>
      </c>
      <c r="F1411" s="2" t="s">
        <v>30</v>
      </c>
      <c r="G1411" s="2" t="s">
        <v>211</v>
      </c>
      <c r="H1411" s="2" t="s">
        <v>74</v>
      </c>
      <c r="I1411" s="2">
        <v>8</v>
      </c>
      <c r="J1411" s="2" t="s">
        <v>106</v>
      </c>
      <c r="K1411" s="4">
        <v>46263.21875</v>
      </c>
      <c r="L1411" s="2" t="s">
        <v>24</v>
      </c>
      <c r="M1411" s="2">
        <v>2</v>
      </c>
      <c r="N1411" t="s">
        <v>8581</v>
      </c>
      <c r="O1411" s="8">
        <f t="shared" ref="O1411:O1474" si="44">IF(K1411="","",IF(K1411="Missing Resolve Date","",(K1411-B1411)*24))</f>
        <v>12.083333333255723</v>
      </c>
      <c r="P1411" t="str">
        <f t="shared" ref="P1411:P1474" si="45">IF(J1411="Resolved",IF(O1411&lt;=I1411,"Yes","No"),"N/A")</f>
        <v>No</v>
      </c>
    </row>
    <row r="1412" spans="1:16" x14ac:dyDescent="0.25">
      <c r="A1412" s="2" t="s">
        <v>3861</v>
      </c>
      <c r="B1412" s="4">
        <v>46068.335416666669</v>
      </c>
      <c r="C1412" s="2" t="s">
        <v>28</v>
      </c>
      <c r="D1412" s="2" t="s">
        <v>100</v>
      </c>
      <c r="E1412" s="2" t="s">
        <v>46</v>
      </c>
      <c r="F1412" s="2" t="s">
        <v>30</v>
      </c>
      <c r="G1412" s="2" t="s">
        <v>110</v>
      </c>
      <c r="H1412" s="2" t="s">
        <v>32</v>
      </c>
      <c r="I1412" s="2">
        <v>48</v>
      </c>
      <c r="J1412" s="2" t="s">
        <v>106</v>
      </c>
      <c r="K1412" s="4">
        <v>46069.787499999999</v>
      </c>
      <c r="L1412" s="2" t="s">
        <v>24</v>
      </c>
      <c r="M1412" s="2">
        <v>5</v>
      </c>
      <c r="N1412" t="s">
        <v>8587</v>
      </c>
      <c r="O1412" s="8">
        <f t="shared" si="44"/>
        <v>34.849999999918509</v>
      </c>
      <c r="P1412" t="str">
        <f t="shared" si="45"/>
        <v>Yes</v>
      </c>
    </row>
    <row r="1413" spans="1:16" x14ac:dyDescent="0.25">
      <c r="A1413" s="2" t="s">
        <v>3864</v>
      </c>
      <c r="B1413" s="4">
        <v>46115.630555555559</v>
      </c>
      <c r="C1413" s="2" t="s">
        <v>16</v>
      </c>
      <c r="D1413" s="2" t="s">
        <v>84</v>
      </c>
      <c r="E1413" s="2" t="s">
        <v>18</v>
      </c>
      <c r="F1413" s="2" t="s">
        <v>113</v>
      </c>
      <c r="G1413" s="2" t="s">
        <v>31</v>
      </c>
      <c r="H1413" s="2" t="s">
        <v>21</v>
      </c>
      <c r="I1413" s="2">
        <v>24</v>
      </c>
      <c r="J1413" s="2" t="s">
        <v>106</v>
      </c>
      <c r="K1413" s="4">
        <v>46116.232638888891</v>
      </c>
      <c r="L1413" s="2" t="s">
        <v>24</v>
      </c>
      <c r="M1413" s="2">
        <v>5</v>
      </c>
      <c r="N1413" t="s">
        <v>8582</v>
      </c>
      <c r="O1413" s="8">
        <f t="shared" si="44"/>
        <v>14.449999999953434</v>
      </c>
      <c r="P1413" t="str">
        <f t="shared" si="45"/>
        <v>Yes</v>
      </c>
    </row>
    <row r="1414" spans="1:16" x14ac:dyDescent="0.25">
      <c r="A1414" s="2" t="s">
        <v>3867</v>
      </c>
      <c r="B1414" s="4">
        <v>46162.438888888886</v>
      </c>
      <c r="C1414" s="2" t="s">
        <v>28</v>
      </c>
      <c r="D1414" s="2" t="s">
        <v>100</v>
      </c>
      <c r="E1414" s="2" t="s">
        <v>148</v>
      </c>
      <c r="F1414" s="2" t="s">
        <v>55</v>
      </c>
      <c r="G1414" s="2" t="s">
        <v>101</v>
      </c>
      <c r="H1414" s="2" t="s">
        <v>32</v>
      </c>
      <c r="I1414" s="2">
        <v>48</v>
      </c>
      <c r="J1414" s="2" t="s">
        <v>106</v>
      </c>
      <c r="K1414" s="4">
        <v>46165.089583333334</v>
      </c>
      <c r="L1414" s="2" t="s">
        <v>24</v>
      </c>
      <c r="M1414" s="2">
        <v>2</v>
      </c>
      <c r="N1414" t="s">
        <v>8586</v>
      </c>
      <c r="O1414" s="8">
        <f t="shared" si="44"/>
        <v>63.616666666755918</v>
      </c>
      <c r="P1414" t="str">
        <f t="shared" si="45"/>
        <v>No</v>
      </c>
    </row>
    <row r="1415" spans="1:16" x14ac:dyDescent="0.25">
      <c r="A1415" s="2" t="s">
        <v>3870</v>
      </c>
      <c r="B1415" s="4">
        <v>46121.045138888891</v>
      </c>
      <c r="C1415" s="2" t="s">
        <v>28</v>
      </c>
      <c r="D1415" s="2" t="s">
        <v>37</v>
      </c>
      <c r="E1415" s="2" t="s">
        <v>46</v>
      </c>
      <c r="F1415" s="2" t="s">
        <v>113</v>
      </c>
      <c r="G1415" s="2" t="s">
        <v>31</v>
      </c>
      <c r="H1415" s="2" t="s">
        <v>80</v>
      </c>
      <c r="I1415" s="2">
        <v>4</v>
      </c>
      <c r="J1415" s="2" t="s">
        <v>106</v>
      </c>
      <c r="K1415" s="4">
        <v>46121.181250000001</v>
      </c>
      <c r="L1415" s="2" t="s">
        <v>24</v>
      </c>
      <c r="M1415" s="2"/>
      <c r="N1415" t="s">
        <v>8587</v>
      </c>
      <c r="O1415" s="8">
        <f t="shared" si="44"/>
        <v>3.2666666666627862</v>
      </c>
      <c r="P1415" t="str">
        <f t="shared" si="45"/>
        <v>Yes</v>
      </c>
    </row>
    <row r="1416" spans="1:16" x14ac:dyDescent="0.25">
      <c r="A1416" s="2" t="s">
        <v>3873</v>
      </c>
      <c r="B1416" s="4">
        <v>46179.30972222222</v>
      </c>
      <c r="C1416" s="2" t="s">
        <v>28</v>
      </c>
      <c r="D1416" s="2" t="s">
        <v>100</v>
      </c>
      <c r="E1416" s="2" t="s">
        <v>46</v>
      </c>
      <c r="F1416" s="2" t="s">
        <v>113</v>
      </c>
      <c r="G1416" s="2" t="s">
        <v>179</v>
      </c>
      <c r="H1416" s="2" t="s">
        <v>32</v>
      </c>
      <c r="I1416" s="2">
        <v>48</v>
      </c>
      <c r="J1416" s="2" t="s">
        <v>106</v>
      </c>
      <c r="K1416" s="4">
        <v>46180.534722222219</v>
      </c>
      <c r="L1416" s="2" t="s">
        <v>24</v>
      </c>
      <c r="M1416" s="2"/>
      <c r="N1416" t="s">
        <v>8583</v>
      </c>
      <c r="O1416" s="8">
        <f t="shared" si="44"/>
        <v>29.399999999965075</v>
      </c>
      <c r="P1416" t="str">
        <f t="shared" si="45"/>
        <v>Yes</v>
      </c>
    </row>
    <row r="1417" spans="1:16" x14ac:dyDescent="0.25">
      <c r="A1417" s="2" t="s">
        <v>3876</v>
      </c>
      <c r="B1417" s="4">
        <v>46165.930555555555</v>
      </c>
      <c r="C1417" s="2" t="s">
        <v>16</v>
      </c>
      <c r="D1417" s="2" t="s">
        <v>84</v>
      </c>
      <c r="E1417" s="2" t="s">
        <v>38</v>
      </c>
      <c r="F1417" s="2" t="s">
        <v>55</v>
      </c>
      <c r="G1417" s="2" t="s">
        <v>183</v>
      </c>
      <c r="H1417" s="2" t="s">
        <v>21</v>
      </c>
      <c r="I1417" s="2">
        <v>24</v>
      </c>
      <c r="J1417" s="2" t="s">
        <v>106</v>
      </c>
      <c r="K1417" s="4">
        <v>46166.186111111114</v>
      </c>
      <c r="L1417" s="2" t="s">
        <v>24</v>
      </c>
      <c r="M1417" s="2">
        <v>4</v>
      </c>
      <c r="N1417" t="s">
        <v>8587</v>
      </c>
      <c r="O1417" s="8">
        <f t="shared" si="44"/>
        <v>6.1333333334187046</v>
      </c>
      <c r="P1417" t="str">
        <f t="shared" si="45"/>
        <v>Yes</v>
      </c>
    </row>
    <row r="1418" spans="1:16" x14ac:dyDescent="0.25">
      <c r="A1418" s="2" t="s">
        <v>3879</v>
      </c>
      <c r="B1418" s="4">
        <v>46106.993750000001</v>
      </c>
      <c r="C1418" s="2" t="s">
        <v>16</v>
      </c>
      <c r="D1418" s="2" t="s">
        <v>84</v>
      </c>
      <c r="E1418" s="2" t="s">
        <v>90</v>
      </c>
      <c r="F1418" s="2" t="s">
        <v>96</v>
      </c>
      <c r="G1418" s="2" t="s">
        <v>179</v>
      </c>
      <c r="H1418" s="2" t="s">
        <v>21</v>
      </c>
      <c r="I1418" s="2">
        <v>24</v>
      </c>
      <c r="J1418" s="2" t="s">
        <v>106</v>
      </c>
      <c r="K1418" s="4">
        <v>46108.38958333333</v>
      </c>
      <c r="L1418" s="2" t="s">
        <v>24</v>
      </c>
      <c r="M1418" s="2">
        <v>3</v>
      </c>
      <c r="N1418" t="s">
        <v>8589</v>
      </c>
      <c r="O1418" s="8">
        <f t="shared" si="44"/>
        <v>33.499999999883585</v>
      </c>
      <c r="P1418" t="str">
        <f t="shared" si="45"/>
        <v>No</v>
      </c>
    </row>
    <row r="1419" spans="1:16" x14ac:dyDescent="0.25">
      <c r="A1419" s="2" t="s">
        <v>3882</v>
      </c>
      <c r="B1419" s="4">
        <v>46030.082638888889</v>
      </c>
      <c r="C1419" s="2" t="s">
        <v>16</v>
      </c>
      <c r="D1419" s="2" t="s">
        <v>17</v>
      </c>
      <c r="E1419" s="2" t="s">
        <v>18</v>
      </c>
      <c r="F1419" s="2" t="s">
        <v>113</v>
      </c>
      <c r="G1419" s="2" t="s">
        <v>101</v>
      </c>
      <c r="H1419" s="2" t="s">
        <v>21</v>
      </c>
      <c r="I1419" s="2">
        <v>24</v>
      </c>
      <c r="J1419" s="2" t="s">
        <v>75</v>
      </c>
      <c r="K1419" s="4">
        <v>46030.73333333333</v>
      </c>
      <c r="L1419" s="2" t="s">
        <v>24</v>
      </c>
      <c r="M1419" s="2">
        <v>2</v>
      </c>
      <c r="N1419" t="s">
        <v>8582</v>
      </c>
      <c r="O1419" s="8">
        <f t="shared" si="44"/>
        <v>15.616666666581295</v>
      </c>
      <c r="P1419" t="str">
        <f t="shared" si="45"/>
        <v>N/A</v>
      </c>
    </row>
    <row r="1420" spans="1:16" x14ac:dyDescent="0.25">
      <c r="A1420" s="2" t="s">
        <v>3885</v>
      </c>
      <c r="B1420" s="4">
        <v>46220.231944444444</v>
      </c>
      <c r="C1420" s="2" t="s">
        <v>16</v>
      </c>
      <c r="D1420" s="2" t="s">
        <v>17</v>
      </c>
      <c r="E1420" s="2" t="s">
        <v>79</v>
      </c>
      <c r="F1420" s="2" t="s">
        <v>30</v>
      </c>
      <c r="G1420" s="2" t="s">
        <v>110</v>
      </c>
      <c r="H1420" s="2" t="s">
        <v>21</v>
      </c>
      <c r="I1420" s="2">
        <v>24</v>
      </c>
      <c r="J1420" s="2" t="s">
        <v>149</v>
      </c>
      <c r="K1420" s="4" t="s">
        <v>8590</v>
      </c>
      <c r="L1420" s="2" t="s">
        <v>24</v>
      </c>
      <c r="M1420" s="2"/>
      <c r="N1420" t="s">
        <v>8584</v>
      </c>
      <c r="O1420" s="8" t="str">
        <f t="shared" si="44"/>
        <v/>
      </c>
      <c r="P1420" t="str">
        <f t="shared" si="45"/>
        <v>N/A</v>
      </c>
    </row>
    <row r="1421" spans="1:16" x14ac:dyDescent="0.25">
      <c r="A1421" s="2" t="s">
        <v>3887</v>
      </c>
      <c r="B1421" s="4">
        <v>46184.925000000003</v>
      </c>
      <c r="C1421" s="2" t="s">
        <v>28</v>
      </c>
      <c r="D1421" s="2" t="s">
        <v>100</v>
      </c>
      <c r="E1421" s="2" t="s">
        <v>38</v>
      </c>
      <c r="F1421" s="2" t="s">
        <v>96</v>
      </c>
      <c r="G1421" s="2" t="s">
        <v>31</v>
      </c>
      <c r="H1421" s="2" t="s">
        <v>74</v>
      </c>
      <c r="I1421" s="2">
        <v>8</v>
      </c>
      <c r="J1421" s="2" t="s">
        <v>75</v>
      </c>
      <c r="K1421" s="4">
        <v>46185.213194444441</v>
      </c>
      <c r="L1421" s="2" t="s">
        <v>24</v>
      </c>
      <c r="M1421" s="2">
        <v>4</v>
      </c>
      <c r="N1421" t="s">
        <v>8588</v>
      </c>
      <c r="O1421" s="8">
        <f t="shared" si="44"/>
        <v>6.9166666665114462</v>
      </c>
      <c r="P1421" t="str">
        <f t="shared" si="45"/>
        <v>N/A</v>
      </c>
    </row>
    <row r="1422" spans="1:16" x14ac:dyDescent="0.25">
      <c r="A1422" s="2" t="s">
        <v>3890</v>
      </c>
      <c r="B1422" s="4">
        <v>46049.308333333334</v>
      </c>
      <c r="C1422" s="2" t="s">
        <v>53</v>
      </c>
      <c r="D1422" s="2" t="s">
        <v>61</v>
      </c>
      <c r="E1422" s="2" t="s">
        <v>79</v>
      </c>
      <c r="F1422" s="2" t="s">
        <v>30</v>
      </c>
      <c r="G1422" s="2" t="s">
        <v>183</v>
      </c>
      <c r="H1422" s="2" t="s">
        <v>32</v>
      </c>
      <c r="I1422" s="2">
        <v>48</v>
      </c>
      <c r="J1422" s="2" t="s">
        <v>11</v>
      </c>
      <c r="K1422" s="4" t="s">
        <v>8590</v>
      </c>
      <c r="L1422" s="2" t="s">
        <v>92</v>
      </c>
      <c r="M1422" s="2"/>
      <c r="N1422" t="s">
        <v>8588</v>
      </c>
      <c r="O1422" s="8" t="str">
        <f t="shared" si="44"/>
        <v/>
      </c>
      <c r="P1422" t="str">
        <f t="shared" si="45"/>
        <v>N/A</v>
      </c>
    </row>
    <row r="1423" spans="1:16" x14ac:dyDescent="0.25">
      <c r="A1423" s="2" t="s">
        <v>3892</v>
      </c>
      <c r="B1423" s="4">
        <v>46234.756249999999</v>
      </c>
      <c r="C1423" s="2" t="s">
        <v>53</v>
      </c>
      <c r="D1423" s="2" t="s">
        <v>61</v>
      </c>
      <c r="E1423" s="2" t="s">
        <v>90</v>
      </c>
      <c r="F1423" s="2" t="s">
        <v>55</v>
      </c>
      <c r="G1423" s="2" t="s">
        <v>179</v>
      </c>
      <c r="H1423" s="2" t="s">
        <v>32</v>
      </c>
      <c r="I1423" s="2">
        <v>48</v>
      </c>
      <c r="J1423" s="2" t="s">
        <v>8580</v>
      </c>
      <c r="K1423" s="4">
        <v>46235.583333333336</v>
      </c>
      <c r="L1423" s="2" t="s">
        <v>24</v>
      </c>
      <c r="M1423" s="2"/>
      <c r="N1423" t="s">
        <v>8589</v>
      </c>
      <c r="O1423" s="8">
        <f t="shared" si="44"/>
        <v>19.850000000093132</v>
      </c>
      <c r="P1423" t="str">
        <f t="shared" si="45"/>
        <v>N/A</v>
      </c>
    </row>
    <row r="1424" spans="1:16" x14ac:dyDescent="0.25">
      <c r="A1424" s="2" t="s">
        <v>3895</v>
      </c>
      <c r="B1424" s="4">
        <v>46075.69027777778</v>
      </c>
      <c r="C1424" s="2" t="s">
        <v>53</v>
      </c>
      <c r="D1424" s="2" t="s">
        <v>54</v>
      </c>
      <c r="E1424" s="2" t="s">
        <v>18</v>
      </c>
      <c r="F1424" s="2" t="s">
        <v>113</v>
      </c>
      <c r="G1424" s="2" t="s">
        <v>211</v>
      </c>
      <c r="H1424" s="2" t="s">
        <v>74</v>
      </c>
      <c r="I1424" s="2">
        <v>8</v>
      </c>
      <c r="J1424" s="2" t="s">
        <v>75</v>
      </c>
      <c r="K1424" s="4">
        <v>46075.980555555558</v>
      </c>
      <c r="L1424" s="2" t="s">
        <v>24</v>
      </c>
      <c r="M1424" s="2">
        <v>5</v>
      </c>
      <c r="N1424" t="s">
        <v>8581</v>
      </c>
      <c r="O1424" s="8">
        <f t="shared" si="44"/>
        <v>6.9666666666744277</v>
      </c>
      <c r="P1424" t="str">
        <f t="shared" si="45"/>
        <v>N/A</v>
      </c>
    </row>
    <row r="1425" spans="1:16" x14ac:dyDescent="0.25">
      <c r="A1425" s="2" t="s">
        <v>3898</v>
      </c>
      <c r="B1425" s="4">
        <v>46192.131249999999</v>
      </c>
      <c r="C1425" s="2" t="s">
        <v>67</v>
      </c>
      <c r="D1425" s="2" t="s">
        <v>68</v>
      </c>
      <c r="E1425" s="2" t="s">
        <v>148</v>
      </c>
      <c r="F1425" s="2" t="s">
        <v>96</v>
      </c>
      <c r="G1425" s="2" t="s">
        <v>211</v>
      </c>
      <c r="H1425" s="2" t="s">
        <v>74</v>
      </c>
      <c r="I1425" s="2">
        <v>8</v>
      </c>
      <c r="J1425" s="2" t="s">
        <v>106</v>
      </c>
      <c r="K1425" s="4">
        <v>46192.327777777777</v>
      </c>
      <c r="L1425" s="2" t="s">
        <v>24</v>
      </c>
      <c r="M1425" s="2"/>
      <c r="N1425" t="s">
        <v>8589</v>
      </c>
      <c r="O1425" s="8">
        <f t="shared" si="44"/>
        <v>4.7166666666744277</v>
      </c>
      <c r="P1425" t="str">
        <f t="shared" si="45"/>
        <v>Yes</v>
      </c>
    </row>
    <row r="1426" spans="1:16" x14ac:dyDescent="0.25">
      <c r="A1426" s="2" t="s">
        <v>3901</v>
      </c>
      <c r="B1426" s="4">
        <v>46246.834027777775</v>
      </c>
      <c r="C1426" s="2" t="s">
        <v>16</v>
      </c>
      <c r="D1426" s="2" t="s">
        <v>84</v>
      </c>
      <c r="E1426" s="2" t="s">
        <v>46</v>
      </c>
      <c r="F1426" s="2" t="s">
        <v>96</v>
      </c>
      <c r="G1426" s="2" t="s">
        <v>211</v>
      </c>
      <c r="H1426" s="2" t="s">
        <v>21</v>
      </c>
      <c r="I1426" s="2">
        <v>24</v>
      </c>
      <c r="J1426" s="2" t="s">
        <v>287</v>
      </c>
      <c r="K1426" s="4" t="s">
        <v>8590</v>
      </c>
      <c r="L1426" s="2" t="s">
        <v>24</v>
      </c>
      <c r="M1426" s="2"/>
      <c r="N1426" t="s">
        <v>8586</v>
      </c>
      <c r="O1426" s="8" t="str">
        <f t="shared" si="44"/>
        <v/>
      </c>
      <c r="P1426" t="str">
        <f t="shared" si="45"/>
        <v>N/A</v>
      </c>
    </row>
    <row r="1427" spans="1:16" x14ac:dyDescent="0.25">
      <c r="A1427" s="2" t="s">
        <v>3903</v>
      </c>
      <c r="B1427" s="4">
        <v>46256.244444444441</v>
      </c>
      <c r="C1427" s="2" t="s">
        <v>67</v>
      </c>
      <c r="D1427" s="2" t="s">
        <v>95</v>
      </c>
      <c r="E1427" s="2" t="s">
        <v>90</v>
      </c>
      <c r="F1427" s="2" t="s">
        <v>30</v>
      </c>
      <c r="G1427" s="2" t="s">
        <v>183</v>
      </c>
      <c r="H1427" s="2" t="s">
        <v>21</v>
      </c>
      <c r="I1427" s="2">
        <v>24</v>
      </c>
      <c r="J1427" s="2" t="s">
        <v>106</v>
      </c>
      <c r="K1427" s="4" t="s">
        <v>8590</v>
      </c>
      <c r="L1427" s="2" t="s">
        <v>24</v>
      </c>
      <c r="M1427" s="2">
        <v>4</v>
      </c>
      <c r="N1427" t="s">
        <v>8584</v>
      </c>
      <c r="O1427" s="8" t="str">
        <f t="shared" si="44"/>
        <v/>
      </c>
      <c r="P1427" t="str">
        <f t="shared" si="45"/>
        <v>No</v>
      </c>
    </row>
    <row r="1428" spans="1:16" x14ac:dyDescent="0.25">
      <c r="A1428" s="2" t="s">
        <v>3905</v>
      </c>
      <c r="B1428" s="4">
        <v>46077.029861111114</v>
      </c>
      <c r="C1428" s="2" t="s">
        <v>16</v>
      </c>
      <c r="D1428" s="2" t="s">
        <v>84</v>
      </c>
      <c r="E1428" s="2" t="s">
        <v>90</v>
      </c>
      <c r="F1428" s="2" t="s">
        <v>96</v>
      </c>
      <c r="G1428" s="2" t="s">
        <v>179</v>
      </c>
      <c r="H1428" s="2" t="s">
        <v>21</v>
      </c>
      <c r="I1428" s="2">
        <v>24</v>
      </c>
      <c r="J1428" s="2" t="s">
        <v>106</v>
      </c>
      <c r="K1428" s="4" t="s">
        <v>8590</v>
      </c>
      <c r="L1428" s="2" t="s">
        <v>24</v>
      </c>
      <c r="M1428" s="2"/>
      <c r="N1428" t="s">
        <v>8588</v>
      </c>
      <c r="O1428" s="8" t="str">
        <f t="shared" si="44"/>
        <v/>
      </c>
      <c r="P1428" t="str">
        <f t="shared" si="45"/>
        <v>No</v>
      </c>
    </row>
    <row r="1429" spans="1:16" x14ac:dyDescent="0.25">
      <c r="A1429" s="2" t="s">
        <v>3907</v>
      </c>
      <c r="B1429" s="4">
        <v>46169.647222222222</v>
      </c>
      <c r="C1429" s="2" t="s">
        <v>67</v>
      </c>
      <c r="D1429" s="2" t="s">
        <v>68</v>
      </c>
      <c r="E1429" s="2" t="s">
        <v>38</v>
      </c>
      <c r="F1429" s="2" t="s">
        <v>55</v>
      </c>
      <c r="G1429" s="2" t="s">
        <v>179</v>
      </c>
      <c r="H1429" s="2" t="s">
        <v>80</v>
      </c>
      <c r="I1429" s="2">
        <v>4</v>
      </c>
      <c r="J1429" s="2" t="s">
        <v>75</v>
      </c>
      <c r="K1429" s="4">
        <v>46169.683333333334</v>
      </c>
      <c r="L1429" s="2" t="s">
        <v>24</v>
      </c>
      <c r="M1429" s="2">
        <v>5</v>
      </c>
      <c r="N1429" t="s">
        <v>8587</v>
      </c>
      <c r="O1429" s="8">
        <f t="shared" si="44"/>
        <v>0.86666666669771075</v>
      </c>
      <c r="P1429" t="str">
        <f t="shared" si="45"/>
        <v>N/A</v>
      </c>
    </row>
    <row r="1430" spans="1:16" x14ac:dyDescent="0.25">
      <c r="A1430" s="2" t="s">
        <v>3910</v>
      </c>
      <c r="B1430" s="4">
        <v>46195.581250000003</v>
      </c>
      <c r="C1430" s="2" t="s">
        <v>28</v>
      </c>
      <c r="D1430" s="2" t="s">
        <v>100</v>
      </c>
      <c r="E1430" s="2" t="s">
        <v>46</v>
      </c>
      <c r="F1430" s="2" t="s">
        <v>96</v>
      </c>
      <c r="G1430" s="2" t="s">
        <v>101</v>
      </c>
      <c r="H1430" s="2" t="s">
        <v>80</v>
      </c>
      <c r="I1430" s="2">
        <v>4</v>
      </c>
      <c r="J1430" s="2" t="s">
        <v>11</v>
      </c>
      <c r="K1430" s="4" t="s">
        <v>8590</v>
      </c>
      <c r="L1430" s="2" t="s">
        <v>92</v>
      </c>
      <c r="M1430" s="2"/>
      <c r="N1430" t="s">
        <v>8587</v>
      </c>
      <c r="O1430" s="8" t="str">
        <f t="shared" si="44"/>
        <v/>
      </c>
      <c r="P1430" t="str">
        <f t="shared" si="45"/>
        <v>N/A</v>
      </c>
    </row>
    <row r="1431" spans="1:16" x14ac:dyDescent="0.25">
      <c r="A1431" s="2" t="s">
        <v>3912</v>
      </c>
      <c r="B1431" s="4">
        <v>46259.693055555559</v>
      </c>
      <c r="C1431" s="2" t="s">
        <v>67</v>
      </c>
      <c r="D1431" s="2" t="s">
        <v>68</v>
      </c>
      <c r="E1431" s="2" t="s">
        <v>79</v>
      </c>
      <c r="F1431" s="2" t="s">
        <v>30</v>
      </c>
      <c r="G1431" s="2" t="s">
        <v>31</v>
      </c>
      <c r="H1431" s="2" t="s">
        <v>32</v>
      </c>
      <c r="I1431" s="2">
        <v>48</v>
      </c>
      <c r="J1431" s="2" t="s">
        <v>75</v>
      </c>
      <c r="K1431" s="4">
        <v>46260.951388888891</v>
      </c>
      <c r="L1431" s="2" t="s">
        <v>24</v>
      </c>
      <c r="M1431" s="2"/>
      <c r="N1431" t="s">
        <v>8589</v>
      </c>
      <c r="O1431" s="8">
        <f t="shared" si="44"/>
        <v>30.199999999953434</v>
      </c>
      <c r="P1431" t="str">
        <f t="shared" si="45"/>
        <v>N/A</v>
      </c>
    </row>
    <row r="1432" spans="1:16" x14ac:dyDescent="0.25">
      <c r="A1432" s="2" t="s">
        <v>3915</v>
      </c>
      <c r="B1432" s="4">
        <v>46096.527083333334</v>
      </c>
      <c r="C1432" s="2" t="s">
        <v>53</v>
      </c>
      <c r="D1432" s="2" t="s">
        <v>61</v>
      </c>
      <c r="E1432" s="2" t="s">
        <v>85</v>
      </c>
      <c r="F1432" s="2" t="s">
        <v>113</v>
      </c>
      <c r="G1432" s="2" t="s">
        <v>211</v>
      </c>
      <c r="H1432" s="2" t="s">
        <v>74</v>
      </c>
      <c r="I1432" s="2">
        <v>8</v>
      </c>
      <c r="J1432" s="2" t="s">
        <v>106</v>
      </c>
      <c r="K1432" s="4" t="s">
        <v>8590</v>
      </c>
      <c r="L1432" s="2" t="s">
        <v>24</v>
      </c>
      <c r="M1432" s="2">
        <v>5</v>
      </c>
      <c r="N1432" t="s">
        <v>8582</v>
      </c>
      <c r="O1432" s="8" t="str">
        <f t="shared" si="44"/>
        <v/>
      </c>
      <c r="P1432" t="str">
        <f t="shared" si="45"/>
        <v>No</v>
      </c>
    </row>
    <row r="1433" spans="1:16" x14ac:dyDescent="0.25">
      <c r="A1433" s="2" t="s">
        <v>3917</v>
      </c>
      <c r="B1433" s="4">
        <v>46027.000694444447</v>
      </c>
      <c r="C1433" s="2" t="s">
        <v>53</v>
      </c>
      <c r="D1433" s="2" t="s">
        <v>54</v>
      </c>
      <c r="E1433" s="2" t="s">
        <v>148</v>
      </c>
      <c r="F1433" s="2" t="s">
        <v>55</v>
      </c>
      <c r="G1433" s="2" t="s">
        <v>110</v>
      </c>
      <c r="H1433" s="2" t="s">
        <v>32</v>
      </c>
      <c r="I1433" s="2">
        <v>48</v>
      </c>
      <c r="J1433" s="2" t="s">
        <v>75</v>
      </c>
      <c r="K1433" s="4">
        <v>46029.534722222219</v>
      </c>
      <c r="L1433" s="2" t="s">
        <v>24</v>
      </c>
      <c r="M1433" s="2">
        <v>4</v>
      </c>
      <c r="N1433" t="s">
        <v>8582</v>
      </c>
      <c r="O1433" s="8">
        <f t="shared" si="44"/>
        <v>60.816666666534729</v>
      </c>
      <c r="P1433" t="str">
        <f t="shared" si="45"/>
        <v>N/A</v>
      </c>
    </row>
    <row r="1434" spans="1:16" x14ac:dyDescent="0.25">
      <c r="A1434" s="2" t="s">
        <v>3920</v>
      </c>
      <c r="B1434" s="4">
        <v>46040.555555555555</v>
      </c>
      <c r="C1434" s="2" t="s">
        <v>67</v>
      </c>
      <c r="D1434" s="2" t="s">
        <v>95</v>
      </c>
      <c r="E1434" s="2" t="s">
        <v>79</v>
      </c>
      <c r="F1434" s="2" t="s">
        <v>30</v>
      </c>
      <c r="G1434" s="2" t="s">
        <v>211</v>
      </c>
      <c r="H1434" s="2" t="s">
        <v>74</v>
      </c>
      <c r="I1434" s="2">
        <v>8</v>
      </c>
      <c r="J1434" s="2" t="s">
        <v>287</v>
      </c>
      <c r="K1434" s="4" t="s">
        <v>8590</v>
      </c>
      <c r="L1434" s="2" t="s">
        <v>24</v>
      </c>
      <c r="M1434" s="2"/>
      <c r="N1434" t="s">
        <v>8585</v>
      </c>
      <c r="O1434" s="8" t="str">
        <f t="shared" si="44"/>
        <v/>
      </c>
      <c r="P1434" t="str">
        <f t="shared" si="45"/>
        <v>N/A</v>
      </c>
    </row>
    <row r="1435" spans="1:16" x14ac:dyDescent="0.25">
      <c r="A1435" s="2" t="s">
        <v>3922</v>
      </c>
      <c r="B1435" s="4">
        <v>46048.965277777781</v>
      </c>
      <c r="C1435" s="2" t="s">
        <v>67</v>
      </c>
      <c r="D1435" s="2" t="s">
        <v>95</v>
      </c>
      <c r="E1435" s="2" t="s">
        <v>148</v>
      </c>
      <c r="F1435" s="2" t="s">
        <v>30</v>
      </c>
      <c r="G1435" s="2" t="s">
        <v>211</v>
      </c>
      <c r="H1435" s="2" t="s">
        <v>21</v>
      </c>
      <c r="I1435" s="2">
        <v>24</v>
      </c>
      <c r="J1435" s="2" t="s">
        <v>11</v>
      </c>
      <c r="K1435" s="4" t="s">
        <v>8590</v>
      </c>
      <c r="L1435" s="2" t="s">
        <v>92</v>
      </c>
      <c r="M1435" s="2"/>
      <c r="N1435" t="s">
        <v>8585</v>
      </c>
      <c r="O1435" s="8" t="str">
        <f t="shared" si="44"/>
        <v/>
      </c>
      <c r="P1435" t="str">
        <f t="shared" si="45"/>
        <v>N/A</v>
      </c>
    </row>
    <row r="1436" spans="1:16" x14ac:dyDescent="0.25">
      <c r="A1436" s="2" t="s">
        <v>3924</v>
      </c>
      <c r="B1436" s="4">
        <v>46263.095833333333</v>
      </c>
      <c r="C1436" s="2" t="s">
        <v>28</v>
      </c>
      <c r="D1436" s="2" t="s">
        <v>37</v>
      </c>
      <c r="E1436" s="2" t="s">
        <v>148</v>
      </c>
      <c r="F1436" s="2" t="s">
        <v>113</v>
      </c>
      <c r="G1436" s="2" t="s">
        <v>110</v>
      </c>
      <c r="H1436" s="2" t="s">
        <v>80</v>
      </c>
      <c r="I1436" s="2">
        <v>4</v>
      </c>
      <c r="J1436" s="2" t="s">
        <v>106</v>
      </c>
      <c r="K1436" s="4">
        <v>46263.156944444447</v>
      </c>
      <c r="L1436" s="2" t="s">
        <v>24</v>
      </c>
      <c r="M1436" s="2"/>
      <c r="N1436" t="s">
        <v>8584</v>
      </c>
      <c r="O1436" s="8">
        <f t="shared" si="44"/>
        <v>1.4666666667326353</v>
      </c>
      <c r="P1436" t="str">
        <f t="shared" si="45"/>
        <v>Yes</v>
      </c>
    </row>
    <row r="1437" spans="1:16" x14ac:dyDescent="0.25">
      <c r="A1437" s="2" t="s">
        <v>3927</v>
      </c>
      <c r="B1437" s="4">
        <v>46257.720833333333</v>
      </c>
      <c r="C1437" s="2" t="s">
        <v>53</v>
      </c>
      <c r="D1437" s="2" t="s">
        <v>54</v>
      </c>
      <c r="E1437" s="2" t="s">
        <v>18</v>
      </c>
      <c r="F1437" s="2" t="s">
        <v>96</v>
      </c>
      <c r="G1437" s="2" t="s">
        <v>183</v>
      </c>
      <c r="H1437" s="2" t="s">
        <v>21</v>
      </c>
      <c r="I1437" s="2">
        <v>24</v>
      </c>
      <c r="J1437" s="2" t="s">
        <v>287</v>
      </c>
      <c r="K1437" s="4" t="s">
        <v>8590</v>
      </c>
      <c r="L1437" s="2" t="s">
        <v>24</v>
      </c>
      <c r="M1437" s="2"/>
      <c r="N1437" t="s">
        <v>8584</v>
      </c>
      <c r="O1437" s="8" t="str">
        <f t="shared" si="44"/>
        <v/>
      </c>
      <c r="P1437" t="str">
        <f t="shared" si="45"/>
        <v>N/A</v>
      </c>
    </row>
    <row r="1438" spans="1:16" x14ac:dyDescent="0.25">
      <c r="A1438" s="2" t="s">
        <v>3929</v>
      </c>
      <c r="B1438" s="4">
        <v>46231.622916666667</v>
      </c>
      <c r="C1438" s="2" t="s">
        <v>67</v>
      </c>
      <c r="D1438" s="2" t="s">
        <v>95</v>
      </c>
      <c r="E1438" s="2" t="s">
        <v>90</v>
      </c>
      <c r="F1438" s="2" t="s">
        <v>30</v>
      </c>
      <c r="G1438" s="2" t="s">
        <v>211</v>
      </c>
      <c r="H1438" s="2" t="s">
        <v>32</v>
      </c>
      <c r="I1438" s="2">
        <v>48</v>
      </c>
      <c r="J1438" s="2" t="s">
        <v>149</v>
      </c>
      <c r="K1438" s="4" t="s">
        <v>8590</v>
      </c>
      <c r="L1438" s="2" t="s">
        <v>24</v>
      </c>
      <c r="M1438" s="2"/>
      <c r="N1438" t="s">
        <v>8587</v>
      </c>
      <c r="O1438" s="8" t="str">
        <f t="shared" si="44"/>
        <v/>
      </c>
      <c r="P1438" t="str">
        <f t="shared" si="45"/>
        <v>N/A</v>
      </c>
    </row>
    <row r="1439" spans="1:16" x14ac:dyDescent="0.25">
      <c r="A1439" s="2" t="s">
        <v>3931</v>
      </c>
      <c r="B1439" s="4">
        <v>46037.752083333333</v>
      </c>
      <c r="C1439" s="2" t="s">
        <v>67</v>
      </c>
      <c r="D1439" s="2" t="s">
        <v>68</v>
      </c>
      <c r="E1439" s="2" t="s">
        <v>90</v>
      </c>
      <c r="F1439" s="2" t="s">
        <v>96</v>
      </c>
      <c r="G1439" s="2" t="s">
        <v>183</v>
      </c>
      <c r="H1439" s="2" t="s">
        <v>21</v>
      </c>
      <c r="I1439" s="2">
        <v>24</v>
      </c>
      <c r="J1439" s="2" t="s">
        <v>75</v>
      </c>
      <c r="K1439" s="4">
        <v>46038.438194444447</v>
      </c>
      <c r="L1439" s="2" t="s">
        <v>24</v>
      </c>
      <c r="M1439" s="2"/>
      <c r="N1439" t="s">
        <v>8584</v>
      </c>
      <c r="O1439" s="8">
        <f t="shared" si="44"/>
        <v>16.466666666732635</v>
      </c>
      <c r="P1439" t="str">
        <f t="shared" si="45"/>
        <v>N/A</v>
      </c>
    </row>
    <row r="1440" spans="1:16" x14ac:dyDescent="0.25">
      <c r="A1440" s="2" t="s">
        <v>3934</v>
      </c>
      <c r="B1440" s="4">
        <v>46163.138194444444</v>
      </c>
      <c r="C1440" s="2" t="s">
        <v>53</v>
      </c>
      <c r="D1440" s="2" t="s">
        <v>54</v>
      </c>
      <c r="E1440" s="2" t="s">
        <v>38</v>
      </c>
      <c r="F1440" s="2" t="s">
        <v>113</v>
      </c>
      <c r="G1440" s="2" t="s">
        <v>179</v>
      </c>
      <c r="H1440" s="2" t="s">
        <v>80</v>
      </c>
      <c r="I1440" s="2">
        <v>4</v>
      </c>
      <c r="J1440" s="2" t="s">
        <v>106</v>
      </c>
      <c r="K1440" s="4">
        <v>46163.162499999999</v>
      </c>
      <c r="L1440" s="2" t="s">
        <v>24</v>
      </c>
      <c r="M1440" s="2">
        <v>2</v>
      </c>
      <c r="N1440" t="s">
        <v>8587</v>
      </c>
      <c r="O1440" s="8">
        <f t="shared" si="44"/>
        <v>0.58333333331393078</v>
      </c>
      <c r="P1440" t="str">
        <f t="shared" si="45"/>
        <v>Yes</v>
      </c>
    </row>
    <row r="1441" spans="1:16" x14ac:dyDescent="0.25">
      <c r="A1441" s="2" t="s">
        <v>3937</v>
      </c>
      <c r="B1441" s="4">
        <v>46254.681250000001</v>
      </c>
      <c r="C1441" s="2" t="s">
        <v>16</v>
      </c>
      <c r="D1441" s="2" t="s">
        <v>17</v>
      </c>
      <c r="E1441" s="2" t="s">
        <v>90</v>
      </c>
      <c r="F1441" s="2" t="s">
        <v>30</v>
      </c>
      <c r="G1441" s="2" t="s">
        <v>110</v>
      </c>
      <c r="H1441" s="2" t="s">
        <v>32</v>
      </c>
      <c r="I1441" s="2">
        <v>48</v>
      </c>
      <c r="J1441" s="2" t="s">
        <v>106</v>
      </c>
      <c r="K1441" s="4">
        <v>46255.898611111108</v>
      </c>
      <c r="L1441" s="2" t="s">
        <v>24</v>
      </c>
      <c r="M1441" s="2"/>
      <c r="N1441" t="s">
        <v>8589</v>
      </c>
      <c r="O1441" s="8">
        <f t="shared" si="44"/>
        <v>29.216666666558012</v>
      </c>
      <c r="P1441" t="str">
        <f t="shared" si="45"/>
        <v>Yes</v>
      </c>
    </row>
    <row r="1442" spans="1:16" x14ac:dyDescent="0.25">
      <c r="A1442" s="2" t="s">
        <v>3940</v>
      </c>
      <c r="B1442" s="4">
        <v>46211.722916666666</v>
      </c>
      <c r="C1442" s="2" t="s">
        <v>28</v>
      </c>
      <c r="D1442" s="2" t="s">
        <v>37</v>
      </c>
      <c r="E1442" s="2" t="s">
        <v>79</v>
      </c>
      <c r="F1442" s="2" t="s">
        <v>30</v>
      </c>
      <c r="G1442" s="2" t="s">
        <v>31</v>
      </c>
      <c r="H1442" s="2" t="s">
        <v>32</v>
      </c>
      <c r="I1442" s="2">
        <v>48</v>
      </c>
      <c r="J1442" s="2" t="s">
        <v>287</v>
      </c>
      <c r="K1442" s="4" t="s">
        <v>8590</v>
      </c>
      <c r="L1442" s="2" t="s">
        <v>24</v>
      </c>
      <c r="M1442" s="2"/>
      <c r="N1442" t="s">
        <v>8586</v>
      </c>
      <c r="O1442" s="8" t="str">
        <f t="shared" si="44"/>
        <v/>
      </c>
      <c r="P1442" t="str">
        <f t="shared" si="45"/>
        <v>N/A</v>
      </c>
    </row>
    <row r="1443" spans="1:16" x14ac:dyDescent="0.25">
      <c r="A1443" s="2" t="s">
        <v>3942</v>
      </c>
      <c r="B1443" s="4">
        <v>46256.482638888891</v>
      </c>
      <c r="C1443" s="2" t="s">
        <v>28</v>
      </c>
      <c r="D1443" s="2" t="s">
        <v>100</v>
      </c>
      <c r="E1443" s="2" t="s">
        <v>46</v>
      </c>
      <c r="F1443" s="2" t="s">
        <v>113</v>
      </c>
      <c r="G1443" s="2" t="s">
        <v>110</v>
      </c>
      <c r="H1443" s="2" t="s">
        <v>32</v>
      </c>
      <c r="I1443" s="2">
        <v>48</v>
      </c>
      <c r="J1443" s="2" t="s">
        <v>106</v>
      </c>
      <c r="K1443" s="4">
        <v>46259.368055555555</v>
      </c>
      <c r="L1443" s="2" t="s">
        <v>24</v>
      </c>
      <c r="M1443" s="2">
        <v>1</v>
      </c>
      <c r="N1443" t="s">
        <v>8589</v>
      </c>
      <c r="O1443" s="8">
        <f t="shared" si="44"/>
        <v>69.249999999941792</v>
      </c>
      <c r="P1443" t="str">
        <f t="shared" si="45"/>
        <v>No</v>
      </c>
    </row>
    <row r="1444" spans="1:16" x14ac:dyDescent="0.25">
      <c r="A1444" s="2" t="s">
        <v>3945</v>
      </c>
      <c r="B1444" s="4">
        <v>46056.637499999997</v>
      </c>
      <c r="C1444" s="2" t="s">
        <v>67</v>
      </c>
      <c r="D1444" s="2" t="s">
        <v>68</v>
      </c>
      <c r="E1444" s="2" t="s">
        <v>148</v>
      </c>
      <c r="F1444" s="2" t="s">
        <v>113</v>
      </c>
      <c r="G1444" s="2" t="s">
        <v>179</v>
      </c>
      <c r="H1444" s="2" t="s">
        <v>21</v>
      </c>
      <c r="I1444" s="2">
        <v>24</v>
      </c>
      <c r="J1444" s="2" t="s">
        <v>75</v>
      </c>
      <c r="K1444" s="4">
        <v>46057.931944444441</v>
      </c>
      <c r="L1444" s="2" t="s">
        <v>92</v>
      </c>
      <c r="M1444" s="2">
        <v>4</v>
      </c>
      <c r="N1444" t="s">
        <v>8585</v>
      </c>
      <c r="O1444" s="8">
        <f t="shared" si="44"/>
        <v>31.066666666651145</v>
      </c>
      <c r="P1444" t="str">
        <f t="shared" si="45"/>
        <v>N/A</v>
      </c>
    </row>
    <row r="1445" spans="1:16" x14ac:dyDescent="0.25">
      <c r="A1445" s="2" t="s">
        <v>3948</v>
      </c>
      <c r="B1445" s="4">
        <v>46219.300694444442</v>
      </c>
      <c r="C1445" s="2" t="s">
        <v>67</v>
      </c>
      <c r="D1445" s="2" t="s">
        <v>95</v>
      </c>
      <c r="E1445" s="2" t="s">
        <v>85</v>
      </c>
      <c r="F1445" s="2" t="s">
        <v>96</v>
      </c>
      <c r="G1445" s="2" t="s">
        <v>110</v>
      </c>
      <c r="H1445" s="2" t="s">
        <v>32</v>
      </c>
      <c r="I1445" s="2">
        <v>48</v>
      </c>
      <c r="J1445" s="2" t="s">
        <v>11</v>
      </c>
      <c r="K1445" s="4" t="s">
        <v>8590</v>
      </c>
      <c r="L1445" s="2" t="s">
        <v>92</v>
      </c>
      <c r="M1445" s="2"/>
      <c r="N1445" t="s">
        <v>8584</v>
      </c>
      <c r="O1445" s="8" t="str">
        <f t="shared" si="44"/>
        <v/>
      </c>
      <c r="P1445" t="str">
        <f t="shared" si="45"/>
        <v>N/A</v>
      </c>
    </row>
    <row r="1446" spans="1:16" x14ac:dyDescent="0.25">
      <c r="A1446" s="2" t="s">
        <v>3950</v>
      </c>
      <c r="B1446" s="4">
        <v>46235.083333333336</v>
      </c>
      <c r="C1446" s="2" t="s">
        <v>28</v>
      </c>
      <c r="D1446" s="2" t="s">
        <v>37</v>
      </c>
      <c r="E1446" s="2" t="s">
        <v>85</v>
      </c>
      <c r="F1446" s="2" t="s">
        <v>113</v>
      </c>
      <c r="G1446" s="2" t="s">
        <v>211</v>
      </c>
      <c r="H1446" s="2" t="s">
        <v>32</v>
      </c>
      <c r="I1446" s="2">
        <v>48</v>
      </c>
      <c r="J1446" s="2" t="s">
        <v>106</v>
      </c>
      <c r="K1446" s="4">
        <v>46235.783333333333</v>
      </c>
      <c r="L1446" s="2" t="s">
        <v>24</v>
      </c>
      <c r="M1446" s="2">
        <v>3</v>
      </c>
      <c r="N1446" t="s">
        <v>8583</v>
      </c>
      <c r="O1446" s="8">
        <f t="shared" si="44"/>
        <v>16.799999999930151</v>
      </c>
      <c r="P1446" t="str">
        <f t="shared" si="45"/>
        <v>Yes</v>
      </c>
    </row>
    <row r="1447" spans="1:16" x14ac:dyDescent="0.25">
      <c r="A1447" s="2" t="s">
        <v>3953</v>
      </c>
      <c r="B1447" s="4">
        <v>46258.518750000003</v>
      </c>
      <c r="C1447" s="2" t="s">
        <v>67</v>
      </c>
      <c r="D1447" s="2" t="s">
        <v>95</v>
      </c>
      <c r="E1447" s="2" t="s">
        <v>85</v>
      </c>
      <c r="F1447" s="2" t="s">
        <v>55</v>
      </c>
      <c r="G1447" s="2" t="s">
        <v>211</v>
      </c>
      <c r="H1447" s="2" t="s">
        <v>21</v>
      </c>
      <c r="I1447" s="2">
        <v>24</v>
      </c>
      <c r="J1447" s="2" t="s">
        <v>75</v>
      </c>
      <c r="K1447" s="4">
        <v>46259.243750000001</v>
      </c>
      <c r="L1447" s="2" t="s">
        <v>24</v>
      </c>
      <c r="M1447" s="2">
        <v>4</v>
      </c>
      <c r="N1447" t="s">
        <v>8589</v>
      </c>
      <c r="O1447" s="8">
        <f t="shared" si="44"/>
        <v>17.399999999965075</v>
      </c>
      <c r="P1447" t="str">
        <f t="shared" si="45"/>
        <v>N/A</v>
      </c>
    </row>
    <row r="1448" spans="1:16" x14ac:dyDescent="0.25">
      <c r="A1448" s="2" t="s">
        <v>3956</v>
      </c>
      <c r="B1448" s="4">
        <v>46134.112500000003</v>
      </c>
      <c r="C1448" s="2" t="s">
        <v>67</v>
      </c>
      <c r="D1448" s="2" t="s">
        <v>68</v>
      </c>
      <c r="E1448" s="2" t="s">
        <v>90</v>
      </c>
      <c r="F1448" s="2" t="s">
        <v>55</v>
      </c>
      <c r="G1448" s="2" t="s">
        <v>101</v>
      </c>
      <c r="H1448" s="2" t="s">
        <v>32</v>
      </c>
      <c r="I1448" s="2">
        <v>48</v>
      </c>
      <c r="J1448" s="2" t="s">
        <v>106</v>
      </c>
      <c r="K1448" s="4">
        <v>46134.605555555558</v>
      </c>
      <c r="L1448" s="2" t="s">
        <v>24</v>
      </c>
      <c r="M1448" s="2">
        <v>2</v>
      </c>
      <c r="N1448" t="s">
        <v>8586</v>
      </c>
      <c r="O1448" s="8">
        <f t="shared" si="44"/>
        <v>11.833333333313931</v>
      </c>
      <c r="P1448" t="str">
        <f t="shared" si="45"/>
        <v>Yes</v>
      </c>
    </row>
    <row r="1449" spans="1:16" x14ac:dyDescent="0.25">
      <c r="A1449" s="2" t="s">
        <v>3959</v>
      </c>
      <c r="B1449" s="4">
        <v>46087.54583333333</v>
      </c>
      <c r="C1449" s="2" t="s">
        <v>53</v>
      </c>
      <c r="D1449" s="2" t="s">
        <v>54</v>
      </c>
      <c r="E1449" s="2" t="s">
        <v>85</v>
      </c>
      <c r="F1449" s="2" t="s">
        <v>30</v>
      </c>
      <c r="G1449" s="2" t="s">
        <v>110</v>
      </c>
      <c r="H1449" s="2" t="s">
        <v>74</v>
      </c>
      <c r="I1449" s="2">
        <v>8</v>
      </c>
      <c r="J1449" s="2" t="s">
        <v>11</v>
      </c>
      <c r="K1449" s="4" t="s">
        <v>8590</v>
      </c>
      <c r="L1449" s="2" t="s">
        <v>92</v>
      </c>
      <c r="M1449" s="2"/>
      <c r="N1449" t="s">
        <v>8588</v>
      </c>
      <c r="O1449" s="8" t="str">
        <f t="shared" si="44"/>
        <v/>
      </c>
      <c r="P1449" t="str">
        <f t="shared" si="45"/>
        <v>N/A</v>
      </c>
    </row>
    <row r="1450" spans="1:16" x14ac:dyDescent="0.25">
      <c r="A1450" s="2" t="s">
        <v>3961</v>
      </c>
      <c r="B1450" s="4">
        <v>46121.319444444445</v>
      </c>
      <c r="C1450" s="2" t="s">
        <v>53</v>
      </c>
      <c r="D1450" s="2" t="s">
        <v>54</v>
      </c>
      <c r="E1450" s="2" t="s">
        <v>38</v>
      </c>
      <c r="F1450" s="2" t="s">
        <v>113</v>
      </c>
      <c r="G1450" s="2" t="s">
        <v>179</v>
      </c>
      <c r="H1450" s="2" t="s">
        <v>21</v>
      </c>
      <c r="I1450" s="2">
        <v>24</v>
      </c>
      <c r="J1450" s="2" t="s">
        <v>287</v>
      </c>
      <c r="K1450" s="4" t="s">
        <v>8590</v>
      </c>
      <c r="L1450" s="2" t="s">
        <v>24</v>
      </c>
      <c r="M1450" s="2"/>
      <c r="N1450" t="s">
        <v>8586</v>
      </c>
      <c r="O1450" s="8" t="str">
        <f t="shared" si="44"/>
        <v/>
      </c>
      <c r="P1450" t="str">
        <f t="shared" si="45"/>
        <v>N/A</v>
      </c>
    </row>
    <row r="1451" spans="1:16" x14ac:dyDescent="0.25">
      <c r="A1451" s="2" t="s">
        <v>3963</v>
      </c>
      <c r="B1451" s="4">
        <v>46168.26458333333</v>
      </c>
      <c r="C1451" s="2" t="s">
        <v>28</v>
      </c>
      <c r="D1451" s="2" t="s">
        <v>100</v>
      </c>
      <c r="E1451" s="2" t="s">
        <v>148</v>
      </c>
      <c r="F1451" s="2" t="s">
        <v>55</v>
      </c>
      <c r="G1451" s="2" t="s">
        <v>101</v>
      </c>
      <c r="H1451" s="2" t="s">
        <v>32</v>
      </c>
      <c r="I1451" s="2">
        <v>48</v>
      </c>
      <c r="J1451" s="2" t="s">
        <v>11</v>
      </c>
      <c r="K1451" s="4" t="s">
        <v>8590</v>
      </c>
      <c r="L1451" s="2" t="s">
        <v>92</v>
      </c>
      <c r="M1451" s="2"/>
      <c r="N1451" t="s">
        <v>8587</v>
      </c>
      <c r="O1451" s="8" t="str">
        <f t="shared" si="44"/>
        <v/>
      </c>
      <c r="P1451" t="str">
        <f t="shared" si="45"/>
        <v>N/A</v>
      </c>
    </row>
    <row r="1452" spans="1:16" x14ac:dyDescent="0.25">
      <c r="A1452" s="2" t="s">
        <v>3965</v>
      </c>
      <c r="B1452" s="4">
        <v>46192.799305555556</v>
      </c>
      <c r="C1452" s="2" t="s">
        <v>28</v>
      </c>
      <c r="D1452" s="2" t="s">
        <v>37</v>
      </c>
      <c r="E1452" s="2" t="s">
        <v>79</v>
      </c>
      <c r="F1452" s="2" t="s">
        <v>96</v>
      </c>
      <c r="G1452" s="2" t="s">
        <v>211</v>
      </c>
      <c r="H1452" s="2" t="s">
        <v>32</v>
      </c>
      <c r="I1452" s="2">
        <v>48</v>
      </c>
      <c r="J1452" s="2" t="s">
        <v>75</v>
      </c>
      <c r="K1452" s="4">
        <v>46194.567361111112</v>
      </c>
      <c r="L1452" s="2" t="s">
        <v>92</v>
      </c>
      <c r="M1452" s="2">
        <v>2</v>
      </c>
      <c r="N1452" t="s">
        <v>8586</v>
      </c>
      <c r="O1452" s="8">
        <f t="shared" si="44"/>
        <v>42.433333333348855</v>
      </c>
      <c r="P1452" t="str">
        <f t="shared" si="45"/>
        <v>N/A</v>
      </c>
    </row>
    <row r="1453" spans="1:16" x14ac:dyDescent="0.25">
      <c r="A1453" s="2" t="s">
        <v>3968</v>
      </c>
      <c r="B1453" s="4">
        <v>46177.012499999997</v>
      </c>
      <c r="C1453" s="2" t="s">
        <v>28</v>
      </c>
      <c r="D1453" s="2" t="s">
        <v>37</v>
      </c>
      <c r="E1453" s="2" t="s">
        <v>18</v>
      </c>
      <c r="F1453" s="2" t="s">
        <v>55</v>
      </c>
      <c r="G1453" s="2" t="s">
        <v>110</v>
      </c>
      <c r="H1453" s="2" t="s">
        <v>21</v>
      </c>
      <c r="I1453" s="2">
        <v>24</v>
      </c>
      <c r="J1453" s="2" t="s">
        <v>75</v>
      </c>
      <c r="K1453" s="4">
        <v>46177.202777777777</v>
      </c>
      <c r="L1453" s="2" t="s">
        <v>24</v>
      </c>
      <c r="M1453" s="2"/>
      <c r="N1453" t="s">
        <v>8584</v>
      </c>
      <c r="O1453" s="8">
        <f t="shared" si="44"/>
        <v>4.5666666667093523</v>
      </c>
      <c r="P1453" t="str">
        <f t="shared" si="45"/>
        <v>N/A</v>
      </c>
    </row>
    <row r="1454" spans="1:16" x14ac:dyDescent="0.25">
      <c r="A1454" s="2" t="s">
        <v>3971</v>
      </c>
      <c r="B1454" s="4">
        <v>46093.741666666669</v>
      </c>
      <c r="C1454" s="2" t="s">
        <v>67</v>
      </c>
      <c r="D1454" s="2" t="s">
        <v>68</v>
      </c>
      <c r="E1454" s="2" t="s">
        <v>38</v>
      </c>
      <c r="F1454" s="2" t="s">
        <v>113</v>
      </c>
      <c r="G1454" s="2" t="s">
        <v>183</v>
      </c>
      <c r="H1454" s="2" t="s">
        <v>74</v>
      </c>
      <c r="I1454" s="2">
        <v>8</v>
      </c>
      <c r="J1454" s="2" t="s">
        <v>106</v>
      </c>
      <c r="K1454" s="4">
        <v>46094.699305555558</v>
      </c>
      <c r="L1454" s="2" t="s">
        <v>24</v>
      </c>
      <c r="M1454" s="2"/>
      <c r="N1454" t="s">
        <v>8589</v>
      </c>
      <c r="O1454" s="8">
        <f t="shared" si="44"/>
        <v>22.983333333337214</v>
      </c>
      <c r="P1454" t="str">
        <f t="shared" si="45"/>
        <v>No</v>
      </c>
    </row>
    <row r="1455" spans="1:16" x14ac:dyDescent="0.25">
      <c r="A1455" s="2" t="s">
        <v>3974</v>
      </c>
      <c r="B1455" s="4">
        <v>46113.112500000003</v>
      </c>
      <c r="C1455" s="2" t="s">
        <v>67</v>
      </c>
      <c r="D1455" s="2" t="s">
        <v>68</v>
      </c>
      <c r="E1455" s="2" t="s">
        <v>148</v>
      </c>
      <c r="F1455" s="2" t="s">
        <v>96</v>
      </c>
      <c r="G1455" s="2" t="s">
        <v>110</v>
      </c>
      <c r="H1455" s="2" t="s">
        <v>32</v>
      </c>
      <c r="I1455" s="2">
        <v>48</v>
      </c>
      <c r="J1455" s="2" t="s">
        <v>11</v>
      </c>
      <c r="K1455" s="4" t="s">
        <v>8590</v>
      </c>
      <c r="L1455" s="2" t="s">
        <v>92</v>
      </c>
      <c r="M1455" s="2"/>
      <c r="N1455" t="s">
        <v>8584</v>
      </c>
      <c r="O1455" s="8" t="str">
        <f t="shared" si="44"/>
        <v/>
      </c>
      <c r="P1455" t="str">
        <f t="shared" si="45"/>
        <v>N/A</v>
      </c>
    </row>
    <row r="1456" spans="1:16" x14ac:dyDescent="0.25">
      <c r="A1456" s="2" t="s">
        <v>3976</v>
      </c>
      <c r="B1456" s="4">
        <v>46058.118750000001</v>
      </c>
      <c r="C1456" s="2" t="s">
        <v>67</v>
      </c>
      <c r="D1456" s="2" t="s">
        <v>68</v>
      </c>
      <c r="E1456" s="2" t="s">
        <v>46</v>
      </c>
      <c r="F1456" s="2" t="s">
        <v>55</v>
      </c>
      <c r="G1456" s="2" t="s">
        <v>110</v>
      </c>
      <c r="H1456" s="2" t="s">
        <v>21</v>
      </c>
      <c r="I1456" s="2">
        <v>24</v>
      </c>
      <c r="J1456" s="2" t="s">
        <v>287</v>
      </c>
      <c r="K1456" s="4" t="s">
        <v>8590</v>
      </c>
      <c r="L1456" s="2" t="s">
        <v>24</v>
      </c>
      <c r="M1456" s="2"/>
      <c r="N1456" t="s">
        <v>8589</v>
      </c>
      <c r="O1456" s="8" t="str">
        <f t="shared" si="44"/>
        <v/>
      </c>
      <c r="P1456" t="str">
        <f t="shared" si="45"/>
        <v>N/A</v>
      </c>
    </row>
    <row r="1457" spans="1:16" x14ac:dyDescent="0.25">
      <c r="A1457" s="2" t="s">
        <v>3978</v>
      </c>
      <c r="B1457" s="4">
        <v>46252.104166666664</v>
      </c>
      <c r="C1457" s="2" t="s">
        <v>28</v>
      </c>
      <c r="D1457" s="2" t="s">
        <v>37</v>
      </c>
      <c r="E1457" s="2" t="s">
        <v>38</v>
      </c>
      <c r="F1457" s="2" t="s">
        <v>96</v>
      </c>
      <c r="G1457" s="2" t="s">
        <v>110</v>
      </c>
      <c r="H1457" s="2" t="s">
        <v>32</v>
      </c>
      <c r="I1457" s="2">
        <v>48</v>
      </c>
      <c r="J1457" s="2" t="s">
        <v>149</v>
      </c>
      <c r="K1457" s="4" t="s">
        <v>8590</v>
      </c>
      <c r="L1457" s="2" t="s">
        <v>24</v>
      </c>
      <c r="M1457" s="2"/>
      <c r="N1457" t="s">
        <v>8585</v>
      </c>
      <c r="O1457" s="8" t="str">
        <f t="shared" si="44"/>
        <v/>
      </c>
      <c r="P1457" t="str">
        <f t="shared" si="45"/>
        <v>N/A</v>
      </c>
    </row>
    <row r="1458" spans="1:16" x14ac:dyDescent="0.25">
      <c r="A1458" s="2" t="s">
        <v>3980</v>
      </c>
      <c r="B1458" s="4">
        <v>46123.022222222222</v>
      </c>
      <c r="C1458" s="2" t="s">
        <v>67</v>
      </c>
      <c r="D1458" s="2" t="s">
        <v>95</v>
      </c>
      <c r="E1458" s="2" t="s">
        <v>38</v>
      </c>
      <c r="F1458" s="2" t="s">
        <v>96</v>
      </c>
      <c r="G1458" s="2" t="s">
        <v>101</v>
      </c>
      <c r="H1458" s="2" t="s">
        <v>21</v>
      </c>
      <c r="I1458" s="2">
        <v>24</v>
      </c>
      <c r="J1458" s="2" t="s">
        <v>8580</v>
      </c>
      <c r="K1458" s="4">
        <v>46123.602777777778</v>
      </c>
      <c r="L1458" s="2" t="s">
        <v>24</v>
      </c>
      <c r="M1458" s="2"/>
      <c r="N1458" t="s">
        <v>8589</v>
      </c>
      <c r="O1458" s="8">
        <f t="shared" si="44"/>
        <v>13.933333333348855</v>
      </c>
      <c r="P1458" t="str">
        <f t="shared" si="45"/>
        <v>N/A</v>
      </c>
    </row>
    <row r="1459" spans="1:16" x14ac:dyDescent="0.25">
      <c r="A1459" s="2" t="s">
        <v>3983</v>
      </c>
      <c r="B1459" s="4">
        <v>46153.125</v>
      </c>
      <c r="C1459" s="2" t="s">
        <v>53</v>
      </c>
      <c r="D1459" s="2" t="s">
        <v>54</v>
      </c>
      <c r="E1459" s="2" t="s">
        <v>79</v>
      </c>
      <c r="F1459" s="2" t="s">
        <v>30</v>
      </c>
      <c r="G1459" s="2" t="s">
        <v>101</v>
      </c>
      <c r="H1459" s="2" t="s">
        <v>32</v>
      </c>
      <c r="I1459" s="2">
        <v>48</v>
      </c>
      <c r="J1459" s="2" t="s">
        <v>11</v>
      </c>
      <c r="K1459" s="4" t="s">
        <v>8590</v>
      </c>
      <c r="L1459" s="2" t="s">
        <v>92</v>
      </c>
      <c r="M1459" s="2"/>
      <c r="N1459" t="s">
        <v>8582</v>
      </c>
      <c r="O1459" s="8" t="str">
        <f t="shared" si="44"/>
        <v/>
      </c>
      <c r="P1459" t="str">
        <f t="shared" si="45"/>
        <v>N/A</v>
      </c>
    </row>
    <row r="1460" spans="1:16" x14ac:dyDescent="0.25">
      <c r="A1460" s="2" t="s">
        <v>3985</v>
      </c>
      <c r="B1460" s="4">
        <v>46173.183333333334</v>
      </c>
      <c r="C1460" s="2" t="s">
        <v>16</v>
      </c>
      <c r="D1460" s="2" t="s">
        <v>17</v>
      </c>
      <c r="E1460" s="2" t="s">
        <v>38</v>
      </c>
      <c r="F1460" s="2" t="s">
        <v>55</v>
      </c>
      <c r="G1460" s="2" t="s">
        <v>31</v>
      </c>
      <c r="H1460" s="2" t="s">
        <v>74</v>
      </c>
      <c r="I1460" s="2">
        <v>8</v>
      </c>
      <c r="J1460" s="2" t="s">
        <v>75</v>
      </c>
      <c r="K1460" s="4">
        <v>46173.904861111114</v>
      </c>
      <c r="L1460" s="2" t="s">
        <v>24</v>
      </c>
      <c r="M1460" s="2">
        <v>5</v>
      </c>
      <c r="N1460" t="s">
        <v>8588</v>
      </c>
      <c r="O1460" s="8">
        <f t="shared" si="44"/>
        <v>17.316666666709352</v>
      </c>
      <c r="P1460" t="str">
        <f t="shared" si="45"/>
        <v>N/A</v>
      </c>
    </row>
    <row r="1461" spans="1:16" x14ac:dyDescent="0.25">
      <c r="A1461" s="2" t="s">
        <v>3988</v>
      </c>
      <c r="B1461" s="4">
        <v>46146.552083333336</v>
      </c>
      <c r="C1461" s="2" t="s">
        <v>53</v>
      </c>
      <c r="D1461" s="2" t="s">
        <v>61</v>
      </c>
      <c r="E1461" s="2" t="s">
        <v>38</v>
      </c>
      <c r="F1461" s="2" t="s">
        <v>96</v>
      </c>
      <c r="G1461" s="2" t="s">
        <v>211</v>
      </c>
      <c r="H1461" s="2" t="s">
        <v>21</v>
      </c>
      <c r="I1461" s="2">
        <v>24</v>
      </c>
      <c r="J1461" s="2" t="s">
        <v>287</v>
      </c>
      <c r="K1461" s="4" t="s">
        <v>8590</v>
      </c>
      <c r="L1461" s="2" t="s">
        <v>24</v>
      </c>
      <c r="M1461" s="2"/>
      <c r="N1461" t="s">
        <v>8589</v>
      </c>
      <c r="O1461" s="8" t="str">
        <f t="shared" si="44"/>
        <v/>
      </c>
      <c r="P1461" t="str">
        <f t="shared" si="45"/>
        <v>N/A</v>
      </c>
    </row>
    <row r="1462" spans="1:16" x14ac:dyDescent="0.25">
      <c r="A1462" s="2" t="s">
        <v>3990</v>
      </c>
      <c r="B1462" s="4">
        <v>46067.395138888889</v>
      </c>
      <c r="C1462" s="2" t="s">
        <v>67</v>
      </c>
      <c r="D1462" s="2" t="s">
        <v>95</v>
      </c>
      <c r="E1462" s="2" t="s">
        <v>46</v>
      </c>
      <c r="F1462" s="2" t="s">
        <v>113</v>
      </c>
      <c r="G1462" s="2" t="s">
        <v>101</v>
      </c>
      <c r="H1462" s="2" t="s">
        <v>74</v>
      </c>
      <c r="I1462" s="2">
        <v>8</v>
      </c>
      <c r="J1462" s="2" t="s">
        <v>106</v>
      </c>
      <c r="K1462" s="4">
        <v>46067.51458333333</v>
      </c>
      <c r="L1462" s="2" t="s">
        <v>24</v>
      </c>
      <c r="M1462" s="2">
        <v>4</v>
      </c>
      <c r="N1462" t="s">
        <v>8588</v>
      </c>
      <c r="O1462" s="8">
        <f t="shared" si="44"/>
        <v>2.8666666665812954</v>
      </c>
      <c r="P1462" t="str">
        <f t="shared" si="45"/>
        <v>Yes</v>
      </c>
    </row>
    <row r="1463" spans="1:16" x14ac:dyDescent="0.25">
      <c r="A1463" s="2" t="s">
        <v>3993</v>
      </c>
      <c r="B1463" s="4">
        <v>46027.23541666667</v>
      </c>
      <c r="C1463" s="2" t="s">
        <v>67</v>
      </c>
      <c r="D1463" s="2" t="s">
        <v>95</v>
      </c>
      <c r="E1463" s="2" t="s">
        <v>90</v>
      </c>
      <c r="F1463" s="2" t="s">
        <v>55</v>
      </c>
      <c r="G1463" s="2" t="s">
        <v>211</v>
      </c>
      <c r="H1463" s="2" t="s">
        <v>21</v>
      </c>
      <c r="I1463" s="2">
        <v>24</v>
      </c>
      <c r="J1463" s="2" t="s">
        <v>11</v>
      </c>
      <c r="K1463" s="4" t="s">
        <v>8590</v>
      </c>
      <c r="L1463" s="2" t="s">
        <v>92</v>
      </c>
      <c r="M1463" s="2"/>
      <c r="N1463" t="s">
        <v>8589</v>
      </c>
      <c r="O1463" s="8" t="str">
        <f t="shared" si="44"/>
        <v/>
      </c>
      <c r="P1463" t="str">
        <f t="shared" si="45"/>
        <v>N/A</v>
      </c>
    </row>
    <row r="1464" spans="1:16" x14ac:dyDescent="0.25">
      <c r="A1464" s="2" t="s">
        <v>3995</v>
      </c>
      <c r="B1464" s="4">
        <v>46183.531944444447</v>
      </c>
      <c r="C1464" s="2" t="s">
        <v>16</v>
      </c>
      <c r="D1464" s="2" t="s">
        <v>17</v>
      </c>
      <c r="E1464" s="2" t="s">
        <v>148</v>
      </c>
      <c r="F1464" s="2" t="s">
        <v>96</v>
      </c>
      <c r="G1464" s="2" t="s">
        <v>31</v>
      </c>
      <c r="H1464" s="2" t="s">
        <v>74</v>
      </c>
      <c r="I1464" s="2">
        <v>8</v>
      </c>
      <c r="J1464" s="2" t="s">
        <v>106</v>
      </c>
      <c r="K1464" s="4">
        <v>46183.740277777775</v>
      </c>
      <c r="L1464" s="2" t="s">
        <v>24</v>
      </c>
      <c r="M1464" s="2">
        <v>5</v>
      </c>
      <c r="N1464" t="s">
        <v>8587</v>
      </c>
      <c r="O1464" s="8">
        <f t="shared" si="44"/>
        <v>4.9999999998835847</v>
      </c>
      <c r="P1464" t="str">
        <f t="shared" si="45"/>
        <v>Yes</v>
      </c>
    </row>
    <row r="1465" spans="1:16" x14ac:dyDescent="0.25">
      <c r="A1465" s="2" t="s">
        <v>3998</v>
      </c>
      <c r="B1465" s="4">
        <v>46070.326388888891</v>
      </c>
      <c r="C1465" s="2" t="s">
        <v>53</v>
      </c>
      <c r="D1465" s="2" t="s">
        <v>61</v>
      </c>
      <c r="E1465" s="2" t="s">
        <v>148</v>
      </c>
      <c r="F1465" s="2" t="s">
        <v>55</v>
      </c>
      <c r="G1465" s="2" t="s">
        <v>179</v>
      </c>
      <c r="H1465" s="2" t="s">
        <v>74</v>
      </c>
      <c r="I1465" s="2">
        <v>8</v>
      </c>
      <c r="J1465" s="2" t="s">
        <v>106</v>
      </c>
      <c r="K1465" s="4">
        <v>46070.545138888891</v>
      </c>
      <c r="L1465" s="2" t="s">
        <v>24</v>
      </c>
      <c r="M1465" s="2"/>
      <c r="N1465" t="s">
        <v>8589</v>
      </c>
      <c r="O1465" s="8">
        <f t="shared" si="44"/>
        <v>5.25</v>
      </c>
      <c r="P1465" t="str">
        <f t="shared" si="45"/>
        <v>Yes</v>
      </c>
    </row>
    <row r="1466" spans="1:16" x14ac:dyDescent="0.25">
      <c r="A1466" s="2" t="s">
        <v>4001</v>
      </c>
      <c r="B1466" s="4">
        <v>46049.868055555555</v>
      </c>
      <c r="C1466" s="2" t="s">
        <v>53</v>
      </c>
      <c r="D1466" s="2" t="s">
        <v>54</v>
      </c>
      <c r="E1466" s="2" t="s">
        <v>85</v>
      </c>
      <c r="F1466" s="2" t="s">
        <v>113</v>
      </c>
      <c r="G1466" s="2" t="s">
        <v>101</v>
      </c>
      <c r="H1466" s="2" t="s">
        <v>32</v>
      </c>
      <c r="I1466" s="2">
        <v>48</v>
      </c>
      <c r="J1466" s="2" t="s">
        <v>149</v>
      </c>
      <c r="K1466" s="4" t="s">
        <v>8590</v>
      </c>
      <c r="L1466" s="2" t="s">
        <v>24</v>
      </c>
      <c r="M1466" s="2"/>
      <c r="N1466" t="s">
        <v>8582</v>
      </c>
      <c r="O1466" s="8" t="str">
        <f t="shared" si="44"/>
        <v/>
      </c>
      <c r="P1466" t="str">
        <f t="shared" si="45"/>
        <v>N/A</v>
      </c>
    </row>
    <row r="1467" spans="1:16" x14ac:dyDescent="0.25">
      <c r="A1467" s="2" t="s">
        <v>4003</v>
      </c>
      <c r="B1467" s="4">
        <v>46258.90347222222</v>
      </c>
      <c r="C1467" s="2" t="s">
        <v>53</v>
      </c>
      <c r="D1467" s="2" t="s">
        <v>54</v>
      </c>
      <c r="E1467" s="2" t="s">
        <v>79</v>
      </c>
      <c r="F1467" s="2" t="s">
        <v>55</v>
      </c>
      <c r="G1467" s="2" t="s">
        <v>110</v>
      </c>
      <c r="H1467" s="2" t="s">
        <v>21</v>
      </c>
      <c r="I1467" s="2">
        <v>24</v>
      </c>
      <c r="J1467" s="2" t="s">
        <v>75</v>
      </c>
      <c r="K1467" s="4">
        <v>46259.010416666664</v>
      </c>
      <c r="L1467" s="2" t="s">
        <v>24</v>
      </c>
      <c r="M1467" s="2">
        <v>5</v>
      </c>
      <c r="N1467" t="s">
        <v>8583</v>
      </c>
      <c r="O1467" s="8">
        <f t="shared" si="44"/>
        <v>2.5666666666511446</v>
      </c>
      <c r="P1467" t="str">
        <f t="shared" si="45"/>
        <v>N/A</v>
      </c>
    </row>
    <row r="1468" spans="1:16" x14ac:dyDescent="0.25">
      <c r="A1468" s="2" t="s">
        <v>4006</v>
      </c>
      <c r="B1468" s="4">
        <v>46118.40902777778</v>
      </c>
      <c r="C1468" s="2" t="s">
        <v>28</v>
      </c>
      <c r="D1468" s="2" t="s">
        <v>100</v>
      </c>
      <c r="E1468" s="2" t="s">
        <v>85</v>
      </c>
      <c r="F1468" s="2" t="s">
        <v>96</v>
      </c>
      <c r="G1468" s="2" t="s">
        <v>179</v>
      </c>
      <c r="H1468" s="2" t="s">
        <v>32</v>
      </c>
      <c r="I1468" s="2">
        <v>48</v>
      </c>
      <c r="J1468" s="2" t="s">
        <v>11</v>
      </c>
      <c r="K1468" s="4" t="s">
        <v>8590</v>
      </c>
      <c r="L1468" s="2" t="s">
        <v>92</v>
      </c>
      <c r="M1468" s="2"/>
      <c r="N1468" t="s">
        <v>8582</v>
      </c>
      <c r="O1468" s="8" t="str">
        <f t="shared" si="44"/>
        <v/>
      </c>
      <c r="P1468" t="str">
        <f t="shared" si="45"/>
        <v>N/A</v>
      </c>
    </row>
    <row r="1469" spans="1:16" x14ac:dyDescent="0.25">
      <c r="A1469" s="2" t="s">
        <v>4008</v>
      </c>
      <c r="B1469" s="4">
        <v>46264.706944444442</v>
      </c>
      <c r="C1469" s="2" t="s">
        <v>67</v>
      </c>
      <c r="D1469" s="2" t="s">
        <v>68</v>
      </c>
      <c r="E1469" s="2" t="s">
        <v>85</v>
      </c>
      <c r="F1469" s="2" t="s">
        <v>96</v>
      </c>
      <c r="G1469" s="2" t="s">
        <v>110</v>
      </c>
      <c r="H1469" s="2" t="s">
        <v>32</v>
      </c>
      <c r="I1469" s="2">
        <v>48</v>
      </c>
      <c r="J1469" s="2" t="s">
        <v>106</v>
      </c>
      <c r="K1469" s="4">
        <v>46269.804861111108</v>
      </c>
      <c r="L1469" s="2" t="s">
        <v>24</v>
      </c>
      <c r="M1469" s="2">
        <v>5</v>
      </c>
      <c r="N1469" t="s">
        <v>8584</v>
      </c>
      <c r="O1469" s="8">
        <f t="shared" si="44"/>
        <v>122.34999999997672</v>
      </c>
      <c r="P1469" t="str">
        <f t="shared" si="45"/>
        <v>No</v>
      </c>
    </row>
    <row r="1470" spans="1:16" x14ac:dyDescent="0.25">
      <c r="A1470" s="2" t="s">
        <v>4011</v>
      </c>
      <c r="B1470" s="4">
        <v>46202.729861111111</v>
      </c>
      <c r="C1470" s="2" t="s">
        <v>67</v>
      </c>
      <c r="D1470" s="2" t="s">
        <v>68</v>
      </c>
      <c r="E1470" s="2" t="s">
        <v>148</v>
      </c>
      <c r="F1470" s="2" t="s">
        <v>30</v>
      </c>
      <c r="G1470" s="2" t="s">
        <v>179</v>
      </c>
      <c r="H1470" s="2" t="s">
        <v>21</v>
      </c>
      <c r="I1470" s="2">
        <v>24</v>
      </c>
      <c r="J1470" s="2" t="s">
        <v>106</v>
      </c>
      <c r="K1470" s="4" t="s">
        <v>8590</v>
      </c>
      <c r="L1470" s="2" t="s">
        <v>24</v>
      </c>
      <c r="M1470" s="2"/>
      <c r="N1470" t="s">
        <v>8588</v>
      </c>
      <c r="O1470" s="8" t="str">
        <f t="shared" si="44"/>
        <v/>
      </c>
      <c r="P1470" t="str">
        <f t="shared" si="45"/>
        <v>No</v>
      </c>
    </row>
    <row r="1471" spans="1:16" x14ac:dyDescent="0.25">
      <c r="A1471" s="2" t="s">
        <v>4013</v>
      </c>
      <c r="B1471" s="4">
        <v>46191.125694444447</v>
      </c>
      <c r="C1471" s="2" t="s">
        <v>67</v>
      </c>
      <c r="D1471" s="2" t="s">
        <v>68</v>
      </c>
      <c r="E1471" s="2" t="s">
        <v>18</v>
      </c>
      <c r="F1471" s="2" t="s">
        <v>96</v>
      </c>
      <c r="G1471" s="2" t="s">
        <v>101</v>
      </c>
      <c r="H1471" s="2" t="s">
        <v>74</v>
      </c>
      <c r="I1471" s="2">
        <v>8</v>
      </c>
      <c r="J1471" s="2" t="s">
        <v>75</v>
      </c>
      <c r="K1471" s="4">
        <v>46191.23333333333</v>
      </c>
      <c r="L1471" s="2" t="s">
        <v>24</v>
      </c>
      <c r="M1471" s="2"/>
      <c r="N1471" t="s">
        <v>8584</v>
      </c>
      <c r="O1471" s="8">
        <f t="shared" si="44"/>
        <v>2.5833333331975155</v>
      </c>
      <c r="P1471" t="str">
        <f t="shared" si="45"/>
        <v>N/A</v>
      </c>
    </row>
    <row r="1472" spans="1:16" x14ac:dyDescent="0.25">
      <c r="A1472" s="2" t="s">
        <v>4016</v>
      </c>
      <c r="B1472" s="4">
        <v>46216.216666666667</v>
      </c>
      <c r="C1472" s="2" t="s">
        <v>53</v>
      </c>
      <c r="D1472" s="2" t="s">
        <v>54</v>
      </c>
      <c r="E1472" s="2" t="s">
        <v>38</v>
      </c>
      <c r="F1472" s="2" t="s">
        <v>30</v>
      </c>
      <c r="G1472" s="2" t="s">
        <v>179</v>
      </c>
      <c r="H1472" s="2" t="s">
        <v>32</v>
      </c>
      <c r="I1472" s="2">
        <v>48</v>
      </c>
      <c r="J1472" s="2" t="s">
        <v>106</v>
      </c>
      <c r="K1472" s="4">
        <v>46216.90625</v>
      </c>
      <c r="L1472" s="2" t="s">
        <v>24</v>
      </c>
      <c r="M1472" s="2"/>
      <c r="N1472" t="s">
        <v>8581</v>
      </c>
      <c r="O1472" s="8">
        <f t="shared" si="44"/>
        <v>16.549999999988358</v>
      </c>
      <c r="P1472" t="str">
        <f t="shared" si="45"/>
        <v>Yes</v>
      </c>
    </row>
    <row r="1473" spans="1:16" x14ac:dyDescent="0.25">
      <c r="A1473" s="2" t="s">
        <v>4019</v>
      </c>
      <c r="B1473" s="4">
        <v>46142.92291666667</v>
      </c>
      <c r="C1473" s="2" t="s">
        <v>28</v>
      </c>
      <c r="D1473" s="2" t="s">
        <v>100</v>
      </c>
      <c r="E1473" s="2" t="s">
        <v>148</v>
      </c>
      <c r="F1473" s="2" t="s">
        <v>96</v>
      </c>
      <c r="G1473" s="2" t="s">
        <v>211</v>
      </c>
      <c r="H1473" s="2" t="s">
        <v>80</v>
      </c>
      <c r="I1473" s="2">
        <v>4</v>
      </c>
      <c r="J1473" s="2" t="s">
        <v>11</v>
      </c>
      <c r="K1473" s="4" t="s">
        <v>8590</v>
      </c>
      <c r="L1473" s="2" t="s">
        <v>92</v>
      </c>
      <c r="M1473" s="2"/>
      <c r="N1473" t="s">
        <v>8588</v>
      </c>
      <c r="O1473" s="8" t="str">
        <f t="shared" si="44"/>
        <v/>
      </c>
      <c r="P1473" t="str">
        <f t="shared" si="45"/>
        <v>N/A</v>
      </c>
    </row>
    <row r="1474" spans="1:16" x14ac:dyDescent="0.25">
      <c r="A1474" s="2" t="s">
        <v>4021</v>
      </c>
      <c r="B1474" s="4">
        <v>46232.488888888889</v>
      </c>
      <c r="C1474" s="2" t="s">
        <v>67</v>
      </c>
      <c r="D1474" s="2" t="s">
        <v>95</v>
      </c>
      <c r="E1474" s="2" t="s">
        <v>46</v>
      </c>
      <c r="F1474" s="2" t="s">
        <v>96</v>
      </c>
      <c r="G1474" s="2" t="s">
        <v>110</v>
      </c>
      <c r="H1474" s="2" t="s">
        <v>32</v>
      </c>
      <c r="I1474" s="2">
        <v>48</v>
      </c>
      <c r="J1474" s="2" t="s">
        <v>106</v>
      </c>
      <c r="K1474" s="4">
        <v>46235.178472222222</v>
      </c>
      <c r="L1474" s="2" t="s">
        <v>24</v>
      </c>
      <c r="M1474" s="2"/>
      <c r="N1474" t="s">
        <v>8584</v>
      </c>
      <c r="O1474" s="8">
        <f t="shared" si="44"/>
        <v>64.549999999988358</v>
      </c>
      <c r="P1474" t="str">
        <f t="shared" si="45"/>
        <v>No</v>
      </c>
    </row>
    <row r="1475" spans="1:16" x14ac:dyDescent="0.25">
      <c r="A1475" s="2" t="s">
        <v>4024</v>
      </c>
      <c r="B1475" s="4">
        <v>46171.21875</v>
      </c>
      <c r="C1475" s="2" t="s">
        <v>53</v>
      </c>
      <c r="D1475" s="2" t="s">
        <v>61</v>
      </c>
      <c r="E1475" s="2" t="s">
        <v>79</v>
      </c>
      <c r="F1475" s="2" t="s">
        <v>113</v>
      </c>
      <c r="G1475" s="2" t="s">
        <v>211</v>
      </c>
      <c r="H1475" s="2" t="s">
        <v>32</v>
      </c>
      <c r="I1475" s="2">
        <v>48</v>
      </c>
      <c r="J1475" s="2" t="s">
        <v>106</v>
      </c>
      <c r="K1475" s="4">
        <v>46171.510416666664</v>
      </c>
      <c r="L1475" s="2" t="s">
        <v>24</v>
      </c>
      <c r="M1475" s="2">
        <v>4</v>
      </c>
      <c r="N1475" t="s">
        <v>8589</v>
      </c>
      <c r="O1475" s="8">
        <f t="shared" ref="O1475:O1538" si="46">IF(K1475="","",IF(K1475="Missing Resolve Date","",(K1475-B1475)*24))</f>
        <v>6.9999999999417923</v>
      </c>
      <c r="P1475" t="str">
        <f t="shared" ref="P1475:P1538" si="47">IF(J1475="Resolved",IF(O1475&lt;=I1475,"Yes","No"),"N/A")</f>
        <v>Yes</v>
      </c>
    </row>
    <row r="1476" spans="1:16" x14ac:dyDescent="0.25">
      <c r="A1476" s="2" t="s">
        <v>4027</v>
      </c>
      <c r="B1476" s="4">
        <v>46050.650694444441</v>
      </c>
      <c r="C1476" s="2" t="s">
        <v>28</v>
      </c>
      <c r="D1476" s="2" t="s">
        <v>100</v>
      </c>
      <c r="E1476" s="2" t="s">
        <v>38</v>
      </c>
      <c r="F1476" s="2" t="s">
        <v>113</v>
      </c>
      <c r="G1476" s="2" t="s">
        <v>183</v>
      </c>
      <c r="H1476" s="2" t="s">
        <v>21</v>
      </c>
      <c r="I1476" s="2">
        <v>24</v>
      </c>
      <c r="J1476" s="2" t="s">
        <v>75</v>
      </c>
      <c r="K1476" s="4">
        <v>46053.455555555556</v>
      </c>
      <c r="L1476" s="2" t="s">
        <v>24</v>
      </c>
      <c r="M1476" s="2"/>
      <c r="N1476" t="s">
        <v>8589</v>
      </c>
      <c r="O1476" s="8">
        <f t="shared" si="46"/>
        <v>67.31666666676756</v>
      </c>
      <c r="P1476" t="str">
        <f t="shared" si="47"/>
        <v>N/A</v>
      </c>
    </row>
    <row r="1477" spans="1:16" x14ac:dyDescent="0.25">
      <c r="A1477" s="2" t="s">
        <v>4030</v>
      </c>
      <c r="B1477" s="4">
        <v>46229.224305555559</v>
      </c>
      <c r="C1477" s="2" t="s">
        <v>16</v>
      </c>
      <c r="D1477" s="2" t="s">
        <v>84</v>
      </c>
      <c r="E1477" s="2" t="s">
        <v>46</v>
      </c>
      <c r="F1477" s="2" t="s">
        <v>113</v>
      </c>
      <c r="G1477" s="2" t="s">
        <v>183</v>
      </c>
      <c r="H1477" s="2" t="s">
        <v>32</v>
      </c>
      <c r="I1477" s="2">
        <v>48</v>
      </c>
      <c r="J1477" s="2" t="s">
        <v>106</v>
      </c>
      <c r="K1477" s="4">
        <v>46229.69027777778</v>
      </c>
      <c r="L1477" s="2" t="s">
        <v>24</v>
      </c>
      <c r="M1477" s="2">
        <v>1</v>
      </c>
      <c r="N1477" t="s">
        <v>8584</v>
      </c>
      <c r="O1477" s="8">
        <f t="shared" si="46"/>
        <v>11.183333333290648</v>
      </c>
      <c r="P1477" t="str">
        <f t="shared" si="47"/>
        <v>Yes</v>
      </c>
    </row>
    <row r="1478" spans="1:16" x14ac:dyDescent="0.25">
      <c r="A1478" s="2" t="s">
        <v>4033</v>
      </c>
      <c r="B1478" s="4">
        <v>46090.701388888891</v>
      </c>
      <c r="C1478" s="2" t="s">
        <v>67</v>
      </c>
      <c r="D1478" s="2" t="s">
        <v>95</v>
      </c>
      <c r="E1478" s="2" t="s">
        <v>148</v>
      </c>
      <c r="F1478" s="2" t="s">
        <v>30</v>
      </c>
      <c r="G1478" s="2" t="s">
        <v>183</v>
      </c>
      <c r="H1478" s="2" t="s">
        <v>21</v>
      </c>
      <c r="I1478" s="2">
        <v>24</v>
      </c>
      <c r="J1478" s="2" t="s">
        <v>149</v>
      </c>
      <c r="K1478" s="4" t="s">
        <v>8590</v>
      </c>
      <c r="L1478" s="2" t="s">
        <v>24</v>
      </c>
      <c r="M1478" s="2"/>
      <c r="N1478" t="s">
        <v>8582</v>
      </c>
      <c r="O1478" s="8" t="str">
        <f t="shared" si="46"/>
        <v/>
      </c>
      <c r="P1478" t="str">
        <f t="shared" si="47"/>
        <v>N/A</v>
      </c>
    </row>
    <row r="1479" spans="1:16" x14ac:dyDescent="0.25">
      <c r="A1479" s="2" t="s">
        <v>4035</v>
      </c>
      <c r="B1479" s="4">
        <v>46140.290277777778</v>
      </c>
      <c r="C1479" s="2" t="s">
        <v>67</v>
      </c>
      <c r="D1479" s="2" t="s">
        <v>95</v>
      </c>
      <c r="E1479" s="2" t="s">
        <v>148</v>
      </c>
      <c r="F1479" s="2" t="s">
        <v>96</v>
      </c>
      <c r="G1479" s="2" t="s">
        <v>183</v>
      </c>
      <c r="H1479" s="2" t="s">
        <v>32</v>
      </c>
      <c r="I1479" s="2">
        <v>48</v>
      </c>
      <c r="J1479" s="2" t="s">
        <v>11</v>
      </c>
      <c r="K1479" s="4" t="s">
        <v>8590</v>
      </c>
      <c r="L1479" s="2" t="s">
        <v>92</v>
      </c>
      <c r="M1479" s="2"/>
      <c r="N1479" t="s">
        <v>8585</v>
      </c>
      <c r="O1479" s="8" t="str">
        <f t="shared" si="46"/>
        <v/>
      </c>
      <c r="P1479" t="str">
        <f t="shared" si="47"/>
        <v>N/A</v>
      </c>
    </row>
    <row r="1480" spans="1:16" x14ac:dyDescent="0.25">
      <c r="A1480" s="2" t="s">
        <v>4037</v>
      </c>
      <c r="B1480" s="4">
        <v>46128.786111111112</v>
      </c>
      <c r="C1480" s="2" t="s">
        <v>67</v>
      </c>
      <c r="D1480" s="2" t="s">
        <v>95</v>
      </c>
      <c r="E1480" s="2" t="s">
        <v>148</v>
      </c>
      <c r="F1480" s="2" t="s">
        <v>96</v>
      </c>
      <c r="G1480" s="2" t="s">
        <v>31</v>
      </c>
      <c r="H1480" s="2" t="s">
        <v>32</v>
      </c>
      <c r="I1480" s="2">
        <v>48</v>
      </c>
      <c r="J1480" s="2" t="s">
        <v>106</v>
      </c>
      <c r="K1480" s="4">
        <v>46130.359027777777</v>
      </c>
      <c r="L1480" s="2" t="s">
        <v>92</v>
      </c>
      <c r="M1480" s="2">
        <v>2</v>
      </c>
      <c r="N1480" t="s">
        <v>8585</v>
      </c>
      <c r="O1480" s="8">
        <f t="shared" si="46"/>
        <v>37.749999999941792</v>
      </c>
      <c r="P1480" t="str">
        <f t="shared" si="47"/>
        <v>Yes</v>
      </c>
    </row>
    <row r="1481" spans="1:16" x14ac:dyDescent="0.25">
      <c r="A1481" s="2" t="s">
        <v>4040</v>
      </c>
      <c r="B1481" s="4">
        <v>46095.96597222222</v>
      </c>
      <c r="C1481" s="2" t="s">
        <v>16</v>
      </c>
      <c r="D1481" s="2" t="s">
        <v>17</v>
      </c>
      <c r="E1481" s="2" t="s">
        <v>79</v>
      </c>
      <c r="F1481" s="2" t="s">
        <v>113</v>
      </c>
      <c r="G1481" s="2" t="s">
        <v>110</v>
      </c>
      <c r="H1481" s="2" t="s">
        <v>74</v>
      </c>
      <c r="I1481" s="2">
        <v>8</v>
      </c>
      <c r="J1481" s="2" t="s">
        <v>106</v>
      </c>
      <c r="K1481" s="4">
        <v>46096.229166666664</v>
      </c>
      <c r="L1481" s="2" t="s">
        <v>92</v>
      </c>
      <c r="M1481" s="2">
        <v>2</v>
      </c>
      <c r="N1481" t="s">
        <v>8584</v>
      </c>
      <c r="O1481" s="8">
        <f t="shared" si="46"/>
        <v>6.3166666666511446</v>
      </c>
      <c r="P1481" t="str">
        <f t="shared" si="47"/>
        <v>Yes</v>
      </c>
    </row>
    <row r="1482" spans="1:16" x14ac:dyDescent="0.25">
      <c r="A1482" s="2" t="s">
        <v>4043</v>
      </c>
      <c r="B1482" s="4">
        <v>46030.626388888886</v>
      </c>
      <c r="C1482" s="2" t="s">
        <v>67</v>
      </c>
      <c r="D1482" s="2" t="s">
        <v>68</v>
      </c>
      <c r="E1482" s="2" t="s">
        <v>46</v>
      </c>
      <c r="F1482" s="2" t="s">
        <v>55</v>
      </c>
      <c r="G1482" s="2" t="s">
        <v>183</v>
      </c>
      <c r="H1482" s="2" t="s">
        <v>21</v>
      </c>
      <c r="I1482" s="2">
        <v>24</v>
      </c>
      <c r="J1482" s="2" t="s">
        <v>11</v>
      </c>
      <c r="K1482" s="4" t="s">
        <v>8590</v>
      </c>
      <c r="L1482" s="2" t="s">
        <v>92</v>
      </c>
      <c r="M1482" s="2"/>
      <c r="N1482" t="s">
        <v>8589</v>
      </c>
      <c r="O1482" s="8" t="str">
        <f t="shared" si="46"/>
        <v/>
      </c>
      <c r="P1482" t="str">
        <f t="shared" si="47"/>
        <v>N/A</v>
      </c>
    </row>
    <row r="1483" spans="1:16" x14ac:dyDescent="0.25">
      <c r="A1483" s="2" t="s">
        <v>4045</v>
      </c>
      <c r="B1483" s="4">
        <v>46243.122916666667</v>
      </c>
      <c r="C1483" s="2" t="s">
        <v>53</v>
      </c>
      <c r="D1483" s="2" t="s">
        <v>61</v>
      </c>
      <c r="E1483" s="2" t="s">
        <v>90</v>
      </c>
      <c r="F1483" s="2" t="s">
        <v>30</v>
      </c>
      <c r="G1483" s="2" t="s">
        <v>110</v>
      </c>
      <c r="H1483" s="2" t="s">
        <v>21</v>
      </c>
      <c r="I1483" s="2">
        <v>24</v>
      </c>
      <c r="J1483" s="2" t="s">
        <v>149</v>
      </c>
      <c r="K1483" s="4" t="s">
        <v>8590</v>
      </c>
      <c r="L1483" s="2" t="s">
        <v>24</v>
      </c>
      <c r="M1483" s="2"/>
      <c r="N1483" t="s">
        <v>8585</v>
      </c>
      <c r="O1483" s="8" t="str">
        <f t="shared" si="46"/>
        <v/>
      </c>
      <c r="P1483" t="str">
        <f t="shared" si="47"/>
        <v>N/A</v>
      </c>
    </row>
    <row r="1484" spans="1:16" x14ac:dyDescent="0.25">
      <c r="A1484" s="2" t="s">
        <v>4047</v>
      </c>
      <c r="B1484" s="4">
        <v>46033.692361111112</v>
      </c>
      <c r="C1484" s="2" t="s">
        <v>28</v>
      </c>
      <c r="D1484" s="2" t="s">
        <v>37</v>
      </c>
      <c r="E1484" s="2" t="s">
        <v>46</v>
      </c>
      <c r="F1484" s="2" t="s">
        <v>55</v>
      </c>
      <c r="G1484" s="2" t="s">
        <v>31</v>
      </c>
      <c r="H1484" s="2" t="s">
        <v>32</v>
      </c>
      <c r="I1484" s="2">
        <v>48</v>
      </c>
      <c r="J1484" s="2" t="s">
        <v>149</v>
      </c>
      <c r="K1484" s="4" t="s">
        <v>8590</v>
      </c>
      <c r="L1484" s="2" t="s">
        <v>24</v>
      </c>
      <c r="M1484" s="2"/>
      <c r="N1484" t="s">
        <v>8589</v>
      </c>
      <c r="O1484" s="8" t="str">
        <f t="shared" si="46"/>
        <v/>
      </c>
      <c r="P1484" t="str">
        <f t="shared" si="47"/>
        <v>N/A</v>
      </c>
    </row>
    <row r="1485" spans="1:16" x14ac:dyDescent="0.25">
      <c r="A1485" s="2" t="s">
        <v>4049</v>
      </c>
      <c r="B1485" s="4">
        <v>46227.529861111114</v>
      </c>
      <c r="C1485" s="2" t="s">
        <v>53</v>
      </c>
      <c r="D1485" s="2" t="s">
        <v>61</v>
      </c>
      <c r="E1485" s="2" t="s">
        <v>46</v>
      </c>
      <c r="F1485" s="2" t="s">
        <v>30</v>
      </c>
      <c r="G1485" s="2" t="s">
        <v>31</v>
      </c>
      <c r="H1485" s="2" t="s">
        <v>21</v>
      </c>
      <c r="I1485" s="2">
        <v>24</v>
      </c>
      <c r="J1485" s="2" t="s">
        <v>149</v>
      </c>
      <c r="K1485" s="4" t="s">
        <v>8590</v>
      </c>
      <c r="L1485" s="2" t="s">
        <v>24</v>
      </c>
      <c r="M1485" s="2"/>
      <c r="N1485" t="s">
        <v>8589</v>
      </c>
      <c r="O1485" s="8" t="str">
        <f t="shared" si="46"/>
        <v/>
      </c>
      <c r="P1485" t="str">
        <f t="shared" si="47"/>
        <v>N/A</v>
      </c>
    </row>
    <row r="1486" spans="1:16" x14ac:dyDescent="0.25">
      <c r="A1486" s="2" t="s">
        <v>4051</v>
      </c>
      <c r="B1486" s="4">
        <v>46227.011111111111</v>
      </c>
      <c r="C1486" s="2" t="s">
        <v>67</v>
      </c>
      <c r="D1486" s="2" t="s">
        <v>95</v>
      </c>
      <c r="E1486" s="2" t="s">
        <v>38</v>
      </c>
      <c r="F1486" s="2" t="s">
        <v>113</v>
      </c>
      <c r="G1486" s="2" t="s">
        <v>211</v>
      </c>
      <c r="H1486" s="2" t="s">
        <v>74</v>
      </c>
      <c r="I1486" s="2">
        <v>8</v>
      </c>
      <c r="J1486" s="2" t="s">
        <v>75</v>
      </c>
      <c r="K1486" s="4">
        <v>46227.137499999997</v>
      </c>
      <c r="L1486" s="2" t="s">
        <v>24</v>
      </c>
      <c r="M1486" s="2">
        <v>4</v>
      </c>
      <c r="N1486" t="s">
        <v>8586</v>
      </c>
      <c r="O1486" s="8">
        <f t="shared" si="46"/>
        <v>3.0333333332673647</v>
      </c>
      <c r="P1486" t="str">
        <f t="shared" si="47"/>
        <v>N/A</v>
      </c>
    </row>
    <row r="1487" spans="1:16" x14ac:dyDescent="0.25">
      <c r="A1487" s="2" t="s">
        <v>4054</v>
      </c>
      <c r="B1487" s="4">
        <v>46071.86041666667</v>
      </c>
      <c r="C1487" s="2" t="s">
        <v>53</v>
      </c>
      <c r="D1487" s="2" t="s">
        <v>61</v>
      </c>
      <c r="E1487" s="2" t="s">
        <v>46</v>
      </c>
      <c r="F1487" s="2" t="s">
        <v>96</v>
      </c>
      <c r="G1487" s="2" t="s">
        <v>183</v>
      </c>
      <c r="H1487" s="2" t="s">
        <v>21</v>
      </c>
      <c r="I1487" s="2">
        <v>24</v>
      </c>
      <c r="J1487" s="2" t="s">
        <v>75</v>
      </c>
      <c r="K1487" s="4">
        <v>46072.428472222222</v>
      </c>
      <c r="L1487" s="2" t="s">
        <v>24</v>
      </c>
      <c r="M1487" s="2">
        <v>2</v>
      </c>
      <c r="N1487" t="s">
        <v>8584</v>
      </c>
      <c r="O1487" s="8">
        <f t="shared" si="46"/>
        <v>13.633333333244082</v>
      </c>
      <c r="P1487" t="str">
        <f t="shared" si="47"/>
        <v>N/A</v>
      </c>
    </row>
    <row r="1488" spans="1:16" x14ac:dyDescent="0.25">
      <c r="A1488" s="2" t="s">
        <v>4057</v>
      </c>
      <c r="B1488" s="4">
        <v>46145.431944444441</v>
      </c>
      <c r="C1488" s="2" t="s">
        <v>16</v>
      </c>
      <c r="D1488" s="2" t="s">
        <v>17</v>
      </c>
      <c r="E1488" s="2" t="s">
        <v>18</v>
      </c>
      <c r="F1488" s="2" t="s">
        <v>55</v>
      </c>
      <c r="G1488" s="2" t="s">
        <v>101</v>
      </c>
      <c r="H1488" s="2" t="s">
        <v>21</v>
      </c>
      <c r="I1488" s="2">
        <v>24</v>
      </c>
      <c r="J1488" s="2" t="s">
        <v>149</v>
      </c>
      <c r="K1488" s="4" t="s">
        <v>8590</v>
      </c>
      <c r="L1488" s="2" t="s">
        <v>24</v>
      </c>
      <c r="M1488" s="2"/>
      <c r="N1488" t="s">
        <v>8588</v>
      </c>
      <c r="O1488" s="8" t="str">
        <f t="shared" si="46"/>
        <v/>
      </c>
      <c r="P1488" t="str">
        <f t="shared" si="47"/>
        <v>N/A</v>
      </c>
    </row>
    <row r="1489" spans="1:16" x14ac:dyDescent="0.25">
      <c r="A1489" s="2" t="s">
        <v>4059</v>
      </c>
      <c r="B1489" s="4">
        <v>46240.957638888889</v>
      </c>
      <c r="C1489" s="2" t="s">
        <v>53</v>
      </c>
      <c r="D1489" s="2" t="s">
        <v>54</v>
      </c>
      <c r="E1489" s="2" t="s">
        <v>38</v>
      </c>
      <c r="F1489" s="2" t="s">
        <v>96</v>
      </c>
      <c r="G1489" s="2" t="s">
        <v>101</v>
      </c>
      <c r="H1489" s="2" t="s">
        <v>74</v>
      </c>
      <c r="I1489" s="2">
        <v>8</v>
      </c>
      <c r="J1489" s="2" t="s">
        <v>106</v>
      </c>
      <c r="K1489" s="4">
        <v>46241.126388888886</v>
      </c>
      <c r="L1489" s="2" t="s">
        <v>24</v>
      </c>
      <c r="M1489" s="2">
        <v>3</v>
      </c>
      <c r="N1489" t="s">
        <v>8589</v>
      </c>
      <c r="O1489" s="8">
        <f t="shared" si="46"/>
        <v>4.0499999999301508</v>
      </c>
      <c r="P1489" t="str">
        <f t="shared" si="47"/>
        <v>Yes</v>
      </c>
    </row>
    <row r="1490" spans="1:16" x14ac:dyDescent="0.25">
      <c r="A1490" s="2" t="s">
        <v>4062</v>
      </c>
      <c r="B1490" s="4">
        <v>46171.25</v>
      </c>
      <c r="C1490" s="2" t="s">
        <v>53</v>
      </c>
      <c r="D1490" s="2" t="s">
        <v>54</v>
      </c>
      <c r="E1490" s="2" t="s">
        <v>148</v>
      </c>
      <c r="F1490" s="2" t="s">
        <v>30</v>
      </c>
      <c r="G1490" s="2" t="s">
        <v>211</v>
      </c>
      <c r="H1490" s="2" t="s">
        <v>80</v>
      </c>
      <c r="I1490" s="2">
        <v>4</v>
      </c>
      <c r="J1490" s="2" t="s">
        <v>287</v>
      </c>
      <c r="K1490" s="4" t="s">
        <v>8590</v>
      </c>
      <c r="L1490" s="2" t="s">
        <v>24</v>
      </c>
      <c r="M1490" s="2"/>
      <c r="N1490" t="s">
        <v>8583</v>
      </c>
      <c r="O1490" s="8" t="str">
        <f t="shared" si="46"/>
        <v/>
      </c>
      <c r="P1490" t="str">
        <f t="shared" si="47"/>
        <v>N/A</v>
      </c>
    </row>
    <row r="1491" spans="1:16" x14ac:dyDescent="0.25">
      <c r="A1491" s="2" t="s">
        <v>4064</v>
      </c>
      <c r="B1491" s="4">
        <v>46166.865972222222</v>
      </c>
      <c r="C1491" s="2" t="s">
        <v>67</v>
      </c>
      <c r="D1491" s="2" t="s">
        <v>68</v>
      </c>
      <c r="E1491" s="2" t="s">
        <v>38</v>
      </c>
      <c r="F1491" s="2" t="s">
        <v>55</v>
      </c>
      <c r="G1491" s="2" t="s">
        <v>183</v>
      </c>
      <c r="H1491" s="2" t="s">
        <v>21</v>
      </c>
      <c r="I1491" s="2">
        <v>24</v>
      </c>
      <c r="J1491" s="2" t="s">
        <v>106</v>
      </c>
      <c r="K1491" s="4">
        <v>46167.592361111114</v>
      </c>
      <c r="L1491" s="2" t="s">
        <v>24</v>
      </c>
      <c r="M1491" s="2">
        <v>4</v>
      </c>
      <c r="N1491" t="s">
        <v>8581</v>
      </c>
      <c r="O1491" s="8">
        <f t="shared" si="46"/>
        <v>17.433333333407063</v>
      </c>
      <c r="P1491" t="str">
        <f t="shared" si="47"/>
        <v>Yes</v>
      </c>
    </row>
    <row r="1492" spans="1:16" x14ac:dyDescent="0.25">
      <c r="A1492" s="2" t="s">
        <v>4067</v>
      </c>
      <c r="B1492" s="4">
        <v>46118.962500000001</v>
      </c>
      <c r="C1492" s="2" t="s">
        <v>53</v>
      </c>
      <c r="D1492" s="2" t="s">
        <v>54</v>
      </c>
      <c r="E1492" s="2" t="s">
        <v>38</v>
      </c>
      <c r="F1492" s="2" t="s">
        <v>55</v>
      </c>
      <c r="G1492" s="2" t="s">
        <v>179</v>
      </c>
      <c r="H1492" s="2" t="s">
        <v>74</v>
      </c>
      <c r="I1492" s="2">
        <v>8</v>
      </c>
      <c r="J1492" s="2" t="s">
        <v>106</v>
      </c>
      <c r="K1492" s="4">
        <v>46119.116666666669</v>
      </c>
      <c r="L1492" s="2" t="s">
        <v>24</v>
      </c>
      <c r="M1492" s="2">
        <v>3</v>
      </c>
      <c r="N1492" t="s">
        <v>8584</v>
      </c>
      <c r="O1492" s="8">
        <f t="shared" si="46"/>
        <v>3.7000000000116415</v>
      </c>
      <c r="P1492" t="str">
        <f t="shared" si="47"/>
        <v>Yes</v>
      </c>
    </row>
    <row r="1493" spans="1:16" x14ac:dyDescent="0.25">
      <c r="A1493" s="2" t="s">
        <v>4070</v>
      </c>
      <c r="B1493" s="4">
        <v>46095.636111111111</v>
      </c>
      <c r="C1493" s="2" t="s">
        <v>16</v>
      </c>
      <c r="D1493" s="2" t="s">
        <v>17</v>
      </c>
      <c r="E1493" s="2" t="s">
        <v>46</v>
      </c>
      <c r="F1493" s="2" t="s">
        <v>55</v>
      </c>
      <c r="G1493" s="2" t="s">
        <v>183</v>
      </c>
      <c r="H1493" s="2" t="s">
        <v>21</v>
      </c>
      <c r="I1493" s="2">
        <v>24</v>
      </c>
      <c r="J1493" s="2" t="s">
        <v>75</v>
      </c>
      <c r="K1493" s="4" t="s">
        <v>8590</v>
      </c>
      <c r="L1493" s="2" t="s">
        <v>24</v>
      </c>
      <c r="M1493" s="2"/>
      <c r="N1493" t="s">
        <v>8581</v>
      </c>
      <c r="O1493" s="8" t="str">
        <f t="shared" si="46"/>
        <v/>
      </c>
      <c r="P1493" t="str">
        <f t="shared" si="47"/>
        <v>N/A</v>
      </c>
    </row>
    <row r="1494" spans="1:16" x14ac:dyDescent="0.25">
      <c r="A1494" s="2" t="s">
        <v>4072</v>
      </c>
      <c r="B1494" s="4">
        <v>46233.936805555553</v>
      </c>
      <c r="C1494" s="2" t="s">
        <v>28</v>
      </c>
      <c r="D1494" s="2" t="s">
        <v>37</v>
      </c>
      <c r="E1494" s="2" t="s">
        <v>79</v>
      </c>
      <c r="F1494" s="2" t="s">
        <v>113</v>
      </c>
      <c r="G1494" s="2" t="s">
        <v>101</v>
      </c>
      <c r="H1494" s="2" t="s">
        <v>32</v>
      </c>
      <c r="I1494" s="2">
        <v>48</v>
      </c>
      <c r="J1494" s="2" t="s">
        <v>287</v>
      </c>
      <c r="K1494" s="4" t="s">
        <v>8590</v>
      </c>
      <c r="L1494" s="2" t="s">
        <v>24</v>
      </c>
      <c r="M1494" s="2"/>
      <c r="N1494" t="s">
        <v>8584</v>
      </c>
      <c r="O1494" s="8" t="str">
        <f t="shared" si="46"/>
        <v/>
      </c>
      <c r="P1494" t="str">
        <f t="shared" si="47"/>
        <v>N/A</v>
      </c>
    </row>
    <row r="1495" spans="1:16" x14ac:dyDescent="0.25">
      <c r="A1495" s="2" t="s">
        <v>4074</v>
      </c>
      <c r="B1495" s="4">
        <v>46145.722916666666</v>
      </c>
      <c r="C1495" s="2" t="s">
        <v>67</v>
      </c>
      <c r="D1495" s="2" t="s">
        <v>68</v>
      </c>
      <c r="E1495" s="2" t="s">
        <v>38</v>
      </c>
      <c r="F1495" s="2" t="s">
        <v>30</v>
      </c>
      <c r="G1495" s="2" t="s">
        <v>179</v>
      </c>
      <c r="H1495" s="2" t="s">
        <v>80</v>
      </c>
      <c r="I1495" s="2">
        <v>4</v>
      </c>
      <c r="J1495" s="2" t="s">
        <v>75</v>
      </c>
      <c r="K1495" s="4">
        <v>46145.746527777781</v>
      </c>
      <c r="L1495" s="2" t="s">
        <v>24</v>
      </c>
      <c r="M1495" s="2"/>
      <c r="N1495" t="s">
        <v>8582</v>
      </c>
      <c r="O1495" s="8">
        <f t="shared" si="46"/>
        <v>0.56666666676755995</v>
      </c>
      <c r="P1495" t="str">
        <f t="shared" si="47"/>
        <v>N/A</v>
      </c>
    </row>
    <row r="1496" spans="1:16" x14ac:dyDescent="0.25">
      <c r="A1496" s="2" t="s">
        <v>4077</v>
      </c>
      <c r="B1496" s="4">
        <v>46258.053472222222</v>
      </c>
      <c r="C1496" s="2" t="s">
        <v>28</v>
      </c>
      <c r="D1496" s="2" t="s">
        <v>37</v>
      </c>
      <c r="E1496" s="2" t="s">
        <v>85</v>
      </c>
      <c r="F1496" s="2" t="s">
        <v>30</v>
      </c>
      <c r="G1496" s="2" t="s">
        <v>31</v>
      </c>
      <c r="H1496" s="2" t="s">
        <v>21</v>
      </c>
      <c r="I1496" s="2">
        <v>24</v>
      </c>
      <c r="J1496" s="2" t="s">
        <v>106</v>
      </c>
      <c r="K1496" s="4">
        <v>46258.484027777777</v>
      </c>
      <c r="L1496" s="2" t="s">
        <v>24</v>
      </c>
      <c r="M1496" s="2">
        <v>1</v>
      </c>
      <c r="N1496" t="s">
        <v>8585</v>
      </c>
      <c r="O1496" s="8">
        <f t="shared" si="46"/>
        <v>10.333333333313931</v>
      </c>
      <c r="P1496" t="str">
        <f t="shared" si="47"/>
        <v>Yes</v>
      </c>
    </row>
    <row r="1497" spans="1:16" x14ac:dyDescent="0.25">
      <c r="A1497" s="2" t="s">
        <v>4080</v>
      </c>
      <c r="B1497" s="4">
        <v>46117.636805555558</v>
      </c>
      <c r="C1497" s="2" t="s">
        <v>28</v>
      </c>
      <c r="D1497" s="2" t="s">
        <v>37</v>
      </c>
      <c r="E1497" s="2" t="s">
        <v>148</v>
      </c>
      <c r="F1497" s="2" t="s">
        <v>30</v>
      </c>
      <c r="G1497" s="2" t="s">
        <v>183</v>
      </c>
      <c r="H1497" s="2" t="s">
        <v>21</v>
      </c>
      <c r="I1497" s="2">
        <v>24</v>
      </c>
      <c r="J1497" s="2" t="s">
        <v>149</v>
      </c>
      <c r="K1497" s="4" t="s">
        <v>8590</v>
      </c>
      <c r="L1497" s="2" t="s">
        <v>24</v>
      </c>
      <c r="M1497" s="2"/>
      <c r="N1497" t="s">
        <v>8585</v>
      </c>
      <c r="O1497" s="8" t="str">
        <f t="shared" si="46"/>
        <v/>
      </c>
      <c r="P1497" t="str">
        <f t="shared" si="47"/>
        <v>N/A</v>
      </c>
    </row>
    <row r="1498" spans="1:16" x14ac:dyDescent="0.25">
      <c r="A1498" s="2" t="s">
        <v>4082</v>
      </c>
      <c r="B1498" s="4">
        <v>46223.698611111111</v>
      </c>
      <c r="C1498" s="2" t="s">
        <v>67</v>
      </c>
      <c r="D1498" s="2" t="s">
        <v>68</v>
      </c>
      <c r="E1498" s="2" t="s">
        <v>79</v>
      </c>
      <c r="F1498" s="2" t="s">
        <v>113</v>
      </c>
      <c r="G1498" s="2" t="s">
        <v>211</v>
      </c>
      <c r="H1498" s="2" t="s">
        <v>74</v>
      </c>
      <c r="I1498" s="2">
        <v>8</v>
      </c>
      <c r="J1498" s="2" t="s">
        <v>149</v>
      </c>
      <c r="K1498" s="4" t="s">
        <v>8590</v>
      </c>
      <c r="L1498" s="2" t="s">
        <v>24</v>
      </c>
      <c r="M1498" s="2"/>
      <c r="N1498" t="s">
        <v>8583</v>
      </c>
      <c r="O1498" s="8" t="str">
        <f t="shared" si="46"/>
        <v/>
      </c>
      <c r="P1498" t="str">
        <f t="shared" si="47"/>
        <v>N/A</v>
      </c>
    </row>
    <row r="1499" spans="1:16" x14ac:dyDescent="0.25">
      <c r="A1499" s="2" t="s">
        <v>4084</v>
      </c>
      <c r="B1499" s="4">
        <v>46228.01666666667</v>
      </c>
      <c r="C1499" s="2" t="s">
        <v>16</v>
      </c>
      <c r="D1499" s="2" t="s">
        <v>17</v>
      </c>
      <c r="E1499" s="2" t="s">
        <v>46</v>
      </c>
      <c r="F1499" s="2" t="s">
        <v>30</v>
      </c>
      <c r="G1499" s="2" t="s">
        <v>101</v>
      </c>
      <c r="H1499" s="2" t="s">
        <v>80</v>
      </c>
      <c r="I1499" s="2">
        <v>4</v>
      </c>
      <c r="J1499" s="2" t="s">
        <v>75</v>
      </c>
      <c r="K1499" s="4">
        <v>46228.061805555553</v>
      </c>
      <c r="L1499" s="2" t="s">
        <v>24</v>
      </c>
      <c r="M1499" s="2"/>
      <c r="N1499" t="s">
        <v>8584</v>
      </c>
      <c r="O1499" s="8">
        <f t="shared" si="46"/>
        <v>1.0833333331975155</v>
      </c>
      <c r="P1499" t="str">
        <f t="shared" si="47"/>
        <v>N/A</v>
      </c>
    </row>
    <row r="1500" spans="1:16" x14ac:dyDescent="0.25">
      <c r="A1500" s="2" t="s">
        <v>4087</v>
      </c>
      <c r="B1500" s="4">
        <v>46144.020833333336</v>
      </c>
      <c r="C1500" s="2" t="s">
        <v>16</v>
      </c>
      <c r="D1500" s="2" t="s">
        <v>84</v>
      </c>
      <c r="E1500" s="2" t="s">
        <v>148</v>
      </c>
      <c r="F1500" s="2" t="s">
        <v>113</v>
      </c>
      <c r="G1500" s="2" t="s">
        <v>179</v>
      </c>
      <c r="H1500" s="2" t="s">
        <v>21</v>
      </c>
      <c r="I1500" s="2">
        <v>24</v>
      </c>
      <c r="J1500" s="2" t="s">
        <v>8580</v>
      </c>
      <c r="K1500" s="4">
        <v>46144.149305555555</v>
      </c>
      <c r="L1500" s="2" t="s">
        <v>24</v>
      </c>
      <c r="M1500" s="2"/>
      <c r="N1500" t="s">
        <v>8589</v>
      </c>
      <c r="O1500" s="8">
        <f t="shared" si="46"/>
        <v>3.0833333332557231</v>
      </c>
      <c r="P1500" t="str">
        <f t="shared" si="47"/>
        <v>N/A</v>
      </c>
    </row>
    <row r="1501" spans="1:16" x14ac:dyDescent="0.25">
      <c r="A1501" s="2" t="s">
        <v>4090</v>
      </c>
      <c r="B1501" s="4">
        <v>46182.309027777781</v>
      </c>
      <c r="C1501" s="2" t="s">
        <v>28</v>
      </c>
      <c r="D1501" s="2" t="s">
        <v>37</v>
      </c>
      <c r="E1501" s="2" t="s">
        <v>18</v>
      </c>
      <c r="F1501" s="2" t="s">
        <v>30</v>
      </c>
      <c r="G1501" s="2" t="s">
        <v>211</v>
      </c>
      <c r="H1501" s="2" t="s">
        <v>21</v>
      </c>
      <c r="I1501" s="2">
        <v>24</v>
      </c>
      <c r="J1501" s="2" t="s">
        <v>8580</v>
      </c>
      <c r="K1501" s="4">
        <v>46182.513194444444</v>
      </c>
      <c r="L1501" s="2" t="s">
        <v>24</v>
      </c>
      <c r="M1501" s="2"/>
      <c r="N1501" t="s">
        <v>8587</v>
      </c>
      <c r="O1501" s="8">
        <f t="shared" si="46"/>
        <v>4.8999999999068677</v>
      </c>
      <c r="P1501" t="str">
        <f t="shared" si="47"/>
        <v>N/A</v>
      </c>
    </row>
    <row r="1502" spans="1:16" x14ac:dyDescent="0.25">
      <c r="A1502" s="2" t="s">
        <v>4093</v>
      </c>
      <c r="B1502" s="4">
        <v>46061.424305555556</v>
      </c>
      <c r="C1502" s="2" t="s">
        <v>53</v>
      </c>
      <c r="D1502" s="2" t="s">
        <v>61</v>
      </c>
      <c r="E1502" s="2" t="s">
        <v>85</v>
      </c>
      <c r="F1502" s="2" t="s">
        <v>96</v>
      </c>
      <c r="G1502" s="2" t="s">
        <v>101</v>
      </c>
      <c r="H1502" s="2" t="s">
        <v>80</v>
      </c>
      <c r="I1502" s="2">
        <v>4</v>
      </c>
      <c r="J1502" s="2" t="s">
        <v>106</v>
      </c>
      <c r="K1502" s="4">
        <v>46061.538888888892</v>
      </c>
      <c r="L1502" s="2" t="s">
        <v>24</v>
      </c>
      <c r="M1502" s="2">
        <v>5</v>
      </c>
      <c r="N1502" t="s">
        <v>8588</v>
      </c>
      <c r="O1502" s="8">
        <f t="shared" si="46"/>
        <v>2.7500000000582077</v>
      </c>
      <c r="P1502" t="str">
        <f t="shared" si="47"/>
        <v>Yes</v>
      </c>
    </row>
    <row r="1503" spans="1:16" x14ac:dyDescent="0.25">
      <c r="A1503" s="2" t="s">
        <v>4096</v>
      </c>
      <c r="B1503" s="4">
        <v>46258.587500000001</v>
      </c>
      <c r="C1503" s="2" t="s">
        <v>28</v>
      </c>
      <c r="D1503" s="2" t="s">
        <v>100</v>
      </c>
      <c r="E1503" s="2" t="s">
        <v>85</v>
      </c>
      <c r="F1503" s="2" t="s">
        <v>96</v>
      </c>
      <c r="G1503" s="2" t="s">
        <v>31</v>
      </c>
      <c r="H1503" s="2" t="s">
        <v>21</v>
      </c>
      <c r="I1503" s="2">
        <v>24</v>
      </c>
      <c r="J1503" s="2" t="s">
        <v>106</v>
      </c>
      <c r="K1503" s="4">
        <v>46258.939583333333</v>
      </c>
      <c r="L1503" s="2" t="s">
        <v>24</v>
      </c>
      <c r="M1503" s="2">
        <v>4</v>
      </c>
      <c r="N1503" t="s">
        <v>8589</v>
      </c>
      <c r="O1503" s="8">
        <f t="shared" si="46"/>
        <v>8.4499999999534339</v>
      </c>
      <c r="P1503" t="str">
        <f t="shared" si="47"/>
        <v>Yes</v>
      </c>
    </row>
    <row r="1504" spans="1:16" x14ac:dyDescent="0.25">
      <c r="A1504" s="2" t="s">
        <v>4099</v>
      </c>
      <c r="B1504" s="4">
        <v>46193.021527777775</v>
      </c>
      <c r="C1504" s="2" t="s">
        <v>53</v>
      </c>
      <c r="D1504" s="2" t="s">
        <v>54</v>
      </c>
      <c r="E1504" s="2" t="s">
        <v>38</v>
      </c>
      <c r="F1504" s="2" t="s">
        <v>30</v>
      </c>
      <c r="G1504" s="2" t="s">
        <v>31</v>
      </c>
      <c r="H1504" s="2" t="s">
        <v>21</v>
      </c>
      <c r="I1504" s="2">
        <v>24</v>
      </c>
      <c r="J1504" s="2" t="s">
        <v>75</v>
      </c>
      <c r="K1504" s="4">
        <v>46193.356944444444</v>
      </c>
      <c r="L1504" s="2" t="s">
        <v>24</v>
      </c>
      <c r="M1504" s="2">
        <v>4</v>
      </c>
      <c r="N1504" t="s">
        <v>8588</v>
      </c>
      <c r="O1504" s="8">
        <f t="shared" si="46"/>
        <v>8.0500000000465661</v>
      </c>
      <c r="P1504" t="str">
        <f t="shared" si="47"/>
        <v>N/A</v>
      </c>
    </row>
    <row r="1505" spans="1:16" x14ac:dyDescent="0.25">
      <c r="A1505" s="2" t="s">
        <v>4102</v>
      </c>
      <c r="B1505" s="4">
        <v>46034.933333333334</v>
      </c>
      <c r="C1505" s="2" t="s">
        <v>53</v>
      </c>
      <c r="D1505" s="2" t="s">
        <v>61</v>
      </c>
      <c r="E1505" s="2" t="s">
        <v>18</v>
      </c>
      <c r="F1505" s="2" t="s">
        <v>113</v>
      </c>
      <c r="G1505" s="2" t="s">
        <v>183</v>
      </c>
      <c r="H1505" s="2" t="s">
        <v>74</v>
      </c>
      <c r="I1505" s="2">
        <v>8</v>
      </c>
      <c r="J1505" s="2" t="s">
        <v>75</v>
      </c>
      <c r="K1505" s="4">
        <v>46035.059027777781</v>
      </c>
      <c r="L1505" s="2" t="s">
        <v>24</v>
      </c>
      <c r="M1505" s="2"/>
      <c r="N1505" t="s">
        <v>8584</v>
      </c>
      <c r="O1505" s="8">
        <f t="shared" si="46"/>
        <v>3.0166666667209938</v>
      </c>
      <c r="P1505" t="str">
        <f t="shared" si="47"/>
        <v>N/A</v>
      </c>
    </row>
    <row r="1506" spans="1:16" x14ac:dyDescent="0.25">
      <c r="A1506" s="2" t="s">
        <v>4105</v>
      </c>
      <c r="B1506" s="4">
        <v>46167.62777777778</v>
      </c>
      <c r="C1506" s="2" t="s">
        <v>67</v>
      </c>
      <c r="D1506" s="2" t="s">
        <v>68</v>
      </c>
      <c r="E1506" s="2" t="s">
        <v>18</v>
      </c>
      <c r="F1506" s="2" t="s">
        <v>96</v>
      </c>
      <c r="G1506" s="2" t="s">
        <v>101</v>
      </c>
      <c r="H1506" s="2" t="s">
        <v>32</v>
      </c>
      <c r="I1506" s="2">
        <v>48</v>
      </c>
      <c r="J1506" s="2" t="s">
        <v>287</v>
      </c>
      <c r="K1506" s="4" t="s">
        <v>8590</v>
      </c>
      <c r="L1506" s="2" t="s">
        <v>24</v>
      </c>
      <c r="M1506" s="2"/>
      <c r="N1506" t="s">
        <v>8581</v>
      </c>
      <c r="O1506" s="8" t="str">
        <f t="shared" si="46"/>
        <v/>
      </c>
      <c r="P1506" t="str">
        <f t="shared" si="47"/>
        <v>N/A</v>
      </c>
    </row>
    <row r="1507" spans="1:16" x14ac:dyDescent="0.25">
      <c r="A1507" s="2" t="s">
        <v>4107</v>
      </c>
      <c r="B1507" s="4">
        <v>46189.359027777777</v>
      </c>
      <c r="C1507" s="2" t="s">
        <v>16</v>
      </c>
      <c r="D1507" s="2" t="s">
        <v>84</v>
      </c>
      <c r="E1507" s="2" t="s">
        <v>148</v>
      </c>
      <c r="F1507" s="2" t="s">
        <v>113</v>
      </c>
      <c r="G1507" s="2" t="s">
        <v>179</v>
      </c>
      <c r="H1507" s="2" t="s">
        <v>21</v>
      </c>
      <c r="I1507" s="2">
        <v>24</v>
      </c>
      <c r="J1507" s="2" t="s">
        <v>149</v>
      </c>
      <c r="K1507" s="4" t="s">
        <v>8590</v>
      </c>
      <c r="L1507" s="2" t="s">
        <v>24</v>
      </c>
      <c r="M1507" s="2"/>
      <c r="N1507" t="s">
        <v>8589</v>
      </c>
      <c r="O1507" s="8" t="str">
        <f t="shared" si="46"/>
        <v/>
      </c>
      <c r="P1507" t="str">
        <f t="shared" si="47"/>
        <v>N/A</v>
      </c>
    </row>
    <row r="1508" spans="1:16" x14ac:dyDescent="0.25">
      <c r="A1508" s="2" t="s">
        <v>4109</v>
      </c>
      <c r="B1508" s="4">
        <v>46248.806250000001</v>
      </c>
      <c r="C1508" s="2" t="s">
        <v>16</v>
      </c>
      <c r="D1508" s="2" t="s">
        <v>17</v>
      </c>
      <c r="E1508" s="2" t="s">
        <v>18</v>
      </c>
      <c r="F1508" s="2" t="s">
        <v>30</v>
      </c>
      <c r="G1508" s="2" t="s">
        <v>31</v>
      </c>
      <c r="H1508" s="2" t="s">
        <v>32</v>
      </c>
      <c r="I1508" s="2">
        <v>48</v>
      </c>
      <c r="J1508" s="2" t="s">
        <v>149</v>
      </c>
      <c r="K1508" s="4" t="s">
        <v>8590</v>
      </c>
      <c r="L1508" s="2" t="s">
        <v>24</v>
      </c>
      <c r="M1508" s="2"/>
      <c r="N1508" t="s">
        <v>8589</v>
      </c>
      <c r="O1508" s="8" t="str">
        <f t="shared" si="46"/>
        <v/>
      </c>
      <c r="P1508" t="str">
        <f t="shared" si="47"/>
        <v>N/A</v>
      </c>
    </row>
    <row r="1509" spans="1:16" x14ac:dyDescent="0.25">
      <c r="A1509" s="2" t="s">
        <v>4111</v>
      </c>
      <c r="B1509" s="4">
        <v>46250.192361111112</v>
      </c>
      <c r="C1509" s="2" t="s">
        <v>28</v>
      </c>
      <c r="D1509" s="2" t="s">
        <v>100</v>
      </c>
      <c r="E1509" s="2" t="s">
        <v>148</v>
      </c>
      <c r="F1509" s="2" t="s">
        <v>30</v>
      </c>
      <c r="G1509" s="2" t="s">
        <v>31</v>
      </c>
      <c r="H1509" s="2" t="s">
        <v>32</v>
      </c>
      <c r="I1509" s="2">
        <v>48</v>
      </c>
      <c r="J1509" s="2" t="s">
        <v>11</v>
      </c>
      <c r="K1509" s="4" t="s">
        <v>8590</v>
      </c>
      <c r="L1509" s="2" t="s">
        <v>92</v>
      </c>
      <c r="M1509" s="2"/>
      <c r="N1509" t="s">
        <v>8588</v>
      </c>
      <c r="O1509" s="8" t="str">
        <f t="shared" si="46"/>
        <v/>
      </c>
      <c r="P1509" t="str">
        <f t="shared" si="47"/>
        <v>N/A</v>
      </c>
    </row>
    <row r="1510" spans="1:16" x14ac:dyDescent="0.25">
      <c r="A1510" s="2" t="s">
        <v>4113</v>
      </c>
      <c r="B1510" s="4">
        <v>46065.775694444441</v>
      </c>
      <c r="C1510" s="2" t="s">
        <v>53</v>
      </c>
      <c r="D1510" s="2" t="s">
        <v>61</v>
      </c>
      <c r="E1510" s="2" t="s">
        <v>148</v>
      </c>
      <c r="F1510" s="2" t="s">
        <v>55</v>
      </c>
      <c r="G1510" s="2" t="s">
        <v>101</v>
      </c>
      <c r="H1510" s="2" t="s">
        <v>21</v>
      </c>
      <c r="I1510" s="2">
        <v>24</v>
      </c>
      <c r="J1510" s="2" t="s">
        <v>149</v>
      </c>
      <c r="K1510" s="4" t="s">
        <v>8590</v>
      </c>
      <c r="L1510" s="2" t="s">
        <v>24</v>
      </c>
      <c r="M1510" s="2"/>
      <c r="N1510" t="s">
        <v>8587</v>
      </c>
      <c r="O1510" s="8" t="str">
        <f t="shared" si="46"/>
        <v/>
      </c>
      <c r="P1510" t="str">
        <f t="shared" si="47"/>
        <v>N/A</v>
      </c>
    </row>
    <row r="1511" spans="1:16" x14ac:dyDescent="0.25">
      <c r="A1511" s="2" t="s">
        <v>4115</v>
      </c>
      <c r="B1511" s="4">
        <v>46191.05972222222</v>
      </c>
      <c r="C1511" s="2" t="s">
        <v>16</v>
      </c>
      <c r="D1511" s="2" t="s">
        <v>17</v>
      </c>
      <c r="E1511" s="2" t="s">
        <v>18</v>
      </c>
      <c r="F1511" s="2" t="s">
        <v>30</v>
      </c>
      <c r="G1511" s="2" t="s">
        <v>101</v>
      </c>
      <c r="H1511" s="2" t="s">
        <v>74</v>
      </c>
      <c r="I1511" s="2">
        <v>8</v>
      </c>
      <c r="J1511" s="2" t="s">
        <v>149</v>
      </c>
      <c r="K1511" s="4" t="s">
        <v>8590</v>
      </c>
      <c r="L1511" s="2" t="s">
        <v>24</v>
      </c>
      <c r="M1511" s="2"/>
      <c r="N1511" t="s">
        <v>8586</v>
      </c>
      <c r="O1511" s="8" t="str">
        <f t="shared" si="46"/>
        <v/>
      </c>
      <c r="P1511" t="str">
        <f t="shared" si="47"/>
        <v>N/A</v>
      </c>
    </row>
    <row r="1512" spans="1:16" x14ac:dyDescent="0.25">
      <c r="A1512" s="2" t="s">
        <v>4117</v>
      </c>
      <c r="B1512" s="4">
        <v>46154.895833333336</v>
      </c>
      <c r="C1512" s="2" t="s">
        <v>53</v>
      </c>
      <c r="D1512" s="2" t="s">
        <v>54</v>
      </c>
      <c r="E1512" s="2" t="s">
        <v>38</v>
      </c>
      <c r="F1512" s="2" t="s">
        <v>30</v>
      </c>
      <c r="G1512" s="2" t="s">
        <v>211</v>
      </c>
      <c r="H1512" s="2" t="s">
        <v>21</v>
      </c>
      <c r="I1512" s="2">
        <v>24</v>
      </c>
      <c r="J1512" s="2" t="s">
        <v>75</v>
      </c>
      <c r="K1512" s="4">
        <v>46155.73541666667</v>
      </c>
      <c r="L1512" s="2" t="s">
        <v>24</v>
      </c>
      <c r="M1512" s="2">
        <v>5</v>
      </c>
      <c r="N1512" t="s">
        <v>8588</v>
      </c>
      <c r="O1512" s="8">
        <f t="shared" si="46"/>
        <v>20.150000000023283</v>
      </c>
      <c r="P1512" t="str">
        <f t="shared" si="47"/>
        <v>N/A</v>
      </c>
    </row>
    <row r="1513" spans="1:16" x14ac:dyDescent="0.25">
      <c r="A1513" s="2" t="s">
        <v>4120</v>
      </c>
      <c r="B1513" s="4">
        <v>46112.004861111112</v>
      </c>
      <c r="C1513" s="2" t="s">
        <v>67</v>
      </c>
      <c r="D1513" s="2" t="s">
        <v>68</v>
      </c>
      <c r="E1513" s="2" t="s">
        <v>18</v>
      </c>
      <c r="F1513" s="2" t="s">
        <v>55</v>
      </c>
      <c r="G1513" s="2" t="s">
        <v>31</v>
      </c>
      <c r="H1513" s="2" t="s">
        <v>32</v>
      </c>
      <c r="I1513" s="2">
        <v>48</v>
      </c>
      <c r="J1513" s="2" t="s">
        <v>106</v>
      </c>
      <c r="K1513" s="4">
        <v>46112.897916666669</v>
      </c>
      <c r="L1513" s="2" t="s">
        <v>24</v>
      </c>
      <c r="M1513" s="2"/>
      <c r="N1513" t="s">
        <v>8589</v>
      </c>
      <c r="O1513" s="8">
        <f t="shared" si="46"/>
        <v>21.433333333348855</v>
      </c>
      <c r="P1513" t="str">
        <f t="shared" si="47"/>
        <v>Yes</v>
      </c>
    </row>
    <row r="1514" spans="1:16" x14ac:dyDescent="0.25">
      <c r="A1514" s="2" t="s">
        <v>4123</v>
      </c>
      <c r="B1514" s="4">
        <v>46064.228472222225</v>
      </c>
      <c r="C1514" s="2" t="s">
        <v>67</v>
      </c>
      <c r="D1514" s="2" t="s">
        <v>95</v>
      </c>
      <c r="E1514" s="2" t="s">
        <v>38</v>
      </c>
      <c r="F1514" s="2" t="s">
        <v>30</v>
      </c>
      <c r="G1514" s="2" t="s">
        <v>179</v>
      </c>
      <c r="H1514" s="2" t="s">
        <v>74</v>
      </c>
      <c r="I1514" s="2">
        <v>8</v>
      </c>
      <c r="J1514" s="2" t="s">
        <v>75</v>
      </c>
      <c r="K1514" s="4">
        <v>46064.308333333334</v>
      </c>
      <c r="L1514" s="2" t="s">
        <v>24</v>
      </c>
      <c r="M1514" s="2"/>
      <c r="N1514" t="s">
        <v>8586</v>
      </c>
      <c r="O1514" s="8">
        <f t="shared" si="46"/>
        <v>1.9166666666278616</v>
      </c>
      <c r="P1514" t="str">
        <f t="shared" si="47"/>
        <v>N/A</v>
      </c>
    </row>
    <row r="1515" spans="1:16" x14ac:dyDescent="0.25">
      <c r="A1515" s="2" t="s">
        <v>4126</v>
      </c>
      <c r="B1515" s="4">
        <v>46226.100694444445</v>
      </c>
      <c r="C1515" s="2" t="s">
        <v>53</v>
      </c>
      <c r="D1515" s="2" t="s">
        <v>61</v>
      </c>
      <c r="E1515" s="2" t="s">
        <v>38</v>
      </c>
      <c r="F1515" s="2" t="s">
        <v>113</v>
      </c>
      <c r="G1515" s="2" t="s">
        <v>101</v>
      </c>
      <c r="H1515" s="2" t="s">
        <v>32</v>
      </c>
      <c r="I1515" s="2">
        <v>48</v>
      </c>
      <c r="J1515" s="2" t="s">
        <v>75</v>
      </c>
      <c r="K1515" s="4">
        <v>46226.331944444442</v>
      </c>
      <c r="L1515" s="2" t="s">
        <v>24</v>
      </c>
      <c r="M1515" s="2"/>
      <c r="N1515" t="s">
        <v>8589</v>
      </c>
      <c r="O1515" s="8">
        <f t="shared" si="46"/>
        <v>5.5499999999301508</v>
      </c>
      <c r="P1515" t="str">
        <f t="shared" si="47"/>
        <v>N/A</v>
      </c>
    </row>
    <row r="1516" spans="1:16" x14ac:dyDescent="0.25">
      <c r="A1516" s="2" t="s">
        <v>4129</v>
      </c>
      <c r="B1516" s="4">
        <v>46229.930555555555</v>
      </c>
      <c r="C1516" s="2" t="s">
        <v>16</v>
      </c>
      <c r="D1516" s="2" t="s">
        <v>84</v>
      </c>
      <c r="E1516" s="2" t="s">
        <v>90</v>
      </c>
      <c r="F1516" s="2" t="s">
        <v>30</v>
      </c>
      <c r="G1516" s="2" t="s">
        <v>31</v>
      </c>
      <c r="H1516" s="2" t="s">
        <v>32</v>
      </c>
      <c r="I1516" s="2">
        <v>48</v>
      </c>
      <c r="J1516" s="2" t="s">
        <v>106</v>
      </c>
      <c r="K1516" s="4">
        <v>46233.925694444442</v>
      </c>
      <c r="L1516" s="2" t="s">
        <v>24</v>
      </c>
      <c r="M1516" s="2"/>
      <c r="N1516" t="s">
        <v>8581</v>
      </c>
      <c r="O1516" s="8">
        <f t="shared" si="46"/>
        <v>95.883333333302289</v>
      </c>
      <c r="P1516" t="str">
        <f t="shared" si="47"/>
        <v>No</v>
      </c>
    </row>
    <row r="1517" spans="1:16" x14ac:dyDescent="0.25">
      <c r="A1517" s="2" t="s">
        <v>4132</v>
      </c>
      <c r="B1517" s="4">
        <v>46217.613888888889</v>
      </c>
      <c r="C1517" s="2" t="s">
        <v>53</v>
      </c>
      <c r="D1517" s="2" t="s">
        <v>61</v>
      </c>
      <c r="E1517" s="2" t="s">
        <v>79</v>
      </c>
      <c r="F1517" s="2" t="s">
        <v>113</v>
      </c>
      <c r="G1517" s="2" t="s">
        <v>183</v>
      </c>
      <c r="H1517" s="2" t="s">
        <v>32</v>
      </c>
      <c r="I1517" s="2">
        <v>48</v>
      </c>
      <c r="J1517" s="2" t="s">
        <v>75</v>
      </c>
      <c r="K1517" s="4">
        <v>46218.791666666664</v>
      </c>
      <c r="L1517" s="2" t="s">
        <v>24</v>
      </c>
      <c r="M1517" s="2"/>
      <c r="N1517" t="s">
        <v>8585</v>
      </c>
      <c r="O1517" s="8">
        <f t="shared" si="46"/>
        <v>28.266666666604578</v>
      </c>
      <c r="P1517" t="str">
        <f t="shared" si="47"/>
        <v>N/A</v>
      </c>
    </row>
    <row r="1518" spans="1:16" x14ac:dyDescent="0.25">
      <c r="A1518" s="2" t="s">
        <v>4135</v>
      </c>
      <c r="B1518" s="4">
        <v>46026.220833333333</v>
      </c>
      <c r="C1518" s="2" t="s">
        <v>67</v>
      </c>
      <c r="D1518" s="2" t="s">
        <v>68</v>
      </c>
      <c r="E1518" s="2" t="s">
        <v>18</v>
      </c>
      <c r="F1518" s="2" t="s">
        <v>55</v>
      </c>
      <c r="G1518" s="2" t="s">
        <v>101</v>
      </c>
      <c r="H1518" s="2" t="s">
        <v>74</v>
      </c>
      <c r="I1518" s="2">
        <v>8</v>
      </c>
      <c r="J1518" s="2" t="s">
        <v>11</v>
      </c>
      <c r="K1518" s="4" t="s">
        <v>8590</v>
      </c>
      <c r="L1518" s="2" t="s">
        <v>92</v>
      </c>
      <c r="M1518" s="2"/>
      <c r="N1518" t="s">
        <v>8587</v>
      </c>
      <c r="O1518" s="8" t="str">
        <f t="shared" si="46"/>
        <v/>
      </c>
      <c r="P1518" t="str">
        <f t="shared" si="47"/>
        <v>N/A</v>
      </c>
    </row>
    <row r="1519" spans="1:16" x14ac:dyDescent="0.25">
      <c r="A1519" s="2" t="s">
        <v>4137</v>
      </c>
      <c r="B1519" s="4">
        <v>46160.817361111112</v>
      </c>
      <c r="C1519" s="2" t="s">
        <v>28</v>
      </c>
      <c r="D1519" s="2" t="s">
        <v>100</v>
      </c>
      <c r="E1519" s="2" t="s">
        <v>38</v>
      </c>
      <c r="F1519" s="2" t="s">
        <v>113</v>
      </c>
      <c r="G1519" s="2" t="s">
        <v>101</v>
      </c>
      <c r="H1519" s="2" t="s">
        <v>21</v>
      </c>
      <c r="I1519" s="2">
        <v>24</v>
      </c>
      <c r="J1519" s="2" t="s">
        <v>106</v>
      </c>
      <c r="K1519" s="4">
        <v>46161.545138888891</v>
      </c>
      <c r="L1519" s="2" t="s">
        <v>24</v>
      </c>
      <c r="M1519" s="2">
        <v>2</v>
      </c>
      <c r="N1519" t="s">
        <v>8585</v>
      </c>
      <c r="O1519" s="8">
        <f t="shared" si="46"/>
        <v>17.466666666674428</v>
      </c>
      <c r="P1519" t="str">
        <f t="shared" si="47"/>
        <v>Yes</v>
      </c>
    </row>
    <row r="1520" spans="1:16" x14ac:dyDescent="0.25">
      <c r="A1520" s="2" t="s">
        <v>4140</v>
      </c>
      <c r="B1520" s="4">
        <v>46231.758333333331</v>
      </c>
      <c r="C1520" s="2" t="s">
        <v>67</v>
      </c>
      <c r="D1520" s="2" t="s">
        <v>68</v>
      </c>
      <c r="E1520" s="2" t="s">
        <v>90</v>
      </c>
      <c r="F1520" s="2" t="s">
        <v>96</v>
      </c>
      <c r="G1520" s="2" t="s">
        <v>31</v>
      </c>
      <c r="H1520" s="2" t="s">
        <v>21</v>
      </c>
      <c r="I1520" s="2">
        <v>24</v>
      </c>
      <c r="J1520" s="2" t="s">
        <v>8580</v>
      </c>
      <c r="K1520" s="4">
        <v>46232.388888888891</v>
      </c>
      <c r="L1520" s="2" t="s">
        <v>24</v>
      </c>
      <c r="M1520" s="2"/>
      <c r="N1520" t="s">
        <v>8584</v>
      </c>
      <c r="O1520" s="8">
        <f t="shared" si="46"/>
        <v>15.133333333418705</v>
      </c>
      <c r="P1520" t="str">
        <f t="shared" si="47"/>
        <v>N/A</v>
      </c>
    </row>
    <row r="1521" spans="1:16" x14ac:dyDescent="0.25">
      <c r="A1521" s="2" t="s">
        <v>4143</v>
      </c>
      <c r="B1521" s="4">
        <v>46082.69027777778</v>
      </c>
      <c r="C1521" s="2" t="s">
        <v>53</v>
      </c>
      <c r="D1521" s="2" t="s">
        <v>61</v>
      </c>
      <c r="E1521" s="2" t="s">
        <v>85</v>
      </c>
      <c r="F1521" s="2" t="s">
        <v>113</v>
      </c>
      <c r="G1521" s="2" t="s">
        <v>179</v>
      </c>
      <c r="H1521" s="2" t="s">
        <v>32</v>
      </c>
      <c r="I1521" s="2">
        <v>48</v>
      </c>
      <c r="J1521" s="2" t="s">
        <v>75</v>
      </c>
      <c r="K1521" s="4">
        <v>46085.799305555556</v>
      </c>
      <c r="L1521" s="2" t="s">
        <v>24</v>
      </c>
      <c r="M1521" s="2"/>
      <c r="N1521" t="s">
        <v>8584</v>
      </c>
      <c r="O1521" s="8">
        <f t="shared" si="46"/>
        <v>74.616666666639503</v>
      </c>
      <c r="P1521" t="str">
        <f t="shared" si="47"/>
        <v>N/A</v>
      </c>
    </row>
    <row r="1522" spans="1:16" x14ac:dyDescent="0.25">
      <c r="A1522" s="2" t="s">
        <v>4146</v>
      </c>
      <c r="B1522" s="4">
        <v>46149.1875</v>
      </c>
      <c r="C1522" s="2" t="s">
        <v>28</v>
      </c>
      <c r="D1522" s="2" t="s">
        <v>37</v>
      </c>
      <c r="E1522" s="2" t="s">
        <v>38</v>
      </c>
      <c r="F1522" s="2" t="s">
        <v>55</v>
      </c>
      <c r="G1522" s="2" t="s">
        <v>179</v>
      </c>
      <c r="H1522" s="2" t="s">
        <v>21</v>
      </c>
      <c r="I1522" s="2">
        <v>24</v>
      </c>
      <c r="J1522" s="2" t="s">
        <v>8580</v>
      </c>
      <c r="K1522" s="4">
        <v>46149.367361111108</v>
      </c>
      <c r="L1522" s="2" t="s">
        <v>24</v>
      </c>
      <c r="M1522" s="2"/>
      <c r="N1522" t="s">
        <v>8588</v>
      </c>
      <c r="O1522" s="8">
        <f t="shared" si="46"/>
        <v>4.316666666592937</v>
      </c>
      <c r="P1522" t="str">
        <f t="shared" si="47"/>
        <v>N/A</v>
      </c>
    </row>
    <row r="1523" spans="1:16" x14ac:dyDescent="0.25">
      <c r="A1523" s="2" t="s">
        <v>4149</v>
      </c>
      <c r="B1523" s="4">
        <v>46236.364583333336</v>
      </c>
      <c r="C1523" s="2" t="s">
        <v>53</v>
      </c>
      <c r="D1523" s="2" t="s">
        <v>61</v>
      </c>
      <c r="E1523" s="2" t="s">
        <v>90</v>
      </c>
      <c r="F1523" s="2" t="s">
        <v>55</v>
      </c>
      <c r="G1523" s="2" t="s">
        <v>211</v>
      </c>
      <c r="H1523" s="2" t="s">
        <v>21</v>
      </c>
      <c r="I1523" s="2">
        <v>24</v>
      </c>
      <c r="J1523" s="2" t="s">
        <v>106</v>
      </c>
      <c r="K1523" s="4">
        <v>46237.088194444441</v>
      </c>
      <c r="L1523" s="2" t="s">
        <v>24</v>
      </c>
      <c r="M1523" s="2"/>
      <c r="N1523" t="s">
        <v>8583</v>
      </c>
      <c r="O1523" s="8">
        <f t="shared" si="46"/>
        <v>17.366666666523088</v>
      </c>
      <c r="P1523" t="str">
        <f t="shared" si="47"/>
        <v>Yes</v>
      </c>
    </row>
    <row r="1524" spans="1:16" x14ac:dyDescent="0.25">
      <c r="A1524" s="2" t="s">
        <v>4152</v>
      </c>
      <c r="B1524" s="4">
        <v>46160.484722222223</v>
      </c>
      <c r="C1524" s="2" t="s">
        <v>53</v>
      </c>
      <c r="D1524" s="2" t="s">
        <v>54</v>
      </c>
      <c r="E1524" s="2" t="s">
        <v>79</v>
      </c>
      <c r="F1524" s="2" t="s">
        <v>96</v>
      </c>
      <c r="G1524" s="2" t="s">
        <v>211</v>
      </c>
      <c r="H1524" s="2" t="s">
        <v>21</v>
      </c>
      <c r="I1524" s="2">
        <v>24</v>
      </c>
      <c r="J1524" s="2" t="s">
        <v>75</v>
      </c>
      <c r="K1524" s="4">
        <v>46160.704861111109</v>
      </c>
      <c r="L1524" s="2" t="s">
        <v>24</v>
      </c>
      <c r="M1524" s="2"/>
      <c r="N1524" t="s">
        <v>8581</v>
      </c>
      <c r="O1524" s="8">
        <f t="shared" si="46"/>
        <v>5.2833333332673647</v>
      </c>
      <c r="P1524" t="str">
        <f t="shared" si="47"/>
        <v>N/A</v>
      </c>
    </row>
    <row r="1525" spans="1:16" x14ac:dyDescent="0.25">
      <c r="A1525" s="2" t="s">
        <v>4155</v>
      </c>
      <c r="B1525" s="4">
        <v>46077.162499999999</v>
      </c>
      <c r="C1525" s="2" t="s">
        <v>16</v>
      </c>
      <c r="D1525" s="2" t="s">
        <v>84</v>
      </c>
      <c r="E1525" s="2" t="s">
        <v>38</v>
      </c>
      <c r="F1525" s="2" t="s">
        <v>55</v>
      </c>
      <c r="G1525" s="2" t="s">
        <v>183</v>
      </c>
      <c r="H1525" s="2" t="s">
        <v>21</v>
      </c>
      <c r="I1525" s="2">
        <v>24</v>
      </c>
      <c r="J1525" s="2" t="s">
        <v>11</v>
      </c>
      <c r="K1525" s="4" t="s">
        <v>8590</v>
      </c>
      <c r="L1525" s="2" t="s">
        <v>92</v>
      </c>
      <c r="M1525" s="2"/>
      <c r="N1525" t="s">
        <v>8581</v>
      </c>
      <c r="O1525" s="8" t="str">
        <f t="shared" si="46"/>
        <v/>
      </c>
      <c r="P1525" t="str">
        <f t="shared" si="47"/>
        <v>N/A</v>
      </c>
    </row>
    <row r="1526" spans="1:16" x14ac:dyDescent="0.25">
      <c r="A1526" s="2" t="s">
        <v>4157</v>
      </c>
      <c r="B1526" s="4">
        <v>46166.697222222225</v>
      </c>
      <c r="C1526" s="2" t="s">
        <v>67</v>
      </c>
      <c r="D1526" s="2" t="s">
        <v>68</v>
      </c>
      <c r="E1526" s="2" t="s">
        <v>18</v>
      </c>
      <c r="F1526" s="2" t="s">
        <v>113</v>
      </c>
      <c r="G1526" s="2" t="s">
        <v>179</v>
      </c>
      <c r="H1526" s="2" t="s">
        <v>21</v>
      </c>
      <c r="I1526" s="2">
        <v>24</v>
      </c>
      <c r="J1526" s="2" t="s">
        <v>149</v>
      </c>
      <c r="K1526" s="4" t="s">
        <v>8590</v>
      </c>
      <c r="L1526" s="2" t="s">
        <v>24</v>
      </c>
      <c r="M1526" s="2"/>
      <c r="N1526" t="s">
        <v>8585</v>
      </c>
      <c r="O1526" s="8" t="str">
        <f t="shared" si="46"/>
        <v/>
      </c>
      <c r="P1526" t="str">
        <f t="shared" si="47"/>
        <v>N/A</v>
      </c>
    </row>
    <row r="1527" spans="1:16" x14ac:dyDescent="0.25">
      <c r="A1527" s="2" t="s">
        <v>4159</v>
      </c>
      <c r="B1527" s="4">
        <v>46040.782638888886</v>
      </c>
      <c r="C1527" s="2" t="s">
        <v>53</v>
      </c>
      <c r="D1527" s="2" t="s">
        <v>54</v>
      </c>
      <c r="E1527" s="2" t="s">
        <v>90</v>
      </c>
      <c r="F1527" s="2" t="s">
        <v>113</v>
      </c>
      <c r="G1527" s="2" t="s">
        <v>183</v>
      </c>
      <c r="H1527" s="2" t="s">
        <v>21</v>
      </c>
      <c r="I1527" s="2">
        <v>24</v>
      </c>
      <c r="J1527" s="2" t="s">
        <v>75</v>
      </c>
      <c r="K1527" s="4">
        <v>46040.95208333333</v>
      </c>
      <c r="L1527" s="2" t="s">
        <v>24</v>
      </c>
      <c r="M1527" s="2"/>
      <c r="N1527" t="s">
        <v>8583</v>
      </c>
      <c r="O1527" s="8">
        <f t="shared" si="46"/>
        <v>4.0666666666511446</v>
      </c>
      <c r="P1527" t="str">
        <f t="shared" si="47"/>
        <v>N/A</v>
      </c>
    </row>
    <row r="1528" spans="1:16" x14ac:dyDescent="0.25">
      <c r="A1528" s="2" t="s">
        <v>4162</v>
      </c>
      <c r="B1528" s="4">
        <v>46126.900694444441</v>
      </c>
      <c r="C1528" s="2" t="s">
        <v>16</v>
      </c>
      <c r="D1528" s="2" t="s">
        <v>17</v>
      </c>
      <c r="E1528" s="2" t="s">
        <v>38</v>
      </c>
      <c r="F1528" s="2" t="s">
        <v>96</v>
      </c>
      <c r="G1528" s="2" t="s">
        <v>110</v>
      </c>
      <c r="H1528" s="2" t="s">
        <v>32</v>
      </c>
      <c r="I1528" s="2">
        <v>48</v>
      </c>
      <c r="J1528" s="2" t="s">
        <v>106</v>
      </c>
      <c r="K1528" s="4">
        <v>46127.240277777775</v>
      </c>
      <c r="L1528" s="2" t="s">
        <v>24</v>
      </c>
      <c r="M1528" s="2"/>
      <c r="N1528" t="s">
        <v>8582</v>
      </c>
      <c r="O1528" s="8">
        <f t="shared" si="46"/>
        <v>8.1500000000232831</v>
      </c>
      <c r="P1528" t="str">
        <f t="shared" si="47"/>
        <v>Yes</v>
      </c>
    </row>
    <row r="1529" spans="1:16" x14ac:dyDescent="0.25">
      <c r="A1529" s="2" t="s">
        <v>4165</v>
      </c>
      <c r="B1529" s="4">
        <v>46090.980555555558</v>
      </c>
      <c r="C1529" s="2" t="s">
        <v>28</v>
      </c>
      <c r="D1529" s="2" t="s">
        <v>37</v>
      </c>
      <c r="E1529" s="2" t="s">
        <v>46</v>
      </c>
      <c r="F1529" s="2" t="s">
        <v>55</v>
      </c>
      <c r="G1529" s="2" t="s">
        <v>183</v>
      </c>
      <c r="H1529" s="2" t="s">
        <v>74</v>
      </c>
      <c r="I1529" s="2">
        <v>8</v>
      </c>
      <c r="J1529" s="2" t="s">
        <v>75</v>
      </c>
      <c r="K1529" s="4">
        <v>46091.861111111109</v>
      </c>
      <c r="L1529" s="2" t="s">
        <v>24</v>
      </c>
      <c r="M1529" s="2">
        <v>5</v>
      </c>
      <c r="N1529" t="s">
        <v>8587</v>
      </c>
      <c r="O1529" s="8">
        <f t="shared" si="46"/>
        <v>21.133333333244082</v>
      </c>
      <c r="P1529" t="str">
        <f t="shared" si="47"/>
        <v>N/A</v>
      </c>
    </row>
    <row r="1530" spans="1:16" x14ac:dyDescent="0.25">
      <c r="A1530" s="2" t="s">
        <v>4168</v>
      </c>
      <c r="B1530" s="4">
        <v>46069.802083333336</v>
      </c>
      <c r="C1530" s="2" t="s">
        <v>67</v>
      </c>
      <c r="D1530" s="2" t="s">
        <v>68</v>
      </c>
      <c r="E1530" s="2" t="s">
        <v>18</v>
      </c>
      <c r="F1530" s="2" t="s">
        <v>55</v>
      </c>
      <c r="G1530" s="2" t="s">
        <v>183</v>
      </c>
      <c r="H1530" s="2" t="s">
        <v>32</v>
      </c>
      <c r="I1530" s="2">
        <v>48</v>
      </c>
      <c r="J1530" s="2" t="s">
        <v>75</v>
      </c>
      <c r="K1530" s="4">
        <v>46070.034722222219</v>
      </c>
      <c r="L1530" s="2" t="s">
        <v>24</v>
      </c>
      <c r="M1530" s="2"/>
      <c r="N1530" t="s">
        <v>8581</v>
      </c>
      <c r="O1530" s="8">
        <f t="shared" si="46"/>
        <v>5.5833333331975155</v>
      </c>
      <c r="P1530" t="str">
        <f t="shared" si="47"/>
        <v>N/A</v>
      </c>
    </row>
    <row r="1531" spans="1:16" x14ac:dyDescent="0.25">
      <c r="A1531" s="2" t="s">
        <v>4171</v>
      </c>
      <c r="B1531" s="4">
        <v>46181.095833333333</v>
      </c>
      <c r="C1531" s="2" t="s">
        <v>16</v>
      </c>
      <c r="D1531" s="2" t="s">
        <v>17</v>
      </c>
      <c r="E1531" s="2" t="s">
        <v>85</v>
      </c>
      <c r="F1531" s="2" t="s">
        <v>55</v>
      </c>
      <c r="G1531" s="2" t="s">
        <v>179</v>
      </c>
      <c r="H1531" s="2" t="s">
        <v>32</v>
      </c>
      <c r="I1531" s="2">
        <v>48</v>
      </c>
      <c r="J1531" s="2" t="s">
        <v>75</v>
      </c>
      <c r="K1531" s="4">
        <v>46185.578472222223</v>
      </c>
      <c r="L1531" s="2" t="s">
        <v>24</v>
      </c>
      <c r="M1531" s="2">
        <v>4</v>
      </c>
      <c r="N1531" t="s">
        <v>8589</v>
      </c>
      <c r="O1531" s="8">
        <f t="shared" si="46"/>
        <v>107.58333333337214</v>
      </c>
      <c r="P1531" t="str">
        <f t="shared" si="47"/>
        <v>N/A</v>
      </c>
    </row>
    <row r="1532" spans="1:16" x14ac:dyDescent="0.25">
      <c r="A1532" s="2" t="s">
        <v>4174</v>
      </c>
      <c r="B1532" s="4">
        <v>46030.571527777778</v>
      </c>
      <c r="C1532" s="2" t="s">
        <v>28</v>
      </c>
      <c r="D1532" s="2" t="s">
        <v>100</v>
      </c>
      <c r="E1532" s="2" t="s">
        <v>38</v>
      </c>
      <c r="F1532" s="2" t="s">
        <v>113</v>
      </c>
      <c r="G1532" s="2" t="s">
        <v>101</v>
      </c>
      <c r="H1532" s="2" t="s">
        <v>32</v>
      </c>
      <c r="I1532" s="2">
        <v>48</v>
      </c>
      <c r="J1532" s="2" t="s">
        <v>106</v>
      </c>
      <c r="K1532" s="4">
        <v>46031.863888888889</v>
      </c>
      <c r="L1532" s="2" t="s">
        <v>24</v>
      </c>
      <c r="M1532" s="2"/>
      <c r="N1532" t="s">
        <v>8586</v>
      </c>
      <c r="O1532" s="8">
        <f t="shared" si="46"/>
        <v>31.016666666662786</v>
      </c>
      <c r="P1532" t="str">
        <f t="shared" si="47"/>
        <v>Yes</v>
      </c>
    </row>
    <row r="1533" spans="1:16" x14ac:dyDescent="0.25">
      <c r="A1533" s="2" t="s">
        <v>4177</v>
      </c>
      <c r="B1533" s="4">
        <v>46029.02847222222</v>
      </c>
      <c r="C1533" s="2" t="s">
        <v>67</v>
      </c>
      <c r="D1533" s="2" t="s">
        <v>68</v>
      </c>
      <c r="E1533" s="2" t="s">
        <v>90</v>
      </c>
      <c r="F1533" s="2" t="s">
        <v>30</v>
      </c>
      <c r="G1533" s="2" t="s">
        <v>211</v>
      </c>
      <c r="H1533" s="2" t="s">
        <v>74</v>
      </c>
      <c r="I1533" s="2">
        <v>8</v>
      </c>
      <c r="J1533" s="2" t="s">
        <v>106</v>
      </c>
      <c r="K1533" s="4">
        <v>46029.195138888892</v>
      </c>
      <c r="L1533" s="2" t="s">
        <v>24</v>
      </c>
      <c r="M1533" s="2">
        <v>5</v>
      </c>
      <c r="N1533" t="s">
        <v>8589</v>
      </c>
      <c r="O1533" s="8">
        <f t="shared" si="46"/>
        <v>4.0000000001164153</v>
      </c>
      <c r="P1533" t="str">
        <f t="shared" si="47"/>
        <v>Yes</v>
      </c>
    </row>
    <row r="1534" spans="1:16" x14ac:dyDescent="0.25">
      <c r="A1534" s="2" t="s">
        <v>4180</v>
      </c>
      <c r="B1534" s="4">
        <v>46042.634027777778</v>
      </c>
      <c r="C1534" s="2" t="s">
        <v>28</v>
      </c>
      <c r="D1534" s="2" t="s">
        <v>37</v>
      </c>
      <c r="E1534" s="2" t="s">
        <v>38</v>
      </c>
      <c r="F1534" s="2" t="s">
        <v>55</v>
      </c>
      <c r="G1534" s="2" t="s">
        <v>101</v>
      </c>
      <c r="H1534" s="2" t="s">
        <v>74</v>
      </c>
      <c r="I1534" s="2">
        <v>8</v>
      </c>
      <c r="J1534" s="2" t="s">
        <v>149</v>
      </c>
      <c r="K1534" s="4" t="s">
        <v>8590</v>
      </c>
      <c r="L1534" s="2" t="s">
        <v>24</v>
      </c>
      <c r="M1534" s="2"/>
      <c r="N1534" t="s">
        <v>8584</v>
      </c>
      <c r="O1534" s="8" t="str">
        <f t="shared" si="46"/>
        <v/>
      </c>
      <c r="P1534" t="str">
        <f t="shared" si="47"/>
        <v>N/A</v>
      </c>
    </row>
    <row r="1535" spans="1:16" x14ac:dyDescent="0.25">
      <c r="A1535" s="2" t="s">
        <v>4182</v>
      </c>
      <c r="B1535" s="4">
        <v>46217.317361111112</v>
      </c>
      <c r="C1535" s="2" t="s">
        <v>16</v>
      </c>
      <c r="D1535" s="2" t="s">
        <v>17</v>
      </c>
      <c r="E1535" s="2" t="s">
        <v>46</v>
      </c>
      <c r="F1535" s="2" t="s">
        <v>113</v>
      </c>
      <c r="G1535" s="2" t="s">
        <v>110</v>
      </c>
      <c r="H1535" s="2" t="s">
        <v>32</v>
      </c>
      <c r="I1535" s="2">
        <v>48</v>
      </c>
      <c r="J1535" s="2" t="s">
        <v>106</v>
      </c>
      <c r="K1535" s="4">
        <v>46218.147222222222</v>
      </c>
      <c r="L1535" s="2" t="s">
        <v>24</v>
      </c>
      <c r="M1535" s="2">
        <v>5</v>
      </c>
      <c r="N1535" t="s">
        <v>8583</v>
      </c>
      <c r="O1535" s="8">
        <f t="shared" si="46"/>
        <v>19.916666666627862</v>
      </c>
      <c r="P1535" t="str">
        <f t="shared" si="47"/>
        <v>Yes</v>
      </c>
    </row>
    <row r="1536" spans="1:16" x14ac:dyDescent="0.25">
      <c r="A1536" s="2" t="s">
        <v>4185</v>
      </c>
      <c r="B1536" s="4">
        <v>46140.354861111111</v>
      </c>
      <c r="C1536" s="2" t="s">
        <v>16</v>
      </c>
      <c r="D1536" s="2" t="s">
        <v>84</v>
      </c>
      <c r="E1536" s="2" t="s">
        <v>18</v>
      </c>
      <c r="F1536" s="2" t="s">
        <v>55</v>
      </c>
      <c r="G1536" s="2" t="s">
        <v>183</v>
      </c>
      <c r="H1536" s="2" t="s">
        <v>32</v>
      </c>
      <c r="I1536" s="2">
        <v>48</v>
      </c>
      <c r="J1536" s="2" t="s">
        <v>149</v>
      </c>
      <c r="K1536" s="4" t="s">
        <v>8590</v>
      </c>
      <c r="L1536" s="2" t="s">
        <v>24</v>
      </c>
      <c r="M1536" s="2"/>
      <c r="N1536" t="s">
        <v>8584</v>
      </c>
      <c r="O1536" s="8" t="str">
        <f t="shared" si="46"/>
        <v/>
      </c>
      <c r="P1536" t="str">
        <f t="shared" si="47"/>
        <v>N/A</v>
      </c>
    </row>
    <row r="1537" spans="1:16" x14ac:dyDescent="0.25">
      <c r="A1537" s="2" t="s">
        <v>4187</v>
      </c>
      <c r="B1537" s="4">
        <v>46156.753472222219</v>
      </c>
      <c r="C1537" s="2" t="s">
        <v>67</v>
      </c>
      <c r="D1537" s="2" t="s">
        <v>95</v>
      </c>
      <c r="E1537" s="2" t="s">
        <v>38</v>
      </c>
      <c r="F1537" s="2" t="s">
        <v>55</v>
      </c>
      <c r="G1537" s="2" t="s">
        <v>211</v>
      </c>
      <c r="H1537" s="2" t="s">
        <v>80</v>
      </c>
      <c r="I1537" s="2">
        <v>4</v>
      </c>
      <c r="J1537" s="2" t="s">
        <v>11</v>
      </c>
      <c r="K1537" s="4" t="s">
        <v>8590</v>
      </c>
      <c r="L1537" s="2" t="s">
        <v>92</v>
      </c>
      <c r="M1537" s="2"/>
      <c r="N1537" t="s">
        <v>8582</v>
      </c>
      <c r="O1537" s="8" t="str">
        <f t="shared" si="46"/>
        <v/>
      </c>
      <c r="P1537" t="str">
        <f t="shared" si="47"/>
        <v>N/A</v>
      </c>
    </row>
    <row r="1538" spans="1:16" x14ac:dyDescent="0.25">
      <c r="A1538" s="2" t="s">
        <v>4189</v>
      </c>
      <c r="B1538" s="4">
        <v>46045.475694444445</v>
      </c>
      <c r="C1538" s="2" t="s">
        <v>28</v>
      </c>
      <c r="D1538" s="2" t="s">
        <v>100</v>
      </c>
      <c r="E1538" s="2" t="s">
        <v>79</v>
      </c>
      <c r="F1538" s="2" t="s">
        <v>30</v>
      </c>
      <c r="G1538" s="2" t="s">
        <v>179</v>
      </c>
      <c r="H1538" s="2" t="s">
        <v>21</v>
      </c>
      <c r="I1538" s="2">
        <v>24</v>
      </c>
      <c r="J1538" s="2" t="s">
        <v>106</v>
      </c>
      <c r="K1538" s="4">
        <v>46046.369444444441</v>
      </c>
      <c r="L1538" s="2" t="s">
        <v>24</v>
      </c>
      <c r="M1538" s="2">
        <v>3</v>
      </c>
      <c r="N1538" t="s">
        <v>8581</v>
      </c>
      <c r="O1538" s="8">
        <f t="shared" si="46"/>
        <v>21.449999999895226</v>
      </c>
      <c r="P1538" t="str">
        <f t="shared" si="47"/>
        <v>Yes</v>
      </c>
    </row>
    <row r="1539" spans="1:16" x14ac:dyDescent="0.25">
      <c r="A1539" s="2" t="s">
        <v>4192</v>
      </c>
      <c r="B1539" s="4">
        <v>46035.136805555558</v>
      </c>
      <c r="C1539" s="2" t="s">
        <v>28</v>
      </c>
      <c r="D1539" s="2" t="s">
        <v>100</v>
      </c>
      <c r="E1539" s="2" t="s">
        <v>46</v>
      </c>
      <c r="F1539" s="2" t="s">
        <v>30</v>
      </c>
      <c r="G1539" s="2" t="s">
        <v>110</v>
      </c>
      <c r="H1539" s="2" t="s">
        <v>32</v>
      </c>
      <c r="I1539" s="2">
        <v>48</v>
      </c>
      <c r="J1539" s="2" t="s">
        <v>75</v>
      </c>
      <c r="K1539" s="4">
        <v>46036.183333333334</v>
      </c>
      <c r="L1539" s="2" t="s">
        <v>24</v>
      </c>
      <c r="M1539" s="2">
        <v>5</v>
      </c>
      <c r="N1539" t="s">
        <v>8585</v>
      </c>
      <c r="O1539" s="8">
        <f t="shared" ref="O1539:O1602" si="48">IF(K1539="","",IF(K1539="Missing Resolve Date","",(K1539-B1539)*24))</f>
        <v>25.116666666639503</v>
      </c>
      <c r="P1539" t="str">
        <f t="shared" ref="P1539:P1602" si="49">IF(J1539="Resolved",IF(O1539&lt;=I1539,"Yes","No"),"N/A")</f>
        <v>N/A</v>
      </c>
    </row>
    <row r="1540" spans="1:16" x14ac:dyDescent="0.25">
      <c r="A1540" s="2" t="s">
        <v>4195</v>
      </c>
      <c r="B1540" s="4">
        <v>46108.915972222225</v>
      </c>
      <c r="C1540" s="2" t="s">
        <v>67</v>
      </c>
      <c r="D1540" s="2" t="s">
        <v>95</v>
      </c>
      <c r="E1540" s="2" t="s">
        <v>38</v>
      </c>
      <c r="F1540" s="2" t="s">
        <v>96</v>
      </c>
      <c r="G1540" s="2" t="s">
        <v>183</v>
      </c>
      <c r="H1540" s="2" t="s">
        <v>74</v>
      </c>
      <c r="I1540" s="2">
        <v>8</v>
      </c>
      <c r="J1540" s="2" t="s">
        <v>11</v>
      </c>
      <c r="K1540" s="4" t="s">
        <v>8590</v>
      </c>
      <c r="L1540" s="2" t="s">
        <v>92</v>
      </c>
      <c r="M1540" s="2"/>
      <c r="N1540" t="s">
        <v>8588</v>
      </c>
      <c r="O1540" s="8" t="str">
        <f t="shared" si="48"/>
        <v/>
      </c>
      <c r="P1540" t="str">
        <f t="shared" si="49"/>
        <v>N/A</v>
      </c>
    </row>
    <row r="1541" spans="1:16" x14ac:dyDescent="0.25">
      <c r="A1541" s="2" t="s">
        <v>4197</v>
      </c>
      <c r="B1541" s="4">
        <v>46116.48541666667</v>
      </c>
      <c r="C1541" s="2" t="s">
        <v>53</v>
      </c>
      <c r="D1541" s="2" t="s">
        <v>54</v>
      </c>
      <c r="E1541" s="2" t="s">
        <v>18</v>
      </c>
      <c r="F1541" s="2" t="s">
        <v>96</v>
      </c>
      <c r="G1541" s="2" t="s">
        <v>211</v>
      </c>
      <c r="H1541" s="2" t="s">
        <v>21</v>
      </c>
      <c r="I1541" s="2">
        <v>24</v>
      </c>
      <c r="J1541" s="2" t="s">
        <v>11</v>
      </c>
      <c r="K1541" s="4" t="s">
        <v>8590</v>
      </c>
      <c r="L1541" s="2" t="s">
        <v>92</v>
      </c>
      <c r="M1541" s="2"/>
      <c r="N1541" t="s">
        <v>8588</v>
      </c>
      <c r="O1541" s="8" t="str">
        <f t="shared" si="48"/>
        <v/>
      </c>
      <c r="P1541" t="str">
        <f t="shared" si="49"/>
        <v>N/A</v>
      </c>
    </row>
    <row r="1542" spans="1:16" x14ac:dyDescent="0.25">
      <c r="A1542" s="2" t="s">
        <v>4199</v>
      </c>
      <c r="B1542" s="4">
        <v>46258.120138888888</v>
      </c>
      <c r="C1542" s="2" t="s">
        <v>16</v>
      </c>
      <c r="D1542" s="2" t="s">
        <v>17</v>
      </c>
      <c r="E1542" s="2" t="s">
        <v>90</v>
      </c>
      <c r="F1542" s="2" t="s">
        <v>55</v>
      </c>
      <c r="G1542" s="2" t="s">
        <v>31</v>
      </c>
      <c r="H1542" s="2" t="s">
        <v>32</v>
      </c>
      <c r="I1542" s="2">
        <v>48</v>
      </c>
      <c r="J1542" s="2" t="s">
        <v>75</v>
      </c>
      <c r="K1542" s="4">
        <v>46259.128472222219</v>
      </c>
      <c r="L1542" s="2" t="s">
        <v>24</v>
      </c>
      <c r="M1542" s="2">
        <v>5</v>
      </c>
      <c r="N1542" t="s">
        <v>8585</v>
      </c>
      <c r="O1542" s="8">
        <f t="shared" si="48"/>
        <v>24.199999999953434</v>
      </c>
      <c r="P1542" t="str">
        <f t="shared" si="49"/>
        <v>N/A</v>
      </c>
    </row>
    <row r="1543" spans="1:16" x14ac:dyDescent="0.25">
      <c r="A1543" s="2" t="s">
        <v>4202</v>
      </c>
      <c r="B1543" s="4">
        <v>46091.645138888889</v>
      </c>
      <c r="C1543" s="2" t="s">
        <v>67</v>
      </c>
      <c r="D1543" s="2" t="s">
        <v>95</v>
      </c>
      <c r="E1543" s="2" t="s">
        <v>18</v>
      </c>
      <c r="F1543" s="2" t="s">
        <v>55</v>
      </c>
      <c r="G1543" s="2" t="s">
        <v>211</v>
      </c>
      <c r="H1543" s="2" t="s">
        <v>32</v>
      </c>
      <c r="I1543" s="2">
        <v>48</v>
      </c>
      <c r="J1543" s="2" t="s">
        <v>11</v>
      </c>
      <c r="K1543" s="4" t="s">
        <v>8590</v>
      </c>
      <c r="L1543" s="2" t="s">
        <v>92</v>
      </c>
      <c r="M1543" s="2"/>
      <c r="N1543" t="s">
        <v>8581</v>
      </c>
      <c r="O1543" s="8" t="str">
        <f t="shared" si="48"/>
        <v/>
      </c>
      <c r="P1543" t="str">
        <f t="shared" si="49"/>
        <v>N/A</v>
      </c>
    </row>
    <row r="1544" spans="1:16" x14ac:dyDescent="0.25">
      <c r="A1544" s="2" t="s">
        <v>4204</v>
      </c>
      <c r="B1544" s="4">
        <v>46121.022916666669</v>
      </c>
      <c r="C1544" s="2" t="s">
        <v>67</v>
      </c>
      <c r="D1544" s="2" t="s">
        <v>68</v>
      </c>
      <c r="E1544" s="2" t="s">
        <v>79</v>
      </c>
      <c r="F1544" s="2" t="s">
        <v>96</v>
      </c>
      <c r="G1544" s="2" t="s">
        <v>211</v>
      </c>
      <c r="H1544" s="2" t="s">
        <v>80</v>
      </c>
      <c r="I1544" s="2">
        <v>4</v>
      </c>
      <c r="J1544" s="2" t="s">
        <v>106</v>
      </c>
      <c r="K1544" s="4">
        <v>46121.084722222222</v>
      </c>
      <c r="L1544" s="2" t="s">
        <v>24</v>
      </c>
      <c r="M1544" s="2"/>
      <c r="N1544" t="s">
        <v>8584</v>
      </c>
      <c r="O1544" s="8">
        <f t="shared" si="48"/>
        <v>1.4833333332790062</v>
      </c>
      <c r="P1544" t="str">
        <f t="shared" si="49"/>
        <v>Yes</v>
      </c>
    </row>
    <row r="1545" spans="1:16" x14ac:dyDescent="0.25">
      <c r="A1545" s="2" t="s">
        <v>4207</v>
      </c>
      <c r="B1545" s="4">
        <v>46035.47152777778</v>
      </c>
      <c r="C1545" s="2" t="s">
        <v>28</v>
      </c>
      <c r="D1545" s="2" t="s">
        <v>37</v>
      </c>
      <c r="E1545" s="2" t="s">
        <v>79</v>
      </c>
      <c r="F1545" s="2" t="s">
        <v>113</v>
      </c>
      <c r="G1545" s="2" t="s">
        <v>101</v>
      </c>
      <c r="H1545" s="2" t="s">
        <v>74</v>
      </c>
      <c r="I1545" s="2">
        <v>8</v>
      </c>
      <c r="J1545" s="2" t="s">
        <v>75</v>
      </c>
      <c r="K1545" s="4">
        <v>46035.518055555556</v>
      </c>
      <c r="L1545" s="2" t="s">
        <v>92</v>
      </c>
      <c r="M1545" s="2">
        <v>1</v>
      </c>
      <c r="N1545" t="s">
        <v>8589</v>
      </c>
      <c r="O1545" s="8">
        <f t="shared" si="48"/>
        <v>1.1166666666395031</v>
      </c>
      <c r="P1545" t="str">
        <f t="shared" si="49"/>
        <v>N/A</v>
      </c>
    </row>
    <row r="1546" spans="1:16" x14ac:dyDescent="0.25">
      <c r="A1546" s="2" t="s">
        <v>4210</v>
      </c>
      <c r="B1546" s="4">
        <v>46199.724999999999</v>
      </c>
      <c r="C1546" s="2" t="s">
        <v>53</v>
      </c>
      <c r="D1546" s="2" t="s">
        <v>61</v>
      </c>
      <c r="E1546" s="2" t="s">
        <v>79</v>
      </c>
      <c r="F1546" s="2" t="s">
        <v>96</v>
      </c>
      <c r="G1546" s="2" t="s">
        <v>110</v>
      </c>
      <c r="H1546" s="2" t="s">
        <v>32</v>
      </c>
      <c r="I1546" s="2">
        <v>48</v>
      </c>
      <c r="J1546" s="2" t="s">
        <v>106</v>
      </c>
      <c r="K1546" s="4">
        <v>46200.543749999997</v>
      </c>
      <c r="L1546" s="2" t="s">
        <v>24</v>
      </c>
      <c r="M1546" s="2">
        <v>5</v>
      </c>
      <c r="N1546" t="s">
        <v>8583</v>
      </c>
      <c r="O1546" s="8">
        <f t="shared" si="48"/>
        <v>19.649999999965075</v>
      </c>
      <c r="P1546" t="str">
        <f t="shared" si="49"/>
        <v>Yes</v>
      </c>
    </row>
    <row r="1547" spans="1:16" x14ac:dyDescent="0.25">
      <c r="A1547" s="2" t="s">
        <v>4213</v>
      </c>
      <c r="B1547" s="4">
        <v>46190.868055555555</v>
      </c>
      <c r="C1547" s="2" t="s">
        <v>28</v>
      </c>
      <c r="D1547" s="2" t="s">
        <v>100</v>
      </c>
      <c r="E1547" s="2" t="s">
        <v>90</v>
      </c>
      <c r="F1547" s="2" t="s">
        <v>55</v>
      </c>
      <c r="G1547" s="2" t="s">
        <v>211</v>
      </c>
      <c r="H1547" s="2" t="s">
        <v>74</v>
      </c>
      <c r="I1547" s="2">
        <v>8</v>
      </c>
      <c r="J1547" s="2" t="s">
        <v>75</v>
      </c>
      <c r="K1547" s="4">
        <v>46190.912499999999</v>
      </c>
      <c r="L1547" s="2" t="s">
        <v>92</v>
      </c>
      <c r="M1547" s="2"/>
      <c r="N1547" t="s">
        <v>8584</v>
      </c>
      <c r="O1547" s="8">
        <f t="shared" si="48"/>
        <v>1.0666666666511446</v>
      </c>
      <c r="P1547" t="str">
        <f t="shared" si="49"/>
        <v>N/A</v>
      </c>
    </row>
    <row r="1548" spans="1:16" x14ac:dyDescent="0.25">
      <c r="A1548" s="2" t="s">
        <v>4216</v>
      </c>
      <c r="B1548" s="4">
        <v>46049.590277777781</v>
      </c>
      <c r="C1548" s="2" t="s">
        <v>16</v>
      </c>
      <c r="D1548" s="2" t="s">
        <v>17</v>
      </c>
      <c r="E1548" s="2" t="s">
        <v>148</v>
      </c>
      <c r="F1548" s="2" t="s">
        <v>113</v>
      </c>
      <c r="G1548" s="2" t="s">
        <v>211</v>
      </c>
      <c r="H1548" s="2" t="s">
        <v>32</v>
      </c>
      <c r="I1548" s="2">
        <v>48</v>
      </c>
      <c r="J1548" s="2" t="s">
        <v>11</v>
      </c>
      <c r="K1548" s="4" t="s">
        <v>8590</v>
      </c>
      <c r="L1548" s="2" t="s">
        <v>92</v>
      </c>
      <c r="M1548" s="2"/>
      <c r="N1548" t="s">
        <v>8586</v>
      </c>
      <c r="O1548" s="8" t="str">
        <f t="shared" si="48"/>
        <v/>
      </c>
      <c r="P1548" t="str">
        <f t="shared" si="49"/>
        <v>N/A</v>
      </c>
    </row>
    <row r="1549" spans="1:16" x14ac:dyDescent="0.25">
      <c r="A1549" s="2" t="s">
        <v>4218</v>
      </c>
      <c r="B1549" s="4">
        <v>46159.802777777775</v>
      </c>
      <c r="C1549" s="2" t="s">
        <v>16</v>
      </c>
      <c r="D1549" s="2" t="s">
        <v>17</v>
      </c>
      <c r="E1549" s="2" t="s">
        <v>90</v>
      </c>
      <c r="F1549" s="2" t="s">
        <v>96</v>
      </c>
      <c r="G1549" s="2" t="s">
        <v>183</v>
      </c>
      <c r="H1549" s="2" t="s">
        <v>74</v>
      </c>
      <c r="I1549" s="2">
        <v>8</v>
      </c>
      <c r="J1549" s="2" t="s">
        <v>287</v>
      </c>
      <c r="K1549" s="4" t="s">
        <v>8590</v>
      </c>
      <c r="L1549" s="2" t="s">
        <v>24</v>
      </c>
      <c r="M1549" s="2"/>
      <c r="N1549" t="s">
        <v>8583</v>
      </c>
      <c r="O1549" s="8" t="str">
        <f t="shared" si="48"/>
        <v/>
      </c>
      <c r="P1549" t="str">
        <f t="shared" si="49"/>
        <v>N/A</v>
      </c>
    </row>
    <row r="1550" spans="1:16" x14ac:dyDescent="0.25">
      <c r="A1550" s="2" t="s">
        <v>4220</v>
      </c>
      <c r="B1550" s="4">
        <v>46183.726388888892</v>
      </c>
      <c r="C1550" s="2" t="s">
        <v>67</v>
      </c>
      <c r="D1550" s="2" t="s">
        <v>95</v>
      </c>
      <c r="E1550" s="2" t="s">
        <v>79</v>
      </c>
      <c r="F1550" s="2" t="s">
        <v>96</v>
      </c>
      <c r="G1550" s="2" t="s">
        <v>183</v>
      </c>
      <c r="H1550" s="2" t="s">
        <v>74</v>
      </c>
      <c r="I1550" s="2">
        <v>8</v>
      </c>
      <c r="J1550" s="2" t="s">
        <v>149</v>
      </c>
      <c r="K1550" s="4" t="s">
        <v>8590</v>
      </c>
      <c r="L1550" s="2" t="s">
        <v>24</v>
      </c>
      <c r="M1550" s="2"/>
      <c r="N1550" t="s">
        <v>8585</v>
      </c>
      <c r="O1550" s="8" t="str">
        <f t="shared" si="48"/>
        <v/>
      </c>
      <c r="P1550" t="str">
        <f t="shared" si="49"/>
        <v>N/A</v>
      </c>
    </row>
    <row r="1551" spans="1:16" x14ac:dyDescent="0.25">
      <c r="A1551" s="2" t="s">
        <v>4222</v>
      </c>
      <c r="B1551" s="4">
        <v>46123.603472222225</v>
      </c>
      <c r="C1551" s="2" t="s">
        <v>67</v>
      </c>
      <c r="D1551" s="2" t="s">
        <v>68</v>
      </c>
      <c r="E1551" s="2" t="s">
        <v>90</v>
      </c>
      <c r="F1551" s="2" t="s">
        <v>113</v>
      </c>
      <c r="G1551" s="2" t="s">
        <v>110</v>
      </c>
      <c r="H1551" s="2" t="s">
        <v>32</v>
      </c>
      <c r="I1551" s="2">
        <v>48</v>
      </c>
      <c r="J1551" s="2" t="s">
        <v>75</v>
      </c>
      <c r="K1551" s="4">
        <v>46124.936805555553</v>
      </c>
      <c r="L1551" s="2" t="s">
        <v>24</v>
      </c>
      <c r="M1551" s="2"/>
      <c r="N1551" t="s">
        <v>8588</v>
      </c>
      <c r="O1551" s="8">
        <f t="shared" si="48"/>
        <v>31.999999999883585</v>
      </c>
      <c r="P1551" t="str">
        <f t="shared" si="49"/>
        <v>N/A</v>
      </c>
    </row>
    <row r="1552" spans="1:16" x14ac:dyDescent="0.25">
      <c r="A1552" s="2" t="s">
        <v>4225</v>
      </c>
      <c r="B1552" s="4">
        <v>46210.259027777778</v>
      </c>
      <c r="C1552" s="2" t="s">
        <v>53</v>
      </c>
      <c r="D1552" s="2" t="s">
        <v>61</v>
      </c>
      <c r="E1552" s="2" t="s">
        <v>18</v>
      </c>
      <c r="F1552" s="2" t="s">
        <v>96</v>
      </c>
      <c r="G1552" s="2" t="s">
        <v>31</v>
      </c>
      <c r="H1552" s="2" t="s">
        <v>32</v>
      </c>
      <c r="I1552" s="2">
        <v>48</v>
      </c>
      <c r="J1552" s="2" t="s">
        <v>106</v>
      </c>
      <c r="K1552" s="4">
        <v>46211.255555555559</v>
      </c>
      <c r="L1552" s="2" t="s">
        <v>24</v>
      </c>
      <c r="M1552" s="2">
        <v>4</v>
      </c>
      <c r="N1552" t="s">
        <v>8581</v>
      </c>
      <c r="O1552" s="8">
        <f t="shared" si="48"/>
        <v>23.916666666744277</v>
      </c>
      <c r="P1552" t="str">
        <f t="shared" si="49"/>
        <v>Yes</v>
      </c>
    </row>
    <row r="1553" spans="1:16" x14ac:dyDescent="0.25">
      <c r="A1553" s="2" t="s">
        <v>4228</v>
      </c>
      <c r="B1553" s="4">
        <v>46104.62777777778</v>
      </c>
      <c r="C1553" s="2" t="s">
        <v>28</v>
      </c>
      <c r="D1553" s="2" t="s">
        <v>37</v>
      </c>
      <c r="E1553" s="2" t="s">
        <v>79</v>
      </c>
      <c r="F1553" s="2" t="s">
        <v>113</v>
      </c>
      <c r="G1553" s="2" t="s">
        <v>183</v>
      </c>
      <c r="H1553" s="2" t="s">
        <v>32</v>
      </c>
      <c r="I1553" s="2">
        <v>48</v>
      </c>
      <c r="J1553" s="2" t="s">
        <v>287</v>
      </c>
      <c r="K1553" s="4" t="s">
        <v>8590</v>
      </c>
      <c r="L1553" s="2" t="s">
        <v>24</v>
      </c>
      <c r="M1553" s="2"/>
      <c r="N1553" t="s">
        <v>8585</v>
      </c>
      <c r="O1553" s="8" t="str">
        <f t="shared" si="48"/>
        <v/>
      </c>
      <c r="P1553" t="str">
        <f t="shared" si="49"/>
        <v>N/A</v>
      </c>
    </row>
    <row r="1554" spans="1:16" x14ac:dyDescent="0.25">
      <c r="A1554" s="2" t="s">
        <v>4230</v>
      </c>
      <c r="B1554" s="4">
        <v>46075.993750000001</v>
      </c>
      <c r="C1554" s="2" t="s">
        <v>53</v>
      </c>
      <c r="D1554" s="2" t="s">
        <v>61</v>
      </c>
      <c r="E1554" s="2" t="s">
        <v>148</v>
      </c>
      <c r="F1554" s="2" t="s">
        <v>30</v>
      </c>
      <c r="G1554" s="2" t="s">
        <v>183</v>
      </c>
      <c r="H1554" s="2" t="s">
        <v>21</v>
      </c>
      <c r="I1554" s="2">
        <v>24</v>
      </c>
      <c r="J1554" s="2" t="s">
        <v>106</v>
      </c>
      <c r="K1554" s="4">
        <v>46076.231944444444</v>
      </c>
      <c r="L1554" s="2" t="s">
        <v>24</v>
      </c>
      <c r="M1554" s="2">
        <v>5</v>
      </c>
      <c r="N1554" t="s">
        <v>8583</v>
      </c>
      <c r="O1554" s="8">
        <f t="shared" si="48"/>
        <v>5.71666666661622</v>
      </c>
      <c r="P1554" t="str">
        <f t="shared" si="49"/>
        <v>Yes</v>
      </c>
    </row>
    <row r="1555" spans="1:16" x14ac:dyDescent="0.25">
      <c r="A1555" s="2" t="s">
        <v>4233</v>
      </c>
      <c r="B1555" s="4">
        <v>46197.599999999999</v>
      </c>
      <c r="C1555" s="2" t="s">
        <v>16</v>
      </c>
      <c r="D1555" s="2" t="s">
        <v>17</v>
      </c>
      <c r="E1555" s="2" t="s">
        <v>38</v>
      </c>
      <c r="F1555" s="2" t="s">
        <v>113</v>
      </c>
      <c r="G1555" s="2" t="s">
        <v>110</v>
      </c>
      <c r="H1555" s="2" t="s">
        <v>32</v>
      </c>
      <c r="I1555" s="2">
        <v>48</v>
      </c>
      <c r="J1555" s="2" t="s">
        <v>75</v>
      </c>
      <c r="K1555" s="4">
        <v>46198.040972222225</v>
      </c>
      <c r="L1555" s="2" t="s">
        <v>24</v>
      </c>
      <c r="M1555" s="2">
        <v>4</v>
      </c>
      <c r="N1555" t="s">
        <v>8581</v>
      </c>
      <c r="O1555" s="8">
        <f t="shared" si="48"/>
        <v>10.583333333430346</v>
      </c>
      <c r="P1555" t="str">
        <f t="shared" si="49"/>
        <v>N/A</v>
      </c>
    </row>
    <row r="1556" spans="1:16" x14ac:dyDescent="0.25">
      <c r="A1556" s="2" t="s">
        <v>4236</v>
      </c>
      <c r="B1556" s="4">
        <v>46206.626388888886</v>
      </c>
      <c r="C1556" s="2" t="s">
        <v>16</v>
      </c>
      <c r="D1556" s="2" t="s">
        <v>17</v>
      </c>
      <c r="E1556" s="2" t="s">
        <v>148</v>
      </c>
      <c r="F1556" s="2" t="s">
        <v>55</v>
      </c>
      <c r="G1556" s="2" t="s">
        <v>179</v>
      </c>
      <c r="H1556" s="2" t="s">
        <v>74</v>
      </c>
      <c r="I1556" s="2">
        <v>8</v>
      </c>
      <c r="J1556" s="2" t="s">
        <v>11</v>
      </c>
      <c r="K1556" s="4" t="s">
        <v>8590</v>
      </c>
      <c r="L1556" s="2" t="s">
        <v>92</v>
      </c>
      <c r="M1556" s="2"/>
      <c r="N1556" t="s">
        <v>8583</v>
      </c>
      <c r="O1556" s="8" t="str">
        <f t="shared" si="48"/>
        <v/>
      </c>
      <c r="P1556" t="str">
        <f t="shared" si="49"/>
        <v>N/A</v>
      </c>
    </row>
    <row r="1557" spans="1:16" x14ac:dyDescent="0.25">
      <c r="A1557" s="2" t="s">
        <v>4238</v>
      </c>
      <c r="B1557" s="4">
        <v>46229.256944444445</v>
      </c>
      <c r="C1557" s="2" t="s">
        <v>16</v>
      </c>
      <c r="D1557" s="2" t="s">
        <v>84</v>
      </c>
      <c r="E1557" s="2" t="s">
        <v>79</v>
      </c>
      <c r="F1557" s="2" t="s">
        <v>55</v>
      </c>
      <c r="G1557" s="2" t="s">
        <v>31</v>
      </c>
      <c r="H1557" s="2" t="s">
        <v>80</v>
      </c>
      <c r="I1557" s="2">
        <v>4</v>
      </c>
      <c r="J1557" s="2" t="s">
        <v>106</v>
      </c>
      <c r="K1557" s="4">
        <v>46229.355555555558</v>
      </c>
      <c r="L1557" s="2" t="s">
        <v>24</v>
      </c>
      <c r="M1557" s="2"/>
      <c r="N1557" t="s">
        <v>8588</v>
      </c>
      <c r="O1557" s="8">
        <f t="shared" si="48"/>
        <v>2.3666666666977108</v>
      </c>
      <c r="P1557" t="str">
        <f t="shared" si="49"/>
        <v>Yes</v>
      </c>
    </row>
    <row r="1558" spans="1:16" x14ac:dyDescent="0.25">
      <c r="A1558" s="2" t="s">
        <v>4241</v>
      </c>
      <c r="B1558" s="4">
        <v>46240.095833333333</v>
      </c>
      <c r="C1558" s="2" t="s">
        <v>28</v>
      </c>
      <c r="D1558" s="2" t="s">
        <v>100</v>
      </c>
      <c r="E1558" s="2" t="s">
        <v>85</v>
      </c>
      <c r="F1558" s="2" t="s">
        <v>96</v>
      </c>
      <c r="G1558" s="2" t="s">
        <v>211</v>
      </c>
      <c r="H1558" s="2" t="s">
        <v>21</v>
      </c>
      <c r="I1558" s="2">
        <v>24</v>
      </c>
      <c r="J1558" s="2" t="s">
        <v>75</v>
      </c>
      <c r="K1558" s="4">
        <v>46240.459027777775</v>
      </c>
      <c r="L1558" s="2" t="s">
        <v>24</v>
      </c>
      <c r="M1558" s="2">
        <v>5</v>
      </c>
      <c r="N1558" t="s">
        <v>8585</v>
      </c>
      <c r="O1558" s="8">
        <f t="shared" si="48"/>
        <v>8.71666666661622</v>
      </c>
      <c r="P1558" t="str">
        <f t="shared" si="49"/>
        <v>N/A</v>
      </c>
    </row>
    <row r="1559" spans="1:16" x14ac:dyDescent="0.25">
      <c r="A1559" s="2" t="s">
        <v>4244</v>
      </c>
      <c r="B1559" s="4">
        <v>46183.443749999999</v>
      </c>
      <c r="C1559" s="2" t="s">
        <v>53</v>
      </c>
      <c r="D1559" s="2" t="s">
        <v>61</v>
      </c>
      <c r="E1559" s="2" t="s">
        <v>38</v>
      </c>
      <c r="F1559" s="2" t="s">
        <v>55</v>
      </c>
      <c r="G1559" s="2" t="s">
        <v>183</v>
      </c>
      <c r="H1559" s="2" t="s">
        <v>32</v>
      </c>
      <c r="I1559" s="2">
        <v>48</v>
      </c>
      <c r="J1559" s="2" t="s">
        <v>106</v>
      </c>
      <c r="K1559" s="4">
        <v>46183.780555555553</v>
      </c>
      <c r="L1559" s="2" t="s">
        <v>24</v>
      </c>
      <c r="M1559" s="2"/>
      <c r="N1559" t="s">
        <v>8589</v>
      </c>
      <c r="O1559" s="8">
        <f t="shared" si="48"/>
        <v>8.0833333333139308</v>
      </c>
      <c r="P1559" t="str">
        <f t="shared" si="49"/>
        <v>Yes</v>
      </c>
    </row>
    <row r="1560" spans="1:16" x14ac:dyDescent="0.25">
      <c r="A1560" s="2" t="s">
        <v>4247</v>
      </c>
      <c r="B1560" s="4">
        <v>46043.928472222222</v>
      </c>
      <c r="C1560" s="2" t="s">
        <v>16</v>
      </c>
      <c r="D1560" s="2" t="s">
        <v>17</v>
      </c>
      <c r="E1560" s="2" t="s">
        <v>90</v>
      </c>
      <c r="F1560" s="2" t="s">
        <v>96</v>
      </c>
      <c r="G1560" s="2" t="s">
        <v>110</v>
      </c>
      <c r="H1560" s="2" t="s">
        <v>74</v>
      </c>
      <c r="I1560" s="2">
        <v>8</v>
      </c>
      <c r="J1560" s="2" t="s">
        <v>287</v>
      </c>
      <c r="K1560" s="4" t="s">
        <v>8590</v>
      </c>
      <c r="L1560" s="2" t="s">
        <v>24</v>
      </c>
      <c r="M1560" s="2"/>
      <c r="N1560" t="s">
        <v>8583</v>
      </c>
      <c r="O1560" s="8" t="str">
        <f t="shared" si="48"/>
        <v/>
      </c>
      <c r="P1560" t="str">
        <f t="shared" si="49"/>
        <v>N/A</v>
      </c>
    </row>
    <row r="1561" spans="1:16" x14ac:dyDescent="0.25">
      <c r="A1561" s="2" t="s">
        <v>4249</v>
      </c>
      <c r="B1561" s="4">
        <v>46131.986111111109</v>
      </c>
      <c r="C1561" s="2" t="s">
        <v>28</v>
      </c>
      <c r="D1561" s="2" t="s">
        <v>100</v>
      </c>
      <c r="E1561" s="2" t="s">
        <v>148</v>
      </c>
      <c r="F1561" s="2" t="s">
        <v>96</v>
      </c>
      <c r="G1561" s="2" t="s">
        <v>183</v>
      </c>
      <c r="H1561" s="2" t="s">
        <v>32</v>
      </c>
      <c r="I1561" s="2">
        <v>48</v>
      </c>
      <c r="J1561" s="2" t="s">
        <v>106</v>
      </c>
      <c r="K1561" s="4">
        <v>46133.143750000003</v>
      </c>
      <c r="L1561" s="2" t="s">
        <v>24</v>
      </c>
      <c r="M1561" s="2">
        <v>5</v>
      </c>
      <c r="N1561" t="s">
        <v>8581</v>
      </c>
      <c r="O1561" s="8">
        <f t="shared" si="48"/>
        <v>27.783333333441988</v>
      </c>
      <c r="P1561" t="str">
        <f t="shared" si="49"/>
        <v>Yes</v>
      </c>
    </row>
    <row r="1562" spans="1:16" x14ac:dyDescent="0.25">
      <c r="A1562" s="2" t="s">
        <v>4252</v>
      </c>
      <c r="B1562" s="4">
        <v>46156.088888888888</v>
      </c>
      <c r="C1562" s="2" t="s">
        <v>16</v>
      </c>
      <c r="D1562" s="2" t="s">
        <v>17</v>
      </c>
      <c r="E1562" s="2" t="s">
        <v>90</v>
      </c>
      <c r="F1562" s="2" t="s">
        <v>55</v>
      </c>
      <c r="G1562" s="2" t="s">
        <v>183</v>
      </c>
      <c r="H1562" s="2" t="s">
        <v>32</v>
      </c>
      <c r="I1562" s="2">
        <v>48</v>
      </c>
      <c r="J1562" s="2" t="s">
        <v>106</v>
      </c>
      <c r="K1562" s="4">
        <v>46156.611111111109</v>
      </c>
      <c r="L1562" s="2" t="s">
        <v>24</v>
      </c>
      <c r="M1562" s="2"/>
      <c r="N1562" t="s">
        <v>8587</v>
      </c>
      <c r="O1562" s="8">
        <f t="shared" si="48"/>
        <v>12.533333333325572</v>
      </c>
      <c r="P1562" t="str">
        <f t="shared" si="49"/>
        <v>Yes</v>
      </c>
    </row>
    <row r="1563" spans="1:16" x14ac:dyDescent="0.25">
      <c r="A1563" s="2" t="s">
        <v>4255</v>
      </c>
      <c r="B1563" s="4">
        <v>46198.217361111114</v>
      </c>
      <c r="C1563" s="2" t="s">
        <v>28</v>
      </c>
      <c r="D1563" s="2" t="s">
        <v>100</v>
      </c>
      <c r="E1563" s="2" t="s">
        <v>46</v>
      </c>
      <c r="F1563" s="2" t="s">
        <v>96</v>
      </c>
      <c r="G1563" s="2" t="s">
        <v>31</v>
      </c>
      <c r="H1563" s="2" t="s">
        <v>74</v>
      </c>
      <c r="I1563" s="2">
        <v>8</v>
      </c>
      <c r="J1563" s="2" t="s">
        <v>287</v>
      </c>
      <c r="K1563" s="4" t="s">
        <v>8590</v>
      </c>
      <c r="L1563" s="2" t="s">
        <v>24</v>
      </c>
      <c r="M1563" s="2"/>
      <c r="N1563" t="s">
        <v>8589</v>
      </c>
      <c r="O1563" s="8" t="str">
        <f t="shared" si="48"/>
        <v/>
      </c>
      <c r="P1563" t="str">
        <f t="shared" si="49"/>
        <v>N/A</v>
      </c>
    </row>
    <row r="1564" spans="1:16" x14ac:dyDescent="0.25">
      <c r="A1564" s="2" t="s">
        <v>4257</v>
      </c>
      <c r="B1564" s="4">
        <v>46075.742361111108</v>
      </c>
      <c r="C1564" s="2" t="s">
        <v>28</v>
      </c>
      <c r="D1564" s="2" t="s">
        <v>37</v>
      </c>
      <c r="E1564" s="2" t="s">
        <v>148</v>
      </c>
      <c r="F1564" s="2" t="s">
        <v>55</v>
      </c>
      <c r="G1564" s="2" t="s">
        <v>179</v>
      </c>
      <c r="H1564" s="2" t="s">
        <v>21</v>
      </c>
      <c r="I1564" s="2">
        <v>24</v>
      </c>
      <c r="J1564" s="2" t="s">
        <v>149</v>
      </c>
      <c r="K1564" s="4" t="s">
        <v>8590</v>
      </c>
      <c r="L1564" s="2" t="s">
        <v>24</v>
      </c>
      <c r="M1564" s="2"/>
      <c r="N1564" t="s">
        <v>8586</v>
      </c>
      <c r="O1564" s="8" t="str">
        <f t="shared" si="48"/>
        <v/>
      </c>
      <c r="P1564" t="str">
        <f t="shared" si="49"/>
        <v>N/A</v>
      </c>
    </row>
    <row r="1565" spans="1:16" x14ac:dyDescent="0.25">
      <c r="A1565" s="2" t="s">
        <v>4259</v>
      </c>
      <c r="B1565" s="4">
        <v>46222.515972222223</v>
      </c>
      <c r="C1565" s="2" t="s">
        <v>16</v>
      </c>
      <c r="D1565" s="2" t="s">
        <v>84</v>
      </c>
      <c r="E1565" s="2" t="s">
        <v>85</v>
      </c>
      <c r="F1565" s="2" t="s">
        <v>30</v>
      </c>
      <c r="G1565" s="2" t="s">
        <v>110</v>
      </c>
      <c r="H1565" s="2" t="s">
        <v>74</v>
      </c>
      <c r="I1565" s="2">
        <v>8</v>
      </c>
      <c r="J1565" s="2" t="s">
        <v>106</v>
      </c>
      <c r="K1565" s="4">
        <v>46222.637499999997</v>
      </c>
      <c r="L1565" s="2" t="s">
        <v>24</v>
      </c>
      <c r="M1565" s="2"/>
      <c r="N1565" t="s">
        <v>8586</v>
      </c>
      <c r="O1565" s="8">
        <f t="shared" si="48"/>
        <v>2.9166666665696539</v>
      </c>
      <c r="P1565" t="str">
        <f t="shared" si="49"/>
        <v>Yes</v>
      </c>
    </row>
    <row r="1566" spans="1:16" x14ac:dyDescent="0.25">
      <c r="A1566" s="2" t="s">
        <v>4262</v>
      </c>
      <c r="B1566" s="4">
        <v>46214.022222222222</v>
      </c>
      <c r="C1566" s="2" t="s">
        <v>16</v>
      </c>
      <c r="D1566" s="2" t="s">
        <v>84</v>
      </c>
      <c r="E1566" s="2" t="s">
        <v>38</v>
      </c>
      <c r="F1566" s="2" t="s">
        <v>96</v>
      </c>
      <c r="G1566" s="2" t="s">
        <v>183</v>
      </c>
      <c r="H1566" s="2" t="s">
        <v>32</v>
      </c>
      <c r="I1566" s="2">
        <v>48</v>
      </c>
      <c r="J1566" s="2" t="s">
        <v>106</v>
      </c>
      <c r="K1566" s="4">
        <v>46214.911805555559</v>
      </c>
      <c r="L1566" s="2" t="s">
        <v>24</v>
      </c>
      <c r="M1566" s="2">
        <v>2</v>
      </c>
      <c r="N1566" t="s">
        <v>8589</v>
      </c>
      <c r="O1566" s="8">
        <f t="shared" si="48"/>
        <v>21.350000000093132</v>
      </c>
      <c r="P1566" t="str">
        <f t="shared" si="49"/>
        <v>Yes</v>
      </c>
    </row>
    <row r="1567" spans="1:16" x14ac:dyDescent="0.25">
      <c r="A1567" s="2" t="s">
        <v>4265</v>
      </c>
      <c r="B1567" s="4">
        <v>46044.621527777781</v>
      </c>
      <c r="C1567" s="2" t="s">
        <v>53</v>
      </c>
      <c r="D1567" s="2" t="s">
        <v>61</v>
      </c>
      <c r="E1567" s="2" t="s">
        <v>79</v>
      </c>
      <c r="F1567" s="2" t="s">
        <v>55</v>
      </c>
      <c r="G1567" s="2" t="s">
        <v>183</v>
      </c>
      <c r="H1567" s="2" t="s">
        <v>32</v>
      </c>
      <c r="I1567" s="2">
        <v>48</v>
      </c>
      <c r="J1567" s="2" t="s">
        <v>106</v>
      </c>
      <c r="K1567" s="4">
        <v>46045.161805555559</v>
      </c>
      <c r="L1567" s="2" t="s">
        <v>24</v>
      </c>
      <c r="M1567" s="2">
        <v>5</v>
      </c>
      <c r="N1567" t="s">
        <v>8581</v>
      </c>
      <c r="O1567" s="8">
        <f t="shared" si="48"/>
        <v>12.966666666674428</v>
      </c>
      <c r="P1567" t="str">
        <f t="shared" si="49"/>
        <v>Yes</v>
      </c>
    </row>
    <row r="1568" spans="1:16" x14ac:dyDescent="0.25">
      <c r="A1568" s="2" t="s">
        <v>4268</v>
      </c>
      <c r="B1568" s="4">
        <v>46130.724305555559</v>
      </c>
      <c r="C1568" s="2" t="s">
        <v>67</v>
      </c>
      <c r="D1568" s="2" t="s">
        <v>95</v>
      </c>
      <c r="E1568" s="2" t="s">
        <v>18</v>
      </c>
      <c r="F1568" s="2" t="s">
        <v>30</v>
      </c>
      <c r="G1568" s="2" t="s">
        <v>183</v>
      </c>
      <c r="H1568" s="2" t="s">
        <v>21</v>
      </c>
      <c r="I1568" s="2">
        <v>24</v>
      </c>
      <c r="J1568" s="2" t="s">
        <v>149</v>
      </c>
      <c r="K1568" s="4" t="s">
        <v>8590</v>
      </c>
      <c r="L1568" s="2" t="s">
        <v>24</v>
      </c>
      <c r="M1568" s="2"/>
      <c r="N1568" t="s">
        <v>8583</v>
      </c>
      <c r="O1568" s="8" t="str">
        <f t="shared" si="48"/>
        <v/>
      </c>
      <c r="P1568" t="str">
        <f t="shared" si="49"/>
        <v>N/A</v>
      </c>
    </row>
    <row r="1569" spans="1:16" x14ac:dyDescent="0.25">
      <c r="A1569" s="2" t="s">
        <v>4270</v>
      </c>
      <c r="B1569" s="4">
        <v>46249.818055555559</v>
      </c>
      <c r="C1569" s="2" t="s">
        <v>53</v>
      </c>
      <c r="D1569" s="2" t="s">
        <v>61</v>
      </c>
      <c r="E1569" s="2" t="s">
        <v>46</v>
      </c>
      <c r="F1569" s="2" t="s">
        <v>96</v>
      </c>
      <c r="G1569" s="2" t="s">
        <v>211</v>
      </c>
      <c r="H1569" s="2" t="s">
        <v>21</v>
      </c>
      <c r="I1569" s="2">
        <v>24</v>
      </c>
      <c r="J1569" s="2" t="s">
        <v>287</v>
      </c>
      <c r="K1569" s="4" t="s">
        <v>8590</v>
      </c>
      <c r="L1569" s="2" t="s">
        <v>24</v>
      </c>
      <c r="M1569" s="2"/>
      <c r="N1569" t="s">
        <v>8588</v>
      </c>
      <c r="O1569" s="8" t="str">
        <f t="shared" si="48"/>
        <v/>
      </c>
      <c r="P1569" t="str">
        <f t="shared" si="49"/>
        <v>N/A</v>
      </c>
    </row>
    <row r="1570" spans="1:16" x14ac:dyDescent="0.25">
      <c r="A1570" s="2" t="s">
        <v>4272</v>
      </c>
      <c r="B1570" s="4">
        <v>46205.490972222222</v>
      </c>
      <c r="C1570" s="2" t="s">
        <v>53</v>
      </c>
      <c r="D1570" s="2" t="s">
        <v>61</v>
      </c>
      <c r="E1570" s="2" t="s">
        <v>79</v>
      </c>
      <c r="F1570" s="2" t="s">
        <v>96</v>
      </c>
      <c r="G1570" s="2" t="s">
        <v>211</v>
      </c>
      <c r="H1570" s="2" t="s">
        <v>21</v>
      </c>
      <c r="I1570" s="2">
        <v>24</v>
      </c>
      <c r="J1570" s="2" t="s">
        <v>75</v>
      </c>
      <c r="K1570" s="4">
        <v>46206.179861111108</v>
      </c>
      <c r="L1570" s="2" t="s">
        <v>92</v>
      </c>
      <c r="M1570" s="2">
        <v>2</v>
      </c>
      <c r="N1570" t="s">
        <v>8586</v>
      </c>
      <c r="O1570" s="8">
        <f t="shared" si="48"/>
        <v>16.533333333267365</v>
      </c>
      <c r="P1570" t="str">
        <f t="shared" si="49"/>
        <v>N/A</v>
      </c>
    </row>
    <row r="1571" spans="1:16" x14ac:dyDescent="0.25">
      <c r="A1571" s="2" t="s">
        <v>4275</v>
      </c>
      <c r="B1571" s="4">
        <v>46129.092361111114</v>
      </c>
      <c r="C1571" s="2" t="s">
        <v>28</v>
      </c>
      <c r="D1571" s="2" t="s">
        <v>37</v>
      </c>
      <c r="E1571" s="2" t="s">
        <v>148</v>
      </c>
      <c r="F1571" s="2" t="s">
        <v>96</v>
      </c>
      <c r="G1571" s="2" t="s">
        <v>110</v>
      </c>
      <c r="H1571" s="2" t="s">
        <v>21</v>
      </c>
      <c r="I1571" s="2">
        <v>24</v>
      </c>
      <c r="J1571" s="2" t="s">
        <v>106</v>
      </c>
      <c r="K1571" s="4">
        <v>46129.577777777777</v>
      </c>
      <c r="L1571" s="2" t="s">
        <v>24</v>
      </c>
      <c r="M1571" s="2"/>
      <c r="N1571" t="s">
        <v>8586</v>
      </c>
      <c r="O1571" s="8">
        <f t="shared" si="48"/>
        <v>11.649999999906868</v>
      </c>
      <c r="P1571" t="str">
        <f t="shared" si="49"/>
        <v>Yes</v>
      </c>
    </row>
    <row r="1572" spans="1:16" x14ac:dyDescent="0.25">
      <c r="A1572" s="2" t="s">
        <v>4278</v>
      </c>
      <c r="B1572" s="4">
        <v>46119.823611111111</v>
      </c>
      <c r="C1572" s="2" t="s">
        <v>16</v>
      </c>
      <c r="D1572" s="2" t="s">
        <v>84</v>
      </c>
      <c r="E1572" s="2" t="s">
        <v>79</v>
      </c>
      <c r="F1572" s="2" t="s">
        <v>55</v>
      </c>
      <c r="G1572" s="2" t="s">
        <v>183</v>
      </c>
      <c r="H1572" s="2" t="s">
        <v>21</v>
      </c>
      <c r="I1572" s="2">
        <v>24</v>
      </c>
      <c r="J1572" s="2" t="s">
        <v>75</v>
      </c>
      <c r="K1572" s="4">
        <v>46120.034722222219</v>
      </c>
      <c r="L1572" s="2" t="s">
        <v>24</v>
      </c>
      <c r="M1572" s="2">
        <v>5</v>
      </c>
      <c r="N1572" t="s">
        <v>8583</v>
      </c>
      <c r="O1572" s="8">
        <f t="shared" si="48"/>
        <v>5.066666666592937</v>
      </c>
      <c r="P1572" t="str">
        <f t="shared" si="49"/>
        <v>N/A</v>
      </c>
    </row>
    <row r="1573" spans="1:16" x14ac:dyDescent="0.25">
      <c r="A1573" s="2" t="s">
        <v>4281</v>
      </c>
      <c r="B1573" s="4">
        <v>46041.046527777777</v>
      </c>
      <c r="C1573" s="2" t="s">
        <v>53</v>
      </c>
      <c r="D1573" s="2" t="s">
        <v>61</v>
      </c>
      <c r="E1573" s="2" t="s">
        <v>38</v>
      </c>
      <c r="F1573" s="2" t="s">
        <v>30</v>
      </c>
      <c r="G1573" s="2" t="s">
        <v>211</v>
      </c>
      <c r="H1573" s="2" t="s">
        <v>21</v>
      </c>
      <c r="I1573" s="2">
        <v>24</v>
      </c>
      <c r="J1573" s="2" t="s">
        <v>106</v>
      </c>
      <c r="K1573" s="4">
        <v>46041.401388888888</v>
      </c>
      <c r="L1573" s="2" t="s">
        <v>24</v>
      </c>
      <c r="M1573" s="2">
        <v>5</v>
      </c>
      <c r="N1573" t="s">
        <v>8587</v>
      </c>
      <c r="O1573" s="8">
        <f t="shared" si="48"/>
        <v>8.5166666666627862</v>
      </c>
      <c r="P1573" t="str">
        <f t="shared" si="49"/>
        <v>Yes</v>
      </c>
    </row>
    <row r="1574" spans="1:16" x14ac:dyDescent="0.25">
      <c r="A1574" s="2" t="s">
        <v>4284</v>
      </c>
      <c r="B1574" s="4">
        <v>46105.256944444445</v>
      </c>
      <c r="C1574" s="2" t="s">
        <v>53</v>
      </c>
      <c r="D1574" s="2" t="s">
        <v>61</v>
      </c>
      <c r="E1574" s="2" t="s">
        <v>18</v>
      </c>
      <c r="F1574" s="2" t="s">
        <v>55</v>
      </c>
      <c r="G1574" s="2" t="s">
        <v>211</v>
      </c>
      <c r="H1574" s="2" t="s">
        <v>21</v>
      </c>
      <c r="I1574" s="2">
        <v>24</v>
      </c>
      <c r="J1574" s="2" t="s">
        <v>106</v>
      </c>
      <c r="K1574" s="4">
        <v>46105.52847222222</v>
      </c>
      <c r="L1574" s="2" t="s">
        <v>92</v>
      </c>
      <c r="M1574" s="2"/>
      <c r="N1574" t="s">
        <v>8581</v>
      </c>
      <c r="O1574" s="8">
        <f t="shared" si="48"/>
        <v>6.5166666666045785</v>
      </c>
      <c r="P1574" t="str">
        <f t="shared" si="49"/>
        <v>Yes</v>
      </c>
    </row>
    <row r="1575" spans="1:16" x14ac:dyDescent="0.25">
      <c r="A1575" s="2" t="s">
        <v>4287</v>
      </c>
      <c r="B1575" s="4">
        <v>46027.591666666667</v>
      </c>
      <c r="C1575" s="2" t="s">
        <v>28</v>
      </c>
      <c r="D1575" s="2" t="s">
        <v>37</v>
      </c>
      <c r="E1575" s="2" t="s">
        <v>90</v>
      </c>
      <c r="F1575" s="2" t="s">
        <v>30</v>
      </c>
      <c r="G1575" s="2" t="s">
        <v>110</v>
      </c>
      <c r="H1575" s="2" t="s">
        <v>21</v>
      </c>
      <c r="I1575" s="2">
        <v>24</v>
      </c>
      <c r="J1575" s="2" t="s">
        <v>106</v>
      </c>
      <c r="K1575" s="4">
        <v>46029.49722222222</v>
      </c>
      <c r="L1575" s="2" t="s">
        <v>24</v>
      </c>
      <c r="M1575" s="2">
        <v>1</v>
      </c>
      <c r="N1575" t="s">
        <v>8583</v>
      </c>
      <c r="O1575" s="8">
        <f t="shared" si="48"/>
        <v>45.733333333279006</v>
      </c>
      <c r="P1575" t="str">
        <f t="shared" si="49"/>
        <v>No</v>
      </c>
    </row>
    <row r="1576" spans="1:16" x14ac:dyDescent="0.25">
      <c r="A1576" s="2" t="s">
        <v>4290</v>
      </c>
      <c r="B1576" s="4">
        <v>46182.029861111114</v>
      </c>
      <c r="C1576" s="2" t="s">
        <v>28</v>
      </c>
      <c r="D1576" s="2" t="s">
        <v>37</v>
      </c>
      <c r="E1576" s="2" t="s">
        <v>38</v>
      </c>
      <c r="F1576" s="2" t="s">
        <v>30</v>
      </c>
      <c r="G1576" s="2" t="s">
        <v>179</v>
      </c>
      <c r="H1576" s="2" t="s">
        <v>32</v>
      </c>
      <c r="I1576" s="2">
        <v>48</v>
      </c>
      <c r="J1576" s="2" t="s">
        <v>287</v>
      </c>
      <c r="K1576" s="4" t="s">
        <v>8590</v>
      </c>
      <c r="L1576" s="2" t="s">
        <v>24</v>
      </c>
      <c r="M1576" s="2"/>
      <c r="N1576" t="s">
        <v>8581</v>
      </c>
      <c r="O1576" s="8" t="str">
        <f t="shared" si="48"/>
        <v/>
      </c>
      <c r="P1576" t="str">
        <f t="shared" si="49"/>
        <v>N/A</v>
      </c>
    </row>
    <row r="1577" spans="1:16" x14ac:dyDescent="0.25">
      <c r="A1577" s="2" t="s">
        <v>4292</v>
      </c>
      <c r="B1577" s="4">
        <v>46209.102083333331</v>
      </c>
      <c r="C1577" s="2" t="s">
        <v>28</v>
      </c>
      <c r="D1577" s="2" t="s">
        <v>100</v>
      </c>
      <c r="E1577" s="2" t="s">
        <v>85</v>
      </c>
      <c r="F1577" s="2" t="s">
        <v>30</v>
      </c>
      <c r="G1577" s="2" t="s">
        <v>101</v>
      </c>
      <c r="H1577" s="2" t="s">
        <v>32</v>
      </c>
      <c r="I1577" s="2">
        <v>48</v>
      </c>
      <c r="J1577" s="2" t="s">
        <v>106</v>
      </c>
      <c r="K1577" s="4">
        <v>46209.568055555559</v>
      </c>
      <c r="L1577" s="2" t="s">
        <v>24</v>
      </c>
      <c r="M1577" s="2">
        <v>3</v>
      </c>
      <c r="N1577" t="s">
        <v>8587</v>
      </c>
      <c r="O1577" s="8">
        <f t="shared" si="48"/>
        <v>11.183333333465271</v>
      </c>
      <c r="P1577" t="str">
        <f t="shared" si="49"/>
        <v>Yes</v>
      </c>
    </row>
    <row r="1578" spans="1:16" x14ac:dyDescent="0.25">
      <c r="A1578" s="2" t="s">
        <v>4295</v>
      </c>
      <c r="B1578" s="4">
        <v>46261.981249999997</v>
      </c>
      <c r="C1578" s="2" t="s">
        <v>67</v>
      </c>
      <c r="D1578" s="2" t="s">
        <v>68</v>
      </c>
      <c r="E1578" s="2" t="s">
        <v>46</v>
      </c>
      <c r="F1578" s="2" t="s">
        <v>113</v>
      </c>
      <c r="G1578" s="2" t="s">
        <v>183</v>
      </c>
      <c r="H1578" s="2" t="s">
        <v>21</v>
      </c>
      <c r="I1578" s="2">
        <v>24</v>
      </c>
      <c r="J1578" s="2" t="s">
        <v>106</v>
      </c>
      <c r="K1578" s="4">
        <v>46262.145833333336</v>
      </c>
      <c r="L1578" s="2" t="s">
        <v>24</v>
      </c>
      <c r="M1578" s="2"/>
      <c r="N1578" t="s">
        <v>8589</v>
      </c>
      <c r="O1578" s="8">
        <f t="shared" si="48"/>
        <v>3.9500000001280569</v>
      </c>
      <c r="P1578" t="str">
        <f t="shared" si="49"/>
        <v>Yes</v>
      </c>
    </row>
    <row r="1579" spans="1:16" x14ac:dyDescent="0.25">
      <c r="A1579" s="2" t="s">
        <v>4298</v>
      </c>
      <c r="B1579" s="4">
        <v>46204.785416666666</v>
      </c>
      <c r="C1579" s="2" t="s">
        <v>67</v>
      </c>
      <c r="D1579" s="2" t="s">
        <v>68</v>
      </c>
      <c r="E1579" s="2" t="s">
        <v>79</v>
      </c>
      <c r="F1579" s="2" t="s">
        <v>96</v>
      </c>
      <c r="G1579" s="2" t="s">
        <v>101</v>
      </c>
      <c r="H1579" s="2" t="s">
        <v>32</v>
      </c>
      <c r="I1579" s="2">
        <v>48</v>
      </c>
      <c r="J1579" s="2" t="s">
        <v>106</v>
      </c>
      <c r="K1579" s="4">
        <v>46207.576388888891</v>
      </c>
      <c r="L1579" s="2" t="s">
        <v>24</v>
      </c>
      <c r="M1579" s="2"/>
      <c r="N1579" t="s">
        <v>8583</v>
      </c>
      <c r="O1579" s="8">
        <f t="shared" si="48"/>
        <v>66.983333333395422</v>
      </c>
      <c r="P1579" t="str">
        <f t="shared" si="49"/>
        <v>No</v>
      </c>
    </row>
    <row r="1580" spans="1:16" x14ac:dyDescent="0.25">
      <c r="A1580" s="2" t="s">
        <v>4301</v>
      </c>
      <c r="B1580" s="4">
        <v>46044.038194444445</v>
      </c>
      <c r="C1580" s="2" t="s">
        <v>53</v>
      </c>
      <c r="D1580" s="2" t="s">
        <v>61</v>
      </c>
      <c r="E1580" s="2" t="s">
        <v>90</v>
      </c>
      <c r="F1580" s="2" t="s">
        <v>96</v>
      </c>
      <c r="G1580" s="2" t="s">
        <v>110</v>
      </c>
      <c r="H1580" s="2" t="s">
        <v>21</v>
      </c>
      <c r="I1580" s="2">
        <v>24</v>
      </c>
      <c r="J1580" s="2" t="s">
        <v>106</v>
      </c>
      <c r="K1580" s="4">
        <v>46044.470833333333</v>
      </c>
      <c r="L1580" s="2" t="s">
        <v>92</v>
      </c>
      <c r="M1580" s="2">
        <v>5</v>
      </c>
      <c r="N1580" t="s">
        <v>8582</v>
      </c>
      <c r="O1580" s="8">
        <f t="shared" si="48"/>
        <v>10.383333333302289</v>
      </c>
      <c r="P1580" t="str">
        <f t="shared" si="49"/>
        <v>Yes</v>
      </c>
    </row>
    <row r="1581" spans="1:16" x14ac:dyDescent="0.25">
      <c r="A1581" s="2" t="s">
        <v>4304</v>
      </c>
      <c r="B1581" s="4">
        <v>46251.572916666664</v>
      </c>
      <c r="C1581" s="2" t="s">
        <v>53</v>
      </c>
      <c r="D1581" s="2" t="s">
        <v>54</v>
      </c>
      <c r="E1581" s="2" t="s">
        <v>46</v>
      </c>
      <c r="F1581" s="2" t="s">
        <v>55</v>
      </c>
      <c r="G1581" s="2" t="s">
        <v>183</v>
      </c>
      <c r="H1581" s="2" t="s">
        <v>74</v>
      </c>
      <c r="I1581" s="2">
        <v>8</v>
      </c>
      <c r="J1581" s="2" t="s">
        <v>287</v>
      </c>
      <c r="K1581" s="4" t="s">
        <v>8590</v>
      </c>
      <c r="L1581" s="2" t="s">
        <v>24</v>
      </c>
      <c r="M1581" s="2"/>
      <c r="N1581" t="s">
        <v>8583</v>
      </c>
      <c r="O1581" s="8" t="str">
        <f t="shared" si="48"/>
        <v/>
      </c>
      <c r="P1581" t="str">
        <f t="shared" si="49"/>
        <v>N/A</v>
      </c>
    </row>
    <row r="1582" spans="1:16" x14ac:dyDescent="0.25">
      <c r="A1582" s="2" t="s">
        <v>4306</v>
      </c>
      <c r="B1582" s="4">
        <v>46082.161805555559</v>
      </c>
      <c r="C1582" s="2" t="s">
        <v>16</v>
      </c>
      <c r="D1582" s="2" t="s">
        <v>17</v>
      </c>
      <c r="E1582" s="2" t="s">
        <v>79</v>
      </c>
      <c r="F1582" s="2" t="s">
        <v>55</v>
      </c>
      <c r="G1582" s="2" t="s">
        <v>101</v>
      </c>
      <c r="H1582" s="2" t="s">
        <v>80</v>
      </c>
      <c r="I1582" s="2">
        <v>4</v>
      </c>
      <c r="J1582" s="2" t="s">
        <v>75</v>
      </c>
      <c r="K1582" s="4">
        <v>46082.511805555558</v>
      </c>
      <c r="L1582" s="2" t="s">
        <v>24</v>
      </c>
      <c r="M1582" s="2">
        <v>4</v>
      </c>
      <c r="N1582" t="s">
        <v>8587</v>
      </c>
      <c r="O1582" s="8">
        <f t="shared" si="48"/>
        <v>8.3999999999650754</v>
      </c>
      <c r="P1582" t="str">
        <f t="shared" si="49"/>
        <v>N/A</v>
      </c>
    </row>
    <row r="1583" spans="1:16" x14ac:dyDescent="0.25">
      <c r="A1583" s="2" t="s">
        <v>4309</v>
      </c>
      <c r="B1583" s="4">
        <v>46217.222916666666</v>
      </c>
      <c r="C1583" s="2" t="s">
        <v>53</v>
      </c>
      <c r="D1583" s="2" t="s">
        <v>61</v>
      </c>
      <c r="E1583" s="2" t="s">
        <v>85</v>
      </c>
      <c r="F1583" s="2" t="s">
        <v>96</v>
      </c>
      <c r="G1583" s="2" t="s">
        <v>101</v>
      </c>
      <c r="H1583" s="2" t="s">
        <v>74</v>
      </c>
      <c r="I1583" s="2">
        <v>8</v>
      </c>
      <c r="J1583" s="2" t="s">
        <v>287</v>
      </c>
      <c r="K1583" s="4" t="s">
        <v>8590</v>
      </c>
      <c r="L1583" s="2" t="s">
        <v>24</v>
      </c>
      <c r="M1583" s="2"/>
      <c r="N1583" t="s">
        <v>8588</v>
      </c>
      <c r="O1583" s="8" t="str">
        <f t="shared" si="48"/>
        <v/>
      </c>
      <c r="P1583" t="str">
        <f t="shared" si="49"/>
        <v>N/A</v>
      </c>
    </row>
    <row r="1584" spans="1:16" x14ac:dyDescent="0.25">
      <c r="A1584" s="2" t="s">
        <v>4311</v>
      </c>
      <c r="B1584" s="4">
        <v>46076.445138888892</v>
      </c>
      <c r="C1584" s="2" t="s">
        <v>16</v>
      </c>
      <c r="D1584" s="2" t="s">
        <v>17</v>
      </c>
      <c r="E1584" s="2" t="s">
        <v>46</v>
      </c>
      <c r="F1584" s="2" t="s">
        <v>96</v>
      </c>
      <c r="G1584" s="2" t="s">
        <v>31</v>
      </c>
      <c r="H1584" s="2" t="s">
        <v>32</v>
      </c>
      <c r="I1584" s="2">
        <v>48</v>
      </c>
      <c r="J1584" s="2" t="s">
        <v>106</v>
      </c>
      <c r="K1584" s="4">
        <v>46077.756249999999</v>
      </c>
      <c r="L1584" s="2" t="s">
        <v>24</v>
      </c>
      <c r="M1584" s="2">
        <v>2</v>
      </c>
      <c r="N1584" t="s">
        <v>8583</v>
      </c>
      <c r="O1584" s="8">
        <f t="shared" si="48"/>
        <v>31.466666666558012</v>
      </c>
      <c r="P1584" t="str">
        <f t="shared" si="49"/>
        <v>Yes</v>
      </c>
    </row>
    <row r="1585" spans="1:16" x14ac:dyDescent="0.25">
      <c r="A1585" s="2" t="s">
        <v>4314</v>
      </c>
      <c r="B1585" s="4">
        <v>46045.693749999999</v>
      </c>
      <c r="C1585" s="2" t="s">
        <v>53</v>
      </c>
      <c r="D1585" s="2" t="s">
        <v>54</v>
      </c>
      <c r="E1585" s="2" t="s">
        <v>148</v>
      </c>
      <c r="F1585" s="2" t="s">
        <v>113</v>
      </c>
      <c r="G1585" s="2" t="s">
        <v>179</v>
      </c>
      <c r="H1585" s="2" t="s">
        <v>74</v>
      </c>
      <c r="I1585" s="2">
        <v>8</v>
      </c>
      <c r="J1585" s="2" t="s">
        <v>106</v>
      </c>
      <c r="K1585" s="4">
        <v>46045.866666666669</v>
      </c>
      <c r="L1585" s="2" t="s">
        <v>24</v>
      </c>
      <c r="M1585" s="2">
        <v>4</v>
      </c>
      <c r="N1585" t="s">
        <v>8582</v>
      </c>
      <c r="O1585" s="8">
        <f t="shared" si="48"/>
        <v>4.1500000000814907</v>
      </c>
      <c r="P1585" t="str">
        <f t="shared" si="49"/>
        <v>Yes</v>
      </c>
    </row>
    <row r="1586" spans="1:16" x14ac:dyDescent="0.25">
      <c r="A1586" s="2" t="s">
        <v>4317</v>
      </c>
      <c r="B1586" s="4">
        <v>46149.634722222225</v>
      </c>
      <c r="C1586" s="2" t="s">
        <v>28</v>
      </c>
      <c r="D1586" s="2" t="s">
        <v>37</v>
      </c>
      <c r="E1586" s="2" t="s">
        <v>148</v>
      </c>
      <c r="F1586" s="2" t="s">
        <v>55</v>
      </c>
      <c r="G1586" s="2" t="s">
        <v>31</v>
      </c>
      <c r="H1586" s="2" t="s">
        <v>74</v>
      </c>
      <c r="I1586" s="2">
        <v>8</v>
      </c>
      <c r="J1586" s="2" t="s">
        <v>106</v>
      </c>
      <c r="K1586" s="4">
        <v>46149.861805555556</v>
      </c>
      <c r="L1586" s="2" t="s">
        <v>24</v>
      </c>
      <c r="M1586" s="2">
        <v>4</v>
      </c>
      <c r="N1586" t="s">
        <v>8583</v>
      </c>
      <c r="O1586" s="8">
        <f t="shared" si="48"/>
        <v>5.4499999999534339</v>
      </c>
      <c r="P1586" t="str">
        <f t="shared" si="49"/>
        <v>Yes</v>
      </c>
    </row>
    <row r="1587" spans="1:16" x14ac:dyDescent="0.25">
      <c r="A1587" s="2" t="s">
        <v>4320</v>
      </c>
      <c r="B1587" s="4">
        <v>46209.097222222219</v>
      </c>
      <c r="C1587" s="2" t="s">
        <v>53</v>
      </c>
      <c r="D1587" s="2" t="s">
        <v>54</v>
      </c>
      <c r="E1587" s="2" t="s">
        <v>38</v>
      </c>
      <c r="F1587" s="2" t="s">
        <v>30</v>
      </c>
      <c r="G1587" s="2" t="s">
        <v>179</v>
      </c>
      <c r="H1587" s="2" t="s">
        <v>21</v>
      </c>
      <c r="I1587" s="2">
        <v>24</v>
      </c>
      <c r="J1587" s="2" t="s">
        <v>75</v>
      </c>
      <c r="K1587" s="4">
        <v>46209.156944444447</v>
      </c>
      <c r="L1587" s="2" t="s">
        <v>92</v>
      </c>
      <c r="M1587" s="2">
        <v>4</v>
      </c>
      <c r="N1587" t="s">
        <v>8585</v>
      </c>
      <c r="O1587" s="8">
        <f t="shared" si="48"/>
        <v>1.4333333334652707</v>
      </c>
      <c r="P1587" t="str">
        <f t="shared" si="49"/>
        <v>N/A</v>
      </c>
    </row>
    <row r="1588" spans="1:16" x14ac:dyDescent="0.25">
      <c r="A1588" s="2" t="s">
        <v>4323</v>
      </c>
      <c r="B1588" s="4">
        <v>46205.186111111114</v>
      </c>
      <c r="C1588" s="2" t="s">
        <v>16</v>
      </c>
      <c r="D1588" s="2" t="s">
        <v>84</v>
      </c>
      <c r="E1588" s="2" t="s">
        <v>148</v>
      </c>
      <c r="F1588" s="2" t="s">
        <v>30</v>
      </c>
      <c r="G1588" s="2" t="s">
        <v>183</v>
      </c>
      <c r="H1588" s="2" t="s">
        <v>74</v>
      </c>
      <c r="I1588" s="2">
        <v>8</v>
      </c>
      <c r="J1588" s="2" t="s">
        <v>149</v>
      </c>
      <c r="K1588" s="4" t="s">
        <v>8590</v>
      </c>
      <c r="L1588" s="2" t="s">
        <v>24</v>
      </c>
      <c r="M1588" s="2"/>
      <c r="N1588" t="s">
        <v>8585</v>
      </c>
      <c r="O1588" s="8" t="str">
        <f t="shared" si="48"/>
        <v/>
      </c>
      <c r="P1588" t="str">
        <f t="shared" si="49"/>
        <v>N/A</v>
      </c>
    </row>
    <row r="1589" spans="1:16" x14ac:dyDescent="0.25">
      <c r="A1589" s="2" t="s">
        <v>4325</v>
      </c>
      <c r="B1589" s="4">
        <v>46236.095833333333</v>
      </c>
      <c r="C1589" s="2" t="s">
        <v>28</v>
      </c>
      <c r="D1589" s="2" t="s">
        <v>37</v>
      </c>
      <c r="E1589" s="2" t="s">
        <v>79</v>
      </c>
      <c r="F1589" s="2" t="s">
        <v>30</v>
      </c>
      <c r="G1589" s="2" t="s">
        <v>101</v>
      </c>
      <c r="H1589" s="2" t="s">
        <v>32</v>
      </c>
      <c r="I1589" s="2">
        <v>48</v>
      </c>
      <c r="J1589" s="2" t="s">
        <v>106</v>
      </c>
      <c r="K1589" s="4">
        <v>46240.90625</v>
      </c>
      <c r="L1589" s="2" t="s">
        <v>24</v>
      </c>
      <c r="M1589" s="2">
        <v>3</v>
      </c>
      <c r="N1589" t="s">
        <v>8583</v>
      </c>
      <c r="O1589" s="8">
        <f t="shared" si="48"/>
        <v>115.45000000001164</v>
      </c>
      <c r="P1589" t="str">
        <f t="shared" si="49"/>
        <v>No</v>
      </c>
    </row>
    <row r="1590" spans="1:16" x14ac:dyDescent="0.25">
      <c r="A1590" s="2" t="s">
        <v>4328</v>
      </c>
      <c r="B1590" s="4">
        <v>46064.311805555553</v>
      </c>
      <c r="C1590" s="2" t="s">
        <v>16</v>
      </c>
      <c r="D1590" s="2" t="s">
        <v>17</v>
      </c>
      <c r="E1590" s="2" t="s">
        <v>85</v>
      </c>
      <c r="F1590" s="2" t="s">
        <v>96</v>
      </c>
      <c r="G1590" s="2" t="s">
        <v>31</v>
      </c>
      <c r="H1590" s="2" t="s">
        <v>21</v>
      </c>
      <c r="I1590" s="2">
        <v>24</v>
      </c>
      <c r="J1590" s="2" t="s">
        <v>106</v>
      </c>
      <c r="K1590" s="4">
        <v>46065.0625</v>
      </c>
      <c r="L1590" s="2" t="s">
        <v>24</v>
      </c>
      <c r="M1590" s="2"/>
      <c r="N1590" t="s">
        <v>8581</v>
      </c>
      <c r="O1590" s="8">
        <f t="shared" si="48"/>
        <v>18.016666666720994</v>
      </c>
      <c r="P1590" t="str">
        <f t="shared" si="49"/>
        <v>Yes</v>
      </c>
    </row>
    <row r="1591" spans="1:16" x14ac:dyDescent="0.25">
      <c r="A1591" s="2" t="s">
        <v>4331</v>
      </c>
      <c r="B1591" s="4">
        <v>46145.814583333333</v>
      </c>
      <c r="C1591" s="2" t="s">
        <v>53</v>
      </c>
      <c r="D1591" s="2" t="s">
        <v>61</v>
      </c>
      <c r="E1591" s="2" t="s">
        <v>79</v>
      </c>
      <c r="F1591" s="2" t="s">
        <v>113</v>
      </c>
      <c r="G1591" s="2" t="s">
        <v>101</v>
      </c>
      <c r="H1591" s="2" t="s">
        <v>32</v>
      </c>
      <c r="I1591" s="2">
        <v>48</v>
      </c>
      <c r="J1591" s="2" t="s">
        <v>75</v>
      </c>
      <c r="K1591" s="4">
        <v>46147.304166666669</v>
      </c>
      <c r="L1591" s="2" t="s">
        <v>24</v>
      </c>
      <c r="M1591" s="2"/>
      <c r="N1591" t="s">
        <v>8587</v>
      </c>
      <c r="O1591" s="8">
        <f t="shared" si="48"/>
        <v>35.750000000058208</v>
      </c>
      <c r="P1591" t="str">
        <f t="shared" si="49"/>
        <v>N/A</v>
      </c>
    </row>
    <row r="1592" spans="1:16" x14ac:dyDescent="0.25">
      <c r="A1592" s="2" t="s">
        <v>4334</v>
      </c>
      <c r="B1592" s="4">
        <v>46213.339583333334</v>
      </c>
      <c r="C1592" s="2" t="s">
        <v>28</v>
      </c>
      <c r="D1592" s="2" t="s">
        <v>37</v>
      </c>
      <c r="E1592" s="2" t="s">
        <v>38</v>
      </c>
      <c r="F1592" s="2" t="s">
        <v>113</v>
      </c>
      <c r="G1592" s="2" t="s">
        <v>31</v>
      </c>
      <c r="H1592" s="2" t="s">
        <v>74</v>
      </c>
      <c r="I1592" s="2">
        <v>8</v>
      </c>
      <c r="J1592" s="2" t="s">
        <v>149</v>
      </c>
      <c r="K1592" s="4" t="s">
        <v>8590</v>
      </c>
      <c r="L1592" s="2" t="s">
        <v>24</v>
      </c>
      <c r="M1592" s="2"/>
      <c r="N1592" t="s">
        <v>8589</v>
      </c>
      <c r="O1592" s="8" t="str">
        <f t="shared" si="48"/>
        <v/>
      </c>
      <c r="P1592" t="str">
        <f t="shared" si="49"/>
        <v>N/A</v>
      </c>
    </row>
    <row r="1593" spans="1:16" x14ac:dyDescent="0.25">
      <c r="A1593" s="2" t="s">
        <v>4336</v>
      </c>
      <c r="B1593" s="4">
        <v>46208.662499999999</v>
      </c>
      <c r="C1593" s="2" t="s">
        <v>16</v>
      </c>
      <c r="D1593" s="2" t="s">
        <v>84</v>
      </c>
      <c r="E1593" s="2" t="s">
        <v>18</v>
      </c>
      <c r="F1593" s="2" t="s">
        <v>96</v>
      </c>
      <c r="G1593" s="2" t="s">
        <v>31</v>
      </c>
      <c r="H1593" s="2" t="s">
        <v>32</v>
      </c>
      <c r="I1593" s="2">
        <v>48</v>
      </c>
      <c r="J1593" s="2" t="s">
        <v>287</v>
      </c>
      <c r="K1593" s="4" t="s">
        <v>8590</v>
      </c>
      <c r="L1593" s="2" t="s">
        <v>24</v>
      </c>
      <c r="M1593" s="2"/>
      <c r="N1593" t="s">
        <v>8589</v>
      </c>
      <c r="O1593" s="8" t="str">
        <f t="shared" si="48"/>
        <v/>
      </c>
      <c r="P1593" t="str">
        <f t="shared" si="49"/>
        <v>N/A</v>
      </c>
    </row>
    <row r="1594" spans="1:16" x14ac:dyDescent="0.25">
      <c r="A1594" s="2" t="s">
        <v>4338</v>
      </c>
      <c r="B1594" s="4">
        <v>46042.407638888886</v>
      </c>
      <c r="C1594" s="2" t="s">
        <v>53</v>
      </c>
      <c r="D1594" s="2" t="s">
        <v>61</v>
      </c>
      <c r="E1594" s="2" t="s">
        <v>85</v>
      </c>
      <c r="F1594" s="2" t="s">
        <v>113</v>
      </c>
      <c r="G1594" s="2" t="s">
        <v>110</v>
      </c>
      <c r="H1594" s="2" t="s">
        <v>21</v>
      </c>
      <c r="I1594" s="2">
        <v>24</v>
      </c>
      <c r="J1594" s="2" t="s">
        <v>106</v>
      </c>
      <c r="K1594" s="4">
        <v>46043.103472222225</v>
      </c>
      <c r="L1594" s="2" t="s">
        <v>24</v>
      </c>
      <c r="M1594" s="2">
        <v>4</v>
      </c>
      <c r="N1594" t="s">
        <v>8581</v>
      </c>
      <c r="O1594" s="8">
        <f t="shared" si="48"/>
        <v>16.700000000128057</v>
      </c>
      <c r="P1594" t="str">
        <f t="shared" si="49"/>
        <v>Yes</v>
      </c>
    </row>
    <row r="1595" spans="1:16" x14ac:dyDescent="0.25">
      <c r="A1595" s="2" t="s">
        <v>4341</v>
      </c>
      <c r="B1595" s="4">
        <v>46112.21875</v>
      </c>
      <c r="C1595" s="2" t="s">
        <v>28</v>
      </c>
      <c r="D1595" s="2" t="s">
        <v>37</v>
      </c>
      <c r="E1595" s="2" t="s">
        <v>85</v>
      </c>
      <c r="F1595" s="2" t="s">
        <v>113</v>
      </c>
      <c r="G1595" s="2" t="s">
        <v>101</v>
      </c>
      <c r="H1595" s="2" t="s">
        <v>74</v>
      </c>
      <c r="I1595" s="2">
        <v>8</v>
      </c>
      <c r="J1595" s="2" t="s">
        <v>8580</v>
      </c>
      <c r="K1595" s="4">
        <v>46112.600694444445</v>
      </c>
      <c r="L1595" s="2" t="s">
        <v>24</v>
      </c>
      <c r="M1595" s="2"/>
      <c r="N1595" t="s">
        <v>8583</v>
      </c>
      <c r="O1595" s="8">
        <f t="shared" si="48"/>
        <v>9.1666666666860692</v>
      </c>
      <c r="P1595" t="str">
        <f t="shared" si="49"/>
        <v>N/A</v>
      </c>
    </row>
    <row r="1596" spans="1:16" x14ac:dyDescent="0.25">
      <c r="A1596" s="2" t="s">
        <v>4344</v>
      </c>
      <c r="B1596" s="4">
        <v>46177.057638888888</v>
      </c>
      <c r="C1596" s="2" t="s">
        <v>16</v>
      </c>
      <c r="D1596" s="2" t="s">
        <v>17</v>
      </c>
      <c r="E1596" s="2" t="s">
        <v>18</v>
      </c>
      <c r="F1596" s="2" t="s">
        <v>30</v>
      </c>
      <c r="G1596" s="2" t="s">
        <v>183</v>
      </c>
      <c r="H1596" s="2" t="s">
        <v>32</v>
      </c>
      <c r="I1596" s="2">
        <v>48</v>
      </c>
      <c r="J1596" s="2" t="s">
        <v>106</v>
      </c>
      <c r="K1596" s="4">
        <v>46177.819444444445</v>
      </c>
      <c r="L1596" s="2" t="s">
        <v>24</v>
      </c>
      <c r="M1596" s="2">
        <v>1</v>
      </c>
      <c r="N1596" t="s">
        <v>8583</v>
      </c>
      <c r="O1596" s="8">
        <f t="shared" si="48"/>
        <v>18.28333333338378</v>
      </c>
      <c r="P1596" t="str">
        <f t="shared" si="49"/>
        <v>Yes</v>
      </c>
    </row>
    <row r="1597" spans="1:16" x14ac:dyDescent="0.25">
      <c r="A1597" s="2" t="s">
        <v>4347</v>
      </c>
      <c r="B1597" s="4">
        <v>46052.793055555558</v>
      </c>
      <c r="C1597" s="2" t="s">
        <v>53</v>
      </c>
      <c r="D1597" s="2" t="s">
        <v>54</v>
      </c>
      <c r="E1597" s="2" t="s">
        <v>148</v>
      </c>
      <c r="F1597" s="2" t="s">
        <v>30</v>
      </c>
      <c r="G1597" s="2" t="s">
        <v>110</v>
      </c>
      <c r="H1597" s="2" t="s">
        <v>80</v>
      </c>
      <c r="I1597" s="2">
        <v>4</v>
      </c>
      <c r="J1597" s="2" t="s">
        <v>106</v>
      </c>
      <c r="K1597" s="4">
        <v>46052.814583333333</v>
      </c>
      <c r="L1597" s="2" t="s">
        <v>24</v>
      </c>
      <c r="M1597" s="2"/>
      <c r="N1597" t="s">
        <v>8589</v>
      </c>
      <c r="O1597" s="8">
        <f t="shared" si="48"/>
        <v>0.5166666666045785</v>
      </c>
      <c r="P1597" t="str">
        <f t="shared" si="49"/>
        <v>Yes</v>
      </c>
    </row>
    <row r="1598" spans="1:16" x14ac:dyDescent="0.25">
      <c r="A1598" s="2" t="s">
        <v>4350</v>
      </c>
      <c r="B1598" s="4">
        <v>46034.941666666666</v>
      </c>
      <c r="C1598" s="2" t="s">
        <v>53</v>
      </c>
      <c r="D1598" s="2" t="s">
        <v>54</v>
      </c>
      <c r="E1598" s="2" t="s">
        <v>79</v>
      </c>
      <c r="F1598" s="2" t="s">
        <v>113</v>
      </c>
      <c r="G1598" s="2" t="s">
        <v>211</v>
      </c>
      <c r="H1598" s="2" t="s">
        <v>32</v>
      </c>
      <c r="I1598" s="2">
        <v>48</v>
      </c>
      <c r="J1598" s="2" t="s">
        <v>75</v>
      </c>
      <c r="K1598" s="4">
        <v>46035.953472222223</v>
      </c>
      <c r="L1598" s="2" t="s">
        <v>24</v>
      </c>
      <c r="M1598" s="2">
        <v>5</v>
      </c>
      <c r="N1598" t="s">
        <v>8582</v>
      </c>
      <c r="O1598" s="8">
        <f t="shared" si="48"/>
        <v>24.28333333338378</v>
      </c>
      <c r="P1598" t="str">
        <f t="shared" si="49"/>
        <v>N/A</v>
      </c>
    </row>
    <row r="1599" spans="1:16" x14ac:dyDescent="0.25">
      <c r="A1599" s="2" t="s">
        <v>4353</v>
      </c>
      <c r="B1599" s="4">
        <v>46120.663888888892</v>
      </c>
      <c r="C1599" s="2" t="s">
        <v>28</v>
      </c>
      <c r="D1599" s="2" t="s">
        <v>37</v>
      </c>
      <c r="E1599" s="2" t="s">
        <v>148</v>
      </c>
      <c r="F1599" s="2" t="s">
        <v>96</v>
      </c>
      <c r="G1599" s="2" t="s">
        <v>211</v>
      </c>
      <c r="H1599" s="2" t="s">
        <v>21</v>
      </c>
      <c r="I1599" s="2">
        <v>24</v>
      </c>
      <c r="J1599" s="2" t="s">
        <v>149</v>
      </c>
      <c r="K1599" s="4" t="s">
        <v>8590</v>
      </c>
      <c r="L1599" s="2" t="s">
        <v>24</v>
      </c>
      <c r="M1599" s="2"/>
      <c r="N1599" t="s">
        <v>8586</v>
      </c>
      <c r="O1599" s="8" t="str">
        <f t="shared" si="48"/>
        <v/>
      </c>
      <c r="P1599" t="str">
        <f t="shared" si="49"/>
        <v>N/A</v>
      </c>
    </row>
    <row r="1600" spans="1:16" x14ac:dyDescent="0.25">
      <c r="A1600" s="2" t="s">
        <v>4355</v>
      </c>
      <c r="B1600" s="4">
        <v>46164.185416666667</v>
      </c>
      <c r="C1600" s="2" t="s">
        <v>53</v>
      </c>
      <c r="D1600" s="2" t="s">
        <v>54</v>
      </c>
      <c r="E1600" s="2" t="s">
        <v>90</v>
      </c>
      <c r="F1600" s="2" t="s">
        <v>96</v>
      </c>
      <c r="G1600" s="2" t="s">
        <v>110</v>
      </c>
      <c r="H1600" s="2" t="s">
        <v>74</v>
      </c>
      <c r="I1600" s="2">
        <v>8</v>
      </c>
      <c r="J1600" s="2" t="s">
        <v>75</v>
      </c>
      <c r="K1600" s="4">
        <v>46164.404861111114</v>
      </c>
      <c r="L1600" s="2" t="s">
        <v>24</v>
      </c>
      <c r="M1600" s="2">
        <v>5</v>
      </c>
      <c r="N1600" t="s">
        <v>8588</v>
      </c>
      <c r="O1600" s="8">
        <f t="shared" si="48"/>
        <v>5.2666666667209938</v>
      </c>
      <c r="P1600" t="str">
        <f t="shared" si="49"/>
        <v>N/A</v>
      </c>
    </row>
    <row r="1601" spans="1:16" x14ac:dyDescent="0.25">
      <c r="A1601" s="2" t="s">
        <v>4358</v>
      </c>
      <c r="B1601" s="4">
        <v>46082.667361111111</v>
      </c>
      <c r="C1601" s="2" t="s">
        <v>16</v>
      </c>
      <c r="D1601" s="2" t="s">
        <v>17</v>
      </c>
      <c r="E1601" s="2" t="s">
        <v>79</v>
      </c>
      <c r="F1601" s="2" t="s">
        <v>55</v>
      </c>
      <c r="G1601" s="2" t="s">
        <v>110</v>
      </c>
      <c r="H1601" s="2" t="s">
        <v>74</v>
      </c>
      <c r="I1601" s="2">
        <v>8</v>
      </c>
      <c r="J1601" s="2" t="s">
        <v>287</v>
      </c>
      <c r="K1601" s="4" t="s">
        <v>8590</v>
      </c>
      <c r="L1601" s="2" t="s">
        <v>24</v>
      </c>
      <c r="M1601" s="2"/>
      <c r="N1601" t="s">
        <v>8582</v>
      </c>
      <c r="O1601" s="8" t="str">
        <f t="shared" si="48"/>
        <v/>
      </c>
      <c r="P1601" t="str">
        <f t="shared" si="49"/>
        <v>N/A</v>
      </c>
    </row>
    <row r="1602" spans="1:16" x14ac:dyDescent="0.25">
      <c r="A1602" s="2" t="s">
        <v>4360</v>
      </c>
      <c r="B1602" s="4">
        <v>46240.270833333336</v>
      </c>
      <c r="C1602" s="2" t="s">
        <v>53</v>
      </c>
      <c r="D1602" s="2" t="s">
        <v>54</v>
      </c>
      <c r="E1602" s="2" t="s">
        <v>79</v>
      </c>
      <c r="F1602" s="2" t="s">
        <v>96</v>
      </c>
      <c r="G1602" s="2" t="s">
        <v>211</v>
      </c>
      <c r="H1602" s="2" t="s">
        <v>21</v>
      </c>
      <c r="I1602" s="2">
        <v>24</v>
      </c>
      <c r="J1602" s="2" t="s">
        <v>75</v>
      </c>
      <c r="K1602" s="4">
        <v>46242.688888888886</v>
      </c>
      <c r="L1602" s="2" t="s">
        <v>24</v>
      </c>
      <c r="M1602" s="2"/>
      <c r="N1602" t="s">
        <v>8585</v>
      </c>
      <c r="O1602" s="8">
        <f t="shared" si="48"/>
        <v>58.033333333209157</v>
      </c>
      <c r="P1602" t="str">
        <f t="shared" si="49"/>
        <v>N/A</v>
      </c>
    </row>
    <row r="1603" spans="1:16" x14ac:dyDescent="0.25">
      <c r="A1603" s="2" t="s">
        <v>4363</v>
      </c>
      <c r="B1603" s="4">
        <v>46162.34097222222</v>
      </c>
      <c r="C1603" s="2" t="s">
        <v>67</v>
      </c>
      <c r="D1603" s="2" t="s">
        <v>95</v>
      </c>
      <c r="E1603" s="2" t="s">
        <v>46</v>
      </c>
      <c r="F1603" s="2" t="s">
        <v>30</v>
      </c>
      <c r="G1603" s="2" t="s">
        <v>101</v>
      </c>
      <c r="H1603" s="2" t="s">
        <v>32</v>
      </c>
      <c r="I1603" s="2">
        <v>48</v>
      </c>
      <c r="J1603" s="2" t="s">
        <v>287</v>
      </c>
      <c r="K1603" s="4" t="s">
        <v>8590</v>
      </c>
      <c r="L1603" s="2" t="s">
        <v>24</v>
      </c>
      <c r="M1603" s="2"/>
      <c r="N1603" t="s">
        <v>8589</v>
      </c>
      <c r="O1603" s="8" t="str">
        <f t="shared" ref="O1603:O1666" si="50">IF(K1603="","",IF(K1603="Missing Resolve Date","",(K1603-B1603)*24))</f>
        <v/>
      </c>
      <c r="P1603" t="str">
        <f t="shared" ref="P1603:P1666" si="51">IF(J1603="Resolved",IF(O1603&lt;=I1603,"Yes","No"),"N/A")</f>
        <v>N/A</v>
      </c>
    </row>
    <row r="1604" spans="1:16" x14ac:dyDescent="0.25">
      <c r="A1604" s="2" t="s">
        <v>4365</v>
      </c>
      <c r="B1604" s="4">
        <v>46096.032638888886</v>
      </c>
      <c r="C1604" s="2" t="s">
        <v>16</v>
      </c>
      <c r="D1604" s="2" t="s">
        <v>17</v>
      </c>
      <c r="E1604" s="2" t="s">
        <v>46</v>
      </c>
      <c r="F1604" s="2" t="s">
        <v>55</v>
      </c>
      <c r="G1604" s="2" t="s">
        <v>110</v>
      </c>
      <c r="H1604" s="2" t="s">
        <v>32</v>
      </c>
      <c r="I1604" s="2">
        <v>48</v>
      </c>
      <c r="J1604" s="2" t="s">
        <v>75</v>
      </c>
      <c r="K1604" s="4">
        <v>46101.962500000001</v>
      </c>
      <c r="L1604" s="2" t="s">
        <v>92</v>
      </c>
      <c r="M1604" s="2">
        <v>1</v>
      </c>
      <c r="N1604" t="s">
        <v>8585</v>
      </c>
      <c r="O1604" s="8">
        <f t="shared" si="50"/>
        <v>142.31666666676756</v>
      </c>
      <c r="P1604" t="str">
        <f t="shared" si="51"/>
        <v>N/A</v>
      </c>
    </row>
    <row r="1605" spans="1:16" x14ac:dyDescent="0.25">
      <c r="A1605" s="2" t="s">
        <v>4368</v>
      </c>
      <c r="B1605" s="4">
        <v>46264.080555555556</v>
      </c>
      <c r="C1605" s="2" t="s">
        <v>28</v>
      </c>
      <c r="D1605" s="2" t="s">
        <v>37</v>
      </c>
      <c r="E1605" s="2" t="s">
        <v>148</v>
      </c>
      <c r="F1605" s="2" t="s">
        <v>113</v>
      </c>
      <c r="G1605" s="2" t="s">
        <v>211</v>
      </c>
      <c r="H1605" s="2" t="s">
        <v>80</v>
      </c>
      <c r="I1605" s="2">
        <v>4</v>
      </c>
      <c r="J1605" s="2" t="s">
        <v>75</v>
      </c>
      <c r="K1605" s="4">
        <v>46264.351388888892</v>
      </c>
      <c r="L1605" s="2" t="s">
        <v>24</v>
      </c>
      <c r="M1605" s="2">
        <v>5</v>
      </c>
      <c r="N1605" t="s">
        <v>8584</v>
      </c>
      <c r="O1605" s="8">
        <f t="shared" si="50"/>
        <v>6.5000000000582077</v>
      </c>
      <c r="P1605" t="str">
        <f t="shared" si="51"/>
        <v>N/A</v>
      </c>
    </row>
    <row r="1606" spans="1:16" x14ac:dyDescent="0.25">
      <c r="A1606" s="2" t="s">
        <v>4371</v>
      </c>
      <c r="B1606" s="4">
        <v>46065.959722222222</v>
      </c>
      <c r="C1606" s="2" t="s">
        <v>53</v>
      </c>
      <c r="D1606" s="2" t="s">
        <v>54</v>
      </c>
      <c r="E1606" s="2" t="s">
        <v>38</v>
      </c>
      <c r="F1606" s="2" t="s">
        <v>55</v>
      </c>
      <c r="G1606" s="2" t="s">
        <v>183</v>
      </c>
      <c r="H1606" s="2" t="s">
        <v>80</v>
      </c>
      <c r="I1606" s="2">
        <v>4</v>
      </c>
      <c r="J1606" s="2" t="s">
        <v>106</v>
      </c>
      <c r="K1606" s="4">
        <v>46066.07708333333</v>
      </c>
      <c r="L1606" s="2" t="s">
        <v>24</v>
      </c>
      <c r="M1606" s="2">
        <v>4</v>
      </c>
      <c r="N1606" t="s">
        <v>8581</v>
      </c>
      <c r="O1606" s="8">
        <f t="shared" si="50"/>
        <v>2.816666666592937</v>
      </c>
      <c r="P1606" t="str">
        <f t="shared" si="51"/>
        <v>Yes</v>
      </c>
    </row>
    <row r="1607" spans="1:16" x14ac:dyDescent="0.25">
      <c r="A1607" s="2" t="s">
        <v>4374</v>
      </c>
      <c r="B1607" s="4">
        <v>46129.169444444444</v>
      </c>
      <c r="C1607" s="2" t="s">
        <v>28</v>
      </c>
      <c r="D1607" s="2" t="s">
        <v>100</v>
      </c>
      <c r="E1607" s="2" t="s">
        <v>148</v>
      </c>
      <c r="F1607" s="2" t="s">
        <v>30</v>
      </c>
      <c r="G1607" s="2" t="s">
        <v>183</v>
      </c>
      <c r="H1607" s="2" t="s">
        <v>21</v>
      </c>
      <c r="I1607" s="2">
        <v>24</v>
      </c>
      <c r="J1607" s="2" t="s">
        <v>106</v>
      </c>
      <c r="K1607" s="4">
        <v>46131.000694444447</v>
      </c>
      <c r="L1607" s="2" t="s">
        <v>24</v>
      </c>
      <c r="M1607" s="2"/>
      <c r="N1607" t="s">
        <v>8587</v>
      </c>
      <c r="O1607" s="8">
        <f t="shared" si="50"/>
        <v>43.950000000069849</v>
      </c>
      <c r="P1607" t="str">
        <f t="shared" si="51"/>
        <v>No</v>
      </c>
    </row>
    <row r="1608" spans="1:16" x14ac:dyDescent="0.25">
      <c r="A1608" s="2" t="s">
        <v>4377</v>
      </c>
      <c r="B1608" s="4">
        <v>46114.059027777781</v>
      </c>
      <c r="C1608" s="2" t="s">
        <v>16</v>
      </c>
      <c r="D1608" s="2" t="s">
        <v>17</v>
      </c>
      <c r="E1608" s="2" t="s">
        <v>148</v>
      </c>
      <c r="F1608" s="2" t="s">
        <v>30</v>
      </c>
      <c r="G1608" s="2" t="s">
        <v>211</v>
      </c>
      <c r="H1608" s="2" t="s">
        <v>21</v>
      </c>
      <c r="I1608" s="2">
        <v>24</v>
      </c>
      <c r="J1608" s="2" t="s">
        <v>8580</v>
      </c>
      <c r="K1608" s="4">
        <v>46116.4375</v>
      </c>
      <c r="L1608" s="2" t="s">
        <v>24</v>
      </c>
      <c r="M1608" s="2"/>
      <c r="N1608" t="s">
        <v>8584</v>
      </c>
      <c r="O1608" s="8">
        <f t="shared" si="50"/>
        <v>57.083333333255723</v>
      </c>
      <c r="P1608" t="str">
        <f t="shared" si="51"/>
        <v>N/A</v>
      </c>
    </row>
    <row r="1609" spans="1:16" x14ac:dyDescent="0.25">
      <c r="A1609" s="2" t="s">
        <v>4380</v>
      </c>
      <c r="B1609" s="4">
        <v>46051.96875</v>
      </c>
      <c r="C1609" s="2" t="s">
        <v>28</v>
      </c>
      <c r="D1609" s="2" t="s">
        <v>37</v>
      </c>
      <c r="E1609" s="2" t="s">
        <v>38</v>
      </c>
      <c r="F1609" s="2" t="s">
        <v>96</v>
      </c>
      <c r="G1609" s="2" t="s">
        <v>101</v>
      </c>
      <c r="H1609" s="2" t="s">
        <v>74</v>
      </c>
      <c r="I1609" s="2">
        <v>8</v>
      </c>
      <c r="J1609" s="2" t="s">
        <v>75</v>
      </c>
      <c r="K1609" s="4">
        <v>46052.681250000001</v>
      </c>
      <c r="L1609" s="2" t="s">
        <v>24</v>
      </c>
      <c r="M1609" s="2"/>
      <c r="N1609" t="s">
        <v>8589</v>
      </c>
      <c r="O1609" s="8">
        <f t="shared" si="50"/>
        <v>17.100000000034925</v>
      </c>
      <c r="P1609" t="str">
        <f t="shared" si="51"/>
        <v>N/A</v>
      </c>
    </row>
    <row r="1610" spans="1:16" x14ac:dyDescent="0.25">
      <c r="A1610" s="2" t="s">
        <v>4383</v>
      </c>
      <c r="B1610" s="4">
        <v>46049.393750000003</v>
      </c>
      <c r="C1610" s="2" t="s">
        <v>16</v>
      </c>
      <c r="D1610" s="2" t="s">
        <v>84</v>
      </c>
      <c r="E1610" s="2" t="s">
        <v>18</v>
      </c>
      <c r="F1610" s="2" t="s">
        <v>30</v>
      </c>
      <c r="G1610" s="2" t="s">
        <v>183</v>
      </c>
      <c r="H1610" s="2" t="s">
        <v>21</v>
      </c>
      <c r="I1610" s="2">
        <v>24</v>
      </c>
      <c r="J1610" s="2" t="s">
        <v>75</v>
      </c>
      <c r="K1610" s="4">
        <v>46051.972222222219</v>
      </c>
      <c r="L1610" s="2" t="s">
        <v>24</v>
      </c>
      <c r="M1610" s="2">
        <v>5</v>
      </c>
      <c r="N1610" t="s">
        <v>8589</v>
      </c>
      <c r="O1610" s="8">
        <f t="shared" si="50"/>
        <v>61.883333333185874</v>
      </c>
      <c r="P1610" t="str">
        <f t="shared" si="51"/>
        <v>N/A</v>
      </c>
    </row>
    <row r="1611" spans="1:16" x14ac:dyDescent="0.25">
      <c r="A1611" s="2" t="s">
        <v>4386</v>
      </c>
      <c r="B1611" s="4">
        <v>46066.477777777778</v>
      </c>
      <c r="C1611" s="2" t="s">
        <v>16</v>
      </c>
      <c r="D1611" s="2" t="s">
        <v>84</v>
      </c>
      <c r="E1611" s="2" t="s">
        <v>46</v>
      </c>
      <c r="F1611" s="2" t="s">
        <v>113</v>
      </c>
      <c r="G1611" s="2" t="s">
        <v>179</v>
      </c>
      <c r="H1611" s="2" t="s">
        <v>74</v>
      </c>
      <c r="I1611" s="2">
        <v>8</v>
      </c>
      <c r="J1611" s="2" t="s">
        <v>75</v>
      </c>
      <c r="K1611" s="4">
        <v>46066.543055555558</v>
      </c>
      <c r="L1611" s="2" t="s">
        <v>24</v>
      </c>
      <c r="M1611" s="2"/>
      <c r="N1611" t="s">
        <v>8584</v>
      </c>
      <c r="O1611" s="8">
        <f t="shared" si="50"/>
        <v>1.5666666667093523</v>
      </c>
      <c r="P1611" t="str">
        <f t="shared" si="51"/>
        <v>N/A</v>
      </c>
    </row>
    <row r="1612" spans="1:16" x14ac:dyDescent="0.25">
      <c r="A1612" s="2" t="s">
        <v>4389</v>
      </c>
      <c r="B1612" s="4">
        <v>46084.09375</v>
      </c>
      <c r="C1612" s="2" t="s">
        <v>28</v>
      </c>
      <c r="D1612" s="2" t="s">
        <v>100</v>
      </c>
      <c r="E1612" s="2" t="s">
        <v>38</v>
      </c>
      <c r="F1612" s="2" t="s">
        <v>30</v>
      </c>
      <c r="G1612" s="2" t="s">
        <v>179</v>
      </c>
      <c r="H1612" s="2" t="s">
        <v>21</v>
      </c>
      <c r="I1612" s="2">
        <v>24</v>
      </c>
      <c r="J1612" s="2" t="s">
        <v>75</v>
      </c>
      <c r="K1612" s="4">
        <v>46086.62222222222</v>
      </c>
      <c r="L1612" s="2" t="s">
        <v>24</v>
      </c>
      <c r="M1612" s="2"/>
      <c r="N1612" t="s">
        <v>8589</v>
      </c>
      <c r="O1612" s="8">
        <f t="shared" si="50"/>
        <v>60.683333333290648</v>
      </c>
      <c r="P1612" t="str">
        <f t="shared" si="51"/>
        <v>N/A</v>
      </c>
    </row>
    <row r="1613" spans="1:16" x14ac:dyDescent="0.25">
      <c r="A1613" s="2" t="s">
        <v>4392</v>
      </c>
      <c r="B1613" s="4">
        <v>46026.943055555559</v>
      </c>
      <c r="C1613" s="2" t="s">
        <v>53</v>
      </c>
      <c r="D1613" s="2" t="s">
        <v>61</v>
      </c>
      <c r="E1613" s="2" t="s">
        <v>18</v>
      </c>
      <c r="F1613" s="2" t="s">
        <v>30</v>
      </c>
      <c r="G1613" s="2" t="s">
        <v>31</v>
      </c>
      <c r="H1613" s="2" t="s">
        <v>21</v>
      </c>
      <c r="I1613" s="2">
        <v>24</v>
      </c>
      <c r="J1613" s="2" t="s">
        <v>106</v>
      </c>
      <c r="K1613" s="4">
        <v>46027.155555555553</v>
      </c>
      <c r="L1613" s="2" t="s">
        <v>24</v>
      </c>
      <c r="M1613" s="2">
        <v>5</v>
      </c>
      <c r="N1613" t="s">
        <v>8586</v>
      </c>
      <c r="O1613" s="8">
        <f t="shared" si="50"/>
        <v>5.0999999998603016</v>
      </c>
      <c r="P1613" t="str">
        <f t="shared" si="51"/>
        <v>Yes</v>
      </c>
    </row>
    <row r="1614" spans="1:16" x14ac:dyDescent="0.25">
      <c r="A1614" s="2" t="s">
        <v>4395</v>
      </c>
      <c r="B1614" s="4">
        <v>46198.148611111108</v>
      </c>
      <c r="C1614" s="2" t="s">
        <v>53</v>
      </c>
      <c r="D1614" s="2" t="s">
        <v>54</v>
      </c>
      <c r="E1614" s="2" t="s">
        <v>85</v>
      </c>
      <c r="F1614" s="2" t="s">
        <v>30</v>
      </c>
      <c r="G1614" s="2" t="s">
        <v>101</v>
      </c>
      <c r="H1614" s="2" t="s">
        <v>32</v>
      </c>
      <c r="I1614" s="2">
        <v>48</v>
      </c>
      <c r="J1614" s="2" t="s">
        <v>149</v>
      </c>
      <c r="K1614" s="4" t="s">
        <v>8590</v>
      </c>
      <c r="L1614" s="2" t="s">
        <v>92</v>
      </c>
      <c r="M1614" s="2"/>
      <c r="N1614" t="s">
        <v>8588</v>
      </c>
      <c r="O1614" s="8" t="str">
        <f t="shared" si="50"/>
        <v/>
      </c>
      <c r="P1614" t="str">
        <f t="shared" si="51"/>
        <v>N/A</v>
      </c>
    </row>
    <row r="1615" spans="1:16" x14ac:dyDescent="0.25">
      <c r="A1615" s="2" t="s">
        <v>4397</v>
      </c>
      <c r="B1615" s="4">
        <v>46063.688194444447</v>
      </c>
      <c r="C1615" s="2" t="s">
        <v>16</v>
      </c>
      <c r="D1615" s="2" t="s">
        <v>17</v>
      </c>
      <c r="E1615" s="2" t="s">
        <v>38</v>
      </c>
      <c r="F1615" s="2" t="s">
        <v>113</v>
      </c>
      <c r="G1615" s="2" t="s">
        <v>101</v>
      </c>
      <c r="H1615" s="2" t="s">
        <v>21</v>
      </c>
      <c r="I1615" s="2">
        <v>24</v>
      </c>
      <c r="J1615" s="2" t="s">
        <v>106</v>
      </c>
      <c r="K1615" s="4">
        <v>46063.957638888889</v>
      </c>
      <c r="L1615" s="2" t="s">
        <v>24</v>
      </c>
      <c r="M1615" s="2">
        <v>5</v>
      </c>
      <c r="N1615" t="s">
        <v>8581</v>
      </c>
      <c r="O1615" s="8">
        <f t="shared" si="50"/>
        <v>6.46666666661622</v>
      </c>
      <c r="P1615" t="str">
        <f t="shared" si="51"/>
        <v>Yes</v>
      </c>
    </row>
    <row r="1616" spans="1:16" x14ac:dyDescent="0.25">
      <c r="A1616" s="2" t="s">
        <v>4400</v>
      </c>
      <c r="B1616" s="4">
        <v>46091.72152777778</v>
      </c>
      <c r="C1616" s="2" t="s">
        <v>53</v>
      </c>
      <c r="D1616" s="2" t="s">
        <v>54</v>
      </c>
      <c r="E1616" s="2" t="s">
        <v>148</v>
      </c>
      <c r="F1616" s="2" t="s">
        <v>55</v>
      </c>
      <c r="G1616" s="2" t="s">
        <v>179</v>
      </c>
      <c r="H1616" s="2" t="s">
        <v>80</v>
      </c>
      <c r="I1616" s="2">
        <v>4</v>
      </c>
      <c r="J1616" s="2" t="s">
        <v>106</v>
      </c>
      <c r="K1616" s="4">
        <v>46091.844444444447</v>
      </c>
      <c r="L1616" s="2" t="s">
        <v>24</v>
      </c>
      <c r="M1616" s="2">
        <v>3</v>
      </c>
      <c r="N1616" t="s">
        <v>8584</v>
      </c>
      <c r="O1616" s="8">
        <f t="shared" si="50"/>
        <v>2.9500000000116415</v>
      </c>
      <c r="P1616" t="str">
        <f t="shared" si="51"/>
        <v>Yes</v>
      </c>
    </row>
    <row r="1617" spans="1:16" x14ac:dyDescent="0.25">
      <c r="A1617" s="2" t="s">
        <v>4403</v>
      </c>
      <c r="B1617" s="4">
        <v>46195.930555555555</v>
      </c>
      <c r="C1617" s="2" t="s">
        <v>53</v>
      </c>
      <c r="D1617" s="2" t="s">
        <v>54</v>
      </c>
      <c r="E1617" s="2" t="s">
        <v>46</v>
      </c>
      <c r="F1617" s="2" t="s">
        <v>96</v>
      </c>
      <c r="G1617" s="2" t="s">
        <v>183</v>
      </c>
      <c r="H1617" s="2" t="s">
        <v>21</v>
      </c>
      <c r="I1617" s="2">
        <v>24</v>
      </c>
      <c r="J1617" s="2" t="s">
        <v>287</v>
      </c>
      <c r="K1617" s="4" t="s">
        <v>8590</v>
      </c>
      <c r="L1617" s="2" t="s">
        <v>24</v>
      </c>
      <c r="M1617" s="2"/>
      <c r="N1617" t="s">
        <v>8586</v>
      </c>
      <c r="O1617" s="8" t="str">
        <f t="shared" si="50"/>
        <v/>
      </c>
      <c r="P1617" t="str">
        <f t="shared" si="51"/>
        <v>N/A</v>
      </c>
    </row>
    <row r="1618" spans="1:16" x14ac:dyDescent="0.25">
      <c r="A1618" s="2" t="s">
        <v>4405</v>
      </c>
      <c r="B1618" s="4">
        <v>46192.4375</v>
      </c>
      <c r="C1618" s="2" t="s">
        <v>28</v>
      </c>
      <c r="D1618" s="2" t="s">
        <v>37</v>
      </c>
      <c r="E1618" s="2" t="s">
        <v>85</v>
      </c>
      <c r="F1618" s="2" t="s">
        <v>113</v>
      </c>
      <c r="G1618" s="2" t="s">
        <v>110</v>
      </c>
      <c r="H1618" s="2" t="s">
        <v>21</v>
      </c>
      <c r="I1618" s="2">
        <v>24</v>
      </c>
      <c r="J1618" s="2" t="s">
        <v>11</v>
      </c>
      <c r="K1618" s="4" t="s">
        <v>8590</v>
      </c>
      <c r="L1618" s="2" t="s">
        <v>92</v>
      </c>
      <c r="M1618" s="2"/>
      <c r="N1618" t="s">
        <v>8588</v>
      </c>
      <c r="O1618" s="8" t="str">
        <f t="shared" si="50"/>
        <v/>
      </c>
      <c r="P1618" t="str">
        <f t="shared" si="51"/>
        <v>N/A</v>
      </c>
    </row>
    <row r="1619" spans="1:16" x14ac:dyDescent="0.25">
      <c r="A1619" s="2" t="s">
        <v>4407</v>
      </c>
      <c r="B1619" s="4">
        <v>46185.154861111114</v>
      </c>
      <c r="C1619" s="2" t="s">
        <v>28</v>
      </c>
      <c r="D1619" s="2" t="s">
        <v>37</v>
      </c>
      <c r="E1619" s="2" t="s">
        <v>85</v>
      </c>
      <c r="F1619" s="2" t="s">
        <v>113</v>
      </c>
      <c r="G1619" s="2" t="s">
        <v>110</v>
      </c>
      <c r="H1619" s="2" t="s">
        <v>21</v>
      </c>
      <c r="I1619" s="2">
        <v>24</v>
      </c>
      <c r="J1619" s="2" t="s">
        <v>106</v>
      </c>
      <c r="K1619" s="4">
        <v>46185.963888888888</v>
      </c>
      <c r="L1619" s="2" t="s">
        <v>24</v>
      </c>
      <c r="M1619" s="2"/>
      <c r="N1619" t="s">
        <v>8583</v>
      </c>
      <c r="O1619" s="8">
        <f t="shared" si="50"/>
        <v>19.416666666569654</v>
      </c>
      <c r="P1619" t="str">
        <f t="shared" si="51"/>
        <v>Yes</v>
      </c>
    </row>
    <row r="1620" spans="1:16" x14ac:dyDescent="0.25">
      <c r="A1620" s="2" t="s">
        <v>4410</v>
      </c>
      <c r="B1620" s="4">
        <v>46239.263888888891</v>
      </c>
      <c r="C1620" s="2" t="s">
        <v>67</v>
      </c>
      <c r="D1620" s="2" t="s">
        <v>95</v>
      </c>
      <c r="E1620" s="2" t="s">
        <v>79</v>
      </c>
      <c r="F1620" s="2" t="s">
        <v>55</v>
      </c>
      <c r="G1620" s="2" t="s">
        <v>101</v>
      </c>
      <c r="H1620" s="2" t="s">
        <v>32</v>
      </c>
      <c r="I1620" s="2">
        <v>48</v>
      </c>
      <c r="J1620" s="2" t="s">
        <v>11</v>
      </c>
      <c r="K1620" s="4" t="s">
        <v>8590</v>
      </c>
      <c r="L1620" s="2" t="s">
        <v>92</v>
      </c>
      <c r="M1620" s="2"/>
      <c r="N1620" t="s">
        <v>8588</v>
      </c>
      <c r="O1620" s="8" t="str">
        <f t="shared" si="50"/>
        <v/>
      </c>
      <c r="P1620" t="str">
        <f t="shared" si="51"/>
        <v>N/A</v>
      </c>
    </row>
    <row r="1621" spans="1:16" x14ac:dyDescent="0.25">
      <c r="A1621" s="2" t="s">
        <v>4412</v>
      </c>
      <c r="B1621" s="4">
        <v>46179.503472222219</v>
      </c>
      <c r="C1621" s="2" t="s">
        <v>28</v>
      </c>
      <c r="D1621" s="2" t="s">
        <v>37</v>
      </c>
      <c r="E1621" s="2" t="s">
        <v>90</v>
      </c>
      <c r="F1621" s="2" t="s">
        <v>96</v>
      </c>
      <c r="G1621" s="2" t="s">
        <v>179</v>
      </c>
      <c r="H1621" s="2" t="s">
        <v>74</v>
      </c>
      <c r="I1621" s="2">
        <v>8</v>
      </c>
      <c r="J1621" s="2" t="s">
        <v>106</v>
      </c>
      <c r="K1621" s="4">
        <v>46179.603472222225</v>
      </c>
      <c r="L1621" s="2" t="s">
        <v>24</v>
      </c>
      <c r="M1621" s="2">
        <v>4</v>
      </c>
      <c r="N1621" t="s">
        <v>8583</v>
      </c>
      <c r="O1621" s="8">
        <f t="shared" si="50"/>
        <v>2.4000000001396984</v>
      </c>
      <c r="P1621" t="str">
        <f t="shared" si="51"/>
        <v>Yes</v>
      </c>
    </row>
    <row r="1622" spans="1:16" x14ac:dyDescent="0.25">
      <c r="A1622" s="2" t="s">
        <v>4415</v>
      </c>
      <c r="B1622" s="4">
        <v>46118.92083333333</v>
      </c>
      <c r="C1622" s="2" t="s">
        <v>16</v>
      </c>
      <c r="D1622" s="2" t="s">
        <v>84</v>
      </c>
      <c r="E1622" s="2" t="s">
        <v>18</v>
      </c>
      <c r="F1622" s="2" t="s">
        <v>30</v>
      </c>
      <c r="G1622" s="2" t="s">
        <v>183</v>
      </c>
      <c r="H1622" s="2" t="s">
        <v>80</v>
      </c>
      <c r="I1622" s="2">
        <v>4</v>
      </c>
      <c r="J1622" s="2" t="s">
        <v>75</v>
      </c>
      <c r="K1622" s="4">
        <v>46118.999305555553</v>
      </c>
      <c r="L1622" s="2" t="s">
        <v>24</v>
      </c>
      <c r="M1622" s="2">
        <v>1</v>
      </c>
      <c r="N1622" t="s">
        <v>8587</v>
      </c>
      <c r="O1622" s="8">
        <f t="shared" si="50"/>
        <v>1.8833333333604969</v>
      </c>
      <c r="P1622" t="str">
        <f t="shared" si="51"/>
        <v>N/A</v>
      </c>
    </row>
    <row r="1623" spans="1:16" x14ac:dyDescent="0.25">
      <c r="A1623" s="2" t="s">
        <v>4418</v>
      </c>
      <c r="B1623" s="4">
        <v>46061.54583333333</v>
      </c>
      <c r="C1623" s="2" t="s">
        <v>16</v>
      </c>
      <c r="D1623" s="2" t="s">
        <v>17</v>
      </c>
      <c r="E1623" s="2" t="s">
        <v>79</v>
      </c>
      <c r="F1623" s="2" t="s">
        <v>96</v>
      </c>
      <c r="G1623" s="2" t="s">
        <v>31</v>
      </c>
      <c r="H1623" s="2" t="s">
        <v>74</v>
      </c>
      <c r="I1623" s="2">
        <v>8</v>
      </c>
      <c r="J1623" s="2" t="s">
        <v>106</v>
      </c>
      <c r="K1623" s="4">
        <v>46061.720138888886</v>
      </c>
      <c r="L1623" s="2" t="s">
        <v>24</v>
      </c>
      <c r="M1623" s="2">
        <v>5</v>
      </c>
      <c r="N1623" t="s">
        <v>8583</v>
      </c>
      <c r="O1623" s="8">
        <f t="shared" si="50"/>
        <v>4.1833333333488554</v>
      </c>
      <c r="P1623" t="str">
        <f t="shared" si="51"/>
        <v>Yes</v>
      </c>
    </row>
    <row r="1624" spans="1:16" x14ac:dyDescent="0.25">
      <c r="A1624" s="2" t="s">
        <v>4421</v>
      </c>
      <c r="B1624" s="4">
        <v>46139.568749999999</v>
      </c>
      <c r="C1624" s="2" t="s">
        <v>67</v>
      </c>
      <c r="D1624" s="2" t="s">
        <v>95</v>
      </c>
      <c r="E1624" s="2" t="s">
        <v>79</v>
      </c>
      <c r="F1624" s="2" t="s">
        <v>30</v>
      </c>
      <c r="G1624" s="2" t="s">
        <v>211</v>
      </c>
      <c r="H1624" s="2" t="s">
        <v>21</v>
      </c>
      <c r="I1624" s="2">
        <v>24</v>
      </c>
      <c r="J1624" s="2" t="s">
        <v>106</v>
      </c>
      <c r="K1624" s="4">
        <v>46140.314583333333</v>
      </c>
      <c r="L1624" s="2" t="s">
        <v>24</v>
      </c>
      <c r="M1624" s="2">
        <v>2</v>
      </c>
      <c r="N1624" t="s">
        <v>8588</v>
      </c>
      <c r="O1624" s="8">
        <f t="shared" si="50"/>
        <v>17.900000000023283</v>
      </c>
      <c r="P1624" t="str">
        <f t="shared" si="51"/>
        <v>Yes</v>
      </c>
    </row>
    <row r="1625" spans="1:16" x14ac:dyDescent="0.25">
      <c r="A1625" s="2" t="s">
        <v>4424</v>
      </c>
      <c r="B1625" s="4">
        <v>46133.601388888892</v>
      </c>
      <c r="C1625" s="2" t="s">
        <v>16</v>
      </c>
      <c r="D1625" s="2" t="s">
        <v>17</v>
      </c>
      <c r="E1625" s="2" t="s">
        <v>38</v>
      </c>
      <c r="F1625" s="2" t="s">
        <v>30</v>
      </c>
      <c r="G1625" s="2" t="s">
        <v>31</v>
      </c>
      <c r="H1625" s="2" t="s">
        <v>32</v>
      </c>
      <c r="I1625" s="2">
        <v>48</v>
      </c>
      <c r="J1625" s="2" t="s">
        <v>106</v>
      </c>
      <c r="K1625" s="4" t="s">
        <v>8590</v>
      </c>
      <c r="L1625" s="2" t="s">
        <v>24</v>
      </c>
      <c r="M1625" s="2"/>
      <c r="N1625" t="s">
        <v>8583</v>
      </c>
      <c r="O1625" s="8" t="str">
        <f t="shared" si="50"/>
        <v/>
      </c>
      <c r="P1625" t="str">
        <f t="shared" si="51"/>
        <v>No</v>
      </c>
    </row>
    <row r="1626" spans="1:16" x14ac:dyDescent="0.25">
      <c r="A1626" s="2" t="s">
        <v>4426</v>
      </c>
      <c r="B1626" s="4">
        <v>46203.135416666664</v>
      </c>
      <c r="C1626" s="2" t="s">
        <v>53</v>
      </c>
      <c r="D1626" s="2" t="s">
        <v>54</v>
      </c>
      <c r="E1626" s="2" t="s">
        <v>85</v>
      </c>
      <c r="F1626" s="2" t="s">
        <v>30</v>
      </c>
      <c r="G1626" s="2" t="s">
        <v>31</v>
      </c>
      <c r="H1626" s="2" t="s">
        <v>32</v>
      </c>
      <c r="I1626" s="2">
        <v>48</v>
      </c>
      <c r="J1626" s="2" t="s">
        <v>11</v>
      </c>
      <c r="K1626" s="4" t="s">
        <v>8590</v>
      </c>
      <c r="L1626" s="2" t="s">
        <v>92</v>
      </c>
      <c r="M1626" s="2"/>
      <c r="N1626" t="s">
        <v>8588</v>
      </c>
      <c r="O1626" s="8" t="str">
        <f t="shared" si="50"/>
        <v/>
      </c>
      <c r="P1626" t="str">
        <f t="shared" si="51"/>
        <v>N/A</v>
      </c>
    </row>
    <row r="1627" spans="1:16" x14ac:dyDescent="0.25">
      <c r="A1627" s="2" t="s">
        <v>4428</v>
      </c>
      <c r="B1627" s="4">
        <v>46034.649305555555</v>
      </c>
      <c r="C1627" s="2" t="s">
        <v>28</v>
      </c>
      <c r="D1627" s="2" t="s">
        <v>100</v>
      </c>
      <c r="E1627" s="2" t="s">
        <v>38</v>
      </c>
      <c r="F1627" s="2" t="s">
        <v>55</v>
      </c>
      <c r="G1627" s="2" t="s">
        <v>211</v>
      </c>
      <c r="H1627" s="2" t="s">
        <v>74</v>
      </c>
      <c r="I1627" s="2">
        <v>8</v>
      </c>
      <c r="J1627" s="2" t="s">
        <v>149</v>
      </c>
      <c r="K1627" s="4" t="s">
        <v>8590</v>
      </c>
      <c r="L1627" s="2" t="s">
        <v>24</v>
      </c>
      <c r="M1627" s="2"/>
      <c r="N1627" t="s">
        <v>8582</v>
      </c>
      <c r="O1627" s="8" t="str">
        <f t="shared" si="50"/>
        <v/>
      </c>
      <c r="P1627" t="str">
        <f t="shared" si="51"/>
        <v>N/A</v>
      </c>
    </row>
    <row r="1628" spans="1:16" x14ac:dyDescent="0.25">
      <c r="A1628" s="2" t="s">
        <v>4430</v>
      </c>
      <c r="B1628" s="4">
        <v>46174.850694444445</v>
      </c>
      <c r="C1628" s="2" t="s">
        <v>67</v>
      </c>
      <c r="D1628" s="2" t="s">
        <v>68</v>
      </c>
      <c r="E1628" s="2" t="s">
        <v>46</v>
      </c>
      <c r="F1628" s="2" t="s">
        <v>96</v>
      </c>
      <c r="G1628" s="2" t="s">
        <v>179</v>
      </c>
      <c r="H1628" s="2" t="s">
        <v>80</v>
      </c>
      <c r="I1628" s="2">
        <v>4</v>
      </c>
      <c r="J1628" s="2" t="s">
        <v>106</v>
      </c>
      <c r="K1628" s="4">
        <v>46175.18472222222</v>
      </c>
      <c r="L1628" s="2" t="s">
        <v>24</v>
      </c>
      <c r="M1628" s="2"/>
      <c r="N1628" t="s">
        <v>8584</v>
      </c>
      <c r="O1628" s="8">
        <f t="shared" si="50"/>
        <v>8.0166666666045785</v>
      </c>
      <c r="P1628" t="str">
        <f t="shared" si="51"/>
        <v>No</v>
      </c>
    </row>
    <row r="1629" spans="1:16" x14ac:dyDescent="0.25">
      <c r="A1629" s="2" t="s">
        <v>4433</v>
      </c>
      <c r="B1629" s="4">
        <v>46253.987500000003</v>
      </c>
      <c r="C1629" s="2" t="s">
        <v>16</v>
      </c>
      <c r="D1629" s="2" t="s">
        <v>17</v>
      </c>
      <c r="E1629" s="2" t="s">
        <v>90</v>
      </c>
      <c r="F1629" s="2" t="s">
        <v>96</v>
      </c>
      <c r="G1629" s="2" t="s">
        <v>110</v>
      </c>
      <c r="H1629" s="2" t="s">
        <v>32</v>
      </c>
      <c r="I1629" s="2">
        <v>48</v>
      </c>
      <c r="J1629" s="2" t="s">
        <v>75</v>
      </c>
      <c r="K1629" s="4">
        <v>46255.030555555553</v>
      </c>
      <c r="L1629" s="2" t="s">
        <v>24</v>
      </c>
      <c r="M1629" s="2"/>
      <c r="N1629" t="s">
        <v>8586</v>
      </c>
      <c r="O1629" s="8">
        <f t="shared" si="50"/>
        <v>25.033333333209157</v>
      </c>
      <c r="P1629" t="str">
        <f t="shared" si="51"/>
        <v>N/A</v>
      </c>
    </row>
    <row r="1630" spans="1:16" x14ac:dyDescent="0.25">
      <c r="A1630" s="2" t="s">
        <v>4436</v>
      </c>
      <c r="B1630" s="4">
        <v>46127.768750000003</v>
      </c>
      <c r="C1630" s="2" t="s">
        <v>53</v>
      </c>
      <c r="D1630" s="2" t="s">
        <v>61</v>
      </c>
      <c r="E1630" s="2" t="s">
        <v>90</v>
      </c>
      <c r="F1630" s="2" t="s">
        <v>96</v>
      </c>
      <c r="G1630" s="2" t="s">
        <v>183</v>
      </c>
      <c r="H1630" s="2" t="s">
        <v>32</v>
      </c>
      <c r="I1630" s="2">
        <v>48</v>
      </c>
      <c r="J1630" s="2" t="s">
        <v>106</v>
      </c>
      <c r="K1630" s="4">
        <v>46129.256944444445</v>
      </c>
      <c r="L1630" s="2" t="s">
        <v>24</v>
      </c>
      <c r="M1630" s="2">
        <v>2</v>
      </c>
      <c r="N1630" t="s">
        <v>8588</v>
      </c>
      <c r="O1630" s="8">
        <f t="shared" si="50"/>
        <v>35.71666666661622</v>
      </c>
      <c r="P1630" t="str">
        <f t="shared" si="51"/>
        <v>Yes</v>
      </c>
    </row>
    <row r="1631" spans="1:16" x14ac:dyDescent="0.25">
      <c r="A1631" s="2" t="s">
        <v>4439</v>
      </c>
      <c r="B1631" s="4">
        <v>46148.331944444442</v>
      </c>
      <c r="C1631" s="2" t="s">
        <v>53</v>
      </c>
      <c r="D1631" s="2" t="s">
        <v>61</v>
      </c>
      <c r="E1631" s="2" t="s">
        <v>148</v>
      </c>
      <c r="F1631" s="2" t="s">
        <v>113</v>
      </c>
      <c r="G1631" s="2" t="s">
        <v>183</v>
      </c>
      <c r="H1631" s="2" t="s">
        <v>21</v>
      </c>
      <c r="I1631" s="2">
        <v>24</v>
      </c>
      <c r="J1631" s="2" t="s">
        <v>106</v>
      </c>
      <c r="K1631" s="4">
        <v>46151.006944444445</v>
      </c>
      <c r="L1631" s="2" t="s">
        <v>24</v>
      </c>
      <c r="M1631" s="2">
        <v>2</v>
      </c>
      <c r="N1631" t="s">
        <v>8587</v>
      </c>
      <c r="O1631" s="8">
        <f t="shared" si="50"/>
        <v>64.200000000069849</v>
      </c>
      <c r="P1631" t="str">
        <f t="shared" si="51"/>
        <v>No</v>
      </c>
    </row>
    <row r="1632" spans="1:16" x14ac:dyDescent="0.25">
      <c r="A1632" s="2" t="s">
        <v>4442</v>
      </c>
      <c r="B1632" s="4">
        <v>46213.72152777778</v>
      </c>
      <c r="C1632" s="2" t="s">
        <v>28</v>
      </c>
      <c r="D1632" s="2" t="s">
        <v>37</v>
      </c>
      <c r="E1632" s="2" t="s">
        <v>46</v>
      </c>
      <c r="F1632" s="2" t="s">
        <v>96</v>
      </c>
      <c r="G1632" s="2" t="s">
        <v>110</v>
      </c>
      <c r="H1632" s="2" t="s">
        <v>74</v>
      </c>
      <c r="I1632" s="2">
        <v>8</v>
      </c>
      <c r="J1632" s="2" t="s">
        <v>106</v>
      </c>
      <c r="K1632" s="4" t="s">
        <v>8590</v>
      </c>
      <c r="L1632" s="2" t="s">
        <v>24</v>
      </c>
      <c r="M1632" s="2">
        <v>1</v>
      </c>
      <c r="N1632" t="s">
        <v>8584</v>
      </c>
      <c r="O1632" s="8" t="str">
        <f t="shared" si="50"/>
        <v/>
      </c>
      <c r="P1632" t="str">
        <f t="shared" si="51"/>
        <v>No</v>
      </c>
    </row>
    <row r="1633" spans="1:16" x14ac:dyDescent="0.25">
      <c r="A1633" s="2" t="s">
        <v>4444</v>
      </c>
      <c r="B1633" s="4">
        <v>46241.493750000001</v>
      </c>
      <c r="C1633" s="2" t="s">
        <v>53</v>
      </c>
      <c r="D1633" s="2" t="s">
        <v>61</v>
      </c>
      <c r="E1633" s="2" t="s">
        <v>148</v>
      </c>
      <c r="F1633" s="2" t="s">
        <v>30</v>
      </c>
      <c r="G1633" s="2" t="s">
        <v>211</v>
      </c>
      <c r="H1633" s="2" t="s">
        <v>32</v>
      </c>
      <c r="I1633" s="2">
        <v>48</v>
      </c>
      <c r="J1633" s="2" t="s">
        <v>11</v>
      </c>
      <c r="K1633" s="4" t="s">
        <v>8590</v>
      </c>
      <c r="L1633" s="2" t="s">
        <v>92</v>
      </c>
      <c r="M1633" s="2"/>
      <c r="N1633" t="s">
        <v>8587</v>
      </c>
      <c r="O1633" s="8" t="str">
        <f t="shared" si="50"/>
        <v/>
      </c>
      <c r="P1633" t="str">
        <f t="shared" si="51"/>
        <v>N/A</v>
      </c>
    </row>
    <row r="1634" spans="1:16" x14ac:dyDescent="0.25">
      <c r="A1634" s="2" t="s">
        <v>4446</v>
      </c>
      <c r="B1634" s="4">
        <v>46130.366666666669</v>
      </c>
      <c r="C1634" s="2" t="s">
        <v>53</v>
      </c>
      <c r="D1634" s="2" t="s">
        <v>54</v>
      </c>
      <c r="E1634" s="2" t="s">
        <v>18</v>
      </c>
      <c r="F1634" s="2" t="s">
        <v>55</v>
      </c>
      <c r="G1634" s="2" t="s">
        <v>101</v>
      </c>
      <c r="H1634" s="2" t="s">
        <v>32</v>
      </c>
      <c r="I1634" s="2">
        <v>48</v>
      </c>
      <c r="J1634" s="2" t="s">
        <v>287</v>
      </c>
      <c r="K1634" s="4" t="s">
        <v>8590</v>
      </c>
      <c r="L1634" s="2" t="s">
        <v>24</v>
      </c>
      <c r="M1634" s="2"/>
      <c r="N1634" t="s">
        <v>8589</v>
      </c>
      <c r="O1634" s="8" t="str">
        <f t="shared" si="50"/>
        <v/>
      </c>
      <c r="P1634" t="str">
        <f t="shared" si="51"/>
        <v>N/A</v>
      </c>
    </row>
    <row r="1635" spans="1:16" x14ac:dyDescent="0.25">
      <c r="A1635" s="2" t="s">
        <v>4448</v>
      </c>
      <c r="B1635" s="4">
        <v>46166.330555555556</v>
      </c>
      <c r="C1635" s="2" t="s">
        <v>28</v>
      </c>
      <c r="D1635" s="2" t="s">
        <v>37</v>
      </c>
      <c r="E1635" s="2" t="s">
        <v>46</v>
      </c>
      <c r="F1635" s="2" t="s">
        <v>30</v>
      </c>
      <c r="G1635" s="2" t="s">
        <v>101</v>
      </c>
      <c r="H1635" s="2" t="s">
        <v>21</v>
      </c>
      <c r="I1635" s="2">
        <v>24</v>
      </c>
      <c r="J1635" s="2" t="s">
        <v>106</v>
      </c>
      <c r="K1635" s="4">
        <v>46168.161805555559</v>
      </c>
      <c r="L1635" s="2" t="s">
        <v>24</v>
      </c>
      <c r="M1635" s="2"/>
      <c r="N1635" t="s">
        <v>8589</v>
      </c>
      <c r="O1635" s="8">
        <f t="shared" si="50"/>
        <v>43.950000000069849</v>
      </c>
      <c r="P1635" t="str">
        <f t="shared" si="51"/>
        <v>No</v>
      </c>
    </row>
    <row r="1636" spans="1:16" x14ac:dyDescent="0.25">
      <c r="A1636" s="2" t="s">
        <v>4451</v>
      </c>
      <c r="B1636" s="4">
        <v>46111.368055555555</v>
      </c>
      <c r="C1636" s="2" t="s">
        <v>28</v>
      </c>
      <c r="D1636" s="2" t="s">
        <v>100</v>
      </c>
      <c r="E1636" s="2" t="s">
        <v>85</v>
      </c>
      <c r="F1636" s="2" t="s">
        <v>113</v>
      </c>
      <c r="G1636" s="2" t="s">
        <v>211</v>
      </c>
      <c r="H1636" s="2" t="s">
        <v>32</v>
      </c>
      <c r="I1636" s="2">
        <v>48</v>
      </c>
      <c r="J1636" s="2" t="s">
        <v>149</v>
      </c>
      <c r="K1636" s="4" t="s">
        <v>8590</v>
      </c>
      <c r="L1636" s="2" t="s">
        <v>24</v>
      </c>
      <c r="M1636" s="2"/>
      <c r="N1636" t="s">
        <v>8589</v>
      </c>
      <c r="O1636" s="8" t="str">
        <f t="shared" si="50"/>
        <v/>
      </c>
      <c r="P1636" t="str">
        <f t="shared" si="51"/>
        <v>N/A</v>
      </c>
    </row>
    <row r="1637" spans="1:16" x14ac:dyDescent="0.25">
      <c r="A1637" s="2" t="s">
        <v>4453</v>
      </c>
      <c r="B1637" s="4">
        <v>46082.363194444442</v>
      </c>
      <c r="C1637" s="2" t="s">
        <v>53</v>
      </c>
      <c r="D1637" s="2" t="s">
        <v>61</v>
      </c>
      <c r="E1637" s="2" t="s">
        <v>46</v>
      </c>
      <c r="F1637" s="2" t="s">
        <v>30</v>
      </c>
      <c r="G1637" s="2" t="s">
        <v>211</v>
      </c>
      <c r="H1637" s="2" t="s">
        <v>74</v>
      </c>
      <c r="I1637" s="2">
        <v>8</v>
      </c>
      <c r="J1637" s="2" t="s">
        <v>75</v>
      </c>
      <c r="K1637" s="4">
        <v>46082.65</v>
      </c>
      <c r="L1637" s="2" t="s">
        <v>24</v>
      </c>
      <c r="M1637" s="2">
        <v>3</v>
      </c>
      <c r="N1637" t="s">
        <v>8586</v>
      </c>
      <c r="O1637" s="8">
        <f t="shared" si="50"/>
        <v>6.8833333334187046</v>
      </c>
      <c r="P1637" t="str">
        <f t="shared" si="51"/>
        <v>N/A</v>
      </c>
    </row>
    <row r="1638" spans="1:16" x14ac:dyDescent="0.25">
      <c r="A1638" s="2" t="s">
        <v>4456</v>
      </c>
      <c r="B1638" s="4">
        <v>46139.712500000001</v>
      </c>
      <c r="C1638" s="2" t="s">
        <v>67</v>
      </c>
      <c r="D1638" s="2" t="s">
        <v>95</v>
      </c>
      <c r="E1638" s="2" t="s">
        <v>85</v>
      </c>
      <c r="F1638" s="2" t="s">
        <v>113</v>
      </c>
      <c r="G1638" s="2" t="s">
        <v>183</v>
      </c>
      <c r="H1638" s="2" t="s">
        <v>74</v>
      </c>
      <c r="I1638" s="2">
        <v>8</v>
      </c>
      <c r="J1638" s="2" t="s">
        <v>287</v>
      </c>
      <c r="K1638" s="4" t="s">
        <v>8590</v>
      </c>
      <c r="L1638" s="2" t="s">
        <v>24</v>
      </c>
      <c r="M1638" s="2"/>
      <c r="N1638" t="s">
        <v>8584</v>
      </c>
      <c r="O1638" s="8" t="str">
        <f t="shared" si="50"/>
        <v/>
      </c>
      <c r="P1638" t="str">
        <f t="shared" si="51"/>
        <v>N/A</v>
      </c>
    </row>
    <row r="1639" spans="1:16" x14ac:dyDescent="0.25">
      <c r="A1639" s="2" t="s">
        <v>4458</v>
      </c>
      <c r="B1639" s="4">
        <v>46049.742361111108</v>
      </c>
      <c r="C1639" s="2" t="s">
        <v>53</v>
      </c>
      <c r="D1639" s="2" t="s">
        <v>61</v>
      </c>
      <c r="E1639" s="2" t="s">
        <v>79</v>
      </c>
      <c r="F1639" s="2" t="s">
        <v>55</v>
      </c>
      <c r="G1639" s="2" t="s">
        <v>183</v>
      </c>
      <c r="H1639" s="2" t="s">
        <v>21</v>
      </c>
      <c r="I1639" s="2">
        <v>24</v>
      </c>
      <c r="J1639" s="2" t="s">
        <v>8580</v>
      </c>
      <c r="K1639" s="4">
        <v>46051.416666666664</v>
      </c>
      <c r="L1639" s="2" t="s">
        <v>24</v>
      </c>
      <c r="M1639" s="2"/>
      <c r="N1639" t="s">
        <v>8587</v>
      </c>
      <c r="O1639" s="8">
        <f t="shared" si="50"/>
        <v>40.183333333348855</v>
      </c>
      <c r="P1639" t="str">
        <f t="shared" si="51"/>
        <v>N/A</v>
      </c>
    </row>
    <row r="1640" spans="1:16" x14ac:dyDescent="0.25">
      <c r="A1640" s="2" t="s">
        <v>4461</v>
      </c>
      <c r="B1640" s="4">
        <v>46043.383333333331</v>
      </c>
      <c r="C1640" s="2" t="s">
        <v>16</v>
      </c>
      <c r="D1640" s="2" t="s">
        <v>17</v>
      </c>
      <c r="E1640" s="2" t="s">
        <v>38</v>
      </c>
      <c r="F1640" s="2" t="s">
        <v>96</v>
      </c>
      <c r="G1640" s="2" t="s">
        <v>179</v>
      </c>
      <c r="H1640" s="2" t="s">
        <v>21</v>
      </c>
      <c r="I1640" s="2">
        <v>24</v>
      </c>
      <c r="J1640" s="2" t="s">
        <v>11</v>
      </c>
      <c r="K1640" s="4" t="s">
        <v>8590</v>
      </c>
      <c r="L1640" s="2" t="s">
        <v>92</v>
      </c>
      <c r="M1640" s="2"/>
      <c r="N1640" t="s">
        <v>8589</v>
      </c>
      <c r="O1640" s="8" t="str">
        <f t="shared" si="50"/>
        <v/>
      </c>
      <c r="P1640" t="str">
        <f t="shared" si="51"/>
        <v>N/A</v>
      </c>
    </row>
    <row r="1641" spans="1:16" x14ac:dyDescent="0.25">
      <c r="A1641" s="2" t="s">
        <v>4463</v>
      </c>
      <c r="B1641" s="4">
        <v>46080.319444444445</v>
      </c>
      <c r="C1641" s="2" t="s">
        <v>53</v>
      </c>
      <c r="D1641" s="2" t="s">
        <v>54</v>
      </c>
      <c r="E1641" s="2" t="s">
        <v>148</v>
      </c>
      <c r="F1641" s="2" t="s">
        <v>55</v>
      </c>
      <c r="G1641" s="2" t="s">
        <v>110</v>
      </c>
      <c r="H1641" s="2" t="s">
        <v>21</v>
      </c>
      <c r="I1641" s="2">
        <v>24</v>
      </c>
      <c r="J1641" s="2" t="s">
        <v>106</v>
      </c>
      <c r="K1641" s="4">
        <v>46081.041666666664</v>
      </c>
      <c r="L1641" s="2" t="s">
        <v>24</v>
      </c>
      <c r="M1641" s="2"/>
      <c r="N1641" t="s">
        <v>8589</v>
      </c>
      <c r="O1641" s="8">
        <f t="shared" si="50"/>
        <v>17.333333333255723</v>
      </c>
      <c r="P1641" t="str">
        <f t="shared" si="51"/>
        <v>Yes</v>
      </c>
    </row>
    <row r="1642" spans="1:16" x14ac:dyDescent="0.25">
      <c r="A1642" s="2" t="s">
        <v>4466</v>
      </c>
      <c r="B1642" s="4">
        <v>46086.083333333336</v>
      </c>
      <c r="C1642" s="2" t="s">
        <v>67</v>
      </c>
      <c r="D1642" s="2" t="s">
        <v>68</v>
      </c>
      <c r="E1642" s="2" t="s">
        <v>85</v>
      </c>
      <c r="F1642" s="2" t="s">
        <v>55</v>
      </c>
      <c r="G1642" s="2" t="s">
        <v>31</v>
      </c>
      <c r="H1642" s="2" t="s">
        <v>21</v>
      </c>
      <c r="I1642" s="2">
        <v>24</v>
      </c>
      <c r="J1642" s="2" t="s">
        <v>106</v>
      </c>
      <c r="K1642" s="4">
        <v>46086.39166666667</v>
      </c>
      <c r="L1642" s="2" t="s">
        <v>24</v>
      </c>
      <c r="M1642" s="2"/>
      <c r="N1642" t="s">
        <v>8588</v>
      </c>
      <c r="O1642" s="8">
        <f t="shared" si="50"/>
        <v>7.4000000000232831</v>
      </c>
      <c r="P1642" t="str">
        <f t="shared" si="51"/>
        <v>Yes</v>
      </c>
    </row>
    <row r="1643" spans="1:16" x14ac:dyDescent="0.25">
      <c r="A1643" s="2" t="s">
        <v>4469</v>
      </c>
      <c r="B1643" s="4">
        <v>46049.534722222219</v>
      </c>
      <c r="C1643" s="2" t="s">
        <v>28</v>
      </c>
      <c r="D1643" s="2" t="s">
        <v>37</v>
      </c>
      <c r="E1643" s="2" t="s">
        <v>46</v>
      </c>
      <c r="F1643" s="2" t="s">
        <v>113</v>
      </c>
      <c r="G1643" s="2" t="s">
        <v>211</v>
      </c>
      <c r="H1643" s="2" t="s">
        <v>32</v>
      </c>
      <c r="I1643" s="2">
        <v>48</v>
      </c>
      <c r="J1643" s="2" t="s">
        <v>106</v>
      </c>
      <c r="K1643" s="4">
        <v>46050.925000000003</v>
      </c>
      <c r="L1643" s="2" t="s">
        <v>24</v>
      </c>
      <c r="M1643" s="2"/>
      <c r="N1643" t="s">
        <v>8587</v>
      </c>
      <c r="O1643" s="8">
        <f t="shared" si="50"/>
        <v>33.366666666814126</v>
      </c>
      <c r="P1643" t="str">
        <f t="shared" si="51"/>
        <v>Yes</v>
      </c>
    </row>
    <row r="1644" spans="1:16" x14ac:dyDescent="0.25">
      <c r="A1644" s="2" t="s">
        <v>4472</v>
      </c>
      <c r="B1644" s="4">
        <v>46069.518750000003</v>
      </c>
      <c r="C1644" s="2" t="s">
        <v>16</v>
      </c>
      <c r="D1644" s="2" t="s">
        <v>17</v>
      </c>
      <c r="E1644" s="2" t="s">
        <v>90</v>
      </c>
      <c r="F1644" s="2" t="s">
        <v>30</v>
      </c>
      <c r="G1644" s="2" t="s">
        <v>179</v>
      </c>
      <c r="H1644" s="2" t="s">
        <v>21</v>
      </c>
      <c r="I1644" s="2">
        <v>24</v>
      </c>
      <c r="J1644" s="2" t="s">
        <v>106</v>
      </c>
      <c r="K1644" s="4">
        <v>46069.602083333331</v>
      </c>
      <c r="L1644" s="2" t="s">
        <v>24</v>
      </c>
      <c r="M1644" s="2"/>
      <c r="N1644" t="s">
        <v>8589</v>
      </c>
      <c r="O1644" s="8">
        <f t="shared" si="50"/>
        <v>1.9999999998835847</v>
      </c>
      <c r="P1644" t="str">
        <f t="shared" si="51"/>
        <v>Yes</v>
      </c>
    </row>
    <row r="1645" spans="1:16" x14ac:dyDescent="0.25">
      <c r="A1645" s="2" t="s">
        <v>4475</v>
      </c>
      <c r="B1645" s="4">
        <v>46241.414583333331</v>
      </c>
      <c r="C1645" s="2" t="s">
        <v>28</v>
      </c>
      <c r="D1645" s="2" t="s">
        <v>37</v>
      </c>
      <c r="E1645" s="2" t="s">
        <v>90</v>
      </c>
      <c r="F1645" s="2" t="s">
        <v>113</v>
      </c>
      <c r="G1645" s="2" t="s">
        <v>211</v>
      </c>
      <c r="H1645" s="2" t="s">
        <v>32</v>
      </c>
      <c r="I1645" s="2">
        <v>48</v>
      </c>
      <c r="J1645" s="2" t="s">
        <v>75</v>
      </c>
      <c r="K1645" s="4">
        <v>46242.147916666669</v>
      </c>
      <c r="L1645" s="2" t="s">
        <v>24</v>
      </c>
      <c r="M1645" s="2">
        <v>4</v>
      </c>
      <c r="N1645" t="s">
        <v>8589</v>
      </c>
      <c r="O1645" s="8">
        <f t="shared" si="50"/>
        <v>17.600000000093132</v>
      </c>
      <c r="P1645" t="str">
        <f t="shared" si="51"/>
        <v>N/A</v>
      </c>
    </row>
    <row r="1646" spans="1:16" x14ac:dyDescent="0.25">
      <c r="A1646" s="2" t="s">
        <v>4478</v>
      </c>
      <c r="B1646" s="4">
        <v>46129.087500000001</v>
      </c>
      <c r="C1646" s="2" t="s">
        <v>28</v>
      </c>
      <c r="D1646" s="2" t="s">
        <v>37</v>
      </c>
      <c r="E1646" s="2" t="s">
        <v>148</v>
      </c>
      <c r="F1646" s="2" t="s">
        <v>55</v>
      </c>
      <c r="G1646" s="2" t="s">
        <v>179</v>
      </c>
      <c r="H1646" s="2" t="s">
        <v>21</v>
      </c>
      <c r="I1646" s="2">
        <v>24</v>
      </c>
      <c r="J1646" s="2" t="s">
        <v>106</v>
      </c>
      <c r="K1646" s="4">
        <v>46129.17291666667</v>
      </c>
      <c r="L1646" s="2" t="s">
        <v>24</v>
      </c>
      <c r="M1646" s="2"/>
      <c r="N1646" t="s">
        <v>8587</v>
      </c>
      <c r="O1646" s="8">
        <f t="shared" si="50"/>
        <v>2.0500000000465661</v>
      </c>
      <c r="P1646" t="str">
        <f t="shared" si="51"/>
        <v>Yes</v>
      </c>
    </row>
    <row r="1647" spans="1:16" x14ac:dyDescent="0.25">
      <c r="A1647" s="2" t="s">
        <v>4481</v>
      </c>
      <c r="B1647" s="4">
        <v>46157.063888888886</v>
      </c>
      <c r="C1647" s="2" t="s">
        <v>67</v>
      </c>
      <c r="D1647" s="2" t="s">
        <v>95</v>
      </c>
      <c r="E1647" s="2" t="s">
        <v>46</v>
      </c>
      <c r="F1647" s="2" t="s">
        <v>55</v>
      </c>
      <c r="G1647" s="2" t="s">
        <v>31</v>
      </c>
      <c r="H1647" s="2" t="s">
        <v>74</v>
      </c>
      <c r="I1647" s="2">
        <v>8</v>
      </c>
      <c r="J1647" s="2" t="s">
        <v>11</v>
      </c>
      <c r="K1647" s="4" t="s">
        <v>8590</v>
      </c>
      <c r="L1647" s="2" t="s">
        <v>92</v>
      </c>
      <c r="M1647" s="2"/>
      <c r="N1647" t="s">
        <v>8584</v>
      </c>
      <c r="O1647" s="8" t="str">
        <f t="shared" si="50"/>
        <v/>
      </c>
      <c r="P1647" t="str">
        <f t="shared" si="51"/>
        <v>N/A</v>
      </c>
    </row>
    <row r="1648" spans="1:16" x14ac:dyDescent="0.25">
      <c r="A1648" s="2" t="s">
        <v>4483</v>
      </c>
      <c r="B1648" s="4">
        <v>46142.973611111112</v>
      </c>
      <c r="C1648" s="2" t="s">
        <v>16</v>
      </c>
      <c r="D1648" s="2" t="s">
        <v>84</v>
      </c>
      <c r="E1648" s="2" t="s">
        <v>18</v>
      </c>
      <c r="F1648" s="2" t="s">
        <v>55</v>
      </c>
      <c r="G1648" s="2" t="s">
        <v>101</v>
      </c>
      <c r="H1648" s="2" t="s">
        <v>21</v>
      </c>
      <c r="I1648" s="2">
        <v>24</v>
      </c>
      <c r="J1648" s="2" t="s">
        <v>75</v>
      </c>
      <c r="K1648" s="4">
        <v>46143.690972222219</v>
      </c>
      <c r="L1648" s="2" t="s">
        <v>24</v>
      </c>
      <c r="M1648" s="2">
        <v>2</v>
      </c>
      <c r="N1648" t="s">
        <v>8589</v>
      </c>
      <c r="O1648" s="8">
        <f t="shared" si="50"/>
        <v>17.216666666558012</v>
      </c>
      <c r="P1648" t="str">
        <f t="shared" si="51"/>
        <v>N/A</v>
      </c>
    </row>
    <row r="1649" spans="1:16" x14ac:dyDescent="0.25">
      <c r="A1649" s="2" t="s">
        <v>4486</v>
      </c>
      <c r="B1649" s="4">
        <v>46199.738888888889</v>
      </c>
      <c r="C1649" s="2" t="s">
        <v>28</v>
      </c>
      <c r="D1649" s="2" t="s">
        <v>100</v>
      </c>
      <c r="E1649" s="2" t="s">
        <v>46</v>
      </c>
      <c r="F1649" s="2" t="s">
        <v>30</v>
      </c>
      <c r="G1649" s="2" t="s">
        <v>31</v>
      </c>
      <c r="H1649" s="2" t="s">
        <v>74</v>
      </c>
      <c r="I1649" s="2">
        <v>8</v>
      </c>
      <c r="J1649" s="2" t="s">
        <v>106</v>
      </c>
      <c r="K1649" s="4">
        <v>46199.806250000001</v>
      </c>
      <c r="L1649" s="2" t="s">
        <v>24</v>
      </c>
      <c r="M1649" s="2">
        <v>1</v>
      </c>
      <c r="N1649" t="s">
        <v>8585</v>
      </c>
      <c r="O1649" s="8">
        <f t="shared" si="50"/>
        <v>1.6166666666977108</v>
      </c>
      <c r="P1649" t="str">
        <f t="shared" si="51"/>
        <v>Yes</v>
      </c>
    </row>
    <row r="1650" spans="1:16" x14ac:dyDescent="0.25">
      <c r="A1650" s="2" t="s">
        <v>4489</v>
      </c>
      <c r="B1650" s="4">
        <v>46028.897916666669</v>
      </c>
      <c r="C1650" s="2" t="s">
        <v>16</v>
      </c>
      <c r="D1650" s="2" t="s">
        <v>84</v>
      </c>
      <c r="E1650" s="2" t="s">
        <v>90</v>
      </c>
      <c r="F1650" s="2" t="s">
        <v>96</v>
      </c>
      <c r="G1650" s="2" t="s">
        <v>179</v>
      </c>
      <c r="H1650" s="2" t="s">
        <v>74</v>
      </c>
      <c r="I1650" s="2">
        <v>8</v>
      </c>
      <c r="J1650" s="2" t="s">
        <v>149</v>
      </c>
      <c r="K1650" s="4" t="s">
        <v>8590</v>
      </c>
      <c r="L1650" s="2" t="s">
        <v>24</v>
      </c>
      <c r="M1650" s="2"/>
      <c r="N1650" t="s">
        <v>8581</v>
      </c>
      <c r="O1650" s="8" t="str">
        <f t="shared" si="50"/>
        <v/>
      </c>
      <c r="P1650" t="str">
        <f t="shared" si="51"/>
        <v>N/A</v>
      </c>
    </row>
    <row r="1651" spans="1:16" x14ac:dyDescent="0.25">
      <c r="A1651" s="2" t="s">
        <v>4491</v>
      </c>
      <c r="B1651" s="4">
        <v>46115.34375</v>
      </c>
      <c r="C1651" s="2" t="s">
        <v>67</v>
      </c>
      <c r="D1651" s="2" t="s">
        <v>95</v>
      </c>
      <c r="E1651" s="2" t="s">
        <v>85</v>
      </c>
      <c r="F1651" s="2" t="s">
        <v>55</v>
      </c>
      <c r="G1651" s="2" t="s">
        <v>183</v>
      </c>
      <c r="H1651" s="2" t="s">
        <v>80</v>
      </c>
      <c r="I1651" s="2">
        <v>4</v>
      </c>
      <c r="J1651" s="2" t="s">
        <v>75</v>
      </c>
      <c r="K1651" s="4">
        <v>46115.450694444444</v>
      </c>
      <c r="L1651" s="2" t="s">
        <v>92</v>
      </c>
      <c r="M1651" s="2"/>
      <c r="N1651" t="s">
        <v>8585</v>
      </c>
      <c r="O1651" s="8">
        <f t="shared" si="50"/>
        <v>2.5666666666511446</v>
      </c>
      <c r="P1651" t="str">
        <f t="shared" si="51"/>
        <v>N/A</v>
      </c>
    </row>
    <row r="1652" spans="1:16" x14ac:dyDescent="0.25">
      <c r="A1652" s="2" t="s">
        <v>4494</v>
      </c>
      <c r="B1652" s="4">
        <v>46262.77847222222</v>
      </c>
      <c r="C1652" s="2" t="s">
        <v>28</v>
      </c>
      <c r="D1652" s="2" t="s">
        <v>37</v>
      </c>
      <c r="E1652" s="2" t="s">
        <v>85</v>
      </c>
      <c r="F1652" s="2" t="s">
        <v>30</v>
      </c>
      <c r="G1652" s="2" t="s">
        <v>101</v>
      </c>
      <c r="H1652" s="2" t="s">
        <v>32</v>
      </c>
      <c r="I1652" s="2">
        <v>48</v>
      </c>
      <c r="J1652" s="2" t="s">
        <v>75</v>
      </c>
      <c r="K1652" s="4">
        <v>46263.96597222222</v>
      </c>
      <c r="L1652" s="2" t="s">
        <v>24</v>
      </c>
      <c r="M1652" s="2"/>
      <c r="N1652" t="s">
        <v>8585</v>
      </c>
      <c r="O1652" s="8">
        <f t="shared" si="50"/>
        <v>28.5</v>
      </c>
      <c r="P1652" t="str">
        <f t="shared" si="51"/>
        <v>N/A</v>
      </c>
    </row>
    <row r="1653" spans="1:16" x14ac:dyDescent="0.25">
      <c r="A1653" s="2" t="s">
        <v>4497</v>
      </c>
      <c r="B1653" s="4">
        <v>46133.896527777775</v>
      </c>
      <c r="C1653" s="2" t="s">
        <v>67</v>
      </c>
      <c r="D1653" s="2" t="s">
        <v>68</v>
      </c>
      <c r="E1653" s="2" t="s">
        <v>85</v>
      </c>
      <c r="F1653" s="2" t="s">
        <v>30</v>
      </c>
      <c r="G1653" s="2" t="s">
        <v>211</v>
      </c>
      <c r="H1653" s="2" t="s">
        <v>32</v>
      </c>
      <c r="I1653" s="2">
        <v>48</v>
      </c>
      <c r="J1653" s="2" t="s">
        <v>106</v>
      </c>
      <c r="K1653" s="4">
        <v>46134.058333333334</v>
      </c>
      <c r="L1653" s="2" t="s">
        <v>24</v>
      </c>
      <c r="M1653" s="2"/>
      <c r="N1653" t="s">
        <v>8588</v>
      </c>
      <c r="O1653" s="8">
        <f t="shared" si="50"/>
        <v>3.8833333334187046</v>
      </c>
      <c r="P1653" t="str">
        <f t="shared" si="51"/>
        <v>Yes</v>
      </c>
    </row>
    <row r="1654" spans="1:16" x14ac:dyDescent="0.25">
      <c r="A1654" s="2" t="s">
        <v>4500</v>
      </c>
      <c r="B1654" s="4">
        <v>46264.47152777778</v>
      </c>
      <c r="C1654" s="2" t="s">
        <v>67</v>
      </c>
      <c r="D1654" s="2" t="s">
        <v>95</v>
      </c>
      <c r="E1654" s="2" t="s">
        <v>90</v>
      </c>
      <c r="F1654" s="2" t="s">
        <v>96</v>
      </c>
      <c r="G1654" s="2" t="s">
        <v>101</v>
      </c>
      <c r="H1654" s="2" t="s">
        <v>21</v>
      </c>
      <c r="I1654" s="2">
        <v>24</v>
      </c>
      <c r="J1654" s="2" t="s">
        <v>287</v>
      </c>
      <c r="K1654" s="4" t="s">
        <v>8590</v>
      </c>
      <c r="L1654" s="2" t="s">
        <v>24</v>
      </c>
      <c r="M1654" s="2"/>
      <c r="N1654" t="s">
        <v>8582</v>
      </c>
      <c r="O1654" s="8" t="str">
        <f t="shared" si="50"/>
        <v/>
      </c>
      <c r="P1654" t="str">
        <f t="shared" si="51"/>
        <v>N/A</v>
      </c>
    </row>
    <row r="1655" spans="1:16" x14ac:dyDescent="0.25">
      <c r="A1655" s="2" t="s">
        <v>4502</v>
      </c>
      <c r="B1655" s="4">
        <v>46208.494444444441</v>
      </c>
      <c r="C1655" s="2" t="s">
        <v>53</v>
      </c>
      <c r="D1655" s="2" t="s">
        <v>54</v>
      </c>
      <c r="E1655" s="2" t="s">
        <v>90</v>
      </c>
      <c r="F1655" s="2" t="s">
        <v>96</v>
      </c>
      <c r="G1655" s="2" t="s">
        <v>179</v>
      </c>
      <c r="H1655" s="2" t="s">
        <v>74</v>
      </c>
      <c r="I1655" s="2">
        <v>8</v>
      </c>
      <c r="J1655" s="2" t="s">
        <v>106</v>
      </c>
      <c r="K1655" s="4">
        <v>46209.430555555555</v>
      </c>
      <c r="L1655" s="2" t="s">
        <v>24</v>
      </c>
      <c r="M1655" s="2"/>
      <c r="N1655" t="s">
        <v>8587</v>
      </c>
      <c r="O1655" s="8">
        <f t="shared" si="50"/>
        <v>22.466666666732635</v>
      </c>
      <c r="P1655" t="str">
        <f t="shared" si="51"/>
        <v>No</v>
      </c>
    </row>
    <row r="1656" spans="1:16" x14ac:dyDescent="0.25">
      <c r="A1656" s="2" t="s">
        <v>4505</v>
      </c>
      <c r="B1656" s="4">
        <v>46088.532638888886</v>
      </c>
      <c r="C1656" s="2" t="s">
        <v>28</v>
      </c>
      <c r="D1656" s="2" t="s">
        <v>37</v>
      </c>
      <c r="E1656" s="2" t="s">
        <v>79</v>
      </c>
      <c r="F1656" s="2" t="s">
        <v>113</v>
      </c>
      <c r="G1656" s="2" t="s">
        <v>31</v>
      </c>
      <c r="H1656" s="2" t="s">
        <v>21</v>
      </c>
      <c r="I1656" s="2">
        <v>24</v>
      </c>
      <c r="J1656" s="2" t="s">
        <v>287</v>
      </c>
      <c r="K1656" s="4" t="s">
        <v>8590</v>
      </c>
      <c r="L1656" s="2" t="s">
        <v>92</v>
      </c>
      <c r="M1656" s="2"/>
      <c r="N1656" t="s">
        <v>8582</v>
      </c>
      <c r="O1656" s="8" t="str">
        <f t="shared" si="50"/>
        <v/>
      </c>
      <c r="P1656" t="str">
        <f t="shared" si="51"/>
        <v>N/A</v>
      </c>
    </row>
    <row r="1657" spans="1:16" x14ac:dyDescent="0.25">
      <c r="A1657" s="2" t="s">
        <v>4507</v>
      </c>
      <c r="B1657" s="4">
        <v>46123.722222222219</v>
      </c>
      <c r="C1657" s="2" t="s">
        <v>16</v>
      </c>
      <c r="D1657" s="2" t="s">
        <v>84</v>
      </c>
      <c r="E1657" s="2" t="s">
        <v>38</v>
      </c>
      <c r="F1657" s="2" t="s">
        <v>113</v>
      </c>
      <c r="G1657" s="2" t="s">
        <v>179</v>
      </c>
      <c r="H1657" s="2" t="s">
        <v>21</v>
      </c>
      <c r="I1657" s="2">
        <v>24</v>
      </c>
      <c r="J1657" s="2" t="s">
        <v>75</v>
      </c>
      <c r="K1657" s="4">
        <v>46123.904861111114</v>
      </c>
      <c r="L1657" s="2" t="s">
        <v>92</v>
      </c>
      <c r="M1657" s="2">
        <v>5</v>
      </c>
      <c r="N1657" t="s">
        <v>8586</v>
      </c>
      <c r="O1657" s="8">
        <f t="shared" si="50"/>
        <v>4.3833333334769122</v>
      </c>
      <c r="P1657" t="str">
        <f t="shared" si="51"/>
        <v>N/A</v>
      </c>
    </row>
    <row r="1658" spans="1:16" x14ac:dyDescent="0.25">
      <c r="A1658" s="2" t="s">
        <v>4510</v>
      </c>
      <c r="B1658" s="4">
        <v>46029.811111111114</v>
      </c>
      <c r="C1658" s="2" t="s">
        <v>16</v>
      </c>
      <c r="D1658" s="2" t="s">
        <v>84</v>
      </c>
      <c r="E1658" s="2" t="s">
        <v>90</v>
      </c>
      <c r="F1658" s="2" t="s">
        <v>55</v>
      </c>
      <c r="G1658" s="2" t="s">
        <v>110</v>
      </c>
      <c r="H1658" s="2" t="s">
        <v>21</v>
      </c>
      <c r="I1658" s="2">
        <v>24</v>
      </c>
      <c r="J1658" s="2" t="s">
        <v>75</v>
      </c>
      <c r="K1658" s="4">
        <v>46030.012499999997</v>
      </c>
      <c r="L1658" s="2" t="s">
        <v>24</v>
      </c>
      <c r="M1658" s="2">
        <v>5</v>
      </c>
      <c r="N1658" t="s">
        <v>8581</v>
      </c>
      <c r="O1658" s="8">
        <f t="shared" si="50"/>
        <v>4.8333333331975155</v>
      </c>
      <c r="P1658" t="str">
        <f t="shared" si="51"/>
        <v>N/A</v>
      </c>
    </row>
    <row r="1659" spans="1:16" x14ac:dyDescent="0.25">
      <c r="A1659" s="2" t="s">
        <v>4513</v>
      </c>
      <c r="B1659" s="4">
        <v>46193.143055555556</v>
      </c>
      <c r="C1659" s="2" t="s">
        <v>53</v>
      </c>
      <c r="D1659" s="2" t="s">
        <v>54</v>
      </c>
      <c r="E1659" s="2" t="s">
        <v>85</v>
      </c>
      <c r="F1659" s="2" t="s">
        <v>55</v>
      </c>
      <c r="G1659" s="2" t="s">
        <v>183</v>
      </c>
      <c r="H1659" s="2" t="s">
        <v>32</v>
      </c>
      <c r="I1659" s="2">
        <v>48</v>
      </c>
      <c r="J1659" s="2" t="s">
        <v>75</v>
      </c>
      <c r="K1659" s="4">
        <v>46194.472916666666</v>
      </c>
      <c r="L1659" s="2" t="s">
        <v>24</v>
      </c>
      <c r="M1659" s="2">
        <v>5</v>
      </c>
      <c r="N1659" t="s">
        <v>8583</v>
      </c>
      <c r="O1659" s="8">
        <f t="shared" si="50"/>
        <v>31.916666666627862</v>
      </c>
      <c r="P1659" t="str">
        <f t="shared" si="51"/>
        <v>N/A</v>
      </c>
    </row>
    <row r="1660" spans="1:16" x14ac:dyDescent="0.25">
      <c r="A1660" s="2" t="s">
        <v>4516</v>
      </c>
      <c r="B1660" s="4">
        <v>46073.288888888892</v>
      </c>
      <c r="C1660" s="2" t="s">
        <v>28</v>
      </c>
      <c r="D1660" s="2" t="s">
        <v>37</v>
      </c>
      <c r="E1660" s="2" t="s">
        <v>46</v>
      </c>
      <c r="F1660" s="2" t="s">
        <v>55</v>
      </c>
      <c r="G1660" s="2" t="s">
        <v>211</v>
      </c>
      <c r="H1660" s="2" t="s">
        <v>80</v>
      </c>
      <c r="I1660" s="2">
        <v>4</v>
      </c>
      <c r="J1660" s="2" t="s">
        <v>287</v>
      </c>
      <c r="K1660" s="4" t="s">
        <v>8590</v>
      </c>
      <c r="L1660" s="2" t="s">
        <v>24</v>
      </c>
      <c r="M1660" s="2"/>
      <c r="N1660" t="s">
        <v>8581</v>
      </c>
      <c r="O1660" s="8" t="str">
        <f t="shared" si="50"/>
        <v/>
      </c>
      <c r="P1660" t="str">
        <f t="shared" si="51"/>
        <v>N/A</v>
      </c>
    </row>
    <row r="1661" spans="1:16" x14ac:dyDescent="0.25">
      <c r="A1661" s="2" t="s">
        <v>4518</v>
      </c>
      <c r="B1661" s="4">
        <v>46227.679861111108</v>
      </c>
      <c r="C1661" s="2" t="s">
        <v>67</v>
      </c>
      <c r="D1661" s="2" t="s">
        <v>95</v>
      </c>
      <c r="E1661" s="2" t="s">
        <v>46</v>
      </c>
      <c r="F1661" s="2" t="s">
        <v>96</v>
      </c>
      <c r="G1661" s="2" t="s">
        <v>183</v>
      </c>
      <c r="H1661" s="2" t="s">
        <v>21</v>
      </c>
      <c r="I1661" s="2">
        <v>24</v>
      </c>
      <c r="J1661" s="2" t="s">
        <v>149</v>
      </c>
      <c r="K1661" s="4" t="s">
        <v>8590</v>
      </c>
      <c r="L1661" s="2" t="s">
        <v>24</v>
      </c>
      <c r="M1661" s="2"/>
      <c r="N1661" t="s">
        <v>8588</v>
      </c>
      <c r="O1661" s="8" t="str">
        <f t="shared" si="50"/>
        <v/>
      </c>
      <c r="P1661" t="str">
        <f t="shared" si="51"/>
        <v>N/A</v>
      </c>
    </row>
    <row r="1662" spans="1:16" x14ac:dyDescent="0.25">
      <c r="A1662" s="2" t="s">
        <v>4520</v>
      </c>
      <c r="B1662" s="4">
        <v>46074.697916666664</v>
      </c>
      <c r="C1662" s="2" t="s">
        <v>28</v>
      </c>
      <c r="D1662" s="2" t="s">
        <v>100</v>
      </c>
      <c r="E1662" s="2" t="s">
        <v>85</v>
      </c>
      <c r="F1662" s="2" t="s">
        <v>113</v>
      </c>
      <c r="G1662" s="2" t="s">
        <v>101</v>
      </c>
      <c r="H1662" s="2" t="s">
        <v>74</v>
      </c>
      <c r="I1662" s="2">
        <v>8</v>
      </c>
      <c r="J1662" s="2" t="s">
        <v>106</v>
      </c>
      <c r="K1662" s="4">
        <v>46074.817361111112</v>
      </c>
      <c r="L1662" s="2" t="s">
        <v>24</v>
      </c>
      <c r="M1662" s="2">
        <v>5</v>
      </c>
      <c r="N1662" t="s">
        <v>8584</v>
      </c>
      <c r="O1662" s="8">
        <f t="shared" si="50"/>
        <v>2.8666666667559184</v>
      </c>
      <c r="P1662" t="str">
        <f t="shared" si="51"/>
        <v>Yes</v>
      </c>
    </row>
    <row r="1663" spans="1:16" x14ac:dyDescent="0.25">
      <c r="A1663" s="2" t="s">
        <v>4523</v>
      </c>
      <c r="B1663" s="4">
        <v>46088.59375</v>
      </c>
      <c r="C1663" s="2" t="s">
        <v>28</v>
      </c>
      <c r="D1663" s="2" t="s">
        <v>37</v>
      </c>
      <c r="E1663" s="2" t="s">
        <v>18</v>
      </c>
      <c r="F1663" s="2" t="s">
        <v>30</v>
      </c>
      <c r="G1663" s="2" t="s">
        <v>101</v>
      </c>
      <c r="H1663" s="2" t="s">
        <v>74</v>
      </c>
      <c r="I1663" s="2">
        <v>8</v>
      </c>
      <c r="J1663" s="2" t="s">
        <v>287</v>
      </c>
      <c r="K1663" s="4" t="s">
        <v>8590</v>
      </c>
      <c r="L1663" s="2" t="s">
        <v>24</v>
      </c>
      <c r="M1663" s="2"/>
      <c r="N1663" t="s">
        <v>8587</v>
      </c>
      <c r="O1663" s="8" t="str">
        <f t="shared" si="50"/>
        <v/>
      </c>
      <c r="P1663" t="str">
        <f t="shared" si="51"/>
        <v>N/A</v>
      </c>
    </row>
    <row r="1664" spans="1:16" x14ac:dyDescent="0.25">
      <c r="A1664" s="2" t="s">
        <v>4525</v>
      </c>
      <c r="B1664" s="4">
        <v>46154.462500000001</v>
      </c>
      <c r="C1664" s="2" t="s">
        <v>28</v>
      </c>
      <c r="D1664" s="2" t="s">
        <v>100</v>
      </c>
      <c r="E1664" s="2" t="s">
        <v>148</v>
      </c>
      <c r="F1664" s="2" t="s">
        <v>96</v>
      </c>
      <c r="G1664" s="2" t="s">
        <v>179</v>
      </c>
      <c r="H1664" s="2" t="s">
        <v>21</v>
      </c>
      <c r="I1664" s="2">
        <v>24</v>
      </c>
      <c r="J1664" s="2" t="s">
        <v>75</v>
      </c>
      <c r="K1664" s="4">
        <v>46155.249305555553</v>
      </c>
      <c r="L1664" s="2" t="s">
        <v>24</v>
      </c>
      <c r="M1664" s="2"/>
      <c r="N1664" t="s">
        <v>8587</v>
      </c>
      <c r="O1664" s="8">
        <f t="shared" si="50"/>
        <v>18.883333333244082</v>
      </c>
      <c r="P1664" t="str">
        <f t="shared" si="51"/>
        <v>N/A</v>
      </c>
    </row>
    <row r="1665" spans="1:16" x14ac:dyDescent="0.25">
      <c r="A1665" s="2" t="s">
        <v>4528</v>
      </c>
      <c r="B1665" s="4">
        <v>46148.629861111112</v>
      </c>
      <c r="C1665" s="2" t="s">
        <v>53</v>
      </c>
      <c r="D1665" s="2" t="s">
        <v>54</v>
      </c>
      <c r="E1665" s="2" t="s">
        <v>90</v>
      </c>
      <c r="F1665" s="2" t="s">
        <v>96</v>
      </c>
      <c r="G1665" s="2" t="s">
        <v>31</v>
      </c>
      <c r="H1665" s="2" t="s">
        <v>74</v>
      </c>
      <c r="I1665" s="2">
        <v>8</v>
      </c>
      <c r="J1665" s="2" t="s">
        <v>75</v>
      </c>
      <c r="K1665" s="4">
        <v>46148.802777777775</v>
      </c>
      <c r="L1665" s="2" t="s">
        <v>24</v>
      </c>
      <c r="M1665" s="2">
        <v>3</v>
      </c>
      <c r="N1665" t="s">
        <v>8587</v>
      </c>
      <c r="O1665" s="8">
        <f t="shared" si="50"/>
        <v>4.1499999999068677</v>
      </c>
      <c r="P1665" t="str">
        <f t="shared" si="51"/>
        <v>N/A</v>
      </c>
    </row>
    <row r="1666" spans="1:16" x14ac:dyDescent="0.25">
      <c r="A1666" s="2" t="s">
        <v>4531</v>
      </c>
      <c r="B1666" s="4">
        <v>46057.523611111108</v>
      </c>
      <c r="C1666" s="2" t="s">
        <v>16</v>
      </c>
      <c r="D1666" s="2" t="s">
        <v>84</v>
      </c>
      <c r="E1666" s="2" t="s">
        <v>148</v>
      </c>
      <c r="F1666" s="2" t="s">
        <v>113</v>
      </c>
      <c r="G1666" s="2" t="s">
        <v>101</v>
      </c>
      <c r="H1666" s="2" t="s">
        <v>74</v>
      </c>
      <c r="I1666" s="2">
        <v>8</v>
      </c>
      <c r="J1666" s="2" t="s">
        <v>11</v>
      </c>
      <c r="K1666" s="4" t="s">
        <v>8590</v>
      </c>
      <c r="L1666" s="2" t="s">
        <v>92</v>
      </c>
      <c r="M1666" s="2"/>
      <c r="N1666" t="s">
        <v>8588</v>
      </c>
      <c r="O1666" s="8" t="str">
        <f t="shared" si="50"/>
        <v/>
      </c>
      <c r="P1666" t="str">
        <f t="shared" si="51"/>
        <v>N/A</v>
      </c>
    </row>
    <row r="1667" spans="1:16" x14ac:dyDescent="0.25">
      <c r="A1667" s="2" t="s">
        <v>4533</v>
      </c>
      <c r="B1667" s="4">
        <v>46118.28402777778</v>
      </c>
      <c r="C1667" s="2" t="s">
        <v>16</v>
      </c>
      <c r="D1667" s="2" t="s">
        <v>17</v>
      </c>
      <c r="E1667" s="2" t="s">
        <v>46</v>
      </c>
      <c r="F1667" s="2" t="s">
        <v>30</v>
      </c>
      <c r="G1667" s="2" t="s">
        <v>179</v>
      </c>
      <c r="H1667" s="2" t="s">
        <v>21</v>
      </c>
      <c r="I1667" s="2">
        <v>24</v>
      </c>
      <c r="J1667" s="2" t="s">
        <v>287</v>
      </c>
      <c r="K1667" s="4" t="s">
        <v>8590</v>
      </c>
      <c r="L1667" s="2" t="s">
        <v>24</v>
      </c>
      <c r="M1667" s="2"/>
      <c r="N1667" t="s">
        <v>8588</v>
      </c>
      <c r="O1667" s="8" t="str">
        <f t="shared" ref="O1667:O1730" si="52">IF(K1667="","",IF(K1667="Missing Resolve Date","",(K1667-B1667)*24))</f>
        <v/>
      </c>
      <c r="P1667" t="str">
        <f t="shared" ref="P1667:P1730" si="53">IF(J1667="Resolved",IF(O1667&lt;=I1667,"Yes","No"),"N/A")</f>
        <v>N/A</v>
      </c>
    </row>
    <row r="1668" spans="1:16" x14ac:dyDescent="0.25">
      <c r="A1668" s="2" t="s">
        <v>4535</v>
      </c>
      <c r="B1668" s="4">
        <v>46214.466666666667</v>
      </c>
      <c r="C1668" s="2" t="s">
        <v>67</v>
      </c>
      <c r="D1668" s="2" t="s">
        <v>68</v>
      </c>
      <c r="E1668" s="2" t="s">
        <v>18</v>
      </c>
      <c r="F1668" s="2" t="s">
        <v>55</v>
      </c>
      <c r="G1668" s="2" t="s">
        <v>211</v>
      </c>
      <c r="H1668" s="2" t="s">
        <v>32</v>
      </c>
      <c r="I1668" s="2">
        <v>48</v>
      </c>
      <c r="J1668" s="2" t="s">
        <v>287</v>
      </c>
      <c r="K1668" s="4" t="s">
        <v>8590</v>
      </c>
      <c r="L1668" s="2" t="s">
        <v>24</v>
      </c>
      <c r="M1668" s="2"/>
      <c r="N1668" t="s">
        <v>8581</v>
      </c>
      <c r="O1668" s="8" t="str">
        <f t="shared" si="52"/>
        <v/>
      </c>
      <c r="P1668" t="str">
        <f t="shared" si="53"/>
        <v>N/A</v>
      </c>
    </row>
    <row r="1669" spans="1:16" x14ac:dyDescent="0.25">
      <c r="A1669" s="2" t="s">
        <v>4537</v>
      </c>
      <c r="B1669" s="4">
        <v>46058.280555555553</v>
      </c>
      <c r="C1669" s="2" t="s">
        <v>67</v>
      </c>
      <c r="D1669" s="2" t="s">
        <v>68</v>
      </c>
      <c r="E1669" s="2" t="s">
        <v>148</v>
      </c>
      <c r="F1669" s="2" t="s">
        <v>113</v>
      </c>
      <c r="G1669" s="2" t="s">
        <v>31</v>
      </c>
      <c r="H1669" s="2" t="s">
        <v>21</v>
      </c>
      <c r="I1669" s="2">
        <v>24</v>
      </c>
      <c r="J1669" s="2" t="s">
        <v>287</v>
      </c>
      <c r="K1669" s="4" t="s">
        <v>8590</v>
      </c>
      <c r="L1669" s="2" t="s">
        <v>92</v>
      </c>
      <c r="M1669" s="2"/>
      <c r="N1669" t="s">
        <v>8589</v>
      </c>
      <c r="O1669" s="8" t="str">
        <f t="shared" si="52"/>
        <v/>
      </c>
      <c r="P1669" t="str">
        <f t="shared" si="53"/>
        <v>N/A</v>
      </c>
    </row>
    <row r="1670" spans="1:16" x14ac:dyDescent="0.25">
      <c r="A1670" s="2" t="s">
        <v>4539</v>
      </c>
      <c r="B1670" s="4">
        <v>46149.166666666664</v>
      </c>
      <c r="C1670" s="2" t="s">
        <v>28</v>
      </c>
      <c r="D1670" s="2" t="s">
        <v>100</v>
      </c>
      <c r="E1670" s="2" t="s">
        <v>148</v>
      </c>
      <c r="F1670" s="2" t="s">
        <v>96</v>
      </c>
      <c r="G1670" s="2" t="s">
        <v>183</v>
      </c>
      <c r="H1670" s="2" t="s">
        <v>21</v>
      </c>
      <c r="I1670" s="2">
        <v>24</v>
      </c>
      <c r="J1670" s="2" t="s">
        <v>106</v>
      </c>
      <c r="K1670" s="4">
        <v>46149.604166666664</v>
      </c>
      <c r="L1670" s="2" t="s">
        <v>24</v>
      </c>
      <c r="M1670" s="2"/>
      <c r="N1670" t="s">
        <v>8582</v>
      </c>
      <c r="O1670" s="8">
        <f t="shared" si="52"/>
        <v>10.5</v>
      </c>
      <c r="P1670" t="str">
        <f t="shared" si="53"/>
        <v>Yes</v>
      </c>
    </row>
    <row r="1671" spans="1:16" x14ac:dyDescent="0.25">
      <c r="A1671" s="2" t="s">
        <v>4542</v>
      </c>
      <c r="B1671" s="4">
        <v>46064.47152777778</v>
      </c>
      <c r="C1671" s="2" t="s">
        <v>28</v>
      </c>
      <c r="D1671" s="2" t="s">
        <v>37</v>
      </c>
      <c r="E1671" s="2" t="s">
        <v>90</v>
      </c>
      <c r="F1671" s="2" t="s">
        <v>30</v>
      </c>
      <c r="G1671" s="2" t="s">
        <v>183</v>
      </c>
      <c r="H1671" s="2" t="s">
        <v>74</v>
      </c>
      <c r="I1671" s="2">
        <v>8</v>
      </c>
      <c r="J1671" s="2" t="s">
        <v>106</v>
      </c>
      <c r="K1671" s="4">
        <v>46065.34652777778</v>
      </c>
      <c r="L1671" s="2" t="s">
        <v>24</v>
      </c>
      <c r="M1671" s="2"/>
      <c r="N1671" t="s">
        <v>8586</v>
      </c>
      <c r="O1671" s="8">
        <f t="shared" si="52"/>
        <v>21</v>
      </c>
      <c r="P1671" t="str">
        <f t="shared" si="53"/>
        <v>No</v>
      </c>
    </row>
    <row r="1672" spans="1:16" x14ac:dyDescent="0.25">
      <c r="A1672" s="2" t="s">
        <v>4545</v>
      </c>
      <c r="B1672" s="4">
        <v>46130.041666666664</v>
      </c>
      <c r="C1672" s="2" t="s">
        <v>67</v>
      </c>
      <c r="D1672" s="2" t="s">
        <v>95</v>
      </c>
      <c r="E1672" s="2" t="s">
        <v>90</v>
      </c>
      <c r="F1672" s="2" t="s">
        <v>96</v>
      </c>
      <c r="G1672" s="2" t="s">
        <v>101</v>
      </c>
      <c r="H1672" s="2" t="s">
        <v>32</v>
      </c>
      <c r="I1672" s="2">
        <v>48</v>
      </c>
      <c r="J1672" s="2" t="s">
        <v>106</v>
      </c>
      <c r="K1672" s="4">
        <v>46130.831250000003</v>
      </c>
      <c r="L1672" s="2" t="s">
        <v>24</v>
      </c>
      <c r="M1672" s="2">
        <v>4</v>
      </c>
      <c r="N1672" t="s">
        <v>8583</v>
      </c>
      <c r="O1672" s="8">
        <f t="shared" si="52"/>
        <v>18.950000000128057</v>
      </c>
      <c r="P1672" t="str">
        <f t="shared" si="53"/>
        <v>Yes</v>
      </c>
    </row>
    <row r="1673" spans="1:16" x14ac:dyDescent="0.25">
      <c r="A1673" s="2" t="s">
        <v>4548</v>
      </c>
      <c r="B1673" s="4">
        <v>46153.854861111111</v>
      </c>
      <c r="C1673" s="2" t="s">
        <v>28</v>
      </c>
      <c r="D1673" s="2" t="s">
        <v>100</v>
      </c>
      <c r="E1673" s="2" t="s">
        <v>90</v>
      </c>
      <c r="F1673" s="2" t="s">
        <v>55</v>
      </c>
      <c r="G1673" s="2" t="s">
        <v>183</v>
      </c>
      <c r="H1673" s="2" t="s">
        <v>32</v>
      </c>
      <c r="I1673" s="2">
        <v>48</v>
      </c>
      <c r="J1673" s="2" t="s">
        <v>106</v>
      </c>
      <c r="K1673" s="4">
        <v>46155.447222222225</v>
      </c>
      <c r="L1673" s="2" t="s">
        <v>24</v>
      </c>
      <c r="M1673" s="2">
        <v>4</v>
      </c>
      <c r="N1673" t="s">
        <v>8584</v>
      </c>
      <c r="O1673" s="8">
        <f t="shared" si="52"/>
        <v>38.216666666732635</v>
      </c>
      <c r="P1673" t="str">
        <f t="shared" si="53"/>
        <v>Yes</v>
      </c>
    </row>
    <row r="1674" spans="1:16" x14ac:dyDescent="0.25">
      <c r="A1674" s="2" t="s">
        <v>4551</v>
      </c>
      <c r="B1674" s="4">
        <v>46050.091666666667</v>
      </c>
      <c r="C1674" s="2" t="s">
        <v>53</v>
      </c>
      <c r="D1674" s="2" t="s">
        <v>61</v>
      </c>
      <c r="E1674" s="2" t="s">
        <v>18</v>
      </c>
      <c r="F1674" s="2" t="s">
        <v>55</v>
      </c>
      <c r="G1674" s="2" t="s">
        <v>110</v>
      </c>
      <c r="H1674" s="2" t="s">
        <v>74</v>
      </c>
      <c r="I1674" s="2">
        <v>8</v>
      </c>
      <c r="J1674" s="2" t="s">
        <v>106</v>
      </c>
      <c r="K1674" s="4" t="s">
        <v>8590</v>
      </c>
      <c r="L1674" s="2" t="s">
        <v>24</v>
      </c>
      <c r="M1674" s="2">
        <v>5</v>
      </c>
      <c r="N1674" t="s">
        <v>8585</v>
      </c>
      <c r="O1674" s="8" t="str">
        <f t="shared" si="52"/>
        <v/>
      </c>
      <c r="P1674" t="str">
        <f t="shared" si="53"/>
        <v>No</v>
      </c>
    </row>
    <row r="1675" spans="1:16" x14ac:dyDescent="0.25">
      <c r="A1675" s="2" t="s">
        <v>4553</v>
      </c>
      <c r="B1675" s="4">
        <v>46136.75277777778</v>
      </c>
      <c r="C1675" s="2" t="s">
        <v>53</v>
      </c>
      <c r="D1675" s="2" t="s">
        <v>61</v>
      </c>
      <c r="E1675" s="2" t="s">
        <v>148</v>
      </c>
      <c r="F1675" s="2" t="s">
        <v>55</v>
      </c>
      <c r="G1675" s="2" t="s">
        <v>179</v>
      </c>
      <c r="H1675" s="2" t="s">
        <v>74</v>
      </c>
      <c r="I1675" s="2">
        <v>8</v>
      </c>
      <c r="J1675" s="2" t="s">
        <v>75</v>
      </c>
      <c r="K1675" s="4">
        <v>46136.870138888888</v>
      </c>
      <c r="L1675" s="2" t="s">
        <v>24</v>
      </c>
      <c r="M1675" s="2"/>
      <c r="N1675" t="s">
        <v>8582</v>
      </c>
      <c r="O1675" s="8">
        <f t="shared" si="52"/>
        <v>2.816666666592937</v>
      </c>
      <c r="P1675" t="str">
        <f t="shared" si="53"/>
        <v>N/A</v>
      </c>
    </row>
    <row r="1676" spans="1:16" x14ac:dyDescent="0.25">
      <c r="A1676" s="2" t="s">
        <v>4556</v>
      </c>
      <c r="B1676" s="4">
        <v>46151.45208333333</v>
      </c>
      <c r="C1676" s="2" t="s">
        <v>67</v>
      </c>
      <c r="D1676" s="2" t="s">
        <v>68</v>
      </c>
      <c r="E1676" s="2" t="s">
        <v>90</v>
      </c>
      <c r="F1676" s="2" t="s">
        <v>30</v>
      </c>
      <c r="G1676" s="2" t="s">
        <v>179</v>
      </c>
      <c r="H1676" s="2" t="s">
        <v>80</v>
      </c>
      <c r="I1676" s="2">
        <v>4</v>
      </c>
      <c r="J1676" s="2" t="s">
        <v>11</v>
      </c>
      <c r="K1676" s="4" t="s">
        <v>8590</v>
      </c>
      <c r="L1676" s="2" t="s">
        <v>92</v>
      </c>
      <c r="M1676" s="2"/>
      <c r="N1676" t="s">
        <v>8581</v>
      </c>
      <c r="O1676" s="8" t="str">
        <f t="shared" si="52"/>
        <v/>
      </c>
      <c r="P1676" t="str">
        <f t="shared" si="53"/>
        <v>N/A</v>
      </c>
    </row>
    <row r="1677" spans="1:16" x14ac:dyDescent="0.25">
      <c r="A1677" s="2" t="s">
        <v>4558</v>
      </c>
      <c r="B1677" s="4">
        <v>46216.728472222225</v>
      </c>
      <c r="C1677" s="2" t="s">
        <v>67</v>
      </c>
      <c r="D1677" s="2" t="s">
        <v>68</v>
      </c>
      <c r="E1677" s="2" t="s">
        <v>46</v>
      </c>
      <c r="F1677" s="2" t="s">
        <v>30</v>
      </c>
      <c r="G1677" s="2" t="s">
        <v>110</v>
      </c>
      <c r="H1677" s="2" t="s">
        <v>21</v>
      </c>
      <c r="I1677" s="2">
        <v>24</v>
      </c>
      <c r="J1677" s="2" t="s">
        <v>106</v>
      </c>
      <c r="K1677" s="4">
        <v>46217.027777777781</v>
      </c>
      <c r="L1677" s="2" t="s">
        <v>24</v>
      </c>
      <c r="M1677" s="2">
        <v>5</v>
      </c>
      <c r="N1677" t="s">
        <v>8589</v>
      </c>
      <c r="O1677" s="8">
        <f t="shared" si="52"/>
        <v>7.1833333333488554</v>
      </c>
      <c r="P1677" t="str">
        <f t="shared" si="53"/>
        <v>Yes</v>
      </c>
    </row>
    <row r="1678" spans="1:16" x14ac:dyDescent="0.25">
      <c r="A1678" s="2" t="s">
        <v>4561</v>
      </c>
      <c r="B1678" s="4">
        <v>46094.848611111112</v>
      </c>
      <c r="C1678" s="2" t="s">
        <v>16</v>
      </c>
      <c r="D1678" s="2" t="s">
        <v>84</v>
      </c>
      <c r="E1678" s="2" t="s">
        <v>90</v>
      </c>
      <c r="F1678" s="2" t="s">
        <v>55</v>
      </c>
      <c r="G1678" s="2" t="s">
        <v>183</v>
      </c>
      <c r="H1678" s="2" t="s">
        <v>74</v>
      </c>
      <c r="I1678" s="2">
        <v>8</v>
      </c>
      <c r="J1678" s="2" t="s">
        <v>287</v>
      </c>
      <c r="K1678" s="4" t="s">
        <v>8590</v>
      </c>
      <c r="L1678" s="2" t="s">
        <v>24</v>
      </c>
      <c r="M1678" s="2"/>
      <c r="N1678" t="s">
        <v>8583</v>
      </c>
      <c r="O1678" s="8" t="str">
        <f t="shared" si="52"/>
        <v/>
      </c>
      <c r="P1678" t="str">
        <f t="shared" si="53"/>
        <v>N/A</v>
      </c>
    </row>
    <row r="1679" spans="1:16" x14ac:dyDescent="0.25">
      <c r="A1679" s="2" t="s">
        <v>4563</v>
      </c>
      <c r="B1679" s="4">
        <v>46161.961805555555</v>
      </c>
      <c r="C1679" s="2" t="s">
        <v>28</v>
      </c>
      <c r="D1679" s="2" t="s">
        <v>100</v>
      </c>
      <c r="E1679" s="2" t="s">
        <v>8589</v>
      </c>
      <c r="F1679" s="2" t="s">
        <v>96</v>
      </c>
      <c r="G1679" s="2" t="s">
        <v>101</v>
      </c>
      <c r="H1679" s="2" t="s">
        <v>32</v>
      </c>
      <c r="I1679" s="2">
        <v>48</v>
      </c>
      <c r="J1679" s="2" t="s">
        <v>75</v>
      </c>
      <c r="K1679" s="4">
        <v>46162.620833333334</v>
      </c>
      <c r="L1679" s="2" t="s">
        <v>24</v>
      </c>
      <c r="M1679" s="2"/>
      <c r="N1679" t="s">
        <v>8589</v>
      </c>
      <c r="O1679" s="8">
        <f t="shared" si="52"/>
        <v>15.816666666709352</v>
      </c>
      <c r="P1679" t="str">
        <f t="shared" si="53"/>
        <v>N/A</v>
      </c>
    </row>
    <row r="1680" spans="1:16" x14ac:dyDescent="0.25">
      <c r="A1680" s="2" t="s">
        <v>4566</v>
      </c>
      <c r="B1680" s="4">
        <v>46071.988888888889</v>
      </c>
      <c r="C1680" s="2" t="s">
        <v>16</v>
      </c>
      <c r="D1680" s="2" t="s">
        <v>17</v>
      </c>
      <c r="E1680" s="2" t="s">
        <v>148</v>
      </c>
      <c r="F1680" s="2" t="s">
        <v>55</v>
      </c>
      <c r="G1680" s="2" t="s">
        <v>179</v>
      </c>
      <c r="H1680" s="2" t="s">
        <v>21</v>
      </c>
      <c r="I1680" s="2">
        <v>24</v>
      </c>
      <c r="J1680" s="2" t="s">
        <v>11</v>
      </c>
      <c r="K1680" s="4" t="s">
        <v>8590</v>
      </c>
      <c r="L1680" s="2" t="s">
        <v>92</v>
      </c>
      <c r="M1680" s="2"/>
      <c r="N1680" t="s">
        <v>8585</v>
      </c>
      <c r="O1680" s="8" t="str">
        <f t="shared" si="52"/>
        <v/>
      </c>
      <c r="P1680" t="str">
        <f t="shared" si="53"/>
        <v>N/A</v>
      </c>
    </row>
    <row r="1681" spans="1:16" x14ac:dyDescent="0.25">
      <c r="A1681" s="2" t="s">
        <v>4568</v>
      </c>
      <c r="B1681" s="4">
        <v>46158.560416666667</v>
      </c>
      <c r="C1681" s="2" t="s">
        <v>28</v>
      </c>
      <c r="D1681" s="2" t="s">
        <v>37</v>
      </c>
      <c r="E1681" s="2" t="s">
        <v>46</v>
      </c>
      <c r="F1681" s="2" t="s">
        <v>55</v>
      </c>
      <c r="G1681" s="2" t="s">
        <v>183</v>
      </c>
      <c r="H1681" s="2" t="s">
        <v>74</v>
      </c>
      <c r="I1681" s="2">
        <v>8</v>
      </c>
      <c r="J1681" s="2" t="s">
        <v>75</v>
      </c>
      <c r="K1681" s="4">
        <v>46158.663194444445</v>
      </c>
      <c r="L1681" s="2" t="s">
        <v>24</v>
      </c>
      <c r="M1681" s="2">
        <v>4</v>
      </c>
      <c r="N1681" t="s">
        <v>8583</v>
      </c>
      <c r="O1681" s="8">
        <f t="shared" si="52"/>
        <v>2.4666666666744277</v>
      </c>
      <c r="P1681" t="str">
        <f t="shared" si="53"/>
        <v>N/A</v>
      </c>
    </row>
    <row r="1682" spans="1:16" x14ac:dyDescent="0.25">
      <c r="A1682" s="2" t="s">
        <v>4571</v>
      </c>
      <c r="B1682" s="4">
        <v>46188.779861111114</v>
      </c>
      <c r="C1682" s="2" t="s">
        <v>67</v>
      </c>
      <c r="D1682" s="2" t="s">
        <v>68</v>
      </c>
      <c r="E1682" s="2" t="s">
        <v>46</v>
      </c>
      <c r="F1682" s="2" t="s">
        <v>55</v>
      </c>
      <c r="G1682" s="2" t="s">
        <v>179</v>
      </c>
      <c r="H1682" s="2" t="s">
        <v>80</v>
      </c>
      <c r="I1682" s="2">
        <v>4</v>
      </c>
      <c r="J1682" s="2" t="s">
        <v>75</v>
      </c>
      <c r="K1682" s="4" t="s">
        <v>8590</v>
      </c>
      <c r="L1682" s="2" t="s">
        <v>24</v>
      </c>
      <c r="M1682" s="2">
        <v>3</v>
      </c>
      <c r="N1682" t="s">
        <v>8587</v>
      </c>
      <c r="O1682" s="8" t="str">
        <f t="shared" si="52"/>
        <v/>
      </c>
      <c r="P1682" t="str">
        <f t="shared" si="53"/>
        <v>N/A</v>
      </c>
    </row>
    <row r="1683" spans="1:16" x14ac:dyDescent="0.25">
      <c r="A1683" s="2" t="s">
        <v>4573</v>
      </c>
      <c r="B1683" s="4">
        <v>46213.45416666667</v>
      </c>
      <c r="C1683" s="2" t="s">
        <v>53</v>
      </c>
      <c r="D1683" s="2" t="s">
        <v>54</v>
      </c>
      <c r="E1683" s="2" t="s">
        <v>18</v>
      </c>
      <c r="F1683" s="2" t="s">
        <v>113</v>
      </c>
      <c r="G1683" s="2" t="s">
        <v>211</v>
      </c>
      <c r="H1683" s="2" t="s">
        <v>21</v>
      </c>
      <c r="I1683" s="2">
        <v>24</v>
      </c>
      <c r="J1683" s="2" t="s">
        <v>75</v>
      </c>
      <c r="K1683" s="4">
        <v>46213.479861111111</v>
      </c>
      <c r="L1683" s="2" t="s">
        <v>24</v>
      </c>
      <c r="M1683" s="2"/>
      <c r="N1683" t="s">
        <v>8582</v>
      </c>
      <c r="O1683" s="8">
        <f t="shared" si="52"/>
        <v>0.61666666658129543</v>
      </c>
      <c r="P1683" t="str">
        <f t="shared" si="53"/>
        <v>N/A</v>
      </c>
    </row>
    <row r="1684" spans="1:16" x14ac:dyDescent="0.25">
      <c r="A1684" s="2" t="s">
        <v>4576</v>
      </c>
      <c r="B1684" s="4">
        <v>46102.002083333333</v>
      </c>
      <c r="C1684" s="2" t="s">
        <v>16</v>
      </c>
      <c r="D1684" s="2" t="s">
        <v>84</v>
      </c>
      <c r="E1684" s="2" t="s">
        <v>90</v>
      </c>
      <c r="F1684" s="2" t="s">
        <v>30</v>
      </c>
      <c r="G1684" s="2" t="s">
        <v>110</v>
      </c>
      <c r="H1684" s="2" t="s">
        <v>74</v>
      </c>
      <c r="I1684" s="2">
        <v>8</v>
      </c>
      <c r="J1684" s="2" t="s">
        <v>8580</v>
      </c>
      <c r="K1684" s="4">
        <v>46102.409722222219</v>
      </c>
      <c r="L1684" s="2" t="s">
        <v>92</v>
      </c>
      <c r="M1684" s="2"/>
      <c r="N1684" t="s">
        <v>8587</v>
      </c>
      <c r="O1684" s="8">
        <f t="shared" si="52"/>
        <v>9.7833333332673647</v>
      </c>
      <c r="P1684" t="str">
        <f t="shared" si="53"/>
        <v>N/A</v>
      </c>
    </row>
    <row r="1685" spans="1:16" x14ac:dyDescent="0.25">
      <c r="A1685" s="2" t="s">
        <v>4579</v>
      </c>
      <c r="B1685" s="4">
        <v>46048.097916666666</v>
      </c>
      <c r="C1685" s="2" t="s">
        <v>53</v>
      </c>
      <c r="D1685" s="2" t="s">
        <v>54</v>
      </c>
      <c r="E1685" s="2" t="s">
        <v>85</v>
      </c>
      <c r="F1685" s="2" t="s">
        <v>113</v>
      </c>
      <c r="G1685" s="2" t="s">
        <v>31</v>
      </c>
      <c r="H1685" s="2" t="s">
        <v>74</v>
      </c>
      <c r="I1685" s="2">
        <v>8</v>
      </c>
      <c r="J1685" s="2" t="s">
        <v>11</v>
      </c>
      <c r="K1685" s="4" t="s">
        <v>8590</v>
      </c>
      <c r="L1685" s="2" t="s">
        <v>92</v>
      </c>
      <c r="M1685" s="2"/>
      <c r="N1685" t="s">
        <v>8582</v>
      </c>
      <c r="O1685" s="8" t="str">
        <f t="shared" si="52"/>
        <v/>
      </c>
      <c r="P1685" t="str">
        <f t="shared" si="53"/>
        <v>N/A</v>
      </c>
    </row>
    <row r="1686" spans="1:16" x14ac:dyDescent="0.25">
      <c r="A1686" s="2" t="s">
        <v>4581</v>
      </c>
      <c r="B1686" s="4">
        <v>46149.075694444444</v>
      </c>
      <c r="C1686" s="2" t="s">
        <v>67</v>
      </c>
      <c r="D1686" s="2" t="s">
        <v>95</v>
      </c>
      <c r="E1686" s="2" t="s">
        <v>90</v>
      </c>
      <c r="F1686" s="2" t="s">
        <v>30</v>
      </c>
      <c r="G1686" s="2" t="s">
        <v>110</v>
      </c>
      <c r="H1686" s="2" t="s">
        <v>21</v>
      </c>
      <c r="I1686" s="2">
        <v>24</v>
      </c>
      <c r="J1686" s="2" t="s">
        <v>106</v>
      </c>
      <c r="K1686" s="4">
        <v>46149.263888888891</v>
      </c>
      <c r="L1686" s="2" t="s">
        <v>24</v>
      </c>
      <c r="M1686" s="2"/>
      <c r="N1686" t="s">
        <v>8585</v>
      </c>
      <c r="O1686" s="8">
        <f t="shared" si="52"/>
        <v>4.5166666667209938</v>
      </c>
      <c r="P1686" t="str">
        <f t="shared" si="53"/>
        <v>Yes</v>
      </c>
    </row>
    <row r="1687" spans="1:16" x14ac:dyDescent="0.25">
      <c r="A1687" s="2" t="s">
        <v>4584</v>
      </c>
      <c r="B1687" s="4">
        <v>46256.997916666667</v>
      </c>
      <c r="C1687" s="2" t="s">
        <v>53</v>
      </c>
      <c r="D1687" s="2" t="s">
        <v>61</v>
      </c>
      <c r="E1687" s="2" t="s">
        <v>148</v>
      </c>
      <c r="F1687" s="2" t="s">
        <v>55</v>
      </c>
      <c r="G1687" s="2" t="s">
        <v>183</v>
      </c>
      <c r="H1687" s="2" t="s">
        <v>21</v>
      </c>
      <c r="I1687" s="2">
        <v>24</v>
      </c>
      <c r="J1687" s="2" t="s">
        <v>8580</v>
      </c>
      <c r="K1687" s="4">
        <v>46257.35833333333</v>
      </c>
      <c r="L1687" s="2" t="s">
        <v>24</v>
      </c>
      <c r="M1687" s="2"/>
      <c r="N1687" t="s">
        <v>8581</v>
      </c>
      <c r="O1687" s="8">
        <f t="shared" si="52"/>
        <v>8.6499999999068677</v>
      </c>
      <c r="P1687" t="str">
        <f t="shared" si="53"/>
        <v>N/A</v>
      </c>
    </row>
    <row r="1688" spans="1:16" x14ac:dyDescent="0.25">
      <c r="A1688" s="2" t="s">
        <v>4587</v>
      </c>
      <c r="B1688" s="4">
        <v>46205.906944444447</v>
      </c>
      <c r="C1688" s="2" t="s">
        <v>16</v>
      </c>
      <c r="D1688" s="2" t="s">
        <v>84</v>
      </c>
      <c r="E1688" s="2" t="s">
        <v>79</v>
      </c>
      <c r="F1688" s="2" t="s">
        <v>96</v>
      </c>
      <c r="G1688" s="2" t="s">
        <v>183</v>
      </c>
      <c r="H1688" s="2" t="s">
        <v>21</v>
      </c>
      <c r="I1688" s="2">
        <v>24</v>
      </c>
      <c r="J1688" s="2" t="s">
        <v>8580</v>
      </c>
      <c r="K1688" s="4">
        <v>46206.744444444441</v>
      </c>
      <c r="L1688" s="2" t="s">
        <v>24</v>
      </c>
      <c r="M1688" s="2"/>
      <c r="N1688" t="s">
        <v>8582</v>
      </c>
      <c r="O1688" s="8">
        <f t="shared" si="52"/>
        <v>20.099999999860302</v>
      </c>
      <c r="P1688" t="str">
        <f t="shared" si="53"/>
        <v>N/A</v>
      </c>
    </row>
    <row r="1689" spans="1:16" x14ac:dyDescent="0.25">
      <c r="A1689" s="2" t="s">
        <v>4590</v>
      </c>
      <c r="B1689" s="4">
        <v>46143.76458333333</v>
      </c>
      <c r="C1689" s="2" t="s">
        <v>53</v>
      </c>
      <c r="D1689" s="2" t="s">
        <v>61</v>
      </c>
      <c r="E1689" s="2" t="s">
        <v>46</v>
      </c>
      <c r="F1689" s="2" t="s">
        <v>96</v>
      </c>
      <c r="G1689" s="2" t="s">
        <v>183</v>
      </c>
      <c r="H1689" s="2" t="s">
        <v>74</v>
      </c>
      <c r="I1689" s="2">
        <v>8</v>
      </c>
      <c r="J1689" s="2" t="s">
        <v>8580</v>
      </c>
      <c r="K1689" s="4">
        <v>46143.789583333331</v>
      </c>
      <c r="L1689" s="2" t="s">
        <v>24</v>
      </c>
      <c r="M1689" s="2"/>
      <c r="N1689" t="s">
        <v>8589</v>
      </c>
      <c r="O1689" s="8">
        <f t="shared" si="52"/>
        <v>0.6000000000349246</v>
      </c>
      <c r="P1689" t="str">
        <f t="shared" si="53"/>
        <v>N/A</v>
      </c>
    </row>
    <row r="1690" spans="1:16" x14ac:dyDescent="0.25">
      <c r="A1690" s="2" t="s">
        <v>4593</v>
      </c>
      <c r="B1690" s="4">
        <v>46187.36041666667</v>
      </c>
      <c r="C1690" s="2" t="s">
        <v>53</v>
      </c>
      <c r="D1690" s="2" t="s">
        <v>61</v>
      </c>
      <c r="E1690" s="2" t="s">
        <v>85</v>
      </c>
      <c r="F1690" s="2" t="s">
        <v>96</v>
      </c>
      <c r="G1690" s="2" t="s">
        <v>110</v>
      </c>
      <c r="H1690" s="2" t="s">
        <v>32</v>
      </c>
      <c r="I1690" s="2">
        <v>48</v>
      </c>
      <c r="J1690" s="2" t="s">
        <v>106</v>
      </c>
      <c r="K1690" s="4">
        <v>46189.001388888886</v>
      </c>
      <c r="L1690" s="2" t="s">
        <v>24</v>
      </c>
      <c r="M1690" s="2"/>
      <c r="N1690" t="s">
        <v>8589</v>
      </c>
      <c r="O1690" s="8">
        <f t="shared" si="52"/>
        <v>39.383333333185874</v>
      </c>
      <c r="P1690" t="str">
        <f t="shared" si="53"/>
        <v>Yes</v>
      </c>
    </row>
    <row r="1691" spans="1:16" x14ac:dyDescent="0.25">
      <c r="A1691" s="2" t="s">
        <v>4596</v>
      </c>
      <c r="B1691" s="4">
        <v>46071.084027777775</v>
      </c>
      <c r="C1691" s="2" t="s">
        <v>28</v>
      </c>
      <c r="D1691" s="2" t="s">
        <v>100</v>
      </c>
      <c r="E1691" s="2" t="s">
        <v>148</v>
      </c>
      <c r="F1691" s="2" t="s">
        <v>96</v>
      </c>
      <c r="G1691" s="2" t="s">
        <v>110</v>
      </c>
      <c r="H1691" s="2" t="s">
        <v>32</v>
      </c>
      <c r="I1691" s="2">
        <v>48</v>
      </c>
      <c r="J1691" s="2" t="s">
        <v>106</v>
      </c>
      <c r="K1691" s="4">
        <v>46072.482638888891</v>
      </c>
      <c r="L1691" s="2" t="s">
        <v>24</v>
      </c>
      <c r="M1691" s="2"/>
      <c r="N1691" t="s">
        <v>8589</v>
      </c>
      <c r="O1691" s="8">
        <f t="shared" si="52"/>
        <v>33.56666666676756</v>
      </c>
      <c r="P1691" t="str">
        <f t="shared" si="53"/>
        <v>Yes</v>
      </c>
    </row>
    <row r="1692" spans="1:16" x14ac:dyDescent="0.25">
      <c r="A1692" s="2" t="s">
        <v>4599</v>
      </c>
      <c r="B1692" s="4">
        <v>46194.225694444445</v>
      </c>
      <c r="C1692" s="2" t="s">
        <v>28</v>
      </c>
      <c r="D1692" s="2" t="s">
        <v>100</v>
      </c>
      <c r="E1692" s="2" t="s">
        <v>46</v>
      </c>
      <c r="F1692" s="2" t="s">
        <v>113</v>
      </c>
      <c r="G1692" s="2" t="s">
        <v>101</v>
      </c>
      <c r="H1692" s="2" t="s">
        <v>80</v>
      </c>
      <c r="I1692" s="2">
        <v>4</v>
      </c>
      <c r="J1692" s="2" t="s">
        <v>11</v>
      </c>
      <c r="K1692" s="4" t="s">
        <v>8590</v>
      </c>
      <c r="L1692" s="2" t="s">
        <v>92</v>
      </c>
      <c r="M1692" s="2"/>
      <c r="N1692" t="s">
        <v>8585</v>
      </c>
      <c r="O1692" s="8" t="str">
        <f t="shared" si="52"/>
        <v/>
      </c>
      <c r="P1692" t="str">
        <f t="shared" si="53"/>
        <v>N/A</v>
      </c>
    </row>
    <row r="1693" spans="1:16" x14ac:dyDescent="0.25">
      <c r="A1693" s="2" t="s">
        <v>4601</v>
      </c>
      <c r="B1693" s="4">
        <v>46223.168055555558</v>
      </c>
      <c r="C1693" s="2" t="s">
        <v>53</v>
      </c>
      <c r="D1693" s="2" t="s">
        <v>61</v>
      </c>
      <c r="E1693" s="2" t="s">
        <v>148</v>
      </c>
      <c r="F1693" s="2" t="s">
        <v>96</v>
      </c>
      <c r="G1693" s="2" t="s">
        <v>179</v>
      </c>
      <c r="H1693" s="2" t="s">
        <v>74</v>
      </c>
      <c r="I1693" s="2">
        <v>8</v>
      </c>
      <c r="J1693" s="2" t="s">
        <v>149</v>
      </c>
      <c r="K1693" s="4" t="s">
        <v>8590</v>
      </c>
      <c r="L1693" s="2" t="s">
        <v>24</v>
      </c>
      <c r="M1693" s="2"/>
      <c r="N1693" t="s">
        <v>8586</v>
      </c>
      <c r="O1693" s="8" t="str">
        <f t="shared" si="52"/>
        <v/>
      </c>
      <c r="P1693" t="str">
        <f t="shared" si="53"/>
        <v>N/A</v>
      </c>
    </row>
    <row r="1694" spans="1:16" x14ac:dyDescent="0.25">
      <c r="A1694" s="2" t="s">
        <v>4603</v>
      </c>
      <c r="B1694" s="4">
        <v>46029.629166666666</v>
      </c>
      <c r="C1694" s="2" t="s">
        <v>28</v>
      </c>
      <c r="D1694" s="2" t="s">
        <v>37</v>
      </c>
      <c r="E1694" s="2" t="s">
        <v>79</v>
      </c>
      <c r="F1694" s="2" t="s">
        <v>55</v>
      </c>
      <c r="G1694" s="2" t="s">
        <v>110</v>
      </c>
      <c r="H1694" s="2" t="s">
        <v>21</v>
      </c>
      <c r="I1694" s="2">
        <v>24</v>
      </c>
      <c r="J1694" s="2" t="s">
        <v>149</v>
      </c>
      <c r="K1694" s="4" t="s">
        <v>8590</v>
      </c>
      <c r="L1694" s="2" t="s">
        <v>24</v>
      </c>
      <c r="M1694" s="2"/>
      <c r="N1694" t="s">
        <v>8582</v>
      </c>
      <c r="O1694" s="8" t="str">
        <f t="shared" si="52"/>
        <v/>
      </c>
      <c r="P1694" t="str">
        <f t="shared" si="53"/>
        <v>N/A</v>
      </c>
    </row>
    <row r="1695" spans="1:16" x14ac:dyDescent="0.25">
      <c r="A1695" s="2" t="s">
        <v>4605</v>
      </c>
      <c r="B1695" s="4">
        <v>46207.660416666666</v>
      </c>
      <c r="C1695" s="2" t="s">
        <v>53</v>
      </c>
      <c r="D1695" s="2" t="s">
        <v>61</v>
      </c>
      <c r="E1695" s="2" t="s">
        <v>148</v>
      </c>
      <c r="F1695" s="2" t="s">
        <v>113</v>
      </c>
      <c r="G1695" s="2" t="s">
        <v>211</v>
      </c>
      <c r="H1695" s="2" t="s">
        <v>21</v>
      </c>
      <c r="I1695" s="2">
        <v>24</v>
      </c>
      <c r="J1695" s="2" t="s">
        <v>106</v>
      </c>
      <c r="K1695" s="4">
        <v>46208.383333333331</v>
      </c>
      <c r="L1695" s="2" t="s">
        <v>24</v>
      </c>
      <c r="M1695" s="2">
        <v>5</v>
      </c>
      <c r="N1695" t="s">
        <v>8584</v>
      </c>
      <c r="O1695" s="8">
        <f t="shared" si="52"/>
        <v>17.349999999976717</v>
      </c>
      <c r="P1695" t="str">
        <f t="shared" si="53"/>
        <v>Yes</v>
      </c>
    </row>
    <row r="1696" spans="1:16" x14ac:dyDescent="0.25">
      <c r="A1696" s="2" t="s">
        <v>4608</v>
      </c>
      <c r="B1696" s="4">
        <v>46249.970833333333</v>
      </c>
      <c r="C1696" s="2" t="s">
        <v>53</v>
      </c>
      <c r="D1696" s="2" t="s">
        <v>54</v>
      </c>
      <c r="E1696" s="2" t="s">
        <v>79</v>
      </c>
      <c r="F1696" s="2" t="s">
        <v>113</v>
      </c>
      <c r="G1696" s="2" t="s">
        <v>183</v>
      </c>
      <c r="H1696" s="2" t="s">
        <v>74</v>
      </c>
      <c r="I1696" s="2">
        <v>8</v>
      </c>
      <c r="J1696" s="2" t="s">
        <v>106</v>
      </c>
      <c r="K1696" s="4">
        <v>46250.149305555555</v>
      </c>
      <c r="L1696" s="2" t="s">
        <v>24</v>
      </c>
      <c r="M1696" s="2">
        <v>3</v>
      </c>
      <c r="N1696" t="s">
        <v>8582</v>
      </c>
      <c r="O1696" s="8">
        <f t="shared" si="52"/>
        <v>4.2833333333255723</v>
      </c>
      <c r="P1696" t="str">
        <f t="shared" si="53"/>
        <v>Yes</v>
      </c>
    </row>
    <row r="1697" spans="1:16" x14ac:dyDescent="0.25">
      <c r="A1697" s="2" t="s">
        <v>4611</v>
      </c>
      <c r="B1697" s="4">
        <v>46252.429861111108</v>
      </c>
      <c r="C1697" s="2" t="s">
        <v>16</v>
      </c>
      <c r="D1697" s="2" t="s">
        <v>17</v>
      </c>
      <c r="E1697" s="2" t="s">
        <v>148</v>
      </c>
      <c r="F1697" s="2" t="s">
        <v>113</v>
      </c>
      <c r="G1697" s="2" t="s">
        <v>179</v>
      </c>
      <c r="H1697" s="2" t="s">
        <v>32</v>
      </c>
      <c r="I1697" s="2">
        <v>48</v>
      </c>
      <c r="J1697" s="2" t="s">
        <v>106</v>
      </c>
      <c r="K1697" s="4">
        <v>46256.32916666667</v>
      </c>
      <c r="L1697" s="2" t="s">
        <v>24</v>
      </c>
      <c r="M1697" s="2">
        <v>5</v>
      </c>
      <c r="N1697" t="s">
        <v>8584</v>
      </c>
      <c r="O1697" s="8">
        <f t="shared" si="52"/>
        <v>93.583333333488554</v>
      </c>
      <c r="P1697" t="str">
        <f t="shared" si="53"/>
        <v>No</v>
      </c>
    </row>
    <row r="1698" spans="1:16" x14ac:dyDescent="0.25">
      <c r="A1698" s="2" t="s">
        <v>4614</v>
      </c>
      <c r="B1698" s="4">
        <v>46087.074999999997</v>
      </c>
      <c r="C1698" s="2" t="s">
        <v>28</v>
      </c>
      <c r="D1698" s="2" t="s">
        <v>37</v>
      </c>
      <c r="E1698" s="2" t="s">
        <v>148</v>
      </c>
      <c r="F1698" s="2" t="s">
        <v>55</v>
      </c>
      <c r="G1698" s="2" t="s">
        <v>183</v>
      </c>
      <c r="H1698" s="2" t="s">
        <v>32</v>
      </c>
      <c r="I1698" s="2">
        <v>48</v>
      </c>
      <c r="J1698" s="2" t="s">
        <v>106</v>
      </c>
      <c r="K1698" s="4">
        <v>46092.128472222219</v>
      </c>
      <c r="L1698" s="2" t="s">
        <v>92</v>
      </c>
      <c r="M1698" s="2">
        <v>2</v>
      </c>
      <c r="N1698" t="s">
        <v>8589</v>
      </c>
      <c r="O1698" s="8">
        <f t="shared" si="52"/>
        <v>121.28333333332557</v>
      </c>
      <c r="P1698" t="str">
        <f t="shared" si="53"/>
        <v>No</v>
      </c>
    </row>
    <row r="1699" spans="1:16" x14ac:dyDescent="0.25">
      <c r="A1699" s="2" t="s">
        <v>4617</v>
      </c>
      <c r="B1699" s="4">
        <v>46210.729861111111</v>
      </c>
      <c r="C1699" s="2" t="s">
        <v>28</v>
      </c>
      <c r="D1699" s="2" t="s">
        <v>37</v>
      </c>
      <c r="E1699" s="2" t="s">
        <v>79</v>
      </c>
      <c r="F1699" s="2" t="s">
        <v>113</v>
      </c>
      <c r="G1699" s="2" t="s">
        <v>183</v>
      </c>
      <c r="H1699" s="2" t="s">
        <v>21</v>
      </c>
      <c r="I1699" s="2">
        <v>24</v>
      </c>
      <c r="J1699" s="2" t="s">
        <v>75</v>
      </c>
      <c r="K1699" s="4">
        <v>46212.913888888892</v>
      </c>
      <c r="L1699" s="2" t="s">
        <v>24</v>
      </c>
      <c r="M1699" s="2"/>
      <c r="N1699" t="s">
        <v>8586</v>
      </c>
      <c r="O1699" s="8">
        <f t="shared" si="52"/>
        <v>52.416666666744277</v>
      </c>
      <c r="P1699" t="str">
        <f t="shared" si="53"/>
        <v>N/A</v>
      </c>
    </row>
    <row r="1700" spans="1:16" x14ac:dyDescent="0.25">
      <c r="A1700" s="2" t="s">
        <v>4620</v>
      </c>
      <c r="B1700" s="4">
        <v>46214.801388888889</v>
      </c>
      <c r="C1700" s="2" t="s">
        <v>16</v>
      </c>
      <c r="D1700" s="2" t="s">
        <v>17</v>
      </c>
      <c r="E1700" s="2" t="s">
        <v>148</v>
      </c>
      <c r="F1700" s="2" t="s">
        <v>55</v>
      </c>
      <c r="G1700" s="2" t="s">
        <v>110</v>
      </c>
      <c r="H1700" s="2" t="s">
        <v>74</v>
      </c>
      <c r="I1700" s="2">
        <v>8</v>
      </c>
      <c r="J1700" s="2" t="s">
        <v>106</v>
      </c>
      <c r="K1700" s="4">
        <v>46215.321527777778</v>
      </c>
      <c r="L1700" s="2" t="s">
        <v>24</v>
      </c>
      <c r="M1700" s="2"/>
      <c r="N1700" t="s">
        <v>8586</v>
      </c>
      <c r="O1700" s="8">
        <f t="shared" si="52"/>
        <v>12.483333333337214</v>
      </c>
      <c r="P1700" t="str">
        <f t="shared" si="53"/>
        <v>No</v>
      </c>
    </row>
    <row r="1701" spans="1:16" x14ac:dyDescent="0.25">
      <c r="A1701" s="2" t="s">
        <v>4623</v>
      </c>
      <c r="B1701" s="4">
        <v>46159.305555555555</v>
      </c>
      <c r="C1701" s="2" t="s">
        <v>16</v>
      </c>
      <c r="D1701" s="2" t="s">
        <v>84</v>
      </c>
      <c r="E1701" s="2" t="s">
        <v>148</v>
      </c>
      <c r="F1701" s="2" t="s">
        <v>30</v>
      </c>
      <c r="G1701" s="2" t="s">
        <v>211</v>
      </c>
      <c r="H1701" s="2" t="s">
        <v>32</v>
      </c>
      <c r="I1701" s="2">
        <v>48</v>
      </c>
      <c r="J1701" s="2" t="s">
        <v>106</v>
      </c>
      <c r="K1701" s="4">
        <v>46160.393055555556</v>
      </c>
      <c r="L1701" s="2" t="s">
        <v>24</v>
      </c>
      <c r="M1701" s="2">
        <v>5</v>
      </c>
      <c r="N1701" t="s">
        <v>8583</v>
      </c>
      <c r="O1701" s="8">
        <f t="shared" si="52"/>
        <v>26.100000000034925</v>
      </c>
      <c r="P1701" t="str">
        <f t="shared" si="53"/>
        <v>Yes</v>
      </c>
    </row>
    <row r="1702" spans="1:16" x14ac:dyDescent="0.25">
      <c r="A1702" s="2" t="s">
        <v>4626</v>
      </c>
      <c r="B1702" s="4">
        <v>46116.211805555555</v>
      </c>
      <c r="C1702" s="2" t="s">
        <v>67</v>
      </c>
      <c r="D1702" s="2" t="s">
        <v>95</v>
      </c>
      <c r="E1702" s="2" t="s">
        <v>38</v>
      </c>
      <c r="F1702" s="2" t="s">
        <v>96</v>
      </c>
      <c r="G1702" s="2" t="s">
        <v>101</v>
      </c>
      <c r="H1702" s="2" t="s">
        <v>21</v>
      </c>
      <c r="I1702" s="2">
        <v>24</v>
      </c>
      <c r="J1702" s="2" t="s">
        <v>287</v>
      </c>
      <c r="K1702" s="4" t="s">
        <v>8590</v>
      </c>
      <c r="L1702" s="2" t="s">
        <v>92</v>
      </c>
      <c r="M1702" s="2"/>
      <c r="N1702" t="s">
        <v>8587</v>
      </c>
      <c r="O1702" s="8" t="str">
        <f t="shared" si="52"/>
        <v/>
      </c>
      <c r="P1702" t="str">
        <f t="shared" si="53"/>
        <v>N/A</v>
      </c>
    </row>
    <row r="1703" spans="1:16" x14ac:dyDescent="0.25">
      <c r="A1703" s="2" t="s">
        <v>4628</v>
      </c>
      <c r="B1703" s="4">
        <v>46246.026388888888</v>
      </c>
      <c r="C1703" s="2" t="s">
        <v>16</v>
      </c>
      <c r="D1703" s="2" t="s">
        <v>17</v>
      </c>
      <c r="E1703" s="2" t="s">
        <v>38</v>
      </c>
      <c r="F1703" s="2" t="s">
        <v>96</v>
      </c>
      <c r="G1703" s="2" t="s">
        <v>101</v>
      </c>
      <c r="H1703" s="2" t="s">
        <v>32</v>
      </c>
      <c r="I1703" s="2">
        <v>48</v>
      </c>
      <c r="J1703" s="2" t="s">
        <v>106</v>
      </c>
      <c r="K1703" s="4">
        <v>46251.572916666664</v>
      </c>
      <c r="L1703" s="2" t="s">
        <v>24</v>
      </c>
      <c r="M1703" s="2">
        <v>2</v>
      </c>
      <c r="N1703" t="s">
        <v>8589</v>
      </c>
      <c r="O1703" s="8">
        <f t="shared" si="52"/>
        <v>133.1166666666395</v>
      </c>
      <c r="P1703" t="str">
        <f t="shared" si="53"/>
        <v>No</v>
      </c>
    </row>
    <row r="1704" spans="1:16" x14ac:dyDescent="0.25">
      <c r="A1704" s="2" t="s">
        <v>4630</v>
      </c>
      <c r="B1704" s="4">
        <v>46166.468055555553</v>
      </c>
      <c r="C1704" s="2" t="s">
        <v>67</v>
      </c>
      <c r="D1704" s="2" t="s">
        <v>95</v>
      </c>
      <c r="E1704" s="2" t="s">
        <v>90</v>
      </c>
      <c r="F1704" s="2" t="s">
        <v>113</v>
      </c>
      <c r="G1704" s="2" t="s">
        <v>211</v>
      </c>
      <c r="H1704" s="2" t="s">
        <v>32</v>
      </c>
      <c r="I1704" s="2">
        <v>48</v>
      </c>
      <c r="J1704" s="2" t="s">
        <v>75</v>
      </c>
      <c r="K1704" s="4">
        <v>46166.929861111108</v>
      </c>
      <c r="L1704" s="2" t="s">
        <v>24</v>
      </c>
      <c r="M1704" s="2"/>
      <c r="N1704" t="s">
        <v>8581</v>
      </c>
      <c r="O1704" s="8">
        <f t="shared" si="52"/>
        <v>11.083333333313931</v>
      </c>
      <c r="P1704" t="str">
        <f t="shared" si="53"/>
        <v>N/A</v>
      </c>
    </row>
    <row r="1705" spans="1:16" x14ac:dyDescent="0.25">
      <c r="A1705" s="2" t="s">
        <v>4633</v>
      </c>
      <c r="B1705" s="4">
        <v>46088.543749999997</v>
      </c>
      <c r="C1705" s="2" t="s">
        <v>67</v>
      </c>
      <c r="D1705" s="2" t="s">
        <v>68</v>
      </c>
      <c r="E1705" s="2" t="s">
        <v>148</v>
      </c>
      <c r="F1705" s="2" t="s">
        <v>55</v>
      </c>
      <c r="G1705" s="2" t="s">
        <v>110</v>
      </c>
      <c r="H1705" s="2" t="s">
        <v>74</v>
      </c>
      <c r="I1705" s="2">
        <v>8</v>
      </c>
      <c r="J1705" s="2" t="s">
        <v>106</v>
      </c>
      <c r="K1705" s="4">
        <v>46088.773611111108</v>
      </c>
      <c r="L1705" s="2" t="s">
        <v>24</v>
      </c>
      <c r="M1705" s="2"/>
      <c r="N1705" t="s">
        <v>8581</v>
      </c>
      <c r="O1705" s="8">
        <f t="shared" si="52"/>
        <v>5.5166666666627862</v>
      </c>
      <c r="P1705" t="str">
        <f t="shared" si="53"/>
        <v>Yes</v>
      </c>
    </row>
    <row r="1706" spans="1:16" x14ac:dyDescent="0.25">
      <c r="A1706" s="2" t="s">
        <v>4636</v>
      </c>
      <c r="B1706" s="4">
        <v>46211.829861111109</v>
      </c>
      <c r="C1706" s="2" t="s">
        <v>67</v>
      </c>
      <c r="D1706" s="2" t="s">
        <v>95</v>
      </c>
      <c r="E1706" s="2" t="s">
        <v>18</v>
      </c>
      <c r="F1706" s="2" t="s">
        <v>55</v>
      </c>
      <c r="G1706" s="2" t="s">
        <v>183</v>
      </c>
      <c r="H1706" s="2" t="s">
        <v>21</v>
      </c>
      <c r="I1706" s="2">
        <v>24</v>
      </c>
      <c r="J1706" s="2" t="s">
        <v>8580</v>
      </c>
      <c r="K1706" s="4">
        <v>46212.724305555559</v>
      </c>
      <c r="L1706" s="2" t="s">
        <v>24</v>
      </c>
      <c r="M1706" s="2"/>
      <c r="N1706" t="s">
        <v>8584</v>
      </c>
      <c r="O1706" s="8">
        <f t="shared" si="52"/>
        <v>21.466666666790843</v>
      </c>
      <c r="P1706" t="str">
        <f t="shared" si="53"/>
        <v>N/A</v>
      </c>
    </row>
    <row r="1707" spans="1:16" x14ac:dyDescent="0.25">
      <c r="A1707" s="2" t="s">
        <v>4639</v>
      </c>
      <c r="B1707" s="4">
        <v>46139.818749999999</v>
      </c>
      <c r="C1707" s="2" t="s">
        <v>67</v>
      </c>
      <c r="D1707" s="2" t="s">
        <v>95</v>
      </c>
      <c r="E1707" s="2" t="s">
        <v>148</v>
      </c>
      <c r="F1707" s="2" t="s">
        <v>55</v>
      </c>
      <c r="G1707" s="2" t="s">
        <v>183</v>
      </c>
      <c r="H1707" s="2" t="s">
        <v>21</v>
      </c>
      <c r="I1707" s="2">
        <v>24</v>
      </c>
      <c r="J1707" s="2" t="s">
        <v>75</v>
      </c>
      <c r="K1707" s="4">
        <v>46140.573611111111</v>
      </c>
      <c r="L1707" s="2" t="s">
        <v>24</v>
      </c>
      <c r="M1707" s="2"/>
      <c r="N1707" t="s">
        <v>8582</v>
      </c>
      <c r="O1707" s="8">
        <f t="shared" si="52"/>
        <v>18.116666666697711</v>
      </c>
      <c r="P1707" t="str">
        <f t="shared" si="53"/>
        <v>N/A</v>
      </c>
    </row>
    <row r="1708" spans="1:16" x14ac:dyDescent="0.25">
      <c r="A1708" s="2" t="s">
        <v>4642</v>
      </c>
      <c r="B1708" s="4">
        <v>46181.190972222219</v>
      </c>
      <c r="C1708" s="2" t="s">
        <v>67</v>
      </c>
      <c r="D1708" s="2" t="s">
        <v>68</v>
      </c>
      <c r="E1708" s="2" t="s">
        <v>38</v>
      </c>
      <c r="F1708" s="2" t="s">
        <v>113</v>
      </c>
      <c r="G1708" s="2" t="s">
        <v>183</v>
      </c>
      <c r="H1708" s="2" t="s">
        <v>32</v>
      </c>
      <c r="I1708" s="2">
        <v>48</v>
      </c>
      <c r="J1708" s="2" t="s">
        <v>287</v>
      </c>
      <c r="K1708" s="4" t="s">
        <v>8590</v>
      </c>
      <c r="L1708" s="2" t="s">
        <v>24</v>
      </c>
      <c r="M1708" s="2"/>
      <c r="N1708" t="s">
        <v>8584</v>
      </c>
      <c r="O1708" s="8" t="str">
        <f t="shared" si="52"/>
        <v/>
      </c>
      <c r="P1708" t="str">
        <f t="shared" si="53"/>
        <v>N/A</v>
      </c>
    </row>
    <row r="1709" spans="1:16" x14ac:dyDescent="0.25">
      <c r="A1709" s="2" t="s">
        <v>4644</v>
      </c>
      <c r="B1709" s="4">
        <v>46054.068055555559</v>
      </c>
      <c r="C1709" s="2" t="s">
        <v>16</v>
      </c>
      <c r="D1709" s="2" t="s">
        <v>84</v>
      </c>
      <c r="E1709" s="2" t="s">
        <v>46</v>
      </c>
      <c r="F1709" s="2" t="s">
        <v>55</v>
      </c>
      <c r="G1709" s="2" t="s">
        <v>211</v>
      </c>
      <c r="H1709" s="2" t="s">
        <v>74</v>
      </c>
      <c r="I1709" s="2">
        <v>8</v>
      </c>
      <c r="J1709" s="2" t="s">
        <v>106</v>
      </c>
      <c r="K1709" s="4">
        <v>46054.781944444447</v>
      </c>
      <c r="L1709" s="2" t="s">
        <v>24</v>
      </c>
      <c r="M1709" s="2">
        <v>3</v>
      </c>
      <c r="N1709" t="s">
        <v>8587</v>
      </c>
      <c r="O1709" s="8">
        <f t="shared" si="52"/>
        <v>17.133333333302289</v>
      </c>
      <c r="P1709" t="str">
        <f t="shared" si="53"/>
        <v>No</v>
      </c>
    </row>
    <row r="1710" spans="1:16" x14ac:dyDescent="0.25">
      <c r="A1710" s="2" t="s">
        <v>4647</v>
      </c>
      <c r="B1710" s="4">
        <v>46209.296527777777</v>
      </c>
      <c r="C1710" s="2" t="s">
        <v>28</v>
      </c>
      <c r="D1710" s="2" t="s">
        <v>37</v>
      </c>
      <c r="E1710" s="2" t="s">
        <v>79</v>
      </c>
      <c r="F1710" s="2" t="s">
        <v>55</v>
      </c>
      <c r="G1710" s="2" t="s">
        <v>101</v>
      </c>
      <c r="H1710" s="2" t="s">
        <v>74</v>
      </c>
      <c r="I1710" s="2">
        <v>8</v>
      </c>
      <c r="J1710" s="2" t="s">
        <v>75</v>
      </c>
      <c r="K1710" s="4">
        <v>46209.387499999997</v>
      </c>
      <c r="L1710" s="2" t="s">
        <v>24</v>
      </c>
      <c r="M1710" s="2">
        <v>1</v>
      </c>
      <c r="N1710" t="s">
        <v>8586</v>
      </c>
      <c r="O1710" s="8">
        <f t="shared" si="52"/>
        <v>2.1833333332906477</v>
      </c>
      <c r="P1710" t="str">
        <f t="shared" si="53"/>
        <v>N/A</v>
      </c>
    </row>
    <row r="1711" spans="1:16" x14ac:dyDescent="0.25">
      <c r="A1711" s="2" t="s">
        <v>4650</v>
      </c>
      <c r="B1711" s="4">
        <v>46111.574999999997</v>
      </c>
      <c r="C1711" s="2" t="s">
        <v>67</v>
      </c>
      <c r="D1711" s="2" t="s">
        <v>68</v>
      </c>
      <c r="E1711" s="2" t="s">
        <v>18</v>
      </c>
      <c r="F1711" s="2" t="s">
        <v>113</v>
      </c>
      <c r="G1711" s="2" t="s">
        <v>101</v>
      </c>
      <c r="H1711" s="2" t="s">
        <v>74</v>
      </c>
      <c r="I1711" s="2">
        <v>8</v>
      </c>
      <c r="J1711" s="2" t="s">
        <v>106</v>
      </c>
      <c r="K1711" s="4">
        <v>46112.109027777777</v>
      </c>
      <c r="L1711" s="2" t="s">
        <v>24</v>
      </c>
      <c r="M1711" s="2">
        <v>5</v>
      </c>
      <c r="N1711" t="s">
        <v>8581</v>
      </c>
      <c r="O1711" s="8">
        <f t="shared" si="52"/>
        <v>12.816666666709352</v>
      </c>
      <c r="P1711" t="str">
        <f t="shared" si="53"/>
        <v>No</v>
      </c>
    </row>
    <row r="1712" spans="1:16" x14ac:dyDescent="0.25">
      <c r="A1712" s="2" t="s">
        <v>4653</v>
      </c>
      <c r="B1712" s="4">
        <v>46258.886805555558</v>
      </c>
      <c r="C1712" s="2" t="s">
        <v>67</v>
      </c>
      <c r="D1712" s="2" t="s">
        <v>95</v>
      </c>
      <c r="E1712" s="2" t="s">
        <v>85</v>
      </c>
      <c r="F1712" s="2" t="s">
        <v>96</v>
      </c>
      <c r="G1712" s="2" t="s">
        <v>31</v>
      </c>
      <c r="H1712" s="2" t="s">
        <v>21</v>
      </c>
      <c r="I1712" s="2">
        <v>24</v>
      </c>
      <c r="J1712" s="2" t="s">
        <v>75</v>
      </c>
      <c r="K1712" s="4">
        <v>46259.054166666669</v>
      </c>
      <c r="L1712" s="2" t="s">
        <v>24</v>
      </c>
      <c r="M1712" s="2"/>
      <c r="N1712" t="s">
        <v>8583</v>
      </c>
      <c r="O1712" s="8">
        <f t="shared" si="52"/>
        <v>4.0166666666627862</v>
      </c>
      <c r="P1712" t="str">
        <f t="shared" si="53"/>
        <v>N/A</v>
      </c>
    </row>
    <row r="1713" spans="1:16" x14ac:dyDescent="0.25">
      <c r="A1713" s="2" t="s">
        <v>4656</v>
      </c>
      <c r="B1713" s="4">
        <v>46150.51666666667</v>
      </c>
      <c r="C1713" s="2" t="s">
        <v>16</v>
      </c>
      <c r="D1713" s="2" t="s">
        <v>84</v>
      </c>
      <c r="E1713" s="2" t="s">
        <v>18</v>
      </c>
      <c r="F1713" s="2" t="s">
        <v>30</v>
      </c>
      <c r="G1713" s="2" t="s">
        <v>183</v>
      </c>
      <c r="H1713" s="2" t="s">
        <v>32</v>
      </c>
      <c r="I1713" s="2">
        <v>48</v>
      </c>
      <c r="J1713" s="2" t="s">
        <v>106</v>
      </c>
      <c r="K1713" s="4">
        <v>46150.740972222222</v>
      </c>
      <c r="L1713" s="2" t="s">
        <v>24</v>
      </c>
      <c r="M1713" s="2"/>
      <c r="N1713" t="s">
        <v>8589</v>
      </c>
      <c r="O1713" s="8">
        <f t="shared" si="52"/>
        <v>5.3833333332440816</v>
      </c>
      <c r="P1713" t="str">
        <f t="shared" si="53"/>
        <v>Yes</v>
      </c>
    </row>
    <row r="1714" spans="1:16" x14ac:dyDescent="0.25">
      <c r="A1714" s="2" t="s">
        <v>4659</v>
      </c>
      <c r="B1714" s="4">
        <v>46247.336805555555</v>
      </c>
      <c r="C1714" s="2" t="s">
        <v>16</v>
      </c>
      <c r="D1714" s="2" t="s">
        <v>17</v>
      </c>
      <c r="E1714" s="2" t="s">
        <v>18</v>
      </c>
      <c r="F1714" s="2" t="s">
        <v>96</v>
      </c>
      <c r="G1714" s="2" t="s">
        <v>31</v>
      </c>
      <c r="H1714" s="2" t="s">
        <v>32</v>
      </c>
      <c r="I1714" s="2">
        <v>48</v>
      </c>
      <c r="J1714" s="2" t="s">
        <v>106</v>
      </c>
      <c r="K1714" s="4">
        <v>46248.163888888892</v>
      </c>
      <c r="L1714" s="2" t="s">
        <v>24</v>
      </c>
      <c r="M1714" s="2"/>
      <c r="N1714" t="s">
        <v>8589</v>
      </c>
      <c r="O1714" s="8">
        <f t="shared" si="52"/>
        <v>19.850000000093132</v>
      </c>
      <c r="P1714" t="str">
        <f t="shared" si="53"/>
        <v>Yes</v>
      </c>
    </row>
    <row r="1715" spans="1:16" x14ac:dyDescent="0.25">
      <c r="A1715" s="2" t="s">
        <v>4662</v>
      </c>
      <c r="B1715" s="4">
        <v>46142.38958333333</v>
      </c>
      <c r="C1715" s="2" t="s">
        <v>53</v>
      </c>
      <c r="D1715" s="2" t="s">
        <v>61</v>
      </c>
      <c r="E1715" s="2" t="s">
        <v>46</v>
      </c>
      <c r="F1715" s="2" t="s">
        <v>30</v>
      </c>
      <c r="G1715" s="2" t="s">
        <v>179</v>
      </c>
      <c r="H1715" s="2" t="s">
        <v>74</v>
      </c>
      <c r="I1715" s="2">
        <v>8</v>
      </c>
      <c r="J1715" s="2" t="s">
        <v>11</v>
      </c>
      <c r="K1715" s="4" t="s">
        <v>8590</v>
      </c>
      <c r="L1715" s="2" t="s">
        <v>92</v>
      </c>
      <c r="M1715" s="2"/>
      <c r="N1715" t="s">
        <v>8584</v>
      </c>
      <c r="O1715" s="8" t="str">
        <f t="shared" si="52"/>
        <v/>
      </c>
      <c r="P1715" t="str">
        <f t="shared" si="53"/>
        <v>N/A</v>
      </c>
    </row>
    <row r="1716" spans="1:16" x14ac:dyDescent="0.25">
      <c r="A1716" s="2" t="s">
        <v>4664</v>
      </c>
      <c r="B1716" s="4">
        <v>46082.106944444444</v>
      </c>
      <c r="C1716" s="2" t="s">
        <v>67</v>
      </c>
      <c r="D1716" s="2" t="s">
        <v>68</v>
      </c>
      <c r="E1716" s="2" t="s">
        <v>148</v>
      </c>
      <c r="F1716" s="2" t="s">
        <v>55</v>
      </c>
      <c r="G1716" s="2" t="s">
        <v>183</v>
      </c>
      <c r="H1716" s="2" t="s">
        <v>21</v>
      </c>
      <c r="I1716" s="2">
        <v>24</v>
      </c>
      <c r="J1716" s="2" t="s">
        <v>11</v>
      </c>
      <c r="K1716" s="4" t="s">
        <v>8590</v>
      </c>
      <c r="L1716" s="2" t="s">
        <v>92</v>
      </c>
      <c r="M1716" s="2"/>
      <c r="N1716" t="s">
        <v>8585</v>
      </c>
      <c r="O1716" s="8" t="str">
        <f t="shared" si="52"/>
        <v/>
      </c>
      <c r="P1716" t="str">
        <f t="shared" si="53"/>
        <v>N/A</v>
      </c>
    </row>
    <row r="1717" spans="1:16" x14ac:dyDescent="0.25">
      <c r="A1717" s="2" t="s">
        <v>4666</v>
      </c>
      <c r="B1717" s="4">
        <v>46046.606944444444</v>
      </c>
      <c r="C1717" s="2" t="s">
        <v>67</v>
      </c>
      <c r="D1717" s="2" t="s">
        <v>68</v>
      </c>
      <c r="E1717" s="2" t="s">
        <v>90</v>
      </c>
      <c r="F1717" s="2" t="s">
        <v>96</v>
      </c>
      <c r="G1717" s="2" t="s">
        <v>31</v>
      </c>
      <c r="H1717" s="2" t="s">
        <v>21</v>
      </c>
      <c r="I1717" s="2">
        <v>24</v>
      </c>
      <c r="J1717" s="2" t="s">
        <v>106</v>
      </c>
      <c r="K1717" s="4">
        <v>46046.694444444445</v>
      </c>
      <c r="L1717" s="2" t="s">
        <v>24</v>
      </c>
      <c r="M1717" s="2"/>
      <c r="N1717" t="s">
        <v>8582</v>
      </c>
      <c r="O1717" s="8">
        <f t="shared" si="52"/>
        <v>2.1000000000349246</v>
      </c>
      <c r="P1717" t="str">
        <f t="shared" si="53"/>
        <v>Yes</v>
      </c>
    </row>
    <row r="1718" spans="1:16" x14ac:dyDescent="0.25">
      <c r="A1718" s="2" t="s">
        <v>4669</v>
      </c>
      <c r="B1718" s="4">
        <v>46027.370138888888</v>
      </c>
      <c r="C1718" s="2" t="s">
        <v>16</v>
      </c>
      <c r="D1718" s="2" t="s">
        <v>17</v>
      </c>
      <c r="E1718" s="2" t="s">
        <v>46</v>
      </c>
      <c r="F1718" s="2" t="s">
        <v>55</v>
      </c>
      <c r="G1718" s="2" t="s">
        <v>183</v>
      </c>
      <c r="H1718" s="2" t="s">
        <v>21</v>
      </c>
      <c r="I1718" s="2">
        <v>24</v>
      </c>
      <c r="J1718" s="2" t="s">
        <v>75</v>
      </c>
      <c r="K1718" s="4">
        <v>46027.552083333336</v>
      </c>
      <c r="L1718" s="2" t="s">
        <v>24</v>
      </c>
      <c r="M1718" s="2"/>
      <c r="N1718" t="s">
        <v>8581</v>
      </c>
      <c r="O1718" s="8">
        <f t="shared" si="52"/>
        <v>4.3666666667559184</v>
      </c>
      <c r="P1718" t="str">
        <f t="shared" si="53"/>
        <v>N/A</v>
      </c>
    </row>
    <row r="1719" spans="1:16" x14ac:dyDescent="0.25">
      <c r="A1719" s="2" t="s">
        <v>4672</v>
      </c>
      <c r="B1719" s="4">
        <v>46026.205555555556</v>
      </c>
      <c r="C1719" s="2" t="s">
        <v>28</v>
      </c>
      <c r="D1719" s="2" t="s">
        <v>37</v>
      </c>
      <c r="E1719" s="2" t="s">
        <v>38</v>
      </c>
      <c r="F1719" s="2" t="s">
        <v>113</v>
      </c>
      <c r="G1719" s="2" t="s">
        <v>179</v>
      </c>
      <c r="H1719" s="2" t="s">
        <v>74</v>
      </c>
      <c r="I1719" s="2">
        <v>8</v>
      </c>
      <c r="J1719" s="2" t="s">
        <v>8580</v>
      </c>
      <c r="K1719" s="4">
        <v>46026.490277777775</v>
      </c>
      <c r="L1719" s="2" t="s">
        <v>24</v>
      </c>
      <c r="M1719" s="2"/>
      <c r="N1719" t="s">
        <v>8586</v>
      </c>
      <c r="O1719" s="8">
        <f t="shared" si="52"/>
        <v>6.8333333332557231</v>
      </c>
      <c r="P1719" t="str">
        <f t="shared" si="53"/>
        <v>N/A</v>
      </c>
    </row>
    <row r="1720" spans="1:16" x14ac:dyDescent="0.25">
      <c r="A1720" s="2" t="s">
        <v>4675</v>
      </c>
      <c r="B1720" s="4">
        <v>46208.242361111108</v>
      </c>
      <c r="C1720" s="2" t="s">
        <v>53</v>
      </c>
      <c r="D1720" s="2" t="s">
        <v>54</v>
      </c>
      <c r="E1720" s="2" t="s">
        <v>18</v>
      </c>
      <c r="F1720" s="2" t="s">
        <v>55</v>
      </c>
      <c r="G1720" s="2" t="s">
        <v>110</v>
      </c>
      <c r="H1720" s="2" t="s">
        <v>21</v>
      </c>
      <c r="I1720" s="2">
        <v>24</v>
      </c>
      <c r="J1720" s="2" t="s">
        <v>106</v>
      </c>
      <c r="K1720" s="4">
        <v>46208.806944444441</v>
      </c>
      <c r="L1720" s="2" t="s">
        <v>24</v>
      </c>
      <c r="M1720" s="2"/>
      <c r="N1720" t="s">
        <v>8585</v>
      </c>
      <c r="O1720" s="8">
        <f t="shared" si="52"/>
        <v>13.549999999988358</v>
      </c>
      <c r="P1720" t="str">
        <f t="shared" si="53"/>
        <v>Yes</v>
      </c>
    </row>
    <row r="1721" spans="1:16" x14ac:dyDescent="0.25">
      <c r="A1721" s="2" t="s">
        <v>4678</v>
      </c>
      <c r="B1721" s="4">
        <v>46235.979861111111</v>
      </c>
      <c r="C1721" s="2" t="s">
        <v>67</v>
      </c>
      <c r="D1721" s="2" t="s">
        <v>95</v>
      </c>
      <c r="E1721" s="2" t="s">
        <v>148</v>
      </c>
      <c r="F1721" s="2" t="s">
        <v>55</v>
      </c>
      <c r="G1721" s="2" t="s">
        <v>101</v>
      </c>
      <c r="H1721" s="2" t="s">
        <v>32</v>
      </c>
      <c r="I1721" s="2">
        <v>48</v>
      </c>
      <c r="J1721" s="2" t="s">
        <v>75</v>
      </c>
      <c r="K1721" s="4">
        <v>46236.31527777778</v>
      </c>
      <c r="L1721" s="2" t="s">
        <v>24</v>
      </c>
      <c r="M1721" s="2">
        <v>5</v>
      </c>
      <c r="N1721" t="s">
        <v>8583</v>
      </c>
      <c r="O1721" s="8">
        <f t="shared" si="52"/>
        <v>8.0500000000465661</v>
      </c>
      <c r="P1721" t="str">
        <f t="shared" si="53"/>
        <v>N/A</v>
      </c>
    </row>
    <row r="1722" spans="1:16" x14ac:dyDescent="0.25">
      <c r="A1722" s="2" t="s">
        <v>4681</v>
      </c>
      <c r="B1722" s="4">
        <v>46154.46875</v>
      </c>
      <c r="C1722" s="2" t="s">
        <v>53</v>
      </c>
      <c r="D1722" s="2" t="s">
        <v>61</v>
      </c>
      <c r="E1722" s="2" t="s">
        <v>18</v>
      </c>
      <c r="F1722" s="2" t="s">
        <v>96</v>
      </c>
      <c r="G1722" s="2" t="s">
        <v>101</v>
      </c>
      <c r="H1722" s="2" t="s">
        <v>32</v>
      </c>
      <c r="I1722" s="2">
        <v>48</v>
      </c>
      <c r="J1722" s="2" t="s">
        <v>106</v>
      </c>
      <c r="K1722" s="4">
        <v>46155.367361111108</v>
      </c>
      <c r="L1722" s="2" t="s">
        <v>92</v>
      </c>
      <c r="M1722" s="2">
        <v>5</v>
      </c>
      <c r="N1722" t="s">
        <v>8584</v>
      </c>
      <c r="O1722" s="8">
        <f t="shared" si="52"/>
        <v>21.566666666592937</v>
      </c>
      <c r="P1722" t="str">
        <f t="shared" si="53"/>
        <v>Yes</v>
      </c>
    </row>
    <row r="1723" spans="1:16" x14ac:dyDescent="0.25">
      <c r="A1723" s="2" t="s">
        <v>4684</v>
      </c>
      <c r="B1723" s="4">
        <v>46102.857638888891</v>
      </c>
      <c r="C1723" s="2" t="s">
        <v>53</v>
      </c>
      <c r="D1723" s="2" t="s">
        <v>61</v>
      </c>
      <c r="E1723" s="2" t="s">
        <v>90</v>
      </c>
      <c r="F1723" s="2" t="s">
        <v>55</v>
      </c>
      <c r="G1723" s="2" t="s">
        <v>31</v>
      </c>
      <c r="H1723" s="2" t="s">
        <v>80</v>
      </c>
      <c r="I1723" s="2">
        <v>4</v>
      </c>
      <c r="J1723" s="2" t="s">
        <v>75</v>
      </c>
      <c r="K1723" s="4">
        <v>46102.963888888888</v>
      </c>
      <c r="L1723" s="2" t="s">
        <v>24</v>
      </c>
      <c r="M1723" s="2"/>
      <c r="N1723" t="s">
        <v>8587</v>
      </c>
      <c r="O1723" s="8">
        <f t="shared" si="52"/>
        <v>2.5499999999301508</v>
      </c>
      <c r="P1723" t="str">
        <f t="shared" si="53"/>
        <v>N/A</v>
      </c>
    </row>
    <row r="1724" spans="1:16" x14ac:dyDescent="0.25">
      <c r="A1724" s="2" t="s">
        <v>4687</v>
      </c>
      <c r="B1724" s="4">
        <v>46190.247916666667</v>
      </c>
      <c r="C1724" s="2" t="s">
        <v>67</v>
      </c>
      <c r="D1724" s="2" t="s">
        <v>68</v>
      </c>
      <c r="E1724" s="2" t="s">
        <v>38</v>
      </c>
      <c r="F1724" s="2" t="s">
        <v>30</v>
      </c>
      <c r="G1724" s="2" t="s">
        <v>183</v>
      </c>
      <c r="H1724" s="2" t="s">
        <v>21</v>
      </c>
      <c r="I1724" s="2">
        <v>24</v>
      </c>
      <c r="J1724" s="2" t="s">
        <v>149</v>
      </c>
      <c r="K1724" s="4" t="s">
        <v>8590</v>
      </c>
      <c r="L1724" s="2" t="s">
        <v>24</v>
      </c>
      <c r="M1724" s="2"/>
      <c r="N1724" t="s">
        <v>8582</v>
      </c>
      <c r="O1724" s="8" t="str">
        <f t="shared" si="52"/>
        <v/>
      </c>
      <c r="P1724" t="str">
        <f t="shared" si="53"/>
        <v>N/A</v>
      </c>
    </row>
    <row r="1725" spans="1:16" x14ac:dyDescent="0.25">
      <c r="A1725" s="2" t="s">
        <v>4689</v>
      </c>
      <c r="B1725" s="4">
        <v>46087.441666666666</v>
      </c>
      <c r="C1725" s="2" t="s">
        <v>53</v>
      </c>
      <c r="D1725" s="2" t="s">
        <v>54</v>
      </c>
      <c r="E1725" s="2" t="s">
        <v>46</v>
      </c>
      <c r="F1725" s="2" t="s">
        <v>55</v>
      </c>
      <c r="G1725" s="2" t="s">
        <v>31</v>
      </c>
      <c r="H1725" s="2" t="s">
        <v>80</v>
      </c>
      <c r="I1725" s="2">
        <v>4</v>
      </c>
      <c r="J1725" s="2" t="s">
        <v>149</v>
      </c>
      <c r="K1725" s="4" t="s">
        <v>8590</v>
      </c>
      <c r="L1725" s="2" t="s">
        <v>24</v>
      </c>
      <c r="M1725" s="2"/>
      <c r="N1725" t="s">
        <v>8581</v>
      </c>
      <c r="O1725" s="8" t="str">
        <f t="shared" si="52"/>
        <v/>
      </c>
      <c r="P1725" t="str">
        <f t="shared" si="53"/>
        <v>N/A</v>
      </c>
    </row>
    <row r="1726" spans="1:16" x14ac:dyDescent="0.25">
      <c r="A1726" s="2" t="s">
        <v>4691</v>
      </c>
      <c r="B1726" s="4">
        <v>46154.441666666666</v>
      </c>
      <c r="C1726" s="2" t="s">
        <v>16</v>
      </c>
      <c r="D1726" s="2" t="s">
        <v>17</v>
      </c>
      <c r="E1726" s="2" t="s">
        <v>148</v>
      </c>
      <c r="F1726" s="2" t="s">
        <v>96</v>
      </c>
      <c r="G1726" s="2" t="s">
        <v>110</v>
      </c>
      <c r="H1726" s="2" t="s">
        <v>32</v>
      </c>
      <c r="I1726" s="2">
        <v>48</v>
      </c>
      <c r="J1726" s="2" t="s">
        <v>149</v>
      </c>
      <c r="K1726" s="4" t="s">
        <v>8590</v>
      </c>
      <c r="L1726" s="2" t="s">
        <v>24</v>
      </c>
      <c r="M1726" s="2"/>
      <c r="N1726" t="s">
        <v>8586</v>
      </c>
      <c r="O1726" s="8" t="str">
        <f t="shared" si="52"/>
        <v/>
      </c>
      <c r="P1726" t="str">
        <f t="shared" si="53"/>
        <v>N/A</v>
      </c>
    </row>
    <row r="1727" spans="1:16" x14ac:dyDescent="0.25">
      <c r="A1727" s="2" t="s">
        <v>4693</v>
      </c>
      <c r="B1727" s="4">
        <v>46087.543749999997</v>
      </c>
      <c r="C1727" s="2" t="s">
        <v>53</v>
      </c>
      <c r="D1727" s="2" t="s">
        <v>54</v>
      </c>
      <c r="E1727" s="2" t="s">
        <v>38</v>
      </c>
      <c r="F1727" s="2" t="s">
        <v>96</v>
      </c>
      <c r="G1727" s="2" t="s">
        <v>101</v>
      </c>
      <c r="H1727" s="2" t="s">
        <v>21</v>
      </c>
      <c r="I1727" s="2">
        <v>24</v>
      </c>
      <c r="J1727" s="2" t="s">
        <v>75</v>
      </c>
      <c r="K1727" s="4">
        <v>46090.272916666669</v>
      </c>
      <c r="L1727" s="2" t="s">
        <v>24</v>
      </c>
      <c r="M1727" s="2">
        <v>2</v>
      </c>
      <c r="N1727" t="s">
        <v>8583</v>
      </c>
      <c r="O1727" s="8">
        <f t="shared" si="52"/>
        <v>65.500000000116415</v>
      </c>
      <c r="P1727" t="str">
        <f t="shared" si="53"/>
        <v>N/A</v>
      </c>
    </row>
    <row r="1728" spans="1:16" x14ac:dyDescent="0.25">
      <c r="A1728" s="2" t="s">
        <v>4696</v>
      </c>
      <c r="B1728" s="4">
        <v>46031.976388888892</v>
      </c>
      <c r="C1728" s="2" t="s">
        <v>53</v>
      </c>
      <c r="D1728" s="2" t="s">
        <v>54</v>
      </c>
      <c r="E1728" s="2" t="s">
        <v>148</v>
      </c>
      <c r="F1728" s="2" t="s">
        <v>96</v>
      </c>
      <c r="G1728" s="2" t="s">
        <v>179</v>
      </c>
      <c r="H1728" s="2" t="s">
        <v>74</v>
      </c>
      <c r="I1728" s="2">
        <v>8</v>
      </c>
      <c r="J1728" s="2" t="s">
        <v>106</v>
      </c>
      <c r="K1728" s="4">
        <v>46032.000694444447</v>
      </c>
      <c r="L1728" s="2" t="s">
        <v>24</v>
      </c>
      <c r="M1728" s="2">
        <v>4</v>
      </c>
      <c r="N1728" t="s">
        <v>8581</v>
      </c>
      <c r="O1728" s="8">
        <f t="shared" si="52"/>
        <v>0.58333333331393078</v>
      </c>
      <c r="P1728" t="str">
        <f t="shared" si="53"/>
        <v>Yes</v>
      </c>
    </row>
    <row r="1729" spans="1:16" x14ac:dyDescent="0.25">
      <c r="A1729" s="2" t="s">
        <v>4699</v>
      </c>
      <c r="B1729" s="4">
        <v>46046.347916666666</v>
      </c>
      <c r="C1729" s="2" t="s">
        <v>53</v>
      </c>
      <c r="D1729" s="2" t="s">
        <v>54</v>
      </c>
      <c r="E1729" s="2" t="s">
        <v>38</v>
      </c>
      <c r="F1729" s="2" t="s">
        <v>113</v>
      </c>
      <c r="G1729" s="2" t="s">
        <v>183</v>
      </c>
      <c r="H1729" s="2" t="s">
        <v>21</v>
      </c>
      <c r="I1729" s="2">
        <v>24</v>
      </c>
      <c r="J1729" s="2" t="s">
        <v>106</v>
      </c>
      <c r="K1729" s="4">
        <v>46046.410416666666</v>
      </c>
      <c r="L1729" s="2" t="s">
        <v>24</v>
      </c>
      <c r="M1729" s="2">
        <v>5</v>
      </c>
      <c r="N1729" t="s">
        <v>8588</v>
      </c>
      <c r="O1729" s="8">
        <f t="shared" si="52"/>
        <v>1.5</v>
      </c>
      <c r="P1729" t="str">
        <f t="shared" si="53"/>
        <v>Yes</v>
      </c>
    </row>
    <row r="1730" spans="1:16" x14ac:dyDescent="0.25">
      <c r="A1730" s="2" t="s">
        <v>4702</v>
      </c>
      <c r="B1730" s="4">
        <v>46053.326388888891</v>
      </c>
      <c r="C1730" s="2" t="s">
        <v>16</v>
      </c>
      <c r="D1730" s="2" t="s">
        <v>84</v>
      </c>
      <c r="E1730" s="2" t="s">
        <v>46</v>
      </c>
      <c r="F1730" s="2" t="s">
        <v>30</v>
      </c>
      <c r="G1730" s="2" t="s">
        <v>211</v>
      </c>
      <c r="H1730" s="2" t="s">
        <v>21</v>
      </c>
      <c r="I1730" s="2">
        <v>24</v>
      </c>
      <c r="J1730" s="2" t="s">
        <v>149</v>
      </c>
      <c r="K1730" s="4" t="s">
        <v>8590</v>
      </c>
      <c r="L1730" s="2" t="s">
        <v>24</v>
      </c>
      <c r="M1730" s="2"/>
      <c r="N1730" t="s">
        <v>8588</v>
      </c>
      <c r="O1730" s="8" t="str">
        <f t="shared" si="52"/>
        <v/>
      </c>
      <c r="P1730" t="str">
        <f t="shared" si="53"/>
        <v>N/A</v>
      </c>
    </row>
    <row r="1731" spans="1:16" x14ac:dyDescent="0.25">
      <c r="A1731" s="2" t="s">
        <v>4704</v>
      </c>
      <c r="B1731" s="4">
        <v>46180.061111111114</v>
      </c>
      <c r="C1731" s="2" t="s">
        <v>53</v>
      </c>
      <c r="D1731" s="2" t="s">
        <v>61</v>
      </c>
      <c r="E1731" s="2" t="s">
        <v>38</v>
      </c>
      <c r="F1731" s="2" t="s">
        <v>96</v>
      </c>
      <c r="G1731" s="2" t="s">
        <v>183</v>
      </c>
      <c r="H1731" s="2" t="s">
        <v>80</v>
      </c>
      <c r="I1731" s="2">
        <v>4</v>
      </c>
      <c r="J1731" s="2" t="s">
        <v>106</v>
      </c>
      <c r="K1731" s="4">
        <v>46180.342361111114</v>
      </c>
      <c r="L1731" s="2" t="s">
        <v>24</v>
      </c>
      <c r="M1731" s="2">
        <v>5</v>
      </c>
      <c r="N1731" t="s">
        <v>8584</v>
      </c>
      <c r="O1731" s="8">
        <f t="shared" ref="O1731:O1794" si="54">IF(K1731="","",IF(K1731="Missing Resolve Date","",(K1731-B1731)*24))</f>
        <v>6.75</v>
      </c>
      <c r="P1731" t="str">
        <f t="shared" ref="P1731:P1794" si="55">IF(J1731="Resolved",IF(O1731&lt;=I1731,"Yes","No"),"N/A")</f>
        <v>No</v>
      </c>
    </row>
    <row r="1732" spans="1:16" x14ac:dyDescent="0.25">
      <c r="A1732" s="2" t="s">
        <v>4707</v>
      </c>
      <c r="B1732" s="4">
        <v>46244.637499999997</v>
      </c>
      <c r="C1732" s="2" t="s">
        <v>67</v>
      </c>
      <c r="D1732" s="2" t="s">
        <v>95</v>
      </c>
      <c r="E1732" s="2" t="s">
        <v>148</v>
      </c>
      <c r="F1732" s="2" t="s">
        <v>113</v>
      </c>
      <c r="G1732" s="2" t="s">
        <v>110</v>
      </c>
      <c r="H1732" s="2" t="s">
        <v>74</v>
      </c>
      <c r="I1732" s="2">
        <v>8</v>
      </c>
      <c r="J1732" s="2" t="s">
        <v>11</v>
      </c>
      <c r="K1732" s="4" t="s">
        <v>8590</v>
      </c>
      <c r="L1732" s="2" t="s">
        <v>92</v>
      </c>
      <c r="M1732" s="2"/>
      <c r="N1732" t="s">
        <v>8589</v>
      </c>
      <c r="O1732" s="8" t="str">
        <f t="shared" si="54"/>
        <v/>
      </c>
      <c r="P1732" t="str">
        <f t="shared" si="55"/>
        <v>N/A</v>
      </c>
    </row>
    <row r="1733" spans="1:16" x14ac:dyDescent="0.25">
      <c r="A1733" s="2" t="s">
        <v>4709</v>
      </c>
      <c r="B1733" s="4">
        <v>46113.843055555553</v>
      </c>
      <c r="C1733" s="2" t="s">
        <v>28</v>
      </c>
      <c r="D1733" s="2" t="s">
        <v>37</v>
      </c>
      <c r="E1733" s="2" t="s">
        <v>18</v>
      </c>
      <c r="F1733" s="2" t="s">
        <v>55</v>
      </c>
      <c r="G1733" s="2" t="s">
        <v>211</v>
      </c>
      <c r="H1733" s="2" t="s">
        <v>21</v>
      </c>
      <c r="I1733" s="2">
        <v>24</v>
      </c>
      <c r="J1733" s="2" t="s">
        <v>106</v>
      </c>
      <c r="K1733" s="4">
        <v>46114.296527777777</v>
      </c>
      <c r="L1733" s="2" t="s">
        <v>24</v>
      </c>
      <c r="M1733" s="2">
        <v>4</v>
      </c>
      <c r="N1733" t="s">
        <v>8586</v>
      </c>
      <c r="O1733" s="8">
        <f t="shared" si="54"/>
        <v>10.883333333360497</v>
      </c>
      <c r="P1733" t="str">
        <f t="shared" si="55"/>
        <v>Yes</v>
      </c>
    </row>
    <row r="1734" spans="1:16" x14ac:dyDescent="0.25">
      <c r="A1734" s="2" t="s">
        <v>4712</v>
      </c>
      <c r="B1734" s="4">
        <v>46141.18472222222</v>
      </c>
      <c r="C1734" s="2" t="s">
        <v>16</v>
      </c>
      <c r="D1734" s="2" t="s">
        <v>17</v>
      </c>
      <c r="E1734" s="2" t="s">
        <v>79</v>
      </c>
      <c r="F1734" s="2" t="s">
        <v>30</v>
      </c>
      <c r="G1734" s="2" t="s">
        <v>183</v>
      </c>
      <c r="H1734" s="2" t="s">
        <v>74</v>
      </c>
      <c r="I1734" s="2">
        <v>8</v>
      </c>
      <c r="J1734" s="2" t="s">
        <v>8580</v>
      </c>
      <c r="K1734" s="4">
        <v>46141.474305555559</v>
      </c>
      <c r="L1734" s="2" t="s">
        <v>24</v>
      </c>
      <c r="M1734" s="2"/>
      <c r="N1734" t="s">
        <v>8589</v>
      </c>
      <c r="O1734" s="8">
        <f t="shared" si="54"/>
        <v>6.9500000001280569</v>
      </c>
      <c r="P1734" t="str">
        <f t="shared" si="55"/>
        <v>N/A</v>
      </c>
    </row>
    <row r="1735" spans="1:16" x14ac:dyDescent="0.25">
      <c r="A1735" s="2" t="s">
        <v>4715</v>
      </c>
      <c r="B1735" s="4">
        <v>46109.635416666664</v>
      </c>
      <c r="C1735" s="2" t="s">
        <v>67</v>
      </c>
      <c r="D1735" s="2" t="s">
        <v>68</v>
      </c>
      <c r="E1735" s="2" t="s">
        <v>18</v>
      </c>
      <c r="F1735" s="2" t="s">
        <v>55</v>
      </c>
      <c r="G1735" s="2" t="s">
        <v>183</v>
      </c>
      <c r="H1735" s="2" t="s">
        <v>32</v>
      </c>
      <c r="I1735" s="2">
        <v>48</v>
      </c>
      <c r="J1735" s="2" t="s">
        <v>287</v>
      </c>
      <c r="K1735" s="4" t="s">
        <v>8590</v>
      </c>
      <c r="L1735" s="2" t="s">
        <v>24</v>
      </c>
      <c r="M1735" s="2"/>
      <c r="N1735" t="s">
        <v>8582</v>
      </c>
      <c r="O1735" s="8" t="str">
        <f t="shared" si="54"/>
        <v/>
      </c>
      <c r="P1735" t="str">
        <f t="shared" si="55"/>
        <v>N/A</v>
      </c>
    </row>
    <row r="1736" spans="1:16" x14ac:dyDescent="0.25">
      <c r="A1736" s="2" t="s">
        <v>4717</v>
      </c>
      <c r="B1736" s="4">
        <v>46120.446527777778</v>
      </c>
      <c r="C1736" s="2" t="s">
        <v>67</v>
      </c>
      <c r="D1736" s="2" t="s">
        <v>68</v>
      </c>
      <c r="E1736" s="2" t="s">
        <v>46</v>
      </c>
      <c r="F1736" s="2" t="s">
        <v>30</v>
      </c>
      <c r="G1736" s="2" t="s">
        <v>183</v>
      </c>
      <c r="H1736" s="2" t="s">
        <v>21</v>
      </c>
      <c r="I1736" s="2">
        <v>24</v>
      </c>
      <c r="J1736" s="2" t="s">
        <v>11</v>
      </c>
      <c r="K1736" s="4" t="s">
        <v>8590</v>
      </c>
      <c r="L1736" s="2" t="s">
        <v>92</v>
      </c>
      <c r="M1736" s="2"/>
      <c r="N1736" t="s">
        <v>8583</v>
      </c>
      <c r="O1736" s="8" t="str">
        <f t="shared" si="54"/>
        <v/>
      </c>
      <c r="P1736" t="str">
        <f t="shared" si="55"/>
        <v>N/A</v>
      </c>
    </row>
    <row r="1737" spans="1:16" x14ac:dyDescent="0.25">
      <c r="A1737" s="2" t="s">
        <v>4719</v>
      </c>
      <c r="B1737" s="4">
        <v>46168.422222222223</v>
      </c>
      <c r="C1737" s="2" t="s">
        <v>28</v>
      </c>
      <c r="D1737" s="2" t="s">
        <v>100</v>
      </c>
      <c r="E1737" s="2" t="s">
        <v>148</v>
      </c>
      <c r="F1737" s="2" t="s">
        <v>55</v>
      </c>
      <c r="G1737" s="2" t="s">
        <v>211</v>
      </c>
      <c r="H1737" s="2" t="s">
        <v>32</v>
      </c>
      <c r="I1737" s="2">
        <v>48</v>
      </c>
      <c r="J1737" s="2" t="s">
        <v>11</v>
      </c>
      <c r="K1737" s="4" t="s">
        <v>8590</v>
      </c>
      <c r="L1737" s="2" t="s">
        <v>92</v>
      </c>
      <c r="M1737" s="2"/>
      <c r="N1737" t="s">
        <v>8582</v>
      </c>
      <c r="O1737" s="8" t="str">
        <f t="shared" si="54"/>
        <v/>
      </c>
      <c r="P1737" t="str">
        <f t="shared" si="55"/>
        <v>N/A</v>
      </c>
    </row>
    <row r="1738" spans="1:16" x14ac:dyDescent="0.25">
      <c r="A1738" s="2" t="s">
        <v>4721</v>
      </c>
      <c r="B1738" s="4">
        <v>46264.970833333333</v>
      </c>
      <c r="C1738" s="2" t="s">
        <v>16</v>
      </c>
      <c r="D1738" s="2" t="s">
        <v>84</v>
      </c>
      <c r="E1738" s="2" t="s">
        <v>38</v>
      </c>
      <c r="F1738" s="2" t="s">
        <v>30</v>
      </c>
      <c r="G1738" s="2" t="s">
        <v>110</v>
      </c>
      <c r="H1738" s="2" t="s">
        <v>32</v>
      </c>
      <c r="I1738" s="2">
        <v>48</v>
      </c>
      <c r="J1738" s="2" t="s">
        <v>75</v>
      </c>
      <c r="K1738" s="4">
        <v>46264.999305555553</v>
      </c>
      <c r="L1738" s="2" t="s">
        <v>24</v>
      </c>
      <c r="M1738" s="2">
        <v>4</v>
      </c>
      <c r="N1738" t="s">
        <v>8581</v>
      </c>
      <c r="O1738" s="8">
        <f t="shared" si="54"/>
        <v>0.68333333329064772</v>
      </c>
      <c r="P1738" t="str">
        <f t="shared" si="55"/>
        <v>N/A</v>
      </c>
    </row>
    <row r="1739" spans="1:16" x14ac:dyDescent="0.25">
      <c r="A1739" s="2" t="s">
        <v>4724</v>
      </c>
      <c r="B1739" s="4">
        <v>46253.038194444445</v>
      </c>
      <c r="C1739" s="2" t="s">
        <v>16</v>
      </c>
      <c r="D1739" s="2" t="s">
        <v>84</v>
      </c>
      <c r="E1739" s="2" t="s">
        <v>85</v>
      </c>
      <c r="F1739" s="2" t="s">
        <v>55</v>
      </c>
      <c r="G1739" s="2" t="s">
        <v>110</v>
      </c>
      <c r="H1739" s="2" t="s">
        <v>21</v>
      </c>
      <c r="I1739" s="2">
        <v>24</v>
      </c>
      <c r="J1739" s="2" t="s">
        <v>287</v>
      </c>
      <c r="K1739" s="4" t="s">
        <v>8590</v>
      </c>
      <c r="L1739" s="2" t="s">
        <v>24</v>
      </c>
      <c r="M1739" s="2"/>
      <c r="N1739" t="s">
        <v>8589</v>
      </c>
      <c r="O1739" s="8" t="str">
        <f t="shared" si="54"/>
        <v/>
      </c>
      <c r="P1739" t="str">
        <f t="shared" si="55"/>
        <v>N/A</v>
      </c>
    </row>
    <row r="1740" spans="1:16" x14ac:dyDescent="0.25">
      <c r="A1740" s="2" t="s">
        <v>4726</v>
      </c>
      <c r="B1740" s="4">
        <v>46160.770833333336</v>
      </c>
      <c r="C1740" s="2" t="s">
        <v>53</v>
      </c>
      <c r="D1740" s="2" t="s">
        <v>54</v>
      </c>
      <c r="E1740" s="2" t="s">
        <v>148</v>
      </c>
      <c r="F1740" s="2" t="s">
        <v>55</v>
      </c>
      <c r="G1740" s="2" t="s">
        <v>31</v>
      </c>
      <c r="H1740" s="2" t="s">
        <v>32</v>
      </c>
      <c r="I1740" s="2">
        <v>48</v>
      </c>
      <c r="J1740" s="2" t="s">
        <v>8580</v>
      </c>
      <c r="K1740" s="4">
        <v>46161.293749999997</v>
      </c>
      <c r="L1740" s="2" t="s">
        <v>24</v>
      </c>
      <c r="M1740" s="2"/>
      <c r="N1740" t="s">
        <v>8585</v>
      </c>
      <c r="O1740" s="8">
        <f t="shared" si="54"/>
        <v>12.549999999871943</v>
      </c>
      <c r="P1740" t="str">
        <f t="shared" si="55"/>
        <v>N/A</v>
      </c>
    </row>
    <row r="1741" spans="1:16" x14ac:dyDescent="0.25">
      <c r="A1741" s="2" t="s">
        <v>4729</v>
      </c>
      <c r="B1741" s="4">
        <v>46138.328472222223</v>
      </c>
      <c r="C1741" s="2" t="s">
        <v>67</v>
      </c>
      <c r="D1741" s="2" t="s">
        <v>68</v>
      </c>
      <c r="E1741" s="2" t="s">
        <v>46</v>
      </c>
      <c r="F1741" s="2" t="s">
        <v>55</v>
      </c>
      <c r="G1741" s="2" t="s">
        <v>101</v>
      </c>
      <c r="H1741" s="2" t="s">
        <v>21</v>
      </c>
      <c r="I1741" s="2">
        <v>24</v>
      </c>
      <c r="J1741" s="2" t="s">
        <v>106</v>
      </c>
      <c r="K1741" s="4">
        <v>46138.679166666669</v>
      </c>
      <c r="L1741" s="2" t="s">
        <v>24</v>
      </c>
      <c r="M1741" s="2"/>
      <c r="N1741" t="s">
        <v>8582</v>
      </c>
      <c r="O1741" s="8">
        <f t="shared" si="54"/>
        <v>8.4166666666860692</v>
      </c>
      <c r="P1741" t="str">
        <f t="shared" si="55"/>
        <v>Yes</v>
      </c>
    </row>
    <row r="1742" spans="1:16" x14ac:dyDescent="0.25">
      <c r="A1742" s="2" t="s">
        <v>4732</v>
      </c>
      <c r="B1742" s="4">
        <v>46035.849305555559</v>
      </c>
      <c r="C1742" s="2" t="s">
        <v>67</v>
      </c>
      <c r="D1742" s="2" t="s">
        <v>68</v>
      </c>
      <c r="E1742" s="2" t="s">
        <v>18</v>
      </c>
      <c r="F1742" s="2" t="s">
        <v>113</v>
      </c>
      <c r="G1742" s="2" t="s">
        <v>179</v>
      </c>
      <c r="H1742" s="2" t="s">
        <v>32</v>
      </c>
      <c r="I1742" s="2">
        <v>48</v>
      </c>
      <c r="J1742" s="2" t="s">
        <v>287</v>
      </c>
      <c r="K1742" s="4" t="s">
        <v>8590</v>
      </c>
      <c r="L1742" s="2" t="s">
        <v>24</v>
      </c>
      <c r="M1742" s="2"/>
      <c r="N1742" t="s">
        <v>8589</v>
      </c>
      <c r="O1742" s="8" t="str">
        <f t="shared" si="54"/>
        <v/>
      </c>
      <c r="P1742" t="str">
        <f t="shared" si="55"/>
        <v>N/A</v>
      </c>
    </row>
    <row r="1743" spans="1:16" x14ac:dyDescent="0.25">
      <c r="A1743" s="2" t="s">
        <v>4734</v>
      </c>
      <c r="B1743" s="4">
        <v>46251.320833333331</v>
      </c>
      <c r="C1743" s="2" t="s">
        <v>16</v>
      </c>
      <c r="D1743" s="2" t="s">
        <v>17</v>
      </c>
      <c r="E1743" s="2" t="s">
        <v>38</v>
      </c>
      <c r="F1743" s="2" t="s">
        <v>96</v>
      </c>
      <c r="G1743" s="2" t="s">
        <v>31</v>
      </c>
      <c r="H1743" s="2" t="s">
        <v>74</v>
      </c>
      <c r="I1743" s="2">
        <v>8</v>
      </c>
      <c r="J1743" s="2" t="s">
        <v>287</v>
      </c>
      <c r="K1743" s="4" t="s">
        <v>8590</v>
      </c>
      <c r="L1743" s="2" t="s">
        <v>24</v>
      </c>
      <c r="M1743" s="2"/>
      <c r="N1743" t="s">
        <v>8589</v>
      </c>
      <c r="O1743" s="8" t="str">
        <f t="shared" si="54"/>
        <v/>
      </c>
      <c r="P1743" t="str">
        <f t="shared" si="55"/>
        <v>N/A</v>
      </c>
    </row>
    <row r="1744" spans="1:16" x14ac:dyDescent="0.25">
      <c r="A1744" s="2" t="s">
        <v>4736</v>
      </c>
      <c r="B1744" s="4">
        <v>46117.659722222219</v>
      </c>
      <c r="C1744" s="2" t="s">
        <v>28</v>
      </c>
      <c r="D1744" s="2" t="s">
        <v>37</v>
      </c>
      <c r="E1744" s="2" t="s">
        <v>148</v>
      </c>
      <c r="F1744" s="2" t="s">
        <v>30</v>
      </c>
      <c r="G1744" s="2" t="s">
        <v>179</v>
      </c>
      <c r="H1744" s="2" t="s">
        <v>32</v>
      </c>
      <c r="I1744" s="2">
        <v>48</v>
      </c>
      <c r="J1744" s="2" t="s">
        <v>106</v>
      </c>
      <c r="K1744" s="4">
        <v>46117.836111111108</v>
      </c>
      <c r="L1744" s="2" t="s">
        <v>24</v>
      </c>
      <c r="M1744" s="2">
        <v>5</v>
      </c>
      <c r="N1744" t="s">
        <v>8589</v>
      </c>
      <c r="O1744" s="8">
        <f t="shared" si="54"/>
        <v>4.2333333333372138</v>
      </c>
      <c r="P1744" t="str">
        <f t="shared" si="55"/>
        <v>Yes</v>
      </c>
    </row>
    <row r="1745" spans="1:16" x14ac:dyDescent="0.25">
      <c r="A1745" s="2" t="s">
        <v>4739</v>
      </c>
      <c r="B1745" s="4">
        <v>46240.05972222222</v>
      </c>
      <c r="C1745" s="2" t="s">
        <v>16</v>
      </c>
      <c r="D1745" s="2" t="s">
        <v>17</v>
      </c>
      <c r="E1745" s="2" t="s">
        <v>90</v>
      </c>
      <c r="F1745" s="2" t="s">
        <v>30</v>
      </c>
      <c r="G1745" s="2" t="s">
        <v>183</v>
      </c>
      <c r="H1745" s="2" t="s">
        <v>74</v>
      </c>
      <c r="I1745" s="2">
        <v>8</v>
      </c>
      <c r="J1745" s="2" t="s">
        <v>106</v>
      </c>
      <c r="K1745" s="4" t="s">
        <v>8590</v>
      </c>
      <c r="L1745" s="2" t="s">
        <v>24</v>
      </c>
      <c r="M1745" s="2">
        <v>5</v>
      </c>
      <c r="N1745" t="s">
        <v>8583</v>
      </c>
      <c r="O1745" s="8" t="str">
        <f t="shared" si="54"/>
        <v/>
      </c>
      <c r="P1745" t="str">
        <f t="shared" si="55"/>
        <v>No</v>
      </c>
    </row>
    <row r="1746" spans="1:16" x14ac:dyDescent="0.25">
      <c r="A1746" s="2" t="s">
        <v>4741</v>
      </c>
      <c r="B1746" s="4">
        <v>46232.361805555556</v>
      </c>
      <c r="C1746" s="2" t="s">
        <v>28</v>
      </c>
      <c r="D1746" s="2" t="s">
        <v>37</v>
      </c>
      <c r="E1746" s="2" t="s">
        <v>18</v>
      </c>
      <c r="F1746" s="2" t="s">
        <v>113</v>
      </c>
      <c r="G1746" s="2" t="s">
        <v>110</v>
      </c>
      <c r="H1746" s="2" t="s">
        <v>74</v>
      </c>
      <c r="I1746" s="2">
        <v>8</v>
      </c>
      <c r="J1746" s="2" t="s">
        <v>149</v>
      </c>
      <c r="K1746" s="4" t="s">
        <v>8590</v>
      </c>
      <c r="L1746" s="2" t="s">
        <v>24</v>
      </c>
      <c r="M1746" s="2"/>
      <c r="N1746" t="s">
        <v>8589</v>
      </c>
      <c r="O1746" s="8" t="str">
        <f t="shared" si="54"/>
        <v/>
      </c>
      <c r="P1746" t="str">
        <f t="shared" si="55"/>
        <v>N/A</v>
      </c>
    </row>
    <row r="1747" spans="1:16" x14ac:dyDescent="0.25">
      <c r="A1747" s="2" t="s">
        <v>4743</v>
      </c>
      <c r="B1747" s="4">
        <v>46078.336111111108</v>
      </c>
      <c r="C1747" s="2" t="s">
        <v>16</v>
      </c>
      <c r="D1747" s="2" t="s">
        <v>17</v>
      </c>
      <c r="E1747" s="2" t="s">
        <v>79</v>
      </c>
      <c r="F1747" s="2" t="s">
        <v>55</v>
      </c>
      <c r="G1747" s="2" t="s">
        <v>211</v>
      </c>
      <c r="H1747" s="2" t="s">
        <v>21</v>
      </c>
      <c r="I1747" s="2">
        <v>24</v>
      </c>
      <c r="J1747" s="2" t="s">
        <v>75</v>
      </c>
      <c r="K1747" s="4">
        <v>46078.509722222225</v>
      </c>
      <c r="L1747" s="2" t="s">
        <v>24</v>
      </c>
      <c r="M1747" s="2">
        <v>5</v>
      </c>
      <c r="N1747" t="s">
        <v>8583</v>
      </c>
      <c r="O1747" s="8">
        <f t="shared" si="54"/>
        <v>4.1666666668024845</v>
      </c>
      <c r="P1747" t="str">
        <f t="shared" si="55"/>
        <v>N/A</v>
      </c>
    </row>
    <row r="1748" spans="1:16" x14ac:dyDescent="0.25">
      <c r="A1748" s="2" t="s">
        <v>4746</v>
      </c>
      <c r="B1748" s="4">
        <v>46040.227083333331</v>
      </c>
      <c r="C1748" s="2" t="s">
        <v>16</v>
      </c>
      <c r="D1748" s="2" t="s">
        <v>17</v>
      </c>
      <c r="E1748" s="2" t="s">
        <v>46</v>
      </c>
      <c r="F1748" s="2" t="s">
        <v>96</v>
      </c>
      <c r="G1748" s="2" t="s">
        <v>101</v>
      </c>
      <c r="H1748" s="2" t="s">
        <v>21</v>
      </c>
      <c r="I1748" s="2">
        <v>24</v>
      </c>
      <c r="J1748" s="2" t="s">
        <v>287</v>
      </c>
      <c r="K1748" s="4" t="s">
        <v>8590</v>
      </c>
      <c r="L1748" s="2" t="s">
        <v>24</v>
      </c>
      <c r="M1748" s="2"/>
      <c r="N1748" t="s">
        <v>8589</v>
      </c>
      <c r="O1748" s="8" t="str">
        <f t="shared" si="54"/>
        <v/>
      </c>
      <c r="P1748" t="str">
        <f t="shared" si="55"/>
        <v>N/A</v>
      </c>
    </row>
    <row r="1749" spans="1:16" x14ac:dyDescent="0.25">
      <c r="A1749" s="2" t="s">
        <v>4748</v>
      </c>
      <c r="B1749" s="4">
        <v>46186.455555555556</v>
      </c>
      <c r="C1749" s="2" t="s">
        <v>28</v>
      </c>
      <c r="D1749" s="2" t="s">
        <v>100</v>
      </c>
      <c r="E1749" s="2" t="s">
        <v>79</v>
      </c>
      <c r="F1749" s="2" t="s">
        <v>30</v>
      </c>
      <c r="G1749" s="2" t="s">
        <v>211</v>
      </c>
      <c r="H1749" s="2" t="s">
        <v>74</v>
      </c>
      <c r="I1749" s="2">
        <v>8</v>
      </c>
      <c r="J1749" s="2" t="s">
        <v>106</v>
      </c>
      <c r="K1749" s="4">
        <v>46186.613888888889</v>
      </c>
      <c r="L1749" s="2" t="s">
        <v>24</v>
      </c>
      <c r="M1749" s="2">
        <v>3</v>
      </c>
      <c r="N1749" t="s">
        <v>8588</v>
      </c>
      <c r="O1749" s="8">
        <f t="shared" si="54"/>
        <v>3.7999999999883585</v>
      </c>
      <c r="P1749" t="str">
        <f t="shared" si="55"/>
        <v>Yes</v>
      </c>
    </row>
    <row r="1750" spans="1:16" x14ac:dyDescent="0.25">
      <c r="A1750" s="2" t="s">
        <v>4751</v>
      </c>
      <c r="B1750" s="4">
        <v>46126.909722222219</v>
      </c>
      <c r="C1750" s="2" t="s">
        <v>28</v>
      </c>
      <c r="D1750" s="2" t="s">
        <v>37</v>
      </c>
      <c r="E1750" s="2" t="s">
        <v>18</v>
      </c>
      <c r="F1750" s="2" t="s">
        <v>113</v>
      </c>
      <c r="G1750" s="2" t="s">
        <v>101</v>
      </c>
      <c r="H1750" s="2" t="s">
        <v>74</v>
      </c>
      <c r="I1750" s="2">
        <v>8</v>
      </c>
      <c r="J1750" s="2" t="s">
        <v>11</v>
      </c>
      <c r="K1750" s="4" t="s">
        <v>8590</v>
      </c>
      <c r="L1750" s="2" t="s">
        <v>92</v>
      </c>
      <c r="M1750" s="2"/>
      <c r="N1750" t="s">
        <v>8586</v>
      </c>
      <c r="O1750" s="8" t="str">
        <f t="shared" si="54"/>
        <v/>
      </c>
      <c r="P1750" t="str">
        <f t="shared" si="55"/>
        <v>N/A</v>
      </c>
    </row>
    <row r="1751" spans="1:16" x14ac:dyDescent="0.25">
      <c r="A1751" s="2" t="s">
        <v>4753</v>
      </c>
      <c r="B1751" s="4">
        <v>46086.818055555559</v>
      </c>
      <c r="C1751" s="2" t="s">
        <v>28</v>
      </c>
      <c r="D1751" s="2" t="s">
        <v>37</v>
      </c>
      <c r="E1751" s="2" t="s">
        <v>79</v>
      </c>
      <c r="F1751" s="2" t="s">
        <v>113</v>
      </c>
      <c r="G1751" s="2" t="s">
        <v>183</v>
      </c>
      <c r="H1751" s="2" t="s">
        <v>21</v>
      </c>
      <c r="I1751" s="2">
        <v>24</v>
      </c>
      <c r="J1751" s="2" t="s">
        <v>149</v>
      </c>
      <c r="K1751" s="4" t="s">
        <v>8590</v>
      </c>
      <c r="L1751" s="2" t="s">
        <v>24</v>
      </c>
      <c r="M1751" s="2"/>
      <c r="N1751" t="s">
        <v>8585</v>
      </c>
      <c r="O1751" s="8" t="str">
        <f t="shared" si="54"/>
        <v/>
      </c>
      <c r="P1751" t="str">
        <f t="shared" si="55"/>
        <v>N/A</v>
      </c>
    </row>
    <row r="1752" spans="1:16" x14ac:dyDescent="0.25">
      <c r="A1752" s="2" t="s">
        <v>4755</v>
      </c>
      <c r="B1752" s="4">
        <v>46080.371527777781</v>
      </c>
      <c r="C1752" s="2" t="s">
        <v>28</v>
      </c>
      <c r="D1752" s="2" t="s">
        <v>37</v>
      </c>
      <c r="E1752" s="2" t="s">
        <v>18</v>
      </c>
      <c r="F1752" s="2" t="s">
        <v>113</v>
      </c>
      <c r="G1752" s="2" t="s">
        <v>211</v>
      </c>
      <c r="H1752" s="2" t="s">
        <v>32</v>
      </c>
      <c r="I1752" s="2">
        <v>48</v>
      </c>
      <c r="J1752" s="2" t="s">
        <v>106</v>
      </c>
      <c r="K1752" s="4">
        <v>46081.676388888889</v>
      </c>
      <c r="L1752" s="2" t="s">
        <v>24</v>
      </c>
      <c r="M1752" s="2"/>
      <c r="N1752" t="s">
        <v>8586</v>
      </c>
      <c r="O1752" s="8">
        <f t="shared" si="54"/>
        <v>31.316666666592937</v>
      </c>
      <c r="P1752" t="str">
        <f t="shared" si="55"/>
        <v>Yes</v>
      </c>
    </row>
    <row r="1753" spans="1:16" x14ac:dyDescent="0.25">
      <c r="A1753" s="2" t="s">
        <v>4758</v>
      </c>
      <c r="B1753" s="4">
        <v>46052.046527777777</v>
      </c>
      <c r="C1753" s="2" t="s">
        <v>28</v>
      </c>
      <c r="D1753" s="2" t="s">
        <v>37</v>
      </c>
      <c r="E1753" s="2" t="s">
        <v>90</v>
      </c>
      <c r="F1753" s="2" t="s">
        <v>55</v>
      </c>
      <c r="G1753" s="2" t="s">
        <v>101</v>
      </c>
      <c r="H1753" s="2" t="s">
        <v>32</v>
      </c>
      <c r="I1753" s="2">
        <v>48</v>
      </c>
      <c r="J1753" s="2" t="s">
        <v>149</v>
      </c>
      <c r="K1753" s="4" t="s">
        <v>8590</v>
      </c>
      <c r="L1753" s="2" t="s">
        <v>24</v>
      </c>
      <c r="M1753" s="2"/>
      <c r="N1753" t="s">
        <v>8588</v>
      </c>
      <c r="O1753" s="8" t="str">
        <f t="shared" si="54"/>
        <v/>
      </c>
      <c r="P1753" t="str">
        <f t="shared" si="55"/>
        <v>N/A</v>
      </c>
    </row>
    <row r="1754" spans="1:16" x14ac:dyDescent="0.25">
      <c r="A1754" s="2" t="s">
        <v>4760</v>
      </c>
      <c r="B1754" s="4">
        <v>46202.761805555558</v>
      </c>
      <c r="C1754" s="2" t="s">
        <v>53</v>
      </c>
      <c r="D1754" s="2" t="s">
        <v>54</v>
      </c>
      <c r="E1754" s="2" t="s">
        <v>90</v>
      </c>
      <c r="F1754" s="2" t="s">
        <v>96</v>
      </c>
      <c r="G1754" s="2" t="s">
        <v>31</v>
      </c>
      <c r="H1754" s="2" t="s">
        <v>21</v>
      </c>
      <c r="I1754" s="2">
        <v>24</v>
      </c>
      <c r="J1754" s="2" t="s">
        <v>75</v>
      </c>
      <c r="K1754" s="4">
        <v>46203.065972222219</v>
      </c>
      <c r="L1754" s="2" t="s">
        <v>24</v>
      </c>
      <c r="M1754" s="2">
        <v>5</v>
      </c>
      <c r="N1754" t="s">
        <v>8585</v>
      </c>
      <c r="O1754" s="8">
        <f t="shared" si="54"/>
        <v>7.2999999998719431</v>
      </c>
      <c r="P1754" t="str">
        <f t="shared" si="55"/>
        <v>N/A</v>
      </c>
    </row>
    <row r="1755" spans="1:16" x14ac:dyDescent="0.25">
      <c r="A1755" s="2" t="s">
        <v>4763</v>
      </c>
      <c r="B1755" s="4">
        <v>46240.498611111114</v>
      </c>
      <c r="C1755" s="2" t="s">
        <v>67</v>
      </c>
      <c r="D1755" s="2" t="s">
        <v>95</v>
      </c>
      <c r="E1755" s="2" t="s">
        <v>38</v>
      </c>
      <c r="F1755" s="2" t="s">
        <v>113</v>
      </c>
      <c r="G1755" s="2" t="s">
        <v>183</v>
      </c>
      <c r="H1755" s="2" t="s">
        <v>32</v>
      </c>
      <c r="I1755" s="2">
        <v>48</v>
      </c>
      <c r="J1755" s="2" t="s">
        <v>11</v>
      </c>
      <c r="K1755" s="4" t="s">
        <v>8590</v>
      </c>
      <c r="L1755" s="2" t="s">
        <v>92</v>
      </c>
      <c r="M1755" s="2"/>
      <c r="N1755" t="s">
        <v>8587</v>
      </c>
      <c r="O1755" s="8" t="str">
        <f t="shared" si="54"/>
        <v/>
      </c>
      <c r="P1755" t="str">
        <f t="shared" si="55"/>
        <v>N/A</v>
      </c>
    </row>
    <row r="1756" spans="1:16" x14ac:dyDescent="0.25">
      <c r="A1756" s="2" t="s">
        <v>4765</v>
      </c>
      <c r="B1756" s="4">
        <v>46225.058333333334</v>
      </c>
      <c r="C1756" s="2" t="s">
        <v>67</v>
      </c>
      <c r="D1756" s="2" t="s">
        <v>95</v>
      </c>
      <c r="E1756" s="2" t="s">
        <v>148</v>
      </c>
      <c r="F1756" s="2" t="s">
        <v>30</v>
      </c>
      <c r="G1756" s="2" t="s">
        <v>211</v>
      </c>
      <c r="H1756" s="2" t="s">
        <v>74</v>
      </c>
      <c r="I1756" s="2">
        <v>8</v>
      </c>
      <c r="J1756" s="2" t="s">
        <v>75</v>
      </c>
      <c r="K1756" s="4" t="s">
        <v>8590</v>
      </c>
      <c r="L1756" s="2" t="s">
        <v>24</v>
      </c>
      <c r="M1756" s="2">
        <v>5</v>
      </c>
      <c r="N1756" t="s">
        <v>8581</v>
      </c>
      <c r="O1756" s="8" t="str">
        <f t="shared" si="54"/>
        <v/>
      </c>
      <c r="P1756" t="str">
        <f t="shared" si="55"/>
        <v>N/A</v>
      </c>
    </row>
    <row r="1757" spans="1:16" x14ac:dyDescent="0.25">
      <c r="A1757" s="2" t="s">
        <v>4767</v>
      </c>
      <c r="B1757" s="4">
        <v>46248.063888888886</v>
      </c>
      <c r="C1757" s="2" t="s">
        <v>67</v>
      </c>
      <c r="D1757" s="2" t="s">
        <v>95</v>
      </c>
      <c r="E1757" s="2" t="s">
        <v>18</v>
      </c>
      <c r="F1757" s="2" t="s">
        <v>96</v>
      </c>
      <c r="G1757" s="2" t="s">
        <v>211</v>
      </c>
      <c r="H1757" s="2" t="s">
        <v>32</v>
      </c>
      <c r="I1757" s="2">
        <v>48</v>
      </c>
      <c r="J1757" s="2" t="s">
        <v>106</v>
      </c>
      <c r="K1757" s="4">
        <v>46248.545138888891</v>
      </c>
      <c r="L1757" s="2" t="s">
        <v>24</v>
      </c>
      <c r="M1757" s="2">
        <v>5</v>
      </c>
      <c r="N1757" t="s">
        <v>8583</v>
      </c>
      <c r="O1757" s="8">
        <f t="shared" si="54"/>
        <v>11.550000000104774</v>
      </c>
      <c r="P1757" t="str">
        <f t="shared" si="55"/>
        <v>Yes</v>
      </c>
    </row>
    <row r="1758" spans="1:16" x14ac:dyDescent="0.25">
      <c r="A1758" s="2" t="s">
        <v>4770</v>
      </c>
      <c r="B1758" s="4">
        <v>46171.939583333333</v>
      </c>
      <c r="C1758" s="2" t="s">
        <v>16</v>
      </c>
      <c r="D1758" s="2" t="s">
        <v>84</v>
      </c>
      <c r="E1758" s="2" t="s">
        <v>38</v>
      </c>
      <c r="F1758" s="2" t="s">
        <v>96</v>
      </c>
      <c r="G1758" s="2" t="s">
        <v>31</v>
      </c>
      <c r="H1758" s="2" t="s">
        <v>21</v>
      </c>
      <c r="I1758" s="2">
        <v>24</v>
      </c>
      <c r="J1758" s="2" t="s">
        <v>287</v>
      </c>
      <c r="K1758" s="4" t="s">
        <v>8590</v>
      </c>
      <c r="L1758" s="2" t="s">
        <v>24</v>
      </c>
      <c r="M1758" s="2"/>
      <c r="N1758" t="s">
        <v>8589</v>
      </c>
      <c r="O1758" s="8" t="str">
        <f t="shared" si="54"/>
        <v/>
      </c>
      <c r="P1758" t="str">
        <f t="shared" si="55"/>
        <v>N/A</v>
      </c>
    </row>
    <row r="1759" spans="1:16" x14ac:dyDescent="0.25">
      <c r="A1759" s="2" t="s">
        <v>4772</v>
      </c>
      <c r="B1759" s="4">
        <v>46108.387499999997</v>
      </c>
      <c r="C1759" s="2" t="s">
        <v>28</v>
      </c>
      <c r="D1759" s="2" t="s">
        <v>100</v>
      </c>
      <c r="E1759" s="2" t="s">
        <v>90</v>
      </c>
      <c r="F1759" s="2" t="s">
        <v>96</v>
      </c>
      <c r="G1759" s="2" t="s">
        <v>101</v>
      </c>
      <c r="H1759" s="2" t="s">
        <v>32</v>
      </c>
      <c r="I1759" s="2">
        <v>48</v>
      </c>
      <c r="J1759" s="2" t="s">
        <v>75</v>
      </c>
      <c r="K1759" s="4">
        <v>46108.746527777781</v>
      </c>
      <c r="L1759" s="2" t="s">
        <v>24</v>
      </c>
      <c r="M1759" s="2">
        <v>5</v>
      </c>
      <c r="N1759" t="s">
        <v>8583</v>
      </c>
      <c r="O1759" s="8">
        <f t="shared" si="54"/>
        <v>8.6166666668141261</v>
      </c>
      <c r="P1759" t="str">
        <f t="shared" si="55"/>
        <v>N/A</v>
      </c>
    </row>
    <row r="1760" spans="1:16" x14ac:dyDescent="0.25">
      <c r="A1760" s="2" t="s">
        <v>4775</v>
      </c>
      <c r="B1760" s="4">
        <v>46197.400694444441</v>
      </c>
      <c r="C1760" s="2" t="s">
        <v>16</v>
      </c>
      <c r="D1760" s="2" t="s">
        <v>84</v>
      </c>
      <c r="E1760" s="2" t="s">
        <v>85</v>
      </c>
      <c r="F1760" s="2" t="s">
        <v>96</v>
      </c>
      <c r="G1760" s="2" t="s">
        <v>179</v>
      </c>
      <c r="H1760" s="2" t="s">
        <v>32</v>
      </c>
      <c r="I1760" s="2">
        <v>48</v>
      </c>
      <c r="J1760" s="2" t="s">
        <v>106</v>
      </c>
      <c r="K1760" s="4">
        <v>46198.526388888888</v>
      </c>
      <c r="L1760" s="2" t="s">
        <v>24</v>
      </c>
      <c r="M1760" s="2">
        <v>5</v>
      </c>
      <c r="N1760" t="s">
        <v>8588</v>
      </c>
      <c r="O1760" s="8">
        <f t="shared" si="54"/>
        <v>27.016666666720994</v>
      </c>
      <c r="P1760" t="str">
        <f t="shared" si="55"/>
        <v>Yes</v>
      </c>
    </row>
    <row r="1761" spans="1:16" x14ac:dyDescent="0.25">
      <c r="A1761" s="2" t="s">
        <v>4778</v>
      </c>
      <c r="B1761" s="4">
        <v>46142.80972222222</v>
      </c>
      <c r="C1761" s="2" t="s">
        <v>16</v>
      </c>
      <c r="D1761" s="2" t="s">
        <v>84</v>
      </c>
      <c r="E1761" s="2" t="s">
        <v>79</v>
      </c>
      <c r="F1761" s="2" t="s">
        <v>55</v>
      </c>
      <c r="G1761" s="2" t="s">
        <v>179</v>
      </c>
      <c r="H1761" s="2" t="s">
        <v>32</v>
      </c>
      <c r="I1761" s="2">
        <v>48</v>
      </c>
      <c r="J1761" s="2" t="s">
        <v>106</v>
      </c>
      <c r="K1761" s="4">
        <v>46145.318749999999</v>
      </c>
      <c r="L1761" s="2" t="s">
        <v>24</v>
      </c>
      <c r="M1761" s="2">
        <v>4</v>
      </c>
      <c r="N1761" t="s">
        <v>8588</v>
      </c>
      <c r="O1761" s="8">
        <f t="shared" si="54"/>
        <v>60.216666666674428</v>
      </c>
      <c r="P1761" t="str">
        <f t="shared" si="55"/>
        <v>No</v>
      </c>
    </row>
    <row r="1762" spans="1:16" x14ac:dyDescent="0.25">
      <c r="A1762" s="2" t="s">
        <v>4781</v>
      </c>
      <c r="B1762" s="4">
        <v>46073.827777777777</v>
      </c>
      <c r="C1762" s="2" t="s">
        <v>16</v>
      </c>
      <c r="D1762" s="2" t="s">
        <v>84</v>
      </c>
      <c r="E1762" s="2" t="s">
        <v>148</v>
      </c>
      <c r="F1762" s="2" t="s">
        <v>55</v>
      </c>
      <c r="G1762" s="2" t="s">
        <v>110</v>
      </c>
      <c r="H1762" s="2" t="s">
        <v>21</v>
      </c>
      <c r="I1762" s="2">
        <v>24</v>
      </c>
      <c r="J1762" s="2" t="s">
        <v>149</v>
      </c>
      <c r="K1762" s="4" t="s">
        <v>8590</v>
      </c>
      <c r="L1762" s="2" t="s">
        <v>24</v>
      </c>
      <c r="M1762" s="2"/>
      <c r="N1762" t="s">
        <v>8581</v>
      </c>
      <c r="O1762" s="8" t="str">
        <f t="shared" si="54"/>
        <v/>
      </c>
      <c r="P1762" t="str">
        <f t="shared" si="55"/>
        <v>N/A</v>
      </c>
    </row>
    <row r="1763" spans="1:16" x14ac:dyDescent="0.25">
      <c r="A1763" s="2" t="s">
        <v>4783</v>
      </c>
      <c r="B1763" s="4">
        <v>46091.974305555559</v>
      </c>
      <c r="C1763" s="2" t="s">
        <v>16</v>
      </c>
      <c r="D1763" s="2" t="s">
        <v>17</v>
      </c>
      <c r="E1763" s="2" t="s">
        <v>18</v>
      </c>
      <c r="F1763" s="2" t="s">
        <v>113</v>
      </c>
      <c r="G1763" s="2" t="s">
        <v>183</v>
      </c>
      <c r="H1763" s="2" t="s">
        <v>21</v>
      </c>
      <c r="I1763" s="2">
        <v>24</v>
      </c>
      <c r="J1763" s="2" t="s">
        <v>106</v>
      </c>
      <c r="K1763" s="4">
        <v>46092.163888888892</v>
      </c>
      <c r="L1763" s="2" t="s">
        <v>24</v>
      </c>
      <c r="M1763" s="2">
        <v>4</v>
      </c>
      <c r="N1763" t="s">
        <v>8581</v>
      </c>
      <c r="O1763" s="8">
        <f t="shared" si="54"/>
        <v>4.5499999999883585</v>
      </c>
      <c r="P1763" t="str">
        <f t="shared" si="55"/>
        <v>Yes</v>
      </c>
    </row>
    <row r="1764" spans="1:16" x14ac:dyDescent="0.25">
      <c r="A1764" s="2" t="s">
        <v>4786</v>
      </c>
      <c r="B1764" s="4">
        <v>46138.284722222219</v>
      </c>
      <c r="C1764" s="2" t="s">
        <v>53</v>
      </c>
      <c r="D1764" s="2" t="s">
        <v>54</v>
      </c>
      <c r="E1764" s="2" t="s">
        <v>38</v>
      </c>
      <c r="F1764" s="2" t="s">
        <v>113</v>
      </c>
      <c r="G1764" s="2" t="s">
        <v>211</v>
      </c>
      <c r="H1764" s="2" t="s">
        <v>32</v>
      </c>
      <c r="I1764" s="2">
        <v>48</v>
      </c>
      <c r="J1764" s="2" t="s">
        <v>287</v>
      </c>
      <c r="K1764" s="4" t="s">
        <v>8590</v>
      </c>
      <c r="L1764" s="2" t="s">
        <v>24</v>
      </c>
      <c r="M1764" s="2"/>
      <c r="N1764" t="s">
        <v>8585</v>
      </c>
      <c r="O1764" s="8" t="str">
        <f t="shared" si="54"/>
        <v/>
      </c>
      <c r="P1764" t="str">
        <f t="shared" si="55"/>
        <v>N/A</v>
      </c>
    </row>
    <row r="1765" spans="1:16" x14ac:dyDescent="0.25">
      <c r="A1765" s="2" t="s">
        <v>4788</v>
      </c>
      <c r="B1765" s="4">
        <v>46218.413194444445</v>
      </c>
      <c r="C1765" s="2" t="s">
        <v>67</v>
      </c>
      <c r="D1765" s="2" t="s">
        <v>68</v>
      </c>
      <c r="E1765" s="2" t="s">
        <v>18</v>
      </c>
      <c r="F1765" s="2" t="s">
        <v>30</v>
      </c>
      <c r="G1765" s="2" t="s">
        <v>179</v>
      </c>
      <c r="H1765" s="2" t="s">
        <v>21</v>
      </c>
      <c r="I1765" s="2">
        <v>24</v>
      </c>
      <c r="J1765" s="2" t="s">
        <v>106</v>
      </c>
      <c r="K1765" s="4">
        <v>46219.152777777781</v>
      </c>
      <c r="L1765" s="2" t="s">
        <v>24</v>
      </c>
      <c r="M1765" s="2">
        <v>2</v>
      </c>
      <c r="N1765" t="s">
        <v>8584</v>
      </c>
      <c r="O1765" s="8">
        <f t="shared" si="54"/>
        <v>17.750000000058208</v>
      </c>
      <c r="P1765" t="str">
        <f t="shared" si="55"/>
        <v>Yes</v>
      </c>
    </row>
    <row r="1766" spans="1:16" x14ac:dyDescent="0.25">
      <c r="A1766" s="2" t="s">
        <v>4791</v>
      </c>
      <c r="B1766" s="4">
        <v>46063.018055555556</v>
      </c>
      <c r="C1766" s="2" t="s">
        <v>16</v>
      </c>
      <c r="D1766" s="2" t="s">
        <v>84</v>
      </c>
      <c r="E1766" s="2" t="s">
        <v>148</v>
      </c>
      <c r="F1766" s="2" t="s">
        <v>113</v>
      </c>
      <c r="G1766" s="2" t="s">
        <v>110</v>
      </c>
      <c r="H1766" s="2" t="s">
        <v>32</v>
      </c>
      <c r="I1766" s="2">
        <v>48</v>
      </c>
      <c r="J1766" s="2" t="s">
        <v>8580</v>
      </c>
      <c r="K1766" s="4">
        <v>46068.374305555553</v>
      </c>
      <c r="L1766" s="2" t="s">
        <v>24</v>
      </c>
      <c r="M1766" s="2"/>
      <c r="N1766" t="s">
        <v>8583</v>
      </c>
      <c r="O1766" s="8">
        <f t="shared" si="54"/>
        <v>128.54999999993015</v>
      </c>
      <c r="P1766" t="str">
        <f t="shared" si="55"/>
        <v>N/A</v>
      </c>
    </row>
    <row r="1767" spans="1:16" x14ac:dyDescent="0.25">
      <c r="A1767" s="2" t="s">
        <v>4794</v>
      </c>
      <c r="B1767" s="4">
        <v>46032.408333333333</v>
      </c>
      <c r="C1767" s="2" t="s">
        <v>67</v>
      </c>
      <c r="D1767" s="2" t="s">
        <v>68</v>
      </c>
      <c r="E1767" s="2" t="s">
        <v>85</v>
      </c>
      <c r="F1767" s="2" t="s">
        <v>55</v>
      </c>
      <c r="G1767" s="2" t="s">
        <v>110</v>
      </c>
      <c r="H1767" s="2" t="s">
        <v>32</v>
      </c>
      <c r="I1767" s="2">
        <v>48</v>
      </c>
      <c r="J1767" s="2" t="s">
        <v>75</v>
      </c>
      <c r="K1767" s="4">
        <v>46033.412499999999</v>
      </c>
      <c r="L1767" s="2" t="s">
        <v>24</v>
      </c>
      <c r="M1767" s="2"/>
      <c r="N1767" t="s">
        <v>8588</v>
      </c>
      <c r="O1767" s="8">
        <f t="shared" si="54"/>
        <v>24.099999999976717</v>
      </c>
      <c r="P1767" t="str">
        <f t="shared" si="55"/>
        <v>N/A</v>
      </c>
    </row>
    <row r="1768" spans="1:16" x14ac:dyDescent="0.25">
      <c r="A1768" s="2" t="s">
        <v>4797</v>
      </c>
      <c r="B1768" s="4">
        <v>46172.274305555555</v>
      </c>
      <c r="C1768" s="2" t="s">
        <v>16</v>
      </c>
      <c r="D1768" s="2" t="s">
        <v>84</v>
      </c>
      <c r="E1768" s="2" t="s">
        <v>90</v>
      </c>
      <c r="F1768" s="2" t="s">
        <v>30</v>
      </c>
      <c r="G1768" s="2" t="s">
        <v>183</v>
      </c>
      <c r="H1768" s="2" t="s">
        <v>74</v>
      </c>
      <c r="I1768" s="2">
        <v>8</v>
      </c>
      <c r="J1768" s="2" t="s">
        <v>106</v>
      </c>
      <c r="K1768" s="4">
        <v>46172.522916666669</v>
      </c>
      <c r="L1768" s="2" t="s">
        <v>92</v>
      </c>
      <c r="M1768" s="2">
        <v>5</v>
      </c>
      <c r="N1768" t="s">
        <v>8587</v>
      </c>
      <c r="O1768" s="8">
        <f t="shared" si="54"/>
        <v>5.9666666667326353</v>
      </c>
      <c r="P1768" t="str">
        <f t="shared" si="55"/>
        <v>Yes</v>
      </c>
    </row>
    <row r="1769" spans="1:16" x14ac:dyDescent="0.25">
      <c r="A1769" s="2" t="s">
        <v>4800</v>
      </c>
      <c r="B1769" s="4">
        <v>46102.350694444445</v>
      </c>
      <c r="C1769" s="2" t="s">
        <v>16</v>
      </c>
      <c r="D1769" s="2" t="s">
        <v>17</v>
      </c>
      <c r="E1769" s="2" t="s">
        <v>46</v>
      </c>
      <c r="F1769" s="2" t="s">
        <v>96</v>
      </c>
      <c r="G1769" s="2" t="s">
        <v>211</v>
      </c>
      <c r="H1769" s="2" t="s">
        <v>74</v>
      </c>
      <c r="I1769" s="2">
        <v>8</v>
      </c>
      <c r="J1769" s="2" t="s">
        <v>75</v>
      </c>
      <c r="K1769" s="4">
        <v>46102.638888888891</v>
      </c>
      <c r="L1769" s="2" t="s">
        <v>24</v>
      </c>
      <c r="M1769" s="2">
        <v>3</v>
      </c>
      <c r="N1769" t="s">
        <v>8588</v>
      </c>
      <c r="O1769" s="8">
        <f t="shared" si="54"/>
        <v>6.9166666666860692</v>
      </c>
      <c r="P1769" t="str">
        <f t="shared" si="55"/>
        <v>N/A</v>
      </c>
    </row>
    <row r="1770" spans="1:16" x14ac:dyDescent="0.25">
      <c r="A1770" s="2" t="s">
        <v>4803</v>
      </c>
      <c r="B1770" s="4">
        <v>46100.773611111108</v>
      </c>
      <c r="C1770" s="2" t="s">
        <v>16</v>
      </c>
      <c r="D1770" s="2" t="s">
        <v>84</v>
      </c>
      <c r="E1770" s="2" t="s">
        <v>18</v>
      </c>
      <c r="F1770" s="2" t="s">
        <v>55</v>
      </c>
      <c r="G1770" s="2" t="s">
        <v>101</v>
      </c>
      <c r="H1770" s="2" t="s">
        <v>21</v>
      </c>
      <c r="I1770" s="2">
        <v>24</v>
      </c>
      <c r="J1770" s="2" t="s">
        <v>106</v>
      </c>
      <c r="K1770" s="4">
        <v>46103.395833333336</v>
      </c>
      <c r="L1770" s="2" t="s">
        <v>24</v>
      </c>
      <c r="M1770" s="2">
        <v>3</v>
      </c>
      <c r="N1770" t="s">
        <v>8583</v>
      </c>
      <c r="O1770" s="8">
        <f t="shared" si="54"/>
        <v>62.933333333465271</v>
      </c>
      <c r="P1770" t="str">
        <f t="shared" si="55"/>
        <v>No</v>
      </c>
    </row>
    <row r="1771" spans="1:16" x14ac:dyDescent="0.25">
      <c r="A1771" s="2" t="s">
        <v>4806</v>
      </c>
      <c r="B1771" s="4">
        <v>46189.270138888889</v>
      </c>
      <c r="C1771" s="2" t="s">
        <v>16</v>
      </c>
      <c r="D1771" s="2" t="s">
        <v>84</v>
      </c>
      <c r="E1771" s="2" t="s">
        <v>148</v>
      </c>
      <c r="F1771" s="2" t="s">
        <v>30</v>
      </c>
      <c r="G1771" s="2" t="s">
        <v>179</v>
      </c>
      <c r="H1771" s="2" t="s">
        <v>32</v>
      </c>
      <c r="I1771" s="2">
        <v>48</v>
      </c>
      <c r="J1771" s="2" t="s">
        <v>75</v>
      </c>
      <c r="K1771" s="4">
        <v>46193.71597222222</v>
      </c>
      <c r="L1771" s="2" t="s">
        <v>24</v>
      </c>
      <c r="M1771" s="2"/>
      <c r="N1771" t="s">
        <v>8583</v>
      </c>
      <c r="O1771" s="8">
        <f t="shared" si="54"/>
        <v>106.69999999995343</v>
      </c>
      <c r="P1771" t="str">
        <f t="shared" si="55"/>
        <v>N/A</v>
      </c>
    </row>
    <row r="1772" spans="1:16" x14ac:dyDescent="0.25">
      <c r="A1772" s="2" t="s">
        <v>4809</v>
      </c>
      <c r="B1772" s="4">
        <v>46065.893055555556</v>
      </c>
      <c r="C1772" s="2" t="s">
        <v>67</v>
      </c>
      <c r="D1772" s="2" t="s">
        <v>95</v>
      </c>
      <c r="E1772" s="2" t="s">
        <v>38</v>
      </c>
      <c r="F1772" s="2" t="s">
        <v>55</v>
      </c>
      <c r="G1772" s="2" t="s">
        <v>101</v>
      </c>
      <c r="H1772" s="2" t="s">
        <v>21</v>
      </c>
      <c r="I1772" s="2">
        <v>24</v>
      </c>
      <c r="J1772" s="2" t="s">
        <v>106</v>
      </c>
      <c r="K1772" s="4">
        <v>46066.34097222222</v>
      </c>
      <c r="L1772" s="2" t="s">
        <v>24</v>
      </c>
      <c r="M1772" s="2"/>
      <c r="N1772" t="s">
        <v>8586</v>
      </c>
      <c r="O1772" s="8">
        <f t="shared" si="54"/>
        <v>10.749999999941792</v>
      </c>
      <c r="P1772" t="str">
        <f t="shared" si="55"/>
        <v>Yes</v>
      </c>
    </row>
    <row r="1773" spans="1:16" x14ac:dyDescent="0.25">
      <c r="A1773" s="2" t="s">
        <v>4812</v>
      </c>
      <c r="B1773" s="4">
        <v>46177.535416666666</v>
      </c>
      <c r="C1773" s="2" t="s">
        <v>16</v>
      </c>
      <c r="D1773" s="2" t="s">
        <v>84</v>
      </c>
      <c r="E1773" s="2" t="s">
        <v>46</v>
      </c>
      <c r="F1773" s="2" t="s">
        <v>55</v>
      </c>
      <c r="G1773" s="2" t="s">
        <v>101</v>
      </c>
      <c r="H1773" s="2" t="s">
        <v>32</v>
      </c>
      <c r="I1773" s="2">
        <v>48</v>
      </c>
      <c r="J1773" s="2" t="s">
        <v>106</v>
      </c>
      <c r="K1773" s="4">
        <v>46183.373611111114</v>
      </c>
      <c r="L1773" s="2" t="s">
        <v>24</v>
      </c>
      <c r="M1773" s="2"/>
      <c r="N1773" t="s">
        <v>8585</v>
      </c>
      <c r="O1773" s="8">
        <f t="shared" si="54"/>
        <v>140.11666666675592</v>
      </c>
      <c r="P1773" t="str">
        <f t="shared" si="55"/>
        <v>No</v>
      </c>
    </row>
    <row r="1774" spans="1:16" x14ac:dyDescent="0.25">
      <c r="A1774" s="2" t="s">
        <v>4815</v>
      </c>
      <c r="B1774" s="4">
        <v>46032.018055555556</v>
      </c>
      <c r="C1774" s="2" t="s">
        <v>16</v>
      </c>
      <c r="D1774" s="2" t="s">
        <v>84</v>
      </c>
      <c r="E1774" s="2" t="s">
        <v>38</v>
      </c>
      <c r="F1774" s="2" t="s">
        <v>55</v>
      </c>
      <c r="G1774" s="2" t="s">
        <v>179</v>
      </c>
      <c r="H1774" s="2" t="s">
        <v>21</v>
      </c>
      <c r="I1774" s="2">
        <v>24</v>
      </c>
      <c r="J1774" s="2" t="s">
        <v>75</v>
      </c>
      <c r="K1774" s="4">
        <v>46032.515277777777</v>
      </c>
      <c r="L1774" s="2" t="s">
        <v>24</v>
      </c>
      <c r="M1774" s="2">
        <v>1</v>
      </c>
      <c r="N1774" t="s">
        <v>8589</v>
      </c>
      <c r="O1774" s="8">
        <f t="shared" si="54"/>
        <v>11.933333333290648</v>
      </c>
      <c r="P1774" t="str">
        <f t="shared" si="55"/>
        <v>N/A</v>
      </c>
    </row>
    <row r="1775" spans="1:16" x14ac:dyDescent="0.25">
      <c r="A1775" s="2" t="s">
        <v>4818</v>
      </c>
      <c r="B1775" s="4">
        <v>46222.532638888886</v>
      </c>
      <c r="C1775" s="2" t="s">
        <v>16</v>
      </c>
      <c r="D1775" s="2" t="s">
        <v>17</v>
      </c>
      <c r="E1775" s="2" t="s">
        <v>85</v>
      </c>
      <c r="F1775" s="2" t="s">
        <v>55</v>
      </c>
      <c r="G1775" s="2" t="s">
        <v>179</v>
      </c>
      <c r="H1775" s="2" t="s">
        <v>74</v>
      </c>
      <c r="I1775" s="2">
        <v>8</v>
      </c>
      <c r="J1775" s="2" t="s">
        <v>106</v>
      </c>
      <c r="K1775" s="4">
        <v>46222.771527777775</v>
      </c>
      <c r="L1775" s="2" t="s">
        <v>24</v>
      </c>
      <c r="M1775" s="2">
        <v>5</v>
      </c>
      <c r="N1775" t="s">
        <v>8586</v>
      </c>
      <c r="O1775" s="8">
        <f t="shared" si="54"/>
        <v>5.7333333333372138</v>
      </c>
      <c r="P1775" t="str">
        <f t="shared" si="55"/>
        <v>Yes</v>
      </c>
    </row>
    <row r="1776" spans="1:16" x14ac:dyDescent="0.25">
      <c r="A1776" s="2" t="s">
        <v>4821</v>
      </c>
      <c r="B1776" s="4">
        <v>46080.524305555555</v>
      </c>
      <c r="C1776" s="2" t="s">
        <v>67</v>
      </c>
      <c r="D1776" s="2" t="s">
        <v>68</v>
      </c>
      <c r="E1776" s="2" t="s">
        <v>79</v>
      </c>
      <c r="F1776" s="2" t="s">
        <v>30</v>
      </c>
      <c r="G1776" s="2" t="s">
        <v>183</v>
      </c>
      <c r="H1776" s="2" t="s">
        <v>21</v>
      </c>
      <c r="I1776" s="2">
        <v>24</v>
      </c>
      <c r="J1776" s="2" t="s">
        <v>106</v>
      </c>
      <c r="K1776" s="4">
        <v>46080.788194444445</v>
      </c>
      <c r="L1776" s="2" t="s">
        <v>24</v>
      </c>
      <c r="M1776" s="2"/>
      <c r="N1776" t="s">
        <v>8589</v>
      </c>
      <c r="O1776" s="8">
        <f t="shared" si="54"/>
        <v>6.3333333333721384</v>
      </c>
      <c r="P1776" t="str">
        <f t="shared" si="55"/>
        <v>Yes</v>
      </c>
    </row>
    <row r="1777" spans="1:16" x14ac:dyDescent="0.25">
      <c r="A1777" s="2" t="s">
        <v>4824</v>
      </c>
      <c r="B1777" s="4">
        <v>46212.03125</v>
      </c>
      <c r="C1777" s="2" t="s">
        <v>28</v>
      </c>
      <c r="D1777" s="2" t="s">
        <v>37</v>
      </c>
      <c r="E1777" s="2" t="s">
        <v>46</v>
      </c>
      <c r="F1777" s="2" t="s">
        <v>30</v>
      </c>
      <c r="G1777" s="2" t="s">
        <v>183</v>
      </c>
      <c r="H1777" s="2" t="s">
        <v>32</v>
      </c>
      <c r="I1777" s="2">
        <v>48</v>
      </c>
      <c r="J1777" s="2" t="s">
        <v>106</v>
      </c>
      <c r="K1777" s="4">
        <v>46213.10833333333</v>
      </c>
      <c r="L1777" s="2" t="s">
        <v>24</v>
      </c>
      <c r="M1777" s="2">
        <v>4</v>
      </c>
      <c r="N1777" t="s">
        <v>8582</v>
      </c>
      <c r="O1777" s="8">
        <f t="shared" si="54"/>
        <v>25.849999999918509</v>
      </c>
      <c r="P1777" t="str">
        <f t="shared" si="55"/>
        <v>Yes</v>
      </c>
    </row>
    <row r="1778" spans="1:16" x14ac:dyDescent="0.25">
      <c r="A1778" s="2" t="s">
        <v>4827</v>
      </c>
      <c r="B1778" s="4">
        <v>46151.099305555559</v>
      </c>
      <c r="C1778" s="2" t="s">
        <v>16</v>
      </c>
      <c r="D1778" s="2" t="s">
        <v>17</v>
      </c>
      <c r="E1778" s="2" t="s">
        <v>79</v>
      </c>
      <c r="F1778" s="2" t="s">
        <v>113</v>
      </c>
      <c r="G1778" s="2" t="s">
        <v>211</v>
      </c>
      <c r="H1778" s="2" t="s">
        <v>74</v>
      </c>
      <c r="I1778" s="2">
        <v>8</v>
      </c>
      <c r="J1778" s="2" t="s">
        <v>106</v>
      </c>
      <c r="K1778" s="4">
        <v>46151.211805555555</v>
      </c>
      <c r="L1778" s="2" t="s">
        <v>24</v>
      </c>
      <c r="M1778" s="2"/>
      <c r="N1778" t="s">
        <v>8581</v>
      </c>
      <c r="O1778" s="8">
        <f t="shared" si="54"/>
        <v>2.6999999998952262</v>
      </c>
      <c r="P1778" t="str">
        <f t="shared" si="55"/>
        <v>Yes</v>
      </c>
    </row>
    <row r="1779" spans="1:16" x14ac:dyDescent="0.25">
      <c r="A1779" s="2" t="s">
        <v>4830</v>
      </c>
      <c r="B1779" s="4">
        <v>46090.493750000001</v>
      </c>
      <c r="C1779" s="2" t="s">
        <v>28</v>
      </c>
      <c r="D1779" s="2" t="s">
        <v>37</v>
      </c>
      <c r="E1779" s="2" t="s">
        <v>38</v>
      </c>
      <c r="F1779" s="2" t="s">
        <v>30</v>
      </c>
      <c r="G1779" s="2" t="s">
        <v>101</v>
      </c>
      <c r="H1779" s="2" t="s">
        <v>21</v>
      </c>
      <c r="I1779" s="2">
        <v>24</v>
      </c>
      <c r="J1779" s="2" t="s">
        <v>106</v>
      </c>
      <c r="K1779" s="4">
        <v>46091.193749999999</v>
      </c>
      <c r="L1779" s="2" t="s">
        <v>24</v>
      </c>
      <c r="M1779" s="2">
        <v>4</v>
      </c>
      <c r="N1779" t="s">
        <v>8588</v>
      </c>
      <c r="O1779" s="8">
        <f t="shared" si="54"/>
        <v>16.799999999930151</v>
      </c>
      <c r="P1779" t="str">
        <f t="shared" si="55"/>
        <v>Yes</v>
      </c>
    </row>
    <row r="1780" spans="1:16" x14ac:dyDescent="0.25">
      <c r="A1780" s="2" t="s">
        <v>4833</v>
      </c>
      <c r="B1780" s="4">
        <v>46083.786111111112</v>
      </c>
      <c r="C1780" s="2" t="s">
        <v>16</v>
      </c>
      <c r="D1780" s="2" t="s">
        <v>84</v>
      </c>
      <c r="E1780" s="2" t="s">
        <v>18</v>
      </c>
      <c r="F1780" s="2" t="s">
        <v>30</v>
      </c>
      <c r="G1780" s="2" t="s">
        <v>183</v>
      </c>
      <c r="H1780" s="2" t="s">
        <v>32</v>
      </c>
      <c r="I1780" s="2">
        <v>48</v>
      </c>
      <c r="J1780" s="2" t="s">
        <v>8580</v>
      </c>
      <c r="K1780" s="4">
        <v>46084.179861111108</v>
      </c>
      <c r="L1780" s="2" t="s">
        <v>24</v>
      </c>
      <c r="M1780" s="2"/>
      <c r="N1780" t="s">
        <v>8581</v>
      </c>
      <c r="O1780" s="8">
        <f t="shared" si="54"/>
        <v>9.4499999998952262</v>
      </c>
      <c r="P1780" t="str">
        <f t="shared" si="55"/>
        <v>N/A</v>
      </c>
    </row>
    <row r="1781" spans="1:16" x14ac:dyDescent="0.25">
      <c r="A1781" s="2" t="s">
        <v>4836</v>
      </c>
      <c r="B1781" s="4">
        <v>46063.964583333334</v>
      </c>
      <c r="C1781" s="2" t="s">
        <v>53</v>
      </c>
      <c r="D1781" s="2" t="s">
        <v>54</v>
      </c>
      <c r="E1781" s="2" t="s">
        <v>38</v>
      </c>
      <c r="F1781" s="2" t="s">
        <v>30</v>
      </c>
      <c r="G1781" s="2" t="s">
        <v>110</v>
      </c>
      <c r="H1781" s="2" t="s">
        <v>74</v>
      </c>
      <c r="I1781" s="2">
        <v>8</v>
      </c>
      <c r="J1781" s="2" t="s">
        <v>287</v>
      </c>
      <c r="K1781" s="4" t="s">
        <v>8590</v>
      </c>
      <c r="L1781" s="2" t="s">
        <v>24</v>
      </c>
      <c r="M1781" s="2"/>
      <c r="N1781" t="s">
        <v>8589</v>
      </c>
      <c r="O1781" s="8" t="str">
        <f t="shared" si="54"/>
        <v/>
      </c>
      <c r="P1781" t="str">
        <f t="shared" si="55"/>
        <v>N/A</v>
      </c>
    </row>
    <row r="1782" spans="1:16" x14ac:dyDescent="0.25">
      <c r="A1782" s="2" t="s">
        <v>4838</v>
      </c>
      <c r="B1782" s="4">
        <v>46066.237500000003</v>
      </c>
      <c r="C1782" s="2" t="s">
        <v>28</v>
      </c>
      <c r="D1782" s="2" t="s">
        <v>100</v>
      </c>
      <c r="E1782" s="2" t="s">
        <v>85</v>
      </c>
      <c r="F1782" s="2" t="s">
        <v>30</v>
      </c>
      <c r="G1782" s="2" t="s">
        <v>101</v>
      </c>
      <c r="H1782" s="2" t="s">
        <v>21</v>
      </c>
      <c r="I1782" s="2">
        <v>24</v>
      </c>
      <c r="J1782" s="2" t="s">
        <v>75</v>
      </c>
      <c r="K1782" s="4">
        <v>46066.752083333333</v>
      </c>
      <c r="L1782" s="2" t="s">
        <v>24</v>
      </c>
      <c r="M1782" s="2">
        <v>5</v>
      </c>
      <c r="N1782" t="s">
        <v>8587</v>
      </c>
      <c r="O1782" s="8">
        <f t="shared" si="54"/>
        <v>12.349999999918509</v>
      </c>
      <c r="P1782" t="str">
        <f t="shared" si="55"/>
        <v>N/A</v>
      </c>
    </row>
    <row r="1783" spans="1:16" x14ac:dyDescent="0.25">
      <c r="A1783" s="2" t="s">
        <v>4841</v>
      </c>
      <c r="B1783" s="4">
        <v>46068.746527777781</v>
      </c>
      <c r="C1783" s="2" t="s">
        <v>67</v>
      </c>
      <c r="D1783" s="2" t="s">
        <v>68</v>
      </c>
      <c r="E1783" s="2" t="s">
        <v>18</v>
      </c>
      <c r="F1783" s="2" t="s">
        <v>55</v>
      </c>
      <c r="G1783" s="2" t="s">
        <v>183</v>
      </c>
      <c r="H1783" s="2" t="s">
        <v>21</v>
      </c>
      <c r="I1783" s="2">
        <v>24</v>
      </c>
      <c r="J1783" s="2" t="s">
        <v>287</v>
      </c>
      <c r="K1783" s="4" t="s">
        <v>8590</v>
      </c>
      <c r="L1783" s="2" t="s">
        <v>24</v>
      </c>
      <c r="M1783" s="2"/>
      <c r="N1783" t="s">
        <v>8586</v>
      </c>
      <c r="O1783" s="8" t="str">
        <f t="shared" si="54"/>
        <v/>
      </c>
      <c r="P1783" t="str">
        <f t="shared" si="55"/>
        <v>N/A</v>
      </c>
    </row>
    <row r="1784" spans="1:16" x14ac:dyDescent="0.25">
      <c r="A1784" s="2" t="s">
        <v>4843</v>
      </c>
      <c r="B1784" s="4">
        <v>46030.006944444445</v>
      </c>
      <c r="C1784" s="2" t="s">
        <v>28</v>
      </c>
      <c r="D1784" s="2" t="s">
        <v>37</v>
      </c>
      <c r="E1784" s="2" t="s">
        <v>79</v>
      </c>
      <c r="F1784" s="2" t="s">
        <v>96</v>
      </c>
      <c r="G1784" s="2" t="s">
        <v>211</v>
      </c>
      <c r="H1784" s="2" t="s">
        <v>74</v>
      </c>
      <c r="I1784" s="2">
        <v>8</v>
      </c>
      <c r="J1784" s="2" t="s">
        <v>8580</v>
      </c>
      <c r="K1784" s="4">
        <v>46030.091666666667</v>
      </c>
      <c r="L1784" s="2" t="s">
        <v>24</v>
      </c>
      <c r="M1784" s="2"/>
      <c r="N1784" t="s">
        <v>8584</v>
      </c>
      <c r="O1784" s="8">
        <f t="shared" si="54"/>
        <v>2.0333333333255723</v>
      </c>
      <c r="P1784" t="str">
        <f t="shared" si="55"/>
        <v>N/A</v>
      </c>
    </row>
    <row r="1785" spans="1:16" x14ac:dyDescent="0.25">
      <c r="A1785" s="2" t="s">
        <v>4846</v>
      </c>
      <c r="B1785" s="4">
        <v>46202.911805555559</v>
      </c>
      <c r="C1785" s="2" t="s">
        <v>53</v>
      </c>
      <c r="D1785" s="2" t="s">
        <v>61</v>
      </c>
      <c r="E1785" s="2" t="s">
        <v>38</v>
      </c>
      <c r="F1785" s="2" t="s">
        <v>30</v>
      </c>
      <c r="G1785" s="2" t="s">
        <v>101</v>
      </c>
      <c r="H1785" s="2" t="s">
        <v>74</v>
      </c>
      <c r="I1785" s="2">
        <v>8</v>
      </c>
      <c r="J1785" s="2" t="s">
        <v>106</v>
      </c>
      <c r="K1785" s="4">
        <v>46203.100694444445</v>
      </c>
      <c r="L1785" s="2" t="s">
        <v>24</v>
      </c>
      <c r="M1785" s="2">
        <v>5</v>
      </c>
      <c r="N1785" t="s">
        <v>8589</v>
      </c>
      <c r="O1785" s="8">
        <f t="shared" si="54"/>
        <v>4.5333333332673647</v>
      </c>
      <c r="P1785" t="str">
        <f t="shared" si="55"/>
        <v>Yes</v>
      </c>
    </row>
    <row r="1786" spans="1:16" x14ac:dyDescent="0.25">
      <c r="A1786" s="2" t="s">
        <v>4849</v>
      </c>
      <c r="B1786" s="4">
        <v>46209.026388888888</v>
      </c>
      <c r="C1786" s="2" t="s">
        <v>53</v>
      </c>
      <c r="D1786" s="2" t="s">
        <v>61</v>
      </c>
      <c r="E1786" s="2" t="s">
        <v>85</v>
      </c>
      <c r="F1786" s="2" t="s">
        <v>113</v>
      </c>
      <c r="G1786" s="2" t="s">
        <v>211</v>
      </c>
      <c r="H1786" s="2" t="s">
        <v>32</v>
      </c>
      <c r="I1786" s="2">
        <v>48</v>
      </c>
      <c r="J1786" s="2" t="s">
        <v>8580</v>
      </c>
      <c r="K1786" s="4">
        <v>46212.135416666664</v>
      </c>
      <c r="L1786" s="2" t="s">
        <v>24</v>
      </c>
      <c r="M1786" s="2"/>
      <c r="N1786" t="s">
        <v>8589</v>
      </c>
      <c r="O1786" s="8">
        <f t="shared" si="54"/>
        <v>74.616666666639503</v>
      </c>
      <c r="P1786" t="str">
        <f t="shared" si="55"/>
        <v>N/A</v>
      </c>
    </row>
    <row r="1787" spans="1:16" x14ac:dyDescent="0.25">
      <c r="A1787" s="2" t="s">
        <v>4852</v>
      </c>
      <c r="B1787" s="4">
        <v>46125.085416666669</v>
      </c>
      <c r="C1787" s="2" t="s">
        <v>53</v>
      </c>
      <c r="D1787" s="2" t="s">
        <v>54</v>
      </c>
      <c r="E1787" s="2" t="s">
        <v>90</v>
      </c>
      <c r="F1787" s="2" t="s">
        <v>113</v>
      </c>
      <c r="G1787" s="2" t="s">
        <v>31</v>
      </c>
      <c r="H1787" s="2" t="s">
        <v>21</v>
      </c>
      <c r="I1787" s="2">
        <v>24</v>
      </c>
      <c r="J1787" s="2" t="s">
        <v>106</v>
      </c>
      <c r="K1787" s="4">
        <v>46126.386111111111</v>
      </c>
      <c r="L1787" s="2" t="s">
        <v>24</v>
      </c>
      <c r="M1787" s="2"/>
      <c r="N1787" t="s">
        <v>8589</v>
      </c>
      <c r="O1787" s="8">
        <f t="shared" si="54"/>
        <v>31.21666666661622</v>
      </c>
      <c r="P1787" t="str">
        <f t="shared" si="55"/>
        <v>No</v>
      </c>
    </row>
    <row r="1788" spans="1:16" x14ac:dyDescent="0.25">
      <c r="A1788" s="2" t="s">
        <v>4855</v>
      </c>
      <c r="B1788" s="4">
        <v>46169.620833333334</v>
      </c>
      <c r="C1788" s="2" t="s">
        <v>53</v>
      </c>
      <c r="D1788" s="2" t="s">
        <v>54</v>
      </c>
      <c r="E1788" s="2" t="s">
        <v>38</v>
      </c>
      <c r="F1788" s="2" t="s">
        <v>113</v>
      </c>
      <c r="G1788" s="2" t="s">
        <v>179</v>
      </c>
      <c r="H1788" s="2" t="s">
        <v>32</v>
      </c>
      <c r="I1788" s="2">
        <v>48</v>
      </c>
      <c r="J1788" s="2" t="s">
        <v>106</v>
      </c>
      <c r="K1788" s="4">
        <v>46169.883333333331</v>
      </c>
      <c r="L1788" s="2" t="s">
        <v>24</v>
      </c>
      <c r="M1788" s="2">
        <v>4</v>
      </c>
      <c r="N1788" t="s">
        <v>8585</v>
      </c>
      <c r="O1788" s="8">
        <f t="shared" si="54"/>
        <v>6.2999999999301508</v>
      </c>
      <c r="P1788" t="str">
        <f t="shared" si="55"/>
        <v>Yes</v>
      </c>
    </row>
    <row r="1789" spans="1:16" x14ac:dyDescent="0.25">
      <c r="A1789" s="2" t="s">
        <v>4858</v>
      </c>
      <c r="B1789" s="4">
        <v>46058.731249999997</v>
      </c>
      <c r="C1789" s="2" t="s">
        <v>67</v>
      </c>
      <c r="D1789" s="2" t="s">
        <v>95</v>
      </c>
      <c r="E1789" s="2" t="s">
        <v>148</v>
      </c>
      <c r="F1789" s="2" t="s">
        <v>30</v>
      </c>
      <c r="G1789" s="2" t="s">
        <v>179</v>
      </c>
      <c r="H1789" s="2" t="s">
        <v>32</v>
      </c>
      <c r="I1789" s="2">
        <v>48</v>
      </c>
      <c r="J1789" s="2" t="s">
        <v>149</v>
      </c>
      <c r="K1789" s="4" t="s">
        <v>8590</v>
      </c>
      <c r="L1789" s="2" t="s">
        <v>24</v>
      </c>
      <c r="M1789" s="2"/>
      <c r="N1789" t="s">
        <v>8587</v>
      </c>
      <c r="O1789" s="8" t="str">
        <f t="shared" si="54"/>
        <v/>
      </c>
      <c r="P1789" t="str">
        <f t="shared" si="55"/>
        <v>N/A</v>
      </c>
    </row>
    <row r="1790" spans="1:16" x14ac:dyDescent="0.25">
      <c r="A1790" s="2" t="s">
        <v>4860</v>
      </c>
      <c r="B1790" s="4">
        <v>46088.489583333336</v>
      </c>
      <c r="C1790" s="2" t="s">
        <v>53</v>
      </c>
      <c r="D1790" s="2" t="s">
        <v>61</v>
      </c>
      <c r="E1790" s="2" t="s">
        <v>79</v>
      </c>
      <c r="F1790" s="2" t="s">
        <v>96</v>
      </c>
      <c r="G1790" s="2" t="s">
        <v>31</v>
      </c>
      <c r="H1790" s="2" t="s">
        <v>21</v>
      </c>
      <c r="I1790" s="2">
        <v>24</v>
      </c>
      <c r="J1790" s="2" t="s">
        <v>75</v>
      </c>
      <c r="K1790" s="4">
        <v>46088.95208333333</v>
      </c>
      <c r="L1790" s="2" t="s">
        <v>24</v>
      </c>
      <c r="M1790" s="2">
        <v>4</v>
      </c>
      <c r="N1790" t="s">
        <v>8581</v>
      </c>
      <c r="O1790" s="8">
        <f t="shared" si="54"/>
        <v>11.099999999860302</v>
      </c>
      <c r="P1790" t="str">
        <f t="shared" si="55"/>
        <v>N/A</v>
      </c>
    </row>
    <row r="1791" spans="1:16" x14ac:dyDescent="0.25">
      <c r="A1791" s="2" t="s">
        <v>4863</v>
      </c>
      <c r="B1791" s="4">
        <v>46185.236805555556</v>
      </c>
      <c r="C1791" s="2" t="s">
        <v>28</v>
      </c>
      <c r="D1791" s="2" t="s">
        <v>37</v>
      </c>
      <c r="E1791" s="2" t="s">
        <v>148</v>
      </c>
      <c r="F1791" s="2" t="s">
        <v>113</v>
      </c>
      <c r="G1791" s="2" t="s">
        <v>179</v>
      </c>
      <c r="H1791" s="2" t="s">
        <v>74</v>
      </c>
      <c r="I1791" s="2">
        <v>8</v>
      </c>
      <c r="J1791" s="2" t="s">
        <v>106</v>
      </c>
      <c r="K1791" s="4">
        <v>46185.313888888886</v>
      </c>
      <c r="L1791" s="2" t="s">
        <v>24</v>
      </c>
      <c r="M1791" s="2">
        <v>2</v>
      </c>
      <c r="N1791" t="s">
        <v>8588</v>
      </c>
      <c r="O1791" s="8">
        <f t="shared" si="54"/>
        <v>1.8499999999185093</v>
      </c>
      <c r="P1791" t="str">
        <f t="shared" si="55"/>
        <v>Yes</v>
      </c>
    </row>
    <row r="1792" spans="1:16" x14ac:dyDescent="0.25">
      <c r="A1792" s="2" t="s">
        <v>4866</v>
      </c>
      <c r="B1792" s="4">
        <v>46259.053472222222</v>
      </c>
      <c r="C1792" s="2" t="s">
        <v>16</v>
      </c>
      <c r="D1792" s="2" t="s">
        <v>17</v>
      </c>
      <c r="E1792" s="2" t="s">
        <v>18</v>
      </c>
      <c r="F1792" s="2" t="s">
        <v>113</v>
      </c>
      <c r="G1792" s="2" t="s">
        <v>211</v>
      </c>
      <c r="H1792" s="2" t="s">
        <v>32</v>
      </c>
      <c r="I1792" s="2">
        <v>48</v>
      </c>
      <c r="J1792" s="2" t="s">
        <v>8580</v>
      </c>
      <c r="K1792" s="4">
        <v>46260.793749999997</v>
      </c>
      <c r="L1792" s="2" t="s">
        <v>24</v>
      </c>
      <c r="M1792" s="2"/>
      <c r="N1792" t="s">
        <v>8583</v>
      </c>
      <c r="O1792" s="8">
        <f t="shared" si="54"/>
        <v>41.766666666604578</v>
      </c>
      <c r="P1792" t="str">
        <f t="shared" si="55"/>
        <v>N/A</v>
      </c>
    </row>
    <row r="1793" spans="1:16" x14ac:dyDescent="0.25">
      <c r="A1793" s="2" t="s">
        <v>4869</v>
      </c>
      <c r="B1793" s="4">
        <v>46192.12777777778</v>
      </c>
      <c r="C1793" s="2" t="s">
        <v>28</v>
      </c>
      <c r="D1793" s="2" t="s">
        <v>100</v>
      </c>
      <c r="E1793" s="2" t="s">
        <v>90</v>
      </c>
      <c r="F1793" s="2" t="s">
        <v>96</v>
      </c>
      <c r="G1793" s="2" t="s">
        <v>183</v>
      </c>
      <c r="H1793" s="2" t="s">
        <v>32</v>
      </c>
      <c r="I1793" s="2">
        <v>48</v>
      </c>
      <c r="J1793" s="2" t="s">
        <v>106</v>
      </c>
      <c r="K1793" s="4">
        <v>46192.855555555558</v>
      </c>
      <c r="L1793" s="2" t="s">
        <v>92</v>
      </c>
      <c r="M1793" s="2"/>
      <c r="N1793" t="s">
        <v>8585</v>
      </c>
      <c r="O1793" s="8">
        <f t="shared" si="54"/>
        <v>17.466666666674428</v>
      </c>
      <c r="P1793" t="str">
        <f t="shared" si="55"/>
        <v>Yes</v>
      </c>
    </row>
    <row r="1794" spans="1:16" x14ac:dyDescent="0.25">
      <c r="A1794" s="2" t="s">
        <v>4872</v>
      </c>
      <c r="B1794" s="4">
        <v>46063.635416666664</v>
      </c>
      <c r="C1794" s="2" t="s">
        <v>67</v>
      </c>
      <c r="D1794" s="2" t="s">
        <v>68</v>
      </c>
      <c r="E1794" s="2" t="s">
        <v>38</v>
      </c>
      <c r="F1794" s="2" t="s">
        <v>55</v>
      </c>
      <c r="G1794" s="2" t="s">
        <v>183</v>
      </c>
      <c r="H1794" s="2" t="s">
        <v>21</v>
      </c>
      <c r="I1794" s="2">
        <v>24</v>
      </c>
      <c r="J1794" s="2" t="s">
        <v>149</v>
      </c>
      <c r="K1794" s="4" t="s">
        <v>8590</v>
      </c>
      <c r="L1794" s="2" t="s">
        <v>24</v>
      </c>
      <c r="M1794" s="2"/>
      <c r="N1794" t="s">
        <v>8586</v>
      </c>
      <c r="O1794" s="8" t="str">
        <f t="shared" si="54"/>
        <v/>
      </c>
      <c r="P1794" t="str">
        <f t="shared" si="55"/>
        <v>N/A</v>
      </c>
    </row>
    <row r="1795" spans="1:16" x14ac:dyDescent="0.25">
      <c r="A1795" s="2" t="s">
        <v>4874</v>
      </c>
      <c r="B1795" s="4">
        <v>46208.217361111114</v>
      </c>
      <c r="C1795" s="2" t="s">
        <v>16</v>
      </c>
      <c r="D1795" s="2" t="s">
        <v>17</v>
      </c>
      <c r="E1795" s="2" t="s">
        <v>79</v>
      </c>
      <c r="F1795" s="2" t="s">
        <v>96</v>
      </c>
      <c r="G1795" s="2" t="s">
        <v>211</v>
      </c>
      <c r="H1795" s="2" t="s">
        <v>32</v>
      </c>
      <c r="I1795" s="2">
        <v>48</v>
      </c>
      <c r="J1795" s="2" t="s">
        <v>8580</v>
      </c>
      <c r="K1795" s="4">
        <v>46208.924305555556</v>
      </c>
      <c r="L1795" s="2" t="s">
        <v>24</v>
      </c>
      <c r="M1795" s="2"/>
      <c r="N1795" t="s">
        <v>8583</v>
      </c>
      <c r="O1795" s="8">
        <f t="shared" ref="O1795:O1858" si="56">IF(K1795="","",IF(K1795="Missing Resolve Date","",(K1795-B1795)*24))</f>
        <v>16.96666666661622</v>
      </c>
      <c r="P1795" t="str">
        <f t="shared" ref="P1795:P1858" si="57">IF(J1795="Resolved",IF(O1795&lt;=I1795,"Yes","No"),"N/A")</f>
        <v>N/A</v>
      </c>
    </row>
    <row r="1796" spans="1:16" x14ac:dyDescent="0.25">
      <c r="A1796" s="2" t="s">
        <v>4877</v>
      </c>
      <c r="B1796" s="4">
        <v>46184.829861111109</v>
      </c>
      <c r="C1796" s="2" t="s">
        <v>67</v>
      </c>
      <c r="D1796" s="2" t="s">
        <v>95</v>
      </c>
      <c r="E1796" s="2" t="s">
        <v>90</v>
      </c>
      <c r="F1796" s="2" t="s">
        <v>30</v>
      </c>
      <c r="G1796" s="2" t="s">
        <v>101</v>
      </c>
      <c r="H1796" s="2" t="s">
        <v>32</v>
      </c>
      <c r="I1796" s="2">
        <v>48</v>
      </c>
      <c r="J1796" s="2" t="s">
        <v>75</v>
      </c>
      <c r="K1796" s="4">
        <v>46185.078472222223</v>
      </c>
      <c r="L1796" s="2" t="s">
        <v>92</v>
      </c>
      <c r="M1796" s="2">
        <v>5</v>
      </c>
      <c r="N1796" t="s">
        <v>8589</v>
      </c>
      <c r="O1796" s="8">
        <f t="shared" si="56"/>
        <v>5.9666666667326353</v>
      </c>
      <c r="P1796" t="str">
        <f t="shared" si="57"/>
        <v>N/A</v>
      </c>
    </row>
    <row r="1797" spans="1:16" x14ac:dyDescent="0.25">
      <c r="A1797" s="2" t="s">
        <v>4880</v>
      </c>
      <c r="B1797" s="4">
        <v>46235.393750000003</v>
      </c>
      <c r="C1797" s="2" t="s">
        <v>16</v>
      </c>
      <c r="D1797" s="2" t="s">
        <v>17</v>
      </c>
      <c r="E1797" s="2" t="s">
        <v>38</v>
      </c>
      <c r="F1797" s="2" t="s">
        <v>55</v>
      </c>
      <c r="G1797" s="2" t="s">
        <v>179</v>
      </c>
      <c r="H1797" s="2" t="s">
        <v>21</v>
      </c>
      <c r="I1797" s="2">
        <v>24</v>
      </c>
      <c r="J1797" s="2" t="s">
        <v>106</v>
      </c>
      <c r="K1797" s="4">
        <v>46235.659722222219</v>
      </c>
      <c r="L1797" s="2" t="s">
        <v>24</v>
      </c>
      <c r="M1797" s="2"/>
      <c r="N1797" t="s">
        <v>8589</v>
      </c>
      <c r="O1797" s="8">
        <f t="shared" si="56"/>
        <v>6.3833333331858739</v>
      </c>
      <c r="P1797" t="str">
        <f t="shared" si="57"/>
        <v>Yes</v>
      </c>
    </row>
    <row r="1798" spans="1:16" x14ac:dyDescent="0.25">
      <c r="A1798" s="2" t="s">
        <v>4883</v>
      </c>
      <c r="B1798" s="4">
        <v>46199.021527777775</v>
      </c>
      <c r="C1798" s="2" t="s">
        <v>16</v>
      </c>
      <c r="D1798" s="2" t="s">
        <v>84</v>
      </c>
      <c r="E1798" s="2" t="s">
        <v>46</v>
      </c>
      <c r="F1798" s="2" t="s">
        <v>113</v>
      </c>
      <c r="G1798" s="2" t="s">
        <v>110</v>
      </c>
      <c r="H1798" s="2" t="s">
        <v>32</v>
      </c>
      <c r="I1798" s="2">
        <v>48</v>
      </c>
      <c r="J1798" s="2" t="s">
        <v>106</v>
      </c>
      <c r="K1798" s="4">
        <v>46200.069444444445</v>
      </c>
      <c r="L1798" s="2" t="s">
        <v>24</v>
      </c>
      <c r="M1798" s="2">
        <v>5</v>
      </c>
      <c r="N1798" t="s">
        <v>8587</v>
      </c>
      <c r="O1798" s="8">
        <f t="shared" si="56"/>
        <v>25.150000000081491</v>
      </c>
      <c r="P1798" t="str">
        <f t="shared" si="57"/>
        <v>Yes</v>
      </c>
    </row>
    <row r="1799" spans="1:16" x14ac:dyDescent="0.25">
      <c r="A1799" s="2" t="s">
        <v>4886</v>
      </c>
      <c r="B1799" s="4">
        <v>46209.602083333331</v>
      </c>
      <c r="C1799" s="2" t="s">
        <v>28</v>
      </c>
      <c r="D1799" s="2" t="s">
        <v>100</v>
      </c>
      <c r="E1799" s="2" t="s">
        <v>79</v>
      </c>
      <c r="F1799" s="2" t="s">
        <v>30</v>
      </c>
      <c r="G1799" s="2" t="s">
        <v>101</v>
      </c>
      <c r="H1799" s="2" t="s">
        <v>21</v>
      </c>
      <c r="I1799" s="2">
        <v>24</v>
      </c>
      <c r="J1799" s="2" t="s">
        <v>75</v>
      </c>
      <c r="K1799" s="4">
        <v>46210.393055555556</v>
      </c>
      <c r="L1799" s="2" t="s">
        <v>24</v>
      </c>
      <c r="M1799" s="2">
        <v>3</v>
      </c>
      <c r="N1799" t="s">
        <v>8589</v>
      </c>
      <c r="O1799" s="8">
        <f t="shared" si="56"/>
        <v>18.983333333395422</v>
      </c>
      <c r="P1799" t="str">
        <f t="shared" si="57"/>
        <v>N/A</v>
      </c>
    </row>
    <row r="1800" spans="1:16" x14ac:dyDescent="0.25">
      <c r="A1800" s="2" t="s">
        <v>4889</v>
      </c>
      <c r="B1800" s="4">
        <v>46152.020138888889</v>
      </c>
      <c r="C1800" s="2" t="s">
        <v>53</v>
      </c>
      <c r="D1800" s="2" t="s">
        <v>61</v>
      </c>
      <c r="E1800" s="2" t="s">
        <v>85</v>
      </c>
      <c r="F1800" s="2" t="s">
        <v>113</v>
      </c>
      <c r="G1800" s="2" t="s">
        <v>110</v>
      </c>
      <c r="H1800" s="2" t="s">
        <v>74</v>
      </c>
      <c r="I1800" s="2">
        <v>8</v>
      </c>
      <c r="J1800" s="2" t="s">
        <v>106</v>
      </c>
      <c r="K1800" s="4">
        <v>46152.165277777778</v>
      </c>
      <c r="L1800" s="2" t="s">
        <v>24</v>
      </c>
      <c r="M1800" s="2">
        <v>1</v>
      </c>
      <c r="N1800" t="s">
        <v>8581</v>
      </c>
      <c r="O1800" s="8">
        <f t="shared" si="56"/>
        <v>3.4833333333372138</v>
      </c>
      <c r="P1800" t="str">
        <f t="shared" si="57"/>
        <v>Yes</v>
      </c>
    </row>
    <row r="1801" spans="1:16" x14ac:dyDescent="0.25">
      <c r="A1801" s="2" t="s">
        <v>4892</v>
      </c>
      <c r="B1801" s="4">
        <v>46224.295138888891</v>
      </c>
      <c r="C1801" s="2" t="s">
        <v>67</v>
      </c>
      <c r="D1801" s="2" t="s">
        <v>68</v>
      </c>
      <c r="E1801" s="2" t="s">
        <v>38</v>
      </c>
      <c r="F1801" s="2" t="s">
        <v>55</v>
      </c>
      <c r="G1801" s="2" t="s">
        <v>31</v>
      </c>
      <c r="H1801" s="2" t="s">
        <v>21</v>
      </c>
      <c r="I1801" s="2">
        <v>24</v>
      </c>
      <c r="J1801" s="2" t="s">
        <v>106</v>
      </c>
      <c r="K1801" s="4">
        <v>46226.890972222223</v>
      </c>
      <c r="L1801" s="2" t="s">
        <v>24</v>
      </c>
      <c r="M1801" s="2"/>
      <c r="N1801" t="s">
        <v>8581</v>
      </c>
      <c r="O1801" s="8">
        <f t="shared" si="56"/>
        <v>62.299999999988358</v>
      </c>
      <c r="P1801" t="str">
        <f t="shared" si="57"/>
        <v>No</v>
      </c>
    </row>
    <row r="1802" spans="1:16" x14ac:dyDescent="0.25">
      <c r="A1802" s="2" t="s">
        <v>4895</v>
      </c>
      <c r="B1802" s="4">
        <v>46059.431944444441</v>
      </c>
      <c r="C1802" s="2" t="s">
        <v>53</v>
      </c>
      <c r="D1802" s="2" t="s">
        <v>54</v>
      </c>
      <c r="E1802" s="2" t="s">
        <v>46</v>
      </c>
      <c r="F1802" s="2" t="s">
        <v>30</v>
      </c>
      <c r="G1802" s="2" t="s">
        <v>211</v>
      </c>
      <c r="H1802" s="2" t="s">
        <v>32</v>
      </c>
      <c r="I1802" s="2">
        <v>48</v>
      </c>
      <c r="J1802" s="2" t="s">
        <v>75</v>
      </c>
      <c r="K1802" s="4">
        <v>46059.642361111109</v>
      </c>
      <c r="L1802" s="2" t="s">
        <v>24</v>
      </c>
      <c r="M1802" s="2">
        <v>1</v>
      </c>
      <c r="N1802" t="s">
        <v>8586</v>
      </c>
      <c r="O1802" s="8">
        <f t="shared" si="56"/>
        <v>5.0500000000465661</v>
      </c>
      <c r="P1802" t="str">
        <f t="shared" si="57"/>
        <v>N/A</v>
      </c>
    </row>
    <row r="1803" spans="1:16" x14ac:dyDescent="0.25">
      <c r="A1803" s="2" t="s">
        <v>4898</v>
      </c>
      <c r="B1803" s="4">
        <v>46162.412499999999</v>
      </c>
      <c r="C1803" s="2" t="s">
        <v>28</v>
      </c>
      <c r="D1803" s="2" t="s">
        <v>37</v>
      </c>
      <c r="E1803" s="2" t="s">
        <v>148</v>
      </c>
      <c r="F1803" s="2" t="s">
        <v>30</v>
      </c>
      <c r="G1803" s="2" t="s">
        <v>179</v>
      </c>
      <c r="H1803" s="2" t="s">
        <v>21</v>
      </c>
      <c r="I1803" s="2">
        <v>24</v>
      </c>
      <c r="J1803" s="2" t="s">
        <v>106</v>
      </c>
      <c r="K1803" s="4">
        <v>46163.119444444441</v>
      </c>
      <c r="L1803" s="2" t="s">
        <v>24</v>
      </c>
      <c r="M1803" s="2">
        <v>5</v>
      </c>
      <c r="N1803" t="s">
        <v>8587</v>
      </c>
      <c r="O1803" s="8">
        <f t="shared" si="56"/>
        <v>16.96666666661622</v>
      </c>
      <c r="P1803" t="str">
        <f t="shared" si="57"/>
        <v>Yes</v>
      </c>
    </row>
    <row r="1804" spans="1:16" x14ac:dyDescent="0.25">
      <c r="A1804" s="2" t="s">
        <v>4901</v>
      </c>
      <c r="B1804" s="4">
        <v>46065.851388888892</v>
      </c>
      <c r="C1804" s="2" t="s">
        <v>67</v>
      </c>
      <c r="D1804" s="2" t="s">
        <v>95</v>
      </c>
      <c r="E1804" s="2" t="s">
        <v>18</v>
      </c>
      <c r="F1804" s="2" t="s">
        <v>96</v>
      </c>
      <c r="G1804" s="2" t="s">
        <v>101</v>
      </c>
      <c r="H1804" s="2" t="s">
        <v>21</v>
      </c>
      <c r="I1804" s="2">
        <v>24</v>
      </c>
      <c r="J1804" s="2" t="s">
        <v>8580</v>
      </c>
      <c r="K1804" s="4">
        <v>46068.566666666666</v>
      </c>
      <c r="L1804" s="2" t="s">
        <v>24</v>
      </c>
      <c r="M1804" s="2"/>
      <c r="N1804" t="s">
        <v>8581</v>
      </c>
      <c r="O1804" s="8">
        <f t="shared" si="56"/>
        <v>65.166666666569654</v>
      </c>
      <c r="P1804" t="str">
        <f t="shared" si="57"/>
        <v>N/A</v>
      </c>
    </row>
    <row r="1805" spans="1:16" x14ac:dyDescent="0.25">
      <c r="A1805" s="2" t="s">
        <v>4904</v>
      </c>
      <c r="B1805" s="4">
        <v>46044.803472222222</v>
      </c>
      <c r="C1805" s="2" t="s">
        <v>67</v>
      </c>
      <c r="D1805" s="2" t="s">
        <v>95</v>
      </c>
      <c r="E1805" s="2" t="s">
        <v>79</v>
      </c>
      <c r="F1805" s="2" t="s">
        <v>30</v>
      </c>
      <c r="G1805" s="2" t="s">
        <v>101</v>
      </c>
      <c r="H1805" s="2" t="s">
        <v>74</v>
      </c>
      <c r="I1805" s="2">
        <v>8</v>
      </c>
      <c r="J1805" s="2" t="s">
        <v>75</v>
      </c>
      <c r="K1805" s="4">
        <v>46044.98541666667</v>
      </c>
      <c r="L1805" s="2" t="s">
        <v>24</v>
      </c>
      <c r="M1805" s="2"/>
      <c r="N1805" t="s">
        <v>8587</v>
      </c>
      <c r="O1805" s="8">
        <f t="shared" si="56"/>
        <v>4.3666666667559184</v>
      </c>
      <c r="P1805" t="str">
        <f t="shared" si="57"/>
        <v>N/A</v>
      </c>
    </row>
    <row r="1806" spans="1:16" x14ac:dyDescent="0.25">
      <c r="A1806" s="2" t="s">
        <v>4907</v>
      </c>
      <c r="B1806" s="4">
        <v>46051.00277777778</v>
      </c>
      <c r="C1806" s="2" t="s">
        <v>67</v>
      </c>
      <c r="D1806" s="2" t="s">
        <v>95</v>
      </c>
      <c r="E1806" s="2" t="s">
        <v>18</v>
      </c>
      <c r="F1806" s="2" t="s">
        <v>113</v>
      </c>
      <c r="G1806" s="2" t="s">
        <v>183</v>
      </c>
      <c r="H1806" s="2" t="s">
        <v>21</v>
      </c>
      <c r="I1806" s="2">
        <v>24</v>
      </c>
      <c r="J1806" s="2" t="s">
        <v>106</v>
      </c>
      <c r="K1806" s="4">
        <v>46053.268750000003</v>
      </c>
      <c r="L1806" s="2" t="s">
        <v>24</v>
      </c>
      <c r="M1806" s="2">
        <v>4</v>
      </c>
      <c r="N1806" t="s">
        <v>8585</v>
      </c>
      <c r="O1806" s="8">
        <f t="shared" si="56"/>
        <v>54.383333333360497</v>
      </c>
      <c r="P1806" t="str">
        <f t="shared" si="57"/>
        <v>No</v>
      </c>
    </row>
    <row r="1807" spans="1:16" x14ac:dyDescent="0.25">
      <c r="A1807" s="2" t="s">
        <v>4910</v>
      </c>
      <c r="B1807" s="4">
        <v>46221.241666666669</v>
      </c>
      <c r="C1807" s="2" t="s">
        <v>67</v>
      </c>
      <c r="D1807" s="2" t="s">
        <v>68</v>
      </c>
      <c r="E1807" s="2" t="s">
        <v>79</v>
      </c>
      <c r="F1807" s="2" t="s">
        <v>55</v>
      </c>
      <c r="G1807" s="2" t="s">
        <v>31</v>
      </c>
      <c r="H1807" s="2" t="s">
        <v>21</v>
      </c>
      <c r="I1807" s="2">
        <v>24</v>
      </c>
      <c r="J1807" s="2" t="s">
        <v>106</v>
      </c>
      <c r="K1807" s="4">
        <v>46221.90625</v>
      </c>
      <c r="L1807" s="2" t="s">
        <v>24</v>
      </c>
      <c r="M1807" s="2">
        <v>5</v>
      </c>
      <c r="N1807" t="s">
        <v>8585</v>
      </c>
      <c r="O1807" s="8">
        <f t="shared" si="56"/>
        <v>15.949999999953434</v>
      </c>
      <c r="P1807" t="str">
        <f t="shared" si="57"/>
        <v>Yes</v>
      </c>
    </row>
    <row r="1808" spans="1:16" x14ac:dyDescent="0.25">
      <c r="A1808" s="2" t="s">
        <v>4913</v>
      </c>
      <c r="B1808" s="4">
        <v>46117.706250000003</v>
      </c>
      <c r="C1808" s="2" t="s">
        <v>53</v>
      </c>
      <c r="D1808" s="2" t="s">
        <v>54</v>
      </c>
      <c r="E1808" s="2" t="s">
        <v>85</v>
      </c>
      <c r="F1808" s="2" t="s">
        <v>30</v>
      </c>
      <c r="G1808" s="2" t="s">
        <v>31</v>
      </c>
      <c r="H1808" s="2" t="s">
        <v>21</v>
      </c>
      <c r="I1808" s="2">
        <v>24</v>
      </c>
      <c r="J1808" s="2" t="s">
        <v>106</v>
      </c>
      <c r="K1808" s="4">
        <v>46117.87222222222</v>
      </c>
      <c r="L1808" s="2" t="s">
        <v>24</v>
      </c>
      <c r="M1808" s="2">
        <v>3</v>
      </c>
      <c r="N1808" t="s">
        <v>8589</v>
      </c>
      <c r="O1808" s="8">
        <f t="shared" si="56"/>
        <v>3.9833333332207985</v>
      </c>
      <c r="P1808" t="str">
        <f t="shared" si="57"/>
        <v>Yes</v>
      </c>
    </row>
    <row r="1809" spans="1:16" x14ac:dyDescent="0.25">
      <c r="A1809" s="2" t="s">
        <v>4916</v>
      </c>
      <c r="B1809" s="4">
        <v>46119.388888888891</v>
      </c>
      <c r="C1809" s="2" t="s">
        <v>67</v>
      </c>
      <c r="D1809" s="2" t="s">
        <v>68</v>
      </c>
      <c r="E1809" s="2" t="s">
        <v>85</v>
      </c>
      <c r="F1809" s="2" t="s">
        <v>55</v>
      </c>
      <c r="G1809" s="2" t="s">
        <v>183</v>
      </c>
      <c r="H1809" s="2" t="s">
        <v>32</v>
      </c>
      <c r="I1809" s="2">
        <v>48</v>
      </c>
      <c r="J1809" s="2" t="s">
        <v>8580</v>
      </c>
      <c r="K1809" s="4">
        <v>46120.70208333333</v>
      </c>
      <c r="L1809" s="2" t="s">
        <v>24</v>
      </c>
      <c r="M1809" s="2"/>
      <c r="N1809" t="s">
        <v>8582</v>
      </c>
      <c r="O1809" s="8">
        <f t="shared" si="56"/>
        <v>31.516666666546371</v>
      </c>
      <c r="P1809" t="str">
        <f t="shared" si="57"/>
        <v>N/A</v>
      </c>
    </row>
    <row r="1810" spans="1:16" x14ac:dyDescent="0.25">
      <c r="A1810" s="2" t="s">
        <v>4919</v>
      </c>
      <c r="B1810" s="4">
        <v>46132.378472222219</v>
      </c>
      <c r="C1810" s="2" t="s">
        <v>67</v>
      </c>
      <c r="D1810" s="2" t="s">
        <v>95</v>
      </c>
      <c r="E1810" s="2" t="s">
        <v>85</v>
      </c>
      <c r="F1810" s="2" t="s">
        <v>55</v>
      </c>
      <c r="G1810" s="2" t="s">
        <v>110</v>
      </c>
      <c r="H1810" s="2" t="s">
        <v>21</v>
      </c>
      <c r="I1810" s="2">
        <v>24</v>
      </c>
      <c r="J1810" s="2" t="s">
        <v>75</v>
      </c>
      <c r="K1810" s="4" t="s">
        <v>8590</v>
      </c>
      <c r="L1810" s="2" t="s">
        <v>24</v>
      </c>
      <c r="M1810" s="2"/>
      <c r="N1810" t="s">
        <v>8586</v>
      </c>
      <c r="O1810" s="8" t="str">
        <f t="shared" si="56"/>
        <v/>
      </c>
      <c r="P1810" t="str">
        <f t="shared" si="57"/>
        <v>N/A</v>
      </c>
    </row>
    <row r="1811" spans="1:16" x14ac:dyDescent="0.25">
      <c r="A1811" s="2" t="s">
        <v>4921</v>
      </c>
      <c r="B1811" s="4">
        <v>46112.13958333333</v>
      </c>
      <c r="C1811" s="2" t="s">
        <v>67</v>
      </c>
      <c r="D1811" s="2" t="s">
        <v>68</v>
      </c>
      <c r="E1811" s="2" t="s">
        <v>38</v>
      </c>
      <c r="F1811" s="2" t="s">
        <v>55</v>
      </c>
      <c r="G1811" s="2" t="s">
        <v>183</v>
      </c>
      <c r="H1811" s="2" t="s">
        <v>32</v>
      </c>
      <c r="I1811" s="2">
        <v>48</v>
      </c>
      <c r="J1811" s="2" t="s">
        <v>106</v>
      </c>
      <c r="K1811" s="4">
        <v>46116.995138888888</v>
      </c>
      <c r="L1811" s="2" t="s">
        <v>24</v>
      </c>
      <c r="M1811" s="2">
        <v>4</v>
      </c>
      <c r="N1811" t="s">
        <v>8583</v>
      </c>
      <c r="O1811" s="8">
        <f t="shared" si="56"/>
        <v>116.53333333338378</v>
      </c>
      <c r="P1811" t="str">
        <f t="shared" si="57"/>
        <v>No</v>
      </c>
    </row>
    <row r="1812" spans="1:16" x14ac:dyDescent="0.25">
      <c r="A1812" s="2" t="s">
        <v>4924</v>
      </c>
      <c r="B1812" s="4">
        <v>46201.638194444444</v>
      </c>
      <c r="C1812" s="2" t="s">
        <v>67</v>
      </c>
      <c r="D1812" s="2" t="s">
        <v>68</v>
      </c>
      <c r="E1812" s="2" t="s">
        <v>90</v>
      </c>
      <c r="F1812" s="2" t="s">
        <v>96</v>
      </c>
      <c r="G1812" s="2" t="s">
        <v>183</v>
      </c>
      <c r="H1812" s="2" t="s">
        <v>21</v>
      </c>
      <c r="I1812" s="2">
        <v>24</v>
      </c>
      <c r="J1812" s="2" t="s">
        <v>8580</v>
      </c>
      <c r="K1812" s="4">
        <v>46201.979166666664</v>
      </c>
      <c r="L1812" s="2" t="s">
        <v>24</v>
      </c>
      <c r="M1812" s="2"/>
      <c r="N1812" t="s">
        <v>8586</v>
      </c>
      <c r="O1812" s="8">
        <f t="shared" si="56"/>
        <v>8.1833333332906477</v>
      </c>
      <c r="P1812" t="str">
        <f t="shared" si="57"/>
        <v>N/A</v>
      </c>
    </row>
    <row r="1813" spans="1:16" x14ac:dyDescent="0.25">
      <c r="A1813" s="2" t="s">
        <v>4927</v>
      </c>
      <c r="B1813" s="4">
        <v>46221.129166666666</v>
      </c>
      <c r="C1813" s="2" t="s">
        <v>67</v>
      </c>
      <c r="D1813" s="2" t="s">
        <v>95</v>
      </c>
      <c r="E1813" s="2" t="s">
        <v>85</v>
      </c>
      <c r="F1813" s="2" t="s">
        <v>96</v>
      </c>
      <c r="G1813" s="2" t="s">
        <v>211</v>
      </c>
      <c r="H1813" s="2" t="s">
        <v>21</v>
      </c>
      <c r="I1813" s="2">
        <v>24</v>
      </c>
      <c r="J1813" s="2" t="s">
        <v>11</v>
      </c>
      <c r="K1813" s="4" t="s">
        <v>8590</v>
      </c>
      <c r="L1813" s="2" t="s">
        <v>92</v>
      </c>
      <c r="M1813" s="2"/>
      <c r="N1813" t="s">
        <v>8587</v>
      </c>
      <c r="O1813" s="8" t="str">
        <f t="shared" si="56"/>
        <v/>
      </c>
      <c r="P1813" t="str">
        <f t="shared" si="57"/>
        <v>N/A</v>
      </c>
    </row>
    <row r="1814" spans="1:16" x14ac:dyDescent="0.25">
      <c r="A1814" s="2" t="s">
        <v>4929</v>
      </c>
      <c r="B1814" s="4">
        <v>46254.624305555553</v>
      </c>
      <c r="C1814" s="2" t="s">
        <v>16</v>
      </c>
      <c r="D1814" s="2" t="s">
        <v>84</v>
      </c>
      <c r="E1814" s="2" t="s">
        <v>46</v>
      </c>
      <c r="F1814" s="2" t="s">
        <v>113</v>
      </c>
      <c r="G1814" s="2" t="s">
        <v>183</v>
      </c>
      <c r="H1814" s="2" t="s">
        <v>74</v>
      </c>
      <c r="I1814" s="2">
        <v>8</v>
      </c>
      <c r="J1814" s="2" t="s">
        <v>287</v>
      </c>
      <c r="K1814" s="4" t="s">
        <v>8590</v>
      </c>
      <c r="L1814" s="2" t="s">
        <v>24</v>
      </c>
      <c r="M1814" s="2"/>
      <c r="N1814" t="s">
        <v>8589</v>
      </c>
      <c r="O1814" s="8" t="str">
        <f t="shared" si="56"/>
        <v/>
      </c>
      <c r="P1814" t="str">
        <f t="shared" si="57"/>
        <v>N/A</v>
      </c>
    </row>
    <row r="1815" spans="1:16" x14ac:dyDescent="0.25">
      <c r="A1815" s="2" t="s">
        <v>4931</v>
      </c>
      <c r="B1815" s="4">
        <v>46122.259027777778</v>
      </c>
      <c r="C1815" s="2" t="s">
        <v>16</v>
      </c>
      <c r="D1815" s="2" t="s">
        <v>17</v>
      </c>
      <c r="E1815" s="2" t="s">
        <v>46</v>
      </c>
      <c r="F1815" s="2" t="s">
        <v>113</v>
      </c>
      <c r="G1815" s="2" t="s">
        <v>211</v>
      </c>
      <c r="H1815" s="2" t="s">
        <v>74</v>
      </c>
      <c r="I1815" s="2">
        <v>8</v>
      </c>
      <c r="J1815" s="2" t="s">
        <v>75</v>
      </c>
      <c r="K1815" s="4">
        <v>46122.284722222219</v>
      </c>
      <c r="L1815" s="2" t="s">
        <v>24</v>
      </c>
      <c r="M1815" s="2">
        <v>4</v>
      </c>
      <c r="N1815" t="s">
        <v>8582</v>
      </c>
      <c r="O1815" s="8">
        <f t="shared" si="56"/>
        <v>0.61666666658129543</v>
      </c>
      <c r="P1815" t="str">
        <f t="shared" si="57"/>
        <v>N/A</v>
      </c>
    </row>
    <row r="1816" spans="1:16" x14ac:dyDescent="0.25">
      <c r="A1816" s="2" t="s">
        <v>4934</v>
      </c>
      <c r="B1816" s="4">
        <v>46102.990972222222</v>
      </c>
      <c r="C1816" s="2" t="s">
        <v>53</v>
      </c>
      <c r="D1816" s="2" t="s">
        <v>61</v>
      </c>
      <c r="E1816" s="2" t="s">
        <v>38</v>
      </c>
      <c r="F1816" s="2" t="s">
        <v>96</v>
      </c>
      <c r="G1816" s="2" t="s">
        <v>31</v>
      </c>
      <c r="H1816" s="2" t="s">
        <v>74</v>
      </c>
      <c r="I1816" s="2">
        <v>8</v>
      </c>
      <c r="J1816" s="2" t="s">
        <v>106</v>
      </c>
      <c r="K1816" s="4">
        <v>46103.258333333331</v>
      </c>
      <c r="L1816" s="2" t="s">
        <v>24</v>
      </c>
      <c r="M1816" s="2">
        <v>1</v>
      </c>
      <c r="N1816" t="s">
        <v>8587</v>
      </c>
      <c r="O1816" s="8">
        <f t="shared" si="56"/>
        <v>6.4166666666278616</v>
      </c>
      <c r="P1816" t="str">
        <f t="shared" si="57"/>
        <v>Yes</v>
      </c>
    </row>
    <row r="1817" spans="1:16" x14ac:dyDescent="0.25">
      <c r="A1817" s="2" t="s">
        <v>4937</v>
      </c>
      <c r="B1817" s="4">
        <v>46138.220138888886</v>
      </c>
      <c r="C1817" s="2" t="s">
        <v>67</v>
      </c>
      <c r="D1817" s="2" t="s">
        <v>95</v>
      </c>
      <c r="E1817" s="2" t="s">
        <v>18</v>
      </c>
      <c r="F1817" s="2" t="s">
        <v>55</v>
      </c>
      <c r="G1817" s="2" t="s">
        <v>101</v>
      </c>
      <c r="H1817" s="2" t="s">
        <v>80</v>
      </c>
      <c r="I1817" s="2">
        <v>4</v>
      </c>
      <c r="J1817" s="2" t="s">
        <v>75</v>
      </c>
      <c r="K1817" s="4">
        <v>46138.711111111108</v>
      </c>
      <c r="L1817" s="2" t="s">
        <v>24</v>
      </c>
      <c r="M1817" s="2">
        <v>3</v>
      </c>
      <c r="N1817" t="s">
        <v>8582</v>
      </c>
      <c r="O1817" s="8">
        <f t="shared" si="56"/>
        <v>11.783333333325572</v>
      </c>
      <c r="P1817" t="str">
        <f t="shared" si="57"/>
        <v>N/A</v>
      </c>
    </row>
    <row r="1818" spans="1:16" x14ac:dyDescent="0.25">
      <c r="A1818" s="2" t="s">
        <v>4940</v>
      </c>
      <c r="B1818" s="4">
        <v>46202.732638888891</v>
      </c>
      <c r="C1818" s="2" t="s">
        <v>67</v>
      </c>
      <c r="D1818" s="2" t="s">
        <v>68</v>
      </c>
      <c r="E1818" s="2" t="s">
        <v>148</v>
      </c>
      <c r="F1818" s="2" t="s">
        <v>55</v>
      </c>
      <c r="G1818" s="2" t="s">
        <v>101</v>
      </c>
      <c r="H1818" s="2" t="s">
        <v>80</v>
      </c>
      <c r="I1818" s="2">
        <v>4</v>
      </c>
      <c r="J1818" s="2" t="s">
        <v>106</v>
      </c>
      <c r="K1818" s="4">
        <v>46203.015972222223</v>
      </c>
      <c r="L1818" s="2" t="s">
        <v>24</v>
      </c>
      <c r="M1818" s="2"/>
      <c r="N1818" t="s">
        <v>8585</v>
      </c>
      <c r="O1818" s="8">
        <f t="shared" si="56"/>
        <v>6.7999999999883585</v>
      </c>
      <c r="P1818" t="str">
        <f t="shared" si="57"/>
        <v>No</v>
      </c>
    </row>
    <row r="1819" spans="1:16" x14ac:dyDescent="0.25">
      <c r="A1819" s="2" t="s">
        <v>4943</v>
      </c>
      <c r="B1819" s="4">
        <v>46195.740277777775</v>
      </c>
      <c r="C1819" s="2" t="s">
        <v>28</v>
      </c>
      <c r="D1819" s="2" t="s">
        <v>100</v>
      </c>
      <c r="E1819" s="2" t="s">
        <v>79</v>
      </c>
      <c r="F1819" s="2" t="s">
        <v>113</v>
      </c>
      <c r="G1819" s="2" t="s">
        <v>110</v>
      </c>
      <c r="H1819" s="2" t="s">
        <v>21</v>
      </c>
      <c r="I1819" s="2">
        <v>24</v>
      </c>
      <c r="J1819" s="2" t="s">
        <v>11</v>
      </c>
      <c r="K1819" s="4" t="s">
        <v>8590</v>
      </c>
      <c r="L1819" s="2" t="s">
        <v>92</v>
      </c>
      <c r="M1819" s="2"/>
      <c r="N1819" t="s">
        <v>8581</v>
      </c>
      <c r="O1819" s="8" t="str">
        <f t="shared" si="56"/>
        <v/>
      </c>
      <c r="P1819" t="str">
        <f t="shared" si="57"/>
        <v>N/A</v>
      </c>
    </row>
    <row r="1820" spans="1:16" x14ac:dyDescent="0.25">
      <c r="A1820" s="2" t="s">
        <v>4945</v>
      </c>
      <c r="B1820" s="4">
        <v>46115.095138888886</v>
      </c>
      <c r="C1820" s="2" t="s">
        <v>53</v>
      </c>
      <c r="D1820" s="2" t="s">
        <v>54</v>
      </c>
      <c r="E1820" s="2" t="s">
        <v>79</v>
      </c>
      <c r="F1820" s="2" t="s">
        <v>55</v>
      </c>
      <c r="G1820" s="2" t="s">
        <v>183</v>
      </c>
      <c r="H1820" s="2" t="s">
        <v>21</v>
      </c>
      <c r="I1820" s="2">
        <v>24</v>
      </c>
      <c r="J1820" s="2" t="s">
        <v>149</v>
      </c>
      <c r="K1820" s="4" t="s">
        <v>8590</v>
      </c>
      <c r="L1820" s="2" t="s">
        <v>24</v>
      </c>
      <c r="M1820" s="2"/>
      <c r="N1820" t="s">
        <v>8589</v>
      </c>
      <c r="O1820" s="8" t="str">
        <f t="shared" si="56"/>
        <v/>
      </c>
      <c r="P1820" t="str">
        <f t="shared" si="57"/>
        <v>N/A</v>
      </c>
    </row>
    <row r="1821" spans="1:16" x14ac:dyDescent="0.25">
      <c r="A1821" s="2" t="s">
        <v>4947</v>
      </c>
      <c r="B1821" s="4">
        <v>46228.085416666669</v>
      </c>
      <c r="C1821" s="2" t="s">
        <v>16</v>
      </c>
      <c r="D1821" s="2" t="s">
        <v>17</v>
      </c>
      <c r="E1821" s="2" t="s">
        <v>46</v>
      </c>
      <c r="F1821" s="2" t="s">
        <v>113</v>
      </c>
      <c r="G1821" s="2" t="s">
        <v>211</v>
      </c>
      <c r="H1821" s="2" t="s">
        <v>21</v>
      </c>
      <c r="I1821" s="2">
        <v>24</v>
      </c>
      <c r="J1821" s="2" t="s">
        <v>106</v>
      </c>
      <c r="K1821" s="4">
        <v>46228.677083333336</v>
      </c>
      <c r="L1821" s="2" t="s">
        <v>24</v>
      </c>
      <c r="M1821" s="2"/>
      <c r="N1821" t="s">
        <v>8583</v>
      </c>
      <c r="O1821" s="8">
        <f t="shared" si="56"/>
        <v>14.200000000011642</v>
      </c>
      <c r="P1821" t="str">
        <f t="shared" si="57"/>
        <v>Yes</v>
      </c>
    </row>
    <row r="1822" spans="1:16" x14ac:dyDescent="0.25">
      <c r="A1822" s="2" t="s">
        <v>4950</v>
      </c>
      <c r="B1822" s="4">
        <v>46259.473611111112</v>
      </c>
      <c r="C1822" s="2" t="s">
        <v>16</v>
      </c>
      <c r="D1822" s="2" t="s">
        <v>84</v>
      </c>
      <c r="E1822" s="2" t="s">
        <v>38</v>
      </c>
      <c r="F1822" s="2" t="s">
        <v>55</v>
      </c>
      <c r="G1822" s="2" t="s">
        <v>110</v>
      </c>
      <c r="H1822" s="2" t="s">
        <v>32</v>
      </c>
      <c r="I1822" s="2">
        <v>48</v>
      </c>
      <c r="J1822" s="2" t="s">
        <v>75</v>
      </c>
      <c r="K1822" s="4">
        <v>46260.547222222223</v>
      </c>
      <c r="L1822" s="2" t="s">
        <v>24</v>
      </c>
      <c r="M1822" s="2"/>
      <c r="N1822" t="s">
        <v>8589</v>
      </c>
      <c r="O1822" s="8">
        <f t="shared" si="56"/>
        <v>25.766666666662786</v>
      </c>
      <c r="P1822" t="str">
        <f t="shared" si="57"/>
        <v>N/A</v>
      </c>
    </row>
    <row r="1823" spans="1:16" x14ac:dyDescent="0.25">
      <c r="A1823" s="2" t="s">
        <v>4953</v>
      </c>
      <c r="B1823" s="4">
        <v>46230.097222222219</v>
      </c>
      <c r="C1823" s="2" t="s">
        <v>53</v>
      </c>
      <c r="D1823" s="2" t="s">
        <v>61</v>
      </c>
      <c r="E1823" s="2" t="s">
        <v>85</v>
      </c>
      <c r="F1823" s="2" t="s">
        <v>55</v>
      </c>
      <c r="G1823" s="2" t="s">
        <v>183</v>
      </c>
      <c r="H1823" s="2" t="s">
        <v>32</v>
      </c>
      <c r="I1823" s="2">
        <v>48</v>
      </c>
      <c r="J1823" s="2" t="s">
        <v>11</v>
      </c>
      <c r="K1823" s="4" t="s">
        <v>8590</v>
      </c>
      <c r="L1823" s="2" t="s">
        <v>92</v>
      </c>
      <c r="M1823" s="2"/>
      <c r="N1823" t="s">
        <v>8588</v>
      </c>
      <c r="O1823" s="8" t="str">
        <f t="shared" si="56"/>
        <v/>
      </c>
      <c r="P1823" t="str">
        <f t="shared" si="57"/>
        <v>N/A</v>
      </c>
    </row>
    <row r="1824" spans="1:16" x14ac:dyDescent="0.25">
      <c r="A1824" s="2" t="s">
        <v>4955</v>
      </c>
      <c r="B1824" s="4">
        <v>46246.068055555559</v>
      </c>
      <c r="C1824" s="2" t="s">
        <v>53</v>
      </c>
      <c r="D1824" s="2" t="s">
        <v>54</v>
      </c>
      <c r="E1824" s="2" t="s">
        <v>79</v>
      </c>
      <c r="F1824" s="2" t="s">
        <v>30</v>
      </c>
      <c r="G1824" s="2" t="s">
        <v>31</v>
      </c>
      <c r="H1824" s="2" t="s">
        <v>21</v>
      </c>
      <c r="I1824" s="2">
        <v>24</v>
      </c>
      <c r="J1824" s="2" t="s">
        <v>106</v>
      </c>
      <c r="K1824" s="4">
        <v>46246.272222222222</v>
      </c>
      <c r="L1824" s="2" t="s">
        <v>24</v>
      </c>
      <c r="M1824" s="2"/>
      <c r="N1824" t="s">
        <v>8586</v>
      </c>
      <c r="O1824" s="8">
        <f t="shared" si="56"/>
        <v>4.8999999999068677</v>
      </c>
      <c r="P1824" t="str">
        <f t="shared" si="57"/>
        <v>Yes</v>
      </c>
    </row>
    <row r="1825" spans="1:16" x14ac:dyDescent="0.25">
      <c r="A1825" s="2" t="s">
        <v>4958</v>
      </c>
      <c r="B1825" s="4">
        <v>46065.155555555553</v>
      </c>
      <c r="C1825" s="2" t="s">
        <v>28</v>
      </c>
      <c r="D1825" s="2" t="s">
        <v>37</v>
      </c>
      <c r="E1825" s="2" t="s">
        <v>90</v>
      </c>
      <c r="F1825" s="2" t="s">
        <v>96</v>
      </c>
      <c r="G1825" s="2" t="s">
        <v>211</v>
      </c>
      <c r="H1825" s="2" t="s">
        <v>74</v>
      </c>
      <c r="I1825" s="2">
        <v>8</v>
      </c>
      <c r="J1825" s="2" t="s">
        <v>11</v>
      </c>
      <c r="K1825" s="4" t="s">
        <v>8590</v>
      </c>
      <c r="L1825" s="2" t="s">
        <v>92</v>
      </c>
      <c r="M1825" s="2"/>
      <c r="N1825" t="s">
        <v>8588</v>
      </c>
      <c r="O1825" s="8" t="str">
        <f t="shared" si="56"/>
        <v/>
      </c>
      <c r="P1825" t="str">
        <f t="shared" si="57"/>
        <v>N/A</v>
      </c>
    </row>
    <row r="1826" spans="1:16" x14ac:dyDescent="0.25">
      <c r="A1826" s="2" t="s">
        <v>4960</v>
      </c>
      <c r="B1826" s="4">
        <v>46114.701388888891</v>
      </c>
      <c r="C1826" s="2" t="s">
        <v>16</v>
      </c>
      <c r="D1826" s="2" t="s">
        <v>84</v>
      </c>
      <c r="E1826" s="2" t="s">
        <v>85</v>
      </c>
      <c r="F1826" s="2" t="s">
        <v>30</v>
      </c>
      <c r="G1826" s="2" t="s">
        <v>31</v>
      </c>
      <c r="H1826" s="2" t="s">
        <v>21</v>
      </c>
      <c r="I1826" s="2">
        <v>24</v>
      </c>
      <c r="J1826" s="2" t="s">
        <v>75</v>
      </c>
      <c r="K1826" s="4">
        <v>46115.281944444447</v>
      </c>
      <c r="L1826" s="2" t="s">
        <v>24</v>
      </c>
      <c r="M1826" s="2">
        <v>5</v>
      </c>
      <c r="N1826" t="s">
        <v>8586</v>
      </c>
      <c r="O1826" s="8">
        <f t="shared" si="56"/>
        <v>13.933333333348855</v>
      </c>
      <c r="P1826" t="str">
        <f t="shared" si="57"/>
        <v>N/A</v>
      </c>
    </row>
    <row r="1827" spans="1:16" x14ac:dyDescent="0.25">
      <c r="A1827" s="2" t="s">
        <v>4963</v>
      </c>
      <c r="B1827" s="4">
        <v>46253.841666666667</v>
      </c>
      <c r="C1827" s="2" t="s">
        <v>28</v>
      </c>
      <c r="D1827" s="2" t="s">
        <v>37</v>
      </c>
      <c r="E1827" s="2" t="s">
        <v>46</v>
      </c>
      <c r="F1827" s="2" t="s">
        <v>113</v>
      </c>
      <c r="G1827" s="2" t="s">
        <v>101</v>
      </c>
      <c r="H1827" s="2" t="s">
        <v>32</v>
      </c>
      <c r="I1827" s="2">
        <v>48</v>
      </c>
      <c r="J1827" s="2" t="s">
        <v>149</v>
      </c>
      <c r="K1827" s="4" t="s">
        <v>8590</v>
      </c>
      <c r="L1827" s="2" t="s">
        <v>24</v>
      </c>
      <c r="M1827" s="2"/>
      <c r="N1827" t="s">
        <v>8587</v>
      </c>
      <c r="O1827" s="8" t="str">
        <f t="shared" si="56"/>
        <v/>
      </c>
      <c r="P1827" t="str">
        <f t="shared" si="57"/>
        <v>N/A</v>
      </c>
    </row>
    <row r="1828" spans="1:16" x14ac:dyDescent="0.25">
      <c r="A1828" s="2" t="s">
        <v>4965</v>
      </c>
      <c r="B1828" s="4">
        <v>46114.588888888888</v>
      </c>
      <c r="C1828" s="2" t="s">
        <v>67</v>
      </c>
      <c r="D1828" s="2" t="s">
        <v>68</v>
      </c>
      <c r="E1828" s="2" t="s">
        <v>38</v>
      </c>
      <c r="F1828" s="2" t="s">
        <v>30</v>
      </c>
      <c r="G1828" s="2" t="s">
        <v>110</v>
      </c>
      <c r="H1828" s="2" t="s">
        <v>74</v>
      </c>
      <c r="I1828" s="2">
        <v>8</v>
      </c>
      <c r="J1828" s="2" t="s">
        <v>106</v>
      </c>
      <c r="K1828" s="4">
        <v>46115.45416666667</v>
      </c>
      <c r="L1828" s="2" t="s">
        <v>24</v>
      </c>
      <c r="M1828" s="2">
        <v>5</v>
      </c>
      <c r="N1828" t="s">
        <v>8586</v>
      </c>
      <c r="O1828" s="8">
        <f t="shared" si="56"/>
        <v>20.766666666779201</v>
      </c>
      <c r="P1828" t="str">
        <f t="shared" si="57"/>
        <v>No</v>
      </c>
    </row>
    <row r="1829" spans="1:16" x14ac:dyDescent="0.25">
      <c r="A1829" s="2" t="s">
        <v>4968</v>
      </c>
      <c r="B1829" s="4">
        <v>46165.495138888888</v>
      </c>
      <c r="C1829" s="2" t="s">
        <v>67</v>
      </c>
      <c r="D1829" s="2" t="s">
        <v>95</v>
      </c>
      <c r="E1829" s="2" t="s">
        <v>79</v>
      </c>
      <c r="F1829" s="2" t="s">
        <v>30</v>
      </c>
      <c r="G1829" s="2" t="s">
        <v>179</v>
      </c>
      <c r="H1829" s="2" t="s">
        <v>32</v>
      </c>
      <c r="I1829" s="2">
        <v>48</v>
      </c>
      <c r="J1829" s="2" t="s">
        <v>75</v>
      </c>
      <c r="K1829" s="4">
        <v>46166.806944444441</v>
      </c>
      <c r="L1829" s="2" t="s">
        <v>92</v>
      </c>
      <c r="M1829" s="2">
        <v>1</v>
      </c>
      <c r="N1829" t="s">
        <v>8588</v>
      </c>
      <c r="O1829" s="8">
        <f t="shared" si="56"/>
        <v>31.483333333279006</v>
      </c>
      <c r="P1829" t="str">
        <f t="shared" si="57"/>
        <v>N/A</v>
      </c>
    </row>
    <row r="1830" spans="1:16" x14ac:dyDescent="0.25">
      <c r="A1830" s="2" t="s">
        <v>4970</v>
      </c>
      <c r="B1830" s="4">
        <v>46128.371527777781</v>
      </c>
      <c r="C1830" s="2" t="s">
        <v>28</v>
      </c>
      <c r="D1830" s="2" t="s">
        <v>100</v>
      </c>
      <c r="E1830" s="2" t="s">
        <v>38</v>
      </c>
      <c r="F1830" s="2" t="s">
        <v>113</v>
      </c>
      <c r="G1830" s="2" t="s">
        <v>211</v>
      </c>
      <c r="H1830" s="2" t="s">
        <v>21</v>
      </c>
      <c r="I1830" s="2">
        <v>24</v>
      </c>
      <c r="J1830" s="2" t="s">
        <v>149</v>
      </c>
      <c r="K1830" s="4" t="s">
        <v>8590</v>
      </c>
      <c r="L1830" s="2" t="s">
        <v>24</v>
      </c>
      <c r="M1830" s="2"/>
      <c r="N1830" t="s">
        <v>8585</v>
      </c>
      <c r="O1830" s="8" t="str">
        <f t="shared" si="56"/>
        <v/>
      </c>
      <c r="P1830" t="str">
        <f t="shared" si="57"/>
        <v>N/A</v>
      </c>
    </row>
    <row r="1831" spans="1:16" x14ac:dyDescent="0.25">
      <c r="A1831" s="2" t="s">
        <v>4972</v>
      </c>
      <c r="B1831" s="4">
        <v>46150.517361111109</v>
      </c>
      <c r="C1831" s="2" t="s">
        <v>67</v>
      </c>
      <c r="D1831" s="2" t="s">
        <v>95</v>
      </c>
      <c r="E1831" s="2" t="s">
        <v>85</v>
      </c>
      <c r="F1831" s="2" t="s">
        <v>113</v>
      </c>
      <c r="G1831" s="2" t="s">
        <v>183</v>
      </c>
      <c r="H1831" s="2" t="s">
        <v>74</v>
      </c>
      <c r="I1831" s="2">
        <v>8</v>
      </c>
      <c r="J1831" s="2" t="s">
        <v>149</v>
      </c>
      <c r="K1831" s="4" t="s">
        <v>8590</v>
      </c>
      <c r="L1831" s="2" t="s">
        <v>24</v>
      </c>
      <c r="M1831" s="2"/>
      <c r="N1831" t="s">
        <v>8581</v>
      </c>
      <c r="O1831" s="8" t="str">
        <f t="shared" si="56"/>
        <v/>
      </c>
      <c r="P1831" t="str">
        <f t="shared" si="57"/>
        <v>N/A</v>
      </c>
    </row>
    <row r="1832" spans="1:16" x14ac:dyDescent="0.25">
      <c r="A1832" s="2" t="s">
        <v>4974</v>
      </c>
      <c r="B1832" s="4">
        <v>46252.220138888886</v>
      </c>
      <c r="C1832" s="2" t="s">
        <v>67</v>
      </c>
      <c r="D1832" s="2" t="s">
        <v>68</v>
      </c>
      <c r="E1832" s="2" t="s">
        <v>85</v>
      </c>
      <c r="F1832" s="2" t="s">
        <v>113</v>
      </c>
      <c r="G1832" s="2" t="s">
        <v>211</v>
      </c>
      <c r="H1832" s="2" t="s">
        <v>74</v>
      </c>
      <c r="I1832" s="2">
        <v>8</v>
      </c>
      <c r="J1832" s="2" t="s">
        <v>106</v>
      </c>
      <c r="K1832" s="4">
        <v>46252.597916666666</v>
      </c>
      <c r="L1832" s="2" t="s">
        <v>24</v>
      </c>
      <c r="M1832" s="2"/>
      <c r="N1832" t="s">
        <v>8586</v>
      </c>
      <c r="O1832" s="8">
        <f t="shared" si="56"/>
        <v>9.0666666667093523</v>
      </c>
      <c r="P1832" t="str">
        <f t="shared" si="57"/>
        <v>No</v>
      </c>
    </row>
    <row r="1833" spans="1:16" x14ac:dyDescent="0.25">
      <c r="A1833" s="2" t="s">
        <v>4977</v>
      </c>
      <c r="B1833" s="4">
        <v>46218.614583333336</v>
      </c>
      <c r="C1833" s="2" t="s">
        <v>16</v>
      </c>
      <c r="D1833" s="2" t="s">
        <v>84</v>
      </c>
      <c r="E1833" s="2" t="s">
        <v>46</v>
      </c>
      <c r="F1833" s="2" t="s">
        <v>96</v>
      </c>
      <c r="G1833" s="2" t="s">
        <v>110</v>
      </c>
      <c r="H1833" s="2" t="s">
        <v>80</v>
      </c>
      <c r="I1833" s="2">
        <v>4</v>
      </c>
      <c r="J1833" s="2" t="s">
        <v>106</v>
      </c>
      <c r="K1833" s="4">
        <v>46218.906944444447</v>
      </c>
      <c r="L1833" s="2" t="s">
        <v>24</v>
      </c>
      <c r="M1833" s="2">
        <v>3</v>
      </c>
      <c r="N1833" t="s">
        <v>8585</v>
      </c>
      <c r="O1833" s="8">
        <f t="shared" si="56"/>
        <v>7.0166666666627862</v>
      </c>
      <c r="P1833" t="str">
        <f t="shared" si="57"/>
        <v>No</v>
      </c>
    </row>
    <row r="1834" spans="1:16" x14ac:dyDescent="0.25">
      <c r="A1834" s="2" t="s">
        <v>4980</v>
      </c>
      <c r="B1834" s="4">
        <v>46177.848611111112</v>
      </c>
      <c r="C1834" s="2" t="s">
        <v>16</v>
      </c>
      <c r="D1834" s="2" t="s">
        <v>17</v>
      </c>
      <c r="E1834" s="2" t="s">
        <v>18</v>
      </c>
      <c r="F1834" s="2" t="s">
        <v>113</v>
      </c>
      <c r="G1834" s="2" t="s">
        <v>211</v>
      </c>
      <c r="H1834" s="2" t="s">
        <v>21</v>
      </c>
      <c r="I1834" s="2">
        <v>24</v>
      </c>
      <c r="J1834" s="2" t="s">
        <v>75</v>
      </c>
      <c r="K1834" s="4">
        <v>46178.273611111108</v>
      </c>
      <c r="L1834" s="2" t="s">
        <v>24</v>
      </c>
      <c r="M1834" s="2">
        <v>5</v>
      </c>
      <c r="N1834" t="s">
        <v>8585</v>
      </c>
      <c r="O1834" s="8">
        <f t="shared" si="56"/>
        <v>10.199999999895226</v>
      </c>
      <c r="P1834" t="str">
        <f t="shared" si="57"/>
        <v>N/A</v>
      </c>
    </row>
    <row r="1835" spans="1:16" x14ac:dyDescent="0.25">
      <c r="A1835" s="2" t="s">
        <v>4983</v>
      </c>
      <c r="B1835" s="4">
        <v>46082.802777777775</v>
      </c>
      <c r="C1835" s="2" t="s">
        <v>16</v>
      </c>
      <c r="D1835" s="2" t="s">
        <v>84</v>
      </c>
      <c r="E1835" s="2" t="s">
        <v>85</v>
      </c>
      <c r="F1835" s="2" t="s">
        <v>30</v>
      </c>
      <c r="G1835" s="2" t="s">
        <v>211</v>
      </c>
      <c r="H1835" s="2" t="s">
        <v>74</v>
      </c>
      <c r="I1835" s="2">
        <v>8</v>
      </c>
      <c r="J1835" s="2" t="s">
        <v>149</v>
      </c>
      <c r="K1835" s="4" t="s">
        <v>8590</v>
      </c>
      <c r="L1835" s="2" t="s">
        <v>24</v>
      </c>
      <c r="M1835" s="2"/>
      <c r="N1835" t="s">
        <v>8587</v>
      </c>
      <c r="O1835" s="8" t="str">
        <f t="shared" si="56"/>
        <v/>
      </c>
      <c r="P1835" t="str">
        <f t="shared" si="57"/>
        <v>N/A</v>
      </c>
    </row>
    <row r="1836" spans="1:16" x14ac:dyDescent="0.25">
      <c r="A1836" s="2" t="s">
        <v>4985</v>
      </c>
      <c r="B1836" s="4">
        <v>46200.873611111114</v>
      </c>
      <c r="C1836" s="2" t="s">
        <v>67</v>
      </c>
      <c r="D1836" s="2" t="s">
        <v>68</v>
      </c>
      <c r="E1836" s="2" t="s">
        <v>38</v>
      </c>
      <c r="F1836" s="2" t="s">
        <v>96</v>
      </c>
      <c r="G1836" s="2" t="s">
        <v>211</v>
      </c>
      <c r="H1836" s="2" t="s">
        <v>32</v>
      </c>
      <c r="I1836" s="2">
        <v>48</v>
      </c>
      <c r="J1836" s="2" t="s">
        <v>75</v>
      </c>
      <c r="K1836" s="4">
        <v>46205.379166666666</v>
      </c>
      <c r="L1836" s="2" t="s">
        <v>24</v>
      </c>
      <c r="M1836" s="2"/>
      <c r="N1836" t="s">
        <v>8587</v>
      </c>
      <c r="O1836" s="8">
        <f t="shared" si="56"/>
        <v>108.13333333324408</v>
      </c>
      <c r="P1836" t="str">
        <f t="shared" si="57"/>
        <v>N/A</v>
      </c>
    </row>
    <row r="1837" spans="1:16" x14ac:dyDescent="0.25">
      <c r="A1837" s="2" t="s">
        <v>4988</v>
      </c>
      <c r="B1837" s="4">
        <v>46180.455555555556</v>
      </c>
      <c r="C1837" s="2" t="s">
        <v>28</v>
      </c>
      <c r="D1837" s="2" t="s">
        <v>100</v>
      </c>
      <c r="E1837" s="2" t="s">
        <v>148</v>
      </c>
      <c r="F1837" s="2" t="s">
        <v>30</v>
      </c>
      <c r="G1837" s="2" t="s">
        <v>183</v>
      </c>
      <c r="H1837" s="2" t="s">
        <v>32</v>
      </c>
      <c r="I1837" s="2">
        <v>48</v>
      </c>
      <c r="J1837" s="2" t="s">
        <v>75</v>
      </c>
      <c r="K1837" s="4">
        <v>46181.506944444445</v>
      </c>
      <c r="L1837" s="2" t="s">
        <v>24</v>
      </c>
      <c r="M1837" s="2"/>
      <c r="N1837" t="s">
        <v>8581</v>
      </c>
      <c r="O1837" s="8">
        <f t="shared" si="56"/>
        <v>25.233333333337214</v>
      </c>
      <c r="P1837" t="str">
        <f t="shared" si="57"/>
        <v>N/A</v>
      </c>
    </row>
    <row r="1838" spans="1:16" x14ac:dyDescent="0.25">
      <c r="A1838" s="2" t="s">
        <v>4991</v>
      </c>
      <c r="B1838" s="4">
        <v>46050.320833333331</v>
      </c>
      <c r="C1838" s="2" t="s">
        <v>28</v>
      </c>
      <c r="D1838" s="2" t="s">
        <v>37</v>
      </c>
      <c r="E1838" s="2" t="s">
        <v>85</v>
      </c>
      <c r="F1838" s="2" t="s">
        <v>96</v>
      </c>
      <c r="G1838" s="2" t="s">
        <v>31</v>
      </c>
      <c r="H1838" s="2" t="s">
        <v>21</v>
      </c>
      <c r="I1838" s="2">
        <v>24</v>
      </c>
      <c r="J1838" s="2" t="s">
        <v>149</v>
      </c>
      <c r="K1838" s="4" t="s">
        <v>8590</v>
      </c>
      <c r="L1838" s="2" t="s">
        <v>24</v>
      </c>
      <c r="M1838" s="2"/>
      <c r="N1838" t="s">
        <v>8581</v>
      </c>
      <c r="O1838" s="8" t="str">
        <f t="shared" si="56"/>
        <v/>
      </c>
      <c r="P1838" t="str">
        <f t="shared" si="57"/>
        <v>N/A</v>
      </c>
    </row>
    <row r="1839" spans="1:16" x14ac:dyDescent="0.25">
      <c r="A1839" s="2" t="s">
        <v>4993</v>
      </c>
      <c r="B1839" s="4">
        <v>46183.784722222219</v>
      </c>
      <c r="C1839" s="2" t="s">
        <v>67</v>
      </c>
      <c r="D1839" s="2" t="s">
        <v>68</v>
      </c>
      <c r="E1839" s="2" t="s">
        <v>38</v>
      </c>
      <c r="F1839" s="2" t="s">
        <v>55</v>
      </c>
      <c r="G1839" s="2" t="s">
        <v>211</v>
      </c>
      <c r="H1839" s="2" t="s">
        <v>80</v>
      </c>
      <c r="I1839" s="2">
        <v>4</v>
      </c>
      <c r="J1839" s="2" t="s">
        <v>149</v>
      </c>
      <c r="K1839" s="4" t="s">
        <v>8590</v>
      </c>
      <c r="L1839" s="2" t="s">
        <v>24</v>
      </c>
      <c r="M1839" s="2"/>
      <c r="N1839" t="s">
        <v>8583</v>
      </c>
      <c r="O1839" s="8" t="str">
        <f t="shared" si="56"/>
        <v/>
      </c>
      <c r="P1839" t="str">
        <f t="shared" si="57"/>
        <v>N/A</v>
      </c>
    </row>
    <row r="1840" spans="1:16" x14ac:dyDescent="0.25">
      <c r="A1840" s="2" t="s">
        <v>4995</v>
      </c>
      <c r="B1840" s="4">
        <v>46204.132638888892</v>
      </c>
      <c r="C1840" s="2" t="s">
        <v>53</v>
      </c>
      <c r="D1840" s="2" t="s">
        <v>54</v>
      </c>
      <c r="E1840" s="2" t="s">
        <v>18</v>
      </c>
      <c r="F1840" s="2" t="s">
        <v>113</v>
      </c>
      <c r="G1840" s="2" t="s">
        <v>31</v>
      </c>
      <c r="H1840" s="2" t="s">
        <v>32</v>
      </c>
      <c r="I1840" s="2">
        <v>48</v>
      </c>
      <c r="J1840" s="2" t="s">
        <v>106</v>
      </c>
      <c r="K1840" s="4">
        <v>46205.218055555553</v>
      </c>
      <c r="L1840" s="2" t="s">
        <v>24</v>
      </c>
      <c r="M1840" s="2">
        <v>5</v>
      </c>
      <c r="N1840" t="s">
        <v>8589</v>
      </c>
      <c r="O1840" s="8">
        <f t="shared" si="56"/>
        <v>26.049999999871943</v>
      </c>
      <c r="P1840" t="str">
        <f t="shared" si="57"/>
        <v>Yes</v>
      </c>
    </row>
    <row r="1841" spans="1:16" x14ac:dyDescent="0.25">
      <c r="A1841" s="2" t="s">
        <v>4998</v>
      </c>
      <c r="B1841" s="4">
        <v>46208.076388888891</v>
      </c>
      <c r="C1841" s="2" t="s">
        <v>16</v>
      </c>
      <c r="D1841" s="2" t="s">
        <v>84</v>
      </c>
      <c r="E1841" s="2" t="s">
        <v>79</v>
      </c>
      <c r="F1841" s="2" t="s">
        <v>30</v>
      </c>
      <c r="G1841" s="2" t="s">
        <v>110</v>
      </c>
      <c r="H1841" s="2" t="s">
        <v>32</v>
      </c>
      <c r="I1841" s="2">
        <v>48</v>
      </c>
      <c r="J1841" s="2" t="s">
        <v>75</v>
      </c>
      <c r="K1841" s="4">
        <v>46210.681250000001</v>
      </c>
      <c r="L1841" s="2" t="s">
        <v>24</v>
      </c>
      <c r="M1841" s="2">
        <v>4</v>
      </c>
      <c r="N1841" t="s">
        <v>8589</v>
      </c>
      <c r="O1841" s="8">
        <f t="shared" si="56"/>
        <v>62.516666666662786</v>
      </c>
      <c r="P1841" t="str">
        <f t="shared" si="57"/>
        <v>N/A</v>
      </c>
    </row>
    <row r="1842" spans="1:16" x14ac:dyDescent="0.25">
      <c r="A1842" s="2" t="s">
        <v>5001</v>
      </c>
      <c r="B1842" s="4">
        <v>46259.65</v>
      </c>
      <c r="C1842" s="2" t="s">
        <v>67</v>
      </c>
      <c r="D1842" s="2" t="s">
        <v>95</v>
      </c>
      <c r="E1842" s="2" t="s">
        <v>18</v>
      </c>
      <c r="F1842" s="2" t="s">
        <v>96</v>
      </c>
      <c r="G1842" s="2" t="s">
        <v>179</v>
      </c>
      <c r="H1842" s="2" t="s">
        <v>21</v>
      </c>
      <c r="I1842" s="2">
        <v>24</v>
      </c>
      <c r="J1842" s="2" t="s">
        <v>106</v>
      </c>
      <c r="K1842" s="4">
        <v>46259.861805555556</v>
      </c>
      <c r="L1842" s="2" t="s">
        <v>24</v>
      </c>
      <c r="M1842" s="2">
        <v>3</v>
      </c>
      <c r="N1842" t="s">
        <v>8584</v>
      </c>
      <c r="O1842" s="8">
        <f t="shared" si="56"/>
        <v>5.0833333333139308</v>
      </c>
      <c r="P1842" t="str">
        <f t="shared" si="57"/>
        <v>Yes</v>
      </c>
    </row>
    <row r="1843" spans="1:16" x14ac:dyDescent="0.25">
      <c r="A1843" s="2" t="s">
        <v>5004</v>
      </c>
      <c r="B1843" s="4">
        <v>46221.077777777777</v>
      </c>
      <c r="C1843" s="2" t="s">
        <v>16</v>
      </c>
      <c r="D1843" s="2" t="s">
        <v>17</v>
      </c>
      <c r="E1843" s="2" t="s">
        <v>90</v>
      </c>
      <c r="F1843" s="2" t="s">
        <v>30</v>
      </c>
      <c r="G1843" s="2" t="s">
        <v>179</v>
      </c>
      <c r="H1843" s="2" t="s">
        <v>32</v>
      </c>
      <c r="I1843" s="2">
        <v>48</v>
      </c>
      <c r="J1843" s="2" t="s">
        <v>75</v>
      </c>
      <c r="K1843" s="4">
        <v>46225.645138888889</v>
      </c>
      <c r="L1843" s="2" t="s">
        <v>24</v>
      </c>
      <c r="M1843" s="2"/>
      <c r="N1843" t="s">
        <v>8586</v>
      </c>
      <c r="O1843" s="8">
        <f t="shared" si="56"/>
        <v>109.61666666669771</v>
      </c>
      <c r="P1843" t="str">
        <f t="shared" si="57"/>
        <v>N/A</v>
      </c>
    </row>
    <row r="1844" spans="1:16" x14ac:dyDescent="0.25">
      <c r="A1844" s="2" t="s">
        <v>5007</v>
      </c>
      <c r="B1844" s="4">
        <v>46037.002083333333</v>
      </c>
      <c r="C1844" s="2" t="s">
        <v>28</v>
      </c>
      <c r="D1844" s="2" t="s">
        <v>37</v>
      </c>
      <c r="E1844" s="2" t="s">
        <v>46</v>
      </c>
      <c r="F1844" s="2" t="s">
        <v>113</v>
      </c>
      <c r="G1844" s="2" t="s">
        <v>110</v>
      </c>
      <c r="H1844" s="2" t="s">
        <v>21</v>
      </c>
      <c r="I1844" s="2">
        <v>24</v>
      </c>
      <c r="J1844" s="2" t="s">
        <v>8580</v>
      </c>
      <c r="K1844" s="4">
        <v>46037.36041666667</v>
      </c>
      <c r="L1844" s="2" t="s">
        <v>24</v>
      </c>
      <c r="M1844" s="2"/>
      <c r="N1844" t="s">
        <v>8586</v>
      </c>
      <c r="O1844" s="8">
        <f t="shared" si="56"/>
        <v>8.6000000000931323</v>
      </c>
      <c r="P1844" t="str">
        <f t="shared" si="57"/>
        <v>N/A</v>
      </c>
    </row>
    <row r="1845" spans="1:16" x14ac:dyDescent="0.25">
      <c r="A1845" s="2" t="s">
        <v>5010</v>
      </c>
      <c r="B1845" s="4">
        <v>46140.462500000001</v>
      </c>
      <c r="C1845" s="2" t="s">
        <v>28</v>
      </c>
      <c r="D1845" s="2" t="s">
        <v>37</v>
      </c>
      <c r="E1845" s="2" t="s">
        <v>85</v>
      </c>
      <c r="F1845" s="2" t="s">
        <v>55</v>
      </c>
      <c r="G1845" s="2" t="s">
        <v>31</v>
      </c>
      <c r="H1845" s="2" t="s">
        <v>21</v>
      </c>
      <c r="I1845" s="2">
        <v>24</v>
      </c>
      <c r="J1845" s="2" t="s">
        <v>106</v>
      </c>
      <c r="K1845" s="4">
        <v>46140.825694444444</v>
      </c>
      <c r="L1845" s="2" t="s">
        <v>24</v>
      </c>
      <c r="M1845" s="2">
        <v>1</v>
      </c>
      <c r="N1845" t="s">
        <v>8588</v>
      </c>
      <c r="O1845" s="8">
        <f t="shared" si="56"/>
        <v>8.71666666661622</v>
      </c>
      <c r="P1845" t="str">
        <f t="shared" si="57"/>
        <v>Yes</v>
      </c>
    </row>
    <row r="1846" spans="1:16" x14ac:dyDescent="0.25">
      <c r="A1846" s="2" t="s">
        <v>5013</v>
      </c>
      <c r="B1846" s="4">
        <v>46183.513194444444</v>
      </c>
      <c r="C1846" s="2" t="s">
        <v>53</v>
      </c>
      <c r="D1846" s="2" t="s">
        <v>54</v>
      </c>
      <c r="E1846" s="2" t="s">
        <v>18</v>
      </c>
      <c r="F1846" s="2" t="s">
        <v>113</v>
      </c>
      <c r="G1846" s="2" t="s">
        <v>211</v>
      </c>
      <c r="H1846" s="2" t="s">
        <v>74</v>
      </c>
      <c r="I1846" s="2">
        <v>8</v>
      </c>
      <c r="J1846" s="2" t="s">
        <v>149</v>
      </c>
      <c r="K1846" s="4" t="s">
        <v>8590</v>
      </c>
      <c r="L1846" s="2" t="s">
        <v>24</v>
      </c>
      <c r="M1846" s="2"/>
      <c r="N1846" t="s">
        <v>8589</v>
      </c>
      <c r="O1846" s="8" t="str">
        <f t="shared" si="56"/>
        <v/>
      </c>
      <c r="P1846" t="str">
        <f t="shared" si="57"/>
        <v>N/A</v>
      </c>
    </row>
    <row r="1847" spans="1:16" x14ac:dyDescent="0.25">
      <c r="A1847" s="2" t="s">
        <v>5015</v>
      </c>
      <c r="B1847" s="4">
        <v>46091.781944444447</v>
      </c>
      <c r="C1847" s="2" t="s">
        <v>28</v>
      </c>
      <c r="D1847" s="2" t="s">
        <v>37</v>
      </c>
      <c r="E1847" s="2" t="s">
        <v>38</v>
      </c>
      <c r="F1847" s="2" t="s">
        <v>96</v>
      </c>
      <c r="G1847" s="2" t="s">
        <v>31</v>
      </c>
      <c r="H1847" s="2" t="s">
        <v>74</v>
      </c>
      <c r="I1847" s="2">
        <v>8</v>
      </c>
      <c r="J1847" s="2" t="s">
        <v>106</v>
      </c>
      <c r="K1847" s="4">
        <v>46091.867361111108</v>
      </c>
      <c r="L1847" s="2" t="s">
        <v>24</v>
      </c>
      <c r="M1847" s="2">
        <v>1</v>
      </c>
      <c r="N1847" t="s">
        <v>8584</v>
      </c>
      <c r="O1847" s="8">
        <f t="shared" si="56"/>
        <v>2.0499999998719431</v>
      </c>
      <c r="P1847" t="str">
        <f t="shared" si="57"/>
        <v>Yes</v>
      </c>
    </row>
    <row r="1848" spans="1:16" x14ac:dyDescent="0.25">
      <c r="A1848" s="2" t="s">
        <v>5018</v>
      </c>
      <c r="B1848" s="4">
        <v>46164.259722222225</v>
      </c>
      <c r="C1848" s="2" t="s">
        <v>53</v>
      </c>
      <c r="D1848" s="2" t="s">
        <v>54</v>
      </c>
      <c r="E1848" s="2" t="s">
        <v>18</v>
      </c>
      <c r="F1848" s="2" t="s">
        <v>55</v>
      </c>
      <c r="G1848" s="2" t="s">
        <v>101</v>
      </c>
      <c r="H1848" s="2" t="s">
        <v>32</v>
      </c>
      <c r="I1848" s="2">
        <v>48</v>
      </c>
      <c r="J1848" s="2" t="s">
        <v>75</v>
      </c>
      <c r="K1848" s="4">
        <v>46168.754861111112</v>
      </c>
      <c r="L1848" s="2" t="s">
        <v>24</v>
      </c>
      <c r="M1848" s="2"/>
      <c r="N1848" t="s">
        <v>8588</v>
      </c>
      <c r="O1848" s="8">
        <f t="shared" si="56"/>
        <v>107.88333333330229</v>
      </c>
      <c r="P1848" t="str">
        <f t="shared" si="57"/>
        <v>N/A</v>
      </c>
    </row>
    <row r="1849" spans="1:16" x14ac:dyDescent="0.25">
      <c r="A1849" s="2" t="s">
        <v>5021</v>
      </c>
      <c r="B1849" s="4">
        <v>46233.333333333336</v>
      </c>
      <c r="C1849" s="2" t="s">
        <v>28</v>
      </c>
      <c r="D1849" s="2" t="s">
        <v>100</v>
      </c>
      <c r="E1849" s="2" t="s">
        <v>18</v>
      </c>
      <c r="F1849" s="2" t="s">
        <v>30</v>
      </c>
      <c r="G1849" s="2" t="s">
        <v>101</v>
      </c>
      <c r="H1849" s="2" t="s">
        <v>32</v>
      </c>
      <c r="I1849" s="2">
        <v>48</v>
      </c>
      <c r="J1849" s="2" t="s">
        <v>11</v>
      </c>
      <c r="K1849" s="4" t="s">
        <v>8590</v>
      </c>
      <c r="L1849" s="2" t="s">
        <v>92</v>
      </c>
      <c r="M1849" s="2"/>
      <c r="N1849" t="s">
        <v>8584</v>
      </c>
      <c r="O1849" s="8" t="str">
        <f t="shared" si="56"/>
        <v/>
      </c>
      <c r="P1849" t="str">
        <f t="shared" si="57"/>
        <v>N/A</v>
      </c>
    </row>
    <row r="1850" spans="1:16" x14ac:dyDescent="0.25">
      <c r="A1850" s="2" t="s">
        <v>5023</v>
      </c>
      <c r="B1850" s="4">
        <v>46060.306944444441</v>
      </c>
      <c r="C1850" s="2" t="s">
        <v>53</v>
      </c>
      <c r="D1850" s="2" t="s">
        <v>61</v>
      </c>
      <c r="E1850" s="2" t="s">
        <v>46</v>
      </c>
      <c r="F1850" s="2" t="s">
        <v>113</v>
      </c>
      <c r="G1850" s="2" t="s">
        <v>31</v>
      </c>
      <c r="H1850" s="2" t="s">
        <v>21</v>
      </c>
      <c r="I1850" s="2">
        <v>24</v>
      </c>
      <c r="J1850" s="2" t="s">
        <v>106</v>
      </c>
      <c r="K1850" s="4">
        <v>46060.705555555556</v>
      </c>
      <c r="L1850" s="2" t="s">
        <v>24</v>
      </c>
      <c r="M1850" s="2">
        <v>4</v>
      </c>
      <c r="N1850" t="s">
        <v>8586</v>
      </c>
      <c r="O1850" s="8">
        <f t="shared" si="56"/>
        <v>9.5666666667675599</v>
      </c>
      <c r="P1850" t="str">
        <f t="shared" si="57"/>
        <v>Yes</v>
      </c>
    </row>
    <row r="1851" spans="1:16" x14ac:dyDescent="0.25">
      <c r="A1851" s="2" t="s">
        <v>5026</v>
      </c>
      <c r="B1851" s="4">
        <v>46075.158333333333</v>
      </c>
      <c r="C1851" s="2" t="s">
        <v>16</v>
      </c>
      <c r="D1851" s="2" t="s">
        <v>84</v>
      </c>
      <c r="E1851" s="2" t="s">
        <v>46</v>
      </c>
      <c r="F1851" s="2" t="s">
        <v>55</v>
      </c>
      <c r="G1851" s="2" t="s">
        <v>101</v>
      </c>
      <c r="H1851" s="2" t="s">
        <v>21</v>
      </c>
      <c r="I1851" s="2">
        <v>24</v>
      </c>
      <c r="J1851" s="2" t="s">
        <v>8580</v>
      </c>
      <c r="K1851" s="4">
        <v>46077.912499999999</v>
      </c>
      <c r="L1851" s="2" t="s">
        <v>24</v>
      </c>
      <c r="M1851" s="2"/>
      <c r="N1851" t="s">
        <v>8583</v>
      </c>
      <c r="O1851" s="8">
        <f t="shared" si="56"/>
        <v>66.099999999976717</v>
      </c>
      <c r="P1851" t="str">
        <f t="shared" si="57"/>
        <v>N/A</v>
      </c>
    </row>
    <row r="1852" spans="1:16" x14ac:dyDescent="0.25">
      <c r="A1852" s="2" t="s">
        <v>5029</v>
      </c>
      <c r="B1852" s="4">
        <v>46089.099305555559</v>
      </c>
      <c r="C1852" s="2" t="s">
        <v>28</v>
      </c>
      <c r="D1852" s="2" t="s">
        <v>100</v>
      </c>
      <c r="E1852" s="2" t="s">
        <v>18</v>
      </c>
      <c r="F1852" s="2" t="s">
        <v>30</v>
      </c>
      <c r="G1852" s="2" t="s">
        <v>179</v>
      </c>
      <c r="H1852" s="2" t="s">
        <v>21</v>
      </c>
      <c r="I1852" s="2">
        <v>24</v>
      </c>
      <c r="J1852" s="2" t="s">
        <v>106</v>
      </c>
      <c r="K1852" s="4">
        <v>46091.834027777775</v>
      </c>
      <c r="L1852" s="2" t="s">
        <v>24</v>
      </c>
      <c r="M1852" s="2"/>
      <c r="N1852" t="s">
        <v>8588</v>
      </c>
      <c r="O1852" s="8">
        <f t="shared" si="56"/>
        <v>65.633333333185874</v>
      </c>
      <c r="P1852" t="str">
        <f t="shared" si="57"/>
        <v>No</v>
      </c>
    </row>
    <row r="1853" spans="1:16" x14ac:dyDescent="0.25">
      <c r="A1853" s="2" t="s">
        <v>5032</v>
      </c>
      <c r="B1853" s="4">
        <v>46040.104861111111</v>
      </c>
      <c r="C1853" s="2" t="s">
        <v>28</v>
      </c>
      <c r="D1853" s="2" t="s">
        <v>100</v>
      </c>
      <c r="E1853" s="2" t="s">
        <v>46</v>
      </c>
      <c r="F1853" s="2" t="s">
        <v>113</v>
      </c>
      <c r="G1853" s="2" t="s">
        <v>110</v>
      </c>
      <c r="H1853" s="2" t="s">
        <v>80</v>
      </c>
      <c r="I1853" s="2">
        <v>4</v>
      </c>
      <c r="J1853" s="2" t="s">
        <v>8580</v>
      </c>
      <c r="K1853" s="4">
        <v>46040.166666666664</v>
      </c>
      <c r="L1853" s="2" t="s">
        <v>24</v>
      </c>
      <c r="M1853" s="2"/>
      <c r="N1853" t="s">
        <v>8581</v>
      </c>
      <c r="O1853" s="8">
        <f t="shared" si="56"/>
        <v>1.4833333332790062</v>
      </c>
      <c r="P1853" t="str">
        <f t="shared" si="57"/>
        <v>N/A</v>
      </c>
    </row>
    <row r="1854" spans="1:16" x14ac:dyDescent="0.25">
      <c r="A1854" s="2" t="s">
        <v>5035</v>
      </c>
      <c r="B1854" s="4">
        <v>46162.915277777778</v>
      </c>
      <c r="C1854" s="2" t="s">
        <v>28</v>
      </c>
      <c r="D1854" s="2" t="s">
        <v>100</v>
      </c>
      <c r="E1854" s="2" t="s">
        <v>90</v>
      </c>
      <c r="F1854" s="2" t="s">
        <v>96</v>
      </c>
      <c r="G1854" s="2" t="s">
        <v>101</v>
      </c>
      <c r="H1854" s="2" t="s">
        <v>21</v>
      </c>
      <c r="I1854" s="2">
        <v>24</v>
      </c>
      <c r="J1854" s="2" t="s">
        <v>11</v>
      </c>
      <c r="K1854" s="4" t="s">
        <v>8590</v>
      </c>
      <c r="L1854" s="2" t="s">
        <v>92</v>
      </c>
      <c r="M1854" s="2"/>
      <c r="N1854" t="s">
        <v>8584</v>
      </c>
      <c r="O1854" s="8" t="str">
        <f t="shared" si="56"/>
        <v/>
      </c>
      <c r="P1854" t="str">
        <f t="shared" si="57"/>
        <v>N/A</v>
      </c>
    </row>
    <row r="1855" spans="1:16" x14ac:dyDescent="0.25">
      <c r="A1855" s="2" t="s">
        <v>5037</v>
      </c>
      <c r="B1855" s="4">
        <v>46180.892361111109</v>
      </c>
      <c r="C1855" s="2" t="s">
        <v>53</v>
      </c>
      <c r="D1855" s="2" t="s">
        <v>61</v>
      </c>
      <c r="E1855" s="2" t="s">
        <v>46</v>
      </c>
      <c r="F1855" s="2" t="s">
        <v>30</v>
      </c>
      <c r="G1855" s="2" t="s">
        <v>110</v>
      </c>
      <c r="H1855" s="2" t="s">
        <v>74</v>
      </c>
      <c r="I1855" s="2">
        <v>8</v>
      </c>
      <c r="J1855" s="2" t="s">
        <v>149</v>
      </c>
      <c r="K1855" s="4" t="s">
        <v>8590</v>
      </c>
      <c r="L1855" s="2" t="s">
        <v>24</v>
      </c>
      <c r="M1855" s="2"/>
      <c r="N1855" t="s">
        <v>8584</v>
      </c>
      <c r="O1855" s="8" t="str">
        <f t="shared" si="56"/>
        <v/>
      </c>
      <c r="P1855" t="str">
        <f t="shared" si="57"/>
        <v>N/A</v>
      </c>
    </row>
    <row r="1856" spans="1:16" x14ac:dyDescent="0.25">
      <c r="A1856" s="2" t="s">
        <v>5039</v>
      </c>
      <c r="B1856" s="4">
        <v>46221.51666666667</v>
      </c>
      <c r="C1856" s="2" t="s">
        <v>53</v>
      </c>
      <c r="D1856" s="2" t="s">
        <v>61</v>
      </c>
      <c r="E1856" s="2" t="s">
        <v>18</v>
      </c>
      <c r="F1856" s="2" t="s">
        <v>30</v>
      </c>
      <c r="G1856" s="2" t="s">
        <v>110</v>
      </c>
      <c r="H1856" s="2" t="s">
        <v>74</v>
      </c>
      <c r="I1856" s="2">
        <v>8</v>
      </c>
      <c r="J1856" s="2" t="s">
        <v>106</v>
      </c>
      <c r="K1856" s="4">
        <v>46221.583333333336</v>
      </c>
      <c r="L1856" s="2" t="s">
        <v>24</v>
      </c>
      <c r="M1856" s="2">
        <v>5</v>
      </c>
      <c r="N1856" t="s">
        <v>8583</v>
      </c>
      <c r="O1856" s="8">
        <f t="shared" si="56"/>
        <v>1.5999999999767169</v>
      </c>
      <c r="P1856" t="str">
        <f t="shared" si="57"/>
        <v>Yes</v>
      </c>
    </row>
    <row r="1857" spans="1:16" x14ac:dyDescent="0.25">
      <c r="A1857" s="2" t="s">
        <v>5042</v>
      </c>
      <c r="B1857" s="4">
        <v>46103.887499999997</v>
      </c>
      <c r="C1857" s="2" t="s">
        <v>53</v>
      </c>
      <c r="D1857" s="2" t="s">
        <v>54</v>
      </c>
      <c r="E1857" s="2" t="s">
        <v>85</v>
      </c>
      <c r="F1857" s="2" t="s">
        <v>96</v>
      </c>
      <c r="G1857" s="2" t="s">
        <v>179</v>
      </c>
      <c r="H1857" s="2" t="s">
        <v>21</v>
      </c>
      <c r="I1857" s="2">
        <v>24</v>
      </c>
      <c r="J1857" s="2" t="s">
        <v>106</v>
      </c>
      <c r="K1857" s="4">
        <v>46104.115972222222</v>
      </c>
      <c r="L1857" s="2" t="s">
        <v>24</v>
      </c>
      <c r="M1857" s="2"/>
      <c r="N1857" t="s">
        <v>8589</v>
      </c>
      <c r="O1857" s="8">
        <f t="shared" si="56"/>
        <v>5.4833333333954215</v>
      </c>
      <c r="P1857" t="str">
        <f t="shared" si="57"/>
        <v>Yes</v>
      </c>
    </row>
    <row r="1858" spans="1:16" x14ac:dyDescent="0.25">
      <c r="A1858" s="2" t="s">
        <v>5045</v>
      </c>
      <c r="B1858" s="4">
        <v>46263.620138888888</v>
      </c>
      <c r="C1858" s="2" t="s">
        <v>53</v>
      </c>
      <c r="D1858" s="2" t="s">
        <v>54</v>
      </c>
      <c r="E1858" s="2" t="s">
        <v>148</v>
      </c>
      <c r="F1858" s="2" t="s">
        <v>96</v>
      </c>
      <c r="G1858" s="2" t="s">
        <v>211</v>
      </c>
      <c r="H1858" s="2" t="s">
        <v>32</v>
      </c>
      <c r="I1858" s="2">
        <v>48</v>
      </c>
      <c r="J1858" s="2" t="s">
        <v>106</v>
      </c>
      <c r="K1858" s="4">
        <v>46264.666666666664</v>
      </c>
      <c r="L1858" s="2" t="s">
        <v>24</v>
      </c>
      <c r="M1858" s="2"/>
      <c r="N1858" t="s">
        <v>8586</v>
      </c>
      <c r="O1858" s="8">
        <f t="shared" si="56"/>
        <v>25.116666666639503</v>
      </c>
      <c r="P1858" t="str">
        <f t="shared" si="57"/>
        <v>Yes</v>
      </c>
    </row>
    <row r="1859" spans="1:16" x14ac:dyDescent="0.25">
      <c r="A1859" s="2" t="s">
        <v>5048</v>
      </c>
      <c r="B1859" s="4">
        <v>46068.986111111109</v>
      </c>
      <c r="C1859" s="2" t="s">
        <v>28</v>
      </c>
      <c r="D1859" s="2" t="s">
        <v>37</v>
      </c>
      <c r="E1859" s="2" t="s">
        <v>18</v>
      </c>
      <c r="F1859" s="2" t="s">
        <v>96</v>
      </c>
      <c r="G1859" s="2" t="s">
        <v>179</v>
      </c>
      <c r="H1859" s="2" t="s">
        <v>74</v>
      </c>
      <c r="I1859" s="2">
        <v>8</v>
      </c>
      <c r="J1859" s="2" t="s">
        <v>106</v>
      </c>
      <c r="K1859" s="4">
        <v>46069.147916666669</v>
      </c>
      <c r="L1859" s="2" t="s">
        <v>92</v>
      </c>
      <c r="M1859" s="2">
        <v>5</v>
      </c>
      <c r="N1859" t="s">
        <v>8589</v>
      </c>
      <c r="O1859" s="8">
        <f t="shared" ref="O1859:O1922" si="58">IF(K1859="","",IF(K1859="Missing Resolve Date","",(K1859-B1859)*24))</f>
        <v>3.8833333334187046</v>
      </c>
      <c r="P1859" t="str">
        <f t="shared" ref="P1859:P1922" si="59">IF(J1859="Resolved",IF(O1859&lt;=I1859,"Yes","No"),"N/A")</f>
        <v>Yes</v>
      </c>
    </row>
    <row r="1860" spans="1:16" x14ac:dyDescent="0.25">
      <c r="A1860" s="2" t="s">
        <v>5051</v>
      </c>
      <c r="B1860" s="4">
        <v>46117.801388888889</v>
      </c>
      <c r="C1860" s="2" t="s">
        <v>16</v>
      </c>
      <c r="D1860" s="2" t="s">
        <v>17</v>
      </c>
      <c r="E1860" s="2" t="s">
        <v>38</v>
      </c>
      <c r="F1860" s="2" t="s">
        <v>96</v>
      </c>
      <c r="G1860" s="2" t="s">
        <v>110</v>
      </c>
      <c r="H1860" s="2" t="s">
        <v>21</v>
      </c>
      <c r="I1860" s="2">
        <v>24</v>
      </c>
      <c r="J1860" s="2" t="s">
        <v>11</v>
      </c>
      <c r="K1860" s="4" t="s">
        <v>8590</v>
      </c>
      <c r="L1860" s="2" t="s">
        <v>92</v>
      </c>
      <c r="M1860" s="2"/>
      <c r="N1860" t="s">
        <v>8581</v>
      </c>
      <c r="O1860" s="8" t="str">
        <f t="shared" si="58"/>
        <v/>
      </c>
      <c r="P1860" t="str">
        <f t="shared" si="59"/>
        <v>N/A</v>
      </c>
    </row>
    <row r="1861" spans="1:16" x14ac:dyDescent="0.25">
      <c r="A1861" s="2" t="s">
        <v>5053</v>
      </c>
      <c r="B1861" s="4">
        <v>46082.299305555556</v>
      </c>
      <c r="C1861" s="2" t="s">
        <v>67</v>
      </c>
      <c r="D1861" s="2" t="s">
        <v>95</v>
      </c>
      <c r="E1861" s="2" t="s">
        <v>46</v>
      </c>
      <c r="F1861" s="2" t="s">
        <v>113</v>
      </c>
      <c r="G1861" s="2" t="s">
        <v>211</v>
      </c>
      <c r="H1861" s="2" t="s">
        <v>32</v>
      </c>
      <c r="I1861" s="2">
        <v>48</v>
      </c>
      <c r="J1861" s="2" t="s">
        <v>287</v>
      </c>
      <c r="K1861" s="4" t="s">
        <v>8590</v>
      </c>
      <c r="L1861" s="2" t="s">
        <v>24</v>
      </c>
      <c r="M1861" s="2"/>
      <c r="N1861" t="s">
        <v>8589</v>
      </c>
      <c r="O1861" s="8" t="str">
        <f t="shared" si="58"/>
        <v/>
      </c>
      <c r="P1861" t="str">
        <f t="shared" si="59"/>
        <v>N/A</v>
      </c>
    </row>
    <row r="1862" spans="1:16" x14ac:dyDescent="0.25">
      <c r="A1862" s="2" t="s">
        <v>5055</v>
      </c>
      <c r="B1862" s="4">
        <v>46141.576388888891</v>
      </c>
      <c r="C1862" s="2" t="s">
        <v>28</v>
      </c>
      <c r="D1862" s="2" t="s">
        <v>37</v>
      </c>
      <c r="E1862" s="2" t="s">
        <v>148</v>
      </c>
      <c r="F1862" s="2" t="s">
        <v>113</v>
      </c>
      <c r="G1862" s="2" t="s">
        <v>110</v>
      </c>
      <c r="H1862" s="2" t="s">
        <v>74</v>
      </c>
      <c r="I1862" s="2">
        <v>8</v>
      </c>
      <c r="J1862" s="2" t="s">
        <v>11</v>
      </c>
      <c r="K1862" s="4" t="s">
        <v>8590</v>
      </c>
      <c r="L1862" s="2" t="s">
        <v>92</v>
      </c>
      <c r="M1862" s="2"/>
      <c r="N1862" t="s">
        <v>8582</v>
      </c>
      <c r="O1862" s="8" t="str">
        <f t="shared" si="58"/>
        <v/>
      </c>
      <c r="P1862" t="str">
        <f t="shared" si="59"/>
        <v>N/A</v>
      </c>
    </row>
    <row r="1863" spans="1:16" x14ac:dyDescent="0.25">
      <c r="A1863" s="2" t="s">
        <v>5057</v>
      </c>
      <c r="B1863" s="4">
        <v>46063.824999999997</v>
      </c>
      <c r="C1863" s="2" t="s">
        <v>53</v>
      </c>
      <c r="D1863" s="2" t="s">
        <v>61</v>
      </c>
      <c r="E1863" s="2" t="s">
        <v>46</v>
      </c>
      <c r="F1863" s="2" t="s">
        <v>30</v>
      </c>
      <c r="G1863" s="2" t="s">
        <v>211</v>
      </c>
      <c r="H1863" s="2" t="s">
        <v>74</v>
      </c>
      <c r="I1863" s="2">
        <v>8</v>
      </c>
      <c r="J1863" s="2" t="s">
        <v>75</v>
      </c>
      <c r="K1863" s="4">
        <v>46063.884722222225</v>
      </c>
      <c r="L1863" s="2" t="s">
        <v>24</v>
      </c>
      <c r="M1863" s="2">
        <v>1</v>
      </c>
      <c r="N1863" t="s">
        <v>8582</v>
      </c>
      <c r="O1863" s="8">
        <f t="shared" si="58"/>
        <v>1.4333333334652707</v>
      </c>
      <c r="P1863" t="str">
        <f t="shared" si="59"/>
        <v>N/A</v>
      </c>
    </row>
    <row r="1864" spans="1:16" x14ac:dyDescent="0.25">
      <c r="A1864" s="2" t="s">
        <v>5060</v>
      </c>
      <c r="B1864" s="4">
        <v>46091.226388888892</v>
      </c>
      <c r="C1864" s="2" t="s">
        <v>16</v>
      </c>
      <c r="D1864" s="2" t="s">
        <v>84</v>
      </c>
      <c r="E1864" s="2" t="s">
        <v>79</v>
      </c>
      <c r="F1864" s="2" t="s">
        <v>30</v>
      </c>
      <c r="G1864" s="2" t="s">
        <v>110</v>
      </c>
      <c r="H1864" s="2" t="s">
        <v>21</v>
      </c>
      <c r="I1864" s="2">
        <v>24</v>
      </c>
      <c r="J1864" s="2" t="s">
        <v>106</v>
      </c>
      <c r="K1864" s="4">
        <v>46093.574999999997</v>
      </c>
      <c r="L1864" s="2" t="s">
        <v>24</v>
      </c>
      <c r="M1864" s="2">
        <v>5</v>
      </c>
      <c r="N1864" t="s">
        <v>8589</v>
      </c>
      <c r="O1864" s="8">
        <f t="shared" si="58"/>
        <v>56.366666666523088</v>
      </c>
      <c r="P1864" t="str">
        <f t="shared" si="59"/>
        <v>No</v>
      </c>
    </row>
    <row r="1865" spans="1:16" x14ac:dyDescent="0.25">
      <c r="A1865" s="2" t="s">
        <v>5063</v>
      </c>
      <c r="B1865" s="4">
        <v>46049.227083333331</v>
      </c>
      <c r="C1865" s="2" t="s">
        <v>53</v>
      </c>
      <c r="D1865" s="2" t="s">
        <v>61</v>
      </c>
      <c r="E1865" s="2" t="s">
        <v>18</v>
      </c>
      <c r="F1865" s="2" t="s">
        <v>55</v>
      </c>
      <c r="G1865" s="2" t="s">
        <v>110</v>
      </c>
      <c r="H1865" s="2" t="s">
        <v>74</v>
      </c>
      <c r="I1865" s="2">
        <v>8</v>
      </c>
      <c r="J1865" s="2" t="s">
        <v>106</v>
      </c>
      <c r="K1865" s="4">
        <v>46049.336805555555</v>
      </c>
      <c r="L1865" s="2" t="s">
        <v>24</v>
      </c>
      <c r="M1865" s="2"/>
      <c r="N1865" t="s">
        <v>8585</v>
      </c>
      <c r="O1865" s="8">
        <f t="shared" si="58"/>
        <v>2.6333333333604969</v>
      </c>
      <c r="P1865" t="str">
        <f t="shared" si="59"/>
        <v>Yes</v>
      </c>
    </row>
    <row r="1866" spans="1:16" x14ac:dyDescent="0.25">
      <c r="A1866" s="2" t="s">
        <v>5066</v>
      </c>
      <c r="B1866" s="4">
        <v>46164.842361111114</v>
      </c>
      <c r="C1866" s="2" t="s">
        <v>16</v>
      </c>
      <c r="D1866" s="2" t="s">
        <v>17</v>
      </c>
      <c r="E1866" s="2" t="s">
        <v>79</v>
      </c>
      <c r="F1866" s="2" t="s">
        <v>30</v>
      </c>
      <c r="G1866" s="2" t="s">
        <v>101</v>
      </c>
      <c r="H1866" s="2" t="s">
        <v>21</v>
      </c>
      <c r="I1866" s="2">
        <v>24</v>
      </c>
      <c r="J1866" s="2" t="s">
        <v>75</v>
      </c>
      <c r="K1866" s="4">
        <v>46165.115277777775</v>
      </c>
      <c r="L1866" s="2" t="s">
        <v>24</v>
      </c>
      <c r="M1866" s="2"/>
      <c r="N1866" t="s">
        <v>8585</v>
      </c>
      <c r="O1866" s="8">
        <f t="shared" si="58"/>
        <v>6.5499999998719431</v>
      </c>
      <c r="P1866" t="str">
        <f t="shared" si="59"/>
        <v>N/A</v>
      </c>
    </row>
    <row r="1867" spans="1:16" x14ac:dyDescent="0.25">
      <c r="A1867" s="2" t="s">
        <v>5069</v>
      </c>
      <c r="B1867" s="4">
        <v>46061.867361111108</v>
      </c>
      <c r="C1867" s="2" t="s">
        <v>53</v>
      </c>
      <c r="D1867" s="2" t="s">
        <v>61</v>
      </c>
      <c r="E1867" s="2" t="s">
        <v>90</v>
      </c>
      <c r="F1867" s="2" t="s">
        <v>55</v>
      </c>
      <c r="G1867" s="2" t="s">
        <v>110</v>
      </c>
      <c r="H1867" s="2" t="s">
        <v>21</v>
      </c>
      <c r="I1867" s="2">
        <v>24</v>
      </c>
      <c r="J1867" s="2" t="s">
        <v>106</v>
      </c>
      <c r="K1867" s="4">
        <v>46062.05972222222</v>
      </c>
      <c r="L1867" s="2" t="s">
        <v>24</v>
      </c>
      <c r="M1867" s="2">
        <v>1</v>
      </c>
      <c r="N1867" t="s">
        <v>8582</v>
      </c>
      <c r="O1867" s="8">
        <f t="shared" si="58"/>
        <v>4.6166666666977108</v>
      </c>
      <c r="P1867" t="str">
        <f t="shared" si="59"/>
        <v>Yes</v>
      </c>
    </row>
    <row r="1868" spans="1:16" x14ac:dyDescent="0.25">
      <c r="A1868" s="2" t="s">
        <v>5072</v>
      </c>
      <c r="B1868" s="4">
        <v>46137.263888888891</v>
      </c>
      <c r="C1868" s="2" t="s">
        <v>16</v>
      </c>
      <c r="D1868" s="2" t="s">
        <v>84</v>
      </c>
      <c r="E1868" s="2" t="s">
        <v>18</v>
      </c>
      <c r="F1868" s="2" t="s">
        <v>55</v>
      </c>
      <c r="G1868" s="2" t="s">
        <v>211</v>
      </c>
      <c r="H1868" s="2" t="s">
        <v>74</v>
      </c>
      <c r="I1868" s="2">
        <v>8</v>
      </c>
      <c r="J1868" s="2" t="s">
        <v>75</v>
      </c>
      <c r="K1868" s="4">
        <v>46137.365277777775</v>
      </c>
      <c r="L1868" s="2" t="s">
        <v>24</v>
      </c>
      <c r="M1868" s="2">
        <v>5</v>
      </c>
      <c r="N1868" t="s">
        <v>8587</v>
      </c>
      <c r="O1868" s="8">
        <f t="shared" si="58"/>
        <v>2.4333333332324401</v>
      </c>
      <c r="P1868" t="str">
        <f t="shared" si="59"/>
        <v>N/A</v>
      </c>
    </row>
    <row r="1869" spans="1:16" x14ac:dyDescent="0.25">
      <c r="A1869" s="2" t="s">
        <v>5075</v>
      </c>
      <c r="B1869" s="4">
        <v>46044.97152777778</v>
      </c>
      <c r="C1869" s="2" t="s">
        <v>53</v>
      </c>
      <c r="D1869" s="2" t="s">
        <v>61</v>
      </c>
      <c r="E1869" s="2" t="s">
        <v>38</v>
      </c>
      <c r="F1869" s="2" t="s">
        <v>30</v>
      </c>
      <c r="G1869" s="2" t="s">
        <v>179</v>
      </c>
      <c r="H1869" s="2" t="s">
        <v>74</v>
      </c>
      <c r="I1869" s="2">
        <v>8</v>
      </c>
      <c r="J1869" s="2" t="s">
        <v>75</v>
      </c>
      <c r="K1869" s="4">
        <v>46045.616666666669</v>
      </c>
      <c r="L1869" s="2" t="s">
        <v>24</v>
      </c>
      <c r="M1869" s="2"/>
      <c r="N1869" t="s">
        <v>8585</v>
      </c>
      <c r="O1869" s="8">
        <f t="shared" si="58"/>
        <v>15.483333333337214</v>
      </c>
      <c r="P1869" t="str">
        <f t="shared" si="59"/>
        <v>N/A</v>
      </c>
    </row>
    <row r="1870" spans="1:16" x14ac:dyDescent="0.25">
      <c r="A1870" s="2" t="s">
        <v>5078</v>
      </c>
      <c r="B1870" s="4">
        <v>46047.363194444442</v>
      </c>
      <c r="C1870" s="2" t="s">
        <v>67</v>
      </c>
      <c r="D1870" s="2" t="s">
        <v>68</v>
      </c>
      <c r="E1870" s="2" t="s">
        <v>148</v>
      </c>
      <c r="F1870" s="2" t="s">
        <v>30</v>
      </c>
      <c r="G1870" s="2" t="s">
        <v>211</v>
      </c>
      <c r="H1870" s="2" t="s">
        <v>74</v>
      </c>
      <c r="I1870" s="2">
        <v>8</v>
      </c>
      <c r="J1870" s="2" t="s">
        <v>75</v>
      </c>
      <c r="K1870" s="4">
        <v>46047.637499999997</v>
      </c>
      <c r="L1870" s="2" t="s">
        <v>24</v>
      </c>
      <c r="M1870" s="2">
        <v>5</v>
      </c>
      <c r="N1870" t="s">
        <v>8589</v>
      </c>
      <c r="O1870" s="8">
        <f t="shared" si="58"/>
        <v>6.5833333333139308</v>
      </c>
      <c r="P1870" t="str">
        <f t="shared" si="59"/>
        <v>N/A</v>
      </c>
    </row>
    <row r="1871" spans="1:16" x14ac:dyDescent="0.25">
      <c r="A1871" s="2" t="s">
        <v>5081</v>
      </c>
      <c r="B1871" s="4">
        <v>46113.961111111108</v>
      </c>
      <c r="C1871" s="2" t="s">
        <v>53</v>
      </c>
      <c r="D1871" s="2" t="s">
        <v>61</v>
      </c>
      <c r="E1871" s="2" t="s">
        <v>18</v>
      </c>
      <c r="F1871" s="2" t="s">
        <v>55</v>
      </c>
      <c r="G1871" s="2" t="s">
        <v>179</v>
      </c>
      <c r="H1871" s="2" t="s">
        <v>21</v>
      </c>
      <c r="I1871" s="2">
        <v>24</v>
      </c>
      <c r="J1871" s="2" t="s">
        <v>75</v>
      </c>
      <c r="K1871" s="4">
        <v>46116.15902777778</v>
      </c>
      <c r="L1871" s="2" t="s">
        <v>24</v>
      </c>
      <c r="M1871" s="2"/>
      <c r="N1871" t="s">
        <v>8583</v>
      </c>
      <c r="O1871" s="8">
        <f t="shared" si="58"/>
        <v>52.750000000116415</v>
      </c>
      <c r="P1871" t="str">
        <f t="shared" si="59"/>
        <v>N/A</v>
      </c>
    </row>
    <row r="1872" spans="1:16" x14ac:dyDescent="0.25">
      <c r="A1872" s="2" t="s">
        <v>5084</v>
      </c>
      <c r="B1872" s="4">
        <v>46165.429166666669</v>
      </c>
      <c r="C1872" s="2" t="s">
        <v>28</v>
      </c>
      <c r="D1872" s="2" t="s">
        <v>37</v>
      </c>
      <c r="E1872" s="2" t="s">
        <v>79</v>
      </c>
      <c r="F1872" s="2" t="s">
        <v>55</v>
      </c>
      <c r="G1872" s="2" t="s">
        <v>110</v>
      </c>
      <c r="H1872" s="2" t="s">
        <v>21</v>
      </c>
      <c r="I1872" s="2">
        <v>24</v>
      </c>
      <c r="J1872" s="2" t="s">
        <v>106</v>
      </c>
      <c r="K1872" s="4">
        <v>46167</v>
      </c>
      <c r="L1872" s="2" t="s">
        <v>24</v>
      </c>
      <c r="M1872" s="2">
        <v>4</v>
      </c>
      <c r="N1872" t="s">
        <v>8582</v>
      </c>
      <c r="O1872" s="8">
        <f t="shared" si="58"/>
        <v>37.699999999953434</v>
      </c>
      <c r="P1872" t="str">
        <f t="shared" si="59"/>
        <v>No</v>
      </c>
    </row>
    <row r="1873" spans="1:16" x14ac:dyDescent="0.25">
      <c r="A1873" s="2" t="s">
        <v>5087</v>
      </c>
      <c r="B1873" s="4">
        <v>46051.7</v>
      </c>
      <c r="C1873" s="2" t="s">
        <v>67</v>
      </c>
      <c r="D1873" s="2" t="s">
        <v>95</v>
      </c>
      <c r="E1873" s="2" t="s">
        <v>90</v>
      </c>
      <c r="F1873" s="2" t="s">
        <v>55</v>
      </c>
      <c r="G1873" s="2" t="s">
        <v>101</v>
      </c>
      <c r="H1873" s="2" t="s">
        <v>21</v>
      </c>
      <c r="I1873" s="2">
        <v>24</v>
      </c>
      <c r="J1873" s="2" t="s">
        <v>287</v>
      </c>
      <c r="K1873" s="4" t="s">
        <v>8590</v>
      </c>
      <c r="L1873" s="2" t="s">
        <v>24</v>
      </c>
      <c r="M1873" s="2"/>
      <c r="N1873" t="s">
        <v>8587</v>
      </c>
      <c r="O1873" s="8" t="str">
        <f t="shared" si="58"/>
        <v/>
      </c>
      <c r="P1873" t="str">
        <f t="shared" si="59"/>
        <v>N/A</v>
      </c>
    </row>
    <row r="1874" spans="1:16" x14ac:dyDescent="0.25">
      <c r="A1874" s="2" t="s">
        <v>5089</v>
      </c>
      <c r="B1874" s="4">
        <v>46214.84097222222</v>
      </c>
      <c r="C1874" s="2" t="s">
        <v>28</v>
      </c>
      <c r="D1874" s="2" t="s">
        <v>37</v>
      </c>
      <c r="E1874" s="2" t="s">
        <v>18</v>
      </c>
      <c r="F1874" s="2" t="s">
        <v>96</v>
      </c>
      <c r="G1874" s="2" t="s">
        <v>179</v>
      </c>
      <c r="H1874" s="2" t="s">
        <v>32</v>
      </c>
      <c r="I1874" s="2">
        <v>48</v>
      </c>
      <c r="J1874" s="2" t="s">
        <v>11</v>
      </c>
      <c r="K1874" s="4" t="s">
        <v>8590</v>
      </c>
      <c r="L1874" s="2" t="s">
        <v>92</v>
      </c>
      <c r="M1874" s="2"/>
      <c r="N1874" t="s">
        <v>8582</v>
      </c>
      <c r="O1874" s="8" t="str">
        <f t="shared" si="58"/>
        <v/>
      </c>
      <c r="P1874" t="str">
        <f t="shared" si="59"/>
        <v>N/A</v>
      </c>
    </row>
    <row r="1875" spans="1:16" x14ac:dyDescent="0.25">
      <c r="A1875" s="2" t="s">
        <v>5091</v>
      </c>
      <c r="B1875" s="4">
        <v>46104.607638888891</v>
      </c>
      <c r="C1875" s="2" t="s">
        <v>53</v>
      </c>
      <c r="D1875" s="2" t="s">
        <v>54</v>
      </c>
      <c r="E1875" s="2" t="s">
        <v>79</v>
      </c>
      <c r="F1875" s="2" t="s">
        <v>96</v>
      </c>
      <c r="G1875" s="2" t="s">
        <v>110</v>
      </c>
      <c r="H1875" s="2" t="s">
        <v>21</v>
      </c>
      <c r="I1875" s="2">
        <v>24</v>
      </c>
      <c r="J1875" s="2" t="s">
        <v>106</v>
      </c>
      <c r="K1875" s="4">
        <v>46105.490972222222</v>
      </c>
      <c r="L1875" s="2" t="s">
        <v>24</v>
      </c>
      <c r="M1875" s="2">
        <v>5</v>
      </c>
      <c r="N1875" t="s">
        <v>8588</v>
      </c>
      <c r="O1875" s="8">
        <f t="shared" si="58"/>
        <v>21.199999999953434</v>
      </c>
      <c r="P1875" t="str">
        <f t="shared" si="59"/>
        <v>Yes</v>
      </c>
    </row>
    <row r="1876" spans="1:16" x14ac:dyDescent="0.25">
      <c r="A1876" s="2" t="s">
        <v>5094</v>
      </c>
      <c r="B1876" s="4">
        <v>46069.082638888889</v>
      </c>
      <c r="C1876" s="2" t="s">
        <v>53</v>
      </c>
      <c r="D1876" s="2" t="s">
        <v>54</v>
      </c>
      <c r="E1876" s="2" t="s">
        <v>79</v>
      </c>
      <c r="F1876" s="2" t="s">
        <v>55</v>
      </c>
      <c r="G1876" s="2" t="s">
        <v>183</v>
      </c>
      <c r="H1876" s="2" t="s">
        <v>80</v>
      </c>
      <c r="I1876" s="2">
        <v>4</v>
      </c>
      <c r="J1876" s="2" t="s">
        <v>287</v>
      </c>
      <c r="K1876" s="4" t="s">
        <v>8590</v>
      </c>
      <c r="L1876" s="2" t="s">
        <v>24</v>
      </c>
      <c r="M1876" s="2"/>
      <c r="N1876" t="s">
        <v>8583</v>
      </c>
      <c r="O1876" s="8" t="str">
        <f t="shared" si="58"/>
        <v/>
      </c>
      <c r="P1876" t="str">
        <f t="shared" si="59"/>
        <v>N/A</v>
      </c>
    </row>
    <row r="1877" spans="1:16" x14ac:dyDescent="0.25">
      <c r="A1877" s="2" t="s">
        <v>5096</v>
      </c>
      <c r="B1877" s="4">
        <v>46202.825694444444</v>
      </c>
      <c r="C1877" s="2" t="s">
        <v>28</v>
      </c>
      <c r="D1877" s="2" t="s">
        <v>37</v>
      </c>
      <c r="E1877" s="2" t="s">
        <v>79</v>
      </c>
      <c r="F1877" s="2" t="s">
        <v>96</v>
      </c>
      <c r="G1877" s="2" t="s">
        <v>110</v>
      </c>
      <c r="H1877" s="2" t="s">
        <v>32</v>
      </c>
      <c r="I1877" s="2">
        <v>48</v>
      </c>
      <c r="J1877" s="2" t="s">
        <v>106</v>
      </c>
      <c r="K1877" s="4">
        <v>46204.59652777778</v>
      </c>
      <c r="L1877" s="2" t="s">
        <v>24</v>
      </c>
      <c r="M1877" s="2">
        <v>2</v>
      </c>
      <c r="N1877" t="s">
        <v>8589</v>
      </c>
      <c r="O1877" s="8">
        <f t="shared" si="58"/>
        <v>42.500000000058208</v>
      </c>
      <c r="P1877" t="str">
        <f t="shared" si="59"/>
        <v>Yes</v>
      </c>
    </row>
    <row r="1878" spans="1:16" x14ac:dyDescent="0.25">
      <c r="A1878" s="2" t="s">
        <v>5099</v>
      </c>
      <c r="B1878" s="4">
        <v>46196.173611111109</v>
      </c>
      <c r="C1878" s="2" t="s">
        <v>67</v>
      </c>
      <c r="D1878" s="2" t="s">
        <v>95</v>
      </c>
      <c r="E1878" s="2" t="s">
        <v>18</v>
      </c>
      <c r="F1878" s="2" t="s">
        <v>30</v>
      </c>
      <c r="G1878" s="2" t="s">
        <v>101</v>
      </c>
      <c r="H1878" s="2" t="s">
        <v>80</v>
      </c>
      <c r="I1878" s="2">
        <v>4</v>
      </c>
      <c r="J1878" s="2" t="s">
        <v>75</v>
      </c>
      <c r="K1878" s="4">
        <v>46196.219444444447</v>
      </c>
      <c r="L1878" s="2" t="s">
        <v>24</v>
      </c>
      <c r="M1878" s="2">
        <v>4</v>
      </c>
      <c r="N1878" t="s">
        <v>8585</v>
      </c>
      <c r="O1878" s="8">
        <f t="shared" si="58"/>
        <v>1.1000000000931323</v>
      </c>
      <c r="P1878" t="str">
        <f t="shared" si="59"/>
        <v>N/A</v>
      </c>
    </row>
    <row r="1879" spans="1:16" x14ac:dyDescent="0.25">
      <c r="A1879" s="2" t="s">
        <v>5102</v>
      </c>
      <c r="B1879" s="4">
        <v>46105.647916666669</v>
      </c>
      <c r="C1879" s="2" t="s">
        <v>28</v>
      </c>
      <c r="D1879" s="2" t="s">
        <v>37</v>
      </c>
      <c r="E1879" s="2" t="s">
        <v>38</v>
      </c>
      <c r="F1879" s="2" t="s">
        <v>30</v>
      </c>
      <c r="G1879" s="2" t="s">
        <v>101</v>
      </c>
      <c r="H1879" s="2" t="s">
        <v>80</v>
      </c>
      <c r="I1879" s="2">
        <v>4</v>
      </c>
      <c r="J1879" s="2" t="s">
        <v>106</v>
      </c>
      <c r="K1879" s="4">
        <v>46106.077777777777</v>
      </c>
      <c r="L1879" s="2" t="s">
        <v>24</v>
      </c>
      <c r="M1879" s="2">
        <v>5</v>
      </c>
      <c r="N1879" t="s">
        <v>8581</v>
      </c>
      <c r="O1879" s="8">
        <f t="shared" si="58"/>
        <v>10.316666666592937</v>
      </c>
      <c r="P1879" t="str">
        <f t="shared" si="59"/>
        <v>No</v>
      </c>
    </row>
    <row r="1880" spans="1:16" x14ac:dyDescent="0.25">
      <c r="A1880" s="2" t="s">
        <v>5105</v>
      </c>
      <c r="B1880" s="4">
        <v>46053.635416666664</v>
      </c>
      <c r="C1880" s="2" t="s">
        <v>16</v>
      </c>
      <c r="D1880" s="2" t="s">
        <v>17</v>
      </c>
      <c r="E1880" s="2" t="s">
        <v>85</v>
      </c>
      <c r="F1880" s="2" t="s">
        <v>113</v>
      </c>
      <c r="G1880" s="2" t="s">
        <v>179</v>
      </c>
      <c r="H1880" s="2" t="s">
        <v>32</v>
      </c>
      <c r="I1880" s="2">
        <v>48</v>
      </c>
      <c r="J1880" s="2" t="s">
        <v>106</v>
      </c>
      <c r="K1880" s="4" t="s">
        <v>8590</v>
      </c>
      <c r="L1880" s="2" t="s">
        <v>92</v>
      </c>
      <c r="M1880" s="2">
        <v>2</v>
      </c>
      <c r="N1880" t="s">
        <v>8586</v>
      </c>
      <c r="O1880" s="8" t="str">
        <f t="shared" si="58"/>
        <v/>
      </c>
      <c r="P1880" t="str">
        <f t="shared" si="59"/>
        <v>No</v>
      </c>
    </row>
    <row r="1881" spans="1:16" x14ac:dyDescent="0.25">
      <c r="A1881" s="2" t="s">
        <v>5107</v>
      </c>
      <c r="B1881" s="4">
        <v>46254.663888888892</v>
      </c>
      <c r="C1881" s="2" t="s">
        <v>67</v>
      </c>
      <c r="D1881" s="2" t="s">
        <v>68</v>
      </c>
      <c r="E1881" s="2" t="s">
        <v>90</v>
      </c>
      <c r="F1881" s="2" t="s">
        <v>96</v>
      </c>
      <c r="G1881" s="2" t="s">
        <v>183</v>
      </c>
      <c r="H1881" s="2" t="s">
        <v>74</v>
      </c>
      <c r="I1881" s="2">
        <v>8</v>
      </c>
      <c r="J1881" s="2" t="s">
        <v>75</v>
      </c>
      <c r="K1881" s="4">
        <v>46254.742361111108</v>
      </c>
      <c r="L1881" s="2" t="s">
        <v>92</v>
      </c>
      <c r="M1881" s="2">
        <v>5</v>
      </c>
      <c r="N1881" t="s">
        <v>8589</v>
      </c>
      <c r="O1881" s="8">
        <f t="shared" si="58"/>
        <v>1.8833333331858739</v>
      </c>
      <c r="P1881" t="str">
        <f t="shared" si="59"/>
        <v>N/A</v>
      </c>
    </row>
    <row r="1882" spans="1:16" x14ac:dyDescent="0.25">
      <c r="A1882" s="2" t="s">
        <v>5110</v>
      </c>
      <c r="B1882" s="4">
        <v>46086.498611111114</v>
      </c>
      <c r="C1882" s="2" t="s">
        <v>16</v>
      </c>
      <c r="D1882" s="2" t="s">
        <v>84</v>
      </c>
      <c r="E1882" s="2" t="s">
        <v>18</v>
      </c>
      <c r="F1882" s="2" t="s">
        <v>30</v>
      </c>
      <c r="G1882" s="2" t="s">
        <v>211</v>
      </c>
      <c r="H1882" s="2" t="s">
        <v>80</v>
      </c>
      <c r="I1882" s="2">
        <v>4</v>
      </c>
      <c r="J1882" s="2" t="s">
        <v>75</v>
      </c>
      <c r="K1882" s="4">
        <v>46086.801388888889</v>
      </c>
      <c r="L1882" s="2" t="s">
        <v>24</v>
      </c>
      <c r="M1882" s="2"/>
      <c r="N1882" t="s">
        <v>8586</v>
      </c>
      <c r="O1882" s="8">
        <f t="shared" si="58"/>
        <v>7.2666666666045785</v>
      </c>
      <c r="P1882" t="str">
        <f t="shared" si="59"/>
        <v>N/A</v>
      </c>
    </row>
    <row r="1883" spans="1:16" x14ac:dyDescent="0.25">
      <c r="A1883" s="2" t="s">
        <v>5113</v>
      </c>
      <c r="B1883" s="4">
        <v>46118.961111111108</v>
      </c>
      <c r="C1883" s="2" t="s">
        <v>53</v>
      </c>
      <c r="D1883" s="2" t="s">
        <v>61</v>
      </c>
      <c r="E1883" s="2" t="s">
        <v>148</v>
      </c>
      <c r="F1883" s="2" t="s">
        <v>113</v>
      </c>
      <c r="G1883" s="2" t="s">
        <v>31</v>
      </c>
      <c r="H1883" s="2" t="s">
        <v>21</v>
      </c>
      <c r="I1883" s="2">
        <v>24</v>
      </c>
      <c r="J1883" s="2" t="s">
        <v>106</v>
      </c>
      <c r="K1883" s="4">
        <v>46119.433333333334</v>
      </c>
      <c r="L1883" s="2" t="s">
        <v>24</v>
      </c>
      <c r="M1883" s="2"/>
      <c r="N1883" t="s">
        <v>8589</v>
      </c>
      <c r="O1883" s="8">
        <f t="shared" si="58"/>
        <v>11.333333333430346</v>
      </c>
      <c r="P1883" t="str">
        <f t="shared" si="59"/>
        <v>Yes</v>
      </c>
    </row>
    <row r="1884" spans="1:16" x14ac:dyDescent="0.25">
      <c r="A1884" s="2" t="s">
        <v>5116</v>
      </c>
      <c r="B1884" s="4">
        <v>46215.479861111111</v>
      </c>
      <c r="C1884" s="2" t="s">
        <v>28</v>
      </c>
      <c r="D1884" s="2" t="s">
        <v>37</v>
      </c>
      <c r="E1884" s="2" t="s">
        <v>148</v>
      </c>
      <c r="F1884" s="2" t="s">
        <v>96</v>
      </c>
      <c r="G1884" s="2" t="s">
        <v>101</v>
      </c>
      <c r="H1884" s="2" t="s">
        <v>74</v>
      </c>
      <c r="I1884" s="2">
        <v>8</v>
      </c>
      <c r="J1884" s="2" t="s">
        <v>149</v>
      </c>
      <c r="K1884" s="4" t="s">
        <v>8590</v>
      </c>
      <c r="L1884" s="2" t="s">
        <v>24</v>
      </c>
      <c r="M1884" s="2"/>
      <c r="N1884" t="s">
        <v>8588</v>
      </c>
      <c r="O1884" s="8" t="str">
        <f t="shared" si="58"/>
        <v/>
      </c>
      <c r="P1884" t="str">
        <f t="shared" si="59"/>
        <v>N/A</v>
      </c>
    </row>
    <row r="1885" spans="1:16" x14ac:dyDescent="0.25">
      <c r="A1885" s="2" t="s">
        <v>5118</v>
      </c>
      <c r="B1885" s="4">
        <v>46034.470138888886</v>
      </c>
      <c r="C1885" s="2" t="s">
        <v>67</v>
      </c>
      <c r="D1885" s="2" t="s">
        <v>95</v>
      </c>
      <c r="E1885" s="2" t="s">
        <v>79</v>
      </c>
      <c r="F1885" s="2" t="s">
        <v>30</v>
      </c>
      <c r="G1885" s="2" t="s">
        <v>179</v>
      </c>
      <c r="H1885" s="2" t="s">
        <v>32</v>
      </c>
      <c r="I1885" s="2">
        <v>48</v>
      </c>
      <c r="J1885" s="2" t="s">
        <v>75</v>
      </c>
      <c r="K1885" s="4">
        <v>46038.880555555559</v>
      </c>
      <c r="L1885" s="2" t="s">
        <v>24</v>
      </c>
      <c r="M1885" s="2"/>
      <c r="N1885" t="s">
        <v>8589</v>
      </c>
      <c r="O1885" s="8">
        <f t="shared" si="58"/>
        <v>105.85000000015134</v>
      </c>
      <c r="P1885" t="str">
        <f t="shared" si="59"/>
        <v>N/A</v>
      </c>
    </row>
    <row r="1886" spans="1:16" x14ac:dyDescent="0.25">
      <c r="A1886" s="2" t="s">
        <v>5121</v>
      </c>
      <c r="B1886" s="4">
        <v>46261.361111111109</v>
      </c>
      <c r="C1886" s="2" t="s">
        <v>28</v>
      </c>
      <c r="D1886" s="2" t="s">
        <v>37</v>
      </c>
      <c r="E1886" s="2" t="s">
        <v>38</v>
      </c>
      <c r="F1886" s="2" t="s">
        <v>113</v>
      </c>
      <c r="G1886" s="2" t="s">
        <v>183</v>
      </c>
      <c r="H1886" s="2" t="s">
        <v>32</v>
      </c>
      <c r="I1886" s="2">
        <v>48</v>
      </c>
      <c r="J1886" s="2" t="s">
        <v>75</v>
      </c>
      <c r="K1886" s="4">
        <v>46262.647916666669</v>
      </c>
      <c r="L1886" s="2" t="s">
        <v>92</v>
      </c>
      <c r="M1886" s="2">
        <v>2</v>
      </c>
      <c r="N1886" t="s">
        <v>8585</v>
      </c>
      <c r="O1886" s="8">
        <f t="shared" si="58"/>
        <v>30.883333333418705</v>
      </c>
      <c r="P1886" t="str">
        <f t="shared" si="59"/>
        <v>N/A</v>
      </c>
    </row>
    <row r="1887" spans="1:16" x14ac:dyDescent="0.25">
      <c r="A1887" s="2" t="s">
        <v>5124</v>
      </c>
      <c r="B1887" s="4">
        <v>46133.825694444444</v>
      </c>
      <c r="C1887" s="2" t="s">
        <v>28</v>
      </c>
      <c r="D1887" s="2" t="s">
        <v>100</v>
      </c>
      <c r="E1887" s="2" t="s">
        <v>46</v>
      </c>
      <c r="F1887" s="2" t="s">
        <v>30</v>
      </c>
      <c r="G1887" s="2" t="s">
        <v>110</v>
      </c>
      <c r="H1887" s="2" t="s">
        <v>21</v>
      </c>
      <c r="I1887" s="2">
        <v>24</v>
      </c>
      <c r="J1887" s="2" t="s">
        <v>106</v>
      </c>
      <c r="K1887" s="4">
        <v>46134.399305555555</v>
      </c>
      <c r="L1887" s="2" t="s">
        <v>24</v>
      </c>
      <c r="M1887" s="2">
        <v>5</v>
      </c>
      <c r="N1887" t="s">
        <v>8589</v>
      </c>
      <c r="O1887" s="8">
        <f t="shared" si="58"/>
        <v>13.766666666662786</v>
      </c>
      <c r="P1887" t="str">
        <f t="shared" si="59"/>
        <v>Yes</v>
      </c>
    </row>
    <row r="1888" spans="1:16" x14ac:dyDescent="0.25">
      <c r="A1888" s="2" t="s">
        <v>5127</v>
      </c>
      <c r="B1888" s="4">
        <v>46187.557638888888</v>
      </c>
      <c r="C1888" s="2" t="s">
        <v>67</v>
      </c>
      <c r="D1888" s="2" t="s">
        <v>95</v>
      </c>
      <c r="E1888" s="2" t="s">
        <v>46</v>
      </c>
      <c r="F1888" s="2" t="s">
        <v>55</v>
      </c>
      <c r="G1888" s="2" t="s">
        <v>31</v>
      </c>
      <c r="H1888" s="2" t="s">
        <v>21</v>
      </c>
      <c r="I1888" s="2">
        <v>24</v>
      </c>
      <c r="J1888" s="2" t="s">
        <v>75</v>
      </c>
      <c r="K1888" s="4">
        <v>46189.428472222222</v>
      </c>
      <c r="L1888" s="2" t="s">
        <v>24</v>
      </c>
      <c r="M1888" s="2">
        <v>4</v>
      </c>
      <c r="N1888" t="s">
        <v>8586</v>
      </c>
      <c r="O1888" s="8">
        <f t="shared" si="58"/>
        <v>44.900000000023283</v>
      </c>
      <c r="P1888" t="str">
        <f t="shared" si="59"/>
        <v>N/A</v>
      </c>
    </row>
    <row r="1889" spans="1:16" x14ac:dyDescent="0.25">
      <c r="A1889" s="2" t="s">
        <v>5130</v>
      </c>
      <c r="B1889" s="4">
        <v>46115.759027777778</v>
      </c>
      <c r="C1889" s="2" t="s">
        <v>53</v>
      </c>
      <c r="D1889" s="2" t="s">
        <v>61</v>
      </c>
      <c r="E1889" s="2" t="s">
        <v>148</v>
      </c>
      <c r="F1889" s="2" t="s">
        <v>113</v>
      </c>
      <c r="G1889" s="2" t="s">
        <v>110</v>
      </c>
      <c r="H1889" s="2" t="s">
        <v>74</v>
      </c>
      <c r="I1889" s="2">
        <v>8</v>
      </c>
      <c r="J1889" s="2" t="s">
        <v>11</v>
      </c>
      <c r="K1889" s="4" t="s">
        <v>8590</v>
      </c>
      <c r="L1889" s="2" t="s">
        <v>92</v>
      </c>
      <c r="M1889" s="2"/>
      <c r="N1889" t="s">
        <v>8584</v>
      </c>
      <c r="O1889" s="8" t="str">
        <f t="shared" si="58"/>
        <v/>
      </c>
      <c r="P1889" t="str">
        <f t="shared" si="59"/>
        <v>N/A</v>
      </c>
    </row>
    <row r="1890" spans="1:16" x14ac:dyDescent="0.25">
      <c r="A1890" s="2" t="s">
        <v>5132</v>
      </c>
      <c r="B1890" s="4">
        <v>46050.057638888888</v>
      </c>
      <c r="C1890" s="2" t="s">
        <v>16</v>
      </c>
      <c r="D1890" s="2" t="s">
        <v>17</v>
      </c>
      <c r="E1890" s="2" t="s">
        <v>18</v>
      </c>
      <c r="F1890" s="2" t="s">
        <v>55</v>
      </c>
      <c r="G1890" s="2" t="s">
        <v>101</v>
      </c>
      <c r="H1890" s="2" t="s">
        <v>74</v>
      </c>
      <c r="I1890" s="2">
        <v>8</v>
      </c>
      <c r="J1890" s="2" t="s">
        <v>11</v>
      </c>
      <c r="K1890" s="4" t="s">
        <v>8590</v>
      </c>
      <c r="L1890" s="2" t="s">
        <v>92</v>
      </c>
      <c r="M1890" s="2"/>
      <c r="N1890" t="s">
        <v>8585</v>
      </c>
      <c r="O1890" s="8" t="str">
        <f t="shared" si="58"/>
        <v/>
      </c>
      <c r="P1890" t="str">
        <f t="shared" si="59"/>
        <v>N/A</v>
      </c>
    </row>
    <row r="1891" spans="1:16" x14ac:dyDescent="0.25">
      <c r="A1891" s="2" t="s">
        <v>5134</v>
      </c>
      <c r="B1891" s="4">
        <v>46098.387499999997</v>
      </c>
      <c r="C1891" s="2" t="s">
        <v>53</v>
      </c>
      <c r="D1891" s="2" t="s">
        <v>54</v>
      </c>
      <c r="E1891" s="2" t="s">
        <v>18</v>
      </c>
      <c r="F1891" s="2" t="s">
        <v>30</v>
      </c>
      <c r="G1891" s="2" t="s">
        <v>183</v>
      </c>
      <c r="H1891" s="2" t="s">
        <v>21</v>
      </c>
      <c r="I1891" s="2">
        <v>24</v>
      </c>
      <c r="J1891" s="2" t="s">
        <v>75</v>
      </c>
      <c r="K1891" s="4">
        <v>46098.783333333333</v>
      </c>
      <c r="L1891" s="2" t="s">
        <v>24</v>
      </c>
      <c r="M1891" s="2">
        <v>2</v>
      </c>
      <c r="N1891" t="s">
        <v>8587</v>
      </c>
      <c r="O1891" s="8">
        <f t="shared" si="58"/>
        <v>9.5000000000582077</v>
      </c>
      <c r="P1891" t="str">
        <f t="shared" si="59"/>
        <v>N/A</v>
      </c>
    </row>
    <row r="1892" spans="1:16" x14ac:dyDescent="0.25">
      <c r="A1892" s="2" t="s">
        <v>5137</v>
      </c>
      <c r="B1892" s="4">
        <v>46190.200694444444</v>
      </c>
      <c r="C1892" s="2" t="s">
        <v>28</v>
      </c>
      <c r="D1892" s="2" t="s">
        <v>37</v>
      </c>
      <c r="E1892" s="2" t="s">
        <v>148</v>
      </c>
      <c r="F1892" s="2" t="s">
        <v>55</v>
      </c>
      <c r="G1892" s="2" t="s">
        <v>101</v>
      </c>
      <c r="H1892" s="2" t="s">
        <v>21</v>
      </c>
      <c r="I1892" s="2">
        <v>24</v>
      </c>
      <c r="J1892" s="2" t="s">
        <v>106</v>
      </c>
      <c r="K1892" s="4">
        <v>46191.039583333331</v>
      </c>
      <c r="L1892" s="2" t="s">
        <v>24</v>
      </c>
      <c r="M1892" s="2"/>
      <c r="N1892" t="s">
        <v>8587</v>
      </c>
      <c r="O1892" s="8">
        <f t="shared" si="58"/>
        <v>20.133333333302289</v>
      </c>
      <c r="P1892" t="str">
        <f t="shared" si="59"/>
        <v>Yes</v>
      </c>
    </row>
    <row r="1893" spans="1:16" x14ac:dyDescent="0.25">
      <c r="A1893" s="2" t="s">
        <v>5140</v>
      </c>
      <c r="B1893" s="4">
        <v>46262.250694444447</v>
      </c>
      <c r="C1893" s="2" t="s">
        <v>53</v>
      </c>
      <c r="D1893" s="2" t="s">
        <v>61</v>
      </c>
      <c r="E1893" s="2" t="s">
        <v>46</v>
      </c>
      <c r="F1893" s="2" t="s">
        <v>96</v>
      </c>
      <c r="G1893" s="2" t="s">
        <v>110</v>
      </c>
      <c r="H1893" s="2" t="s">
        <v>21</v>
      </c>
      <c r="I1893" s="2">
        <v>24</v>
      </c>
      <c r="J1893" s="2" t="s">
        <v>106</v>
      </c>
      <c r="K1893" s="4">
        <v>46262.686111111114</v>
      </c>
      <c r="L1893" s="2" t="s">
        <v>24</v>
      </c>
      <c r="M1893" s="2"/>
      <c r="N1893" t="s">
        <v>8585</v>
      </c>
      <c r="O1893" s="8">
        <f t="shared" si="58"/>
        <v>10.450000000011642</v>
      </c>
      <c r="P1893" t="str">
        <f t="shared" si="59"/>
        <v>Yes</v>
      </c>
    </row>
    <row r="1894" spans="1:16" x14ac:dyDescent="0.25">
      <c r="A1894" s="2" t="s">
        <v>5143</v>
      </c>
      <c r="B1894" s="4">
        <v>46256.970833333333</v>
      </c>
      <c r="C1894" s="2" t="s">
        <v>16</v>
      </c>
      <c r="D1894" s="2" t="s">
        <v>84</v>
      </c>
      <c r="E1894" s="2" t="s">
        <v>46</v>
      </c>
      <c r="F1894" s="2" t="s">
        <v>113</v>
      </c>
      <c r="G1894" s="2" t="s">
        <v>110</v>
      </c>
      <c r="H1894" s="2" t="s">
        <v>21</v>
      </c>
      <c r="I1894" s="2">
        <v>24</v>
      </c>
      <c r="J1894" s="2" t="s">
        <v>106</v>
      </c>
      <c r="K1894" s="4">
        <v>46257.421527777777</v>
      </c>
      <c r="L1894" s="2" t="s">
        <v>24</v>
      </c>
      <c r="M1894" s="2">
        <v>5</v>
      </c>
      <c r="N1894" t="s">
        <v>8587</v>
      </c>
      <c r="O1894" s="8">
        <f t="shared" si="58"/>
        <v>10.816666666651145</v>
      </c>
      <c r="P1894" t="str">
        <f t="shared" si="59"/>
        <v>Yes</v>
      </c>
    </row>
    <row r="1895" spans="1:16" x14ac:dyDescent="0.25">
      <c r="A1895" s="2" t="s">
        <v>5146</v>
      </c>
      <c r="B1895" s="4">
        <v>46129.444444444445</v>
      </c>
      <c r="C1895" s="2" t="s">
        <v>67</v>
      </c>
      <c r="D1895" s="2" t="s">
        <v>68</v>
      </c>
      <c r="E1895" s="2" t="s">
        <v>18</v>
      </c>
      <c r="F1895" s="2" t="s">
        <v>96</v>
      </c>
      <c r="G1895" s="2" t="s">
        <v>183</v>
      </c>
      <c r="H1895" s="2" t="s">
        <v>32</v>
      </c>
      <c r="I1895" s="2">
        <v>48</v>
      </c>
      <c r="J1895" s="2" t="s">
        <v>75</v>
      </c>
      <c r="K1895" s="4">
        <v>46130.163888888892</v>
      </c>
      <c r="L1895" s="2" t="s">
        <v>24</v>
      </c>
      <c r="M1895" s="2"/>
      <c r="N1895" t="s">
        <v>8589</v>
      </c>
      <c r="O1895" s="8">
        <f t="shared" si="58"/>
        <v>17.266666666720994</v>
      </c>
      <c r="P1895" t="str">
        <f t="shared" si="59"/>
        <v>N/A</v>
      </c>
    </row>
    <row r="1896" spans="1:16" x14ac:dyDescent="0.25">
      <c r="A1896" s="2" t="s">
        <v>5149</v>
      </c>
      <c r="B1896" s="4">
        <v>46133.96597222222</v>
      </c>
      <c r="C1896" s="2" t="s">
        <v>67</v>
      </c>
      <c r="D1896" s="2" t="s">
        <v>95</v>
      </c>
      <c r="E1896" s="2" t="s">
        <v>18</v>
      </c>
      <c r="F1896" s="2" t="s">
        <v>30</v>
      </c>
      <c r="G1896" s="2" t="s">
        <v>211</v>
      </c>
      <c r="H1896" s="2" t="s">
        <v>32</v>
      </c>
      <c r="I1896" s="2">
        <v>48</v>
      </c>
      <c r="J1896" s="2" t="s">
        <v>75</v>
      </c>
      <c r="K1896" s="4">
        <v>46134.746527777781</v>
      </c>
      <c r="L1896" s="2" t="s">
        <v>24</v>
      </c>
      <c r="M1896" s="2">
        <v>5</v>
      </c>
      <c r="N1896" t="s">
        <v>8586</v>
      </c>
      <c r="O1896" s="8">
        <f t="shared" si="58"/>
        <v>18.733333333453629</v>
      </c>
      <c r="P1896" t="str">
        <f t="shared" si="59"/>
        <v>N/A</v>
      </c>
    </row>
    <row r="1897" spans="1:16" x14ac:dyDescent="0.25">
      <c r="A1897" s="2" t="s">
        <v>5152</v>
      </c>
      <c r="B1897" s="4">
        <v>46178.445833333331</v>
      </c>
      <c r="C1897" s="2" t="s">
        <v>28</v>
      </c>
      <c r="D1897" s="2" t="s">
        <v>100</v>
      </c>
      <c r="E1897" s="2" t="s">
        <v>79</v>
      </c>
      <c r="F1897" s="2" t="s">
        <v>96</v>
      </c>
      <c r="G1897" s="2" t="s">
        <v>211</v>
      </c>
      <c r="H1897" s="2" t="s">
        <v>21</v>
      </c>
      <c r="I1897" s="2">
        <v>24</v>
      </c>
      <c r="J1897" s="2" t="s">
        <v>106</v>
      </c>
      <c r="K1897" s="4">
        <v>46178.486805555556</v>
      </c>
      <c r="L1897" s="2" t="s">
        <v>92</v>
      </c>
      <c r="M1897" s="2">
        <v>1</v>
      </c>
      <c r="N1897" t="s">
        <v>8581</v>
      </c>
      <c r="O1897" s="8">
        <f t="shared" si="58"/>
        <v>0.9833333333954215</v>
      </c>
      <c r="P1897" t="str">
        <f t="shared" si="59"/>
        <v>Yes</v>
      </c>
    </row>
    <row r="1898" spans="1:16" x14ac:dyDescent="0.25">
      <c r="A1898" s="2" t="s">
        <v>5155</v>
      </c>
      <c r="B1898" s="4">
        <v>46098.527777777781</v>
      </c>
      <c r="C1898" s="2" t="s">
        <v>53</v>
      </c>
      <c r="D1898" s="2" t="s">
        <v>54</v>
      </c>
      <c r="E1898" s="2" t="s">
        <v>90</v>
      </c>
      <c r="F1898" s="2" t="s">
        <v>55</v>
      </c>
      <c r="G1898" s="2" t="s">
        <v>211</v>
      </c>
      <c r="H1898" s="2" t="s">
        <v>21</v>
      </c>
      <c r="I1898" s="2">
        <v>24</v>
      </c>
      <c r="J1898" s="2" t="s">
        <v>106</v>
      </c>
      <c r="K1898" s="4">
        <v>46099.163888888892</v>
      </c>
      <c r="L1898" s="2" t="s">
        <v>24</v>
      </c>
      <c r="M1898" s="2"/>
      <c r="N1898" t="s">
        <v>8583</v>
      </c>
      <c r="O1898" s="8">
        <f t="shared" si="58"/>
        <v>15.266666666662786</v>
      </c>
      <c r="P1898" t="str">
        <f t="shared" si="59"/>
        <v>Yes</v>
      </c>
    </row>
    <row r="1899" spans="1:16" x14ac:dyDescent="0.25">
      <c r="A1899" s="2" t="s">
        <v>5158</v>
      </c>
      <c r="B1899" s="4">
        <v>46183.563194444447</v>
      </c>
      <c r="C1899" s="2" t="s">
        <v>28</v>
      </c>
      <c r="D1899" s="2" t="s">
        <v>100</v>
      </c>
      <c r="E1899" s="2" t="s">
        <v>148</v>
      </c>
      <c r="F1899" s="2" t="s">
        <v>96</v>
      </c>
      <c r="G1899" s="2" t="s">
        <v>211</v>
      </c>
      <c r="H1899" s="2" t="s">
        <v>80</v>
      </c>
      <c r="I1899" s="2">
        <v>4</v>
      </c>
      <c r="J1899" s="2" t="s">
        <v>106</v>
      </c>
      <c r="K1899" s="4">
        <v>46184.013888888891</v>
      </c>
      <c r="L1899" s="2" t="s">
        <v>24</v>
      </c>
      <c r="M1899" s="2">
        <v>5</v>
      </c>
      <c r="N1899" t="s">
        <v>8588</v>
      </c>
      <c r="O1899" s="8">
        <f t="shared" si="58"/>
        <v>10.816666666651145</v>
      </c>
      <c r="P1899" t="str">
        <f t="shared" si="59"/>
        <v>No</v>
      </c>
    </row>
    <row r="1900" spans="1:16" x14ac:dyDescent="0.25">
      <c r="A1900" s="2" t="s">
        <v>5161</v>
      </c>
      <c r="B1900" s="4">
        <v>46040.774305555555</v>
      </c>
      <c r="C1900" s="2" t="s">
        <v>53</v>
      </c>
      <c r="D1900" s="2" t="s">
        <v>54</v>
      </c>
      <c r="E1900" s="2" t="s">
        <v>46</v>
      </c>
      <c r="F1900" s="2" t="s">
        <v>55</v>
      </c>
      <c r="G1900" s="2" t="s">
        <v>31</v>
      </c>
      <c r="H1900" s="2" t="s">
        <v>21</v>
      </c>
      <c r="I1900" s="2">
        <v>24</v>
      </c>
      <c r="J1900" s="2" t="s">
        <v>106</v>
      </c>
      <c r="K1900" s="4" t="s">
        <v>8590</v>
      </c>
      <c r="L1900" s="2" t="s">
        <v>24</v>
      </c>
      <c r="M1900" s="2">
        <v>5</v>
      </c>
      <c r="N1900" t="s">
        <v>8585</v>
      </c>
      <c r="O1900" s="8" t="str">
        <f t="shared" si="58"/>
        <v/>
      </c>
      <c r="P1900" t="str">
        <f t="shared" si="59"/>
        <v>No</v>
      </c>
    </row>
    <row r="1901" spans="1:16" x14ac:dyDescent="0.25">
      <c r="A1901" s="2" t="s">
        <v>5163</v>
      </c>
      <c r="B1901" s="4">
        <v>46049.933333333334</v>
      </c>
      <c r="C1901" s="2" t="s">
        <v>67</v>
      </c>
      <c r="D1901" s="2" t="s">
        <v>68</v>
      </c>
      <c r="E1901" s="2" t="s">
        <v>46</v>
      </c>
      <c r="F1901" s="2" t="s">
        <v>55</v>
      </c>
      <c r="G1901" s="2" t="s">
        <v>183</v>
      </c>
      <c r="H1901" s="2" t="s">
        <v>32</v>
      </c>
      <c r="I1901" s="2">
        <v>48</v>
      </c>
      <c r="J1901" s="2" t="s">
        <v>149</v>
      </c>
      <c r="K1901" s="4" t="s">
        <v>8590</v>
      </c>
      <c r="L1901" s="2" t="s">
        <v>24</v>
      </c>
      <c r="M1901" s="2"/>
      <c r="N1901" t="s">
        <v>8585</v>
      </c>
      <c r="O1901" s="8" t="str">
        <f t="shared" si="58"/>
        <v/>
      </c>
      <c r="P1901" t="str">
        <f t="shared" si="59"/>
        <v>N/A</v>
      </c>
    </row>
    <row r="1902" spans="1:16" x14ac:dyDescent="0.25">
      <c r="A1902" s="2" t="s">
        <v>5165</v>
      </c>
      <c r="B1902" s="4">
        <v>46145.396527777775</v>
      </c>
      <c r="C1902" s="2" t="s">
        <v>28</v>
      </c>
      <c r="D1902" s="2" t="s">
        <v>100</v>
      </c>
      <c r="E1902" s="2" t="s">
        <v>38</v>
      </c>
      <c r="F1902" s="2" t="s">
        <v>55</v>
      </c>
      <c r="G1902" s="2" t="s">
        <v>110</v>
      </c>
      <c r="H1902" s="2" t="s">
        <v>80</v>
      </c>
      <c r="I1902" s="2">
        <v>4</v>
      </c>
      <c r="J1902" s="2" t="s">
        <v>149</v>
      </c>
      <c r="K1902" s="4" t="s">
        <v>8590</v>
      </c>
      <c r="L1902" s="2" t="s">
        <v>24</v>
      </c>
      <c r="M1902" s="2"/>
      <c r="N1902" t="s">
        <v>8583</v>
      </c>
      <c r="O1902" s="8" t="str">
        <f t="shared" si="58"/>
        <v/>
      </c>
      <c r="P1902" t="str">
        <f t="shared" si="59"/>
        <v>N/A</v>
      </c>
    </row>
    <row r="1903" spans="1:16" x14ac:dyDescent="0.25">
      <c r="A1903" s="2" t="s">
        <v>5167</v>
      </c>
      <c r="B1903" s="4">
        <v>46142.564583333333</v>
      </c>
      <c r="C1903" s="2" t="s">
        <v>28</v>
      </c>
      <c r="D1903" s="2" t="s">
        <v>100</v>
      </c>
      <c r="E1903" s="2" t="s">
        <v>148</v>
      </c>
      <c r="F1903" s="2" t="s">
        <v>96</v>
      </c>
      <c r="G1903" s="2" t="s">
        <v>179</v>
      </c>
      <c r="H1903" s="2" t="s">
        <v>21</v>
      </c>
      <c r="I1903" s="2">
        <v>24</v>
      </c>
      <c r="J1903" s="2" t="s">
        <v>106</v>
      </c>
      <c r="K1903" s="4">
        <v>46143.459027777775</v>
      </c>
      <c r="L1903" s="2" t="s">
        <v>24</v>
      </c>
      <c r="M1903" s="2"/>
      <c r="N1903" t="s">
        <v>8589</v>
      </c>
      <c r="O1903" s="8">
        <f t="shared" si="58"/>
        <v>21.46666666661622</v>
      </c>
      <c r="P1903" t="str">
        <f t="shared" si="59"/>
        <v>Yes</v>
      </c>
    </row>
    <row r="1904" spans="1:16" x14ac:dyDescent="0.25">
      <c r="A1904" s="2" t="s">
        <v>5170</v>
      </c>
      <c r="B1904" s="4">
        <v>46042.638194444444</v>
      </c>
      <c r="C1904" s="2" t="s">
        <v>16</v>
      </c>
      <c r="D1904" s="2" t="s">
        <v>84</v>
      </c>
      <c r="E1904" s="2" t="s">
        <v>148</v>
      </c>
      <c r="F1904" s="2" t="s">
        <v>96</v>
      </c>
      <c r="G1904" s="2" t="s">
        <v>101</v>
      </c>
      <c r="H1904" s="2" t="s">
        <v>80</v>
      </c>
      <c r="I1904" s="2">
        <v>4</v>
      </c>
      <c r="J1904" s="2" t="s">
        <v>106</v>
      </c>
      <c r="K1904" s="4">
        <v>46042.70416666667</v>
      </c>
      <c r="L1904" s="2" t="s">
        <v>24</v>
      </c>
      <c r="M1904" s="2">
        <v>3</v>
      </c>
      <c r="N1904" t="s">
        <v>8586</v>
      </c>
      <c r="O1904" s="8">
        <f t="shared" si="58"/>
        <v>1.5833333334303461</v>
      </c>
      <c r="P1904" t="str">
        <f t="shared" si="59"/>
        <v>Yes</v>
      </c>
    </row>
    <row r="1905" spans="1:16" x14ac:dyDescent="0.25">
      <c r="A1905" s="2" t="s">
        <v>5173</v>
      </c>
      <c r="B1905" s="4">
        <v>46258.883333333331</v>
      </c>
      <c r="C1905" s="2" t="s">
        <v>28</v>
      </c>
      <c r="D1905" s="2" t="s">
        <v>37</v>
      </c>
      <c r="E1905" s="2" t="s">
        <v>90</v>
      </c>
      <c r="F1905" s="2" t="s">
        <v>55</v>
      </c>
      <c r="G1905" s="2" t="s">
        <v>183</v>
      </c>
      <c r="H1905" s="2" t="s">
        <v>21</v>
      </c>
      <c r="I1905" s="2">
        <v>24</v>
      </c>
      <c r="J1905" s="2" t="s">
        <v>8580</v>
      </c>
      <c r="K1905" s="4">
        <v>46259.084722222222</v>
      </c>
      <c r="L1905" s="2" t="s">
        <v>24</v>
      </c>
      <c r="M1905" s="2"/>
      <c r="N1905" t="s">
        <v>8588</v>
      </c>
      <c r="O1905" s="8">
        <f t="shared" si="58"/>
        <v>4.8333333333721384</v>
      </c>
      <c r="P1905" t="str">
        <f t="shared" si="59"/>
        <v>N/A</v>
      </c>
    </row>
    <row r="1906" spans="1:16" x14ac:dyDescent="0.25">
      <c r="A1906" s="2" t="s">
        <v>5176</v>
      </c>
      <c r="B1906" s="4">
        <v>46151.740277777775</v>
      </c>
      <c r="C1906" s="2" t="s">
        <v>53</v>
      </c>
      <c r="D1906" s="2" t="s">
        <v>54</v>
      </c>
      <c r="E1906" s="2" t="s">
        <v>38</v>
      </c>
      <c r="F1906" s="2" t="s">
        <v>55</v>
      </c>
      <c r="G1906" s="2" t="s">
        <v>110</v>
      </c>
      <c r="H1906" s="2" t="s">
        <v>21</v>
      </c>
      <c r="I1906" s="2">
        <v>24</v>
      </c>
      <c r="J1906" s="2" t="s">
        <v>106</v>
      </c>
      <c r="K1906" s="4">
        <v>46151.836111111108</v>
      </c>
      <c r="L1906" s="2" t="s">
        <v>24</v>
      </c>
      <c r="M1906" s="2">
        <v>5</v>
      </c>
      <c r="N1906" t="s">
        <v>8583</v>
      </c>
      <c r="O1906" s="8">
        <f t="shared" si="58"/>
        <v>2.2999999999883585</v>
      </c>
      <c r="P1906" t="str">
        <f t="shared" si="59"/>
        <v>Yes</v>
      </c>
    </row>
    <row r="1907" spans="1:16" x14ac:dyDescent="0.25">
      <c r="A1907" s="2" t="s">
        <v>5179</v>
      </c>
      <c r="B1907" s="4">
        <v>46157.743055555555</v>
      </c>
      <c r="C1907" s="2" t="s">
        <v>16</v>
      </c>
      <c r="D1907" s="2" t="s">
        <v>17</v>
      </c>
      <c r="E1907" s="2" t="s">
        <v>148</v>
      </c>
      <c r="F1907" s="2" t="s">
        <v>96</v>
      </c>
      <c r="G1907" s="2" t="s">
        <v>211</v>
      </c>
      <c r="H1907" s="2" t="s">
        <v>21</v>
      </c>
      <c r="I1907" s="2">
        <v>24</v>
      </c>
      <c r="J1907" s="2" t="s">
        <v>75</v>
      </c>
      <c r="K1907" s="4">
        <v>46158.212500000001</v>
      </c>
      <c r="L1907" s="2" t="s">
        <v>24</v>
      </c>
      <c r="M1907" s="2">
        <v>5</v>
      </c>
      <c r="N1907" t="s">
        <v>8585</v>
      </c>
      <c r="O1907" s="8">
        <f t="shared" si="58"/>
        <v>11.266666666720994</v>
      </c>
      <c r="P1907" t="str">
        <f t="shared" si="59"/>
        <v>N/A</v>
      </c>
    </row>
    <row r="1908" spans="1:16" x14ac:dyDescent="0.25">
      <c r="A1908" s="2" t="s">
        <v>5182</v>
      </c>
      <c r="B1908" s="4">
        <v>46230.072916666664</v>
      </c>
      <c r="C1908" s="2" t="s">
        <v>28</v>
      </c>
      <c r="D1908" s="2" t="s">
        <v>37</v>
      </c>
      <c r="E1908" s="2" t="s">
        <v>18</v>
      </c>
      <c r="F1908" s="2" t="s">
        <v>30</v>
      </c>
      <c r="G1908" s="2" t="s">
        <v>101</v>
      </c>
      <c r="H1908" s="2" t="s">
        <v>21</v>
      </c>
      <c r="I1908" s="2">
        <v>24</v>
      </c>
      <c r="J1908" s="2" t="s">
        <v>75</v>
      </c>
      <c r="K1908" s="4">
        <v>46230.640277777777</v>
      </c>
      <c r="L1908" s="2" t="s">
        <v>24</v>
      </c>
      <c r="M1908" s="2">
        <v>1</v>
      </c>
      <c r="N1908" t="s">
        <v>8582</v>
      </c>
      <c r="O1908" s="8">
        <f t="shared" si="58"/>
        <v>13.616666666697711</v>
      </c>
      <c r="P1908" t="str">
        <f t="shared" si="59"/>
        <v>N/A</v>
      </c>
    </row>
    <row r="1909" spans="1:16" x14ac:dyDescent="0.25">
      <c r="A1909" s="2" t="s">
        <v>5185</v>
      </c>
      <c r="B1909" s="4">
        <v>46163.3</v>
      </c>
      <c r="C1909" s="2" t="s">
        <v>16</v>
      </c>
      <c r="D1909" s="2" t="s">
        <v>84</v>
      </c>
      <c r="E1909" s="2" t="s">
        <v>148</v>
      </c>
      <c r="F1909" s="2" t="s">
        <v>30</v>
      </c>
      <c r="G1909" s="2" t="s">
        <v>183</v>
      </c>
      <c r="H1909" s="2" t="s">
        <v>80</v>
      </c>
      <c r="I1909" s="2">
        <v>4</v>
      </c>
      <c r="J1909" s="2" t="s">
        <v>75</v>
      </c>
      <c r="K1909" s="4">
        <v>46163.354861111111</v>
      </c>
      <c r="L1909" s="2" t="s">
        <v>24</v>
      </c>
      <c r="M1909" s="2"/>
      <c r="N1909" t="s">
        <v>8588</v>
      </c>
      <c r="O1909" s="8">
        <f t="shared" si="58"/>
        <v>1.316666666592937</v>
      </c>
      <c r="P1909" t="str">
        <f t="shared" si="59"/>
        <v>N/A</v>
      </c>
    </row>
    <row r="1910" spans="1:16" x14ac:dyDescent="0.25">
      <c r="A1910" s="2" t="s">
        <v>5188</v>
      </c>
      <c r="B1910" s="4">
        <v>46191.447222222225</v>
      </c>
      <c r="C1910" s="2" t="s">
        <v>16</v>
      </c>
      <c r="D1910" s="2" t="s">
        <v>84</v>
      </c>
      <c r="E1910" s="2" t="s">
        <v>90</v>
      </c>
      <c r="F1910" s="2" t="s">
        <v>96</v>
      </c>
      <c r="G1910" s="2" t="s">
        <v>110</v>
      </c>
      <c r="H1910" s="2" t="s">
        <v>80</v>
      </c>
      <c r="I1910" s="2">
        <v>4</v>
      </c>
      <c r="J1910" s="2" t="s">
        <v>75</v>
      </c>
      <c r="K1910" s="4">
        <v>46191.552083333336</v>
      </c>
      <c r="L1910" s="2" t="s">
        <v>24</v>
      </c>
      <c r="M1910" s="2">
        <v>1</v>
      </c>
      <c r="N1910" t="s">
        <v>8589</v>
      </c>
      <c r="O1910" s="8">
        <f t="shared" si="58"/>
        <v>2.5166666666627862</v>
      </c>
      <c r="P1910" t="str">
        <f t="shared" si="59"/>
        <v>N/A</v>
      </c>
    </row>
    <row r="1911" spans="1:16" x14ac:dyDescent="0.25">
      <c r="A1911" s="2" t="s">
        <v>5191</v>
      </c>
      <c r="B1911" s="4">
        <v>46042.425694444442</v>
      </c>
      <c r="C1911" s="2" t="s">
        <v>67</v>
      </c>
      <c r="D1911" s="2" t="s">
        <v>68</v>
      </c>
      <c r="E1911" s="2" t="s">
        <v>148</v>
      </c>
      <c r="F1911" s="2" t="s">
        <v>113</v>
      </c>
      <c r="G1911" s="2" t="s">
        <v>179</v>
      </c>
      <c r="H1911" s="2" t="s">
        <v>32</v>
      </c>
      <c r="I1911" s="2">
        <v>48</v>
      </c>
      <c r="J1911" s="2" t="s">
        <v>75</v>
      </c>
      <c r="K1911" s="4">
        <v>46043.775000000001</v>
      </c>
      <c r="L1911" s="2" t="s">
        <v>24</v>
      </c>
      <c r="M1911" s="2"/>
      <c r="N1911" t="s">
        <v>8586</v>
      </c>
      <c r="O1911" s="8">
        <f t="shared" si="58"/>
        <v>32.383333333418705</v>
      </c>
      <c r="P1911" t="str">
        <f t="shared" si="59"/>
        <v>N/A</v>
      </c>
    </row>
    <row r="1912" spans="1:16" x14ac:dyDescent="0.25">
      <c r="A1912" s="2" t="s">
        <v>5194</v>
      </c>
      <c r="B1912" s="4">
        <v>46223.688194444447</v>
      </c>
      <c r="C1912" s="2" t="s">
        <v>67</v>
      </c>
      <c r="D1912" s="2" t="s">
        <v>95</v>
      </c>
      <c r="E1912" s="2" t="s">
        <v>79</v>
      </c>
      <c r="F1912" s="2" t="s">
        <v>96</v>
      </c>
      <c r="G1912" s="2" t="s">
        <v>179</v>
      </c>
      <c r="H1912" s="2" t="s">
        <v>74</v>
      </c>
      <c r="I1912" s="2">
        <v>8</v>
      </c>
      <c r="J1912" s="2" t="s">
        <v>149</v>
      </c>
      <c r="K1912" s="4" t="s">
        <v>8590</v>
      </c>
      <c r="L1912" s="2" t="s">
        <v>24</v>
      </c>
      <c r="M1912" s="2"/>
      <c r="N1912" t="s">
        <v>8589</v>
      </c>
      <c r="O1912" s="8" t="str">
        <f t="shared" si="58"/>
        <v/>
      </c>
      <c r="P1912" t="str">
        <f t="shared" si="59"/>
        <v>N/A</v>
      </c>
    </row>
    <row r="1913" spans="1:16" x14ac:dyDescent="0.25">
      <c r="A1913" s="2" t="s">
        <v>5196</v>
      </c>
      <c r="B1913" s="4">
        <v>46136.861805555556</v>
      </c>
      <c r="C1913" s="2" t="s">
        <v>67</v>
      </c>
      <c r="D1913" s="2" t="s">
        <v>68</v>
      </c>
      <c r="E1913" s="2" t="s">
        <v>85</v>
      </c>
      <c r="F1913" s="2" t="s">
        <v>55</v>
      </c>
      <c r="G1913" s="2" t="s">
        <v>31</v>
      </c>
      <c r="H1913" s="2" t="s">
        <v>32</v>
      </c>
      <c r="I1913" s="2">
        <v>48</v>
      </c>
      <c r="J1913" s="2" t="s">
        <v>8580</v>
      </c>
      <c r="K1913" s="4">
        <v>46138.501388888886</v>
      </c>
      <c r="L1913" s="2" t="s">
        <v>24</v>
      </c>
      <c r="M1913" s="2"/>
      <c r="N1913" t="s">
        <v>8589</v>
      </c>
      <c r="O1913" s="8">
        <f t="shared" si="58"/>
        <v>39.349999999918509</v>
      </c>
      <c r="P1913" t="str">
        <f t="shared" si="59"/>
        <v>N/A</v>
      </c>
    </row>
    <row r="1914" spans="1:16" x14ac:dyDescent="0.25">
      <c r="A1914" s="2" t="s">
        <v>5199</v>
      </c>
      <c r="B1914" s="4">
        <v>46223.047222222223</v>
      </c>
      <c r="C1914" s="2" t="s">
        <v>53</v>
      </c>
      <c r="D1914" s="2" t="s">
        <v>61</v>
      </c>
      <c r="E1914" s="2" t="s">
        <v>90</v>
      </c>
      <c r="F1914" s="2" t="s">
        <v>113</v>
      </c>
      <c r="G1914" s="2" t="s">
        <v>101</v>
      </c>
      <c r="H1914" s="2" t="s">
        <v>32</v>
      </c>
      <c r="I1914" s="2">
        <v>48</v>
      </c>
      <c r="J1914" s="2" t="s">
        <v>75</v>
      </c>
      <c r="K1914" s="4">
        <v>46223.727777777778</v>
      </c>
      <c r="L1914" s="2" t="s">
        <v>24</v>
      </c>
      <c r="M1914" s="2">
        <v>4</v>
      </c>
      <c r="N1914" t="s">
        <v>8589</v>
      </c>
      <c r="O1914" s="8">
        <f t="shared" si="58"/>
        <v>16.333333333313931</v>
      </c>
      <c r="P1914" t="str">
        <f t="shared" si="59"/>
        <v>N/A</v>
      </c>
    </row>
    <row r="1915" spans="1:16" x14ac:dyDescent="0.25">
      <c r="A1915" s="2" t="s">
        <v>5202</v>
      </c>
      <c r="B1915" s="4">
        <v>46231.461805555555</v>
      </c>
      <c r="C1915" s="2" t="s">
        <v>28</v>
      </c>
      <c r="D1915" s="2" t="s">
        <v>100</v>
      </c>
      <c r="E1915" s="2" t="s">
        <v>38</v>
      </c>
      <c r="F1915" s="2" t="s">
        <v>96</v>
      </c>
      <c r="G1915" s="2" t="s">
        <v>101</v>
      </c>
      <c r="H1915" s="2" t="s">
        <v>74</v>
      </c>
      <c r="I1915" s="2">
        <v>8</v>
      </c>
      <c r="J1915" s="2" t="s">
        <v>106</v>
      </c>
      <c r="K1915" s="4">
        <v>46231.635416666664</v>
      </c>
      <c r="L1915" s="2" t="s">
        <v>24</v>
      </c>
      <c r="M1915" s="2">
        <v>4</v>
      </c>
      <c r="N1915" t="s">
        <v>8587</v>
      </c>
      <c r="O1915" s="8">
        <f t="shared" si="58"/>
        <v>4.1666666666278616</v>
      </c>
      <c r="P1915" t="str">
        <f t="shared" si="59"/>
        <v>Yes</v>
      </c>
    </row>
    <row r="1916" spans="1:16" x14ac:dyDescent="0.25">
      <c r="A1916" s="2" t="s">
        <v>5205</v>
      </c>
      <c r="B1916" s="4">
        <v>46203.591666666667</v>
      </c>
      <c r="C1916" s="2" t="s">
        <v>16</v>
      </c>
      <c r="D1916" s="2" t="s">
        <v>84</v>
      </c>
      <c r="E1916" s="2" t="s">
        <v>38</v>
      </c>
      <c r="F1916" s="2" t="s">
        <v>113</v>
      </c>
      <c r="G1916" s="2" t="s">
        <v>110</v>
      </c>
      <c r="H1916" s="2" t="s">
        <v>32</v>
      </c>
      <c r="I1916" s="2">
        <v>48</v>
      </c>
      <c r="J1916" s="2" t="s">
        <v>11</v>
      </c>
      <c r="K1916" s="4" t="s">
        <v>8590</v>
      </c>
      <c r="L1916" s="2" t="s">
        <v>92</v>
      </c>
      <c r="M1916" s="2"/>
      <c r="N1916" t="s">
        <v>8582</v>
      </c>
      <c r="O1916" s="8" t="str">
        <f t="shared" si="58"/>
        <v/>
      </c>
      <c r="P1916" t="str">
        <f t="shared" si="59"/>
        <v>N/A</v>
      </c>
    </row>
    <row r="1917" spans="1:16" x14ac:dyDescent="0.25">
      <c r="A1917" s="2" t="s">
        <v>5207</v>
      </c>
      <c r="B1917" s="4">
        <v>46178.595138888886</v>
      </c>
      <c r="C1917" s="2" t="s">
        <v>16</v>
      </c>
      <c r="D1917" s="2" t="s">
        <v>84</v>
      </c>
      <c r="E1917" s="2" t="s">
        <v>18</v>
      </c>
      <c r="F1917" s="2" t="s">
        <v>55</v>
      </c>
      <c r="G1917" s="2" t="s">
        <v>179</v>
      </c>
      <c r="H1917" s="2" t="s">
        <v>21</v>
      </c>
      <c r="I1917" s="2">
        <v>24</v>
      </c>
      <c r="J1917" s="2" t="s">
        <v>75</v>
      </c>
      <c r="K1917" s="4">
        <v>46180.720138888886</v>
      </c>
      <c r="L1917" s="2" t="s">
        <v>24</v>
      </c>
      <c r="M1917" s="2">
        <v>4</v>
      </c>
      <c r="N1917" t="s">
        <v>8581</v>
      </c>
      <c r="O1917" s="8">
        <f t="shared" si="58"/>
        <v>51</v>
      </c>
      <c r="P1917" t="str">
        <f t="shared" si="59"/>
        <v>N/A</v>
      </c>
    </row>
    <row r="1918" spans="1:16" x14ac:dyDescent="0.25">
      <c r="A1918" s="2" t="s">
        <v>5210</v>
      </c>
      <c r="B1918" s="4">
        <v>46227.068749999999</v>
      </c>
      <c r="C1918" s="2" t="s">
        <v>53</v>
      </c>
      <c r="D1918" s="2" t="s">
        <v>54</v>
      </c>
      <c r="E1918" s="2" t="s">
        <v>18</v>
      </c>
      <c r="F1918" s="2" t="s">
        <v>55</v>
      </c>
      <c r="G1918" s="2" t="s">
        <v>101</v>
      </c>
      <c r="H1918" s="2" t="s">
        <v>21</v>
      </c>
      <c r="I1918" s="2">
        <v>24</v>
      </c>
      <c r="J1918" s="2" t="s">
        <v>287</v>
      </c>
      <c r="K1918" s="4" t="s">
        <v>8590</v>
      </c>
      <c r="L1918" s="2" t="s">
        <v>24</v>
      </c>
      <c r="M1918" s="2"/>
      <c r="N1918" t="s">
        <v>8583</v>
      </c>
      <c r="O1918" s="8" t="str">
        <f t="shared" si="58"/>
        <v/>
      </c>
      <c r="P1918" t="str">
        <f t="shared" si="59"/>
        <v>N/A</v>
      </c>
    </row>
    <row r="1919" spans="1:16" x14ac:dyDescent="0.25">
      <c r="A1919" s="2" t="s">
        <v>5212</v>
      </c>
      <c r="B1919" s="4">
        <v>46036.84097222222</v>
      </c>
      <c r="C1919" s="2" t="s">
        <v>28</v>
      </c>
      <c r="D1919" s="2" t="s">
        <v>37</v>
      </c>
      <c r="E1919" s="2" t="s">
        <v>148</v>
      </c>
      <c r="F1919" s="2" t="s">
        <v>113</v>
      </c>
      <c r="G1919" s="2" t="s">
        <v>31</v>
      </c>
      <c r="H1919" s="2" t="s">
        <v>21</v>
      </c>
      <c r="I1919" s="2">
        <v>24</v>
      </c>
      <c r="J1919" s="2" t="s">
        <v>8580</v>
      </c>
      <c r="K1919" s="4">
        <v>46037.34652777778</v>
      </c>
      <c r="L1919" s="2" t="s">
        <v>92</v>
      </c>
      <c r="M1919" s="2"/>
      <c r="N1919" t="s">
        <v>8583</v>
      </c>
      <c r="O1919" s="8">
        <f t="shared" si="58"/>
        <v>12.133333333418705</v>
      </c>
      <c r="P1919" t="str">
        <f t="shared" si="59"/>
        <v>N/A</v>
      </c>
    </row>
    <row r="1920" spans="1:16" x14ac:dyDescent="0.25">
      <c r="A1920" s="2" t="s">
        <v>5215</v>
      </c>
      <c r="B1920" s="4">
        <v>46152.368750000001</v>
      </c>
      <c r="C1920" s="2" t="s">
        <v>28</v>
      </c>
      <c r="D1920" s="2" t="s">
        <v>100</v>
      </c>
      <c r="E1920" s="2" t="s">
        <v>79</v>
      </c>
      <c r="F1920" s="2" t="s">
        <v>96</v>
      </c>
      <c r="G1920" s="2" t="s">
        <v>31</v>
      </c>
      <c r="H1920" s="2" t="s">
        <v>21</v>
      </c>
      <c r="I1920" s="2">
        <v>24</v>
      </c>
      <c r="J1920" s="2" t="s">
        <v>106</v>
      </c>
      <c r="K1920" s="4" t="s">
        <v>8590</v>
      </c>
      <c r="L1920" s="2" t="s">
        <v>24</v>
      </c>
      <c r="M1920" s="2"/>
      <c r="N1920" t="s">
        <v>8588</v>
      </c>
      <c r="O1920" s="8" t="str">
        <f t="shared" si="58"/>
        <v/>
      </c>
      <c r="P1920" t="str">
        <f t="shared" si="59"/>
        <v>No</v>
      </c>
    </row>
    <row r="1921" spans="1:16" x14ac:dyDescent="0.25">
      <c r="A1921" s="2" t="s">
        <v>5217</v>
      </c>
      <c r="B1921" s="4">
        <v>46070.68472222222</v>
      </c>
      <c r="C1921" s="2" t="s">
        <v>53</v>
      </c>
      <c r="D1921" s="2" t="s">
        <v>61</v>
      </c>
      <c r="E1921" s="2" t="s">
        <v>79</v>
      </c>
      <c r="F1921" s="2" t="s">
        <v>30</v>
      </c>
      <c r="G1921" s="2" t="s">
        <v>183</v>
      </c>
      <c r="H1921" s="2" t="s">
        <v>74</v>
      </c>
      <c r="I1921" s="2">
        <v>8</v>
      </c>
      <c r="J1921" s="2" t="s">
        <v>106</v>
      </c>
      <c r="K1921" s="4">
        <v>46071.379861111112</v>
      </c>
      <c r="L1921" s="2" t="s">
        <v>24</v>
      </c>
      <c r="M1921" s="2">
        <v>3</v>
      </c>
      <c r="N1921" t="s">
        <v>8589</v>
      </c>
      <c r="O1921" s="8">
        <f t="shared" si="58"/>
        <v>16.683333333407063</v>
      </c>
      <c r="P1921" t="str">
        <f t="shared" si="59"/>
        <v>No</v>
      </c>
    </row>
    <row r="1922" spans="1:16" x14ac:dyDescent="0.25">
      <c r="A1922" s="2" t="s">
        <v>5220</v>
      </c>
      <c r="B1922" s="4">
        <v>46130.543749999997</v>
      </c>
      <c r="C1922" s="2" t="s">
        <v>16</v>
      </c>
      <c r="D1922" s="2" t="s">
        <v>84</v>
      </c>
      <c r="E1922" s="2" t="s">
        <v>79</v>
      </c>
      <c r="F1922" s="2" t="s">
        <v>55</v>
      </c>
      <c r="G1922" s="2" t="s">
        <v>31</v>
      </c>
      <c r="H1922" s="2" t="s">
        <v>32</v>
      </c>
      <c r="I1922" s="2">
        <v>48</v>
      </c>
      <c r="J1922" s="2" t="s">
        <v>75</v>
      </c>
      <c r="K1922" s="4">
        <v>46132.848611111112</v>
      </c>
      <c r="L1922" s="2" t="s">
        <v>24</v>
      </c>
      <c r="M1922" s="2"/>
      <c r="N1922" t="s">
        <v>8583</v>
      </c>
      <c r="O1922" s="8">
        <f t="shared" si="58"/>
        <v>55.31666666676756</v>
      </c>
      <c r="P1922" t="str">
        <f t="shared" si="59"/>
        <v>N/A</v>
      </c>
    </row>
    <row r="1923" spans="1:16" x14ac:dyDescent="0.25">
      <c r="A1923" s="2" t="s">
        <v>5223</v>
      </c>
      <c r="B1923" s="4">
        <v>46210.834722222222</v>
      </c>
      <c r="C1923" s="2" t="s">
        <v>53</v>
      </c>
      <c r="D1923" s="2" t="s">
        <v>61</v>
      </c>
      <c r="E1923" s="2" t="s">
        <v>18</v>
      </c>
      <c r="F1923" s="2" t="s">
        <v>113</v>
      </c>
      <c r="G1923" s="2" t="s">
        <v>179</v>
      </c>
      <c r="H1923" s="2" t="s">
        <v>74</v>
      </c>
      <c r="I1923" s="2">
        <v>8</v>
      </c>
      <c r="J1923" s="2" t="s">
        <v>75</v>
      </c>
      <c r="K1923" s="4">
        <v>46211.085416666669</v>
      </c>
      <c r="L1923" s="2" t="s">
        <v>24</v>
      </c>
      <c r="M1923" s="2"/>
      <c r="N1923" t="s">
        <v>8586</v>
      </c>
      <c r="O1923" s="8">
        <f t="shared" ref="O1923:O1986" si="60">IF(K1923="","",IF(K1923="Missing Resolve Date","",(K1923-B1923)*24))</f>
        <v>6.0166666667209938</v>
      </c>
      <c r="P1923" t="str">
        <f t="shared" ref="P1923:P1986" si="61">IF(J1923="Resolved",IF(O1923&lt;=I1923,"Yes","No"),"N/A")</f>
        <v>N/A</v>
      </c>
    </row>
    <row r="1924" spans="1:16" x14ac:dyDescent="0.25">
      <c r="A1924" s="2" t="s">
        <v>5225</v>
      </c>
      <c r="B1924" s="4">
        <v>46030.786111111112</v>
      </c>
      <c r="C1924" s="2" t="s">
        <v>16</v>
      </c>
      <c r="D1924" s="2" t="s">
        <v>84</v>
      </c>
      <c r="E1924" s="2" t="s">
        <v>79</v>
      </c>
      <c r="F1924" s="2" t="s">
        <v>30</v>
      </c>
      <c r="G1924" s="2" t="s">
        <v>110</v>
      </c>
      <c r="H1924" s="2" t="s">
        <v>74</v>
      </c>
      <c r="I1924" s="2">
        <v>8</v>
      </c>
      <c r="J1924" s="2" t="s">
        <v>75</v>
      </c>
      <c r="K1924" s="4">
        <v>46031.017361111109</v>
      </c>
      <c r="L1924" s="2" t="s">
        <v>24</v>
      </c>
      <c r="M1924" s="2"/>
      <c r="N1924" t="s">
        <v>8581</v>
      </c>
      <c r="O1924" s="8">
        <f t="shared" si="60"/>
        <v>5.5499999999301508</v>
      </c>
      <c r="P1924" t="str">
        <f t="shared" si="61"/>
        <v>N/A</v>
      </c>
    </row>
    <row r="1925" spans="1:16" x14ac:dyDescent="0.25">
      <c r="A1925" s="2" t="s">
        <v>5228</v>
      </c>
      <c r="B1925" s="4">
        <v>46047.772916666669</v>
      </c>
      <c r="C1925" s="2" t="s">
        <v>67</v>
      </c>
      <c r="D1925" s="2" t="s">
        <v>95</v>
      </c>
      <c r="E1925" s="2" t="s">
        <v>90</v>
      </c>
      <c r="F1925" s="2" t="s">
        <v>30</v>
      </c>
      <c r="G1925" s="2" t="s">
        <v>31</v>
      </c>
      <c r="H1925" s="2" t="s">
        <v>32</v>
      </c>
      <c r="I1925" s="2">
        <v>48</v>
      </c>
      <c r="J1925" s="2" t="s">
        <v>149</v>
      </c>
      <c r="K1925" s="4" t="s">
        <v>8590</v>
      </c>
      <c r="L1925" s="2" t="s">
        <v>24</v>
      </c>
      <c r="M1925" s="2"/>
      <c r="N1925" t="s">
        <v>8583</v>
      </c>
      <c r="O1925" s="8" t="str">
        <f t="shared" si="60"/>
        <v/>
      </c>
      <c r="P1925" t="str">
        <f t="shared" si="61"/>
        <v>N/A</v>
      </c>
    </row>
    <row r="1926" spans="1:16" x14ac:dyDescent="0.25">
      <c r="A1926" s="2" t="s">
        <v>5230</v>
      </c>
      <c r="B1926" s="4">
        <v>46237.131249999999</v>
      </c>
      <c r="C1926" s="2" t="s">
        <v>28</v>
      </c>
      <c r="D1926" s="2" t="s">
        <v>100</v>
      </c>
      <c r="E1926" s="2" t="s">
        <v>148</v>
      </c>
      <c r="F1926" s="2" t="s">
        <v>30</v>
      </c>
      <c r="G1926" s="2" t="s">
        <v>183</v>
      </c>
      <c r="H1926" s="2" t="s">
        <v>32</v>
      </c>
      <c r="I1926" s="2">
        <v>48</v>
      </c>
      <c r="J1926" s="2" t="s">
        <v>106</v>
      </c>
      <c r="K1926" s="4">
        <v>46238.904166666667</v>
      </c>
      <c r="L1926" s="2" t="s">
        <v>24</v>
      </c>
      <c r="M1926" s="2">
        <v>2</v>
      </c>
      <c r="N1926" t="s">
        <v>8581</v>
      </c>
      <c r="O1926" s="8">
        <f t="shared" si="60"/>
        <v>42.550000000046566</v>
      </c>
      <c r="P1926" t="str">
        <f t="shared" si="61"/>
        <v>Yes</v>
      </c>
    </row>
    <row r="1927" spans="1:16" x14ac:dyDescent="0.25">
      <c r="A1927" s="2" t="s">
        <v>5233</v>
      </c>
      <c r="B1927" s="4">
        <v>46157.64166666667</v>
      </c>
      <c r="C1927" s="2" t="s">
        <v>28</v>
      </c>
      <c r="D1927" s="2" t="s">
        <v>37</v>
      </c>
      <c r="E1927" s="2" t="s">
        <v>90</v>
      </c>
      <c r="F1927" s="2" t="s">
        <v>30</v>
      </c>
      <c r="G1927" s="2" t="s">
        <v>110</v>
      </c>
      <c r="H1927" s="2" t="s">
        <v>21</v>
      </c>
      <c r="I1927" s="2">
        <v>24</v>
      </c>
      <c r="J1927" s="2" t="s">
        <v>106</v>
      </c>
      <c r="K1927" s="4">
        <v>46158.319444444445</v>
      </c>
      <c r="L1927" s="2" t="s">
        <v>24</v>
      </c>
      <c r="M1927" s="2"/>
      <c r="N1927" t="s">
        <v>8586</v>
      </c>
      <c r="O1927" s="8">
        <f t="shared" si="60"/>
        <v>16.266666666604578</v>
      </c>
      <c r="P1927" t="str">
        <f t="shared" si="61"/>
        <v>Yes</v>
      </c>
    </row>
    <row r="1928" spans="1:16" x14ac:dyDescent="0.25">
      <c r="A1928" s="2" t="s">
        <v>5236</v>
      </c>
      <c r="B1928" s="4">
        <v>46075.87777777778</v>
      </c>
      <c r="C1928" s="2" t="s">
        <v>67</v>
      </c>
      <c r="D1928" s="2" t="s">
        <v>68</v>
      </c>
      <c r="E1928" s="2" t="s">
        <v>18</v>
      </c>
      <c r="F1928" s="2" t="s">
        <v>55</v>
      </c>
      <c r="G1928" s="2" t="s">
        <v>31</v>
      </c>
      <c r="H1928" s="2" t="s">
        <v>21</v>
      </c>
      <c r="I1928" s="2">
        <v>24</v>
      </c>
      <c r="J1928" s="2" t="s">
        <v>106</v>
      </c>
      <c r="K1928" s="4">
        <v>46076.553472222222</v>
      </c>
      <c r="L1928" s="2" t="s">
        <v>24</v>
      </c>
      <c r="M1928" s="2">
        <v>2</v>
      </c>
      <c r="N1928" t="s">
        <v>8581</v>
      </c>
      <c r="O1928" s="8">
        <f t="shared" si="60"/>
        <v>16.21666666661622</v>
      </c>
      <c r="P1928" t="str">
        <f t="shared" si="61"/>
        <v>Yes</v>
      </c>
    </row>
    <row r="1929" spans="1:16" x14ac:dyDescent="0.25">
      <c r="A1929" s="2" t="s">
        <v>5239</v>
      </c>
      <c r="B1929" s="4">
        <v>46029.143055555556</v>
      </c>
      <c r="C1929" s="2" t="s">
        <v>28</v>
      </c>
      <c r="D1929" s="2" t="s">
        <v>100</v>
      </c>
      <c r="E1929" s="2" t="s">
        <v>90</v>
      </c>
      <c r="F1929" s="2" t="s">
        <v>55</v>
      </c>
      <c r="G1929" s="2" t="s">
        <v>179</v>
      </c>
      <c r="H1929" s="2" t="s">
        <v>74</v>
      </c>
      <c r="I1929" s="2">
        <v>8</v>
      </c>
      <c r="J1929" s="2" t="s">
        <v>106</v>
      </c>
      <c r="K1929" s="4">
        <v>46029.256944444445</v>
      </c>
      <c r="L1929" s="2" t="s">
        <v>24</v>
      </c>
      <c r="M1929" s="2">
        <v>3</v>
      </c>
      <c r="N1929" t="s">
        <v>8584</v>
      </c>
      <c r="O1929" s="8">
        <f t="shared" si="60"/>
        <v>2.7333333333372138</v>
      </c>
      <c r="P1929" t="str">
        <f t="shared" si="61"/>
        <v>Yes</v>
      </c>
    </row>
    <row r="1930" spans="1:16" x14ac:dyDescent="0.25">
      <c r="A1930" s="2" t="s">
        <v>5242</v>
      </c>
      <c r="B1930" s="4">
        <v>46114.650694444441</v>
      </c>
      <c r="C1930" s="2" t="s">
        <v>67</v>
      </c>
      <c r="D1930" s="2" t="s">
        <v>68</v>
      </c>
      <c r="E1930" s="2" t="s">
        <v>18</v>
      </c>
      <c r="F1930" s="2" t="s">
        <v>96</v>
      </c>
      <c r="G1930" s="2" t="s">
        <v>101</v>
      </c>
      <c r="H1930" s="2" t="s">
        <v>32</v>
      </c>
      <c r="I1930" s="2">
        <v>48</v>
      </c>
      <c r="J1930" s="2" t="s">
        <v>75</v>
      </c>
      <c r="K1930" s="4">
        <v>46115.828472222223</v>
      </c>
      <c r="L1930" s="2" t="s">
        <v>24</v>
      </c>
      <c r="M1930" s="2">
        <v>5</v>
      </c>
      <c r="N1930" t="s">
        <v>8581</v>
      </c>
      <c r="O1930" s="8">
        <f t="shared" si="60"/>
        <v>28.266666666779201</v>
      </c>
      <c r="P1930" t="str">
        <f t="shared" si="61"/>
        <v>N/A</v>
      </c>
    </row>
    <row r="1931" spans="1:16" x14ac:dyDescent="0.25">
      <c r="A1931" s="2" t="s">
        <v>5245</v>
      </c>
      <c r="B1931" s="4">
        <v>46117.349305555559</v>
      </c>
      <c r="C1931" s="2" t="s">
        <v>53</v>
      </c>
      <c r="D1931" s="2" t="s">
        <v>54</v>
      </c>
      <c r="E1931" s="2" t="s">
        <v>79</v>
      </c>
      <c r="F1931" s="2" t="s">
        <v>30</v>
      </c>
      <c r="G1931" s="2" t="s">
        <v>101</v>
      </c>
      <c r="H1931" s="2" t="s">
        <v>21</v>
      </c>
      <c r="I1931" s="2">
        <v>24</v>
      </c>
      <c r="J1931" s="2" t="s">
        <v>287</v>
      </c>
      <c r="K1931" s="4" t="s">
        <v>8590</v>
      </c>
      <c r="L1931" s="2" t="s">
        <v>24</v>
      </c>
      <c r="M1931" s="2"/>
      <c r="N1931" t="s">
        <v>8584</v>
      </c>
      <c r="O1931" s="8" t="str">
        <f t="shared" si="60"/>
        <v/>
      </c>
      <c r="P1931" t="str">
        <f t="shared" si="61"/>
        <v>N/A</v>
      </c>
    </row>
    <row r="1932" spans="1:16" x14ac:dyDescent="0.25">
      <c r="A1932" s="2" t="s">
        <v>5247</v>
      </c>
      <c r="B1932" s="4">
        <v>46158.511111111111</v>
      </c>
      <c r="C1932" s="2" t="s">
        <v>16</v>
      </c>
      <c r="D1932" s="2" t="s">
        <v>84</v>
      </c>
      <c r="E1932" s="2" t="s">
        <v>85</v>
      </c>
      <c r="F1932" s="2" t="s">
        <v>30</v>
      </c>
      <c r="G1932" s="2" t="s">
        <v>211</v>
      </c>
      <c r="H1932" s="2" t="s">
        <v>21</v>
      </c>
      <c r="I1932" s="2">
        <v>24</v>
      </c>
      <c r="J1932" s="2" t="s">
        <v>106</v>
      </c>
      <c r="K1932" s="4">
        <v>46158.864583333336</v>
      </c>
      <c r="L1932" s="2" t="s">
        <v>24</v>
      </c>
      <c r="M1932" s="2"/>
      <c r="N1932" t="s">
        <v>8582</v>
      </c>
      <c r="O1932" s="8">
        <f t="shared" si="60"/>
        <v>8.4833333333954215</v>
      </c>
      <c r="P1932" t="str">
        <f t="shared" si="61"/>
        <v>Yes</v>
      </c>
    </row>
    <row r="1933" spans="1:16" x14ac:dyDescent="0.25">
      <c r="A1933" s="2" t="s">
        <v>5250</v>
      </c>
      <c r="B1933" s="4">
        <v>46203.06527777778</v>
      </c>
      <c r="C1933" s="2" t="s">
        <v>53</v>
      </c>
      <c r="D1933" s="2" t="s">
        <v>61</v>
      </c>
      <c r="E1933" s="2" t="s">
        <v>46</v>
      </c>
      <c r="F1933" s="2" t="s">
        <v>30</v>
      </c>
      <c r="G1933" s="2" t="s">
        <v>31</v>
      </c>
      <c r="H1933" s="2" t="s">
        <v>32</v>
      </c>
      <c r="I1933" s="2">
        <v>48</v>
      </c>
      <c r="J1933" s="2" t="s">
        <v>8580</v>
      </c>
      <c r="K1933" s="4">
        <v>46203.92083333333</v>
      </c>
      <c r="L1933" s="2" t="s">
        <v>24</v>
      </c>
      <c r="M1933" s="2"/>
      <c r="N1933" t="s">
        <v>8581</v>
      </c>
      <c r="O1933" s="8">
        <f t="shared" si="60"/>
        <v>20.533333333209157</v>
      </c>
      <c r="P1933" t="str">
        <f t="shared" si="61"/>
        <v>N/A</v>
      </c>
    </row>
    <row r="1934" spans="1:16" x14ac:dyDescent="0.25">
      <c r="A1934" s="2" t="s">
        <v>5253</v>
      </c>
      <c r="B1934" s="4">
        <v>46229.770833333336</v>
      </c>
      <c r="C1934" s="2" t="s">
        <v>28</v>
      </c>
      <c r="D1934" s="2" t="s">
        <v>37</v>
      </c>
      <c r="E1934" s="2" t="s">
        <v>85</v>
      </c>
      <c r="F1934" s="2" t="s">
        <v>113</v>
      </c>
      <c r="G1934" s="2" t="s">
        <v>179</v>
      </c>
      <c r="H1934" s="2" t="s">
        <v>21</v>
      </c>
      <c r="I1934" s="2">
        <v>24</v>
      </c>
      <c r="J1934" s="2" t="s">
        <v>106</v>
      </c>
      <c r="K1934" s="4">
        <v>46230.920138888891</v>
      </c>
      <c r="L1934" s="2" t="s">
        <v>24</v>
      </c>
      <c r="M1934" s="2">
        <v>5</v>
      </c>
      <c r="N1934" t="s">
        <v>8589</v>
      </c>
      <c r="O1934" s="8">
        <f t="shared" si="60"/>
        <v>27.583333333313931</v>
      </c>
      <c r="P1934" t="str">
        <f t="shared" si="61"/>
        <v>No</v>
      </c>
    </row>
    <row r="1935" spans="1:16" x14ac:dyDescent="0.25">
      <c r="A1935" s="2" t="s">
        <v>5256</v>
      </c>
      <c r="B1935" s="4">
        <v>46218.923611111109</v>
      </c>
      <c r="C1935" s="2" t="s">
        <v>53</v>
      </c>
      <c r="D1935" s="2" t="s">
        <v>54</v>
      </c>
      <c r="E1935" s="2" t="s">
        <v>85</v>
      </c>
      <c r="F1935" s="2" t="s">
        <v>96</v>
      </c>
      <c r="G1935" s="2" t="s">
        <v>211</v>
      </c>
      <c r="H1935" s="2" t="s">
        <v>74</v>
      </c>
      <c r="I1935" s="2">
        <v>8</v>
      </c>
      <c r="J1935" s="2" t="s">
        <v>75</v>
      </c>
      <c r="K1935" s="4">
        <v>46219.125694444447</v>
      </c>
      <c r="L1935" s="2" t="s">
        <v>24</v>
      </c>
      <c r="M1935" s="2">
        <v>5</v>
      </c>
      <c r="N1935" t="s">
        <v>8581</v>
      </c>
      <c r="O1935" s="8">
        <f t="shared" si="60"/>
        <v>4.8500000000931323</v>
      </c>
      <c r="P1935" t="str">
        <f t="shared" si="61"/>
        <v>N/A</v>
      </c>
    </row>
    <row r="1936" spans="1:16" x14ac:dyDescent="0.25">
      <c r="A1936" s="2" t="s">
        <v>5259</v>
      </c>
      <c r="B1936" s="4">
        <v>46079.181944444441</v>
      </c>
      <c r="C1936" s="2" t="s">
        <v>67</v>
      </c>
      <c r="D1936" s="2" t="s">
        <v>95</v>
      </c>
      <c r="E1936" s="2" t="s">
        <v>90</v>
      </c>
      <c r="F1936" s="2" t="s">
        <v>30</v>
      </c>
      <c r="G1936" s="2" t="s">
        <v>179</v>
      </c>
      <c r="H1936" s="2" t="s">
        <v>80</v>
      </c>
      <c r="I1936" s="2">
        <v>4</v>
      </c>
      <c r="J1936" s="2" t="s">
        <v>106</v>
      </c>
      <c r="K1936" s="4">
        <v>46079.212500000001</v>
      </c>
      <c r="L1936" s="2" t="s">
        <v>24</v>
      </c>
      <c r="M1936" s="2">
        <v>4</v>
      </c>
      <c r="N1936" t="s">
        <v>8587</v>
      </c>
      <c r="O1936" s="8">
        <f t="shared" si="60"/>
        <v>0.73333333345362917</v>
      </c>
      <c r="P1936" t="str">
        <f t="shared" si="61"/>
        <v>Yes</v>
      </c>
    </row>
    <row r="1937" spans="1:16" x14ac:dyDescent="0.25">
      <c r="A1937" s="2" t="s">
        <v>5262</v>
      </c>
      <c r="B1937" s="4">
        <v>46187.482638888891</v>
      </c>
      <c r="C1937" s="2" t="s">
        <v>28</v>
      </c>
      <c r="D1937" s="2" t="s">
        <v>37</v>
      </c>
      <c r="E1937" s="2" t="s">
        <v>18</v>
      </c>
      <c r="F1937" s="2" t="s">
        <v>55</v>
      </c>
      <c r="G1937" s="2" t="s">
        <v>183</v>
      </c>
      <c r="H1937" s="2" t="s">
        <v>21</v>
      </c>
      <c r="I1937" s="2">
        <v>24</v>
      </c>
      <c r="J1937" s="2" t="s">
        <v>8580</v>
      </c>
      <c r="K1937" s="4" t="s">
        <v>8590</v>
      </c>
      <c r="L1937" s="2" t="s">
        <v>24</v>
      </c>
      <c r="M1937" s="2"/>
      <c r="N1937" t="s">
        <v>8584</v>
      </c>
      <c r="O1937" s="8" t="str">
        <f t="shared" si="60"/>
        <v/>
      </c>
      <c r="P1937" t="str">
        <f t="shared" si="61"/>
        <v>N/A</v>
      </c>
    </row>
    <row r="1938" spans="1:16" x14ac:dyDescent="0.25">
      <c r="A1938" s="2" t="s">
        <v>5264</v>
      </c>
      <c r="B1938" s="4">
        <v>46207.563888888886</v>
      </c>
      <c r="C1938" s="2" t="s">
        <v>28</v>
      </c>
      <c r="D1938" s="2" t="s">
        <v>100</v>
      </c>
      <c r="E1938" s="2" t="s">
        <v>148</v>
      </c>
      <c r="F1938" s="2" t="s">
        <v>96</v>
      </c>
      <c r="G1938" s="2" t="s">
        <v>211</v>
      </c>
      <c r="H1938" s="2" t="s">
        <v>32</v>
      </c>
      <c r="I1938" s="2">
        <v>48</v>
      </c>
      <c r="J1938" s="2" t="s">
        <v>106</v>
      </c>
      <c r="K1938" s="4">
        <v>46210.656944444447</v>
      </c>
      <c r="L1938" s="2" t="s">
        <v>24</v>
      </c>
      <c r="M1938" s="2"/>
      <c r="N1938" t="s">
        <v>8585</v>
      </c>
      <c r="O1938" s="8">
        <f t="shared" si="60"/>
        <v>74.233333333453629</v>
      </c>
      <c r="P1938" t="str">
        <f t="shared" si="61"/>
        <v>No</v>
      </c>
    </row>
    <row r="1939" spans="1:16" x14ac:dyDescent="0.25">
      <c r="A1939" s="2" t="s">
        <v>5267</v>
      </c>
      <c r="B1939" s="4">
        <v>46101.522222222222</v>
      </c>
      <c r="C1939" s="2" t="s">
        <v>16</v>
      </c>
      <c r="D1939" s="2" t="s">
        <v>84</v>
      </c>
      <c r="E1939" s="2" t="s">
        <v>79</v>
      </c>
      <c r="F1939" s="2" t="s">
        <v>55</v>
      </c>
      <c r="G1939" s="2" t="s">
        <v>183</v>
      </c>
      <c r="H1939" s="2" t="s">
        <v>74</v>
      </c>
      <c r="I1939" s="2">
        <v>8</v>
      </c>
      <c r="J1939" s="2" t="s">
        <v>106</v>
      </c>
      <c r="K1939" s="4">
        <v>46101.800694444442</v>
      </c>
      <c r="L1939" s="2" t="s">
        <v>92</v>
      </c>
      <c r="M1939" s="2">
        <v>4</v>
      </c>
      <c r="N1939" t="s">
        <v>8589</v>
      </c>
      <c r="O1939" s="8">
        <f t="shared" si="60"/>
        <v>6.6833333332906477</v>
      </c>
      <c r="P1939" t="str">
        <f t="shared" si="61"/>
        <v>Yes</v>
      </c>
    </row>
    <row r="1940" spans="1:16" x14ac:dyDescent="0.25">
      <c r="A1940" s="2" t="s">
        <v>5270</v>
      </c>
      <c r="B1940" s="4">
        <v>46186.55</v>
      </c>
      <c r="C1940" s="2" t="s">
        <v>28</v>
      </c>
      <c r="D1940" s="2" t="s">
        <v>37</v>
      </c>
      <c r="E1940" s="2" t="s">
        <v>85</v>
      </c>
      <c r="F1940" s="2" t="s">
        <v>55</v>
      </c>
      <c r="G1940" s="2" t="s">
        <v>211</v>
      </c>
      <c r="H1940" s="2" t="s">
        <v>21</v>
      </c>
      <c r="I1940" s="2">
        <v>24</v>
      </c>
      <c r="J1940" s="2" t="s">
        <v>75</v>
      </c>
      <c r="K1940" s="4">
        <v>46188.320138888892</v>
      </c>
      <c r="L1940" s="2" t="s">
        <v>24</v>
      </c>
      <c r="M1940" s="2">
        <v>3</v>
      </c>
      <c r="N1940" t="s">
        <v>8583</v>
      </c>
      <c r="O1940" s="8">
        <f t="shared" si="60"/>
        <v>42.483333333337214</v>
      </c>
      <c r="P1940" t="str">
        <f t="shared" si="61"/>
        <v>N/A</v>
      </c>
    </row>
    <row r="1941" spans="1:16" x14ac:dyDescent="0.25">
      <c r="A1941" s="2" t="s">
        <v>5273</v>
      </c>
      <c r="B1941" s="4">
        <v>46158.436805555553</v>
      </c>
      <c r="C1941" s="2" t="s">
        <v>53</v>
      </c>
      <c r="D1941" s="2" t="s">
        <v>54</v>
      </c>
      <c r="E1941" s="2" t="s">
        <v>18</v>
      </c>
      <c r="F1941" s="2" t="s">
        <v>96</v>
      </c>
      <c r="G1941" s="2" t="s">
        <v>179</v>
      </c>
      <c r="H1941" s="2" t="s">
        <v>32</v>
      </c>
      <c r="I1941" s="2">
        <v>48</v>
      </c>
      <c r="J1941" s="2" t="s">
        <v>106</v>
      </c>
      <c r="K1941" s="4">
        <v>46158.880555555559</v>
      </c>
      <c r="L1941" s="2" t="s">
        <v>24</v>
      </c>
      <c r="M1941" s="2">
        <v>1</v>
      </c>
      <c r="N1941" t="s">
        <v>8586</v>
      </c>
      <c r="O1941" s="8">
        <f t="shared" si="60"/>
        <v>10.650000000139698</v>
      </c>
      <c r="P1941" t="str">
        <f t="shared" si="61"/>
        <v>Yes</v>
      </c>
    </row>
    <row r="1942" spans="1:16" x14ac:dyDescent="0.25">
      <c r="A1942" s="2" t="s">
        <v>5276</v>
      </c>
      <c r="B1942" s="4">
        <v>46084.463888888888</v>
      </c>
      <c r="C1942" s="2" t="s">
        <v>16</v>
      </c>
      <c r="D1942" s="2" t="s">
        <v>17</v>
      </c>
      <c r="E1942" s="2" t="s">
        <v>90</v>
      </c>
      <c r="F1942" s="2" t="s">
        <v>55</v>
      </c>
      <c r="G1942" s="2" t="s">
        <v>31</v>
      </c>
      <c r="H1942" s="2" t="s">
        <v>32</v>
      </c>
      <c r="I1942" s="2">
        <v>48</v>
      </c>
      <c r="J1942" s="2" t="s">
        <v>106</v>
      </c>
      <c r="K1942" s="4">
        <v>46085.561111111114</v>
      </c>
      <c r="L1942" s="2" t="s">
        <v>24</v>
      </c>
      <c r="M1942" s="2">
        <v>3</v>
      </c>
      <c r="N1942" t="s">
        <v>8584</v>
      </c>
      <c r="O1942" s="8">
        <f t="shared" si="60"/>
        <v>26.333333333430346</v>
      </c>
      <c r="P1942" t="str">
        <f t="shared" si="61"/>
        <v>Yes</v>
      </c>
    </row>
    <row r="1943" spans="1:16" x14ac:dyDescent="0.25">
      <c r="A1943" s="2" t="s">
        <v>5279</v>
      </c>
      <c r="B1943" s="4">
        <v>46140.179166666669</v>
      </c>
      <c r="C1943" s="2" t="s">
        <v>53</v>
      </c>
      <c r="D1943" s="2" t="s">
        <v>54</v>
      </c>
      <c r="E1943" s="2" t="s">
        <v>90</v>
      </c>
      <c r="F1943" s="2" t="s">
        <v>30</v>
      </c>
      <c r="G1943" s="2" t="s">
        <v>183</v>
      </c>
      <c r="H1943" s="2" t="s">
        <v>21</v>
      </c>
      <c r="I1943" s="2">
        <v>24</v>
      </c>
      <c r="J1943" s="2" t="s">
        <v>106</v>
      </c>
      <c r="K1943" s="4">
        <v>46140.677083333336</v>
      </c>
      <c r="L1943" s="2" t="s">
        <v>24</v>
      </c>
      <c r="M1943" s="2"/>
      <c r="N1943" t="s">
        <v>8581</v>
      </c>
      <c r="O1943" s="8">
        <f t="shared" si="60"/>
        <v>11.950000000011642</v>
      </c>
      <c r="P1943" t="str">
        <f t="shared" si="61"/>
        <v>Yes</v>
      </c>
    </row>
    <row r="1944" spans="1:16" x14ac:dyDescent="0.25">
      <c r="A1944" s="2" t="s">
        <v>5282</v>
      </c>
      <c r="B1944" s="4">
        <v>46066.686111111114</v>
      </c>
      <c r="C1944" s="2" t="s">
        <v>16</v>
      </c>
      <c r="D1944" s="2" t="s">
        <v>84</v>
      </c>
      <c r="E1944" s="2" t="s">
        <v>90</v>
      </c>
      <c r="F1944" s="2" t="s">
        <v>55</v>
      </c>
      <c r="G1944" s="2" t="s">
        <v>211</v>
      </c>
      <c r="H1944" s="2" t="s">
        <v>21</v>
      </c>
      <c r="I1944" s="2">
        <v>24</v>
      </c>
      <c r="J1944" s="2" t="s">
        <v>106</v>
      </c>
      <c r="K1944" s="4">
        <v>46067.451388888891</v>
      </c>
      <c r="L1944" s="2" t="s">
        <v>24</v>
      </c>
      <c r="M1944" s="2"/>
      <c r="N1944" t="s">
        <v>8589</v>
      </c>
      <c r="O1944" s="8">
        <f t="shared" si="60"/>
        <v>18.366666666639503</v>
      </c>
      <c r="P1944" t="str">
        <f t="shared" si="61"/>
        <v>Yes</v>
      </c>
    </row>
    <row r="1945" spans="1:16" x14ac:dyDescent="0.25">
      <c r="A1945" s="2" t="s">
        <v>5285</v>
      </c>
      <c r="B1945" s="4">
        <v>46261.070138888892</v>
      </c>
      <c r="C1945" s="2" t="s">
        <v>53</v>
      </c>
      <c r="D1945" s="2" t="s">
        <v>61</v>
      </c>
      <c r="E1945" s="2" t="s">
        <v>85</v>
      </c>
      <c r="F1945" s="2" t="s">
        <v>30</v>
      </c>
      <c r="G1945" s="2" t="s">
        <v>179</v>
      </c>
      <c r="H1945" s="2" t="s">
        <v>32</v>
      </c>
      <c r="I1945" s="2">
        <v>48</v>
      </c>
      <c r="J1945" s="2" t="s">
        <v>8580</v>
      </c>
      <c r="K1945" s="4">
        <v>46261.163888888892</v>
      </c>
      <c r="L1945" s="2" t="s">
        <v>24</v>
      </c>
      <c r="M1945" s="2"/>
      <c r="N1945" t="s">
        <v>8588</v>
      </c>
      <c r="O1945" s="8">
        <f t="shared" si="60"/>
        <v>2.25</v>
      </c>
      <c r="P1945" t="str">
        <f t="shared" si="61"/>
        <v>N/A</v>
      </c>
    </row>
    <row r="1946" spans="1:16" x14ac:dyDescent="0.25">
      <c r="A1946" s="2" t="s">
        <v>5288</v>
      </c>
      <c r="B1946" s="4">
        <v>46140.165277777778</v>
      </c>
      <c r="C1946" s="2" t="s">
        <v>16</v>
      </c>
      <c r="D1946" s="2" t="s">
        <v>17</v>
      </c>
      <c r="E1946" s="2" t="s">
        <v>46</v>
      </c>
      <c r="F1946" s="2" t="s">
        <v>30</v>
      </c>
      <c r="G1946" s="2" t="s">
        <v>211</v>
      </c>
      <c r="H1946" s="2" t="s">
        <v>74</v>
      </c>
      <c r="I1946" s="2">
        <v>8</v>
      </c>
      <c r="J1946" s="2" t="s">
        <v>106</v>
      </c>
      <c r="K1946" s="4">
        <v>46140.96597222222</v>
      </c>
      <c r="L1946" s="2" t="s">
        <v>24</v>
      </c>
      <c r="M1946" s="2">
        <v>1</v>
      </c>
      <c r="N1946" t="s">
        <v>8581</v>
      </c>
      <c r="O1946" s="8">
        <f t="shared" si="60"/>
        <v>19.21666666661622</v>
      </c>
      <c r="P1946" t="str">
        <f t="shared" si="61"/>
        <v>No</v>
      </c>
    </row>
    <row r="1947" spans="1:16" x14ac:dyDescent="0.25">
      <c r="A1947" s="2" t="s">
        <v>5291</v>
      </c>
      <c r="B1947" s="4">
        <v>46235.275000000001</v>
      </c>
      <c r="C1947" s="2" t="s">
        <v>67</v>
      </c>
      <c r="D1947" s="2" t="s">
        <v>95</v>
      </c>
      <c r="E1947" s="2" t="s">
        <v>148</v>
      </c>
      <c r="F1947" s="2" t="s">
        <v>96</v>
      </c>
      <c r="G1947" s="2" t="s">
        <v>183</v>
      </c>
      <c r="H1947" s="2" t="s">
        <v>74</v>
      </c>
      <c r="I1947" s="2">
        <v>8</v>
      </c>
      <c r="J1947" s="2" t="s">
        <v>287</v>
      </c>
      <c r="K1947" s="4" t="s">
        <v>8590</v>
      </c>
      <c r="L1947" s="2" t="s">
        <v>24</v>
      </c>
      <c r="M1947" s="2"/>
      <c r="N1947" t="s">
        <v>8588</v>
      </c>
      <c r="O1947" s="8" t="str">
        <f t="shared" si="60"/>
        <v/>
      </c>
      <c r="P1947" t="str">
        <f t="shared" si="61"/>
        <v>N/A</v>
      </c>
    </row>
    <row r="1948" spans="1:16" x14ac:dyDescent="0.25">
      <c r="A1948" s="2" t="s">
        <v>5293</v>
      </c>
      <c r="B1948" s="4">
        <v>46149.252083333333</v>
      </c>
      <c r="C1948" s="2" t="s">
        <v>16</v>
      </c>
      <c r="D1948" s="2" t="s">
        <v>17</v>
      </c>
      <c r="E1948" s="2" t="s">
        <v>85</v>
      </c>
      <c r="F1948" s="2" t="s">
        <v>55</v>
      </c>
      <c r="G1948" s="2" t="s">
        <v>31</v>
      </c>
      <c r="H1948" s="2" t="s">
        <v>21</v>
      </c>
      <c r="I1948" s="2">
        <v>24</v>
      </c>
      <c r="J1948" s="2" t="s">
        <v>106</v>
      </c>
      <c r="K1948" s="4">
        <v>46149.943749999999</v>
      </c>
      <c r="L1948" s="2" t="s">
        <v>24</v>
      </c>
      <c r="M1948" s="2">
        <v>5</v>
      </c>
      <c r="N1948" t="s">
        <v>8588</v>
      </c>
      <c r="O1948" s="8">
        <f t="shared" si="60"/>
        <v>16.599999999976717</v>
      </c>
      <c r="P1948" t="str">
        <f t="shared" si="61"/>
        <v>Yes</v>
      </c>
    </row>
    <row r="1949" spans="1:16" x14ac:dyDescent="0.25">
      <c r="A1949" s="2" t="s">
        <v>5296</v>
      </c>
      <c r="B1949" s="4">
        <v>46199.572222222225</v>
      </c>
      <c r="C1949" s="2" t="s">
        <v>28</v>
      </c>
      <c r="D1949" s="2" t="s">
        <v>37</v>
      </c>
      <c r="E1949" s="2" t="s">
        <v>46</v>
      </c>
      <c r="F1949" s="2" t="s">
        <v>55</v>
      </c>
      <c r="G1949" s="2" t="s">
        <v>110</v>
      </c>
      <c r="H1949" s="2" t="s">
        <v>21</v>
      </c>
      <c r="I1949" s="2">
        <v>24</v>
      </c>
      <c r="J1949" s="2" t="s">
        <v>287</v>
      </c>
      <c r="K1949" s="4" t="s">
        <v>8590</v>
      </c>
      <c r="L1949" s="2" t="s">
        <v>24</v>
      </c>
      <c r="M1949" s="2"/>
      <c r="N1949" t="s">
        <v>8587</v>
      </c>
      <c r="O1949" s="8" t="str">
        <f t="shared" si="60"/>
        <v/>
      </c>
      <c r="P1949" t="str">
        <f t="shared" si="61"/>
        <v>N/A</v>
      </c>
    </row>
    <row r="1950" spans="1:16" x14ac:dyDescent="0.25">
      <c r="A1950" s="2" t="s">
        <v>5298</v>
      </c>
      <c r="B1950" s="4">
        <v>46255.861805555556</v>
      </c>
      <c r="C1950" s="2" t="s">
        <v>28</v>
      </c>
      <c r="D1950" s="2" t="s">
        <v>37</v>
      </c>
      <c r="E1950" s="2" t="s">
        <v>38</v>
      </c>
      <c r="F1950" s="2" t="s">
        <v>96</v>
      </c>
      <c r="G1950" s="2" t="s">
        <v>183</v>
      </c>
      <c r="H1950" s="2" t="s">
        <v>21</v>
      </c>
      <c r="I1950" s="2">
        <v>24</v>
      </c>
      <c r="J1950" s="2" t="s">
        <v>75</v>
      </c>
      <c r="K1950" s="4">
        <v>46256.505555555559</v>
      </c>
      <c r="L1950" s="2" t="s">
        <v>24</v>
      </c>
      <c r="M1950" s="2">
        <v>5</v>
      </c>
      <c r="N1950" t="s">
        <v>8584</v>
      </c>
      <c r="O1950" s="8">
        <f t="shared" si="60"/>
        <v>15.450000000069849</v>
      </c>
      <c r="P1950" t="str">
        <f t="shared" si="61"/>
        <v>N/A</v>
      </c>
    </row>
    <row r="1951" spans="1:16" x14ac:dyDescent="0.25">
      <c r="A1951" s="2" t="s">
        <v>5301</v>
      </c>
      <c r="B1951" s="4">
        <v>46183.90347222222</v>
      </c>
      <c r="C1951" s="2" t="s">
        <v>16</v>
      </c>
      <c r="D1951" s="2" t="s">
        <v>17</v>
      </c>
      <c r="E1951" s="2" t="s">
        <v>46</v>
      </c>
      <c r="F1951" s="2" t="s">
        <v>96</v>
      </c>
      <c r="G1951" s="2" t="s">
        <v>179</v>
      </c>
      <c r="H1951" s="2" t="s">
        <v>32</v>
      </c>
      <c r="I1951" s="2">
        <v>48</v>
      </c>
      <c r="J1951" s="2" t="s">
        <v>287</v>
      </c>
      <c r="K1951" s="4" t="s">
        <v>8590</v>
      </c>
      <c r="L1951" s="2" t="s">
        <v>24</v>
      </c>
      <c r="M1951" s="2"/>
      <c r="N1951" t="s">
        <v>8583</v>
      </c>
      <c r="O1951" s="8" t="str">
        <f t="shared" si="60"/>
        <v/>
      </c>
      <c r="P1951" t="str">
        <f t="shared" si="61"/>
        <v>N/A</v>
      </c>
    </row>
    <row r="1952" spans="1:16" x14ac:dyDescent="0.25">
      <c r="A1952" s="2" t="s">
        <v>5303</v>
      </c>
      <c r="B1952" s="4">
        <v>46150.811111111114</v>
      </c>
      <c r="C1952" s="2" t="s">
        <v>67</v>
      </c>
      <c r="D1952" s="2" t="s">
        <v>95</v>
      </c>
      <c r="E1952" s="2" t="s">
        <v>46</v>
      </c>
      <c r="F1952" s="2" t="s">
        <v>55</v>
      </c>
      <c r="G1952" s="2" t="s">
        <v>31</v>
      </c>
      <c r="H1952" s="2" t="s">
        <v>21</v>
      </c>
      <c r="I1952" s="2">
        <v>24</v>
      </c>
      <c r="J1952" s="2" t="s">
        <v>106</v>
      </c>
      <c r="K1952" s="4">
        <v>46151.443055555559</v>
      </c>
      <c r="L1952" s="2" t="s">
        <v>24</v>
      </c>
      <c r="M1952" s="2"/>
      <c r="N1952" t="s">
        <v>8585</v>
      </c>
      <c r="O1952" s="8">
        <f t="shared" si="60"/>
        <v>15.166666666686069</v>
      </c>
      <c r="P1952" t="str">
        <f t="shared" si="61"/>
        <v>Yes</v>
      </c>
    </row>
    <row r="1953" spans="1:16" x14ac:dyDescent="0.25">
      <c r="A1953" s="2" t="s">
        <v>5306</v>
      </c>
      <c r="B1953" s="4">
        <v>46109.041666666664</v>
      </c>
      <c r="C1953" s="2" t="s">
        <v>28</v>
      </c>
      <c r="D1953" s="2" t="s">
        <v>37</v>
      </c>
      <c r="E1953" s="2" t="s">
        <v>46</v>
      </c>
      <c r="F1953" s="2" t="s">
        <v>30</v>
      </c>
      <c r="G1953" s="2" t="s">
        <v>179</v>
      </c>
      <c r="H1953" s="2" t="s">
        <v>80</v>
      </c>
      <c r="I1953" s="2">
        <v>4</v>
      </c>
      <c r="J1953" s="2" t="s">
        <v>8580</v>
      </c>
      <c r="K1953" s="4">
        <v>46109.144444444442</v>
      </c>
      <c r="L1953" s="2" t="s">
        <v>24</v>
      </c>
      <c r="M1953" s="2"/>
      <c r="N1953" t="s">
        <v>8582</v>
      </c>
      <c r="O1953" s="8">
        <f t="shared" si="60"/>
        <v>2.4666666666744277</v>
      </c>
      <c r="P1953" t="str">
        <f t="shared" si="61"/>
        <v>N/A</v>
      </c>
    </row>
    <row r="1954" spans="1:16" x14ac:dyDescent="0.25">
      <c r="A1954" s="2" t="s">
        <v>5309</v>
      </c>
      <c r="B1954" s="4">
        <v>46044.117361111108</v>
      </c>
      <c r="C1954" s="2" t="s">
        <v>28</v>
      </c>
      <c r="D1954" s="2" t="s">
        <v>37</v>
      </c>
      <c r="E1954" s="2" t="s">
        <v>90</v>
      </c>
      <c r="F1954" s="2" t="s">
        <v>30</v>
      </c>
      <c r="G1954" s="2" t="s">
        <v>101</v>
      </c>
      <c r="H1954" s="2" t="s">
        <v>21</v>
      </c>
      <c r="I1954" s="2">
        <v>24</v>
      </c>
      <c r="J1954" s="2" t="s">
        <v>75</v>
      </c>
      <c r="K1954" s="4">
        <v>46046.734027777777</v>
      </c>
      <c r="L1954" s="2" t="s">
        <v>24</v>
      </c>
      <c r="M1954" s="2">
        <v>4</v>
      </c>
      <c r="N1954" t="s">
        <v>8589</v>
      </c>
      <c r="O1954" s="8">
        <f t="shared" si="60"/>
        <v>62.800000000046566</v>
      </c>
      <c r="P1954" t="str">
        <f t="shared" si="61"/>
        <v>N/A</v>
      </c>
    </row>
    <row r="1955" spans="1:16" x14ac:dyDescent="0.25">
      <c r="A1955" s="2" t="s">
        <v>5312</v>
      </c>
      <c r="B1955" s="4">
        <v>46211.07708333333</v>
      </c>
      <c r="C1955" s="2" t="s">
        <v>16</v>
      </c>
      <c r="D1955" s="2" t="s">
        <v>84</v>
      </c>
      <c r="E1955" s="2" t="s">
        <v>85</v>
      </c>
      <c r="F1955" s="2" t="s">
        <v>55</v>
      </c>
      <c r="G1955" s="2" t="s">
        <v>179</v>
      </c>
      <c r="H1955" s="2" t="s">
        <v>32</v>
      </c>
      <c r="I1955" s="2">
        <v>48</v>
      </c>
      <c r="J1955" s="2" t="s">
        <v>106</v>
      </c>
      <c r="K1955" s="4">
        <v>46215.095138888886</v>
      </c>
      <c r="L1955" s="2" t="s">
        <v>24</v>
      </c>
      <c r="M1955" s="2"/>
      <c r="N1955" t="s">
        <v>8584</v>
      </c>
      <c r="O1955" s="8">
        <f t="shared" si="60"/>
        <v>96.433333333348855</v>
      </c>
      <c r="P1955" t="str">
        <f t="shared" si="61"/>
        <v>No</v>
      </c>
    </row>
    <row r="1956" spans="1:16" x14ac:dyDescent="0.25">
      <c r="A1956" s="2" t="s">
        <v>5315</v>
      </c>
      <c r="B1956" s="4">
        <v>46202.791666666664</v>
      </c>
      <c r="C1956" s="2" t="s">
        <v>28</v>
      </c>
      <c r="D1956" s="2" t="s">
        <v>100</v>
      </c>
      <c r="E1956" s="2" t="s">
        <v>85</v>
      </c>
      <c r="F1956" s="2" t="s">
        <v>30</v>
      </c>
      <c r="G1956" s="2" t="s">
        <v>211</v>
      </c>
      <c r="H1956" s="2" t="s">
        <v>32</v>
      </c>
      <c r="I1956" s="2">
        <v>48</v>
      </c>
      <c r="J1956" s="2" t="s">
        <v>106</v>
      </c>
      <c r="K1956" s="4">
        <v>46203.745138888888</v>
      </c>
      <c r="L1956" s="2" t="s">
        <v>24</v>
      </c>
      <c r="M1956" s="2">
        <v>5</v>
      </c>
      <c r="N1956" t="s">
        <v>8582</v>
      </c>
      <c r="O1956" s="8">
        <f t="shared" si="60"/>
        <v>22.883333333360497</v>
      </c>
      <c r="P1956" t="str">
        <f t="shared" si="61"/>
        <v>Yes</v>
      </c>
    </row>
    <row r="1957" spans="1:16" x14ac:dyDescent="0.25">
      <c r="A1957" s="2" t="s">
        <v>5318</v>
      </c>
      <c r="B1957" s="4">
        <v>46214.593055555553</v>
      </c>
      <c r="C1957" s="2" t="s">
        <v>67</v>
      </c>
      <c r="D1957" s="2" t="s">
        <v>95</v>
      </c>
      <c r="E1957" s="2" t="s">
        <v>46</v>
      </c>
      <c r="F1957" s="2" t="s">
        <v>55</v>
      </c>
      <c r="G1957" s="2" t="s">
        <v>179</v>
      </c>
      <c r="H1957" s="2" t="s">
        <v>32</v>
      </c>
      <c r="I1957" s="2">
        <v>48</v>
      </c>
      <c r="J1957" s="2" t="s">
        <v>149</v>
      </c>
      <c r="K1957" s="4" t="s">
        <v>8590</v>
      </c>
      <c r="L1957" s="2" t="s">
        <v>24</v>
      </c>
      <c r="M1957" s="2"/>
      <c r="N1957" t="s">
        <v>8589</v>
      </c>
      <c r="O1957" s="8" t="str">
        <f t="shared" si="60"/>
        <v/>
      </c>
      <c r="P1957" t="str">
        <f t="shared" si="61"/>
        <v>N/A</v>
      </c>
    </row>
    <row r="1958" spans="1:16" x14ac:dyDescent="0.25">
      <c r="A1958" s="2" t="s">
        <v>5320</v>
      </c>
      <c r="B1958" s="4">
        <v>46165.472222222219</v>
      </c>
      <c r="C1958" s="2" t="s">
        <v>16</v>
      </c>
      <c r="D1958" s="2" t="s">
        <v>84</v>
      </c>
      <c r="E1958" s="2" t="s">
        <v>90</v>
      </c>
      <c r="F1958" s="2" t="s">
        <v>55</v>
      </c>
      <c r="G1958" s="2" t="s">
        <v>110</v>
      </c>
      <c r="H1958" s="2" t="s">
        <v>21</v>
      </c>
      <c r="I1958" s="2">
        <v>24</v>
      </c>
      <c r="J1958" s="2" t="s">
        <v>11</v>
      </c>
      <c r="K1958" s="4" t="s">
        <v>8590</v>
      </c>
      <c r="L1958" s="2" t="s">
        <v>92</v>
      </c>
      <c r="M1958" s="2"/>
      <c r="N1958" t="s">
        <v>8581</v>
      </c>
      <c r="O1958" s="8" t="str">
        <f t="shared" si="60"/>
        <v/>
      </c>
      <c r="P1958" t="str">
        <f t="shared" si="61"/>
        <v>N/A</v>
      </c>
    </row>
    <row r="1959" spans="1:16" x14ac:dyDescent="0.25">
      <c r="A1959" s="2" t="s">
        <v>5322</v>
      </c>
      <c r="B1959" s="4">
        <v>46124.056944444441</v>
      </c>
      <c r="C1959" s="2" t="s">
        <v>16</v>
      </c>
      <c r="D1959" s="2" t="s">
        <v>84</v>
      </c>
      <c r="E1959" s="2" t="s">
        <v>38</v>
      </c>
      <c r="F1959" s="2" t="s">
        <v>55</v>
      </c>
      <c r="G1959" s="2" t="s">
        <v>31</v>
      </c>
      <c r="H1959" s="2" t="s">
        <v>21</v>
      </c>
      <c r="I1959" s="2">
        <v>24</v>
      </c>
      <c r="J1959" s="2" t="s">
        <v>149</v>
      </c>
      <c r="K1959" s="4" t="s">
        <v>8590</v>
      </c>
      <c r="L1959" s="2" t="s">
        <v>24</v>
      </c>
      <c r="M1959" s="2"/>
      <c r="N1959" t="s">
        <v>8581</v>
      </c>
      <c r="O1959" s="8" t="str">
        <f t="shared" si="60"/>
        <v/>
      </c>
      <c r="P1959" t="str">
        <f t="shared" si="61"/>
        <v>N/A</v>
      </c>
    </row>
    <row r="1960" spans="1:16" x14ac:dyDescent="0.25">
      <c r="A1960" s="2" t="s">
        <v>5324</v>
      </c>
      <c r="B1960" s="4">
        <v>46177.32708333333</v>
      </c>
      <c r="C1960" s="2" t="s">
        <v>53</v>
      </c>
      <c r="D1960" s="2" t="s">
        <v>54</v>
      </c>
      <c r="E1960" s="2" t="s">
        <v>90</v>
      </c>
      <c r="F1960" s="2" t="s">
        <v>113</v>
      </c>
      <c r="G1960" s="2" t="s">
        <v>183</v>
      </c>
      <c r="H1960" s="2" t="s">
        <v>21</v>
      </c>
      <c r="I1960" s="2">
        <v>24</v>
      </c>
      <c r="J1960" s="2" t="s">
        <v>149</v>
      </c>
      <c r="K1960" s="4" t="s">
        <v>8590</v>
      </c>
      <c r="L1960" s="2" t="s">
        <v>24</v>
      </c>
      <c r="M1960" s="2"/>
      <c r="N1960" t="s">
        <v>8589</v>
      </c>
      <c r="O1960" s="8" t="str">
        <f t="shared" si="60"/>
        <v/>
      </c>
      <c r="P1960" t="str">
        <f t="shared" si="61"/>
        <v>N/A</v>
      </c>
    </row>
    <row r="1961" spans="1:16" x14ac:dyDescent="0.25">
      <c r="A1961" s="2" t="s">
        <v>5326</v>
      </c>
      <c r="B1961" s="4">
        <v>46241.057638888888</v>
      </c>
      <c r="C1961" s="2" t="s">
        <v>16</v>
      </c>
      <c r="D1961" s="2" t="s">
        <v>17</v>
      </c>
      <c r="E1961" s="2" t="s">
        <v>148</v>
      </c>
      <c r="F1961" s="2" t="s">
        <v>30</v>
      </c>
      <c r="G1961" s="2" t="s">
        <v>211</v>
      </c>
      <c r="H1961" s="2" t="s">
        <v>21</v>
      </c>
      <c r="I1961" s="2">
        <v>24</v>
      </c>
      <c r="J1961" s="2" t="s">
        <v>149</v>
      </c>
      <c r="K1961" s="4" t="s">
        <v>8590</v>
      </c>
      <c r="L1961" s="2" t="s">
        <v>24</v>
      </c>
      <c r="M1961" s="2"/>
      <c r="N1961" t="s">
        <v>8588</v>
      </c>
      <c r="O1961" s="8" t="str">
        <f t="shared" si="60"/>
        <v/>
      </c>
      <c r="P1961" t="str">
        <f t="shared" si="61"/>
        <v>N/A</v>
      </c>
    </row>
    <row r="1962" spans="1:16" x14ac:dyDescent="0.25">
      <c r="A1962" s="2" t="s">
        <v>5328</v>
      </c>
      <c r="B1962" s="4">
        <v>46221.767361111109</v>
      </c>
      <c r="C1962" s="2" t="s">
        <v>28</v>
      </c>
      <c r="D1962" s="2" t="s">
        <v>100</v>
      </c>
      <c r="E1962" s="2" t="s">
        <v>46</v>
      </c>
      <c r="F1962" s="2" t="s">
        <v>113</v>
      </c>
      <c r="G1962" s="2" t="s">
        <v>211</v>
      </c>
      <c r="H1962" s="2" t="s">
        <v>74</v>
      </c>
      <c r="I1962" s="2">
        <v>8</v>
      </c>
      <c r="J1962" s="2" t="s">
        <v>75</v>
      </c>
      <c r="K1962" s="4">
        <v>46221.978472222225</v>
      </c>
      <c r="L1962" s="2" t="s">
        <v>92</v>
      </c>
      <c r="M1962" s="2">
        <v>5</v>
      </c>
      <c r="N1962" t="s">
        <v>8588</v>
      </c>
      <c r="O1962" s="8">
        <f t="shared" si="60"/>
        <v>5.0666666667675599</v>
      </c>
      <c r="P1962" t="str">
        <f t="shared" si="61"/>
        <v>N/A</v>
      </c>
    </row>
    <row r="1963" spans="1:16" x14ac:dyDescent="0.25">
      <c r="A1963" s="2" t="s">
        <v>5331</v>
      </c>
      <c r="B1963" s="4">
        <v>46029.75277777778</v>
      </c>
      <c r="C1963" s="2" t="s">
        <v>28</v>
      </c>
      <c r="D1963" s="2" t="s">
        <v>100</v>
      </c>
      <c r="E1963" s="2" t="s">
        <v>79</v>
      </c>
      <c r="F1963" s="2" t="s">
        <v>55</v>
      </c>
      <c r="G1963" s="2" t="s">
        <v>211</v>
      </c>
      <c r="H1963" s="2" t="s">
        <v>21</v>
      </c>
      <c r="I1963" s="2">
        <v>24</v>
      </c>
      <c r="J1963" s="2" t="s">
        <v>106</v>
      </c>
      <c r="K1963" s="4" t="s">
        <v>8590</v>
      </c>
      <c r="L1963" s="2" t="s">
        <v>24</v>
      </c>
      <c r="M1963" s="2">
        <v>5</v>
      </c>
      <c r="N1963" t="s">
        <v>8589</v>
      </c>
      <c r="O1963" s="8" t="str">
        <f t="shared" si="60"/>
        <v/>
      </c>
      <c r="P1963" t="str">
        <f t="shared" si="61"/>
        <v>No</v>
      </c>
    </row>
    <row r="1964" spans="1:16" x14ac:dyDescent="0.25">
      <c r="A1964" s="2" t="s">
        <v>5333</v>
      </c>
      <c r="B1964" s="4">
        <v>46175.404861111114</v>
      </c>
      <c r="C1964" s="2" t="s">
        <v>53</v>
      </c>
      <c r="D1964" s="2" t="s">
        <v>61</v>
      </c>
      <c r="E1964" s="2" t="s">
        <v>79</v>
      </c>
      <c r="F1964" s="2" t="s">
        <v>30</v>
      </c>
      <c r="G1964" s="2" t="s">
        <v>110</v>
      </c>
      <c r="H1964" s="2" t="s">
        <v>32</v>
      </c>
      <c r="I1964" s="2">
        <v>48</v>
      </c>
      <c r="J1964" s="2" t="s">
        <v>11</v>
      </c>
      <c r="K1964" s="4" t="s">
        <v>8590</v>
      </c>
      <c r="L1964" s="2" t="s">
        <v>92</v>
      </c>
      <c r="M1964" s="2"/>
      <c r="N1964" t="s">
        <v>8583</v>
      </c>
      <c r="O1964" s="8" t="str">
        <f t="shared" si="60"/>
        <v/>
      </c>
      <c r="P1964" t="str">
        <f t="shared" si="61"/>
        <v>N/A</v>
      </c>
    </row>
    <row r="1965" spans="1:16" x14ac:dyDescent="0.25">
      <c r="A1965" s="2" t="s">
        <v>5335</v>
      </c>
      <c r="B1965" s="4">
        <v>46182.157638888886</v>
      </c>
      <c r="C1965" s="2" t="s">
        <v>67</v>
      </c>
      <c r="D1965" s="2" t="s">
        <v>95</v>
      </c>
      <c r="E1965" s="2" t="s">
        <v>46</v>
      </c>
      <c r="F1965" s="2" t="s">
        <v>96</v>
      </c>
      <c r="G1965" s="2" t="s">
        <v>179</v>
      </c>
      <c r="H1965" s="2" t="s">
        <v>74</v>
      </c>
      <c r="I1965" s="2">
        <v>8</v>
      </c>
      <c r="J1965" s="2" t="s">
        <v>106</v>
      </c>
      <c r="K1965" s="4">
        <v>46182.413888888892</v>
      </c>
      <c r="L1965" s="2" t="s">
        <v>24</v>
      </c>
      <c r="M1965" s="2">
        <v>1</v>
      </c>
      <c r="N1965" t="s">
        <v>8583</v>
      </c>
      <c r="O1965" s="8">
        <f t="shared" si="60"/>
        <v>6.1500000001396984</v>
      </c>
      <c r="P1965" t="str">
        <f t="shared" si="61"/>
        <v>Yes</v>
      </c>
    </row>
    <row r="1966" spans="1:16" x14ac:dyDescent="0.25">
      <c r="A1966" s="2" t="s">
        <v>5338</v>
      </c>
      <c r="B1966" s="4">
        <v>46168.600694444445</v>
      </c>
      <c r="C1966" s="2" t="s">
        <v>28</v>
      </c>
      <c r="D1966" s="2" t="s">
        <v>100</v>
      </c>
      <c r="E1966" s="2" t="s">
        <v>18</v>
      </c>
      <c r="F1966" s="2" t="s">
        <v>113</v>
      </c>
      <c r="G1966" s="2" t="s">
        <v>31</v>
      </c>
      <c r="H1966" s="2" t="s">
        <v>32</v>
      </c>
      <c r="I1966" s="2">
        <v>48</v>
      </c>
      <c r="J1966" s="2" t="s">
        <v>75</v>
      </c>
      <c r="K1966" s="4" t="s">
        <v>8590</v>
      </c>
      <c r="L1966" s="2" t="s">
        <v>24</v>
      </c>
      <c r="M1966" s="2">
        <v>3</v>
      </c>
      <c r="N1966" t="s">
        <v>8588</v>
      </c>
      <c r="O1966" s="8" t="str">
        <f t="shared" si="60"/>
        <v/>
      </c>
      <c r="P1966" t="str">
        <f t="shared" si="61"/>
        <v>N/A</v>
      </c>
    </row>
    <row r="1967" spans="1:16" x14ac:dyDescent="0.25">
      <c r="A1967" s="2" t="s">
        <v>5340</v>
      </c>
      <c r="B1967" s="4">
        <v>46247.455555555556</v>
      </c>
      <c r="C1967" s="2" t="s">
        <v>16</v>
      </c>
      <c r="D1967" s="2" t="s">
        <v>17</v>
      </c>
      <c r="E1967" s="2" t="s">
        <v>148</v>
      </c>
      <c r="F1967" s="2" t="s">
        <v>113</v>
      </c>
      <c r="G1967" s="2" t="s">
        <v>101</v>
      </c>
      <c r="H1967" s="2" t="s">
        <v>21</v>
      </c>
      <c r="I1967" s="2">
        <v>24</v>
      </c>
      <c r="J1967" s="2" t="s">
        <v>149</v>
      </c>
      <c r="K1967" s="4" t="s">
        <v>8590</v>
      </c>
      <c r="L1967" s="2" t="s">
        <v>24</v>
      </c>
      <c r="M1967" s="2"/>
      <c r="N1967" t="s">
        <v>8585</v>
      </c>
      <c r="O1967" s="8" t="str">
        <f t="shared" si="60"/>
        <v/>
      </c>
      <c r="P1967" t="str">
        <f t="shared" si="61"/>
        <v>N/A</v>
      </c>
    </row>
    <row r="1968" spans="1:16" x14ac:dyDescent="0.25">
      <c r="A1968" s="2" t="s">
        <v>5342</v>
      </c>
      <c r="B1968" s="4">
        <v>46228.952777777777</v>
      </c>
      <c r="C1968" s="2" t="s">
        <v>53</v>
      </c>
      <c r="D1968" s="2" t="s">
        <v>54</v>
      </c>
      <c r="E1968" s="2" t="s">
        <v>85</v>
      </c>
      <c r="F1968" s="2" t="s">
        <v>55</v>
      </c>
      <c r="G1968" s="2" t="s">
        <v>101</v>
      </c>
      <c r="H1968" s="2" t="s">
        <v>74</v>
      </c>
      <c r="I1968" s="2">
        <v>8</v>
      </c>
      <c r="J1968" s="2" t="s">
        <v>106</v>
      </c>
      <c r="K1968" s="4">
        <v>46229.035416666666</v>
      </c>
      <c r="L1968" s="2" t="s">
        <v>92</v>
      </c>
      <c r="M1968" s="2">
        <v>5</v>
      </c>
      <c r="N1968" t="s">
        <v>8589</v>
      </c>
      <c r="O1968" s="8">
        <f t="shared" si="60"/>
        <v>1.9833333333372138</v>
      </c>
      <c r="P1968" t="str">
        <f t="shared" si="61"/>
        <v>Yes</v>
      </c>
    </row>
    <row r="1969" spans="1:16" x14ac:dyDescent="0.25">
      <c r="A1969" s="2" t="s">
        <v>5345</v>
      </c>
      <c r="B1969" s="4">
        <v>46127.563888888886</v>
      </c>
      <c r="C1969" s="2" t="s">
        <v>67</v>
      </c>
      <c r="D1969" s="2" t="s">
        <v>95</v>
      </c>
      <c r="E1969" s="2" t="s">
        <v>38</v>
      </c>
      <c r="F1969" s="2" t="s">
        <v>30</v>
      </c>
      <c r="G1969" s="2" t="s">
        <v>101</v>
      </c>
      <c r="H1969" s="2" t="s">
        <v>74</v>
      </c>
      <c r="I1969" s="2">
        <v>8</v>
      </c>
      <c r="J1969" s="2" t="s">
        <v>75</v>
      </c>
      <c r="K1969" s="4">
        <v>46127.824999999997</v>
      </c>
      <c r="L1969" s="2" t="s">
        <v>24</v>
      </c>
      <c r="M1969" s="2">
        <v>2</v>
      </c>
      <c r="N1969" t="s">
        <v>8589</v>
      </c>
      <c r="O1969" s="8">
        <f t="shared" si="60"/>
        <v>6.2666666666627862</v>
      </c>
      <c r="P1969" t="str">
        <f t="shared" si="61"/>
        <v>N/A</v>
      </c>
    </row>
    <row r="1970" spans="1:16" x14ac:dyDescent="0.25">
      <c r="A1970" s="2" t="s">
        <v>5348</v>
      </c>
      <c r="B1970" s="4">
        <v>46154.936111111114</v>
      </c>
      <c r="C1970" s="2" t="s">
        <v>16</v>
      </c>
      <c r="D1970" s="2" t="s">
        <v>17</v>
      </c>
      <c r="E1970" s="2" t="s">
        <v>148</v>
      </c>
      <c r="F1970" s="2" t="s">
        <v>55</v>
      </c>
      <c r="G1970" s="2" t="s">
        <v>101</v>
      </c>
      <c r="H1970" s="2" t="s">
        <v>21</v>
      </c>
      <c r="I1970" s="2">
        <v>24</v>
      </c>
      <c r="J1970" s="2" t="s">
        <v>149</v>
      </c>
      <c r="K1970" s="4" t="s">
        <v>8590</v>
      </c>
      <c r="L1970" s="2" t="s">
        <v>24</v>
      </c>
      <c r="M1970" s="2"/>
      <c r="N1970" t="s">
        <v>8588</v>
      </c>
      <c r="O1970" s="8" t="str">
        <f t="shared" si="60"/>
        <v/>
      </c>
      <c r="P1970" t="str">
        <f t="shared" si="61"/>
        <v>N/A</v>
      </c>
    </row>
    <row r="1971" spans="1:16" x14ac:dyDescent="0.25">
      <c r="A1971" s="2" t="s">
        <v>5350</v>
      </c>
      <c r="B1971" s="4">
        <v>46211.743055555555</v>
      </c>
      <c r="C1971" s="2" t="s">
        <v>28</v>
      </c>
      <c r="D1971" s="2" t="s">
        <v>100</v>
      </c>
      <c r="E1971" s="2" t="s">
        <v>79</v>
      </c>
      <c r="F1971" s="2" t="s">
        <v>96</v>
      </c>
      <c r="G1971" s="2" t="s">
        <v>31</v>
      </c>
      <c r="H1971" s="2" t="s">
        <v>21</v>
      </c>
      <c r="I1971" s="2">
        <v>24</v>
      </c>
      <c r="J1971" s="2" t="s">
        <v>11</v>
      </c>
      <c r="K1971" s="4" t="s">
        <v>8590</v>
      </c>
      <c r="L1971" s="2" t="s">
        <v>92</v>
      </c>
      <c r="M1971" s="2"/>
      <c r="N1971" t="s">
        <v>8583</v>
      </c>
      <c r="O1971" s="8" t="str">
        <f t="shared" si="60"/>
        <v/>
      </c>
      <c r="P1971" t="str">
        <f t="shared" si="61"/>
        <v>N/A</v>
      </c>
    </row>
    <row r="1972" spans="1:16" x14ac:dyDescent="0.25">
      <c r="A1972" s="2" t="s">
        <v>5352</v>
      </c>
      <c r="B1972" s="4">
        <v>46117.041666666664</v>
      </c>
      <c r="C1972" s="2" t="s">
        <v>53</v>
      </c>
      <c r="D1972" s="2" t="s">
        <v>54</v>
      </c>
      <c r="E1972" s="2" t="s">
        <v>85</v>
      </c>
      <c r="F1972" s="2" t="s">
        <v>55</v>
      </c>
      <c r="G1972" s="2" t="s">
        <v>101</v>
      </c>
      <c r="H1972" s="2" t="s">
        <v>32</v>
      </c>
      <c r="I1972" s="2">
        <v>48</v>
      </c>
      <c r="J1972" s="2" t="s">
        <v>106</v>
      </c>
      <c r="K1972" s="4">
        <v>46117.258333333331</v>
      </c>
      <c r="L1972" s="2" t="s">
        <v>24</v>
      </c>
      <c r="M1972" s="2"/>
      <c r="N1972" t="s">
        <v>8582</v>
      </c>
      <c r="O1972" s="8">
        <f t="shared" si="60"/>
        <v>5.2000000000116415</v>
      </c>
      <c r="P1972" t="str">
        <f t="shared" si="61"/>
        <v>Yes</v>
      </c>
    </row>
    <row r="1973" spans="1:16" x14ac:dyDescent="0.25">
      <c r="A1973" s="2" t="s">
        <v>5355</v>
      </c>
      <c r="B1973" s="4">
        <v>46127.193055555559</v>
      </c>
      <c r="C1973" s="2" t="s">
        <v>53</v>
      </c>
      <c r="D1973" s="2" t="s">
        <v>54</v>
      </c>
      <c r="E1973" s="2" t="s">
        <v>18</v>
      </c>
      <c r="F1973" s="2" t="s">
        <v>55</v>
      </c>
      <c r="G1973" s="2" t="s">
        <v>110</v>
      </c>
      <c r="H1973" s="2" t="s">
        <v>21</v>
      </c>
      <c r="I1973" s="2">
        <v>24</v>
      </c>
      <c r="J1973" s="2" t="s">
        <v>106</v>
      </c>
      <c r="K1973" s="4">
        <v>46127.568749999999</v>
      </c>
      <c r="L1973" s="2" t="s">
        <v>24</v>
      </c>
      <c r="M1973" s="2"/>
      <c r="N1973" t="s">
        <v>8584</v>
      </c>
      <c r="O1973" s="8">
        <f t="shared" si="60"/>
        <v>9.0166666665463708</v>
      </c>
      <c r="P1973" t="str">
        <f t="shared" si="61"/>
        <v>Yes</v>
      </c>
    </row>
    <row r="1974" spans="1:16" x14ac:dyDescent="0.25">
      <c r="A1974" s="2" t="s">
        <v>5358</v>
      </c>
      <c r="B1974" s="4">
        <v>46245.073611111111</v>
      </c>
      <c r="C1974" s="2" t="s">
        <v>67</v>
      </c>
      <c r="D1974" s="2" t="s">
        <v>68</v>
      </c>
      <c r="E1974" s="2" t="s">
        <v>46</v>
      </c>
      <c r="F1974" s="2" t="s">
        <v>55</v>
      </c>
      <c r="G1974" s="2" t="s">
        <v>183</v>
      </c>
      <c r="H1974" s="2" t="s">
        <v>21</v>
      </c>
      <c r="I1974" s="2">
        <v>24</v>
      </c>
      <c r="J1974" s="2" t="s">
        <v>106</v>
      </c>
      <c r="K1974" s="4">
        <v>46246.743055555555</v>
      </c>
      <c r="L1974" s="2" t="s">
        <v>24</v>
      </c>
      <c r="M1974" s="2">
        <v>5</v>
      </c>
      <c r="N1974" t="s">
        <v>8586</v>
      </c>
      <c r="O1974" s="8">
        <f t="shared" si="60"/>
        <v>40.066666666651145</v>
      </c>
      <c r="P1974" t="str">
        <f t="shared" si="61"/>
        <v>No</v>
      </c>
    </row>
    <row r="1975" spans="1:16" x14ac:dyDescent="0.25">
      <c r="A1975" s="2" t="s">
        <v>5361</v>
      </c>
      <c r="B1975" s="4">
        <v>46054.55</v>
      </c>
      <c r="C1975" s="2" t="s">
        <v>16</v>
      </c>
      <c r="D1975" s="2" t="s">
        <v>84</v>
      </c>
      <c r="E1975" s="2" t="s">
        <v>79</v>
      </c>
      <c r="F1975" s="2" t="s">
        <v>96</v>
      </c>
      <c r="G1975" s="2" t="s">
        <v>101</v>
      </c>
      <c r="H1975" s="2" t="s">
        <v>32</v>
      </c>
      <c r="I1975" s="2">
        <v>48</v>
      </c>
      <c r="J1975" s="2" t="s">
        <v>287</v>
      </c>
      <c r="K1975" s="4" t="s">
        <v>8590</v>
      </c>
      <c r="L1975" s="2" t="s">
        <v>24</v>
      </c>
      <c r="M1975" s="2"/>
      <c r="N1975" t="s">
        <v>8584</v>
      </c>
      <c r="O1975" s="8" t="str">
        <f t="shared" si="60"/>
        <v/>
      </c>
      <c r="P1975" t="str">
        <f t="shared" si="61"/>
        <v>N/A</v>
      </c>
    </row>
    <row r="1976" spans="1:16" x14ac:dyDescent="0.25">
      <c r="A1976" s="2" t="s">
        <v>5363</v>
      </c>
      <c r="B1976" s="4">
        <v>46131.417361111111</v>
      </c>
      <c r="C1976" s="2" t="s">
        <v>16</v>
      </c>
      <c r="D1976" s="2" t="s">
        <v>84</v>
      </c>
      <c r="E1976" s="2" t="s">
        <v>148</v>
      </c>
      <c r="F1976" s="2" t="s">
        <v>113</v>
      </c>
      <c r="G1976" s="2" t="s">
        <v>101</v>
      </c>
      <c r="H1976" s="2" t="s">
        <v>32</v>
      </c>
      <c r="I1976" s="2">
        <v>48</v>
      </c>
      <c r="J1976" s="2" t="s">
        <v>11</v>
      </c>
      <c r="K1976" s="4" t="s">
        <v>8590</v>
      </c>
      <c r="L1976" s="2" t="s">
        <v>92</v>
      </c>
      <c r="M1976" s="2"/>
      <c r="N1976" t="s">
        <v>8583</v>
      </c>
      <c r="O1976" s="8" t="str">
        <f t="shared" si="60"/>
        <v/>
      </c>
      <c r="P1976" t="str">
        <f t="shared" si="61"/>
        <v>N/A</v>
      </c>
    </row>
    <row r="1977" spans="1:16" x14ac:dyDescent="0.25">
      <c r="A1977" s="2" t="s">
        <v>5365</v>
      </c>
      <c r="B1977" s="4">
        <v>46059.749305555553</v>
      </c>
      <c r="C1977" s="2" t="s">
        <v>28</v>
      </c>
      <c r="D1977" s="2" t="s">
        <v>37</v>
      </c>
      <c r="E1977" s="2" t="s">
        <v>38</v>
      </c>
      <c r="F1977" s="2" t="s">
        <v>30</v>
      </c>
      <c r="G1977" s="2" t="s">
        <v>211</v>
      </c>
      <c r="H1977" s="2" t="s">
        <v>32</v>
      </c>
      <c r="I1977" s="2">
        <v>48</v>
      </c>
      <c r="J1977" s="2" t="s">
        <v>106</v>
      </c>
      <c r="K1977" s="4">
        <v>46061.953472222223</v>
      </c>
      <c r="L1977" s="2" t="s">
        <v>24</v>
      </c>
      <c r="M1977" s="2">
        <v>1</v>
      </c>
      <c r="N1977" t="s">
        <v>8583</v>
      </c>
      <c r="O1977" s="8">
        <f t="shared" si="60"/>
        <v>52.900000000081491</v>
      </c>
      <c r="P1977" t="str">
        <f t="shared" si="61"/>
        <v>No</v>
      </c>
    </row>
    <row r="1978" spans="1:16" x14ac:dyDescent="0.25">
      <c r="A1978" s="2" t="s">
        <v>5368</v>
      </c>
      <c r="B1978" s="4">
        <v>46096.283333333333</v>
      </c>
      <c r="C1978" s="2" t="s">
        <v>16</v>
      </c>
      <c r="D1978" s="2" t="s">
        <v>17</v>
      </c>
      <c r="E1978" s="2" t="s">
        <v>90</v>
      </c>
      <c r="F1978" s="2" t="s">
        <v>30</v>
      </c>
      <c r="G1978" s="2" t="s">
        <v>183</v>
      </c>
      <c r="H1978" s="2" t="s">
        <v>32</v>
      </c>
      <c r="I1978" s="2">
        <v>48</v>
      </c>
      <c r="J1978" s="2" t="s">
        <v>8580</v>
      </c>
      <c r="K1978" s="4">
        <v>46100.423611111109</v>
      </c>
      <c r="L1978" s="2" t="s">
        <v>24</v>
      </c>
      <c r="M1978" s="2"/>
      <c r="N1978" t="s">
        <v>8581</v>
      </c>
      <c r="O1978" s="8">
        <f t="shared" si="60"/>
        <v>99.366666666639503</v>
      </c>
      <c r="P1978" t="str">
        <f t="shared" si="61"/>
        <v>N/A</v>
      </c>
    </row>
    <row r="1979" spans="1:16" x14ac:dyDescent="0.25">
      <c r="A1979" s="2" t="s">
        <v>5371</v>
      </c>
      <c r="B1979" s="4">
        <v>46169.318749999999</v>
      </c>
      <c r="C1979" s="2" t="s">
        <v>53</v>
      </c>
      <c r="D1979" s="2" t="s">
        <v>61</v>
      </c>
      <c r="E1979" s="2" t="s">
        <v>38</v>
      </c>
      <c r="F1979" s="2" t="s">
        <v>55</v>
      </c>
      <c r="G1979" s="2" t="s">
        <v>110</v>
      </c>
      <c r="H1979" s="2" t="s">
        <v>32</v>
      </c>
      <c r="I1979" s="2">
        <v>48</v>
      </c>
      <c r="J1979" s="2" t="s">
        <v>75</v>
      </c>
      <c r="K1979" s="4">
        <v>46169.949305555558</v>
      </c>
      <c r="L1979" s="2" t="s">
        <v>92</v>
      </c>
      <c r="M1979" s="2"/>
      <c r="N1979" t="s">
        <v>8588</v>
      </c>
      <c r="O1979" s="8">
        <f t="shared" si="60"/>
        <v>15.133333333418705</v>
      </c>
      <c r="P1979" t="str">
        <f t="shared" si="61"/>
        <v>N/A</v>
      </c>
    </row>
    <row r="1980" spans="1:16" x14ac:dyDescent="0.25">
      <c r="A1980" s="2" t="s">
        <v>5374</v>
      </c>
      <c r="B1980" s="4">
        <v>46068.533333333333</v>
      </c>
      <c r="C1980" s="2" t="s">
        <v>67</v>
      </c>
      <c r="D1980" s="2" t="s">
        <v>68</v>
      </c>
      <c r="E1980" s="2" t="s">
        <v>46</v>
      </c>
      <c r="F1980" s="2" t="s">
        <v>30</v>
      </c>
      <c r="G1980" s="2" t="s">
        <v>183</v>
      </c>
      <c r="H1980" s="2" t="s">
        <v>32</v>
      </c>
      <c r="I1980" s="2">
        <v>48</v>
      </c>
      <c r="J1980" s="2" t="s">
        <v>75</v>
      </c>
      <c r="K1980" s="4">
        <v>46074.397222222222</v>
      </c>
      <c r="L1980" s="2" t="s">
        <v>24</v>
      </c>
      <c r="M1980" s="2"/>
      <c r="N1980" t="s">
        <v>8584</v>
      </c>
      <c r="O1980" s="8">
        <f t="shared" si="60"/>
        <v>140.73333333333721</v>
      </c>
      <c r="P1980" t="str">
        <f t="shared" si="61"/>
        <v>N/A</v>
      </c>
    </row>
    <row r="1981" spans="1:16" x14ac:dyDescent="0.25">
      <c r="A1981" s="2" t="s">
        <v>5377</v>
      </c>
      <c r="B1981" s="4">
        <v>46029.613194444442</v>
      </c>
      <c r="C1981" s="2" t="s">
        <v>53</v>
      </c>
      <c r="D1981" s="2" t="s">
        <v>54</v>
      </c>
      <c r="E1981" s="2" t="s">
        <v>46</v>
      </c>
      <c r="F1981" s="2" t="s">
        <v>113</v>
      </c>
      <c r="G1981" s="2" t="s">
        <v>179</v>
      </c>
      <c r="H1981" s="2" t="s">
        <v>21</v>
      </c>
      <c r="I1981" s="2">
        <v>24</v>
      </c>
      <c r="J1981" s="2" t="s">
        <v>106</v>
      </c>
      <c r="K1981" s="4">
        <v>46029.665277777778</v>
      </c>
      <c r="L1981" s="2" t="s">
        <v>24</v>
      </c>
      <c r="M1981" s="2">
        <v>1</v>
      </c>
      <c r="N1981" t="s">
        <v>8588</v>
      </c>
      <c r="O1981" s="8">
        <f t="shared" si="60"/>
        <v>1.2500000000582077</v>
      </c>
      <c r="P1981" t="str">
        <f t="shared" si="61"/>
        <v>Yes</v>
      </c>
    </row>
    <row r="1982" spans="1:16" x14ac:dyDescent="0.25">
      <c r="A1982" s="2" t="s">
        <v>5380</v>
      </c>
      <c r="B1982" s="4">
        <v>46033.938194444447</v>
      </c>
      <c r="C1982" s="2" t="s">
        <v>28</v>
      </c>
      <c r="D1982" s="2" t="s">
        <v>100</v>
      </c>
      <c r="E1982" s="2" t="s">
        <v>38</v>
      </c>
      <c r="F1982" s="2" t="s">
        <v>30</v>
      </c>
      <c r="G1982" s="2" t="s">
        <v>183</v>
      </c>
      <c r="H1982" s="2" t="s">
        <v>74</v>
      </c>
      <c r="I1982" s="2">
        <v>8</v>
      </c>
      <c r="J1982" s="2" t="s">
        <v>106</v>
      </c>
      <c r="K1982" s="4">
        <v>46034.134722222225</v>
      </c>
      <c r="L1982" s="2" t="s">
        <v>24</v>
      </c>
      <c r="M1982" s="2">
        <v>5</v>
      </c>
      <c r="N1982" t="s">
        <v>8582</v>
      </c>
      <c r="O1982" s="8">
        <f t="shared" si="60"/>
        <v>4.7166666666744277</v>
      </c>
      <c r="P1982" t="str">
        <f t="shared" si="61"/>
        <v>Yes</v>
      </c>
    </row>
    <row r="1983" spans="1:16" x14ac:dyDescent="0.25">
      <c r="A1983" s="2" t="s">
        <v>5383</v>
      </c>
      <c r="B1983" s="4">
        <v>46035.886805555558</v>
      </c>
      <c r="C1983" s="2" t="s">
        <v>16</v>
      </c>
      <c r="D1983" s="2" t="s">
        <v>17</v>
      </c>
      <c r="E1983" s="2" t="s">
        <v>85</v>
      </c>
      <c r="F1983" s="2" t="s">
        <v>113</v>
      </c>
      <c r="G1983" s="2" t="s">
        <v>211</v>
      </c>
      <c r="H1983" s="2" t="s">
        <v>80</v>
      </c>
      <c r="I1983" s="2">
        <v>4</v>
      </c>
      <c r="J1983" s="2" t="s">
        <v>11</v>
      </c>
      <c r="K1983" s="4" t="s">
        <v>8590</v>
      </c>
      <c r="L1983" s="2" t="s">
        <v>92</v>
      </c>
      <c r="M1983" s="2"/>
      <c r="N1983" t="s">
        <v>8584</v>
      </c>
      <c r="O1983" s="8" t="str">
        <f t="shared" si="60"/>
        <v/>
      </c>
      <c r="P1983" t="str">
        <f t="shared" si="61"/>
        <v>N/A</v>
      </c>
    </row>
    <row r="1984" spans="1:16" x14ac:dyDescent="0.25">
      <c r="A1984" s="2" t="s">
        <v>5385</v>
      </c>
      <c r="B1984" s="4">
        <v>46055.565972222219</v>
      </c>
      <c r="C1984" s="2" t="s">
        <v>28</v>
      </c>
      <c r="D1984" s="2" t="s">
        <v>37</v>
      </c>
      <c r="E1984" s="2" t="s">
        <v>79</v>
      </c>
      <c r="F1984" s="2" t="s">
        <v>113</v>
      </c>
      <c r="G1984" s="2" t="s">
        <v>179</v>
      </c>
      <c r="H1984" s="2" t="s">
        <v>21</v>
      </c>
      <c r="I1984" s="2">
        <v>24</v>
      </c>
      <c r="J1984" s="2" t="s">
        <v>106</v>
      </c>
      <c r="K1984" s="4">
        <v>46057.067361111112</v>
      </c>
      <c r="L1984" s="2" t="s">
        <v>24</v>
      </c>
      <c r="M1984" s="2">
        <v>5</v>
      </c>
      <c r="N1984" t="s">
        <v>8582</v>
      </c>
      <c r="O1984" s="8">
        <f t="shared" si="60"/>
        <v>36.033333333441988</v>
      </c>
      <c r="P1984" t="str">
        <f t="shared" si="61"/>
        <v>No</v>
      </c>
    </row>
    <row r="1985" spans="1:16" x14ac:dyDescent="0.25">
      <c r="A1985" s="2" t="s">
        <v>5388</v>
      </c>
      <c r="B1985" s="4">
        <v>46079.717361111114</v>
      </c>
      <c r="C1985" s="2" t="s">
        <v>28</v>
      </c>
      <c r="D1985" s="2" t="s">
        <v>37</v>
      </c>
      <c r="E1985" s="2" t="s">
        <v>85</v>
      </c>
      <c r="F1985" s="2" t="s">
        <v>96</v>
      </c>
      <c r="G1985" s="2" t="s">
        <v>110</v>
      </c>
      <c r="H1985" s="2" t="s">
        <v>21</v>
      </c>
      <c r="I1985" s="2">
        <v>24</v>
      </c>
      <c r="J1985" s="2" t="s">
        <v>106</v>
      </c>
      <c r="K1985" s="4">
        <v>46080.166666666664</v>
      </c>
      <c r="L1985" s="2" t="s">
        <v>24</v>
      </c>
      <c r="M1985" s="2"/>
      <c r="N1985" t="s">
        <v>8584</v>
      </c>
      <c r="O1985" s="8">
        <f t="shared" si="60"/>
        <v>10.783333333209157</v>
      </c>
      <c r="P1985" t="str">
        <f t="shared" si="61"/>
        <v>Yes</v>
      </c>
    </row>
    <row r="1986" spans="1:16" x14ac:dyDescent="0.25">
      <c r="A1986" s="2" t="s">
        <v>5391</v>
      </c>
      <c r="B1986" s="4">
        <v>46163.425694444442</v>
      </c>
      <c r="C1986" s="2" t="s">
        <v>67</v>
      </c>
      <c r="D1986" s="2" t="s">
        <v>68</v>
      </c>
      <c r="E1986" s="2" t="s">
        <v>38</v>
      </c>
      <c r="F1986" s="2" t="s">
        <v>113</v>
      </c>
      <c r="G1986" s="2" t="s">
        <v>211</v>
      </c>
      <c r="H1986" s="2" t="s">
        <v>32</v>
      </c>
      <c r="I1986" s="2">
        <v>48</v>
      </c>
      <c r="J1986" s="2" t="s">
        <v>106</v>
      </c>
      <c r="K1986" s="4">
        <v>46163.566666666666</v>
      </c>
      <c r="L1986" s="2" t="s">
        <v>24</v>
      </c>
      <c r="M1986" s="2">
        <v>2</v>
      </c>
      <c r="N1986" t="s">
        <v>8589</v>
      </c>
      <c r="O1986" s="8">
        <f t="shared" si="60"/>
        <v>3.3833333333604969</v>
      </c>
      <c r="P1986" t="str">
        <f t="shared" si="61"/>
        <v>Yes</v>
      </c>
    </row>
    <row r="1987" spans="1:16" x14ac:dyDescent="0.25">
      <c r="A1987" s="2" t="s">
        <v>5394</v>
      </c>
      <c r="B1987" s="4">
        <v>46031.09097222222</v>
      </c>
      <c r="C1987" s="2" t="s">
        <v>67</v>
      </c>
      <c r="D1987" s="2" t="s">
        <v>95</v>
      </c>
      <c r="E1987" s="2" t="s">
        <v>79</v>
      </c>
      <c r="F1987" s="2" t="s">
        <v>55</v>
      </c>
      <c r="G1987" s="2" t="s">
        <v>211</v>
      </c>
      <c r="H1987" s="2" t="s">
        <v>32</v>
      </c>
      <c r="I1987" s="2">
        <v>48</v>
      </c>
      <c r="J1987" s="2" t="s">
        <v>11</v>
      </c>
      <c r="K1987" s="4" t="s">
        <v>8590</v>
      </c>
      <c r="L1987" s="2" t="s">
        <v>92</v>
      </c>
      <c r="M1987" s="2"/>
      <c r="N1987" t="s">
        <v>8581</v>
      </c>
      <c r="O1987" s="8" t="str">
        <f t="shared" ref="O1987:O2050" si="62">IF(K1987="","",IF(K1987="Missing Resolve Date","",(K1987-B1987)*24))</f>
        <v/>
      </c>
      <c r="P1987" t="str">
        <f t="shared" ref="P1987:P2050" si="63">IF(J1987="Resolved",IF(O1987&lt;=I1987,"Yes","No"),"N/A")</f>
        <v>N/A</v>
      </c>
    </row>
    <row r="1988" spans="1:16" x14ac:dyDescent="0.25">
      <c r="A1988" s="2" t="s">
        <v>5396</v>
      </c>
      <c r="B1988" s="4">
        <v>46037.542361111111</v>
      </c>
      <c r="C1988" s="2" t="s">
        <v>53</v>
      </c>
      <c r="D1988" s="2" t="s">
        <v>54</v>
      </c>
      <c r="E1988" s="2" t="s">
        <v>79</v>
      </c>
      <c r="F1988" s="2" t="s">
        <v>30</v>
      </c>
      <c r="G1988" s="2" t="s">
        <v>31</v>
      </c>
      <c r="H1988" s="2" t="s">
        <v>74</v>
      </c>
      <c r="I1988" s="2">
        <v>8</v>
      </c>
      <c r="J1988" s="2" t="s">
        <v>8580</v>
      </c>
      <c r="K1988" s="4">
        <v>46037.727777777778</v>
      </c>
      <c r="L1988" s="2" t="s">
        <v>24</v>
      </c>
      <c r="M1988" s="2"/>
      <c r="N1988" t="s">
        <v>8586</v>
      </c>
      <c r="O1988" s="8">
        <f t="shared" si="62"/>
        <v>4.4500000000116415</v>
      </c>
      <c r="P1988" t="str">
        <f t="shared" si="63"/>
        <v>N/A</v>
      </c>
    </row>
    <row r="1989" spans="1:16" x14ac:dyDescent="0.25">
      <c r="A1989" s="2" t="s">
        <v>5399</v>
      </c>
      <c r="B1989" s="4">
        <v>46137.270833333336</v>
      </c>
      <c r="C1989" s="2" t="s">
        <v>67</v>
      </c>
      <c r="D1989" s="2" t="s">
        <v>95</v>
      </c>
      <c r="E1989" s="2" t="s">
        <v>46</v>
      </c>
      <c r="F1989" s="2" t="s">
        <v>113</v>
      </c>
      <c r="G1989" s="2" t="s">
        <v>179</v>
      </c>
      <c r="H1989" s="2" t="s">
        <v>74</v>
      </c>
      <c r="I1989" s="2">
        <v>8</v>
      </c>
      <c r="J1989" s="2" t="s">
        <v>75</v>
      </c>
      <c r="K1989" s="4">
        <v>46138.229166666664</v>
      </c>
      <c r="L1989" s="2" t="s">
        <v>24</v>
      </c>
      <c r="M1989" s="2">
        <v>5</v>
      </c>
      <c r="N1989" t="s">
        <v>8589</v>
      </c>
      <c r="O1989" s="8">
        <f t="shared" si="62"/>
        <v>22.999999999883585</v>
      </c>
      <c r="P1989" t="str">
        <f t="shared" si="63"/>
        <v>N/A</v>
      </c>
    </row>
    <row r="1990" spans="1:16" x14ac:dyDescent="0.25">
      <c r="A1990" s="2" t="s">
        <v>5402</v>
      </c>
      <c r="B1990" s="4">
        <v>46215.491666666669</v>
      </c>
      <c r="C1990" s="2" t="s">
        <v>67</v>
      </c>
      <c r="D1990" s="2" t="s">
        <v>68</v>
      </c>
      <c r="E1990" s="2" t="s">
        <v>38</v>
      </c>
      <c r="F1990" s="2" t="s">
        <v>96</v>
      </c>
      <c r="G1990" s="2" t="s">
        <v>31</v>
      </c>
      <c r="H1990" s="2" t="s">
        <v>32</v>
      </c>
      <c r="I1990" s="2">
        <v>48</v>
      </c>
      <c r="J1990" s="2" t="s">
        <v>149</v>
      </c>
      <c r="K1990" s="4" t="s">
        <v>8590</v>
      </c>
      <c r="L1990" s="2" t="s">
        <v>24</v>
      </c>
      <c r="M1990" s="2"/>
      <c r="N1990" t="s">
        <v>8585</v>
      </c>
      <c r="O1990" s="8" t="str">
        <f t="shared" si="62"/>
        <v/>
      </c>
      <c r="P1990" t="str">
        <f t="shared" si="63"/>
        <v>N/A</v>
      </c>
    </row>
    <row r="1991" spans="1:16" x14ac:dyDescent="0.25">
      <c r="A1991" s="2" t="s">
        <v>5404</v>
      </c>
      <c r="B1991" s="4">
        <v>46137.049305555556</v>
      </c>
      <c r="C1991" s="2" t="s">
        <v>28</v>
      </c>
      <c r="D1991" s="2" t="s">
        <v>37</v>
      </c>
      <c r="E1991" s="2" t="s">
        <v>85</v>
      </c>
      <c r="F1991" s="2" t="s">
        <v>113</v>
      </c>
      <c r="G1991" s="2" t="s">
        <v>183</v>
      </c>
      <c r="H1991" s="2" t="s">
        <v>32</v>
      </c>
      <c r="I1991" s="2">
        <v>48</v>
      </c>
      <c r="J1991" s="2" t="s">
        <v>11</v>
      </c>
      <c r="K1991" s="4" t="s">
        <v>8590</v>
      </c>
      <c r="L1991" s="2" t="s">
        <v>92</v>
      </c>
      <c r="M1991" s="2"/>
      <c r="N1991" t="s">
        <v>8582</v>
      </c>
      <c r="O1991" s="8" t="str">
        <f t="shared" si="62"/>
        <v/>
      </c>
      <c r="P1991" t="str">
        <f t="shared" si="63"/>
        <v>N/A</v>
      </c>
    </row>
    <row r="1992" spans="1:16" x14ac:dyDescent="0.25">
      <c r="A1992" s="2" t="s">
        <v>5406</v>
      </c>
      <c r="B1992" s="4">
        <v>46139.498611111114</v>
      </c>
      <c r="C1992" s="2" t="s">
        <v>16</v>
      </c>
      <c r="D1992" s="2" t="s">
        <v>17</v>
      </c>
      <c r="E1992" s="2" t="s">
        <v>85</v>
      </c>
      <c r="F1992" s="2" t="s">
        <v>55</v>
      </c>
      <c r="G1992" s="2" t="s">
        <v>101</v>
      </c>
      <c r="H1992" s="2" t="s">
        <v>21</v>
      </c>
      <c r="I1992" s="2">
        <v>24</v>
      </c>
      <c r="J1992" s="2" t="s">
        <v>149</v>
      </c>
      <c r="K1992" s="4" t="s">
        <v>8590</v>
      </c>
      <c r="L1992" s="2" t="s">
        <v>24</v>
      </c>
      <c r="M1992" s="2"/>
      <c r="N1992" t="s">
        <v>8583</v>
      </c>
      <c r="O1992" s="8" t="str">
        <f t="shared" si="62"/>
        <v/>
      </c>
      <c r="P1992" t="str">
        <f t="shared" si="63"/>
        <v>N/A</v>
      </c>
    </row>
    <row r="1993" spans="1:16" x14ac:dyDescent="0.25">
      <c r="A1993" s="2" t="s">
        <v>5408</v>
      </c>
      <c r="B1993" s="4">
        <v>46227.275000000001</v>
      </c>
      <c r="C1993" s="2" t="s">
        <v>53</v>
      </c>
      <c r="D1993" s="2" t="s">
        <v>61</v>
      </c>
      <c r="E1993" s="2" t="s">
        <v>85</v>
      </c>
      <c r="F1993" s="2" t="s">
        <v>30</v>
      </c>
      <c r="G1993" s="2" t="s">
        <v>31</v>
      </c>
      <c r="H1993" s="2" t="s">
        <v>21</v>
      </c>
      <c r="I1993" s="2">
        <v>24</v>
      </c>
      <c r="J1993" s="2" t="s">
        <v>106</v>
      </c>
      <c r="K1993" s="4">
        <v>46227.956944444442</v>
      </c>
      <c r="L1993" s="2" t="s">
        <v>24</v>
      </c>
      <c r="M1993" s="2">
        <v>2</v>
      </c>
      <c r="N1993" t="s">
        <v>8586</v>
      </c>
      <c r="O1993" s="8">
        <f t="shared" si="62"/>
        <v>16.366666666581295</v>
      </c>
      <c r="P1993" t="str">
        <f t="shared" si="63"/>
        <v>Yes</v>
      </c>
    </row>
    <row r="1994" spans="1:16" x14ac:dyDescent="0.25">
      <c r="A1994" s="2" t="s">
        <v>5411</v>
      </c>
      <c r="B1994" s="4">
        <v>46081.365972222222</v>
      </c>
      <c r="C1994" s="2" t="s">
        <v>53</v>
      </c>
      <c r="D1994" s="2" t="s">
        <v>54</v>
      </c>
      <c r="E1994" s="2" t="s">
        <v>90</v>
      </c>
      <c r="F1994" s="2" t="s">
        <v>55</v>
      </c>
      <c r="G1994" s="2" t="s">
        <v>31</v>
      </c>
      <c r="H1994" s="2" t="s">
        <v>21</v>
      </c>
      <c r="I1994" s="2">
        <v>24</v>
      </c>
      <c r="J1994" s="2" t="s">
        <v>11</v>
      </c>
      <c r="K1994" s="4" t="s">
        <v>8590</v>
      </c>
      <c r="L1994" s="2" t="s">
        <v>92</v>
      </c>
      <c r="M1994" s="2"/>
      <c r="N1994" t="s">
        <v>8582</v>
      </c>
      <c r="O1994" s="8" t="str">
        <f t="shared" si="62"/>
        <v/>
      </c>
      <c r="P1994" t="str">
        <f t="shared" si="63"/>
        <v>N/A</v>
      </c>
    </row>
    <row r="1995" spans="1:16" x14ac:dyDescent="0.25">
      <c r="A1995" s="2" t="s">
        <v>5413</v>
      </c>
      <c r="B1995" s="4">
        <v>46116.839583333334</v>
      </c>
      <c r="C1995" s="2" t="s">
        <v>53</v>
      </c>
      <c r="D1995" s="2" t="s">
        <v>61</v>
      </c>
      <c r="E1995" s="2" t="s">
        <v>90</v>
      </c>
      <c r="F1995" s="2" t="s">
        <v>55</v>
      </c>
      <c r="G1995" s="2" t="s">
        <v>101</v>
      </c>
      <c r="H1995" s="2" t="s">
        <v>80</v>
      </c>
      <c r="I1995" s="2">
        <v>4</v>
      </c>
      <c r="J1995" s="2" t="s">
        <v>11</v>
      </c>
      <c r="K1995" s="4" t="s">
        <v>8590</v>
      </c>
      <c r="L1995" s="2" t="s">
        <v>92</v>
      </c>
      <c r="M1995" s="2"/>
      <c r="N1995" t="s">
        <v>8589</v>
      </c>
      <c r="O1995" s="8" t="str">
        <f t="shared" si="62"/>
        <v/>
      </c>
      <c r="P1995" t="str">
        <f t="shared" si="63"/>
        <v>N/A</v>
      </c>
    </row>
    <row r="1996" spans="1:16" x14ac:dyDescent="0.25">
      <c r="A1996" s="2" t="s">
        <v>5415</v>
      </c>
      <c r="B1996" s="4">
        <v>46181.805555555555</v>
      </c>
      <c r="C1996" s="2" t="s">
        <v>28</v>
      </c>
      <c r="D1996" s="2" t="s">
        <v>100</v>
      </c>
      <c r="E1996" s="2" t="s">
        <v>85</v>
      </c>
      <c r="F1996" s="2" t="s">
        <v>96</v>
      </c>
      <c r="G1996" s="2" t="s">
        <v>110</v>
      </c>
      <c r="H1996" s="2" t="s">
        <v>21</v>
      </c>
      <c r="I1996" s="2">
        <v>24</v>
      </c>
      <c r="J1996" s="2" t="s">
        <v>106</v>
      </c>
      <c r="K1996" s="4">
        <v>46184.362500000003</v>
      </c>
      <c r="L1996" s="2" t="s">
        <v>24</v>
      </c>
      <c r="M1996" s="2">
        <v>4</v>
      </c>
      <c r="N1996" t="s">
        <v>8584</v>
      </c>
      <c r="O1996" s="8">
        <f t="shared" si="62"/>
        <v>61.366666666755918</v>
      </c>
      <c r="P1996" t="str">
        <f t="shared" si="63"/>
        <v>No</v>
      </c>
    </row>
    <row r="1997" spans="1:16" x14ac:dyDescent="0.25">
      <c r="A1997" s="2" t="s">
        <v>5418</v>
      </c>
      <c r="B1997" s="4">
        <v>46109.918055555558</v>
      </c>
      <c r="C1997" s="2" t="s">
        <v>28</v>
      </c>
      <c r="D1997" s="2" t="s">
        <v>100</v>
      </c>
      <c r="E1997" s="2" t="s">
        <v>85</v>
      </c>
      <c r="F1997" s="2" t="s">
        <v>113</v>
      </c>
      <c r="G1997" s="2" t="s">
        <v>31</v>
      </c>
      <c r="H1997" s="2" t="s">
        <v>74</v>
      </c>
      <c r="I1997" s="2">
        <v>8</v>
      </c>
      <c r="J1997" s="2" t="s">
        <v>8580</v>
      </c>
      <c r="K1997" s="4" t="s">
        <v>8590</v>
      </c>
      <c r="L1997" s="2" t="s">
        <v>92</v>
      </c>
      <c r="M1997" s="2"/>
      <c r="N1997" t="s">
        <v>8589</v>
      </c>
      <c r="O1997" s="8" t="str">
        <f t="shared" si="62"/>
        <v/>
      </c>
      <c r="P1997" t="str">
        <f t="shared" si="63"/>
        <v>N/A</v>
      </c>
    </row>
    <row r="1998" spans="1:16" x14ac:dyDescent="0.25">
      <c r="A1998" s="2" t="s">
        <v>5420</v>
      </c>
      <c r="B1998" s="4">
        <v>46161.189583333333</v>
      </c>
      <c r="C1998" s="2" t="s">
        <v>67</v>
      </c>
      <c r="D1998" s="2" t="s">
        <v>95</v>
      </c>
      <c r="E1998" s="2" t="s">
        <v>85</v>
      </c>
      <c r="F1998" s="2" t="s">
        <v>113</v>
      </c>
      <c r="G1998" s="2" t="s">
        <v>101</v>
      </c>
      <c r="H1998" s="2" t="s">
        <v>74</v>
      </c>
      <c r="I1998" s="2">
        <v>8</v>
      </c>
      <c r="J1998" s="2" t="s">
        <v>149</v>
      </c>
      <c r="K1998" s="4" t="s">
        <v>8590</v>
      </c>
      <c r="L1998" s="2" t="s">
        <v>24</v>
      </c>
      <c r="M1998" s="2"/>
      <c r="N1998" t="s">
        <v>8583</v>
      </c>
      <c r="O1998" s="8" t="str">
        <f t="shared" si="62"/>
        <v/>
      </c>
      <c r="P1998" t="str">
        <f t="shared" si="63"/>
        <v>N/A</v>
      </c>
    </row>
    <row r="1999" spans="1:16" x14ac:dyDescent="0.25">
      <c r="A1999" s="2" t="s">
        <v>5422</v>
      </c>
      <c r="B1999" s="4">
        <v>46080.663194444445</v>
      </c>
      <c r="C1999" s="2" t="s">
        <v>67</v>
      </c>
      <c r="D1999" s="2" t="s">
        <v>95</v>
      </c>
      <c r="E1999" s="2" t="s">
        <v>18</v>
      </c>
      <c r="F1999" s="2" t="s">
        <v>113</v>
      </c>
      <c r="G1999" s="2" t="s">
        <v>179</v>
      </c>
      <c r="H1999" s="2" t="s">
        <v>32</v>
      </c>
      <c r="I1999" s="2">
        <v>48</v>
      </c>
      <c r="J1999" s="2" t="s">
        <v>75</v>
      </c>
      <c r="K1999" s="4">
        <v>46081.348611111112</v>
      </c>
      <c r="L1999" s="2" t="s">
        <v>24</v>
      </c>
      <c r="M1999" s="2">
        <v>5</v>
      </c>
      <c r="N1999" t="s">
        <v>8583</v>
      </c>
      <c r="O1999" s="8">
        <f t="shared" si="62"/>
        <v>16.450000000011642</v>
      </c>
      <c r="P1999" t="str">
        <f t="shared" si="63"/>
        <v>N/A</v>
      </c>
    </row>
    <row r="2000" spans="1:16" x14ac:dyDescent="0.25">
      <c r="A2000" s="2" t="s">
        <v>5425</v>
      </c>
      <c r="B2000" s="4">
        <v>46174.675694444442</v>
      </c>
      <c r="C2000" s="2" t="s">
        <v>28</v>
      </c>
      <c r="D2000" s="2" t="s">
        <v>37</v>
      </c>
      <c r="E2000" s="2" t="s">
        <v>46</v>
      </c>
      <c r="F2000" s="2" t="s">
        <v>96</v>
      </c>
      <c r="G2000" s="2" t="s">
        <v>101</v>
      </c>
      <c r="H2000" s="2" t="s">
        <v>21</v>
      </c>
      <c r="I2000" s="2">
        <v>24</v>
      </c>
      <c r="J2000" s="2" t="s">
        <v>106</v>
      </c>
      <c r="K2000" s="4">
        <v>46175.908333333333</v>
      </c>
      <c r="L2000" s="2" t="s">
        <v>24</v>
      </c>
      <c r="M2000" s="2">
        <v>3</v>
      </c>
      <c r="N2000" t="s">
        <v>8587</v>
      </c>
      <c r="O2000" s="8">
        <f t="shared" si="62"/>
        <v>29.583333333372138</v>
      </c>
      <c r="P2000" t="str">
        <f t="shared" si="63"/>
        <v>No</v>
      </c>
    </row>
    <row r="2001" spans="1:16" x14ac:dyDescent="0.25">
      <c r="A2001" s="2" t="s">
        <v>5428</v>
      </c>
      <c r="B2001" s="4">
        <v>46061.317361111112</v>
      </c>
      <c r="C2001" s="2" t="s">
        <v>67</v>
      </c>
      <c r="D2001" s="2" t="s">
        <v>95</v>
      </c>
      <c r="E2001" s="2" t="s">
        <v>148</v>
      </c>
      <c r="F2001" s="2" t="s">
        <v>96</v>
      </c>
      <c r="G2001" s="2" t="s">
        <v>211</v>
      </c>
      <c r="H2001" s="2" t="s">
        <v>74</v>
      </c>
      <c r="I2001" s="2">
        <v>8</v>
      </c>
      <c r="J2001" s="2" t="s">
        <v>149</v>
      </c>
      <c r="K2001" s="4" t="s">
        <v>8590</v>
      </c>
      <c r="L2001" s="2" t="s">
        <v>24</v>
      </c>
      <c r="M2001" s="2"/>
      <c r="N2001" t="s">
        <v>8584</v>
      </c>
      <c r="O2001" s="8" t="str">
        <f t="shared" si="62"/>
        <v/>
      </c>
      <c r="P2001" t="str">
        <f t="shared" si="63"/>
        <v>N/A</v>
      </c>
    </row>
    <row r="2002" spans="1:16" x14ac:dyDescent="0.25">
      <c r="A2002" s="2" t="s">
        <v>5430</v>
      </c>
      <c r="B2002" s="4">
        <v>46169.38958333333</v>
      </c>
      <c r="C2002" s="2" t="s">
        <v>67</v>
      </c>
      <c r="D2002" s="2" t="s">
        <v>68</v>
      </c>
      <c r="E2002" s="2" t="s">
        <v>85</v>
      </c>
      <c r="F2002" s="2" t="s">
        <v>30</v>
      </c>
      <c r="G2002" s="2" t="s">
        <v>101</v>
      </c>
      <c r="H2002" s="2" t="s">
        <v>74</v>
      </c>
      <c r="I2002" s="2">
        <v>8</v>
      </c>
      <c r="J2002" s="2" t="s">
        <v>11</v>
      </c>
      <c r="K2002" s="4" t="s">
        <v>8590</v>
      </c>
      <c r="L2002" s="2" t="s">
        <v>92</v>
      </c>
      <c r="M2002" s="2"/>
      <c r="N2002" t="s">
        <v>8589</v>
      </c>
      <c r="O2002" s="8" t="str">
        <f t="shared" si="62"/>
        <v/>
      </c>
      <c r="P2002" t="str">
        <f t="shared" si="63"/>
        <v>N/A</v>
      </c>
    </row>
    <row r="2003" spans="1:16" x14ac:dyDescent="0.25">
      <c r="A2003" s="2" t="s">
        <v>5432</v>
      </c>
      <c r="B2003" s="4">
        <v>46155.727083333331</v>
      </c>
      <c r="C2003" s="2" t="s">
        <v>16</v>
      </c>
      <c r="D2003" s="2" t="s">
        <v>84</v>
      </c>
      <c r="E2003" s="2" t="s">
        <v>38</v>
      </c>
      <c r="F2003" s="2" t="s">
        <v>113</v>
      </c>
      <c r="G2003" s="2" t="s">
        <v>211</v>
      </c>
      <c r="H2003" s="2" t="s">
        <v>21</v>
      </c>
      <c r="I2003" s="2">
        <v>24</v>
      </c>
      <c r="J2003" s="2" t="s">
        <v>11</v>
      </c>
      <c r="K2003" s="4" t="s">
        <v>8590</v>
      </c>
      <c r="L2003" s="2" t="s">
        <v>92</v>
      </c>
      <c r="M2003" s="2"/>
      <c r="N2003" t="s">
        <v>8585</v>
      </c>
      <c r="O2003" s="8" t="str">
        <f t="shared" si="62"/>
        <v/>
      </c>
      <c r="P2003" t="str">
        <f t="shared" si="63"/>
        <v>N/A</v>
      </c>
    </row>
    <row r="2004" spans="1:16" x14ac:dyDescent="0.25">
      <c r="A2004" s="2" t="s">
        <v>5434</v>
      </c>
      <c r="B2004" s="4">
        <v>46217.183333333334</v>
      </c>
      <c r="C2004" s="2" t="s">
        <v>16</v>
      </c>
      <c r="D2004" s="2" t="s">
        <v>84</v>
      </c>
      <c r="E2004" s="2" t="s">
        <v>148</v>
      </c>
      <c r="F2004" s="2" t="s">
        <v>30</v>
      </c>
      <c r="G2004" s="2" t="s">
        <v>179</v>
      </c>
      <c r="H2004" s="2" t="s">
        <v>74</v>
      </c>
      <c r="I2004" s="2">
        <v>8</v>
      </c>
      <c r="J2004" s="2" t="s">
        <v>75</v>
      </c>
      <c r="K2004" s="4">
        <v>46218.087500000001</v>
      </c>
      <c r="L2004" s="2" t="s">
        <v>24</v>
      </c>
      <c r="M2004" s="2">
        <v>4</v>
      </c>
      <c r="N2004" t="s">
        <v>8586</v>
      </c>
      <c r="O2004" s="8">
        <f t="shared" si="62"/>
        <v>21.700000000011642</v>
      </c>
      <c r="P2004" t="str">
        <f t="shared" si="63"/>
        <v>N/A</v>
      </c>
    </row>
    <row r="2005" spans="1:16" x14ac:dyDescent="0.25">
      <c r="A2005" s="2" t="s">
        <v>5437</v>
      </c>
      <c r="B2005" s="4">
        <v>46113.134722222225</v>
      </c>
      <c r="C2005" s="2" t="s">
        <v>67</v>
      </c>
      <c r="D2005" s="2" t="s">
        <v>95</v>
      </c>
      <c r="E2005" s="2" t="s">
        <v>46</v>
      </c>
      <c r="F2005" s="2" t="s">
        <v>96</v>
      </c>
      <c r="G2005" s="2" t="s">
        <v>211</v>
      </c>
      <c r="H2005" s="2" t="s">
        <v>74</v>
      </c>
      <c r="I2005" s="2">
        <v>8</v>
      </c>
      <c r="J2005" s="2" t="s">
        <v>75</v>
      </c>
      <c r="K2005" s="4">
        <v>46113.410416666666</v>
      </c>
      <c r="L2005" s="2" t="s">
        <v>24</v>
      </c>
      <c r="M2005" s="2">
        <v>5</v>
      </c>
      <c r="N2005" t="s">
        <v>8589</v>
      </c>
      <c r="O2005" s="8">
        <f t="shared" si="62"/>
        <v>6.6166666665812954</v>
      </c>
      <c r="P2005" t="str">
        <f t="shared" si="63"/>
        <v>N/A</v>
      </c>
    </row>
    <row r="2006" spans="1:16" x14ac:dyDescent="0.25">
      <c r="A2006" s="2" t="s">
        <v>5440</v>
      </c>
      <c r="B2006" s="4">
        <v>46073.28125</v>
      </c>
      <c r="C2006" s="2" t="s">
        <v>67</v>
      </c>
      <c r="D2006" s="2" t="s">
        <v>95</v>
      </c>
      <c r="E2006" s="2" t="s">
        <v>85</v>
      </c>
      <c r="F2006" s="2" t="s">
        <v>30</v>
      </c>
      <c r="G2006" s="2" t="s">
        <v>179</v>
      </c>
      <c r="H2006" s="2" t="s">
        <v>80</v>
      </c>
      <c r="I2006" s="2">
        <v>4</v>
      </c>
      <c r="J2006" s="2" t="s">
        <v>106</v>
      </c>
      <c r="K2006" s="4">
        <v>46073.356944444444</v>
      </c>
      <c r="L2006" s="2" t="s">
        <v>24</v>
      </c>
      <c r="M2006" s="2"/>
      <c r="N2006" t="s">
        <v>8584</v>
      </c>
      <c r="O2006" s="8">
        <f t="shared" si="62"/>
        <v>1.8166666666511446</v>
      </c>
      <c r="P2006" t="str">
        <f t="shared" si="63"/>
        <v>Yes</v>
      </c>
    </row>
    <row r="2007" spans="1:16" x14ac:dyDescent="0.25">
      <c r="A2007" s="2" t="s">
        <v>5443</v>
      </c>
      <c r="B2007" s="4">
        <v>46116.631249999999</v>
      </c>
      <c r="C2007" s="2" t="s">
        <v>28</v>
      </c>
      <c r="D2007" s="2" t="s">
        <v>37</v>
      </c>
      <c r="E2007" s="2" t="s">
        <v>90</v>
      </c>
      <c r="F2007" s="2" t="s">
        <v>55</v>
      </c>
      <c r="G2007" s="2" t="s">
        <v>211</v>
      </c>
      <c r="H2007" s="2" t="s">
        <v>32</v>
      </c>
      <c r="I2007" s="2">
        <v>48</v>
      </c>
      <c r="J2007" s="2" t="s">
        <v>106</v>
      </c>
      <c r="K2007" s="4">
        <v>46118.119444444441</v>
      </c>
      <c r="L2007" s="2" t="s">
        <v>24</v>
      </c>
      <c r="M2007" s="2"/>
      <c r="N2007" t="s">
        <v>8582</v>
      </c>
      <c r="O2007" s="8">
        <f t="shared" si="62"/>
        <v>35.71666666661622</v>
      </c>
      <c r="P2007" t="str">
        <f t="shared" si="63"/>
        <v>Yes</v>
      </c>
    </row>
    <row r="2008" spans="1:16" x14ac:dyDescent="0.25">
      <c r="A2008" s="2" t="s">
        <v>5446</v>
      </c>
      <c r="B2008" s="4">
        <v>46146.160416666666</v>
      </c>
      <c r="C2008" s="2" t="s">
        <v>16</v>
      </c>
      <c r="D2008" s="2" t="s">
        <v>17</v>
      </c>
      <c r="E2008" s="2" t="s">
        <v>85</v>
      </c>
      <c r="F2008" s="2" t="s">
        <v>30</v>
      </c>
      <c r="G2008" s="2" t="s">
        <v>211</v>
      </c>
      <c r="H2008" s="2" t="s">
        <v>32</v>
      </c>
      <c r="I2008" s="2">
        <v>48</v>
      </c>
      <c r="J2008" s="2" t="s">
        <v>149</v>
      </c>
      <c r="K2008" s="4" t="s">
        <v>8590</v>
      </c>
      <c r="L2008" s="2" t="s">
        <v>24</v>
      </c>
      <c r="M2008" s="2"/>
      <c r="N2008" t="s">
        <v>8588</v>
      </c>
      <c r="O2008" s="8" t="str">
        <f t="shared" si="62"/>
        <v/>
      </c>
      <c r="P2008" t="str">
        <f t="shared" si="63"/>
        <v>N/A</v>
      </c>
    </row>
    <row r="2009" spans="1:16" x14ac:dyDescent="0.25">
      <c r="A2009" s="2" t="s">
        <v>5448</v>
      </c>
      <c r="B2009" s="4">
        <v>46185.095833333333</v>
      </c>
      <c r="C2009" s="2" t="s">
        <v>28</v>
      </c>
      <c r="D2009" s="2" t="s">
        <v>37</v>
      </c>
      <c r="E2009" s="2" t="s">
        <v>79</v>
      </c>
      <c r="F2009" s="2" t="s">
        <v>55</v>
      </c>
      <c r="G2009" s="2" t="s">
        <v>183</v>
      </c>
      <c r="H2009" s="2" t="s">
        <v>21</v>
      </c>
      <c r="I2009" s="2">
        <v>24</v>
      </c>
      <c r="J2009" s="2" t="s">
        <v>75</v>
      </c>
      <c r="K2009" s="4">
        <v>46185.515972222223</v>
      </c>
      <c r="L2009" s="2" t="s">
        <v>24</v>
      </c>
      <c r="M2009" s="2">
        <v>2</v>
      </c>
      <c r="N2009" t="s">
        <v>8585</v>
      </c>
      <c r="O2009" s="8">
        <f t="shared" si="62"/>
        <v>10.083333333372138</v>
      </c>
      <c r="P2009" t="str">
        <f t="shared" si="63"/>
        <v>N/A</v>
      </c>
    </row>
    <row r="2010" spans="1:16" x14ac:dyDescent="0.25">
      <c r="A2010" s="2" t="s">
        <v>5451</v>
      </c>
      <c r="B2010" s="4">
        <v>46051.070138888892</v>
      </c>
      <c r="C2010" s="2" t="s">
        <v>16</v>
      </c>
      <c r="D2010" s="2" t="s">
        <v>17</v>
      </c>
      <c r="E2010" s="2" t="s">
        <v>79</v>
      </c>
      <c r="F2010" s="2" t="s">
        <v>30</v>
      </c>
      <c r="G2010" s="2" t="s">
        <v>101</v>
      </c>
      <c r="H2010" s="2" t="s">
        <v>74</v>
      </c>
      <c r="I2010" s="2">
        <v>8</v>
      </c>
      <c r="J2010" s="2" t="s">
        <v>149</v>
      </c>
      <c r="K2010" s="4" t="s">
        <v>8590</v>
      </c>
      <c r="L2010" s="2" t="s">
        <v>24</v>
      </c>
      <c r="M2010" s="2"/>
      <c r="N2010" t="s">
        <v>8589</v>
      </c>
      <c r="O2010" s="8" t="str">
        <f t="shared" si="62"/>
        <v/>
      </c>
      <c r="P2010" t="str">
        <f t="shared" si="63"/>
        <v>N/A</v>
      </c>
    </row>
    <row r="2011" spans="1:16" x14ac:dyDescent="0.25">
      <c r="A2011" s="2" t="s">
        <v>5453</v>
      </c>
      <c r="B2011" s="4">
        <v>46027.414583333331</v>
      </c>
      <c r="C2011" s="2" t="s">
        <v>67</v>
      </c>
      <c r="D2011" s="2" t="s">
        <v>95</v>
      </c>
      <c r="E2011" s="2" t="s">
        <v>18</v>
      </c>
      <c r="F2011" s="2" t="s">
        <v>96</v>
      </c>
      <c r="G2011" s="2" t="s">
        <v>183</v>
      </c>
      <c r="H2011" s="2" t="s">
        <v>32</v>
      </c>
      <c r="I2011" s="2">
        <v>48</v>
      </c>
      <c r="J2011" s="2" t="s">
        <v>287</v>
      </c>
      <c r="K2011" s="4" t="s">
        <v>8590</v>
      </c>
      <c r="L2011" s="2" t="s">
        <v>24</v>
      </c>
      <c r="M2011" s="2"/>
      <c r="N2011" t="s">
        <v>8586</v>
      </c>
      <c r="O2011" s="8" t="str">
        <f t="shared" si="62"/>
        <v/>
      </c>
      <c r="P2011" t="str">
        <f t="shared" si="63"/>
        <v>N/A</v>
      </c>
    </row>
    <row r="2012" spans="1:16" x14ac:dyDescent="0.25">
      <c r="A2012" s="2" t="s">
        <v>5455</v>
      </c>
      <c r="B2012" s="4">
        <v>46170.499305555553</v>
      </c>
      <c r="C2012" s="2" t="s">
        <v>28</v>
      </c>
      <c r="D2012" s="2" t="s">
        <v>100</v>
      </c>
      <c r="E2012" s="2" t="s">
        <v>38</v>
      </c>
      <c r="F2012" s="2" t="s">
        <v>113</v>
      </c>
      <c r="G2012" s="2" t="s">
        <v>211</v>
      </c>
      <c r="H2012" s="2" t="s">
        <v>80</v>
      </c>
      <c r="I2012" s="2">
        <v>4</v>
      </c>
      <c r="J2012" s="2" t="s">
        <v>106</v>
      </c>
      <c r="K2012" s="4">
        <v>46170.590277777781</v>
      </c>
      <c r="L2012" s="2" t="s">
        <v>24</v>
      </c>
      <c r="M2012" s="2">
        <v>5</v>
      </c>
      <c r="N2012" t="s">
        <v>8581</v>
      </c>
      <c r="O2012" s="8">
        <f t="shared" si="62"/>
        <v>2.1833333334652707</v>
      </c>
      <c r="P2012" t="str">
        <f t="shared" si="63"/>
        <v>Yes</v>
      </c>
    </row>
    <row r="2013" spans="1:16" x14ac:dyDescent="0.25">
      <c r="A2013" s="2" t="s">
        <v>5458</v>
      </c>
      <c r="B2013" s="4">
        <v>46134.78125</v>
      </c>
      <c r="C2013" s="2" t="s">
        <v>16</v>
      </c>
      <c r="D2013" s="2" t="s">
        <v>84</v>
      </c>
      <c r="E2013" s="2" t="s">
        <v>85</v>
      </c>
      <c r="F2013" s="2" t="s">
        <v>55</v>
      </c>
      <c r="G2013" s="2" t="s">
        <v>101</v>
      </c>
      <c r="H2013" s="2" t="s">
        <v>74</v>
      </c>
      <c r="I2013" s="2">
        <v>8</v>
      </c>
      <c r="J2013" s="2" t="s">
        <v>75</v>
      </c>
      <c r="K2013" s="4" t="s">
        <v>8590</v>
      </c>
      <c r="L2013" s="2" t="s">
        <v>24</v>
      </c>
      <c r="M2013" s="2">
        <v>4</v>
      </c>
      <c r="N2013" t="s">
        <v>8589</v>
      </c>
      <c r="O2013" s="8" t="str">
        <f t="shared" si="62"/>
        <v/>
      </c>
      <c r="P2013" t="str">
        <f t="shared" si="63"/>
        <v>N/A</v>
      </c>
    </row>
    <row r="2014" spans="1:16" x14ac:dyDescent="0.25">
      <c r="A2014" s="2" t="s">
        <v>5460</v>
      </c>
      <c r="B2014" s="4">
        <v>46024.190972222219</v>
      </c>
      <c r="C2014" s="2" t="s">
        <v>67</v>
      </c>
      <c r="D2014" s="2" t="s">
        <v>95</v>
      </c>
      <c r="E2014" s="2" t="s">
        <v>38</v>
      </c>
      <c r="F2014" s="2" t="s">
        <v>113</v>
      </c>
      <c r="G2014" s="2" t="s">
        <v>110</v>
      </c>
      <c r="H2014" s="2" t="s">
        <v>21</v>
      </c>
      <c r="I2014" s="2">
        <v>24</v>
      </c>
      <c r="J2014" s="2" t="s">
        <v>75</v>
      </c>
      <c r="K2014" s="4">
        <v>46024.799305555556</v>
      </c>
      <c r="L2014" s="2" t="s">
        <v>24</v>
      </c>
      <c r="M2014" s="2">
        <v>5</v>
      </c>
      <c r="N2014" t="s">
        <v>8588</v>
      </c>
      <c r="O2014" s="8">
        <f t="shared" si="62"/>
        <v>14.600000000093132</v>
      </c>
      <c r="P2014" t="str">
        <f t="shared" si="63"/>
        <v>N/A</v>
      </c>
    </row>
    <row r="2015" spans="1:16" x14ac:dyDescent="0.25">
      <c r="A2015" s="2" t="s">
        <v>5463</v>
      </c>
      <c r="B2015" s="4">
        <v>46162.970138888886</v>
      </c>
      <c r="C2015" s="2" t="s">
        <v>28</v>
      </c>
      <c r="D2015" s="2" t="s">
        <v>100</v>
      </c>
      <c r="E2015" s="2" t="s">
        <v>90</v>
      </c>
      <c r="F2015" s="2" t="s">
        <v>96</v>
      </c>
      <c r="G2015" s="2" t="s">
        <v>110</v>
      </c>
      <c r="H2015" s="2" t="s">
        <v>74</v>
      </c>
      <c r="I2015" s="2">
        <v>8</v>
      </c>
      <c r="J2015" s="2" t="s">
        <v>287</v>
      </c>
      <c r="K2015" s="4" t="s">
        <v>8590</v>
      </c>
      <c r="L2015" s="2" t="s">
        <v>24</v>
      </c>
      <c r="M2015" s="2"/>
      <c r="N2015" t="s">
        <v>8581</v>
      </c>
      <c r="O2015" s="8" t="str">
        <f t="shared" si="62"/>
        <v/>
      </c>
      <c r="P2015" t="str">
        <f t="shared" si="63"/>
        <v>N/A</v>
      </c>
    </row>
    <row r="2016" spans="1:16" x14ac:dyDescent="0.25">
      <c r="A2016" s="2" t="s">
        <v>5465</v>
      </c>
      <c r="B2016" s="4">
        <v>46087.172222222223</v>
      </c>
      <c r="C2016" s="2" t="s">
        <v>53</v>
      </c>
      <c r="D2016" s="2" t="s">
        <v>61</v>
      </c>
      <c r="E2016" s="2" t="s">
        <v>90</v>
      </c>
      <c r="F2016" s="2" t="s">
        <v>30</v>
      </c>
      <c r="G2016" s="2" t="s">
        <v>101</v>
      </c>
      <c r="H2016" s="2" t="s">
        <v>21</v>
      </c>
      <c r="I2016" s="2">
        <v>24</v>
      </c>
      <c r="J2016" s="2" t="s">
        <v>11</v>
      </c>
      <c r="K2016" s="4" t="s">
        <v>8590</v>
      </c>
      <c r="L2016" s="2" t="s">
        <v>92</v>
      </c>
      <c r="M2016" s="2"/>
      <c r="N2016" t="s">
        <v>8581</v>
      </c>
      <c r="O2016" s="8" t="str">
        <f t="shared" si="62"/>
        <v/>
      </c>
      <c r="P2016" t="str">
        <f t="shared" si="63"/>
        <v>N/A</v>
      </c>
    </row>
    <row r="2017" spans="1:16" x14ac:dyDescent="0.25">
      <c r="A2017" s="2" t="s">
        <v>5467</v>
      </c>
      <c r="B2017" s="4">
        <v>46119.20208333333</v>
      </c>
      <c r="C2017" s="2" t="s">
        <v>53</v>
      </c>
      <c r="D2017" s="2" t="s">
        <v>61</v>
      </c>
      <c r="E2017" s="2" t="s">
        <v>46</v>
      </c>
      <c r="F2017" s="2" t="s">
        <v>96</v>
      </c>
      <c r="G2017" s="2" t="s">
        <v>110</v>
      </c>
      <c r="H2017" s="2" t="s">
        <v>32</v>
      </c>
      <c r="I2017" s="2">
        <v>48</v>
      </c>
      <c r="J2017" s="2" t="s">
        <v>106</v>
      </c>
      <c r="K2017" s="4">
        <v>46119.70208333333</v>
      </c>
      <c r="L2017" s="2" t="s">
        <v>24</v>
      </c>
      <c r="M2017" s="2"/>
      <c r="N2017" t="s">
        <v>8582</v>
      </c>
      <c r="O2017" s="8">
        <f t="shared" si="62"/>
        <v>12</v>
      </c>
      <c r="P2017" t="str">
        <f t="shared" si="63"/>
        <v>Yes</v>
      </c>
    </row>
    <row r="2018" spans="1:16" x14ac:dyDescent="0.25">
      <c r="A2018" s="2" t="s">
        <v>5470</v>
      </c>
      <c r="B2018" s="4">
        <v>46049.938194444447</v>
      </c>
      <c r="C2018" s="2" t="s">
        <v>28</v>
      </c>
      <c r="D2018" s="2" t="s">
        <v>37</v>
      </c>
      <c r="E2018" s="2" t="s">
        <v>18</v>
      </c>
      <c r="F2018" s="2" t="s">
        <v>30</v>
      </c>
      <c r="G2018" s="2" t="s">
        <v>211</v>
      </c>
      <c r="H2018" s="2" t="s">
        <v>32</v>
      </c>
      <c r="I2018" s="2">
        <v>48</v>
      </c>
      <c r="J2018" s="2" t="s">
        <v>75</v>
      </c>
      <c r="K2018" s="4">
        <v>46051.279166666667</v>
      </c>
      <c r="L2018" s="2" t="s">
        <v>24</v>
      </c>
      <c r="M2018" s="2">
        <v>3</v>
      </c>
      <c r="N2018" t="s">
        <v>8585</v>
      </c>
      <c r="O2018" s="8">
        <f t="shared" si="62"/>
        <v>32.183333333290648</v>
      </c>
      <c r="P2018" t="str">
        <f t="shared" si="63"/>
        <v>N/A</v>
      </c>
    </row>
    <row r="2019" spans="1:16" x14ac:dyDescent="0.25">
      <c r="A2019" s="2" t="s">
        <v>5473</v>
      </c>
      <c r="B2019" s="4">
        <v>46027.973611111112</v>
      </c>
      <c r="C2019" s="2" t="s">
        <v>16</v>
      </c>
      <c r="D2019" s="2" t="s">
        <v>84</v>
      </c>
      <c r="E2019" s="2" t="s">
        <v>148</v>
      </c>
      <c r="F2019" s="2" t="s">
        <v>55</v>
      </c>
      <c r="G2019" s="2" t="s">
        <v>179</v>
      </c>
      <c r="H2019" s="2" t="s">
        <v>32</v>
      </c>
      <c r="I2019" s="2">
        <v>48</v>
      </c>
      <c r="J2019" s="2" t="s">
        <v>11</v>
      </c>
      <c r="K2019" s="4" t="s">
        <v>8590</v>
      </c>
      <c r="L2019" s="2" t="s">
        <v>92</v>
      </c>
      <c r="M2019" s="2"/>
      <c r="N2019" t="s">
        <v>8587</v>
      </c>
      <c r="O2019" s="8" t="str">
        <f t="shared" si="62"/>
        <v/>
      </c>
      <c r="P2019" t="str">
        <f t="shared" si="63"/>
        <v>N/A</v>
      </c>
    </row>
    <row r="2020" spans="1:16" x14ac:dyDescent="0.25">
      <c r="A2020" s="2" t="s">
        <v>5475</v>
      </c>
      <c r="B2020" s="4">
        <v>46179.661805555559</v>
      </c>
      <c r="C2020" s="2" t="s">
        <v>16</v>
      </c>
      <c r="D2020" s="2" t="s">
        <v>17</v>
      </c>
      <c r="E2020" s="2" t="s">
        <v>46</v>
      </c>
      <c r="F2020" s="2" t="s">
        <v>113</v>
      </c>
      <c r="G2020" s="2" t="s">
        <v>110</v>
      </c>
      <c r="H2020" s="2" t="s">
        <v>21</v>
      </c>
      <c r="I2020" s="2">
        <v>24</v>
      </c>
      <c r="J2020" s="2" t="s">
        <v>75</v>
      </c>
      <c r="K2020" s="4" t="s">
        <v>8590</v>
      </c>
      <c r="L2020" s="2" t="s">
        <v>24</v>
      </c>
      <c r="M2020" s="2">
        <v>4</v>
      </c>
      <c r="N2020" t="s">
        <v>8589</v>
      </c>
      <c r="O2020" s="8" t="str">
        <f t="shared" si="62"/>
        <v/>
      </c>
      <c r="P2020" t="str">
        <f t="shared" si="63"/>
        <v>N/A</v>
      </c>
    </row>
    <row r="2021" spans="1:16" x14ac:dyDescent="0.25">
      <c r="A2021" s="2" t="s">
        <v>5477</v>
      </c>
      <c r="B2021" s="4">
        <v>46023.928472222222</v>
      </c>
      <c r="C2021" s="2" t="s">
        <v>28</v>
      </c>
      <c r="D2021" s="2" t="s">
        <v>37</v>
      </c>
      <c r="E2021" s="2" t="s">
        <v>85</v>
      </c>
      <c r="F2021" s="2" t="s">
        <v>30</v>
      </c>
      <c r="G2021" s="2" t="s">
        <v>101</v>
      </c>
      <c r="H2021" s="2" t="s">
        <v>21</v>
      </c>
      <c r="I2021" s="2">
        <v>24</v>
      </c>
      <c r="J2021" s="2" t="s">
        <v>11</v>
      </c>
      <c r="K2021" s="4" t="s">
        <v>8590</v>
      </c>
      <c r="L2021" s="2" t="s">
        <v>92</v>
      </c>
      <c r="M2021" s="2"/>
      <c r="N2021" t="s">
        <v>8589</v>
      </c>
      <c r="O2021" s="8" t="str">
        <f t="shared" si="62"/>
        <v/>
      </c>
      <c r="P2021" t="str">
        <f t="shared" si="63"/>
        <v>N/A</v>
      </c>
    </row>
    <row r="2022" spans="1:16" x14ac:dyDescent="0.25">
      <c r="A2022" s="2" t="s">
        <v>5479</v>
      </c>
      <c r="B2022" s="4">
        <v>46220.203472222223</v>
      </c>
      <c r="C2022" s="2" t="s">
        <v>16</v>
      </c>
      <c r="D2022" s="2" t="s">
        <v>17</v>
      </c>
      <c r="E2022" s="2" t="s">
        <v>79</v>
      </c>
      <c r="F2022" s="2" t="s">
        <v>96</v>
      </c>
      <c r="G2022" s="2" t="s">
        <v>179</v>
      </c>
      <c r="H2022" s="2" t="s">
        <v>21</v>
      </c>
      <c r="I2022" s="2">
        <v>24</v>
      </c>
      <c r="J2022" s="2" t="s">
        <v>106</v>
      </c>
      <c r="K2022" s="4">
        <v>46222.36041666667</v>
      </c>
      <c r="L2022" s="2" t="s">
        <v>24</v>
      </c>
      <c r="M2022" s="2"/>
      <c r="N2022" t="s">
        <v>8581</v>
      </c>
      <c r="O2022" s="8">
        <f t="shared" si="62"/>
        <v>51.766666666720994</v>
      </c>
      <c r="P2022" t="str">
        <f t="shared" si="63"/>
        <v>No</v>
      </c>
    </row>
    <row r="2023" spans="1:16" x14ac:dyDescent="0.25">
      <c r="A2023" s="2" t="s">
        <v>5482</v>
      </c>
      <c r="B2023" s="4">
        <v>46109.828472222223</v>
      </c>
      <c r="C2023" s="2" t="s">
        <v>16</v>
      </c>
      <c r="D2023" s="2" t="s">
        <v>17</v>
      </c>
      <c r="E2023" s="2" t="s">
        <v>38</v>
      </c>
      <c r="F2023" s="2" t="s">
        <v>113</v>
      </c>
      <c r="G2023" s="2" t="s">
        <v>101</v>
      </c>
      <c r="H2023" s="2" t="s">
        <v>74</v>
      </c>
      <c r="I2023" s="2">
        <v>8</v>
      </c>
      <c r="J2023" s="2" t="s">
        <v>75</v>
      </c>
      <c r="K2023" s="4">
        <v>46110.087500000001</v>
      </c>
      <c r="L2023" s="2" t="s">
        <v>24</v>
      </c>
      <c r="M2023" s="2">
        <v>1</v>
      </c>
      <c r="N2023" t="s">
        <v>8582</v>
      </c>
      <c r="O2023" s="8">
        <f t="shared" si="62"/>
        <v>6.2166666666744277</v>
      </c>
      <c r="P2023" t="str">
        <f t="shared" si="63"/>
        <v>N/A</v>
      </c>
    </row>
    <row r="2024" spans="1:16" x14ac:dyDescent="0.25">
      <c r="A2024" s="2" t="s">
        <v>5485</v>
      </c>
      <c r="B2024" s="4">
        <v>46187.063194444447</v>
      </c>
      <c r="C2024" s="2" t="s">
        <v>53</v>
      </c>
      <c r="D2024" s="2" t="s">
        <v>54</v>
      </c>
      <c r="E2024" s="2" t="s">
        <v>46</v>
      </c>
      <c r="F2024" s="2" t="s">
        <v>96</v>
      </c>
      <c r="G2024" s="2" t="s">
        <v>211</v>
      </c>
      <c r="H2024" s="2" t="s">
        <v>21</v>
      </c>
      <c r="I2024" s="2">
        <v>24</v>
      </c>
      <c r="J2024" s="2" t="s">
        <v>106</v>
      </c>
      <c r="K2024" s="4">
        <v>46187.281944444447</v>
      </c>
      <c r="L2024" s="2" t="s">
        <v>24</v>
      </c>
      <c r="M2024" s="2"/>
      <c r="N2024" t="s">
        <v>8586</v>
      </c>
      <c r="O2024" s="8">
        <f t="shared" si="62"/>
        <v>5.25</v>
      </c>
      <c r="P2024" t="str">
        <f t="shared" si="63"/>
        <v>Yes</v>
      </c>
    </row>
    <row r="2025" spans="1:16" x14ac:dyDescent="0.25">
      <c r="A2025" s="2" t="s">
        <v>5488</v>
      </c>
      <c r="B2025" s="4">
        <v>46121.145138888889</v>
      </c>
      <c r="C2025" s="2" t="s">
        <v>67</v>
      </c>
      <c r="D2025" s="2" t="s">
        <v>68</v>
      </c>
      <c r="E2025" s="2" t="s">
        <v>18</v>
      </c>
      <c r="F2025" s="2" t="s">
        <v>30</v>
      </c>
      <c r="G2025" s="2" t="s">
        <v>211</v>
      </c>
      <c r="H2025" s="2" t="s">
        <v>21</v>
      </c>
      <c r="I2025" s="2">
        <v>24</v>
      </c>
      <c r="J2025" s="2" t="s">
        <v>8580</v>
      </c>
      <c r="K2025" s="4">
        <v>46121.599999999999</v>
      </c>
      <c r="L2025" s="2" t="s">
        <v>24</v>
      </c>
      <c r="M2025" s="2"/>
      <c r="N2025" t="s">
        <v>8589</v>
      </c>
      <c r="O2025" s="8">
        <f t="shared" si="62"/>
        <v>10.916666666627862</v>
      </c>
      <c r="P2025" t="str">
        <f t="shared" si="63"/>
        <v>N/A</v>
      </c>
    </row>
    <row r="2026" spans="1:16" x14ac:dyDescent="0.25">
      <c r="A2026" s="2" t="s">
        <v>5491</v>
      </c>
      <c r="B2026" s="4">
        <v>46079.277777777781</v>
      </c>
      <c r="C2026" s="2" t="s">
        <v>28</v>
      </c>
      <c r="D2026" s="2" t="s">
        <v>37</v>
      </c>
      <c r="E2026" s="2" t="s">
        <v>90</v>
      </c>
      <c r="F2026" s="2" t="s">
        <v>30</v>
      </c>
      <c r="G2026" s="2" t="s">
        <v>101</v>
      </c>
      <c r="H2026" s="2" t="s">
        <v>32</v>
      </c>
      <c r="I2026" s="2">
        <v>48</v>
      </c>
      <c r="J2026" s="2" t="s">
        <v>75</v>
      </c>
      <c r="K2026" s="4">
        <v>46080.554861111108</v>
      </c>
      <c r="L2026" s="2" t="s">
        <v>24</v>
      </c>
      <c r="M2026" s="2"/>
      <c r="N2026" t="s">
        <v>8589</v>
      </c>
      <c r="O2026" s="8">
        <f t="shared" si="62"/>
        <v>30.64999999984866</v>
      </c>
      <c r="P2026" t="str">
        <f t="shared" si="63"/>
        <v>N/A</v>
      </c>
    </row>
    <row r="2027" spans="1:16" x14ac:dyDescent="0.25">
      <c r="A2027" s="2" t="s">
        <v>5494</v>
      </c>
      <c r="B2027" s="4">
        <v>46135.094444444447</v>
      </c>
      <c r="C2027" s="2" t="s">
        <v>16</v>
      </c>
      <c r="D2027" s="2" t="s">
        <v>84</v>
      </c>
      <c r="E2027" s="2" t="s">
        <v>90</v>
      </c>
      <c r="F2027" s="2" t="s">
        <v>55</v>
      </c>
      <c r="G2027" s="2" t="s">
        <v>183</v>
      </c>
      <c r="H2027" s="2" t="s">
        <v>21</v>
      </c>
      <c r="I2027" s="2">
        <v>24</v>
      </c>
      <c r="J2027" s="2" t="s">
        <v>11</v>
      </c>
      <c r="K2027" s="4" t="s">
        <v>8590</v>
      </c>
      <c r="L2027" s="2" t="s">
        <v>92</v>
      </c>
      <c r="M2027" s="2"/>
      <c r="N2027" t="s">
        <v>8581</v>
      </c>
      <c r="O2027" s="8" t="str">
        <f t="shared" si="62"/>
        <v/>
      </c>
      <c r="P2027" t="str">
        <f t="shared" si="63"/>
        <v>N/A</v>
      </c>
    </row>
    <row r="2028" spans="1:16" x14ac:dyDescent="0.25">
      <c r="A2028" s="2" t="s">
        <v>5496</v>
      </c>
      <c r="B2028" s="4">
        <v>46229.498611111114</v>
      </c>
      <c r="C2028" s="2" t="s">
        <v>28</v>
      </c>
      <c r="D2028" s="2" t="s">
        <v>100</v>
      </c>
      <c r="E2028" s="2" t="s">
        <v>46</v>
      </c>
      <c r="F2028" s="2" t="s">
        <v>96</v>
      </c>
      <c r="G2028" s="2" t="s">
        <v>211</v>
      </c>
      <c r="H2028" s="2" t="s">
        <v>32</v>
      </c>
      <c r="I2028" s="2">
        <v>48</v>
      </c>
      <c r="J2028" s="2" t="s">
        <v>149</v>
      </c>
      <c r="K2028" s="4" t="s">
        <v>8590</v>
      </c>
      <c r="L2028" s="2" t="s">
        <v>24</v>
      </c>
      <c r="M2028" s="2"/>
      <c r="N2028" t="s">
        <v>8589</v>
      </c>
      <c r="O2028" s="8" t="str">
        <f t="shared" si="62"/>
        <v/>
      </c>
      <c r="P2028" t="str">
        <f t="shared" si="63"/>
        <v>N/A</v>
      </c>
    </row>
    <row r="2029" spans="1:16" x14ac:dyDescent="0.25">
      <c r="A2029" s="2" t="s">
        <v>5498</v>
      </c>
      <c r="B2029" s="4">
        <v>46106.415277777778</v>
      </c>
      <c r="C2029" s="2" t="s">
        <v>16</v>
      </c>
      <c r="D2029" s="2" t="s">
        <v>17</v>
      </c>
      <c r="E2029" s="2" t="s">
        <v>85</v>
      </c>
      <c r="F2029" s="2" t="s">
        <v>30</v>
      </c>
      <c r="G2029" s="2" t="s">
        <v>179</v>
      </c>
      <c r="H2029" s="2" t="s">
        <v>32</v>
      </c>
      <c r="I2029" s="2">
        <v>48</v>
      </c>
      <c r="J2029" s="2" t="s">
        <v>149</v>
      </c>
      <c r="K2029" s="4" t="s">
        <v>8590</v>
      </c>
      <c r="L2029" s="2" t="s">
        <v>24</v>
      </c>
      <c r="M2029" s="2"/>
      <c r="N2029" t="s">
        <v>8584</v>
      </c>
      <c r="O2029" s="8" t="str">
        <f t="shared" si="62"/>
        <v/>
      </c>
      <c r="P2029" t="str">
        <f t="shared" si="63"/>
        <v>N/A</v>
      </c>
    </row>
    <row r="2030" spans="1:16" x14ac:dyDescent="0.25">
      <c r="A2030" s="2" t="s">
        <v>5500</v>
      </c>
      <c r="B2030" s="4">
        <v>46160.871527777781</v>
      </c>
      <c r="C2030" s="2" t="s">
        <v>67</v>
      </c>
      <c r="D2030" s="2" t="s">
        <v>95</v>
      </c>
      <c r="E2030" s="2" t="s">
        <v>90</v>
      </c>
      <c r="F2030" s="2" t="s">
        <v>55</v>
      </c>
      <c r="G2030" s="2" t="s">
        <v>110</v>
      </c>
      <c r="H2030" s="2" t="s">
        <v>32</v>
      </c>
      <c r="I2030" s="2">
        <v>48</v>
      </c>
      <c r="J2030" s="2" t="s">
        <v>106</v>
      </c>
      <c r="K2030" s="4">
        <v>46161.129166666666</v>
      </c>
      <c r="L2030" s="2" t="s">
        <v>24</v>
      </c>
      <c r="M2030" s="2"/>
      <c r="N2030" t="s">
        <v>8586</v>
      </c>
      <c r="O2030" s="8">
        <f t="shared" si="62"/>
        <v>6.1833333332324401</v>
      </c>
      <c r="P2030" t="str">
        <f t="shared" si="63"/>
        <v>Yes</v>
      </c>
    </row>
    <row r="2031" spans="1:16" x14ac:dyDescent="0.25">
      <c r="A2031" s="2" t="s">
        <v>5503</v>
      </c>
      <c r="B2031" s="4">
        <v>46148.904861111114</v>
      </c>
      <c r="C2031" s="2" t="s">
        <v>67</v>
      </c>
      <c r="D2031" s="2" t="s">
        <v>95</v>
      </c>
      <c r="E2031" s="2" t="s">
        <v>46</v>
      </c>
      <c r="F2031" s="2" t="s">
        <v>96</v>
      </c>
      <c r="G2031" s="2" t="s">
        <v>183</v>
      </c>
      <c r="H2031" s="2" t="s">
        <v>21</v>
      </c>
      <c r="I2031" s="2">
        <v>24</v>
      </c>
      <c r="J2031" s="2" t="s">
        <v>106</v>
      </c>
      <c r="K2031" s="4">
        <v>46149.787499999999</v>
      </c>
      <c r="L2031" s="2" t="s">
        <v>24</v>
      </c>
      <c r="M2031" s="2"/>
      <c r="N2031" t="s">
        <v>8583</v>
      </c>
      <c r="O2031" s="8">
        <f t="shared" si="62"/>
        <v>21.18333333323244</v>
      </c>
      <c r="P2031" t="str">
        <f t="shared" si="63"/>
        <v>Yes</v>
      </c>
    </row>
    <row r="2032" spans="1:16" x14ac:dyDescent="0.25">
      <c r="A2032" s="2" t="s">
        <v>5506</v>
      </c>
      <c r="B2032" s="4">
        <v>46147.830555555556</v>
      </c>
      <c r="C2032" s="2" t="s">
        <v>67</v>
      </c>
      <c r="D2032" s="2" t="s">
        <v>95</v>
      </c>
      <c r="E2032" s="2" t="s">
        <v>38</v>
      </c>
      <c r="F2032" s="2" t="s">
        <v>113</v>
      </c>
      <c r="G2032" s="2" t="s">
        <v>110</v>
      </c>
      <c r="H2032" s="2" t="s">
        <v>21</v>
      </c>
      <c r="I2032" s="2">
        <v>24</v>
      </c>
      <c r="J2032" s="2" t="s">
        <v>75</v>
      </c>
      <c r="K2032" s="4">
        <v>46148.253472222219</v>
      </c>
      <c r="L2032" s="2" t="s">
        <v>24</v>
      </c>
      <c r="M2032" s="2">
        <v>3</v>
      </c>
      <c r="N2032" t="s">
        <v>8589</v>
      </c>
      <c r="O2032" s="8">
        <f t="shared" si="62"/>
        <v>10.149999999906868</v>
      </c>
      <c r="P2032" t="str">
        <f t="shared" si="63"/>
        <v>N/A</v>
      </c>
    </row>
    <row r="2033" spans="1:16" x14ac:dyDescent="0.25">
      <c r="A2033" s="2" t="s">
        <v>5509</v>
      </c>
      <c r="B2033" s="4">
        <v>46178.864583333336</v>
      </c>
      <c r="C2033" s="2" t="s">
        <v>28</v>
      </c>
      <c r="D2033" s="2" t="s">
        <v>37</v>
      </c>
      <c r="E2033" s="2" t="s">
        <v>85</v>
      </c>
      <c r="F2033" s="2" t="s">
        <v>30</v>
      </c>
      <c r="G2033" s="2" t="s">
        <v>179</v>
      </c>
      <c r="H2033" s="2" t="s">
        <v>21</v>
      </c>
      <c r="I2033" s="2">
        <v>24</v>
      </c>
      <c r="J2033" s="2" t="s">
        <v>149</v>
      </c>
      <c r="K2033" s="4" t="s">
        <v>8590</v>
      </c>
      <c r="L2033" s="2" t="s">
        <v>24</v>
      </c>
      <c r="M2033" s="2"/>
      <c r="N2033" t="s">
        <v>8583</v>
      </c>
      <c r="O2033" s="8" t="str">
        <f t="shared" si="62"/>
        <v/>
      </c>
      <c r="P2033" t="str">
        <f t="shared" si="63"/>
        <v>N/A</v>
      </c>
    </row>
    <row r="2034" spans="1:16" x14ac:dyDescent="0.25">
      <c r="A2034" s="2" t="s">
        <v>5511</v>
      </c>
      <c r="B2034" s="4">
        <v>46202.165972222225</v>
      </c>
      <c r="C2034" s="2" t="s">
        <v>28</v>
      </c>
      <c r="D2034" s="2" t="s">
        <v>100</v>
      </c>
      <c r="E2034" s="2" t="s">
        <v>85</v>
      </c>
      <c r="F2034" s="2" t="s">
        <v>96</v>
      </c>
      <c r="G2034" s="2" t="s">
        <v>31</v>
      </c>
      <c r="H2034" s="2" t="s">
        <v>80</v>
      </c>
      <c r="I2034" s="2">
        <v>4</v>
      </c>
      <c r="J2034" s="2" t="s">
        <v>75</v>
      </c>
      <c r="K2034" s="4">
        <v>46202.238194444442</v>
      </c>
      <c r="L2034" s="2" t="s">
        <v>24</v>
      </c>
      <c r="M2034" s="2"/>
      <c r="N2034" t="s">
        <v>8589</v>
      </c>
      <c r="O2034" s="8">
        <f t="shared" si="62"/>
        <v>1.7333333332207985</v>
      </c>
      <c r="P2034" t="str">
        <f t="shared" si="63"/>
        <v>N/A</v>
      </c>
    </row>
    <row r="2035" spans="1:16" x14ac:dyDescent="0.25">
      <c r="A2035" s="2" t="s">
        <v>5514</v>
      </c>
      <c r="B2035" s="4">
        <v>46082.765277777777</v>
      </c>
      <c r="C2035" s="2" t="s">
        <v>28</v>
      </c>
      <c r="D2035" s="2" t="s">
        <v>37</v>
      </c>
      <c r="E2035" s="2" t="s">
        <v>79</v>
      </c>
      <c r="F2035" s="2" t="s">
        <v>113</v>
      </c>
      <c r="G2035" s="2" t="s">
        <v>101</v>
      </c>
      <c r="H2035" s="2" t="s">
        <v>80</v>
      </c>
      <c r="I2035" s="2">
        <v>4</v>
      </c>
      <c r="J2035" s="2" t="s">
        <v>287</v>
      </c>
      <c r="K2035" s="4" t="s">
        <v>8590</v>
      </c>
      <c r="L2035" s="2" t="s">
        <v>92</v>
      </c>
      <c r="M2035" s="2"/>
      <c r="N2035" t="s">
        <v>8589</v>
      </c>
      <c r="O2035" s="8" t="str">
        <f t="shared" si="62"/>
        <v/>
      </c>
      <c r="P2035" t="str">
        <f t="shared" si="63"/>
        <v>N/A</v>
      </c>
    </row>
    <row r="2036" spans="1:16" x14ac:dyDescent="0.25">
      <c r="A2036" s="2" t="s">
        <v>5516</v>
      </c>
      <c r="B2036" s="4">
        <v>46031.465277777781</v>
      </c>
      <c r="C2036" s="2" t="s">
        <v>67</v>
      </c>
      <c r="D2036" s="2" t="s">
        <v>68</v>
      </c>
      <c r="E2036" s="2" t="s">
        <v>148</v>
      </c>
      <c r="F2036" s="2" t="s">
        <v>55</v>
      </c>
      <c r="G2036" s="2" t="s">
        <v>183</v>
      </c>
      <c r="H2036" s="2" t="s">
        <v>21</v>
      </c>
      <c r="I2036" s="2">
        <v>24</v>
      </c>
      <c r="J2036" s="2" t="s">
        <v>149</v>
      </c>
      <c r="K2036" s="4" t="s">
        <v>8590</v>
      </c>
      <c r="L2036" s="2" t="s">
        <v>24</v>
      </c>
      <c r="M2036" s="2"/>
      <c r="N2036" t="s">
        <v>8582</v>
      </c>
      <c r="O2036" s="8" t="str">
        <f t="shared" si="62"/>
        <v/>
      </c>
      <c r="P2036" t="str">
        <f t="shared" si="63"/>
        <v>N/A</v>
      </c>
    </row>
    <row r="2037" spans="1:16" x14ac:dyDescent="0.25">
      <c r="A2037" s="2" t="s">
        <v>5518</v>
      </c>
      <c r="B2037" s="4">
        <v>46179.427083333336</v>
      </c>
      <c r="C2037" s="2" t="s">
        <v>16</v>
      </c>
      <c r="D2037" s="2" t="s">
        <v>17</v>
      </c>
      <c r="E2037" s="2" t="s">
        <v>38</v>
      </c>
      <c r="F2037" s="2" t="s">
        <v>55</v>
      </c>
      <c r="G2037" s="2" t="s">
        <v>183</v>
      </c>
      <c r="H2037" s="2" t="s">
        <v>32</v>
      </c>
      <c r="I2037" s="2">
        <v>48</v>
      </c>
      <c r="J2037" s="2" t="s">
        <v>106</v>
      </c>
      <c r="K2037" s="4">
        <v>46184.543749999997</v>
      </c>
      <c r="L2037" s="2" t="s">
        <v>24</v>
      </c>
      <c r="M2037" s="2">
        <v>2</v>
      </c>
      <c r="N2037" t="s">
        <v>8587</v>
      </c>
      <c r="O2037" s="8">
        <f t="shared" si="62"/>
        <v>122.79999999987194</v>
      </c>
      <c r="P2037" t="str">
        <f t="shared" si="63"/>
        <v>No</v>
      </c>
    </row>
    <row r="2038" spans="1:16" x14ac:dyDescent="0.25">
      <c r="A2038" s="2" t="s">
        <v>5521</v>
      </c>
      <c r="B2038" s="4">
        <v>46107.072222222225</v>
      </c>
      <c r="C2038" s="2" t="s">
        <v>67</v>
      </c>
      <c r="D2038" s="2" t="s">
        <v>68</v>
      </c>
      <c r="E2038" s="2" t="s">
        <v>18</v>
      </c>
      <c r="F2038" s="2" t="s">
        <v>96</v>
      </c>
      <c r="G2038" s="2" t="s">
        <v>211</v>
      </c>
      <c r="H2038" s="2" t="s">
        <v>21</v>
      </c>
      <c r="I2038" s="2">
        <v>24</v>
      </c>
      <c r="J2038" s="2" t="s">
        <v>149</v>
      </c>
      <c r="K2038" s="4" t="s">
        <v>8590</v>
      </c>
      <c r="L2038" s="2" t="s">
        <v>24</v>
      </c>
      <c r="M2038" s="2"/>
      <c r="N2038" t="s">
        <v>8581</v>
      </c>
      <c r="O2038" s="8" t="str">
        <f t="shared" si="62"/>
        <v/>
      </c>
      <c r="P2038" t="str">
        <f t="shared" si="63"/>
        <v>N/A</v>
      </c>
    </row>
    <row r="2039" spans="1:16" x14ac:dyDescent="0.25">
      <c r="A2039" s="2" t="s">
        <v>5523</v>
      </c>
      <c r="B2039" s="4">
        <v>46073.960416666669</v>
      </c>
      <c r="C2039" s="2" t="s">
        <v>53</v>
      </c>
      <c r="D2039" s="2" t="s">
        <v>61</v>
      </c>
      <c r="E2039" s="2" t="s">
        <v>85</v>
      </c>
      <c r="F2039" s="2" t="s">
        <v>113</v>
      </c>
      <c r="G2039" s="2" t="s">
        <v>31</v>
      </c>
      <c r="H2039" s="2" t="s">
        <v>32</v>
      </c>
      <c r="I2039" s="2">
        <v>48</v>
      </c>
      <c r="J2039" s="2" t="s">
        <v>106</v>
      </c>
      <c r="K2039" s="4">
        <v>46078.06527777778</v>
      </c>
      <c r="L2039" s="2" t="s">
        <v>24</v>
      </c>
      <c r="M2039" s="2">
        <v>4</v>
      </c>
      <c r="N2039" t="s">
        <v>8585</v>
      </c>
      <c r="O2039" s="8">
        <f t="shared" si="62"/>
        <v>98.516666666662786</v>
      </c>
      <c r="P2039" t="str">
        <f t="shared" si="63"/>
        <v>No</v>
      </c>
    </row>
    <row r="2040" spans="1:16" x14ac:dyDescent="0.25">
      <c r="A2040" s="2" t="s">
        <v>5526</v>
      </c>
      <c r="B2040" s="4">
        <v>46242.267361111109</v>
      </c>
      <c r="C2040" s="2" t="s">
        <v>67</v>
      </c>
      <c r="D2040" s="2" t="s">
        <v>68</v>
      </c>
      <c r="E2040" s="2" t="s">
        <v>85</v>
      </c>
      <c r="F2040" s="2" t="s">
        <v>30</v>
      </c>
      <c r="G2040" s="2" t="s">
        <v>101</v>
      </c>
      <c r="H2040" s="2" t="s">
        <v>74</v>
      </c>
      <c r="I2040" s="2">
        <v>8</v>
      </c>
      <c r="J2040" s="2" t="s">
        <v>106</v>
      </c>
      <c r="K2040" s="4">
        <v>46242.480555555558</v>
      </c>
      <c r="L2040" s="2" t="s">
        <v>24</v>
      </c>
      <c r="M2040" s="2">
        <v>2</v>
      </c>
      <c r="N2040" t="s">
        <v>8587</v>
      </c>
      <c r="O2040" s="8">
        <f t="shared" si="62"/>
        <v>5.1166666667559184</v>
      </c>
      <c r="P2040" t="str">
        <f t="shared" si="63"/>
        <v>Yes</v>
      </c>
    </row>
    <row r="2041" spans="1:16" x14ac:dyDescent="0.25">
      <c r="A2041" s="2" t="s">
        <v>5529</v>
      </c>
      <c r="B2041" s="4">
        <v>46185.070138888892</v>
      </c>
      <c r="C2041" s="2" t="s">
        <v>53</v>
      </c>
      <c r="D2041" s="2" t="s">
        <v>61</v>
      </c>
      <c r="E2041" s="2" t="s">
        <v>148</v>
      </c>
      <c r="F2041" s="2" t="s">
        <v>30</v>
      </c>
      <c r="G2041" s="2" t="s">
        <v>101</v>
      </c>
      <c r="H2041" s="2" t="s">
        <v>32</v>
      </c>
      <c r="I2041" s="2">
        <v>48</v>
      </c>
      <c r="J2041" s="2" t="s">
        <v>75</v>
      </c>
      <c r="K2041" s="4">
        <v>46186.311805555553</v>
      </c>
      <c r="L2041" s="2" t="s">
        <v>92</v>
      </c>
      <c r="M2041" s="2"/>
      <c r="N2041" t="s">
        <v>8588</v>
      </c>
      <c r="O2041" s="8">
        <f t="shared" si="62"/>
        <v>29.799999999871943</v>
      </c>
      <c r="P2041" t="str">
        <f t="shared" si="63"/>
        <v>N/A</v>
      </c>
    </row>
    <row r="2042" spans="1:16" x14ac:dyDescent="0.25">
      <c r="A2042" s="2" t="s">
        <v>5532</v>
      </c>
      <c r="B2042" s="4">
        <v>46175.960416666669</v>
      </c>
      <c r="C2042" s="2" t="s">
        <v>28</v>
      </c>
      <c r="D2042" s="2" t="s">
        <v>100</v>
      </c>
      <c r="E2042" s="2" t="s">
        <v>148</v>
      </c>
      <c r="F2042" s="2" t="s">
        <v>55</v>
      </c>
      <c r="G2042" s="2" t="s">
        <v>110</v>
      </c>
      <c r="H2042" s="2" t="s">
        <v>21</v>
      </c>
      <c r="I2042" s="2">
        <v>24</v>
      </c>
      <c r="J2042" s="2" t="s">
        <v>106</v>
      </c>
      <c r="K2042" s="4">
        <v>46177.388194444444</v>
      </c>
      <c r="L2042" s="2" t="s">
        <v>24</v>
      </c>
      <c r="M2042" s="2"/>
      <c r="N2042" t="s">
        <v>8588</v>
      </c>
      <c r="O2042" s="8">
        <f t="shared" si="62"/>
        <v>34.266666666604578</v>
      </c>
      <c r="P2042" t="str">
        <f t="shared" si="63"/>
        <v>No</v>
      </c>
    </row>
    <row r="2043" spans="1:16" x14ac:dyDescent="0.25">
      <c r="A2043" s="2" t="s">
        <v>5535</v>
      </c>
      <c r="B2043" s="4">
        <v>46081.056250000001</v>
      </c>
      <c r="C2043" s="2" t="s">
        <v>28</v>
      </c>
      <c r="D2043" s="2" t="s">
        <v>100</v>
      </c>
      <c r="E2043" s="2" t="s">
        <v>148</v>
      </c>
      <c r="F2043" s="2" t="s">
        <v>55</v>
      </c>
      <c r="G2043" s="2" t="s">
        <v>31</v>
      </c>
      <c r="H2043" s="2" t="s">
        <v>32</v>
      </c>
      <c r="I2043" s="2">
        <v>48</v>
      </c>
      <c r="J2043" s="2" t="s">
        <v>75</v>
      </c>
      <c r="K2043" s="4" t="s">
        <v>8590</v>
      </c>
      <c r="L2043" s="2" t="s">
        <v>24</v>
      </c>
      <c r="M2043" s="2"/>
      <c r="N2043" t="s">
        <v>8583</v>
      </c>
      <c r="O2043" s="8" t="str">
        <f t="shared" si="62"/>
        <v/>
      </c>
      <c r="P2043" t="str">
        <f t="shared" si="63"/>
        <v>N/A</v>
      </c>
    </row>
    <row r="2044" spans="1:16" x14ac:dyDescent="0.25">
      <c r="A2044" s="2" t="s">
        <v>5537</v>
      </c>
      <c r="B2044" s="4">
        <v>46146.751388888886</v>
      </c>
      <c r="C2044" s="2" t="s">
        <v>16</v>
      </c>
      <c r="D2044" s="2" t="s">
        <v>17</v>
      </c>
      <c r="E2044" s="2" t="s">
        <v>38</v>
      </c>
      <c r="F2044" s="2" t="s">
        <v>55</v>
      </c>
      <c r="G2044" s="2" t="s">
        <v>31</v>
      </c>
      <c r="H2044" s="2" t="s">
        <v>32</v>
      </c>
      <c r="I2044" s="2">
        <v>48</v>
      </c>
      <c r="J2044" s="2" t="s">
        <v>11</v>
      </c>
      <c r="K2044" s="4" t="s">
        <v>8590</v>
      </c>
      <c r="L2044" s="2" t="s">
        <v>92</v>
      </c>
      <c r="M2044" s="2"/>
      <c r="N2044" t="s">
        <v>8581</v>
      </c>
      <c r="O2044" s="8" t="str">
        <f t="shared" si="62"/>
        <v/>
      </c>
      <c r="P2044" t="str">
        <f t="shared" si="63"/>
        <v>N/A</v>
      </c>
    </row>
    <row r="2045" spans="1:16" x14ac:dyDescent="0.25">
      <c r="A2045" s="2" t="s">
        <v>5539</v>
      </c>
      <c r="B2045" s="4">
        <v>46059.828472222223</v>
      </c>
      <c r="C2045" s="2" t="s">
        <v>53</v>
      </c>
      <c r="D2045" s="2" t="s">
        <v>54</v>
      </c>
      <c r="E2045" s="2" t="s">
        <v>18</v>
      </c>
      <c r="F2045" s="2" t="s">
        <v>55</v>
      </c>
      <c r="G2045" s="2" t="s">
        <v>110</v>
      </c>
      <c r="H2045" s="2" t="s">
        <v>32</v>
      </c>
      <c r="I2045" s="2">
        <v>48</v>
      </c>
      <c r="J2045" s="2" t="s">
        <v>287</v>
      </c>
      <c r="K2045" s="4" t="s">
        <v>8590</v>
      </c>
      <c r="L2045" s="2" t="s">
        <v>24</v>
      </c>
      <c r="M2045" s="2"/>
      <c r="N2045" t="s">
        <v>8582</v>
      </c>
      <c r="O2045" s="8" t="str">
        <f t="shared" si="62"/>
        <v/>
      </c>
      <c r="P2045" t="str">
        <f t="shared" si="63"/>
        <v>N/A</v>
      </c>
    </row>
    <row r="2046" spans="1:16" x14ac:dyDescent="0.25">
      <c r="A2046" s="2" t="s">
        <v>5541</v>
      </c>
      <c r="B2046" s="4">
        <v>46096.493055555555</v>
      </c>
      <c r="C2046" s="2" t="s">
        <v>67</v>
      </c>
      <c r="D2046" s="2" t="s">
        <v>95</v>
      </c>
      <c r="E2046" s="2" t="s">
        <v>85</v>
      </c>
      <c r="F2046" s="2" t="s">
        <v>96</v>
      </c>
      <c r="G2046" s="2" t="s">
        <v>110</v>
      </c>
      <c r="H2046" s="2" t="s">
        <v>21</v>
      </c>
      <c r="I2046" s="2">
        <v>24</v>
      </c>
      <c r="J2046" s="2" t="s">
        <v>106</v>
      </c>
      <c r="K2046" s="4">
        <v>46098.502083333333</v>
      </c>
      <c r="L2046" s="2" t="s">
        <v>24</v>
      </c>
      <c r="M2046" s="2">
        <v>3</v>
      </c>
      <c r="N2046" t="s">
        <v>8586</v>
      </c>
      <c r="O2046" s="8">
        <f t="shared" si="62"/>
        <v>48.216666666674428</v>
      </c>
      <c r="P2046" t="str">
        <f t="shared" si="63"/>
        <v>No</v>
      </c>
    </row>
    <row r="2047" spans="1:16" x14ac:dyDescent="0.25">
      <c r="A2047" s="2" t="s">
        <v>5544</v>
      </c>
      <c r="B2047" s="4">
        <v>46202.607638888891</v>
      </c>
      <c r="C2047" s="2" t="s">
        <v>67</v>
      </c>
      <c r="D2047" s="2" t="s">
        <v>95</v>
      </c>
      <c r="E2047" s="2" t="s">
        <v>148</v>
      </c>
      <c r="F2047" s="2" t="s">
        <v>55</v>
      </c>
      <c r="G2047" s="2" t="s">
        <v>110</v>
      </c>
      <c r="H2047" s="2" t="s">
        <v>32</v>
      </c>
      <c r="I2047" s="2">
        <v>48</v>
      </c>
      <c r="J2047" s="2" t="s">
        <v>75</v>
      </c>
      <c r="K2047" s="4">
        <v>46203.905555555553</v>
      </c>
      <c r="L2047" s="2" t="s">
        <v>24</v>
      </c>
      <c r="M2047" s="2">
        <v>2</v>
      </c>
      <c r="N2047" t="s">
        <v>8584</v>
      </c>
      <c r="O2047" s="8">
        <f t="shared" si="62"/>
        <v>31.149999999906868</v>
      </c>
      <c r="P2047" t="str">
        <f t="shared" si="63"/>
        <v>N/A</v>
      </c>
    </row>
    <row r="2048" spans="1:16" x14ac:dyDescent="0.25">
      <c r="A2048" s="2" t="s">
        <v>5547</v>
      </c>
      <c r="B2048" s="4">
        <v>46051.195833333331</v>
      </c>
      <c r="C2048" s="2" t="s">
        <v>16</v>
      </c>
      <c r="D2048" s="2" t="s">
        <v>84</v>
      </c>
      <c r="E2048" s="2" t="s">
        <v>46</v>
      </c>
      <c r="F2048" s="2" t="s">
        <v>113</v>
      </c>
      <c r="G2048" s="2" t="s">
        <v>211</v>
      </c>
      <c r="H2048" s="2" t="s">
        <v>32</v>
      </c>
      <c r="I2048" s="2">
        <v>48</v>
      </c>
      <c r="J2048" s="2" t="s">
        <v>287</v>
      </c>
      <c r="K2048" s="4" t="s">
        <v>8590</v>
      </c>
      <c r="L2048" s="2" t="s">
        <v>24</v>
      </c>
      <c r="M2048" s="2"/>
      <c r="N2048" t="s">
        <v>8589</v>
      </c>
      <c r="O2048" s="8" t="str">
        <f t="shared" si="62"/>
        <v/>
      </c>
      <c r="P2048" t="str">
        <f t="shared" si="63"/>
        <v>N/A</v>
      </c>
    </row>
    <row r="2049" spans="1:16" x14ac:dyDescent="0.25">
      <c r="A2049" s="2" t="s">
        <v>5549</v>
      </c>
      <c r="B2049" s="4">
        <v>46111.779166666667</v>
      </c>
      <c r="C2049" s="2" t="s">
        <v>53</v>
      </c>
      <c r="D2049" s="2" t="s">
        <v>61</v>
      </c>
      <c r="E2049" s="2" t="s">
        <v>46</v>
      </c>
      <c r="F2049" s="2" t="s">
        <v>113</v>
      </c>
      <c r="G2049" s="2" t="s">
        <v>211</v>
      </c>
      <c r="H2049" s="2" t="s">
        <v>74</v>
      </c>
      <c r="I2049" s="2">
        <v>8</v>
      </c>
      <c r="J2049" s="2" t="s">
        <v>106</v>
      </c>
      <c r="K2049" s="4">
        <v>46112.754861111112</v>
      </c>
      <c r="L2049" s="2" t="s">
        <v>24</v>
      </c>
      <c r="M2049" s="2"/>
      <c r="N2049" t="s">
        <v>8589</v>
      </c>
      <c r="O2049" s="8">
        <f t="shared" si="62"/>
        <v>23.416666666686069</v>
      </c>
      <c r="P2049" t="str">
        <f t="shared" si="63"/>
        <v>No</v>
      </c>
    </row>
    <row r="2050" spans="1:16" x14ac:dyDescent="0.25">
      <c r="A2050" s="2" t="s">
        <v>5552</v>
      </c>
      <c r="B2050" s="4">
        <v>46146.006944444445</v>
      </c>
      <c r="C2050" s="2" t="s">
        <v>67</v>
      </c>
      <c r="D2050" s="2" t="s">
        <v>95</v>
      </c>
      <c r="E2050" s="2" t="s">
        <v>46</v>
      </c>
      <c r="F2050" s="2" t="s">
        <v>96</v>
      </c>
      <c r="G2050" s="2" t="s">
        <v>101</v>
      </c>
      <c r="H2050" s="2" t="s">
        <v>74</v>
      </c>
      <c r="I2050" s="2">
        <v>8</v>
      </c>
      <c r="J2050" s="2" t="s">
        <v>106</v>
      </c>
      <c r="K2050" s="4">
        <v>46146.06527777778</v>
      </c>
      <c r="L2050" s="2" t="s">
        <v>24</v>
      </c>
      <c r="M2050" s="2">
        <v>4</v>
      </c>
      <c r="N2050" t="s">
        <v>8589</v>
      </c>
      <c r="O2050" s="8">
        <f t="shared" si="62"/>
        <v>1.4000000000232831</v>
      </c>
      <c r="P2050" t="str">
        <f t="shared" si="63"/>
        <v>Yes</v>
      </c>
    </row>
    <row r="2051" spans="1:16" x14ac:dyDescent="0.25">
      <c r="A2051" s="2" t="s">
        <v>5555</v>
      </c>
      <c r="B2051" s="4">
        <v>46054.726388888892</v>
      </c>
      <c r="C2051" s="2" t="s">
        <v>67</v>
      </c>
      <c r="D2051" s="2" t="s">
        <v>95</v>
      </c>
      <c r="E2051" s="2" t="s">
        <v>18</v>
      </c>
      <c r="F2051" s="2" t="s">
        <v>96</v>
      </c>
      <c r="G2051" s="2" t="s">
        <v>211</v>
      </c>
      <c r="H2051" s="2" t="s">
        <v>74</v>
      </c>
      <c r="I2051" s="2">
        <v>8</v>
      </c>
      <c r="J2051" s="2" t="s">
        <v>149</v>
      </c>
      <c r="K2051" s="4" t="s">
        <v>8590</v>
      </c>
      <c r="L2051" s="2" t="s">
        <v>24</v>
      </c>
      <c r="M2051" s="2"/>
      <c r="N2051" t="s">
        <v>8587</v>
      </c>
      <c r="O2051" s="8" t="str">
        <f t="shared" ref="O2051:O2114" si="64">IF(K2051="","",IF(K2051="Missing Resolve Date","",(K2051-B2051)*24))</f>
        <v/>
      </c>
      <c r="P2051" t="str">
        <f t="shared" ref="P2051:P2114" si="65">IF(J2051="Resolved",IF(O2051&lt;=I2051,"Yes","No"),"N/A")</f>
        <v>N/A</v>
      </c>
    </row>
    <row r="2052" spans="1:16" x14ac:dyDescent="0.25">
      <c r="A2052" s="2" t="s">
        <v>5557</v>
      </c>
      <c r="B2052" s="4">
        <v>46185.078472222223</v>
      </c>
      <c r="C2052" s="2" t="s">
        <v>16</v>
      </c>
      <c r="D2052" s="2" t="s">
        <v>84</v>
      </c>
      <c r="E2052" s="2" t="s">
        <v>46</v>
      </c>
      <c r="F2052" s="2" t="s">
        <v>96</v>
      </c>
      <c r="G2052" s="2" t="s">
        <v>110</v>
      </c>
      <c r="H2052" s="2" t="s">
        <v>32</v>
      </c>
      <c r="I2052" s="2">
        <v>48</v>
      </c>
      <c r="J2052" s="2" t="s">
        <v>75</v>
      </c>
      <c r="K2052" s="4">
        <v>46186.650694444441</v>
      </c>
      <c r="L2052" s="2" t="s">
        <v>24</v>
      </c>
      <c r="M2052" s="2"/>
      <c r="N2052" t="s">
        <v>8589</v>
      </c>
      <c r="O2052" s="8">
        <f t="shared" si="64"/>
        <v>37.733333333220799</v>
      </c>
      <c r="P2052" t="str">
        <f t="shared" si="65"/>
        <v>N/A</v>
      </c>
    </row>
    <row r="2053" spans="1:16" x14ac:dyDescent="0.25">
      <c r="A2053" s="2" t="s">
        <v>5559</v>
      </c>
      <c r="B2053" s="4">
        <v>46036.631944444445</v>
      </c>
      <c r="C2053" s="2" t="s">
        <v>16</v>
      </c>
      <c r="D2053" s="2" t="s">
        <v>17</v>
      </c>
      <c r="E2053" s="2" t="s">
        <v>90</v>
      </c>
      <c r="F2053" s="2" t="s">
        <v>55</v>
      </c>
      <c r="G2053" s="2" t="s">
        <v>179</v>
      </c>
      <c r="H2053" s="2" t="s">
        <v>74</v>
      </c>
      <c r="I2053" s="2">
        <v>8</v>
      </c>
      <c r="J2053" s="2" t="s">
        <v>11</v>
      </c>
      <c r="K2053" s="4" t="s">
        <v>8590</v>
      </c>
      <c r="L2053" s="2" t="s">
        <v>92</v>
      </c>
      <c r="M2053" s="2"/>
      <c r="N2053" t="s">
        <v>8581</v>
      </c>
      <c r="O2053" s="8" t="str">
        <f t="shared" si="64"/>
        <v/>
      </c>
      <c r="P2053" t="str">
        <f t="shared" si="65"/>
        <v>N/A</v>
      </c>
    </row>
    <row r="2054" spans="1:16" x14ac:dyDescent="0.25">
      <c r="A2054" s="2" t="s">
        <v>5561</v>
      </c>
      <c r="B2054" s="4">
        <v>46163.131944444445</v>
      </c>
      <c r="C2054" s="2" t="s">
        <v>67</v>
      </c>
      <c r="D2054" s="2" t="s">
        <v>68</v>
      </c>
      <c r="E2054" s="2" t="s">
        <v>148</v>
      </c>
      <c r="F2054" s="2" t="s">
        <v>96</v>
      </c>
      <c r="G2054" s="2" t="s">
        <v>101</v>
      </c>
      <c r="H2054" s="2" t="s">
        <v>32</v>
      </c>
      <c r="I2054" s="2">
        <v>48</v>
      </c>
      <c r="J2054" s="2" t="s">
        <v>75</v>
      </c>
      <c r="K2054" s="4">
        <v>46164.773611111108</v>
      </c>
      <c r="L2054" s="2" t="s">
        <v>24</v>
      </c>
      <c r="M2054" s="2">
        <v>1</v>
      </c>
      <c r="N2054" t="s">
        <v>8583</v>
      </c>
      <c r="O2054" s="8">
        <f t="shared" si="64"/>
        <v>39.399999999906868</v>
      </c>
      <c r="P2054" t="str">
        <f t="shared" si="65"/>
        <v>N/A</v>
      </c>
    </row>
    <row r="2055" spans="1:16" x14ac:dyDescent="0.25">
      <c r="A2055" s="2" t="s">
        <v>5564</v>
      </c>
      <c r="B2055" s="4">
        <v>46025.296527777777</v>
      </c>
      <c r="C2055" s="2" t="s">
        <v>16</v>
      </c>
      <c r="D2055" s="2" t="s">
        <v>84</v>
      </c>
      <c r="E2055" s="2" t="s">
        <v>79</v>
      </c>
      <c r="F2055" s="2" t="s">
        <v>96</v>
      </c>
      <c r="G2055" s="2" t="s">
        <v>211</v>
      </c>
      <c r="H2055" s="2" t="s">
        <v>21</v>
      </c>
      <c r="I2055" s="2">
        <v>24</v>
      </c>
      <c r="J2055" s="2" t="s">
        <v>75</v>
      </c>
      <c r="K2055" s="4">
        <v>46025.382638888892</v>
      </c>
      <c r="L2055" s="2" t="s">
        <v>24</v>
      </c>
      <c r="M2055" s="2">
        <v>5</v>
      </c>
      <c r="N2055" t="s">
        <v>8587</v>
      </c>
      <c r="O2055" s="8">
        <f t="shared" si="64"/>
        <v>2.0666666667675599</v>
      </c>
      <c r="P2055" t="str">
        <f t="shared" si="65"/>
        <v>N/A</v>
      </c>
    </row>
    <row r="2056" spans="1:16" x14ac:dyDescent="0.25">
      <c r="A2056" s="2" t="s">
        <v>5567</v>
      </c>
      <c r="B2056" s="4">
        <v>46183.489583333336</v>
      </c>
      <c r="C2056" s="2" t="s">
        <v>53</v>
      </c>
      <c r="D2056" s="2" t="s">
        <v>54</v>
      </c>
      <c r="E2056" s="2" t="s">
        <v>85</v>
      </c>
      <c r="F2056" s="2" t="s">
        <v>55</v>
      </c>
      <c r="G2056" s="2" t="s">
        <v>211</v>
      </c>
      <c r="H2056" s="2" t="s">
        <v>21</v>
      </c>
      <c r="I2056" s="2">
        <v>24</v>
      </c>
      <c r="J2056" s="2" t="s">
        <v>11</v>
      </c>
      <c r="K2056" s="4" t="s">
        <v>8590</v>
      </c>
      <c r="L2056" s="2" t="s">
        <v>92</v>
      </c>
      <c r="M2056" s="2"/>
      <c r="N2056" t="s">
        <v>8583</v>
      </c>
      <c r="O2056" s="8" t="str">
        <f t="shared" si="64"/>
        <v/>
      </c>
      <c r="P2056" t="str">
        <f t="shared" si="65"/>
        <v>N/A</v>
      </c>
    </row>
    <row r="2057" spans="1:16" x14ac:dyDescent="0.25">
      <c r="A2057" s="2" t="s">
        <v>5569</v>
      </c>
      <c r="B2057" s="4">
        <v>46089.549305555556</v>
      </c>
      <c r="C2057" s="2" t="s">
        <v>28</v>
      </c>
      <c r="D2057" s="2" t="s">
        <v>37</v>
      </c>
      <c r="E2057" s="2" t="s">
        <v>46</v>
      </c>
      <c r="F2057" s="2" t="s">
        <v>30</v>
      </c>
      <c r="G2057" s="2" t="s">
        <v>211</v>
      </c>
      <c r="H2057" s="2" t="s">
        <v>21</v>
      </c>
      <c r="I2057" s="2">
        <v>24</v>
      </c>
      <c r="J2057" s="2" t="s">
        <v>149</v>
      </c>
      <c r="K2057" s="4" t="s">
        <v>8590</v>
      </c>
      <c r="L2057" s="2" t="s">
        <v>24</v>
      </c>
      <c r="M2057" s="2"/>
      <c r="N2057" t="s">
        <v>8584</v>
      </c>
      <c r="O2057" s="8" t="str">
        <f t="shared" si="64"/>
        <v/>
      </c>
      <c r="P2057" t="str">
        <f t="shared" si="65"/>
        <v>N/A</v>
      </c>
    </row>
    <row r="2058" spans="1:16" x14ac:dyDescent="0.25">
      <c r="A2058" s="2" t="s">
        <v>5571</v>
      </c>
      <c r="B2058" s="4">
        <v>46111.613888888889</v>
      </c>
      <c r="C2058" s="2" t="s">
        <v>53</v>
      </c>
      <c r="D2058" s="2" t="s">
        <v>61</v>
      </c>
      <c r="E2058" s="2" t="s">
        <v>18</v>
      </c>
      <c r="F2058" s="2" t="s">
        <v>30</v>
      </c>
      <c r="G2058" s="2" t="s">
        <v>101</v>
      </c>
      <c r="H2058" s="2" t="s">
        <v>21</v>
      </c>
      <c r="I2058" s="2">
        <v>24</v>
      </c>
      <c r="J2058" s="2" t="s">
        <v>106</v>
      </c>
      <c r="K2058" s="4">
        <v>46112.206944444442</v>
      </c>
      <c r="L2058" s="2" t="s">
        <v>24</v>
      </c>
      <c r="M2058" s="2"/>
      <c r="N2058" t="s">
        <v>8583</v>
      </c>
      <c r="O2058" s="8">
        <f t="shared" si="64"/>
        <v>14.233333333279006</v>
      </c>
      <c r="P2058" t="str">
        <f t="shared" si="65"/>
        <v>Yes</v>
      </c>
    </row>
    <row r="2059" spans="1:16" x14ac:dyDescent="0.25">
      <c r="A2059" s="2" t="s">
        <v>5574</v>
      </c>
      <c r="B2059" s="4">
        <v>46154.526388888888</v>
      </c>
      <c r="C2059" s="2" t="s">
        <v>16</v>
      </c>
      <c r="D2059" s="2" t="s">
        <v>84</v>
      </c>
      <c r="E2059" s="2" t="s">
        <v>79</v>
      </c>
      <c r="F2059" s="2" t="s">
        <v>30</v>
      </c>
      <c r="G2059" s="2" t="s">
        <v>31</v>
      </c>
      <c r="H2059" s="2" t="s">
        <v>74</v>
      </c>
      <c r="I2059" s="2">
        <v>8</v>
      </c>
      <c r="J2059" s="2" t="s">
        <v>149</v>
      </c>
      <c r="K2059" s="4" t="s">
        <v>8590</v>
      </c>
      <c r="L2059" s="2" t="s">
        <v>24</v>
      </c>
      <c r="M2059" s="2"/>
      <c r="N2059" t="s">
        <v>8588</v>
      </c>
      <c r="O2059" s="8" t="str">
        <f t="shared" si="64"/>
        <v/>
      </c>
      <c r="P2059" t="str">
        <f t="shared" si="65"/>
        <v>N/A</v>
      </c>
    </row>
    <row r="2060" spans="1:16" x14ac:dyDescent="0.25">
      <c r="A2060" s="2" t="s">
        <v>5576</v>
      </c>
      <c r="B2060" s="4">
        <v>46086.926388888889</v>
      </c>
      <c r="C2060" s="2" t="s">
        <v>16</v>
      </c>
      <c r="D2060" s="2" t="s">
        <v>17</v>
      </c>
      <c r="E2060" s="2" t="s">
        <v>79</v>
      </c>
      <c r="F2060" s="2" t="s">
        <v>96</v>
      </c>
      <c r="G2060" s="2" t="s">
        <v>110</v>
      </c>
      <c r="H2060" s="2" t="s">
        <v>21</v>
      </c>
      <c r="I2060" s="2">
        <v>24</v>
      </c>
      <c r="J2060" s="2" t="s">
        <v>106</v>
      </c>
      <c r="K2060" s="4">
        <v>46087.162499999999</v>
      </c>
      <c r="L2060" s="2" t="s">
        <v>24</v>
      </c>
      <c r="M2060" s="2">
        <v>3</v>
      </c>
      <c r="N2060" t="s">
        <v>8587</v>
      </c>
      <c r="O2060" s="8">
        <f t="shared" si="64"/>
        <v>5.6666666666278616</v>
      </c>
      <c r="P2060" t="str">
        <f t="shared" si="65"/>
        <v>Yes</v>
      </c>
    </row>
    <row r="2061" spans="1:16" x14ac:dyDescent="0.25">
      <c r="A2061" s="2" t="s">
        <v>5579</v>
      </c>
      <c r="B2061" s="4">
        <v>46140.692361111112</v>
      </c>
      <c r="C2061" s="2" t="s">
        <v>28</v>
      </c>
      <c r="D2061" s="2" t="s">
        <v>100</v>
      </c>
      <c r="E2061" s="2" t="s">
        <v>148</v>
      </c>
      <c r="F2061" s="2" t="s">
        <v>113</v>
      </c>
      <c r="G2061" s="2" t="s">
        <v>211</v>
      </c>
      <c r="H2061" s="2" t="s">
        <v>80</v>
      </c>
      <c r="I2061" s="2">
        <v>4</v>
      </c>
      <c r="J2061" s="2" t="s">
        <v>149</v>
      </c>
      <c r="K2061" s="4" t="s">
        <v>8590</v>
      </c>
      <c r="L2061" s="2" t="s">
        <v>92</v>
      </c>
      <c r="M2061" s="2"/>
      <c r="N2061" t="s">
        <v>8589</v>
      </c>
      <c r="O2061" s="8" t="str">
        <f t="shared" si="64"/>
        <v/>
      </c>
      <c r="P2061" t="str">
        <f t="shared" si="65"/>
        <v>N/A</v>
      </c>
    </row>
    <row r="2062" spans="1:16" x14ac:dyDescent="0.25">
      <c r="A2062" s="2" t="s">
        <v>5581</v>
      </c>
      <c r="B2062" s="4">
        <v>46136.486805555556</v>
      </c>
      <c r="C2062" s="2" t="s">
        <v>16</v>
      </c>
      <c r="D2062" s="2" t="s">
        <v>84</v>
      </c>
      <c r="E2062" s="2" t="s">
        <v>148</v>
      </c>
      <c r="F2062" s="2" t="s">
        <v>113</v>
      </c>
      <c r="G2062" s="2" t="s">
        <v>211</v>
      </c>
      <c r="H2062" s="2" t="s">
        <v>32</v>
      </c>
      <c r="I2062" s="2">
        <v>48</v>
      </c>
      <c r="J2062" s="2" t="s">
        <v>106</v>
      </c>
      <c r="K2062" s="4">
        <v>46137.04583333333</v>
      </c>
      <c r="L2062" s="2" t="s">
        <v>24</v>
      </c>
      <c r="M2062" s="2"/>
      <c r="N2062" t="s">
        <v>8582</v>
      </c>
      <c r="O2062" s="8">
        <f t="shared" si="64"/>
        <v>13.416666666569654</v>
      </c>
      <c r="P2062" t="str">
        <f t="shared" si="65"/>
        <v>Yes</v>
      </c>
    </row>
    <row r="2063" spans="1:16" x14ac:dyDescent="0.25">
      <c r="A2063" s="2" t="s">
        <v>5584</v>
      </c>
      <c r="B2063" s="4">
        <v>46079.070138888892</v>
      </c>
      <c r="C2063" s="2" t="s">
        <v>53</v>
      </c>
      <c r="D2063" s="2" t="s">
        <v>61</v>
      </c>
      <c r="E2063" s="2" t="s">
        <v>18</v>
      </c>
      <c r="F2063" s="2" t="s">
        <v>55</v>
      </c>
      <c r="G2063" s="2" t="s">
        <v>110</v>
      </c>
      <c r="H2063" s="2" t="s">
        <v>32</v>
      </c>
      <c r="I2063" s="2">
        <v>48</v>
      </c>
      <c r="J2063" s="2" t="s">
        <v>106</v>
      </c>
      <c r="K2063" s="4">
        <v>46081.538888888892</v>
      </c>
      <c r="L2063" s="2" t="s">
        <v>24</v>
      </c>
      <c r="M2063" s="2"/>
      <c r="N2063" t="s">
        <v>8588</v>
      </c>
      <c r="O2063" s="8">
        <f t="shared" si="64"/>
        <v>59.25</v>
      </c>
      <c r="P2063" t="str">
        <f t="shared" si="65"/>
        <v>No</v>
      </c>
    </row>
    <row r="2064" spans="1:16" x14ac:dyDescent="0.25">
      <c r="A2064" s="2" t="s">
        <v>5587</v>
      </c>
      <c r="B2064" s="4">
        <v>46173.67291666667</v>
      </c>
      <c r="C2064" s="2" t="s">
        <v>53</v>
      </c>
      <c r="D2064" s="2" t="s">
        <v>61</v>
      </c>
      <c r="E2064" s="2" t="s">
        <v>148</v>
      </c>
      <c r="F2064" s="2" t="s">
        <v>30</v>
      </c>
      <c r="G2064" s="2" t="s">
        <v>211</v>
      </c>
      <c r="H2064" s="2" t="s">
        <v>32</v>
      </c>
      <c r="I2064" s="2">
        <v>48</v>
      </c>
      <c r="J2064" s="2" t="s">
        <v>149</v>
      </c>
      <c r="K2064" s="4" t="s">
        <v>8590</v>
      </c>
      <c r="L2064" s="2" t="s">
        <v>24</v>
      </c>
      <c r="M2064" s="2"/>
      <c r="N2064" t="s">
        <v>8582</v>
      </c>
      <c r="O2064" s="8" t="str">
        <f t="shared" si="64"/>
        <v/>
      </c>
      <c r="P2064" t="str">
        <f t="shared" si="65"/>
        <v>N/A</v>
      </c>
    </row>
    <row r="2065" spans="1:16" x14ac:dyDescent="0.25">
      <c r="A2065" s="2" t="s">
        <v>5589</v>
      </c>
      <c r="B2065" s="4">
        <v>46163.848611111112</v>
      </c>
      <c r="C2065" s="2" t="s">
        <v>28</v>
      </c>
      <c r="D2065" s="2" t="s">
        <v>100</v>
      </c>
      <c r="E2065" s="2" t="s">
        <v>148</v>
      </c>
      <c r="F2065" s="2" t="s">
        <v>96</v>
      </c>
      <c r="G2065" s="2" t="s">
        <v>183</v>
      </c>
      <c r="H2065" s="2" t="s">
        <v>74</v>
      </c>
      <c r="I2065" s="2">
        <v>8</v>
      </c>
      <c r="J2065" s="2" t="s">
        <v>75</v>
      </c>
      <c r="K2065" s="4">
        <v>46164.026388888888</v>
      </c>
      <c r="L2065" s="2" t="s">
        <v>24</v>
      </c>
      <c r="M2065" s="2"/>
      <c r="N2065" t="s">
        <v>8589</v>
      </c>
      <c r="O2065" s="8">
        <f t="shared" si="64"/>
        <v>4.2666666666045785</v>
      </c>
      <c r="P2065" t="str">
        <f t="shared" si="65"/>
        <v>N/A</v>
      </c>
    </row>
    <row r="2066" spans="1:16" x14ac:dyDescent="0.25">
      <c r="A2066" s="2" t="s">
        <v>5592</v>
      </c>
      <c r="B2066" s="4">
        <v>46180.801388888889</v>
      </c>
      <c r="C2066" s="2" t="s">
        <v>53</v>
      </c>
      <c r="D2066" s="2" t="s">
        <v>61</v>
      </c>
      <c r="E2066" s="2" t="s">
        <v>46</v>
      </c>
      <c r="F2066" s="2" t="s">
        <v>96</v>
      </c>
      <c r="G2066" s="2" t="s">
        <v>110</v>
      </c>
      <c r="H2066" s="2" t="s">
        <v>32</v>
      </c>
      <c r="I2066" s="2">
        <v>48</v>
      </c>
      <c r="J2066" s="2" t="s">
        <v>149</v>
      </c>
      <c r="K2066" s="4" t="s">
        <v>8590</v>
      </c>
      <c r="L2066" s="2" t="s">
        <v>24</v>
      </c>
      <c r="M2066" s="2"/>
      <c r="N2066" t="s">
        <v>8581</v>
      </c>
      <c r="O2066" s="8" t="str">
        <f t="shared" si="64"/>
        <v/>
      </c>
      <c r="P2066" t="str">
        <f t="shared" si="65"/>
        <v>N/A</v>
      </c>
    </row>
    <row r="2067" spans="1:16" x14ac:dyDescent="0.25">
      <c r="A2067" s="2" t="s">
        <v>5594</v>
      </c>
      <c r="B2067" s="4">
        <v>46031.561805555553</v>
      </c>
      <c r="C2067" s="2" t="s">
        <v>53</v>
      </c>
      <c r="D2067" s="2" t="s">
        <v>61</v>
      </c>
      <c r="E2067" s="2" t="s">
        <v>148</v>
      </c>
      <c r="F2067" s="2" t="s">
        <v>113</v>
      </c>
      <c r="G2067" s="2" t="s">
        <v>110</v>
      </c>
      <c r="H2067" s="2" t="s">
        <v>32</v>
      </c>
      <c r="I2067" s="2">
        <v>48</v>
      </c>
      <c r="J2067" s="2" t="s">
        <v>106</v>
      </c>
      <c r="K2067" s="4">
        <v>46032.636111111111</v>
      </c>
      <c r="L2067" s="2" t="s">
        <v>24</v>
      </c>
      <c r="M2067" s="2"/>
      <c r="N2067" t="s">
        <v>8585</v>
      </c>
      <c r="O2067" s="8">
        <f t="shared" si="64"/>
        <v>25.78333333338378</v>
      </c>
      <c r="P2067" t="str">
        <f t="shared" si="65"/>
        <v>Yes</v>
      </c>
    </row>
    <row r="2068" spans="1:16" x14ac:dyDescent="0.25">
      <c r="A2068" s="2" t="s">
        <v>5597</v>
      </c>
      <c r="B2068" s="4">
        <v>46120.345833333333</v>
      </c>
      <c r="C2068" s="2" t="s">
        <v>28</v>
      </c>
      <c r="D2068" s="2" t="s">
        <v>37</v>
      </c>
      <c r="E2068" s="2" t="s">
        <v>38</v>
      </c>
      <c r="F2068" s="2" t="s">
        <v>96</v>
      </c>
      <c r="G2068" s="2" t="s">
        <v>211</v>
      </c>
      <c r="H2068" s="2" t="s">
        <v>74</v>
      </c>
      <c r="I2068" s="2">
        <v>8</v>
      </c>
      <c r="J2068" s="2" t="s">
        <v>75</v>
      </c>
      <c r="K2068" s="4">
        <v>46120.5</v>
      </c>
      <c r="L2068" s="2" t="s">
        <v>24</v>
      </c>
      <c r="M2068" s="2">
        <v>5</v>
      </c>
      <c r="N2068" t="s">
        <v>8583</v>
      </c>
      <c r="O2068" s="8">
        <f t="shared" si="64"/>
        <v>3.7000000000116415</v>
      </c>
      <c r="P2068" t="str">
        <f t="shared" si="65"/>
        <v>N/A</v>
      </c>
    </row>
    <row r="2069" spans="1:16" x14ac:dyDescent="0.25">
      <c r="A2069" s="2" t="s">
        <v>5600</v>
      </c>
      <c r="B2069" s="4">
        <v>46163.520833333336</v>
      </c>
      <c r="C2069" s="2" t="s">
        <v>28</v>
      </c>
      <c r="D2069" s="2" t="s">
        <v>37</v>
      </c>
      <c r="E2069" s="2" t="s">
        <v>46</v>
      </c>
      <c r="F2069" s="2" t="s">
        <v>113</v>
      </c>
      <c r="G2069" s="2" t="s">
        <v>101</v>
      </c>
      <c r="H2069" s="2" t="s">
        <v>32</v>
      </c>
      <c r="I2069" s="2">
        <v>48</v>
      </c>
      <c r="J2069" s="2" t="s">
        <v>106</v>
      </c>
      <c r="K2069" s="4">
        <v>46164.28402777778</v>
      </c>
      <c r="L2069" s="2" t="s">
        <v>24</v>
      </c>
      <c r="M2069" s="2">
        <v>3</v>
      </c>
      <c r="N2069" t="s">
        <v>8585</v>
      </c>
      <c r="O2069" s="8">
        <f t="shared" si="64"/>
        <v>18.316666666651145</v>
      </c>
      <c r="P2069" t="str">
        <f t="shared" si="65"/>
        <v>Yes</v>
      </c>
    </row>
    <row r="2070" spans="1:16" x14ac:dyDescent="0.25">
      <c r="A2070" s="2" t="s">
        <v>5603</v>
      </c>
      <c r="B2070" s="4">
        <v>46231.45</v>
      </c>
      <c r="C2070" s="2" t="s">
        <v>16</v>
      </c>
      <c r="D2070" s="2" t="s">
        <v>17</v>
      </c>
      <c r="E2070" s="2" t="s">
        <v>46</v>
      </c>
      <c r="F2070" s="2" t="s">
        <v>113</v>
      </c>
      <c r="G2070" s="2" t="s">
        <v>211</v>
      </c>
      <c r="H2070" s="2" t="s">
        <v>74</v>
      </c>
      <c r="I2070" s="2">
        <v>8</v>
      </c>
      <c r="J2070" s="2" t="s">
        <v>106</v>
      </c>
      <c r="K2070" s="4">
        <v>46232.290277777778</v>
      </c>
      <c r="L2070" s="2" t="s">
        <v>24</v>
      </c>
      <c r="M2070" s="2">
        <v>5</v>
      </c>
      <c r="N2070" t="s">
        <v>8584</v>
      </c>
      <c r="O2070" s="8">
        <f t="shared" si="64"/>
        <v>20.166666666744277</v>
      </c>
      <c r="P2070" t="str">
        <f t="shared" si="65"/>
        <v>No</v>
      </c>
    </row>
    <row r="2071" spans="1:16" x14ac:dyDescent="0.25">
      <c r="A2071" s="2" t="s">
        <v>5606</v>
      </c>
      <c r="B2071" s="4">
        <v>46045.02847222222</v>
      </c>
      <c r="C2071" s="2" t="s">
        <v>16</v>
      </c>
      <c r="D2071" s="2" t="s">
        <v>84</v>
      </c>
      <c r="E2071" s="2" t="s">
        <v>90</v>
      </c>
      <c r="F2071" s="2" t="s">
        <v>55</v>
      </c>
      <c r="G2071" s="2" t="s">
        <v>110</v>
      </c>
      <c r="H2071" s="2" t="s">
        <v>80</v>
      </c>
      <c r="I2071" s="2">
        <v>4</v>
      </c>
      <c r="J2071" s="2" t="s">
        <v>11</v>
      </c>
      <c r="K2071" s="4" t="s">
        <v>8590</v>
      </c>
      <c r="L2071" s="2" t="s">
        <v>92</v>
      </c>
      <c r="M2071" s="2"/>
      <c r="N2071" t="s">
        <v>8581</v>
      </c>
      <c r="O2071" s="8" t="str">
        <f t="shared" si="64"/>
        <v/>
      </c>
      <c r="P2071" t="str">
        <f t="shared" si="65"/>
        <v>N/A</v>
      </c>
    </row>
    <row r="2072" spans="1:16" x14ac:dyDescent="0.25">
      <c r="A2072" s="2" t="s">
        <v>5608</v>
      </c>
      <c r="B2072" s="4">
        <v>46095.054166666669</v>
      </c>
      <c r="C2072" s="2" t="s">
        <v>53</v>
      </c>
      <c r="D2072" s="2" t="s">
        <v>61</v>
      </c>
      <c r="E2072" s="2" t="s">
        <v>46</v>
      </c>
      <c r="F2072" s="2" t="s">
        <v>55</v>
      </c>
      <c r="G2072" s="2" t="s">
        <v>179</v>
      </c>
      <c r="H2072" s="2" t="s">
        <v>74</v>
      </c>
      <c r="I2072" s="2">
        <v>8</v>
      </c>
      <c r="J2072" s="2" t="s">
        <v>106</v>
      </c>
      <c r="K2072" s="4">
        <v>46095.086111111108</v>
      </c>
      <c r="L2072" s="2" t="s">
        <v>24</v>
      </c>
      <c r="M2072" s="2">
        <v>4</v>
      </c>
      <c r="N2072" t="s">
        <v>8582</v>
      </c>
      <c r="O2072" s="8">
        <f t="shared" si="64"/>
        <v>0.76666666654637083</v>
      </c>
      <c r="P2072" t="str">
        <f t="shared" si="65"/>
        <v>Yes</v>
      </c>
    </row>
    <row r="2073" spans="1:16" x14ac:dyDescent="0.25">
      <c r="A2073" s="2" t="s">
        <v>5611</v>
      </c>
      <c r="B2073" s="4">
        <v>46183.591666666667</v>
      </c>
      <c r="C2073" s="2" t="s">
        <v>67</v>
      </c>
      <c r="D2073" s="2" t="s">
        <v>68</v>
      </c>
      <c r="E2073" s="2" t="s">
        <v>79</v>
      </c>
      <c r="F2073" s="2" t="s">
        <v>113</v>
      </c>
      <c r="G2073" s="2" t="s">
        <v>110</v>
      </c>
      <c r="H2073" s="2" t="s">
        <v>32</v>
      </c>
      <c r="I2073" s="2">
        <v>48</v>
      </c>
      <c r="J2073" s="2" t="s">
        <v>75</v>
      </c>
      <c r="K2073" s="4">
        <v>46184.165972222225</v>
      </c>
      <c r="L2073" s="2" t="s">
        <v>24</v>
      </c>
      <c r="M2073" s="2">
        <v>5</v>
      </c>
      <c r="N2073" t="s">
        <v>8581</v>
      </c>
      <c r="O2073" s="8">
        <f t="shared" si="64"/>
        <v>13.78333333338378</v>
      </c>
      <c r="P2073" t="str">
        <f t="shared" si="65"/>
        <v>N/A</v>
      </c>
    </row>
    <row r="2074" spans="1:16" x14ac:dyDescent="0.25">
      <c r="A2074" s="2" t="s">
        <v>5614</v>
      </c>
      <c r="B2074" s="4">
        <v>46152.694444444445</v>
      </c>
      <c r="C2074" s="2" t="s">
        <v>67</v>
      </c>
      <c r="D2074" s="2" t="s">
        <v>95</v>
      </c>
      <c r="E2074" s="2" t="s">
        <v>79</v>
      </c>
      <c r="F2074" s="2" t="s">
        <v>55</v>
      </c>
      <c r="G2074" s="2" t="s">
        <v>31</v>
      </c>
      <c r="H2074" s="2" t="s">
        <v>80</v>
      </c>
      <c r="I2074" s="2">
        <v>4</v>
      </c>
      <c r="J2074" s="2" t="s">
        <v>287</v>
      </c>
      <c r="K2074" s="4" t="s">
        <v>8590</v>
      </c>
      <c r="L2074" s="2" t="s">
        <v>24</v>
      </c>
      <c r="M2074" s="2"/>
      <c r="N2074" t="s">
        <v>8588</v>
      </c>
      <c r="O2074" s="8" t="str">
        <f t="shared" si="64"/>
        <v/>
      </c>
      <c r="P2074" t="str">
        <f t="shared" si="65"/>
        <v>N/A</v>
      </c>
    </row>
    <row r="2075" spans="1:16" x14ac:dyDescent="0.25">
      <c r="A2075" s="2" t="s">
        <v>5616</v>
      </c>
      <c r="B2075" s="4">
        <v>46128.469444444447</v>
      </c>
      <c r="C2075" s="2" t="s">
        <v>16</v>
      </c>
      <c r="D2075" s="2" t="s">
        <v>17</v>
      </c>
      <c r="E2075" s="2" t="s">
        <v>46</v>
      </c>
      <c r="F2075" s="2" t="s">
        <v>55</v>
      </c>
      <c r="G2075" s="2" t="s">
        <v>183</v>
      </c>
      <c r="H2075" s="2" t="s">
        <v>32</v>
      </c>
      <c r="I2075" s="2">
        <v>48</v>
      </c>
      <c r="J2075" s="2" t="s">
        <v>106</v>
      </c>
      <c r="K2075" s="4">
        <v>46128.84097222222</v>
      </c>
      <c r="L2075" s="2" t="s">
        <v>92</v>
      </c>
      <c r="M2075" s="2">
        <v>4</v>
      </c>
      <c r="N2075" t="s">
        <v>8583</v>
      </c>
      <c r="O2075" s="8">
        <f t="shared" si="64"/>
        <v>8.9166666665696539</v>
      </c>
      <c r="P2075" t="str">
        <f t="shared" si="65"/>
        <v>Yes</v>
      </c>
    </row>
    <row r="2076" spans="1:16" x14ac:dyDescent="0.25">
      <c r="A2076" s="2" t="s">
        <v>5619</v>
      </c>
      <c r="B2076" s="4">
        <v>46122.652083333334</v>
      </c>
      <c r="C2076" s="2" t="s">
        <v>53</v>
      </c>
      <c r="D2076" s="2" t="s">
        <v>54</v>
      </c>
      <c r="E2076" s="2" t="s">
        <v>18</v>
      </c>
      <c r="F2076" s="2" t="s">
        <v>55</v>
      </c>
      <c r="G2076" s="2" t="s">
        <v>211</v>
      </c>
      <c r="H2076" s="2" t="s">
        <v>32</v>
      </c>
      <c r="I2076" s="2">
        <v>48</v>
      </c>
      <c r="J2076" s="2" t="s">
        <v>11</v>
      </c>
      <c r="K2076" s="4" t="s">
        <v>8590</v>
      </c>
      <c r="L2076" s="2" t="s">
        <v>92</v>
      </c>
      <c r="M2076" s="2"/>
      <c r="N2076" t="s">
        <v>8583</v>
      </c>
      <c r="O2076" s="8" t="str">
        <f t="shared" si="64"/>
        <v/>
      </c>
      <c r="P2076" t="str">
        <f t="shared" si="65"/>
        <v>N/A</v>
      </c>
    </row>
    <row r="2077" spans="1:16" x14ac:dyDescent="0.25">
      <c r="A2077" s="2" t="s">
        <v>5621</v>
      </c>
      <c r="B2077" s="4">
        <v>46161.314583333333</v>
      </c>
      <c r="C2077" s="2" t="s">
        <v>16</v>
      </c>
      <c r="D2077" s="2" t="s">
        <v>17</v>
      </c>
      <c r="E2077" s="2" t="s">
        <v>85</v>
      </c>
      <c r="F2077" s="2" t="s">
        <v>30</v>
      </c>
      <c r="G2077" s="2" t="s">
        <v>101</v>
      </c>
      <c r="H2077" s="2" t="s">
        <v>74</v>
      </c>
      <c r="I2077" s="2">
        <v>8</v>
      </c>
      <c r="J2077" s="2" t="s">
        <v>75</v>
      </c>
      <c r="K2077" s="4">
        <v>46161.442361111112</v>
      </c>
      <c r="L2077" s="2" t="s">
        <v>24</v>
      </c>
      <c r="M2077" s="2"/>
      <c r="N2077" t="s">
        <v>8587</v>
      </c>
      <c r="O2077" s="8">
        <f t="shared" si="64"/>
        <v>3.0666666667093523</v>
      </c>
      <c r="P2077" t="str">
        <f t="shared" si="65"/>
        <v>N/A</v>
      </c>
    </row>
    <row r="2078" spans="1:16" x14ac:dyDescent="0.25">
      <c r="A2078" s="2" t="s">
        <v>5624</v>
      </c>
      <c r="B2078" s="4">
        <v>46223.273611111108</v>
      </c>
      <c r="C2078" s="2" t="s">
        <v>67</v>
      </c>
      <c r="D2078" s="2" t="s">
        <v>68</v>
      </c>
      <c r="E2078" s="2" t="s">
        <v>46</v>
      </c>
      <c r="F2078" s="2" t="s">
        <v>30</v>
      </c>
      <c r="G2078" s="2" t="s">
        <v>31</v>
      </c>
      <c r="H2078" s="2" t="s">
        <v>74</v>
      </c>
      <c r="I2078" s="2">
        <v>8</v>
      </c>
      <c r="J2078" s="2" t="s">
        <v>106</v>
      </c>
      <c r="K2078" s="4">
        <v>46224.060416666667</v>
      </c>
      <c r="L2078" s="2" t="s">
        <v>24</v>
      </c>
      <c r="M2078" s="2"/>
      <c r="N2078" t="s">
        <v>8589</v>
      </c>
      <c r="O2078" s="8">
        <f t="shared" si="64"/>
        <v>18.883333333418705</v>
      </c>
      <c r="P2078" t="str">
        <f t="shared" si="65"/>
        <v>No</v>
      </c>
    </row>
    <row r="2079" spans="1:16" x14ac:dyDescent="0.25">
      <c r="A2079" s="2" t="s">
        <v>5627</v>
      </c>
      <c r="B2079" s="4">
        <v>46068.856944444444</v>
      </c>
      <c r="C2079" s="2" t="s">
        <v>16</v>
      </c>
      <c r="D2079" s="2" t="s">
        <v>17</v>
      </c>
      <c r="E2079" s="2" t="s">
        <v>18</v>
      </c>
      <c r="F2079" s="2" t="s">
        <v>30</v>
      </c>
      <c r="G2079" s="2" t="s">
        <v>183</v>
      </c>
      <c r="H2079" s="2" t="s">
        <v>32</v>
      </c>
      <c r="I2079" s="2">
        <v>48</v>
      </c>
      <c r="J2079" s="2" t="s">
        <v>106</v>
      </c>
      <c r="K2079" s="4">
        <v>46073.040972222225</v>
      </c>
      <c r="L2079" s="2" t="s">
        <v>24</v>
      </c>
      <c r="M2079" s="2"/>
      <c r="N2079" t="s">
        <v>8589</v>
      </c>
      <c r="O2079" s="8">
        <f t="shared" si="64"/>
        <v>100.41666666674428</v>
      </c>
      <c r="P2079" t="str">
        <f t="shared" si="65"/>
        <v>No</v>
      </c>
    </row>
    <row r="2080" spans="1:16" x14ac:dyDescent="0.25">
      <c r="A2080" s="2" t="s">
        <v>5630</v>
      </c>
      <c r="B2080" s="4">
        <v>46232.76666666667</v>
      </c>
      <c r="C2080" s="2" t="s">
        <v>67</v>
      </c>
      <c r="D2080" s="2" t="s">
        <v>95</v>
      </c>
      <c r="E2080" s="2" t="s">
        <v>90</v>
      </c>
      <c r="F2080" s="2" t="s">
        <v>30</v>
      </c>
      <c r="G2080" s="2" t="s">
        <v>211</v>
      </c>
      <c r="H2080" s="2" t="s">
        <v>32</v>
      </c>
      <c r="I2080" s="2">
        <v>48</v>
      </c>
      <c r="J2080" s="2" t="s">
        <v>106</v>
      </c>
      <c r="K2080" s="4">
        <v>46236.270138888889</v>
      </c>
      <c r="L2080" s="2" t="s">
        <v>24</v>
      </c>
      <c r="M2080" s="2">
        <v>2</v>
      </c>
      <c r="N2080" t="s">
        <v>8585</v>
      </c>
      <c r="O2080" s="8">
        <f t="shared" si="64"/>
        <v>84.083333333255723</v>
      </c>
      <c r="P2080" t="str">
        <f t="shared" si="65"/>
        <v>No</v>
      </c>
    </row>
    <row r="2081" spans="1:16" x14ac:dyDescent="0.25">
      <c r="A2081" s="2" t="s">
        <v>5633</v>
      </c>
      <c r="B2081" s="4">
        <v>46203.143055555556</v>
      </c>
      <c r="C2081" s="2" t="s">
        <v>28</v>
      </c>
      <c r="D2081" s="2" t="s">
        <v>37</v>
      </c>
      <c r="E2081" s="2" t="s">
        <v>79</v>
      </c>
      <c r="F2081" s="2" t="s">
        <v>96</v>
      </c>
      <c r="G2081" s="2" t="s">
        <v>183</v>
      </c>
      <c r="H2081" s="2" t="s">
        <v>21</v>
      </c>
      <c r="I2081" s="2">
        <v>24</v>
      </c>
      <c r="J2081" s="2" t="s">
        <v>106</v>
      </c>
      <c r="K2081" s="4">
        <v>46203.65</v>
      </c>
      <c r="L2081" s="2" t="s">
        <v>92</v>
      </c>
      <c r="M2081" s="2"/>
      <c r="N2081" t="s">
        <v>8587</v>
      </c>
      <c r="O2081" s="8">
        <f t="shared" si="64"/>
        <v>12.166666666686069</v>
      </c>
      <c r="P2081" t="str">
        <f t="shared" si="65"/>
        <v>Yes</v>
      </c>
    </row>
    <row r="2082" spans="1:16" x14ac:dyDescent="0.25">
      <c r="A2082" s="2" t="s">
        <v>5636</v>
      </c>
      <c r="B2082" s="4">
        <v>46163.672222222223</v>
      </c>
      <c r="C2082" s="2" t="s">
        <v>28</v>
      </c>
      <c r="D2082" s="2" t="s">
        <v>100</v>
      </c>
      <c r="E2082" s="2" t="s">
        <v>46</v>
      </c>
      <c r="F2082" s="2" t="s">
        <v>96</v>
      </c>
      <c r="G2082" s="2" t="s">
        <v>211</v>
      </c>
      <c r="H2082" s="2" t="s">
        <v>80</v>
      </c>
      <c r="I2082" s="2">
        <v>4</v>
      </c>
      <c r="J2082" s="2" t="s">
        <v>11</v>
      </c>
      <c r="K2082" s="4" t="s">
        <v>8590</v>
      </c>
      <c r="L2082" s="2" t="s">
        <v>92</v>
      </c>
      <c r="M2082" s="2"/>
      <c r="N2082" t="s">
        <v>8582</v>
      </c>
      <c r="O2082" s="8" t="str">
        <f t="shared" si="64"/>
        <v/>
      </c>
      <c r="P2082" t="str">
        <f t="shared" si="65"/>
        <v>N/A</v>
      </c>
    </row>
    <row r="2083" spans="1:16" x14ac:dyDescent="0.25">
      <c r="A2083" s="2" t="s">
        <v>5638</v>
      </c>
      <c r="B2083" s="4">
        <v>46065.247916666667</v>
      </c>
      <c r="C2083" s="2" t="s">
        <v>53</v>
      </c>
      <c r="D2083" s="2" t="s">
        <v>61</v>
      </c>
      <c r="E2083" s="2" t="s">
        <v>148</v>
      </c>
      <c r="F2083" s="2" t="s">
        <v>30</v>
      </c>
      <c r="G2083" s="2" t="s">
        <v>179</v>
      </c>
      <c r="H2083" s="2" t="s">
        <v>80</v>
      </c>
      <c r="I2083" s="2">
        <v>4</v>
      </c>
      <c r="J2083" s="2" t="s">
        <v>106</v>
      </c>
      <c r="K2083" s="4">
        <v>46065.718055555553</v>
      </c>
      <c r="L2083" s="2" t="s">
        <v>24</v>
      </c>
      <c r="M2083" s="2">
        <v>4</v>
      </c>
      <c r="N2083" t="s">
        <v>8588</v>
      </c>
      <c r="O2083" s="8">
        <f t="shared" si="64"/>
        <v>11.283333333267365</v>
      </c>
      <c r="P2083" t="str">
        <f t="shared" si="65"/>
        <v>No</v>
      </c>
    </row>
    <row r="2084" spans="1:16" x14ac:dyDescent="0.25">
      <c r="A2084" s="2" t="s">
        <v>5641</v>
      </c>
      <c r="B2084" s="4">
        <v>46086.621527777781</v>
      </c>
      <c r="C2084" s="2" t="s">
        <v>67</v>
      </c>
      <c r="D2084" s="2" t="s">
        <v>68</v>
      </c>
      <c r="E2084" s="2" t="s">
        <v>90</v>
      </c>
      <c r="F2084" s="2" t="s">
        <v>55</v>
      </c>
      <c r="G2084" s="2" t="s">
        <v>179</v>
      </c>
      <c r="H2084" s="2" t="s">
        <v>32</v>
      </c>
      <c r="I2084" s="2">
        <v>48</v>
      </c>
      <c r="J2084" s="2" t="s">
        <v>75</v>
      </c>
      <c r="K2084" s="4">
        <v>46092.142361111109</v>
      </c>
      <c r="L2084" s="2" t="s">
        <v>24</v>
      </c>
      <c r="M2084" s="2"/>
      <c r="N2084" t="s">
        <v>8583</v>
      </c>
      <c r="O2084" s="8">
        <f t="shared" si="64"/>
        <v>132.49999999988358</v>
      </c>
      <c r="P2084" t="str">
        <f t="shared" si="65"/>
        <v>N/A</v>
      </c>
    </row>
    <row r="2085" spans="1:16" x14ac:dyDescent="0.25">
      <c r="A2085" s="2" t="s">
        <v>5644</v>
      </c>
      <c r="B2085" s="4">
        <v>46225.680555555555</v>
      </c>
      <c r="C2085" s="2" t="s">
        <v>67</v>
      </c>
      <c r="D2085" s="2" t="s">
        <v>68</v>
      </c>
      <c r="E2085" s="2" t="s">
        <v>85</v>
      </c>
      <c r="F2085" s="2" t="s">
        <v>96</v>
      </c>
      <c r="G2085" s="2" t="s">
        <v>183</v>
      </c>
      <c r="H2085" s="2" t="s">
        <v>74</v>
      </c>
      <c r="I2085" s="2">
        <v>8</v>
      </c>
      <c r="J2085" s="2" t="s">
        <v>149</v>
      </c>
      <c r="K2085" s="4" t="s">
        <v>8590</v>
      </c>
      <c r="L2085" s="2" t="s">
        <v>92</v>
      </c>
      <c r="M2085" s="2"/>
      <c r="N2085" t="s">
        <v>8584</v>
      </c>
      <c r="O2085" s="8" t="str">
        <f t="shared" si="64"/>
        <v/>
      </c>
      <c r="P2085" t="str">
        <f t="shared" si="65"/>
        <v>N/A</v>
      </c>
    </row>
    <row r="2086" spans="1:16" x14ac:dyDescent="0.25">
      <c r="A2086" s="2" t="s">
        <v>5646</v>
      </c>
      <c r="B2086" s="4">
        <v>46081.217361111114</v>
      </c>
      <c r="C2086" s="2" t="s">
        <v>16</v>
      </c>
      <c r="D2086" s="2" t="s">
        <v>17</v>
      </c>
      <c r="E2086" s="2" t="s">
        <v>38</v>
      </c>
      <c r="F2086" s="2" t="s">
        <v>55</v>
      </c>
      <c r="G2086" s="2" t="s">
        <v>110</v>
      </c>
      <c r="H2086" s="2" t="s">
        <v>21</v>
      </c>
      <c r="I2086" s="2">
        <v>24</v>
      </c>
      <c r="J2086" s="2" t="s">
        <v>106</v>
      </c>
      <c r="K2086" s="4">
        <v>46081.915972222225</v>
      </c>
      <c r="L2086" s="2" t="s">
        <v>24</v>
      </c>
      <c r="M2086" s="2">
        <v>3</v>
      </c>
      <c r="N2086" t="s">
        <v>8589</v>
      </c>
      <c r="O2086" s="8">
        <f t="shared" si="64"/>
        <v>16.766666666662786</v>
      </c>
      <c r="P2086" t="str">
        <f t="shared" si="65"/>
        <v>Yes</v>
      </c>
    </row>
    <row r="2087" spans="1:16" x14ac:dyDescent="0.25">
      <c r="A2087" s="2" t="s">
        <v>5649</v>
      </c>
      <c r="B2087" s="4">
        <v>46086.996527777781</v>
      </c>
      <c r="C2087" s="2" t="s">
        <v>16</v>
      </c>
      <c r="D2087" s="2" t="s">
        <v>84</v>
      </c>
      <c r="E2087" s="2" t="s">
        <v>38</v>
      </c>
      <c r="F2087" s="2" t="s">
        <v>96</v>
      </c>
      <c r="G2087" s="2" t="s">
        <v>31</v>
      </c>
      <c r="H2087" s="2" t="s">
        <v>74</v>
      </c>
      <c r="I2087" s="2">
        <v>8</v>
      </c>
      <c r="J2087" s="2" t="s">
        <v>106</v>
      </c>
      <c r="K2087" s="4">
        <v>46087.017361111109</v>
      </c>
      <c r="L2087" s="2" t="s">
        <v>24</v>
      </c>
      <c r="M2087" s="2"/>
      <c r="N2087" t="s">
        <v>8586</v>
      </c>
      <c r="O2087" s="8">
        <f t="shared" si="64"/>
        <v>0.49999999988358468</v>
      </c>
      <c r="P2087" t="str">
        <f t="shared" si="65"/>
        <v>Yes</v>
      </c>
    </row>
    <row r="2088" spans="1:16" x14ac:dyDescent="0.25">
      <c r="A2088" s="2" t="s">
        <v>5652</v>
      </c>
      <c r="B2088" s="4">
        <v>46096.461111111108</v>
      </c>
      <c r="C2088" s="2" t="s">
        <v>16</v>
      </c>
      <c r="D2088" s="2" t="s">
        <v>84</v>
      </c>
      <c r="E2088" s="2" t="s">
        <v>85</v>
      </c>
      <c r="F2088" s="2" t="s">
        <v>55</v>
      </c>
      <c r="G2088" s="2" t="s">
        <v>101</v>
      </c>
      <c r="H2088" s="2" t="s">
        <v>32</v>
      </c>
      <c r="I2088" s="2">
        <v>48</v>
      </c>
      <c r="J2088" s="2" t="s">
        <v>75</v>
      </c>
      <c r="K2088" s="4" t="s">
        <v>8590</v>
      </c>
      <c r="L2088" s="2" t="s">
        <v>92</v>
      </c>
      <c r="M2088" s="2">
        <v>5</v>
      </c>
      <c r="N2088" t="s">
        <v>8584</v>
      </c>
      <c r="O2088" s="8" t="str">
        <f t="shared" si="64"/>
        <v/>
      </c>
      <c r="P2088" t="str">
        <f t="shared" si="65"/>
        <v>N/A</v>
      </c>
    </row>
    <row r="2089" spans="1:16" x14ac:dyDescent="0.25">
      <c r="A2089" s="2" t="s">
        <v>5654</v>
      </c>
      <c r="B2089" s="4">
        <v>46206.620833333334</v>
      </c>
      <c r="C2089" s="2" t="s">
        <v>16</v>
      </c>
      <c r="D2089" s="2" t="s">
        <v>84</v>
      </c>
      <c r="E2089" s="2" t="s">
        <v>18</v>
      </c>
      <c r="F2089" s="2" t="s">
        <v>55</v>
      </c>
      <c r="G2089" s="2" t="s">
        <v>183</v>
      </c>
      <c r="H2089" s="2" t="s">
        <v>74</v>
      </c>
      <c r="I2089" s="2">
        <v>8</v>
      </c>
      <c r="J2089" s="2" t="s">
        <v>106</v>
      </c>
      <c r="K2089" s="4">
        <v>46206.673611111109</v>
      </c>
      <c r="L2089" s="2" t="s">
        <v>24</v>
      </c>
      <c r="M2089" s="2"/>
      <c r="N2089" t="s">
        <v>8584</v>
      </c>
      <c r="O2089" s="8">
        <f t="shared" si="64"/>
        <v>1.2666666666045785</v>
      </c>
      <c r="P2089" t="str">
        <f t="shared" si="65"/>
        <v>Yes</v>
      </c>
    </row>
    <row r="2090" spans="1:16" x14ac:dyDescent="0.25">
      <c r="A2090" s="2" t="s">
        <v>5657</v>
      </c>
      <c r="B2090" s="4">
        <v>46047.272222222222</v>
      </c>
      <c r="C2090" s="2" t="s">
        <v>53</v>
      </c>
      <c r="D2090" s="2" t="s">
        <v>54</v>
      </c>
      <c r="E2090" s="2" t="s">
        <v>38</v>
      </c>
      <c r="F2090" s="2" t="s">
        <v>55</v>
      </c>
      <c r="G2090" s="2" t="s">
        <v>211</v>
      </c>
      <c r="H2090" s="2" t="s">
        <v>21</v>
      </c>
      <c r="I2090" s="2">
        <v>24</v>
      </c>
      <c r="J2090" s="2" t="s">
        <v>75</v>
      </c>
      <c r="K2090" s="4">
        <v>46047.78125</v>
      </c>
      <c r="L2090" s="2" t="s">
        <v>92</v>
      </c>
      <c r="M2090" s="2"/>
      <c r="N2090" t="s">
        <v>8588</v>
      </c>
      <c r="O2090" s="8">
        <f t="shared" si="64"/>
        <v>12.216666666674428</v>
      </c>
      <c r="P2090" t="str">
        <f t="shared" si="65"/>
        <v>N/A</v>
      </c>
    </row>
    <row r="2091" spans="1:16" x14ac:dyDescent="0.25">
      <c r="A2091" s="2" t="s">
        <v>5660</v>
      </c>
      <c r="B2091" s="4">
        <v>46148.769444444442</v>
      </c>
      <c r="C2091" s="2" t="s">
        <v>67</v>
      </c>
      <c r="D2091" s="2" t="s">
        <v>68</v>
      </c>
      <c r="E2091" s="2" t="s">
        <v>148</v>
      </c>
      <c r="F2091" s="2" t="s">
        <v>113</v>
      </c>
      <c r="G2091" s="2" t="s">
        <v>179</v>
      </c>
      <c r="H2091" s="2" t="s">
        <v>21</v>
      </c>
      <c r="I2091" s="2">
        <v>24</v>
      </c>
      <c r="J2091" s="2" t="s">
        <v>75</v>
      </c>
      <c r="K2091" s="4">
        <v>46148.9</v>
      </c>
      <c r="L2091" s="2" t="s">
        <v>24</v>
      </c>
      <c r="M2091" s="2">
        <v>5</v>
      </c>
      <c r="N2091" t="s">
        <v>8585</v>
      </c>
      <c r="O2091" s="8">
        <f t="shared" si="64"/>
        <v>3.1333333334187046</v>
      </c>
      <c r="P2091" t="str">
        <f t="shared" si="65"/>
        <v>N/A</v>
      </c>
    </row>
    <row r="2092" spans="1:16" x14ac:dyDescent="0.25">
      <c r="A2092" s="2" t="s">
        <v>5663</v>
      </c>
      <c r="B2092" s="4">
        <v>46056.876388888886</v>
      </c>
      <c r="C2092" s="2" t="s">
        <v>53</v>
      </c>
      <c r="D2092" s="2" t="s">
        <v>61</v>
      </c>
      <c r="E2092" s="2" t="s">
        <v>90</v>
      </c>
      <c r="F2092" s="2" t="s">
        <v>96</v>
      </c>
      <c r="G2092" s="2" t="s">
        <v>183</v>
      </c>
      <c r="H2092" s="2" t="s">
        <v>21</v>
      </c>
      <c r="I2092" s="2">
        <v>24</v>
      </c>
      <c r="J2092" s="2" t="s">
        <v>8580</v>
      </c>
      <c r="K2092" s="4">
        <v>46057.097916666666</v>
      </c>
      <c r="L2092" s="2" t="s">
        <v>92</v>
      </c>
      <c r="M2092" s="2"/>
      <c r="N2092" t="s">
        <v>8589</v>
      </c>
      <c r="O2092" s="8">
        <f t="shared" si="64"/>
        <v>5.3166666667093523</v>
      </c>
      <c r="P2092" t="str">
        <f t="shared" si="65"/>
        <v>N/A</v>
      </c>
    </row>
    <row r="2093" spans="1:16" x14ac:dyDescent="0.25">
      <c r="A2093" s="2" t="s">
        <v>5666</v>
      </c>
      <c r="B2093" s="4">
        <v>46127.664583333331</v>
      </c>
      <c r="C2093" s="2" t="s">
        <v>67</v>
      </c>
      <c r="D2093" s="2" t="s">
        <v>95</v>
      </c>
      <c r="E2093" s="2" t="s">
        <v>85</v>
      </c>
      <c r="F2093" s="2" t="s">
        <v>96</v>
      </c>
      <c r="G2093" s="2" t="s">
        <v>101</v>
      </c>
      <c r="H2093" s="2" t="s">
        <v>74</v>
      </c>
      <c r="I2093" s="2">
        <v>8</v>
      </c>
      <c r="J2093" s="2" t="s">
        <v>75</v>
      </c>
      <c r="K2093" s="4">
        <v>46127.830555555556</v>
      </c>
      <c r="L2093" s="2" t="s">
        <v>24</v>
      </c>
      <c r="M2093" s="2">
        <v>4</v>
      </c>
      <c r="N2093" t="s">
        <v>8584</v>
      </c>
      <c r="O2093" s="8">
        <f t="shared" si="64"/>
        <v>3.9833333333954215</v>
      </c>
      <c r="P2093" t="str">
        <f t="shared" si="65"/>
        <v>N/A</v>
      </c>
    </row>
    <row r="2094" spans="1:16" x14ac:dyDescent="0.25">
      <c r="A2094" s="2" t="s">
        <v>5669</v>
      </c>
      <c r="B2094" s="4">
        <v>46254.07916666667</v>
      </c>
      <c r="C2094" s="2" t="s">
        <v>53</v>
      </c>
      <c r="D2094" s="2" t="s">
        <v>54</v>
      </c>
      <c r="E2094" s="2" t="s">
        <v>90</v>
      </c>
      <c r="F2094" s="2" t="s">
        <v>96</v>
      </c>
      <c r="G2094" s="2" t="s">
        <v>110</v>
      </c>
      <c r="H2094" s="2" t="s">
        <v>80</v>
      </c>
      <c r="I2094" s="2">
        <v>4</v>
      </c>
      <c r="J2094" s="2" t="s">
        <v>149</v>
      </c>
      <c r="K2094" s="4" t="s">
        <v>8590</v>
      </c>
      <c r="L2094" s="2" t="s">
        <v>24</v>
      </c>
      <c r="M2094" s="2"/>
      <c r="N2094" t="s">
        <v>8583</v>
      </c>
      <c r="O2094" s="8" t="str">
        <f t="shared" si="64"/>
        <v/>
      </c>
      <c r="P2094" t="str">
        <f t="shared" si="65"/>
        <v>N/A</v>
      </c>
    </row>
    <row r="2095" spans="1:16" x14ac:dyDescent="0.25">
      <c r="A2095" s="2" t="s">
        <v>5671</v>
      </c>
      <c r="B2095" s="4">
        <v>46186.06527777778</v>
      </c>
      <c r="C2095" s="2" t="s">
        <v>28</v>
      </c>
      <c r="D2095" s="2" t="s">
        <v>37</v>
      </c>
      <c r="E2095" s="2" t="s">
        <v>90</v>
      </c>
      <c r="F2095" s="2" t="s">
        <v>96</v>
      </c>
      <c r="G2095" s="2" t="s">
        <v>211</v>
      </c>
      <c r="H2095" s="2" t="s">
        <v>21</v>
      </c>
      <c r="I2095" s="2">
        <v>24</v>
      </c>
      <c r="J2095" s="2" t="s">
        <v>106</v>
      </c>
      <c r="K2095" s="4">
        <v>46188.287499999999</v>
      </c>
      <c r="L2095" s="2" t="s">
        <v>24</v>
      </c>
      <c r="M2095" s="2">
        <v>4</v>
      </c>
      <c r="N2095" t="s">
        <v>8582</v>
      </c>
      <c r="O2095" s="8">
        <f t="shared" si="64"/>
        <v>53.333333333255723</v>
      </c>
      <c r="P2095" t="str">
        <f t="shared" si="65"/>
        <v>No</v>
      </c>
    </row>
    <row r="2096" spans="1:16" x14ac:dyDescent="0.25">
      <c r="A2096" s="2" t="s">
        <v>5674</v>
      </c>
      <c r="B2096" s="4">
        <v>46248.815972222219</v>
      </c>
      <c r="C2096" s="2" t="s">
        <v>28</v>
      </c>
      <c r="D2096" s="2" t="s">
        <v>37</v>
      </c>
      <c r="E2096" s="2" t="s">
        <v>38</v>
      </c>
      <c r="F2096" s="2" t="s">
        <v>30</v>
      </c>
      <c r="G2096" s="2" t="s">
        <v>110</v>
      </c>
      <c r="H2096" s="2" t="s">
        <v>80</v>
      </c>
      <c r="I2096" s="2">
        <v>4</v>
      </c>
      <c r="J2096" s="2" t="s">
        <v>106</v>
      </c>
      <c r="K2096" s="4">
        <v>46248.838888888888</v>
      </c>
      <c r="L2096" s="2" t="s">
        <v>24</v>
      </c>
      <c r="M2096" s="2"/>
      <c r="N2096" t="s">
        <v>8585</v>
      </c>
      <c r="O2096" s="8">
        <f t="shared" si="64"/>
        <v>0.55000000004656613</v>
      </c>
      <c r="P2096" t="str">
        <f t="shared" si="65"/>
        <v>Yes</v>
      </c>
    </row>
    <row r="2097" spans="1:16" x14ac:dyDescent="0.25">
      <c r="A2097" s="2" t="s">
        <v>5677</v>
      </c>
      <c r="B2097" s="4">
        <v>46233.029166666667</v>
      </c>
      <c r="C2097" s="2" t="s">
        <v>67</v>
      </c>
      <c r="D2097" s="2" t="s">
        <v>95</v>
      </c>
      <c r="E2097" s="2" t="s">
        <v>148</v>
      </c>
      <c r="F2097" s="2" t="s">
        <v>30</v>
      </c>
      <c r="G2097" s="2" t="s">
        <v>179</v>
      </c>
      <c r="H2097" s="2" t="s">
        <v>21</v>
      </c>
      <c r="I2097" s="2">
        <v>24</v>
      </c>
      <c r="J2097" s="2" t="s">
        <v>106</v>
      </c>
      <c r="K2097" s="4">
        <v>46233.737500000003</v>
      </c>
      <c r="L2097" s="2" t="s">
        <v>24</v>
      </c>
      <c r="M2097" s="2"/>
      <c r="N2097" t="s">
        <v>8589</v>
      </c>
      <c r="O2097" s="8">
        <f t="shared" si="64"/>
        <v>17.000000000058208</v>
      </c>
      <c r="P2097" t="str">
        <f t="shared" si="65"/>
        <v>Yes</v>
      </c>
    </row>
    <row r="2098" spans="1:16" x14ac:dyDescent="0.25">
      <c r="A2098" s="2" t="s">
        <v>5680</v>
      </c>
      <c r="B2098" s="4">
        <v>46053.779166666667</v>
      </c>
      <c r="C2098" s="2" t="s">
        <v>28</v>
      </c>
      <c r="D2098" s="2" t="s">
        <v>100</v>
      </c>
      <c r="E2098" s="2" t="s">
        <v>46</v>
      </c>
      <c r="F2098" s="2" t="s">
        <v>30</v>
      </c>
      <c r="G2098" s="2" t="s">
        <v>211</v>
      </c>
      <c r="H2098" s="2" t="s">
        <v>21</v>
      </c>
      <c r="I2098" s="2">
        <v>24</v>
      </c>
      <c r="J2098" s="2" t="s">
        <v>106</v>
      </c>
      <c r="K2098" s="4">
        <v>46054.175000000003</v>
      </c>
      <c r="L2098" s="2" t="s">
        <v>24</v>
      </c>
      <c r="M2098" s="2">
        <v>3</v>
      </c>
      <c r="N2098" t="s">
        <v>8585</v>
      </c>
      <c r="O2098" s="8">
        <f t="shared" si="64"/>
        <v>9.5000000000582077</v>
      </c>
      <c r="P2098" t="str">
        <f t="shared" si="65"/>
        <v>Yes</v>
      </c>
    </row>
    <row r="2099" spans="1:16" x14ac:dyDescent="0.25">
      <c r="A2099" s="2" t="s">
        <v>5683</v>
      </c>
      <c r="B2099" s="4">
        <v>46256.290972222225</v>
      </c>
      <c r="C2099" s="2" t="s">
        <v>53</v>
      </c>
      <c r="D2099" s="2" t="s">
        <v>61</v>
      </c>
      <c r="E2099" s="2" t="s">
        <v>148</v>
      </c>
      <c r="F2099" s="2" t="s">
        <v>113</v>
      </c>
      <c r="G2099" s="2" t="s">
        <v>211</v>
      </c>
      <c r="H2099" s="2" t="s">
        <v>74</v>
      </c>
      <c r="I2099" s="2">
        <v>8</v>
      </c>
      <c r="J2099" s="2" t="s">
        <v>75</v>
      </c>
      <c r="K2099" s="4">
        <v>46256.481944444444</v>
      </c>
      <c r="L2099" s="2" t="s">
        <v>24</v>
      </c>
      <c r="M2099" s="2"/>
      <c r="N2099" t="s">
        <v>8585</v>
      </c>
      <c r="O2099" s="8">
        <f t="shared" si="64"/>
        <v>4.5833333332557231</v>
      </c>
      <c r="P2099" t="str">
        <f t="shared" si="65"/>
        <v>N/A</v>
      </c>
    </row>
    <row r="2100" spans="1:16" x14ac:dyDescent="0.25">
      <c r="A2100" s="2" t="s">
        <v>5686</v>
      </c>
      <c r="B2100" s="4">
        <v>46146.01666666667</v>
      </c>
      <c r="C2100" s="2" t="s">
        <v>53</v>
      </c>
      <c r="D2100" s="2" t="s">
        <v>61</v>
      </c>
      <c r="E2100" s="2" t="s">
        <v>46</v>
      </c>
      <c r="F2100" s="2" t="s">
        <v>96</v>
      </c>
      <c r="G2100" s="2" t="s">
        <v>183</v>
      </c>
      <c r="H2100" s="2" t="s">
        <v>21</v>
      </c>
      <c r="I2100" s="2">
        <v>24</v>
      </c>
      <c r="J2100" s="2" t="s">
        <v>75</v>
      </c>
      <c r="K2100" s="4">
        <v>46147.774305555555</v>
      </c>
      <c r="L2100" s="2" t="s">
        <v>24</v>
      </c>
      <c r="M2100" s="2">
        <v>5</v>
      </c>
      <c r="N2100" t="s">
        <v>8582</v>
      </c>
      <c r="O2100" s="8">
        <f t="shared" si="64"/>
        <v>42.18333333323244</v>
      </c>
      <c r="P2100" t="str">
        <f t="shared" si="65"/>
        <v>N/A</v>
      </c>
    </row>
    <row r="2101" spans="1:16" x14ac:dyDescent="0.25">
      <c r="A2101" s="2" t="s">
        <v>5689</v>
      </c>
      <c r="B2101" s="4">
        <v>46254.348611111112</v>
      </c>
      <c r="C2101" s="2" t="s">
        <v>67</v>
      </c>
      <c r="D2101" s="2" t="s">
        <v>68</v>
      </c>
      <c r="E2101" s="2" t="s">
        <v>148</v>
      </c>
      <c r="F2101" s="2" t="s">
        <v>96</v>
      </c>
      <c r="G2101" s="2" t="s">
        <v>110</v>
      </c>
      <c r="H2101" s="2" t="s">
        <v>74</v>
      </c>
      <c r="I2101" s="2">
        <v>8</v>
      </c>
      <c r="J2101" s="2" t="s">
        <v>106</v>
      </c>
      <c r="K2101" s="4">
        <v>46254.54791666667</v>
      </c>
      <c r="L2101" s="2" t="s">
        <v>24</v>
      </c>
      <c r="M2101" s="2">
        <v>5</v>
      </c>
      <c r="N2101" t="s">
        <v>8588</v>
      </c>
      <c r="O2101" s="8">
        <f t="shared" si="64"/>
        <v>4.78333333338378</v>
      </c>
      <c r="P2101" t="str">
        <f t="shared" si="65"/>
        <v>Yes</v>
      </c>
    </row>
    <row r="2102" spans="1:16" x14ac:dyDescent="0.25">
      <c r="A2102" s="2" t="s">
        <v>5692</v>
      </c>
      <c r="B2102" s="4">
        <v>46046.763888888891</v>
      </c>
      <c r="C2102" s="2" t="s">
        <v>53</v>
      </c>
      <c r="D2102" s="2" t="s">
        <v>61</v>
      </c>
      <c r="E2102" s="2" t="s">
        <v>38</v>
      </c>
      <c r="F2102" s="2" t="s">
        <v>96</v>
      </c>
      <c r="G2102" s="2" t="s">
        <v>110</v>
      </c>
      <c r="H2102" s="2" t="s">
        <v>21</v>
      </c>
      <c r="I2102" s="2">
        <v>24</v>
      </c>
      <c r="J2102" s="2" t="s">
        <v>106</v>
      </c>
      <c r="K2102" s="4">
        <v>46047.296527777777</v>
      </c>
      <c r="L2102" s="2" t="s">
        <v>24</v>
      </c>
      <c r="M2102" s="2">
        <v>3</v>
      </c>
      <c r="N2102" t="s">
        <v>8582</v>
      </c>
      <c r="O2102" s="8">
        <f t="shared" si="64"/>
        <v>12.783333333267365</v>
      </c>
      <c r="P2102" t="str">
        <f t="shared" si="65"/>
        <v>Yes</v>
      </c>
    </row>
    <row r="2103" spans="1:16" x14ac:dyDescent="0.25">
      <c r="A2103" s="2" t="s">
        <v>5695</v>
      </c>
      <c r="B2103" s="4">
        <v>46134.311111111114</v>
      </c>
      <c r="C2103" s="2" t="s">
        <v>53</v>
      </c>
      <c r="D2103" s="2" t="s">
        <v>61</v>
      </c>
      <c r="E2103" s="2" t="s">
        <v>79</v>
      </c>
      <c r="F2103" s="2" t="s">
        <v>113</v>
      </c>
      <c r="G2103" s="2" t="s">
        <v>211</v>
      </c>
      <c r="H2103" s="2" t="s">
        <v>21</v>
      </c>
      <c r="I2103" s="2">
        <v>24</v>
      </c>
      <c r="J2103" s="2" t="s">
        <v>106</v>
      </c>
      <c r="K2103" s="4">
        <v>46135.15347222222</v>
      </c>
      <c r="L2103" s="2" t="s">
        <v>24</v>
      </c>
      <c r="M2103" s="2">
        <v>4</v>
      </c>
      <c r="N2103" t="s">
        <v>8584</v>
      </c>
      <c r="O2103" s="8">
        <f t="shared" si="64"/>
        <v>20.216666666558012</v>
      </c>
      <c r="P2103" t="str">
        <f t="shared" si="65"/>
        <v>Yes</v>
      </c>
    </row>
    <row r="2104" spans="1:16" x14ac:dyDescent="0.25">
      <c r="A2104" s="2" t="s">
        <v>5698</v>
      </c>
      <c r="B2104" s="4">
        <v>46195.253472222219</v>
      </c>
      <c r="C2104" s="2" t="s">
        <v>67</v>
      </c>
      <c r="D2104" s="2" t="s">
        <v>95</v>
      </c>
      <c r="E2104" s="2" t="s">
        <v>18</v>
      </c>
      <c r="F2104" s="2" t="s">
        <v>113</v>
      </c>
      <c r="G2104" s="2" t="s">
        <v>179</v>
      </c>
      <c r="H2104" s="2" t="s">
        <v>80</v>
      </c>
      <c r="I2104" s="2">
        <v>4</v>
      </c>
      <c r="J2104" s="2" t="s">
        <v>106</v>
      </c>
      <c r="K2104" s="4">
        <v>46195.522222222222</v>
      </c>
      <c r="L2104" s="2" t="s">
        <v>24</v>
      </c>
      <c r="M2104" s="2">
        <v>1</v>
      </c>
      <c r="N2104" t="s">
        <v>8587</v>
      </c>
      <c r="O2104" s="8">
        <f t="shared" si="64"/>
        <v>6.4500000000698492</v>
      </c>
      <c r="P2104" t="str">
        <f t="shared" si="65"/>
        <v>No</v>
      </c>
    </row>
    <row r="2105" spans="1:16" x14ac:dyDescent="0.25">
      <c r="A2105" s="2" t="s">
        <v>5701</v>
      </c>
      <c r="B2105" s="4">
        <v>46220.990972222222</v>
      </c>
      <c r="C2105" s="2" t="s">
        <v>53</v>
      </c>
      <c r="D2105" s="2" t="s">
        <v>61</v>
      </c>
      <c r="E2105" s="2" t="s">
        <v>79</v>
      </c>
      <c r="F2105" s="2" t="s">
        <v>96</v>
      </c>
      <c r="G2105" s="2" t="s">
        <v>31</v>
      </c>
      <c r="H2105" s="2" t="s">
        <v>74</v>
      </c>
      <c r="I2105" s="2">
        <v>8</v>
      </c>
      <c r="J2105" s="2" t="s">
        <v>287</v>
      </c>
      <c r="K2105" s="4" t="s">
        <v>8590</v>
      </c>
      <c r="L2105" s="2" t="s">
        <v>24</v>
      </c>
      <c r="M2105" s="2"/>
      <c r="N2105" t="s">
        <v>8582</v>
      </c>
      <c r="O2105" s="8" t="str">
        <f t="shared" si="64"/>
        <v/>
      </c>
      <c r="P2105" t="str">
        <f t="shared" si="65"/>
        <v>N/A</v>
      </c>
    </row>
    <row r="2106" spans="1:16" x14ac:dyDescent="0.25">
      <c r="A2106" s="2" t="s">
        <v>5703</v>
      </c>
      <c r="B2106" s="4">
        <v>46040.011111111111</v>
      </c>
      <c r="C2106" s="2" t="s">
        <v>53</v>
      </c>
      <c r="D2106" s="2" t="s">
        <v>54</v>
      </c>
      <c r="E2106" s="2" t="s">
        <v>46</v>
      </c>
      <c r="F2106" s="2" t="s">
        <v>96</v>
      </c>
      <c r="G2106" s="2" t="s">
        <v>31</v>
      </c>
      <c r="H2106" s="2" t="s">
        <v>32</v>
      </c>
      <c r="I2106" s="2">
        <v>48</v>
      </c>
      <c r="J2106" s="2" t="s">
        <v>75</v>
      </c>
      <c r="K2106" s="4">
        <v>46041.513888888891</v>
      </c>
      <c r="L2106" s="2" t="s">
        <v>24</v>
      </c>
      <c r="M2106" s="2"/>
      <c r="N2106" t="s">
        <v>8582</v>
      </c>
      <c r="O2106" s="8">
        <f t="shared" si="64"/>
        <v>36.066666666709352</v>
      </c>
      <c r="P2106" t="str">
        <f t="shared" si="65"/>
        <v>N/A</v>
      </c>
    </row>
    <row r="2107" spans="1:16" x14ac:dyDescent="0.25">
      <c r="A2107" s="2" t="s">
        <v>5706</v>
      </c>
      <c r="B2107" s="4">
        <v>46071.856249999997</v>
      </c>
      <c r="C2107" s="2" t="s">
        <v>53</v>
      </c>
      <c r="D2107" s="2" t="s">
        <v>61</v>
      </c>
      <c r="E2107" s="2" t="s">
        <v>148</v>
      </c>
      <c r="F2107" s="2" t="s">
        <v>96</v>
      </c>
      <c r="G2107" s="2" t="s">
        <v>179</v>
      </c>
      <c r="H2107" s="2" t="s">
        <v>32</v>
      </c>
      <c r="I2107" s="2">
        <v>48</v>
      </c>
      <c r="J2107" s="2" t="s">
        <v>106</v>
      </c>
      <c r="K2107" s="4">
        <v>46072.15902777778</v>
      </c>
      <c r="L2107" s="2" t="s">
        <v>24</v>
      </c>
      <c r="M2107" s="2">
        <v>5</v>
      </c>
      <c r="N2107" t="s">
        <v>8589</v>
      </c>
      <c r="O2107" s="8">
        <f t="shared" si="64"/>
        <v>7.2666666667792015</v>
      </c>
      <c r="P2107" t="str">
        <f t="shared" si="65"/>
        <v>Yes</v>
      </c>
    </row>
    <row r="2108" spans="1:16" x14ac:dyDescent="0.25">
      <c r="A2108" s="2" t="s">
        <v>5709</v>
      </c>
      <c r="B2108" s="4">
        <v>46213.839583333334</v>
      </c>
      <c r="C2108" s="2" t="s">
        <v>53</v>
      </c>
      <c r="D2108" s="2" t="s">
        <v>54</v>
      </c>
      <c r="E2108" s="2" t="s">
        <v>18</v>
      </c>
      <c r="F2108" s="2" t="s">
        <v>30</v>
      </c>
      <c r="G2108" s="2" t="s">
        <v>211</v>
      </c>
      <c r="H2108" s="2" t="s">
        <v>32</v>
      </c>
      <c r="I2108" s="2">
        <v>48</v>
      </c>
      <c r="J2108" s="2" t="s">
        <v>11</v>
      </c>
      <c r="K2108" s="4" t="s">
        <v>8590</v>
      </c>
      <c r="L2108" s="2" t="s">
        <v>92</v>
      </c>
      <c r="M2108" s="2"/>
      <c r="N2108" t="s">
        <v>8587</v>
      </c>
      <c r="O2108" s="8" t="str">
        <f t="shared" si="64"/>
        <v/>
      </c>
      <c r="P2108" t="str">
        <f t="shared" si="65"/>
        <v>N/A</v>
      </c>
    </row>
    <row r="2109" spans="1:16" x14ac:dyDescent="0.25">
      <c r="A2109" s="2" t="s">
        <v>5711</v>
      </c>
      <c r="B2109" s="4">
        <v>46203.868750000001</v>
      </c>
      <c r="C2109" s="2" t="s">
        <v>67</v>
      </c>
      <c r="D2109" s="2" t="s">
        <v>95</v>
      </c>
      <c r="E2109" s="2" t="s">
        <v>18</v>
      </c>
      <c r="F2109" s="2" t="s">
        <v>96</v>
      </c>
      <c r="G2109" s="2" t="s">
        <v>179</v>
      </c>
      <c r="H2109" s="2" t="s">
        <v>74</v>
      </c>
      <c r="I2109" s="2">
        <v>8</v>
      </c>
      <c r="J2109" s="2" t="s">
        <v>149</v>
      </c>
      <c r="K2109" s="4" t="s">
        <v>8590</v>
      </c>
      <c r="L2109" s="2" t="s">
        <v>24</v>
      </c>
      <c r="M2109" s="2"/>
      <c r="N2109" t="s">
        <v>8589</v>
      </c>
      <c r="O2109" s="8" t="str">
        <f t="shared" si="64"/>
        <v/>
      </c>
      <c r="P2109" t="str">
        <f t="shared" si="65"/>
        <v>N/A</v>
      </c>
    </row>
    <row r="2110" spans="1:16" x14ac:dyDescent="0.25">
      <c r="A2110" s="2" t="s">
        <v>5713</v>
      </c>
      <c r="B2110" s="4">
        <v>46249.512499999997</v>
      </c>
      <c r="C2110" s="2" t="s">
        <v>67</v>
      </c>
      <c r="D2110" s="2" t="s">
        <v>95</v>
      </c>
      <c r="E2110" s="2" t="s">
        <v>46</v>
      </c>
      <c r="F2110" s="2" t="s">
        <v>30</v>
      </c>
      <c r="G2110" s="2" t="s">
        <v>31</v>
      </c>
      <c r="H2110" s="2" t="s">
        <v>21</v>
      </c>
      <c r="I2110" s="2">
        <v>24</v>
      </c>
      <c r="J2110" s="2" t="s">
        <v>75</v>
      </c>
      <c r="K2110" s="4">
        <v>46251.994444444441</v>
      </c>
      <c r="L2110" s="2" t="s">
        <v>24</v>
      </c>
      <c r="M2110" s="2">
        <v>1</v>
      </c>
      <c r="N2110" t="s">
        <v>8581</v>
      </c>
      <c r="O2110" s="8">
        <f t="shared" si="64"/>
        <v>59.566666666651145</v>
      </c>
      <c r="P2110" t="str">
        <f t="shared" si="65"/>
        <v>N/A</v>
      </c>
    </row>
    <row r="2111" spans="1:16" x14ac:dyDescent="0.25">
      <c r="A2111" s="2" t="s">
        <v>5716</v>
      </c>
      <c r="B2111" s="4">
        <v>46023.798611111109</v>
      </c>
      <c r="C2111" s="2" t="s">
        <v>16</v>
      </c>
      <c r="D2111" s="2" t="s">
        <v>84</v>
      </c>
      <c r="E2111" s="2" t="s">
        <v>85</v>
      </c>
      <c r="F2111" s="2" t="s">
        <v>30</v>
      </c>
      <c r="G2111" s="2" t="s">
        <v>179</v>
      </c>
      <c r="H2111" s="2" t="s">
        <v>32</v>
      </c>
      <c r="I2111" s="2">
        <v>48</v>
      </c>
      <c r="J2111" s="2" t="s">
        <v>11</v>
      </c>
      <c r="K2111" s="4" t="s">
        <v>8590</v>
      </c>
      <c r="L2111" s="2" t="s">
        <v>92</v>
      </c>
      <c r="M2111" s="2"/>
      <c r="N2111" t="s">
        <v>8582</v>
      </c>
      <c r="O2111" s="8" t="str">
        <f t="shared" si="64"/>
        <v/>
      </c>
      <c r="P2111" t="str">
        <f t="shared" si="65"/>
        <v>N/A</v>
      </c>
    </row>
    <row r="2112" spans="1:16" x14ac:dyDescent="0.25">
      <c r="A2112" s="2" t="s">
        <v>5718</v>
      </c>
      <c r="B2112" s="4">
        <v>46029.810416666667</v>
      </c>
      <c r="C2112" s="2" t="s">
        <v>67</v>
      </c>
      <c r="D2112" s="2" t="s">
        <v>68</v>
      </c>
      <c r="E2112" s="2" t="s">
        <v>79</v>
      </c>
      <c r="F2112" s="2" t="s">
        <v>30</v>
      </c>
      <c r="G2112" s="2" t="s">
        <v>211</v>
      </c>
      <c r="H2112" s="2" t="s">
        <v>21</v>
      </c>
      <c r="I2112" s="2">
        <v>24</v>
      </c>
      <c r="J2112" s="2" t="s">
        <v>106</v>
      </c>
      <c r="K2112" s="4">
        <v>46030.167361111111</v>
      </c>
      <c r="L2112" s="2" t="s">
        <v>24</v>
      </c>
      <c r="M2112" s="2">
        <v>2</v>
      </c>
      <c r="N2112" t="s">
        <v>8587</v>
      </c>
      <c r="O2112" s="8">
        <f t="shared" si="64"/>
        <v>8.5666666666511446</v>
      </c>
      <c r="P2112" t="str">
        <f t="shared" si="65"/>
        <v>Yes</v>
      </c>
    </row>
    <row r="2113" spans="1:16" x14ac:dyDescent="0.25">
      <c r="A2113" s="2" t="s">
        <v>5721</v>
      </c>
      <c r="B2113" s="4">
        <v>46048.765277777777</v>
      </c>
      <c r="C2113" s="2" t="s">
        <v>28</v>
      </c>
      <c r="D2113" s="2" t="s">
        <v>37</v>
      </c>
      <c r="E2113" s="2" t="s">
        <v>90</v>
      </c>
      <c r="F2113" s="2" t="s">
        <v>55</v>
      </c>
      <c r="G2113" s="2" t="s">
        <v>31</v>
      </c>
      <c r="H2113" s="2" t="s">
        <v>32</v>
      </c>
      <c r="I2113" s="2">
        <v>48</v>
      </c>
      <c r="J2113" s="2" t="s">
        <v>11</v>
      </c>
      <c r="K2113" s="4" t="s">
        <v>8590</v>
      </c>
      <c r="L2113" s="2" t="s">
        <v>92</v>
      </c>
      <c r="M2113" s="2"/>
      <c r="N2113" t="s">
        <v>8581</v>
      </c>
      <c r="O2113" s="8" t="str">
        <f t="shared" si="64"/>
        <v/>
      </c>
      <c r="P2113" t="str">
        <f t="shared" si="65"/>
        <v>N/A</v>
      </c>
    </row>
    <row r="2114" spans="1:16" x14ac:dyDescent="0.25">
      <c r="A2114" s="2" t="s">
        <v>5723</v>
      </c>
      <c r="B2114" s="4">
        <v>46206.765972222223</v>
      </c>
      <c r="C2114" s="2" t="s">
        <v>16</v>
      </c>
      <c r="D2114" s="2" t="s">
        <v>84</v>
      </c>
      <c r="E2114" s="2" t="s">
        <v>148</v>
      </c>
      <c r="F2114" s="2" t="s">
        <v>96</v>
      </c>
      <c r="G2114" s="2" t="s">
        <v>31</v>
      </c>
      <c r="H2114" s="2" t="s">
        <v>32</v>
      </c>
      <c r="I2114" s="2">
        <v>48</v>
      </c>
      <c r="J2114" s="2" t="s">
        <v>75</v>
      </c>
      <c r="K2114" s="4" t="s">
        <v>8590</v>
      </c>
      <c r="L2114" s="2" t="s">
        <v>24</v>
      </c>
      <c r="M2114" s="2">
        <v>5</v>
      </c>
      <c r="N2114" t="s">
        <v>8581</v>
      </c>
      <c r="O2114" s="8" t="str">
        <f t="shared" si="64"/>
        <v/>
      </c>
      <c r="P2114" t="str">
        <f t="shared" si="65"/>
        <v>N/A</v>
      </c>
    </row>
    <row r="2115" spans="1:16" x14ac:dyDescent="0.25">
      <c r="A2115" s="2" t="s">
        <v>5725</v>
      </c>
      <c r="B2115" s="4">
        <v>46222.124305555553</v>
      </c>
      <c r="C2115" s="2" t="s">
        <v>16</v>
      </c>
      <c r="D2115" s="2" t="s">
        <v>17</v>
      </c>
      <c r="E2115" s="2" t="s">
        <v>90</v>
      </c>
      <c r="F2115" s="2" t="s">
        <v>55</v>
      </c>
      <c r="G2115" s="2" t="s">
        <v>211</v>
      </c>
      <c r="H2115" s="2" t="s">
        <v>32</v>
      </c>
      <c r="I2115" s="2">
        <v>48</v>
      </c>
      <c r="J2115" s="2" t="s">
        <v>106</v>
      </c>
      <c r="K2115" s="4">
        <v>46222.688194444447</v>
      </c>
      <c r="L2115" s="2" t="s">
        <v>24</v>
      </c>
      <c r="M2115" s="2"/>
      <c r="N2115" t="s">
        <v>8586</v>
      </c>
      <c r="O2115" s="8">
        <f t="shared" ref="O2115:O2178" si="66">IF(K2115="","",IF(K2115="Missing Resolve Date","",(K2115-B2115)*24))</f>
        <v>13.533333333441988</v>
      </c>
      <c r="P2115" t="str">
        <f t="shared" ref="P2115:P2178" si="67">IF(J2115="Resolved",IF(O2115&lt;=I2115,"Yes","No"),"N/A")</f>
        <v>Yes</v>
      </c>
    </row>
    <row r="2116" spans="1:16" x14ac:dyDescent="0.25">
      <c r="A2116" s="2" t="s">
        <v>5728</v>
      </c>
      <c r="B2116" s="4">
        <v>46132.873611111114</v>
      </c>
      <c r="C2116" s="2" t="s">
        <v>28</v>
      </c>
      <c r="D2116" s="2" t="s">
        <v>100</v>
      </c>
      <c r="E2116" s="2" t="s">
        <v>18</v>
      </c>
      <c r="F2116" s="2" t="s">
        <v>96</v>
      </c>
      <c r="G2116" s="2" t="s">
        <v>183</v>
      </c>
      <c r="H2116" s="2" t="s">
        <v>21</v>
      </c>
      <c r="I2116" s="2">
        <v>24</v>
      </c>
      <c r="J2116" s="2" t="s">
        <v>287</v>
      </c>
      <c r="K2116" s="4" t="s">
        <v>8590</v>
      </c>
      <c r="L2116" s="2" t="s">
        <v>24</v>
      </c>
      <c r="M2116" s="2"/>
      <c r="N2116" t="s">
        <v>8585</v>
      </c>
      <c r="O2116" s="8" t="str">
        <f t="shared" si="66"/>
        <v/>
      </c>
      <c r="P2116" t="str">
        <f t="shared" si="67"/>
        <v>N/A</v>
      </c>
    </row>
    <row r="2117" spans="1:16" x14ac:dyDescent="0.25">
      <c r="A2117" s="2" t="s">
        <v>5730</v>
      </c>
      <c r="B2117" s="4">
        <v>46205.20208333333</v>
      </c>
      <c r="C2117" s="2" t="s">
        <v>67</v>
      </c>
      <c r="D2117" s="2" t="s">
        <v>68</v>
      </c>
      <c r="E2117" s="2" t="s">
        <v>18</v>
      </c>
      <c r="F2117" s="2" t="s">
        <v>113</v>
      </c>
      <c r="G2117" s="2" t="s">
        <v>183</v>
      </c>
      <c r="H2117" s="2" t="s">
        <v>21</v>
      </c>
      <c r="I2117" s="2">
        <v>24</v>
      </c>
      <c r="J2117" s="2" t="s">
        <v>106</v>
      </c>
      <c r="K2117" s="4">
        <v>46205.436805555553</v>
      </c>
      <c r="L2117" s="2" t="s">
        <v>24</v>
      </c>
      <c r="M2117" s="2"/>
      <c r="N2117" t="s">
        <v>8589</v>
      </c>
      <c r="O2117" s="8">
        <f t="shared" si="66"/>
        <v>5.6333333333604969</v>
      </c>
      <c r="P2117" t="str">
        <f t="shared" si="67"/>
        <v>Yes</v>
      </c>
    </row>
    <row r="2118" spans="1:16" x14ac:dyDescent="0.25">
      <c r="A2118" s="2" t="s">
        <v>5733</v>
      </c>
      <c r="B2118" s="4">
        <v>46215.420138888891</v>
      </c>
      <c r="C2118" s="2" t="s">
        <v>16</v>
      </c>
      <c r="D2118" s="2" t="s">
        <v>17</v>
      </c>
      <c r="E2118" s="2" t="s">
        <v>18</v>
      </c>
      <c r="F2118" s="2" t="s">
        <v>55</v>
      </c>
      <c r="G2118" s="2" t="s">
        <v>31</v>
      </c>
      <c r="H2118" s="2" t="s">
        <v>32</v>
      </c>
      <c r="I2118" s="2">
        <v>48</v>
      </c>
      <c r="J2118" s="2" t="s">
        <v>106</v>
      </c>
      <c r="K2118" s="4">
        <v>46216.061111111114</v>
      </c>
      <c r="L2118" s="2" t="s">
        <v>24</v>
      </c>
      <c r="M2118" s="2">
        <v>5</v>
      </c>
      <c r="N2118" t="s">
        <v>8588</v>
      </c>
      <c r="O2118" s="8">
        <f t="shared" si="66"/>
        <v>15.383333333360497</v>
      </c>
      <c r="P2118" t="str">
        <f t="shared" si="67"/>
        <v>Yes</v>
      </c>
    </row>
    <row r="2119" spans="1:16" x14ac:dyDescent="0.25">
      <c r="A2119" s="2" t="s">
        <v>5736</v>
      </c>
      <c r="B2119" s="4">
        <v>46166.532638888886</v>
      </c>
      <c r="C2119" s="2" t="s">
        <v>53</v>
      </c>
      <c r="D2119" s="2" t="s">
        <v>54</v>
      </c>
      <c r="E2119" s="2" t="s">
        <v>46</v>
      </c>
      <c r="F2119" s="2" t="s">
        <v>30</v>
      </c>
      <c r="G2119" s="2" t="s">
        <v>31</v>
      </c>
      <c r="H2119" s="2" t="s">
        <v>32</v>
      </c>
      <c r="I2119" s="2">
        <v>48</v>
      </c>
      <c r="J2119" s="2" t="s">
        <v>106</v>
      </c>
      <c r="K2119" s="4">
        <v>46167.934027777781</v>
      </c>
      <c r="L2119" s="2" t="s">
        <v>24</v>
      </c>
      <c r="M2119" s="2">
        <v>5</v>
      </c>
      <c r="N2119" t="s">
        <v>8586</v>
      </c>
      <c r="O2119" s="8">
        <f t="shared" si="66"/>
        <v>33.633333333476912</v>
      </c>
      <c r="P2119" t="str">
        <f t="shared" si="67"/>
        <v>Yes</v>
      </c>
    </row>
    <row r="2120" spans="1:16" x14ac:dyDescent="0.25">
      <c r="A2120" s="2" t="s">
        <v>5739</v>
      </c>
      <c r="B2120" s="4">
        <v>46257.329861111109</v>
      </c>
      <c r="C2120" s="2" t="s">
        <v>67</v>
      </c>
      <c r="D2120" s="2" t="s">
        <v>95</v>
      </c>
      <c r="E2120" s="2" t="s">
        <v>148</v>
      </c>
      <c r="F2120" s="2" t="s">
        <v>96</v>
      </c>
      <c r="G2120" s="2" t="s">
        <v>31</v>
      </c>
      <c r="H2120" s="2" t="s">
        <v>74</v>
      </c>
      <c r="I2120" s="2">
        <v>8</v>
      </c>
      <c r="J2120" s="2" t="s">
        <v>149</v>
      </c>
      <c r="K2120" s="4" t="s">
        <v>8590</v>
      </c>
      <c r="L2120" s="2" t="s">
        <v>24</v>
      </c>
      <c r="M2120" s="2"/>
      <c r="N2120" t="s">
        <v>8589</v>
      </c>
      <c r="O2120" s="8" t="str">
        <f t="shared" si="66"/>
        <v/>
      </c>
      <c r="P2120" t="str">
        <f t="shared" si="67"/>
        <v>N/A</v>
      </c>
    </row>
    <row r="2121" spans="1:16" x14ac:dyDescent="0.25">
      <c r="A2121" s="2" t="s">
        <v>5741</v>
      </c>
      <c r="B2121" s="4">
        <v>46161.112500000003</v>
      </c>
      <c r="C2121" s="2" t="s">
        <v>67</v>
      </c>
      <c r="D2121" s="2" t="s">
        <v>68</v>
      </c>
      <c r="E2121" s="2" t="s">
        <v>148</v>
      </c>
      <c r="F2121" s="2" t="s">
        <v>55</v>
      </c>
      <c r="G2121" s="2" t="s">
        <v>110</v>
      </c>
      <c r="H2121" s="2" t="s">
        <v>32</v>
      </c>
      <c r="I2121" s="2">
        <v>48</v>
      </c>
      <c r="J2121" s="2" t="s">
        <v>75</v>
      </c>
      <c r="K2121" s="4">
        <v>46161.976388888892</v>
      </c>
      <c r="L2121" s="2" t="s">
        <v>24</v>
      </c>
      <c r="M2121" s="2">
        <v>2</v>
      </c>
      <c r="N2121" t="s">
        <v>8587</v>
      </c>
      <c r="O2121" s="8">
        <f t="shared" si="66"/>
        <v>20.733333333337214</v>
      </c>
      <c r="P2121" t="str">
        <f t="shared" si="67"/>
        <v>N/A</v>
      </c>
    </row>
    <row r="2122" spans="1:16" x14ac:dyDescent="0.25">
      <c r="A2122" s="2" t="s">
        <v>5744</v>
      </c>
      <c r="B2122" s="4">
        <v>46127.546527777777</v>
      </c>
      <c r="C2122" s="2" t="s">
        <v>53</v>
      </c>
      <c r="D2122" s="2" t="s">
        <v>61</v>
      </c>
      <c r="E2122" s="2" t="s">
        <v>148</v>
      </c>
      <c r="F2122" s="2" t="s">
        <v>30</v>
      </c>
      <c r="G2122" s="2" t="s">
        <v>110</v>
      </c>
      <c r="H2122" s="2" t="s">
        <v>21</v>
      </c>
      <c r="I2122" s="2">
        <v>24</v>
      </c>
      <c r="J2122" s="2" t="s">
        <v>75</v>
      </c>
      <c r="K2122" s="4">
        <v>46127.861805555556</v>
      </c>
      <c r="L2122" s="2" t="s">
        <v>24</v>
      </c>
      <c r="M2122" s="2">
        <v>4</v>
      </c>
      <c r="N2122" t="s">
        <v>8589</v>
      </c>
      <c r="O2122" s="8">
        <f t="shared" si="66"/>
        <v>7.5666666667093523</v>
      </c>
      <c r="P2122" t="str">
        <f t="shared" si="67"/>
        <v>N/A</v>
      </c>
    </row>
    <row r="2123" spans="1:16" x14ac:dyDescent="0.25">
      <c r="A2123" s="2" t="s">
        <v>5747</v>
      </c>
      <c r="B2123" s="4">
        <v>46085.865277777775</v>
      </c>
      <c r="C2123" s="2" t="s">
        <v>53</v>
      </c>
      <c r="D2123" s="2" t="s">
        <v>61</v>
      </c>
      <c r="E2123" s="2" t="s">
        <v>79</v>
      </c>
      <c r="F2123" s="2" t="s">
        <v>55</v>
      </c>
      <c r="G2123" s="2" t="s">
        <v>183</v>
      </c>
      <c r="H2123" s="2" t="s">
        <v>80</v>
      </c>
      <c r="I2123" s="2">
        <v>4</v>
      </c>
      <c r="J2123" s="2" t="s">
        <v>106</v>
      </c>
      <c r="K2123" s="4">
        <v>46085.957638888889</v>
      </c>
      <c r="L2123" s="2" t="s">
        <v>24</v>
      </c>
      <c r="M2123" s="2">
        <v>2</v>
      </c>
      <c r="N2123" t="s">
        <v>8585</v>
      </c>
      <c r="O2123" s="8">
        <f t="shared" si="66"/>
        <v>2.2166666667326353</v>
      </c>
      <c r="P2123" t="str">
        <f t="shared" si="67"/>
        <v>Yes</v>
      </c>
    </row>
    <row r="2124" spans="1:16" x14ac:dyDescent="0.25">
      <c r="A2124" s="2" t="s">
        <v>5750</v>
      </c>
      <c r="B2124" s="4">
        <v>46098.320138888892</v>
      </c>
      <c r="C2124" s="2" t="s">
        <v>67</v>
      </c>
      <c r="D2124" s="2" t="s">
        <v>68</v>
      </c>
      <c r="E2124" s="2" t="s">
        <v>148</v>
      </c>
      <c r="F2124" s="2" t="s">
        <v>55</v>
      </c>
      <c r="G2124" s="2" t="s">
        <v>179</v>
      </c>
      <c r="H2124" s="2" t="s">
        <v>21</v>
      </c>
      <c r="I2124" s="2">
        <v>24</v>
      </c>
      <c r="J2124" s="2" t="s">
        <v>11</v>
      </c>
      <c r="K2124" s="4" t="s">
        <v>8590</v>
      </c>
      <c r="L2124" s="2" t="s">
        <v>92</v>
      </c>
      <c r="M2124" s="2"/>
      <c r="N2124" t="s">
        <v>8585</v>
      </c>
      <c r="O2124" s="8" t="str">
        <f t="shared" si="66"/>
        <v/>
      </c>
      <c r="P2124" t="str">
        <f t="shared" si="67"/>
        <v>N/A</v>
      </c>
    </row>
    <row r="2125" spans="1:16" x14ac:dyDescent="0.25">
      <c r="A2125" s="2" t="s">
        <v>5752</v>
      </c>
      <c r="B2125" s="4">
        <v>46208.351388888892</v>
      </c>
      <c r="C2125" s="2" t="s">
        <v>53</v>
      </c>
      <c r="D2125" s="2" t="s">
        <v>61</v>
      </c>
      <c r="E2125" s="2" t="s">
        <v>79</v>
      </c>
      <c r="F2125" s="2" t="s">
        <v>113</v>
      </c>
      <c r="G2125" s="2" t="s">
        <v>110</v>
      </c>
      <c r="H2125" s="2" t="s">
        <v>21</v>
      </c>
      <c r="I2125" s="2">
        <v>24</v>
      </c>
      <c r="J2125" s="2" t="s">
        <v>149</v>
      </c>
      <c r="K2125" s="4" t="s">
        <v>8590</v>
      </c>
      <c r="L2125" s="2" t="s">
        <v>24</v>
      </c>
      <c r="M2125" s="2"/>
      <c r="N2125" t="s">
        <v>8581</v>
      </c>
      <c r="O2125" s="8" t="str">
        <f t="shared" si="66"/>
        <v/>
      </c>
      <c r="P2125" t="str">
        <f t="shared" si="67"/>
        <v>N/A</v>
      </c>
    </row>
    <row r="2126" spans="1:16" x14ac:dyDescent="0.25">
      <c r="A2126" s="2" t="s">
        <v>5754</v>
      </c>
      <c r="B2126" s="4">
        <v>46221.018750000003</v>
      </c>
      <c r="C2126" s="2" t="s">
        <v>53</v>
      </c>
      <c r="D2126" s="2" t="s">
        <v>54</v>
      </c>
      <c r="E2126" s="2" t="s">
        <v>46</v>
      </c>
      <c r="F2126" s="2" t="s">
        <v>55</v>
      </c>
      <c r="G2126" s="2" t="s">
        <v>101</v>
      </c>
      <c r="H2126" s="2" t="s">
        <v>74</v>
      </c>
      <c r="I2126" s="2">
        <v>8</v>
      </c>
      <c r="J2126" s="2" t="s">
        <v>106</v>
      </c>
      <c r="K2126" s="4">
        <v>46221.07708333333</v>
      </c>
      <c r="L2126" s="2" t="s">
        <v>24</v>
      </c>
      <c r="M2126" s="2"/>
      <c r="N2126" t="s">
        <v>8589</v>
      </c>
      <c r="O2126" s="8">
        <f t="shared" si="66"/>
        <v>1.3999999998486601</v>
      </c>
      <c r="P2126" t="str">
        <f t="shared" si="67"/>
        <v>Yes</v>
      </c>
    </row>
    <row r="2127" spans="1:16" x14ac:dyDescent="0.25">
      <c r="A2127" s="2" t="s">
        <v>5757</v>
      </c>
      <c r="B2127" s="4">
        <v>46060.073611111111</v>
      </c>
      <c r="C2127" s="2" t="s">
        <v>53</v>
      </c>
      <c r="D2127" s="2" t="s">
        <v>61</v>
      </c>
      <c r="E2127" s="2" t="s">
        <v>85</v>
      </c>
      <c r="F2127" s="2" t="s">
        <v>30</v>
      </c>
      <c r="G2127" s="2" t="s">
        <v>110</v>
      </c>
      <c r="H2127" s="2" t="s">
        <v>32</v>
      </c>
      <c r="I2127" s="2">
        <v>48</v>
      </c>
      <c r="J2127" s="2" t="s">
        <v>106</v>
      </c>
      <c r="K2127" s="4">
        <v>46060.898611111108</v>
      </c>
      <c r="L2127" s="2" t="s">
        <v>24</v>
      </c>
      <c r="M2127" s="2">
        <v>5</v>
      </c>
      <c r="N2127" t="s">
        <v>8583</v>
      </c>
      <c r="O2127" s="8">
        <f t="shared" si="66"/>
        <v>19.799999999930151</v>
      </c>
      <c r="P2127" t="str">
        <f t="shared" si="67"/>
        <v>Yes</v>
      </c>
    </row>
    <row r="2128" spans="1:16" x14ac:dyDescent="0.25">
      <c r="A2128" s="2" t="s">
        <v>5760</v>
      </c>
      <c r="B2128" s="4">
        <v>46033.755555555559</v>
      </c>
      <c r="C2128" s="2" t="s">
        <v>16</v>
      </c>
      <c r="D2128" s="2" t="s">
        <v>17</v>
      </c>
      <c r="E2128" s="2" t="s">
        <v>90</v>
      </c>
      <c r="F2128" s="2" t="s">
        <v>113</v>
      </c>
      <c r="G2128" s="2" t="s">
        <v>179</v>
      </c>
      <c r="H2128" s="2" t="s">
        <v>32</v>
      </c>
      <c r="I2128" s="2">
        <v>48</v>
      </c>
      <c r="J2128" s="2" t="s">
        <v>287</v>
      </c>
      <c r="K2128" s="4" t="s">
        <v>8590</v>
      </c>
      <c r="L2128" s="2" t="s">
        <v>24</v>
      </c>
      <c r="M2128" s="2"/>
      <c r="N2128" t="s">
        <v>8585</v>
      </c>
      <c r="O2128" s="8" t="str">
        <f t="shared" si="66"/>
        <v/>
      </c>
      <c r="P2128" t="str">
        <f t="shared" si="67"/>
        <v>N/A</v>
      </c>
    </row>
    <row r="2129" spans="1:16" x14ac:dyDescent="0.25">
      <c r="A2129" s="2" t="s">
        <v>5762</v>
      </c>
      <c r="B2129" s="4">
        <v>46100.863194444442</v>
      </c>
      <c r="C2129" s="2" t="s">
        <v>16</v>
      </c>
      <c r="D2129" s="2" t="s">
        <v>17</v>
      </c>
      <c r="E2129" s="2" t="s">
        <v>90</v>
      </c>
      <c r="F2129" s="2" t="s">
        <v>55</v>
      </c>
      <c r="G2129" s="2" t="s">
        <v>183</v>
      </c>
      <c r="H2129" s="2" t="s">
        <v>32</v>
      </c>
      <c r="I2129" s="2">
        <v>48</v>
      </c>
      <c r="J2129" s="2" t="s">
        <v>75</v>
      </c>
      <c r="K2129" s="4">
        <v>46104.258333333331</v>
      </c>
      <c r="L2129" s="2" t="s">
        <v>24</v>
      </c>
      <c r="M2129" s="2">
        <v>4</v>
      </c>
      <c r="N2129" t="s">
        <v>8585</v>
      </c>
      <c r="O2129" s="8">
        <f t="shared" si="66"/>
        <v>81.483333333337214</v>
      </c>
      <c r="P2129" t="str">
        <f t="shared" si="67"/>
        <v>N/A</v>
      </c>
    </row>
    <row r="2130" spans="1:16" x14ac:dyDescent="0.25">
      <c r="A2130" s="2" t="s">
        <v>5765</v>
      </c>
      <c r="B2130" s="4">
        <v>46156.662499999999</v>
      </c>
      <c r="C2130" s="2" t="s">
        <v>67</v>
      </c>
      <c r="D2130" s="2" t="s">
        <v>95</v>
      </c>
      <c r="E2130" s="2" t="s">
        <v>148</v>
      </c>
      <c r="F2130" s="2" t="s">
        <v>55</v>
      </c>
      <c r="G2130" s="2" t="s">
        <v>179</v>
      </c>
      <c r="H2130" s="2" t="s">
        <v>21</v>
      </c>
      <c r="I2130" s="2">
        <v>24</v>
      </c>
      <c r="J2130" s="2" t="s">
        <v>106</v>
      </c>
      <c r="K2130" s="4">
        <v>46157.056944444441</v>
      </c>
      <c r="L2130" s="2" t="s">
        <v>24</v>
      </c>
      <c r="M2130" s="2">
        <v>5</v>
      </c>
      <c r="N2130" t="s">
        <v>8583</v>
      </c>
      <c r="O2130" s="8">
        <f t="shared" si="66"/>
        <v>9.46666666661622</v>
      </c>
      <c r="P2130" t="str">
        <f t="shared" si="67"/>
        <v>Yes</v>
      </c>
    </row>
    <row r="2131" spans="1:16" x14ac:dyDescent="0.25">
      <c r="A2131" s="2" t="s">
        <v>5768</v>
      </c>
      <c r="B2131" s="4">
        <v>46080.77847222222</v>
      </c>
      <c r="C2131" s="2" t="s">
        <v>28</v>
      </c>
      <c r="D2131" s="2" t="s">
        <v>100</v>
      </c>
      <c r="E2131" s="2" t="s">
        <v>85</v>
      </c>
      <c r="F2131" s="2" t="s">
        <v>30</v>
      </c>
      <c r="G2131" s="2" t="s">
        <v>31</v>
      </c>
      <c r="H2131" s="2" t="s">
        <v>32</v>
      </c>
      <c r="I2131" s="2">
        <v>48</v>
      </c>
      <c r="J2131" s="2" t="s">
        <v>75</v>
      </c>
      <c r="K2131" s="4">
        <v>46080.877083333333</v>
      </c>
      <c r="L2131" s="2" t="s">
        <v>24</v>
      </c>
      <c r="M2131" s="2"/>
      <c r="N2131" t="s">
        <v>8585</v>
      </c>
      <c r="O2131" s="8">
        <f t="shared" si="66"/>
        <v>2.3666666666977108</v>
      </c>
      <c r="P2131" t="str">
        <f t="shared" si="67"/>
        <v>N/A</v>
      </c>
    </row>
    <row r="2132" spans="1:16" x14ac:dyDescent="0.25">
      <c r="A2132" s="2" t="s">
        <v>5771</v>
      </c>
      <c r="B2132" s="4">
        <v>46150.612500000003</v>
      </c>
      <c r="C2132" s="2" t="s">
        <v>28</v>
      </c>
      <c r="D2132" s="2" t="s">
        <v>100</v>
      </c>
      <c r="E2132" s="2" t="s">
        <v>18</v>
      </c>
      <c r="F2132" s="2" t="s">
        <v>55</v>
      </c>
      <c r="G2132" s="2" t="s">
        <v>211</v>
      </c>
      <c r="H2132" s="2" t="s">
        <v>21</v>
      </c>
      <c r="I2132" s="2">
        <v>24</v>
      </c>
      <c r="J2132" s="2" t="s">
        <v>75</v>
      </c>
      <c r="K2132" s="4">
        <v>46150.8</v>
      </c>
      <c r="L2132" s="2" t="s">
        <v>92</v>
      </c>
      <c r="M2132" s="2">
        <v>5</v>
      </c>
      <c r="N2132" t="s">
        <v>8588</v>
      </c>
      <c r="O2132" s="8">
        <f t="shared" si="66"/>
        <v>4.5</v>
      </c>
      <c r="P2132" t="str">
        <f t="shared" si="67"/>
        <v>N/A</v>
      </c>
    </row>
    <row r="2133" spans="1:16" x14ac:dyDescent="0.25">
      <c r="A2133" s="2" t="s">
        <v>5774</v>
      </c>
      <c r="B2133" s="4">
        <v>46136.693749999999</v>
      </c>
      <c r="C2133" s="2" t="s">
        <v>16</v>
      </c>
      <c r="D2133" s="2" t="s">
        <v>17</v>
      </c>
      <c r="E2133" s="2" t="s">
        <v>38</v>
      </c>
      <c r="F2133" s="2" t="s">
        <v>113</v>
      </c>
      <c r="G2133" s="2" t="s">
        <v>31</v>
      </c>
      <c r="H2133" s="2" t="s">
        <v>21</v>
      </c>
      <c r="I2133" s="2">
        <v>24</v>
      </c>
      <c r="J2133" s="2" t="s">
        <v>149</v>
      </c>
      <c r="K2133" s="4" t="s">
        <v>8590</v>
      </c>
      <c r="L2133" s="2" t="s">
        <v>24</v>
      </c>
      <c r="M2133" s="2"/>
      <c r="N2133" t="s">
        <v>8588</v>
      </c>
      <c r="O2133" s="8" t="str">
        <f t="shared" si="66"/>
        <v/>
      </c>
      <c r="P2133" t="str">
        <f t="shared" si="67"/>
        <v>N/A</v>
      </c>
    </row>
    <row r="2134" spans="1:16" x14ac:dyDescent="0.25">
      <c r="A2134" s="2" t="s">
        <v>5776</v>
      </c>
      <c r="B2134" s="4">
        <v>46043.644444444442</v>
      </c>
      <c r="C2134" s="2" t="s">
        <v>28</v>
      </c>
      <c r="D2134" s="2" t="s">
        <v>100</v>
      </c>
      <c r="E2134" s="2" t="s">
        <v>85</v>
      </c>
      <c r="F2134" s="2" t="s">
        <v>96</v>
      </c>
      <c r="G2134" s="2" t="s">
        <v>110</v>
      </c>
      <c r="H2134" s="2" t="s">
        <v>21</v>
      </c>
      <c r="I2134" s="2">
        <v>24</v>
      </c>
      <c r="J2134" s="2" t="s">
        <v>11</v>
      </c>
      <c r="K2134" s="4" t="s">
        <v>8590</v>
      </c>
      <c r="L2134" s="2" t="s">
        <v>92</v>
      </c>
      <c r="M2134" s="2"/>
      <c r="N2134" t="s">
        <v>8585</v>
      </c>
      <c r="O2134" s="8" t="str">
        <f t="shared" si="66"/>
        <v/>
      </c>
      <c r="P2134" t="str">
        <f t="shared" si="67"/>
        <v>N/A</v>
      </c>
    </row>
    <row r="2135" spans="1:16" x14ac:dyDescent="0.25">
      <c r="A2135" s="2" t="s">
        <v>5778</v>
      </c>
      <c r="B2135" s="4">
        <v>46135.577777777777</v>
      </c>
      <c r="C2135" s="2" t="s">
        <v>53</v>
      </c>
      <c r="D2135" s="2" t="s">
        <v>54</v>
      </c>
      <c r="E2135" s="2" t="s">
        <v>18</v>
      </c>
      <c r="F2135" s="2" t="s">
        <v>55</v>
      </c>
      <c r="G2135" s="2" t="s">
        <v>179</v>
      </c>
      <c r="H2135" s="2" t="s">
        <v>21</v>
      </c>
      <c r="I2135" s="2">
        <v>24</v>
      </c>
      <c r="J2135" s="2" t="s">
        <v>106</v>
      </c>
      <c r="K2135" s="4">
        <v>46135.724305555559</v>
      </c>
      <c r="L2135" s="2" t="s">
        <v>24</v>
      </c>
      <c r="M2135" s="2">
        <v>4</v>
      </c>
      <c r="N2135" t="s">
        <v>8586</v>
      </c>
      <c r="O2135" s="8">
        <f t="shared" si="66"/>
        <v>3.5166666667792015</v>
      </c>
      <c r="P2135" t="str">
        <f t="shared" si="67"/>
        <v>Yes</v>
      </c>
    </row>
    <row r="2136" spans="1:16" x14ac:dyDescent="0.25">
      <c r="A2136" s="2" t="s">
        <v>5781</v>
      </c>
      <c r="B2136" s="4">
        <v>46061.45208333333</v>
      </c>
      <c r="C2136" s="2" t="s">
        <v>53</v>
      </c>
      <c r="D2136" s="2" t="s">
        <v>61</v>
      </c>
      <c r="E2136" s="2" t="s">
        <v>90</v>
      </c>
      <c r="F2136" s="2" t="s">
        <v>96</v>
      </c>
      <c r="G2136" s="2" t="s">
        <v>179</v>
      </c>
      <c r="H2136" s="2" t="s">
        <v>21</v>
      </c>
      <c r="I2136" s="2">
        <v>24</v>
      </c>
      <c r="J2136" s="2" t="s">
        <v>75</v>
      </c>
      <c r="K2136" s="4">
        <v>46061.607638888891</v>
      </c>
      <c r="L2136" s="2" t="s">
        <v>24</v>
      </c>
      <c r="M2136" s="2">
        <v>5</v>
      </c>
      <c r="N2136" t="s">
        <v>8586</v>
      </c>
      <c r="O2136" s="8">
        <f t="shared" si="66"/>
        <v>3.7333333334536292</v>
      </c>
      <c r="P2136" t="str">
        <f t="shared" si="67"/>
        <v>N/A</v>
      </c>
    </row>
    <row r="2137" spans="1:16" x14ac:dyDescent="0.25">
      <c r="A2137" s="2" t="s">
        <v>5784</v>
      </c>
      <c r="B2137" s="4">
        <v>46047.135416666664</v>
      </c>
      <c r="C2137" s="2" t="s">
        <v>53</v>
      </c>
      <c r="D2137" s="2" t="s">
        <v>54</v>
      </c>
      <c r="E2137" s="2" t="s">
        <v>79</v>
      </c>
      <c r="F2137" s="2" t="s">
        <v>55</v>
      </c>
      <c r="G2137" s="2" t="s">
        <v>183</v>
      </c>
      <c r="H2137" s="2" t="s">
        <v>21</v>
      </c>
      <c r="I2137" s="2">
        <v>24</v>
      </c>
      <c r="J2137" s="2" t="s">
        <v>11</v>
      </c>
      <c r="K2137" s="4" t="s">
        <v>8590</v>
      </c>
      <c r="L2137" s="2" t="s">
        <v>92</v>
      </c>
      <c r="M2137" s="2"/>
      <c r="N2137" t="s">
        <v>8589</v>
      </c>
      <c r="O2137" s="8" t="str">
        <f t="shared" si="66"/>
        <v/>
      </c>
      <c r="P2137" t="str">
        <f t="shared" si="67"/>
        <v>N/A</v>
      </c>
    </row>
    <row r="2138" spans="1:16" x14ac:dyDescent="0.25">
      <c r="A2138" s="2" t="s">
        <v>5786</v>
      </c>
      <c r="B2138" s="4">
        <v>46120.756944444445</v>
      </c>
      <c r="C2138" s="2" t="s">
        <v>28</v>
      </c>
      <c r="D2138" s="2" t="s">
        <v>100</v>
      </c>
      <c r="E2138" s="2" t="s">
        <v>85</v>
      </c>
      <c r="F2138" s="2" t="s">
        <v>113</v>
      </c>
      <c r="G2138" s="2" t="s">
        <v>211</v>
      </c>
      <c r="H2138" s="2" t="s">
        <v>21</v>
      </c>
      <c r="I2138" s="2">
        <v>24</v>
      </c>
      <c r="J2138" s="2" t="s">
        <v>287</v>
      </c>
      <c r="K2138" s="4" t="s">
        <v>8590</v>
      </c>
      <c r="L2138" s="2" t="s">
        <v>24</v>
      </c>
      <c r="M2138" s="2"/>
      <c r="N2138" t="s">
        <v>8586</v>
      </c>
      <c r="O2138" s="8" t="str">
        <f t="shared" si="66"/>
        <v/>
      </c>
      <c r="P2138" t="str">
        <f t="shared" si="67"/>
        <v>N/A</v>
      </c>
    </row>
    <row r="2139" spans="1:16" x14ac:dyDescent="0.25">
      <c r="A2139" s="2" t="s">
        <v>5788</v>
      </c>
      <c r="B2139" s="4">
        <v>46164.038194444445</v>
      </c>
      <c r="C2139" s="2" t="s">
        <v>16</v>
      </c>
      <c r="D2139" s="2" t="s">
        <v>17</v>
      </c>
      <c r="E2139" s="2" t="s">
        <v>46</v>
      </c>
      <c r="F2139" s="2" t="s">
        <v>113</v>
      </c>
      <c r="G2139" s="2" t="s">
        <v>110</v>
      </c>
      <c r="H2139" s="2" t="s">
        <v>21</v>
      </c>
      <c r="I2139" s="2">
        <v>24</v>
      </c>
      <c r="J2139" s="2" t="s">
        <v>106</v>
      </c>
      <c r="K2139" s="4">
        <v>46164.182638888888</v>
      </c>
      <c r="L2139" s="2" t="s">
        <v>24</v>
      </c>
      <c r="M2139" s="2"/>
      <c r="N2139" t="s">
        <v>8581</v>
      </c>
      <c r="O2139" s="8">
        <f t="shared" si="66"/>
        <v>3.46666666661622</v>
      </c>
      <c r="P2139" t="str">
        <f t="shared" si="67"/>
        <v>Yes</v>
      </c>
    </row>
    <row r="2140" spans="1:16" x14ac:dyDescent="0.25">
      <c r="A2140" s="2" t="s">
        <v>5791</v>
      </c>
      <c r="B2140" s="4">
        <v>46179.484027777777</v>
      </c>
      <c r="C2140" s="2" t="s">
        <v>28</v>
      </c>
      <c r="D2140" s="2" t="s">
        <v>37</v>
      </c>
      <c r="E2140" s="2" t="s">
        <v>148</v>
      </c>
      <c r="F2140" s="2" t="s">
        <v>113</v>
      </c>
      <c r="G2140" s="2" t="s">
        <v>183</v>
      </c>
      <c r="H2140" s="2" t="s">
        <v>32</v>
      </c>
      <c r="I2140" s="2">
        <v>48</v>
      </c>
      <c r="J2140" s="2" t="s">
        <v>11</v>
      </c>
      <c r="K2140" s="4" t="s">
        <v>8590</v>
      </c>
      <c r="L2140" s="2" t="s">
        <v>92</v>
      </c>
      <c r="M2140" s="2"/>
      <c r="N2140" t="s">
        <v>8589</v>
      </c>
      <c r="O2140" s="8" t="str">
        <f t="shared" si="66"/>
        <v/>
      </c>
      <c r="P2140" t="str">
        <f t="shared" si="67"/>
        <v>N/A</v>
      </c>
    </row>
    <row r="2141" spans="1:16" x14ac:dyDescent="0.25">
      <c r="A2141" s="2" t="s">
        <v>5793</v>
      </c>
      <c r="B2141" s="4">
        <v>46064.180555555555</v>
      </c>
      <c r="C2141" s="2" t="s">
        <v>67</v>
      </c>
      <c r="D2141" s="2" t="s">
        <v>95</v>
      </c>
      <c r="E2141" s="2" t="s">
        <v>46</v>
      </c>
      <c r="F2141" s="2" t="s">
        <v>113</v>
      </c>
      <c r="G2141" s="2" t="s">
        <v>179</v>
      </c>
      <c r="H2141" s="2" t="s">
        <v>21</v>
      </c>
      <c r="I2141" s="2">
        <v>24</v>
      </c>
      <c r="J2141" s="2" t="s">
        <v>8580</v>
      </c>
      <c r="K2141" s="4">
        <v>46064.990972222222</v>
      </c>
      <c r="L2141" s="2" t="s">
        <v>24</v>
      </c>
      <c r="M2141" s="2"/>
      <c r="N2141" t="s">
        <v>8582</v>
      </c>
      <c r="O2141" s="8">
        <f t="shared" si="66"/>
        <v>19.450000000011642</v>
      </c>
      <c r="P2141" t="str">
        <f t="shared" si="67"/>
        <v>N/A</v>
      </c>
    </row>
    <row r="2142" spans="1:16" x14ac:dyDescent="0.25">
      <c r="A2142" s="2" t="s">
        <v>5796</v>
      </c>
      <c r="B2142" s="4">
        <v>46204.775000000001</v>
      </c>
      <c r="C2142" s="2" t="s">
        <v>28</v>
      </c>
      <c r="D2142" s="2" t="s">
        <v>37</v>
      </c>
      <c r="E2142" s="2" t="s">
        <v>46</v>
      </c>
      <c r="F2142" s="2" t="s">
        <v>113</v>
      </c>
      <c r="G2142" s="2" t="s">
        <v>211</v>
      </c>
      <c r="H2142" s="2" t="s">
        <v>74</v>
      </c>
      <c r="I2142" s="2">
        <v>8</v>
      </c>
      <c r="J2142" s="2" t="s">
        <v>287</v>
      </c>
      <c r="K2142" s="4" t="s">
        <v>8590</v>
      </c>
      <c r="L2142" s="2" t="s">
        <v>24</v>
      </c>
      <c r="M2142" s="2"/>
      <c r="N2142" t="s">
        <v>8587</v>
      </c>
      <c r="O2142" s="8" t="str">
        <f t="shared" si="66"/>
        <v/>
      </c>
      <c r="P2142" t="str">
        <f t="shared" si="67"/>
        <v>N/A</v>
      </c>
    </row>
    <row r="2143" spans="1:16" x14ac:dyDescent="0.25">
      <c r="A2143" s="2" t="s">
        <v>5798</v>
      </c>
      <c r="B2143" s="4">
        <v>46106.57916666667</v>
      </c>
      <c r="C2143" s="2" t="s">
        <v>67</v>
      </c>
      <c r="D2143" s="2" t="s">
        <v>95</v>
      </c>
      <c r="E2143" s="2" t="s">
        <v>148</v>
      </c>
      <c r="F2143" s="2" t="s">
        <v>113</v>
      </c>
      <c r="G2143" s="2" t="s">
        <v>211</v>
      </c>
      <c r="H2143" s="2" t="s">
        <v>32</v>
      </c>
      <c r="I2143" s="2">
        <v>48</v>
      </c>
      <c r="J2143" s="2" t="s">
        <v>149</v>
      </c>
      <c r="K2143" s="4" t="s">
        <v>8590</v>
      </c>
      <c r="L2143" s="2" t="s">
        <v>24</v>
      </c>
      <c r="M2143" s="2"/>
      <c r="N2143" t="s">
        <v>8589</v>
      </c>
      <c r="O2143" s="8" t="str">
        <f t="shared" si="66"/>
        <v/>
      </c>
      <c r="P2143" t="str">
        <f t="shared" si="67"/>
        <v>N/A</v>
      </c>
    </row>
    <row r="2144" spans="1:16" x14ac:dyDescent="0.25">
      <c r="A2144" s="2" t="s">
        <v>5800</v>
      </c>
      <c r="B2144" s="4">
        <v>46215.168749999997</v>
      </c>
      <c r="C2144" s="2" t="s">
        <v>53</v>
      </c>
      <c r="D2144" s="2" t="s">
        <v>61</v>
      </c>
      <c r="E2144" s="2" t="s">
        <v>79</v>
      </c>
      <c r="F2144" s="2" t="s">
        <v>30</v>
      </c>
      <c r="G2144" s="2" t="s">
        <v>110</v>
      </c>
      <c r="H2144" s="2" t="s">
        <v>32</v>
      </c>
      <c r="I2144" s="2">
        <v>48</v>
      </c>
      <c r="J2144" s="2" t="s">
        <v>106</v>
      </c>
      <c r="K2144" s="4">
        <v>46215.474305555559</v>
      </c>
      <c r="L2144" s="2" t="s">
        <v>24</v>
      </c>
      <c r="M2144" s="2"/>
      <c r="N2144" t="s">
        <v>8586</v>
      </c>
      <c r="O2144" s="8">
        <f t="shared" si="66"/>
        <v>7.3333333334885538</v>
      </c>
      <c r="P2144" t="str">
        <f t="shared" si="67"/>
        <v>Yes</v>
      </c>
    </row>
    <row r="2145" spans="1:16" x14ac:dyDescent="0.25">
      <c r="A2145" s="2" t="s">
        <v>5803</v>
      </c>
      <c r="B2145" s="4">
        <v>46225.230555555558</v>
      </c>
      <c r="C2145" s="2" t="s">
        <v>67</v>
      </c>
      <c r="D2145" s="2" t="s">
        <v>95</v>
      </c>
      <c r="E2145" s="2" t="s">
        <v>38</v>
      </c>
      <c r="F2145" s="2" t="s">
        <v>113</v>
      </c>
      <c r="G2145" s="2" t="s">
        <v>31</v>
      </c>
      <c r="H2145" s="2" t="s">
        <v>80</v>
      </c>
      <c r="I2145" s="2">
        <v>4</v>
      </c>
      <c r="J2145" s="2" t="s">
        <v>8580</v>
      </c>
      <c r="K2145" s="4">
        <v>46225.308333333334</v>
      </c>
      <c r="L2145" s="2" t="s">
        <v>24</v>
      </c>
      <c r="M2145" s="2"/>
      <c r="N2145" t="s">
        <v>8589</v>
      </c>
      <c r="O2145" s="8">
        <f t="shared" si="66"/>
        <v>1.8666666666395031</v>
      </c>
      <c r="P2145" t="str">
        <f t="shared" si="67"/>
        <v>N/A</v>
      </c>
    </row>
    <row r="2146" spans="1:16" x14ac:dyDescent="0.25">
      <c r="A2146" s="2" t="s">
        <v>5806</v>
      </c>
      <c r="B2146" s="4">
        <v>46228.072916666664</v>
      </c>
      <c r="C2146" s="2" t="s">
        <v>67</v>
      </c>
      <c r="D2146" s="2" t="s">
        <v>68</v>
      </c>
      <c r="E2146" s="2" t="s">
        <v>46</v>
      </c>
      <c r="F2146" s="2" t="s">
        <v>96</v>
      </c>
      <c r="G2146" s="2" t="s">
        <v>183</v>
      </c>
      <c r="H2146" s="2" t="s">
        <v>74</v>
      </c>
      <c r="I2146" s="2">
        <v>8</v>
      </c>
      <c r="J2146" s="2" t="s">
        <v>149</v>
      </c>
      <c r="K2146" s="4" t="s">
        <v>8590</v>
      </c>
      <c r="L2146" s="2" t="s">
        <v>24</v>
      </c>
      <c r="M2146" s="2"/>
      <c r="N2146" t="s">
        <v>8586</v>
      </c>
      <c r="O2146" s="8" t="str">
        <f t="shared" si="66"/>
        <v/>
      </c>
      <c r="P2146" t="str">
        <f t="shared" si="67"/>
        <v>N/A</v>
      </c>
    </row>
    <row r="2147" spans="1:16" x14ac:dyDescent="0.25">
      <c r="A2147" s="2" t="s">
        <v>5808</v>
      </c>
      <c r="B2147" s="4">
        <v>46137.958333333336</v>
      </c>
      <c r="C2147" s="2" t="s">
        <v>53</v>
      </c>
      <c r="D2147" s="2" t="s">
        <v>61</v>
      </c>
      <c r="E2147" s="2" t="s">
        <v>38</v>
      </c>
      <c r="F2147" s="2" t="s">
        <v>96</v>
      </c>
      <c r="G2147" s="2" t="s">
        <v>183</v>
      </c>
      <c r="H2147" s="2" t="s">
        <v>74</v>
      </c>
      <c r="I2147" s="2">
        <v>8</v>
      </c>
      <c r="J2147" s="2" t="s">
        <v>106</v>
      </c>
      <c r="K2147" s="4">
        <v>46138.128472222219</v>
      </c>
      <c r="L2147" s="2" t="s">
        <v>24</v>
      </c>
      <c r="M2147" s="2"/>
      <c r="N2147" t="s">
        <v>8586</v>
      </c>
      <c r="O2147" s="8">
        <f t="shared" si="66"/>
        <v>4.0833333331975155</v>
      </c>
      <c r="P2147" t="str">
        <f t="shared" si="67"/>
        <v>Yes</v>
      </c>
    </row>
    <row r="2148" spans="1:16" x14ac:dyDescent="0.25">
      <c r="A2148" s="2" t="s">
        <v>5811</v>
      </c>
      <c r="B2148" s="4">
        <v>46200.466666666667</v>
      </c>
      <c r="C2148" s="2" t="s">
        <v>16</v>
      </c>
      <c r="D2148" s="2" t="s">
        <v>17</v>
      </c>
      <c r="E2148" s="2" t="s">
        <v>46</v>
      </c>
      <c r="F2148" s="2" t="s">
        <v>30</v>
      </c>
      <c r="G2148" s="2" t="s">
        <v>31</v>
      </c>
      <c r="H2148" s="2" t="s">
        <v>21</v>
      </c>
      <c r="I2148" s="2">
        <v>24</v>
      </c>
      <c r="J2148" s="2" t="s">
        <v>75</v>
      </c>
      <c r="K2148" s="4">
        <v>46201.210416666669</v>
      </c>
      <c r="L2148" s="2" t="s">
        <v>24</v>
      </c>
      <c r="M2148" s="2">
        <v>4</v>
      </c>
      <c r="N2148" t="s">
        <v>8581</v>
      </c>
      <c r="O2148" s="8">
        <f t="shared" si="66"/>
        <v>17.850000000034925</v>
      </c>
      <c r="P2148" t="str">
        <f t="shared" si="67"/>
        <v>N/A</v>
      </c>
    </row>
    <row r="2149" spans="1:16" x14ac:dyDescent="0.25">
      <c r="A2149" s="2" t="s">
        <v>5814</v>
      </c>
      <c r="B2149" s="4">
        <v>46039.820138888892</v>
      </c>
      <c r="C2149" s="2" t="s">
        <v>53</v>
      </c>
      <c r="D2149" s="2" t="s">
        <v>61</v>
      </c>
      <c r="E2149" s="2" t="s">
        <v>18</v>
      </c>
      <c r="F2149" s="2" t="s">
        <v>30</v>
      </c>
      <c r="G2149" s="2" t="s">
        <v>101</v>
      </c>
      <c r="H2149" s="2" t="s">
        <v>32</v>
      </c>
      <c r="I2149" s="2">
        <v>48</v>
      </c>
      <c r="J2149" s="2" t="s">
        <v>287</v>
      </c>
      <c r="K2149" s="4" t="s">
        <v>8590</v>
      </c>
      <c r="L2149" s="2" t="s">
        <v>24</v>
      </c>
      <c r="M2149" s="2"/>
      <c r="N2149" t="s">
        <v>8585</v>
      </c>
      <c r="O2149" s="8" t="str">
        <f t="shared" si="66"/>
        <v/>
      </c>
      <c r="P2149" t="str">
        <f t="shared" si="67"/>
        <v>N/A</v>
      </c>
    </row>
    <row r="2150" spans="1:16" x14ac:dyDescent="0.25">
      <c r="A2150" s="2" t="s">
        <v>5816</v>
      </c>
      <c r="B2150" s="4">
        <v>46084.040972222225</v>
      </c>
      <c r="C2150" s="2" t="s">
        <v>53</v>
      </c>
      <c r="D2150" s="2" t="s">
        <v>54</v>
      </c>
      <c r="E2150" s="2" t="s">
        <v>46</v>
      </c>
      <c r="F2150" s="2" t="s">
        <v>30</v>
      </c>
      <c r="G2150" s="2" t="s">
        <v>110</v>
      </c>
      <c r="H2150" s="2" t="s">
        <v>32</v>
      </c>
      <c r="I2150" s="2">
        <v>48</v>
      </c>
      <c r="J2150" s="2" t="s">
        <v>75</v>
      </c>
      <c r="K2150" s="4">
        <v>46089.175000000003</v>
      </c>
      <c r="L2150" s="2" t="s">
        <v>24</v>
      </c>
      <c r="M2150" s="2">
        <v>4</v>
      </c>
      <c r="N2150" t="s">
        <v>8587</v>
      </c>
      <c r="O2150" s="8">
        <f t="shared" si="66"/>
        <v>123.21666666667443</v>
      </c>
      <c r="P2150" t="str">
        <f t="shared" si="67"/>
        <v>N/A</v>
      </c>
    </row>
    <row r="2151" spans="1:16" x14ac:dyDescent="0.25">
      <c r="A2151" s="2" t="s">
        <v>5819</v>
      </c>
      <c r="B2151" s="4">
        <v>46241.117361111108</v>
      </c>
      <c r="C2151" s="2" t="s">
        <v>28</v>
      </c>
      <c r="D2151" s="2" t="s">
        <v>37</v>
      </c>
      <c r="E2151" s="2" t="s">
        <v>85</v>
      </c>
      <c r="F2151" s="2" t="s">
        <v>55</v>
      </c>
      <c r="G2151" s="2" t="s">
        <v>31</v>
      </c>
      <c r="H2151" s="2" t="s">
        <v>80</v>
      </c>
      <c r="I2151" s="2">
        <v>4</v>
      </c>
      <c r="J2151" s="2" t="s">
        <v>287</v>
      </c>
      <c r="K2151" s="4" t="s">
        <v>8590</v>
      </c>
      <c r="L2151" s="2" t="s">
        <v>24</v>
      </c>
      <c r="M2151" s="2"/>
      <c r="N2151" t="s">
        <v>8589</v>
      </c>
      <c r="O2151" s="8" t="str">
        <f t="shared" si="66"/>
        <v/>
      </c>
      <c r="P2151" t="str">
        <f t="shared" si="67"/>
        <v>N/A</v>
      </c>
    </row>
    <row r="2152" spans="1:16" x14ac:dyDescent="0.25">
      <c r="A2152" s="2" t="s">
        <v>5821</v>
      </c>
      <c r="B2152" s="4">
        <v>46119.172222222223</v>
      </c>
      <c r="C2152" s="2" t="s">
        <v>53</v>
      </c>
      <c r="D2152" s="2" t="s">
        <v>61</v>
      </c>
      <c r="E2152" s="2" t="s">
        <v>79</v>
      </c>
      <c r="F2152" s="2" t="s">
        <v>113</v>
      </c>
      <c r="G2152" s="2" t="s">
        <v>183</v>
      </c>
      <c r="H2152" s="2" t="s">
        <v>74</v>
      </c>
      <c r="I2152" s="2">
        <v>8</v>
      </c>
      <c r="J2152" s="2" t="s">
        <v>106</v>
      </c>
      <c r="K2152" s="4">
        <v>46119.611111111109</v>
      </c>
      <c r="L2152" s="2" t="s">
        <v>24</v>
      </c>
      <c r="M2152" s="2"/>
      <c r="N2152" t="s">
        <v>8589</v>
      </c>
      <c r="O2152" s="8">
        <f t="shared" si="66"/>
        <v>10.533333333267365</v>
      </c>
      <c r="P2152" t="str">
        <f t="shared" si="67"/>
        <v>No</v>
      </c>
    </row>
    <row r="2153" spans="1:16" x14ac:dyDescent="0.25">
      <c r="A2153" s="2" t="s">
        <v>5824</v>
      </c>
      <c r="B2153" s="4">
        <v>46023.65347222222</v>
      </c>
      <c r="C2153" s="2" t="s">
        <v>67</v>
      </c>
      <c r="D2153" s="2" t="s">
        <v>95</v>
      </c>
      <c r="E2153" s="2" t="s">
        <v>18</v>
      </c>
      <c r="F2153" s="2" t="s">
        <v>96</v>
      </c>
      <c r="G2153" s="2" t="s">
        <v>211</v>
      </c>
      <c r="H2153" s="2" t="s">
        <v>32</v>
      </c>
      <c r="I2153" s="2">
        <v>48</v>
      </c>
      <c r="J2153" s="2" t="s">
        <v>106</v>
      </c>
      <c r="K2153" s="4">
        <v>46025.449305555558</v>
      </c>
      <c r="L2153" s="2" t="s">
        <v>24</v>
      </c>
      <c r="M2153" s="2">
        <v>5</v>
      </c>
      <c r="N2153" t="s">
        <v>8587</v>
      </c>
      <c r="O2153" s="8">
        <f t="shared" si="66"/>
        <v>43.100000000093132</v>
      </c>
      <c r="P2153" t="str">
        <f t="shared" si="67"/>
        <v>Yes</v>
      </c>
    </row>
    <row r="2154" spans="1:16" x14ac:dyDescent="0.25">
      <c r="A2154" s="2" t="s">
        <v>5827</v>
      </c>
      <c r="B2154" s="4">
        <v>46219.215277777781</v>
      </c>
      <c r="C2154" s="2" t="s">
        <v>67</v>
      </c>
      <c r="D2154" s="2" t="s">
        <v>95</v>
      </c>
      <c r="E2154" s="2" t="s">
        <v>148</v>
      </c>
      <c r="F2154" s="2" t="s">
        <v>96</v>
      </c>
      <c r="G2154" s="2" t="s">
        <v>183</v>
      </c>
      <c r="H2154" s="2" t="s">
        <v>74</v>
      </c>
      <c r="I2154" s="2">
        <v>8</v>
      </c>
      <c r="J2154" s="2" t="s">
        <v>149</v>
      </c>
      <c r="K2154" s="4" t="s">
        <v>8590</v>
      </c>
      <c r="L2154" s="2" t="s">
        <v>24</v>
      </c>
      <c r="M2154" s="2"/>
      <c r="N2154" t="s">
        <v>8589</v>
      </c>
      <c r="O2154" s="8" t="str">
        <f t="shared" si="66"/>
        <v/>
      </c>
      <c r="P2154" t="str">
        <f t="shared" si="67"/>
        <v>N/A</v>
      </c>
    </row>
    <row r="2155" spans="1:16" x14ac:dyDescent="0.25">
      <c r="A2155" s="2" t="s">
        <v>5829</v>
      </c>
      <c r="B2155" s="4">
        <v>46187.361111111109</v>
      </c>
      <c r="C2155" s="2" t="s">
        <v>28</v>
      </c>
      <c r="D2155" s="2" t="s">
        <v>100</v>
      </c>
      <c r="E2155" s="2" t="s">
        <v>79</v>
      </c>
      <c r="F2155" s="2" t="s">
        <v>96</v>
      </c>
      <c r="G2155" s="2" t="s">
        <v>211</v>
      </c>
      <c r="H2155" s="2" t="s">
        <v>74</v>
      </c>
      <c r="I2155" s="2">
        <v>8</v>
      </c>
      <c r="J2155" s="2" t="s">
        <v>106</v>
      </c>
      <c r="K2155" s="4">
        <v>46188.243750000001</v>
      </c>
      <c r="L2155" s="2" t="s">
        <v>24</v>
      </c>
      <c r="M2155" s="2">
        <v>1</v>
      </c>
      <c r="N2155" t="s">
        <v>8585</v>
      </c>
      <c r="O2155" s="8">
        <f t="shared" si="66"/>
        <v>21.183333333407063</v>
      </c>
      <c r="P2155" t="str">
        <f t="shared" si="67"/>
        <v>No</v>
      </c>
    </row>
    <row r="2156" spans="1:16" x14ac:dyDescent="0.25">
      <c r="A2156" s="2" t="s">
        <v>5832</v>
      </c>
      <c r="B2156" s="4">
        <v>46148.402777777781</v>
      </c>
      <c r="C2156" s="2" t="s">
        <v>67</v>
      </c>
      <c r="D2156" s="2" t="s">
        <v>68</v>
      </c>
      <c r="E2156" s="2" t="s">
        <v>85</v>
      </c>
      <c r="F2156" s="2" t="s">
        <v>113</v>
      </c>
      <c r="G2156" s="2" t="s">
        <v>179</v>
      </c>
      <c r="H2156" s="2" t="s">
        <v>21</v>
      </c>
      <c r="I2156" s="2">
        <v>24</v>
      </c>
      <c r="J2156" s="2" t="s">
        <v>75</v>
      </c>
      <c r="K2156" s="4">
        <v>46149.257638888892</v>
      </c>
      <c r="L2156" s="2" t="s">
        <v>24</v>
      </c>
      <c r="M2156" s="2">
        <v>5</v>
      </c>
      <c r="N2156" t="s">
        <v>8581</v>
      </c>
      <c r="O2156" s="8">
        <f t="shared" si="66"/>
        <v>20.516666666662786</v>
      </c>
      <c r="P2156" t="str">
        <f t="shared" si="67"/>
        <v>N/A</v>
      </c>
    </row>
    <row r="2157" spans="1:16" x14ac:dyDescent="0.25">
      <c r="A2157" s="2" t="s">
        <v>5835</v>
      </c>
      <c r="B2157" s="4">
        <v>46147.229861111111</v>
      </c>
      <c r="C2157" s="2" t="s">
        <v>16</v>
      </c>
      <c r="D2157" s="2" t="s">
        <v>17</v>
      </c>
      <c r="E2157" s="2" t="s">
        <v>90</v>
      </c>
      <c r="F2157" s="2" t="s">
        <v>96</v>
      </c>
      <c r="G2157" s="2" t="s">
        <v>179</v>
      </c>
      <c r="H2157" s="2" t="s">
        <v>74</v>
      </c>
      <c r="I2157" s="2">
        <v>8</v>
      </c>
      <c r="J2157" s="2" t="s">
        <v>106</v>
      </c>
      <c r="K2157" s="4">
        <v>46147.353472222225</v>
      </c>
      <c r="L2157" s="2" t="s">
        <v>24</v>
      </c>
      <c r="M2157" s="2">
        <v>1</v>
      </c>
      <c r="N2157" t="s">
        <v>8585</v>
      </c>
      <c r="O2157" s="8">
        <f t="shared" si="66"/>
        <v>2.9666666667326353</v>
      </c>
      <c r="P2157" t="str">
        <f t="shared" si="67"/>
        <v>Yes</v>
      </c>
    </row>
    <row r="2158" spans="1:16" x14ac:dyDescent="0.25">
      <c r="A2158" s="2" t="s">
        <v>5838</v>
      </c>
      <c r="B2158" s="4">
        <v>46176.631249999999</v>
      </c>
      <c r="C2158" s="2" t="s">
        <v>16</v>
      </c>
      <c r="D2158" s="2" t="s">
        <v>84</v>
      </c>
      <c r="E2158" s="2" t="s">
        <v>18</v>
      </c>
      <c r="F2158" s="2" t="s">
        <v>30</v>
      </c>
      <c r="G2158" s="2" t="s">
        <v>31</v>
      </c>
      <c r="H2158" s="2" t="s">
        <v>32</v>
      </c>
      <c r="I2158" s="2">
        <v>48</v>
      </c>
      <c r="J2158" s="2" t="s">
        <v>75</v>
      </c>
      <c r="K2158" s="4">
        <v>46176.690972222219</v>
      </c>
      <c r="L2158" s="2" t="s">
        <v>24</v>
      </c>
      <c r="M2158" s="2">
        <v>1</v>
      </c>
      <c r="N2158" t="s">
        <v>8581</v>
      </c>
      <c r="O2158" s="8">
        <f t="shared" si="66"/>
        <v>1.4333333332906477</v>
      </c>
      <c r="P2158" t="str">
        <f t="shared" si="67"/>
        <v>N/A</v>
      </c>
    </row>
    <row r="2159" spans="1:16" x14ac:dyDescent="0.25">
      <c r="A2159" s="2" t="s">
        <v>5841</v>
      </c>
      <c r="B2159" s="4">
        <v>46049.164583333331</v>
      </c>
      <c r="C2159" s="2" t="s">
        <v>16</v>
      </c>
      <c r="D2159" s="2" t="s">
        <v>84</v>
      </c>
      <c r="E2159" s="2" t="s">
        <v>18</v>
      </c>
      <c r="F2159" s="2" t="s">
        <v>55</v>
      </c>
      <c r="G2159" s="2" t="s">
        <v>179</v>
      </c>
      <c r="H2159" s="2" t="s">
        <v>80</v>
      </c>
      <c r="I2159" s="2">
        <v>4</v>
      </c>
      <c r="J2159" s="2" t="s">
        <v>8580</v>
      </c>
      <c r="K2159" s="4">
        <v>46049.251388888886</v>
      </c>
      <c r="L2159" s="2" t="s">
        <v>24</v>
      </c>
      <c r="M2159" s="2"/>
      <c r="N2159" t="s">
        <v>8589</v>
      </c>
      <c r="O2159" s="8">
        <f t="shared" si="66"/>
        <v>2.0833333333139308</v>
      </c>
      <c r="P2159" t="str">
        <f t="shared" si="67"/>
        <v>N/A</v>
      </c>
    </row>
    <row r="2160" spans="1:16" x14ac:dyDescent="0.25">
      <c r="A2160" s="2" t="s">
        <v>5844</v>
      </c>
      <c r="B2160" s="4">
        <v>46252.491666666669</v>
      </c>
      <c r="C2160" s="2" t="s">
        <v>28</v>
      </c>
      <c r="D2160" s="2" t="s">
        <v>37</v>
      </c>
      <c r="E2160" s="2" t="s">
        <v>18</v>
      </c>
      <c r="F2160" s="2" t="s">
        <v>55</v>
      </c>
      <c r="G2160" s="2" t="s">
        <v>110</v>
      </c>
      <c r="H2160" s="2" t="s">
        <v>74</v>
      </c>
      <c r="I2160" s="2">
        <v>8</v>
      </c>
      <c r="J2160" s="2" t="s">
        <v>75</v>
      </c>
      <c r="K2160" s="4">
        <v>46253.018750000003</v>
      </c>
      <c r="L2160" s="2" t="s">
        <v>92</v>
      </c>
      <c r="M2160" s="2"/>
      <c r="N2160" t="s">
        <v>8589</v>
      </c>
      <c r="O2160" s="8">
        <f t="shared" si="66"/>
        <v>12.650000000023283</v>
      </c>
      <c r="P2160" t="str">
        <f t="shared" si="67"/>
        <v>N/A</v>
      </c>
    </row>
    <row r="2161" spans="1:16" x14ac:dyDescent="0.25">
      <c r="A2161" s="2" t="s">
        <v>5847</v>
      </c>
      <c r="B2161" s="4">
        <v>46024.859027777777</v>
      </c>
      <c r="C2161" s="2" t="s">
        <v>67</v>
      </c>
      <c r="D2161" s="2" t="s">
        <v>95</v>
      </c>
      <c r="E2161" s="2" t="s">
        <v>18</v>
      </c>
      <c r="F2161" s="2" t="s">
        <v>30</v>
      </c>
      <c r="G2161" s="2" t="s">
        <v>179</v>
      </c>
      <c r="H2161" s="2" t="s">
        <v>32</v>
      </c>
      <c r="I2161" s="2">
        <v>48</v>
      </c>
      <c r="J2161" s="2" t="s">
        <v>149</v>
      </c>
      <c r="K2161" s="4" t="s">
        <v>8590</v>
      </c>
      <c r="L2161" s="2" t="s">
        <v>24</v>
      </c>
      <c r="M2161" s="2"/>
      <c r="N2161" t="s">
        <v>8585</v>
      </c>
      <c r="O2161" s="8" t="str">
        <f t="shared" si="66"/>
        <v/>
      </c>
      <c r="P2161" t="str">
        <f t="shared" si="67"/>
        <v>N/A</v>
      </c>
    </row>
    <row r="2162" spans="1:16" x14ac:dyDescent="0.25">
      <c r="A2162" s="2" t="s">
        <v>5849</v>
      </c>
      <c r="B2162" s="4">
        <v>46172.852777777778</v>
      </c>
      <c r="C2162" s="2" t="s">
        <v>16</v>
      </c>
      <c r="D2162" s="2" t="s">
        <v>17</v>
      </c>
      <c r="E2162" s="2" t="s">
        <v>148</v>
      </c>
      <c r="F2162" s="2" t="s">
        <v>30</v>
      </c>
      <c r="G2162" s="2" t="s">
        <v>211</v>
      </c>
      <c r="H2162" s="2" t="s">
        <v>74</v>
      </c>
      <c r="I2162" s="2">
        <v>8</v>
      </c>
      <c r="J2162" s="2" t="s">
        <v>75</v>
      </c>
      <c r="K2162" s="4">
        <v>46173.026388888888</v>
      </c>
      <c r="L2162" s="2" t="s">
        <v>24</v>
      </c>
      <c r="M2162" s="2">
        <v>4</v>
      </c>
      <c r="N2162" t="s">
        <v>8585</v>
      </c>
      <c r="O2162" s="8">
        <f t="shared" si="66"/>
        <v>4.1666666666278616</v>
      </c>
      <c r="P2162" t="str">
        <f t="shared" si="67"/>
        <v>N/A</v>
      </c>
    </row>
    <row r="2163" spans="1:16" x14ac:dyDescent="0.25">
      <c r="A2163" s="2" t="s">
        <v>5852</v>
      </c>
      <c r="B2163" s="4">
        <v>46251.022222222222</v>
      </c>
      <c r="C2163" s="2" t="s">
        <v>16</v>
      </c>
      <c r="D2163" s="2" t="s">
        <v>84</v>
      </c>
      <c r="E2163" s="2" t="s">
        <v>90</v>
      </c>
      <c r="F2163" s="2" t="s">
        <v>96</v>
      </c>
      <c r="G2163" s="2" t="s">
        <v>211</v>
      </c>
      <c r="H2163" s="2" t="s">
        <v>32</v>
      </c>
      <c r="I2163" s="2">
        <v>48</v>
      </c>
      <c r="J2163" s="2" t="s">
        <v>106</v>
      </c>
      <c r="K2163" s="4">
        <v>46252.067361111112</v>
      </c>
      <c r="L2163" s="2" t="s">
        <v>24</v>
      </c>
      <c r="M2163" s="2">
        <v>2</v>
      </c>
      <c r="N2163" t="s">
        <v>8582</v>
      </c>
      <c r="O2163" s="8">
        <f t="shared" si="66"/>
        <v>25.083333333372138</v>
      </c>
      <c r="P2163" t="str">
        <f t="shared" si="67"/>
        <v>Yes</v>
      </c>
    </row>
    <row r="2164" spans="1:16" x14ac:dyDescent="0.25">
      <c r="A2164" s="2" t="s">
        <v>5855</v>
      </c>
      <c r="B2164" s="4">
        <v>46262.574999999997</v>
      </c>
      <c r="C2164" s="2" t="s">
        <v>28</v>
      </c>
      <c r="D2164" s="2" t="s">
        <v>37</v>
      </c>
      <c r="E2164" s="2" t="s">
        <v>148</v>
      </c>
      <c r="F2164" s="2" t="s">
        <v>30</v>
      </c>
      <c r="G2164" s="2" t="s">
        <v>31</v>
      </c>
      <c r="H2164" s="2" t="s">
        <v>21</v>
      </c>
      <c r="I2164" s="2">
        <v>24</v>
      </c>
      <c r="J2164" s="2" t="s">
        <v>106</v>
      </c>
      <c r="K2164" s="4">
        <v>46263.128472222219</v>
      </c>
      <c r="L2164" s="2" t="s">
        <v>24</v>
      </c>
      <c r="M2164" s="2"/>
      <c r="N2164" t="s">
        <v>8583</v>
      </c>
      <c r="O2164" s="8">
        <f t="shared" si="66"/>
        <v>13.283333333325572</v>
      </c>
      <c r="P2164" t="str">
        <f t="shared" si="67"/>
        <v>Yes</v>
      </c>
    </row>
    <row r="2165" spans="1:16" x14ac:dyDescent="0.25">
      <c r="A2165" s="2" t="s">
        <v>5858</v>
      </c>
      <c r="B2165" s="4">
        <v>46162.984722222223</v>
      </c>
      <c r="C2165" s="2" t="s">
        <v>28</v>
      </c>
      <c r="D2165" s="2" t="s">
        <v>100</v>
      </c>
      <c r="E2165" s="2" t="s">
        <v>46</v>
      </c>
      <c r="F2165" s="2" t="s">
        <v>30</v>
      </c>
      <c r="G2165" s="2" t="s">
        <v>110</v>
      </c>
      <c r="H2165" s="2" t="s">
        <v>80</v>
      </c>
      <c r="I2165" s="2">
        <v>4</v>
      </c>
      <c r="J2165" s="2" t="s">
        <v>149</v>
      </c>
      <c r="K2165" s="4" t="s">
        <v>8590</v>
      </c>
      <c r="L2165" s="2" t="s">
        <v>24</v>
      </c>
      <c r="M2165" s="2"/>
      <c r="N2165" t="s">
        <v>8589</v>
      </c>
      <c r="O2165" s="8" t="str">
        <f t="shared" si="66"/>
        <v/>
      </c>
      <c r="P2165" t="str">
        <f t="shared" si="67"/>
        <v>N/A</v>
      </c>
    </row>
    <row r="2166" spans="1:16" x14ac:dyDescent="0.25">
      <c r="A2166" s="2" t="s">
        <v>5860</v>
      </c>
      <c r="B2166" s="4">
        <v>46179.349305555559</v>
      </c>
      <c r="C2166" s="2" t="s">
        <v>16</v>
      </c>
      <c r="D2166" s="2" t="s">
        <v>84</v>
      </c>
      <c r="E2166" s="2" t="s">
        <v>85</v>
      </c>
      <c r="F2166" s="2" t="s">
        <v>113</v>
      </c>
      <c r="G2166" s="2" t="s">
        <v>110</v>
      </c>
      <c r="H2166" s="2" t="s">
        <v>21</v>
      </c>
      <c r="I2166" s="2">
        <v>24</v>
      </c>
      <c r="J2166" s="2" t="s">
        <v>106</v>
      </c>
      <c r="K2166" s="4">
        <v>46179.697222222225</v>
      </c>
      <c r="L2166" s="2" t="s">
        <v>24</v>
      </c>
      <c r="M2166" s="2">
        <v>2</v>
      </c>
      <c r="N2166" t="s">
        <v>8587</v>
      </c>
      <c r="O2166" s="8">
        <f t="shared" si="66"/>
        <v>8.3499999999767169</v>
      </c>
      <c r="P2166" t="str">
        <f t="shared" si="67"/>
        <v>Yes</v>
      </c>
    </row>
    <row r="2167" spans="1:16" x14ac:dyDescent="0.25">
      <c r="A2167" s="2" t="s">
        <v>5863</v>
      </c>
      <c r="B2167" s="4">
        <v>46117.659722222219</v>
      </c>
      <c r="C2167" s="2" t="s">
        <v>16</v>
      </c>
      <c r="D2167" s="2" t="s">
        <v>17</v>
      </c>
      <c r="E2167" s="2" t="s">
        <v>85</v>
      </c>
      <c r="F2167" s="2" t="s">
        <v>30</v>
      </c>
      <c r="G2167" s="2" t="s">
        <v>179</v>
      </c>
      <c r="H2167" s="2" t="s">
        <v>21</v>
      </c>
      <c r="I2167" s="2">
        <v>24</v>
      </c>
      <c r="J2167" s="2" t="s">
        <v>11</v>
      </c>
      <c r="K2167" s="4" t="s">
        <v>8590</v>
      </c>
      <c r="L2167" s="2" t="s">
        <v>92</v>
      </c>
      <c r="M2167" s="2"/>
      <c r="N2167" t="s">
        <v>8589</v>
      </c>
      <c r="O2167" s="8" t="str">
        <f t="shared" si="66"/>
        <v/>
      </c>
      <c r="P2167" t="str">
        <f t="shared" si="67"/>
        <v>N/A</v>
      </c>
    </row>
    <row r="2168" spans="1:16" x14ac:dyDescent="0.25">
      <c r="A2168" s="2" t="s">
        <v>5864</v>
      </c>
      <c r="B2168" s="4">
        <v>46077.197222222225</v>
      </c>
      <c r="C2168" s="2" t="s">
        <v>67</v>
      </c>
      <c r="D2168" s="2" t="s">
        <v>68</v>
      </c>
      <c r="E2168" s="2" t="s">
        <v>46</v>
      </c>
      <c r="F2168" s="2" t="s">
        <v>96</v>
      </c>
      <c r="G2168" s="2" t="s">
        <v>101</v>
      </c>
      <c r="H2168" s="2" t="s">
        <v>32</v>
      </c>
      <c r="I2168" s="2">
        <v>48</v>
      </c>
      <c r="J2168" s="2" t="s">
        <v>75</v>
      </c>
      <c r="K2168" s="4">
        <v>46078.043749999997</v>
      </c>
      <c r="L2168" s="2" t="s">
        <v>24</v>
      </c>
      <c r="M2168" s="2">
        <v>1</v>
      </c>
      <c r="N2168" t="s">
        <v>8588</v>
      </c>
      <c r="O2168" s="8">
        <f t="shared" si="66"/>
        <v>20.316666666534729</v>
      </c>
      <c r="P2168" t="str">
        <f t="shared" si="67"/>
        <v>N/A</v>
      </c>
    </row>
    <row r="2169" spans="1:16" x14ac:dyDescent="0.25">
      <c r="A2169" s="2" t="s">
        <v>5867</v>
      </c>
      <c r="B2169" s="4">
        <v>46091.689583333333</v>
      </c>
      <c r="C2169" s="2" t="s">
        <v>28</v>
      </c>
      <c r="D2169" s="2" t="s">
        <v>37</v>
      </c>
      <c r="E2169" s="2" t="s">
        <v>85</v>
      </c>
      <c r="F2169" s="2" t="s">
        <v>96</v>
      </c>
      <c r="G2169" s="2" t="s">
        <v>179</v>
      </c>
      <c r="H2169" s="2" t="s">
        <v>21</v>
      </c>
      <c r="I2169" s="2">
        <v>24</v>
      </c>
      <c r="J2169" s="2" t="s">
        <v>106</v>
      </c>
      <c r="K2169" s="4">
        <v>46093.086111111108</v>
      </c>
      <c r="L2169" s="2" t="s">
        <v>24</v>
      </c>
      <c r="M2169" s="2">
        <v>2</v>
      </c>
      <c r="N2169" t="s">
        <v>8582</v>
      </c>
      <c r="O2169" s="8">
        <f t="shared" si="66"/>
        <v>33.516666666604578</v>
      </c>
      <c r="P2169" t="str">
        <f t="shared" si="67"/>
        <v>No</v>
      </c>
    </row>
    <row r="2170" spans="1:16" x14ac:dyDescent="0.25">
      <c r="A2170" s="2" t="s">
        <v>5870</v>
      </c>
      <c r="B2170" s="4">
        <v>46101.65</v>
      </c>
      <c r="C2170" s="2" t="s">
        <v>67</v>
      </c>
      <c r="D2170" s="2" t="s">
        <v>95</v>
      </c>
      <c r="E2170" s="2" t="s">
        <v>148</v>
      </c>
      <c r="F2170" s="2" t="s">
        <v>55</v>
      </c>
      <c r="G2170" s="2" t="s">
        <v>110</v>
      </c>
      <c r="H2170" s="2" t="s">
        <v>21</v>
      </c>
      <c r="I2170" s="2">
        <v>24</v>
      </c>
      <c r="J2170" s="2" t="s">
        <v>106</v>
      </c>
      <c r="K2170" s="4">
        <v>46102.336111111108</v>
      </c>
      <c r="L2170" s="2" t="s">
        <v>24</v>
      </c>
      <c r="M2170" s="2">
        <v>5</v>
      </c>
      <c r="N2170" t="s">
        <v>8585</v>
      </c>
      <c r="O2170" s="8">
        <f t="shared" si="66"/>
        <v>16.466666666558012</v>
      </c>
      <c r="P2170" t="str">
        <f t="shared" si="67"/>
        <v>Yes</v>
      </c>
    </row>
    <row r="2171" spans="1:16" x14ac:dyDescent="0.25">
      <c r="A2171" s="2" t="s">
        <v>5872</v>
      </c>
      <c r="B2171" s="4">
        <v>46171.445833333331</v>
      </c>
      <c r="C2171" s="2" t="s">
        <v>16</v>
      </c>
      <c r="D2171" s="2" t="s">
        <v>17</v>
      </c>
      <c r="E2171" s="2" t="s">
        <v>46</v>
      </c>
      <c r="F2171" s="2" t="s">
        <v>30</v>
      </c>
      <c r="G2171" s="2" t="s">
        <v>31</v>
      </c>
      <c r="H2171" s="2" t="s">
        <v>32</v>
      </c>
      <c r="I2171" s="2">
        <v>48</v>
      </c>
      <c r="J2171" s="2" t="s">
        <v>106</v>
      </c>
      <c r="K2171" s="4" t="s">
        <v>8590</v>
      </c>
      <c r="L2171" s="2" t="s">
        <v>24</v>
      </c>
      <c r="M2171" s="2">
        <v>5</v>
      </c>
      <c r="N2171" t="s">
        <v>8581</v>
      </c>
      <c r="O2171" s="8" t="str">
        <f t="shared" si="66"/>
        <v/>
      </c>
      <c r="P2171" t="str">
        <f t="shared" si="67"/>
        <v>No</v>
      </c>
    </row>
    <row r="2172" spans="1:16" x14ac:dyDescent="0.25">
      <c r="A2172" s="2" t="s">
        <v>5874</v>
      </c>
      <c r="B2172" s="4">
        <v>46036.745138888888</v>
      </c>
      <c r="C2172" s="2" t="s">
        <v>53</v>
      </c>
      <c r="D2172" s="2" t="s">
        <v>54</v>
      </c>
      <c r="E2172" s="2" t="s">
        <v>79</v>
      </c>
      <c r="F2172" s="2" t="s">
        <v>113</v>
      </c>
      <c r="G2172" s="2" t="s">
        <v>101</v>
      </c>
      <c r="H2172" s="2" t="s">
        <v>21</v>
      </c>
      <c r="I2172" s="2">
        <v>24</v>
      </c>
      <c r="J2172" s="2" t="s">
        <v>106</v>
      </c>
      <c r="K2172" s="4">
        <v>46036.902083333334</v>
      </c>
      <c r="L2172" s="2" t="s">
        <v>24</v>
      </c>
      <c r="M2172" s="2">
        <v>4</v>
      </c>
      <c r="N2172" t="s">
        <v>8587</v>
      </c>
      <c r="O2172" s="8">
        <f t="shared" si="66"/>
        <v>3.7666666667209938</v>
      </c>
      <c r="P2172" t="str">
        <f t="shared" si="67"/>
        <v>Yes</v>
      </c>
    </row>
    <row r="2173" spans="1:16" x14ac:dyDescent="0.25">
      <c r="A2173" s="2" t="s">
        <v>5877</v>
      </c>
      <c r="B2173" s="4">
        <v>46192.644444444442</v>
      </c>
      <c r="C2173" s="2" t="s">
        <v>53</v>
      </c>
      <c r="D2173" s="2" t="s">
        <v>61</v>
      </c>
      <c r="E2173" s="2" t="s">
        <v>38</v>
      </c>
      <c r="F2173" s="2" t="s">
        <v>96</v>
      </c>
      <c r="G2173" s="2" t="s">
        <v>183</v>
      </c>
      <c r="H2173" s="2" t="s">
        <v>80</v>
      </c>
      <c r="I2173" s="2">
        <v>4</v>
      </c>
      <c r="J2173" s="2" t="s">
        <v>75</v>
      </c>
      <c r="K2173" s="4">
        <v>46192.692361111112</v>
      </c>
      <c r="L2173" s="2" t="s">
        <v>24</v>
      </c>
      <c r="M2173" s="2">
        <v>1</v>
      </c>
      <c r="N2173" t="s">
        <v>8583</v>
      </c>
      <c r="O2173" s="8">
        <f t="shared" si="66"/>
        <v>1.1500000000814907</v>
      </c>
      <c r="P2173" t="str">
        <f t="shared" si="67"/>
        <v>N/A</v>
      </c>
    </row>
    <row r="2174" spans="1:16" x14ac:dyDescent="0.25">
      <c r="A2174" s="2" t="s">
        <v>5880</v>
      </c>
      <c r="B2174" s="4">
        <v>46223.870833333334</v>
      </c>
      <c r="C2174" s="2" t="s">
        <v>53</v>
      </c>
      <c r="D2174" s="2" t="s">
        <v>54</v>
      </c>
      <c r="E2174" s="2" t="s">
        <v>148</v>
      </c>
      <c r="F2174" s="2" t="s">
        <v>30</v>
      </c>
      <c r="G2174" s="2" t="s">
        <v>211</v>
      </c>
      <c r="H2174" s="2" t="s">
        <v>74</v>
      </c>
      <c r="I2174" s="2">
        <v>8</v>
      </c>
      <c r="J2174" s="2" t="s">
        <v>149</v>
      </c>
      <c r="K2174" s="4" t="s">
        <v>8590</v>
      </c>
      <c r="L2174" s="2" t="s">
        <v>24</v>
      </c>
      <c r="M2174" s="2"/>
      <c r="N2174" t="s">
        <v>8581</v>
      </c>
      <c r="O2174" s="8" t="str">
        <f t="shared" si="66"/>
        <v/>
      </c>
      <c r="P2174" t="str">
        <f t="shared" si="67"/>
        <v>N/A</v>
      </c>
    </row>
    <row r="2175" spans="1:16" x14ac:dyDescent="0.25">
      <c r="A2175" s="2" t="s">
        <v>5882</v>
      </c>
      <c r="B2175" s="4">
        <v>46084.419444444444</v>
      </c>
      <c r="C2175" s="2" t="s">
        <v>67</v>
      </c>
      <c r="D2175" s="2" t="s">
        <v>95</v>
      </c>
      <c r="E2175" s="2" t="s">
        <v>79</v>
      </c>
      <c r="F2175" s="2" t="s">
        <v>113</v>
      </c>
      <c r="G2175" s="2" t="s">
        <v>101</v>
      </c>
      <c r="H2175" s="2" t="s">
        <v>80</v>
      </c>
      <c r="I2175" s="2">
        <v>4</v>
      </c>
      <c r="J2175" s="2" t="s">
        <v>106</v>
      </c>
      <c r="K2175" s="4">
        <v>46084.538194444445</v>
      </c>
      <c r="L2175" s="2" t="s">
        <v>24</v>
      </c>
      <c r="M2175" s="2"/>
      <c r="N2175" t="s">
        <v>8589</v>
      </c>
      <c r="O2175" s="8">
        <f t="shared" si="66"/>
        <v>2.8500000000349246</v>
      </c>
      <c r="P2175" t="str">
        <f t="shared" si="67"/>
        <v>Yes</v>
      </c>
    </row>
    <row r="2176" spans="1:16" x14ac:dyDescent="0.25">
      <c r="A2176" s="2" t="s">
        <v>5885</v>
      </c>
      <c r="B2176" s="4">
        <v>46202.446527777778</v>
      </c>
      <c r="C2176" s="2" t="s">
        <v>16</v>
      </c>
      <c r="D2176" s="2" t="s">
        <v>84</v>
      </c>
      <c r="E2176" s="2" t="s">
        <v>85</v>
      </c>
      <c r="F2176" s="2" t="s">
        <v>96</v>
      </c>
      <c r="G2176" s="2" t="s">
        <v>31</v>
      </c>
      <c r="H2176" s="2" t="s">
        <v>32</v>
      </c>
      <c r="I2176" s="2">
        <v>48</v>
      </c>
      <c r="J2176" s="2" t="s">
        <v>149</v>
      </c>
      <c r="K2176" s="4" t="s">
        <v>8590</v>
      </c>
      <c r="L2176" s="2" t="s">
        <v>24</v>
      </c>
      <c r="M2176" s="2"/>
      <c r="N2176" t="s">
        <v>8589</v>
      </c>
      <c r="O2176" s="8" t="str">
        <f t="shared" si="66"/>
        <v/>
      </c>
      <c r="P2176" t="str">
        <f t="shared" si="67"/>
        <v>N/A</v>
      </c>
    </row>
    <row r="2177" spans="1:16" x14ac:dyDescent="0.25">
      <c r="A2177" s="2" t="s">
        <v>5887</v>
      </c>
      <c r="B2177" s="4">
        <v>46259.85833333333</v>
      </c>
      <c r="C2177" s="2" t="s">
        <v>53</v>
      </c>
      <c r="D2177" s="2" t="s">
        <v>54</v>
      </c>
      <c r="E2177" s="2" t="s">
        <v>46</v>
      </c>
      <c r="F2177" s="2" t="s">
        <v>55</v>
      </c>
      <c r="G2177" s="2" t="s">
        <v>31</v>
      </c>
      <c r="H2177" s="2" t="s">
        <v>74</v>
      </c>
      <c r="I2177" s="2">
        <v>8</v>
      </c>
      <c r="J2177" s="2" t="s">
        <v>287</v>
      </c>
      <c r="K2177" s="4" t="s">
        <v>8590</v>
      </c>
      <c r="L2177" s="2" t="s">
        <v>24</v>
      </c>
      <c r="M2177" s="2"/>
      <c r="N2177" t="s">
        <v>8586</v>
      </c>
      <c r="O2177" s="8" t="str">
        <f t="shared" si="66"/>
        <v/>
      </c>
      <c r="P2177" t="str">
        <f t="shared" si="67"/>
        <v>N/A</v>
      </c>
    </row>
    <row r="2178" spans="1:16" x14ac:dyDescent="0.25">
      <c r="A2178" s="2" t="s">
        <v>5889</v>
      </c>
      <c r="B2178" s="4">
        <v>46033.217361111114</v>
      </c>
      <c r="C2178" s="2" t="s">
        <v>16</v>
      </c>
      <c r="D2178" s="2" t="s">
        <v>84</v>
      </c>
      <c r="E2178" s="2" t="s">
        <v>148</v>
      </c>
      <c r="F2178" s="2" t="s">
        <v>30</v>
      </c>
      <c r="G2178" s="2" t="s">
        <v>31</v>
      </c>
      <c r="H2178" s="2" t="s">
        <v>80</v>
      </c>
      <c r="I2178" s="2">
        <v>4</v>
      </c>
      <c r="J2178" s="2" t="s">
        <v>11</v>
      </c>
      <c r="K2178" s="4" t="s">
        <v>8590</v>
      </c>
      <c r="L2178" s="2" t="s">
        <v>92</v>
      </c>
      <c r="M2178" s="2"/>
      <c r="N2178" t="s">
        <v>8582</v>
      </c>
      <c r="O2178" s="8" t="str">
        <f t="shared" si="66"/>
        <v/>
      </c>
      <c r="P2178" t="str">
        <f t="shared" si="67"/>
        <v>N/A</v>
      </c>
    </row>
    <row r="2179" spans="1:16" x14ac:dyDescent="0.25">
      <c r="A2179" s="2" t="s">
        <v>5891</v>
      </c>
      <c r="B2179" s="4">
        <v>46152.862500000003</v>
      </c>
      <c r="C2179" s="2" t="s">
        <v>28</v>
      </c>
      <c r="D2179" s="2" t="s">
        <v>100</v>
      </c>
      <c r="E2179" s="2" t="s">
        <v>79</v>
      </c>
      <c r="F2179" s="2" t="s">
        <v>113</v>
      </c>
      <c r="G2179" s="2" t="s">
        <v>183</v>
      </c>
      <c r="H2179" s="2" t="s">
        <v>32</v>
      </c>
      <c r="I2179" s="2">
        <v>48</v>
      </c>
      <c r="J2179" s="2" t="s">
        <v>75</v>
      </c>
      <c r="K2179" s="4">
        <v>46156.251388888886</v>
      </c>
      <c r="L2179" s="2" t="s">
        <v>24</v>
      </c>
      <c r="M2179" s="2">
        <v>4</v>
      </c>
      <c r="N2179" t="s">
        <v>8584</v>
      </c>
      <c r="O2179" s="8">
        <f t="shared" ref="O2179:O2242" si="68">IF(K2179="","",IF(K2179="Missing Resolve Date","",(K2179-B2179)*24))</f>
        <v>81.333333333197515</v>
      </c>
      <c r="P2179" t="str">
        <f t="shared" ref="P2179:P2242" si="69">IF(J2179="Resolved",IF(O2179&lt;=I2179,"Yes","No"),"N/A")</f>
        <v>N/A</v>
      </c>
    </row>
    <row r="2180" spans="1:16" x14ac:dyDescent="0.25">
      <c r="A2180" s="2" t="s">
        <v>5894</v>
      </c>
      <c r="B2180" s="4">
        <v>46035.199999999997</v>
      </c>
      <c r="C2180" s="2" t="s">
        <v>16</v>
      </c>
      <c r="D2180" s="2" t="s">
        <v>17</v>
      </c>
      <c r="E2180" s="2" t="s">
        <v>46</v>
      </c>
      <c r="F2180" s="2" t="s">
        <v>96</v>
      </c>
      <c r="G2180" s="2" t="s">
        <v>31</v>
      </c>
      <c r="H2180" s="2" t="s">
        <v>21</v>
      </c>
      <c r="I2180" s="2">
        <v>24</v>
      </c>
      <c r="J2180" s="2" t="s">
        <v>106</v>
      </c>
      <c r="K2180" s="4">
        <v>46038.124305555553</v>
      </c>
      <c r="L2180" s="2" t="s">
        <v>24</v>
      </c>
      <c r="M2180" s="2"/>
      <c r="N2180" t="s">
        <v>8588</v>
      </c>
      <c r="O2180" s="8">
        <f t="shared" si="68"/>
        <v>70.183333333348855</v>
      </c>
      <c r="P2180" t="str">
        <f t="shared" si="69"/>
        <v>No</v>
      </c>
    </row>
    <row r="2181" spans="1:16" x14ac:dyDescent="0.25">
      <c r="A2181" s="2" t="s">
        <v>5897</v>
      </c>
      <c r="B2181" s="4">
        <v>46063.604166666664</v>
      </c>
      <c r="C2181" s="2" t="s">
        <v>53</v>
      </c>
      <c r="D2181" s="2" t="s">
        <v>54</v>
      </c>
      <c r="E2181" s="2" t="s">
        <v>148</v>
      </c>
      <c r="F2181" s="2" t="s">
        <v>113</v>
      </c>
      <c r="G2181" s="2" t="s">
        <v>110</v>
      </c>
      <c r="H2181" s="2" t="s">
        <v>21</v>
      </c>
      <c r="I2181" s="2">
        <v>24</v>
      </c>
      <c r="J2181" s="2" t="s">
        <v>149</v>
      </c>
      <c r="K2181" s="4" t="s">
        <v>8590</v>
      </c>
      <c r="L2181" s="2" t="s">
        <v>24</v>
      </c>
      <c r="M2181" s="2"/>
      <c r="N2181" t="s">
        <v>8585</v>
      </c>
      <c r="O2181" s="8" t="str">
        <f t="shared" si="68"/>
        <v/>
      </c>
      <c r="P2181" t="str">
        <f t="shared" si="69"/>
        <v>N/A</v>
      </c>
    </row>
    <row r="2182" spans="1:16" x14ac:dyDescent="0.25">
      <c r="A2182" s="2" t="s">
        <v>5899</v>
      </c>
      <c r="B2182" s="4">
        <v>46113.92291666667</v>
      </c>
      <c r="C2182" s="2" t="s">
        <v>67</v>
      </c>
      <c r="D2182" s="2" t="s">
        <v>68</v>
      </c>
      <c r="E2182" s="2" t="s">
        <v>46</v>
      </c>
      <c r="F2182" s="2" t="s">
        <v>113</v>
      </c>
      <c r="G2182" s="2" t="s">
        <v>211</v>
      </c>
      <c r="H2182" s="2" t="s">
        <v>21</v>
      </c>
      <c r="I2182" s="2">
        <v>24</v>
      </c>
      <c r="J2182" s="2" t="s">
        <v>11</v>
      </c>
      <c r="K2182" s="4" t="s">
        <v>8590</v>
      </c>
      <c r="L2182" s="2" t="s">
        <v>92</v>
      </c>
      <c r="M2182" s="2"/>
      <c r="N2182" t="s">
        <v>8583</v>
      </c>
      <c r="O2182" s="8" t="str">
        <f t="shared" si="68"/>
        <v/>
      </c>
      <c r="P2182" t="str">
        <f t="shared" si="69"/>
        <v>N/A</v>
      </c>
    </row>
    <row r="2183" spans="1:16" x14ac:dyDescent="0.25">
      <c r="A2183" s="2" t="s">
        <v>5901</v>
      </c>
      <c r="B2183" s="4">
        <v>46164.883333333331</v>
      </c>
      <c r="C2183" s="2" t="s">
        <v>53</v>
      </c>
      <c r="D2183" s="2" t="s">
        <v>54</v>
      </c>
      <c r="E2183" s="2" t="s">
        <v>79</v>
      </c>
      <c r="F2183" s="2" t="s">
        <v>30</v>
      </c>
      <c r="G2183" s="2" t="s">
        <v>183</v>
      </c>
      <c r="H2183" s="2" t="s">
        <v>21</v>
      </c>
      <c r="I2183" s="2">
        <v>24</v>
      </c>
      <c r="J2183" s="2" t="s">
        <v>106</v>
      </c>
      <c r="K2183" s="4">
        <v>46165.005555555559</v>
      </c>
      <c r="L2183" s="2" t="s">
        <v>24</v>
      </c>
      <c r="M2183" s="2">
        <v>2</v>
      </c>
      <c r="N2183" t="s">
        <v>8587</v>
      </c>
      <c r="O2183" s="8">
        <f t="shared" si="68"/>
        <v>2.9333333334652707</v>
      </c>
      <c r="P2183" t="str">
        <f t="shared" si="69"/>
        <v>Yes</v>
      </c>
    </row>
    <row r="2184" spans="1:16" x14ac:dyDescent="0.25">
      <c r="A2184" s="2" t="s">
        <v>5904</v>
      </c>
      <c r="B2184" s="4">
        <v>46215.384722222225</v>
      </c>
      <c r="C2184" s="2" t="s">
        <v>53</v>
      </c>
      <c r="D2184" s="2" t="s">
        <v>54</v>
      </c>
      <c r="E2184" s="2" t="s">
        <v>18</v>
      </c>
      <c r="F2184" s="2" t="s">
        <v>113</v>
      </c>
      <c r="G2184" s="2" t="s">
        <v>183</v>
      </c>
      <c r="H2184" s="2" t="s">
        <v>32</v>
      </c>
      <c r="I2184" s="2">
        <v>48</v>
      </c>
      <c r="J2184" s="2" t="s">
        <v>11</v>
      </c>
      <c r="K2184" s="4" t="s">
        <v>8590</v>
      </c>
      <c r="L2184" s="2" t="s">
        <v>92</v>
      </c>
      <c r="M2184" s="2"/>
      <c r="N2184" t="s">
        <v>8582</v>
      </c>
      <c r="O2184" s="8" t="str">
        <f t="shared" si="68"/>
        <v/>
      </c>
      <c r="P2184" t="str">
        <f t="shared" si="69"/>
        <v>N/A</v>
      </c>
    </row>
    <row r="2185" spans="1:16" x14ac:dyDescent="0.25">
      <c r="A2185" s="2" t="s">
        <v>5906</v>
      </c>
      <c r="B2185" s="4">
        <v>46137.304861111108</v>
      </c>
      <c r="C2185" s="2" t="s">
        <v>28</v>
      </c>
      <c r="D2185" s="2" t="s">
        <v>100</v>
      </c>
      <c r="E2185" s="2" t="s">
        <v>18</v>
      </c>
      <c r="F2185" s="2" t="s">
        <v>55</v>
      </c>
      <c r="G2185" s="2" t="s">
        <v>101</v>
      </c>
      <c r="H2185" s="2" t="s">
        <v>74</v>
      </c>
      <c r="I2185" s="2">
        <v>8</v>
      </c>
      <c r="J2185" s="2" t="s">
        <v>106</v>
      </c>
      <c r="K2185" s="4">
        <v>46137.463194444441</v>
      </c>
      <c r="L2185" s="2" t="s">
        <v>24</v>
      </c>
      <c r="M2185" s="2"/>
      <c r="N2185" t="s">
        <v>8582</v>
      </c>
      <c r="O2185" s="8">
        <f t="shared" si="68"/>
        <v>3.7999999999883585</v>
      </c>
      <c r="P2185" t="str">
        <f t="shared" si="69"/>
        <v>Yes</v>
      </c>
    </row>
    <row r="2186" spans="1:16" x14ac:dyDescent="0.25">
      <c r="A2186" s="2" t="s">
        <v>5909</v>
      </c>
      <c r="B2186" s="4">
        <v>46051.85833333333</v>
      </c>
      <c r="C2186" s="2" t="s">
        <v>67</v>
      </c>
      <c r="D2186" s="2" t="s">
        <v>95</v>
      </c>
      <c r="E2186" s="2" t="s">
        <v>38</v>
      </c>
      <c r="F2186" s="2" t="s">
        <v>30</v>
      </c>
      <c r="G2186" s="2" t="s">
        <v>183</v>
      </c>
      <c r="H2186" s="2" t="s">
        <v>80</v>
      </c>
      <c r="I2186" s="2">
        <v>4</v>
      </c>
      <c r="J2186" s="2" t="s">
        <v>106</v>
      </c>
      <c r="K2186" s="4">
        <v>46051.978472222225</v>
      </c>
      <c r="L2186" s="2" t="s">
        <v>24</v>
      </c>
      <c r="M2186" s="2">
        <v>4</v>
      </c>
      <c r="N2186" t="s">
        <v>8583</v>
      </c>
      <c r="O2186" s="8">
        <f t="shared" si="68"/>
        <v>2.8833333334769122</v>
      </c>
      <c r="P2186" t="str">
        <f t="shared" si="69"/>
        <v>Yes</v>
      </c>
    </row>
    <row r="2187" spans="1:16" x14ac:dyDescent="0.25">
      <c r="A2187" s="2" t="s">
        <v>5912</v>
      </c>
      <c r="B2187" s="4">
        <v>46092.064583333333</v>
      </c>
      <c r="C2187" s="2" t="s">
        <v>16</v>
      </c>
      <c r="D2187" s="2" t="s">
        <v>17</v>
      </c>
      <c r="E2187" s="2" t="s">
        <v>148</v>
      </c>
      <c r="F2187" s="2" t="s">
        <v>113</v>
      </c>
      <c r="G2187" s="2" t="s">
        <v>183</v>
      </c>
      <c r="H2187" s="2" t="s">
        <v>32</v>
      </c>
      <c r="I2187" s="2">
        <v>48</v>
      </c>
      <c r="J2187" s="2" t="s">
        <v>106</v>
      </c>
      <c r="K2187" s="4">
        <v>46093.559027777781</v>
      </c>
      <c r="L2187" s="2" t="s">
        <v>24</v>
      </c>
      <c r="M2187" s="2">
        <v>2</v>
      </c>
      <c r="N2187" t="s">
        <v>8584</v>
      </c>
      <c r="O2187" s="8">
        <f t="shared" si="68"/>
        <v>35.866666666755918</v>
      </c>
      <c r="P2187" t="str">
        <f t="shared" si="69"/>
        <v>Yes</v>
      </c>
    </row>
    <row r="2188" spans="1:16" x14ac:dyDescent="0.25">
      <c r="A2188" s="2" t="s">
        <v>5915</v>
      </c>
      <c r="B2188" s="4">
        <v>46112.595138888886</v>
      </c>
      <c r="C2188" s="2" t="s">
        <v>67</v>
      </c>
      <c r="D2188" s="2" t="s">
        <v>68</v>
      </c>
      <c r="E2188" s="2" t="s">
        <v>46</v>
      </c>
      <c r="F2188" s="2" t="s">
        <v>96</v>
      </c>
      <c r="G2188" s="2" t="s">
        <v>211</v>
      </c>
      <c r="H2188" s="2" t="s">
        <v>21</v>
      </c>
      <c r="I2188" s="2">
        <v>24</v>
      </c>
      <c r="J2188" s="2" t="s">
        <v>287</v>
      </c>
      <c r="K2188" s="4" t="s">
        <v>8590</v>
      </c>
      <c r="L2188" s="2" t="s">
        <v>24</v>
      </c>
      <c r="M2188" s="2"/>
      <c r="N2188" t="s">
        <v>8584</v>
      </c>
      <c r="O2188" s="8" t="str">
        <f t="shared" si="68"/>
        <v/>
      </c>
      <c r="P2188" t="str">
        <f t="shared" si="69"/>
        <v>N/A</v>
      </c>
    </row>
    <row r="2189" spans="1:16" x14ac:dyDescent="0.25">
      <c r="A2189" s="2" t="s">
        <v>5917</v>
      </c>
      <c r="B2189" s="4">
        <v>46184.531944444447</v>
      </c>
      <c r="C2189" s="2" t="s">
        <v>53</v>
      </c>
      <c r="D2189" s="2" t="s">
        <v>61</v>
      </c>
      <c r="E2189" s="2" t="s">
        <v>38</v>
      </c>
      <c r="F2189" s="2" t="s">
        <v>113</v>
      </c>
      <c r="G2189" s="2" t="s">
        <v>101</v>
      </c>
      <c r="H2189" s="2" t="s">
        <v>21</v>
      </c>
      <c r="I2189" s="2">
        <v>24</v>
      </c>
      <c r="J2189" s="2" t="s">
        <v>11</v>
      </c>
      <c r="K2189" s="4" t="s">
        <v>8590</v>
      </c>
      <c r="L2189" s="2" t="s">
        <v>92</v>
      </c>
      <c r="M2189" s="2"/>
      <c r="N2189" t="s">
        <v>8589</v>
      </c>
      <c r="O2189" s="8" t="str">
        <f t="shared" si="68"/>
        <v/>
      </c>
      <c r="P2189" t="str">
        <f t="shared" si="69"/>
        <v>N/A</v>
      </c>
    </row>
    <row r="2190" spans="1:16" x14ac:dyDescent="0.25">
      <c r="A2190" s="2" t="s">
        <v>5919</v>
      </c>
      <c r="B2190" s="4">
        <v>46137.197222222225</v>
      </c>
      <c r="C2190" s="2" t="s">
        <v>67</v>
      </c>
      <c r="D2190" s="2" t="s">
        <v>95</v>
      </c>
      <c r="E2190" s="2" t="s">
        <v>46</v>
      </c>
      <c r="F2190" s="2" t="s">
        <v>113</v>
      </c>
      <c r="G2190" s="2" t="s">
        <v>101</v>
      </c>
      <c r="H2190" s="2" t="s">
        <v>21</v>
      </c>
      <c r="I2190" s="2">
        <v>24</v>
      </c>
      <c r="J2190" s="2" t="s">
        <v>8580</v>
      </c>
      <c r="K2190" s="4">
        <v>46138.006944444445</v>
      </c>
      <c r="L2190" s="2" t="s">
        <v>24</v>
      </c>
      <c r="M2190" s="2"/>
      <c r="N2190" t="s">
        <v>8581</v>
      </c>
      <c r="O2190" s="8">
        <f t="shared" si="68"/>
        <v>19.433333333290648</v>
      </c>
      <c r="P2190" t="str">
        <f t="shared" si="69"/>
        <v>N/A</v>
      </c>
    </row>
    <row r="2191" spans="1:16" x14ac:dyDescent="0.25">
      <c r="A2191" s="2" t="s">
        <v>5922</v>
      </c>
      <c r="B2191" s="4">
        <v>46046.271527777775</v>
      </c>
      <c r="C2191" s="2" t="s">
        <v>67</v>
      </c>
      <c r="D2191" s="2" t="s">
        <v>95</v>
      </c>
      <c r="E2191" s="2" t="s">
        <v>148</v>
      </c>
      <c r="F2191" s="2" t="s">
        <v>55</v>
      </c>
      <c r="G2191" s="2" t="s">
        <v>31</v>
      </c>
      <c r="H2191" s="2" t="s">
        <v>74</v>
      </c>
      <c r="I2191" s="2">
        <v>8</v>
      </c>
      <c r="J2191" s="2" t="s">
        <v>11</v>
      </c>
      <c r="K2191" s="4" t="s">
        <v>8590</v>
      </c>
      <c r="L2191" s="2" t="s">
        <v>92</v>
      </c>
      <c r="M2191" s="2"/>
      <c r="N2191" t="s">
        <v>8588</v>
      </c>
      <c r="O2191" s="8" t="str">
        <f t="shared" si="68"/>
        <v/>
      </c>
      <c r="P2191" t="str">
        <f t="shared" si="69"/>
        <v>N/A</v>
      </c>
    </row>
    <row r="2192" spans="1:16" x14ac:dyDescent="0.25">
      <c r="A2192" s="2" t="s">
        <v>5924</v>
      </c>
      <c r="B2192" s="4">
        <v>46111.131944444445</v>
      </c>
      <c r="C2192" s="2" t="s">
        <v>16</v>
      </c>
      <c r="D2192" s="2" t="s">
        <v>17</v>
      </c>
      <c r="E2192" s="2" t="s">
        <v>85</v>
      </c>
      <c r="F2192" s="2" t="s">
        <v>96</v>
      </c>
      <c r="G2192" s="2" t="s">
        <v>31</v>
      </c>
      <c r="H2192" s="2" t="s">
        <v>74</v>
      </c>
      <c r="I2192" s="2">
        <v>8</v>
      </c>
      <c r="J2192" s="2" t="s">
        <v>287</v>
      </c>
      <c r="K2192" s="4" t="s">
        <v>8590</v>
      </c>
      <c r="L2192" s="2" t="s">
        <v>24</v>
      </c>
      <c r="M2192" s="2"/>
      <c r="N2192" t="s">
        <v>8588</v>
      </c>
      <c r="O2192" s="8" t="str">
        <f t="shared" si="68"/>
        <v/>
      </c>
      <c r="P2192" t="str">
        <f t="shared" si="69"/>
        <v>N/A</v>
      </c>
    </row>
    <row r="2193" spans="1:16" x14ac:dyDescent="0.25">
      <c r="A2193" s="2" t="s">
        <v>5926</v>
      </c>
      <c r="B2193" s="4">
        <v>46224.285416666666</v>
      </c>
      <c r="C2193" s="2" t="s">
        <v>16</v>
      </c>
      <c r="D2193" s="2" t="s">
        <v>17</v>
      </c>
      <c r="E2193" s="2" t="s">
        <v>18</v>
      </c>
      <c r="F2193" s="2" t="s">
        <v>30</v>
      </c>
      <c r="G2193" s="2" t="s">
        <v>31</v>
      </c>
      <c r="H2193" s="2" t="s">
        <v>21</v>
      </c>
      <c r="I2193" s="2">
        <v>24</v>
      </c>
      <c r="J2193" s="2" t="s">
        <v>11</v>
      </c>
      <c r="K2193" s="4" t="s">
        <v>8590</v>
      </c>
      <c r="L2193" s="2" t="s">
        <v>92</v>
      </c>
      <c r="M2193" s="2"/>
      <c r="N2193" t="s">
        <v>8586</v>
      </c>
      <c r="O2193" s="8" t="str">
        <f t="shared" si="68"/>
        <v/>
      </c>
      <c r="P2193" t="str">
        <f t="shared" si="69"/>
        <v>N/A</v>
      </c>
    </row>
    <row r="2194" spans="1:16" x14ac:dyDescent="0.25">
      <c r="A2194" s="2" t="s">
        <v>5928</v>
      </c>
      <c r="B2194" s="4">
        <v>46074.686805555553</v>
      </c>
      <c r="C2194" s="2" t="s">
        <v>67</v>
      </c>
      <c r="D2194" s="2" t="s">
        <v>95</v>
      </c>
      <c r="E2194" s="2" t="s">
        <v>38</v>
      </c>
      <c r="F2194" s="2" t="s">
        <v>30</v>
      </c>
      <c r="G2194" s="2" t="s">
        <v>179</v>
      </c>
      <c r="H2194" s="2" t="s">
        <v>21</v>
      </c>
      <c r="I2194" s="2">
        <v>24</v>
      </c>
      <c r="J2194" s="2" t="s">
        <v>75</v>
      </c>
      <c r="K2194" s="4">
        <v>46075.948611111111</v>
      </c>
      <c r="L2194" s="2" t="s">
        <v>24</v>
      </c>
      <c r="M2194" s="2"/>
      <c r="N2194" t="s">
        <v>8587</v>
      </c>
      <c r="O2194" s="8">
        <f t="shared" si="68"/>
        <v>30.28333333338378</v>
      </c>
      <c r="P2194" t="str">
        <f t="shared" si="69"/>
        <v>N/A</v>
      </c>
    </row>
    <row r="2195" spans="1:16" x14ac:dyDescent="0.25">
      <c r="A2195" s="2" t="s">
        <v>5931</v>
      </c>
      <c r="B2195" s="4">
        <v>46228.384027777778</v>
      </c>
      <c r="C2195" s="2" t="s">
        <v>28</v>
      </c>
      <c r="D2195" s="2" t="s">
        <v>100</v>
      </c>
      <c r="E2195" s="2" t="s">
        <v>38</v>
      </c>
      <c r="F2195" s="2" t="s">
        <v>30</v>
      </c>
      <c r="G2195" s="2" t="s">
        <v>31</v>
      </c>
      <c r="H2195" s="2" t="s">
        <v>74</v>
      </c>
      <c r="I2195" s="2">
        <v>8</v>
      </c>
      <c r="J2195" s="2" t="s">
        <v>11</v>
      </c>
      <c r="K2195" s="4" t="s">
        <v>8590</v>
      </c>
      <c r="L2195" s="2" t="s">
        <v>92</v>
      </c>
      <c r="M2195" s="2"/>
      <c r="N2195" t="s">
        <v>8589</v>
      </c>
      <c r="O2195" s="8" t="str">
        <f t="shared" si="68"/>
        <v/>
      </c>
      <c r="P2195" t="str">
        <f t="shared" si="69"/>
        <v>N/A</v>
      </c>
    </row>
    <row r="2196" spans="1:16" x14ac:dyDescent="0.25">
      <c r="A2196" s="2" t="s">
        <v>5933</v>
      </c>
      <c r="B2196" s="4">
        <v>46215.280555555553</v>
      </c>
      <c r="C2196" s="2" t="s">
        <v>53</v>
      </c>
      <c r="D2196" s="2" t="s">
        <v>61</v>
      </c>
      <c r="E2196" s="2" t="s">
        <v>90</v>
      </c>
      <c r="F2196" s="2" t="s">
        <v>55</v>
      </c>
      <c r="G2196" s="2" t="s">
        <v>211</v>
      </c>
      <c r="H2196" s="2" t="s">
        <v>21</v>
      </c>
      <c r="I2196" s="2">
        <v>24</v>
      </c>
      <c r="J2196" s="2" t="s">
        <v>106</v>
      </c>
      <c r="K2196" s="4">
        <v>46215.311805555553</v>
      </c>
      <c r="L2196" s="2" t="s">
        <v>24</v>
      </c>
      <c r="M2196" s="2">
        <v>5</v>
      </c>
      <c r="N2196" t="s">
        <v>8587</v>
      </c>
      <c r="O2196" s="8">
        <f t="shared" si="68"/>
        <v>0.75</v>
      </c>
      <c r="P2196" t="str">
        <f t="shared" si="69"/>
        <v>Yes</v>
      </c>
    </row>
    <row r="2197" spans="1:16" x14ac:dyDescent="0.25">
      <c r="A2197" s="2" t="s">
        <v>5936</v>
      </c>
      <c r="B2197" s="4">
        <v>46101.734722222223</v>
      </c>
      <c r="C2197" s="2" t="s">
        <v>16</v>
      </c>
      <c r="D2197" s="2" t="s">
        <v>84</v>
      </c>
      <c r="E2197" s="2" t="s">
        <v>38</v>
      </c>
      <c r="F2197" s="2" t="s">
        <v>96</v>
      </c>
      <c r="G2197" s="2" t="s">
        <v>211</v>
      </c>
      <c r="H2197" s="2" t="s">
        <v>32</v>
      </c>
      <c r="I2197" s="2">
        <v>48</v>
      </c>
      <c r="J2197" s="2" t="s">
        <v>106</v>
      </c>
      <c r="K2197" s="4">
        <v>46103.255555555559</v>
      </c>
      <c r="L2197" s="2" t="s">
        <v>24</v>
      </c>
      <c r="M2197" s="2"/>
      <c r="N2197" t="s">
        <v>8581</v>
      </c>
      <c r="O2197" s="8">
        <f t="shared" si="68"/>
        <v>36.500000000058208</v>
      </c>
      <c r="P2197" t="str">
        <f t="shared" si="69"/>
        <v>Yes</v>
      </c>
    </row>
    <row r="2198" spans="1:16" x14ac:dyDescent="0.25">
      <c r="A2198" s="2" t="s">
        <v>5939</v>
      </c>
      <c r="B2198" s="4">
        <v>46177.489583333336</v>
      </c>
      <c r="C2198" s="2" t="s">
        <v>67</v>
      </c>
      <c r="D2198" s="2" t="s">
        <v>68</v>
      </c>
      <c r="E2198" s="2" t="s">
        <v>90</v>
      </c>
      <c r="F2198" s="2" t="s">
        <v>113</v>
      </c>
      <c r="G2198" s="2" t="s">
        <v>101</v>
      </c>
      <c r="H2198" s="2" t="s">
        <v>21</v>
      </c>
      <c r="I2198" s="2">
        <v>24</v>
      </c>
      <c r="J2198" s="2" t="s">
        <v>149</v>
      </c>
      <c r="K2198" s="4" t="s">
        <v>8590</v>
      </c>
      <c r="L2198" s="2" t="s">
        <v>92</v>
      </c>
      <c r="M2198" s="2"/>
      <c r="N2198" t="s">
        <v>8588</v>
      </c>
      <c r="O2198" s="8" t="str">
        <f t="shared" si="68"/>
        <v/>
      </c>
      <c r="P2198" t="str">
        <f t="shared" si="69"/>
        <v>N/A</v>
      </c>
    </row>
    <row r="2199" spans="1:16" x14ac:dyDescent="0.25">
      <c r="A2199" s="2" t="s">
        <v>5941</v>
      </c>
      <c r="B2199" s="4">
        <v>46263.498611111114</v>
      </c>
      <c r="C2199" s="2" t="s">
        <v>28</v>
      </c>
      <c r="D2199" s="2" t="s">
        <v>37</v>
      </c>
      <c r="E2199" s="2" t="s">
        <v>18</v>
      </c>
      <c r="F2199" s="2" t="s">
        <v>113</v>
      </c>
      <c r="G2199" s="2" t="s">
        <v>179</v>
      </c>
      <c r="H2199" s="2" t="s">
        <v>80</v>
      </c>
      <c r="I2199" s="2">
        <v>4</v>
      </c>
      <c r="J2199" s="2" t="s">
        <v>106</v>
      </c>
      <c r="K2199" s="4">
        <v>46263.584027777775</v>
      </c>
      <c r="L2199" s="2" t="s">
        <v>24</v>
      </c>
      <c r="M2199" s="2">
        <v>5</v>
      </c>
      <c r="N2199" t="s">
        <v>8582</v>
      </c>
      <c r="O2199" s="8">
        <f t="shared" si="68"/>
        <v>2.0499999998719431</v>
      </c>
      <c r="P2199" t="str">
        <f t="shared" si="69"/>
        <v>Yes</v>
      </c>
    </row>
    <row r="2200" spans="1:16" x14ac:dyDescent="0.25">
      <c r="A2200" s="2" t="s">
        <v>5944</v>
      </c>
      <c r="B2200" s="4">
        <v>46066.589583333334</v>
      </c>
      <c r="C2200" s="2" t="s">
        <v>67</v>
      </c>
      <c r="D2200" s="2" t="s">
        <v>68</v>
      </c>
      <c r="E2200" s="2" t="s">
        <v>90</v>
      </c>
      <c r="F2200" s="2" t="s">
        <v>113</v>
      </c>
      <c r="G2200" s="2" t="s">
        <v>183</v>
      </c>
      <c r="H2200" s="2" t="s">
        <v>80</v>
      </c>
      <c r="I2200" s="2">
        <v>4</v>
      </c>
      <c r="J2200" s="2" t="s">
        <v>149</v>
      </c>
      <c r="K2200" s="4" t="s">
        <v>8590</v>
      </c>
      <c r="L2200" s="2" t="s">
        <v>24</v>
      </c>
      <c r="M2200" s="2"/>
      <c r="N2200" t="s">
        <v>8583</v>
      </c>
      <c r="O2200" s="8" t="str">
        <f t="shared" si="68"/>
        <v/>
      </c>
      <c r="P2200" t="str">
        <f t="shared" si="69"/>
        <v>N/A</v>
      </c>
    </row>
    <row r="2201" spans="1:16" x14ac:dyDescent="0.25">
      <c r="A2201" s="2" t="s">
        <v>5946</v>
      </c>
      <c r="B2201" s="4">
        <v>46138.553472222222</v>
      </c>
      <c r="C2201" s="2" t="s">
        <v>28</v>
      </c>
      <c r="D2201" s="2" t="s">
        <v>100</v>
      </c>
      <c r="E2201" s="2" t="s">
        <v>85</v>
      </c>
      <c r="F2201" s="2" t="s">
        <v>55</v>
      </c>
      <c r="G2201" s="2" t="s">
        <v>101</v>
      </c>
      <c r="H2201" s="2" t="s">
        <v>21</v>
      </c>
      <c r="I2201" s="2">
        <v>24</v>
      </c>
      <c r="J2201" s="2" t="s">
        <v>75</v>
      </c>
      <c r="K2201" s="4">
        <v>46138.779166666667</v>
      </c>
      <c r="L2201" s="2" t="s">
        <v>24</v>
      </c>
      <c r="M2201" s="2">
        <v>2</v>
      </c>
      <c r="N2201" t="s">
        <v>8586</v>
      </c>
      <c r="O2201" s="8">
        <f t="shared" si="68"/>
        <v>5.4166666666860692</v>
      </c>
      <c r="P2201" t="str">
        <f t="shared" si="69"/>
        <v>N/A</v>
      </c>
    </row>
    <row r="2202" spans="1:16" x14ac:dyDescent="0.25">
      <c r="A2202" s="2" t="s">
        <v>5949</v>
      </c>
      <c r="B2202" s="4">
        <v>46177.426388888889</v>
      </c>
      <c r="C2202" s="2" t="s">
        <v>28</v>
      </c>
      <c r="D2202" s="2" t="s">
        <v>100</v>
      </c>
      <c r="E2202" s="2" t="s">
        <v>18</v>
      </c>
      <c r="F2202" s="2" t="s">
        <v>30</v>
      </c>
      <c r="G2202" s="2" t="s">
        <v>31</v>
      </c>
      <c r="H2202" s="2" t="s">
        <v>74</v>
      </c>
      <c r="I2202" s="2">
        <v>8</v>
      </c>
      <c r="J2202" s="2" t="s">
        <v>75</v>
      </c>
      <c r="K2202" s="4">
        <v>46178.359027777777</v>
      </c>
      <c r="L2202" s="2" t="s">
        <v>24</v>
      </c>
      <c r="M2202" s="2"/>
      <c r="N2202" t="s">
        <v>8584</v>
      </c>
      <c r="O2202" s="8">
        <f t="shared" si="68"/>
        <v>22.383333333302289</v>
      </c>
      <c r="P2202" t="str">
        <f t="shared" si="69"/>
        <v>N/A</v>
      </c>
    </row>
    <row r="2203" spans="1:16" x14ac:dyDescent="0.25">
      <c r="A2203" s="2" t="s">
        <v>5952</v>
      </c>
      <c r="B2203" s="4">
        <v>46161.917361111111</v>
      </c>
      <c r="C2203" s="2" t="s">
        <v>67</v>
      </c>
      <c r="D2203" s="2" t="s">
        <v>68</v>
      </c>
      <c r="E2203" s="2" t="s">
        <v>46</v>
      </c>
      <c r="F2203" s="2" t="s">
        <v>55</v>
      </c>
      <c r="G2203" s="2" t="s">
        <v>101</v>
      </c>
      <c r="H2203" s="2" t="s">
        <v>32</v>
      </c>
      <c r="I2203" s="2">
        <v>48</v>
      </c>
      <c r="J2203" s="2" t="s">
        <v>106</v>
      </c>
      <c r="K2203" s="4">
        <v>46166.202777777777</v>
      </c>
      <c r="L2203" s="2" t="s">
        <v>24</v>
      </c>
      <c r="M2203" s="2"/>
      <c r="N2203" t="s">
        <v>8582</v>
      </c>
      <c r="O2203" s="8">
        <f t="shared" si="68"/>
        <v>102.84999999997672</v>
      </c>
      <c r="P2203" t="str">
        <f t="shared" si="69"/>
        <v>No</v>
      </c>
    </row>
    <row r="2204" spans="1:16" x14ac:dyDescent="0.25">
      <c r="A2204" s="2" t="s">
        <v>5955</v>
      </c>
      <c r="B2204" s="4">
        <v>46231.142361111109</v>
      </c>
      <c r="C2204" s="2" t="s">
        <v>28</v>
      </c>
      <c r="D2204" s="2" t="s">
        <v>100</v>
      </c>
      <c r="E2204" s="2" t="s">
        <v>148</v>
      </c>
      <c r="F2204" s="2" t="s">
        <v>96</v>
      </c>
      <c r="G2204" s="2" t="s">
        <v>179</v>
      </c>
      <c r="H2204" s="2" t="s">
        <v>32</v>
      </c>
      <c r="I2204" s="2">
        <v>48</v>
      </c>
      <c r="J2204" s="2" t="s">
        <v>149</v>
      </c>
      <c r="K2204" s="4" t="s">
        <v>8590</v>
      </c>
      <c r="L2204" s="2" t="s">
        <v>24</v>
      </c>
      <c r="M2204" s="2"/>
      <c r="N2204" t="s">
        <v>8589</v>
      </c>
      <c r="O2204" s="8" t="str">
        <f t="shared" si="68"/>
        <v/>
      </c>
      <c r="P2204" t="str">
        <f t="shared" si="69"/>
        <v>N/A</v>
      </c>
    </row>
    <row r="2205" spans="1:16" x14ac:dyDescent="0.25">
      <c r="A2205" s="2" t="s">
        <v>5957</v>
      </c>
      <c r="B2205" s="4">
        <v>46224.249305555553</v>
      </c>
      <c r="C2205" s="2" t="s">
        <v>53</v>
      </c>
      <c r="D2205" s="2" t="s">
        <v>54</v>
      </c>
      <c r="E2205" s="2" t="s">
        <v>148</v>
      </c>
      <c r="F2205" s="2" t="s">
        <v>113</v>
      </c>
      <c r="G2205" s="2" t="s">
        <v>183</v>
      </c>
      <c r="H2205" s="2" t="s">
        <v>21</v>
      </c>
      <c r="I2205" s="2">
        <v>24</v>
      </c>
      <c r="J2205" s="2" t="s">
        <v>149</v>
      </c>
      <c r="K2205" s="4" t="s">
        <v>8590</v>
      </c>
      <c r="L2205" s="2" t="s">
        <v>24</v>
      </c>
      <c r="M2205" s="2"/>
      <c r="N2205" t="s">
        <v>8587</v>
      </c>
      <c r="O2205" s="8" t="str">
        <f t="shared" si="68"/>
        <v/>
      </c>
      <c r="P2205" t="str">
        <f t="shared" si="69"/>
        <v>N/A</v>
      </c>
    </row>
    <row r="2206" spans="1:16" x14ac:dyDescent="0.25">
      <c r="A2206" s="2" t="s">
        <v>5959</v>
      </c>
      <c r="B2206" s="4">
        <v>46131.531944444447</v>
      </c>
      <c r="C2206" s="2" t="s">
        <v>67</v>
      </c>
      <c r="D2206" s="2" t="s">
        <v>95</v>
      </c>
      <c r="E2206" s="2" t="s">
        <v>38</v>
      </c>
      <c r="F2206" s="2" t="s">
        <v>113</v>
      </c>
      <c r="G2206" s="2" t="s">
        <v>179</v>
      </c>
      <c r="H2206" s="2" t="s">
        <v>21</v>
      </c>
      <c r="I2206" s="2">
        <v>24</v>
      </c>
      <c r="J2206" s="2" t="s">
        <v>149</v>
      </c>
      <c r="K2206" s="4" t="s">
        <v>8590</v>
      </c>
      <c r="L2206" s="2" t="s">
        <v>24</v>
      </c>
      <c r="M2206" s="2"/>
      <c r="N2206" t="s">
        <v>8584</v>
      </c>
      <c r="O2206" s="8" t="str">
        <f t="shared" si="68"/>
        <v/>
      </c>
      <c r="P2206" t="str">
        <f t="shared" si="69"/>
        <v>N/A</v>
      </c>
    </row>
    <row r="2207" spans="1:16" x14ac:dyDescent="0.25">
      <c r="A2207" s="2" t="s">
        <v>5961</v>
      </c>
      <c r="B2207" s="4">
        <v>46223.553472222222</v>
      </c>
      <c r="C2207" s="2" t="s">
        <v>53</v>
      </c>
      <c r="D2207" s="2" t="s">
        <v>54</v>
      </c>
      <c r="E2207" s="2" t="s">
        <v>148</v>
      </c>
      <c r="F2207" s="2" t="s">
        <v>113</v>
      </c>
      <c r="G2207" s="2" t="s">
        <v>183</v>
      </c>
      <c r="H2207" s="2" t="s">
        <v>74</v>
      </c>
      <c r="I2207" s="2">
        <v>8</v>
      </c>
      <c r="J2207" s="2" t="s">
        <v>106</v>
      </c>
      <c r="K2207" s="4">
        <v>46223.821527777778</v>
      </c>
      <c r="L2207" s="2" t="s">
        <v>24</v>
      </c>
      <c r="M2207" s="2">
        <v>2</v>
      </c>
      <c r="N2207" t="s">
        <v>8589</v>
      </c>
      <c r="O2207" s="8">
        <f t="shared" si="68"/>
        <v>6.4333333333488554</v>
      </c>
      <c r="P2207" t="str">
        <f t="shared" si="69"/>
        <v>Yes</v>
      </c>
    </row>
    <row r="2208" spans="1:16" x14ac:dyDescent="0.25">
      <c r="A2208" s="2" t="s">
        <v>5964</v>
      </c>
      <c r="B2208" s="4">
        <v>46039.379166666666</v>
      </c>
      <c r="C2208" s="2" t="s">
        <v>16</v>
      </c>
      <c r="D2208" s="2" t="s">
        <v>84</v>
      </c>
      <c r="E2208" s="2" t="s">
        <v>46</v>
      </c>
      <c r="F2208" s="2" t="s">
        <v>30</v>
      </c>
      <c r="G2208" s="2" t="s">
        <v>211</v>
      </c>
      <c r="H2208" s="2" t="s">
        <v>21</v>
      </c>
      <c r="I2208" s="2">
        <v>24</v>
      </c>
      <c r="J2208" s="2" t="s">
        <v>149</v>
      </c>
      <c r="K2208" s="4" t="s">
        <v>8590</v>
      </c>
      <c r="L2208" s="2" t="s">
        <v>24</v>
      </c>
      <c r="M2208" s="2"/>
      <c r="N2208" t="s">
        <v>8582</v>
      </c>
      <c r="O2208" s="8" t="str">
        <f t="shared" si="68"/>
        <v/>
      </c>
      <c r="P2208" t="str">
        <f t="shared" si="69"/>
        <v>N/A</v>
      </c>
    </row>
    <row r="2209" spans="1:16" x14ac:dyDescent="0.25">
      <c r="A2209" s="2" t="s">
        <v>5966</v>
      </c>
      <c r="B2209" s="4">
        <v>46236.834722222222</v>
      </c>
      <c r="C2209" s="2" t="s">
        <v>53</v>
      </c>
      <c r="D2209" s="2" t="s">
        <v>61</v>
      </c>
      <c r="E2209" s="2" t="s">
        <v>38</v>
      </c>
      <c r="F2209" s="2" t="s">
        <v>55</v>
      </c>
      <c r="G2209" s="2" t="s">
        <v>211</v>
      </c>
      <c r="H2209" s="2" t="s">
        <v>32</v>
      </c>
      <c r="I2209" s="2">
        <v>48</v>
      </c>
      <c r="J2209" s="2" t="s">
        <v>11</v>
      </c>
      <c r="K2209" s="4" t="s">
        <v>8590</v>
      </c>
      <c r="L2209" s="2" t="s">
        <v>92</v>
      </c>
      <c r="M2209" s="2"/>
      <c r="N2209" t="s">
        <v>8589</v>
      </c>
      <c r="O2209" s="8" t="str">
        <f t="shared" si="68"/>
        <v/>
      </c>
      <c r="P2209" t="str">
        <f t="shared" si="69"/>
        <v>N/A</v>
      </c>
    </row>
    <row r="2210" spans="1:16" x14ac:dyDescent="0.25">
      <c r="A2210" s="2" t="s">
        <v>5968</v>
      </c>
      <c r="B2210" s="4">
        <v>46254.620833333334</v>
      </c>
      <c r="C2210" s="2" t="s">
        <v>53</v>
      </c>
      <c r="D2210" s="2" t="s">
        <v>61</v>
      </c>
      <c r="E2210" s="2" t="s">
        <v>46</v>
      </c>
      <c r="F2210" s="2" t="s">
        <v>113</v>
      </c>
      <c r="G2210" s="2" t="s">
        <v>179</v>
      </c>
      <c r="H2210" s="2" t="s">
        <v>21</v>
      </c>
      <c r="I2210" s="2">
        <v>24</v>
      </c>
      <c r="J2210" s="2" t="s">
        <v>106</v>
      </c>
      <c r="K2210" s="4">
        <v>46254.987500000003</v>
      </c>
      <c r="L2210" s="2" t="s">
        <v>92</v>
      </c>
      <c r="M2210" s="2"/>
      <c r="N2210" t="s">
        <v>8588</v>
      </c>
      <c r="O2210" s="8">
        <f t="shared" si="68"/>
        <v>8.8000000000465661</v>
      </c>
      <c r="P2210" t="str">
        <f t="shared" si="69"/>
        <v>Yes</v>
      </c>
    </row>
    <row r="2211" spans="1:16" x14ac:dyDescent="0.25">
      <c r="A2211" s="2" t="s">
        <v>5971</v>
      </c>
      <c r="B2211" s="4">
        <v>46196.318749999999</v>
      </c>
      <c r="C2211" s="2" t="s">
        <v>53</v>
      </c>
      <c r="D2211" s="2" t="s">
        <v>61</v>
      </c>
      <c r="E2211" s="2" t="s">
        <v>79</v>
      </c>
      <c r="F2211" s="2" t="s">
        <v>30</v>
      </c>
      <c r="G2211" s="2" t="s">
        <v>183</v>
      </c>
      <c r="H2211" s="2" t="s">
        <v>74</v>
      </c>
      <c r="I2211" s="2">
        <v>8</v>
      </c>
      <c r="J2211" s="2" t="s">
        <v>11</v>
      </c>
      <c r="K2211" s="4" t="s">
        <v>8590</v>
      </c>
      <c r="L2211" s="2" t="s">
        <v>92</v>
      </c>
      <c r="M2211" s="2"/>
      <c r="N2211" t="s">
        <v>8586</v>
      </c>
      <c r="O2211" s="8" t="str">
        <f t="shared" si="68"/>
        <v/>
      </c>
      <c r="P2211" t="str">
        <f t="shared" si="69"/>
        <v>N/A</v>
      </c>
    </row>
    <row r="2212" spans="1:16" x14ac:dyDescent="0.25">
      <c r="A2212" s="2" t="s">
        <v>5973</v>
      </c>
      <c r="B2212" s="4">
        <v>46065.882638888892</v>
      </c>
      <c r="C2212" s="2" t="s">
        <v>28</v>
      </c>
      <c r="D2212" s="2" t="s">
        <v>37</v>
      </c>
      <c r="E2212" s="2" t="s">
        <v>85</v>
      </c>
      <c r="F2212" s="2" t="s">
        <v>30</v>
      </c>
      <c r="G2212" s="2" t="s">
        <v>179</v>
      </c>
      <c r="H2212" s="2" t="s">
        <v>32</v>
      </c>
      <c r="I2212" s="2">
        <v>48</v>
      </c>
      <c r="J2212" s="2" t="s">
        <v>11</v>
      </c>
      <c r="K2212" s="4" t="s">
        <v>8590</v>
      </c>
      <c r="L2212" s="2" t="s">
        <v>92</v>
      </c>
      <c r="M2212" s="2"/>
      <c r="N2212" t="s">
        <v>8589</v>
      </c>
      <c r="O2212" s="8" t="str">
        <f t="shared" si="68"/>
        <v/>
      </c>
      <c r="P2212" t="str">
        <f t="shared" si="69"/>
        <v>N/A</v>
      </c>
    </row>
    <row r="2213" spans="1:16" x14ac:dyDescent="0.25">
      <c r="A2213" s="2" t="s">
        <v>5975</v>
      </c>
      <c r="B2213" s="4">
        <v>46099.363888888889</v>
      </c>
      <c r="C2213" s="2" t="s">
        <v>53</v>
      </c>
      <c r="D2213" s="2" t="s">
        <v>54</v>
      </c>
      <c r="E2213" s="2" t="s">
        <v>148</v>
      </c>
      <c r="F2213" s="2" t="s">
        <v>96</v>
      </c>
      <c r="G2213" s="2" t="s">
        <v>31</v>
      </c>
      <c r="H2213" s="2" t="s">
        <v>21</v>
      </c>
      <c r="I2213" s="2">
        <v>24</v>
      </c>
      <c r="J2213" s="2" t="s">
        <v>75</v>
      </c>
      <c r="K2213" s="4">
        <v>46101.893750000003</v>
      </c>
      <c r="L2213" s="2" t="s">
        <v>24</v>
      </c>
      <c r="M2213" s="2"/>
      <c r="N2213" t="s">
        <v>8583</v>
      </c>
      <c r="O2213" s="8">
        <f t="shared" si="68"/>
        <v>60.716666666732635</v>
      </c>
      <c r="P2213" t="str">
        <f t="shared" si="69"/>
        <v>N/A</v>
      </c>
    </row>
    <row r="2214" spans="1:16" x14ac:dyDescent="0.25">
      <c r="A2214" s="2" t="s">
        <v>5978</v>
      </c>
      <c r="B2214" s="4">
        <v>46203.384722222225</v>
      </c>
      <c r="C2214" s="2" t="s">
        <v>53</v>
      </c>
      <c r="D2214" s="2" t="s">
        <v>54</v>
      </c>
      <c r="E2214" s="2" t="s">
        <v>90</v>
      </c>
      <c r="F2214" s="2" t="s">
        <v>30</v>
      </c>
      <c r="G2214" s="2" t="s">
        <v>110</v>
      </c>
      <c r="H2214" s="2" t="s">
        <v>21</v>
      </c>
      <c r="I2214" s="2">
        <v>24</v>
      </c>
      <c r="J2214" s="2" t="s">
        <v>149</v>
      </c>
      <c r="K2214" s="4" t="s">
        <v>8590</v>
      </c>
      <c r="L2214" s="2" t="s">
        <v>24</v>
      </c>
      <c r="M2214" s="2"/>
      <c r="N2214" t="s">
        <v>8584</v>
      </c>
      <c r="O2214" s="8" t="str">
        <f t="shared" si="68"/>
        <v/>
      </c>
      <c r="P2214" t="str">
        <f t="shared" si="69"/>
        <v>N/A</v>
      </c>
    </row>
    <row r="2215" spans="1:16" x14ac:dyDescent="0.25">
      <c r="A2215" s="2" t="s">
        <v>5980</v>
      </c>
      <c r="B2215" s="4">
        <v>46114.995833333334</v>
      </c>
      <c r="C2215" s="2" t="s">
        <v>53</v>
      </c>
      <c r="D2215" s="2" t="s">
        <v>61</v>
      </c>
      <c r="E2215" s="2" t="s">
        <v>85</v>
      </c>
      <c r="F2215" s="2" t="s">
        <v>55</v>
      </c>
      <c r="G2215" s="2" t="s">
        <v>211</v>
      </c>
      <c r="H2215" s="2" t="s">
        <v>21</v>
      </c>
      <c r="I2215" s="2">
        <v>24</v>
      </c>
      <c r="J2215" s="2" t="s">
        <v>106</v>
      </c>
      <c r="K2215" s="4">
        <v>46116.666666666664</v>
      </c>
      <c r="L2215" s="2" t="s">
        <v>24</v>
      </c>
      <c r="M2215" s="2">
        <v>4</v>
      </c>
      <c r="N2215" t="s">
        <v>8583</v>
      </c>
      <c r="O2215" s="8">
        <f t="shared" si="68"/>
        <v>40.099999999918509</v>
      </c>
      <c r="P2215" t="str">
        <f t="shared" si="69"/>
        <v>No</v>
      </c>
    </row>
    <row r="2216" spans="1:16" x14ac:dyDescent="0.25">
      <c r="A2216" s="2" t="s">
        <v>5983</v>
      </c>
      <c r="B2216" s="4">
        <v>46043.734027777777</v>
      </c>
      <c r="C2216" s="2" t="s">
        <v>28</v>
      </c>
      <c r="D2216" s="2" t="s">
        <v>100</v>
      </c>
      <c r="E2216" s="2" t="s">
        <v>79</v>
      </c>
      <c r="F2216" s="2" t="s">
        <v>55</v>
      </c>
      <c r="G2216" s="2" t="s">
        <v>211</v>
      </c>
      <c r="H2216" s="2" t="s">
        <v>21</v>
      </c>
      <c r="I2216" s="2">
        <v>24</v>
      </c>
      <c r="J2216" s="2" t="s">
        <v>11</v>
      </c>
      <c r="K2216" s="4" t="s">
        <v>8590</v>
      </c>
      <c r="L2216" s="2" t="s">
        <v>92</v>
      </c>
      <c r="M2216" s="2"/>
      <c r="N2216" t="s">
        <v>8586</v>
      </c>
      <c r="O2216" s="8" t="str">
        <f t="shared" si="68"/>
        <v/>
      </c>
      <c r="P2216" t="str">
        <f t="shared" si="69"/>
        <v>N/A</v>
      </c>
    </row>
    <row r="2217" spans="1:16" x14ac:dyDescent="0.25">
      <c r="A2217" s="2" t="s">
        <v>5985</v>
      </c>
      <c r="B2217" s="4">
        <v>46232.554166666669</v>
      </c>
      <c r="C2217" s="2" t="s">
        <v>67</v>
      </c>
      <c r="D2217" s="2" t="s">
        <v>95</v>
      </c>
      <c r="E2217" s="2" t="s">
        <v>38</v>
      </c>
      <c r="F2217" s="2" t="s">
        <v>55</v>
      </c>
      <c r="G2217" s="2" t="s">
        <v>183</v>
      </c>
      <c r="H2217" s="2" t="s">
        <v>21</v>
      </c>
      <c r="I2217" s="2">
        <v>24</v>
      </c>
      <c r="J2217" s="2" t="s">
        <v>75</v>
      </c>
      <c r="K2217" s="4">
        <v>46234.731249999997</v>
      </c>
      <c r="L2217" s="2" t="s">
        <v>24</v>
      </c>
      <c r="M2217" s="2">
        <v>5</v>
      </c>
      <c r="N2217" t="s">
        <v>8581</v>
      </c>
      <c r="O2217" s="8">
        <f t="shared" si="68"/>
        <v>52.249999999883585</v>
      </c>
      <c r="P2217" t="str">
        <f t="shared" si="69"/>
        <v>N/A</v>
      </c>
    </row>
    <row r="2218" spans="1:16" x14ac:dyDescent="0.25">
      <c r="A2218" s="2" t="s">
        <v>5988</v>
      </c>
      <c r="B2218" s="4">
        <v>46251.681944444441</v>
      </c>
      <c r="C2218" s="2" t="s">
        <v>67</v>
      </c>
      <c r="D2218" s="2" t="s">
        <v>95</v>
      </c>
      <c r="E2218" s="2" t="s">
        <v>79</v>
      </c>
      <c r="F2218" s="2" t="s">
        <v>55</v>
      </c>
      <c r="G2218" s="2" t="s">
        <v>211</v>
      </c>
      <c r="H2218" s="2" t="s">
        <v>32</v>
      </c>
      <c r="I2218" s="2">
        <v>48</v>
      </c>
      <c r="J2218" s="2" t="s">
        <v>106</v>
      </c>
      <c r="K2218" s="4">
        <v>46252.582638888889</v>
      </c>
      <c r="L2218" s="2" t="s">
        <v>24</v>
      </c>
      <c r="M2218" s="2">
        <v>3</v>
      </c>
      <c r="N2218" t="s">
        <v>8588</v>
      </c>
      <c r="O2218" s="8">
        <f t="shared" si="68"/>
        <v>21.616666666755918</v>
      </c>
      <c r="P2218" t="str">
        <f t="shared" si="69"/>
        <v>Yes</v>
      </c>
    </row>
    <row r="2219" spans="1:16" x14ac:dyDescent="0.25">
      <c r="A2219" s="2" t="s">
        <v>5991</v>
      </c>
      <c r="B2219" s="4">
        <v>46222.65347222222</v>
      </c>
      <c r="C2219" s="2" t="s">
        <v>16</v>
      </c>
      <c r="D2219" s="2" t="s">
        <v>84</v>
      </c>
      <c r="E2219" s="2" t="s">
        <v>79</v>
      </c>
      <c r="F2219" s="2" t="s">
        <v>113</v>
      </c>
      <c r="G2219" s="2" t="s">
        <v>211</v>
      </c>
      <c r="H2219" s="2" t="s">
        <v>80</v>
      </c>
      <c r="I2219" s="2">
        <v>4</v>
      </c>
      <c r="J2219" s="2" t="s">
        <v>106</v>
      </c>
      <c r="K2219" s="4">
        <v>46222.697916666664</v>
      </c>
      <c r="L2219" s="2" t="s">
        <v>24</v>
      </c>
      <c r="M2219" s="2">
        <v>4</v>
      </c>
      <c r="N2219" t="s">
        <v>8584</v>
      </c>
      <c r="O2219" s="8">
        <f t="shared" si="68"/>
        <v>1.0666666666511446</v>
      </c>
      <c r="P2219" t="str">
        <f t="shared" si="69"/>
        <v>Yes</v>
      </c>
    </row>
    <row r="2220" spans="1:16" x14ac:dyDescent="0.25">
      <c r="A2220" s="2" t="s">
        <v>5994</v>
      </c>
      <c r="B2220" s="4">
        <v>46097.290277777778</v>
      </c>
      <c r="C2220" s="2" t="s">
        <v>53</v>
      </c>
      <c r="D2220" s="2" t="s">
        <v>54</v>
      </c>
      <c r="E2220" s="2" t="s">
        <v>79</v>
      </c>
      <c r="F2220" s="2" t="s">
        <v>96</v>
      </c>
      <c r="G2220" s="2" t="s">
        <v>110</v>
      </c>
      <c r="H2220" s="2" t="s">
        <v>80</v>
      </c>
      <c r="I2220" s="2">
        <v>4</v>
      </c>
      <c r="J2220" s="2" t="s">
        <v>75</v>
      </c>
      <c r="K2220" s="4">
        <v>46097.313194444447</v>
      </c>
      <c r="L2220" s="2" t="s">
        <v>24</v>
      </c>
      <c r="M2220" s="2"/>
      <c r="N2220" t="s">
        <v>8581</v>
      </c>
      <c r="O2220" s="8">
        <f t="shared" si="68"/>
        <v>0.55000000004656613</v>
      </c>
      <c r="P2220" t="str">
        <f t="shared" si="69"/>
        <v>N/A</v>
      </c>
    </row>
    <row r="2221" spans="1:16" x14ac:dyDescent="0.25">
      <c r="A2221" s="2" t="s">
        <v>5997</v>
      </c>
      <c r="B2221" s="4">
        <v>46054.107638888891</v>
      </c>
      <c r="C2221" s="2" t="s">
        <v>53</v>
      </c>
      <c r="D2221" s="2" t="s">
        <v>61</v>
      </c>
      <c r="E2221" s="2" t="s">
        <v>79</v>
      </c>
      <c r="F2221" s="2" t="s">
        <v>96</v>
      </c>
      <c r="G2221" s="2" t="s">
        <v>110</v>
      </c>
      <c r="H2221" s="2" t="s">
        <v>74</v>
      </c>
      <c r="I2221" s="2">
        <v>8</v>
      </c>
      <c r="J2221" s="2" t="s">
        <v>149</v>
      </c>
      <c r="K2221" s="4" t="s">
        <v>8590</v>
      </c>
      <c r="L2221" s="2" t="s">
        <v>24</v>
      </c>
      <c r="M2221" s="2"/>
      <c r="N2221" t="s">
        <v>8589</v>
      </c>
      <c r="O2221" s="8" t="str">
        <f t="shared" si="68"/>
        <v/>
      </c>
      <c r="P2221" t="str">
        <f t="shared" si="69"/>
        <v>N/A</v>
      </c>
    </row>
    <row r="2222" spans="1:16" x14ac:dyDescent="0.25">
      <c r="A2222" s="2" t="s">
        <v>5999</v>
      </c>
      <c r="B2222" s="4">
        <v>46198.272916666669</v>
      </c>
      <c r="C2222" s="2" t="s">
        <v>67</v>
      </c>
      <c r="D2222" s="2" t="s">
        <v>95</v>
      </c>
      <c r="E2222" s="2" t="s">
        <v>38</v>
      </c>
      <c r="F2222" s="2" t="s">
        <v>55</v>
      </c>
      <c r="G2222" s="2" t="s">
        <v>211</v>
      </c>
      <c r="H2222" s="2" t="s">
        <v>21</v>
      </c>
      <c r="I2222" s="2">
        <v>24</v>
      </c>
      <c r="J2222" s="2" t="s">
        <v>106</v>
      </c>
      <c r="K2222" s="4">
        <v>46199.036111111112</v>
      </c>
      <c r="L2222" s="2" t="s">
        <v>24</v>
      </c>
      <c r="M2222" s="2">
        <v>4</v>
      </c>
      <c r="N2222" t="s">
        <v>8589</v>
      </c>
      <c r="O2222" s="8">
        <f t="shared" si="68"/>
        <v>18.316666666651145</v>
      </c>
      <c r="P2222" t="str">
        <f t="shared" si="69"/>
        <v>Yes</v>
      </c>
    </row>
    <row r="2223" spans="1:16" x14ac:dyDescent="0.25">
      <c r="A2223" s="2" t="s">
        <v>6002</v>
      </c>
      <c r="B2223" s="4">
        <v>46180.996527777781</v>
      </c>
      <c r="C2223" s="2" t="s">
        <v>16</v>
      </c>
      <c r="D2223" s="2" t="s">
        <v>17</v>
      </c>
      <c r="E2223" s="2" t="s">
        <v>79</v>
      </c>
      <c r="F2223" s="2" t="s">
        <v>113</v>
      </c>
      <c r="G2223" s="2" t="s">
        <v>211</v>
      </c>
      <c r="H2223" s="2" t="s">
        <v>21</v>
      </c>
      <c r="I2223" s="2">
        <v>24</v>
      </c>
      <c r="J2223" s="2" t="s">
        <v>287</v>
      </c>
      <c r="K2223" s="4" t="s">
        <v>8590</v>
      </c>
      <c r="L2223" s="2" t="s">
        <v>24</v>
      </c>
      <c r="M2223" s="2"/>
      <c r="N2223" t="s">
        <v>8587</v>
      </c>
      <c r="O2223" s="8" t="str">
        <f t="shared" si="68"/>
        <v/>
      </c>
      <c r="P2223" t="str">
        <f t="shared" si="69"/>
        <v>N/A</v>
      </c>
    </row>
    <row r="2224" spans="1:16" x14ac:dyDescent="0.25">
      <c r="A2224" s="2" t="s">
        <v>6004</v>
      </c>
      <c r="B2224" s="4">
        <v>46215.04791666667</v>
      </c>
      <c r="C2224" s="2" t="s">
        <v>28</v>
      </c>
      <c r="D2224" s="2" t="s">
        <v>100</v>
      </c>
      <c r="E2224" s="2" t="s">
        <v>18</v>
      </c>
      <c r="F2224" s="2" t="s">
        <v>96</v>
      </c>
      <c r="G2224" s="2" t="s">
        <v>179</v>
      </c>
      <c r="H2224" s="2" t="s">
        <v>74</v>
      </c>
      <c r="I2224" s="2">
        <v>8</v>
      </c>
      <c r="J2224" s="2" t="s">
        <v>106</v>
      </c>
      <c r="K2224" s="4">
        <v>46215.29791666667</v>
      </c>
      <c r="L2224" s="2" t="s">
        <v>24</v>
      </c>
      <c r="M2224" s="2"/>
      <c r="N2224" t="s">
        <v>8587</v>
      </c>
      <c r="O2224" s="8">
        <f t="shared" si="68"/>
        <v>6</v>
      </c>
      <c r="P2224" t="str">
        <f t="shared" si="69"/>
        <v>Yes</v>
      </c>
    </row>
    <row r="2225" spans="1:16" x14ac:dyDescent="0.25">
      <c r="A2225" s="2" t="s">
        <v>6007</v>
      </c>
      <c r="B2225" s="4">
        <v>46263.813888888886</v>
      </c>
      <c r="C2225" s="2" t="s">
        <v>67</v>
      </c>
      <c r="D2225" s="2" t="s">
        <v>95</v>
      </c>
      <c r="E2225" s="2" t="s">
        <v>79</v>
      </c>
      <c r="F2225" s="2" t="s">
        <v>30</v>
      </c>
      <c r="G2225" s="2" t="s">
        <v>101</v>
      </c>
      <c r="H2225" s="2" t="s">
        <v>21</v>
      </c>
      <c r="I2225" s="2">
        <v>24</v>
      </c>
      <c r="J2225" s="2" t="s">
        <v>287</v>
      </c>
      <c r="K2225" s="4" t="s">
        <v>8590</v>
      </c>
      <c r="L2225" s="2" t="s">
        <v>24</v>
      </c>
      <c r="M2225" s="2"/>
      <c r="N2225" t="s">
        <v>8583</v>
      </c>
      <c r="O2225" s="8" t="str">
        <f t="shared" si="68"/>
        <v/>
      </c>
      <c r="P2225" t="str">
        <f t="shared" si="69"/>
        <v>N/A</v>
      </c>
    </row>
    <row r="2226" spans="1:16" x14ac:dyDescent="0.25">
      <c r="A2226" s="2" t="s">
        <v>6009</v>
      </c>
      <c r="B2226" s="4">
        <v>46026.087500000001</v>
      </c>
      <c r="C2226" s="2" t="s">
        <v>53</v>
      </c>
      <c r="D2226" s="2" t="s">
        <v>61</v>
      </c>
      <c r="E2226" s="2" t="s">
        <v>46</v>
      </c>
      <c r="F2226" s="2" t="s">
        <v>113</v>
      </c>
      <c r="G2226" s="2" t="s">
        <v>211</v>
      </c>
      <c r="H2226" s="2" t="s">
        <v>21</v>
      </c>
      <c r="I2226" s="2">
        <v>24</v>
      </c>
      <c r="J2226" s="2" t="s">
        <v>75</v>
      </c>
      <c r="K2226" s="4">
        <v>46026.457638888889</v>
      </c>
      <c r="L2226" s="2" t="s">
        <v>24</v>
      </c>
      <c r="M2226" s="2"/>
      <c r="N2226" t="s">
        <v>8589</v>
      </c>
      <c r="O2226" s="8">
        <f t="shared" si="68"/>
        <v>8.8833333333022892</v>
      </c>
      <c r="P2226" t="str">
        <f t="shared" si="69"/>
        <v>N/A</v>
      </c>
    </row>
    <row r="2227" spans="1:16" x14ac:dyDescent="0.25">
      <c r="A2227" s="2" t="s">
        <v>6012</v>
      </c>
      <c r="B2227" s="4">
        <v>46094.400694444441</v>
      </c>
      <c r="C2227" s="2" t="s">
        <v>28</v>
      </c>
      <c r="D2227" s="2" t="s">
        <v>37</v>
      </c>
      <c r="E2227" s="2" t="s">
        <v>46</v>
      </c>
      <c r="F2227" s="2" t="s">
        <v>55</v>
      </c>
      <c r="G2227" s="2" t="s">
        <v>179</v>
      </c>
      <c r="H2227" s="2" t="s">
        <v>21</v>
      </c>
      <c r="I2227" s="2">
        <v>24</v>
      </c>
      <c r="J2227" s="2" t="s">
        <v>149</v>
      </c>
      <c r="K2227" s="4" t="s">
        <v>8590</v>
      </c>
      <c r="L2227" s="2" t="s">
        <v>24</v>
      </c>
      <c r="M2227" s="2"/>
      <c r="N2227" t="s">
        <v>8589</v>
      </c>
      <c r="O2227" s="8" t="str">
        <f t="shared" si="68"/>
        <v/>
      </c>
      <c r="P2227" t="str">
        <f t="shared" si="69"/>
        <v>N/A</v>
      </c>
    </row>
    <row r="2228" spans="1:16" x14ac:dyDescent="0.25">
      <c r="A2228" s="2" t="s">
        <v>6014</v>
      </c>
      <c r="B2228" s="4">
        <v>46048.586805555555</v>
      </c>
      <c r="C2228" s="2" t="s">
        <v>16</v>
      </c>
      <c r="D2228" s="2" t="s">
        <v>84</v>
      </c>
      <c r="E2228" s="2" t="s">
        <v>85</v>
      </c>
      <c r="F2228" s="2" t="s">
        <v>55</v>
      </c>
      <c r="G2228" s="2" t="s">
        <v>179</v>
      </c>
      <c r="H2228" s="2" t="s">
        <v>21</v>
      </c>
      <c r="I2228" s="2">
        <v>24</v>
      </c>
      <c r="J2228" s="2" t="s">
        <v>287</v>
      </c>
      <c r="K2228" s="4" t="s">
        <v>8590</v>
      </c>
      <c r="L2228" s="2" t="s">
        <v>24</v>
      </c>
      <c r="M2228" s="2"/>
      <c r="N2228" t="s">
        <v>8587</v>
      </c>
      <c r="O2228" s="8" t="str">
        <f t="shared" si="68"/>
        <v/>
      </c>
      <c r="P2228" t="str">
        <f t="shared" si="69"/>
        <v>N/A</v>
      </c>
    </row>
    <row r="2229" spans="1:16" x14ac:dyDescent="0.25">
      <c r="A2229" s="2" t="s">
        <v>6016</v>
      </c>
      <c r="B2229" s="4">
        <v>46149.258333333331</v>
      </c>
      <c r="C2229" s="2" t="s">
        <v>67</v>
      </c>
      <c r="D2229" s="2" t="s">
        <v>95</v>
      </c>
      <c r="E2229" s="2" t="s">
        <v>90</v>
      </c>
      <c r="F2229" s="2" t="s">
        <v>96</v>
      </c>
      <c r="G2229" s="2" t="s">
        <v>31</v>
      </c>
      <c r="H2229" s="2" t="s">
        <v>74</v>
      </c>
      <c r="I2229" s="2">
        <v>8</v>
      </c>
      <c r="J2229" s="2" t="s">
        <v>106</v>
      </c>
      <c r="K2229" s="4">
        <v>46149.478472222225</v>
      </c>
      <c r="L2229" s="2" t="s">
        <v>24</v>
      </c>
      <c r="M2229" s="2">
        <v>4</v>
      </c>
      <c r="N2229" t="s">
        <v>8584</v>
      </c>
      <c r="O2229" s="8">
        <f t="shared" si="68"/>
        <v>5.2833333334419876</v>
      </c>
      <c r="P2229" t="str">
        <f t="shared" si="69"/>
        <v>Yes</v>
      </c>
    </row>
    <row r="2230" spans="1:16" x14ac:dyDescent="0.25">
      <c r="A2230" s="2" t="s">
        <v>6019</v>
      </c>
      <c r="B2230" s="4">
        <v>46111.938888888886</v>
      </c>
      <c r="C2230" s="2" t="s">
        <v>53</v>
      </c>
      <c r="D2230" s="2" t="s">
        <v>61</v>
      </c>
      <c r="E2230" s="2" t="s">
        <v>90</v>
      </c>
      <c r="F2230" s="2" t="s">
        <v>55</v>
      </c>
      <c r="G2230" s="2" t="s">
        <v>31</v>
      </c>
      <c r="H2230" s="2" t="s">
        <v>80</v>
      </c>
      <c r="I2230" s="2">
        <v>4</v>
      </c>
      <c r="J2230" s="2" t="s">
        <v>106</v>
      </c>
      <c r="K2230" s="4">
        <v>46112.043749999997</v>
      </c>
      <c r="L2230" s="2" t="s">
        <v>24</v>
      </c>
      <c r="M2230" s="2"/>
      <c r="N2230" t="s">
        <v>8583</v>
      </c>
      <c r="O2230" s="8">
        <f t="shared" si="68"/>
        <v>2.5166666666627862</v>
      </c>
      <c r="P2230" t="str">
        <f t="shared" si="69"/>
        <v>Yes</v>
      </c>
    </row>
    <row r="2231" spans="1:16" x14ac:dyDescent="0.25">
      <c r="A2231" s="2" t="s">
        <v>6022</v>
      </c>
      <c r="B2231" s="4">
        <v>46086.29791666667</v>
      </c>
      <c r="C2231" s="2" t="s">
        <v>67</v>
      </c>
      <c r="D2231" s="2" t="s">
        <v>95</v>
      </c>
      <c r="E2231" s="2" t="s">
        <v>46</v>
      </c>
      <c r="F2231" s="2" t="s">
        <v>30</v>
      </c>
      <c r="G2231" s="2" t="s">
        <v>183</v>
      </c>
      <c r="H2231" s="2" t="s">
        <v>21</v>
      </c>
      <c r="I2231" s="2">
        <v>24</v>
      </c>
      <c r="J2231" s="2" t="s">
        <v>11</v>
      </c>
      <c r="K2231" s="4" t="s">
        <v>8590</v>
      </c>
      <c r="L2231" s="2" t="s">
        <v>92</v>
      </c>
      <c r="M2231" s="2"/>
      <c r="N2231" t="s">
        <v>8586</v>
      </c>
      <c r="O2231" s="8" t="str">
        <f t="shared" si="68"/>
        <v/>
      </c>
      <c r="P2231" t="str">
        <f t="shared" si="69"/>
        <v>N/A</v>
      </c>
    </row>
    <row r="2232" spans="1:16" x14ac:dyDescent="0.25">
      <c r="A2232" s="2" t="s">
        <v>6024</v>
      </c>
      <c r="B2232" s="4">
        <v>46119.210416666669</v>
      </c>
      <c r="C2232" s="2" t="s">
        <v>28</v>
      </c>
      <c r="D2232" s="2" t="s">
        <v>37</v>
      </c>
      <c r="E2232" s="2" t="s">
        <v>148</v>
      </c>
      <c r="F2232" s="2" t="s">
        <v>30</v>
      </c>
      <c r="G2232" s="2" t="s">
        <v>110</v>
      </c>
      <c r="H2232" s="2" t="s">
        <v>74</v>
      </c>
      <c r="I2232" s="2">
        <v>8</v>
      </c>
      <c r="J2232" s="2" t="s">
        <v>106</v>
      </c>
      <c r="K2232" s="4">
        <v>46119.62222222222</v>
      </c>
      <c r="L2232" s="2" t="s">
        <v>24</v>
      </c>
      <c r="M2232" s="2">
        <v>4</v>
      </c>
      <c r="N2232" t="s">
        <v>8589</v>
      </c>
      <c r="O2232" s="8">
        <f t="shared" si="68"/>
        <v>9.8833333332440816</v>
      </c>
      <c r="P2232" t="str">
        <f t="shared" si="69"/>
        <v>No</v>
      </c>
    </row>
    <row r="2233" spans="1:16" x14ac:dyDescent="0.25">
      <c r="A2233" s="2" t="s">
        <v>6027</v>
      </c>
      <c r="B2233" s="4">
        <v>46264.428472222222</v>
      </c>
      <c r="C2233" s="2" t="s">
        <v>67</v>
      </c>
      <c r="D2233" s="2" t="s">
        <v>95</v>
      </c>
      <c r="E2233" s="2" t="s">
        <v>18</v>
      </c>
      <c r="F2233" s="2" t="s">
        <v>30</v>
      </c>
      <c r="G2233" s="2" t="s">
        <v>110</v>
      </c>
      <c r="H2233" s="2" t="s">
        <v>21</v>
      </c>
      <c r="I2233" s="2">
        <v>24</v>
      </c>
      <c r="J2233" s="2" t="s">
        <v>75</v>
      </c>
      <c r="K2233" s="4">
        <v>46264.638194444444</v>
      </c>
      <c r="L2233" s="2" t="s">
        <v>24</v>
      </c>
      <c r="M2233" s="2"/>
      <c r="N2233" t="s">
        <v>8584</v>
      </c>
      <c r="O2233" s="8">
        <f t="shared" si="68"/>
        <v>5.0333333333255723</v>
      </c>
      <c r="P2233" t="str">
        <f t="shared" si="69"/>
        <v>N/A</v>
      </c>
    </row>
    <row r="2234" spans="1:16" x14ac:dyDescent="0.25">
      <c r="A2234" s="2" t="s">
        <v>6030</v>
      </c>
      <c r="B2234" s="4">
        <v>46129.137499999997</v>
      </c>
      <c r="C2234" s="2" t="s">
        <v>67</v>
      </c>
      <c r="D2234" s="2" t="s">
        <v>68</v>
      </c>
      <c r="E2234" s="2" t="s">
        <v>38</v>
      </c>
      <c r="F2234" s="2" t="s">
        <v>96</v>
      </c>
      <c r="G2234" s="2" t="s">
        <v>211</v>
      </c>
      <c r="H2234" s="2" t="s">
        <v>32</v>
      </c>
      <c r="I2234" s="2">
        <v>48</v>
      </c>
      <c r="J2234" s="2" t="s">
        <v>149</v>
      </c>
      <c r="K2234" s="4" t="s">
        <v>8590</v>
      </c>
      <c r="L2234" s="2" t="s">
        <v>24</v>
      </c>
      <c r="M2234" s="2"/>
      <c r="N2234" t="s">
        <v>8586</v>
      </c>
      <c r="O2234" s="8" t="str">
        <f t="shared" si="68"/>
        <v/>
      </c>
      <c r="P2234" t="str">
        <f t="shared" si="69"/>
        <v>N/A</v>
      </c>
    </row>
    <row r="2235" spans="1:16" x14ac:dyDescent="0.25">
      <c r="A2235" s="2" t="s">
        <v>6032</v>
      </c>
      <c r="B2235" s="4">
        <v>46069.245138888888</v>
      </c>
      <c r="C2235" s="2" t="s">
        <v>28</v>
      </c>
      <c r="D2235" s="2" t="s">
        <v>37</v>
      </c>
      <c r="E2235" s="2" t="s">
        <v>85</v>
      </c>
      <c r="F2235" s="2" t="s">
        <v>55</v>
      </c>
      <c r="G2235" s="2" t="s">
        <v>101</v>
      </c>
      <c r="H2235" s="2" t="s">
        <v>32</v>
      </c>
      <c r="I2235" s="2">
        <v>48</v>
      </c>
      <c r="J2235" s="2" t="s">
        <v>106</v>
      </c>
      <c r="K2235" s="4">
        <v>46070.261111111111</v>
      </c>
      <c r="L2235" s="2" t="s">
        <v>24</v>
      </c>
      <c r="M2235" s="2">
        <v>4</v>
      </c>
      <c r="N2235" t="s">
        <v>8581</v>
      </c>
      <c r="O2235" s="8">
        <f t="shared" si="68"/>
        <v>24.383333333360497</v>
      </c>
      <c r="P2235" t="str">
        <f t="shared" si="69"/>
        <v>Yes</v>
      </c>
    </row>
    <row r="2236" spans="1:16" x14ac:dyDescent="0.25">
      <c r="A2236" s="2" t="s">
        <v>6035</v>
      </c>
      <c r="B2236" s="4">
        <v>46192.183333333334</v>
      </c>
      <c r="C2236" s="2" t="s">
        <v>16</v>
      </c>
      <c r="D2236" s="2" t="s">
        <v>84</v>
      </c>
      <c r="E2236" s="2" t="s">
        <v>38</v>
      </c>
      <c r="F2236" s="2" t="s">
        <v>55</v>
      </c>
      <c r="G2236" s="2" t="s">
        <v>179</v>
      </c>
      <c r="H2236" s="2" t="s">
        <v>80</v>
      </c>
      <c r="I2236" s="2">
        <v>4</v>
      </c>
      <c r="J2236" s="2" t="s">
        <v>106</v>
      </c>
      <c r="K2236" s="4">
        <v>46192.220833333333</v>
      </c>
      <c r="L2236" s="2" t="s">
        <v>24</v>
      </c>
      <c r="M2236" s="2">
        <v>4</v>
      </c>
      <c r="N2236" t="s">
        <v>8589</v>
      </c>
      <c r="O2236" s="8">
        <f t="shared" si="68"/>
        <v>0.8999999999650754</v>
      </c>
      <c r="P2236" t="str">
        <f t="shared" si="69"/>
        <v>Yes</v>
      </c>
    </row>
    <row r="2237" spans="1:16" x14ac:dyDescent="0.25">
      <c r="A2237" s="2" t="s">
        <v>6038</v>
      </c>
      <c r="B2237" s="4">
        <v>46240.056250000001</v>
      </c>
      <c r="C2237" s="2" t="s">
        <v>67</v>
      </c>
      <c r="D2237" s="2" t="s">
        <v>68</v>
      </c>
      <c r="E2237" s="2" t="s">
        <v>18</v>
      </c>
      <c r="F2237" s="2" t="s">
        <v>113</v>
      </c>
      <c r="G2237" s="2" t="s">
        <v>211</v>
      </c>
      <c r="H2237" s="2" t="s">
        <v>74</v>
      </c>
      <c r="I2237" s="2">
        <v>8</v>
      </c>
      <c r="J2237" s="2" t="s">
        <v>149</v>
      </c>
      <c r="K2237" s="4" t="s">
        <v>8590</v>
      </c>
      <c r="L2237" s="2" t="s">
        <v>92</v>
      </c>
      <c r="M2237" s="2"/>
      <c r="N2237" t="s">
        <v>8586</v>
      </c>
      <c r="O2237" s="8" t="str">
        <f t="shared" si="68"/>
        <v/>
      </c>
      <c r="P2237" t="str">
        <f t="shared" si="69"/>
        <v>N/A</v>
      </c>
    </row>
    <row r="2238" spans="1:16" x14ac:dyDescent="0.25">
      <c r="A2238" s="2" t="s">
        <v>6040</v>
      </c>
      <c r="B2238" s="4">
        <v>46040.581944444442</v>
      </c>
      <c r="C2238" s="2" t="s">
        <v>53</v>
      </c>
      <c r="D2238" s="2" t="s">
        <v>54</v>
      </c>
      <c r="E2238" s="2" t="s">
        <v>18</v>
      </c>
      <c r="F2238" s="2" t="s">
        <v>113</v>
      </c>
      <c r="G2238" s="2" t="s">
        <v>183</v>
      </c>
      <c r="H2238" s="2" t="s">
        <v>21</v>
      </c>
      <c r="I2238" s="2">
        <v>24</v>
      </c>
      <c r="J2238" s="2" t="s">
        <v>11</v>
      </c>
      <c r="K2238" s="4" t="s">
        <v>8590</v>
      </c>
      <c r="L2238" s="2" t="s">
        <v>92</v>
      </c>
      <c r="M2238" s="2"/>
      <c r="N2238" t="s">
        <v>8583</v>
      </c>
      <c r="O2238" s="8" t="str">
        <f t="shared" si="68"/>
        <v/>
      </c>
      <c r="P2238" t="str">
        <f t="shared" si="69"/>
        <v>N/A</v>
      </c>
    </row>
    <row r="2239" spans="1:16" x14ac:dyDescent="0.25">
      <c r="A2239" s="2" t="s">
        <v>6042</v>
      </c>
      <c r="B2239" s="4">
        <v>46233.789583333331</v>
      </c>
      <c r="C2239" s="2" t="s">
        <v>53</v>
      </c>
      <c r="D2239" s="2" t="s">
        <v>54</v>
      </c>
      <c r="E2239" s="2" t="s">
        <v>79</v>
      </c>
      <c r="F2239" s="2" t="s">
        <v>30</v>
      </c>
      <c r="G2239" s="2" t="s">
        <v>31</v>
      </c>
      <c r="H2239" s="2" t="s">
        <v>74</v>
      </c>
      <c r="I2239" s="2">
        <v>8</v>
      </c>
      <c r="J2239" s="2" t="s">
        <v>149</v>
      </c>
      <c r="K2239" s="4" t="s">
        <v>8590</v>
      </c>
      <c r="L2239" s="2" t="s">
        <v>24</v>
      </c>
      <c r="M2239" s="2"/>
      <c r="N2239" t="s">
        <v>8583</v>
      </c>
      <c r="O2239" s="8" t="str">
        <f t="shared" si="68"/>
        <v/>
      </c>
      <c r="P2239" t="str">
        <f t="shared" si="69"/>
        <v>N/A</v>
      </c>
    </row>
    <row r="2240" spans="1:16" x14ac:dyDescent="0.25">
      <c r="A2240" s="2" t="s">
        <v>6044</v>
      </c>
      <c r="B2240" s="4">
        <v>46258.290277777778</v>
      </c>
      <c r="C2240" s="2" t="s">
        <v>16</v>
      </c>
      <c r="D2240" s="2" t="s">
        <v>84</v>
      </c>
      <c r="E2240" s="2" t="s">
        <v>18</v>
      </c>
      <c r="F2240" s="2" t="s">
        <v>55</v>
      </c>
      <c r="G2240" s="2" t="s">
        <v>183</v>
      </c>
      <c r="H2240" s="2" t="s">
        <v>32</v>
      </c>
      <c r="I2240" s="2">
        <v>48</v>
      </c>
      <c r="J2240" s="2" t="s">
        <v>106</v>
      </c>
      <c r="K2240" s="4">
        <v>46261.599999999999</v>
      </c>
      <c r="L2240" s="2" t="s">
        <v>24</v>
      </c>
      <c r="M2240" s="2">
        <v>1</v>
      </c>
      <c r="N2240" t="s">
        <v>8581</v>
      </c>
      <c r="O2240" s="8">
        <f t="shared" si="68"/>
        <v>79.433333333290648</v>
      </c>
      <c r="P2240" t="str">
        <f t="shared" si="69"/>
        <v>No</v>
      </c>
    </row>
    <row r="2241" spans="1:16" x14ac:dyDescent="0.25">
      <c r="A2241" s="2" t="s">
        <v>6046</v>
      </c>
      <c r="B2241" s="4">
        <v>46151.386111111111</v>
      </c>
      <c r="C2241" s="2" t="s">
        <v>53</v>
      </c>
      <c r="D2241" s="2" t="s">
        <v>54</v>
      </c>
      <c r="E2241" s="2" t="s">
        <v>18</v>
      </c>
      <c r="F2241" s="2" t="s">
        <v>30</v>
      </c>
      <c r="G2241" s="2" t="s">
        <v>211</v>
      </c>
      <c r="H2241" s="2" t="s">
        <v>74</v>
      </c>
      <c r="I2241" s="2">
        <v>8</v>
      </c>
      <c r="J2241" s="2" t="s">
        <v>106</v>
      </c>
      <c r="K2241" s="4">
        <v>46151.46875</v>
      </c>
      <c r="L2241" s="2" t="s">
        <v>24</v>
      </c>
      <c r="M2241" s="2">
        <v>4</v>
      </c>
      <c r="N2241" t="s">
        <v>8583</v>
      </c>
      <c r="O2241" s="8">
        <f t="shared" si="68"/>
        <v>1.9833333333372138</v>
      </c>
      <c r="P2241" t="str">
        <f t="shared" si="69"/>
        <v>Yes</v>
      </c>
    </row>
    <row r="2242" spans="1:16" x14ac:dyDescent="0.25">
      <c r="A2242" s="2" t="s">
        <v>6049</v>
      </c>
      <c r="B2242" s="4">
        <v>46120.428472222222</v>
      </c>
      <c r="C2242" s="2" t="s">
        <v>53</v>
      </c>
      <c r="D2242" s="2" t="s">
        <v>61</v>
      </c>
      <c r="E2242" s="2" t="s">
        <v>85</v>
      </c>
      <c r="F2242" s="2" t="s">
        <v>30</v>
      </c>
      <c r="G2242" s="2" t="s">
        <v>179</v>
      </c>
      <c r="H2242" s="2" t="s">
        <v>74</v>
      </c>
      <c r="I2242" s="2">
        <v>8</v>
      </c>
      <c r="J2242" s="2" t="s">
        <v>149</v>
      </c>
      <c r="K2242" s="4" t="s">
        <v>8590</v>
      </c>
      <c r="L2242" s="2" t="s">
        <v>24</v>
      </c>
      <c r="M2242" s="2"/>
      <c r="N2242" t="s">
        <v>8589</v>
      </c>
      <c r="O2242" s="8" t="str">
        <f t="shared" si="68"/>
        <v/>
      </c>
      <c r="P2242" t="str">
        <f t="shared" si="69"/>
        <v>N/A</v>
      </c>
    </row>
    <row r="2243" spans="1:16" x14ac:dyDescent="0.25">
      <c r="A2243" s="2" t="s">
        <v>6051</v>
      </c>
      <c r="B2243" s="4">
        <v>46220.961805555555</v>
      </c>
      <c r="C2243" s="2" t="s">
        <v>16</v>
      </c>
      <c r="D2243" s="2" t="s">
        <v>17</v>
      </c>
      <c r="E2243" s="2" t="s">
        <v>38</v>
      </c>
      <c r="F2243" s="2" t="s">
        <v>55</v>
      </c>
      <c r="G2243" s="2" t="s">
        <v>110</v>
      </c>
      <c r="H2243" s="2" t="s">
        <v>32</v>
      </c>
      <c r="I2243" s="2">
        <v>48</v>
      </c>
      <c r="J2243" s="2" t="s">
        <v>75</v>
      </c>
      <c r="K2243" s="4">
        <v>46222.411111111112</v>
      </c>
      <c r="L2243" s="2" t="s">
        <v>24</v>
      </c>
      <c r="M2243" s="2">
        <v>2</v>
      </c>
      <c r="N2243" t="s">
        <v>8589</v>
      </c>
      <c r="O2243" s="8">
        <f t="shared" ref="O2243:O2306" si="70">IF(K2243="","",IF(K2243="Missing Resolve Date","",(K2243-B2243)*24))</f>
        <v>34.78333333338378</v>
      </c>
      <c r="P2243" t="str">
        <f t="shared" ref="P2243:P2306" si="71">IF(J2243="Resolved",IF(O2243&lt;=I2243,"Yes","No"),"N/A")</f>
        <v>N/A</v>
      </c>
    </row>
    <row r="2244" spans="1:16" x14ac:dyDescent="0.25">
      <c r="A2244" s="2" t="s">
        <v>6054</v>
      </c>
      <c r="B2244" s="4">
        <v>46184.553472222222</v>
      </c>
      <c r="C2244" s="2" t="s">
        <v>16</v>
      </c>
      <c r="D2244" s="2" t="s">
        <v>17</v>
      </c>
      <c r="E2244" s="2" t="s">
        <v>46</v>
      </c>
      <c r="F2244" s="2" t="s">
        <v>96</v>
      </c>
      <c r="G2244" s="2" t="s">
        <v>211</v>
      </c>
      <c r="H2244" s="2" t="s">
        <v>21</v>
      </c>
      <c r="I2244" s="2">
        <v>24</v>
      </c>
      <c r="J2244" s="2" t="s">
        <v>287</v>
      </c>
      <c r="K2244" s="4" t="s">
        <v>8590</v>
      </c>
      <c r="L2244" s="2" t="s">
        <v>24</v>
      </c>
      <c r="M2244" s="2"/>
      <c r="N2244" t="s">
        <v>8585</v>
      </c>
      <c r="O2244" s="8" t="str">
        <f t="shared" si="70"/>
        <v/>
      </c>
      <c r="P2244" t="str">
        <f t="shared" si="71"/>
        <v>N/A</v>
      </c>
    </row>
    <row r="2245" spans="1:16" x14ac:dyDescent="0.25">
      <c r="A2245" s="2" t="s">
        <v>6056</v>
      </c>
      <c r="B2245" s="4">
        <v>46227.013888888891</v>
      </c>
      <c r="C2245" s="2" t="s">
        <v>67</v>
      </c>
      <c r="D2245" s="2" t="s">
        <v>95</v>
      </c>
      <c r="E2245" s="2" t="s">
        <v>148</v>
      </c>
      <c r="F2245" s="2" t="s">
        <v>55</v>
      </c>
      <c r="G2245" s="2" t="s">
        <v>110</v>
      </c>
      <c r="H2245" s="2" t="s">
        <v>21</v>
      </c>
      <c r="I2245" s="2">
        <v>24</v>
      </c>
      <c r="J2245" s="2" t="s">
        <v>106</v>
      </c>
      <c r="K2245" s="4">
        <v>46227.618750000001</v>
      </c>
      <c r="L2245" s="2" t="s">
        <v>24</v>
      </c>
      <c r="M2245" s="2">
        <v>1</v>
      </c>
      <c r="N2245" t="s">
        <v>8583</v>
      </c>
      <c r="O2245" s="8">
        <f t="shared" si="70"/>
        <v>14.516666666662786</v>
      </c>
      <c r="P2245" t="str">
        <f t="shared" si="71"/>
        <v>Yes</v>
      </c>
    </row>
    <row r="2246" spans="1:16" x14ac:dyDescent="0.25">
      <c r="A2246" s="2" t="s">
        <v>6059</v>
      </c>
      <c r="B2246" s="4">
        <v>46044.038194444445</v>
      </c>
      <c r="C2246" s="2" t="s">
        <v>67</v>
      </c>
      <c r="D2246" s="2" t="s">
        <v>68</v>
      </c>
      <c r="E2246" s="2" t="s">
        <v>85</v>
      </c>
      <c r="F2246" s="2" t="s">
        <v>96</v>
      </c>
      <c r="G2246" s="2" t="s">
        <v>211</v>
      </c>
      <c r="H2246" s="2" t="s">
        <v>74</v>
      </c>
      <c r="I2246" s="2">
        <v>8</v>
      </c>
      <c r="J2246" s="2" t="s">
        <v>106</v>
      </c>
      <c r="K2246" s="4">
        <v>46044.743750000001</v>
      </c>
      <c r="L2246" s="2" t="s">
        <v>92</v>
      </c>
      <c r="M2246" s="2">
        <v>5</v>
      </c>
      <c r="N2246" t="s">
        <v>8585</v>
      </c>
      <c r="O2246" s="8">
        <f t="shared" si="70"/>
        <v>16.933333333348855</v>
      </c>
      <c r="P2246" t="str">
        <f t="shared" si="71"/>
        <v>No</v>
      </c>
    </row>
    <row r="2247" spans="1:16" x14ac:dyDescent="0.25">
      <c r="A2247" s="2" t="s">
        <v>6061</v>
      </c>
      <c r="B2247" s="4">
        <v>46126.036111111112</v>
      </c>
      <c r="C2247" s="2" t="s">
        <v>67</v>
      </c>
      <c r="D2247" s="2" t="s">
        <v>68</v>
      </c>
      <c r="E2247" s="2" t="s">
        <v>85</v>
      </c>
      <c r="F2247" s="2" t="s">
        <v>30</v>
      </c>
      <c r="G2247" s="2" t="s">
        <v>31</v>
      </c>
      <c r="H2247" s="2" t="s">
        <v>74</v>
      </c>
      <c r="I2247" s="2">
        <v>8</v>
      </c>
      <c r="J2247" s="2" t="s">
        <v>287</v>
      </c>
      <c r="K2247" s="4" t="s">
        <v>8590</v>
      </c>
      <c r="L2247" s="2" t="s">
        <v>24</v>
      </c>
      <c r="M2247" s="2"/>
      <c r="N2247" t="s">
        <v>8589</v>
      </c>
      <c r="O2247" s="8" t="str">
        <f t="shared" si="70"/>
        <v/>
      </c>
      <c r="P2247" t="str">
        <f t="shared" si="71"/>
        <v>N/A</v>
      </c>
    </row>
    <row r="2248" spans="1:16" x14ac:dyDescent="0.25">
      <c r="A2248" s="2" t="s">
        <v>6063</v>
      </c>
      <c r="B2248" s="4">
        <v>46156.27847222222</v>
      </c>
      <c r="C2248" s="2" t="s">
        <v>16</v>
      </c>
      <c r="D2248" s="2" t="s">
        <v>17</v>
      </c>
      <c r="E2248" s="2" t="s">
        <v>18</v>
      </c>
      <c r="F2248" s="2" t="s">
        <v>30</v>
      </c>
      <c r="G2248" s="2" t="s">
        <v>31</v>
      </c>
      <c r="H2248" s="2" t="s">
        <v>32</v>
      </c>
      <c r="I2248" s="2">
        <v>48</v>
      </c>
      <c r="J2248" s="2" t="s">
        <v>106</v>
      </c>
      <c r="K2248" s="4">
        <v>46157.041666666664</v>
      </c>
      <c r="L2248" s="2" t="s">
        <v>24</v>
      </c>
      <c r="M2248" s="2">
        <v>2</v>
      </c>
      <c r="N2248" t="s">
        <v>8581</v>
      </c>
      <c r="O2248" s="8">
        <f t="shared" si="70"/>
        <v>18.316666666651145</v>
      </c>
      <c r="P2248" t="str">
        <f t="shared" si="71"/>
        <v>Yes</v>
      </c>
    </row>
    <row r="2249" spans="1:16" x14ac:dyDescent="0.25">
      <c r="A2249" s="2" t="s">
        <v>6066</v>
      </c>
      <c r="B2249" s="4">
        <v>46187.527083333334</v>
      </c>
      <c r="C2249" s="2" t="s">
        <v>53</v>
      </c>
      <c r="D2249" s="2" t="s">
        <v>54</v>
      </c>
      <c r="E2249" s="2" t="s">
        <v>38</v>
      </c>
      <c r="F2249" s="2" t="s">
        <v>30</v>
      </c>
      <c r="G2249" s="2" t="s">
        <v>183</v>
      </c>
      <c r="H2249" s="2" t="s">
        <v>80</v>
      </c>
      <c r="I2249" s="2">
        <v>4</v>
      </c>
      <c r="J2249" s="2" t="s">
        <v>8580</v>
      </c>
      <c r="K2249" s="4">
        <v>46187.593055555553</v>
      </c>
      <c r="L2249" s="2" t="s">
        <v>24</v>
      </c>
      <c r="M2249" s="2"/>
      <c r="N2249" t="s">
        <v>8585</v>
      </c>
      <c r="O2249" s="8">
        <f t="shared" si="70"/>
        <v>1.5833333332557231</v>
      </c>
      <c r="P2249" t="str">
        <f t="shared" si="71"/>
        <v>N/A</v>
      </c>
    </row>
    <row r="2250" spans="1:16" x14ac:dyDescent="0.25">
      <c r="A2250" s="2" t="s">
        <v>6069</v>
      </c>
      <c r="B2250" s="4">
        <v>46216.293055555558</v>
      </c>
      <c r="C2250" s="2" t="s">
        <v>53</v>
      </c>
      <c r="D2250" s="2" t="s">
        <v>61</v>
      </c>
      <c r="E2250" s="2" t="s">
        <v>148</v>
      </c>
      <c r="F2250" s="2" t="s">
        <v>30</v>
      </c>
      <c r="G2250" s="2" t="s">
        <v>101</v>
      </c>
      <c r="H2250" s="2" t="s">
        <v>32</v>
      </c>
      <c r="I2250" s="2">
        <v>48</v>
      </c>
      <c r="J2250" s="2" t="s">
        <v>75</v>
      </c>
      <c r="K2250" s="4">
        <v>46217.720833333333</v>
      </c>
      <c r="L2250" s="2" t="s">
        <v>92</v>
      </c>
      <c r="M2250" s="2"/>
      <c r="N2250" t="s">
        <v>8586</v>
      </c>
      <c r="O2250" s="8">
        <f t="shared" si="70"/>
        <v>34.266666666604578</v>
      </c>
      <c r="P2250" t="str">
        <f t="shared" si="71"/>
        <v>N/A</v>
      </c>
    </row>
    <row r="2251" spans="1:16" x14ac:dyDescent="0.25">
      <c r="A2251" s="2" t="s">
        <v>6072</v>
      </c>
      <c r="B2251" s="4">
        <v>46156.423611111109</v>
      </c>
      <c r="C2251" s="2" t="s">
        <v>16</v>
      </c>
      <c r="D2251" s="2" t="s">
        <v>84</v>
      </c>
      <c r="E2251" s="2" t="s">
        <v>38</v>
      </c>
      <c r="F2251" s="2" t="s">
        <v>30</v>
      </c>
      <c r="G2251" s="2" t="s">
        <v>211</v>
      </c>
      <c r="H2251" s="2" t="s">
        <v>21</v>
      </c>
      <c r="I2251" s="2">
        <v>24</v>
      </c>
      <c r="J2251" s="2" t="s">
        <v>106</v>
      </c>
      <c r="K2251" s="4">
        <v>46158.710416666669</v>
      </c>
      <c r="L2251" s="2" t="s">
        <v>24</v>
      </c>
      <c r="M2251" s="2">
        <v>5</v>
      </c>
      <c r="N2251" t="s">
        <v>8584</v>
      </c>
      <c r="O2251" s="8">
        <f t="shared" si="70"/>
        <v>54.883333333418705</v>
      </c>
      <c r="P2251" t="str">
        <f t="shared" si="71"/>
        <v>No</v>
      </c>
    </row>
    <row r="2252" spans="1:16" x14ac:dyDescent="0.25">
      <c r="A2252" s="2" t="s">
        <v>6075</v>
      </c>
      <c r="B2252" s="4">
        <v>46192.541666666664</v>
      </c>
      <c r="C2252" s="2" t="s">
        <v>28</v>
      </c>
      <c r="D2252" s="2" t="s">
        <v>100</v>
      </c>
      <c r="E2252" s="2" t="s">
        <v>79</v>
      </c>
      <c r="F2252" s="2" t="s">
        <v>55</v>
      </c>
      <c r="G2252" s="2" t="s">
        <v>31</v>
      </c>
      <c r="H2252" s="2" t="s">
        <v>21</v>
      </c>
      <c r="I2252" s="2">
        <v>24</v>
      </c>
      <c r="J2252" s="2" t="s">
        <v>11</v>
      </c>
      <c r="K2252" s="4" t="s">
        <v>8590</v>
      </c>
      <c r="L2252" s="2" t="s">
        <v>92</v>
      </c>
      <c r="M2252" s="2"/>
      <c r="N2252" t="s">
        <v>8584</v>
      </c>
      <c r="O2252" s="8" t="str">
        <f t="shared" si="70"/>
        <v/>
      </c>
      <c r="P2252" t="str">
        <f t="shared" si="71"/>
        <v>N/A</v>
      </c>
    </row>
    <row r="2253" spans="1:16" x14ac:dyDescent="0.25">
      <c r="A2253" s="2" t="s">
        <v>6077</v>
      </c>
      <c r="B2253" s="4">
        <v>46096.444444444445</v>
      </c>
      <c r="C2253" s="2" t="s">
        <v>16</v>
      </c>
      <c r="D2253" s="2" t="s">
        <v>17</v>
      </c>
      <c r="E2253" s="2" t="s">
        <v>90</v>
      </c>
      <c r="F2253" s="2" t="s">
        <v>55</v>
      </c>
      <c r="G2253" s="2" t="s">
        <v>101</v>
      </c>
      <c r="H2253" s="2" t="s">
        <v>21</v>
      </c>
      <c r="I2253" s="2">
        <v>24</v>
      </c>
      <c r="J2253" s="2" t="s">
        <v>75</v>
      </c>
      <c r="K2253" s="4">
        <v>46096.902083333334</v>
      </c>
      <c r="L2253" s="2" t="s">
        <v>92</v>
      </c>
      <c r="M2253" s="2">
        <v>4</v>
      </c>
      <c r="N2253" t="s">
        <v>8587</v>
      </c>
      <c r="O2253" s="8">
        <f t="shared" si="70"/>
        <v>10.983333333337214</v>
      </c>
      <c r="P2253" t="str">
        <f t="shared" si="71"/>
        <v>N/A</v>
      </c>
    </row>
    <row r="2254" spans="1:16" x14ac:dyDescent="0.25">
      <c r="A2254" s="2" t="s">
        <v>6080</v>
      </c>
      <c r="B2254" s="4">
        <v>46136.936805555553</v>
      </c>
      <c r="C2254" s="2" t="s">
        <v>67</v>
      </c>
      <c r="D2254" s="2" t="s">
        <v>68</v>
      </c>
      <c r="E2254" s="2" t="s">
        <v>79</v>
      </c>
      <c r="F2254" s="2" t="s">
        <v>55</v>
      </c>
      <c r="G2254" s="2" t="s">
        <v>31</v>
      </c>
      <c r="H2254" s="2" t="s">
        <v>32</v>
      </c>
      <c r="I2254" s="2">
        <v>48</v>
      </c>
      <c r="J2254" s="2" t="s">
        <v>149</v>
      </c>
      <c r="K2254" s="4" t="s">
        <v>8590</v>
      </c>
      <c r="L2254" s="2" t="s">
        <v>24</v>
      </c>
      <c r="M2254" s="2"/>
      <c r="N2254" t="s">
        <v>8582</v>
      </c>
      <c r="O2254" s="8" t="str">
        <f t="shared" si="70"/>
        <v/>
      </c>
      <c r="P2254" t="str">
        <f t="shared" si="71"/>
        <v>N/A</v>
      </c>
    </row>
    <row r="2255" spans="1:16" x14ac:dyDescent="0.25">
      <c r="A2255" s="2" t="s">
        <v>6082</v>
      </c>
      <c r="B2255" s="4">
        <v>46202.425000000003</v>
      </c>
      <c r="C2255" s="2" t="s">
        <v>28</v>
      </c>
      <c r="D2255" s="2" t="s">
        <v>37</v>
      </c>
      <c r="E2255" s="2" t="s">
        <v>79</v>
      </c>
      <c r="F2255" s="2" t="s">
        <v>55</v>
      </c>
      <c r="G2255" s="2" t="s">
        <v>101</v>
      </c>
      <c r="H2255" s="2" t="s">
        <v>32</v>
      </c>
      <c r="I2255" s="2">
        <v>48</v>
      </c>
      <c r="J2255" s="2" t="s">
        <v>75</v>
      </c>
      <c r="K2255" s="4">
        <v>46203.464583333334</v>
      </c>
      <c r="L2255" s="2" t="s">
        <v>24</v>
      </c>
      <c r="M2255" s="2">
        <v>5</v>
      </c>
      <c r="N2255" t="s">
        <v>8589</v>
      </c>
      <c r="O2255" s="8">
        <f t="shared" si="70"/>
        <v>24.949999999953434</v>
      </c>
      <c r="P2255" t="str">
        <f t="shared" si="71"/>
        <v>N/A</v>
      </c>
    </row>
    <row r="2256" spans="1:16" x14ac:dyDescent="0.25">
      <c r="A2256" s="2" t="s">
        <v>6085</v>
      </c>
      <c r="B2256" s="4">
        <v>46060.588194444441</v>
      </c>
      <c r="C2256" s="2" t="s">
        <v>53</v>
      </c>
      <c r="D2256" s="2" t="s">
        <v>61</v>
      </c>
      <c r="E2256" s="2" t="s">
        <v>148</v>
      </c>
      <c r="F2256" s="2" t="s">
        <v>113</v>
      </c>
      <c r="G2256" s="2" t="s">
        <v>179</v>
      </c>
      <c r="H2256" s="2" t="s">
        <v>21</v>
      </c>
      <c r="I2256" s="2">
        <v>24</v>
      </c>
      <c r="J2256" s="2" t="s">
        <v>149</v>
      </c>
      <c r="K2256" s="4" t="s">
        <v>8590</v>
      </c>
      <c r="L2256" s="2" t="s">
        <v>24</v>
      </c>
      <c r="M2256" s="2"/>
      <c r="N2256" t="s">
        <v>8587</v>
      </c>
      <c r="O2256" s="8" t="str">
        <f t="shared" si="70"/>
        <v/>
      </c>
      <c r="P2256" t="str">
        <f t="shared" si="71"/>
        <v>N/A</v>
      </c>
    </row>
    <row r="2257" spans="1:16" x14ac:dyDescent="0.25">
      <c r="A2257" s="2" t="s">
        <v>6087</v>
      </c>
      <c r="B2257" s="4">
        <v>46185.994444444441</v>
      </c>
      <c r="C2257" s="2" t="s">
        <v>16</v>
      </c>
      <c r="D2257" s="2" t="s">
        <v>84</v>
      </c>
      <c r="E2257" s="2" t="s">
        <v>46</v>
      </c>
      <c r="F2257" s="2" t="s">
        <v>96</v>
      </c>
      <c r="G2257" s="2" t="s">
        <v>101</v>
      </c>
      <c r="H2257" s="2" t="s">
        <v>21</v>
      </c>
      <c r="I2257" s="2">
        <v>24</v>
      </c>
      <c r="J2257" s="2" t="s">
        <v>106</v>
      </c>
      <c r="K2257" s="4">
        <v>46187.780555555553</v>
      </c>
      <c r="L2257" s="2" t="s">
        <v>24</v>
      </c>
      <c r="M2257" s="2"/>
      <c r="N2257" t="s">
        <v>8583</v>
      </c>
      <c r="O2257" s="8">
        <f t="shared" si="70"/>
        <v>42.866666666697711</v>
      </c>
      <c r="P2257" t="str">
        <f t="shared" si="71"/>
        <v>No</v>
      </c>
    </row>
    <row r="2258" spans="1:16" x14ac:dyDescent="0.25">
      <c r="A2258" s="2" t="s">
        <v>6090</v>
      </c>
      <c r="B2258" s="4">
        <v>46199.859722222223</v>
      </c>
      <c r="C2258" s="2" t="s">
        <v>16</v>
      </c>
      <c r="D2258" s="2" t="s">
        <v>17</v>
      </c>
      <c r="E2258" s="2" t="s">
        <v>90</v>
      </c>
      <c r="F2258" s="2" t="s">
        <v>96</v>
      </c>
      <c r="G2258" s="2" t="s">
        <v>183</v>
      </c>
      <c r="H2258" s="2" t="s">
        <v>32</v>
      </c>
      <c r="I2258" s="2">
        <v>48</v>
      </c>
      <c r="J2258" s="2" t="s">
        <v>106</v>
      </c>
      <c r="K2258" s="4">
        <v>46200.353472222225</v>
      </c>
      <c r="L2258" s="2" t="s">
        <v>24</v>
      </c>
      <c r="M2258" s="2">
        <v>4</v>
      </c>
      <c r="N2258" t="s">
        <v>8582</v>
      </c>
      <c r="O2258" s="8">
        <f t="shared" si="70"/>
        <v>11.850000000034925</v>
      </c>
      <c r="P2258" t="str">
        <f t="shared" si="71"/>
        <v>Yes</v>
      </c>
    </row>
    <row r="2259" spans="1:16" x14ac:dyDescent="0.25">
      <c r="A2259" s="2" t="s">
        <v>6093</v>
      </c>
      <c r="B2259" s="4">
        <v>46149.307638888888</v>
      </c>
      <c r="C2259" s="2" t="s">
        <v>67</v>
      </c>
      <c r="D2259" s="2" t="s">
        <v>95</v>
      </c>
      <c r="E2259" s="2" t="s">
        <v>90</v>
      </c>
      <c r="F2259" s="2" t="s">
        <v>96</v>
      </c>
      <c r="G2259" s="2" t="s">
        <v>110</v>
      </c>
      <c r="H2259" s="2" t="s">
        <v>32</v>
      </c>
      <c r="I2259" s="2">
        <v>48</v>
      </c>
      <c r="J2259" s="2" t="s">
        <v>11</v>
      </c>
      <c r="K2259" s="4" t="s">
        <v>8590</v>
      </c>
      <c r="L2259" s="2" t="s">
        <v>92</v>
      </c>
      <c r="M2259" s="2"/>
      <c r="N2259" t="s">
        <v>8586</v>
      </c>
      <c r="O2259" s="8" t="str">
        <f t="shared" si="70"/>
        <v/>
      </c>
      <c r="P2259" t="str">
        <f t="shared" si="71"/>
        <v>N/A</v>
      </c>
    </row>
    <row r="2260" spans="1:16" x14ac:dyDescent="0.25">
      <c r="A2260" s="2" t="s">
        <v>6095</v>
      </c>
      <c r="B2260" s="4">
        <v>46078.22152777778</v>
      </c>
      <c r="C2260" s="2" t="s">
        <v>53</v>
      </c>
      <c r="D2260" s="2" t="s">
        <v>61</v>
      </c>
      <c r="E2260" s="2" t="s">
        <v>38</v>
      </c>
      <c r="F2260" s="2" t="s">
        <v>55</v>
      </c>
      <c r="G2260" s="2" t="s">
        <v>110</v>
      </c>
      <c r="H2260" s="2" t="s">
        <v>21</v>
      </c>
      <c r="I2260" s="2">
        <v>24</v>
      </c>
      <c r="J2260" s="2" t="s">
        <v>75</v>
      </c>
      <c r="K2260" s="4">
        <v>46078.916666666664</v>
      </c>
      <c r="L2260" s="2" t="s">
        <v>24</v>
      </c>
      <c r="M2260" s="2"/>
      <c r="N2260" t="s">
        <v>8581</v>
      </c>
      <c r="O2260" s="8">
        <f t="shared" si="70"/>
        <v>16.68333333323244</v>
      </c>
      <c r="P2260" t="str">
        <f t="shared" si="71"/>
        <v>N/A</v>
      </c>
    </row>
    <row r="2261" spans="1:16" x14ac:dyDescent="0.25">
      <c r="A2261" s="2" t="s">
        <v>6098</v>
      </c>
      <c r="B2261" s="4">
        <v>46180.01458333333</v>
      </c>
      <c r="C2261" s="2" t="s">
        <v>16</v>
      </c>
      <c r="D2261" s="2" t="s">
        <v>84</v>
      </c>
      <c r="E2261" s="2" t="s">
        <v>90</v>
      </c>
      <c r="F2261" s="2" t="s">
        <v>30</v>
      </c>
      <c r="G2261" s="2" t="s">
        <v>179</v>
      </c>
      <c r="H2261" s="2" t="s">
        <v>32</v>
      </c>
      <c r="I2261" s="2">
        <v>48</v>
      </c>
      <c r="J2261" s="2" t="s">
        <v>75</v>
      </c>
      <c r="K2261" s="4">
        <v>46180.444444444445</v>
      </c>
      <c r="L2261" s="2" t="s">
        <v>24</v>
      </c>
      <c r="M2261" s="2">
        <v>5</v>
      </c>
      <c r="N2261" t="s">
        <v>8584</v>
      </c>
      <c r="O2261" s="8">
        <f t="shared" si="70"/>
        <v>10.31666666676756</v>
      </c>
      <c r="P2261" t="str">
        <f t="shared" si="71"/>
        <v>N/A</v>
      </c>
    </row>
    <row r="2262" spans="1:16" x14ac:dyDescent="0.25">
      <c r="A2262" s="2" t="s">
        <v>6101</v>
      </c>
      <c r="B2262" s="4">
        <v>46221.102083333331</v>
      </c>
      <c r="C2262" s="2" t="s">
        <v>28</v>
      </c>
      <c r="D2262" s="2" t="s">
        <v>37</v>
      </c>
      <c r="E2262" s="2" t="s">
        <v>18</v>
      </c>
      <c r="F2262" s="2" t="s">
        <v>113</v>
      </c>
      <c r="G2262" s="2" t="s">
        <v>211</v>
      </c>
      <c r="H2262" s="2" t="s">
        <v>32</v>
      </c>
      <c r="I2262" s="2">
        <v>48</v>
      </c>
      <c r="J2262" s="2" t="s">
        <v>106</v>
      </c>
      <c r="K2262" s="4">
        <v>46222.875</v>
      </c>
      <c r="L2262" s="2" t="s">
        <v>92</v>
      </c>
      <c r="M2262" s="2">
        <v>2</v>
      </c>
      <c r="N2262" t="s">
        <v>8585</v>
      </c>
      <c r="O2262" s="8">
        <f t="shared" si="70"/>
        <v>42.550000000046566</v>
      </c>
      <c r="P2262" t="str">
        <f t="shared" si="71"/>
        <v>Yes</v>
      </c>
    </row>
    <row r="2263" spans="1:16" x14ac:dyDescent="0.25">
      <c r="A2263" s="2" t="s">
        <v>6104</v>
      </c>
      <c r="B2263" s="4">
        <v>46114.245833333334</v>
      </c>
      <c r="C2263" s="2" t="s">
        <v>28</v>
      </c>
      <c r="D2263" s="2" t="s">
        <v>100</v>
      </c>
      <c r="E2263" s="2" t="s">
        <v>18</v>
      </c>
      <c r="F2263" s="2" t="s">
        <v>113</v>
      </c>
      <c r="G2263" s="2" t="s">
        <v>31</v>
      </c>
      <c r="H2263" s="2" t="s">
        <v>32</v>
      </c>
      <c r="I2263" s="2">
        <v>48</v>
      </c>
      <c r="J2263" s="2" t="s">
        <v>287</v>
      </c>
      <c r="K2263" s="4" t="s">
        <v>8590</v>
      </c>
      <c r="L2263" s="2" t="s">
        <v>24</v>
      </c>
      <c r="M2263" s="2"/>
      <c r="N2263" t="s">
        <v>8588</v>
      </c>
      <c r="O2263" s="8" t="str">
        <f t="shared" si="70"/>
        <v/>
      </c>
      <c r="P2263" t="str">
        <f t="shared" si="71"/>
        <v>N/A</v>
      </c>
    </row>
    <row r="2264" spans="1:16" x14ac:dyDescent="0.25">
      <c r="A2264" s="2" t="s">
        <v>6106</v>
      </c>
      <c r="B2264" s="4">
        <v>46196.09097222222</v>
      </c>
      <c r="C2264" s="2" t="s">
        <v>53</v>
      </c>
      <c r="D2264" s="2" t="s">
        <v>61</v>
      </c>
      <c r="E2264" s="2" t="s">
        <v>18</v>
      </c>
      <c r="F2264" s="2" t="s">
        <v>55</v>
      </c>
      <c r="G2264" s="2" t="s">
        <v>179</v>
      </c>
      <c r="H2264" s="2" t="s">
        <v>32</v>
      </c>
      <c r="I2264" s="2">
        <v>48</v>
      </c>
      <c r="J2264" s="2" t="s">
        <v>149</v>
      </c>
      <c r="K2264" s="4" t="s">
        <v>8590</v>
      </c>
      <c r="L2264" s="2" t="s">
        <v>24</v>
      </c>
      <c r="M2264" s="2"/>
      <c r="N2264" t="s">
        <v>8583</v>
      </c>
      <c r="O2264" s="8" t="str">
        <f t="shared" si="70"/>
        <v/>
      </c>
      <c r="P2264" t="str">
        <f t="shared" si="71"/>
        <v>N/A</v>
      </c>
    </row>
    <row r="2265" spans="1:16" x14ac:dyDescent="0.25">
      <c r="A2265" s="2" t="s">
        <v>6108</v>
      </c>
      <c r="B2265" s="4">
        <v>46120.252083333333</v>
      </c>
      <c r="C2265" s="2" t="s">
        <v>53</v>
      </c>
      <c r="D2265" s="2" t="s">
        <v>54</v>
      </c>
      <c r="E2265" s="2" t="s">
        <v>38</v>
      </c>
      <c r="F2265" s="2" t="s">
        <v>30</v>
      </c>
      <c r="G2265" s="2" t="s">
        <v>211</v>
      </c>
      <c r="H2265" s="2" t="s">
        <v>32</v>
      </c>
      <c r="I2265" s="2">
        <v>48</v>
      </c>
      <c r="J2265" s="2" t="s">
        <v>149</v>
      </c>
      <c r="K2265" s="4" t="s">
        <v>8590</v>
      </c>
      <c r="L2265" s="2" t="s">
        <v>24</v>
      </c>
      <c r="M2265" s="2"/>
      <c r="N2265" t="s">
        <v>8589</v>
      </c>
      <c r="O2265" s="8" t="str">
        <f t="shared" si="70"/>
        <v/>
      </c>
      <c r="P2265" t="str">
        <f t="shared" si="71"/>
        <v>N/A</v>
      </c>
    </row>
    <row r="2266" spans="1:16" x14ac:dyDescent="0.25">
      <c r="A2266" s="2" t="s">
        <v>6110</v>
      </c>
      <c r="B2266" s="4">
        <v>46240.976388888892</v>
      </c>
      <c r="C2266" s="2" t="s">
        <v>67</v>
      </c>
      <c r="D2266" s="2" t="s">
        <v>68</v>
      </c>
      <c r="E2266" s="2" t="s">
        <v>90</v>
      </c>
      <c r="F2266" s="2" t="s">
        <v>55</v>
      </c>
      <c r="G2266" s="2" t="s">
        <v>211</v>
      </c>
      <c r="H2266" s="2" t="s">
        <v>21</v>
      </c>
      <c r="I2266" s="2">
        <v>24</v>
      </c>
      <c r="J2266" s="2" t="s">
        <v>11</v>
      </c>
      <c r="K2266" s="4" t="s">
        <v>8590</v>
      </c>
      <c r="L2266" s="2" t="s">
        <v>92</v>
      </c>
      <c r="M2266" s="2"/>
      <c r="N2266" t="s">
        <v>8581</v>
      </c>
      <c r="O2266" s="8" t="str">
        <f t="shared" si="70"/>
        <v/>
      </c>
      <c r="P2266" t="str">
        <f t="shared" si="71"/>
        <v>N/A</v>
      </c>
    </row>
    <row r="2267" spans="1:16" x14ac:dyDescent="0.25">
      <c r="A2267" s="2" t="s">
        <v>6112</v>
      </c>
      <c r="B2267" s="4">
        <v>46051.585416666669</v>
      </c>
      <c r="C2267" s="2" t="s">
        <v>53</v>
      </c>
      <c r="D2267" s="2" t="s">
        <v>54</v>
      </c>
      <c r="E2267" s="2" t="s">
        <v>46</v>
      </c>
      <c r="F2267" s="2" t="s">
        <v>55</v>
      </c>
      <c r="G2267" s="2" t="s">
        <v>179</v>
      </c>
      <c r="H2267" s="2" t="s">
        <v>74</v>
      </c>
      <c r="I2267" s="2">
        <v>8</v>
      </c>
      <c r="J2267" s="2" t="s">
        <v>287</v>
      </c>
      <c r="K2267" s="4" t="s">
        <v>8590</v>
      </c>
      <c r="L2267" s="2" t="s">
        <v>24</v>
      </c>
      <c r="M2267" s="2"/>
      <c r="N2267" t="s">
        <v>8585</v>
      </c>
      <c r="O2267" s="8" t="str">
        <f t="shared" si="70"/>
        <v/>
      </c>
      <c r="P2267" t="str">
        <f t="shared" si="71"/>
        <v>N/A</v>
      </c>
    </row>
    <row r="2268" spans="1:16" x14ac:dyDescent="0.25">
      <c r="A2268" s="2" t="s">
        <v>6114</v>
      </c>
      <c r="B2268" s="4">
        <v>46251.446527777778</v>
      </c>
      <c r="C2268" s="2" t="s">
        <v>53</v>
      </c>
      <c r="D2268" s="2" t="s">
        <v>54</v>
      </c>
      <c r="E2268" s="2" t="s">
        <v>18</v>
      </c>
      <c r="F2268" s="2" t="s">
        <v>96</v>
      </c>
      <c r="G2268" s="2" t="s">
        <v>179</v>
      </c>
      <c r="H2268" s="2" t="s">
        <v>80</v>
      </c>
      <c r="I2268" s="2">
        <v>4</v>
      </c>
      <c r="J2268" s="2" t="s">
        <v>75</v>
      </c>
      <c r="K2268" s="4">
        <v>46251.544444444444</v>
      </c>
      <c r="L2268" s="2" t="s">
        <v>24</v>
      </c>
      <c r="M2268" s="2">
        <v>1</v>
      </c>
      <c r="N2268" t="s">
        <v>8585</v>
      </c>
      <c r="O2268" s="8">
        <f t="shared" si="70"/>
        <v>2.3499999999767169</v>
      </c>
      <c r="P2268" t="str">
        <f t="shared" si="71"/>
        <v>N/A</v>
      </c>
    </row>
    <row r="2269" spans="1:16" x14ac:dyDescent="0.25">
      <c r="A2269" s="2" t="s">
        <v>6117</v>
      </c>
      <c r="B2269" s="4">
        <v>46060.489583333336</v>
      </c>
      <c r="C2269" s="2" t="s">
        <v>28</v>
      </c>
      <c r="D2269" s="2" t="s">
        <v>37</v>
      </c>
      <c r="E2269" s="2" t="s">
        <v>85</v>
      </c>
      <c r="F2269" s="2" t="s">
        <v>30</v>
      </c>
      <c r="G2269" s="2" t="s">
        <v>101</v>
      </c>
      <c r="H2269" s="2" t="s">
        <v>21</v>
      </c>
      <c r="I2269" s="2">
        <v>24</v>
      </c>
      <c r="J2269" s="2" t="s">
        <v>106</v>
      </c>
      <c r="K2269" s="4">
        <v>46062.947916666664</v>
      </c>
      <c r="L2269" s="2" t="s">
        <v>24</v>
      </c>
      <c r="M2269" s="2">
        <v>1</v>
      </c>
      <c r="N2269" t="s">
        <v>8583</v>
      </c>
      <c r="O2269" s="8">
        <f t="shared" si="70"/>
        <v>58.999999999883585</v>
      </c>
      <c r="P2269" t="str">
        <f t="shared" si="71"/>
        <v>No</v>
      </c>
    </row>
    <row r="2270" spans="1:16" x14ac:dyDescent="0.25">
      <c r="A2270" s="2" t="s">
        <v>6120</v>
      </c>
      <c r="B2270" s="4">
        <v>46123.443749999999</v>
      </c>
      <c r="C2270" s="2" t="s">
        <v>16</v>
      </c>
      <c r="D2270" s="2" t="s">
        <v>17</v>
      </c>
      <c r="E2270" s="2" t="s">
        <v>148</v>
      </c>
      <c r="F2270" s="2" t="s">
        <v>113</v>
      </c>
      <c r="G2270" s="2" t="s">
        <v>179</v>
      </c>
      <c r="H2270" s="2" t="s">
        <v>74</v>
      </c>
      <c r="I2270" s="2">
        <v>8</v>
      </c>
      <c r="J2270" s="2" t="s">
        <v>106</v>
      </c>
      <c r="K2270" s="4">
        <v>46124.015277777777</v>
      </c>
      <c r="L2270" s="2" t="s">
        <v>24</v>
      </c>
      <c r="M2270" s="2">
        <v>5</v>
      </c>
      <c r="N2270" t="s">
        <v>8582</v>
      </c>
      <c r="O2270" s="8">
        <f t="shared" si="70"/>
        <v>13.716666666674428</v>
      </c>
      <c r="P2270" t="str">
        <f t="shared" si="71"/>
        <v>No</v>
      </c>
    </row>
    <row r="2271" spans="1:16" x14ac:dyDescent="0.25">
      <c r="A2271" s="2" t="s">
        <v>6123</v>
      </c>
      <c r="B2271" s="4">
        <v>46098.592361111114</v>
      </c>
      <c r="C2271" s="2" t="s">
        <v>28</v>
      </c>
      <c r="D2271" s="2" t="s">
        <v>37</v>
      </c>
      <c r="E2271" s="2" t="s">
        <v>46</v>
      </c>
      <c r="F2271" s="2" t="s">
        <v>55</v>
      </c>
      <c r="G2271" s="2" t="s">
        <v>211</v>
      </c>
      <c r="H2271" s="2" t="s">
        <v>21</v>
      </c>
      <c r="I2271" s="2">
        <v>24</v>
      </c>
      <c r="J2271" s="2" t="s">
        <v>106</v>
      </c>
      <c r="K2271" s="4" t="s">
        <v>8590</v>
      </c>
      <c r="L2271" s="2" t="s">
        <v>24</v>
      </c>
      <c r="M2271" s="2">
        <v>5</v>
      </c>
      <c r="N2271" t="s">
        <v>8582</v>
      </c>
      <c r="O2271" s="8" t="str">
        <f t="shared" si="70"/>
        <v/>
      </c>
      <c r="P2271" t="str">
        <f t="shared" si="71"/>
        <v>No</v>
      </c>
    </row>
    <row r="2272" spans="1:16" x14ac:dyDescent="0.25">
      <c r="A2272" s="2" t="s">
        <v>6125</v>
      </c>
      <c r="B2272" s="4">
        <v>46178.832638888889</v>
      </c>
      <c r="C2272" s="2" t="s">
        <v>67</v>
      </c>
      <c r="D2272" s="2" t="s">
        <v>68</v>
      </c>
      <c r="E2272" s="2" t="s">
        <v>46</v>
      </c>
      <c r="F2272" s="2" t="s">
        <v>113</v>
      </c>
      <c r="G2272" s="2" t="s">
        <v>110</v>
      </c>
      <c r="H2272" s="2" t="s">
        <v>32</v>
      </c>
      <c r="I2272" s="2">
        <v>48</v>
      </c>
      <c r="J2272" s="2" t="s">
        <v>106</v>
      </c>
      <c r="K2272" s="4">
        <v>46178.853472222225</v>
      </c>
      <c r="L2272" s="2" t="s">
        <v>24</v>
      </c>
      <c r="M2272" s="2">
        <v>1</v>
      </c>
      <c r="N2272" t="s">
        <v>8589</v>
      </c>
      <c r="O2272" s="8">
        <f t="shared" si="70"/>
        <v>0.50000000005820766</v>
      </c>
      <c r="P2272" t="str">
        <f t="shared" si="71"/>
        <v>Yes</v>
      </c>
    </row>
    <row r="2273" spans="1:16" x14ac:dyDescent="0.25">
      <c r="A2273" s="2" t="s">
        <v>6128</v>
      </c>
      <c r="B2273" s="4">
        <v>46137.421527777777</v>
      </c>
      <c r="C2273" s="2" t="s">
        <v>53</v>
      </c>
      <c r="D2273" s="2" t="s">
        <v>61</v>
      </c>
      <c r="E2273" s="2" t="s">
        <v>85</v>
      </c>
      <c r="F2273" s="2" t="s">
        <v>113</v>
      </c>
      <c r="G2273" s="2" t="s">
        <v>31</v>
      </c>
      <c r="H2273" s="2" t="s">
        <v>32</v>
      </c>
      <c r="I2273" s="2">
        <v>48</v>
      </c>
      <c r="J2273" s="2" t="s">
        <v>75</v>
      </c>
      <c r="K2273" s="4">
        <v>46139.149305555555</v>
      </c>
      <c r="L2273" s="2" t="s">
        <v>24</v>
      </c>
      <c r="M2273" s="2"/>
      <c r="N2273" t="s">
        <v>8589</v>
      </c>
      <c r="O2273" s="8">
        <f t="shared" si="70"/>
        <v>41.466666666674428</v>
      </c>
      <c r="P2273" t="str">
        <f t="shared" si="71"/>
        <v>N/A</v>
      </c>
    </row>
    <row r="2274" spans="1:16" x14ac:dyDescent="0.25">
      <c r="A2274" s="2" t="s">
        <v>6131</v>
      </c>
      <c r="B2274" s="4">
        <v>46140.331250000003</v>
      </c>
      <c r="C2274" s="2" t="s">
        <v>16</v>
      </c>
      <c r="D2274" s="2" t="s">
        <v>17</v>
      </c>
      <c r="E2274" s="2" t="s">
        <v>79</v>
      </c>
      <c r="F2274" s="2" t="s">
        <v>55</v>
      </c>
      <c r="G2274" s="2" t="s">
        <v>183</v>
      </c>
      <c r="H2274" s="2" t="s">
        <v>21</v>
      </c>
      <c r="I2274" s="2">
        <v>24</v>
      </c>
      <c r="J2274" s="2" t="s">
        <v>75</v>
      </c>
      <c r="K2274" s="4">
        <v>46140.731944444444</v>
      </c>
      <c r="L2274" s="2" t="s">
        <v>24</v>
      </c>
      <c r="M2274" s="2"/>
      <c r="N2274" t="s">
        <v>8581</v>
      </c>
      <c r="O2274" s="8">
        <f t="shared" si="70"/>
        <v>9.6166666665812954</v>
      </c>
      <c r="P2274" t="str">
        <f t="shared" si="71"/>
        <v>N/A</v>
      </c>
    </row>
    <row r="2275" spans="1:16" x14ac:dyDescent="0.25">
      <c r="A2275" s="2" t="s">
        <v>6134</v>
      </c>
      <c r="B2275" s="4">
        <v>46180.545138888891</v>
      </c>
      <c r="C2275" s="2" t="s">
        <v>53</v>
      </c>
      <c r="D2275" s="2" t="s">
        <v>54</v>
      </c>
      <c r="E2275" s="2" t="s">
        <v>79</v>
      </c>
      <c r="F2275" s="2" t="s">
        <v>55</v>
      </c>
      <c r="G2275" s="2" t="s">
        <v>110</v>
      </c>
      <c r="H2275" s="2" t="s">
        <v>21</v>
      </c>
      <c r="I2275" s="2">
        <v>24</v>
      </c>
      <c r="J2275" s="2" t="s">
        <v>106</v>
      </c>
      <c r="K2275" s="4">
        <v>46183.009722222225</v>
      </c>
      <c r="L2275" s="2" t="s">
        <v>24</v>
      </c>
      <c r="M2275" s="2">
        <v>2</v>
      </c>
      <c r="N2275" t="s">
        <v>8582</v>
      </c>
      <c r="O2275" s="8">
        <f t="shared" si="70"/>
        <v>59.150000000023283</v>
      </c>
      <c r="P2275" t="str">
        <f t="shared" si="71"/>
        <v>No</v>
      </c>
    </row>
    <row r="2276" spans="1:16" x14ac:dyDescent="0.25">
      <c r="A2276" s="2" t="s">
        <v>6137</v>
      </c>
      <c r="B2276" s="4">
        <v>46025.133333333331</v>
      </c>
      <c r="C2276" s="2" t="s">
        <v>16</v>
      </c>
      <c r="D2276" s="2" t="s">
        <v>84</v>
      </c>
      <c r="E2276" s="2" t="s">
        <v>148</v>
      </c>
      <c r="F2276" s="2" t="s">
        <v>55</v>
      </c>
      <c r="G2276" s="2" t="s">
        <v>183</v>
      </c>
      <c r="H2276" s="2" t="s">
        <v>32</v>
      </c>
      <c r="I2276" s="2">
        <v>48</v>
      </c>
      <c r="J2276" s="2" t="s">
        <v>287</v>
      </c>
      <c r="K2276" s="4" t="s">
        <v>8590</v>
      </c>
      <c r="L2276" s="2" t="s">
        <v>24</v>
      </c>
      <c r="M2276" s="2"/>
      <c r="N2276" t="s">
        <v>8589</v>
      </c>
      <c r="O2276" s="8" t="str">
        <f t="shared" si="70"/>
        <v/>
      </c>
      <c r="P2276" t="str">
        <f t="shared" si="71"/>
        <v>N/A</v>
      </c>
    </row>
    <row r="2277" spans="1:16" x14ac:dyDescent="0.25">
      <c r="A2277" s="2" t="s">
        <v>6139</v>
      </c>
      <c r="B2277" s="4">
        <v>46123.79583333333</v>
      </c>
      <c r="C2277" s="2" t="s">
        <v>28</v>
      </c>
      <c r="D2277" s="2" t="s">
        <v>100</v>
      </c>
      <c r="E2277" s="2" t="s">
        <v>38</v>
      </c>
      <c r="F2277" s="2" t="s">
        <v>55</v>
      </c>
      <c r="G2277" s="2" t="s">
        <v>183</v>
      </c>
      <c r="H2277" s="2" t="s">
        <v>74</v>
      </c>
      <c r="I2277" s="2">
        <v>8</v>
      </c>
      <c r="J2277" s="2" t="s">
        <v>11</v>
      </c>
      <c r="K2277" s="4" t="s">
        <v>8590</v>
      </c>
      <c r="L2277" s="2" t="s">
        <v>92</v>
      </c>
      <c r="M2277" s="2"/>
      <c r="N2277" t="s">
        <v>8587</v>
      </c>
      <c r="O2277" s="8" t="str">
        <f t="shared" si="70"/>
        <v/>
      </c>
      <c r="P2277" t="str">
        <f t="shared" si="71"/>
        <v>N/A</v>
      </c>
    </row>
    <row r="2278" spans="1:16" x14ac:dyDescent="0.25">
      <c r="A2278" s="2" t="s">
        <v>6141</v>
      </c>
      <c r="B2278" s="4">
        <v>46244.636805555558</v>
      </c>
      <c r="C2278" s="2" t="s">
        <v>53</v>
      </c>
      <c r="D2278" s="2" t="s">
        <v>61</v>
      </c>
      <c r="E2278" s="2" t="s">
        <v>90</v>
      </c>
      <c r="F2278" s="2" t="s">
        <v>55</v>
      </c>
      <c r="G2278" s="2" t="s">
        <v>179</v>
      </c>
      <c r="H2278" s="2" t="s">
        <v>80</v>
      </c>
      <c r="I2278" s="2">
        <v>4</v>
      </c>
      <c r="J2278" s="2" t="s">
        <v>149</v>
      </c>
      <c r="K2278" s="4" t="s">
        <v>8590</v>
      </c>
      <c r="L2278" s="2" t="s">
        <v>92</v>
      </c>
      <c r="M2278" s="2"/>
      <c r="N2278" t="s">
        <v>8581</v>
      </c>
      <c r="O2278" s="8" t="str">
        <f t="shared" si="70"/>
        <v/>
      </c>
      <c r="P2278" t="str">
        <f t="shared" si="71"/>
        <v>N/A</v>
      </c>
    </row>
    <row r="2279" spans="1:16" x14ac:dyDescent="0.25">
      <c r="A2279" s="2" t="s">
        <v>6143</v>
      </c>
      <c r="B2279" s="4">
        <v>46121.628472222219</v>
      </c>
      <c r="C2279" s="2" t="s">
        <v>16</v>
      </c>
      <c r="D2279" s="2" t="s">
        <v>17</v>
      </c>
      <c r="E2279" s="2" t="s">
        <v>90</v>
      </c>
      <c r="F2279" s="2" t="s">
        <v>55</v>
      </c>
      <c r="G2279" s="2" t="s">
        <v>110</v>
      </c>
      <c r="H2279" s="2" t="s">
        <v>32</v>
      </c>
      <c r="I2279" s="2">
        <v>48</v>
      </c>
      <c r="J2279" s="2" t="s">
        <v>75</v>
      </c>
      <c r="K2279" s="4">
        <v>46122.936111111114</v>
      </c>
      <c r="L2279" s="2" t="s">
        <v>24</v>
      </c>
      <c r="M2279" s="2"/>
      <c r="N2279" t="s">
        <v>8585</v>
      </c>
      <c r="O2279" s="8">
        <f t="shared" si="70"/>
        <v>31.383333333476912</v>
      </c>
      <c r="P2279" t="str">
        <f t="shared" si="71"/>
        <v>N/A</v>
      </c>
    </row>
    <row r="2280" spans="1:16" x14ac:dyDescent="0.25">
      <c r="A2280" s="2" t="s">
        <v>6146</v>
      </c>
      <c r="B2280" s="4">
        <v>46148.803472222222</v>
      </c>
      <c r="C2280" s="2" t="s">
        <v>67</v>
      </c>
      <c r="D2280" s="2" t="s">
        <v>68</v>
      </c>
      <c r="E2280" s="2" t="s">
        <v>38</v>
      </c>
      <c r="F2280" s="2" t="s">
        <v>55</v>
      </c>
      <c r="G2280" s="2" t="s">
        <v>179</v>
      </c>
      <c r="H2280" s="2" t="s">
        <v>32</v>
      </c>
      <c r="I2280" s="2">
        <v>48</v>
      </c>
      <c r="J2280" s="2" t="s">
        <v>106</v>
      </c>
      <c r="K2280" s="4">
        <v>46149.449305555558</v>
      </c>
      <c r="L2280" s="2" t="s">
        <v>24</v>
      </c>
      <c r="M2280" s="2">
        <v>5</v>
      </c>
      <c r="N2280" t="s">
        <v>8585</v>
      </c>
      <c r="O2280" s="8">
        <f t="shared" si="70"/>
        <v>15.500000000058208</v>
      </c>
      <c r="P2280" t="str">
        <f t="shared" si="71"/>
        <v>Yes</v>
      </c>
    </row>
    <row r="2281" spans="1:16" x14ac:dyDescent="0.25">
      <c r="A2281" s="2" t="s">
        <v>6149</v>
      </c>
      <c r="B2281" s="4">
        <v>46070.709027777775</v>
      </c>
      <c r="C2281" s="2" t="s">
        <v>67</v>
      </c>
      <c r="D2281" s="2" t="s">
        <v>95</v>
      </c>
      <c r="E2281" s="2" t="s">
        <v>46</v>
      </c>
      <c r="F2281" s="2" t="s">
        <v>96</v>
      </c>
      <c r="G2281" s="2" t="s">
        <v>183</v>
      </c>
      <c r="H2281" s="2" t="s">
        <v>21</v>
      </c>
      <c r="I2281" s="2">
        <v>24</v>
      </c>
      <c r="J2281" s="2" t="s">
        <v>287</v>
      </c>
      <c r="K2281" s="4" t="s">
        <v>8590</v>
      </c>
      <c r="L2281" s="2" t="s">
        <v>24</v>
      </c>
      <c r="M2281" s="2"/>
      <c r="N2281" t="s">
        <v>8584</v>
      </c>
      <c r="O2281" s="8" t="str">
        <f t="shared" si="70"/>
        <v/>
      </c>
      <c r="P2281" t="str">
        <f t="shared" si="71"/>
        <v>N/A</v>
      </c>
    </row>
    <row r="2282" spans="1:16" x14ac:dyDescent="0.25">
      <c r="A2282" s="2" t="s">
        <v>6151</v>
      </c>
      <c r="B2282" s="4">
        <v>46158.882638888892</v>
      </c>
      <c r="C2282" s="2" t="s">
        <v>53</v>
      </c>
      <c r="D2282" s="2" t="s">
        <v>61</v>
      </c>
      <c r="E2282" s="2" t="s">
        <v>38</v>
      </c>
      <c r="F2282" s="2" t="s">
        <v>96</v>
      </c>
      <c r="G2282" s="2" t="s">
        <v>211</v>
      </c>
      <c r="H2282" s="2" t="s">
        <v>21</v>
      </c>
      <c r="I2282" s="2">
        <v>24</v>
      </c>
      <c r="J2282" s="2" t="s">
        <v>75</v>
      </c>
      <c r="K2282" s="4">
        <v>46160.981944444444</v>
      </c>
      <c r="L2282" s="2" t="s">
        <v>24</v>
      </c>
      <c r="M2282" s="2"/>
      <c r="N2282" t="s">
        <v>8587</v>
      </c>
      <c r="O2282" s="8">
        <f t="shared" si="70"/>
        <v>50.383333333244082</v>
      </c>
      <c r="P2282" t="str">
        <f t="shared" si="71"/>
        <v>N/A</v>
      </c>
    </row>
    <row r="2283" spans="1:16" x14ac:dyDescent="0.25">
      <c r="A2283" s="2" t="s">
        <v>6154</v>
      </c>
      <c r="B2283" s="4">
        <v>46171.227777777778</v>
      </c>
      <c r="C2283" s="2" t="s">
        <v>53</v>
      </c>
      <c r="D2283" s="2" t="s">
        <v>61</v>
      </c>
      <c r="E2283" s="2" t="s">
        <v>148</v>
      </c>
      <c r="F2283" s="2" t="s">
        <v>30</v>
      </c>
      <c r="G2283" s="2" t="s">
        <v>183</v>
      </c>
      <c r="H2283" s="2" t="s">
        <v>21</v>
      </c>
      <c r="I2283" s="2">
        <v>24</v>
      </c>
      <c r="J2283" s="2" t="s">
        <v>149</v>
      </c>
      <c r="K2283" s="4" t="s">
        <v>8590</v>
      </c>
      <c r="L2283" s="2" t="s">
        <v>24</v>
      </c>
      <c r="M2283" s="2"/>
      <c r="N2283" t="s">
        <v>8585</v>
      </c>
      <c r="O2283" s="8" t="str">
        <f t="shared" si="70"/>
        <v/>
      </c>
      <c r="P2283" t="str">
        <f t="shared" si="71"/>
        <v>N/A</v>
      </c>
    </row>
    <row r="2284" spans="1:16" x14ac:dyDescent="0.25">
      <c r="A2284" s="2" t="s">
        <v>6156</v>
      </c>
      <c r="B2284" s="4">
        <v>46041.432638888888</v>
      </c>
      <c r="C2284" s="2" t="s">
        <v>53</v>
      </c>
      <c r="D2284" s="2" t="s">
        <v>61</v>
      </c>
      <c r="E2284" s="2" t="s">
        <v>148</v>
      </c>
      <c r="F2284" s="2" t="s">
        <v>113</v>
      </c>
      <c r="G2284" s="2" t="s">
        <v>183</v>
      </c>
      <c r="H2284" s="2" t="s">
        <v>21</v>
      </c>
      <c r="I2284" s="2">
        <v>24</v>
      </c>
      <c r="J2284" s="2" t="s">
        <v>8580</v>
      </c>
      <c r="K2284" s="4">
        <v>46043.286805555559</v>
      </c>
      <c r="L2284" s="2" t="s">
        <v>24</v>
      </c>
      <c r="M2284" s="2"/>
      <c r="N2284" t="s">
        <v>8588</v>
      </c>
      <c r="O2284" s="8">
        <f t="shared" si="70"/>
        <v>44.500000000116415</v>
      </c>
      <c r="P2284" t="str">
        <f t="shared" si="71"/>
        <v>N/A</v>
      </c>
    </row>
    <row r="2285" spans="1:16" x14ac:dyDescent="0.25">
      <c r="A2285" s="2" t="s">
        <v>6159</v>
      </c>
      <c r="B2285" s="4">
        <v>46140.387499999997</v>
      </c>
      <c r="C2285" s="2" t="s">
        <v>67</v>
      </c>
      <c r="D2285" s="2" t="s">
        <v>68</v>
      </c>
      <c r="E2285" s="2" t="s">
        <v>90</v>
      </c>
      <c r="F2285" s="2" t="s">
        <v>96</v>
      </c>
      <c r="G2285" s="2" t="s">
        <v>31</v>
      </c>
      <c r="H2285" s="2" t="s">
        <v>74</v>
      </c>
      <c r="I2285" s="2">
        <v>8</v>
      </c>
      <c r="J2285" s="2" t="s">
        <v>106</v>
      </c>
      <c r="K2285" s="4">
        <v>46140.436111111114</v>
      </c>
      <c r="L2285" s="2" t="s">
        <v>24</v>
      </c>
      <c r="M2285" s="2">
        <v>1</v>
      </c>
      <c r="N2285" t="s">
        <v>8587</v>
      </c>
      <c r="O2285" s="8">
        <f t="shared" si="70"/>
        <v>1.1666666668024845</v>
      </c>
      <c r="P2285" t="str">
        <f t="shared" si="71"/>
        <v>Yes</v>
      </c>
    </row>
    <row r="2286" spans="1:16" x14ac:dyDescent="0.25">
      <c r="A2286" s="2" t="s">
        <v>6162</v>
      </c>
      <c r="B2286" s="4">
        <v>46193.56527777778</v>
      </c>
      <c r="C2286" s="2" t="s">
        <v>28</v>
      </c>
      <c r="D2286" s="2" t="s">
        <v>37</v>
      </c>
      <c r="E2286" s="2" t="s">
        <v>18</v>
      </c>
      <c r="F2286" s="2" t="s">
        <v>30</v>
      </c>
      <c r="G2286" s="2" t="s">
        <v>211</v>
      </c>
      <c r="H2286" s="2" t="s">
        <v>21</v>
      </c>
      <c r="I2286" s="2">
        <v>24</v>
      </c>
      <c r="J2286" s="2" t="s">
        <v>149</v>
      </c>
      <c r="K2286" s="4" t="s">
        <v>8590</v>
      </c>
      <c r="L2286" s="2" t="s">
        <v>24</v>
      </c>
      <c r="M2286" s="2"/>
      <c r="N2286" t="s">
        <v>8587</v>
      </c>
      <c r="O2286" s="8" t="str">
        <f t="shared" si="70"/>
        <v/>
      </c>
      <c r="P2286" t="str">
        <f t="shared" si="71"/>
        <v>N/A</v>
      </c>
    </row>
    <row r="2287" spans="1:16" x14ac:dyDescent="0.25">
      <c r="A2287" s="2" t="s">
        <v>6164</v>
      </c>
      <c r="B2287" s="4">
        <v>46027.563888888886</v>
      </c>
      <c r="C2287" s="2" t="s">
        <v>16</v>
      </c>
      <c r="D2287" s="2" t="s">
        <v>17</v>
      </c>
      <c r="E2287" s="2" t="s">
        <v>85</v>
      </c>
      <c r="F2287" s="2" t="s">
        <v>55</v>
      </c>
      <c r="G2287" s="2" t="s">
        <v>211</v>
      </c>
      <c r="H2287" s="2" t="s">
        <v>21</v>
      </c>
      <c r="I2287" s="2">
        <v>24</v>
      </c>
      <c r="J2287" s="2" t="s">
        <v>287</v>
      </c>
      <c r="K2287" s="4" t="s">
        <v>8590</v>
      </c>
      <c r="L2287" s="2" t="s">
        <v>24</v>
      </c>
      <c r="M2287" s="2"/>
      <c r="N2287" t="s">
        <v>8585</v>
      </c>
      <c r="O2287" s="8" t="str">
        <f t="shared" si="70"/>
        <v/>
      </c>
      <c r="P2287" t="str">
        <f t="shared" si="71"/>
        <v>N/A</v>
      </c>
    </row>
    <row r="2288" spans="1:16" x14ac:dyDescent="0.25">
      <c r="A2288" s="2" t="s">
        <v>6166</v>
      </c>
      <c r="B2288" s="4">
        <v>46116.823611111111</v>
      </c>
      <c r="C2288" s="2" t="s">
        <v>53</v>
      </c>
      <c r="D2288" s="2" t="s">
        <v>61</v>
      </c>
      <c r="E2288" s="2" t="s">
        <v>46</v>
      </c>
      <c r="F2288" s="2" t="s">
        <v>55</v>
      </c>
      <c r="G2288" s="2" t="s">
        <v>183</v>
      </c>
      <c r="H2288" s="2" t="s">
        <v>21</v>
      </c>
      <c r="I2288" s="2">
        <v>24</v>
      </c>
      <c r="J2288" s="2" t="s">
        <v>149</v>
      </c>
      <c r="K2288" s="4" t="s">
        <v>8590</v>
      </c>
      <c r="L2288" s="2" t="s">
        <v>24</v>
      </c>
      <c r="M2288" s="2"/>
      <c r="N2288" t="s">
        <v>8581</v>
      </c>
      <c r="O2288" s="8" t="str">
        <f t="shared" si="70"/>
        <v/>
      </c>
      <c r="P2288" t="str">
        <f t="shared" si="71"/>
        <v>N/A</v>
      </c>
    </row>
    <row r="2289" spans="1:16" x14ac:dyDescent="0.25">
      <c r="A2289" s="2" t="s">
        <v>6168</v>
      </c>
      <c r="B2289" s="4">
        <v>46051.794444444444</v>
      </c>
      <c r="C2289" s="2" t="s">
        <v>28</v>
      </c>
      <c r="D2289" s="2" t="s">
        <v>37</v>
      </c>
      <c r="E2289" s="2" t="s">
        <v>38</v>
      </c>
      <c r="F2289" s="2" t="s">
        <v>96</v>
      </c>
      <c r="G2289" s="2" t="s">
        <v>179</v>
      </c>
      <c r="H2289" s="2" t="s">
        <v>32</v>
      </c>
      <c r="I2289" s="2">
        <v>48</v>
      </c>
      <c r="J2289" s="2" t="s">
        <v>149</v>
      </c>
      <c r="K2289" s="4" t="s">
        <v>8590</v>
      </c>
      <c r="L2289" s="2" t="s">
        <v>24</v>
      </c>
      <c r="M2289" s="2"/>
      <c r="N2289" t="s">
        <v>8583</v>
      </c>
      <c r="O2289" s="8" t="str">
        <f t="shared" si="70"/>
        <v/>
      </c>
      <c r="P2289" t="str">
        <f t="shared" si="71"/>
        <v>N/A</v>
      </c>
    </row>
    <row r="2290" spans="1:16" x14ac:dyDescent="0.25">
      <c r="A2290" s="2" t="s">
        <v>6170</v>
      </c>
      <c r="B2290" s="4">
        <v>46230.710416666669</v>
      </c>
      <c r="C2290" s="2" t="s">
        <v>53</v>
      </c>
      <c r="D2290" s="2" t="s">
        <v>54</v>
      </c>
      <c r="E2290" s="2" t="s">
        <v>38</v>
      </c>
      <c r="F2290" s="2" t="s">
        <v>96</v>
      </c>
      <c r="G2290" s="2" t="s">
        <v>211</v>
      </c>
      <c r="H2290" s="2" t="s">
        <v>74</v>
      </c>
      <c r="I2290" s="2">
        <v>8</v>
      </c>
      <c r="J2290" s="2" t="s">
        <v>75</v>
      </c>
      <c r="K2290" s="4">
        <v>46230.973611111112</v>
      </c>
      <c r="L2290" s="2" t="s">
        <v>24</v>
      </c>
      <c r="M2290" s="2"/>
      <c r="N2290" t="s">
        <v>8581</v>
      </c>
      <c r="O2290" s="8">
        <f t="shared" si="70"/>
        <v>6.3166666666511446</v>
      </c>
      <c r="P2290" t="str">
        <f t="shared" si="71"/>
        <v>N/A</v>
      </c>
    </row>
    <row r="2291" spans="1:16" x14ac:dyDescent="0.25">
      <c r="A2291" s="2" t="s">
        <v>6173</v>
      </c>
      <c r="B2291" s="4">
        <v>46237.194444444445</v>
      </c>
      <c r="C2291" s="2" t="s">
        <v>28</v>
      </c>
      <c r="D2291" s="2" t="s">
        <v>100</v>
      </c>
      <c r="E2291" s="2" t="s">
        <v>90</v>
      </c>
      <c r="F2291" s="2" t="s">
        <v>113</v>
      </c>
      <c r="G2291" s="2" t="s">
        <v>31</v>
      </c>
      <c r="H2291" s="2" t="s">
        <v>74</v>
      </c>
      <c r="I2291" s="2">
        <v>8</v>
      </c>
      <c r="J2291" s="2" t="s">
        <v>106</v>
      </c>
      <c r="K2291" s="4">
        <v>46237.305555555555</v>
      </c>
      <c r="L2291" s="2" t="s">
        <v>24</v>
      </c>
      <c r="M2291" s="2">
        <v>1</v>
      </c>
      <c r="N2291" t="s">
        <v>8585</v>
      </c>
      <c r="O2291" s="8">
        <f t="shared" si="70"/>
        <v>2.6666666666278616</v>
      </c>
      <c r="P2291" t="str">
        <f t="shared" si="71"/>
        <v>Yes</v>
      </c>
    </row>
    <row r="2292" spans="1:16" x14ac:dyDescent="0.25">
      <c r="A2292" s="2" t="s">
        <v>6176</v>
      </c>
      <c r="B2292" s="4">
        <v>46125.272916666669</v>
      </c>
      <c r="C2292" s="2" t="s">
        <v>53</v>
      </c>
      <c r="D2292" s="2" t="s">
        <v>61</v>
      </c>
      <c r="E2292" s="2" t="s">
        <v>85</v>
      </c>
      <c r="F2292" s="2" t="s">
        <v>113</v>
      </c>
      <c r="G2292" s="2" t="s">
        <v>211</v>
      </c>
      <c r="H2292" s="2" t="s">
        <v>74</v>
      </c>
      <c r="I2292" s="2">
        <v>8</v>
      </c>
      <c r="J2292" s="2" t="s">
        <v>11</v>
      </c>
      <c r="K2292" s="4" t="s">
        <v>8590</v>
      </c>
      <c r="L2292" s="2" t="s">
        <v>92</v>
      </c>
      <c r="M2292" s="2"/>
      <c r="N2292" t="s">
        <v>8589</v>
      </c>
      <c r="O2292" s="8" t="str">
        <f t="shared" si="70"/>
        <v/>
      </c>
      <c r="P2292" t="str">
        <f t="shared" si="71"/>
        <v>N/A</v>
      </c>
    </row>
    <row r="2293" spans="1:16" x14ac:dyDescent="0.25">
      <c r="A2293" s="2" t="s">
        <v>6178</v>
      </c>
      <c r="B2293" s="4">
        <v>46074.431250000001</v>
      </c>
      <c r="C2293" s="2" t="s">
        <v>53</v>
      </c>
      <c r="D2293" s="2" t="s">
        <v>54</v>
      </c>
      <c r="E2293" s="2" t="s">
        <v>38</v>
      </c>
      <c r="F2293" s="2" t="s">
        <v>96</v>
      </c>
      <c r="G2293" s="2" t="s">
        <v>31</v>
      </c>
      <c r="H2293" s="2" t="s">
        <v>32</v>
      </c>
      <c r="I2293" s="2">
        <v>48</v>
      </c>
      <c r="J2293" s="2" t="s">
        <v>287</v>
      </c>
      <c r="K2293" s="4" t="s">
        <v>8590</v>
      </c>
      <c r="L2293" s="2" t="s">
        <v>24</v>
      </c>
      <c r="M2293" s="2"/>
      <c r="N2293" t="s">
        <v>8581</v>
      </c>
      <c r="O2293" s="8" t="str">
        <f t="shared" si="70"/>
        <v/>
      </c>
      <c r="P2293" t="str">
        <f t="shared" si="71"/>
        <v>N/A</v>
      </c>
    </row>
    <row r="2294" spans="1:16" x14ac:dyDescent="0.25">
      <c r="A2294" s="2" t="s">
        <v>6180</v>
      </c>
      <c r="B2294" s="4">
        <v>46185.448611111111</v>
      </c>
      <c r="C2294" s="2" t="s">
        <v>28</v>
      </c>
      <c r="D2294" s="2" t="s">
        <v>37</v>
      </c>
      <c r="E2294" s="2" t="s">
        <v>148</v>
      </c>
      <c r="F2294" s="2" t="s">
        <v>30</v>
      </c>
      <c r="G2294" s="2" t="s">
        <v>183</v>
      </c>
      <c r="H2294" s="2" t="s">
        <v>80</v>
      </c>
      <c r="I2294" s="2">
        <v>4</v>
      </c>
      <c r="J2294" s="2" t="s">
        <v>106</v>
      </c>
      <c r="K2294" s="4">
        <v>46185.527083333334</v>
      </c>
      <c r="L2294" s="2" t="s">
        <v>24</v>
      </c>
      <c r="M2294" s="2">
        <v>4</v>
      </c>
      <c r="N2294" t="s">
        <v>8584</v>
      </c>
      <c r="O2294" s="8">
        <f t="shared" si="70"/>
        <v>1.8833333333604969</v>
      </c>
      <c r="P2294" t="str">
        <f t="shared" si="71"/>
        <v>Yes</v>
      </c>
    </row>
    <row r="2295" spans="1:16" x14ac:dyDescent="0.25">
      <c r="A2295" s="2" t="s">
        <v>6183</v>
      </c>
      <c r="B2295" s="4">
        <v>46220.296527777777</v>
      </c>
      <c r="C2295" s="2" t="s">
        <v>16</v>
      </c>
      <c r="D2295" s="2" t="s">
        <v>84</v>
      </c>
      <c r="E2295" s="2" t="s">
        <v>46</v>
      </c>
      <c r="F2295" s="2" t="s">
        <v>96</v>
      </c>
      <c r="G2295" s="2" t="s">
        <v>101</v>
      </c>
      <c r="H2295" s="2" t="s">
        <v>74</v>
      </c>
      <c r="I2295" s="2">
        <v>8</v>
      </c>
      <c r="J2295" s="2" t="s">
        <v>75</v>
      </c>
      <c r="K2295" s="4">
        <v>46220.319444444445</v>
      </c>
      <c r="L2295" s="2" t="s">
        <v>24</v>
      </c>
      <c r="M2295" s="2">
        <v>5</v>
      </c>
      <c r="N2295" t="s">
        <v>8584</v>
      </c>
      <c r="O2295" s="8">
        <f t="shared" si="70"/>
        <v>0.55000000004656613</v>
      </c>
      <c r="P2295" t="str">
        <f t="shared" si="71"/>
        <v>N/A</v>
      </c>
    </row>
    <row r="2296" spans="1:16" x14ac:dyDescent="0.25">
      <c r="A2296" s="2" t="s">
        <v>6186</v>
      </c>
      <c r="B2296" s="4">
        <v>46031.691666666666</v>
      </c>
      <c r="C2296" s="2" t="s">
        <v>16</v>
      </c>
      <c r="D2296" s="2" t="s">
        <v>84</v>
      </c>
      <c r="E2296" s="2" t="s">
        <v>46</v>
      </c>
      <c r="F2296" s="2" t="s">
        <v>30</v>
      </c>
      <c r="G2296" s="2" t="s">
        <v>101</v>
      </c>
      <c r="H2296" s="2" t="s">
        <v>80</v>
      </c>
      <c r="I2296" s="2">
        <v>4</v>
      </c>
      <c r="J2296" s="2" t="s">
        <v>149</v>
      </c>
      <c r="K2296" s="4" t="s">
        <v>8590</v>
      </c>
      <c r="L2296" s="2" t="s">
        <v>24</v>
      </c>
      <c r="M2296" s="2"/>
      <c r="N2296" t="s">
        <v>8584</v>
      </c>
      <c r="O2296" s="8" t="str">
        <f t="shared" si="70"/>
        <v/>
      </c>
      <c r="P2296" t="str">
        <f t="shared" si="71"/>
        <v>N/A</v>
      </c>
    </row>
    <row r="2297" spans="1:16" x14ac:dyDescent="0.25">
      <c r="A2297" s="2" t="s">
        <v>6188</v>
      </c>
      <c r="B2297" s="4">
        <v>46217.770833333336</v>
      </c>
      <c r="C2297" s="2" t="s">
        <v>53</v>
      </c>
      <c r="D2297" s="2" t="s">
        <v>54</v>
      </c>
      <c r="E2297" s="2" t="s">
        <v>90</v>
      </c>
      <c r="F2297" s="2" t="s">
        <v>55</v>
      </c>
      <c r="G2297" s="2" t="s">
        <v>110</v>
      </c>
      <c r="H2297" s="2" t="s">
        <v>80</v>
      </c>
      <c r="I2297" s="2">
        <v>4</v>
      </c>
      <c r="J2297" s="2" t="s">
        <v>287</v>
      </c>
      <c r="K2297" s="4" t="s">
        <v>8590</v>
      </c>
      <c r="L2297" s="2" t="s">
        <v>24</v>
      </c>
      <c r="M2297" s="2"/>
      <c r="N2297" t="s">
        <v>8589</v>
      </c>
      <c r="O2297" s="8" t="str">
        <f t="shared" si="70"/>
        <v/>
      </c>
      <c r="P2297" t="str">
        <f t="shared" si="71"/>
        <v>N/A</v>
      </c>
    </row>
    <row r="2298" spans="1:16" x14ac:dyDescent="0.25">
      <c r="A2298" s="2" t="s">
        <v>6190</v>
      </c>
      <c r="B2298" s="4">
        <v>46139.893055555556</v>
      </c>
      <c r="C2298" s="2" t="s">
        <v>67</v>
      </c>
      <c r="D2298" s="2" t="s">
        <v>68</v>
      </c>
      <c r="E2298" s="2" t="s">
        <v>85</v>
      </c>
      <c r="F2298" s="2" t="s">
        <v>55</v>
      </c>
      <c r="G2298" s="2" t="s">
        <v>31</v>
      </c>
      <c r="H2298" s="2" t="s">
        <v>74</v>
      </c>
      <c r="I2298" s="2">
        <v>8</v>
      </c>
      <c r="J2298" s="2" t="s">
        <v>75</v>
      </c>
      <c r="K2298" s="4">
        <v>46140.14166666667</v>
      </c>
      <c r="L2298" s="2" t="s">
        <v>92</v>
      </c>
      <c r="M2298" s="2">
        <v>5</v>
      </c>
      <c r="N2298" t="s">
        <v>8584</v>
      </c>
      <c r="O2298" s="8">
        <f t="shared" si="70"/>
        <v>5.9666666667326353</v>
      </c>
      <c r="P2298" t="str">
        <f t="shared" si="71"/>
        <v>N/A</v>
      </c>
    </row>
    <row r="2299" spans="1:16" x14ac:dyDescent="0.25">
      <c r="A2299" s="2" t="s">
        <v>6193</v>
      </c>
      <c r="B2299" s="4">
        <v>46108.453472222223</v>
      </c>
      <c r="C2299" s="2" t="s">
        <v>16</v>
      </c>
      <c r="D2299" s="2" t="s">
        <v>84</v>
      </c>
      <c r="E2299" s="2" t="s">
        <v>148</v>
      </c>
      <c r="F2299" s="2" t="s">
        <v>113</v>
      </c>
      <c r="G2299" s="2" t="s">
        <v>179</v>
      </c>
      <c r="H2299" s="2" t="s">
        <v>74</v>
      </c>
      <c r="I2299" s="2">
        <v>8</v>
      </c>
      <c r="J2299" s="2" t="s">
        <v>287</v>
      </c>
      <c r="K2299" s="4" t="s">
        <v>8590</v>
      </c>
      <c r="L2299" s="2" t="s">
        <v>24</v>
      </c>
      <c r="M2299" s="2"/>
      <c r="N2299" t="s">
        <v>8584</v>
      </c>
      <c r="O2299" s="8" t="str">
        <f t="shared" si="70"/>
        <v/>
      </c>
      <c r="P2299" t="str">
        <f t="shared" si="71"/>
        <v>N/A</v>
      </c>
    </row>
    <row r="2300" spans="1:16" x14ac:dyDescent="0.25">
      <c r="A2300" s="2" t="s">
        <v>6195</v>
      </c>
      <c r="B2300" s="4">
        <v>46064.515972222223</v>
      </c>
      <c r="C2300" s="2" t="s">
        <v>53</v>
      </c>
      <c r="D2300" s="2" t="s">
        <v>61</v>
      </c>
      <c r="E2300" s="2" t="s">
        <v>79</v>
      </c>
      <c r="F2300" s="2" t="s">
        <v>113</v>
      </c>
      <c r="G2300" s="2" t="s">
        <v>183</v>
      </c>
      <c r="H2300" s="2" t="s">
        <v>32</v>
      </c>
      <c r="I2300" s="2">
        <v>48</v>
      </c>
      <c r="J2300" s="2" t="s">
        <v>106</v>
      </c>
      <c r="K2300" s="4">
        <v>46065.097916666666</v>
      </c>
      <c r="L2300" s="2" t="s">
        <v>24</v>
      </c>
      <c r="M2300" s="2">
        <v>3</v>
      </c>
      <c r="N2300" t="s">
        <v>8581</v>
      </c>
      <c r="O2300" s="8">
        <f t="shared" si="70"/>
        <v>13.96666666661622</v>
      </c>
      <c r="P2300" t="str">
        <f t="shared" si="71"/>
        <v>Yes</v>
      </c>
    </row>
    <row r="2301" spans="1:16" x14ac:dyDescent="0.25">
      <c r="A2301" s="2" t="s">
        <v>6198</v>
      </c>
      <c r="B2301" s="4">
        <v>46238.754166666666</v>
      </c>
      <c r="C2301" s="2" t="s">
        <v>28</v>
      </c>
      <c r="D2301" s="2" t="s">
        <v>37</v>
      </c>
      <c r="E2301" s="2" t="s">
        <v>90</v>
      </c>
      <c r="F2301" s="2" t="s">
        <v>55</v>
      </c>
      <c r="G2301" s="2" t="s">
        <v>110</v>
      </c>
      <c r="H2301" s="2" t="s">
        <v>74</v>
      </c>
      <c r="I2301" s="2">
        <v>8</v>
      </c>
      <c r="J2301" s="2" t="s">
        <v>149</v>
      </c>
      <c r="K2301" s="4" t="s">
        <v>8590</v>
      </c>
      <c r="L2301" s="2" t="s">
        <v>24</v>
      </c>
      <c r="M2301" s="2"/>
      <c r="N2301" t="s">
        <v>8581</v>
      </c>
      <c r="O2301" s="8" t="str">
        <f t="shared" si="70"/>
        <v/>
      </c>
      <c r="P2301" t="str">
        <f t="shared" si="71"/>
        <v>N/A</v>
      </c>
    </row>
    <row r="2302" spans="1:16" x14ac:dyDescent="0.25">
      <c r="A2302" s="2" t="s">
        <v>6200</v>
      </c>
      <c r="B2302" s="4">
        <v>46055.394444444442</v>
      </c>
      <c r="C2302" s="2" t="s">
        <v>28</v>
      </c>
      <c r="D2302" s="2" t="s">
        <v>37</v>
      </c>
      <c r="E2302" s="2" t="s">
        <v>79</v>
      </c>
      <c r="F2302" s="2" t="s">
        <v>113</v>
      </c>
      <c r="G2302" s="2" t="s">
        <v>179</v>
      </c>
      <c r="H2302" s="2" t="s">
        <v>21</v>
      </c>
      <c r="I2302" s="2">
        <v>24</v>
      </c>
      <c r="J2302" s="2" t="s">
        <v>75</v>
      </c>
      <c r="K2302" s="4">
        <v>46056.208333333336</v>
      </c>
      <c r="L2302" s="2" t="s">
        <v>24</v>
      </c>
      <c r="M2302" s="2">
        <v>4</v>
      </c>
      <c r="N2302" t="s">
        <v>8585</v>
      </c>
      <c r="O2302" s="8">
        <f t="shared" si="70"/>
        <v>19.533333333441988</v>
      </c>
      <c r="P2302" t="str">
        <f t="shared" si="71"/>
        <v>N/A</v>
      </c>
    </row>
    <row r="2303" spans="1:16" x14ac:dyDescent="0.25">
      <c r="A2303" s="2" t="s">
        <v>6203</v>
      </c>
      <c r="B2303" s="4">
        <v>46116.443749999999</v>
      </c>
      <c r="C2303" s="2" t="s">
        <v>28</v>
      </c>
      <c r="D2303" s="2" t="s">
        <v>100</v>
      </c>
      <c r="E2303" s="2" t="s">
        <v>38</v>
      </c>
      <c r="F2303" s="2" t="s">
        <v>96</v>
      </c>
      <c r="G2303" s="2" t="s">
        <v>31</v>
      </c>
      <c r="H2303" s="2" t="s">
        <v>32</v>
      </c>
      <c r="I2303" s="2">
        <v>48</v>
      </c>
      <c r="J2303" s="2" t="s">
        <v>106</v>
      </c>
      <c r="K2303" s="4">
        <v>46117.29583333333</v>
      </c>
      <c r="L2303" s="2" t="s">
        <v>24</v>
      </c>
      <c r="M2303" s="2">
        <v>5</v>
      </c>
      <c r="N2303" t="s">
        <v>8581</v>
      </c>
      <c r="O2303" s="8">
        <f t="shared" si="70"/>
        <v>20.449999999953434</v>
      </c>
      <c r="P2303" t="str">
        <f t="shared" si="71"/>
        <v>Yes</v>
      </c>
    </row>
    <row r="2304" spans="1:16" x14ac:dyDescent="0.25">
      <c r="A2304" s="2" t="s">
        <v>6206</v>
      </c>
      <c r="B2304" s="4">
        <v>46171.436111111114</v>
      </c>
      <c r="C2304" s="2" t="s">
        <v>67</v>
      </c>
      <c r="D2304" s="2" t="s">
        <v>95</v>
      </c>
      <c r="E2304" s="2" t="s">
        <v>90</v>
      </c>
      <c r="F2304" s="2" t="s">
        <v>55</v>
      </c>
      <c r="G2304" s="2" t="s">
        <v>183</v>
      </c>
      <c r="H2304" s="2" t="s">
        <v>74</v>
      </c>
      <c r="I2304" s="2">
        <v>8</v>
      </c>
      <c r="J2304" s="2" t="s">
        <v>149</v>
      </c>
      <c r="K2304" s="4" t="s">
        <v>8590</v>
      </c>
      <c r="L2304" s="2" t="s">
        <v>92</v>
      </c>
      <c r="M2304" s="2"/>
      <c r="N2304" t="s">
        <v>8586</v>
      </c>
      <c r="O2304" s="8" t="str">
        <f t="shared" si="70"/>
        <v/>
      </c>
      <c r="P2304" t="str">
        <f t="shared" si="71"/>
        <v>N/A</v>
      </c>
    </row>
    <row r="2305" spans="1:16" x14ac:dyDescent="0.25">
      <c r="A2305" s="2" t="s">
        <v>6208</v>
      </c>
      <c r="B2305" s="4">
        <v>46124.803472222222</v>
      </c>
      <c r="C2305" s="2" t="s">
        <v>53</v>
      </c>
      <c r="D2305" s="2" t="s">
        <v>54</v>
      </c>
      <c r="E2305" s="2" t="s">
        <v>18</v>
      </c>
      <c r="F2305" s="2" t="s">
        <v>55</v>
      </c>
      <c r="G2305" s="2" t="s">
        <v>179</v>
      </c>
      <c r="H2305" s="2" t="s">
        <v>21</v>
      </c>
      <c r="I2305" s="2">
        <v>24</v>
      </c>
      <c r="J2305" s="2" t="s">
        <v>106</v>
      </c>
      <c r="K2305" s="4">
        <v>46126.740972222222</v>
      </c>
      <c r="L2305" s="2" t="s">
        <v>24</v>
      </c>
      <c r="M2305" s="2">
        <v>1</v>
      </c>
      <c r="N2305" t="s">
        <v>8589</v>
      </c>
      <c r="O2305" s="8">
        <f t="shared" si="70"/>
        <v>46.5</v>
      </c>
      <c r="P2305" t="str">
        <f t="shared" si="71"/>
        <v>No</v>
      </c>
    </row>
    <row r="2306" spans="1:16" x14ac:dyDescent="0.25">
      <c r="A2306" s="2" t="s">
        <v>6211</v>
      </c>
      <c r="B2306" s="4">
        <v>46250.633333333331</v>
      </c>
      <c r="C2306" s="2" t="s">
        <v>16</v>
      </c>
      <c r="D2306" s="2" t="s">
        <v>84</v>
      </c>
      <c r="E2306" s="2" t="s">
        <v>79</v>
      </c>
      <c r="F2306" s="2" t="s">
        <v>55</v>
      </c>
      <c r="G2306" s="2" t="s">
        <v>183</v>
      </c>
      <c r="H2306" s="2" t="s">
        <v>80</v>
      </c>
      <c r="I2306" s="2">
        <v>4</v>
      </c>
      <c r="J2306" s="2" t="s">
        <v>75</v>
      </c>
      <c r="K2306" s="4">
        <v>46250.702777777777</v>
      </c>
      <c r="L2306" s="2" t="s">
        <v>24</v>
      </c>
      <c r="M2306" s="2"/>
      <c r="N2306" t="s">
        <v>8587</v>
      </c>
      <c r="O2306" s="8">
        <f t="shared" si="70"/>
        <v>1.6666666666860692</v>
      </c>
      <c r="P2306" t="str">
        <f t="shared" si="71"/>
        <v>N/A</v>
      </c>
    </row>
    <row r="2307" spans="1:16" x14ac:dyDescent="0.25">
      <c r="A2307" s="2" t="s">
        <v>6214</v>
      </c>
      <c r="B2307" s="4">
        <v>46262.195833333331</v>
      </c>
      <c r="C2307" s="2" t="s">
        <v>67</v>
      </c>
      <c r="D2307" s="2" t="s">
        <v>68</v>
      </c>
      <c r="E2307" s="2" t="s">
        <v>46</v>
      </c>
      <c r="F2307" s="2" t="s">
        <v>55</v>
      </c>
      <c r="G2307" s="2" t="s">
        <v>110</v>
      </c>
      <c r="H2307" s="2" t="s">
        <v>21</v>
      </c>
      <c r="I2307" s="2">
        <v>24</v>
      </c>
      <c r="J2307" s="2" t="s">
        <v>75</v>
      </c>
      <c r="K2307" s="4">
        <v>46262.963888888888</v>
      </c>
      <c r="L2307" s="2" t="s">
        <v>24</v>
      </c>
      <c r="M2307" s="2">
        <v>5</v>
      </c>
      <c r="N2307" t="s">
        <v>8589</v>
      </c>
      <c r="O2307" s="8">
        <f t="shared" ref="O2307:O2370" si="72">IF(K2307="","",IF(K2307="Missing Resolve Date","",(K2307-B2307)*24))</f>
        <v>18.433333333348855</v>
      </c>
      <c r="P2307" t="str">
        <f t="shared" ref="P2307:P2370" si="73">IF(J2307="Resolved",IF(O2307&lt;=I2307,"Yes","No"),"N/A")</f>
        <v>N/A</v>
      </c>
    </row>
    <row r="2308" spans="1:16" x14ac:dyDescent="0.25">
      <c r="A2308" s="2" t="s">
        <v>6217</v>
      </c>
      <c r="B2308" s="4">
        <v>46210.460416666669</v>
      </c>
      <c r="C2308" s="2" t="s">
        <v>67</v>
      </c>
      <c r="D2308" s="2" t="s">
        <v>68</v>
      </c>
      <c r="E2308" s="2" t="s">
        <v>46</v>
      </c>
      <c r="F2308" s="2" t="s">
        <v>55</v>
      </c>
      <c r="G2308" s="2" t="s">
        <v>211</v>
      </c>
      <c r="H2308" s="2" t="s">
        <v>21</v>
      </c>
      <c r="I2308" s="2">
        <v>24</v>
      </c>
      <c r="J2308" s="2" t="s">
        <v>106</v>
      </c>
      <c r="K2308" s="4">
        <v>46210.688194444447</v>
      </c>
      <c r="L2308" s="2" t="s">
        <v>24</v>
      </c>
      <c r="M2308" s="2">
        <v>2</v>
      </c>
      <c r="N2308" t="s">
        <v>8589</v>
      </c>
      <c r="O2308" s="8">
        <f t="shared" si="72"/>
        <v>5.4666666666744277</v>
      </c>
      <c r="P2308" t="str">
        <f t="shared" si="73"/>
        <v>Yes</v>
      </c>
    </row>
    <row r="2309" spans="1:16" x14ac:dyDescent="0.25">
      <c r="A2309" s="2" t="s">
        <v>6220</v>
      </c>
      <c r="B2309" s="4">
        <v>46201.40902777778</v>
      </c>
      <c r="C2309" s="2" t="s">
        <v>53</v>
      </c>
      <c r="D2309" s="2" t="s">
        <v>54</v>
      </c>
      <c r="E2309" s="2" t="s">
        <v>90</v>
      </c>
      <c r="F2309" s="2" t="s">
        <v>55</v>
      </c>
      <c r="G2309" s="2" t="s">
        <v>211</v>
      </c>
      <c r="H2309" s="2" t="s">
        <v>32</v>
      </c>
      <c r="I2309" s="2">
        <v>48</v>
      </c>
      <c r="J2309" s="2" t="s">
        <v>75</v>
      </c>
      <c r="K2309" s="4">
        <v>46202.945138888892</v>
      </c>
      <c r="L2309" s="2" t="s">
        <v>24</v>
      </c>
      <c r="M2309" s="2"/>
      <c r="N2309" t="s">
        <v>8583</v>
      </c>
      <c r="O2309" s="8">
        <f t="shared" si="72"/>
        <v>36.866666666697711</v>
      </c>
      <c r="P2309" t="str">
        <f t="shared" si="73"/>
        <v>N/A</v>
      </c>
    </row>
    <row r="2310" spans="1:16" x14ac:dyDescent="0.25">
      <c r="A2310" s="2" t="s">
        <v>6223</v>
      </c>
      <c r="B2310" s="4">
        <v>46222.757638888892</v>
      </c>
      <c r="C2310" s="2" t="s">
        <v>53</v>
      </c>
      <c r="D2310" s="2" t="s">
        <v>61</v>
      </c>
      <c r="E2310" s="2" t="s">
        <v>85</v>
      </c>
      <c r="F2310" s="2" t="s">
        <v>55</v>
      </c>
      <c r="G2310" s="2" t="s">
        <v>211</v>
      </c>
      <c r="H2310" s="2" t="s">
        <v>74</v>
      </c>
      <c r="I2310" s="2">
        <v>8</v>
      </c>
      <c r="J2310" s="2" t="s">
        <v>106</v>
      </c>
      <c r="K2310" s="4">
        <v>46222.805555555555</v>
      </c>
      <c r="L2310" s="2" t="s">
        <v>24</v>
      </c>
      <c r="M2310" s="2">
        <v>5</v>
      </c>
      <c r="N2310" t="s">
        <v>8584</v>
      </c>
      <c r="O2310" s="8">
        <f t="shared" si="72"/>
        <v>1.1499999999068677</v>
      </c>
      <c r="P2310" t="str">
        <f t="shared" si="73"/>
        <v>Yes</v>
      </c>
    </row>
    <row r="2311" spans="1:16" x14ac:dyDescent="0.25">
      <c r="A2311" s="2" t="s">
        <v>6226</v>
      </c>
      <c r="B2311" s="4">
        <v>46234.670138888891</v>
      </c>
      <c r="C2311" s="2" t="s">
        <v>67</v>
      </c>
      <c r="D2311" s="2" t="s">
        <v>95</v>
      </c>
      <c r="E2311" s="2" t="s">
        <v>46</v>
      </c>
      <c r="F2311" s="2" t="s">
        <v>113</v>
      </c>
      <c r="G2311" s="2" t="s">
        <v>179</v>
      </c>
      <c r="H2311" s="2" t="s">
        <v>32</v>
      </c>
      <c r="I2311" s="2">
        <v>48</v>
      </c>
      <c r="J2311" s="2" t="s">
        <v>106</v>
      </c>
      <c r="K2311" s="4">
        <v>46235.382638888892</v>
      </c>
      <c r="L2311" s="2" t="s">
        <v>24</v>
      </c>
      <c r="M2311" s="2">
        <v>2</v>
      </c>
      <c r="N2311" t="s">
        <v>8588</v>
      </c>
      <c r="O2311" s="8">
        <f t="shared" si="72"/>
        <v>17.100000000034925</v>
      </c>
      <c r="P2311" t="str">
        <f t="shared" si="73"/>
        <v>Yes</v>
      </c>
    </row>
    <row r="2312" spans="1:16" x14ac:dyDescent="0.25">
      <c r="A2312" s="2" t="s">
        <v>6229</v>
      </c>
      <c r="B2312" s="4">
        <v>46264.995833333334</v>
      </c>
      <c r="C2312" s="2" t="s">
        <v>53</v>
      </c>
      <c r="D2312" s="2" t="s">
        <v>54</v>
      </c>
      <c r="E2312" s="2" t="s">
        <v>46</v>
      </c>
      <c r="F2312" s="2" t="s">
        <v>96</v>
      </c>
      <c r="G2312" s="2" t="s">
        <v>101</v>
      </c>
      <c r="H2312" s="2" t="s">
        <v>21</v>
      </c>
      <c r="I2312" s="2">
        <v>24</v>
      </c>
      <c r="J2312" s="2" t="s">
        <v>106</v>
      </c>
      <c r="K2312" s="4">
        <v>46265.61041666667</v>
      </c>
      <c r="L2312" s="2" t="s">
        <v>24</v>
      </c>
      <c r="M2312" s="2">
        <v>4</v>
      </c>
      <c r="N2312" t="s">
        <v>8586</v>
      </c>
      <c r="O2312" s="8">
        <f t="shared" si="72"/>
        <v>14.750000000058208</v>
      </c>
      <c r="P2312" t="str">
        <f t="shared" si="73"/>
        <v>Yes</v>
      </c>
    </row>
    <row r="2313" spans="1:16" x14ac:dyDescent="0.25">
      <c r="A2313" s="2" t="s">
        <v>6232</v>
      </c>
      <c r="B2313" s="4">
        <v>46065.895138888889</v>
      </c>
      <c r="C2313" s="2" t="s">
        <v>16</v>
      </c>
      <c r="D2313" s="2" t="s">
        <v>84</v>
      </c>
      <c r="E2313" s="2" t="s">
        <v>148</v>
      </c>
      <c r="F2313" s="2" t="s">
        <v>55</v>
      </c>
      <c r="G2313" s="2" t="s">
        <v>31</v>
      </c>
      <c r="H2313" s="2" t="s">
        <v>32</v>
      </c>
      <c r="I2313" s="2">
        <v>48</v>
      </c>
      <c r="J2313" s="2" t="s">
        <v>106</v>
      </c>
      <c r="K2313" s="4">
        <v>46066.01458333333</v>
      </c>
      <c r="L2313" s="2" t="s">
        <v>24</v>
      </c>
      <c r="M2313" s="2"/>
      <c r="N2313" t="s">
        <v>8585</v>
      </c>
      <c r="O2313" s="8">
        <f t="shared" si="72"/>
        <v>2.8666666665812954</v>
      </c>
      <c r="P2313" t="str">
        <f t="shared" si="73"/>
        <v>Yes</v>
      </c>
    </row>
    <row r="2314" spans="1:16" x14ac:dyDescent="0.25">
      <c r="A2314" s="2" t="s">
        <v>6235</v>
      </c>
      <c r="B2314" s="4">
        <v>46081.456944444442</v>
      </c>
      <c r="C2314" s="2" t="s">
        <v>67</v>
      </c>
      <c r="D2314" s="2" t="s">
        <v>68</v>
      </c>
      <c r="E2314" s="2" t="s">
        <v>90</v>
      </c>
      <c r="F2314" s="2" t="s">
        <v>55</v>
      </c>
      <c r="G2314" s="2" t="s">
        <v>31</v>
      </c>
      <c r="H2314" s="2" t="s">
        <v>74</v>
      </c>
      <c r="I2314" s="2">
        <v>8</v>
      </c>
      <c r="J2314" s="2" t="s">
        <v>8580</v>
      </c>
      <c r="K2314" s="4">
        <v>46081.613194444442</v>
      </c>
      <c r="L2314" s="2" t="s">
        <v>24</v>
      </c>
      <c r="M2314" s="2"/>
      <c r="N2314" t="s">
        <v>8589</v>
      </c>
      <c r="O2314" s="8">
        <f t="shared" si="72"/>
        <v>3.75</v>
      </c>
      <c r="P2314" t="str">
        <f t="shared" si="73"/>
        <v>N/A</v>
      </c>
    </row>
    <row r="2315" spans="1:16" x14ac:dyDescent="0.25">
      <c r="A2315" s="2" t="s">
        <v>6238</v>
      </c>
      <c r="B2315" s="4">
        <v>46138.589583333334</v>
      </c>
      <c r="C2315" s="2" t="s">
        <v>67</v>
      </c>
      <c r="D2315" s="2" t="s">
        <v>68</v>
      </c>
      <c r="E2315" s="2" t="s">
        <v>38</v>
      </c>
      <c r="F2315" s="2" t="s">
        <v>55</v>
      </c>
      <c r="G2315" s="2" t="s">
        <v>101</v>
      </c>
      <c r="H2315" s="2" t="s">
        <v>32</v>
      </c>
      <c r="I2315" s="2">
        <v>48</v>
      </c>
      <c r="J2315" s="2" t="s">
        <v>106</v>
      </c>
      <c r="K2315" s="4">
        <v>46140.040972222225</v>
      </c>
      <c r="L2315" s="2" t="s">
        <v>24</v>
      </c>
      <c r="M2315" s="2">
        <v>3</v>
      </c>
      <c r="N2315" t="s">
        <v>8589</v>
      </c>
      <c r="O2315" s="8">
        <f t="shared" si="72"/>
        <v>34.833333333372138</v>
      </c>
      <c r="P2315" t="str">
        <f t="shared" si="73"/>
        <v>Yes</v>
      </c>
    </row>
    <row r="2316" spans="1:16" x14ac:dyDescent="0.25">
      <c r="A2316" s="2" t="s">
        <v>6241</v>
      </c>
      <c r="B2316" s="4">
        <v>46026.722222222219</v>
      </c>
      <c r="C2316" s="2" t="s">
        <v>53</v>
      </c>
      <c r="D2316" s="2" t="s">
        <v>54</v>
      </c>
      <c r="E2316" s="2" t="s">
        <v>79</v>
      </c>
      <c r="F2316" s="2" t="s">
        <v>113</v>
      </c>
      <c r="G2316" s="2" t="s">
        <v>31</v>
      </c>
      <c r="H2316" s="2" t="s">
        <v>80</v>
      </c>
      <c r="I2316" s="2">
        <v>4</v>
      </c>
      <c r="J2316" s="2" t="s">
        <v>75</v>
      </c>
      <c r="K2316" s="4">
        <v>46026.761805555558</v>
      </c>
      <c r="L2316" s="2" t="s">
        <v>24</v>
      </c>
      <c r="M2316" s="2">
        <v>5</v>
      </c>
      <c r="N2316" t="s">
        <v>8581</v>
      </c>
      <c r="O2316" s="8">
        <f t="shared" si="72"/>
        <v>0.95000000012805685</v>
      </c>
      <c r="P2316" t="str">
        <f t="shared" si="73"/>
        <v>N/A</v>
      </c>
    </row>
    <row r="2317" spans="1:16" x14ac:dyDescent="0.25">
      <c r="A2317" s="2" t="s">
        <v>6244</v>
      </c>
      <c r="B2317" s="4">
        <v>46115.931250000001</v>
      </c>
      <c r="C2317" s="2" t="s">
        <v>28</v>
      </c>
      <c r="D2317" s="2" t="s">
        <v>100</v>
      </c>
      <c r="E2317" s="2" t="s">
        <v>90</v>
      </c>
      <c r="F2317" s="2" t="s">
        <v>96</v>
      </c>
      <c r="G2317" s="2" t="s">
        <v>183</v>
      </c>
      <c r="H2317" s="2" t="s">
        <v>32</v>
      </c>
      <c r="I2317" s="2">
        <v>48</v>
      </c>
      <c r="J2317" s="2" t="s">
        <v>75</v>
      </c>
      <c r="K2317" s="4">
        <v>46120.729861111111</v>
      </c>
      <c r="L2317" s="2" t="s">
        <v>24</v>
      </c>
      <c r="M2317" s="2"/>
      <c r="N2317" t="s">
        <v>8586</v>
      </c>
      <c r="O2317" s="8">
        <f t="shared" si="72"/>
        <v>115.16666666662786</v>
      </c>
      <c r="P2317" t="str">
        <f t="shared" si="73"/>
        <v>N/A</v>
      </c>
    </row>
    <row r="2318" spans="1:16" x14ac:dyDescent="0.25">
      <c r="A2318" s="2" t="s">
        <v>6247</v>
      </c>
      <c r="B2318" s="4">
        <v>46144.65347222222</v>
      </c>
      <c r="C2318" s="2" t="s">
        <v>53</v>
      </c>
      <c r="D2318" s="2" t="s">
        <v>54</v>
      </c>
      <c r="E2318" s="2" t="s">
        <v>90</v>
      </c>
      <c r="F2318" s="2" t="s">
        <v>96</v>
      </c>
      <c r="G2318" s="2" t="s">
        <v>31</v>
      </c>
      <c r="H2318" s="2" t="s">
        <v>32</v>
      </c>
      <c r="I2318" s="2">
        <v>48</v>
      </c>
      <c r="J2318" s="2" t="s">
        <v>149</v>
      </c>
      <c r="K2318" s="4" t="s">
        <v>8590</v>
      </c>
      <c r="L2318" s="2" t="s">
        <v>92</v>
      </c>
      <c r="M2318" s="2"/>
      <c r="N2318" t="s">
        <v>8588</v>
      </c>
      <c r="O2318" s="8" t="str">
        <f t="shared" si="72"/>
        <v/>
      </c>
      <c r="P2318" t="str">
        <f t="shared" si="73"/>
        <v>N/A</v>
      </c>
    </row>
    <row r="2319" spans="1:16" x14ac:dyDescent="0.25">
      <c r="A2319" s="2" t="s">
        <v>6249</v>
      </c>
      <c r="B2319" s="4">
        <v>46244.419444444444</v>
      </c>
      <c r="C2319" s="2" t="s">
        <v>16</v>
      </c>
      <c r="D2319" s="2" t="s">
        <v>84</v>
      </c>
      <c r="E2319" s="2" t="s">
        <v>148</v>
      </c>
      <c r="F2319" s="2" t="s">
        <v>113</v>
      </c>
      <c r="G2319" s="2" t="s">
        <v>183</v>
      </c>
      <c r="H2319" s="2" t="s">
        <v>74</v>
      </c>
      <c r="I2319" s="2">
        <v>8</v>
      </c>
      <c r="J2319" s="2" t="s">
        <v>106</v>
      </c>
      <c r="K2319" s="4">
        <v>46244.652777777781</v>
      </c>
      <c r="L2319" s="2" t="s">
        <v>24</v>
      </c>
      <c r="M2319" s="2">
        <v>1</v>
      </c>
      <c r="N2319" t="s">
        <v>8589</v>
      </c>
      <c r="O2319" s="8">
        <f t="shared" si="72"/>
        <v>5.6000000000931323</v>
      </c>
      <c r="P2319" t="str">
        <f t="shared" si="73"/>
        <v>Yes</v>
      </c>
    </row>
    <row r="2320" spans="1:16" x14ac:dyDescent="0.25">
      <c r="A2320" s="2" t="s">
        <v>6252</v>
      </c>
      <c r="B2320" s="4">
        <v>46067.052777777775</v>
      </c>
      <c r="C2320" s="2" t="s">
        <v>16</v>
      </c>
      <c r="D2320" s="2" t="s">
        <v>17</v>
      </c>
      <c r="E2320" s="2" t="s">
        <v>90</v>
      </c>
      <c r="F2320" s="2" t="s">
        <v>55</v>
      </c>
      <c r="G2320" s="2" t="s">
        <v>179</v>
      </c>
      <c r="H2320" s="2" t="s">
        <v>21</v>
      </c>
      <c r="I2320" s="2">
        <v>24</v>
      </c>
      <c r="J2320" s="2" t="s">
        <v>75</v>
      </c>
      <c r="K2320" s="4">
        <v>46067.364583333336</v>
      </c>
      <c r="L2320" s="2" t="s">
        <v>92</v>
      </c>
      <c r="M2320" s="2">
        <v>5</v>
      </c>
      <c r="N2320" t="s">
        <v>8586</v>
      </c>
      <c r="O2320" s="8">
        <f t="shared" si="72"/>
        <v>7.4833333334536292</v>
      </c>
      <c r="P2320" t="str">
        <f t="shared" si="73"/>
        <v>N/A</v>
      </c>
    </row>
    <row r="2321" spans="1:16" x14ac:dyDescent="0.25">
      <c r="A2321" s="2" t="s">
        <v>6255</v>
      </c>
      <c r="B2321" s="4">
        <v>46064.578472222223</v>
      </c>
      <c r="C2321" s="2" t="s">
        <v>53</v>
      </c>
      <c r="D2321" s="2" t="s">
        <v>54</v>
      </c>
      <c r="E2321" s="2" t="s">
        <v>148</v>
      </c>
      <c r="F2321" s="2" t="s">
        <v>113</v>
      </c>
      <c r="G2321" s="2" t="s">
        <v>179</v>
      </c>
      <c r="H2321" s="2" t="s">
        <v>74</v>
      </c>
      <c r="I2321" s="2">
        <v>8</v>
      </c>
      <c r="J2321" s="2" t="s">
        <v>11</v>
      </c>
      <c r="K2321" s="4" t="s">
        <v>8590</v>
      </c>
      <c r="L2321" s="2" t="s">
        <v>92</v>
      </c>
      <c r="M2321" s="2"/>
      <c r="N2321" t="s">
        <v>8582</v>
      </c>
      <c r="O2321" s="8" t="str">
        <f t="shared" si="72"/>
        <v/>
      </c>
      <c r="P2321" t="str">
        <f t="shared" si="73"/>
        <v>N/A</v>
      </c>
    </row>
    <row r="2322" spans="1:16" x14ac:dyDescent="0.25">
      <c r="A2322" s="2" t="s">
        <v>6257</v>
      </c>
      <c r="B2322" s="4">
        <v>46047.597222222219</v>
      </c>
      <c r="C2322" s="2" t="s">
        <v>67</v>
      </c>
      <c r="D2322" s="2" t="s">
        <v>68</v>
      </c>
      <c r="E2322" s="2" t="s">
        <v>85</v>
      </c>
      <c r="F2322" s="2" t="s">
        <v>113</v>
      </c>
      <c r="G2322" s="2" t="s">
        <v>101</v>
      </c>
      <c r="H2322" s="2" t="s">
        <v>32</v>
      </c>
      <c r="I2322" s="2">
        <v>48</v>
      </c>
      <c r="J2322" s="2" t="s">
        <v>149</v>
      </c>
      <c r="K2322" s="4" t="s">
        <v>8590</v>
      </c>
      <c r="L2322" s="2" t="s">
        <v>92</v>
      </c>
      <c r="M2322" s="2"/>
      <c r="N2322" t="s">
        <v>8583</v>
      </c>
      <c r="O2322" s="8" t="str">
        <f t="shared" si="72"/>
        <v/>
      </c>
      <c r="P2322" t="str">
        <f t="shared" si="73"/>
        <v>N/A</v>
      </c>
    </row>
    <row r="2323" spans="1:16" x14ac:dyDescent="0.25">
      <c r="A2323" s="2" t="s">
        <v>6259</v>
      </c>
      <c r="B2323" s="4">
        <v>46067.363194444442</v>
      </c>
      <c r="C2323" s="2" t="s">
        <v>53</v>
      </c>
      <c r="D2323" s="2" t="s">
        <v>54</v>
      </c>
      <c r="E2323" s="2" t="s">
        <v>85</v>
      </c>
      <c r="F2323" s="2" t="s">
        <v>96</v>
      </c>
      <c r="G2323" s="2" t="s">
        <v>211</v>
      </c>
      <c r="H2323" s="2" t="s">
        <v>21</v>
      </c>
      <c r="I2323" s="2">
        <v>24</v>
      </c>
      <c r="J2323" s="2" t="s">
        <v>106</v>
      </c>
      <c r="K2323" s="4">
        <v>46067.706944444442</v>
      </c>
      <c r="L2323" s="2" t="s">
        <v>24</v>
      </c>
      <c r="M2323" s="2"/>
      <c r="N2323" t="s">
        <v>8581</v>
      </c>
      <c r="O2323" s="8">
        <f t="shared" si="72"/>
        <v>8.25</v>
      </c>
      <c r="P2323" t="str">
        <f t="shared" si="73"/>
        <v>Yes</v>
      </c>
    </row>
    <row r="2324" spans="1:16" x14ac:dyDescent="0.25">
      <c r="A2324" s="2" t="s">
        <v>6262</v>
      </c>
      <c r="B2324" s="4">
        <v>46055.845138888886</v>
      </c>
      <c r="C2324" s="2" t="s">
        <v>28</v>
      </c>
      <c r="D2324" s="2" t="s">
        <v>37</v>
      </c>
      <c r="E2324" s="2" t="s">
        <v>38</v>
      </c>
      <c r="F2324" s="2" t="s">
        <v>30</v>
      </c>
      <c r="G2324" s="2" t="s">
        <v>179</v>
      </c>
      <c r="H2324" s="2" t="s">
        <v>21</v>
      </c>
      <c r="I2324" s="2">
        <v>24</v>
      </c>
      <c r="J2324" s="2" t="s">
        <v>106</v>
      </c>
      <c r="K2324" s="4">
        <v>46056.151388888888</v>
      </c>
      <c r="L2324" s="2" t="s">
        <v>24</v>
      </c>
      <c r="M2324" s="2"/>
      <c r="N2324" t="s">
        <v>8588</v>
      </c>
      <c r="O2324" s="8">
        <f t="shared" si="72"/>
        <v>7.3500000000349246</v>
      </c>
      <c r="P2324" t="str">
        <f t="shared" si="73"/>
        <v>Yes</v>
      </c>
    </row>
    <row r="2325" spans="1:16" x14ac:dyDescent="0.25">
      <c r="A2325" s="2" t="s">
        <v>6265</v>
      </c>
      <c r="B2325" s="4">
        <v>46132.260416666664</v>
      </c>
      <c r="C2325" s="2" t="s">
        <v>28</v>
      </c>
      <c r="D2325" s="2" t="s">
        <v>37</v>
      </c>
      <c r="E2325" s="2" t="s">
        <v>18</v>
      </c>
      <c r="F2325" s="2" t="s">
        <v>30</v>
      </c>
      <c r="G2325" s="2" t="s">
        <v>211</v>
      </c>
      <c r="H2325" s="2" t="s">
        <v>74</v>
      </c>
      <c r="I2325" s="2">
        <v>8</v>
      </c>
      <c r="J2325" s="2" t="s">
        <v>75</v>
      </c>
      <c r="K2325" s="4">
        <v>46133.17083333333</v>
      </c>
      <c r="L2325" s="2" t="s">
        <v>24</v>
      </c>
      <c r="M2325" s="2">
        <v>5</v>
      </c>
      <c r="N2325" t="s">
        <v>8588</v>
      </c>
      <c r="O2325" s="8">
        <f t="shared" si="72"/>
        <v>21.849999999976717</v>
      </c>
      <c r="P2325" t="str">
        <f t="shared" si="73"/>
        <v>N/A</v>
      </c>
    </row>
    <row r="2326" spans="1:16" x14ac:dyDescent="0.25">
      <c r="A2326" s="2" t="s">
        <v>6268</v>
      </c>
      <c r="B2326" s="4">
        <v>46262.227083333331</v>
      </c>
      <c r="C2326" s="2" t="s">
        <v>16</v>
      </c>
      <c r="D2326" s="2" t="s">
        <v>84</v>
      </c>
      <c r="E2326" s="2" t="s">
        <v>148</v>
      </c>
      <c r="F2326" s="2" t="s">
        <v>30</v>
      </c>
      <c r="G2326" s="2" t="s">
        <v>211</v>
      </c>
      <c r="H2326" s="2" t="s">
        <v>74</v>
      </c>
      <c r="I2326" s="2">
        <v>8</v>
      </c>
      <c r="J2326" s="2" t="s">
        <v>106</v>
      </c>
      <c r="K2326" s="4">
        <v>46262.468055555553</v>
      </c>
      <c r="L2326" s="2" t="s">
        <v>24</v>
      </c>
      <c r="M2326" s="2"/>
      <c r="N2326" t="s">
        <v>8585</v>
      </c>
      <c r="O2326" s="8">
        <f t="shared" si="72"/>
        <v>5.7833333333255723</v>
      </c>
      <c r="P2326" t="str">
        <f t="shared" si="73"/>
        <v>Yes</v>
      </c>
    </row>
    <row r="2327" spans="1:16" x14ac:dyDescent="0.25">
      <c r="A2327" s="2" t="s">
        <v>6271</v>
      </c>
      <c r="B2327" s="4">
        <v>46108.999305555553</v>
      </c>
      <c r="C2327" s="2" t="s">
        <v>53</v>
      </c>
      <c r="D2327" s="2" t="s">
        <v>61</v>
      </c>
      <c r="E2327" s="2" t="s">
        <v>85</v>
      </c>
      <c r="F2327" s="2" t="s">
        <v>96</v>
      </c>
      <c r="G2327" s="2" t="s">
        <v>31</v>
      </c>
      <c r="H2327" s="2" t="s">
        <v>74</v>
      </c>
      <c r="I2327" s="2">
        <v>8</v>
      </c>
      <c r="J2327" s="2" t="s">
        <v>11</v>
      </c>
      <c r="K2327" s="4" t="s">
        <v>8590</v>
      </c>
      <c r="L2327" s="2" t="s">
        <v>92</v>
      </c>
      <c r="M2327" s="2"/>
      <c r="N2327" t="s">
        <v>8589</v>
      </c>
      <c r="O2327" s="8" t="str">
        <f t="shared" si="72"/>
        <v/>
      </c>
      <c r="P2327" t="str">
        <f t="shared" si="73"/>
        <v>N/A</v>
      </c>
    </row>
    <row r="2328" spans="1:16" x14ac:dyDescent="0.25">
      <c r="A2328" s="2" t="s">
        <v>6273</v>
      </c>
      <c r="B2328" s="4">
        <v>46103.572222222225</v>
      </c>
      <c r="C2328" s="2" t="s">
        <v>16</v>
      </c>
      <c r="D2328" s="2" t="s">
        <v>17</v>
      </c>
      <c r="E2328" s="2" t="s">
        <v>148</v>
      </c>
      <c r="F2328" s="2" t="s">
        <v>55</v>
      </c>
      <c r="G2328" s="2" t="s">
        <v>110</v>
      </c>
      <c r="H2328" s="2" t="s">
        <v>32</v>
      </c>
      <c r="I2328" s="2">
        <v>48</v>
      </c>
      <c r="J2328" s="2" t="s">
        <v>106</v>
      </c>
      <c r="K2328" s="4">
        <v>46104.329861111109</v>
      </c>
      <c r="L2328" s="2" t="s">
        <v>24</v>
      </c>
      <c r="M2328" s="2">
        <v>3</v>
      </c>
      <c r="N2328" t="s">
        <v>8583</v>
      </c>
      <c r="O2328" s="8">
        <f t="shared" si="72"/>
        <v>18.18333333323244</v>
      </c>
      <c r="P2328" t="str">
        <f t="shared" si="73"/>
        <v>Yes</v>
      </c>
    </row>
    <row r="2329" spans="1:16" x14ac:dyDescent="0.25">
      <c r="A2329" s="2" t="s">
        <v>6276</v>
      </c>
      <c r="B2329" s="4">
        <v>46111.010416666664</v>
      </c>
      <c r="C2329" s="2" t="s">
        <v>28</v>
      </c>
      <c r="D2329" s="2" t="s">
        <v>100</v>
      </c>
      <c r="E2329" s="2" t="s">
        <v>18</v>
      </c>
      <c r="F2329" s="2" t="s">
        <v>96</v>
      </c>
      <c r="G2329" s="2" t="s">
        <v>183</v>
      </c>
      <c r="H2329" s="2" t="s">
        <v>21</v>
      </c>
      <c r="I2329" s="2">
        <v>24</v>
      </c>
      <c r="J2329" s="2" t="s">
        <v>106</v>
      </c>
      <c r="K2329" s="4">
        <v>46111.354861111111</v>
      </c>
      <c r="L2329" s="2" t="s">
        <v>24</v>
      </c>
      <c r="M2329" s="2">
        <v>3</v>
      </c>
      <c r="N2329" t="s">
        <v>8588</v>
      </c>
      <c r="O2329" s="8">
        <f t="shared" si="72"/>
        <v>8.2666666667209938</v>
      </c>
      <c r="P2329" t="str">
        <f t="shared" si="73"/>
        <v>Yes</v>
      </c>
    </row>
    <row r="2330" spans="1:16" x14ac:dyDescent="0.25">
      <c r="A2330" s="2" t="s">
        <v>6279</v>
      </c>
      <c r="B2330" s="4">
        <v>46254.34375</v>
      </c>
      <c r="C2330" s="2" t="s">
        <v>16</v>
      </c>
      <c r="D2330" s="2" t="s">
        <v>84</v>
      </c>
      <c r="E2330" s="2" t="s">
        <v>90</v>
      </c>
      <c r="F2330" s="2" t="s">
        <v>55</v>
      </c>
      <c r="G2330" s="2" t="s">
        <v>211</v>
      </c>
      <c r="H2330" s="2" t="s">
        <v>74</v>
      </c>
      <c r="I2330" s="2">
        <v>8</v>
      </c>
      <c r="J2330" s="2" t="s">
        <v>8580</v>
      </c>
      <c r="K2330" s="4">
        <v>46255.195833333331</v>
      </c>
      <c r="L2330" s="2" t="s">
        <v>24</v>
      </c>
      <c r="M2330" s="2"/>
      <c r="N2330" t="s">
        <v>8589</v>
      </c>
      <c r="O2330" s="8">
        <f t="shared" si="72"/>
        <v>20.449999999953434</v>
      </c>
      <c r="P2330" t="str">
        <f t="shared" si="73"/>
        <v>N/A</v>
      </c>
    </row>
    <row r="2331" spans="1:16" x14ac:dyDescent="0.25">
      <c r="A2331" s="2" t="s">
        <v>6281</v>
      </c>
      <c r="B2331" s="4">
        <v>46107.01666666667</v>
      </c>
      <c r="C2331" s="2" t="s">
        <v>16</v>
      </c>
      <c r="D2331" s="2" t="s">
        <v>17</v>
      </c>
      <c r="E2331" s="2" t="s">
        <v>46</v>
      </c>
      <c r="F2331" s="2" t="s">
        <v>113</v>
      </c>
      <c r="G2331" s="2" t="s">
        <v>101</v>
      </c>
      <c r="H2331" s="2" t="s">
        <v>32</v>
      </c>
      <c r="I2331" s="2">
        <v>48</v>
      </c>
      <c r="J2331" s="2" t="s">
        <v>287</v>
      </c>
      <c r="K2331" s="4" t="s">
        <v>8590</v>
      </c>
      <c r="L2331" s="2" t="s">
        <v>24</v>
      </c>
      <c r="M2331" s="2"/>
      <c r="N2331" t="s">
        <v>8589</v>
      </c>
      <c r="O2331" s="8" t="str">
        <f t="shared" si="72"/>
        <v/>
      </c>
      <c r="P2331" t="str">
        <f t="shared" si="73"/>
        <v>N/A</v>
      </c>
    </row>
    <row r="2332" spans="1:16" x14ac:dyDescent="0.25">
      <c r="A2332" s="2" t="s">
        <v>6283</v>
      </c>
      <c r="B2332" s="4">
        <v>46048.963194444441</v>
      </c>
      <c r="C2332" s="2" t="s">
        <v>16</v>
      </c>
      <c r="D2332" s="2" t="s">
        <v>17</v>
      </c>
      <c r="E2332" s="2" t="s">
        <v>85</v>
      </c>
      <c r="F2332" s="2" t="s">
        <v>113</v>
      </c>
      <c r="G2332" s="2" t="s">
        <v>110</v>
      </c>
      <c r="H2332" s="2" t="s">
        <v>80</v>
      </c>
      <c r="I2332" s="2">
        <v>4</v>
      </c>
      <c r="J2332" s="2" t="s">
        <v>106</v>
      </c>
      <c r="K2332" s="4">
        <v>46049.01666666667</v>
      </c>
      <c r="L2332" s="2" t="s">
        <v>24</v>
      </c>
      <c r="M2332" s="2">
        <v>5</v>
      </c>
      <c r="N2332" t="s">
        <v>8586</v>
      </c>
      <c r="O2332" s="8">
        <f t="shared" si="72"/>
        <v>1.2833333335001953</v>
      </c>
      <c r="P2332" t="str">
        <f t="shared" si="73"/>
        <v>Yes</v>
      </c>
    </row>
    <row r="2333" spans="1:16" x14ac:dyDescent="0.25">
      <c r="A2333" s="2" t="s">
        <v>6286</v>
      </c>
      <c r="B2333" s="4">
        <v>46179.856944444444</v>
      </c>
      <c r="C2333" s="2" t="s">
        <v>16</v>
      </c>
      <c r="D2333" s="2" t="s">
        <v>17</v>
      </c>
      <c r="E2333" s="2" t="s">
        <v>38</v>
      </c>
      <c r="F2333" s="2" t="s">
        <v>55</v>
      </c>
      <c r="G2333" s="2" t="s">
        <v>110</v>
      </c>
      <c r="H2333" s="2" t="s">
        <v>32</v>
      </c>
      <c r="I2333" s="2">
        <v>48</v>
      </c>
      <c r="J2333" s="2" t="s">
        <v>75</v>
      </c>
      <c r="K2333" s="4">
        <v>46180.228472222225</v>
      </c>
      <c r="L2333" s="2" t="s">
        <v>24</v>
      </c>
      <c r="M2333" s="2">
        <v>5</v>
      </c>
      <c r="N2333" t="s">
        <v>8589</v>
      </c>
      <c r="O2333" s="8">
        <f t="shared" si="72"/>
        <v>8.9166666667442769</v>
      </c>
      <c r="P2333" t="str">
        <f t="shared" si="73"/>
        <v>N/A</v>
      </c>
    </row>
    <row r="2334" spans="1:16" x14ac:dyDescent="0.25">
      <c r="A2334" s="2" t="s">
        <v>6289</v>
      </c>
      <c r="B2334" s="4">
        <v>46252.452777777777</v>
      </c>
      <c r="C2334" s="2" t="s">
        <v>28</v>
      </c>
      <c r="D2334" s="2" t="s">
        <v>100</v>
      </c>
      <c r="E2334" s="2" t="s">
        <v>79</v>
      </c>
      <c r="F2334" s="2" t="s">
        <v>113</v>
      </c>
      <c r="G2334" s="2" t="s">
        <v>183</v>
      </c>
      <c r="H2334" s="2" t="s">
        <v>32</v>
      </c>
      <c r="I2334" s="2">
        <v>48</v>
      </c>
      <c r="J2334" s="2" t="s">
        <v>75</v>
      </c>
      <c r="K2334" s="4">
        <v>46252.795138888891</v>
      </c>
      <c r="L2334" s="2" t="s">
        <v>24</v>
      </c>
      <c r="M2334" s="2"/>
      <c r="N2334" t="s">
        <v>8582</v>
      </c>
      <c r="O2334" s="8">
        <f t="shared" si="72"/>
        <v>8.2166666667326353</v>
      </c>
      <c r="P2334" t="str">
        <f t="shared" si="73"/>
        <v>N/A</v>
      </c>
    </row>
    <row r="2335" spans="1:16" x14ac:dyDescent="0.25">
      <c r="A2335" s="2" t="s">
        <v>6292</v>
      </c>
      <c r="B2335" s="4">
        <v>46147.899305555555</v>
      </c>
      <c r="C2335" s="2" t="s">
        <v>28</v>
      </c>
      <c r="D2335" s="2" t="s">
        <v>100</v>
      </c>
      <c r="E2335" s="2" t="s">
        <v>18</v>
      </c>
      <c r="F2335" s="2" t="s">
        <v>113</v>
      </c>
      <c r="G2335" s="2" t="s">
        <v>211</v>
      </c>
      <c r="H2335" s="2" t="s">
        <v>21</v>
      </c>
      <c r="I2335" s="2">
        <v>24</v>
      </c>
      <c r="J2335" s="2" t="s">
        <v>149</v>
      </c>
      <c r="K2335" s="4" t="s">
        <v>8590</v>
      </c>
      <c r="L2335" s="2" t="s">
        <v>24</v>
      </c>
      <c r="M2335" s="2"/>
      <c r="N2335" t="s">
        <v>8583</v>
      </c>
      <c r="O2335" s="8" t="str">
        <f t="shared" si="72"/>
        <v/>
      </c>
      <c r="P2335" t="str">
        <f t="shared" si="73"/>
        <v>N/A</v>
      </c>
    </row>
    <row r="2336" spans="1:16" x14ac:dyDescent="0.25">
      <c r="A2336" s="2" t="s">
        <v>6294</v>
      </c>
      <c r="B2336" s="4">
        <v>46130.40347222222</v>
      </c>
      <c r="C2336" s="2" t="s">
        <v>28</v>
      </c>
      <c r="D2336" s="2" t="s">
        <v>37</v>
      </c>
      <c r="E2336" s="2" t="s">
        <v>18</v>
      </c>
      <c r="F2336" s="2" t="s">
        <v>113</v>
      </c>
      <c r="G2336" s="2" t="s">
        <v>183</v>
      </c>
      <c r="H2336" s="2" t="s">
        <v>32</v>
      </c>
      <c r="I2336" s="2">
        <v>48</v>
      </c>
      <c r="J2336" s="2" t="s">
        <v>106</v>
      </c>
      <c r="K2336" s="4">
        <v>46131.081250000003</v>
      </c>
      <c r="L2336" s="2" t="s">
        <v>92</v>
      </c>
      <c r="M2336" s="2">
        <v>4</v>
      </c>
      <c r="N2336" t="s">
        <v>8582</v>
      </c>
      <c r="O2336" s="8">
        <f t="shared" si="72"/>
        <v>16.266666666779201</v>
      </c>
      <c r="P2336" t="str">
        <f t="shared" si="73"/>
        <v>Yes</v>
      </c>
    </row>
    <row r="2337" spans="1:16" x14ac:dyDescent="0.25">
      <c r="A2337" s="2" t="s">
        <v>6297</v>
      </c>
      <c r="B2337" s="4">
        <v>46256.29583333333</v>
      </c>
      <c r="C2337" s="2" t="s">
        <v>53</v>
      </c>
      <c r="D2337" s="2" t="s">
        <v>61</v>
      </c>
      <c r="E2337" s="2" t="s">
        <v>38</v>
      </c>
      <c r="F2337" s="2" t="s">
        <v>30</v>
      </c>
      <c r="G2337" s="2" t="s">
        <v>183</v>
      </c>
      <c r="H2337" s="2" t="s">
        <v>21</v>
      </c>
      <c r="I2337" s="2">
        <v>24</v>
      </c>
      <c r="J2337" s="2" t="s">
        <v>106</v>
      </c>
      <c r="K2337" s="4">
        <v>46256.747916666667</v>
      </c>
      <c r="L2337" s="2" t="s">
        <v>24</v>
      </c>
      <c r="M2337" s="2">
        <v>5</v>
      </c>
      <c r="N2337" t="s">
        <v>8588</v>
      </c>
      <c r="O2337" s="8">
        <f t="shared" si="72"/>
        <v>10.850000000093132</v>
      </c>
      <c r="P2337" t="str">
        <f t="shared" si="73"/>
        <v>Yes</v>
      </c>
    </row>
    <row r="2338" spans="1:16" x14ac:dyDescent="0.25">
      <c r="A2338" s="2" t="s">
        <v>6300</v>
      </c>
      <c r="B2338" s="4">
        <v>46229.182638888888</v>
      </c>
      <c r="C2338" s="2" t="s">
        <v>28</v>
      </c>
      <c r="D2338" s="2" t="s">
        <v>100</v>
      </c>
      <c r="E2338" s="2" t="s">
        <v>38</v>
      </c>
      <c r="F2338" s="2" t="s">
        <v>30</v>
      </c>
      <c r="G2338" s="2" t="s">
        <v>183</v>
      </c>
      <c r="H2338" s="2" t="s">
        <v>21</v>
      </c>
      <c r="I2338" s="2">
        <v>24</v>
      </c>
      <c r="J2338" s="2" t="s">
        <v>106</v>
      </c>
      <c r="K2338" s="4">
        <v>46229.46597222222</v>
      </c>
      <c r="L2338" s="2" t="s">
        <v>24</v>
      </c>
      <c r="M2338" s="2">
        <v>2</v>
      </c>
      <c r="N2338" t="s">
        <v>8583</v>
      </c>
      <c r="O2338" s="8">
        <f t="shared" si="72"/>
        <v>6.7999999999883585</v>
      </c>
      <c r="P2338" t="str">
        <f t="shared" si="73"/>
        <v>Yes</v>
      </c>
    </row>
    <row r="2339" spans="1:16" x14ac:dyDescent="0.25">
      <c r="A2339" s="2" t="s">
        <v>6303</v>
      </c>
      <c r="B2339" s="4">
        <v>46117.495833333334</v>
      </c>
      <c r="C2339" s="2" t="s">
        <v>67</v>
      </c>
      <c r="D2339" s="2" t="s">
        <v>95</v>
      </c>
      <c r="E2339" s="2" t="s">
        <v>85</v>
      </c>
      <c r="F2339" s="2" t="s">
        <v>55</v>
      </c>
      <c r="G2339" s="2" t="s">
        <v>179</v>
      </c>
      <c r="H2339" s="2" t="s">
        <v>74</v>
      </c>
      <c r="I2339" s="2">
        <v>8</v>
      </c>
      <c r="J2339" s="2" t="s">
        <v>8580</v>
      </c>
      <c r="K2339" s="4">
        <v>46117.668749999997</v>
      </c>
      <c r="L2339" s="2" t="s">
        <v>24</v>
      </c>
      <c r="M2339" s="2"/>
      <c r="N2339" t="s">
        <v>8586</v>
      </c>
      <c r="O2339" s="8">
        <f t="shared" si="72"/>
        <v>4.1499999999068677</v>
      </c>
      <c r="P2339" t="str">
        <f t="shared" si="73"/>
        <v>N/A</v>
      </c>
    </row>
    <row r="2340" spans="1:16" x14ac:dyDescent="0.25">
      <c r="A2340" s="2" t="s">
        <v>6306</v>
      </c>
      <c r="B2340" s="4">
        <v>46188.005555555559</v>
      </c>
      <c r="C2340" s="2" t="s">
        <v>28</v>
      </c>
      <c r="D2340" s="2" t="s">
        <v>37</v>
      </c>
      <c r="E2340" s="2" t="s">
        <v>18</v>
      </c>
      <c r="F2340" s="2" t="s">
        <v>113</v>
      </c>
      <c r="G2340" s="2" t="s">
        <v>101</v>
      </c>
      <c r="H2340" s="2" t="s">
        <v>21</v>
      </c>
      <c r="I2340" s="2">
        <v>24</v>
      </c>
      <c r="J2340" s="2" t="s">
        <v>8580</v>
      </c>
      <c r="K2340" s="4">
        <v>46188.783333333333</v>
      </c>
      <c r="L2340" s="2" t="s">
        <v>24</v>
      </c>
      <c r="M2340" s="2"/>
      <c r="N2340" t="s">
        <v>8585</v>
      </c>
      <c r="O2340" s="8">
        <f t="shared" si="72"/>
        <v>18.666666666569654</v>
      </c>
      <c r="P2340" t="str">
        <f t="shared" si="73"/>
        <v>N/A</v>
      </c>
    </row>
    <row r="2341" spans="1:16" x14ac:dyDescent="0.25">
      <c r="A2341" s="2" t="s">
        <v>6309</v>
      </c>
      <c r="B2341" s="4">
        <v>46045.419444444444</v>
      </c>
      <c r="C2341" s="2" t="s">
        <v>67</v>
      </c>
      <c r="D2341" s="2" t="s">
        <v>68</v>
      </c>
      <c r="E2341" s="2" t="s">
        <v>38</v>
      </c>
      <c r="F2341" s="2" t="s">
        <v>113</v>
      </c>
      <c r="G2341" s="2" t="s">
        <v>179</v>
      </c>
      <c r="H2341" s="2" t="s">
        <v>32</v>
      </c>
      <c r="I2341" s="2">
        <v>48</v>
      </c>
      <c r="J2341" s="2" t="s">
        <v>75</v>
      </c>
      <c r="K2341" s="4">
        <v>46046.481249999997</v>
      </c>
      <c r="L2341" s="2" t="s">
        <v>24</v>
      </c>
      <c r="M2341" s="2">
        <v>5</v>
      </c>
      <c r="N2341" t="s">
        <v>8587</v>
      </c>
      <c r="O2341" s="8">
        <f t="shared" si="72"/>
        <v>25.483333333279006</v>
      </c>
      <c r="P2341" t="str">
        <f t="shared" si="73"/>
        <v>N/A</v>
      </c>
    </row>
    <row r="2342" spans="1:16" x14ac:dyDescent="0.25">
      <c r="A2342" s="2" t="s">
        <v>6312</v>
      </c>
      <c r="B2342" s="4">
        <v>46099.238194444442</v>
      </c>
      <c r="C2342" s="2" t="s">
        <v>28</v>
      </c>
      <c r="D2342" s="2" t="s">
        <v>37</v>
      </c>
      <c r="E2342" s="2" t="s">
        <v>38</v>
      </c>
      <c r="F2342" s="2" t="s">
        <v>113</v>
      </c>
      <c r="G2342" s="2" t="s">
        <v>179</v>
      </c>
      <c r="H2342" s="2" t="s">
        <v>74</v>
      </c>
      <c r="I2342" s="2">
        <v>8</v>
      </c>
      <c r="J2342" s="2" t="s">
        <v>8580</v>
      </c>
      <c r="K2342" s="4">
        <v>46099.525000000001</v>
      </c>
      <c r="L2342" s="2" t="s">
        <v>24</v>
      </c>
      <c r="M2342" s="2"/>
      <c r="N2342" t="s">
        <v>8586</v>
      </c>
      <c r="O2342" s="8">
        <f t="shared" si="72"/>
        <v>6.8833333334187046</v>
      </c>
      <c r="P2342" t="str">
        <f t="shared" si="73"/>
        <v>N/A</v>
      </c>
    </row>
    <row r="2343" spans="1:16" x14ac:dyDescent="0.25">
      <c r="A2343" s="2" t="s">
        <v>6315</v>
      </c>
      <c r="B2343" s="4">
        <v>46185.807638888888</v>
      </c>
      <c r="C2343" s="2" t="s">
        <v>53</v>
      </c>
      <c r="D2343" s="2" t="s">
        <v>54</v>
      </c>
      <c r="E2343" s="2" t="s">
        <v>148</v>
      </c>
      <c r="F2343" s="2" t="s">
        <v>30</v>
      </c>
      <c r="G2343" s="2" t="s">
        <v>183</v>
      </c>
      <c r="H2343" s="2" t="s">
        <v>21</v>
      </c>
      <c r="I2343" s="2">
        <v>24</v>
      </c>
      <c r="J2343" s="2" t="s">
        <v>106</v>
      </c>
      <c r="K2343" s="4">
        <v>46186.634722222225</v>
      </c>
      <c r="L2343" s="2" t="s">
        <v>24</v>
      </c>
      <c r="M2343" s="2"/>
      <c r="N2343" t="s">
        <v>8585</v>
      </c>
      <c r="O2343" s="8">
        <f t="shared" si="72"/>
        <v>19.850000000093132</v>
      </c>
      <c r="P2343" t="str">
        <f t="shared" si="73"/>
        <v>Yes</v>
      </c>
    </row>
    <row r="2344" spans="1:16" x14ac:dyDescent="0.25">
      <c r="A2344" s="2" t="s">
        <v>6318</v>
      </c>
      <c r="B2344" s="4">
        <v>46226.489583333336</v>
      </c>
      <c r="C2344" s="2" t="s">
        <v>16</v>
      </c>
      <c r="D2344" s="2" t="s">
        <v>17</v>
      </c>
      <c r="E2344" s="2" t="s">
        <v>18</v>
      </c>
      <c r="F2344" s="2" t="s">
        <v>30</v>
      </c>
      <c r="G2344" s="2" t="s">
        <v>183</v>
      </c>
      <c r="H2344" s="2" t="s">
        <v>32</v>
      </c>
      <c r="I2344" s="2">
        <v>48</v>
      </c>
      <c r="J2344" s="2" t="s">
        <v>287</v>
      </c>
      <c r="K2344" s="4" t="s">
        <v>8590</v>
      </c>
      <c r="L2344" s="2" t="s">
        <v>24</v>
      </c>
      <c r="M2344" s="2"/>
      <c r="N2344" t="s">
        <v>8586</v>
      </c>
      <c r="O2344" s="8" t="str">
        <f t="shared" si="72"/>
        <v/>
      </c>
      <c r="P2344" t="str">
        <f t="shared" si="73"/>
        <v>N/A</v>
      </c>
    </row>
    <row r="2345" spans="1:16" x14ac:dyDescent="0.25">
      <c r="A2345" s="2" t="s">
        <v>6320</v>
      </c>
      <c r="B2345" s="4">
        <v>46230.575694444444</v>
      </c>
      <c r="C2345" s="2" t="s">
        <v>28</v>
      </c>
      <c r="D2345" s="2" t="s">
        <v>37</v>
      </c>
      <c r="E2345" s="2" t="s">
        <v>148</v>
      </c>
      <c r="F2345" s="2" t="s">
        <v>96</v>
      </c>
      <c r="G2345" s="2" t="s">
        <v>179</v>
      </c>
      <c r="H2345" s="2" t="s">
        <v>21</v>
      </c>
      <c r="I2345" s="2">
        <v>24</v>
      </c>
      <c r="J2345" s="2" t="s">
        <v>75</v>
      </c>
      <c r="K2345" s="4">
        <v>46231.106249999997</v>
      </c>
      <c r="L2345" s="2" t="s">
        <v>24</v>
      </c>
      <c r="M2345" s="2">
        <v>3</v>
      </c>
      <c r="N2345" t="s">
        <v>8588</v>
      </c>
      <c r="O2345" s="8">
        <f t="shared" si="72"/>
        <v>12.733333333279006</v>
      </c>
      <c r="P2345" t="str">
        <f t="shared" si="73"/>
        <v>N/A</v>
      </c>
    </row>
    <row r="2346" spans="1:16" x14ac:dyDescent="0.25">
      <c r="A2346" s="2" t="s">
        <v>6323</v>
      </c>
      <c r="B2346" s="4">
        <v>46225.561805555553</v>
      </c>
      <c r="C2346" s="2" t="s">
        <v>28</v>
      </c>
      <c r="D2346" s="2" t="s">
        <v>100</v>
      </c>
      <c r="E2346" s="2" t="s">
        <v>38</v>
      </c>
      <c r="F2346" s="2" t="s">
        <v>30</v>
      </c>
      <c r="G2346" s="2" t="s">
        <v>101</v>
      </c>
      <c r="H2346" s="2" t="s">
        <v>21</v>
      </c>
      <c r="I2346" s="2">
        <v>24</v>
      </c>
      <c r="J2346" s="2" t="s">
        <v>11</v>
      </c>
      <c r="K2346" s="4" t="s">
        <v>8590</v>
      </c>
      <c r="L2346" s="2" t="s">
        <v>92</v>
      </c>
      <c r="M2346" s="2"/>
      <c r="N2346" t="s">
        <v>8585</v>
      </c>
      <c r="O2346" s="8" t="str">
        <f t="shared" si="72"/>
        <v/>
      </c>
      <c r="P2346" t="str">
        <f t="shared" si="73"/>
        <v>N/A</v>
      </c>
    </row>
    <row r="2347" spans="1:16" x14ac:dyDescent="0.25">
      <c r="A2347" s="2" t="s">
        <v>6325</v>
      </c>
      <c r="B2347" s="4">
        <v>46198.368055555555</v>
      </c>
      <c r="C2347" s="2" t="s">
        <v>28</v>
      </c>
      <c r="D2347" s="2" t="s">
        <v>100</v>
      </c>
      <c r="E2347" s="2" t="s">
        <v>90</v>
      </c>
      <c r="F2347" s="2" t="s">
        <v>55</v>
      </c>
      <c r="G2347" s="2" t="s">
        <v>183</v>
      </c>
      <c r="H2347" s="2" t="s">
        <v>80</v>
      </c>
      <c r="I2347" s="2">
        <v>4</v>
      </c>
      <c r="J2347" s="2" t="s">
        <v>287</v>
      </c>
      <c r="K2347" s="4" t="s">
        <v>8590</v>
      </c>
      <c r="L2347" s="2" t="s">
        <v>24</v>
      </c>
      <c r="M2347" s="2"/>
      <c r="N2347" t="s">
        <v>8581</v>
      </c>
      <c r="O2347" s="8" t="str">
        <f t="shared" si="72"/>
        <v/>
      </c>
      <c r="P2347" t="str">
        <f t="shared" si="73"/>
        <v>N/A</v>
      </c>
    </row>
    <row r="2348" spans="1:16" x14ac:dyDescent="0.25">
      <c r="A2348" s="2" t="s">
        <v>6327</v>
      </c>
      <c r="B2348" s="4">
        <v>46168.711111111108</v>
      </c>
      <c r="C2348" s="2" t="s">
        <v>16</v>
      </c>
      <c r="D2348" s="2" t="s">
        <v>84</v>
      </c>
      <c r="E2348" s="2" t="s">
        <v>85</v>
      </c>
      <c r="F2348" s="2" t="s">
        <v>30</v>
      </c>
      <c r="G2348" s="2" t="s">
        <v>183</v>
      </c>
      <c r="H2348" s="2" t="s">
        <v>21</v>
      </c>
      <c r="I2348" s="2">
        <v>24</v>
      </c>
      <c r="J2348" s="2" t="s">
        <v>106</v>
      </c>
      <c r="K2348" s="4">
        <v>46171.061111111114</v>
      </c>
      <c r="L2348" s="2" t="s">
        <v>24</v>
      </c>
      <c r="M2348" s="2">
        <v>4</v>
      </c>
      <c r="N2348" t="s">
        <v>8586</v>
      </c>
      <c r="O2348" s="8">
        <f t="shared" si="72"/>
        <v>56.400000000139698</v>
      </c>
      <c r="P2348" t="str">
        <f t="shared" si="73"/>
        <v>No</v>
      </c>
    </row>
    <row r="2349" spans="1:16" x14ac:dyDescent="0.25">
      <c r="A2349" s="2" t="s">
        <v>6330</v>
      </c>
      <c r="B2349" s="4">
        <v>46110.283333333333</v>
      </c>
      <c r="C2349" s="2" t="s">
        <v>67</v>
      </c>
      <c r="D2349" s="2" t="s">
        <v>68</v>
      </c>
      <c r="E2349" s="2" t="s">
        <v>46</v>
      </c>
      <c r="F2349" s="2" t="s">
        <v>113</v>
      </c>
      <c r="G2349" s="2" t="s">
        <v>179</v>
      </c>
      <c r="H2349" s="2" t="s">
        <v>21</v>
      </c>
      <c r="I2349" s="2">
        <v>24</v>
      </c>
      <c r="J2349" s="2" t="s">
        <v>149</v>
      </c>
      <c r="K2349" s="4" t="s">
        <v>8590</v>
      </c>
      <c r="L2349" s="2" t="s">
        <v>24</v>
      </c>
      <c r="M2349" s="2"/>
      <c r="N2349" t="s">
        <v>8587</v>
      </c>
      <c r="O2349" s="8" t="str">
        <f t="shared" si="72"/>
        <v/>
      </c>
      <c r="P2349" t="str">
        <f t="shared" si="73"/>
        <v>N/A</v>
      </c>
    </row>
    <row r="2350" spans="1:16" x14ac:dyDescent="0.25">
      <c r="A2350" s="2" t="s">
        <v>6332</v>
      </c>
      <c r="B2350" s="4">
        <v>46257.26458333333</v>
      </c>
      <c r="C2350" s="2" t="s">
        <v>28</v>
      </c>
      <c r="D2350" s="2" t="s">
        <v>37</v>
      </c>
      <c r="E2350" s="2" t="s">
        <v>46</v>
      </c>
      <c r="F2350" s="2" t="s">
        <v>96</v>
      </c>
      <c r="G2350" s="2" t="s">
        <v>101</v>
      </c>
      <c r="H2350" s="2" t="s">
        <v>32</v>
      </c>
      <c r="I2350" s="2">
        <v>48</v>
      </c>
      <c r="J2350" s="2" t="s">
        <v>106</v>
      </c>
      <c r="K2350" s="4">
        <v>46258.381944444445</v>
      </c>
      <c r="L2350" s="2" t="s">
        <v>24</v>
      </c>
      <c r="M2350" s="2">
        <v>2</v>
      </c>
      <c r="N2350" t="s">
        <v>8584</v>
      </c>
      <c r="O2350" s="8">
        <f t="shared" si="72"/>
        <v>26.81666666676756</v>
      </c>
      <c r="P2350" t="str">
        <f t="shared" si="73"/>
        <v>Yes</v>
      </c>
    </row>
    <row r="2351" spans="1:16" x14ac:dyDescent="0.25">
      <c r="A2351" s="2" t="s">
        <v>6335</v>
      </c>
      <c r="B2351" s="4">
        <v>46238.15347222222</v>
      </c>
      <c r="C2351" s="2" t="s">
        <v>28</v>
      </c>
      <c r="D2351" s="2" t="s">
        <v>37</v>
      </c>
      <c r="E2351" s="2" t="s">
        <v>18</v>
      </c>
      <c r="F2351" s="2" t="s">
        <v>113</v>
      </c>
      <c r="G2351" s="2" t="s">
        <v>31</v>
      </c>
      <c r="H2351" s="2" t="s">
        <v>21</v>
      </c>
      <c r="I2351" s="2">
        <v>24</v>
      </c>
      <c r="J2351" s="2" t="s">
        <v>11</v>
      </c>
      <c r="K2351" s="4" t="s">
        <v>8590</v>
      </c>
      <c r="L2351" s="2" t="s">
        <v>92</v>
      </c>
      <c r="M2351" s="2"/>
      <c r="N2351" t="s">
        <v>8583</v>
      </c>
      <c r="O2351" s="8" t="str">
        <f t="shared" si="72"/>
        <v/>
      </c>
      <c r="P2351" t="str">
        <f t="shared" si="73"/>
        <v>N/A</v>
      </c>
    </row>
    <row r="2352" spans="1:16" x14ac:dyDescent="0.25">
      <c r="A2352" s="2" t="s">
        <v>6337</v>
      </c>
      <c r="B2352" s="4">
        <v>46258.308333333334</v>
      </c>
      <c r="C2352" s="2" t="s">
        <v>28</v>
      </c>
      <c r="D2352" s="2" t="s">
        <v>100</v>
      </c>
      <c r="E2352" s="2" t="s">
        <v>79</v>
      </c>
      <c r="F2352" s="2" t="s">
        <v>96</v>
      </c>
      <c r="G2352" s="2" t="s">
        <v>110</v>
      </c>
      <c r="H2352" s="2" t="s">
        <v>32</v>
      </c>
      <c r="I2352" s="2">
        <v>48</v>
      </c>
      <c r="J2352" s="2" t="s">
        <v>11</v>
      </c>
      <c r="K2352" s="4" t="s">
        <v>8590</v>
      </c>
      <c r="L2352" s="2" t="s">
        <v>92</v>
      </c>
      <c r="M2352" s="2"/>
      <c r="N2352" t="s">
        <v>8582</v>
      </c>
      <c r="O2352" s="8" t="str">
        <f t="shared" si="72"/>
        <v/>
      </c>
      <c r="P2352" t="str">
        <f t="shared" si="73"/>
        <v>N/A</v>
      </c>
    </row>
    <row r="2353" spans="1:16" x14ac:dyDescent="0.25">
      <c r="A2353" s="2" t="s">
        <v>6339</v>
      </c>
      <c r="B2353" s="4">
        <v>46200.925694444442</v>
      </c>
      <c r="C2353" s="2" t="s">
        <v>53</v>
      </c>
      <c r="D2353" s="2" t="s">
        <v>61</v>
      </c>
      <c r="E2353" s="2" t="s">
        <v>18</v>
      </c>
      <c r="F2353" s="2" t="s">
        <v>55</v>
      </c>
      <c r="G2353" s="2" t="s">
        <v>211</v>
      </c>
      <c r="H2353" s="2" t="s">
        <v>32</v>
      </c>
      <c r="I2353" s="2">
        <v>48</v>
      </c>
      <c r="J2353" s="2" t="s">
        <v>106</v>
      </c>
      <c r="K2353" s="4">
        <v>46202.6</v>
      </c>
      <c r="L2353" s="2" t="s">
        <v>24</v>
      </c>
      <c r="M2353" s="2"/>
      <c r="N2353" t="s">
        <v>8589</v>
      </c>
      <c r="O2353" s="8">
        <f t="shared" si="72"/>
        <v>40.183333333348855</v>
      </c>
      <c r="P2353" t="str">
        <f t="shared" si="73"/>
        <v>Yes</v>
      </c>
    </row>
    <row r="2354" spans="1:16" x14ac:dyDescent="0.25">
      <c r="A2354" s="2" t="s">
        <v>6342</v>
      </c>
      <c r="B2354" s="4">
        <v>46166.255555555559</v>
      </c>
      <c r="C2354" s="2" t="s">
        <v>16</v>
      </c>
      <c r="D2354" s="2" t="s">
        <v>84</v>
      </c>
      <c r="E2354" s="2" t="s">
        <v>148</v>
      </c>
      <c r="F2354" s="2" t="s">
        <v>55</v>
      </c>
      <c r="G2354" s="2" t="s">
        <v>31</v>
      </c>
      <c r="H2354" s="2" t="s">
        <v>21</v>
      </c>
      <c r="I2354" s="2">
        <v>24</v>
      </c>
      <c r="J2354" s="2" t="s">
        <v>106</v>
      </c>
      <c r="K2354" s="4">
        <v>46167.438888888886</v>
      </c>
      <c r="L2354" s="2" t="s">
        <v>24</v>
      </c>
      <c r="M2354" s="2"/>
      <c r="N2354" t="s">
        <v>8584</v>
      </c>
      <c r="O2354" s="8">
        <f t="shared" si="72"/>
        <v>28.39999999984866</v>
      </c>
      <c r="P2354" t="str">
        <f t="shared" si="73"/>
        <v>No</v>
      </c>
    </row>
    <row r="2355" spans="1:16" x14ac:dyDescent="0.25">
      <c r="A2355" s="2" t="s">
        <v>6345</v>
      </c>
      <c r="B2355" s="4">
        <v>46046.818749999999</v>
      </c>
      <c r="C2355" s="2" t="s">
        <v>53</v>
      </c>
      <c r="D2355" s="2" t="s">
        <v>61</v>
      </c>
      <c r="E2355" s="2" t="s">
        <v>85</v>
      </c>
      <c r="F2355" s="2" t="s">
        <v>30</v>
      </c>
      <c r="G2355" s="2" t="s">
        <v>101</v>
      </c>
      <c r="H2355" s="2" t="s">
        <v>32</v>
      </c>
      <c r="I2355" s="2">
        <v>48</v>
      </c>
      <c r="J2355" s="2" t="s">
        <v>106</v>
      </c>
      <c r="K2355" s="4">
        <v>46047.62777777778</v>
      </c>
      <c r="L2355" s="2" t="s">
        <v>92</v>
      </c>
      <c r="M2355" s="2"/>
      <c r="N2355" t="s">
        <v>8589</v>
      </c>
      <c r="O2355" s="8">
        <f t="shared" si="72"/>
        <v>19.416666666744277</v>
      </c>
      <c r="P2355" t="str">
        <f t="shared" si="73"/>
        <v>Yes</v>
      </c>
    </row>
    <row r="2356" spans="1:16" x14ac:dyDescent="0.25">
      <c r="A2356" s="2" t="s">
        <v>6348</v>
      </c>
      <c r="B2356" s="4">
        <v>46037.509027777778</v>
      </c>
      <c r="C2356" s="2" t="s">
        <v>16</v>
      </c>
      <c r="D2356" s="2" t="s">
        <v>17</v>
      </c>
      <c r="E2356" s="2" t="s">
        <v>46</v>
      </c>
      <c r="F2356" s="2" t="s">
        <v>30</v>
      </c>
      <c r="G2356" s="2" t="s">
        <v>101</v>
      </c>
      <c r="H2356" s="2" t="s">
        <v>21</v>
      </c>
      <c r="I2356" s="2">
        <v>24</v>
      </c>
      <c r="J2356" s="2" t="s">
        <v>8580</v>
      </c>
      <c r="K2356" s="4">
        <v>46038.356249999997</v>
      </c>
      <c r="L2356" s="2" t="s">
        <v>24</v>
      </c>
      <c r="M2356" s="2"/>
      <c r="N2356" t="s">
        <v>8583</v>
      </c>
      <c r="O2356" s="8">
        <f t="shared" si="72"/>
        <v>20.333333333255723</v>
      </c>
      <c r="P2356" t="str">
        <f t="shared" si="73"/>
        <v>N/A</v>
      </c>
    </row>
    <row r="2357" spans="1:16" x14ac:dyDescent="0.25">
      <c r="A2357" s="2" t="s">
        <v>6351</v>
      </c>
      <c r="B2357" s="4">
        <v>46065.04583333333</v>
      </c>
      <c r="C2357" s="2" t="s">
        <v>67</v>
      </c>
      <c r="D2357" s="2" t="s">
        <v>68</v>
      </c>
      <c r="E2357" s="2" t="s">
        <v>38</v>
      </c>
      <c r="F2357" s="2" t="s">
        <v>55</v>
      </c>
      <c r="G2357" s="2" t="s">
        <v>110</v>
      </c>
      <c r="H2357" s="2" t="s">
        <v>21</v>
      </c>
      <c r="I2357" s="2">
        <v>24</v>
      </c>
      <c r="J2357" s="2" t="s">
        <v>75</v>
      </c>
      <c r="K2357" s="4">
        <v>46065.459027777775</v>
      </c>
      <c r="L2357" s="2" t="s">
        <v>24</v>
      </c>
      <c r="M2357" s="2">
        <v>3</v>
      </c>
      <c r="N2357" t="s">
        <v>8587</v>
      </c>
      <c r="O2357" s="8">
        <f t="shared" si="72"/>
        <v>9.9166666666860692</v>
      </c>
      <c r="P2357" t="str">
        <f t="shared" si="73"/>
        <v>N/A</v>
      </c>
    </row>
    <row r="2358" spans="1:16" x14ac:dyDescent="0.25">
      <c r="A2358" s="2" t="s">
        <v>6354</v>
      </c>
      <c r="B2358" s="4">
        <v>46252.723611111112</v>
      </c>
      <c r="C2358" s="2" t="s">
        <v>53</v>
      </c>
      <c r="D2358" s="2" t="s">
        <v>54</v>
      </c>
      <c r="E2358" s="2" t="s">
        <v>38</v>
      </c>
      <c r="F2358" s="2" t="s">
        <v>30</v>
      </c>
      <c r="G2358" s="2" t="s">
        <v>101</v>
      </c>
      <c r="H2358" s="2" t="s">
        <v>21</v>
      </c>
      <c r="I2358" s="2">
        <v>24</v>
      </c>
      <c r="J2358" s="2" t="s">
        <v>287</v>
      </c>
      <c r="K2358" s="4" t="s">
        <v>8590</v>
      </c>
      <c r="L2358" s="2" t="s">
        <v>24</v>
      </c>
      <c r="M2358" s="2"/>
      <c r="N2358" t="s">
        <v>8589</v>
      </c>
      <c r="O2358" s="8" t="str">
        <f t="shared" si="72"/>
        <v/>
      </c>
      <c r="P2358" t="str">
        <f t="shared" si="73"/>
        <v>N/A</v>
      </c>
    </row>
    <row r="2359" spans="1:16" x14ac:dyDescent="0.25">
      <c r="A2359" s="2" t="s">
        <v>6356</v>
      </c>
      <c r="B2359" s="4">
        <v>46206.915277777778</v>
      </c>
      <c r="C2359" s="2" t="s">
        <v>53</v>
      </c>
      <c r="D2359" s="2" t="s">
        <v>61</v>
      </c>
      <c r="E2359" s="2" t="s">
        <v>18</v>
      </c>
      <c r="F2359" s="2" t="s">
        <v>96</v>
      </c>
      <c r="G2359" s="2" t="s">
        <v>31</v>
      </c>
      <c r="H2359" s="2" t="s">
        <v>21</v>
      </c>
      <c r="I2359" s="2">
        <v>24</v>
      </c>
      <c r="J2359" s="2" t="s">
        <v>106</v>
      </c>
      <c r="K2359" s="4">
        <v>46209.249305555553</v>
      </c>
      <c r="L2359" s="2" t="s">
        <v>24</v>
      </c>
      <c r="M2359" s="2">
        <v>2</v>
      </c>
      <c r="N2359" t="s">
        <v>8589</v>
      </c>
      <c r="O2359" s="8">
        <f t="shared" si="72"/>
        <v>56.016666666604578</v>
      </c>
      <c r="P2359" t="str">
        <f t="shared" si="73"/>
        <v>No</v>
      </c>
    </row>
    <row r="2360" spans="1:16" x14ac:dyDescent="0.25">
      <c r="A2360" s="2" t="s">
        <v>6359</v>
      </c>
      <c r="B2360" s="4">
        <v>46058.415277777778</v>
      </c>
      <c r="C2360" s="2" t="s">
        <v>67</v>
      </c>
      <c r="D2360" s="2" t="s">
        <v>68</v>
      </c>
      <c r="E2360" s="2" t="s">
        <v>148</v>
      </c>
      <c r="F2360" s="2" t="s">
        <v>96</v>
      </c>
      <c r="G2360" s="2" t="s">
        <v>183</v>
      </c>
      <c r="H2360" s="2" t="s">
        <v>74</v>
      </c>
      <c r="I2360" s="2">
        <v>8</v>
      </c>
      <c r="J2360" s="2" t="s">
        <v>75</v>
      </c>
      <c r="K2360" s="4">
        <v>46058.569444444445</v>
      </c>
      <c r="L2360" s="2" t="s">
        <v>24</v>
      </c>
      <c r="M2360" s="2"/>
      <c r="N2360" t="s">
        <v>8587</v>
      </c>
      <c r="O2360" s="8">
        <f t="shared" si="72"/>
        <v>3.7000000000116415</v>
      </c>
      <c r="P2360" t="str">
        <f t="shared" si="73"/>
        <v>N/A</v>
      </c>
    </row>
    <row r="2361" spans="1:16" x14ac:dyDescent="0.25">
      <c r="A2361" s="2" t="s">
        <v>6362</v>
      </c>
      <c r="B2361" s="4">
        <v>46060.619444444441</v>
      </c>
      <c r="C2361" s="2" t="s">
        <v>53</v>
      </c>
      <c r="D2361" s="2" t="s">
        <v>61</v>
      </c>
      <c r="E2361" s="2" t="s">
        <v>148</v>
      </c>
      <c r="F2361" s="2" t="s">
        <v>113</v>
      </c>
      <c r="G2361" s="2" t="s">
        <v>101</v>
      </c>
      <c r="H2361" s="2" t="s">
        <v>32</v>
      </c>
      <c r="I2361" s="2">
        <v>48</v>
      </c>
      <c r="J2361" s="2" t="s">
        <v>287</v>
      </c>
      <c r="K2361" s="4" t="s">
        <v>8590</v>
      </c>
      <c r="L2361" s="2" t="s">
        <v>24</v>
      </c>
      <c r="M2361" s="2"/>
      <c r="N2361" t="s">
        <v>8585</v>
      </c>
      <c r="O2361" s="8" t="str">
        <f t="shared" si="72"/>
        <v/>
      </c>
      <c r="P2361" t="str">
        <f t="shared" si="73"/>
        <v>N/A</v>
      </c>
    </row>
    <row r="2362" spans="1:16" x14ac:dyDescent="0.25">
      <c r="A2362" s="2" t="s">
        <v>6364</v>
      </c>
      <c r="B2362" s="4">
        <v>46030.739583333336</v>
      </c>
      <c r="C2362" s="2" t="s">
        <v>16</v>
      </c>
      <c r="D2362" s="2" t="s">
        <v>84</v>
      </c>
      <c r="E2362" s="2" t="s">
        <v>18</v>
      </c>
      <c r="F2362" s="2" t="s">
        <v>55</v>
      </c>
      <c r="G2362" s="2" t="s">
        <v>211</v>
      </c>
      <c r="H2362" s="2" t="s">
        <v>80</v>
      </c>
      <c r="I2362" s="2">
        <v>4</v>
      </c>
      <c r="J2362" s="2" t="s">
        <v>8580</v>
      </c>
      <c r="K2362" s="4">
        <v>46030.843055555553</v>
      </c>
      <c r="L2362" s="2" t="s">
        <v>24</v>
      </c>
      <c r="M2362" s="2"/>
      <c r="N2362" t="s">
        <v>8584</v>
      </c>
      <c r="O2362" s="8">
        <f t="shared" si="72"/>
        <v>2.4833333332207985</v>
      </c>
      <c r="P2362" t="str">
        <f t="shared" si="73"/>
        <v>N/A</v>
      </c>
    </row>
    <row r="2363" spans="1:16" x14ac:dyDescent="0.25">
      <c r="A2363" s="2" t="s">
        <v>6367</v>
      </c>
      <c r="B2363" s="4">
        <v>46170.46875</v>
      </c>
      <c r="C2363" s="2" t="s">
        <v>16</v>
      </c>
      <c r="D2363" s="2" t="s">
        <v>17</v>
      </c>
      <c r="E2363" s="2" t="s">
        <v>79</v>
      </c>
      <c r="F2363" s="2" t="s">
        <v>96</v>
      </c>
      <c r="G2363" s="2" t="s">
        <v>110</v>
      </c>
      <c r="H2363" s="2" t="s">
        <v>74</v>
      </c>
      <c r="I2363" s="2">
        <v>8</v>
      </c>
      <c r="J2363" s="2" t="s">
        <v>149</v>
      </c>
      <c r="K2363" s="4" t="s">
        <v>8590</v>
      </c>
      <c r="L2363" s="2" t="s">
        <v>24</v>
      </c>
      <c r="M2363" s="2"/>
      <c r="N2363" t="s">
        <v>8584</v>
      </c>
      <c r="O2363" s="8" t="str">
        <f t="shared" si="72"/>
        <v/>
      </c>
      <c r="P2363" t="str">
        <f t="shared" si="73"/>
        <v>N/A</v>
      </c>
    </row>
    <row r="2364" spans="1:16" x14ac:dyDescent="0.25">
      <c r="A2364" s="2" t="s">
        <v>6369</v>
      </c>
      <c r="B2364" s="4">
        <v>46206.125694444447</v>
      </c>
      <c r="C2364" s="2" t="s">
        <v>28</v>
      </c>
      <c r="D2364" s="2" t="s">
        <v>37</v>
      </c>
      <c r="E2364" s="2" t="s">
        <v>79</v>
      </c>
      <c r="F2364" s="2" t="s">
        <v>113</v>
      </c>
      <c r="G2364" s="2" t="s">
        <v>183</v>
      </c>
      <c r="H2364" s="2" t="s">
        <v>32</v>
      </c>
      <c r="I2364" s="2">
        <v>48</v>
      </c>
      <c r="J2364" s="2" t="s">
        <v>8580</v>
      </c>
      <c r="K2364" s="4">
        <v>46207.614583333336</v>
      </c>
      <c r="L2364" s="2" t="s">
        <v>24</v>
      </c>
      <c r="M2364" s="2"/>
      <c r="N2364" t="s">
        <v>8589</v>
      </c>
      <c r="O2364" s="8">
        <f t="shared" si="72"/>
        <v>35.733333333337214</v>
      </c>
      <c r="P2364" t="str">
        <f t="shared" si="73"/>
        <v>N/A</v>
      </c>
    </row>
    <row r="2365" spans="1:16" x14ac:dyDescent="0.25">
      <c r="A2365" s="2" t="s">
        <v>6372</v>
      </c>
      <c r="B2365" s="4">
        <v>46228.351388888892</v>
      </c>
      <c r="C2365" s="2" t="s">
        <v>53</v>
      </c>
      <c r="D2365" s="2" t="s">
        <v>54</v>
      </c>
      <c r="E2365" s="2" t="s">
        <v>148</v>
      </c>
      <c r="F2365" s="2" t="s">
        <v>96</v>
      </c>
      <c r="G2365" s="2" t="s">
        <v>110</v>
      </c>
      <c r="H2365" s="2" t="s">
        <v>21</v>
      </c>
      <c r="I2365" s="2">
        <v>24</v>
      </c>
      <c r="J2365" s="2" t="s">
        <v>106</v>
      </c>
      <c r="K2365" s="4">
        <v>46230.611111111109</v>
      </c>
      <c r="L2365" s="2" t="s">
        <v>24</v>
      </c>
      <c r="M2365" s="2"/>
      <c r="N2365" t="s">
        <v>8588</v>
      </c>
      <c r="O2365" s="8">
        <f t="shared" si="72"/>
        <v>54.233333333220799</v>
      </c>
      <c r="P2365" t="str">
        <f t="shared" si="73"/>
        <v>No</v>
      </c>
    </row>
    <row r="2366" spans="1:16" x14ac:dyDescent="0.25">
      <c r="A2366" s="2" t="s">
        <v>6375</v>
      </c>
      <c r="B2366" s="4">
        <v>46177.097916666666</v>
      </c>
      <c r="C2366" s="2" t="s">
        <v>67</v>
      </c>
      <c r="D2366" s="2" t="s">
        <v>95</v>
      </c>
      <c r="E2366" s="2" t="s">
        <v>38</v>
      </c>
      <c r="F2366" s="2" t="s">
        <v>55</v>
      </c>
      <c r="G2366" s="2" t="s">
        <v>31</v>
      </c>
      <c r="H2366" s="2" t="s">
        <v>21</v>
      </c>
      <c r="I2366" s="2">
        <v>24</v>
      </c>
      <c r="J2366" s="2" t="s">
        <v>75</v>
      </c>
      <c r="K2366" s="4">
        <v>46177.214583333334</v>
      </c>
      <c r="L2366" s="2" t="s">
        <v>24</v>
      </c>
      <c r="M2366" s="2">
        <v>3</v>
      </c>
      <c r="N2366" t="s">
        <v>8581</v>
      </c>
      <c r="O2366" s="8">
        <f t="shared" si="72"/>
        <v>2.8000000000465661</v>
      </c>
      <c r="P2366" t="str">
        <f t="shared" si="73"/>
        <v>N/A</v>
      </c>
    </row>
    <row r="2367" spans="1:16" x14ac:dyDescent="0.25">
      <c r="A2367" s="2" t="s">
        <v>6378</v>
      </c>
      <c r="B2367" s="4">
        <v>46066.295138888891</v>
      </c>
      <c r="C2367" s="2" t="s">
        <v>16</v>
      </c>
      <c r="D2367" s="2" t="s">
        <v>84</v>
      </c>
      <c r="E2367" s="2" t="s">
        <v>79</v>
      </c>
      <c r="F2367" s="2" t="s">
        <v>96</v>
      </c>
      <c r="G2367" s="2" t="s">
        <v>179</v>
      </c>
      <c r="H2367" s="2" t="s">
        <v>21</v>
      </c>
      <c r="I2367" s="2">
        <v>24</v>
      </c>
      <c r="J2367" s="2" t="s">
        <v>106</v>
      </c>
      <c r="K2367" s="4">
        <v>46066.797222222223</v>
      </c>
      <c r="L2367" s="2" t="s">
        <v>24</v>
      </c>
      <c r="M2367" s="2"/>
      <c r="N2367" t="s">
        <v>8582</v>
      </c>
      <c r="O2367" s="8">
        <f t="shared" si="72"/>
        <v>12.049999999988358</v>
      </c>
      <c r="P2367" t="str">
        <f t="shared" si="73"/>
        <v>Yes</v>
      </c>
    </row>
    <row r="2368" spans="1:16" x14ac:dyDescent="0.25">
      <c r="A2368" s="2" t="s">
        <v>6381</v>
      </c>
      <c r="B2368" s="4">
        <v>46097.31527777778</v>
      </c>
      <c r="C2368" s="2" t="s">
        <v>28</v>
      </c>
      <c r="D2368" s="2" t="s">
        <v>37</v>
      </c>
      <c r="E2368" s="2" t="s">
        <v>46</v>
      </c>
      <c r="F2368" s="2" t="s">
        <v>55</v>
      </c>
      <c r="G2368" s="2" t="s">
        <v>179</v>
      </c>
      <c r="H2368" s="2" t="s">
        <v>74</v>
      </c>
      <c r="I2368" s="2">
        <v>8</v>
      </c>
      <c r="J2368" s="2" t="s">
        <v>149</v>
      </c>
      <c r="K2368" s="4" t="s">
        <v>8590</v>
      </c>
      <c r="L2368" s="2" t="s">
        <v>24</v>
      </c>
      <c r="M2368" s="2"/>
      <c r="N2368" t="s">
        <v>8583</v>
      </c>
      <c r="O2368" s="8" t="str">
        <f t="shared" si="72"/>
        <v/>
      </c>
      <c r="P2368" t="str">
        <f t="shared" si="73"/>
        <v>N/A</v>
      </c>
    </row>
    <row r="2369" spans="1:16" x14ac:dyDescent="0.25">
      <c r="A2369" s="2" t="s">
        <v>6383</v>
      </c>
      <c r="B2369" s="4">
        <v>46124.842361111114</v>
      </c>
      <c r="C2369" s="2" t="s">
        <v>53</v>
      </c>
      <c r="D2369" s="2" t="s">
        <v>61</v>
      </c>
      <c r="E2369" s="2" t="s">
        <v>85</v>
      </c>
      <c r="F2369" s="2" t="s">
        <v>113</v>
      </c>
      <c r="G2369" s="2" t="s">
        <v>110</v>
      </c>
      <c r="H2369" s="2" t="s">
        <v>21</v>
      </c>
      <c r="I2369" s="2">
        <v>24</v>
      </c>
      <c r="J2369" s="2" t="s">
        <v>287</v>
      </c>
      <c r="K2369" s="4" t="s">
        <v>8590</v>
      </c>
      <c r="L2369" s="2" t="s">
        <v>24</v>
      </c>
      <c r="M2369" s="2"/>
      <c r="N2369" t="s">
        <v>8589</v>
      </c>
      <c r="O2369" s="8" t="str">
        <f t="shared" si="72"/>
        <v/>
      </c>
      <c r="P2369" t="str">
        <f t="shared" si="73"/>
        <v>N/A</v>
      </c>
    </row>
    <row r="2370" spans="1:16" x14ac:dyDescent="0.25">
      <c r="A2370" s="2" t="s">
        <v>6385</v>
      </c>
      <c r="B2370" s="4">
        <v>46112.734027777777</v>
      </c>
      <c r="C2370" s="2" t="s">
        <v>16</v>
      </c>
      <c r="D2370" s="2" t="s">
        <v>17</v>
      </c>
      <c r="E2370" s="2" t="s">
        <v>90</v>
      </c>
      <c r="F2370" s="2" t="s">
        <v>113</v>
      </c>
      <c r="G2370" s="2" t="s">
        <v>101</v>
      </c>
      <c r="H2370" s="2" t="s">
        <v>21</v>
      </c>
      <c r="I2370" s="2">
        <v>24</v>
      </c>
      <c r="J2370" s="2" t="s">
        <v>11</v>
      </c>
      <c r="K2370" s="4" t="s">
        <v>8590</v>
      </c>
      <c r="L2370" s="2" t="s">
        <v>92</v>
      </c>
      <c r="M2370" s="2"/>
      <c r="N2370" t="s">
        <v>8589</v>
      </c>
      <c r="O2370" s="8" t="str">
        <f t="shared" si="72"/>
        <v/>
      </c>
      <c r="P2370" t="str">
        <f t="shared" si="73"/>
        <v>N/A</v>
      </c>
    </row>
    <row r="2371" spans="1:16" x14ac:dyDescent="0.25">
      <c r="A2371" s="2" t="s">
        <v>6387</v>
      </c>
      <c r="B2371" s="4">
        <v>46180.271527777775</v>
      </c>
      <c r="C2371" s="2" t="s">
        <v>53</v>
      </c>
      <c r="D2371" s="2" t="s">
        <v>61</v>
      </c>
      <c r="E2371" s="2" t="s">
        <v>85</v>
      </c>
      <c r="F2371" s="2" t="s">
        <v>113</v>
      </c>
      <c r="G2371" s="2" t="s">
        <v>183</v>
      </c>
      <c r="H2371" s="2" t="s">
        <v>74</v>
      </c>
      <c r="I2371" s="2">
        <v>8</v>
      </c>
      <c r="J2371" s="2" t="s">
        <v>149</v>
      </c>
      <c r="K2371" s="4" t="s">
        <v>8590</v>
      </c>
      <c r="L2371" s="2" t="s">
        <v>24</v>
      </c>
      <c r="M2371" s="2"/>
      <c r="N2371" t="s">
        <v>8585</v>
      </c>
      <c r="O2371" s="8" t="str">
        <f t="shared" ref="O2371:O2434" si="74">IF(K2371="","",IF(K2371="Missing Resolve Date","",(K2371-B2371)*24))</f>
        <v/>
      </c>
      <c r="P2371" t="str">
        <f t="shared" ref="P2371:P2434" si="75">IF(J2371="Resolved",IF(O2371&lt;=I2371,"Yes","No"),"N/A")</f>
        <v>N/A</v>
      </c>
    </row>
    <row r="2372" spans="1:16" x14ac:dyDescent="0.25">
      <c r="A2372" s="2" t="s">
        <v>6389</v>
      </c>
      <c r="B2372" s="4">
        <v>46077.215277777781</v>
      </c>
      <c r="C2372" s="2" t="s">
        <v>16</v>
      </c>
      <c r="D2372" s="2" t="s">
        <v>84</v>
      </c>
      <c r="E2372" s="2" t="s">
        <v>85</v>
      </c>
      <c r="F2372" s="2" t="s">
        <v>96</v>
      </c>
      <c r="G2372" s="2" t="s">
        <v>179</v>
      </c>
      <c r="H2372" s="2" t="s">
        <v>32</v>
      </c>
      <c r="I2372" s="2">
        <v>48</v>
      </c>
      <c r="J2372" s="2" t="s">
        <v>11</v>
      </c>
      <c r="K2372" s="4" t="s">
        <v>8590</v>
      </c>
      <c r="L2372" s="2" t="s">
        <v>92</v>
      </c>
      <c r="M2372" s="2"/>
      <c r="N2372" t="s">
        <v>8589</v>
      </c>
      <c r="O2372" s="8" t="str">
        <f t="shared" si="74"/>
        <v/>
      </c>
      <c r="P2372" t="str">
        <f t="shared" si="75"/>
        <v>N/A</v>
      </c>
    </row>
    <row r="2373" spans="1:16" x14ac:dyDescent="0.25">
      <c r="A2373" s="2" t="s">
        <v>6391</v>
      </c>
      <c r="B2373" s="4">
        <v>46113.120138888888</v>
      </c>
      <c r="C2373" s="2" t="s">
        <v>16</v>
      </c>
      <c r="D2373" s="2" t="s">
        <v>84</v>
      </c>
      <c r="E2373" s="2" t="s">
        <v>90</v>
      </c>
      <c r="F2373" s="2" t="s">
        <v>96</v>
      </c>
      <c r="G2373" s="2" t="s">
        <v>31</v>
      </c>
      <c r="H2373" s="2" t="s">
        <v>74</v>
      </c>
      <c r="I2373" s="2">
        <v>8</v>
      </c>
      <c r="J2373" s="2" t="s">
        <v>11</v>
      </c>
      <c r="K2373" s="4" t="s">
        <v>8590</v>
      </c>
      <c r="L2373" s="2" t="s">
        <v>92</v>
      </c>
      <c r="M2373" s="2"/>
      <c r="N2373" t="s">
        <v>8583</v>
      </c>
      <c r="O2373" s="8" t="str">
        <f t="shared" si="74"/>
        <v/>
      </c>
      <c r="P2373" t="str">
        <f t="shared" si="75"/>
        <v>N/A</v>
      </c>
    </row>
    <row r="2374" spans="1:16" x14ac:dyDescent="0.25">
      <c r="A2374" s="2" t="s">
        <v>6393</v>
      </c>
      <c r="B2374" s="4">
        <v>46139.918055555558</v>
      </c>
      <c r="C2374" s="2" t="s">
        <v>28</v>
      </c>
      <c r="D2374" s="2" t="s">
        <v>37</v>
      </c>
      <c r="E2374" s="2" t="s">
        <v>85</v>
      </c>
      <c r="F2374" s="2" t="s">
        <v>96</v>
      </c>
      <c r="G2374" s="2" t="s">
        <v>110</v>
      </c>
      <c r="H2374" s="2" t="s">
        <v>32</v>
      </c>
      <c r="I2374" s="2">
        <v>48</v>
      </c>
      <c r="J2374" s="2" t="s">
        <v>75</v>
      </c>
      <c r="K2374" s="4">
        <v>46145.689583333333</v>
      </c>
      <c r="L2374" s="2" t="s">
        <v>24</v>
      </c>
      <c r="M2374" s="2">
        <v>5</v>
      </c>
      <c r="N2374" t="s">
        <v>8582</v>
      </c>
      <c r="O2374" s="8">
        <f t="shared" si="74"/>
        <v>138.51666666660458</v>
      </c>
      <c r="P2374" t="str">
        <f t="shared" si="75"/>
        <v>N/A</v>
      </c>
    </row>
    <row r="2375" spans="1:16" x14ac:dyDescent="0.25">
      <c r="A2375" s="2" t="s">
        <v>6396</v>
      </c>
      <c r="B2375" s="4">
        <v>46182.695833333331</v>
      </c>
      <c r="C2375" s="2" t="s">
        <v>16</v>
      </c>
      <c r="D2375" s="2" t="s">
        <v>84</v>
      </c>
      <c r="E2375" s="2" t="s">
        <v>90</v>
      </c>
      <c r="F2375" s="2" t="s">
        <v>55</v>
      </c>
      <c r="G2375" s="2" t="s">
        <v>110</v>
      </c>
      <c r="H2375" s="2" t="s">
        <v>32</v>
      </c>
      <c r="I2375" s="2">
        <v>48</v>
      </c>
      <c r="J2375" s="2" t="s">
        <v>75</v>
      </c>
      <c r="K2375" s="4">
        <v>46183.428472222222</v>
      </c>
      <c r="L2375" s="2" t="s">
        <v>24</v>
      </c>
      <c r="M2375" s="2">
        <v>4</v>
      </c>
      <c r="N2375" t="s">
        <v>8584</v>
      </c>
      <c r="O2375" s="8">
        <f t="shared" si="74"/>
        <v>17.583333333372138</v>
      </c>
      <c r="P2375" t="str">
        <f t="shared" si="75"/>
        <v>N/A</v>
      </c>
    </row>
    <row r="2376" spans="1:16" x14ac:dyDescent="0.25">
      <c r="A2376" s="2" t="s">
        <v>6399</v>
      </c>
      <c r="B2376" s="4">
        <v>46037.949305555558</v>
      </c>
      <c r="C2376" s="2" t="s">
        <v>67</v>
      </c>
      <c r="D2376" s="2" t="s">
        <v>95</v>
      </c>
      <c r="E2376" s="2" t="s">
        <v>148</v>
      </c>
      <c r="F2376" s="2" t="s">
        <v>96</v>
      </c>
      <c r="G2376" s="2" t="s">
        <v>183</v>
      </c>
      <c r="H2376" s="2" t="s">
        <v>21</v>
      </c>
      <c r="I2376" s="2">
        <v>24</v>
      </c>
      <c r="J2376" s="2" t="s">
        <v>106</v>
      </c>
      <c r="K2376" s="4">
        <v>46038.782638888886</v>
      </c>
      <c r="L2376" s="2" t="s">
        <v>24</v>
      </c>
      <c r="M2376" s="2"/>
      <c r="N2376" t="s">
        <v>8589</v>
      </c>
      <c r="O2376" s="8">
        <f t="shared" si="74"/>
        <v>19.999999999883585</v>
      </c>
      <c r="P2376" t="str">
        <f t="shared" si="75"/>
        <v>Yes</v>
      </c>
    </row>
    <row r="2377" spans="1:16" x14ac:dyDescent="0.25">
      <c r="A2377" s="2" t="s">
        <v>6402</v>
      </c>
      <c r="B2377" s="4">
        <v>46194.718055555553</v>
      </c>
      <c r="C2377" s="2" t="s">
        <v>67</v>
      </c>
      <c r="D2377" s="2" t="s">
        <v>68</v>
      </c>
      <c r="E2377" s="2" t="s">
        <v>148</v>
      </c>
      <c r="F2377" s="2" t="s">
        <v>113</v>
      </c>
      <c r="G2377" s="2" t="s">
        <v>179</v>
      </c>
      <c r="H2377" s="2" t="s">
        <v>74</v>
      </c>
      <c r="I2377" s="2">
        <v>8</v>
      </c>
      <c r="J2377" s="2" t="s">
        <v>75</v>
      </c>
      <c r="K2377" s="4">
        <v>46194.899305555555</v>
      </c>
      <c r="L2377" s="2" t="s">
        <v>24</v>
      </c>
      <c r="M2377" s="2">
        <v>4</v>
      </c>
      <c r="N2377" t="s">
        <v>8581</v>
      </c>
      <c r="O2377" s="8">
        <f t="shared" si="74"/>
        <v>4.3500000000349246</v>
      </c>
      <c r="P2377" t="str">
        <f t="shared" si="75"/>
        <v>N/A</v>
      </c>
    </row>
    <row r="2378" spans="1:16" x14ac:dyDescent="0.25">
      <c r="A2378" s="2" t="s">
        <v>6405</v>
      </c>
      <c r="B2378" s="4">
        <v>46094.408333333333</v>
      </c>
      <c r="C2378" s="2" t="s">
        <v>28</v>
      </c>
      <c r="D2378" s="2" t="s">
        <v>37</v>
      </c>
      <c r="E2378" s="2" t="s">
        <v>38</v>
      </c>
      <c r="F2378" s="2" t="s">
        <v>55</v>
      </c>
      <c r="G2378" s="2" t="s">
        <v>211</v>
      </c>
      <c r="H2378" s="2" t="s">
        <v>21</v>
      </c>
      <c r="I2378" s="2">
        <v>24</v>
      </c>
      <c r="J2378" s="2" t="s">
        <v>11</v>
      </c>
      <c r="K2378" s="4" t="s">
        <v>8590</v>
      </c>
      <c r="L2378" s="2" t="s">
        <v>92</v>
      </c>
      <c r="M2378" s="2"/>
      <c r="N2378" t="s">
        <v>8584</v>
      </c>
      <c r="O2378" s="8" t="str">
        <f t="shared" si="74"/>
        <v/>
      </c>
      <c r="P2378" t="str">
        <f t="shared" si="75"/>
        <v>N/A</v>
      </c>
    </row>
    <row r="2379" spans="1:16" x14ac:dyDescent="0.25">
      <c r="A2379" s="2" t="s">
        <v>6407</v>
      </c>
      <c r="B2379" s="4">
        <v>46256.185416666667</v>
      </c>
      <c r="C2379" s="2" t="s">
        <v>53</v>
      </c>
      <c r="D2379" s="2" t="s">
        <v>61</v>
      </c>
      <c r="E2379" s="2" t="s">
        <v>90</v>
      </c>
      <c r="F2379" s="2" t="s">
        <v>55</v>
      </c>
      <c r="G2379" s="2" t="s">
        <v>110</v>
      </c>
      <c r="H2379" s="2" t="s">
        <v>74</v>
      </c>
      <c r="I2379" s="2">
        <v>8</v>
      </c>
      <c r="J2379" s="2" t="s">
        <v>106</v>
      </c>
      <c r="K2379" s="4">
        <v>46256.982638888891</v>
      </c>
      <c r="L2379" s="2" t="s">
        <v>24</v>
      </c>
      <c r="M2379" s="2">
        <v>5</v>
      </c>
      <c r="N2379" t="s">
        <v>8581</v>
      </c>
      <c r="O2379" s="8">
        <f t="shared" si="74"/>
        <v>19.133333333360497</v>
      </c>
      <c r="P2379" t="str">
        <f t="shared" si="75"/>
        <v>No</v>
      </c>
    </row>
    <row r="2380" spans="1:16" x14ac:dyDescent="0.25">
      <c r="A2380" s="2" t="s">
        <v>6410</v>
      </c>
      <c r="B2380" s="4">
        <v>46256.490277777775</v>
      </c>
      <c r="C2380" s="2" t="s">
        <v>28</v>
      </c>
      <c r="D2380" s="2" t="s">
        <v>100</v>
      </c>
      <c r="E2380" s="2" t="s">
        <v>90</v>
      </c>
      <c r="F2380" s="2" t="s">
        <v>113</v>
      </c>
      <c r="G2380" s="2" t="s">
        <v>179</v>
      </c>
      <c r="H2380" s="2" t="s">
        <v>21</v>
      </c>
      <c r="I2380" s="2">
        <v>24</v>
      </c>
      <c r="J2380" s="2" t="s">
        <v>149</v>
      </c>
      <c r="K2380" s="4" t="s">
        <v>8590</v>
      </c>
      <c r="L2380" s="2" t="s">
        <v>92</v>
      </c>
      <c r="M2380" s="2"/>
      <c r="N2380" t="s">
        <v>8583</v>
      </c>
      <c r="O2380" s="8" t="str">
        <f t="shared" si="74"/>
        <v/>
      </c>
      <c r="P2380" t="str">
        <f t="shared" si="75"/>
        <v>N/A</v>
      </c>
    </row>
    <row r="2381" spans="1:16" x14ac:dyDescent="0.25">
      <c r="A2381" s="2" t="s">
        <v>6412</v>
      </c>
      <c r="B2381" s="4">
        <v>46127.599305555559</v>
      </c>
      <c r="C2381" s="2" t="s">
        <v>28</v>
      </c>
      <c r="D2381" s="2" t="s">
        <v>100</v>
      </c>
      <c r="E2381" s="2" t="s">
        <v>38</v>
      </c>
      <c r="F2381" s="2" t="s">
        <v>96</v>
      </c>
      <c r="G2381" s="2" t="s">
        <v>101</v>
      </c>
      <c r="H2381" s="2" t="s">
        <v>21</v>
      </c>
      <c r="I2381" s="2">
        <v>24</v>
      </c>
      <c r="J2381" s="2" t="s">
        <v>106</v>
      </c>
      <c r="K2381" s="4">
        <v>46127.645833333336</v>
      </c>
      <c r="L2381" s="2" t="s">
        <v>24</v>
      </c>
      <c r="M2381" s="2"/>
      <c r="N2381" t="s">
        <v>8588</v>
      </c>
      <c r="O2381" s="8">
        <f t="shared" si="74"/>
        <v>1.1166666666395031</v>
      </c>
      <c r="P2381" t="str">
        <f t="shared" si="75"/>
        <v>Yes</v>
      </c>
    </row>
    <row r="2382" spans="1:16" x14ac:dyDescent="0.25">
      <c r="A2382" s="2" t="s">
        <v>6415</v>
      </c>
      <c r="B2382" s="4">
        <v>46181.211805555555</v>
      </c>
      <c r="C2382" s="2" t="s">
        <v>53</v>
      </c>
      <c r="D2382" s="2" t="s">
        <v>54</v>
      </c>
      <c r="E2382" s="2" t="s">
        <v>90</v>
      </c>
      <c r="F2382" s="2" t="s">
        <v>30</v>
      </c>
      <c r="G2382" s="2" t="s">
        <v>110</v>
      </c>
      <c r="H2382" s="2" t="s">
        <v>21</v>
      </c>
      <c r="I2382" s="2">
        <v>24</v>
      </c>
      <c r="J2382" s="2" t="s">
        <v>106</v>
      </c>
      <c r="K2382" s="4">
        <v>46183.498611111114</v>
      </c>
      <c r="L2382" s="2" t="s">
        <v>24</v>
      </c>
      <c r="M2382" s="2">
        <v>2</v>
      </c>
      <c r="N2382" t="s">
        <v>8586</v>
      </c>
      <c r="O2382" s="8">
        <f t="shared" si="74"/>
        <v>54.883333333418705</v>
      </c>
      <c r="P2382" t="str">
        <f t="shared" si="75"/>
        <v>No</v>
      </c>
    </row>
    <row r="2383" spans="1:16" x14ac:dyDescent="0.25">
      <c r="A2383" s="2" t="s">
        <v>6418</v>
      </c>
      <c r="B2383" s="4">
        <v>46199.618750000001</v>
      </c>
      <c r="C2383" s="2" t="s">
        <v>16</v>
      </c>
      <c r="D2383" s="2" t="s">
        <v>17</v>
      </c>
      <c r="E2383" s="2" t="s">
        <v>90</v>
      </c>
      <c r="F2383" s="2" t="s">
        <v>96</v>
      </c>
      <c r="G2383" s="2" t="s">
        <v>101</v>
      </c>
      <c r="H2383" s="2" t="s">
        <v>74</v>
      </c>
      <c r="I2383" s="2">
        <v>8</v>
      </c>
      <c r="J2383" s="2" t="s">
        <v>287</v>
      </c>
      <c r="K2383" s="4" t="s">
        <v>8590</v>
      </c>
      <c r="L2383" s="2" t="s">
        <v>92</v>
      </c>
      <c r="M2383" s="2"/>
      <c r="N2383" t="s">
        <v>8587</v>
      </c>
      <c r="O2383" s="8" t="str">
        <f t="shared" si="74"/>
        <v/>
      </c>
      <c r="P2383" t="str">
        <f t="shared" si="75"/>
        <v>N/A</v>
      </c>
    </row>
    <row r="2384" spans="1:16" x14ac:dyDescent="0.25">
      <c r="A2384" s="2" t="s">
        <v>6420</v>
      </c>
      <c r="B2384" s="4">
        <v>46133.731944444444</v>
      </c>
      <c r="C2384" s="2" t="s">
        <v>53</v>
      </c>
      <c r="D2384" s="2" t="s">
        <v>54</v>
      </c>
      <c r="E2384" s="2" t="s">
        <v>90</v>
      </c>
      <c r="F2384" s="2" t="s">
        <v>96</v>
      </c>
      <c r="G2384" s="2" t="s">
        <v>179</v>
      </c>
      <c r="H2384" s="2" t="s">
        <v>32</v>
      </c>
      <c r="I2384" s="2">
        <v>48</v>
      </c>
      <c r="J2384" s="2" t="s">
        <v>106</v>
      </c>
      <c r="K2384" s="4" t="s">
        <v>8590</v>
      </c>
      <c r="L2384" s="2" t="s">
        <v>24</v>
      </c>
      <c r="M2384" s="2">
        <v>5</v>
      </c>
      <c r="N2384" t="s">
        <v>8589</v>
      </c>
      <c r="O2384" s="8" t="str">
        <f t="shared" si="74"/>
        <v/>
      </c>
      <c r="P2384" t="str">
        <f t="shared" si="75"/>
        <v>No</v>
      </c>
    </row>
    <row r="2385" spans="1:16" x14ac:dyDescent="0.25">
      <c r="A2385" s="2" t="s">
        <v>6422</v>
      </c>
      <c r="B2385" s="4">
        <v>46086.693749999999</v>
      </c>
      <c r="C2385" s="2" t="s">
        <v>53</v>
      </c>
      <c r="D2385" s="2" t="s">
        <v>54</v>
      </c>
      <c r="E2385" s="2" t="s">
        <v>85</v>
      </c>
      <c r="F2385" s="2" t="s">
        <v>30</v>
      </c>
      <c r="G2385" s="2" t="s">
        <v>211</v>
      </c>
      <c r="H2385" s="2" t="s">
        <v>32</v>
      </c>
      <c r="I2385" s="2">
        <v>48</v>
      </c>
      <c r="J2385" s="2" t="s">
        <v>287</v>
      </c>
      <c r="K2385" s="4" t="s">
        <v>8590</v>
      </c>
      <c r="L2385" s="2" t="s">
        <v>24</v>
      </c>
      <c r="M2385" s="2"/>
      <c r="N2385" t="s">
        <v>8583</v>
      </c>
      <c r="O2385" s="8" t="str">
        <f t="shared" si="74"/>
        <v/>
      </c>
      <c r="P2385" t="str">
        <f t="shared" si="75"/>
        <v>N/A</v>
      </c>
    </row>
    <row r="2386" spans="1:16" x14ac:dyDescent="0.25">
      <c r="A2386" s="2" t="s">
        <v>6424</v>
      </c>
      <c r="B2386" s="4">
        <v>46168.199305555558</v>
      </c>
      <c r="C2386" s="2" t="s">
        <v>16</v>
      </c>
      <c r="D2386" s="2" t="s">
        <v>17</v>
      </c>
      <c r="E2386" s="2" t="s">
        <v>18</v>
      </c>
      <c r="F2386" s="2" t="s">
        <v>113</v>
      </c>
      <c r="G2386" s="2" t="s">
        <v>101</v>
      </c>
      <c r="H2386" s="2" t="s">
        <v>21</v>
      </c>
      <c r="I2386" s="2">
        <v>24</v>
      </c>
      <c r="J2386" s="2" t="s">
        <v>106</v>
      </c>
      <c r="K2386" s="4">
        <v>46168.595138888886</v>
      </c>
      <c r="L2386" s="2" t="s">
        <v>24</v>
      </c>
      <c r="M2386" s="2">
        <v>1</v>
      </c>
      <c r="N2386" t="s">
        <v>8586</v>
      </c>
      <c r="O2386" s="8">
        <f t="shared" si="74"/>
        <v>9.4999999998835847</v>
      </c>
      <c r="P2386" t="str">
        <f t="shared" si="75"/>
        <v>Yes</v>
      </c>
    </row>
    <row r="2387" spans="1:16" x14ac:dyDescent="0.25">
      <c r="A2387" s="2" t="s">
        <v>6427</v>
      </c>
      <c r="B2387" s="4">
        <v>46217.572222222225</v>
      </c>
      <c r="C2387" s="2" t="s">
        <v>16</v>
      </c>
      <c r="D2387" s="2" t="s">
        <v>84</v>
      </c>
      <c r="E2387" s="2" t="s">
        <v>148</v>
      </c>
      <c r="F2387" s="2" t="s">
        <v>113</v>
      </c>
      <c r="G2387" s="2" t="s">
        <v>101</v>
      </c>
      <c r="H2387" s="2" t="s">
        <v>74</v>
      </c>
      <c r="I2387" s="2">
        <v>8</v>
      </c>
      <c r="J2387" s="2" t="s">
        <v>106</v>
      </c>
      <c r="K2387" s="4">
        <v>46217.638194444444</v>
      </c>
      <c r="L2387" s="2" t="s">
        <v>24</v>
      </c>
      <c r="M2387" s="2">
        <v>2</v>
      </c>
      <c r="N2387" t="s">
        <v>8584</v>
      </c>
      <c r="O2387" s="8">
        <f t="shared" si="74"/>
        <v>1.5833333332557231</v>
      </c>
      <c r="P2387" t="str">
        <f t="shared" si="75"/>
        <v>Yes</v>
      </c>
    </row>
    <row r="2388" spans="1:16" x14ac:dyDescent="0.25">
      <c r="A2388" s="2" t="s">
        <v>6430</v>
      </c>
      <c r="B2388" s="4">
        <v>46189.098611111112</v>
      </c>
      <c r="C2388" s="2" t="s">
        <v>28</v>
      </c>
      <c r="D2388" s="2" t="s">
        <v>37</v>
      </c>
      <c r="E2388" s="2" t="s">
        <v>148</v>
      </c>
      <c r="F2388" s="2" t="s">
        <v>55</v>
      </c>
      <c r="G2388" s="2" t="s">
        <v>110</v>
      </c>
      <c r="H2388" s="2" t="s">
        <v>21</v>
      </c>
      <c r="I2388" s="2">
        <v>24</v>
      </c>
      <c r="J2388" s="2" t="s">
        <v>149</v>
      </c>
      <c r="K2388" s="4" t="s">
        <v>8590</v>
      </c>
      <c r="L2388" s="2" t="s">
        <v>24</v>
      </c>
      <c r="M2388" s="2"/>
      <c r="N2388" t="s">
        <v>8584</v>
      </c>
      <c r="O2388" s="8" t="str">
        <f t="shared" si="74"/>
        <v/>
      </c>
      <c r="P2388" t="str">
        <f t="shared" si="75"/>
        <v>N/A</v>
      </c>
    </row>
    <row r="2389" spans="1:16" x14ac:dyDescent="0.25">
      <c r="A2389" s="2" t="s">
        <v>6432</v>
      </c>
      <c r="B2389" s="4">
        <v>46041.222222222219</v>
      </c>
      <c r="C2389" s="2" t="s">
        <v>28</v>
      </c>
      <c r="D2389" s="2" t="s">
        <v>100</v>
      </c>
      <c r="E2389" s="2" t="s">
        <v>85</v>
      </c>
      <c r="F2389" s="2" t="s">
        <v>30</v>
      </c>
      <c r="G2389" s="2" t="s">
        <v>101</v>
      </c>
      <c r="H2389" s="2" t="s">
        <v>74</v>
      </c>
      <c r="I2389" s="2">
        <v>8</v>
      </c>
      <c r="J2389" s="2" t="s">
        <v>8580</v>
      </c>
      <c r="K2389" s="4">
        <v>46041.251388888886</v>
      </c>
      <c r="L2389" s="2" t="s">
        <v>24</v>
      </c>
      <c r="M2389" s="2"/>
      <c r="N2389" t="s">
        <v>8583</v>
      </c>
      <c r="O2389" s="8">
        <f t="shared" si="74"/>
        <v>0.70000000001164153</v>
      </c>
      <c r="P2389" t="str">
        <f t="shared" si="75"/>
        <v>N/A</v>
      </c>
    </row>
    <row r="2390" spans="1:16" x14ac:dyDescent="0.25">
      <c r="A2390" s="2" t="s">
        <v>6435</v>
      </c>
      <c r="B2390" s="4">
        <v>46239.513194444444</v>
      </c>
      <c r="C2390" s="2" t="s">
        <v>53</v>
      </c>
      <c r="D2390" s="2" t="s">
        <v>61</v>
      </c>
      <c r="E2390" s="2" t="s">
        <v>46</v>
      </c>
      <c r="F2390" s="2" t="s">
        <v>113</v>
      </c>
      <c r="G2390" s="2" t="s">
        <v>183</v>
      </c>
      <c r="H2390" s="2" t="s">
        <v>74</v>
      </c>
      <c r="I2390" s="2">
        <v>8</v>
      </c>
      <c r="J2390" s="2" t="s">
        <v>106</v>
      </c>
      <c r="K2390" s="4">
        <v>46239.643750000003</v>
      </c>
      <c r="L2390" s="2" t="s">
        <v>24</v>
      </c>
      <c r="M2390" s="2">
        <v>3</v>
      </c>
      <c r="N2390" t="s">
        <v>8584</v>
      </c>
      <c r="O2390" s="8">
        <f t="shared" si="74"/>
        <v>3.1333333334187046</v>
      </c>
      <c r="P2390" t="str">
        <f t="shared" si="75"/>
        <v>Yes</v>
      </c>
    </row>
    <row r="2391" spans="1:16" x14ac:dyDescent="0.25">
      <c r="A2391" s="2" t="s">
        <v>6438</v>
      </c>
      <c r="B2391" s="4">
        <v>46036.67083333333</v>
      </c>
      <c r="C2391" s="2" t="s">
        <v>53</v>
      </c>
      <c r="D2391" s="2" t="s">
        <v>54</v>
      </c>
      <c r="E2391" s="2" t="s">
        <v>46</v>
      </c>
      <c r="F2391" s="2" t="s">
        <v>96</v>
      </c>
      <c r="G2391" s="2" t="s">
        <v>179</v>
      </c>
      <c r="H2391" s="2" t="s">
        <v>32</v>
      </c>
      <c r="I2391" s="2">
        <v>48</v>
      </c>
      <c r="J2391" s="2" t="s">
        <v>149</v>
      </c>
      <c r="K2391" s="4" t="s">
        <v>8590</v>
      </c>
      <c r="L2391" s="2" t="s">
        <v>24</v>
      </c>
      <c r="M2391" s="2"/>
      <c r="N2391" t="s">
        <v>8585</v>
      </c>
      <c r="O2391" s="8" t="str">
        <f t="shared" si="74"/>
        <v/>
      </c>
      <c r="P2391" t="str">
        <f t="shared" si="75"/>
        <v>N/A</v>
      </c>
    </row>
    <row r="2392" spans="1:16" x14ac:dyDescent="0.25">
      <c r="A2392" s="2" t="s">
        <v>6440</v>
      </c>
      <c r="B2392" s="4">
        <v>46115.349305555559</v>
      </c>
      <c r="C2392" s="2" t="s">
        <v>67</v>
      </c>
      <c r="D2392" s="2" t="s">
        <v>95</v>
      </c>
      <c r="E2392" s="2" t="s">
        <v>90</v>
      </c>
      <c r="F2392" s="2" t="s">
        <v>55</v>
      </c>
      <c r="G2392" s="2" t="s">
        <v>31</v>
      </c>
      <c r="H2392" s="2" t="s">
        <v>21</v>
      </c>
      <c r="I2392" s="2">
        <v>24</v>
      </c>
      <c r="J2392" s="2" t="s">
        <v>287</v>
      </c>
      <c r="K2392" s="4" t="s">
        <v>8590</v>
      </c>
      <c r="L2392" s="2" t="s">
        <v>24</v>
      </c>
      <c r="M2392" s="2"/>
      <c r="N2392" t="s">
        <v>8583</v>
      </c>
      <c r="O2392" s="8" t="str">
        <f t="shared" si="74"/>
        <v/>
      </c>
      <c r="P2392" t="str">
        <f t="shared" si="75"/>
        <v>N/A</v>
      </c>
    </row>
    <row r="2393" spans="1:16" x14ac:dyDescent="0.25">
      <c r="A2393" s="2" t="s">
        <v>6442</v>
      </c>
      <c r="B2393" s="4">
        <v>46056.039583333331</v>
      </c>
      <c r="C2393" s="2" t="s">
        <v>53</v>
      </c>
      <c r="D2393" s="2" t="s">
        <v>61</v>
      </c>
      <c r="E2393" s="2" t="s">
        <v>85</v>
      </c>
      <c r="F2393" s="2" t="s">
        <v>113</v>
      </c>
      <c r="G2393" s="2" t="s">
        <v>101</v>
      </c>
      <c r="H2393" s="2" t="s">
        <v>74</v>
      </c>
      <c r="I2393" s="2">
        <v>8</v>
      </c>
      <c r="J2393" s="2" t="s">
        <v>106</v>
      </c>
      <c r="K2393" s="4" t="s">
        <v>8590</v>
      </c>
      <c r="L2393" s="2" t="s">
        <v>24</v>
      </c>
      <c r="M2393" s="2">
        <v>5</v>
      </c>
      <c r="N2393" t="s">
        <v>8582</v>
      </c>
      <c r="O2393" s="8" t="str">
        <f t="shared" si="74"/>
        <v/>
      </c>
      <c r="P2393" t="str">
        <f t="shared" si="75"/>
        <v>No</v>
      </c>
    </row>
    <row r="2394" spans="1:16" x14ac:dyDescent="0.25">
      <c r="A2394" s="2" t="s">
        <v>6444</v>
      </c>
      <c r="B2394" s="4">
        <v>46153.925694444442</v>
      </c>
      <c r="C2394" s="2" t="s">
        <v>67</v>
      </c>
      <c r="D2394" s="2" t="s">
        <v>95</v>
      </c>
      <c r="E2394" s="2" t="s">
        <v>18</v>
      </c>
      <c r="F2394" s="2" t="s">
        <v>113</v>
      </c>
      <c r="G2394" s="2" t="s">
        <v>179</v>
      </c>
      <c r="H2394" s="2" t="s">
        <v>21</v>
      </c>
      <c r="I2394" s="2">
        <v>24</v>
      </c>
      <c r="J2394" s="2" t="s">
        <v>106</v>
      </c>
      <c r="K2394" s="4">
        <v>46154.260416666664</v>
      </c>
      <c r="L2394" s="2" t="s">
        <v>92</v>
      </c>
      <c r="M2394" s="2"/>
      <c r="N2394" t="s">
        <v>8582</v>
      </c>
      <c r="O2394" s="8">
        <f t="shared" si="74"/>
        <v>8.0333333333255723</v>
      </c>
      <c r="P2394" t="str">
        <f t="shared" si="75"/>
        <v>Yes</v>
      </c>
    </row>
    <row r="2395" spans="1:16" x14ac:dyDescent="0.25">
      <c r="A2395" s="2" t="s">
        <v>6446</v>
      </c>
      <c r="B2395" s="4">
        <v>46106.636111111111</v>
      </c>
      <c r="C2395" s="2" t="s">
        <v>67</v>
      </c>
      <c r="D2395" s="2" t="s">
        <v>95</v>
      </c>
      <c r="E2395" s="2" t="s">
        <v>90</v>
      </c>
      <c r="F2395" s="2" t="s">
        <v>30</v>
      </c>
      <c r="G2395" s="2" t="s">
        <v>183</v>
      </c>
      <c r="H2395" s="2" t="s">
        <v>74</v>
      </c>
      <c r="I2395" s="2">
        <v>8</v>
      </c>
      <c r="J2395" s="2" t="s">
        <v>106</v>
      </c>
      <c r="K2395" s="4">
        <v>46106.873611111114</v>
      </c>
      <c r="L2395" s="2" t="s">
        <v>24</v>
      </c>
      <c r="M2395" s="2">
        <v>3</v>
      </c>
      <c r="N2395" t="s">
        <v>8588</v>
      </c>
      <c r="O2395" s="8">
        <f t="shared" si="74"/>
        <v>5.7000000000698492</v>
      </c>
      <c r="P2395" t="str">
        <f t="shared" si="75"/>
        <v>Yes</v>
      </c>
    </row>
    <row r="2396" spans="1:16" x14ac:dyDescent="0.25">
      <c r="A2396" s="2" t="s">
        <v>6449</v>
      </c>
      <c r="B2396" s="4">
        <v>46159.746527777781</v>
      </c>
      <c r="C2396" s="2" t="s">
        <v>53</v>
      </c>
      <c r="D2396" s="2" t="s">
        <v>61</v>
      </c>
      <c r="E2396" s="2" t="s">
        <v>79</v>
      </c>
      <c r="F2396" s="2" t="s">
        <v>96</v>
      </c>
      <c r="G2396" s="2" t="s">
        <v>101</v>
      </c>
      <c r="H2396" s="2" t="s">
        <v>74</v>
      </c>
      <c r="I2396" s="2">
        <v>8</v>
      </c>
      <c r="J2396" s="2" t="s">
        <v>106</v>
      </c>
      <c r="K2396" s="4">
        <v>46159.879166666666</v>
      </c>
      <c r="L2396" s="2" t="s">
        <v>24</v>
      </c>
      <c r="M2396" s="2">
        <v>3</v>
      </c>
      <c r="N2396" t="s">
        <v>8583</v>
      </c>
      <c r="O2396" s="8">
        <f t="shared" si="74"/>
        <v>3.1833333332324401</v>
      </c>
      <c r="P2396" t="str">
        <f t="shared" si="75"/>
        <v>Yes</v>
      </c>
    </row>
    <row r="2397" spans="1:16" x14ac:dyDescent="0.25">
      <c r="A2397" s="2" t="s">
        <v>6452</v>
      </c>
      <c r="B2397" s="4">
        <v>46043.382638888892</v>
      </c>
      <c r="C2397" s="2" t="s">
        <v>28</v>
      </c>
      <c r="D2397" s="2" t="s">
        <v>37</v>
      </c>
      <c r="E2397" s="2" t="s">
        <v>38</v>
      </c>
      <c r="F2397" s="2" t="s">
        <v>113</v>
      </c>
      <c r="G2397" s="2" t="s">
        <v>31</v>
      </c>
      <c r="H2397" s="2" t="s">
        <v>74</v>
      </c>
      <c r="I2397" s="2">
        <v>8</v>
      </c>
      <c r="J2397" s="2" t="s">
        <v>106</v>
      </c>
      <c r="K2397" s="4">
        <v>46043.493055555555</v>
      </c>
      <c r="L2397" s="2" t="s">
        <v>24</v>
      </c>
      <c r="M2397" s="2">
        <v>4</v>
      </c>
      <c r="N2397" t="s">
        <v>8585</v>
      </c>
      <c r="O2397" s="8">
        <f t="shared" si="74"/>
        <v>2.6499999999068677</v>
      </c>
      <c r="P2397" t="str">
        <f t="shared" si="75"/>
        <v>Yes</v>
      </c>
    </row>
    <row r="2398" spans="1:16" x14ac:dyDescent="0.25">
      <c r="A2398" s="2" t="s">
        <v>6455</v>
      </c>
      <c r="B2398" s="4">
        <v>46131.049305555556</v>
      </c>
      <c r="C2398" s="2" t="s">
        <v>28</v>
      </c>
      <c r="D2398" s="2" t="s">
        <v>100</v>
      </c>
      <c r="E2398" s="2" t="s">
        <v>38</v>
      </c>
      <c r="F2398" s="2" t="s">
        <v>96</v>
      </c>
      <c r="G2398" s="2" t="s">
        <v>211</v>
      </c>
      <c r="H2398" s="2" t="s">
        <v>32</v>
      </c>
      <c r="I2398" s="2">
        <v>48</v>
      </c>
      <c r="J2398" s="2" t="s">
        <v>8580</v>
      </c>
      <c r="K2398" s="4">
        <v>46132.021527777775</v>
      </c>
      <c r="L2398" s="2" t="s">
        <v>24</v>
      </c>
      <c r="M2398" s="2"/>
      <c r="N2398" t="s">
        <v>8587</v>
      </c>
      <c r="O2398" s="8">
        <f t="shared" si="74"/>
        <v>23.333333333255723</v>
      </c>
      <c r="P2398" t="str">
        <f t="shared" si="75"/>
        <v>N/A</v>
      </c>
    </row>
    <row r="2399" spans="1:16" x14ac:dyDescent="0.25">
      <c r="A2399" s="2" t="s">
        <v>6458</v>
      </c>
      <c r="B2399" s="4">
        <v>46252.856944444444</v>
      </c>
      <c r="C2399" s="2" t="s">
        <v>28</v>
      </c>
      <c r="D2399" s="2" t="s">
        <v>37</v>
      </c>
      <c r="E2399" s="2" t="s">
        <v>38</v>
      </c>
      <c r="F2399" s="2" t="s">
        <v>113</v>
      </c>
      <c r="G2399" s="2" t="s">
        <v>110</v>
      </c>
      <c r="H2399" s="2" t="s">
        <v>80</v>
      </c>
      <c r="I2399" s="2">
        <v>4</v>
      </c>
      <c r="J2399" s="2" t="s">
        <v>149</v>
      </c>
      <c r="K2399" s="4" t="s">
        <v>8590</v>
      </c>
      <c r="L2399" s="2" t="s">
        <v>24</v>
      </c>
      <c r="M2399" s="2"/>
      <c r="N2399" t="s">
        <v>8588</v>
      </c>
      <c r="O2399" s="8" t="str">
        <f t="shared" si="74"/>
        <v/>
      </c>
      <c r="P2399" t="str">
        <f t="shared" si="75"/>
        <v>N/A</v>
      </c>
    </row>
    <row r="2400" spans="1:16" x14ac:dyDescent="0.25">
      <c r="A2400" s="2" t="s">
        <v>6460</v>
      </c>
      <c r="B2400" s="4">
        <v>46039.90625</v>
      </c>
      <c r="C2400" s="2" t="s">
        <v>67</v>
      </c>
      <c r="D2400" s="2" t="s">
        <v>68</v>
      </c>
      <c r="E2400" s="2" t="s">
        <v>79</v>
      </c>
      <c r="F2400" s="2" t="s">
        <v>96</v>
      </c>
      <c r="G2400" s="2" t="s">
        <v>31</v>
      </c>
      <c r="H2400" s="2" t="s">
        <v>32</v>
      </c>
      <c r="I2400" s="2">
        <v>48</v>
      </c>
      <c r="J2400" s="2" t="s">
        <v>8580</v>
      </c>
      <c r="K2400" s="4">
        <v>46045.05972222222</v>
      </c>
      <c r="L2400" s="2" t="s">
        <v>24</v>
      </c>
      <c r="M2400" s="2"/>
      <c r="N2400" t="s">
        <v>8588</v>
      </c>
      <c r="O2400" s="8">
        <f t="shared" si="74"/>
        <v>123.68333333329065</v>
      </c>
      <c r="P2400" t="str">
        <f t="shared" si="75"/>
        <v>N/A</v>
      </c>
    </row>
    <row r="2401" spans="1:16" x14ac:dyDescent="0.25">
      <c r="A2401" s="2" t="s">
        <v>6463</v>
      </c>
      <c r="B2401" s="4">
        <v>46147.013194444444</v>
      </c>
      <c r="C2401" s="2" t="s">
        <v>28</v>
      </c>
      <c r="D2401" s="2" t="s">
        <v>37</v>
      </c>
      <c r="E2401" s="2" t="s">
        <v>79</v>
      </c>
      <c r="F2401" s="2" t="s">
        <v>113</v>
      </c>
      <c r="G2401" s="2" t="s">
        <v>110</v>
      </c>
      <c r="H2401" s="2" t="s">
        <v>21</v>
      </c>
      <c r="I2401" s="2">
        <v>24</v>
      </c>
      <c r="J2401" s="2" t="s">
        <v>106</v>
      </c>
      <c r="K2401" s="4">
        <v>46149.713194444441</v>
      </c>
      <c r="L2401" s="2" t="s">
        <v>24</v>
      </c>
      <c r="M2401" s="2"/>
      <c r="N2401" t="s">
        <v>8588</v>
      </c>
      <c r="O2401" s="8">
        <f t="shared" si="74"/>
        <v>64.799999999930151</v>
      </c>
      <c r="P2401" t="str">
        <f t="shared" si="75"/>
        <v>No</v>
      </c>
    </row>
    <row r="2402" spans="1:16" x14ac:dyDescent="0.25">
      <c r="A2402" s="2" t="s">
        <v>6466</v>
      </c>
      <c r="B2402" s="4">
        <v>46248.668749999997</v>
      </c>
      <c r="C2402" s="2" t="s">
        <v>67</v>
      </c>
      <c r="D2402" s="2" t="s">
        <v>95</v>
      </c>
      <c r="E2402" s="2" t="s">
        <v>148</v>
      </c>
      <c r="F2402" s="2" t="s">
        <v>96</v>
      </c>
      <c r="G2402" s="2" t="s">
        <v>179</v>
      </c>
      <c r="H2402" s="2" t="s">
        <v>32</v>
      </c>
      <c r="I2402" s="2">
        <v>48</v>
      </c>
      <c r="J2402" s="2" t="s">
        <v>75</v>
      </c>
      <c r="K2402" s="4">
        <v>46249.995833333334</v>
      </c>
      <c r="L2402" s="2" t="s">
        <v>24</v>
      </c>
      <c r="M2402" s="2">
        <v>3</v>
      </c>
      <c r="N2402" t="s">
        <v>8589</v>
      </c>
      <c r="O2402" s="8">
        <f t="shared" si="74"/>
        <v>31.850000000093132</v>
      </c>
      <c r="P2402" t="str">
        <f t="shared" si="75"/>
        <v>N/A</v>
      </c>
    </row>
    <row r="2403" spans="1:16" x14ac:dyDescent="0.25">
      <c r="A2403" s="2" t="s">
        <v>6469</v>
      </c>
      <c r="B2403" s="4">
        <v>46232.210416666669</v>
      </c>
      <c r="C2403" s="2" t="s">
        <v>16</v>
      </c>
      <c r="D2403" s="2" t="s">
        <v>17</v>
      </c>
      <c r="E2403" s="2" t="s">
        <v>18</v>
      </c>
      <c r="F2403" s="2" t="s">
        <v>30</v>
      </c>
      <c r="G2403" s="2" t="s">
        <v>183</v>
      </c>
      <c r="H2403" s="2" t="s">
        <v>32</v>
      </c>
      <c r="I2403" s="2">
        <v>48</v>
      </c>
      <c r="J2403" s="2" t="s">
        <v>106</v>
      </c>
      <c r="K2403" s="4">
        <v>46233.004166666666</v>
      </c>
      <c r="L2403" s="2" t="s">
        <v>24</v>
      </c>
      <c r="M2403" s="2">
        <v>5</v>
      </c>
      <c r="N2403" t="s">
        <v>8589</v>
      </c>
      <c r="O2403" s="8">
        <f t="shared" si="74"/>
        <v>19.049999999930151</v>
      </c>
      <c r="P2403" t="str">
        <f t="shared" si="75"/>
        <v>Yes</v>
      </c>
    </row>
    <row r="2404" spans="1:16" x14ac:dyDescent="0.25">
      <c r="A2404" s="2" t="s">
        <v>6472</v>
      </c>
      <c r="B2404" s="4">
        <v>46117.911805555559</v>
      </c>
      <c r="C2404" s="2" t="s">
        <v>53</v>
      </c>
      <c r="D2404" s="2" t="s">
        <v>61</v>
      </c>
      <c r="E2404" s="2" t="s">
        <v>46</v>
      </c>
      <c r="F2404" s="2" t="s">
        <v>55</v>
      </c>
      <c r="G2404" s="2" t="s">
        <v>31</v>
      </c>
      <c r="H2404" s="2" t="s">
        <v>21</v>
      </c>
      <c r="I2404" s="2">
        <v>24</v>
      </c>
      <c r="J2404" s="2" t="s">
        <v>149</v>
      </c>
      <c r="K2404" s="4" t="s">
        <v>8590</v>
      </c>
      <c r="L2404" s="2" t="s">
        <v>24</v>
      </c>
      <c r="M2404" s="2"/>
      <c r="N2404" t="s">
        <v>8582</v>
      </c>
      <c r="O2404" s="8" t="str">
        <f t="shared" si="74"/>
        <v/>
      </c>
      <c r="P2404" t="str">
        <f t="shared" si="75"/>
        <v>N/A</v>
      </c>
    </row>
    <row r="2405" spans="1:16" x14ac:dyDescent="0.25">
      <c r="A2405" s="2" t="s">
        <v>6474</v>
      </c>
      <c r="B2405" s="4">
        <v>46024.337500000001</v>
      </c>
      <c r="C2405" s="2" t="s">
        <v>67</v>
      </c>
      <c r="D2405" s="2" t="s">
        <v>68</v>
      </c>
      <c r="E2405" s="2" t="s">
        <v>90</v>
      </c>
      <c r="F2405" s="2" t="s">
        <v>113</v>
      </c>
      <c r="G2405" s="2" t="s">
        <v>211</v>
      </c>
      <c r="H2405" s="2" t="s">
        <v>32</v>
      </c>
      <c r="I2405" s="2">
        <v>48</v>
      </c>
      <c r="J2405" s="2" t="s">
        <v>8580</v>
      </c>
      <c r="K2405" s="4">
        <v>46025.556944444441</v>
      </c>
      <c r="L2405" s="2" t="s">
        <v>24</v>
      </c>
      <c r="M2405" s="2"/>
      <c r="N2405" t="s">
        <v>8589</v>
      </c>
      <c r="O2405" s="8">
        <f t="shared" si="74"/>
        <v>29.266666666546371</v>
      </c>
      <c r="P2405" t="str">
        <f t="shared" si="75"/>
        <v>N/A</v>
      </c>
    </row>
    <row r="2406" spans="1:16" x14ac:dyDescent="0.25">
      <c r="A2406" s="2" t="s">
        <v>6477</v>
      </c>
      <c r="B2406" s="4">
        <v>46159.992361111108</v>
      </c>
      <c r="C2406" s="2" t="s">
        <v>67</v>
      </c>
      <c r="D2406" s="2" t="s">
        <v>95</v>
      </c>
      <c r="E2406" s="2" t="s">
        <v>85</v>
      </c>
      <c r="F2406" s="2" t="s">
        <v>96</v>
      </c>
      <c r="G2406" s="2" t="s">
        <v>101</v>
      </c>
      <c r="H2406" s="2" t="s">
        <v>32</v>
      </c>
      <c r="I2406" s="2">
        <v>48</v>
      </c>
      <c r="J2406" s="2" t="s">
        <v>287</v>
      </c>
      <c r="K2406" s="4" t="s">
        <v>8590</v>
      </c>
      <c r="L2406" s="2" t="s">
        <v>24</v>
      </c>
      <c r="M2406" s="2"/>
      <c r="N2406" t="s">
        <v>8583</v>
      </c>
      <c r="O2406" s="8" t="str">
        <f t="shared" si="74"/>
        <v/>
      </c>
      <c r="P2406" t="str">
        <f t="shared" si="75"/>
        <v>N/A</v>
      </c>
    </row>
    <row r="2407" spans="1:16" x14ac:dyDescent="0.25">
      <c r="A2407" s="2" t="s">
        <v>6479</v>
      </c>
      <c r="B2407" s="4">
        <v>46089.613194444442</v>
      </c>
      <c r="C2407" s="2" t="s">
        <v>53</v>
      </c>
      <c r="D2407" s="2" t="s">
        <v>61</v>
      </c>
      <c r="E2407" s="2" t="s">
        <v>79</v>
      </c>
      <c r="F2407" s="2" t="s">
        <v>30</v>
      </c>
      <c r="G2407" s="2" t="s">
        <v>179</v>
      </c>
      <c r="H2407" s="2" t="s">
        <v>74</v>
      </c>
      <c r="I2407" s="2">
        <v>8</v>
      </c>
      <c r="J2407" s="2" t="s">
        <v>287</v>
      </c>
      <c r="K2407" s="4" t="s">
        <v>8590</v>
      </c>
      <c r="L2407" s="2" t="s">
        <v>92</v>
      </c>
      <c r="M2407" s="2"/>
      <c r="N2407" t="s">
        <v>8583</v>
      </c>
      <c r="O2407" s="8" t="str">
        <f t="shared" si="74"/>
        <v/>
      </c>
      <c r="P2407" t="str">
        <f t="shared" si="75"/>
        <v>N/A</v>
      </c>
    </row>
    <row r="2408" spans="1:16" x14ac:dyDescent="0.25">
      <c r="A2408" s="2" t="s">
        <v>6481</v>
      </c>
      <c r="B2408" s="4">
        <v>46171.702777777777</v>
      </c>
      <c r="C2408" s="2" t="s">
        <v>67</v>
      </c>
      <c r="D2408" s="2" t="s">
        <v>95</v>
      </c>
      <c r="E2408" s="2" t="s">
        <v>38</v>
      </c>
      <c r="F2408" s="2" t="s">
        <v>113</v>
      </c>
      <c r="G2408" s="2" t="s">
        <v>31</v>
      </c>
      <c r="H2408" s="2" t="s">
        <v>21</v>
      </c>
      <c r="I2408" s="2">
        <v>24</v>
      </c>
      <c r="J2408" s="2" t="s">
        <v>11</v>
      </c>
      <c r="K2408" s="4" t="s">
        <v>8590</v>
      </c>
      <c r="L2408" s="2" t="s">
        <v>92</v>
      </c>
      <c r="M2408" s="2"/>
      <c r="N2408" t="s">
        <v>8581</v>
      </c>
      <c r="O2408" s="8" t="str">
        <f t="shared" si="74"/>
        <v/>
      </c>
      <c r="P2408" t="str">
        <f t="shared" si="75"/>
        <v>N/A</v>
      </c>
    </row>
    <row r="2409" spans="1:16" x14ac:dyDescent="0.25">
      <c r="A2409" s="2" t="s">
        <v>6483</v>
      </c>
      <c r="B2409" s="4">
        <v>46110.642361111109</v>
      </c>
      <c r="C2409" s="2" t="s">
        <v>53</v>
      </c>
      <c r="D2409" s="2" t="s">
        <v>61</v>
      </c>
      <c r="E2409" s="2" t="s">
        <v>85</v>
      </c>
      <c r="F2409" s="2" t="s">
        <v>55</v>
      </c>
      <c r="G2409" s="2" t="s">
        <v>211</v>
      </c>
      <c r="H2409" s="2" t="s">
        <v>74</v>
      </c>
      <c r="I2409" s="2">
        <v>8</v>
      </c>
      <c r="J2409" s="2" t="s">
        <v>106</v>
      </c>
      <c r="K2409" s="4">
        <v>46110.829861111109</v>
      </c>
      <c r="L2409" s="2" t="s">
        <v>24</v>
      </c>
      <c r="M2409" s="2">
        <v>4</v>
      </c>
      <c r="N2409" t="s">
        <v>8585</v>
      </c>
      <c r="O2409" s="8">
        <f t="shared" si="74"/>
        <v>4.5</v>
      </c>
      <c r="P2409" t="str">
        <f t="shared" si="75"/>
        <v>Yes</v>
      </c>
    </row>
    <row r="2410" spans="1:16" x14ac:dyDescent="0.25">
      <c r="A2410" s="2" t="s">
        <v>6486</v>
      </c>
      <c r="B2410" s="4">
        <v>46082.938194444447</v>
      </c>
      <c r="C2410" s="2" t="s">
        <v>16</v>
      </c>
      <c r="D2410" s="2" t="s">
        <v>17</v>
      </c>
      <c r="E2410" s="2" t="s">
        <v>90</v>
      </c>
      <c r="F2410" s="2" t="s">
        <v>30</v>
      </c>
      <c r="G2410" s="2" t="s">
        <v>179</v>
      </c>
      <c r="H2410" s="2" t="s">
        <v>21</v>
      </c>
      <c r="I2410" s="2">
        <v>24</v>
      </c>
      <c r="J2410" s="2" t="s">
        <v>149</v>
      </c>
      <c r="K2410" s="4" t="s">
        <v>8590</v>
      </c>
      <c r="L2410" s="2" t="s">
        <v>24</v>
      </c>
      <c r="M2410" s="2"/>
      <c r="N2410" t="s">
        <v>8582</v>
      </c>
      <c r="O2410" s="8" t="str">
        <f t="shared" si="74"/>
        <v/>
      </c>
      <c r="P2410" t="str">
        <f t="shared" si="75"/>
        <v>N/A</v>
      </c>
    </row>
    <row r="2411" spans="1:16" x14ac:dyDescent="0.25">
      <c r="A2411" s="2" t="s">
        <v>6488</v>
      </c>
      <c r="B2411" s="4">
        <v>46059.217361111114</v>
      </c>
      <c r="C2411" s="2" t="s">
        <v>67</v>
      </c>
      <c r="D2411" s="2" t="s">
        <v>68</v>
      </c>
      <c r="E2411" s="2" t="s">
        <v>90</v>
      </c>
      <c r="F2411" s="2" t="s">
        <v>55</v>
      </c>
      <c r="G2411" s="2" t="s">
        <v>110</v>
      </c>
      <c r="H2411" s="2" t="s">
        <v>21</v>
      </c>
      <c r="I2411" s="2">
        <v>24</v>
      </c>
      <c r="J2411" s="2" t="s">
        <v>106</v>
      </c>
      <c r="K2411" s="4">
        <v>46059.334027777775</v>
      </c>
      <c r="L2411" s="2" t="s">
        <v>24</v>
      </c>
      <c r="M2411" s="2"/>
      <c r="N2411" t="s">
        <v>8586</v>
      </c>
      <c r="O2411" s="8">
        <f t="shared" si="74"/>
        <v>2.7999999998719431</v>
      </c>
      <c r="P2411" t="str">
        <f t="shared" si="75"/>
        <v>Yes</v>
      </c>
    </row>
    <row r="2412" spans="1:16" x14ac:dyDescent="0.25">
      <c r="A2412" s="2" t="s">
        <v>6491</v>
      </c>
      <c r="B2412" s="4">
        <v>46119.23333333333</v>
      </c>
      <c r="C2412" s="2" t="s">
        <v>16</v>
      </c>
      <c r="D2412" s="2" t="s">
        <v>84</v>
      </c>
      <c r="E2412" s="2" t="s">
        <v>148</v>
      </c>
      <c r="F2412" s="2" t="s">
        <v>55</v>
      </c>
      <c r="G2412" s="2" t="s">
        <v>101</v>
      </c>
      <c r="H2412" s="2" t="s">
        <v>21</v>
      </c>
      <c r="I2412" s="2">
        <v>24</v>
      </c>
      <c r="J2412" s="2" t="s">
        <v>8580</v>
      </c>
      <c r="K2412" s="4">
        <v>46119.45208333333</v>
      </c>
      <c r="L2412" s="2" t="s">
        <v>24</v>
      </c>
      <c r="M2412" s="2"/>
      <c r="N2412" t="s">
        <v>8588</v>
      </c>
      <c r="O2412" s="8">
        <f t="shared" si="74"/>
        <v>5.25</v>
      </c>
      <c r="P2412" t="str">
        <f t="shared" si="75"/>
        <v>N/A</v>
      </c>
    </row>
    <row r="2413" spans="1:16" x14ac:dyDescent="0.25">
      <c r="A2413" s="2" t="s">
        <v>6494</v>
      </c>
      <c r="B2413" s="4">
        <v>46100.929166666669</v>
      </c>
      <c r="C2413" s="2" t="s">
        <v>67</v>
      </c>
      <c r="D2413" s="2" t="s">
        <v>68</v>
      </c>
      <c r="E2413" s="2" t="s">
        <v>38</v>
      </c>
      <c r="F2413" s="2" t="s">
        <v>30</v>
      </c>
      <c r="G2413" s="2" t="s">
        <v>179</v>
      </c>
      <c r="H2413" s="2" t="s">
        <v>74</v>
      </c>
      <c r="I2413" s="2">
        <v>8</v>
      </c>
      <c r="J2413" s="2" t="s">
        <v>106</v>
      </c>
      <c r="K2413" s="4">
        <v>46101.159722222219</v>
      </c>
      <c r="L2413" s="2" t="s">
        <v>24</v>
      </c>
      <c r="M2413" s="2">
        <v>5</v>
      </c>
      <c r="N2413" t="s">
        <v>8581</v>
      </c>
      <c r="O2413" s="8">
        <f t="shared" si="74"/>
        <v>5.533333333209157</v>
      </c>
      <c r="P2413" t="str">
        <f t="shared" si="75"/>
        <v>Yes</v>
      </c>
    </row>
    <row r="2414" spans="1:16" x14ac:dyDescent="0.25">
      <c r="A2414" s="2" t="s">
        <v>6497</v>
      </c>
      <c r="B2414" s="4">
        <v>46130.611111111109</v>
      </c>
      <c r="C2414" s="2" t="s">
        <v>16</v>
      </c>
      <c r="D2414" s="2" t="s">
        <v>17</v>
      </c>
      <c r="E2414" s="2" t="s">
        <v>90</v>
      </c>
      <c r="F2414" s="2" t="s">
        <v>113</v>
      </c>
      <c r="G2414" s="2" t="s">
        <v>101</v>
      </c>
      <c r="H2414" s="2" t="s">
        <v>21</v>
      </c>
      <c r="I2414" s="2">
        <v>24</v>
      </c>
      <c r="J2414" s="2" t="s">
        <v>106</v>
      </c>
      <c r="K2414" s="4">
        <v>46131.129861111112</v>
      </c>
      <c r="L2414" s="2" t="s">
        <v>24</v>
      </c>
      <c r="M2414" s="2">
        <v>4</v>
      </c>
      <c r="N2414" t="s">
        <v>8582</v>
      </c>
      <c r="O2414" s="8">
        <f t="shared" si="74"/>
        <v>12.450000000069849</v>
      </c>
      <c r="P2414" t="str">
        <f t="shared" si="75"/>
        <v>Yes</v>
      </c>
    </row>
    <row r="2415" spans="1:16" x14ac:dyDescent="0.25">
      <c r="A2415" s="2" t="s">
        <v>6500</v>
      </c>
      <c r="B2415" s="4">
        <v>46087.837500000001</v>
      </c>
      <c r="C2415" s="2" t="s">
        <v>28</v>
      </c>
      <c r="D2415" s="2" t="s">
        <v>100</v>
      </c>
      <c r="E2415" s="2" t="s">
        <v>79</v>
      </c>
      <c r="F2415" s="2" t="s">
        <v>113</v>
      </c>
      <c r="G2415" s="2" t="s">
        <v>110</v>
      </c>
      <c r="H2415" s="2" t="s">
        <v>80</v>
      </c>
      <c r="I2415" s="2">
        <v>4</v>
      </c>
      <c r="J2415" s="2" t="s">
        <v>106</v>
      </c>
      <c r="K2415" s="4">
        <v>46087.947222222225</v>
      </c>
      <c r="L2415" s="2" t="s">
        <v>92</v>
      </c>
      <c r="M2415" s="2">
        <v>4</v>
      </c>
      <c r="N2415" t="s">
        <v>8584</v>
      </c>
      <c r="O2415" s="8">
        <f t="shared" si="74"/>
        <v>2.6333333333604969</v>
      </c>
      <c r="P2415" t="str">
        <f t="shared" si="75"/>
        <v>Yes</v>
      </c>
    </row>
    <row r="2416" spans="1:16" x14ac:dyDescent="0.25">
      <c r="A2416" s="2" t="s">
        <v>6503</v>
      </c>
      <c r="B2416" s="4">
        <v>46118.211111111108</v>
      </c>
      <c r="C2416" s="2" t="s">
        <v>53</v>
      </c>
      <c r="D2416" s="2" t="s">
        <v>54</v>
      </c>
      <c r="E2416" s="2" t="s">
        <v>148</v>
      </c>
      <c r="F2416" s="2" t="s">
        <v>113</v>
      </c>
      <c r="G2416" s="2" t="s">
        <v>183</v>
      </c>
      <c r="H2416" s="2" t="s">
        <v>74</v>
      </c>
      <c r="I2416" s="2">
        <v>8</v>
      </c>
      <c r="J2416" s="2" t="s">
        <v>11</v>
      </c>
      <c r="K2416" s="4" t="s">
        <v>8590</v>
      </c>
      <c r="L2416" s="2" t="s">
        <v>92</v>
      </c>
      <c r="M2416" s="2"/>
      <c r="N2416" t="s">
        <v>8583</v>
      </c>
      <c r="O2416" s="8" t="str">
        <f t="shared" si="74"/>
        <v/>
      </c>
      <c r="P2416" t="str">
        <f t="shared" si="75"/>
        <v>N/A</v>
      </c>
    </row>
    <row r="2417" spans="1:16" x14ac:dyDescent="0.25">
      <c r="A2417" s="2" t="s">
        <v>6505</v>
      </c>
      <c r="B2417" s="4">
        <v>46062.046527777777</v>
      </c>
      <c r="C2417" s="2" t="s">
        <v>53</v>
      </c>
      <c r="D2417" s="2" t="s">
        <v>54</v>
      </c>
      <c r="E2417" s="2" t="s">
        <v>18</v>
      </c>
      <c r="F2417" s="2" t="s">
        <v>113</v>
      </c>
      <c r="G2417" s="2" t="s">
        <v>110</v>
      </c>
      <c r="H2417" s="2" t="s">
        <v>74</v>
      </c>
      <c r="I2417" s="2">
        <v>8</v>
      </c>
      <c r="J2417" s="2" t="s">
        <v>287</v>
      </c>
      <c r="K2417" s="4" t="s">
        <v>8590</v>
      </c>
      <c r="L2417" s="2" t="s">
        <v>24</v>
      </c>
      <c r="M2417" s="2"/>
      <c r="N2417" t="s">
        <v>8589</v>
      </c>
      <c r="O2417" s="8" t="str">
        <f t="shared" si="74"/>
        <v/>
      </c>
      <c r="P2417" t="str">
        <f t="shared" si="75"/>
        <v>N/A</v>
      </c>
    </row>
    <row r="2418" spans="1:16" x14ac:dyDescent="0.25">
      <c r="A2418" s="2" t="s">
        <v>6507</v>
      </c>
      <c r="B2418" s="4">
        <v>46057.425000000003</v>
      </c>
      <c r="C2418" s="2" t="s">
        <v>53</v>
      </c>
      <c r="D2418" s="2" t="s">
        <v>54</v>
      </c>
      <c r="E2418" s="2" t="s">
        <v>79</v>
      </c>
      <c r="F2418" s="2" t="s">
        <v>113</v>
      </c>
      <c r="G2418" s="2" t="s">
        <v>31</v>
      </c>
      <c r="H2418" s="2" t="s">
        <v>74</v>
      </c>
      <c r="I2418" s="2">
        <v>8</v>
      </c>
      <c r="J2418" s="2" t="s">
        <v>75</v>
      </c>
      <c r="K2418" s="4">
        <v>46057.709027777775</v>
      </c>
      <c r="L2418" s="2" t="s">
        <v>24</v>
      </c>
      <c r="M2418" s="2"/>
      <c r="N2418" t="s">
        <v>8589</v>
      </c>
      <c r="O2418" s="8">
        <f t="shared" si="74"/>
        <v>6.8166666665347293</v>
      </c>
      <c r="P2418" t="str">
        <f t="shared" si="75"/>
        <v>N/A</v>
      </c>
    </row>
    <row r="2419" spans="1:16" x14ac:dyDescent="0.25">
      <c r="A2419" s="2" t="s">
        <v>6510</v>
      </c>
      <c r="B2419" s="4">
        <v>46068.161805555559</v>
      </c>
      <c r="C2419" s="2" t="s">
        <v>67</v>
      </c>
      <c r="D2419" s="2" t="s">
        <v>68</v>
      </c>
      <c r="E2419" s="2" t="s">
        <v>46</v>
      </c>
      <c r="F2419" s="2" t="s">
        <v>30</v>
      </c>
      <c r="G2419" s="2" t="s">
        <v>179</v>
      </c>
      <c r="H2419" s="2" t="s">
        <v>80</v>
      </c>
      <c r="I2419" s="2">
        <v>4</v>
      </c>
      <c r="J2419" s="2" t="s">
        <v>11</v>
      </c>
      <c r="K2419" s="4" t="s">
        <v>8590</v>
      </c>
      <c r="L2419" s="2" t="s">
        <v>92</v>
      </c>
      <c r="M2419" s="2"/>
      <c r="N2419" t="s">
        <v>8587</v>
      </c>
      <c r="O2419" s="8" t="str">
        <f t="shared" si="74"/>
        <v/>
      </c>
      <c r="P2419" t="str">
        <f t="shared" si="75"/>
        <v>N/A</v>
      </c>
    </row>
    <row r="2420" spans="1:16" x14ac:dyDescent="0.25">
      <c r="A2420" s="2" t="s">
        <v>6512</v>
      </c>
      <c r="B2420" s="4">
        <v>46225.655555555553</v>
      </c>
      <c r="C2420" s="2" t="s">
        <v>16</v>
      </c>
      <c r="D2420" s="2" t="s">
        <v>84</v>
      </c>
      <c r="E2420" s="2" t="s">
        <v>148</v>
      </c>
      <c r="F2420" s="2" t="s">
        <v>96</v>
      </c>
      <c r="G2420" s="2" t="s">
        <v>101</v>
      </c>
      <c r="H2420" s="2" t="s">
        <v>74</v>
      </c>
      <c r="I2420" s="2">
        <v>8</v>
      </c>
      <c r="J2420" s="2" t="s">
        <v>106</v>
      </c>
      <c r="K2420" s="4">
        <v>46225.94027777778</v>
      </c>
      <c r="L2420" s="2" t="s">
        <v>24</v>
      </c>
      <c r="M2420" s="2"/>
      <c r="N2420" t="s">
        <v>8587</v>
      </c>
      <c r="O2420" s="8">
        <f t="shared" si="74"/>
        <v>6.8333333334303461</v>
      </c>
      <c r="P2420" t="str">
        <f t="shared" si="75"/>
        <v>Yes</v>
      </c>
    </row>
    <row r="2421" spans="1:16" x14ac:dyDescent="0.25">
      <c r="A2421" s="2" t="s">
        <v>6515</v>
      </c>
      <c r="B2421" s="4">
        <v>46056.311805555553</v>
      </c>
      <c r="C2421" s="2" t="s">
        <v>28</v>
      </c>
      <c r="D2421" s="2" t="s">
        <v>100</v>
      </c>
      <c r="E2421" s="2" t="s">
        <v>85</v>
      </c>
      <c r="F2421" s="2" t="s">
        <v>55</v>
      </c>
      <c r="G2421" s="2" t="s">
        <v>101</v>
      </c>
      <c r="H2421" s="2" t="s">
        <v>74</v>
      </c>
      <c r="I2421" s="2">
        <v>8</v>
      </c>
      <c r="J2421" s="2" t="s">
        <v>106</v>
      </c>
      <c r="K2421" s="4">
        <v>46056.526388888888</v>
      </c>
      <c r="L2421" s="2" t="s">
        <v>24</v>
      </c>
      <c r="M2421" s="2">
        <v>2</v>
      </c>
      <c r="N2421" t="s">
        <v>8586</v>
      </c>
      <c r="O2421" s="8">
        <f t="shared" si="74"/>
        <v>5.1500000000232831</v>
      </c>
      <c r="P2421" t="str">
        <f t="shared" si="75"/>
        <v>Yes</v>
      </c>
    </row>
    <row r="2422" spans="1:16" x14ac:dyDescent="0.25">
      <c r="A2422" s="2" t="s">
        <v>6518</v>
      </c>
      <c r="B2422" s="4">
        <v>46234.600694444445</v>
      </c>
      <c r="C2422" s="2" t="s">
        <v>16</v>
      </c>
      <c r="D2422" s="2" t="s">
        <v>84</v>
      </c>
      <c r="E2422" s="2" t="s">
        <v>90</v>
      </c>
      <c r="F2422" s="2" t="s">
        <v>113</v>
      </c>
      <c r="G2422" s="2" t="s">
        <v>183</v>
      </c>
      <c r="H2422" s="2" t="s">
        <v>32</v>
      </c>
      <c r="I2422" s="2">
        <v>48</v>
      </c>
      <c r="J2422" s="2" t="s">
        <v>149</v>
      </c>
      <c r="K2422" s="4" t="s">
        <v>8590</v>
      </c>
      <c r="L2422" s="2" t="s">
        <v>24</v>
      </c>
      <c r="M2422" s="2"/>
      <c r="N2422" t="s">
        <v>8584</v>
      </c>
      <c r="O2422" s="8" t="str">
        <f t="shared" si="74"/>
        <v/>
      </c>
      <c r="P2422" t="str">
        <f t="shared" si="75"/>
        <v>N/A</v>
      </c>
    </row>
    <row r="2423" spans="1:16" x14ac:dyDescent="0.25">
      <c r="A2423" s="2" t="s">
        <v>6520</v>
      </c>
      <c r="B2423" s="4">
        <v>46039.567361111112</v>
      </c>
      <c r="C2423" s="2" t="s">
        <v>67</v>
      </c>
      <c r="D2423" s="2" t="s">
        <v>95</v>
      </c>
      <c r="E2423" s="2" t="s">
        <v>46</v>
      </c>
      <c r="F2423" s="2" t="s">
        <v>30</v>
      </c>
      <c r="G2423" s="2" t="s">
        <v>110</v>
      </c>
      <c r="H2423" s="2" t="s">
        <v>32</v>
      </c>
      <c r="I2423" s="2">
        <v>48</v>
      </c>
      <c r="J2423" s="2" t="s">
        <v>287</v>
      </c>
      <c r="K2423" s="4" t="s">
        <v>8590</v>
      </c>
      <c r="L2423" s="2" t="s">
        <v>24</v>
      </c>
      <c r="M2423" s="2"/>
      <c r="N2423" t="s">
        <v>8588</v>
      </c>
      <c r="O2423" s="8" t="str">
        <f t="shared" si="74"/>
        <v/>
      </c>
      <c r="P2423" t="str">
        <f t="shared" si="75"/>
        <v>N/A</v>
      </c>
    </row>
    <row r="2424" spans="1:16" x14ac:dyDescent="0.25">
      <c r="A2424" s="2" t="s">
        <v>6522</v>
      </c>
      <c r="B2424" s="4">
        <v>46084.865277777775</v>
      </c>
      <c r="C2424" s="2" t="s">
        <v>53</v>
      </c>
      <c r="D2424" s="2" t="s">
        <v>61</v>
      </c>
      <c r="E2424" s="2" t="s">
        <v>85</v>
      </c>
      <c r="F2424" s="2" t="s">
        <v>96</v>
      </c>
      <c r="G2424" s="2" t="s">
        <v>110</v>
      </c>
      <c r="H2424" s="2" t="s">
        <v>80</v>
      </c>
      <c r="I2424" s="2">
        <v>4</v>
      </c>
      <c r="J2424" s="2" t="s">
        <v>106</v>
      </c>
      <c r="K2424" s="4">
        <v>46084.978472222225</v>
      </c>
      <c r="L2424" s="2" t="s">
        <v>24</v>
      </c>
      <c r="M2424" s="2"/>
      <c r="N2424" t="s">
        <v>8586</v>
      </c>
      <c r="O2424" s="8">
        <f t="shared" si="74"/>
        <v>2.716666666790843</v>
      </c>
      <c r="P2424" t="str">
        <f t="shared" si="75"/>
        <v>Yes</v>
      </c>
    </row>
    <row r="2425" spans="1:16" x14ac:dyDescent="0.25">
      <c r="A2425" s="2" t="s">
        <v>6525</v>
      </c>
      <c r="B2425" s="4">
        <v>46033.807638888888</v>
      </c>
      <c r="C2425" s="2" t="s">
        <v>28</v>
      </c>
      <c r="D2425" s="2" t="s">
        <v>100</v>
      </c>
      <c r="E2425" s="2" t="s">
        <v>18</v>
      </c>
      <c r="F2425" s="2" t="s">
        <v>113</v>
      </c>
      <c r="G2425" s="2" t="s">
        <v>101</v>
      </c>
      <c r="H2425" s="2" t="s">
        <v>21</v>
      </c>
      <c r="I2425" s="2">
        <v>24</v>
      </c>
      <c r="J2425" s="2" t="s">
        <v>287</v>
      </c>
      <c r="K2425" s="4" t="s">
        <v>8590</v>
      </c>
      <c r="L2425" s="2" t="s">
        <v>24</v>
      </c>
      <c r="M2425" s="2"/>
      <c r="N2425" t="s">
        <v>8589</v>
      </c>
      <c r="O2425" s="8" t="str">
        <f t="shared" si="74"/>
        <v/>
      </c>
      <c r="P2425" t="str">
        <f t="shared" si="75"/>
        <v>N/A</v>
      </c>
    </row>
    <row r="2426" spans="1:16" x14ac:dyDescent="0.25">
      <c r="A2426" s="2" t="s">
        <v>6527</v>
      </c>
      <c r="B2426" s="4">
        <v>46074.688888888886</v>
      </c>
      <c r="C2426" s="2" t="s">
        <v>53</v>
      </c>
      <c r="D2426" s="2" t="s">
        <v>54</v>
      </c>
      <c r="E2426" s="2" t="s">
        <v>18</v>
      </c>
      <c r="F2426" s="2" t="s">
        <v>55</v>
      </c>
      <c r="G2426" s="2" t="s">
        <v>110</v>
      </c>
      <c r="H2426" s="2" t="s">
        <v>21</v>
      </c>
      <c r="I2426" s="2">
        <v>24</v>
      </c>
      <c r="J2426" s="2" t="s">
        <v>11</v>
      </c>
      <c r="K2426" s="4" t="s">
        <v>8590</v>
      </c>
      <c r="L2426" s="2" t="s">
        <v>92</v>
      </c>
      <c r="M2426" s="2"/>
      <c r="N2426" t="s">
        <v>8588</v>
      </c>
      <c r="O2426" s="8" t="str">
        <f t="shared" si="74"/>
        <v/>
      </c>
      <c r="P2426" t="str">
        <f t="shared" si="75"/>
        <v>N/A</v>
      </c>
    </row>
    <row r="2427" spans="1:16" x14ac:dyDescent="0.25">
      <c r="A2427" s="2" t="s">
        <v>6529</v>
      </c>
      <c r="B2427" s="4">
        <v>46143.347916666666</v>
      </c>
      <c r="C2427" s="2" t="s">
        <v>28</v>
      </c>
      <c r="D2427" s="2" t="s">
        <v>37</v>
      </c>
      <c r="E2427" s="2" t="s">
        <v>46</v>
      </c>
      <c r="F2427" s="2" t="s">
        <v>55</v>
      </c>
      <c r="G2427" s="2" t="s">
        <v>110</v>
      </c>
      <c r="H2427" s="2" t="s">
        <v>21</v>
      </c>
      <c r="I2427" s="2">
        <v>24</v>
      </c>
      <c r="J2427" s="2" t="s">
        <v>106</v>
      </c>
      <c r="K2427" s="4">
        <v>46143.828472222223</v>
      </c>
      <c r="L2427" s="2" t="s">
        <v>24</v>
      </c>
      <c r="M2427" s="2"/>
      <c r="N2427" t="s">
        <v>8589</v>
      </c>
      <c r="O2427" s="8">
        <f t="shared" si="74"/>
        <v>11.53333333338378</v>
      </c>
      <c r="P2427" t="str">
        <f t="shared" si="75"/>
        <v>Yes</v>
      </c>
    </row>
    <row r="2428" spans="1:16" x14ac:dyDescent="0.25">
      <c r="A2428" s="2" t="s">
        <v>6532</v>
      </c>
      <c r="B2428" s="4">
        <v>46258.052777777775</v>
      </c>
      <c r="C2428" s="2" t="s">
        <v>67</v>
      </c>
      <c r="D2428" s="2" t="s">
        <v>68</v>
      </c>
      <c r="E2428" s="2" t="s">
        <v>46</v>
      </c>
      <c r="F2428" s="2" t="s">
        <v>113</v>
      </c>
      <c r="G2428" s="2" t="s">
        <v>31</v>
      </c>
      <c r="H2428" s="2" t="s">
        <v>32</v>
      </c>
      <c r="I2428" s="2">
        <v>48</v>
      </c>
      <c r="J2428" s="2" t="s">
        <v>106</v>
      </c>
      <c r="K2428" s="4">
        <v>46258.543055555558</v>
      </c>
      <c r="L2428" s="2" t="s">
        <v>24</v>
      </c>
      <c r="M2428" s="2"/>
      <c r="N2428" t="s">
        <v>8585</v>
      </c>
      <c r="O2428" s="8">
        <f t="shared" si="74"/>
        <v>11.766666666779201</v>
      </c>
      <c r="P2428" t="str">
        <f t="shared" si="75"/>
        <v>Yes</v>
      </c>
    </row>
    <row r="2429" spans="1:16" x14ac:dyDescent="0.25">
      <c r="A2429" s="2" t="s">
        <v>6535</v>
      </c>
      <c r="B2429" s="4">
        <v>46134.474305555559</v>
      </c>
      <c r="C2429" s="2" t="s">
        <v>28</v>
      </c>
      <c r="D2429" s="2" t="s">
        <v>37</v>
      </c>
      <c r="E2429" s="2" t="s">
        <v>46</v>
      </c>
      <c r="F2429" s="2" t="s">
        <v>96</v>
      </c>
      <c r="G2429" s="2" t="s">
        <v>31</v>
      </c>
      <c r="H2429" s="2" t="s">
        <v>21</v>
      </c>
      <c r="I2429" s="2">
        <v>24</v>
      </c>
      <c r="J2429" s="2" t="s">
        <v>8580</v>
      </c>
      <c r="K2429" s="4">
        <v>46135.370833333334</v>
      </c>
      <c r="L2429" s="2" t="s">
        <v>24</v>
      </c>
      <c r="M2429" s="2"/>
      <c r="N2429" t="s">
        <v>8581</v>
      </c>
      <c r="O2429" s="8">
        <f t="shared" si="74"/>
        <v>21.516666666604578</v>
      </c>
      <c r="P2429" t="str">
        <f t="shared" si="75"/>
        <v>N/A</v>
      </c>
    </row>
    <row r="2430" spans="1:16" x14ac:dyDescent="0.25">
      <c r="A2430" s="2" t="s">
        <v>6538</v>
      </c>
      <c r="B2430" s="4">
        <v>46096.134722222225</v>
      </c>
      <c r="C2430" s="2" t="s">
        <v>28</v>
      </c>
      <c r="D2430" s="2" t="s">
        <v>100</v>
      </c>
      <c r="E2430" s="2" t="s">
        <v>85</v>
      </c>
      <c r="F2430" s="2" t="s">
        <v>55</v>
      </c>
      <c r="G2430" s="2" t="s">
        <v>110</v>
      </c>
      <c r="H2430" s="2" t="s">
        <v>21</v>
      </c>
      <c r="I2430" s="2">
        <v>24</v>
      </c>
      <c r="J2430" s="2" t="s">
        <v>11</v>
      </c>
      <c r="K2430" s="4" t="s">
        <v>8590</v>
      </c>
      <c r="L2430" s="2" t="s">
        <v>92</v>
      </c>
      <c r="M2430" s="2"/>
      <c r="N2430" t="s">
        <v>8589</v>
      </c>
      <c r="O2430" s="8" t="str">
        <f t="shared" si="74"/>
        <v/>
      </c>
      <c r="P2430" t="str">
        <f t="shared" si="75"/>
        <v>N/A</v>
      </c>
    </row>
    <row r="2431" spans="1:16" x14ac:dyDescent="0.25">
      <c r="A2431" s="2" t="s">
        <v>6540</v>
      </c>
      <c r="B2431" s="4">
        <v>46116.794444444444</v>
      </c>
      <c r="C2431" s="2" t="s">
        <v>16</v>
      </c>
      <c r="D2431" s="2" t="s">
        <v>17</v>
      </c>
      <c r="E2431" s="2" t="s">
        <v>38</v>
      </c>
      <c r="F2431" s="2" t="s">
        <v>96</v>
      </c>
      <c r="G2431" s="2" t="s">
        <v>183</v>
      </c>
      <c r="H2431" s="2" t="s">
        <v>21</v>
      </c>
      <c r="I2431" s="2">
        <v>24</v>
      </c>
      <c r="J2431" s="2" t="s">
        <v>149</v>
      </c>
      <c r="K2431" s="4" t="s">
        <v>8590</v>
      </c>
      <c r="L2431" s="2" t="s">
        <v>24</v>
      </c>
      <c r="M2431" s="2"/>
      <c r="N2431" t="s">
        <v>8583</v>
      </c>
      <c r="O2431" s="8" t="str">
        <f t="shared" si="74"/>
        <v/>
      </c>
      <c r="P2431" t="str">
        <f t="shared" si="75"/>
        <v>N/A</v>
      </c>
    </row>
    <row r="2432" spans="1:16" x14ac:dyDescent="0.25">
      <c r="A2432" s="2" t="s">
        <v>6542</v>
      </c>
      <c r="B2432" s="4">
        <v>46089.122916666667</v>
      </c>
      <c r="C2432" s="2" t="s">
        <v>16</v>
      </c>
      <c r="D2432" s="2" t="s">
        <v>17</v>
      </c>
      <c r="E2432" s="2" t="s">
        <v>85</v>
      </c>
      <c r="F2432" s="2" t="s">
        <v>113</v>
      </c>
      <c r="G2432" s="2" t="s">
        <v>179</v>
      </c>
      <c r="H2432" s="2" t="s">
        <v>21</v>
      </c>
      <c r="I2432" s="2">
        <v>24</v>
      </c>
      <c r="J2432" s="2" t="s">
        <v>8580</v>
      </c>
      <c r="K2432" s="4">
        <v>46089.444444444445</v>
      </c>
      <c r="L2432" s="2" t="s">
        <v>24</v>
      </c>
      <c r="M2432" s="2"/>
      <c r="N2432" t="s">
        <v>8583</v>
      </c>
      <c r="O2432" s="8">
        <f t="shared" si="74"/>
        <v>7.7166666666744277</v>
      </c>
      <c r="P2432" t="str">
        <f t="shared" si="75"/>
        <v>N/A</v>
      </c>
    </row>
    <row r="2433" spans="1:16" x14ac:dyDescent="0.25">
      <c r="A2433" s="2" t="s">
        <v>6545</v>
      </c>
      <c r="B2433" s="4">
        <v>46026.993750000001</v>
      </c>
      <c r="C2433" s="2" t="s">
        <v>16</v>
      </c>
      <c r="D2433" s="2" t="s">
        <v>84</v>
      </c>
      <c r="E2433" s="2" t="s">
        <v>85</v>
      </c>
      <c r="F2433" s="2" t="s">
        <v>113</v>
      </c>
      <c r="G2433" s="2" t="s">
        <v>110</v>
      </c>
      <c r="H2433" s="2" t="s">
        <v>21</v>
      </c>
      <c r="I2433" s="2">
        <v>24</v>
      </c>
      <c r="J2433" s="2" t="s">
        <v>75</v>
      </c>
      <c r="K2433" s="4">
        <v>46027.170138888891</v>
      </c>
      <c r="L2433" s="2" t="s">
        <v>24</v>
      </c>
      <c r="M2433" s="2">
        <v>1</v>
      </c>
      <c r="N2433" t="s">
        <v>8588</v>
      </c>
      <c r="O2433" s="8">
        <f t="shared" si="74"/>
        <v>4.2333333333372138</v>
      </c>
      <c r="P2433" t="str">
        <f t="shared" si="75"/>
        <v>N/A</v>
      </c>
    </row>
    <row r="2434" spans="1:16" x14ac:dyDescent="0.25">
      <c r="A2434" s="2" t="s">
        <v>6548</v>
      </c>
      <c r="B2434" s="4">
        <v>46164.361111111109</v>
      </c>
      <c r="C2434" s="2" t="s">
        <v>53</v>
      </c>
      <c r="D2434" s="2" t="s">
        <v>61</v>
      </c>
      <c r="E2434" s="2" t="s">
        <v>38</v>
      </c>
      <c r="F2434" s="2" t="s">
        <v>30</v>
      </c>
      <c r="G2434" s="2" t="s">
        <v>179</v>
      </c>
      <c r="H2434" s="2" t="s">
        <v>74</v>
      </c>
      <c r="I2434" s="2">
        <v>8</v>
      </c>
      <c r="J2434" s="2" t="s">
        <v>287</v>
      </c>
      <c r="K2434" s="4" t="s">
        <v>8590</v>
      </c>
      <c r="L2434" s="2" t="s">
        <v>24</v>
      </c>
      <c r="M2434" s="2"/>
      <c r="N2434" t="s">
        <v>8584</v>
      </c>
      <c r="O2434" s="8" t="str">
        <f t="shared" si="74"/>
        <v/>
      </c>
      <c r="P2434" t="str">
        <f t="shared" si="75"/>
        <v>N/A</v>
      </c>
    </row>
    <row r="2435" spans="1:16" x14ac:dyDescent="0.25">
      <c r="A2435" s="2" t="s">
        <v>6550</v>
      </c>
      <c r="B2435" s="4">
        <v>46213.47152777778</v>
      </c>
      <c r="C2435" s="2" t="s">
        <v>28</v>
      </c>
      <c r="D2435" s="2" t="s">
        <v>37</v>
      </c>
      <c r="E2435" s="2" t="s">
        <v>148</v>
      </c>
      <c r="F2435" s="2" t="s">
        <v>113</v>
      </c>
      <c r="G2435" s="2" t="s">
        <v>101</v>
      </c>
      <c r="H2435" s="2" t="s">
        <v>21</v>
      </c>
      <c r="I2435" s="2">
        <v>24</v>
      </c>
      <c r="J2435" s="2" t="s">
        <v>106</v>
      </c>
      <c r="K2435" s="4">
        <v>46213.504861111112</v>
      </c>
      <c r="L2435" s="2" t="s">
        <v>24</v>
      </c>
      <c r="M2435" s="2"/>
      <c r="N2435" t="s">
        <v>8588</v>
      </c>
      <c r="O2435" s="8">
        <f t="shared" ref="O2435:O2498" si="76">IF(K2435="","",IF(K2435="Missing Resolve Date","",(K2435-B2435)*24))</f>
        <v>0.79999999998835847</v>
      </c>
      <c r="P2435" t="str">
        <f t="shared" ref="P2435:P2498" si="77">IF(J2435="Resolved",IF(O2435&lt;=I2435,"Yes","No"),"N/A")</f>
        <v>Yes</v>
      </c>
    </row>
    <row r="2436" spans="1:16" x14ac:dyDescent="0.25">
      <c r="A2436" s="2" t="s">
        <v>6553</v>
      </c>
      <c r="B2436" s="4">
        <v>46038.749305555553</v>
      </c>
      <c r="C2436" s="2" t="s">
        <v>53</v>
      </c>
      <c r="D2436" s="2" t="s">
        <v>54</v>
      </c>
      <c r="E2436" s="2" t="s">
        <v>85</v>
      </c>
      <c r="F2436" s="2" t="s">
        <v>55</v>
      </c>
      <c r="G2436" s="2" t="s">
        <v>183</v>
      </c>
      <c r="H2436" s="2" t="s">
        <v>32</v>
      </c>
      <c r="I2436" s="2">
        <v>48</v>
      </c>
      <c r="J2436" s="2" t="s">
        <v>149</v>
      </c>
      <c r="K2436" s="4" t="s">
        <v>8590</v>
      </c>
      <c r="L2436" s="2" t="s">
        <v>24</v>
      </c>
      <c r="M2436" s="2"/>
      <c r="N2436" t="s">
        <v>8587</v>
      </c>
      <c r="O2436" s="8" t="str">
        <f t="shared" si="76"/>
        <v/>
      </c>
      <c r="P2436" t="str">
        <f t="shared" si="77"/>
        <v>N/A</v>
      </c>
    </row>
    <row r="2437" spans="1:16" x14ac:dyDescent="0.25">
      <c r="A2437" s="2" t="s">
        <v>6555</v>
      </c>
      <c r="B2437" s="4">
        <v>46166.820833333331</v>
      </c>
      <c r="C2437" s="2" t="s">
        <v>16</v>
      </c>
      <c r="D2437" s="2" t="s">
        <v>84</v>
      </c>
      <c r="E2437" s="2" t="s">
        <v>79</v>
      </c>
      <c r="F2437" s="2" t="s">
        <v>30</v>
      </c>
      <c r="G2437" s="2" t="s">
        <v>211</v>
      </c>
      <c r="H2437" s="2" t="s">
        <v>74</v>
      </c>
      <c r="I2437" s="2">
        <v>8</v>
      </c>
      <c r="J2437" s="2" t="s">
        <v>287</v>
      </c>
      <c r="K2437" s="4" t="s">
        <v>8590</v>
      </c>
      <c r="L2437" s="2" t="s">
        <v>24</v>
      </c>
      <c r="M2437" s="2"/>
      <c r="N2437" t="s">
        <v>8586</v>
      </c>
      <c r="O2437" s="8" t="str">
        <f t="shared" si="76"/>
        <v/>
      </c>
      <c r="P2437" t="str">
        <f t="shared" si="77"/>
        <v>N/A</v>
      </c>
    </row>
    <row r="2438" spans="1:16" x14ac:dyDescent="0.25">
      <c r="A2438" s="2" t="s">
        <v>6557</v>
      </c>
      <c r="B2438" s="4">
        <v>46126.30972222222</v>
      </c>
      <c r="C2438" s="2" t="s">
        <v>16</v>
      </c>
      <c r="D2438" s="2" t="s">
        <v>17</v>
      </c>
      <c r="E2438" s="2" t="s">
        <v>79</v>
      </c>
      <c r="F2438" s="2" t="s">
        <v>113</v>
      </c>
      <c r="G2438" s="2" t="s">
        <v>211</v>
      </c>
      <c r="H2438" s="2" t="s">
        <v>74</v>
      </c>
      <c r="I2438" s="2">
        <v>8</v>
      </c>
      <c r="J2438" s="2" t="s">
        <v>75</v>
      </c>
      <c r="K2438" s="4">
        <v>46126.552777777775</v>
      </c>
      <c r="L2438" s="2" t="s">
        <v>24</v>
      </c>
      <c r="M2438" s="2"/>
      <c r="N2438" t="s">
        <v>8581</v>
      </c>
      <c r="O2438" s="8">
        <f t="shared" si="76"/>
        <v>5.8333333333139308</v>
      </c>
      <c r="P2438" t="str">
        <f t="shared" si="77"/>
        <v>N/A</v>
      </c>
    </row>
    <row r="2439" spans="1:16" x14ac:dyDescent="0.25">
      <c r="A2439" s="2" t="s">
        <v>6560</v>
      </c>
      <c r="B2439" s="4">
        <v>46185.782638888886</v>
      </c>
      <c r="C2439" s="2" t="s">
        <v>28</v>
      </c>
      <c r="D2439" s="2" t="s">
        <v>37</v>
      </c>
      <c r="E2439" s="2" t="s">
        <v>90</v>
      </c>
      <c r="F2439" s="2" t="s">
        <v>30</v>
      </c>
      <c r="G2439" s="2" t="s">
        <v>110</v>
      </c>
      <c r="H2439" s="2" t="s">
        <v>32</v>
      </c>
      <c r="I2439" s="2">
        <v>48</v>
      </c>
      <c r="J2439" s="2" t="s">
        <v>106</v>
      </c>
      <c r="K2439" s="4">
        <v>46186.677083333336</v>
      </c>
      <c r="L2439" s="2" t="s">
        <v>24</v>
      </c>
      <c r="M2439" s="2">
        <v>3</v>
      </c>
      <c r="N2439" t="s">
        <v>8589</v>
      </c>
      <c r="O2439" s="8">
        <f t="shared" si="76"/>
        <v>21.466666666790843</v>
      </c>
      <c r="P2439" t="str">
        <f t="shared" si="77"/>
        <v>Yes</v>
      </c>
    </row>
    <row r="2440" spans="1:16" x14ac:dyDescent="0.25">
      <c r="A2440" s="2" t="s">
        <v>6563</v>
      </c>
      <c r="B2440" s="4">
        <v>46114.677083333336</v>
      </c>
      <c r="C2440" s="2" t="s">
        <v>53</v>
      </c>
      <c r="D2440" s="2" t="s">
        <v>54</v>
      </c>
      <c r="E2440" s="2" t="s">
        <v>38</v>
      </c>
      <c r="F2440" s="2" t="s">
        <v>55</v>
      </c>
      <c r="G2440" s="2" t="s">
        <v>31</v>
      </c>
      <c r="H2440" s="2" t="s">
        <v>32</v>
      </c>
      <c r="I2440" s="2">
        <v>48</v>
      </c>
      <c r="J2440" s="2" t="s">
        <v>106</v>
      </c>
      <c r="K2440" s="4">
        <v>46115.714583333334</v>
      </c>
      <c r="L2440" s="2" t="s">
        <v>24</v>
      </c>
      <c r="M2440" s="2">
        <v>3</v>
      </c>
      <c r="N2440" t="s">
        <v>8587</v>
      </c>
      <c r="O2440" s="8">
        <f t="shared" si="76"/>
        <v>24.899999999965075</v>
      </c>
      <c r="P2440" t="str">
        <f t="shared" si="77"/>
        <v>Yes</v>
      </c>
    </row>
    <row r="2441" spans="1:16" x14ac:dyDescent="0.25">
      <c r="A2441" s="2" t="s">
        <v>6566</v>
      </c>
      <c r="B2441" s="4">
        <v>46079.460416666669</v>
      </c>
      <c r="C2441" s="2" t="s">
        <v>28</v>
      </c>
      <c r="D2441" s="2" t="s">
        <v>37</v>
      </c>
      <c r="E2441" s="2" t="s">
        <v>90</v>
      </c>
      <c r="F2441" s="2" t="s">
        <v>30</v>
      </c>
      <c r="G2441" s="2" t="s">
        <v>183</v>
      </c>
      <c r="H2441" s="2" t="s">
        <v>74</v>
      </c>
      <c r="I2441" s="2">
        <v>8</v>
      </c>
      <c r="J2441" s="2" t="s">
        <v>149</v>
      </c>
      <c r="K2441" s="4" t="s">
        <v>8590</v>
      </c>
      <c r="L2441" s="2" t="s">
        <v>24</v>
      </c>
      <c r="M2441" s="2"/>
      <c r="N2441" t="s">
        <v>8589</v>
      </c>
      <c r="O2441" s="8" t="str">
        <f t="shared" si="76"/>
        <v/>
      </c>
      <c r="P2441" t="str">
        <f t="shared" si="77"/>
        <v>N/A</v>
      </c>
    </row>
    <row r="2442" spans="1:16" x14ac:dyDescent="0.25">
      <c r="A2442" s="2" t="s">
        <v>6568</v>
      </c>
      <c r="B2442" s="4">
        <v>46185.50277777778</v>
      </c>
      <c r="C2442" s="2" t="s">
        <v>16</v>
      </c>
      <c r="D2442" s="2" t="s">
        <v>17</v>
      </c>
      <c r="E2442" s="2" t="s">
        <v>90</v>
      </c>
      <c r="F2442" s="2" t="s">
        <v>55</v>
      </c>
      <c r="G2442" s="2" t="s">
        <v>179</v>
      </c>
      <c r="H2442" s="2" t="s">
        <v>32</v>
      </c>
      <c r="I2442" s="2">
        <v>48</v>
      </c>
      <c r="J2442" s="2" t="s">
        <v>287</v>
      </c>
      <c r="K2442" s="4" t="s">
        <v>8590</v>
      </c>
      <c r="L2442" s="2" t="s">
        <v>24</v>
      </c>
      <c r="M2442" s="2"/>
      <c r="N2442" t="s">
        <v>8588</v>
      </c>
      <c r="O2442" s="8" t="str">
        <f t="shared" si="76"/>
        <v/>
      </c>
      <c r="P2442" t="str">
        <f t="shared" si="77"/>
        <v>N/A</v>
      </c>
    </row>
    <row r="2443" spans="1:16" x14ac:dyDescent="0.25">
      <c r="A2443" s="2" t="s">
        <v>6570</v>
      </c>
      <c r="B2443" s="4">
        <v>46098.611111111109</v>
      </c>
      <c r="C2443" s="2" t="s">
        <v>67</v>
      </c>
      <c r="D2443" s="2" t="s">
        <v>68</v>
      </c>
      <c r="E2443" s="2" t="s">
        <v>85</v>
      </c>
      <c r="F2443" s="2" t="s">
        <v>55</v>
      </c>
      <c r="G2443" s="2" t="s">
        <v>101</v>
      </c>
      <c r="H2443" s="2" t="s">
        <v>21</v>
      </c>
      <c r="I2443" s="2">
        <v>24</v>
      </c>
      <c r="J2443" s="2" t="s">
        <v>149</v>
      </c>
      <c r="K2443" s="4" t="s">
        <v>8590</v>
      </c>
      <c r="L2443" s="2" t="s">
        <v>24</v>
      </c>
      <c r="M2443" s="2"/>
      <c r="N2443" t="s">
        <v>8581</v>
      </c>
      <c r="O2443" s="8" t="str">
        <f t="shared" si="76"/>
        <v/>
      </c>
      <c r="P2443" t="str">
        <f t="shared" si="77"/>
        <v>N/A</v>
      </c>
    </row>
    <row r="2444" spans="1:16" x14ac:dyDescent="0.25">
      <c r="A2444" s="2" t="s">
        <v>6572</v>
      </c>
      <c r="B2444" s="4">
        <v>46104.245138888888</v>
      </c>
      <c r="C2444" s="2" t="s">
        <v>67</v>
      </c>
      <c r="D2444" s="2" t="s">
        <v>68</v>
      </c>
      <c r="E2444" s="2" t="s">
        <v>85</v>
      </c>
      <c r="F2444" s="2" t="s">
        <v>96</v>
      </c>
      <c r="G2444" s="2" t="s">
        <v>101</v>
      </c>
      <c r="H2444" s="2" t="s">
        <v>74</v>
      </c>
      <c r="I2444" s="2">
        <v>8</v>
      </c>
      <c r="J2444" s="2" t="s">
        <v>106</v>
      </c>
      <c r="K2444" s="4">
        <v>46105.154166666667</v>
      </c>
      <c r="L2444" s="2" t="s">
        <v>92</v>
      </c>
      <c r="M2444" s="2"/>
      <c r="N2444" t="s">
        <v>8589</v>
      </c>
      <c r="O2444" s="8">
        <f t="shared" si="76"/>
        <v>21.816666666709352</v>
      </c>
      <c r="P2444" t="str">
        <f t="shared" si="77"/>
        <v>No</v>
      </c>
    </row>
    <row r="2445" spans="1:16" x14ac:dyDescent="0.25">
      <c r="A2445" s="2" t="s">
        <v>6575</v>
      </c>
      <c r="B2445" s="4">
        <v>46245.960416666669</v>
      </c>
      <c r="C2445" s="2" t="s">
        <v>28</v>
      </c>
      <c r="D2445" s="2" t="s">
        <v>37</v>
      </c>
      <c r="E2445" s="2" t="s">
        <v>38</v>
      </c>
      <c r="F2445" s="2" t="s">
        <v>30</v>
      </c>
      <c r="G2445" s="2" t="s">
        <v>110</v>
      </c>
      <c r="H2445" s="2" t="s">
        <v>21</v>
      </c>
      <c r="I2445" s="2">
        <v>24</v>
      </c>
      <c r="J2445" s="2" t="s">
        <v>106</v>
      </c>
      <c r="K2445" s="4">
        <v>46246.211111111108</v>
      </c>
      <c r="L2445" s="2" t="s">
        <v>24</v>
      </c>
      <c r="M2445" s="2"/>
      <c r="N2445" t="s">
        <v>8585</v>
      </c>
      <c r="O2445" s="8">
        <f t="shared" si="76"/>
        <v>6.0166666665463708</v>
      </c>
      <c r="P2445" t="str">
        <f t="shared" si="77"/>
        <v>Yes</v>
      </c>
    </row>
    <row r="2446" spans="1:16" x14ac:dyDescent="0.25">
      <c r="A2446" s="2" t="s">
        <v>6578</v>
      </c>
      <c r="B2446" s="4">
        <v>46241.337500000001</v>
      </c>
      <c r="C2446" s="2" t="s">
        <v>28</v>
      </c>
      <c r="D2446" s="2" t="s">
        <v>37</v>
      </c>
      <c r="E2446" s="2" t="s">
        <v>18</v>
      </c>
      <c r="F2446" s="2" t="s">
        <v>113</v>
      </c>
      <c r="G2446" s="2" t="s">
        <v>31</v>
      </c>
      <c r="H2446" s="2" t="s">
        <v>74</v>
      </c>
      <c r="I2446" s="2">
        <v>8</v>
      </c>
      <c r="J2446" s="2" t="s">
        <v>8580</v>
      </c>
      <c r="K2446" s="4">
        <v>46241.623611111114</v>
      </c>
      <c r="L2446" s="2" t="s">
        <v>24</v>
      </c>
      <c r="M2446" s="2"/>
      <c r="N2446" t="s">
        <v>8587</v>
      </c>
      <c r="O2446" s="8">
        <f t="shared" si="76"/>
        <v>6.8666666666977108</v>
      </c>
      <c r="P2446" t="str">
        <f t="shared" si="77"/>
        <v>N/A</v>
      </c>
    </row>
    <row r="2447" spans="1:16" x14ac:dyDescent="0.25">
      <c r="A2447" s="2" t="s">
        <v>6581</v>
      </c>
      <c r="B2447" s="4">
        <v>46035.599305555559</v>
      </c>
      <c r="C2447" s="2" t="s">
        <v>28</v>
      </c>
      <c r="D2447" s="2" t="s">
        <v>37</v>
      </c>
      <c r="E2447" s="2" t="s">
        <v>79</v>
      </c>
      <c r="F2447" s="2" t="s">
        <v>113</v>
      </c>
      <c r="G2447" s="2" t="s">
        <v>110</v>
      </c>
      <c r="H2447" s="2" t="s">
        <v>80</v>
      </c>
      <c r="I2447" s="2">
        <v>4</v>
      </c>
      <c r="J2447" s="2" t="s">
        <v>106</v>
      </c>
      <c r="K2447" s="4">
        <v>46035.850694444445</v>
      </c>
      <c r="L2447" s="2" t="s">
        <v>24</v>
      </c>
      <c r="M2447" s="2"/>
      <c r="N2447" t="s">
        <v>8586</v>
      </c>
      <c r="O2447" s="8">
        <f t="shared" si="76"/>
        <v>6.0333333332673647</v>
      </c>
      <c r="P2447" t="str">
        <f t="shared" si="77"/>
        <v>No</v>
      </c>
    </row>
    <row r="2448" spans="1:16" x14ac:dyDescent="0.25">
      <c r="A2448" s="2" t="s">
        <v>6584</v>
      </c>
      <c r="B2448" s="4">
        <v>46155.027777777781</v>
      </c>
      <c r="C2448" s="2" t="s">
        <v>16</v>
      </c>
      <c r="D2448" s="2" t="s">
        <v>17</v>
      </c>
      <c r="E2448" s="2" t="s">
        <v>79</v>
      </c>
      <c r="F2448" s="2" t="s">
        <v>96</v>
      </c>
      <c r="G2448" s="2" t="s">
        <v>110</v>
      </c>
      <c r="H2448" s="2" t="s">
        <v>32</v>
      </c>
      <c r="I2448" s="2">
        <v>48</v>
      </c>
      <c r="J2448" s="2" t="s">
        <v>75</v>
      </c>
      <c r="K2448" s="4">
        <v>46156.739583333336</v>
      </c>
      <c r="L2448" s="2" t="s">
        <v>24</v>
      </c>
      <c r="M2448" s="2">
        <v>4</v>
      </c>
      <c r="N2448" t="s">
        <v>8584</v>
      </c>
      <c r="O2448" s="8">
        <f t="shared" si="76"/>
        <v>41.083333333313931</v>
      </c>
      <c r="P2448" t="str">
        <f t="shared" si="77"/>
        <v>N/A</v>
      </c>
    </row>
    <row r="2449" spans="1:16" x14ac:dyDescent="0.25">
      <c r="A2449" s="2" t="s">
        <v>6587</v>
      </c>
      <c r="B2449" s="4">
        <v>46033.538194444445</v>
      </c>
      <c r="C2449" s="2" t="s">
        <v>28</v>
      </c>
      <c r="D2449" s="2" t="s">
        <v>100</v>
      </c>
      <c r="E2449" s="2" t="s">
        <v>90</v>
      </c>
      <c r="F2449" s="2" t="s">
        <v>96</v>
      </c>
      <c r="G2449" s="2" t="s">
        <v>101</v>
      </c>
      <c r="H2449" s="2" t="s">
        <v>21</v>
      </c>
      <c r="I2449" s="2">
        <v>24</v>
      </c>
      <c r="J2449" s="2" t="s">
        <v>75</v>
      </c>
      <c r="K2449" s="4">
        <v>46034.42291666667</v>
      </c>
      <c r="L2449" s="2" t="s">
        <v>24</v>
      </c>
      <c r="M2449" s="2">
        <v>3</v>
      </c>
      <c r="N2449" t="s">
        <v>8583</v>
      </c>
      <c r="O2449" s="8">
        <f t="shared" si="76"/>
        <v>21.233333333395422</v>
      </c>
      <c r="P2449" t="str">
        <f t="shared" si="77"/>
        <v>N/A</v>
      </c>
    </row>
    <row r="2450" spans="1:16" x14ac:dyDescent="0.25">
      <c r="A2450" s="2" t="s">
        <v>6590</v>
      </c>
      <c r="B2450" s="4">
        <v>46024.581250000003</v>
      </c>
      <c r="C2450" s="2" t="s">
        <v>16</v>
      </c>
      <c r="D2450" s="2" t="s">
        <v>84</v>
      </c>
      <c r="E2450" s="2" t="s">
        <v>79</v>
      </c>
      <c r="F2450" s="2" t="s">
        <v>96</v>
      </c>
      <c r="G2450" s="2" t="s">
        <v>110</v>
      </c>
      <c r="H2450" s="2" t="s">
        <v>32</v>
      </c>
      <c r="I2450" s="2">
        <v>48</v>
      </c>
      <c r="J2450" s="2" t="s">
        <v>106</v>
      </c>
      <c r="K2450" s="4">
        <v>46029.36041666667</v>
      </c>
      <c r="L2450" s="2" t="s">
        <v>24</v>
      </c>
      <c r="M2450" s="2">
        <v>5</v>
      </c>
      <c r="N2450" t="s">
        <v>8585</v>
      </c>
      <c r="O2450" s="8">
        <f t="shared" si="76"/>
        <v>114.70000000001164</v>
      </c>
      <c r="P2450" t="str">
        <f t="shared" si="77"/>
        <v>No</v>
      </c>
    </row>
    <row r="2451" spans="1:16" x14ac:dyDescent="0.25">
      <c r="A2451" s="2" t="s">
        <v>6593</v>
      </c>
      <c r="B2451" s="4">
        <v>46125.402777777781</v>
      </c>
      <c r="C2451" s="2" t="s">
        <v>53</v>
      </c>
      <c r="D2451" s="2" t="s">
        <v>54</v>
      </c>
      <c r="E2451" s="2" t="s">
        <v>46</v>
      </c>
      <c r="F2451" s="2" t="s">
        <v>113</v>
      </c>
      <c r="G2451" s="2" t="s">
        <v>31</v>
      </c>
      <c r="H2451" s="2" t="s">
        <v>21</v>
      </c>
      <c r="I2451" s="2">
        <v>24</v>
      </c>
      <c r="J2451" s="2" t="s">
        <v>106</v>
      </c>
      <c r="K2451" s="4" t="s">
        <v>8590</v>
      </c>
      <c r="L2451" s="2" t="s">
        <v>24</v>
      </c>
      <c r="M2451" s="2">
        <v>2</v>
      </c>
      <c r="N2451" t="s">
        <v>8586</v>
      </c>
      <c r="O2451" s="8" t="str">
        <f t="shared" si="76"/>
        <v/>
      </c>
      <c r="P2451" t="str">
        <f t="shared" si="77"/>
        <v>No</v>
      </c>
    </row>
    <row r="2452" spans="1:16" x14ac:dyDescent="0.25">
      <c r="A2452" s="2" t="s">
        <v>6595</v>
      </c>
      <c r="B2452" s="4">
        <v>46176.123611111114</v>
      </c>
      <c r="C2452" s="2" t="s">
        <v>16</v>
      </c>
      <c r="D2452" s="2" t="s">
        <v>84</v>
      </c>
      <c r="E2452" s="2" t="s">
        <v>38</v>
      </c>
      <c r="F2452" s="2" t="s">
        <v>96</v>
      </c>
      <c r="G2452" s="2" t="s">
        <v>110</v>
      </c>
      <c r="H2452" s="2" t="s">
        <v>21</v>
      </c>
      <c r="I2452" s="2">
        <v>24</v>
      </c>
      <c r="J2452" s="2" t="s">
        <v>75</v>
      </c>
      <c r="K2452" s="4">
        <v>46177.292361111111</v>
      </c>
      <c r="L2452" s="2" t="s">
        <v>24</v>
      </c>
      <c r="M2452" s="2">
        <v>4</v>
      </c>
      <c r="N2452" t="s">
        <v>8587</v>
      </c>
      <c r="O2452" s="8">
        <f t="shared" si="76"/>
        <v>28.049999999930151</v>
      </c>
      <c r="P2452" t="str">
        <f t="shared" si="77"/>
        <v>N/A</v>
      </c>
    </row>
    <row r="2453" spans="1:16" x14ac:dyDescent="0.25">
      <c r="A2453" s="2" t="s">
        <v>6598</v>
      </c>
      <c r="B2453" s="4">
        <v>46230.790972222225</v>
      </c>
      <c r="C2453" s="2" t="s">
        <v>67</v>
      </c>
      <c r="D2453" s="2" t="s">
        <v>68</v>
      </c>
      <c r="E2453" s="2" t="s">
        <v>90</v>
      </c>
      <c r="F2453" s="2" t="s">
        <v>113</v>
      </c>
      <c r="G2453" s="2" t="s">
        <v>179</v>
      </c>
      <c r="H2453" s="2" t="s">
        <v>32</v>
      </c>
      <c r="I2453" s="2">
        <v>48</v>
      </c>
      <c r="J2453" s="2" t="s">
        <v>75</v>
      </c>
      <c r="K2453" s="4">
        <v>46231.190972222219</v>
      </c>
      <c r="L2453" s="2" t="s">
        <v>24</v>
      </c>
      <c r="M2453" s="2">
        <v>3</v>
      </c>
      <c r="N2453" t="s">
        <v>8585</v>
      </c>
      <c r="O2453" s="8">
        <f t="shared" si="76"/>
        <v>9.5999999998603016</v>
      </c>
      <c r="P2453" t="str">
        <f t="shared" si="77"/>
        <v>N/A</v>
      </c>
    </row>
    <row r="2454" spans="1:16" x14ac:dyDescent="0.25">
      <c r="A2454" s="2" t="s">
        <v>6601</v>
      </c>
      <c r="B2454" s="4">
        <v>46232.030555555553</v>
      </c>
      <c r="C2454" s="2" t="s">
        <v>67</v>
      </c>
      <c r="D2454" s="2" t="s">
        <v>68</v>
      </c>
      <c r="E2454" s="2" t="s">
        <v>79</v>
      </c>
      <c r="F2454" s="2" t="s">
        <v>30</v>
      </c>
      <c r="G2454" s="2" t="s">
        <v>31</v>
      </c>
      <c r="H2454" s="2" t="s">
        <v>74</v>
      </c>
      <c r="I2454" s="2">
        <v>8</v>
      </c>
      <c r="J2454" s="2" t="s">
        <v>287</v>
      </c>
      <c r="K2454" s="4" t="s">
        <v>8590</v>
      </c>
      <c r="L2454" s="2" t="s">
        <v>92</v>
      </c>
      <c r="M2454" s="2"/>
      <c r="N2454" t="s">
        <v>8589</v>
      </c>
      <c r="O2454" s="8" t="str">
        <f t="shared" si="76"/>
        <v/>
      </c>
      <c r="P2454" t="str">
        <f t="shared" si="77"/>
        <v>N/A</v>
      </c>
    </row>
    <row r="2455" spans="1:16" x14ac:dyDescent="0.25">
      <c r="A2455" s="2" t="s">
        <v>6603</v>
      </c>
      <c r="B2455" s="4">
        <v>46164.005555555559</v>
      </c>
      <c r="C2455" s="2" t="s">
        <v>28</v>
      </c>
      <c r="D2455" s="2" t="s">
        <v>100</v>
      </c>
      <c r="E2455" s="2" t="s">
        <v>46</v>
      </c>
      <c r="F2455" s="2" t="s">
        <v>55</v>
      </c>
      <c r="G2455" s="2" t="s">
        <v>101</v>
      </c>
      <c r="H2455" s="2" t="s">
        <v>21</v>
      </c>
      <c r="I2455" s="2">
        <v>24</v>
      </c>
      <c r="J2455" s="2" t="s">
        <v>11</v>
      </c>
      <c r="K2455" s="4" t="s">
        <v>8590</v>
      </c>
      <c r="L2455" s="2" t="s">
        <v>92</v>
      </c>
      <c r="M2455" s="2"/>
      <c r="N2455" t="s">
        <v>8589</v>
      </c>
      <c r="O2455" s="8" t="str">
        <f t="shared" si="76"/>
        <v/>
      </c>
      <c r="P2455" t="str">
        <f t="shared" si="77"/>
        <v>N/A</v>
      </c>
    </row>
    <row r="2456" spans="1:16" x14ac:dyDescent="0.25">
      <c r="A2456" s="2" t="s">
        <v>6605</v>
      </c>
      <c r="B2456" s="4">
        <v>46185.739583333336</v>
      </c>
      <c r="C2456" s="2" t="s">
        <v>67</v>
      </c>
      <c r="D2456" s="2" t="s">
        <v>95</v>
      </c>
      <c r="E2456" s="2" t="s">
        <v>18</v>
      </c>
      <c r="F2456" s="2" t="s">
        <v>113</v>
      </c>
      <c r="G2456" s="2" t="s">
        <v>183</v>
      </c>
      <c r="H2456" s="2" t="s">
        <v>21</v>
      </c>
      <c r="I2456" s="2">
        <v>24</v>
      </c>
      <c r="J2456" s="2" t="s">
        <v>106</v>
      </c>
      <c r="K2456" s="4">
        <v>46186.2</v>
      </c>
      <c r="L2456" s="2" t="s">
        <v>24</v>
      </c>
      <c r="M2456" s="2">
        <v>4</v>
      </c>
      <c r="N2456" t="s">
        <v>8589</v>
      </c>
      <c r="O2456" s="8">
        <f t="shared" si="76"/>
        <v>11.049999999871943</v>
      </c>
      <c r="P2456" t="str">
        <f t="shared" si="77"/>
        <v>Yes</v>
      </c>
    </row>
    <row r="2457" spans="1:16" x14ac:dyDescent="0.25">
      <c r="A2457" s="2" t="s">
        <v>6608</v>
      </c>
      <c r="B2457" s="4">
        <v>46116.250694444447</v>
      </c>
      <c r="C2457" s="2" t="s">
        <v>28</v>
      </c>
      <c r="D2457" s="2" t="s">
        <v>100</v>
      </c>
      <c r="E2457" s="2" t="s">
        <v>85</v>
      </c>
      <c r="F2457" s="2" t="s">
        <v>113</v>
      </c>
      <c r="G2457" s="2" t="s">
        <v>211</v>
      </c>
      <c r="H2457" s="2" t="s">
        <v>21</v>
      </c>
      <c r="I2457" s="2">
        <v>24</v>
      </c>
      <c r="J2457" s="2" t="s">
        <v>106</v>
      </c>
      <c r="K2457" s="4">
        <v>46116.803472222222</v>
      </c>
      <c r="L2457" s="2" t="s">
        <v>24</v>
      </c>
      <c r="M2457" s="2">
        <v>1</v>
      </c>
      <c r="N2457" t="s">
        <v>8589</v>
      </c>
      <c r="O2457" s="8">
        <f t="shared" si="76"/>
        <v>13.266666666604578</v>
      </c>
      <c r="P2457" t="str">
        <f t="shared" si="77"/>
        <v>Yes</v>
      </c>
    </row>
    <row r="2458" spans="1:16" x14ac:dyDescent="0.25">
      <c r="A2458" s="2" t="s">
        <v>6611</v>
      </c>
      <c r="B2458" s="4">
        <v>46024.593055555553</v>
      </c>
      <c r="C2458" s="2" t="s">
        <v>53</v>
      </c>
      <c r="D2458" s="2" t="s">
        <v>61</v>
      </c>
      <c r="E2458" s="2" t="s">
        <v>85</v>
      </c>
      <c r="F2458" s="2" t="s">
        <v>30</v>
      </c>
      <c r="G2458" s="2" t="s">
        <v>110</v>
      </c>
      <c r="H2458" s="2" t="s">
        <v>21</v>
      </c>
      <c r="I2458" s="2">
        <v>24</v>
      </c>
      <c r="J2458" s="2" t="s">
        <v>149</v>
      </c>
      <c r="K2458" s="4" t="s">
        <v>8590</v>
      </c>
      <c r="L2458" s="2" t="s">
        <v>24</v>
      </c>
      <c r="M2458" s="2"/>
      <c r="N2458" t="s">
        <v>8583</v>
      </c>
      <c r="O2458" s="8" t="str">
        <f t="shared" si="76"/>
        <v/>
      </c>
      <c r="P2458" t="str">
        <f t="shared" si="77"/>
        <v>N/A</v>
      </c>
    </row>
    <row r="2459" spans="1:16" x14ac:dyDescent="0.25">
      <c r="A2459" s="2" t="s">
        <v>6613</v>
      </c>
      <c r="B2459" s="4">
        <v>46237.067361111112</v>
      </c>
      <c r="C2459" s="2" t="s">
        <v>53</v>
      </c>
      <c r="D2459" s="2" t="s">
        <v>54</v>
      </c>
      <c r="E2459" s="2" t="s">
        <v>90</v>
      </c>
      <c r="F2459" s="2" t="s">
        <v>30</v>
      </c>
      <c r="G2459" s="2" t="s">
        <v>211</v>
      </c>
      <c r="H2459" s="2" t="s">
        <v>21</v>
      </c>
      <c r="I2459" s="2">
        <v>24</v>
      </c>
      <c r="J2459" s="2" t="s">
        <v>106</v>
      </c>
      <c r="K2459" s="4">
        <v>46239.22152777778</v>
      </c>
      <c r="L2459" s="2" t="s">
        <v>24</v>
      </c>
      <c r="M2459" s="2">
        <v>5</v>
      </c>
      <c r="N2459" t="s">
        <v>8586</v>
      </c>
      <c r="O2459" s="8">
        <f t="shared" si="76"/>
        <v>51.700000000011642</v>
      </c>
      <c r="P2459" t="str">
        <f t="shared" si="77"/>
        <v>No</v>
      </c>
    </row>
    <row r="2460" spans="1:16" x14ac:dyDescent="0.25">
      <c r="A2460" s="2" t="s">
        <v>6616</v>
      </c>
      <c r="B2460" s="4">
        <v>46067.763888888891</v>
      </c>
      <c r="C2460" s="2" t="s">
        <v>16</v>
      </c>
      <c r="D2460" s="2" t="s">
        <v>17</v>
      </c>
      <c r="E2460" s="2" t="s">
        <v>38</v>
      </c>
      <c r="F2460" s="2" t="s">
        <v>96</v>
      </c>
      <c r="G2460" s="2" t="s">
        <v>110</v>
      </c>
      <c r="H2460" s="2" t="s">
        <v>21</v>
      </c>
      <c r="I2460" s="2">
        <v>24</v>
      </c>
      <c r="J2460" s="2" t="s">
        <v>106</v>
      </c>
      <c r="K2460" s="4">
        <v>46067.976388888892</v>
      </c>
      <c r="L2460" s="2" t="s">
        <v>24</v>
      </c>
      <c r="M2460" s="2">
        <v>5</v>
      </c>
      <c r="N2460" t="s">
        <v>8587</v>
      </c>
      <c r="O2460" s="8">
        <f t="shared" si="76"/>
        <v>5.1000000000349246</v>
      </c>
      <c r="P2460" t="str">
        <f t="shared" si="77"/>
        <v>Yes</v>
      </c>
    </row>
    <row r="2461" spans="1:16" x14ac:dyDescent="0.25">
      <c r="A2461" s="2" t="s">
        <v>6619</v>
      </c>
      <c r="B2461" s="4">
        <v>46041.423611111109</v>
      </c>
      <c r="C2461" s="2" t="s">
        <v>28</v>
      </c>
      <c r="D2461" s="2" t="s">
        <v>100</v>
      </c>
      <c r="E2461" s="2" t="s">
        <v>90</v>
      </c>
      <c r="F2461" s="2" t="s">
        <v>55</v>
      </c>
      <c r="G2461" s="2" t="s">
        <v>110</v>
      </c>
      <c r="H2461" s="2" t="s">
        <v>21</v>
      </c>
      <c r="I2461" s="2">
        <v>24</v>
      </c>
      <c r="J2461" s="2" t="s">
        <v>106</v>
      </c>
      <c r="K2461" s="4" t="s">
        <v>8590</v>
      </c>
      <c r="L2461" s="2" t="s">
        <v>24</v>
      </c>
      <c r="M2461" s="2"/>
      <c r="N2461" t="s">
        <v>8589</v>
      </c>
      <c r="O2461" s="8" t="str">
        <f t="shared" si="76"/>
        <v/>
      </c>
      <c r="P2461" t="str">
        <f t="shared" si="77"/>
        <v>No</v>
      </c>
    </row>
    <row r="2462" spans="1:16" x14ac:dyDescent="0.25">
      <c r="A2462" s="2" t="s">
        <v>6621</v>
      </c>
      <c r="B2462" s="4">
        <v>46083.788194444445</v>
      </c>
      <c r="C2462" s="2" t="s">
        <v>28</v>
      </c>
      <c r="D2462" s="2" t="s">
        <v>37</v>
      </c>
      <c r="E2462" s="2" t="s">
        <v>38</v>
      </c>
      <c r="F2462" s="2" t="s">
        <v>30</v>
      </c>
      <c r="G2462" s="2" t="s">
        <v>183</v>
      </c>
      <c r="H2462" s="2" t="s">
        <v>21</v>
      </c>
      <c r="I2462" s="2">
        <v>24</v>
      </c>
      <c r="J2462" s="2" t="s">
        <v>149</v>
      </c>
      <c r="K2462" s="4" t="s">
        <v>8590</v>
      </c>
      <c r="L2462" s="2" t="s">
        <v>24</v>
      </c>
      <c r="M2462" s="2"/>
      <c r="N2462" t="s">
        <v>8589</v>
      </c>
      <c r="O2462" s="8" t="str">
        <f t="shared" si="76"/>
        <v/>
      </c>
      <c r="P2462" t="str">
        <f t="shared" si="77"/>
        <v>N/A</v>
      </c>
    </row>
    <row r="2463" spans="1:16" x14ac:dyDescent="0.25">
      <c r="A2463" s="2" t="s">
        <v>6623</v>
      </c>
      <c r="B2463" s="4">
        <v>46103.418055555558</v>
      </c>
      <c r="C2463" s="2" t="s">
        <v>16</v>
      </c>
      <c r="D2463" s="2" t="s">
        <v>84</v>
      </c>
      <c r="E2463" s="2" t="s">
        <v>79</v>
      </c>
      <c r="F2463" s="2" t="s">
        <v>113</v>
      </c>
      <c r="G2463" s="2" t="s">
        <v>31</v>
      </c>
      <c r="H2463" s="2" t="s">
        <v>32</v>
      </c>
      <c r="I2463" s="2">
        <v>48</v>
      </c>
      <c r="J2463" s="2" t="s">
        <v>106</v>
      </c>
      <c r="K2463" s="4">
        <v>46105.03125</v>
      </c>
      <c r="L2463" s="2" t="s">
        <v>24</v>
      </c>
      <c r="M2463" s="2">
        <v>5</v>
      </c>
      <c r="N2463" t="s">
        <v>8584</v>
      </c>
      <c r="O2463" s="8">
        <f t="shared" si="76"/>
        <v>38.71666666661622</v>
      </c>
      <c r="P2463" t="str">
        <f t="shared" si="77"/>
        <v>Yes</v>
      </c>
    </row>
    <row r="2464" spans="1:16" x14ac:dyDescent="0.25">
      <c r="A2464" s="2" t="s">
        <v>6626</v>
      </c>
      <c r="B2464" s="4">
        <v>46094.813194444447</v>
      </c>
      <c r="C2464" s="2" t="s">
        <v>28</v>
      </c>
      <c r="D2464" s="2" t="s">
        <v>100</v>
      </c>
      <c r="E2464" s="2" t="s">
        <v>148</v>
      </c>
      <c r="F2464" s="2" t="s">
        <v>55</v>
      </c>
      <c r="G2464" s="2" t="s">
        <v>211</v>
      </c>
      <c r="H2464" s="2" t="s">
        <v>21</v>
      </c>
      <c r="I2464" s="2">
        <v>24</v>
      </c>
      <c r="J2464" s="2" t="s">
        <v>75</v>
      </c>
      <c r="K2464" s="4">
        <v>46095.48541666667</v>
      </c>
      <c r="L2464" s="2" t="s">
        <v>24</v>
      </c>
      <c r="M2464" s="2">
        <v>4</v>
      </c>
      <c r="N2464" t="s">
        <v>8588</v>
      </c>
      <c r="O2464" s="8">
        <f t="shared" si="76"/>
        <v>16.133333333360497</v>
      </c>
      <c r="P2464" t="str">
        <f t="shared" si="77"/>
        <v>N/A</v>
      </c>
    </row>
    <row r="2465" spans="1:16" x14ac:dyDescent="0.25">
      <c r="A2465" s="2" t="s">
        <v>6629</v>
      </c>
      <c r="B2465" s="4">
        <v>46142.960416666669</v>
      </c>
      <c r="C2465" s="2" t="s">
        <v>67</v>
      </c>
      <c r="D2465" s="2" t="s">
        <v>68</v>
      </c>
      <c r="E2465" s="2" t="s">
        <v>79</v>
      </c>
      <c r="F2465" s="2" t="s">
        <v>30</v>
      </c>
      <c r="G2465" s="2" t="s">
        <v>179</v>
      </c>
      <c r="H2465" s="2" t="s">
        <v>32</v>
      </c>
      <c r="I2465" s="2">
        <v>48</v>
      </c>
      <c r="J2465" s="2" t="s">
        <v>106</v>
      </c>
      <c r="K2465" s="4">
        <v>46145.881249999999</v>
      </c>
      <c r="L2465" s="2" t="s">
        <v>24</v>
      </c>
      <c r="M2465" s="2">
        <v>3</v>
      </c>
      <c r="N2465" t="s">
        <v>8588</v>
      </c>
      <c r="O2465" s="8">
        <f t="shared" si="76"/>
        <v>70.099999999918509</v>
      </c>
      <c r="P2465" t="str">
        <f t="shared" si="77"/>
        <v>No</v>
      </c>
    </row>
    <row r="2466" spans="1:16" x14ac:dyDescent="0.25">
      <c r="A2466" s="2" t="s">
        <v>6632</v>
      </c>
      <c r="B2466" s="4">
        <v>46150.890972222223</v>
      </c>
      <c r="C2466" s="2" t="s">
        <v>53</v>
      </c>
      <c r="D2466" s="2" t="s">
        <v>61</v>
      </c>
      <c r="E2466" s="2" t="s">
        <v>79</v>
      </c>
      <c r="F2466" s="2" t="s">
        <v>55</v>
      </c>
      <c r="G2466" s="2" t="s">
        <v>211</v>
      </c>
      <c r="H2466" s="2" t="s">
        <v>32</v>
      </c>
      <c r="I2466" s="2">
        <v>48</v>
      </c>
      <c r="J2466" s="2" t="s">
        <v>106</v>
      </c>
      <c r="K2466" s="4">
        <v>46152.368055555555</v>
      </c>
      <c r="L2466" s="2" t="s">
        <v>24</v>
      </c>
      <c r="M2466" s="2">
        <v>5</v>
      </c>
      <c r="N2466" t="s">
        <v>8585</v>
      </c>
      <c r="O2466" s="8">
        <f t="shared" si="76"/>
        <v>35.449999999953434</v>
      </c>
      <c r="P2466" t="str">
        <f t="shared" si="77"/>
        <v>Yes</v>
      </c>
    </row>
    <row r="2467" spans="1:16" x14ac:dyDescent="0.25">
      <c r="A2467" s="2" t="s">
        <v>6635</v>
      </c>
      <c r="B2467" s="4">
        <v>46081.875694444447</v>
      </c>
      <c r="C2467" s="2" t="s">
        <v>28</v>
      </c>
      <c r="D2467" s="2" t="s">
        <v>100</v>
      </c>
      <c r="E2467" s="2" t="s">
        <v>85</v>
      </c>
      <c r="F2467" s="2" t="s">
        <v>30</v>
      </c>
      <c r="G2467" s="2" t="s">
        <v>101</v>
      </c>
      <c r="H2467" s="2" t="s">
        <v>74</v>
      </c>
      <c r="I2467" s="2">
        <v>8</v>
      </c>
      <c r="J2467" s="2" t="s">
        <v>106</v>
      </c>
      <c r="K2467" s="4">
        <v>46082.103472222225</v>
      </c>
      <c r="L2467" s="2" t="s">
        <v>92</v>
      </c>
      <c r="M2467" s="2">
        <v>5</v>
      </c>
      <c r="N2467" t="s">
        <v>8589</v>
      </c>
      <c r="O2467" s="8">
        <f t="shared" si="76"/>
        <v>5.4666666666744277</v>
      </c>
      <c r="P2467" t="str">
        <f t="shared" si="77"/>
        <v>Yes</v>
      </c>
    </row>
    <row r="2468" spans="1:16" x14ac:dyDescent="0.25">
      <c r="A2468" s="2" t="s">
        <v>6638</v>
      </c>
      <c r="B2468" s="4">
        <v>46180.426388888889</v>
      </c>
      <c r="C2468" s="2" t="s">
        <v>67</v>
      </c>
      <c r="D2468" s="2" t="s">
        <v>68</v>
      </c>
      <c r="E2468" s="2" t="s">
        <v>79</v>
      </c>
      <c r="F2468" s="2" t="s">
        <v>30</v>
      </c>
      <c r="G2468" s="2" t="s">
        <v>31</v>
      </c>
      <c r="H2468" s="2" t="s">
        <v>21</v>
      </c>
      <c r="I2468" s="2">
        <v>24</v>
      </c>
      <c r="J2468" s="2" t="s">
        <v>75</v>
      </c>
      <c r="K2468" s="4">
        <v>46180.540277777778</v>
      </c>
      <c r="L2468" s="2" t="s">
        <v>24</v>
      </c>
      <c r="M2468" s="2"/>
      <c r="N2468" t="s">
        <v>8589</v>
      </c>
      <c r="O2468" s="8">
        <f t="shared" si="76"/>
        <v>2.7333333333372138</v>
      </c>
      <c r="P2468" t="str">
        <f t="shared" si="77"/>
        <v>N/A</v>
      </c>
    </row>
    <row r="2469" spans="1:16" x14ac:dyDescent="0.25">
      <c r="A2469" s="2" t="s">
        <v>6641</v>
      </c>
      <c r="B2469" s="4">
        <v>46158.345138888886</v>
      </c>
      <c r="C2469" s="2" t="s">
        <v>16</v>
      </c>
      <c r="D2469" s="2" t="s">
        <v>17</v>
      </c>
      <c r="E2469" s="2" t="s">
        <v>85</v>
      </c>
      <c r="F2469" s="2" t="s">
        <v>55</v>
      </c>
      <c r="G2469" s="2" t="s">
        <v>31</v>
      </c>
      <c r="H2469" s="2" t="s">
        <v>21</v>
      </c>
      <c r="I2469" s="2">
        <v>24</v>
      </c>
      <c r="J2469" s="2" t="s">
        <v>106</v>
      </c>
      <c r="K2469" s="4">
        <v>46158.588888888888</v>
      </c>
      <c r="L2469" s="2" t="s">
        <v>24</v>
      </c>
      <c r="M2469" s="2">
        <v>4</v>
      </c>
      <c r="N2469" t="s">
        <v>8583</v>
      </c>
      <c r="O2469" s="8">
        <f t="shared" si="76"/>
        <v>5.8500000000349246</v>
      </c>
      <c r="P2469" t="str">
        <f t="shared" si="77"/>
        <v>Yes</v>
      </c>
    </row>
    <row r="2470" spans="1:16" x14ac:dyDescent="0.25">
      <c r="A2470" s="2" t="s">
        <v>6644</v>
      </c>
      <c r="B2470" s="4">
        <v>46082.352083333331</v>
      </c>
      <c r="C2470" s="2" t="s">
        <v>28</v>
      </c>
      <c r="D2470" s="2" t="s">
        <v>100</v>
      </c>
      <c r="E2470" s="2" t="s">
        <v>18</v>
      </c>
      <c r="F2470" s="2" t="s">
        <v>55</v>
      </c>
      <c r="G2470" s="2" t="s">
        <v>101</v>
      </c>
      <c r="H2470" s="2" t="s">
        <v>21</v>
      </c>
      <c r="I2470" s="2">
        <v>24</v>
      </c>
      <c r="J2470" s="2" t="s">
        <v>75</v>
      </c>
      <c r="K2470" s="4">
        <v>46083.040277777778</v>
      </c>
      <c r="L2470" s="2" t="s">
        <v>24</v>
      </c>
      <c r="M2470" s="2">
        <v>5</v>
      </c>
      <c r="N2470" t="s">
        <v>8583</v>
      </c>
      <c r="O2470" s="8">
        <f t="shared" si="76"/>
        <v>16.516666666720994</v>
      </c>
      <c r="P2470" t="str">
        <f t="shared" si="77"/>
        <v>N/A</v>
      </c>
    </row>
    <row r="2471" spans="1:16" x14ac:dyDescent="0.25">
      <c r="A2471" s="2" t="s">
        <v>6647</v>
      </c>
      <c r="B2471" s="4">
        <v>46120.256944444445</v>
      </c>
      <c r="C2471" s="2" t="s">
        <v>53</v>
      </c>
      <c r="D2471" s="2" t="s">
        <v>54</v>
      </c>
      <c r="E2471" s="2" t="s">
        <v>148</v>
      </c>
      <c r="F2471" s="2" t="s">
        <v>30</v>
      </c>
      <c r="G2471" s="2" t="s">
        <v>179</v>
      </c>
      <c r="H2471" s="2" t="s">
        <v>21</v>
      </c>
      <c r="I2471" s="2">
        <v>24</v>
      </c>
      <c r="J2471" s="2" t="s">
        <v>75</v>
      </c>
      <c r="K2471" s="4">
        <v>46123.194444444445</v>
      </c>
      <c r="L2471" s="2" t="s">
        <v>24</v>
      </c>
      <c r="M2471" s="2">
        <v>4</v>
      </c>
      <c r="N2471" t="s">
        <v>8589</v>
      </c>
      <c r="O2471" s="8">
        <f t="shared" si="76"/>
        <v>70.5</v>
      </c>
      <c r="P2471" t="str">
        <f t="shared" si="77"/>
        <v>N/A</v>
      </c>
    </row>
    <row r="2472" spans="1:16" x14ac:dyDescent="0.25">
      <c r="A2472" s="2" t="s">
        <v>6650</v>
      </c>
      <c r="B2472" s="4">
        <v>46218.605555555558</v>
      </c>
      <c r="C2472" s="2" t="s">
        <v>16</v>
      </c>
      <c r="D2472" s="2" t="s">
        <v>84</v>
      </c>
      <c r="E2472" s="2" t="s">
        <v>38</v>
      </c>
      <c r="F2472" s="2" t="s">
        <v>113</v>
      </c>
      <c r="G2472" s="2" t="s">
        <v>179</v>
      </c>
      <c r="H2472" s="2" t="s">
        <v>21</v>
      </c>
      <c r="I2472" s="2">
        <v>24</v>
      </c>
      <c r="J2472" s="2" t="s">
        <v>106</v>
      </c>
      <c r="K2472" s="4">
        <v>46219.273611111108</v>
      </c>
      <c r="L2472" s="2" t="s">
        <v>24</v>
      </c>
      <c r="M2472" s="2">
        <v>5</v>
      </c>
      <c r="N2472" t="s">
        <v>8589</v>
      </c>
      <c r="O2472" s="8">
        <f t="shared" si="76"/>
        <v>16.033333333209157</v>
      </c>
      <c r="P2472" t="str">
        <f t="shared" si="77"/>
        <v>Yes</v>
      </c>
    </row>
    <row r="2473" spans="1:16" x14ac:dyDescent="0.25">
      <c r="A2473" s="2" t="s">
        <v>6653</v>
      </c>
      <c r="B2473" s="4">
        <v>46246.381249999999</v>
      </c>
      <c r="C2473" s="2" t="s">
        <v>67</v>
      </c>
      <c r="D2473" s="2" t="s">
        <v>95</v>
      </c>
      <c r="E2473" s="2" t="s">
        <v>148</v>
      </c>
      <c r="F2473" s="2" t="s">
        <v>30</v>
      </c>
      <c r="G2473" s="2" t="s">
        <v>211</v>
      </c>
      <c r="H2473" s="2" t="s">
        <v>21</v>
      </c>
      <c r="I2473" s="2">
        <v>24</v>
      </c>
      <c r="J2473" s="2" t="s">
        <v>11</v>
      </c>
      <c r="K2473" s="4" t="s">
        <v>8590</v>
      </c>
      <c r="L2473" s="2" t="s">
        <v>92</v>
      </c>
      <c r="M2473" s="2"/>
      <c r="N2473" t="s">
        <v>8589</v>
      </c>
      <c r="O2473" s="8" t="str">
        <f t="shared" si="76"/>
        <v/>
      </c>
      <c r="P2473" t="str">
        <f t="shared" si="77"/>
        <v>N/A</v>
      </c>
    </row>
    <row r="2474" spans="1:16" x14ac:dyDescent="0.25">
      <c r="A2474" s="2" t="s">
        <v>6655</v>
      </c>
      <c r="B2474" s="4">
        <v>46223.720138888886</v>
      </c>
      <c r="C2474" s="2" t="s">
        <v>67</v>
      </c>
      <c r="D2474" s="2" t="s">
        <v>68</v>
      </c>
      <c r="E2474" s="2" t="s">
        <v>46</v>
      </c>
      <c r="F2474" s="2" t="s">
        <v>96</v>
      </c>
      <c r="G2474" s="2" t="s">
        <v>31</v>
      </c>
      <c r="H2474" s="2" t="s">
        <v>32</v>
      </c>
      <c r="I2474" s="2">
        <v>48</v>
      </c>
      <c r="J2474" s="2" t="s">
        <v>75</v>
      </c>
      <c r="K2474" s="4">
        <v>46226.186805555553</v>
      </c>
      <c r="L2474" s="2" t="s">
        <v>24</v>
      </c>
      <c r="M2474" s="2">
        <v>4</v>
      </c>
      <c r="N2474" t="s">
        <v>8589</v>
      </c>
      <c r="O2474" s="8">
        <f t="shared" si="76"/>
        <v>59.200000000011642</v>
      </c>
      <c r="P2474" t="str">
        <f t="shared" si="77"/>
        <v>N/A</v>
      </c>
    </row>
    <row r="2475" spans="1:16" x14ac:dyDescent="0.25">
      <c r="A2475" s="2" t="s">
        <v>6658</v>
      </c>
      <c r="B2475" s="4">
        <v>46173.482638888891</v>
      </c>
      <c r="C2475" s="2" t="s">
        <v>67</v>
      </c>
      <c r="D2475" s="2" t="s">
        <v>68</v>
      </c>
      <c r="E2475" s="2" t="s">
        <v>38</v>
      </c>
      <c r="F2475" s="2" t="s">
        <v>55</v>
      </c>
      <c r="G2475" s="2" t="s">
        <v>101</v>
      </c>
      <c r="H2475" s="2" t="s">
        <v>21</v>
      </c>
      <c r="I2475" s="2">
        <v>24</v>
      </c>
      <c r="J2475" s="2" t="s">
        <v>75</v>
      </c>
      <c r="K2475" s="4">
        <v>46174.066666666666</v>
      </c>
      <c r="L2475" s="2" t="s">
        <v>24</v>
      </c>
      <c r="M2475" s="2">
        <v>5</v>
      </c>
      <c r="N2475" t="s">
        <v>8583</v>
      </c>
      <c r="O2475" s="8">
        <f t="shared" si="76"/>
        <v>14.016666666604578</v>
      </c>
      <c r="P2475" t="str">
        <f t="shared" si="77"/>
        <v>N/A</v>
      </c>
    </row>
    <row r="2476" spans="1:16" x14ac:dyDescent="0.25">
      <c r="A2476" s="2" t="s">
        <v>6661</v>
      </c>
      <c r="B2476" s="4">
        <v>46203.547222222223</v>
      </c>
      <c r="C2476" s="2" t="s">
        <v>67</v>
      </c>
      <c r="D2476" s="2" t="s">
        <v>68</v>
      </c>
      <c r="E2476" s="2" t="s">
        <v>90</v>
      </c>
      <c r="F2476" s="2" t="s">
        <v>55</v>
      </c>
      <c r="G2476" s="2" t="s">
        <v>110</v>
      </c>
      <c r="H2476" s="2" t="s">
        <v>21</v>
      </c>
      <c r="I2476" s="2">
        <v>24</v>
      </c>
      <c r="J2476" s="2" t="s">
        <v>11</v>
      </c>
      <c r="K2476" s="4" t="s">
        <v>8590</v>
      </c>
      <c r="L2476" s="2" t="s">
        <v>92</v>
      </c>
      <c r="M2476" s="2"/>
      <c r="N2476" t="s">
        <v>8581</v>
      </c>
      <c r="O2476" s="8" t="str">
        <f t="shared" si="76"/>
        <v/>
      </c>
      <c r="P2476" t="str">
        <f t="shared" si="77"/>
        <v>N/A</v>
      </c>
    </row>
    <row r="2477" spans="1:16" x14ac:dyDescent="0.25">
      <c r="A2477" s="2" t="s">
        <v>6663</v>
      </c>
      <c r="B2477" s="4">
        <v>46044.025000000001</v>
      </c>
      <c r="C2477" s="2" t="s">
        <v>67</v>
      </c>
      <c r="D2477" s="2" t="s">
        <v>68</v>
      </c>
      <c r="E2477" s="2" t="s">
        <v>79</v>
      </c>
      <c r="F2477" s="2" t="s">
        <v>55</v>
      </c>
      <c r="G2477" s="2" t="s">
        <v>101</v>
      </c>
      <c r="H2477" s="2" t="s">
        <v>32</v>
      </c>
      <c r="I2477" s="2">
        <v>48</v>
      </c>
      <c r="J2477" s="2" t="s">
        <v>11</v>
      </c>
      <c r="K2477" s="4" t="s">
        <v>8590</v>
      </c>
      <c r="L2477" s="2" t="s">
        <v>92</v>
      </c>
      <c r="M2477" s="2"/>
      <c r="N2477" t="s">
        <v>8584</v>
      </c>
      <c r="O2477" s="8" t="str">
        <f t="shared" si="76"/>
        <v/>
      </c>
      <c r="P2477" t="str">
        <f t="shared" si="77"/>
        <v>N/A</v>
      </c>
    </row>
    <row r="2478" spans="1:16" x14ac:dyDescent="0.25">
      <c r="A2478" s="2" t="s">
        <v>6665</v>
      </c>
      <c r="B2478" s="4">
        <v>46255.175000000003</v>
      </c>
      <c r="C2478" s="2" t="s">
        <v>28</v>
      </c>
      <c r="D2478" s="2" t="s">
        <v>37</v>
      </c>
      <c r="E2478" s="2" t="s">
        <v>90</v>
      </c>
      <c r="F2478" s="2" t="s">
        <v>113</v>
      </c>
      <c r="G2478" s="2" t="s">
        <v>110</v>
      </c>
      <c r="H2478" s="2" t="s">
        <v>21</v>
      </c>
      <c r="I2478" s="2">
        <v>24</v>
      </c>
      <c r="J2478" s="2" t="s">
        <v>8580</v>
      </c>
      <c r="K2478" s="4" t="s">
        <v>8590</v>
      </c>
      <c r="L2478" s="2" t="s">
        <v>24</v>
      </c>
      <c r="M2478" s="2"/>
      <c r="N2478" t="s">
        <v>8589</v>
      </c>
      <c r="O2478" s="8" t="str">
        <f t="shared" si="76"/>
        <v/>
      </c>
      <c r="P2478" t="str">
        <f t="shared" si="77"/>
        <v>N/A</v>
      </c>
    </row>
    <row r="2479" spans="1:16" x14ac:dyDescent="0.25">
      <c r="A2479" s="2" t="s">
        <v>6667</v>
      </c>
      <c r="B2479" s="4">
        <v>46152.782638888886</v>
      </c>
      <c r="C2479" s="2" t="s">
        <v>53</v>
      </c>
      <c r="D2479" s="2" t="s">
        <v>61</v>
      </c>
      <c r="E2479" s="2" t="s">
        <v>18</v>
      </c>
      <c r="F2479" s="2" t="s">
        <v>30</v>
      </c>
      <c r="G2479" s="2" t="s">
        <v>211</v>
      </c>
      <c r="H2479" s="2" t="s">
        <v>21</v>
      </c>
      <c r="I2479" s="2">
        <v>24</v>
      </c>
      <c r="J2479" s="2" t="s">
        <v>75</v>
      </c>
      <c r="K2479" s="4">
        <v>46153.506249999999</v>
      </c>
      <c r="L2479" s="2" t="s">
        <v>24</v>
      </c>
      <c r="M2479" s="2">
        <v>4</v>
      </c>
      <c r="N2479" t="s">
        <v>8584</v>
      </c>
      <c r="O2479" s="8">
        <f t="shared" si="76"/>
        <v>17.366666666697711</v>
      </c>
      <c r="P2479" t="str">
        <f t="shared" si="77"/>
        <v>N/A</v>
      </c>
    </row>
    <row r="2480" spans="1:16" x14ac:dyDescent="0.25">
      <c r="A2480" s="2" t="s">
        <v>6670</v>
      </c>
      <c r="B2480" s="4">
        <v>46083.338888888888</v>
      </c>
      <c r="C2480" s="2" t="s">
        <v>28</v>
      </c>
      <c r="D2480" s="2" t="s">
        <v>37</v>
      </c>
      <c r="E2480" s="2" t="s">
        <v>38</v>
      </c>
      <c r="F2480" s="2" t="s">
        <v>96</v>
      </c>
      <c r="G2480" s="2" t="s">
        <v>110</v>
      </c>
      <c r="H2480" s="2" t="s">
        <v>80</v>
      </c>
      <c r="I2480" s="2">
        <v>4</v>
      </c>
      <c r="J2480" s="2" t="s">
        <v>11</v>
      </c>
      <c r="K2480" s="4" t="s">
        <v>8590</v>
      </c>
      <c r="L2480" s="2" t="s">
        <v>92</v>
      </c>
      <c r="M2480" s="2"/>
      <c r="N2480" t="s">
        <v>8589</v>
      </c>
      <c r="O2480" s="8" t="str">
        <f t="shared" si="76"/>
        <v/>
      </c>
      <c r="P2480" t="str">
        <f t="shared" si="77"/>
        <v>N/A</v>
      </c>
    </row>
    <row r="2481" spans="1:16" x14ac:dyDescent="0.25">
      <c r="A2481" s="2" t="s">
        <v>6672</v>
      </c>
      <c r="B2481" s="4">
        <v>46087.861805555556</v>
      </c>
      <c r="C2481" s="2" t="s">
        <v>28</v>
      </c>
      <c r="D2481" s="2" t="s">
        <v>37</v>
      </c>
      <c r="E2481" s="2" t="s">
        <v>8589</v>
      </c>
      <c r="F2481" s="2" t="s">
        <v>55</v>
      </c>
      <c r="G2481" s="2" t="s">
        <v>183</v>
      </c>
      <c r="H2481" s="2" t="s">
        <v>32</v>
      </c>
      <c r="I2481" s="2">
        <v>48</v>
      </c>
      <c r="J2481" s="2" t="s">
        <v>106</v>
      </c>
      <c r="K2481" s="4">
        <v>46091.338888888888</v>
      </c>
      <c r="L2481" s="2" t="s">
        <v>24</v>
      </c>
      <c r="M2481" s="2">
        <v>4</v>
      </c>
      <c r="N2481" t="s">
        <v>8582</v>
      </c>
      <c r="O2481" s="8">
        <f t="shared" si="76"/>
        <v>83.449999999953434</v>
      </c>
      <c r="P2481" t="str">
        <f t="shared" si="77"/>
        <v>No</v>
      </c>
    </row>
    <row r="2482" spans="1:16" x14ac:dyDescent="0.25">
      <c r="A2482" s="2" t="s">
        <v>6675</v>
      </c>
      <c r="B2482" s="4">
        <v>46165.530555555553</v>
      </c>
      <c r="C2482" s="2" t="s">
        <v>67</v>
      </c>
      <c r="D2482" s="2" t="s">
        <v>68</v>
      </c>
      <c r="E2482" s="2" t="s">
        <v>18</v>
      </c>
      <c r="F2482" s="2" t="s">
        <v>55</v>
      </c>
      <c r="G2482" s="2" t="s">
        <v>31</v>
      </c>
      <c r="H2482" s="2" t="s">
        <v>21</v>
      </c>
      <c r="I2482" s="2">
        <v>24</v>
      </c>
      <c r="J2482" s="2" t="s">
        <v>75</v>
      </c>
      <c r="K2482" s="4">
        <v>46166.03125</v>
      </c>
      <c r="L2482" s="2" t="s">
        <v>24</v>
      </c>
      <c r="M2482" s="2">
        <v>3</v>
      </c>
      <c r="N2482" t="s">
        <v>8589</v>
      </c>
      <c r="O2482" s="8">
        <f t="shared" si="76"/>
        <v>12.016666666720994</v>
      </c>
      <c r="P2482" t="str">
        <f t="shared" si="77"/>
        <v>N/A</v>
      </c>
    </row>
    <row r="2483" spans="1:16" x14ac:dyDescent="0.25">
      <c r="A2483" s="2" t="s">
        <v>6678</v>
      </c>
      <c r="B2483" s="4">
        <v>46183.472222222219</v>
      </c>
      <c r="C2483" s="2" t="s">
        <v>16</v>
      </c>
      <c r="D2483" s="2" t="s">
        <v>17</v>
      </c>
      <c r="E2483" s="2" t="s">
        <v>46</v>
      </c>
      <c r="F2483" s="2" t="s">
        <v>113</v>
      </c>
      <c r="G2483" s="2" t="s">
        <v>211</v>
      </c>
      <c r="H2483" s="2" t="s">
        <v>21</v>
      </c>
      <c r="I2483" s="2">
        <v>24</v>
      </c>
      <c r="J2483" s="2" t="s">
        <v>75</v>
      </c>
      <c r="K2483" s="4">
        <v>46184</v>
      </c>
      <c r="L2483" s="2" t="s">
        <v>24</v>
      </c>
      <c r="M2483" s="2">
        <v>1</v>
      </c>
      <c r="N2483" t="s">
        <v>8583</v>
      </c>
      <c r="O2483" s="8">
        <f t="shared" si="76"/>
        <v>12.666666666744277</v>
      </c>
      <c r="P2483" t="str">
        <f t="shared" si="77"/>
        <v>N/A</v>
      </c>
    </row>
    <row r="2484" spans="1:16" x14ac:dyDescent="0.25">
      <c r="A2484" s="2" t="s">
        <v>6681</v>
      </c>
      <c r="B2484" s="4">
        <v>46099.511111111111</v>
      </c>
      <c r="C2484" s="2" t="s">
        <v>28</v>
      </c>
      <c r="D2484" s="2" t="s">
        <v>100</v>
      </c>
      <c r="E2484" s="2" t="s">
        <v>46</v>
      </c>
      <c r="F2484" s="2" t="s">
        <v>113</v>
      </c>
      <c r="G2484" s="2" t="s">
        <v>31</v>
      </c>
      <c r="H2484" s="2" t="s">
        <v>21</v>
      </c>
      <c r="I2484" s="2">
        <v>24</v>
      </c>
      <c r="J2484" s="2" t="s">
        <v>106</v>
      </c>
      <c r="K2484" s="4">
        <v>46099.715277777781</v>
      </c>
      <c r="L2484" s="2" t="s">
        <v>24</v>
      </c>
      <c r="M2484" s="2"/>
      <c r="N2484" t="s">
        <v>8583</v>
      </c>
      <c r="O2484" s="8">
        <f t="shared" si="76"/>
        <v>4.9000000000814907</v>
      </c>
      <c r="P2484" t="str">
        <f t="shared" si="77"/>
        <v>Yes</v>
      </c>
    </row>
    <row r="2485" spans="1:16" x14ac:dyDescent="0.25">
      <c r="A2485" s="2" t="s">
        <v>6684</v>
      </c>
      <c r="B2485" s="4">
        <v>46118.240972222222</v>
      </c>
      <c r="C2485" s="2" t="s">
        <v>28</v>
      </c>
      <c r="D2485" s="2" t="s">
        <v>100</v>
      </c>
      <c r="E2485" s="2" t="s">
        <v>85</v>
      </c>
      <c r="F2485" s="2" t="s">
        <v>113</v>
      </c>
      <c r="G2485" s="2" t="s">
        <v>211</v>
      </c>
      <c r="H2485" s="2" t="s">
        <v>21</v>
      </c>
      <c r="I2485" s="2">
        <v>24</v>
      </c>
      <c r="J2485" s="2" t="s">
        <v>11</v>
      </c>
      <c r="K2485" s="4" t="s">
        <v>8590</v>
      </c>
      <c r="L2485" s="2" t="s">
        <v>92</v>
      </c>
      <c r="M2485" s="2"/>
      <c r="N2485" t="s">
        <v>8587</v>
      </c>
      <c r="O2485" s="8" t="str">
        <f t="shared" si="76"/>
        <v/>
      </c>
      <c r="P2485" t="str">
        <f t="shared" si="77"/>
        <v>N/A</v>
      </c>
    </row>
    <row r="2486" spans="1:16" x14ac:dyDescent="0.25">
      <c r="A2486" s="2" t="s">
        <v>6686</v>
      </c>
      <c r="B2486" s="4">
        <v>46239.695138888892</v>
      </c>
      <c r="C2486" s="2" t="s">
        <v>53</v>
      </c>
      <c r="D2486" s="2" t="s">
        <v>61</v>
      </c>
      <c r="E2486" s="2" t="s">
        <v>79</v>
      </c>
      <c r="F2486" s="2" t="s">
        <v>96</v>
      </c>
      <c r="G2486" s="2" t="s">
        <v>110</v>
      </c>
      <c r="H2486" s="2" t="s">
        <v>80</v>
      </c>
      <c r="I2486" s="2">
        <v>4</v>
      </c>
      <c r="J2486" s="2" t="s">
        <v>11</v>
      </c>
      <c r="K2486" s="4" t="s">
        <v>8590</v>
      </c>
      <c r="L2486" s="2" t="s">
        <v>92</v>
      </c>
      <c r="M2486" s="2"/>
      <c r="N2486" t="s">
        <v>8588</v>
      </c>
      <c r="O2486" s="8" t="str">
        <f t="shared" si="76"/>
        <v/>
      </c>
      <c r="P2486" t="str">
        <f t="shared" si="77"/>
        <v>N/A</v>
      </c>
    </row>
    <row r="2487" spans="1:16" x14ac:dyDescent="0.25">
      <c r="A2487" s="2" t="s">
        <v>6688</v>
      </c>
      <c r="B2487" s="4">
        <v>46117.326388888891</v>
      </c>
      <c r="C2487" s="2" t="s">
        <v>53</v>
      </c>
      <c r="D2487" s="2" t="s">
        <v>61</v>
      </c>
      <c r="E2487" s="2" t="s">
        <v>46</v>
      </c>
      <c r="F2487" s="2" t="s">
        <v>30</v>
      </c>
      <c r="G2487" s="2" t="s">
        <v>101</v>
      </c>
      <c r="H2487" s="2" t="s">
        <v>74</v>
      </c>
      <c r="I2487" s="2">
        <v>8</v>
      </c>
      <c r="J2487" s="2" t="s">
        <v>106</v>
      </c>
      <c r="K2487" s="4">
        <v>46117.481249999997</v>
      </c>
      <c r="L2487" s="2" t="s">
        <v>24</v>
      </c>
      <c r="M2487" s="2">
        <v>1</v>
      </c>
      <c r="N2487" t="s">
        <v>8589</v>
      </c>
      <c r="O2487" s="8">
        <f t="shared" si="76"/>
        <v>3.7166666665580124</v>
      </c>
      <c r="P2487" t="str">
        <f t="shared" si="77"/>
        <v>Yes</v>
      </c>
    </row>
    <row r="2488" spans="1:16" x14ac:dyDescent="0.25">
      <c r="A2488" s="2" t="s">
        <v>6691</v>
      </c>
      <c r="B2488" s="4">
        <v>46263.034722222219</v>
      </c>
      <c r="C2488" s="2" t="s">
        <v>53</v>
      </c>
      <c r="D2488" s="2" t="s">
        <v>61</v>
      </c>
      <c r="E2488" s="2" t="s">
        <v>46</v>
      </c>
      <c r="F2488" s="2" t="s">
        <v>113</v>
      </c>
      <c r="G2488" s="2" t="s">
        <v>179</v>
      </c>
      <c r="H2488" s="2" t="s">
        <v>21</v>
      </c>
      <c r="I2488" s="2">
        <v>24</v>
      </c>
      <c r="J2488" s="2" t="s">
        <v>106</v>
      </c>
      <c r="K2488" s="4">
        <v>46263.784722222219</v>
      </c>
      <c r="L2488" s="2" t="s">
        <v>24</v>
      </c>
      <c r="M2488" s="2">
        <v>2</v>
      </c>
      <c r="N2488" t="s">
        <v>8586</v>
      </c>
      <c r="O2488" s="8">
        <f t="shared" si="76"/>
        <v>18</v>
      </c>
      <c r="P2488" t="str">
        <f t="shared" si="77"/>
        <v>Yes</v>
      </c>
    </row>
    <row r="2489" spans="1:16" x14ac:dyDescent="0.25">
      <c r="A2489" s="2" t="s">
        <v>6694</v>
      </c>
      <c r="B2489" s="4">
        <v>46039.394444444442</v>
      </c>
      <c r="C2489" s="2" t="s">
        <v>53</v>
      </c>
      <c r="D2489" s="2" t="s">
        <v>54</v>
      </c>
      <c r="E2489" s="2" t="s">
        <v>38</v>
      </c>
      <c r="F2489" s="2" t="s">
        <v>30</v>
      </c>
      <c r="G2489" s="2" t="s">
        <v>183</v>
      </c>
      <c r="H2489" s="2" t="s">
        <v>32</v>
      </c>
      <c r="I2489" s="2">
        <v>48</v>
      </c>
      <c r="J2489" s="2" t="s">
        <v>75</v>
      </c>
      <c r="K2489" s="4">
        <v>46040.845833333333</v>
      </c>
      <c r="L2489" s="2" t="s">
        <v>24</v>
      </c>
      <c r="M2489" s="2">
        <v>3</v>
      </c>
      <c r="N2489" t="s">
        <v>8583</v>
      </c>
      <c r="O2489" s="8">
        <f t="shared" si="76"/>
        <v>34.833333333372138</v>
      </c>
      <c r="P2489" t="str">
        <f t="shared" si="77"/>
        <v>N/A</v>
      </c>
    </row>
    <row r="2490" spans="1:16" x14ac:dyDescent="0.25">
      <c r="A2490" s="2" t="s">
        <v>6697</v>
      </c>
      <c r="B2490" s="4">
        <v>46206.675000000003</v>
      </c>
      <c r="C2490" s="2" t="s">
        <v>16</v>
      </c>
      <c r="D2490" s="2" t="s">
        <v>84</v>
      </c>
      <c r="E2490" s="2" t="s">
        <v>38</v>
      </c>
      <c r="F2490" s="2" t="s">
        <v>96</v>
      </c>
      <c r="G2490" s="2" t="s">
        <v>31</v>
      </c>
      <c r="H2490" s="2" t="s">
        <v>74</v>
      </c>
      <c r="I2490" s="2">
        <v>8</v>
      </c>
      <c r="J2490" s="2" t="s">
        <v>149</v>
      </c>
      <c r="K2490" s="4" t="s">
        <v>8590</v>
      </c>
      <c r="L2490" s="2" t="s">
        <v>24</v>
      </c>
      <c r="M2490" s="2"/>
      <c r="N2490" t="s">
        <v>8589</v>
      </c>
      <c r="O2490" s="8" t="str">
        <f t="shared" si="76"/>
        <v/>
      </c>
      <c r="P2490" t="str">
        <f t="shared" si="77"/>
        <v>N/A</v>
      </c>
    </row>
    <row r="2491" spans="1:16" x14ac:dyDescent="0.25">
      <c r="A2491" s="2" t="s">
        <v>6699</v>
      </c>
      <c r="B2491" s="4">
        <v>46194.35</v>
      </c>
      <c r="C2491" s="2" t="s">
        <v>67</v>
      </c>
      <c r="D2491" s="2" t="s">
        <v>68</v>
      </c>
      <c r="E2491" s="2" t="s">
        <v>46</v>
      </c>
      <c r="F2491" s="2" t="s">
        <v>55</v>
      </c>
      <c r="G2491" s="2" t="s">
        <v>31</v>
      </c>
      <c r="H2491" s="2" t="s">
        <v>80</v>
      </c>
      <c r="I2491" s="2">
        <v>4</v>
      </c>
      <c r="J2491" s="2" t="s">
        <v>106</v>
      </c>
      <c r="K2491" s="4">
        <v>46194.535416666666</v>
      </c>
      <c r="L2491" s="2" t="s">
        <v>24</v>
      </c>
      <c r="M2491" s="2">
        <v>2</v>
      </c>
      <c r="N2491" t="s">
        <v>8589</v>
      </c>
      <c r="O2491" s="8">
        <f t="shared" si="76"/>
        <v>4.4500000000116415</v>
      </c>
      <c r="P2491" t="str">
        <f t="shared" si="77"/>
        <v>No</v>
      </c>
    </row>
    <row r="2492" spans="1:16" x14ac:dyDescent="0.25">
      <c r="A2492" s="2" t="s">
        <v>6702</v>
      </c>
      <c r="B2492" s="4">
        <v>46086.107638888891</v>
      </c>
      <c r="C2492" s="2" t="s">
        <v>16</v>
      </c>
      <c r="D2492" s="2" t="s">
        <v>84</v>
      </c>
      <c r="E2492" s="2" t="s">
        <v>90</v>
      </c>
      <c r="F2492" s="2" t="s">
        <v>113</v>
      </c>
      <c r="G2492" s="2" t="s">
        <v>101</v>
      </c>
      <c r="H2492" s="2" t="s">
        <v>21</v>
      </c>
      <c r="I2492" s="2">
        <v>24</v>
      </c>
      <c r="J2492" s="2" t="s">
        <v>106</v>
      </c>
      <c r="K2492" s="4">
        <v>46086.914583333331</v>
      </c>
      <c r="L2492" s="2" t="s">
        <v>24</v>
      </c>
      <c r="M2492" s="2">
        <v>4</v>
      </c>
      <c r="N2492" t="s">
        <v>8588</v>
      </c>
      <c r="O2492" s="8">
        <f t="shared" si="76"/>
        <v>19.366666666581295</v>
      </c>
      <c r="P2492" t="str">
        <f t="shared" si="77"/>
        <v>Yes</v>
      </c>
    </row>
    <row r="2493" spans="1:16" x14ac:dyDescent="0.25">
      <c r="A2493" s="2" t="s">
        <v>6705</v>
      </c>
      <c r="B2493" s="4">
        <v>46172.611111111109</v>
      </c>
      <c r="C2493" s="2" t="s">
        <v>53</v>
      </c>
      <c r="D2493" s="2" t="s">
        <v>54</v>
      </c>
      <c r="E2493" s="2" t="s">
        <v>38</v>
      </c>
      <c r="F2493" s="2" t="s">
        <v>30</v>
      </c>
      <c r="G2493" s="2" t="s">
        <v>179</v>
      </c>
      <c r="H2493" s="2" t="s">
        <v>80</v>
      </c>
      <c r="I2493" s="2">
        <v>4</v>
      </c>
      <c r="J2493" s="2" t="s">
        <v>75</v>
      </c>
      <c r="K2493" s="4">
        <v>46172.981249999997</v>
      </c>
      <c r="L2493" s="2" t="s">
        <v>24</v>
      </c>
      <c r="M2493" s="2"/>
      <c r="N2493" t="s">
        <v>8582</v>
      </c>
      <c r="O2493" s="8">
        <f t="shared" si="76"/>
        <v>8.8833333333022892</v>
      </c>
      <c r="P2493" t="str">
        <f t="shared" si="77"/>
        <v>N/A</v>
      </c>
    </row>
    <row r="2494" spans="1:16" x14ac:dyDescent="0.25">
      <c r="A2494" s="2" t="s">
        <v>6708</v>
      </c>
      <c r="B2494" s="4">
        <v>46179.693749999999</v>
      </c>
      <c r="C2494" s="2" t="s">
        <v>53</v>
      </c>
      <c r="D2494" s="2" t="s">
        <v>61</v>
      </c>
      <c r="E2494" s="2" t="s">
        <v>38</v>
      </c>
      <c r="F2494" s="2" t="s">
        <v>113</v>
      </c>
      <c r="G2494" s="2" t="s">
        <v>179</v>
      </c>
      <c r="H2494" s="2" t="s">
        <v>21</v>
      </c>
      <c r="I2494" s="2">
        <v>24</v>
      </c>
      <c r="J2494" s="2" t="s">
        <v>8580</v>
      </c>
      <c r="K2494" s="4">
        <v>46179.984722222223</v>
      </c>
      <c r="L2494" s="2" t="s">
        <v>24</v>
      </c>
      <c r="M2494" s="2"/>
      <c r="N2494" t="s">
        <v>8588</v>
      </c>
      <c r="O2494" s="8">
        <f t="shared" si="76"/>
        <v>6.9833333333954215</v>
      </c>
      <c r="P2494" t="str">
        <f t="shared" si="77"/>
        <v>N/A</v>
      </c>
    </row>
    <row r="2495" spans="1:16" x14ac:dyDescent="0.25">
      <c r="A2495" s="2" t="s">
        <v>6711</v>
      </c>
      <c r="B2495" s="4">
        <v>46167.686111111114</v>
      </c>
      <c r="C2495" s="2" t="s">
        <v>53</v>
      </c>
      <c r="D2495" s="2" t="s">
        <v>54</v>
      </c>
      <c r="E2495" s="2" t="s">
        <v>148</v>
      </c>
      <c r="F2495" s="2" t="s">
        <v>113</v>
      </c>
      <c r="G2495" s="2" t="s">
        <v>183</v>
      </c>
      <c r="H2495" s="2" t="s">
        <v>74</v>
      </c>
      <c r="I2495" s="2">
        <v>8</v>
      </c>
      <c r="J2495" s="2" t="s">
        <v>75</v>
      </c>
      <c r="K2495" s="4">
        <v>46167.818749999999</v>
      </c>
      <c r="L2495" s="2" t="s">
        <v>24</v>
      </c>
      <c r="M2495" s="2">
        <v>5</v>
      </c>
      <c r="N2495" t="s">
        <v>8589</v>
      </c>
      <c r="O2495" s="8">
        <f t="shared" si="76"/>
        <v>3.1833333332324401</v>
      </c>
      <c r="P2495" t="str">
        <f t="shared" si="77"/>
        <v>N/A</v>
      </c>
    </row>
    <row r="2496" spans="1:16" x14ac:dyDescent="0.25">
      <c r="A2496" s="2" t="s">
        <v>6714</v>
      </c>
      <c r="B2496" s="4">
        <v>46232.273611111108</v>
      </c>
      <c r="C2496" s="2" t="s">
        <v>67</v>
      </c>
      <c r="D2496" s="2" t="s">
        <v>68</v>
      </c>
      <c r="E2496" s="2" t="s">
        <v>79</v>
      </c>
      <c r="F2496" s="2" t="s">
        <v>96</v>
      </c>
      <c r="G2496" s="2" t="s">
        <v>101</v>
      </c>
      <c r="H2496" s="2" t="s">
        <v>32</v>
      </c>
      <c r="I2496" s="2">
        <v>48</v>
      </c>
      <c r="J2496" s="2" t="s">
        <v>11</v>
      </c>
      <c r="K2496" s="4" t="s">
        <v>8590</v>
      </c>
      <c r="L2496" s="2" t="s">
        <v>92</v>
      </c>
      <c r="M2496" s="2"/>
      <c r="N2496" t="s">
        <v>8583</v>
      </c>
      <c r="O2496" s="8" t="str">
        <f t="shared" si="76"/>
        <v/>
      </c>
      <c r="P2496" t="str">
        <f t="shared" si="77"/>
        <v>N/A</v>
      </c>
    </row>
    <row r="2497" spans="1:16" x14ac:dyDescent="0.25">
      <c r="A2497" s="2" t="s">
        <v>6716</v>
      </c>
      <c r="B2497" s="4">
        <v>46210.224305555559</v>
      </c>
      <c r="C2497" s="2" t="s">
        <v>16</v>
      </c>
      <c r="D2497" s="2" t="s">
        <v>84</v>
      </c>
      <c r="E2497" s="2" t="s">
        <v>85</v>
      </c>
      <c r="F2497" s="2" t="s">
        <v>96</v>
      </c>
      <c r="G2497" s="2" t="s">
        <v>183</v>
      </c>
      <c r="H2497" s="2" t="s">
        <v>74</v>
      </c>
      <c r="I2497" s="2">
        <v>8</v>
      </c>
      <c r="J2497" s="2" t="s">
        <v>75</v>
      </c>
      <c r="K2497" s="4">
        <v>46210.517361111109</v>
      </c>
      <c r="L2497" s="2" t="s">
        <v>24</v>
      </c>
      <c r="M2497" s="2">
        <v>2</v>
      </c>
      <c r="N2497" t="s">
        <v>8588</v>
      </c>
      <c r="O2497" s="8">
        <f t="shared" si="76"/>
        <v>7.033333333209157</v>
      </c>
      <c r="P2497" t="str">
        <f t="shared" si="77"/>
        <v>N/A</v>
      </c>
    </row>
    <row r="2498" spans="1:16" x14ac:dyDescent="0.25">
      <c r="A2498" s="2" t="s">
        <v>6719</v>
      </c>
      <c r="B2498" s="4">
        <v>46076.274305555555</v>
      </c>
      <c r="C2498" s="2" t="s">
        <v>53</v>
      </c>
      <c r="D2498" s="2" t="s">
        <v>54</v>
      </c>
      <c r="E2498" s="2" t="s">
        <v>18</v>
      </c>
      <c r="F2498" s="2" t="s">
        <v>96</v>
      </c>
      <c r="G2498" s="2" t="s">
        <v>179</v>
      </c>
      <c r="H2498" s="2" t="s">
        <v>74</v>
      </c>
      <c r="I2498" s="2">
        <v>8</v>
      </c>
      <c r="J2498" s="2" t="s">
        <v>75</v>
      </c>
      <c r="K2498" s="4">
        <v>46076.456944444442</v>
      </c>
      <c r="L2498" s="2" t="s">
        <v>24</v>
      </c>
      <c r="M2498" s="2">
        <v>5</v>
      </c>
      <c r="N2498" t="s">
        <v>8584</v>
      </c>
      <c r="O2498" s="8">
        <f t="shared" si="76"/>
        <v>4.3833333333022892</v>
      </c>
      <c r="P2498" t="str">
        <f t="shared" si="77"/>
        <v>N/A</v>
      </c>
    </row>
    <row r="2499" spans="1:16" x14ac:dyDescent="0.25">
      <c r="A2499" s="2" t="s">
        <v>6722</v>
      </c>
      <c r="B2499" s="4">
        <v>46177.106944444444</v>
      </c>
      <c r="C2499" s="2" t="s">
        <v>67</v>
      </c>
      <c r="D2499" s="2" t="s">
        <v>68</v>
      </c>
      <c r="E2499" s="2" t="s">
        <v>18</v>
      </c>
      <c r="F2499" s="2" t="s">
        <v>30</v>
      </c>
      <c r="G2499" s="2" t="s">
        <v>211</v>
      </c>
      <c r="H2499" s="2" t="s">
        <v>32</v>
      </c>
      <c r="I2499" s="2">
        <v>48</v>
      </c>
      <c r="J2499" s="2" t="s">
        <v>106</v>
      </c>
      <c r="K2499" s="4">
        <v>46181.805555555555</v>
      </c>
      <c r="L2499" s="2" t="s">
        <v>92</v>
      </c>
      <c r="M2499" s="2">
        <v>5</v>
      </c>
      <c r="N2499" t="s">
        <v>8587</v>
      </c>
      <c r="O2499" s="8">
        <f t="shared" ref="O2499:O2562" si="78">IF(K2499="","",IF(K2499="Missing Resolve Date","",(K2499-B2499)*24))</f>
        <v>112.76666666666279</v>
      </c>
      <c r="P2499" t="str">
        <f t="shared" ref="P2499:P2562" si="79">IF(J2499="Resolved",IF(O2499&lt;=I2499,"Yes","No"),"N/A")</f>
        <v>No</v>
      </c>
    </row>
    <row r="2500" spans="1:16" x14ac:dyDescent="0.25">
      <c r="A2500" s="2" t="s">
        <v>6724</v>
      </c>
      <c r="B2500" s="4">
        <v>46161.720833333333</v>
      </c>
      <c r="C2500" s="2" t="s">
        <v>67</v>
      </c>
      <c r="D2500" s="2" t="s">
        <v>95</v>
      </c>
      <c r="E2500" s="2" t="s">
        <v>148</v>
      </c>
      <c r="F2500" s="2" t="s">
        <v>55</v>
      </c>
      <c r="G2500" s="2" t="s">
        <v>31</v>
      </c>
      <c r="H2500" s="2" t="s">
        <v>21</v>
      </c>
      <c r="I2500" s="2">
        <v>24</v>
      </c>
      <c r="J2500" s="2" t="s">
        <v>75</v>
      </c>
      <c r="K2500" s="4">
        <v>46162.40902777778</v>
      </c>
      <c r="L2500" s="2" t="s">
        <v>24</v>
      </c>
      <c r="M2500" s="2">
        <v>1</v>
      </c>
      <c r="N2500" t="s">
        <v>8584</v>
      </c>
      <c r="O2500" s="8">
        <f t="shared" si="78"/>
        <v>16.516666666720994</v>
      </c>
      <c r="P2500" t="str">
        <f t="shared" si="79"/>
        <v>N/A</v>
      </c>
    </row>
    <row r="2501" spans="1:16" x14ac:dyDescent="0.25">
      <c r="A2501" s="2" t="s">
        <v>6727</v>
      </c>
      <c r="B2501" s="4">
        <v>46141.04583333333</v>
      </c>
      <c r="C2501" s="2" t="s">
        <v>53</v>
      </c>
      <c r="D2501" s="2" t="s">
        <v>54</v>
      </c>
      <c r="E2501" s="2" t="s">
        <v>79</v>
      </c>
      <c r="F2501" s="2" t="s">
        <v>55</v>
      </c>
      <c r="G2501" s="2" t="s">
        <v>183</v>
      </c>
      <c r="H2501" s="2" t="s">
        <v>74</v>
      </c>
      <c r="I2501" s="2">
        <v>8</v>
      </c>
      <c r="J2501" s="2" t="s">
        <v>75</v>
      </c>
      <c r="K2501" s="4">
        <v>46141.178472222222</v>
      </c>
      <c r="L2501" s="2" t="s">
        <v>24</v>
      </c>
      <c r="M2501" s="2">
        <v>5</v>
      </c>
      <c r="N2501" t="s">
        <v>8588</v>
      </c>
      <c r="O2501" s="8">
        <f t="shared" si="78"/>
        <v>3.183333333407063</v>
      </c>
      <c r="P2501" t="str">
        <f t="shared" si="79"/>
        <v>N/A</v>
      </c>
    </row>
    <row r="2502" spans="1:16" x14ac:dyDescent="0.25">
      <c r="A2502" s="2" t="s">
        <v>6730</v>
      </c>
      <c r="B2502" s="4">
        <v>46163.539583333331</v>
      </c>
      <c r="C2502" s="2" t="s">
        <v>16</v>
      </c>
      <c r="D2502" s="2" t="s">
        <v>84</v>
      </c>
      <c r="E2502" s="2" t="s">
        <v>79</v>
      </c>
      <c r="F2502" s="2" t="s">
        <v>30</v>
      </c>
      <c r="G2502" s="2" t="s">
        <v>211</v>
      </c>
      <c r="H2502" s="2" t="s">
        <v>21</v>
      </c>
      <c r="I2502" s="2">
        <v>24</v>
      </c>
      <c r="J2502" s="2" t="s">
        <v>106</v>
      </c>
      <c r="K2502" s="4">
        <v>46164.257638888892</v>
      </c>
      <c r="L2502" s="2" t="s">
        <v>24</v>
      </c>
      <c r="M2502" s="2"/>
      <c r="N2502" t="s">
        <v>8587</v>
      </c>
      <c r="O2502" s="8">
        <f t="shared" si="78"/>
        <v>17.233333333453629</v>
      </c>
      <c r="P2502" t="str">
        <f t="shared" si="79"/>
        <v>Yes</v>
      </c>
    </row>
    <row r="2503" spans="1:16" x14ac:dyDescent="0.25">
      <c r="A2503" s="2" t="s">
        <v>6733</v>
      </c>
      <c r="B2503" s="4">
        <v>46187.681944444441</v>
      </c>
      <c r="C2503" s="2" t="s">
        <v>67</v>
      </c>
      <c r="D2503" s="2" t="s">
        <v>95</v>
      </c>
      <c r="E2503" s="2" t="s">
        <v>46</v>
      </c>
      <c r="F2503" s="2" t="s">
        <v>55</v>
      </c>
      <c r="G2503" s="2" t="s">
        <v>110</v>
      </c>
      <c r="H2503" s="2" t="s">
        <v>80</v>
      </c>
      <c r="I2503" s="2">
        <v>4</v>
      </c>
      <c r="J2503" s="2" t="s">
        <v>106</v>
      </c>
      <c r="K2503" s="4">
        <v>46187.806250000001</v>
      </c>
      <c r="L2503" s="2" t="s">
        <v>24</v>
      </c>
      <c r="M2503" s="2">
        <v>5</v>
      </c>
      <c r="N2503" t="s">
        <v>8587</v>
      </c>
      <c r="O2503" s="8">
        <f t="shared" si="78"/>
        <v>2.9833333334536292</v>
      </c>
      <c r="P2503" t="str">
        <f t="shared" si="79"/>
        <v>Yes</v>
      </c>
    </row>
    <row r="2504" spans="1:16" x14ac:dyDescent="0.25">
      <c r="A2504" s="2" t="s">
        <v>6736</v>
      </c>
      <c r="B2504" s="4">
        <v>46205.679166666669</v>
      </c>
      <c r="C2504" s="2" t="s">
        <v>67</v>
      </c>
      <c r="D2504" s="2" t="s">
        <v>95</v>
      </c>
      <c r="E2504" s="2" t="s">
        <v>18</v>
      </c>
      <c r="F2504" s="2" t="s">
        <v>96</v>
      </c>
      <c r="G2504" s="2" t="s">
        <v>110</v>
      </c>
      <c r="H2504" s="2" t="s">
        <v>21</v>
      </c>
      <c r="I2504" s="2">
        <v>24</v>
      </c>
      <c r="J2504" s="2" t="s">
        <v>106</v>
      </c>
      <c r="K2504" s="4">
        <v>46207.179166666669</v>
      </c>
      <c r="L2504" s="2" t="s">
        <v>24</v>
      </c>
      <c r="M2504" s="2">
        <v>2</v>
      </c>
      <c r="N2504" t="s">
        <v>8584</v>
      </c>
      <c r="O2504" s="8">
        <f t="shared" si="78"/>
        <v>36</v>
      </c>
      <c r="P2504" t="str">
        <f t="shared" si="79"/>
        <v>No</v>
      </c>
    </row>
    <row r="2505" spans="1:16" x14ac:dyDescent="0.25">
      <c r="A2505" s="2" t="s">
        <v>6739</v>
      </c>
      <c r="B2505" s="4">
        <v>46242.152777777781</v>
      </c>
      <c r="C2505" s="2" t="s">
        <v>16</v>
      </c>
      <c r="D2505" s="2" t="s">
        <v>17</v>
      </c>
      <c r="E2505" s="2" t="s">
        <v>90</v>
      </c>
      <c r="F2505" s="2" t="s">
        <v>30</v>
      </c>
      <c r="G2505" s="2" t="s">
        <v>31</v>
      </c>
      <c r="H2505" s="2" t="s">
        <v>21</v>
      </c>
      <c r="I2505" s="2">
        <v>24</v>
      </c>
      <c r="J2505" s="2" t="s">
        <v>106</v>
      </c>
      <c r="K2505" s="4">
        <v>46243.031944444447</v>
      </c>
      <c r="L2505" s="2" t="s">
        <v>24</v>
      </c>
      <c r="M2505" s="2">
        <v>3</v>
      </c>
      <c r="N2505" t="s">
        <v>8585</v>
      </c>
      <c r="O2505" s="8">
        <f t="shared" si="78"/>
        <v>21.099999999976717</v>
      </c>
      <c r="P2505" t="str">
        <f t="shared" si="79"/>
        <v>Yes</v>
      </c>
    </row>
    <row r="2506" spans="1:16" x14ac:dyDescent="0.25">
      <c r="A2506" s="2" t="s">
        <v>6742</v>
      </c>
      <c r="B2506" s="4">
        <v>46254.746527777781</v>
      </c>
      <c r="C2506" s="2" t="s">
        <v>28</v>
      </c>
      <c r="D2506" s="2" t="s">
        <v>100</v>
      </c>
      <c r="E2506" s="2" t="s">
        <v>46</v>
      </c>
      <c r="F2506" s="2" t="s">
        <v>55</v>
      </c>
      <c r="G2506" s="2" t="s">
        <v>101</v>
      </c>
      <c r="H2506" s="2" t="s">
        <v>80</v>
      </c>
      <c r="I2506" s="2">
        <v>4</v>
      </c>
      <c r="J2506" s="2" t="s">
        <v>75</v>
      </c>
      <c r="K2506" s="4">
        <v>46254.802083333336</v>
      </c>
      <c r="L2506" s="2" t="s">
        <v>24</v>
      </c>
      <c r="M2506" s="2"/>
      <c r="N2506" t="s">
        <v>8588</v>
      </c>
      <c r="O2506" s="8">
        <f t="shared" si="78"/>
        <v>1.3333333333139308</v>
      </c>
      <c r="P2506" t="str">
        <f t="shared" si="79"/>
        <v>N/A</v>
      </c>
    </row>
    <row r="2507" spans="1:16" x14ac:dyDescent="0.25">
      <c r="A2507" s="2" t="s">
        <v>6745</v>
      </c>
      <c r="B2507" s="4">
        <v>46253.397916666669</v>
      </c>
      <c r="C2507" s="2" t="s">
        <v>28</v>
      </c>
      <c r="D2507" s="2" t="s">
        <v>100</v>
      </c>
      <c r="E2507" s="2" t="s">
        <v>148</v>
      </c>
      <c r="F2507" s="2" t="s">
        <v>113</v>
      </c>
      <c r="G2507" s="2" t="s">
        <v>183</v>
      </c>
      <c r="H2507" s="2" t="s">
        <v>32</v>
      </c>
      <c r="I2507" s="2">
        <v>48</v>
      </c>
      <c r="J2507" s="2" t="s">
        <v>106</v>
      </c>
      <c r="K2507" s="4">
        <v>46254.89166666667</v>
      </c>
      <c r="L2507" s="2" t="s">
        <v>24</v>
      </c>
      <c r="M2507" s="2"/>
      <c r="N2507" t="s">
        <v>8582</v>
      </c>
      <c r="O2507" s="8">
        <f t="shared" si="78"/>
        <v>35.850000000034925</v>
      </c>
      <c r="P2507" t="str">
        <f t="shared" si="79"/>
        <v>Yes</v>
      </c>
    </row>
    <row r="2508" spans="1:16" x14ac:dyDescent="0.25">
      <c r="A2508" s="2" t="s">
        <v>6748</v>
      </c>
      <c r="B2508" s="4">
        <v>46252.780555555553</v>
      </c>
      <c r="C2508" s="2" t="s">
        <v>67</v>
      </c>
      <c r="D2508" s="2" t="s">
        <v>68</v>
      </c>
      <c r="E2508" s="2" t="s">
        <v>90</v>
      </c>
      <c r="F2508" s="2" t="s">
        <v>55</v>
      </c>
      <c r="G2508" s="2" t="s">
        <v>31</v>
      </c>
      <c r="H2508" s="2" t="s">
        <v>32</v>
      </c>
      <c r="I2508" s="2">
        <v>48</v>
      </c>
      <c r="J2508" s="2" t="s">
        <v>75</v>
      </c>
      <c r="K2508" s="4">
        <v>46254.130555555559</v>
      </c>
      <c r="L2508" s="2" t="s">
        <v>24</v>
      </c>
      <c r="M2508" s="2">
        <v>2</v>
      </c>
      <c r="N2508" t="s">
        <v>8589</v>
      </c>
      <c r="O2508" s="8">
        <f t="shared" si="78"/>
        <v>32.400000000139698</v>
      </c>
      <c r="P2508" t="str">
        <f t="shared" si="79"/>
        <v>N/A</v>
      </c>
    </row>
    <row r="2509" spans="1:16" x14ac:dyDescent="0.25">
      <c r="A2509" s="2" t="s">
        <v>6751</v>
      </c>
      <c r="B2509" s="4">
        <v>46210.8</v>
      </c>
      <c r="C2509" s="2" t="s">
        <v>16</v>
      </c>
      <c r="D2509" s="2" t="s">
        <v>17</v>
      </c>
      <c r="E2509" s="2" t="s">
        <v>79</v>
      </c>
      <c r="F2509" s="2" t="s">
        <v>96</v>
      </c>
      <c r="G2509" s="2" t="s">
        <v>101</v>
      </c>
      <c r="H2509" s="2" t="s">
        <v>74</v>
      </c>
      <c r="I2509" s="2">
        <v>8</v>
      </c>
      <c r="J2509" s="2" t="s">
        <v>106</v>
      </c>
      <c r="K2509" s="4">
        <v>46211.09097222222</v>
      </c>
      <c r="L2509" s="2" t="s">
        <v>24</v>
      </c>
      <c r="M2509" s="2"/>
      <c r="N2509" t="s">
        <v>8589</v>
      </c>
      <c r="O2509" s="8">
        <f t="shared" si="78"/>
        <v>6.9833333332207985</v>
      </c>
      <c r="P2509" t="str">
        <f t="shared" si="79"/>
        <v>Yes</v>
      </c>
    </row>
    <row r="2510" spans="1:16" x14ac:dyDescent="0.25">
      <c r="A2510" s="2" t="s">
        <v>6754</v>
      </c>
      <c r="B2510" s="4">
        <v>46047.270833333336</v>
      </c>
      <c r="C2510" s="2" t="s">
        <v>28</v>
      </c>
      <c r="D2510" s="2" t="s">
        <v>37</v>
      </c>
      <c r="E2510" s="2" t="s">
        <v>18</v>
      </c>
      <c r="F2510" s="2" t="s">
        <v>55</v>
      </c>
      <c r="G2510" s="2" t="s">
        <v>101</v>
      </c>
      <c r="H2510" s="2" t="s">
        <v>74</v>
      </c>
      <c r="I2510" s="2">
        <v>8</v>
      </c>
      <c r="J2510" s="2" t="s">
        <v>106</v>
      </c>
      <c r="K2510" s="4">
        <v>46047.559027777781</v>
      </c>
      <c r="L2510" s="2" t="s">
        <v>24</v>
      </c>
      <c r="M2510" s="2">
        <v>4</v>
      </c>
      <c r="N2510" t="s">
        <v>8588</v>
      </c>
      <c r="O2510" s="8">
        <f t="shared" si="78"/>
        <v>6.9166666666860692</v>
      </c>
      <c r="P2510" t="str">
        <f t="shared" si="79"/>
        <v>Yes</v>
      </c>
    </row>
    <row r="2511" spans="1:16" x14ac:dyDescent="0.25">
      <c r="A2511" s="2" t="s">
        <v>6757</v>
      </c>
      <c r="B2511" s="4">
        <v>46091.386805555558</v>
      </c>
      <c r="C2511" s="2" t="s">
        <v>67</v>
      </c>
      <c r="D2511" s="2" t="s">
        <v>68</v>
      </c>
      <c r="E2511" s="2" t="s">
        <v>79</v>
      </c>
      <c r="F2511" s="2" t="s">
        <v>30</v>
      </c>
      <c r="G2511" s="2" t="s">
        <v>101</v>
      </c>
      <c r="H2511" s="2" t="s">
        <v>32</v>
      </c>
      <c r="I2511" s="2">
        <v>48</v>
      </c>
      <c r="J2511" s="2" t="s">
        <v>8580</v>
      </c>
      <c r="K2511" s="4">
        <v>46092.650694444441</v>
      </c>
      <c r="L2511" s="2" t="s">
        <v>24</v>
      </c>
      <c r="M2511" s="2"/>
      <c r="N2511" t="s">
        <v>8583</v>
      </c>
      <c r="O2511" s="8">
        <f t="shared" si="78"/>
        <v>30.333333333197515</v>
      </c>
      <c r="P2511" t="str">
        <f t="shared" si="79"/>
        <v>N/A</v>
      </c>
    </row>
    <row r="2512" spans="1:16" x14ac:dyDescent="0.25">
      <c r="A2512" s="2" t="s">
        <v>6760</v>
      </c>
      <c r="B2512" s="4">
        <v>46240.484027777777</v>
      </c>
      <c r="C2512" s="2" t="s">
        <v>28</v>
      </c>
      <c r="D2512" s="2" t="s">
        <v>100</v>
      </c>
      <c r="E2512" s="2" t="s">
        <v>18</v>
      </c>
      <c r="F2512" s="2" t="s">
        <v>113</v>
      </c>
      <c r="G2512" s="2" t="s">
        <v>183</v>
      </c>
      <c r="H2512" s="2" t="s">
        <v>74</v>
      </c>
      <c r="I2512" s="2">
        <v>8</v>
      </c>
      <c r="J2512" s="2" t="s">
        <v>75</v>
      </c>
      <c r="K2512" s="4">
        <v>46240.697222222225</v>
      </c>
      <c r="L2512" s="2" t="s">
        <v>24</v>
      </c>
      <c r="M2512" s="2">
        <v>3</v>
      </c>
      <c r="N2512" t="s">
        <v>8589</v>
      </c>
      <c r="O2512" s="8">
        <f t="shared" si="78"/>
        <v>5.1166666667559184</v>
      </c>
      <c r="P2512" t="str">
        <f t="shared" si="79"/>
        <v>N/A</v>
      </c>
    </row>
    <row r="2513" spans="1:16" x14ac:dyDescent="0.25">
      <c r="A2513" s="2" t="s">
        <v>6763</v>
      </c>
      <c r="B2513" s="4">
        <v>46174.773611111108</v>
      </c>
      <c r="C2513" s="2" t="s">
        <v>28</v>
      </c>
      <c r="D2513" s="2" t="s">
        <v>37</v>
      </c>
      <c r="E2513" s="2" t="s">
        <v>18</v>
      </c>
      <c r="F2513" s="2" t="s">
        <v>96</v>
      </c>
      <c r="G2513" s="2" t="s">
        <v>183</v>
      </c>
      <c r="H2513" s="2" t="s">
        <v>74</v>
      </c>
      <c r="I2513" s="2">
        <v>8</v>
      </c>
      <c r="J2513" s="2" t="s">
        <v>106</v>
      </c>
      <c r="K2513" s="4">
        <v>46174.863888888889</v>
      </c>
      <c r="L2513" s="2" t="s">
        <v>24</v>
      </c>
      <c r="M2513" s="2"/>
      <c r="N2513" t="s">
        <v>8586</v>
      </c>
      <c r="O2513" s="8">
        <f t="shared" si="78"/>
        <v>2.1666666667442769</v>
      </c>
      <c r="P2513" t="str">
        <f t="shared" si="79"/>
        <v>Yes</v>
      </c>
    </row>
    <row r="2514" spans="1:16" x14ac:dyDescent="0.25">
      <c r="A2514" s="2" t="s">
        <v>6766</v>
      </c>
      <c r="B2514" s="4">
        <v>46142.397916666669</v>
      </c>
      <c r="C2514" s="2" t="s">
        <v>16</v>
      </c>
      <c r="D2514" s="2" t="s">
        <v>84</v>
      </c>
      <c r="E2514" s="2" t="s">
        <v>46</v>
      </c>
      <c r="F2514" s="2" t="s">
        <v>55</v>
      </c>
      <c r="G2514" s="2" t="s">
        <v>31</v>
      </c>
      <c r="H2514" s="2" t="s">
        <v>32</v>
      </c>
      <c r="I2514" s="2">
        <v>48</v>
      </c>
      <c r="J2514" s="2" t="s">
        <v>75</v>
      </c>
      <c r="K2514" s="4">
        <v>46143.017361111109</v>
      </c>
      <c r="L2514" s="2" t="s">
        <v>24</v>
      </c>
      <c r="M2514" s="2"/>
      <c r="N2514" t="s">
        <v>8585</v>
      </c>
      <c r="O2514" s="8">
        <f t="shared" si="78"/>
        <v>14.866666666581295</v>
      </c>
      <c r="P2514" t="str">
        <f t="shared" si="79"/>
        <v>N/A</v>
      </c>
    </row>
    <row r="2515" spans="1:16" x14ac:dyDescent="0.25">
      <c r="A2515" s="2" t="s">
        <v>6769</v>
      </c>
      <c r="B2515" s="4">
        <v>46251.433333333334</v>
      </c>
      <c r="C2515" s="2" t="s">
        <v>67</v>
      </c>
      <c r="D2515" s="2" t="s">
        <v>68</v>
      </c>
      <c r="E2515" s="2" t="s">
        <v>79</v>
      </c>
      <c r="F2515" s="2" t="s">
        <v>55</v>
      </c>
      <c r="G2515" s="2" t="s">
        <v>101</v>
      </c>
      <c r="H2515" s="2" t="s">
        <v>74</v>
      </c>
      <c r="I2515" s="2">
        <v>8</v>
      </c>
      <c r="J2515" s="2" t="s">
        <v>106</v>
      </c>
      <c r="K2515" s="4">
        <v>46251.636805555558</v>
      </c>
      <c r="L2515" s="2" t="s">
        <v>24</v>
      </c>
      <c r="M2515" s="2"/>
      <c r="N2515" t="s">
        <v>8588</v>
      </c>
      <c r="O2515" s="8">
        <f t="shared" si="78"/>
        <v>4.8833333333604969</v>
      </c>
      <c r="P2515" t="str">
        <f t="shared" si="79"/>
        <v>Yes</v>
      </c>
    </row>
    <row r="2516" spans="1:16" x14ac:dyDescent="0.25">
      <c r="A2516" s="2" t="s">
        <v>6772</v>
      </c>
      <c r="B2516" s="4">
        <v>46205.262499999997</v>
      </c>
      <c r="C2516" s="2" t="s">
        <v>53</v>
      </c>
      <c r="D2516" s="2" t="s">
        <v>54</v>
      </c>
      <c r="E2516" s="2" t="s">
        <v>38</v>
      </c>
      <c r="F2516" s="2" t="s">
        <v>96</v>
      </c>
      <c r="G2516" s="2" t="s">
        <v>179</v>
      </c>
      <c r="H2516" s="2" t="s">
        <v>21</v>
      </c>
      <c r="I2516" s="2">
        <v>24</v>
      </c>
      <c r="J2516" s="2" t="s">
        <v>149</v>
      </c>
      <c r="K2516" s="4" t="s">
        <v>8590</v>
      </c>
      <c r="L2516" s="2" t="s">
        <v>24</v>
      </c>
      <c r="M2516" s="2"/>
      <c r="N2516" t="s">
        <v>8586</v>
      </c>
      <c r="O2516" s="8" t="str">
        <f t="shared" si="78"/>
        <v/>
      </c>
      <c r="P2516" t="str">
        <f t="shared" si="79"/>
        <v>N/A</v>
      </c>
    </row>
    <row r="2517" spans="1:16" x14ac:dyDescent="0.25">
      <c r="A2517" s="2" t="s">
        <v>6774</v>
      </c>
      <c r="B2517" s="4">
        <v>46239.220833333333</v>
      </c>
      <c r="C2517" s="2" t="s">
        <v>53</v>
      </c>
      <c r="D2517" s="2" t="s">
        <v>61</v>
      </c>
      <c r="E2517" s="2" t="s">
        <v>38</v>
      </c>
      <c r="F2517" s="2" t="s">
        <v>96</v>
      </c>
      <c r="G2517" s="2" t="s">
        <v>31</v>
      </c>
      <c r="H2517" s="2" t="s">
        <v>21</v>
      </c>
      <c r="I2517" s="2">
        <v>24</v>
      </c>
      <c r="J2517" s="2" t="s">
        <v>11</v>
      </c>
      <c r="K2517" s="4" t="s">
        <v>8590</v>
      </c>
      <c r="L2517" s="2" t="s">
        <v>92</v>
      </c>
      <c r="M2517" s="2"/>
      <c r="N2517" t="s">
        <v>8583</v>
      </c>
      <c r="O2517" s="8" t="str">
        <f t="shared" si="78"/>
        <v/>
      </c>
      <c r="P2517" t="str">
        <f t="shared" si="79"/>
        <v>N/A</v>
      </c>
    </row>
    <row r="2518" spans="1:16" x14ac:dyDescent="0.25">
      <c r="A2518" s="2" t="s">
        <v>6776</v>
      </c>
      <c r="B2518" s="4">
        <v>46084.309027777781</v>
      </c>
      <c r="C2518" s="2" t="s">
        <v>67</v>
      </c>
      <c r="D2518" s="2" t="s">
        <v>68</v>
      </c>
      <c r="E2518" s="2" t="s">
        <v>18</v>
      </c>
      <c r="F2518" s="2" t="s">
        <v>113</v>
      </c>
      <c r="G2518" s="2" t="s">
        <v>101</v>
      </c>
      <c r="H2518" s="2" t="s">
        <v>74</v>
      </c>
      <c r="I2518" s="2">
        <v>8</v>
      </c>
      <c r="J2518" s="2" t="s">
        <v>106</v>
      </c>
      <c r="K2518" s="4">
        <v>46084.550694444442</v>
      </c>
      <c r="L2518" s="2" t="s">
        <v>24</v>
      </c>
      <c r="M2518" s="2"/>
      <c r="N2518" t="s">
        <v>8582</v>
      </c>
      <c r="O2518" s="8">
        <f t="shared" si="78"/>
        <v>5.7999999998719431</v>
      </c>
      <c r="P2518" t="str">
        <f t="shared" si="79"/>
        <v>Yes</v>
      </c>
    </row>
    <row r="2519" spans="1:16" x14ac:dyDescent="0.25">
      <c r="A2519" s="2" t="s">
        <v>6779</v>
      </c>
      <c r="B2519" s="4">
        <v>46078.538194444445</v>
      </c>
      <c r="C2519" s="2" t="s">
        <v>53</v>
      </c>
      <c r="D2519" s="2" t="s">
        <v>54</v>
      </c>
      <c r="E2519" s="2" t="s">
        <v>18</v>
      </c>
      <c r="F2519" s="2" t="s">
        <v>30</v>
      </c>
      <c r="G2519" s="2" t="s">
        <v>101</v>
      </c>
      <c r="H2519" s="2" t="s">
        <v>74</v>
      </c>
      <c r="I2519" s="2">
        <v>8</v>
      </c>
      <c r="J2519" s="2" t="s">
        <v>75</v>
      </c>
      <c r="K2519" s="4">
        <v>46078.750694444447</v>
      </c>
      <c r="L2519" s="2" t="s">
        <v>24</v>
      </c>
      <c r="M2519" s="2"/>
      <c r="N2519" t="s">
        <v>8589</v>
      </c>
      <c r="O2519" s="8">
        <f t="shared" si="78"/>
        <v>5.1000000000349246</v>
      </c>
      <c r="P2519" t="str">
        <f t="shared" si="79"/>
        <v>N/A</v>
      </c>
    </row>
    <row r="2520" spans="1:16" x14ac:dyDescent="0.25">
      <c r="A2520" s="2" t="s">
        <v>6782</v>
      </c>
      <c r="B2520" s="4">
        <v>46253.988194444442</v>
      </c>
      <c r="C2520" s="2" t="s">
        <v>28</v>
      </c>
      <c r="D2520" s="2" t="s">
        <v>100</v>
      </c>
      <c r="E2520" s="2" t="s">
        <v>90</v>
      </c>
      <c r="F2520" s="2" t="s">
        <v>55</v>
      </c>
      <c r="G2520" s="2" t="s">
        <v>31</v>
      </c>
      <c r="H2520" s="2" t="s">
        <v>21</v>
      </c>
      <c r="I2520" s="2">
        <v>24</v>
      </c>
      <c r="J2520" s="2" t="s">
        <v>106</v>
      </c>
      <c r="K2520" s="4">
        <v>46254.757638888892</v>
      </c>
      <c r="L2520" s="2" t="s">
        <v>24</v>
      </c>
      <c r="M2520" s="2"/>
      <c r="N2520" t="s">
        <v>8589</v>
      </c>
      <c r="O2520" s="8">
        <f t="shared" si="78"/>
        <v>18.466666666790843</v>
      </c>
      <c r="P2520" t="str">
        <f t="shared" si="79"/>
        <v>Yes</v>
      </c>
    </row>
    <row r="2521" spans="1:16" x14ac:dyDescent="0.25">
      <c r="A2521" s="2" t="s">
        <v>6785</v>
      </c>
      <c r="B2521" s="4">
        <v>46165.716666666667</v>
      </c>
      <c r="C2521" s="2" t="s">
        <v>67</v>
      </c>
      <c r="D2521" s="2" t="s">
        <v>95</v>
      </c>
      <c r="E2521" s="2" t="s">
        <v>148</v>
      </c>
      <c r="F2521" s="2" t="s">
        <v>55</v>
      </c>
      <c r="G2521" s="2" t="s">
        <v>31</v>
      </c>
      <c r="H2521" s="2" t="s">
        <v>32</v>
      </c>
      <c r="I2521" s="2">
        <v>48</v>
      </c>
      <c r="J2521" s="2" t="s">
        <v>106</v>
      </c>
      <c r="K2521" s="4">
        <v>46167.12222222222</v>
      </c>
      <c r="L2521" s="2" t="s">
        <v>92</v>
      </c>
      <c r="M2521" s="2">
        <v>5</v>
      </c>
      <c r="N2521" t="s">
        <v>8584</v>
      </c>
      <c r="O2521" s="8">
        <f t="shared" si="78"/>
        <v>33.733333333279006</v>
      </c>
      <c r="P2521" t="str">
        <f t="shared" si="79"/>
        <v>Yes</v>
      </c>
    </row>
    <row r="2522" spans="1:16" x14ac:dyDescent="0.25">
      <c r="A2522" s="2" t="s">
        <v>6788</v>
      </c>
      <c r="B2522" s="4">
        <v>46053.11041666667</v>
      </c>
      <c r="C2522" s="2" t="s">
        <v>28</v>
      </c>
      <c r="D2522" s="2" t="s">
        <v>37</v>
      </c>
      <c r="E2522" s="2" t="s">
        <v>85</v>
      </c>
      <c r="F2522" s="2" t="s">
        <v>113</v>
      </c>
      <c r="G2522" s="2" t="s">
        <v>211</v>
      </c>
      <c r="H2522" s="2" t="s">
        <v>74</v>
      </c>
      <c r="I2522" s="2">
        <v>8</v>
      </c>
      <c r="J2522" s="2" t="s">
        <v>75</v>
      </c>
      <c r="K2522" s="4">
        <v>46053.351388888892</v>
      </c>
      <c r="L2522" s="2" t="s">
        <v>24</v>
      </c>
      <c r="M2522" s="2"/>
      <c r="N2522" t="s">
        <v>8586</v>
      </c>
      <c r="O2522" s="8">
        <f t="shared" si="78"/>
        <v>5.7833333333255723</v>
      </c>
      <c r="P2522" t="str">
        <f t="shared" si="79"/>
        <v>N/A</v>
      </c>
    </row>
    <row r="2523" spans="1:16" x14ac:dyDescent="0.25">
      <c r="A2523" s="2" t="s">
        <v>6791</v>
      </c>
      <c r="B2523" s="4">
        <v>46109.336111111108</v>
      </c>
      <c r="C2523" s="2" t="s">
        <v>53</v>
      </c>
      <c r="D2523" s="2" t="s">
        <v>54</v>
      </c>
      <c r="E2523" s="2" t="s">
        <v>148</v>
      </c>
      <c r="F2523" s="2" t="s">
        <v>113</v>
      </c>
      <c r="G2523" s="2" t="s">
        <v>31</v>
      </c>
      <c r="H2523" s="2" t="s">
        <v>74</v>
      </c>
      <c r="I2523" s="2">
        <v>8</v>
      </c>
      <c r="J2523" s="2" t="s">
        <v>106</v>
      </c>
      <c r="K2523" s="4">
        <v>46109.463888888888</v>
      </c>
      <c r="L2523" s="2" t="s">
        <v>24</v>
      </c>
      <c r="M2523" s="2">
        <v>1</v>
      </c>
      <c r="N2523" t="s">
        <v>8584</v>
      </c>
      <c r="O2523" s="8">
        <f t="shared" si="78"/>
        <v>3.0666666667093523</v>
      </c>
      <c r="P2523" t="str">
        <f t="shared" si="79"/>
        <v>Yes</v>
      </c>
    </row>
    <row r="2524" spans="1:16" x14ac:dyDescent="0.25">
      <c r="A2524" s="2" t="s">
        <v>6794</v>
      </c>
      <c r="B2524" s="4">
        <v>46207.659722222219</v>
      </c>
      <c r="C2524" s="2" t="s">
        <v>16</v>
      </c>
      <c r="D2524" s="2" t="s">
        <v>17</v>
      </c>
      <c r="E2524" s="2" t="s">
        <v>18</v>
      </c>
      <c r="F2524" s="2" t="s">
        <v>113</v>
      </c>
      <c r="G2524" s="2" t="s">
        <v>110</v>
      </c>
      <c r="H2524" s="2" t="s">
        <v>21</v>
      </c>
      <c r="I2524" s="2">
        <v>24</v>
      </c>
      <c r="J2524" s="2" t="s">
        <v>106</v>
      </c>
      <c r="K2524" s="4">
        <v>46207.765277777777</v>
      </c>
      <c r="L2524" s="2" t="s">
        <v>24</v>
      </c>
      <c r="M2524" s="2">
        <v>2</v>
      </c>
      <c r="N2524" t="s">
        <v>8583</v>
      </c>
      <c r="O2524" s="8">
        <f t="shared" si="78"/>
        <v>2.53333333338378</v>
      </c>
      <c r="P2524" t="str">
        <f t="shared" si="79"/>
        <v>Yes</v>
      </c>
    </row>
    <row r="2525" spans="1:16" x14ac:dyDescent="0.25">
      <c r="A2525" s="2" t="s">
        <v>6797</v>
      </c>
      <c r="B2525" s="4">
        <v>46086.946527777778</v>
      </c>
      <c r="C2525" s="2" t="s">
        <v>67</v>
      </c>
      <c r="D2525" s="2" t="s">
        <v>68</v>
      </c>
      <c r="E2525" s="2" t="s">
        <v>79</v>
      </c>
      <c r="F2525" s="2" t="s">
        <v>113</v>
      </c>
      <c r="G2525" s="2" t="s">
        <v>101</v>
      </c>
      <c r="H2525" s="2" t="s">
        <v>32</v>
      </c>
      <c r="I2525" s="2">
        <v>48</v>
      </c>
      <c r="J2525" s="2" t="s">
        <v>287</v>
      </c>
      <c r="K2525" s="4" t="s">
        <v>8590</v>
      </c>
      <c r="L2525" s="2" t="s">
        <v>24</v>
      </c>
      <c r="M2525" s="2"/>
      <c r="N2525" t="s">
        <v>8584</v>
      </c>
      <c r="O2525" s="8" t="str">
        <f t="shared" si="78"/>
        <v/>
      </c>
      <c r="P2525" t="str">
        <f t="shared" si="79"/>
        <v>N/A</v>
      </c>
    </row>
    <row r="2526" spans="1:16" x14ac:dyDescent="0.25">
      <c r="A2526" s="2" t="s">
        <v>6799</v>
      </c>
      <c r="B2526" s="4">
        <v>46194.670138888891</v>
      </c>
      <c r="C2526" s="2" t="s">
        <v>28</v>
      </c>
      <c r="D2526" s="2" t="s">
        <v>100</v>
      </c>
      <c r="E2526" s="2" t="s">
        <v>85</v>
      </c>
      <c r="F2526" s="2" t="s">
        <v>30</v>
      </c>
      <c r="G2526" s="2" t="s">
        <v>31</v>
      </c>
      <c r="H2526" s="2" t="s">
        <v>21</v>
      </c>
      <c r="I2526" s="2">
        <v>24</v>
      </c>
      <c r="J2526" s="2" t="s">
        <v>8580</v>
      </c>
      <c r="K2526" s="4" t="s">
        <v>8590</v>
      </c>
      <c r="L2526" s="2" t="s">
        <v>24</v>
      </c>
      <c r="M2526" s="2"/>
      <c r="N2526" t="s">
        <v>8589</v>
      </c>
      <c r="O2526" s="8" t="str">
        <f t="shared" si="78"/>
        <v/>
      </c>
      <c r="P2526" t="str">
        <f t="shared" si="79"/>
        <v>N/A</v>
      </c>
    </row>
    <row r="2527" spans="1:16" x14ac:dyDescent="0.25">
      <c r="A2527" s="2" t="s">
        <v>6801</v>
      </c>
      <c r="B2527" s="4">
        <v>46081.324305555558</v>
      </c>
      <c r="C2527" s="2" t="s">
        <v>53</v>
      </c>
      <c r="D2527" s="2" t="s">
        <v>54</v>
      </c>
      <c r="E2527" s="2" t="s">
        <v>148</v>
      </c>
      <c r="F2527" s="2" t="s">
        <v>113</v>
      </c>
      <c r="G2527" s="2" t="s">
        <v>101</v>
      </c>
      <c r="H2527" s="2" t="s">
        <v>21</v>
      </c>
      <c r="I2527" s="2">
        <v>24</v>
      </c>
      <c r="J2527" s="2" t="s">
        <v>75</v>
      </c>
      <c r="K2527" s="4">
        <v>46082.587500000001</v>
      </c>
      <c r="L2527" s="2" t="s">
        <v>24</v>
      </c>
      <c r="M2527" s="2"/>
      <c r="N2527" t="s">
        <v>8581</v>
      </c>
      <c r="O2527" s="8">
        <f t="shared" si="78"/>
        <v>30.316666666651145</v>
      </c>
      <c r="P2527" t="str">
        <f t="shared" si="79"/>
        <v>N/A</v>
      </c>
    </row>
    <row r="2528" spans="1:16" x14ac:dyDescent="0.25">
      <c r="A2528" s="2" t="s">
        <v>6804</v>
      </c>
      <c r="B2528" s="4">
        <v>46191.188194444447</v>
      </c>
      <c r="C2528" s="2" t="s">
        <v>28</v>
      </c>
      <c r="D2528" s="2" t="s">
        <v>37</v>
      </c>
      <c r="E2528" s="2" t="s">
        <v>90</v>
      </c>
      <c r="F2528" s="2" t="s">
        <v>113</v>
      </c>
      <c r="G2528" s="2" t="s">
        <v>110</v>
      </c>
      <c r="H2528" s="2" t="s">
        <v>80</v>
      </c>
      <c r="I2528" s="2">
        <v>4</v>
      </c>
      <c r="J2528" s="2" t="s">
        <v>106</v>
      </c>
      <c r="K2528" s="4">
        <v>46191.557638888888</v>
      </c>
      <c r="L2528" s="2" t="s">
        <v>24</v>
      </c>
      <c r="M2528" s="2"/>
      <c r="N2528" t="s">
        <v>8589</v>
      </c>
      <c r="O2528" s="8">
        <f t="shared" si="78"/>
        <v>8.8666666665812954</v>
      </c>
      <c r="P2528" t="str">
        <f t="shared" si="79"/>
        <v>No</v>
      </c>
    </row>
    <row r="2529" spans="1:16" x14ac:dyDescent="0.25">
      <c r="A2529" s="2" t="s">
        <v>6807</v>
      </c>
      <c r="B2529" s="4">
        <v>46058.28402777778</v>
      </c>
      <c r="C2529" s="2" t="s">
        <v>67</v>
      </c>
      <c r="D2529" s="2" t="s">
        <v>68</v>
      </c>
      <c r="E2529" s="2" t="s">
        <v>79</v>
      </c>
      <c r="F2529" s="2" t="s">
        <v>55</v>
      </c>
      <c r="G2529" s="2" t="s">
        <v>110</v>
      </c>
      <c r="H2529" s="2" t="s">
        <v>21</v>
      </c>
      <c r="I2529" s="2">
        <v>24</v>
      </c>
      <c r="J2529" s="2" t="s">
        <v>75</v>
      </c>
      <c r="K2529" s="4">
        <v>46061.197222222225</v>
      </c>
      <c r="L2529" s="2" t="s">
        <v>24</v>
      </c>
      <c r="M2529" s="2">
        <v>3</v>
      </c>
      <c r="N2529" t="s">
        <v>8588</v>
      </c>
      <c r="O2529" s="8">
        <f t="shared" si="78"/>
        <v>69.916666666686069</v>
      </c>
      <c r="P2529" t="str">
        <f t="shared" si="79"/>
        <v>N/A</v>
      </c>
    </row>
    <row r="2530" spans="1:16" x14ac:dyDescent="0.25">
      <c r="A2530" s="2" t="s">
        <v>6810</v>
      </c>
      <c r="B2530" s="4">
        <v>46140.67083333333</v>
      </c>
      <c r="C2530" s="2" t="s">
        <v>16</v>
      </c>
      <c r="D2530" s="2" t="s">
        <v>84</v>
      </c>
      <c r="E2530" s="2" t="s">
        <v>46</v>
      </c>
      <c r="F2530" s="2" t="s">
        <v>30</v>
      </c>
      <c r="G2530" s="2" t="s">
        <v>211</v>
      </c>
      <c r="H2530" s="2" t="s">
        <v>74</v>
      </c>
      <c r="I2530" s="2">
        <v>8</v>
      </c>
      <c r="J2530" s="2" t="s">
        <v>11</v>
      </c>
      <c r="K2530" s="4" t="s">
        <v>8590</v>
      </c>
      <c r="L2530" s="2" t="s">
        <v>92</v>
      </c>
      <c r="M2530" s="2"/>
      <c r="N2530" t="s">
        <v>8581</v>
      </c>
      <c r="O2530" s="8" t="str">
        <f t="shared" si="78"/>
        <v/>
      </c>
      <c r="P2530" t="str">
        <f t="shared" si="79"/>
        <v>N/A</v>
      </c>
    </row>
    <row r="2531" spans="1:16" x14ac:dyDescent="0.25">
      <c r="A2531" s="2" t="s">
        <v>6812</v>
      </c>
      <c r="B2531" s="4">
        <v>46248.205555555556</v>
      </c>
      <c r="C2531" s="2" t="s">
        <v>28</v>
      </c>
      <c r="D2531" s="2" t="s">
        <v>37</v>
      </c>
      <c r="E2531" s="2" t="s">
        <v>38</v>
      </c>
      <c r="F2531" s="2" t="s">
        <v>96</v>
      </c>
      <c r="G2531" s="2" t="s">
        <v>183</v>
      </c>
      <c r="H2531" s="2" t="s">
        <v>21</v>
      </c>
      <c r="I2531" s="2">
        <v>24</v>
      </c>
      <c r="J2531" s="2" t="s">
        <v>106</v>
      </c>
      <c r="K2531" s="4">
        <v>46249.55972222222</v>
      </c>
      <c r="L2531" s="2" t="s">
        <v>24</v>
      </c>
      <c r="M2531" s="2">
        <v>1</v>
      </c>
      <c r="N2531" t="s">
        <v>8589</v>
      </c>
      <c r="O2531" s="8">
        <f t="shared" si="78"/>
        <v>32.499999999941792</v>
      </c>
      <c r="P2531" t="str">
        <f t="shared" si="79"/>
        <v>No</v>
      </c>
    </row>
    <row r="2532" spans="1:16" x14ac:dyDescent="0.25">
      <c r="A2532" s="2" t="s">
        <v>6815</v>
      </c>
      <c r="B2532" s="4">
        <v>46177.392361111109</v>
      </c>
      <c r="C2532" s="2" t="s">
        <v>67</v>
      </c>
      <c r="D2532" s="2" t="s">
        <v>68</v>
      </c>
      <c r="E2532" s="2" t="s">
        <v>90</v>
      </c>
      <c r="F2532" s="2" t="s">
        <v>30</v>
      </c>
      <c r="G2532" s="2" t="s">
        <v>31</v>
      </c>
      <c r="H2532" s="2" t="s">
        <v>80</v>
      </c>
      <c r="I2532" s="2">
        <v>4</v>
      </c>
      <c r="J2532" s="2" t="s">
        <v>106</v>
      </c>
      <c r="K2532" s="4">
        <v>46177.501388888886</v>
      </c>
      <c r="L2532" s="2" t="s">
        <v>24</v>
      </c>
      <c r="M2532" s="2">
        <v>4</v>
      </c>
      <c r="N2532" t="s">
        <v>8586</v>
      </c>
      <c r="O2532" s="8">
        <f t="shared" si="78"/>
        <v>2.6166666666395031</v>
      </c>
      <c r="P2532" t="str">
        <f t="shared" si="79"/>
        <v>Yes</v>
      </c>
    </row>
    <row r="2533" spans="1:16" x14ac:dyDescent="0.25">
      <c r="A2533" s="2" t="s">
        <v>6818</v>
      </c>
      <c r="B2533" s="4">
        <v>46132.275000000001</v>
      </c>
      <c r="C2533" s="2" t="s">
        <v>67</v>
      </c>
      <c r="D2533" s="2" t="s">
        <v>68</v>
      </c>
      <c r="E2533" s="2" t="s">
        <v>79</v>
      </c>
      <c r="F2533" s="2" t="s">
        <v>113</v>
      </c>
      <c r="G2533" s="2" t="s">
        <v>101</v>
      </c>
      <c r="H2533" s="2" t="s">
        <v>74</v>
      </c>
      <c r="I2533" s="2">
        <v>8</v>
      </c>
      <c r="J2533" s="2" t="s">
        <v>287</v>
      </c>
      <c r="K2533" s="4" t="s">
        <v>8590</v>
      </c>
      <c r="L2533" s="2" t="s">
        <v>24</v>
      </c>
      <c r="M2533" s="2"/>
      <c r="N2533" t="s">
        <v>8588</v>
      </c>
      <c r="O2533" s="8" t="str">
        <f t="shared" si="78"/>
        <v/>
      </c>
      <c r="P2533" t="str">
        <f t="shared" si="79"/>
        <v>N/A</v>
      </c>
    </row>
    <row r="2534" spans="1:16" x14ac:dyDescent="0.25">
      <c r="A2534" s="2" t="s">
        <v>6820</v>
      </c>
      <c r="B2534" s="4">
        <v>46087.79791666667</v>
      </c>
      <c r="C2534" s="2" t="s">
        <v>67</v>
      </c>
      <c r="D2534" s="2" t="s">
        <v>95</v>
      </c>
      <c r="E2534" s="2" t="s">
        <v>148</v>
      </c>
      <c r="F2534" s="2" t="s">
        <v>96</v>
      </c>
      <c r="G2534" s="2" t="s">
        <v>183</v>
      </c>
      <c r="H2534" s="2" t="s">
        <v>32</v>
      </c>
      <c r="I2534" s="2">
        <v>48</v>
      </c>
      <c r="J2534" s="2" t="s">
        <v>75</v>
      </c>
      <c r="K2534" s="4">
        <v>46090.258333333331</v>
      </c>
      <c r="L2534" s="2" t="s">
        <v>92</v>
      </c>
      <c r="M2534" s="2">
        <v>2</v>
      </c>
      <c r="N2534" t="s">
        <v>8589</v>
      </c>
      <c r="O2534" s="8">
        <f t="shared" si="78"/>
        <v>59.049999999871943</v>
      </c>
      <c r="P2534" t="str">
        <f t="shared" si="79"/>
        <v>N/A</v>
      </c>
    </row>
    <row r="2535" spans="1:16" x14ac:dyDescent="0.25">
      <c r="A2535" s="2" t="s">
        <v>6823</v>
      </c>
      <c r="B2535" s="4">
        <v>46116.967361111114</v>
      </c>
      <c r="C2535" s="2" t="s">
        <v>67</v>
      </c>
      <c r="D2535" s="2" t="s">
        <v>95</v>
      </c>
      <c r="E2535" s="2" t="s">
        <v>79</v>
      </c>
      <c r="F2535" s="2" t="s">
        <v>96</v>
      </c>
      <c r="G2535" s="2" t="s">
        <v>211</v>
      </c>
      <c r="H2535" s="2" t="s">
        <v>21</v>
      </c>
      <c r="I2535" s="2">
        <v>24</v>
      </c>
      <c r="J2535" s="2" t="s">
        <v>106</v>
      </c>
      <c r="K2535" s="4">
        <v>46118.820138888892</v>
      </c>
      <c r="L2535" s="2" t="s">
        <v>24</v>
      </c>
      <c r="M2535" s="2"/>
      <c r="N2535" t="s">
        <v>8588</v>
      </c>
      <c r="O2535" s="8">
        <f t="shared" si="78"/>
        <v>44.466666666674428</v>
      </c>
      <c r="P2535" t="str">
        <f t="shared" si="79"/>
        <v>No</v>
      </c>
    </row>
    <row r="2536" spans="1:16" x14ac:dyDescent="0.25">
      <c r="A2536" s="2" t="s">
        <v>6826</v>
      </c>
      <c r="B2536" s="4">
        <v>46062.37222222222</v>
      </c>
      <c r="C2536" s="2" t="s">
        <v>53</v>
      </c>
      <c r="D2536" s="2" t="s">
        <v>54</v>
      </c>
      <c r="E2536" s="2" t="s">
        <v>18</v>
      </c>
      <c r="F2536" s="2" t="s">
        <v>113</v>
      </c>
      <c r="G2536" s="2" t="s">
        <v>110</v>
      </c>
      <c r="H2536" s="2" t="s">
        <v>32</v>
      </c>
      <c r="I2536" s="2">
        <v>48</v>
      </c>
      <c r="J2536" s="2" t="s">
        <v>106</v>
      </c>
      <c r="K2536" s="4">
        <v>46063.703472222223</v>
      </c>
      <c r="L2536" s="2" t="s">
        <v>24</v>
      </c>
      <c r="M2536" s="2"/>
      <c r="N2536" t="s">
        <v>8588</v>
      </c>
      <c r="O2536" s="8">
        <f t="shared" si="78"/>
        <v>31.950000000069849</v>
      </c>
      <c r="P2536" t="str">
        <f t="shared" si="79"/>
        <v>Yes</v>
      </c>
    </row>
    <row r="2537" spans="1:16" x14ac:dyDescent="0.25">
      <c r="A2537" s="2" t="s">
        <v>6829</v>
      </c>
      <c r="B2537" s="4">
        <v>46216.689583333333</v>
      </c>
      <c r="C2537" s="2" t="s">
        <v>53</v>
      </c>
      <c r="D2537" s="2" t="s">
        <v>61</v>
      </c>
      <c r="E2537" s="2" t="s">
        <v>18</v>
      </c>
      <c r="F2537" s="2" t="s">
        <v>113</v>
      </c>
      <c r="G2537" s="2" t="s">
        <v>31</v>
      </c>
      <c r="H2537" s="2" t="s">
        <v>21</v>
      </c>
      <c r="I2537" s="2">
        <v>24</v>
      </c>
      <c r="J2537" s="2" t="s">
        <v>11</v>
      </c>
      <c r="K2537" s="4" t="s">
        <v>8590</v>
      </c>
      <c r="L2537" s="2" t="s">
        <v>92</v>
      </c>
      <c r="M2537" s="2"/>
      <c r="N2537" t="s">
        <v>8581</v>
      </c>
      <c r="O2537" s="8" t="str">
        <f t="shared" si="78"/>
        <v/>
      </c>
      <c r="P2537" t="str">
        <f t="shared" si="79"/>
        <v>N/A</v>
      </c>
    </row>
    <row r="2538" spans="1:16" x14ac:dyDescent="0.25">
      <c r="A2538" s="2" t="s">
        <v>6831</v>
      </c>
      <c r="B2538" s="4">
        <v>46078.07916666667</v>
      </c>
      <c r="C2538" s="2" t="s">
        <v>16</v>
      </c>
      <c r="D2538" s="2" t="s">
        <v>17</v>
      </c>
      <c r="E2538" s="2" t="s">
        <v>90</v>
      </c>
      <c r="F2538" s="2" t="s">
        <v>55</v>
      </c>
      <c r="G2538" s="2" t="s">
        <v>183</v>
      </c>
      <c r="H2538" s="2" t="s">
        <v>21</v>
      </c>
      <c r="I2538" s="2">
        <v>24</v>
      </c>
      <c r="J2538" s="2" t="s">
        <v>75</v>
      </c>
      <c r="K2538" s="4">
        <v>46080.267361111109</v>
      </c>
      <c r="L2538" s="2" t="s">
        <v>24</v>
      </c>
      <c r="M2538" s="2">
        <v>5</v>
      </c>
      <c r="N2538" t="s">
        <v>8583</v>
      </c>
      <c r="O2538" s="8">
        <f t="shared" si="78"/>
        <v>52.516666666546371</v>
      </c>
      <c r="P2538" t="str">
        <f t="shared" si="79"/>
        <v>N/A</v>
      </c>
    </row>
    <row r="2539" spans="1:16" x14ac:dyDescent="0.25">
      <c r="A2539" s="2" t="s">
        <v>6834</v>
      </c>
      <c r="B2539" s="4">
        <v>46081.269444444442</v>
      </c>
      <c r="C2539" s="2" t="s">
        <v>53</v>
      </c>
      <c r="D2539" s="2" t="s">
        <v>61</v>
      </c>
      <c r="E2539" s="2" t="s">
        <v>38</v>
      </c>
      <c r="F2539" s="2" t="s">
        <v>113</v>
      </c>
      <c r="G2539" s="2" t="s">
        <v>211</v>
      </c>
      <c r="H2539" s="2" t="s">
        <v>74</v>
      </c>
      <c r="I2539" s="2">
        <v>8</v>
      </c>
      <c r="J2539" s="2" t="s">
        <v>8580</v>
      </c>
      <c r="K2539" s="4">
        <v>46081.554861111108</v>
      </c>
      <c r="L2539" s="2" t="s">
        <v>24</v>
      </c>
      <c r="M2539" s="2"/>
      <c r="N2539" t="s">
        <v>8588</v>
      </c>
      <c r="O2539" s="8">
        <f t="shared" si="78"/>
        <v>6.8499999999767169</v>
      </c>
      <c r="P2539" t="str">
        <f t="shared" si="79"/>
        <v>N/A</v>
      </c>
    </row>
    <row r="2540" spans="1:16" x14ac:dyDescent="0.25">
      <c r="A2540" s="2" t="s">
        <v>6837</v>
      </c>
      <c r="B2540" s="4">
        <v>46150.34652777778</v>
      </c>
      <c r="C2540" s="2" t="s">
        <v>16</v>
      </c>
      <c r="D2540" s="2" t="s">
        <v>84</v>
      </c>
      <c r="E2540" s="2" t="s">
        <v>90</v>
      </c>
      <c r="F2540" s="2" t="s">
        <v>55</v>
      </c>
      <c r="G2540" s="2" t="s">
        <v>183</v>
      </c>
      <c r="H2540" s="2" t="s">
        <v>32</v>
      </c>
      <c r="I2540" s="2">
        <v>48</v>
      </c>
      <c r="J2540" s="2" t="s">
        <v>106</v>
      </c>
      <c r="K2540" s="4">
        <v>46154.986111111109</v>
      </c>
      <c r="L2540" s="2" t="s">
        <v>24</v>
      </c>
      <c r="M2540" s="2">
        <v>1</v>
      </c>
      <c r="N2540" t="s">
        <v>8583</v>
      </c>
      <c r="O2540" s="8">
        <f t="shared" si="78"/>
        <v>111.34999999991851</v>
      </c>
      <c r="P2540" t="str">
        <f t="shared" si="79"/>
        <v>No</v>
      </c>
    </row>
    <row r="2541" spans="1:16" x14ac:dyDescent="0.25">
      <c r="A2541" s="2" t="s">
        <v>6840</v>
      </c>
      <c r="B2541" s="4">
        <v>46214.588194444441</v>
      </c>
      <c r="C2541" s="2" t="s">
        <v>67</v>
      </c>
      <c r="D2541" s="2" t="s">
        <v>95</v>
      </c>
      <c r="E2541" s="2" t="s">
        <v>85</v>
      </c>
      <c r="F2541" s="2" t="s">
        <v>96</v>
      </c>
      <c r="G2541" s="2" t="s">
        <v>31</v>
      </c>
      <c r="H2541" s="2" t="s">
        <v>74</v>
      </c>
      <c r="I2541" s="2">
        <v>8</v>
      </c>
      <c r="J2541" s="2" t="s">
        <v>287</v>
      </c>
      <c r="K2541" s="4" t="s">
        <v>8590</v>
      </c>
      <c r="L2541" s="2" t="s">
        <v>24</v>
      </c>
      <c r="M2541" s="2"/>
      <c r="N2541" t="s">
        <v>8585</v>
      </c>
      <c r="O2541" s="8" t="str">
        <f t="shared" si="78"/>
        <v/>
      </c>
      <c r="P2541" t="str">
        <f t="shared" si="79"/>
        <v>N/A</v>
      </c>
    </row>
    <row r="2542" spans="1:16" x14ac:dyDescent="0.25">
      <c r="A2542" s="2" t="s">
        <v>6842</v>
      </c>
      <c r="B2542" s="4">
        <v>46262.396527777775</v>
      </c>
      <c r="C2542" s="2" t="s">
        <v>16</v>
      </c>
      <c r="D2542" s="2" t="s">
        <v>17</v>
      </c>
      <c r="E2542" s="2" t="s">
        <v>79</v>
      </c>
      <c r="F2542" s="2" t="s">
        <v>96</v>
      </c>
      <c r="G2542" s="2" t="s">
        <v>183</v>
      </c>
      <c r="H2542" s="2" t="s">
        <v>21</v>
      </c>
      <c r="I2542" s="2">
        <v>24</v>
      </c>
      <c r="J2542" s="2" t="s">
        <v>149</v>
      </c>
      <c r="K2542" s="4" t="s">
        <v>8590</v>
      </c>
      <c r="L2542" s="2" t="s">
        <v>24</v>
      </c>
      <c r="M2542" s="2"/>
      <c r="N2542" t="s">
        <v>8581</v>
      </c>
      <c r="O2542" s="8" t="str">
        <f t="shared" si="78"/>
        <v/>
      </c>
      <c r="P2542" t="str">
        <f t="shared" si="79"/>
        <v>N/A</v>
      </c>
    </row>
    <row r="2543" spans="1:16" x14ac:dyDescent="0.25">
      <c r="A2543" s="2" t="s">
        <v>6844</v>
      </c>
      <c r="B2543" s="4">
        <v>46138.337500000001</v>
      </c>
      <c r="C2543" s="2" t="s">
        <v>16</v>
      </c>
      <c r="D2543" s="2" t="s">
        <v>17</v>
      </c>
      <c r="E2543" s="2" t="s">
        <v>79</v>
      </c>
      <c r="F2543" s="2" t="s">
        <v>113</v>
      </c>
      <c r="G2543" s="2" t="s">
        <v>110</v>
      </c>
      <c r="H2543" s="2" t="s">
        <v>21</v>
      </c>
      <c r="I2543" s="2">
        <v>24</v>
      </c>
      <c r="J2543" s="2" t="s">
        <v>8580</v>
      </c>
      <c r="K2543" s="4">
        <v>46139.150694444441</v>
      </c>
      <c r="L2543" s="2" t="s">
        <v>24</v>
      </c>
      <c r="M2543" s="2"/>
      <c r="N2543" t="s">
        <v>8582</v>
      </c>
      <c r="O2543" s="8">
        <f t="shared" si="78"/>
        <v>19.516666666546371</v>
      </c>
      <c r="P2543" t="str">
        <f t="shared" si="79"/>
        <v>N/A</v>
      </c>
    </row>
    <row r="2544" spans="1:16" x14ac:dyDescent="0.25">
      <c r="A2544" s="2" t="s">
        <v>6847</v>
      </c>
      <c r="B2544" s="4">
        <v>46125.251388888886</v>
      </c>
      <c r="C2544" s="2" t="s">
        <v>53</v>
      </c>
      <c r="D2544" s="2" t="s">
        <v>54</v>
      </c>
      <c r="E2544" s="2" t="s">
        <v>38</v>
      </c>
      <c r="F2544" s="2" t="s">
        <v>30</v>
      </c>
      <c r="G2544" s="2" t="s">
        <v>31</v>
      </c>
      <c r="H2544" s="2" t="s">
        <v>21</v>
      </c>
      <c r="I2544" s="2">
        <v>24</v>
      </c>
      <c r="J2544" s="2" t="s">
        <v>106</v>
      </c>
      <c r="K2544" s="4">
        <v>46125.484722222223</v>
      </c>
      <c r="L2544" s="2" t="s">
        <v>24</v>
      </c>
      <c r="M2544" s="2">
        <v>5</v>
      </c>
      <c r="N2544" t="s">
        <v>8583</v>
      </c>
      <c r="O2544" s="8">
        <f t="shared" si="78"/>
        <v>5.6000000000931323</v>
      </c>
      <c r="P2544" t="str">
        <f t="shared" si="79"/>
        <v>Yes</v>
      </c>
    </row>
    <row r="2545" spans="1:16" x14ac:dyDescent="0.25">
      <c r="A2545" s="2" t="s">
        <v>6850</v>
      </c>
      <c r="B2545" s="4">
        <v>46142.870833333334</v>
      </c>
      <c r="C2545" s="2" t="s">
        <v>28</v>
      </c>
      <c r="D2545" s="2" t="s">
        <v>100</v>
      </c>
      <c r="E2545" s="2" t="s">
        <v>85</v>
      </c>
      <c r="F2545" s="2" t="s">
        <v>96</v>
      </c>
      <c r="G2545" s="2" t="s">
        <v>101</v>
      </c>
      <c r="H2545" s="2" t="s">
        <v>32</v>
      </c>
      <c r="I2545" s="2">
        <v>48</v>
      </c>
      <c r="J2545" s="2" t="s">
        <v>106</v>
      </c>
      <c r="K2545" s="4">
        <v>46144.359027777777</v>
      </c>
      <c r="L2545" s="2" t="s">
        <v>24</v>
      </c>
      <c r="M2545" s="2">
        <v>5</v>
      </c>
      <c r="N2545" t="s">
        <v>8588</v>
      </c>
      <c r="O2545" s="8">
        <f t="shared" si="78"/>
        <v>35.71666666661622</v>
      </c>
      <c r="P2545" t="str">
        <f t="shared" si="79"/>
        <v>Yes</v>
      </c>
    </row>
    <row r="2546" spans="1:16" x14ac:dyDescent="0.25">
      <c r="A2546" s="2" t="s">
        <v>6853</v>
      </c>
      <c r="B2546" s="4">
        <v>46143.034722222219</v>
      </c>
      <c r="C2546" s="2" t="s">
        <v>53</v>
      </c>
      <c r="D2546" s="2" t="s">
        <v>54</v>
      </c>
      <c r="E2546" s="2" t="s">
        <v>79</v>
      </c>
      <c r="F2546" s="2" t="s">
        <v>55</v>
      </c>
      <c r="G2546" s="2" t="s">
        <v>211</v>
      </c>
      <c r="H2546" s="2" t="s">
        <v>74</v>
      </c>
      <c r="I2546" s="2">
        <v>8</v>
      </c>
      <c r="J2546" s="2" t="s">
        <v>106</v>
      </c>
      <c r="K2546" s="4">
        <v>46143.292361111111</v>
      </c>
      <c r="L2546" s="2" t="s">
        <v>24</v>
      </c>
      <c r="M2546" s="2"/>
      <c r="N2546" t="s">
        <v>8584</v>
      </c>
      <c r="O2546" s="8">
        <f t="shared" si="78"/>
        <v>6.183333333407063</v>
      </c>
      <c r="P2546" t="str">
        <f t="shared" si="79"/>
        <v>Yes</v>
      </c>
    </row>
    <row r="2547" spans="1:16" x14ac:dyDescent="0.25">
      <c r="A2547" s="2" t="s">
        <v>6856</v>
      </c>
      <c r="B2547" s="4">
        <v>46102.40347222222</v>
      </c>
      <c r="C2547" s="2" t="s">
        <v>28</v>
      </c>
      <c r="D2547" s="2" t="s">
        <v>100</v>
      </c>
      <c r="E2547" s="2" t="s">
        <v>148</v>
      </c>
      <c r="F2547" s="2" t="s">
        <v>30</v>
      </c>
      <c r="G2547" s="2" t="s">
        <v>211</v>
      </c>
      <c r="H2547" s="2" t="s">
        <v>21</v>
      </c>
      <c r="I2547" s="2">
        <v>24</v>
      </c>
      <c r="J2547" s="2" t="s">
        <v>287</v>
      </c>
      <c r="K2547" s="4" t="s">
        <v>8590</v>
      </c>
      <c r="L2547" s="2" t="s">
        <v>24</v>
      </c>
      <c r="M2547" s="2"/>
      <c r="N2547" t="s">
        <v>8589</v>
      </c>
      <c r="O2547" s="8" t="str">
        <f t="shared" si="78"/>
        <v/>
      </c>
      <c r="P2547" t="str">
        <f t="shared" si="79"/>
        <v>N/A</v>
      </c>
    </row>
    <row r="2548" spans="1:16" x14ac:dyDescent="0.25">
      <c r="A2548" s="2" t="s">
        <v>6858</v>
      </c>
      <c r="B2548" s="4">
        <v>46062.430555555555</v>
      </c>
      <c r="C2548" s="2" t="s">
        <v>28</v>
      </c>
      <c r="D2548" s="2" t="s">
        <v>37</v>
      </c>
      <c r="E2548" s="2" t="s">
        <v>18</v>
      </c>
      <c r="F2548" s="2" t="s">
        <v>113</v>
      </c>
      <c r="G2548" s="2" t="s">
        <v>101</v>
      </c>
      <c r="H2548" s="2" t="s">
        <v>21</v>
      </c>
      <c r="I2548" s="2">
        <v>24</v>
      </c>
      <c r="J2548" s="2" t="s">
        <v>11</v>
      </c>
      <c r="K2548" s="4" t="s">
        <v>8590</v>
      </c>
      <c r="L2548" s="2" t="s">
        <v>92</v>
      </c>
      <c r="M2548" s="2"/>
      <c r="N2548" t="s">
        <v>8588</v>
      </c>
      <c r="O2548" s="8" t="str">
        <f t="shared" si="78"/>
        <v/>
      </c>
      <c r="P2548" t="str">
        <f t="shared" si="79"/>
        <v>N/A</v>
      </c>
    </row>
    <row r="2549" spans="1:16" x14ac:dyDescent="0.25">
      <c r="A2549" s="2" t="s">
        <v>6860</v>
      </c>
      <c r="B2549" s="4">
        <v>46146.286111111112</v>
      </c>
      <c r="C2549" s="2" t="s">
        <v>67</v>
      </c>
      <c r="D2549" s="2" t="s">
        <v>95</v>
      </c>
      <c r="E2549" s="2" t="s">
        <v>85</v>
      </c>
      <c r="F2549" s="2" t="s">
        <v>55</v>
      </c>
      <c r="G2549" s="2" t="s">
        <v>211</v>
      </c>
      <c r="H2549" s="2" t="s">
        <v>32</v>
      </c>
      <c r="I2549" s="2">
        <v>48</v>
      </c>
      <c r="J2549" s="2" t="s">
        <v>75</v>
      </c>
      <c r="K2549" s="4">
        <v>46146.913194444445</v>
      </c>
      <c r="L2549" s="2" t="s">
        <v>24</v>
      </c>
      <c r="M2549" s="2">
        <v>5</v>
      </c>
      <c r="N2549" t="s">
        <v>8584</v>
      </c>
      <c r="O2549" s="8">
        <f t="shared" si="78"/>
        <v>15.049999999988358</v>
      </c>
      <c r="P2549" t="str">
        <f t="shared" si="79"/>
        <v>N/A</v>
      </c>
    </row>
    <row r="2550" spans="1:16" x14ac:dyDescent="0.25">
      <c r="A2550" s="2" t="s">
        <v>6863</v>
      </c>
      <c r="B2550" s="4">
        <v>46164.873611111114</v>
      </c>
      <c r="C2550" s="2" t="s">
        <v>16</v>
      </c>
      <c r="D2550" s="2" t="s">
        <v>84</v>
      </c>
      <c r="E2550" s="2" t="s">
        <v>79</v>
      </c>
      <c r="F2550" s="2" t="s">
        <v>96</v>
      </c>
      <c r="G2550" s="2" t="s">
        <v>179</v>
      </c>
      <c r="H2550" s="2" t="s">
        <v>21</v>
      </c>
      <c r="I2550" s="2">
        <v>24</v>
      </c>
      <c r="J2550" s="2" t="s">
        <v>106</v>
      </c>
      <c r="K2550" s="4">
        <v>46165.647222222222</v>
      </c>
      <c r="L2550" s="2" t="s">
        <v>24</v>
      </c>
      <c r="M2550" s="2"/>
      <c r="N2550" t="s">
        <v>8588</v>
      </c>
      <c r="O2550" s="8">
        <f t="shared" si="78"/>
        <v>18.566666666592937</v>
      </c>
      <c r="P2550" t="str">
        <f t="shared" si="79"/>
        <v>Yes</v>
      </c>
    </row>
    <row r="2551" spans="1:16" x14ac:dyDescent="0.25">
      <c r="A2551" s="2" t="s">
        <v>6866</v>
      </c>
      <c r="B2551" s="4">
        <v>46057.036805555559</v>
      </c>
      <c r="C2551" s="2" t="s">
        <v>67</v>
      </c>
      <c r="D2551" s="2" t="s">
        <v>95</v>
      </c>
      <c r="E2551" s="2" t="s">
        <v>46</v>
      </c>
      <c r="F2551" s="2" t="s">
        <v>55</v>
      </c>
      <c r="G2551" s="2" t="s">
        <v>101</v>
      </c>
      <c r="H2551" s="2" t="s">
        <v>21</v>
      </c>
      <c r="I2551" s="2">
        <v>24</v>
      </c>
      <c r="J2551" s="2" t="s">
        <v>75</v>
      </c>
      <c r="K2551" s="4">
        <v>46057.885416666664</v>
      </c>
      <c r="L2551" s="2" t="s">
        <v>92</v>
      </c>
      <c r="M2551" s="2"/>
      <c r="N2551" t="s">
        <v>8585</v>
      </c>
      <c r="O2551" s="8">
        <f t="shared" si="78"/>
        <v>20.366666666523088</v>
      </c>
      <c r="P2551" t="str">
        <f t="shared" si="79"/>
        <v>N/A</v>
      </c>
    </row>
    <row r="2552" spans="1:16" x14ac:dyDescent="0.25">
      <c r="A2552" s="2" t="s">
        <v>6869</v>
      </c>
      <c r="B2552" s="4">
        <v>46209.53402777778</v>
      </c>
      <c r="C2552" s="2" t="s">
        <v>53</v>
      </c>
      <c r="D2552" s="2" t="s">
        <v>54</v>
      </c>
      <c r="E2552" s="2" t="s">
        <v>79</v>
      </c>
      <c r="F2552" s="2" t="s">
        <v>113</v>
      </c>
      <c r="G2552" s="2" t="s">
        <v>31</v>
      </c>
      <c r="H2552" s="2" t="s">
        <v>21</v>
      </c>
      <c r="I2552" s="2">
        <v>24</v>
      </c>
      <c r="J2552" s="2" t="s">
        <v>106</v>
      </c>
      <c r="K2552" s="4">
        <v>46209.650694444441</v>
      </c>
      <c r="L2552" s="2" t="s">
        <v>24</v>
      </c>
      <c r="M2552" s="2">
        <v>3</v>
      </c>
      <c r="N2552" t="s">
        <v>8589</v>
      </c>
      <c r="O2552" s="8">
        <f t="shared" si="78"/>
        <v>2.7999999998719431</v>
      </c>
      <c r="P2552" t="str">
        <f t="shared" si="79"/>
        <v>Yes</v>
      </c>
    </row>
    <row r="2553" spans="1:16" x14ac:dyDescent="0.25">
      <c r="A2553" s="2" t="s">
        <v>6872</v>
      </c>
      <c r="B2553" s="4">
        <v>46179.178472222222</v>
      </c>
      <c r="C2553" s="2" t="s">
        <v>67</v>
      </c>
      <c r="D2553" s="2" t="s">
        <v>95</v>
      </c>
      <c r="E2553" s="2" t="s">
        <v>90</v>
      </c>
      <c r="F2553" s="2" t="s">
        <v>113</v>
      </c>
      <c r="G2553" s="2" t="s">
        <v>211</v>
      </c>
      <c r="H2553" s="2" t="s">
        <v>74</v>
      </c>
      <c r="I2553" s="2">
        <v>8</v>
      </c>
      <c r="J2553" s="2" t="s">
        <v>149</v>
      </c>
      <c r="K2553" s="4" t="s">
        <v>8590</v>
      </c>
      <c r="L2553" s="2" t="s">
        <v>24</v>
      </c>
      <c r="M2553" s="2"/>
      <c r="N2553" t="s">
        <v>8589</v>
      </c>
      <c r="O2553" s="8" t="str">
        <f t="shared" si="78"/>
        <v/>
      </c>
      <c r="P2553" t="str">
        <f t="shared" si="79"/>
        <v>N/A</v>
      </c>
    </row>
    <row r="2554" spans="1:16" x14ac:dyDescent="0.25">
      <c r="A2554" s="2" t="s">
        <v>6874</v>
      </c>
      <c r="B2554" s="4">
        <v>46040.962500000001</v>
      </c>
      <c r="C2554" s="2" t="s">
        <v>67</v>
      </c>
      <c r="D2554" s="2" t="s">
        <v>68</v>
      </c>
      <c r="E2554" s="2" t="s">
        <v>38</v>
      </c>
      <c r="F2554" s="2" t="s">
        <v>55</v>
      </c>
      <c r="G2554" s="2" t="s">
        <v>211</v>
      </c>
      <c r="H2554" s="2" t="s">
        <v>32</v>
      </c>
      <c r="I2554" s="2">
        <v>48</v>
      </c>
      <c r="J2554" s="2" t="s">
        <v>149</v>
      </c>
      <c r="K2554" s="4" t="s">
        <v>8590</v>
      </c>
      <c r="L2554" s="2" t="s">
        <v>24</v>
      </c>
      <c r="M2554" s="2"/>
      <c r="N2554" t="s">
        <v>8589</v>
      </c>
      <c r="O2554" s="8" t="str">
        <f t="shared" si="78"/>
        <v/>
      </c>
      <c r="P2554" t="str">
        <f t="shared" si="79"/>
        <v>N/A</v>
      </c>
    </row>
    <row r="2555" spans="1:16" x14ac:dyDescent="0.25">
      <c r="A2555" s="2" t="s">
        <v>6876</v>
      </c>
      <c r="B2555" s="4">
        <v>46224.431250000001</v>
      </c>
      <c r="C2555" s="2" t="s">
        <v>53</v>
      </c>
      <c r="D2555" s="2" t="s">
        <v>61</v>
      </c>
      <c r="E2555" s="2" t="s">
        <v>148</v>
      </c>
      <c r="F2555" s="2" t="s">
        <v>113</v>
      </c>
      <c r="G2555" s="2" t="s">
        <v>183</v>
      </c>
      <c r="H2555" s="2" t="s">
        <v>74</v>
      </c>
      <c r="I2555" s="2">
        <v>8</v>
      </c>
      <c r="J2555" s="2" t="s">
        <v>149</v>
      </c>
      <c r="K2555" s="4" t="s">
        <v>8590</v>
      </c>
      <c r="L2555" s="2" t="s">
        <v>24</v>
      </c>
      <c r="M2555" s="2"/>
      <c r="N2555" t="s">
        <v>8589</v>
      </c>
      <c r="O2555" s="8" t="str">
        <f t="shared" si="78"/>
        <v/>
      </c>
      <c r="P2555" t="str">
        <f t="shared" si="79"/>
        <v>N/A</v>
      </c>
    </row>
    <row r="2556" spans="1:16" x14ac:dyDescent="0.25">
      <c r="A2556" s="2" t="s">
        <v>6878</v>
      </c>
      <c r="B2556" s="4">
        <v>46192.84097222222</v>
      </c>
      <c r="C2556" s="2" t="s">
        <v>16</v>
      </c>
      <c r="D2556" s="2" t="s">
        <v>84</v>
      </c>
      <c r="E2556" s="2" t="s">
        <v>90</v>
      </c>
      <c r="F2556" s="2" t="s">
        <v>96</v>
      </c>
      <c r="G2556" s="2" t="s">
        <v>31</v>
      </c>
      <c r="H2556" s="2" t="s">
        <v>32</v>
      </c>
      <c r="I2556" s="2">
        <v>48</v>
      </c>
      <c r="J2556" s="2" t="s">
        <v>106</v>
      </c>
      <c r="K2556" s="4">
        <v>46196.006249999999</v>
      </c>
      <c r="L2556" s="2" t="s">
        <v>24</v>
      </c>
      <c r="M2556" s="2"/>
      <c r="N2556" t="s">
        <v>8588</v>
      </c>
      <c r="O2556" s="8">
        <f t="shared" si="78"/>
        <v>75.966666666674428</v>
      </c>
      <c r="P2556" t="str">
        <f t="shared" si="79"/>
        <v>No</v>
      </c>
    </row>
    <row r="2557" spans="1:16" x14ac:dyDescent="0.25">
      <c r="A2557" s="2" t="s">
        <v>6880</v>
      </c>
      <c r="B2557" s="4">
        <v>46093.663194444445</v>
      </c>
      <c r="C2557" s="2" t="s">
        <v>67</v>
      </c>
      <c r="D2557" s="2" t="s">
        <v>95</v>
      </c>
      <c r="E2557" s="2" t="s">
        <v>38</v>
      </c>
      <c r="F2557" s="2" t="s">
        <v>96</v>
      </c>
      <c r="G2557" s="2" t="s">
        <v>211</v>
      </c>
      <c r="H2557" s="2" t="s">
        <v>21</v>
      </c>
      <c r="I2557" s="2">
        <v>24</v>
      </c>
      <c r="J2557" s="2" t="s">
        <v>106</v>
      </c>
      <c r="K2557" s="4" t="s">
        <v>8590</v>
      </c>
      <c r="L2557" s="2" t="s">
        <v>24</v>
      </c>
      <c r="M2557" s="2"/>
      <c r="N2557" t="s">
        <v>8589</v>
      </c>
      <c r="O2557" s="8" t="str">
        <f t="shared" si="78"/>
        <v/>
      </c>
      <c r="P2557" t="str">
        <f t="shared" si="79"/>
        <v>No</v>
      </c>
    </row>
    <row r="2558" spans="1:16" x14ac:dyDescent="0.25">
      <c r="A2558" s="2" t="s">
        <v>6882</v>
      </c>
      <c r="B2558" s="4">
        <v>46216.180555555555</v>
      </c>
      <c r="C2558" s="2" t="s">
        <v>53</v>
      </c>
      <c r="D2558" s="2" t="s">
        <v>54</v>
      </c>
      <c r="E2558" s="2" t="s">
        <v>18</v>
      </c>
      <c r="F2558" s="2" t="s">
        <v>30</v>
      </c>
      <c r="G2558" s="2" t="s">
        <v>110</v>
      </c>
      <c r="H2558" s="2" t="s">
        <v>21</v>
      </c>
      <c r="I2558" s="2">
        <v>24</v>
      </c>
      <c r="J2558" s="2" t="s">
        <v>106</v>
      </c>
      <c r="K2558" s="4">
        <v>46216.575694444444</v>
      </c>
      <c r="L2558" s="2" t="s">
        <v>92</v>
      </c>
      <c r="M2558" s="2">
        <v>5</v>
      </c>
      <c r="N2558" t="s">
        <v>8582</v>
      </c>
      <c r="O2558" s="8">
        <f t="shared" si="78"/>
        <v>9.4833333333372138</v>
      </c>
      <c r="P2558" t="str">
        <f t="shared" si="79"/>
        <v>Yes</v>
      </c>
    </row>
    <row r="2559" spans="1:16" x14ac:dyDescent="0.25">
      <c r="A2559" s="2" t="s">
        <v>6885</v>
      </c>
      <c r="B2559" s="4">
        <v>46256.621527777781</v>
      </c>
      <c r="C2559" s="2" t="s">
        <v>16</v>
      </c>
      <c r="D2559" s="2" t="s">
        <v>84</v>
      </c>
      <c r="E2559" s="2" t="s">
        <v>79</v>
      </c>
      <c r="F2559" s="2" t="s">
        <v>96</v>
      </c>
      <c r="G2559" s="2" t="s">
        <v>211</v>
      </c>
      <c r="H2559" s="2" t="s">
        <v>74</v>
      </c>
      <c r="I2559" s="2">
        <v>8</v>
      </c>
      <c r="J2559" s="2" t="s">
        <v>75</v>
      </c>
      <c r="K2559" s="4" t="s">
        <v>8590</v>
      </c>
      <c r="L2559" s="2" t="s">
        <v>24</v>
      </c>
      <c r="M2559" s="2">
        <v>5</v>
      </c>
      <c r="N2559" t="s">
        <v>8587</v>
      </c>
      <c r="O2559" s="8" t="str">
        <f t="shared" si="78"/>
        <v/>
      </c>
      <c r="P2559" t="str">
        <f t="shared" si="79"/>
        <v>N/A</v>
      </c>
    </row>
    <row r="2560" spans="1:16" x14ac:dyDescent="0.25">
      <c r="A2560" s="2" t="s">
        <v>6887</v>
      </c>
      <c r="B2560" s="4">
        <v>46043.586111111108</v>
      </c>
      <c r="C2560" s="2" t="s">
        <v>67</v>
      </c>
      <c r="D2560" s="2" t="s">
        <v>95</v>
      </c>
      <c r="E2560" s="2" t="s">
        <v>148</v>
      </c>
      <c r="F2560" s="2" t="s">
        <v>96</v>
      </c>
      <c r="G2560" s="2" t="s">
        <v>31</v>
      </c>
      <c r="H2560" s="2" t="s">
        <v>21</v>
      </c>
      <c r="I2560" s="2">
        <v>24</v>
      </c>
      <c r="J2560" s="2" t="s">
        <v>106</v>
      </c>
      <c r="K2560" s="4">
        <v>46043.838194444441</v>
      </c>
      <c r="L2560" s="2" t="s">
        <v>24</v>
      </c>
      <c r="M2560" s="2">
        <v>4</v>
      </c>
      <c r="N2560" t="s">
        <v>8589</v>
      </c>
      <c r="O2560" s="8">
        <f t="shared" si="78"/>
        <v>6.0499999999883585</v>
      </c>
      <c r="P2560" t="str">
        <f t="shared" si="79"/>
        <v>Yes</v>
      </c>
    </row>
    <row r="2561" spans="1:16" x14ac:dyDescent="0.25">
      <c r="A2561" s="2" t="s">
        <v>6890</v>
      </c>
      <c r="B2561" s="4">
        <v>46142.573611111111</v>
      </c>
      <c r="C2561" s="2" t="s">
        <v>28</v>
      </c>
      <c r="D2561" s="2" t="s">
        <v>37</v>
      </c>
      <c r="E2561" s="2" t="s">
        <v>79</v>
      </c>
      <c r="F2561" s="2" t="s">
        <v>96</v>
      </c>
      <c r="G2561" s="2" t="s">
        <v>211</v>
      </c>
      <c r="H2561" s="2" t="s">
        <v>21</v>
      </c>
      <c r="I2561" s="2">
        <v>24</v>
      </c>
      <c r="J2561" s="2" t="s">
        <v>75</v>
      </c>
      <c r="K2561" s="4">
        <v>46143.157638888886</v>
      </c>
      <c r="L2561" s="2" t="s">
        <v>24</v>
      </c>
      <c r="M2561" s="2">
        <v>4</v>
      </c>
      <c r="N2561" t="s">
        <v>8589</v>
      </c>
      <c r="O2561" s="8">
        <f t="shared" si="78"/>
        <v>14.016666666604578</v>
      </c>
      <c r="P2561" t="str">
        <f t="shared" si="79"/>
        <v>N/A</v>
      </c>
    </row>
    <row r="2562" spans="1:16" x14ac:dyDescent="0.25">
      <c r="A2562" s="2" t="s">
        <v>6893</v>
      </c>
      <c r="B2562" s="4">
        <v>46162.172222222223</v>
      </c>
      <c r="C2562" s="2" t="s">
        <v>16</v>
      </c>
      <c r="D2562" s="2" t="s">
        <v>84</v>
      </c>
      <c r="E2562" s="2" t="s">
        <v>38</v>
      </c>
      <c r="F2562" s="2" t="s">
        <v>96</v>
      </c>
      <c r="G2562" s="2" t="s">
        <v>183</v>
      </c>
      <c r="H2562" s="2" t="s">
        <v>32</v>
      </c>
      <c r="I2562" s="2">
        <v>48</v>
      </c>
      <c r="J2562" s="2" t="s">
        <v>11</v>
      </c>
      <c r="K2562" s="4" t="s">
        <v>8590</v>
      </c>
      <c r="L2562" s="2" t="s">
        <v>92</v>
      </c>
      <c r="M2562" s="2"/>
      <c r="N2562" t="s">
        <v>8582</v>
      </c>
      <c r="O2562" s="8" t="str">
        <f t="shared" si="78"/>
        <v/>
      </c>
      <c r="P2562" t="str">
        <f t="shared" si="79"/>
        <v>N/A</v>
      </c>
    </row>
    <row r="2563" spans="1:16" x14ac:dyDescent="0.25">
      <c r="A2563" s="2" t="s">
        <v>6895</v>
      </c>
      <c r="B2563" s="4">
        <v>46264.262499999997</v>
      </c>
      <c r="C2563" s="2" t="s">
        <v>53</v>
      </c>
      <c r="D2563" s="2" t="s">
        <v>54</v>
      </c>
      <c r="E2563" s="2" t="s">
        <v>85</v>
      </c>
      <c r="F2563" s="2" t="s">
        <v>30</v>
      </c>
      <c r="G2563" s="2" t="s">
        <v>110</v>
      </c>
      <c r="H2563" s="2" t="s">
        <v>32</v>
      </c>
      <c r="I2563" s="2">
        <v>48</v>
      </c>
      <c r="J2563" s="2" t="s">
        <v>106</v>
      </c>
      <c r="K2563" s="4">
        <v>46264.861111111109</v>
      </c>
      <c r="L2563" s="2" t="s">
        <v>24</v>
      </c>
      <c r="M2563" s="2">
        <v>3</v>
      </c>
      <c r="N2563" t="s">
        <v>8584</v>
      </c>
      <c r="O2563" s="8">
        <f t="shared" ref="O2563:O2626" si="80">IF(K2563="","",IF(K2563="Missing Resolve Date","",(K2563-B2563)*24))</f>
        <v>14.366666666697711</v>
      </c>
      <c r="P2563" t="str">
        <f t="shared" ref="P2563:P2626" si="81">IF(J2563="Resolved",IF(O2563&lt;=I2563,"Yes","No"),"N/A")</f>
        <v>Yes</v>
      </c>
    </row>
    <row r="2564" spans="1:16" x14ac:dyDescent="0.25">
      <c r="A2564" s="2" t="s">
        <v>6898</v>
      </c>
      <c r="B2564" s="4">
        <v>46187.615277777775</v>
      </c>
      <c r="C2564" s="2" t="s">
        <v>67</v>
      </c>
      <c r="D2564" s="2" t="s">
        <v>95</v>
      </c>
      <c r="E2564" s="2" t="s">
        <v>79</v>
      </c>
      <c r="F2564" s="2" t="s">
        <v>96</v>
      </c>
      <c r="G2564" s="2" t="s">
        <v>31</v>
      </c>
      <c r="H2564" s="2" t="s">
        <v>74</v>
      </c>
      <c r="I2564" s="2">
        <v>8</v>
      </c>
      <c r="J2564" s="2" t="s">
        <v>75</v>
      </c>
      <c r="K2564" s="4">
        <v>46187.654861111114</v>
      </c>
      <c r="L2564" s="2" t="s">
        <v>24</v>
      </c>
      <c r="M2564" s="2">
        <v>3</v>
      </c>
      <c r="N2564" t="s">
        <v>8584</v>
      </c>
      <c r="O2564" s="8">
        <f t="shared" si="80"/>
        <v>0.95000000012805685</v>
      </c>
      <c r="P2564" t="str">
        <f t="shared" si="81"/>
        <v>N/A</v>
      </c>
    </row>
    <row r="2565" spans="1:16" x14ac:dyDescent="0.25">
      <c r="A2565" s="2" t="s">
        <v>6901</v>
      </c>
      <c r="B2565" s="4">
        <v>46221.365972222222</v>
      </c>
      <c r="C2565" s="2" t="s">
        <v>53</v>
      </c>
      <c r="D2565" s="2" t="s">
        <v>61</v>
      </c>
      <c r="E2565" s="2" t="s">
        <v>79</v>
      </c>
      <c r="F2565" s="2" t="s">
        <v>55</v>
      </c>
      <c r="G2565" s="2" t="s">
        <v>183</v>
      </c>
      <c r="H2565" s="2" t="s">
        <v>21</v>
      </c>
      <c r="I2565" s="2">
        <v>24</v>
      </c>
      <c r="J2565" s="2" t="s">
        <v>11</v>
      </c>
      <c r="K2565" s="4" t="s">
        <v>8590</v>
      </c>
      <c r="L2565" s="2" t="s">
        <v>92</v>
      </c>
      <c r="M2565" s="2"/>
      <c r="N2565" t="s">
        <v>8587</v>
      </c>
      <c r="O2565" s="8" t="str">
        <f t="shared" si="80"/>
        <v/>
      </c>
      <c r="P2565" t="str">
        <f t="shared" si="81"/>
        <v>N/A</v>
      </c>
    </row>
    <row r="2566" spans="1:16" x14ac:dyDescent="0.25">
      <c r="A2566" s="2" t="s">
        <v>6903</v>
      </c>
      <c r="B2566" s="4">
        <v>46050.504861111112</v>
      </c>
      <c r="C2566" s="2" t="s">
        <v>67</v>
      </c>
      <c r="D2566" s="2" t="s">
        <v>68</v>
      </c>
      <c r="E2566" s="2" t="s">
        <v>79</v>
      </c>
      <c r="F2566" s="2" t="s">
        <v>96</v>
      </c>
      <c r="G2566" s="2" t="s">
        <v>211</v>
      </c>
      <c r="H2566" s="2" t="s">
        <v>21</v>
      </c>
      <c r="I2566" s="2">
        <v>24</v>
      </c>
      <c r="J2566" s="2" t="s">
        <v>8580</v>
      </c>
      <c r="K2566" s="4">
        <v>46051.06527777778</v>
      </c>
      <c r="L2566" s="2" t="s">
        <v>24</v>
      </c>
      <c r="M2566" s="2"/>
      <c r="N2566" t="s">
        <v>8589</v>
      </c>
      <c r="O2566" s="8">
        <f t="shared" si="80"/>
        <v>13.450000000011642</v>
      </c>
      <c r="P2566" t="str">
        <f t="shared" si="81"/>
        <v>N/A</v>
      </c>
    </row>
    <row r="2567" spans="1:16" x14ac:dyDescent="0.25">
      <c r="A2567" s="2" t="s">
        <v>6906</v>
      </c>
      <c r="B2567" s="4">
        <v>46110.650694444441</v>
      </c>
      <c r="C2567" s="2" t="s">
        <v>53</v>
      </c>
      <c r="D2567" s="2" t="s">
        <v>54</v>
      </c>
      <c r="E2567" s="2" t="s">
        <v>79</v>
      </c>
      <c r="F2567" s="2" t="s">
        <v>113</v>
      </c>
      <c r="G2567" s="2" t="s">
        <v>183</v>
      </c>
      <c r="H2567" s="2" t="s">
        <v>32</v>
      </c>
      <c r="I2567" s="2">
        <v>48</v>
      </c>
      <c r="J2567" s="2" t="s">
        <v>75</v>
      </c>
      <c r="K2567" s="4">
        <v>46112.392361111109</v>
      </c>
      <c r="L2567" s="2" t="s">
        <v>24</v>
      </c>
      <c r="M2567" s="2"/>
      <c r="N2567" t="s">
        <v>8589</v>
      </c>
      <c r="O2567" s="8">
        <f t="shared" si="80"/>
        <v>41.800000000046566</v>
      </c>
      <c r="P2567" t="str">
        <f t="shared" si="81"/>
        <v>N/A</v>
      </c>
    </row>
    <row r="2568" spans="1:16" x14ac:dyDescent="0.25">
      <c r="A2568" s="2" t="s">
        <v>6909</v>
      </c>
      <c r="B2568" s="4">
        <v>46035.574305555558</v>
      </c>
      <c r="C2568" s="2" t="s">
        <v>67</v>
      </c>
      <c r="D2568" s="2" t="s">
        <v>95</v>
      </c>
      <c r="E2568" s="2" t="s">
        <v>85</v>
      </c>
      <c r="F2568" s="2" t="s">
        <v>30</v>
      </c>
      <c r="G2568" s="2" t="s">
        <v>101</v>
      </c>
      <c r="H2568" s="2" t="s">
        <v>74</v>
      </c>
      <c r="I2568" s="2">
        <v>8</v>
      </c>
      <c r="J2568" s="2" t="s">
        <v>106</v>
      </c>
      <c r="K2568" s="4">
        <v>46035.793749999997</v>
      </c>
      <c r="L2568" s="2" t="s">
        <v>92</v>
      </c>
      <c r="M2568" s="2">
        <v>5</v>
      </c>
      <c r="N2568" t="s">
        <v>8589</v>
      </c>
      <c r="O2568" s="8">
        <f t="shared" si="80"/>
        <v>5.2666666665463708</v>
      </c>
      <c r="P2568" t="str">
        <f t="shared" si="81"/>
        <v>Yes</v>
      </c>
    </row>
    <row r="2569" spans="1:16" x14ac:dyDescent="0.25">
      <c r="A2569" s="2" t="s">
        <v>6912</v>
      </c>
      <c r="B2569" s="4">
        <v>46066.699305555558</v>
      </c>
      <c r="C2569" s="2" t="s">
        <v>28</v>
      </c>
      <c r="D2569" s="2" t="s">
        <v>37</v>
      </c>
      <c r="E2569" s="2" t="s">
        <v>90</v>
      </c>
      <c r="F2569" s="2" t="s">
        <v>30</v>
      </c>
      <c r="G2569" s="2" t="s">
        <v>179</v>
      </c>
      <c r="H2569" s="2" t="s">
        <v>21</v>
      </c>
      <c r="I2569" s="2">
        <v>24</v>
      </c>
      <c r="J2569" s="2" t="s">
        <v>287</v>
      </c>
      <c r="K2569" s="4" t="s">
        <v>8590</v>
      </c>
      <c r="L2569" s="2" t="s">
        <v>24</v>
      </c>
      <c r="M2569" s="2"/>
      <c r="N2569" t="s">
        <v>8585</v>
      </c>
      <c r="O2569" s="8" t="str">
        <f t="shared" si="80"/>
        <v/>
      </c>
      <c r="P2569" t="str">
        <f t="shared" si="81"/>
        <v>N/A</v>
      </c>
    </row>
    <row r="2570" spans="1:16" x14ac:dyDescent="0.25">
      <c r="A2570" s="2" t="s">
        <v>6914</v>
      </c>
      <c r="B2570" s="4">
        <v>46192.928472222222</v>
      </c>
      <c r="C2570" s="2" t="s">
        <v>16</v>
      </c>
      <c r="D2570" s="2" t="s">
        <v>17</v>
      </c>
      <c r="E2570" s="2" t="s">
        <v>85</v>
      </c>
      <c r="F2570" s="2" t="s">
        <v>96</v>
      </c>
      <c r="G2570" s="2" t="s">
        <v>110</v>
      </c>
      <c r="H2570" s="2" t="s">
        <v>21</v>
      </c>
      <c r="I2570" s="2">
        <v>24</v>
      </c>
      <c r="J2570" s="2" t="s">
        <v>106</v>
      </c>
      <c r="K2570" s="4">
        <v>46193.800694444442</v>
      </c>
      <c r="L2570" s="2" t="s">
        <v>24</v>
      </c>
      <c r="M2570" s="2">
        <v>4</v>
      </c>
      <c r="N2570" t="s">
        <v>8589</v>
      </c>
      <c r="O2570" s="8">
        <f t="shared" si="80"/>
        <v>20.933333333290648</v>
      </c>
      <c r="P2570" t="str">
        <f t="shared" si="81"/>
        <v>Yes</v>
      </c>
    </row>
    <row r="2571" spans="1:16" x14ac:dyDescent="0.25">
      <c r="A2571" s="2" t="s">
        <v>6917</v>
      </c>
      <c r="B2571" s="4">
        <v>46148.863194444442</v>
      </c>
      <c r="C2571" s="2" t="s">
        <v>67</v>
      </c>
      <c r="D2571" s="2" t="s">
        <v>68</v>
      </c>
      <c r="E2571" s="2" t="s">
        <v>46</v>
      </c>
      <c r="F2571" s="2" t="s">
        <v>30</v>
      </c>
      <c r="G2571" s="2" t="s">
        <v>31</v>
      </c>
      <c r="H2571" s="2" t="s">
        <v>32</v>
      </c>
      <c r="I2571" s="2">
        <v>48</v>
      </c>
      <c r="J2571" s="2" t="s">
        <v>75</v>
      </c>
      <c r="K2571" s="4">
        <v>46149.676388888889</v>
      </c>
      <c r="L2571" s="2" t="s">
        <v>24</v>
      </c>
      <c r="M2571" s="2">
        <v>4</v>
      </c>
      <c r="N2571" t="s">
        <v>8588</v>
      </c>
      <c r="O2571" s="8">
        <f t="shared" si="80"/>
        <v>19.516666666720994</v>
      </c>
      <c r="P2571" t="str">
        <f t="shared" si="81"/>
        <v>N/A</v>
      </c>
    </row>
    <row r="2572" spans="1:16" x14ac:dyDescent="0.25">
      <c r="A2572" s="2" t="s">
        <v>6920</v>
      </c>
      <c r="B2572" s="4">
        <v>46069.109027777777</v>
      </c>
      <c r="C2572" s="2" t="s">
        <v>28</v>
      </c>
      <c r="D2572" s="2" t="s">
        <v>100</v>
      </c>
      <c r="E2572" s="2" t="s">
        <v>85</v>
      </c>
      <c r="F2572" s="2" t="s">
        <v>96</v>
      </c>
      <c r="G2572" s="2" t="s">
        <v>179</v>
      </c>
      <c r="H2572" s="2" t="s">
        <v>21</v>
      </c>
      <c r="I2572" s="2">
        <v>24</v>
      </c>
      <c r="J2572" s="2" t="s">
        <v>106</v>
      </c>
      <c r="K2572" s="4">
        <v>46069.243750000001</v>
      </c>
      <c r="L2572" s="2" t="s">
        <v>24</v>
      </c>
      <c r="M2572" s="2"/>
      <c r="N2572" t="s">
        <v>8589</v>
      </c>
      <c r="O2572" s="8">
        <f t="shared" si="80"/>
        <v>3.2333333333954215</v>
      </c>
      <c r="P2572" t="str">
        <f t="shared" si="81"/>
        <v>Yes</v>
      </c>
    </row>
    <row r="2573" spans="1:16" x14ac:dyDescent="0.25">
      <c r="A2573" s="2" t="s">
        <v>6923</v>
      </c>
      <c r="B2573" s="4">
        <v>46104.061805555553</v>
      </c>
      <c r="C2573" s="2" t="s">
        <v>67</v>
      </c>
      <c r="D2573" s="2" t="s">
        <v>68</v>
      </c>
      <c r="E2573" s="2" t="s">
        <v>79</v>
      </c>
      <c r="F2573" s="2" t="s">
        <v>30</v>
      </c>
      <c r="G2573" s="2" t="s">
        <v>179</v>
      </c>
      <c r="H2573" s="2" t="s">
        <v>32</v>
      </c>
      <c r="I2573" s="2">
        <v>48</v>
      </c>
      <c r="J2573" s="2" t="s">
        <v>11</v>
      </c>
      <c r="K2573" s="4" t="s">
        <v>8590</v>
      </c>
      <c r="L2573" s="2" t="s">
        <v>92</v>
      </c>
      <c r="M2573" s="2"/>
      <c r="N2573" t="s">
        <v>8587</v>
      </c>
      <c r="O2573" s="8" t="str">
        <f t="shared" si="80"/>
        <v/>
      </c>
      <c r="P2573" t="str">
        <f t="shared" si="81"/>
        <v>N/A</v>
      </c>
    </row>
    <row r="2574" spans="1:16" x14ac:dyDescent="0.25">
      <c r="A2574" s="2" t="s">
        <v>6925</v>
      </c>
      <c r="B2574" s="4">
        <v>46190.484027777777</v>
      </c>
      <c r="C2574" s="2" t="s">
        <v>16</v>
      </c>
      <c r="D2574" s="2" t="s">
        <v>17</v>
      </c>
      <c r="E2574" s="2" t="s">
        <v>148</v>
      </c>
      <c r="F2574" s="2" t="s">
        <v>113</v>
      </c>
      <c r="G2574" s="2" t="s">
        <v>179</v>
      </c>
      <c r="H2574" s="2" t="s">
        <v>74</v>
      </c>
      <c r="I2574" s="2">
        <v>8</v>
      </c>
      <c r="J2574" s="2" t="s">
        <v>11</v>
      </c>
      <c r="K2574" s="4" t="s">
        <v>8590</v>
      </c>
      <c r="L2574" s="2" t="s">
        <v>92</v>
      </c>
      <c r="M2574" s="2"/>
      <c r="N2574" t="s">
        <v>8586</v>
      </c>
      <c r="O2574" s="8" t="str">
        <f t="shared" si="80"/>
        <v/>
      </c>
      <c r="P2574" t="str">
        <f t="shared" si="81"/>
        <v>N/A</v>
      </c>
    </row>
    <row r="2575" spans="1:16" x14ac:dyDescent="0.25">
      <c r="A2575" s="2" t="s">
        <v>6927</v>
      </c>
      <c r="B2575" s="4">
        <v>46042.114583333336</v>
      </c>
      <c r="C2575" s="2" t="s">
        <v>16</v>
      </c>
      <c r="D2575" s="2" t="s">
        <v>84</v>
      </c>
      <c r="E2575" s="2" t="s">
        <v>148</v>
      </c>
      <c r="F2575" s="2" t="s">
        <v>113</v>
      </c>
      <c r="G2575" s="2" t="s">
        <v>31</v>
      </c>
      <c r="H2575" s="2" t="s">
        <v>32</v>
      </c>
      <c r="I2575" s="2">
        <v>48</v>
      </c>
      <c r="J2575" s="2" t="s">
        <v>106</v>
      </c>
      <c r="K2575" s="4" t="s">
        <v>8590</v>
      </c>
      <c r="L2575" s="2" t="s">
        <v>24</v>
      </c>
      <c r="M2575" s="2">
        <v>4</v>
      </c>
      <c r="N2575" t="s">
        <v>8589</v>
      </c>
      <c r="O2575" s="8" t="str">
        <f t="shared" si="80"/>
        <v/>
      </c>
      <c r="P2575" t="str">
        <f t="shared" si="81"/>
        <v>No</v>
      </c>
    </row>
    <row r="2576" spans="1:16" x14ac:dyDescent="0.25">
      <c r="A2576" s="2" t="s">
        <v>6929</v>
      </c>
      <c r="B2576" s="4">
        <v>46037.959027777775</v>
      </c>
      <c r="C2576" s="2" t="s">
        <v>53</v>
      </c>
      <c r="D2576" s="2" t="s">
        <v>54</v>
      </c>
      <c r="E2576" s="2" t="s">
        <v>85</v>
      </c>
      <c r="F2576" s="2" t="s">
        <v>30</v>
      </c>
      <c r="G2576" s="2" t="s">
        <v>179</v>
      </c>
      <c r="H2576" s="2" t="s">
        <v>74</v>
      </c>
      <c r="I2576" s="2">
        <v>8</v>
      </c>
      <c r="J2576" s="2" t="s">
        <v>106</v>
      </c>
      <c r="K2576" s="4">
        <v>46038.810416666667</v>
      </c>
      <c r="L2576" s="2" t="s">
        <v>24</v>
      </c>
      <c r="M2576" s="2">
        <v>4</v>
      </c>
      <c r="N2576" t="s">
        <v>8586</v>
      </c>
      <c r="O2576" s="8">
        <f t="shared" si="80"/>
        <v>20.433333333407063</v>
      </c>
      <c r="P2576" t="str">
        <f t="shared" si="81"/>
        <v>No</v>
      </c>
    </row>
    <row r="2577" spans="1:16" x14ac:dyDescent="0.25">
      <c r="A2577" s="2" t="s">
        <v>6932</v>
      </c>
      <c r="B2577" s="4">
        <v>46109.74722222222</v>
      </c>
      <c r="C2577" s="2" t="s">
        <v>28</v>
      </c>
      <c r="D2577" s="2" t="s">
        <v>37</v>
      </c>
      <c r="E2577" s="2" t="s">
        <v>90</v>
      </c>
      <c r="F2577" s="2" t="s">
        <v>30</v>
      </c>
      <c r="G2577" s="2" t="s">
        <v>211</v>
      </c>
      <c r="H2577" s="2" t="s">
        <v>21</v>
      </c>
      <c r="I2577" s="2">
        <v>24</v>
      </c>
      <c r="J2577" s="2" t="s">
        <v>106</v>
      </c>
      <c r="K2577" s="4">
        <v>46110.366666666669</v>
      </c>
      <c r="L2577" s="2" t="s">
        <v>24</v>
      </c>
      <c r="M2577" s="2"/>
      <c r="N2577" t="s">
        <v>8588</v>
      </c>
      <c r="O2577" s="8">
        <f t="shared" si="80"/>
        <v>14.866666666755918</v>
      </c>
      <c r="P2577" t="str">
        <f t="shared" si="81"/>
        <v>Yes</v>
      </c>
    </row>
    <row r="2578" spans="1:16" x14ac:dyDescent="0.25">
      <c r="A2578" s="2" t="s">
        <v>6935</v>
      </c>
      <c r="B2578" s="4">
        <v>46246.82708333333</v>
      </c>
      <c r="C2578" s="2" t="s">
        <v>53</v>
      </c>
      <c r="D2578" s="2" t="s">
        <v>61</v>
      </c>
      <c r="E2578" s="2" t="s">
        <v>79</v>
      </c>
      <c r="F2578" s="2" t="s">
        <v>96</v>
      </c>
      <c r="G2578" s="2" t="s">
        <v>183</v>
      </c>
      <c r="H2578" s="2" t="s">
        <v>74</v>
      </c>
      <c r="I2578" s="2">
        <v>8</v>
      </c>
      <c r="J2578" s="2" t="s">
        <v>106</v>
      </c>
      <c r="K2578" s="4">
        <v>46246.953472222223</v>
      </c>
      <c r="L2578" s="2" t="s">
        <v>24</v>
      </c>
      <c r="M2578" s="2"/>
      <c r="N2578" t="s">
        <v>8589</v>
      </c>
      <c r="O2578" s="8">
        <f t="shared" si="80"/>
        <v>3.0333333334419876</v>
      </c>
      <c r="P2578" t="str">
        <f t="shared" si="81"/>
        <v>Yes</v>
      </c>
    </row>
    <row r="2579" spans="1:16" x14ac:dyDescent="0.25">
      <c r="A2579" s="2" t="s">
        <v>6938</v>
      </c>
      <c r="B2579" s="4">
        <v>46200.282638888886</v>
      </c>
      <c r="C2579" s="2" t="s">
        <v>28</v>
      </c>
      <c r="D2579" s="2" t="s">
        <v>100</v>
      </c>
      <c r="E2579" s="2" t="s">
        <v>79</v>
      </c>
      <c r="F2579" s="2" t="s">
        <v>113</v>
      </c>
      <c r="G2579" s="2" t="s">
        <v>211</v>
      </c>
      <c r="H2579" s="2" t="s">
        <v>32</v>
      </c>
      <c r="I2579" s="2">
        <v>48</v>
      </c>
      <c r="J2579" s="2" t="s">
        <v>75</v>
      </c>
      <c r="K2579" s="4">
        <v>46201.261111111111</v>
      </c>
      <c r="L2579" s="2" t="s">
        <v>24</v>
      </c>
      <c r="M2579" s="2">
        <v>4</v>
      </c>
      <c r="N2579" t="s">
        <v>8588</v>
      </c>
      <c r="O2579" s="8">
        <f t="shared" si="80"/>
        <v>23.483333333395422</v>
      </c>
      <c r="P2579" t="str">
        <f t="shared" si="81"/>
        <v>N/A</v>
      </c>
    </row>
    <row r="2580" spans="1:16" x14ac:dyDescent="0.25">
      <c r="A2580" s="2" t="s">
        <v>6941</v>
      </c>
      <c r="B2580" s="4">
        <v>46024.856249999997</v>
      </c>
      <c r="C2580" s="2" t="s">
        <v>67</v>
      </c>
      <c r="D2580" s="2" t="s">
        <v>68</v>
      </c>
      <c r="E2580" s="2" t="s">
        <v>46</v>
      </c>
      <c r="F2580" s="2" t="s">
        <v>96</v>
      </c>
      <c r="G2580" s="2" t="s">
        <v>110</v>
      </c>
      <c r="H2580" s="2" t="s">
        <v>74</v>
      </c>
      <c r="I2580" s="2">
        <v>8</v>
      </c>
      <c r="J2580" s="2" t="s">
        <v>106</v>
      </c>
      <c r="K2580" s="4">
        <v>46024.963194444441</v>
      </c>
      <c r="L2580" s="2" t="s">
        <v>24</v>
      </c>
      <c r="M2580" s="2"/>
      <c r="N2580" t="s">
        <v>8589</v>
      </c>
      <c r="O2580" s="8">
        <f t="shared" si="80"/>
        <v>2.5666666666511446</v>
      </c>
      <c r="P2580" t="str">
        <f t="shared" si="81"/>
        <v>Yes</v>
      </c>
    </row>
    <row r="2581" spans="1:16" x14ac:dyDescent="0.25">
      <c r="A2581" s="2" t="s">
        <v>6944</v>
      </c>
      <c r="B2581" s="4">
        <v>46201.964583333334</v>
      </c>
      <c r="C2581" s="2" t="s">
        <v>28</v>
      </c>
      <c r="D2581" s="2" t="s">
        <v>100</v>
      </c>
      <c r="E2581" s="2" t="s">
        <v>46</v>
      </c>
      <c r="F2581" s="2" t="s">
        <v>113</v>
      </c>
      <c r="G2581" s="2" t="s">
        <v>101</v>
      </c>
      <c r="H2581" s="2" t="s">
        <v>74</v>
      </c>
      <c r="I2581" s="2">
        <v>8</v>
      </c>
      <c r="J2581" s="2" t="s">
        <v>75</v>
      </c>
      <c r="K2581" s="4">
        <v>46201.986805555556</v>
      </c>
      <c r="L2581" s="2" t="s">
        <v>92</v>
      </c>
      <c r="M2581" s="2"/>
      <c r="N2581" t="s">
        <v>8589</v>
      </c>
      <c r="O2581" s="8">
        <f t="shared" si="80"/>
        <v>0.53333333332557231</v>
      </c>
      <c r="P2581" t="str">
        <f t="shared" si="81"/>
        <v>N/A</v>
      </c>
    </row>
    <row r="2582" spans="1:16" x14ac:dyDescent="0.25">
      <c r="A2582" s="2" t="s">
        <v>6947</v>
      </c>
      <c r="B2582" s="4">
        <v>46153.229166666664</v>
      </c>
      <c r="C2582" s="2" t="s">
        <v>53</v>
      </c>
      <c r="D2582" s="2" t="s">
        <v>61</v>
      </c>
      <c r="E2582" s="2" t="s">
        <v>85</v>
      </c>
      <c r="F2582" s="2" t="s">
        <v>55</v>
      </c>
      <c r="G2582" s="2" t="s">
        <v>101</v>
      </c>
      <c r="H2582" s="2" t="s">
        <v>32</v>
      </c>
      <c r="I2582" s="2">
        <v>48</v>
      </c>
      <c r="J2582" s="2" t="s">
        <v>8580</v>
      </c>
      <c r="K2582" s="4">
        <v>46153.310416666667</v>
      </c>
      <c r="L2582" s="2" t="s">
        <v>24</v>
      </c>
      <c r="M2582" s="2"/>
      <c r="N2582" t="s">
        <v>8585</v>
      </c>
      <c r="O2582" s="8">
        <f t="shared" si="80"/>
        <v>1.9500000000698492</v>
      </c>
      <c r="P2582" t="str">
        <f t="shared" si="81"/>
        <v>N/A</v>
      </c>
    </row>
    <row r="2583" spans="1:16" x14ac:dyDescent="0.25">
      <c r="A2583" s="2" t="s">
        <v>6950</v>
      </c>
      <c r="B2583" s="4">
        <v>46204.398611111108</v>
      </c>
      <c r="C2583" s="2" t="s">
        <v>67</v>
      </c>
      <c r="D2583" s="2" t="s">
        <v>68</v>
      </c>
      <c r="E2583" s="2" t="s">
        <v>18</v>
      </c>
      <c r="F2583" s="2" t="s">
        <v>55</v>
      </c>
      <c r="G2583" s="2" t="s">
        <v>101</v>
      </c>
      <c r="H2583" s="2" t="s">
        <v>21</v>
      </c>
      <c r="I2583" s="2">
        <v>24</v>
      </c>
      <c r="J2583" s="2" t="s">
        <v>106</v>
      </c>
      <c r="K2583" s="4">
        <v>46204.522222222222</v>
      </c>
      <c r="L2583" s="2" t="s">
        <v>24</v>
      </c>
      <c r="M2583" s="2">
        <v>5</v>
      </c>
      <c r="N2583" t="s">
        <v>8589</v>
      </c>
      <c r="O2583" s="8">
        <f t="shared" si="80"/>
        <v>2.9666666667326353</v>
      </c>
      <c r="P2583" t="str">
        <f t="shared" si="81"/>
        <v>Yes</v>
      </c>
    </row>
    <row r="2584" spans="1:16" x14ac:dyDescent="0.25">
      <c r="A2584" s="2" t="s">
        <v>6953</v>
      </c>
      <c r="B2584" s="4">
        <v>46196.890277777777</v>
      </c>
      <c r="C2584" s="2" t="s">
        <v>28</v>
      </c>
      <c r="D2584" s="2" t="s">
        <v>37</v>
      </c>
      <c r="E2584" s="2" t="s">
        <v>38</v>
      </c>
      <c r="F2584" s="2" t="s">
        <v>55</v>
      </c>
      <c r="G2584" s="2" t="s">
        <v>110</v>
      </c>
      <c r="H2584" s="2" t="s">
        <v>74</v>
      </c>
      <c r="I2584" s="2">
        <v>8</v>
      </c>
      <c r="J2584" s="2" t="s">
        <v>106</v>
      </c>
      <c r="K2584" s="4">
        <v>46197.157638888886</v>
      </c>
      <c r="L2584" s="2" t="s">
        <v>24</v>
      </c>
      <c r="M2584" s="2">
        <v>5</v>
      </c>
      <c r="N2584" t="s">
        <v>8585</v>
      </c>
      <c r="O2584" s="8">
        <f t="shared" si="80"/>
        <v>6.4166666666278616</v>
      </c>
      <c r="P2584" t="str">
        <f t="shared" si="81"/>
        <v>Yes</v>
      </c>
    </row>
    <row r="2585" spans="1:16" x14ac:dyDescent="0.25">
      <c r="A2585" s="2" t="s">
        <v>6956</v>
      </c>
      <c r="B2585" s="4">
        <v>46085.525694444441</v>
      </c>
      <c r="C2585" s="2" t="s">
        <v>28</v>
      </c>
      <c r="D2585" s="2" t="s">
        <v>100</v>
      </c>
      <c r="E2585" s="2" t="s">
        <v>85</v>
      </c>
      <c r="F2585" s="2" t="s">
        <v>96</v>
      </c>
      <c r="G2585" s="2" t="s">
        <v>31</v>
      </c>
      <c r="H2585" s="2" t="s">
        <v>32</v>
      </c>
      <c r="I2585" s="2">
        <v>48</v>
      </c>
      <c r="J2585" s="2" t="s">
        <v>8580</v>
      </c>
      <c r="K2585" s="4">
        <v>46085.575694444444</v>
      </c>
      <c r="L2585" s="2" t="s">
        <v>24</v>
      </c>
      <c r="M2585" s="2"/>
      <c r="N2585" t="s">
        <v>8581</v>
      </c>
      <c r="O2585" s="8">
        <f t="shared" si="80"/>
        <v>1.2000000000698492</v>
      </c>
      <c r="P2585" t="str">
        <f t="shared" si="81"/>
        <v>N/A</v>
      </c>
    </row>
    <row r="2586" spans="1:16" x14ac:dyDescent="0.25">
      <c r="A2586" s="2" t="s">
        <v>6959</v>
      </c>
      <c r="B2586" s="4">
        <v>46087.174305555556</v>
      </c>
      <c r="C2586" s="2" t="s">
        <v>28</v>
      </c>
      <c r="D2586" s="2" t="s">
        <v>100</v>
      </c>
      <c r="E2586" s="2" t="s">
        <v>90</v>
      </c>
      <c r="F2586" s="2" t="s">
        <v>30</v>
      </c>
      <c r="G2586" s="2" t="s">
        <v>110</v>
      </c>
      <c r="H2586" s="2" t="s">
        <v>21</v>
      </c>
      <c r="I2586" s="2">
        <v>24</v>
      </c>
      <c r="J2586" s="2" t="s">
        <v>287</v>
      </c>
      <c r="K2586" s="4" t="s">
        <v>8590</v>
      </c>
      <c r="L2586" s="2" t="s">
        <v>24</v>
      </c>
      <c r="M2586" s="2"/>
      <c r="N2586" t="s">
        <v>8585</v>
      </c>
      <c r="O2586" s="8" t="str">
        <f t="shared" si="80"/>
        <v/>
      </c>
      <c r="P2586" t="str">
        <f t="shared" si="81"/>
        <v>N/A</v>
      </c>
    </row>
    <row r="2587" spans="1:16" x14ac:dyDescent="0.25">
      <c r="A2587" s="2" t="s">
        <v>6961</v>
      </c>
      <c r="B2587" s="4">
        <v>46171.34097222222</v>
      </c>
      <c r="C2587" s="2" t="s">
        <v>67</v>
      </c>
      <c r="D2587" s="2" t="s">
        <v>95</v>
      </c>
      <c r="E2587" s="2" t="s">
        <v>79</v>
      </c>
      <c r="F2587" s="2" t="s">
        <v>96</v>
      </c>
      <c r="G2587" s="2" t="s">
        <v>179</v>
      </c>
      <c r="H2587" s="2" t="s">
        <v>32</v>
      </c>
      <c r="I2587" s="2">
        <v>48</v>
      </c>
      <c r="J2587" s="2" t="s">
        <v>106</v>
      </c>
      <c r="K2587" s="4">
        <v>46171.527777777781</v>
      </c>
      <c r="L2587" s="2" t="s">
        <v>24</v>
      </c>
      <c r="M2587" s="2">
        <v>3</v>
      </c>
      <c r="N2587" t="s">
        <v>8583</v>
      </c>
      <c r="O2587" s="8">
        <f t="shared" si="80"/>
        <v>4.4833333334536292</v>
      </c>
      <c r="P2587" t="str">
        <f t="shared" si="81"/>
        <v>Yes</v>
      </c>
    </row>
    <row r="2588" spans="1:16" x14ac:dyDescent="0.25">
      <c r="A2588" s="2" t="s">
        <v>6964</v>
      </c>
      <c r="B2588" s="4">
        <v>46214.874305555553</v>
      </c>
      <c r="C2588" s="2" t="s">
        <v>53</v>
      </c>
      <c r="D2588" s="2" t="s">
        <v>61</v>
      </c>
      <c r="E2588" s="2" t="s">
        <v>90</v>
      </c>
      <c r="F2588" s="2" t="s">
        <v>113</v>
      </c>
      <c r="G2588" s="2" t="s">
        <v>31</v>
      </c>
      <c r="H2588" s="2" t="s">
        <v>74</v>
      </c>
      <c r="I2588" s="2">
        <v>8</v>
      </c>
      <c r="J2588" s="2" t="s">
        <v>75</v>
      </c>
      <c r="K2588" s="4">
        <v>46215.053472222222</v>
      </c>
      <c r="L2588" s="2" t="s">
        <v>92</v>
      </c>
      <c r="M2588" s="2">
        <v>3</v>
      </c>
      <c r="N2588" t="s">
        <v>8582</v>
      </c>
      <c r="O2588" s="8">
        <f t="shared" si="80"/>
        <v>4.3000000000465661</v>
      </c>
      <c r="P2588" t="str">
        <f t="shared" si="81"/>
        <v>N/A</v>
      </c>
    </row>
    <row r="2589" spans="1:16" x14ac:dyDescent="0.25">
      <c r="A2589" s="2" t="s">
        <v>6967</v>
      </c>
      <c r="B2589" s="4">
        <v>46202.253472222219</v>
      </c>
      <c r="C2589" s="2" t="s">
        <v>53</v>
      </c>
      <c r="D2589" s="2" t="s">
        <v>61</v>
      </c>
      <c r="E2589" s="2" t="s">
        <v>46</v>
      </c>
      <c r="F2589" s="2" t="s">
        <v>113</v>
      </c>
      <c r="G2589" s="2" t="s">
        <v>183</v>
      </c>
      <c r="H2589" s="2" t="s">
        <v>21</v>
      </c>
      <c r="I2589" s="2">
        <v>24</v>
      </c>
      <c r="J2589" s="2" t="s">
        <v>11</v>
      </c>
      <c r="K2589" s="4" t="s">
        <v>8590</v>
      </c>
      <c r="L2589" s="2" t="s">
        <v>92</v>
      </c>
      <c r="M2589" s="2"/>
      <c r="N2589" t="s">
        <v>8581</v>
      </c>
      <c r="O2589" s="8" t="str">
        <f t="shared" si="80"/>
        <v/>
      </c>
      <c r="P2589" t="str">
        <f t="shared" si="81"/>
        <v>N/A</v>
      </c>
    </row>
    <row r="2590" spans="1:16" x14ac:dyDescent="0.25">
      <c r="A2590" s="2" t="s">
        <v>6969</v>
      </c>
      <c r="B2590" s="4">
        <v>46072.576388888891</v>
      </c>
      <c r="C2590" s="2" t="s">
        <v>67</v>
      </c>
      <c r="D2590" s="2" t="s">
        <v>95</v>
      </c>
      <c r="E2590" s="2" t="s">
        <v>85</v>
      </c>
      <c r="F2590" s="2" t="s">
        <v>55</v>
      </c>
      <c r="G2590" s="2" t="s">
        <v>101</v>
      </c>
      <c r="H2590" s="2" t="s">
        <v>21</v>
      </c>
      <c r="I2590" s="2">
        <v>24</v>
      </c>
      <c r="J2590" s="2" t="s">
        <v>106</v>
      </c>
      <c r="K2590" s="4">
        <v>46072.597916666666</v>
      </c>
      <c r="L2590" s="2" t="s">
        <v>24</v>
      </c>
      <c r="M2590" s="2"/>
      <c r="N2590" t="s">
        <v>8583</v>
      </c>
      <c r="O2590" s="8">
        <f t="shared" si="80"/>
        <v>0.5166666666045785</v>
      </c>
      <c r="P2590" t="str">
        <f t="shared" si="81"/>
        <v>Yes</v>
      </c>
    </row>
    <row r="2591" spans="1:16" x14ac:dyDescent="0.25">
      <c r="A2591" s="2" t="s">
        <v>6972</v>
      </c>
      <c r="B2591" s="4">
        <v>46125.663194444445</v>
      </c>
      <c r="C2591" s="2" t="s">
        <v>16</v>
      </c>
      <c r="D2591" s="2" t="s">
        <v>17</v>
      </c>
      <c r="E2591" s="2" t="s">
        <v>148</v>
      </c>
      <c r="F2591" s="2" t="s">
        <v>113</v>
      </c>
      <c r="G2591" s="2" t="s">
        <v>179</v>
      </c>
      <c r="H2591" s="2" t="s">
        <v>74</v>
      </c>
      <c r="I2591" s="2">
        <v>8</v>
      </c>
      <c r="J2591" s="2" t="s">
        <v>106</v>
      </c>
      <c r="K2591" s="4">
        <v>46125.729861111111</v>
      </c>
      <c r="L2591" s="2" t="s">
        <v>24</v>
      </c>
      <c r="M2591" s="2">
        <v>4</v>
      </c>
      <c r="N2591" t="s">
        <v>8587</v>
      </c>
      <c r="O2591" s="8">
        <f t="shared" si="80"/>
        <v>1.5999999999767169</v>
      </c>
      <c r="P2591" t="str">
        <f t="shared" si="81"/>
        <v>Yes</v>
      </c>
    </row>
    <row r="2592" spans="1:16" x14ac:dyDescent="0.25">
      <c r="A2592" s="2" t="s">
        <v>6975</v>
      </c>
      <c r="B2592" s="4">
        <v>46215.613194444442</v>
      </c>
      <c r="C2592" s="2" t="s">
        <v>67</v>
      </c>
      <c r="D2592" s="2" t="s">
        <v>95</v>
      </c>
      <c r="E2592" s="2" t="s">
        <v>85</v>
      </c>
      <c r="F2592" s="2" t="s">
        <v>113</v>
      </c>
      <c r="G2592" s="2" t="s">
        <v>31</v>
      </c>
      <c r="H2592" s="2" t="s">
        <v>74</v>
      </c>
      <c r="I2592" s="2">
        <v>8</v>
      </c>
      <c r="J2592" s="2" t="s">
        <v>75</v>
      </c>
      <c r="K2592" s="4">
        <v>46215.736805555556</v>
      </c>
      <c r="L2592" s="2" t="s">
        <v>24</v>
      </c>
      <c r="M2592" s="2"/>
      <c r="N2592" t="s">
        <v>8585</v>
      </c>
      <c r="O2592" s="8">
        <f t="shared" si="80"/>
        <v>2.9666666667326353</v>
      </c>
      <c r="P2592" t="str">
        <f t="shared" si="81"/>
        <v>N/A</v>
      </c>
    </row>
    <row r="2593" spans="1:16" x14ac:dyDescent="0.25">
      <c r="A2593" s="2" t="s">
        <v>6978</v>
      </c>
      <c r="B2593" s="4">
        <v>46146.395833333336</v>
      </c>
      <c r="C2593" s="2" t="s">
        <v>16</v>
      </c>
      <c r="D2593" s="2" t="s">
        <v>17</v>
      </c>
      <c r="E2593" s="2" t="s">
        <v>18</v>
      </c>
      <c r="F2593" s="2" t="s">
        <v>113</v>
      </c>
      <c r="G2593" s="2" t="s">
        <v>31</v>
      </c>
      <c r="H2593" s="2" t="s">
        <v>80</v>
      </c>
      <c r="I2593" s="2">
        <v>4</v>
      </c>
      <c r="J2593" s="2" t="s">
        <v>106</v>
      </c>
      <c r="K2593" s="4">
        <v>46146.53125</v>
      </c>
      <c r="L2593" s="2" t="s">
        <v>24</v>
      </c>
      <c r="M2593" s="2"/>
      <c r="N2593" t="s">
        <v>8581</v>
      </c>
      <c r="O2593" s="8">
        <f t="shared" si="80"/>
        <v>3.2499999999417923</v>
      </c>
      <c r="P2593" t="str">
        <f t="shared" si="81"/>
        <v>Yes</v>
      </c>
    </row>
    <row r="2594" spans="1:16" x14ac:dyDescent="0.25">
      <c r="A2594" s="2" t="s">
        <v>6981</v>
      </c>
      <c r="B2594" s="4">
        <v>46045.461805555555</v>
      </c>
      <c r="C2594" s="2" t="s">
        <v>67</v>
      </c>
      <c r="D2594" s="2" t="s">
        <v>95</v>
      </c>
      <c r="E2594" s="2" t="s">
        <v>85</v>
      </c>
      <c r="F2594" s="2" t="s">
        <v>113</v>
      </c>
      <c r="G2594" s="2" t="s">
        <v>183</v>
      </c>
      <c r="H2594" s="2" t="s">
        <v>80</v>
      </c>
      <c r="I2594" s="2">
        <v>4</v>
      </c>
      <c r="J2594" s="2" t="s">
        <v>75</v>
      </c>
      <c r="K2594" s="4">
        <v>46045.595833333333</v>
      </c>
      <c r="L2594" s="2" t="s">
        <v>24</v>
      </c>
      <c r="M2594" s="2">
        <v>3</v>
      </c>
      <c r="N2594" t="s">
        <v>8584</v>
      </c>
      <c r="O2594" s="8">
        <f t="shared" si="80"/>
        <v>3.2166666666744277</v>
      </c>
      <c r="P2594" t="str">
        <f t="shared" si="81"/>
        <v>N/A</v>
      </c>
    </row>
    <row r="2595" spans="1:16" x14ac:dyDescent="0.25">
      <c r="A2595" s="2" t="s">
        <v>6984</v>
      </c>
      <c r="B2595" s="4">
        <v>46162.582638888889</v>
      </c>
      <c r="C2595" s="2" t="s">
        <v>67</v>
      </c>
      <c r="D2595" s="2" t="s">
        <v>68</v>
      </c>
      <c r="E2595" s="2" t="s">
        <v>90</v>
      </c>
      <c r="F2595" s="2" t="s">
        <v>30</v>
      </c>
      <c r="G2595" s="2" t="s">
        <v>183</v>
      </c>
      <c r="H2595" s="2" t="s">
        <v>32</v>
      </c>
      <c r="I2595" s="2">
        <v>48</v>
      </c>
      <c r="J2595" s="2" t="s">
        <v>11</v>
      </c>
      <c r="K2595" s="4" t="s">
        <v>8590</v>
      </c>
      <c r="L2595" s="2" t="s">
        <v>92</v>
      </c>
      <c r="M2595" s="2"/>
      <c r="N2595" t="s">
        <v>8589</v>
      </c>
      <c r="O2595" s="8" t="str">
        <f t="shared" si="80"/>
        <v/>
      </c>
      <c r="P2595" t="str">
        <f t="shared" si="81"/>
        <v>N/A</v>
      </c>
    </row>
    <row r="2596" spans="1:16" x14ac:dyDescent="0.25">
      <c r="A2596" s="2" t="s">
        <v>6986</v>
      </c>
      <c r="B2596" s="4">
        <v>46189.093055555553</v>
      </c>
      <c r="C2596" s="2" t="s">
        <v>16</v>
      </c>
      <c r="D2596" s="2" t="s">
        <v>17</v>
      </c>
      <c r="E2596" s="2" t="s">
        <v>46</v>
      </c>
      <c r="F2596" s="2" t="s">
        <v>113</v>
      </c>
      <c r="G2596" s="2" t="s">
        <v>179</v>
      </c>
      <c r="H2596" s="2" t="s">
        <v>32</v>
      </c>
      <c r="I2596" s="2">
        <v>48</v>
      </c>
      <c r="J2596" s="2" t="s">
        <v>106</v>
      </c>
      <c r="K2596" s="4">
        <v>46189.775000000001</v>
      </c>
      <c r="L2596" s="2" t="s">
        <v>24</v>
      </c>
      <c r="M2596" s="2">
        <v>5</v>
      </c>
      <c r="N2596" t="s">
        <v>8588</v>
      </c>
      <c r="O2596" s="8">
        <f t="shared" si="80"/>
        <v>16.366666666755918</v>
      </c>
      <c r="P2596" t="str">
        <f t="shared" si="81"/>
        <v>Yes</v>
      </c>
    </row>
    <row r="2597" spans="1:16" x14ac:dyDescent="0.25">
      <c r="A2597" s="2" t="s">
        <v>6989</v>
      </c>
      <c r="B2597" s="4">
        <v>46240.395138888889</v>
      </c>
      <c r="C2597" s="2" t="s">
        <v>16</v>
      </c>
      <c r="D2597" s="2" t="s">
        <v>84</v>
      </c>
      <c r="E2597" s="2" t="s">
        <v>148</v>
      </c>
      <c r="F2597" s="2" t="s">
        <v>55</v>
      </c>
      <c r="G2597" s="2" t="s">
        <v>183</v>
      </c>
      <c r="H2597" s="2" t="s">
        <v>21</v>
      </c>
      <c r="I2597" s="2">
        <v>24</v>
      </c>
      <c r="J2597" s="2" t="s">
        <v>287</v>
      </c>
      <c r="K2597" s="4" t="s">
        <v>8590</v>
      </c>
      <c r="L2597" s="2" t="s">
        <v>24</v>
      </c>
      <c r="M2597" s="2"/>
      <c r="N2597" t="s">
        <v>8589</v>
      </c>
      <c r="O2597" s="8" t="str">
        <f t="shared" si="80"/>
        <v/>
      </c>
      <c r="P2597" t="str">
        <f t="shared" si="81"/>
        <v>N/A</v>
      </c>
    </row>
    <row r="2598" spans="1:16" x14ac:dyDescent="0.25">
      <c r="A2598" s="2" t="s">
        <v>6991</v>
      </c>
      <c r="B2598" s="4">
        <v>46264.90625</v>
      </c>
      <c r="C2598" s="2" t="s">
        <v>53</v>
      </c>
      <c r="D2598" s="2" t="s">
        <v>54</v>
      </c>
      <c r="E2598" s="2" t="s">
        <v>79</v>
      </c>
      <c r="F2598" s="2" t="s">
        <v>96</v>
      </c>
      <c r="G2598" s="2" t="s">
        <v>110</v>
      </c>
      <c r="H2598" s="2" t="s">
        <v>74</v>
      </c>
      <c r="I2598" s="2">
        <v>8</v>
      </c>
      <c r="J2598" s="2" t="s">
        <v>11</v>
      </c>
      <c r="K2598" s="4" t="s">
        <v>8590</v>
      </c>
      <c r="L2598" s="2" t="s">
        <v>92</v>
      </c>
      <c r="M2598" s="2"/>
      <c r="N2598" t="s">
        <v>8585</v>
      </c>
      <c r="O2598" s="8" t="str">
        <f t="shared" si="80"/>
        <v/>
      </c>
      <c r="P2598" t="str">
        <f t="shared" si="81"/>
        <v>N/A</v>
      </c>
    </row>
    <row r="2599" spans="1:16" x14ac:dyDescent="0.25">
      <c r="A2599" s="2" t="s">
        <v>6993</v>
      </c>
      <c r="B2599" s="4">
        <v>46086.434027777781</v>
      </c>
      <c r="C2599" s="2" t="s">
        <v>28</v>
      </c>
      <c r="D2599" s="2" t="s">
        <v>37</v>
      </c>
      <c r="E2599" s="2" t="s">
        <v>90</v>
      </c>
      <c r="F2599" s="2" t="s">
        <v>55</v>
      </c>
      <c r="G2599" s="2" t="s">
        <v>211</v>
      </c>
      <c r="H2599" s="2" t="s">
        <v>21</v>
      </c>
      <c r="I2599" s="2">
        <v>24</v>
      </c>
      <c r="J2599" s="2" t="s">
        <v>106</v>
      </c>
      <c r="K2599" s="4">
        <v>46087.170138888891</v>
      </c>
      <c r="L2599" s="2" t="s">
        <v>92</v>
      </c>
      <c r="M2599" s="2"/>
      <c r="N2599" t="s">
        <v>8584</v>
      </c>
      <c r="O2599" s="8">
        <f t="shared" si="80"/>
        <v>17.666666666627862</v>
      </c>
      <c r="P2599" t="str">
        <f t="shared" si="81"/>
        <v>Yes</v>
      </c>
    </row>
    <row r="2600" spans="1:16" x14ac:dyDescent="0.25">
      <c r="A2600" s="2" t="s">
        <v>6996</v>
      </c>
      <c r="B2600" s="4">
        <v>46137.78125</v>
      </c>
      <c r="C2600" s="2" t="s">
        <v>28</v>
      </c>
      <c r="D2600" s="2" t="s">
        <v>37</v>
      </c>
      <c r="E2600" s="2" t="s">
        <v>79</v>
      </c>
      <c r="F2600" s="2" t="s">
        <v>113</v>
      </c>
      <c r="G2600" s="2" t="s">
        <v>110</v>
      </c>
      <c r="H2600" s="2" t="s">
        <v>32</v>
      </c>
      <c r="I2600" s="2">
        <v>48</v>
      </c>
      <c r="J2600" s="2" t="s">
        <v>75</v>
      </c>
      <c r="K2600" s="4">
        <v>46138.954861111109</v>
      </c>
      <c r="L2600" s="2" t="s">
        <v>24</v>
      </c>
      <c r="M2600" s="2">
        <v>5</v>
      </c>
      <c r="N2600" t="s">
        <v>8584</v>
      </c>
      <c r="O2600" s="8">
        <f t="shared" si="80"/>
        <v>28.166666666627862</v>
      </c>
      <c r="P2600" t="str">
        <f t="shared" si="81"/>
        <v>N/A</v>
      </c>
    </row>
    <row r="2601" spans="1:16" x14ac:dyDescent="0.25">
      <c r="A2601" s="2" t="s">
        <v>6999</v>
      </c>
      <c r="B2601" s="4">
        <v>46107.01666666667</v>
      </c>
      <c r="C2601" s="2" t="s">
        <v>53</v>
      </c>
      <c r="D2601" s="2" t="s">
        <v>61</v>
      </c>
      <c r="E2601" s="2" t="s">
        <v>148</v>
      </c>
      <c r="F2601" s="2" t="s">
        <v>96</v>
      </c>
      <c r="G2601" s="2" t="s">
        <v>31</v>
      </c>
      <c r="H2601" s="2" t="s">
        <v>80</v>
      </c>
      <c r="I2601" s="2">
        <v>4</v>
      </c>
      <c r="J2601" s="2" t="s">
        <v>75</v>
      </c>
      <c r="K2601" s="4">
        <v>46107.296527777777</v>
      </c>
      <c r="L2601" s="2" t="s">
        <v>24</v>
      </c>
      <c r="M2601" s="2">
        <v>5</v>
      </c>
      <c r="N2601" t="s">
        <v>8581</v>
      </c>
      <c r="O2601" s="8">
        <f t="shared" si="80"/>
        <v>6.7166666665580124</v>
      </c>
      <c r="P2601" t="str">
        <f t="shared" si="81"/>
        <v>N/A</v>
      </c>
    </row>
    <row r="2602" spans="1:16" x14ac:dyDescent="0.25">
      <c r="A2602" s="2" t="s">
        <v>7001</v>
      </c>
      <c r="B2602" s="4">
        <v>46102.518055555556</v>
      </c>
      <c r="C2602" s="2" t="s">
        <v>28</v>
      </c>
      <c r="D2602" s="2" t="s">
        <v>100</v>
      </c>
      <c r="E2602" s="2" t="s">
        <v>148</v>
      </c>
      <c r="F2602" s="2" t="s">
        <v>55</v>
      </c>
      <c r="G2602" s="2" t="s">
        <v>31</v>
      </c>
      <c r="H2602" s="2" t="s">
        <v>32</v>
      </c>
      <c r="I2602" s="2">
        <v>48</v>
      </c>
      <c r="J2602" s="2" t="s">
        <v>149</v>
      </c>
      <c r="K2602" s="4" t="s">
        <v>8590</v>
      </c>
      <c r="L2602" s="2" t="s">
        <v>24</v>
      </c>
      <c r="M2602" s="2"/>
      <c r="N2602" t="s">
        <v>8582</v>
      </c>
      <c r="O2602" s="8" t="str">
        <f t="shared" si="80"/>
        <v/>
      </c>
      <c r="P2602" t="str">
        <f t="shared" si="81"/>
        <v>N/A</v>
      </c>
    </row>
    <row r="2603" spans="1:16" x14ac:dyDescent="0.25">
      <c r="A2603" s="2" t="s">
        <v>7003</v>
      </c>
      <c r="B2603" s="4">
        <v>46261.234027777777</v>
      </c>
      <c r="C2603" s="2" t="s">
        <v>16</v>
      </c>
      <c r="D2603" s="2" t="s">
        <v>84</v>
      </c>
      <c r="E2603" s="2" t="s">
        <v>85</v>
      </c>
      <c r="F2603" s="2" t="s">
        <v>96</v>
      </c>
      <c r="G2603" s="2" t="s">
        <v>179</v>
      </c>
      <c r="H2603" s="2" t="s">
        <v>74</v>
      </c>
      <c r="I2603" s="2">
        <v>8</v>
      </c>
      <c r="J2603" s="2" t="s">
        <v>106</v>
      </c>
      <c r="K2603" s="4">
        <v>46261.407638888886</v>
      </c>
      <c r="L2603" s="2" t="s">
        <v>24</v>
      </c>
      <c r="M2603" s="2">
        <v>4</v>
      </c>
      <c r="N2603" t="s">
        <v>8582</v>
      </c>
      <c r="O2603" s="8">
        <f t="shared" si="80"/>
        <v>4.1666666666278616</v>
      </c>
      <c r="P2603" t="str">
        <f t="shared" si="81"/>
        <v>Yes</v>
      </c>
    </row>
    <row r="2604" spans="1:16" x14ac:dyDescent="0.25">
      <c r="A2604" s="2" t="s">
        <v>7006</v>
      </c>
      <c r="B2604" s="4">
        <v>46234.554861111108</v>
      </c>
      <c r="C2604" s="2" t="s">
        <v>53</v>
      </c>
      <c r="D2604" s="2" t="s">
        <v>61</v>
      </c>
      <c r="E2604" s="2" t="s">
        <v>18</v>
      </c>
      <c r="F2604" s="2" t="s">
        <v>55</v>
      </c>
      <c r="G2604" s="2" t="s">
        <v>183</v>
      </c>
      <c r="H2604" s="2" t="s">
        <v>74</v>
      </c>
      <c r="I2604" s="2">
        <v>8</v>
      </c>
      <c r="J2604" s="2" t="s">
        <v>106</v>
      </c>
      <c r="K2604" s="4">
        <v>46234.706250000003</v>
      </c>
      <c r="L2604" s="2" t="s">
        <v>24</v>
      </c>
      <c r="M2604" s="2">
        <v>5</v>
      </c>
      <c r="N2604" t="s">
        <v>8584</v>
      </c>
      <c r="O2604" s="8">
        <f t="shared" si="80"/>
        <v>3.6333333334769122</v>
      </c>
      <c r="P2604" t="str">
        <f t="shared" si="81"/>
        <v>Yes</v>
      </c>
    </row>
    <row r="2605" spans="1:16" x14ac:dyDescent="0.25">
      <c r="A2605" s="2" t="s">
        <v>7009</v>
      </c>
      <c r="B2605" s="4">
        <v>46205.212500000001</v>
      </c>
      <c r="C2605" s="2" t="s">
        <v>28</v>
      </c>
      <c r="D2605" s="2" t="s">
        <v>100</v>
      </c>
      <c r="E2605" s="2" t="s">
        <v>148</v>
      </c>
      <c r="F2605" s="2" t="s">
        <v>30</v>
      </c>
      <c r="G2605" s="2" t="s">
        <v>179</v>
      </c>
      <c r="H2605" s="2" t="s">
        <v>21</v>
      </c>
      <c r="I2605" s="2">
        <v>24</v>
      </c>
      <c r="J2605" s="2" t="s">
        <v>287</v>
      </c>
      <c r="K2605" s="4" t="s">
        <v>8590</v>
      </c>
      <c r="L2605" s="2" t="s">
        <v>24</v>
      </c>
      <c r="M2605" s="2"/>
      <c r="N2605" t="s">
        <v>8584</v>
      </c>
      <c r="O2605" s="8" t="str">
        <f t="shared" si="80"/>
        <v/>
      </c>
      <c r="P2605" t="str">
        <f t="shared" si="81"/>
        <v>N/A</v>
      </c>
    </row>
    <row r="2606" spans="1:16" x14ac:dyDescent="0.25">
      <c r="A2606" s="2" t="s">
        <v>7011</v>
      </c>
      <c r="B2606" s="4">
        <v>46123.378472222219</v>
      </c>
      <c r="C2606" s="2" t="s">
        <v>53</v>
      </c>
      <c r="D2606" s="2" t="s">
        <v>54</v>
      </c>
      <c r="E2606" s="2" t="s">
        <v>38</v>
      </c>
      <c r="F2606" s="2" t="s">
        <v>55</v>
      </c>
      <c r="G2606" s="2" t="s">
        <v>31</v>
      </c>
      <c r="H2606" s="2" t="s">
        <v>21</v>
      </c>
      <c r="I2606" s="2">
        <v>24</v>
      </c>
      <c r="J2606" s="2" t="s">
        <v>149</v>
      </c>
      <c r="K2606" s="4" t="s">
        <v>8590</v>
      </c>
      <c r="L2606" s="2" t="s">
        <v>24</v>
      </c>
      <c r="M2606" s="2"/>
      <c r="N2606" t="s">
        <v>8581</v>
      </c>
      <c r="O2606" s="8" t="str">
        <f t="shared" si="80"/>
        <v/>
      </c>
      <c r="P2606" t="str">
        <f t="shared" si="81"/>
        <v>N/A</v>
      </c>
    </row>
    <row r="2607" spans="1:16" x14ac:dyDescent="0.25">
      <c r="A2607" s="2" t="s">
        <v>7013</v>
      </c>
      <c r="B2607" s="4">
        <v>46187.40625</v>
      </c>
      <c r="C2607" s="2" t="s">
        <v>67</v>
      </c>
      <c r="D2607" s="2" t="s">
        <v>95</v>
      </c>
      <c r="E2607" s="2" t="s">
        <v>90</v>
      </c>
      <c r="F2607" s="2" t="s">
        <v>96</v>
      </c>
      <c r="G2607" s="2" t="s">
        <v>110</v>
      </c>
      <c r="H2607" s="2" t="s">
        <v>32</v>
      </c>
      <c r="I2607" s="2">
        <v>48</v>
      </c>
      <c r="J2607" s="2" t="s">
        <v>11</v>
      </c>
      <c r="K2607" s="4" t="s">
        <v>8590</v>
      </c>
      <c r="L2607" s="2" t="s">
        <v>92</v>
      </c>
      <c r="M2607" s="2"/>
      <c r="N2607" t="s">
        <v>8585</v>
      </c>
      <c r="O2607" s="8" t="str">
        <f t="shared" si="80"/>
        <v/>
      </c>
      <c r="P2607" t="str">
        <f t="shared" si="81"/>
        <v>N/A</v>
      </c>
    </row>
    <row r="2608" spans="1:16" x14ac:dyDescent="0.25">
      <c r="A2608" s="2" t="s">
        <v>7015</v>
      </c>
      <c r="B2608" s="4">
        <v>46083.5625</v>
      </c>
      <c r="C2608" s="2" t="s">
        <v>67</v>
      </c>
      <c r="D2608" s="2" t="s">
        <v>68</v>
      </c>
      <c r="E2608" s="2" t="s">
        <v>85</v>
      </c>
      <c r="F2608" s="2" t="s">
        <v>30</v>
      </c>
      <c r="G2608" s="2" t="s">
        <v>31</v>
      </c>
      <c r="H2608" s="2" t="s">
        <v>80</v>
      </c>
      <c r="I2608" s="2">
        <v>4</v>
      </c>
      <c r="J2608" s="2" t="s">
        <v>75</v>
      </c>
      <c r="K2608" s="4">
        <v>46083.618055555555</v>
      </c>
      <c r="L2608" s="2" t="s">
        <v>24</v>
      </c>
      <c r="M2608" s="2">
        <v>5</v>
      </c>
      <c r="N2608" t="s">
        <v>8582</v>
      </c>
      <c r="O2608" s="8">
        <f t="shared" si="80"/>
        <v>1.3333333333139308</v>
      </c>
      <c r="P2608" t="str">
        <f t="shared" si="81"/>
        <v>N/A</v>
      </c>
    </row>
    <row r="2609" spans="1:16" x14ac:dyDescent="0.25">
      <c r="A2609" s="2" t="s">
        <v>7018</v>
      </c>
      <c r="B2609" s="4">
        <v>46222.744444444441</v>
      </c>
      <c r="C2609" s="2" t="s">
        <v>53</v>
      </c>
      <c r="D2609" s="2" t="s">
        <v>54</v>
      </c>
      <c r="E2609" s="2" t="s">
        <v>46</v>
      </c>
      <c r="F2609" s="2" t="s">
        <v>55</v>
      </c>
      <c r="G2609" s="2" t="s">
        <v>179</v>
      </c>
      <c r="H2609" s="2" t="s">
        <v>32</v>
      </c>
      <c r="I2609" s="2">
        <v>48</v>
      </c>
      <c r="J2609" s="2" t="s">
        <v>106</v>
      </c>
      <c r="K2609" s="4">
        <v>46223.316666666666</v>
      </c>
      <c r="L2609" s="2" t="s">
        <v>24</v>
      </c>
      <c r="M2609" s="2"/>
      <c r="N2609" t="s">
        <v>8589</v>
      </c>
      <c r="O2609" s="8">
        <f t="shared" si="80"/>
        <v>13.733333333395422</v>
      </c>
      <c r="P2609" t="str">
        <f t="shared" si="81"/>
        <v>Yes</v>
      </c>
    </row>
    <row r="2610" spans="1:16" x14ac:dyDescent="0.25">
      <c r="A2610" s="2" t="s">
        <v>7021</v>
      </c>
      <c r="B2610" s="4">
        <v>46233.343055555553</v>
      </c>
      <c r="C2610" s="2" t="s">
        <v>53</v>
      </c>
      <c r="D2610" s="2" t="s">
        <v>61</v>
      </c>
      <c r="E2610" s="2" t="s">
        <v>90</v>
      </c>
      <c r="F2610" s="2" t="s">
        <v>96</v>
      </c>
      <c r="G2610" s="2" t="s">
        <v>110</v>
      </c>
      <c r="H2610" s="2" t="s">
        <v>80</v>
      </c>
      <c r="I2610" s="2">
        <v>4</v>
      </c>
      <c r="J2610" s="2" t="s">
        <v>106</v>
      </c>
      <c r="K2610" s="4">
        <v>46233.558333333334</v>
      </c>
      <c r="L2610" s="2" t="s">
        <v>24</v>
      </c>
      <c r="M2610" s="2">
        <v>3</v>
      </c>
      <c r="N2610" t="s">
        <v>8587</v>
      </c>
      <c r="O2610" s="8">
        <f t="shared" si="80"/>
        <v>5.1666666667442769</v>
      </c>
      <c r="P2610" t="str">
        <f t="shared" si="81"/>
        <v>No</v>
      </c>
    </row>
    <row r="2611" spans="1:16" x14ac:dyDescent="0.25">
      <c r="A2611" s="2" t="s">
        <v>7024</v>
      </c>
      <c r="B2611" s="4">
        <v>46260.616666666669</v>
      </c>
      <c r="C2611" s="2" t="s">
        <v>67</v>
      </c>
      <c r="D2611" s="2" t="s">
        <v>68</v>
      </c>
      <c r="E2611" s="2" t="s">
        <v>79</v>
      </c>
      <c r="F2611" s="2" t="s">
        <v>113</v>
      </c>
      <c r="G2611" s="2" t="s">
        <v>179</v>
      </c>
      <c r="H2611" s="2" t="s">
        <v>80</v>
      </c>
      <c r="I2611" s="2">
        <v>4</v>
      </c>
      <c r="J2611" s="2" t="s">
        <v>106</v>
      </c>
      <c r="K2611" s="4">
        <v>46260.648611111108</v>
      </c>
      <c r="L2611" s="2" t="s">
        <v>24</v>
      </c>
      <c r="M2611" s="2">
        <v>3</v>
      </c>
      <c r="N2611" t="s">
        <v>8588</v>
      </c>
      <c r="O2611" s="8">
        <f t="shared" si="80"/>
        <v>0.76666666654637083</v>
      </c>
      <c r="P2611" t="str">
        <f t="shared" si="81"/>
        <v>Yes</v>
      </c>
    </row>
    <row r="2612" spans="1:16" x14ac:dyDescent="0.25">
      <c r="A2612" s="2" t="s">
        <v>7027</v>
      </c>
      <c r="B2612" s="4">
        <v>46136.123611111114</v>
      </c>
      <c r="C2612" s="2" t="s">
        <v>28</v>
      </c>
      <c r="D2612" s="2" t="s">
        <v>100</v>
      </c>
      <c r="E2612" s="2" t="s">
        <v>38</v>
      </c>
      <c r="F2612" s="2" t="s">
        <v>113</v>
      </c>
      <c r="G2612" s="2" t="s">
        <v>31</v>
      </c>
      <c r="H2612" s="2" t="s">
        <v>32</v>
      </c>
      <c r="I2612" s="2">
        <v>48</v>
      </c>
      <c r="J2612" s="2" t="s">
        <v>75</v>
      </c>
      <c r="K2612" s="4">
        <v>46136.895833333336</v>
      </c>
      <c r="L2612" s="2" t="s">
        <v>24</v>
      </c>
      <c r="M2612" s="2">
        <v>2</v>
      </c>
      <c r="N2612" t="s">
        <v>8584</v>
      </c>
      <c r="O2612" s="8">
        <f t="shared" si="80"/>
        <v>18.533333333325572</v>
      </c>
      <c r="P2612" t="str">
        <f t="shared" si="81"/>
        <v>N/A</v>
      </c>
    </row>
    <row r="2613" spans="1:16" x14ac:dyDescent="0.25">
      <c r="A2613" s="2" t="s">
        <v>7030</v>
      </c>
      <c r="B2613" s="4">
        <v>46089.993055555555</v>
      </c>
      <c r="C2613" s="2" t="s">
        <v>16</v>
      </c>
      <c r="D2613" s="2" t="s">
        <v>84</v>
      </c>
      <c r="E2613" s="2" t="s">
        <v>79</v>
      </c>
      <c r="F2613" s="2" t="s">
        <v>96</v>
      </c>
      <c r="G2613" s="2" t="s">
        <v>179</v>
      </c>
      <c r="H2613" s="2" t="s">
        <v>21</v>
      </c>
      <c r="I2613" s="2">
        <v>24</v>
      </c>
      <c r="J2613" s="2" t="s">
        <v>75</v>
      </c>
      <c r="K2613" s="4">
        <v>46090.310416666667</v>
      </c>
      <c r="L2613" s="2" t="s">
        <v>24</v>
      </c>
      <c r="M2613" s="2"/>
      <c r="N2613" t="s">
        <v>8587</v>
      </c>
      <c r="O2613" s="8">
        <f t="shared" si="80"/>
        <v>7.6166666666977108</v>
      </c>
      <c r="P2613" t="str">
        <f t="shared" si="81"/>
        <v>N/A</v>
      </c>
    </row>
    <row r="2614" spans="1:16" x14ac:dyDescent="0.25">
      <c r="A2614" s="2" t="s">
        <v>7033</v>
      </c>
      <c r="B2614" s="4">
        <v>46159.47152777778</v>
      </c>
      <c r="C2614" s="2" t="s">
        <v>16</v>
      </c>
      <c r="D2614" s="2" t="s">
        <v>17</v>
      </c>
      <c r="E2614" s="2" t="s">
        <v>79</v>
      </c>
      <c r="F2614" s="2" t="s">
        <v>30</v>
      </c>
      <c r="G2614" s="2" t="s">
        <v>31</v>
      </c>
      <c r="H2614" s="2" t="s">
        <v>32</v>
      </c>
      <c r="I2614" s="2">
        <v>48</v>
      </c>
      <c r="J2614" s="2" t="s">
        <v>106</v>
      </c>
      <c r="K2614" s="4">
        <v>46159.720833333333</v>
      </c>
      <c r="L2614" s="2" t="s">
        <v>24</v>
      </c>
      <c r="M2614" s="2">
        <v>3</v>
      </c>
      <c r="N2614" t="s">
        <v>8587</v>
      </c>
      <c r="O2614" s="8">
        <f t="shared" si="80"/>
        <v>5.9833333332790062</v>
      </c>
      <c r="P2614" t="str">
        <f t="shared" si="81"/>
        <v>Yes</v>
      </c>
    </row>
    <row r="2615" spans="1:16" x14ac:dyDescent="0.25">
      <c r="A2615" s="2" t="s">
        <v>7036</v>
      </c>
      <c r="B2615" s="4">
        <v>46234.904166666667</v>
      </c>
      <c r="C2615" s="2" t="s">
        <v>16</v>
      </c>
      <c r="D2615" s="2" t="s">
        <v>84</v>
      </c>
      <c r="E2615" s="2" t="s">
        <v>79</v>
      </c>
      <c r="F2615" s="2" t="s">
        <v>55</v>
      </c>
      <c r="G2615" s="2" t="s">
        <v>179</v>
      </c>
      <c r="H2615" s="2" t="s">
        <v>32</v>
      </c>
      <c r="I2615" s="2">
        <v>48</v>
      </c>
      <c r="J2615" s="2" t="s">
        <v>149</v>
      </c>
      <c r="K2615" s="4" t="s">
        <v>8590</v>
      </c>
      <c r="L2615" s="2" t="s">
        <v>24</v>
      </c>
      <c r="M2615" s="2"/>
      <c r="N2615" t="s">
        <v>8582</v>
      </c>
      <c r="O2615" s="8" t="str">
        <f t="shared" si="80"/>
        <v/>
      </c>
      <c r="P2615" t="str">
        <f t="shared" si="81"/>
        <v>N/A</v>
      </c>
    </row>
    <row r="2616" spans="1:16" x14ac:dyDescent="0.25">
      <c r="A2616" s="2" t="s">
        <v>7038</v>
      </c>
      <c r="B2616" s="4">
        <v>46212.447916666664</v>
      </c>
      <c r="C2616" s="2" t="s">
        <v>53</v>
      </c>
      <c r="D2616" s="2" t="s">
        <v>61</v>
      </c>
      <c r="E2616" s="2" t="s">
        <v>148</v>
      </c>
      <c r="F2616" s="2" t="s">
        <v>96</v>
      </c>
      <c r="G2616" s="2" t="s">
        <v>179</v>
      </c>
      <c r="H2616" s="2" t="s">
        <v>21</v>
      </c>
      <c r="I2616" s="2">
        <v>24</v>
      </c>
      <c r="J2616" s="2" t="s">
        <v>106</v>
      </c>
      <c r="K2616" s="4">
        <v>46215.087500000001</v>
      </c>
      <c r="L2616" s="2" t="s">
        <v>24</v>
      </c>
      <c r="M2616" s="2">
        <v>1</v>
      </c>
      <c r="N2616" t="s">
        <v>8582</v>
      </c>
      <c r="O2616" s="8">
        <f t="shared" si="80"/>
        <v>63.350000000093132</v>
      </c>
      <c r="P2616" t="str">
        <f t="shared" si="81"/>
        <v>No</v>
      </c>
    </row>
    <row r="2617" spans="1:16" x14ac:dyDescent="0.25">
      <c r="A2617" s="2" t="s">
        <v>7041</v>
      </c>
      <c r="B2617" s="4">
        <v>46261.978472222225</v>
      </c>
      <c r="C2617" s="2" t="s">
        <v>67</v>
      </c>
      <c r="D2617" s="2" t="s">
        <v>95</v>
      </c>
      <c r="E2617" s="2" t="s">
        <v>38</v>
      </c>
      <c r="F2617" s="2" t="s">
        <v>96</v>
      </c>
      <c r="G2617" s="2" t="s">
        <v>101</v>
      </c>
      <c r="H2617" s="2" t="s">
        <v>21</v>
      </c>
      <c r="I2617" s="2">
        <v>24</v>
      </c>
      <c r="J2617" s="2" t="s">
        <v>106</v>
      </c>
      <c r="K2617" s="4">
        <v>46264.552083333336</v>
      </c>
      <c r="L2617" s="2" t="s">
        <v>24</v>
      </c>
      <c r="M2617" s="2">
        <v>1</v>
      </c>
      <c r="N2617" t="s">
        <v>8581</v>
      </c>
      <c r="O2617" s="8">
        <f t="shared" si="80"/>
        <v>61.766666666662786</v>
      </c>
      <c r="P2617" t="str">
        <f t="shared" si="81"/>
        <v>No</v>
      </c>
    </row>
    <row r="2618" spans="1:16" x14ac:dyDescent="0.25">
      <c r="A2618" s="2" t="s">
        <v>7044</v>
      </c>
      <c r="B2618" s="4">
        <v>46177.849305555559</v>
      </c>
      <c r="C2618" s="2" t="s">
        <v>16</v>
      </c>
      <c r="D2618" s="2" t="s">
        <v>17</v>
      </c>
      <c r="E2618" s="2" t="s">
        <v>85</v>
      </c>
      <c r="F2618" s="2" t="s">
        <v>96</v>
      </c>
      <c r="G2618" s="2" t="s">
        <v>179</v>
      </c>
      <c r="H2618" s="2" t="s">
        <v>21</v>
      </c>
      <c r="I2618" s="2">
        <v>24</v>
      </c>
      <c r="J2618" s="2" t="s">
        <v>75</v>
      </c>
      <c r="K2618" s="4">
        <v>46178.361805555556</v>
      </c>
      <c r="L2618" s="2" t="s">
        <v>24</v>
      </c>
      <c r="M2618" s="2">
        <v>2</v>
      </c>
      <c r="N2618" t="s">
        <v>8584</v>
      </c>
      <c r="O2618" s="8">
        <f t="shared" si="80"/>
        <v>12.299999999930151</v>
      </c>
      <c r="P2618" t="str">
        <f t="shared" si="81"/>
        <v>N/A</v>
      </c>
    </row>
    <row r="2619" spans="1:16" x14ac:dyDescent="0.25">
      <c r="A2619" s="2" t="s">
        <v>7047</v>
      </c>
      <c r="B2619" s="4">
        <v>46123.03125</v>
      </c>
      <c r="C2619" s="2" t="s">
        <v>16</v>
      </c>
      <c r="D2619" s="2" t="s">
        <v>84</v>
      </c>
      <c r="E2619" s="2" t="s">
        <v>90</v>
      </c>
      <c r="F2619" s="2" t="s">
        <v>30</v>
      </c>
      <c r="G2619" s="2" t="s">
        <v>101</v>
      </c>
      <c r="H2619" s="2" t="s">
        <v>74</v>
      </c>
      <c r="I2619" s="2">
        <v>8</v>
      </c>
      <c r="J2619" s="2" t="s">
        <v>75</v>
      </c>
      <c r="K2619" s="4">
        <v>46123.330555555556</v>
      </c>
      <c r="L2619" s="2" t="s">
        <v>24</v>
      </c>
      <c r="M2619" s="2"/>
      <c r="N2619" t="s">
        <v>8586</v>
      </c>
      <c r="O2619" s="8">
        <f t="shared" si="80"/>
        <v>7.1833333333488554</v>
      </c>
      <c r="P2619" t="str">
        <f t="shared" si="81"/>
        <v>N/A</v>
      </c>
    </row>
    <row r="2620" spans="1:16" x14ac:dyDescent="0.25">
      <c r="A2620" s="2" t="s">
        <v>7050</v>
      </c>
      <c r="B2620" s="4">
        <v>46141.369444444441</v>
      </c>
      <c r="C2620" s="2" t="s">
        <v>67</v>
      </c>
      <c r="D2620" s="2" t="s">
        <v>68</v>
      </c>
      <c r="E2620" s="2" t="s">
        <v>85</v>
      </c>
      <c r="F2620" s="2" t="s">
        <v>55</v>
      </c>
      <c r="G2620" s="2" t="s">
        <v>211</v>
      </c>
      <c r="H2620" s="2" t="s">
        <v>74</v>
      </c>
      <c r="I2620" s="2">
        <v>8</v>
      </c>
      <c r="J2620" s="2" t="s">
        <v>106</v>
      </c>
      <c r="K2620" s="4">
        <v>46142.258333333331</v>
      </c>
      <c r="L2620" s="2" t="s">
        <v>24</v>
      </c>
      <c r="M2620" s="2">
        <v>3</v>
      </c>
      <c r="N2620" t="s">
        <v>8589</v>
      </c>
      <c r="O2620" s="8">
        <f t="shared" si="80"/>
        <v>21.333333333372138</v>
      </c>
      <c r="P2620" t="str">
        <f t="shared" si="81"/>
        <v>No</v>
      </c>
    </row>
    <row r="2621" spans="1:16" x14ac:dyDescent="0.25">
      <c r="A2621" s="2" t="s">
        <v>7053</v>
      </c>
      <c r="B2621" s="4">
        <v>46262.886805555558</v>
      </c>
      <c r="C2621" s="2" t="s">
        <v>67</v>
      </c>
      <c r="D2621" s="2" t="s">
        <v>68</v>
      </c>
      <c r="E2621" s="2" t="s">
        <v>46</v>
      </c>
      <c r="F2621" s="2" t="s">
        <v>55</v>
      </c>
      <c r="G2621" s="2" t="s">
        <v>31</v>
      </c>
      <c r="H2621" s="2" t="s">
        <v>21</v>
      </c>
      <c r="I2621" s="2">
        <v>24</v>
      </c>
      <c r="J2621" s="2" t="s">
        <v>106</v>
      </c>
      <c r="K2621" s="4">
        <v>46264.67083333333</v>
      </c>
      <c r="L2621" s="2" t="s">
        <v>24</v>
      </c>
      <c r="M2621" s="2">
        <v>5</v>
      </c>
      <c r="N2621" t="s">
        <v>8588</v>
      </c>
      <c r="O2621" s="8">
        <f t="shared" si="80"/>
        <v>42.816666666534729</v>
      </c>
      <c r="P2621" t="str">
        <f t="shared" si="81"/>
        <v>No</v>
      </c>
    </row>
    <row r="2622" spans="1:16" x14ac:dyDescent="0.25">
      <c r="A2622" s="2" t="s">
        <v>7056</v>
      </c>
      <c r="B2622" s="4">
        <v>46084.725694444445</v>
      </c>
      <c r="C2622" s="2" t="s">
        <v>16</v>
      </c>
      <c r="D2622" s="2" t="s">
        <v>17</v>
      </c>
      <c r="E2622" s="2" t="s">
        <v>90</v>
      </c>
      <c r="F2622" s="2" t="s">
        <v>113</v>
      </c>
      <c r="G2622" s="2" t="s">
        <v>211</v>
      </c>
      <c r="H2622" s="2" t="s">
        <v>74</v>
      </c>
      <c r="I2622" s="2">
        <v>8</v>
      </c>
      <c r="J2622" s="2" t="s">
        <v>149</v>
      </c>
      <c r="K2622" s="4" t="s">
        <v>8590</v>
      </c>
      <c r="L2622" s="2" t="s">
        <v>92</v>
      </c>
      <c r="M2622" s="2"/>
      <c r="N2622" t="s">
        <v>8586</v>
      </c>
      <c r="O2622" s="8" t="str">
        <f t="shared" si="80"/>
        <v/>
      </c>
      <c r="P2622" t="str">
        <f t="shared" si="81"/>
        <v>N/A</v>
      </c>
    </row>
    <row r="2623" spans="1:16" x14ac:dyDescent="0.25">
      <c r="A2623" s="2" t="s">
        <v>7058</v>
      </c>
      <c r="B2623" s="4">
        <v>46024.31527777778</v>
      </c>
      <c r="C2623" s="2" t="s">
        <v>67</v>
      </c>
      <c r="D2623" s="2" t="s">
        <v>68</v>
      </c>
      <c r="E2623" s="2" t="s">
        <v>18</v>
      </c>
      <c r="F2623" s="2" t="s">
        <v>55</v>
      </c>
      <c r="G2623" s="2" t="s">
        <v>183</v>
      </c>
      <c r="H2623" s="2" t="s">
        <v>32</v>
      </c>
      <c r="I2623" s="2">
        <v>48</v>
      </c>
      <c r="J2623" s="2" t="s">
        <v>8580</v>
      </c>
      <c r="K2623" s="4">
        <v>46024.932638888888</v>
      </c>
      <c r="L2623" s="2" t="s">
        <v>24</v>
      </c>
      <c r="M2623" s="2"/>
      <c r="N2623" t="s">
        <v>8582</v>
      </c>
      <c r="O2623" s="8">
        <f t="shared" si="80"/>
        <v>14.816666666592937</v>
      </c>
      <c r="P2623" t="str">
        <f t="shared" si="81"/>
        <v>N/A</v>
      </c>
    </row>
    <row r="2624" spans="1:16" x14ac:dyDescent="0.25">
      <c r="A2624" s="2" t="s">
        <v>7061</v>
      </c>
      <c r="B2624" s="4">
        <v>46104.05972222222</v>
      </c>
      <c r="C2624" s="2" t="s">
        <v>16</v>
      </c>
      <c r="D2624" s="2" t="s">
        <v>84</v>
      </c>
      <c r="E2624" s="2" t="s">
        <v>18</v>
      </c>
      <c r="F2624" s="2" t="s">
        <v>30</v>
      </c>
      <c r="G2624" s="2" t="s">
        <v>183</v>
      </c>
      <c r="H2624" s="2" t="s">
        <v>74</v>
      </c>
      <c r="I2624" s="2">
        <v>8</v>
      </c>
      <c r="J2624" s="2" t="s">
        <v>11</v>
      </c>
      <c r="K2624" s="4" t="s">
        <v>8590</v>
      </c>
      <c r="L2624" s="2" t="s">
        <v>92</v>
      </c>
      <c r="M2624" s="2"/>
      <c r="N2624" t="s">
        <v>8587</v>
      </c>
      <c r="O2624" s="8" t="str">
        <f t="shared" si="80"/>
        <v/>
      </c>
      <c r="P2624" t="str">
        <f t="shared" si="81"/>
        <v>N/A</v>
      </c>
    </row>
    <row r="2625" spans="1:16" x14ac:dyDescent="0.25">
      <c r="A2625" s="2" t="s">
        <v>7063</v>
      </c>
      <c r="B2625" s="4">
        <v>46073.679861111108</v>
      </c>
      <c r="C2625" s="2" t="s">
        <v>16</v>
      </c>
      <c r="D2625" s="2" t="s">
        <v>17</v>
      </c>
      <c r="E2625" s="2" t="s">
        <v>46</v>
      </c>
      <c r="F2625" s="2" t="s">
        <v>96</v>
      </c>
      <c r="G2625" s="2" t="s">
        <v>101</v>
      </c>
      <c r="H2625" s="2" t="s">
        <v>21</v>
      </c>
      <c r="I2625" s="2">
        <v>24</v>
      </c>
      <c r="J2625" s="2" t="s">
        <v>149</v>
      </c>
      <c r="K2625" s="4" t="s">
        <v>8590</v>
      </c>
      <c r="L2625" s="2" t="s">
        <v>24</v>
      </c>
      <c r="M2625" s="2"/>
      <c r="N2625" t="s">
        <v>8585</v>
      </c>
      <c r="O2625" s="8" t="str">
        <f t="shared" si="80"/>
        <v/>
      </c>
      <c r="P2625" t="str">
        <f t="shared" si="81"/>
        <v>N/A</v>
      </c>
    </row>
    <row r="2626" spans="1:16" x14ac:dyDescent="0.25">
      <c r="A2626" s="2" t="s">
        <v>7065</v>
      </c>
      <c r="B2626" s="4">
        <v>46122.059027777781</v>
      </c>
      <c r="C2626" s="2" t="s">
        <v>67</v>
      </c>
      <c r="D2626" s="2" t="s">
        <v>68</v>
      </c>
      <c r="E2626" s="2" t="s">
        <v>38</v>
      </c>
      <c r="F2626" s="2" t="s">
        <v>113</v>
      </c>
      <c r="G2626" s="2" t="s">
        <v>110</v>
      </c>
      <c r="H2626" s="2" t="s">
        <v>21</v>
      </c>
      <c r="I2626" s="2">
        <v>24</v>
      </c>
      <c r="J2626" s="2" t="s">
        <v>75</v>
      </c>
      <c r="K2626" s="4">
        <v>46123.522222222222</v>
      </c>
      <c r="L2626" s="2" t="s">
        <v>24</v>
      </c>
      <c r="M2626" s="2">
        <v>5</v>
      </c>
      <c r="N2626" t="s">
        <v>8584</v>
      </c>
      <c r="O2626" s="8">
        <f t="shared" si="80"/>
        <v>35.116666666581295</v>
      </c>
      <c r="P2626" t="str">
        <f t="shared" si="81"/>
        <v>N/A</v>
      </c>
    </row>
    <row r="2627" spans="1:16" x14ac:dyDescent="0.25">
      <c r="A2627" s="2" t="s">
        <v>7067</v>
      </c>
      <c r="B2627" s="4">
        <v>46188.984027777777</v>
      </c>
      <c r="C2627" s="2" t="s">
        <v>28</v>
      </c>
      <c r="D2627" s="2" t="s">
        <v>100</v>
      </c>
      <c r="E2627" s="2" t="s">
        <v>46</v>
      </c>
      <c r="F2627" s="2" t="s">
        <v>113</v>
      </c>
      <c r="G2627" s="2" t="s">
        <v>183</v>
      </c>
      <c r="H2627" s="2" t="s">
        <v>21</v>
      </c>
      <c r="I2627" s="2">
        <v>24</v>
      </c>
      <c r="J2627" s="2" t="s">
        <v>75</v>
      </c>
      <c r="K2627" s="4">
        <v>46189.287499999999</v>
      </c>
      <c r="L2627" s="2" t="s">
        <v>24</v>
      </c>
      <c r="M2627" s="2">
        <v>5</v>
      </c>
      <c r="N2627" t="s">
        <v>8589</v>
      </c>
      <c r="O2627" s="8">
        <f t="shared" ref="O2627:O2690" si="82">IF(K2627="","",IF(K2627="Missing Resolve Date","",(K2627-B2627)*24))</f>
        <v>7.2833333333255723</v>
      </c>
      <c r="P2627" t="str">
        <f t="shared" ref="P2627:P2690" si="83">IF(J2627="Resolved",IF(O2627&lt;=I2627,"Yes","No"),"N/A")</f>
        <v>N/A</v>
      </c>
    </row>
    <row r="2628" spans="1:16" x14ac:dyDescent="0.25">
      <c r="A2628" s="2" t="s">
        <v>7070</v>
      </c>
      <c r="B2628" s="4">
        <v>46108.82708333333</v>
      </c>
      <c r="C2628" s="2" t="s">
        <v>53</v>
      </c>
      <c r="D2628" s="2" t="s">
        <v>54</v>
      </c>
      <c r="E2628" s="2" t="s">
        <v>85</v>
      </c>
      <c r="F2628" s="2" t="s">
        <v>55</v>
      </c>
      <c r="G2628" s="2" t="s">
        <v>211</v>
      </c>
      <c r="H2628" s="2" t="s">
        <v>21</v>
      </c>
      <c r="I2628" s="2">
        <v>24</v>
      </c>
      <c r="J2628" s="2" t="s">
        <v>106</v>
      </c>
      <c r="K2628" s="4">
        <v>46109.210416666669</v>
      </c>
      <c r="L2628" s="2" t="s">
        <v>24</v>
      </c>
      <c r="M2628" s="2">
        <v>5</v>
      </c>
      <c r="N2628" t="s">
        <v>8582</v>
      </c>
      <c r="O2628" s="8">
        <f t="shared" si="82"/>
        <v>9.2000000001280569</v>
      </c>
      <c r="P2628" t="str">
        <f t="shared" si="83"/>
        <v>Yes</v>
      </c>
    </row>
    <row r="2629" spans="1:16" x14ac:dyDescent="0.25">
      <c r="A2629" s="2" t="s">
        <v>7073</v>
      </c>
      <c r="B2629" s="4">
        <v>46033.172222222223</v>
      </c>
      <c r="C2629" s="2" t="s">
        <v>28</v>
      </c>
      <c r="D2629" s="2" t="s">
        <v>37</v>
      </c>
      <c r="E2629" s="2" t="s">
        <v>18</v>
      </c>
      <c r="F2629" s="2" t="s">
        <v>55</v>
      </c>
      <c r="G2629" s="2" t="s">
        <v>183</v>
      </c>
      <c r="H2629" s="2" t="s">
        <v>32</v>
      </c>
      <c r="I2629" s="2">
        <v>48</v>
      </c>
      <c r="J2629" s="2" t="s">
        <v>11</v>
      </c>
      <c r="K2629" s="4" t="s">
        <v>8590</v>
      </c>
      <c r="L2629" s="2" t="s">
        <v>92</v>
      </c>
      <c r="M2629" s="2"/>
      <c r="N2629" t="s">
        <v>8583</v>
      </c>
      <c r="O2629" s="8" t="str">
        <f t="shared" si="82"/>
        <v/>
      </c>
      <c r="P2629" t="str">
        <f t="shared" si="83"/>
        <v>N/A</v>
      </c>
    </row>
    <row r="2630" spans="1:16" x14ac:dyDescent="0.25">
      <c r="A2630" s="2" t="s">
        <v>7075</v>
      </c>
      <c r="B2630" s="4">
        <v>46031.460416666669</v>
      </c>
      <c r="C2630" s="2" t="s">
        <v>28</v>
      </c>
      <c r="D2630" s="2" t="s">
        <v>37</v>
      </c>
      <c r="E2630" s="2" t="s">
        <v>148</v>
      </c>
      <c r="F2630" s="2" t="s">
        <v>30</v>
      </c>
      <c r="G2630" s="2" t="s">
        <v>179</v>
      </c>
      <c r="H2630" s="2" t="s">
        <v>74</v>
      </c>
      <c r="I2630" s="2">
        <v>8</v>
      </c>
      <c r="J2630" s="2" t="s">
        <v>11</v>
      </c>
      <c r="K2630" s="4" t="s">
        <v>8590</v>
      </c>
      <c r="L2630" s="2" t="s">
        <v>92</v>
      </c>
      <c r="M2630" s="2"/>
      <c r="N2630" t="s">
        <v>8584</v>
      </c>
      <c r="O2630" s="8" t="str">
        <f t="shared" si="82"/>
        <v/>
      </c>
      <c r="P2630" t="str">
        <f t="shared" si="83"/>
        <v>N/A</v>
      </c>
    </row>
    <row r="2631" spans="1:16" x14ac:dyDescent="0.25">
      <c r="A2631" s="2" t="s">
        <v>7077</v>
      </c>
      <c r="B2631" s="4">
        <v>46177.328472222223</v>
      </c>
      <c r="C2631" s="2" t="s">
        <v>28</v>
      </c>
      <c r="D2631" s="2" t="s">
        <v>100</v>
      </c>
      <c r="E2631" s="2" t="s">
        <v>90</v>
      </c>
      <c r="F2631" s="2" t="s">
        <v>113</v>
      </c>
      <c r="G2631" s="2" t="s">
        <v>179</v>
      </c>
      <c r="H2631" s="2" t="s">
        <v>32</v>
      </c>
      <c r="I2631" s="2">
        <v>48</v>
      </c>
      <c r="J2631" s="2" t="s">
        <v>11</v>
      </c>
      <c r="K2631" s="4" t="s">
        <v>8590</v>
      </c>
      <c r="L2631" s="2" t="s">
        <v>92</v>
      </c>
      <c r="M2631" s="2"/>
      <c r="N2631" t="s">
        <v>8586</v>
      </c>
      <c r="O2631" s="8" t="str">
        <f t="shared" si="82"/>
        <v/>
      </c>
      <c r="P2631" t="str">
        <f t="shared" si="83"/>
        <v>N/A</v>
      </c>
    </row>
    <row r="2632" spans="1:16" x14ac:dyDescent="0.25">
      <c r="A2632" s="2" t="s">
        <v>7079</v>
      </c>
      <c r="B2632" s="4">
        <v>46211.564583333333</v>
      </c>
      <c r="C2632" s="2" t="s">
        <v>53</v>
      </c>
      <c r="D2632" s="2" t="s">
        <v>61</v>
      </c>
      <c r="E2632" s="2" t="s">
        <v>79</v>
      </c>
      <c r="F2632" s="2" t="s">
        <v>30</v>
      </c>
      <c r="G2632" s="2" t="s">
        <v>101</v>
      </c>
      <c r="H2632" s="2" t="s">
        <v>32</v>
      </c>
      <c r="I2632" s="2">
        <v>48</v>
      </c>
      <c r="J2632" s="2" t="s">
        <v>106</v>
      </c>
      <c r="K2632" s="4">
        <v>46214.015972222223</v>
      </c>
      <c r="L2632" s="2" t="s">
        <v>24</v>
      </c>
      <c r="M2632" s="2">
        <v>4</v>
      </c>
      <c r="N2632" t="s">
        <v>8588</v>
      </c>
      <c r="O2632" s="8">
        <f t="shared" si="82"/>
        <v>58.833333333372138</v>
      </c>
      <c r="P2632" t="str">
        <f t="shared" si="83"/>
        <v>No</v>
      </c>
    </row>
    <row r="2633" spans="1:16" x14ac:dyDescent="0.25">
      <c r="A2633" s="2" t="s">
        <v>7082</v>
      </c>
      <c r="B2633" s="4">
        <v>46245.441666666666</v>
      </c>
      <c r="C2633" s="2" t="s">
        <v>28</v>
      </c>
      <c r="D2633" s="2" t="s">
        <v>37</v>
      </c>
      <c r="E2633" s="2" t="s">
        <v>90</v>
      </c>
      <c r="F2633" s="2" t="s">
        <v>96</v>
      </c>
      <c r="G2633" s="2" t="s">
        <v>31</v>
      </c>
      <c r="H2633" s="2" t="s">
        <v>74</v>
      </c>
      <c r="I2633" s="2">
        <v>8</v>
      </c>
      <c r="J2633" s="2" t="s">
        <v>106</v>
      </c>
      <c r="K2633" s="4">
        <v>46245.566666666666</v>
      </c>
      <c r="L2633" s="2" t="s">
        <v>24</v>
      </c>
      <c r="M2633" s="2"/>
      <c r="N2633" t="s">
        <v>8585</v>
      </c>
      <c r="O2633" s="8">
        <f t="shared" si="82"/>
        <v>3</v>
      </c>
      <c r="P2633" t="str">
        <f t="shared" si="83"/>
        <v>Yes</v>
      </c>
    </row>
    <row r="2634" spans="1:16" x14ac:dyDescent="0.25">
      <c r="A2634" s="2" t="s">
        <v>7085</v>
      </c>
      <c r="B2634" s="4">
        <v>46094.186111111114</v>
      </c>
      <c r="C2634" s="2" t="s">
        <v>16</v>
      </c>
      <c r="D2634" s="2" t="s">
        <v>17</v>
      </c>
      <c r="E2634" s="2" t="s">
        <v>38</v>
      </c>
      <c r="F2634" s="2" t="s">
        <v>30</v>
      </c>
      <c r="G2634" s="2" t="s">
        <v>179</v>
      </c>
      <c r="H2634" s="2" t="s">
        <v>32</v>
      </c>
      <c r="I2634" s="2">
        <v>48</v>
      </c>
      <c r="J2634" s="2" t="s">
        <v>75</v>
      </c>
      <c r="K2634" s="4">
        <v>46094.931944444441</v>
      </c>
      <c r="L2634" s="2" t="s">
        <v>24</v>
      </c>
      <c r="M2634" s="2">
        <v>3</v>
      </c>
      <c r="N2634" t="s">
        <v>8582</v>
      </c>
      <c r="O2634" s="8">
        <f t="shared" si="82"/>
        <v>17.89999999984866</v>
      </c>
      <c r="P2634" t="str">
        <f t="shared" si="83"/>
        <v>N/A</v>
      </c>
    </row>
    <row r="2635" spans="1:16" x14ac:dyDescent="0.25">
      <c r="A2635" s="2" t="s">
        <v>7088</v>
      </c>
      <c r="B2635" s="4">
        <v>46131.131249999999</v>
      </c>
      <c r="C2635" s="2" t="s">
        <v>67</v>
      </c>
      <c r="D2635" s="2" t="s">
        <v>68</v>
      </c>
      <c r="E2635" s="2" t="s">
        <v>85</v>
      </c>
      <c r="F2635" s="2" t="s">
        <v>30</v>
      </c>
      <c r="G2635" s="2" t="s">
        <v>183</v>
      </c>
      <c r="H2635" s="2" t="s">
        <v>21</v>
      </c>
      <c r="I2635" s="2">
        <v>24</v>
      </c>
      <c r="J2635" s="2" t="s">
        <v>75</v>
      </c>
      <c r="K2635" s="4">
        <v>46131.318055555559</v>
      </c>
      <c r="L2635" s="2" t="s">
        <v>24</v>
      </c>
      <c r="M2635" s="2"/>
      <c r="N2635" t="s">
        <v>8588</v>
      </c>
      <c r="O2635" s="8">
        <f t="shared" si="82"/>
        <v>4.4833333334536292</v>
      </c>
      <c r="P2635" t="str">
        <f t="shared" si="83"/>
        <v>N/A</v>
      </c>
    </row>
    <row r="2636" spans="1:16" x14ac:dyDescent="0.25">
      <c r="A2636" s="2" t="s">
        <v>7091</v>
      </c>
      <c r="B2636" s="4">
        <v>46159.307638888888</v>
      </c>
      <c r="C2636" s="2" t="s">
        <v>16</v>
      </c>
      <c r="D2636" s="2" t="s">
        <v>84</v>
      </c>
      <c r="E2636" s="2" t="s">
        <v>38</v>
      </c>
      <c r="F2636" s="2" t="s">
        <v>96</v>
      </c>
      <c r="G2636" s="2" t="s">
        <v>211</v>
      </c>
      <c r="H2636" s="2" t="s">
        <v>21</v>
      </c>
      <c r="I2636" s="2">
        <v>24</v>
      </c>
      <c r="J2636" s="2" t="s">
        <v>287</v>
      </c>
      <c r="K2636" s="4" t="s">
        <v>8590</v>
      </c>
      <c r="L2636" s="2" t="s">
        <v>92</v>
      </c>
      <c r="M2636" s="2"/>
      <c r="N2636" t="s">
        <v>8588</v>
      </c>
      <c r="O2636" s="8" t="str">
        <f t="shared" si="82"/>
        <v/>
      </c>
      <c r="P2636" t="str">
        <f t="shared" si="83"/>
        <v>N/A</v>
      </c>
    </row>
    <row r="2637" spans="1:16" x14ac:dyDescent="0.25">
      <c r="A2637" s="2" t="s">
        <v>7093</v>
      </c>
      <c r="B2637" s="4">
        <v>46027.269444444442</v>
      </c>
      <c r="C2637" s="2" t="s">
        <v>53</v>
      </c>
      <c r="D2637" s="2" t="s">
        <v>54</v>
      </c>
      <c r="E2637" s="2" t="s">
        <v>38</v>
      </c>
      <c r="F2637" s="2" t="s">
        <v>30</v>
      </c>
      <c r="G2637" s="2" t="s">
        <v>183</v>
      </c>
      <c r="H2637" s="2" t="s">
        <v>80</v>
      </c>
      <c r="I2637" s="2">
        <v>4</v>
      </c>
      <c r="J2637" s="2" t="s">
        <v>106</v>
      </c>
      <c r="K2637" s="4">
        <v>46027.356249999997</v>
      </c>
      <c r="L2637" s="2" t="s">
        <v>24</v>
      </c>
      <c r="M2637" s="2">
        <v>1</v>
      </c>
      <c r="N2637" t="s">
        <v>8589</v>
      </c>
      <c r="O2637" s="8">
        <f t="shared" si="82"/>
        <v>2.0833333333139308</v>
      </c>
      <c r="P2637" t="str">
        <f t="shared" si="83"/>
        <v>Yes</v>
      </c>
    </row>
    <row r="2638" spans="1:16" x14ac:dyDescent="0.25">
      <c r="A2638" s="2" t="s">
        <v>7096</v>
      </c>
      <c r="B2638" s="4">
        <v>46113.176388888889</v>
      </c>
      <c r="C2638" s="2" t="s">
        <v>53</v>
      </c>
      <c r="D2638" s="2" t="s">
        <v>54</v>
      </c>
      <c r="E2638" s="2" t="s">
        <v>38</v>
      </c>
      <c r="F2638" s="2" t="s">
        <v>55</v>
      </c>
      <c r="G2638" s="2" t="s">
        <v>31</v>
      </c>
      <c r="H2638" s="2" t="s">
        <v>80</v>
      </c>
      <c r="I2638" s="2">
        <v>4</v>
      </c>
      <c r="J2638" s="2" t="s">
        <v>149</v>
      </c>
      <c r="K2638" s="4" t="s">
        <v>8590</v>
      </c>
      <c r="L2638" s="2" t="s">
        <v>24</v>
      </c>
      <c r="M2638" s="2"/>
      <c r="N2638" t="s">
        <v>8583</v>
      </c>
      <c r="O2638" s="8" t="str">
        <f t="shared" si="82"/>
        <v/>
      </c>
      <c r="P2638" t="str">
        <f t="shared" si="83"/>
        <v>N/A</v>
      </c>
    </row>
    <row r="2639" spans="1:16" x14ac:dyDescent="0.25">
      <c r="A2639" s="2" t="s">
        <v>7098</v>
      </c>
      <c r="B2639" s="4">
        <v>46153.634722222225</v>
      </c>
      <c r="C2639" s="2" t="s">
        <v>53</v>
      </c>
      <c r="D2639" s="2" t="s">
        <v>54</v>
      </c>
      <c r="E2639" s="2" t="s">
        <v>46</v>
      </c>
      <c r="F2639" s="2" t="s">
        <v>113</v>
      </c>
      <c r="G2639" s="2" t="s">
        <v>110</v>
      </c>
      <c r="H2639" s="2" t="s">
        <v>21</v>
      </c>
      <c r="I2639" s="2">
        <v>24</v>
      </c>
      <c r="J2639" s="2" t="s">
        <v>106</v>
      </c>
      <c r="K2639" s="4">
        <v>46154.454861111109</v>
      </c>
      <c r="L2639" s="2" t="s">
        <v>24</v>
      </c>
      <c r="M2639" s="2">
        <v>2</v>
      </c>
      <c r="N2639" t="s">
        <v>8588</v>
      </c>
      <c r="O2639" s="8">
        <f t="shared" si="82"/>
        <v>19.68333333323244</v>
      </c>
      <c r="P2639" t="str">
        <f t="shared" si="83"/>
        <v>Yes</v>
      </c>
    </row>
    <row r="2640" spans="1:16" x14ac:dyDescent="0.25">
      <c r="A2640" s="2" t="s">
        <v>7101</v>
      </c>
      <c r="B2640" s="4">
        <v>46135.943749999999</v>
      </c>
      <c r="C2640" s="2" t="s">
        <v>28</v>
      </c>
      <c r="D2640" s="2" t="s">
        <v>37</v>
      </c>
      <c r="E2640" s="2" t="s">
        <v>38</v>
      </c>
      <c r="F2640" s="2" t="s">
        <v>96</v>
      </c>
      <c r="G2640" s="2" t="s">
        <v>101</v>
      </c>
      <c r="H2640" s="2" t="s">
        <v>21</v>
      </c>
      <c r="I2640" s="2">
        <v>24</v>
      </c>
      <c r="J2640" s="2" t="s">
        <v>75</v>
      </c>
      <c r="K2640" s="4">
        <v>46136.536111111112</v>
      </c>
      <c r="L2640" s="2" t="s">
        <v>24</v>
      </c>
      <c r="M2640" s="2"/>
      <c r="N2640" t="s">
        <v>8581</v>
      </c>
      <c r="O2640" s="8">
        <f t="shared" si="82"/>
        <v>14.216666666732635</v>
      </c>
      <c r="P2640" t="str">
        <f t="shared" si="83"/>
        <v>N/A</v>
      </c>
    </row>
    <row r="2641" spans="1:16" x14ac:dyDescent="0.25">
      <c r="A2641" s="2" t="s">
        <v>7104</v>
      </c>
      <c r="B2641" s="4">
        <v>46039.348611111112</v>
      </c>
      <c r="C2641" s="2" t="s">
        <v>16</v>
      </c>
      <c r="D2641" s="2" t="s">
        <v>17</v>
      </c>
      <c r="E2641" s="2" t="s">
        <v>18</v>
      </c>
      <c r="F2641" s="2" t="s">
        <v>96</v>
      </c>
      <c r="G2641" s="2" t="s">
        <v>110</v>
      </c>
      <c r="H2641" s="2" t="s">
        <v>21</v>
      </c>
      <c r="I2641" s="2">
        <v>24</v>
      </c>
      <c r="J2641" s="2" t="s">
        <v>106</v>
      </c>
      <c r="K2641" s="4">
        <v>46039.459027777775</v>
      </c>
      <c r="L2641" s="2" t="s">
        <v>24</v>
      </c>
      <c r="M2641" s="2"/>
      <c r="N2641" t="s">
        <v>8587</v>
      </c>
      <c r="O2641" s="8">
        <f t="shared" si="82"/>
        <v>2.6499999999068677</v>
      </c>
      <c r="P2641" t="str">
        <f t="shared" si="83"/>
        <v>Yes</v>
      </c>
    </row>
    <row r="2642" spans="1:16" x14ac:dyDescent="0.25">
      <c r="A2642" s="2" t="s">
        <v>7107</v>
      </c>
      <c r="B2642" s="4">
        <v>46035.106944444444</v>
      </c>
      <c r="C2642" s="2" t="s">
        <v>67</v>
      </c>
      <c r="D2642" s="2" t="s">
        <v>68</v>
      </c>
      <c r="E2642" s="2" t="s">
        <v>90</v>
      </c>
      <c r="F2642" s="2" t="s">
        <v>113</v>
      </c>
      <c r="G2642" s="2" t="s">
        <v>110</v>
      </c>
      <c r="H2642" s="2" t="s">
        <v>21</v>
      </c>
      <c r="I2642" s="2">
        <v>24</v>
      </c>
      <c r="J2642" s="2" t="s">
        <v>75</v>
      </c>
      <c r="K2642" s="4">
        <v>46035.220138888886</v>
      </c>
      <c r="L2642" s="2" t="s">
        <v>24</v>
      </c>
      <c r="M2642" s="2"/>
      <c r="N2642" t="s">
        <v>8587</v>
      </c>
      <c r="O2642" s="8">
        <f t="shared" si="82"/>
        <v>2.71666666661622</v>
      </c>
      <c r="P2642" t="str">
        <f t="shared" si="83"/>
        <v>N/A</v>
      </c>
    </row>
    <row r="2643" spans="1:16" x14ac:dyDescent="0.25">
      <c r="A2643" s="2" t="s">
        <v>7110</v>
      </c>
      <c r="B2643" s="4">
        <v>46065.541666666664</v>
      </c>
      <c r="C2643" s="2" t="s">
        <v>16</v>
      </c>
      <c r="D2643" s="2" t="s">
        <v>84</v>
      </c>
      <c r="E2643" s="2" t="s">
        <v>18</v>
      </c>
      <c r="F2643" s="2" t="s">
        <v>113</v>
      </c>
      <c r="G2643" s="2" t="s">
        <v>110</v>
      </c>
      <c r="H2643" s="2" t="s">
        <v>32</v>
      </c>
      <c r="I2643" s="2">
        <v>48</v>
      </c>
      <c r="J2643" s="2" t="s">
        <v>75</v>
      </c>
      <c r="K2643" s="4">
        <v>46066.839583333334</v>
      </c>
      <c r="L2643" s="2" t="s">
        <v>24</v>
      </c>
      <c r="M2643" s="2"/>
      <c r="N2643" t="s">
        <v>8582</v>
      </c>
      <c r="O2643" s="8">
        <f t="shared" si="82"/>
        <v>31.150000000081491</v>
      </c>
      <c r="P2643" t="str">
        <f t="shared" si="83"/>
        <v>N/A</v>
      </c>
    </row>
    <row r="2644" spans="1:16" x14ac:dyDescent="0.25">
      <c r="A2644" s="2" t="s">
        <v>7113</v>
      </c>
      <c r="B2644" s="4">
        <v>46238.51458333333</v>
      </c>
      <c r="C2644" s="2" t="s">
        <v>28</v>
      </c>
      <c r="D2644" s="2" t="s">
        <v>100</v>
      </c>
      <c r="E2644" s="2" t="s">
        <v>79</v>
      </c>
      <c r="F2644" s="2" t="s">
        <v>30</v>
      </c>
      <c r="G2644" s="2" t="s">
        <v>31</v>
      </c>
      <c r="H2644" s="2" t="s">
        <v>21</v>
      </c>
      <c r="I2644" s="2">
        <v>24</v>
      </c>
      <c r="J2644" s="2" t="s">
        <v>106</v>
      </c>
      <c r="K2644" s="4">
        <v>46238.746527777781</v>
      </c>
      <c r="L2644" s="2" t="s">
        <v>24</v>
      </c>
      <c r="M2644" s="2">
        <v>1</v>
      </c>
      <c r="N2644" t="s">
        <v>8588</v>
      </c>
      <c r="O2644" s="8">
        <f t="shared" si="82"/>
        <v>5.5666666668257676</v>
      </c>
      <c r="P2644" t="str">
        <f t="shared" si="83"/>
        <v>Yes</v>
      </c>
    </row>
    <row r="2645" spans="1:16" x14ac:dyDescent="0.25">
      <c r="A2645" s="2" t="s">
        <v>7116</v>
      </c>
      <c r="B2645" s="4">
        <v>46131.993055555555</v>
      </c>
      <c r="C2645" s="2" t="s">
        <v>28</v>
      </c>
      <c r="D2645" s="2" t="s">
        <v>37</v>
      </c>
      <c r="E2645" s="2" t="s">
        <v>85</v>
      </c>
      <c r="F2645" s="2" t="s">
        <v>30</v>
      </c>
      <c r="G2645" s="2" t="s">
        <v>183</v>
      </c>
      <c r="H2645" s="2" t="s">
        <v>32</v>
      </c>
      <c r="I2645" s="2">
        <v>48</v>
      </c>
      <c r="J2645" s="2" t="s">
        <v>149</v>
      </c>
      <c r="K2645" s="4" t="s">
        <v>8590</v>
      </c>
      <c r="L2645" s="2" t="s">
        <v>24</v>
      </c>
      <c r="M2645" s="2"/>
      <c r="N2645" t="s">
        <v>8589</v>
      </c>
      <c r="O2645" s="8" t="str">
        <f t="shared" si="82"/>
        <v/>
      </c>
      <c r="P2645" t="str">
        <f t="shared" si="83"/>
        <v>N/A</v>
      </c>
    </row>
    <row r="2646" spans="1:16" x14ac:dyDescent="0.25">
      <c r="A2646" s="2" t="s">
        <v>7118</v>
      </c>
      <c r="B2646" s="4">
        <v>46104.434027777781</v>
      </c>
      <c r="C2646" s="2" t="s">
        <v>67</v>
      </c>
      <c r="D2646" s="2" t="s">
        <v>68</v>
      </c>
      <c r="E2646" s="2" t="s">
        <v>38</v>
      </c>
      <c r="F2646" s="2" t="s">
        <v>96</v>
      </c>
      <c r="G2646" s="2" t="s">
        <v>101</v>
      </c>
      <c r="H2646" s="2" t="s">
        <v>80</v>
      </c>
      <c r="I2646" s="2">
        <v>4</v>
      </c>
      <c r="J2646" s="2" t="s">
        <v>8580</v>
      </c>
      <c r="K2646" s="4">
        <v>46104.491666666669</v>
      </c>
      <c r="L2646" s="2" t="s">
        <v>24</v>
      </c>
      <c r="M2646" s="2"/>
      <c r="N2646" t="s">
        <v>8587</v>
      </c>
      <c r="O2646" s="8">
        <f t="shared" si="82"/>
        <v>1.3833333333022892</v>
      </c>
      <c r="P2646" t="str">
        <f t="shared" si="83"/>
        <v>N/A</v>
      </c>
    </row>
    <row r="2647" spans="1:16" x14ac:dyDescent="0.25">
      <c r="A2647" s="2" t="s">
        <v>7121</v>
      </c>
      <c r="B2647" s="4">
        <v>46041.932638888888</v>
      </c>
      <c r="C2647" s="2" t="s">
        <v>67</v>
      </c>
      <c r="D2647" s="2" t="s">
        <v>95</v>
      </c>
      <c r="E2647" s="2" t="s">
        <v>79</v>
      </c>
      <c r="F2647" s="2" t="s">
        <v>30</v>
      </c>
      <c r="G2647" s="2" t="s">
        <v>110</v>
      </c>
      <c r="H2647" s="2" t="s">
        <v>74</v>
      </c>
      <c r="I2647" s="2">
        <v>8</v>
      </c>
      <c r="J2647" s="2" t="s">
        <v>149</v>
      </c>
      <c r="K2647" s="4" t="s">
        <v>8590</v>
      </c>
      <c r="L2647" s="2" t="s">
        <v>24</v>
      </c>
      <c r="M2647" s="2"/>
      <c r="N2647" t="s">
        <v>8587</v>
      </c>
      <c r="O2647" s="8" t="str">
        <f t="shared" si="82"/>
        <v/>
      </c>
      <c r="P2647" t="str">
        <f t="shared" si="83"/>
        <v>N/A</v>
      </c>
    </row>
    <row r="2648" spans="1:16" x14ac:dyDescent="0.25">
      <c r="A2648" s="2" t="s">
        <v>7123</v>
      </c>
      <c r="B2648" s="4">
        <v>46240.559027777781</v>
      </c>
      <c r="C2648" s="2" t="s">
        <v>16</v>
      </c>
      <c r="D2648" s="2" t="s">
        <v>17</v>
      </c>
      <c r="E2648" s="2" t="s">
        <v>46</v>
      </c>
      <c r="F2648" s="2" t="s">
        <v>55</v>
      </c>
      <c r="G2648" s="2" t="s">
        <v>183</v>
      </c>
      <c r="H2648" s="2" t="s">
        <v>21</v>
      </c>
      <c r="I2648" s="2">
        <v>24</v>
      </c>
      <c r="J2648" s="2" t="s">
        <v>106</v>
      </c>
      <c r="K2648" s="4">
        <v>46241.22152777778</v>
      </c>
      <c r="L2648" s="2" t="s">
        <v>24</v>
      </c>
      <c r="M2648" s="2">
        <v>3</v>
      </c>
      <c r="N2648" t="s">
        <v>8586</v>
      </c>
      <c r="O2648" s="8">
        <f t="shared" si="82"/>
        <v>15.899999999965075</v>
      </c>
      <c r="P2648" t="str">
        <f t="shared" si="83"/>
        <v>Yes</v>
      </c>
    </row>
    <row r="2649" spans="1:16" x14ac:dyDescent="0.25">
      <c r="A2649" s="2" t="s">
        <v>7126</v>
      </c>
      <c r="B2649" s="4">
        <v>46074.302083333336</v>
      </c>
      <c r="C2649" s="2" t="s">
        <v>53</v>
      </c>
      <c r="D2649" s="2" t="s">
        <v>54</v>
      </c>
      <c r="E2649" s="2" t="s">
        <v>38</v>
      </c>
      <c r="F2649" s="2" t="s">
        <v>30</v>
      </c>
      <c r="G2649" s="2" t="s">
        <v>183</v>
      </c>
      <c r="H2649" s="2" t="s">
        <v>74</v>
      </c>
      <c r="I2649" s="2">
        <v>8</v>
      </c>
      <c r="J2649" s="2" t="s">
        <v>106</v>
      </c>
      <c r="K2649" s="4">
        <v>46075.11041666667</v>
      </c>
      <c r="L2649" s="2" t="s">
        <v>24</v>
      </c>
      <c r="M2649" s="2"/>
      <c r="N2649" t="s">
        <v>8584</v>
      </c>
      <c r="O2649" s="8">
        <f t="shared" si="82"/>
        <v>19.400000000023283</v>
      </c>
      <c r="P2649" t="str">
        <f t="shared" si="83"/>
        <v>No</v>
      </c>
    </row>
    <row r="2650" spans="1:16" x14ac:dyDescent="0.25">
      <c r="A2650" s="2" t="s">
        <v>7129</v>
      </c>
      <c r="B2650" s="4">
        <v>46124.616666666669</v>
      </c>
      <c r="C2650" s="2" t="s">
        <v>16</v>
      </c>
      <c r="D2650" s="2" t="s">
        <v>17</v>
      </c>
      <c r="E2650" s="2" t="s">
        <v>79</v>
      </c>
      <c r="F2650" s="2" t="s">
        <v>55</v>
      </c>
      <c r="G2650" s="2" t="s">
        <v>31</v>
      </c>
      <c r="H2650" s="2" t="s">
        <v>21</v>
      </c>
      <c r="I2650" s="2">
        <v>24</v>
      </c>
      <c r="J2650" s="2" t="s">
        <v>149</v>
      </c>
      <c r="K2650" s="4" t="s">
        <v>8590</v>
      </c>
      <c r="L2650" s="2" t="s">
        <v>24</v>
      </c>
      <c r="M2650" s="2"/>
      <c r="N2650" t="s">
        <v>8584</v>
      </c>
      <c r="O2650" s="8" t="str">
        <f t="shared" si="82"/>
        <v/>
      </c>
      <c r="P2650" t="str">
        <f t="shared" si="83"/>
        <v>N/A</v>
      </c>
    </row>
    <row r="2651" spans="1:16" x14ac:dyDescent="0.25">
      <c r="A2651" s="2" t="s">
        <v>7131</v>
      </c>
      <c r="B2651" s="4">
        <v>46200.716666666667</v>
      </c>
      <c r="C2651" s="2" t="s">
        <v>53</v>
      </c>
      <c r="D2651" s="2" t="s">
        <v>54</v>
      </c>
      <c r="E2651" s="2" t="s">
        <v>79</v>
      </c>
      <c r="F2651" s="2" t="s">
        <v>30</v>
      </c>
      <c r="G2651" s="2" t="s">
        <v>101</v>
      </c>
      <c r="H2651" s="2" t="s">
        <v>80</v>
      </c>
      <c r="I2651" s="2">
        <v>4</v>
      </c>
      <c r="J2651" s="2" t="s">
        <v>106</v>
      </c>
      <c r="K2651" s="4">
        <v>46200.789583333331</v>
      </c>
      <c r="L2651" s="2" t="s">
        <v>24</v>
      </c>
      <c r="M2651" s="2"/>
      <c r="N2651" t="s">
        <v>8584</v>
      </c>
      <c r="O2651" s="8">
        <f t="shared" si="82"/>
        <v>1.7499999999417923</v>
      </c>
      <c r="P2651" t="str">
        <f t="shared" si="83"/>
        <v>Yes</v>
      </c>
    </row>
    <row r="2652" spans="1:16" x14ac:dyDescent="0.25">
      <c r="A2652" s="2" t="s">
        <v>7134</v>
      </c>
      <c r="B2652" s="4">
        <v>46054.759722222225</v>
      </c>
      <c r="C2652" s="2" t="s">
        <v>16</v>
      </c>
      <c r="D2652" s="2" t="s">
        <v>84</v>
      </c>
      <c r="E2652" s="2" t="s">
        <v>90</v>
      </c>
      <c r="F2652" s="2" t="s">
        <v>55</v>
      </c>
      <c r="G2652" s="2" t="s">
        <v>183</v>
      </c>
      <c r="H2652" s="2" t="s">
        <v>74</v>
      </c>
      <c r="I2652" s="2">
        <v>8</v>
      </c>
      <c r="J2652" s="2" t="s">
        <v>287</v>
      </c>
      <c r="K2652" s="4" t="s">
        <v>8590</v>
      </c>
      <c r="L2652" s="2" t="s">
        <v>24</v>
      </c>
      <c r="M2652" s="2"/>
      <c r="N2652" t="s">
        <v>8589</v>
      </c>
      <c r="O2652" s="8" t="str">
        <f t="shared" si="82"/>
        <v/>
      </c>
      <c r="P2652" t="str">
        <f t="shared" si="83"/>
        <v>N/A</v>
      </c>
    </row>
    <row r="2653" spans="1:16" x14ac:dyDescent="0.25">
      <c r="A2653" s="2" t="s">
        <v>7136</v>
      </c>
      <c r="B2653" s="4">
        <v>46257.070138888892</v>
      </c>
      <c r="C2653" s="2" t="s">
        <v>53</v>
      </c>
      <c r="D2653" s="2" t="s">
        <v>54</v>
      </c>
      <c r="E2653" s="2" t="s">
        <v>148</v>
      </c>
      <c r="F2653" s="2" t="s">
        <v>113</v>
      </c>
      <c r="G2653" s="2" t="s">
        <v>110</v>
      </c>
      <c r="H2653" s="2" t="s">
        <v>21</v>
      </c>
      <c r="I2653" s="2">
        <v>24</v>
      </c>
      <c r="J2653" s="2" t="s">
        <v>11</v>
      </c>
      <c r="K2653" s="4" t="s">
        <v>8590</v>
      </c>
      <c r="L2653" s="2" t="s">
        <v>92</v>
      </c>
      <c r="M2653" s="2"/>
      <c r="N2653" t="s">
        <v>8589</v>
      </c>
      <c r="O2653" s="8" t="str">
        <f t="shared" si="82"/>
        <v/>
      </c>
      <c r="P2653" t="str">
        <f t="shared" si="83"/>
        <v>N/A</v>
      </c>
    </row>
    <row r="2654" spans="1:16" x14ac:dyDescent="0.25">
      <c r="A2654" s="2" t="s">
        <v>7138</v>
      </c>
      <c r="B2654" s="4">
        <v>46161.956944444442</v>
      </c>
      <c r="C2654" s="2" t="s">
        <v>28</v>
      </c>
      <c r="D2654" s="2" t="s">
        <v>37</v>
      </c>
      <c r="E2654" s="2" t="s">
        <v>148</v>
      </c>
      <c r="F2654" s="2" t="s">
        <v>96</v>
      </c>
      <c r="G2654" s="2" t="s">
        <v>179</v>
      </c>
      <c r="H2654" s="2" t="s">
        <v>74</v>
      </c>
      <c r="I2654" s="2">
        <v>8</v>
      </c>
      <c r="J2654" s="2" t="s">
        <v>8580</v>
      </c>
      <c r="K2654" s="4">
        <v>46162.152777777781</v>
      </c>
      <c r="L2654" s="2" t="s">
        <v>24</v>
      </c>
      <c r="M2654" s="2"/>
      <c r="N2654" t="s">
        <v>8581</v>
      </c>
      <c r="O2654" s="8">
        <f t="shared" si="82"/>
        <v>4.7000000001280569</v>
      </c>
      <c r="P2654" t="str">
        <f t="shared" si="83"/>
        <v>N/A</v>
      </c>
    </row>
    <row r="2655" spans="1:16" x14ac:dyDescent="0.25">
      <c r="A2655" s="2" t="s">
        <v>7141</v>
      </c>
      <c r="B2655" s="4">
        <v>46175.253472222219</v>
      </c>
      <c r="C2655" s="2" t="s">
        <v>53</v>
      </c>
      <c r="D2655" s="2" t="s">
        <v>61</v>
      </c>
      <c r="E2655" s="2" t="s">
        <v>148</v>
      </c>
      <c r="F2655" s="2" t="s">
        <v>30</v>
      </c>
      <c r="G2655" s="2" t="s">
        <v>31</v>
      </c>
      <c r="H2655" s="2" t="s">
        <v>21</v>
      </c>
      <c r="I2655" s="2">
        <v>24</v>
      </c>
      <c r="J2655" s="2" t="s">
        <v>106</v>
      </c>
      <c r="K2655" s="4">
        <v>46177.515972222223</v>
      </c>
      <c r="L2655" s="2" t="s">
        <v>24</v>
      </c>
      <c r="M2655" s="2">
        <v>2</v>
      </c>
      <c r="N2655" t="s">
        <v>8582</v>
      </c>
      <c r="O2655" s="8">
        <f t="shared" si="82"/>
        <v>54.300000000104774</v>
      </c>
      <c r="P2655" t="str">
        <f t="shared" si="83"/>
        <v>No</v>
      </c>
    </row>
    <row r="2656" spans="1:16" x14ac:dyDescent="0.25">
      <c r="A2656" s="2" t="s">
        <v>7144</v>
      </c>
      <c r="B2656" s="4">
        <v>46203.307638888888</v>
      </c>
      <c r="C2656" s="2" t="s">
        <v>53</v>
      </c>
      <c r="D2656" s="2" t="s">
        <v>61</v>
      </c>
      <c r="E2656" s="2" t="s">
        <v>18</v>
      </c>
      <c r="F2656" s="2" t="s">
        <v>30</v>
      </c>
      <c r="G2656" s="2" t="s">
        <v>183</v>
      </c>
      <c r="H2656" s="2" t="s">
        <v>32</v>
      </c>
      <c r="I2656" s="2">
        <v>48</v>
      </c>
      <c r="J2656" s="2" t="s">
        <v>75</v>
      </c>
      <c r="K2656" s="4">
        <v>46204.22152777778</v>
      </c>
      <c r="L2656" s="2" t="s">
        <v>24</v>
      </c>
      <c r="M2656" s="2"/>
      <c r="N2656" t="s">
        <v>8586</v>
      </c>
      <c r="O2656" s="8">
        <f t="shared" si="82"/>
        <v>21.933333333407063</v>
      </c>
      <c r="P2656" t="str">
        <f t="shared" si="83"/>
        <v>N/A</v>
      </c>
    </row>
    <row r="2657" spans="1:16" x14ac:dyDescent="0.25">
      <c r="A2657" s="2" t="s">
        <v>7147</v>
      </c>
      <c r="B2657" s="4">
        <v>46257.558333333334</v>
      </c>
      <c r="C2657" s="2" t="s">
        <v>53</v>
      </c>
      <c r="D2657" s="2" t="s">
        <v>54</v>
      </c>
      <c r="E2657" s="2" t="s">
        <v>148</v>
      </c>
      <c r="F2657" s="2" t="s">
        <v>55</v>
      </c>
      <c r="G2657" s="2" t="s">
        <v>101</v>
      </c>
      <c r="H2657" s="2" t="s">
        <v>21</v>
      </c>
      <c r="I2657" s="2">
        <v>24</v>
      </c>
      <c r="J2657" s="2" t="s">
        <v>75</v>
      </c>
      <c r="K2657" s="4">
        <v>46257.882638888892</v>
      </c>
      <c r="L2657" s="2" t="s">
        <v>24</v>
      </c>
      <c r="M2657" s="2">
        <v>4</v>
      </c>
      <c r="N2657" t="s">
        <v>8587</v>
      </c>
      <c r="O2657" s="8">
        <f t="shared" si="82"/>
        <v>7.78333333338378</v>
      </c>
      <c r="P2657" t="str">
        <f t="shared" si="83"/>
        <v>N/A</v>
      </c>
    </row>
    <row r="2658" spans="1:16" x14ac:dyDescent="0.25">
      <c r="A2658" s="2" t="s">
        <v>7150</v>
      </c>
      <c r="B2658" s="4">
        <v>46122.443055555559</v>
      </c>
      <c r="C2658" s="2" t="s">
        <v>28</v>
      </c>
      <c r="D2658" s="2" t="s">
        <v>37</v>
      </c>
      <c r="E2658" s="2" t="s">
        <v>148</v>
      </c>
      <c r="F2658" s="2" t="s">
        <v>113</v>
      </c>
      <c r="G2658" s="2" t="s">
        <v>110</v>
      </c>
      <c r="H2658" s="2" t="s">
        <v>74</v>
      </c>
      <c r="I2658" s="2">
        <v>8</v>
      </c>
      <c r="J2658" s="2" t="s">
        <v>75</v>
      </c>
      <c r="K2658" s="4">
        <v>46123.180555555555</v>
      </c>
      <c r="L2658" s="2" t="s">
        <v>92</v>
      </c>
      <c r="M2658" s="2">
        <v>1</v>
      </c>
      <c r="N2658" t="s">
        <v>8583</v>
      </c>
      <c r="O2658" s="8">
        <f t="shared" si="82"/>
        <v>17.699999999895226</v>
      </c>
      <c r="P2658" t="str">
        <f t="shared" si="83"/>
        <v>N/A</v>
      </c>
    </row>
    <row r="2659" spans="1:16" x14ac:dyDescent="0.25">
      <c r="A2659" s="2" t="s">
        <v>7153</v>
      </c>
      <c r="B2659" s="4">
        <v>46164.265277777777</v>
      </c>
      <c r="C2659" s="2" t="s">
        <v>67</v>
      </c>
      <c r="D2659" s="2" t="s">
        <v>95</v>
      </c>
      <c r="E2659" s="2" t="s">
        <v>18</v>
      </c>
      <c r="F2659" s="2" t="s">
        <v>96</v>
      </c>
      <c r="G2659" s="2" t="s">
        <v>179</v>
      </c>
      <c r="H2659" s="2" t="s">
        <v>74</v>
      </c>
      <c r="I2659" s="2">
        <v>8</v>
      </c>
      <c r="J2659" s="2" t="s">
        <v>287</v>
      </c>
      <c r="K2659" s="4" t="s">
        <v>8590</v>
      </c>
      <c r="L2659" s="2" t="s">
        <v>24</v>
      </c>
      <c r="M2659" s="2"/>
      <c r="N2659" t="s">
        <v>8586</v>
      </c>
      <c r="O2659" s="8" t="str">
        <f t="shared" si="82"/>
        <v/>
      </c>
      <c r="P2659" t="str">
        <f t="shared" si="83"/>
        <v>N/A</v>
      </c>
    </row>
    <row r="2660" spans="1:16" x14ac:dyDescent="0.25">
      <c r="A2660" s="2" t="s">
        <v>7155</v>
      </c>
      <c r="B2660" s="4">
        <v>46129.063888888886</v>
      </c>
      <c r="C2660" s="2" t="s">
        <v>28</v>
      </c>
      <c r="D2660" s="2" t="s">
        <v>37</v>
      </c>
      <c r="E2660" s="2" t="s">
        <v>46</v>
      </c>
      <c r="F2660" s="2" t="s">
        <v>96</v>
      </c>
      <c r="G2660" s="2" t="s">
        <v>110</v>
      </c>
      <c r="H2660" s="2" t="s">
        <v>32</v>
      </c>
      <c r="I2660" s="2">
        <v>48</v>
      </c>
      <c r="J2660" s="2" t="s">
        <v>75</v>
      </c>
      <c r="K2660" s="4">
        <v>46129.92291666667</v>
      </c>
      <c r="L2660" s="2" t="s">
        <v>24</v>
      </c>
      <c r="M2660" s="2">
        <v>3</v>
      </c>
      <c r="N2660" t="s">
        <v>8586</v>
      </c>
      <c r="O2660" s="8">
        <f t="shared" si="82"/>
        <v>20.616666666814126</v>
      </c>
      <c r="P2660" t="str">
        <f t="shared" si="83"/>
        <v>N/A</v>
      </c>
    </row>
    <row r="2661" spans="1:16" x14ac:dyDescent="0.25">
      <c r="A2661" s="2" t="s">
        <v>7158</v>
      </c>
      <c r="B2661" s="4">
        <v>46249.46875</v>
      </c>
      <c r="C2661" s="2" t="s">
        <v>53</v>
      </c>
      <c r="D2661" s="2" t="s">
        <v>61</v>
      </c>
      <c r="E2661" s="2" t="s">
        <v>46</v>
      </c>
      <c r="F2661" s="2" t="s">
        <v>30</v>
      </c>
      <c r="G2661" s="2" t="s">
        <v>110</v>
      </c>
      <c r="H2661" s="2" t="s">
        <v>32</v>
      </c>
      <c r="I2661" s="2">
        <v>48</v>
      </c>
      <c r="J2661" s="2" t="s">
        <v>75</v>
      </c>
      <c r="K2661" s="4">
        <v>46249.810416666667</v>
      </c>
      <c r="L2661" s="2" t="s">
        <v>24</v>
      </c>
      <c r="M2661" s="2">
        <v>5</v>
      </c>
      <c r="N2661" t="s">
        <v>8586</v>
      </c>
      <c r="O2661" s="8">
        <f t="shared" si="82"/>
        <v>8.2000000000116415</v>
      </c>
      <c r="P2661" t="str">
        <f t="shared" si="83"/>
        <v>N/A</v>
      </c>
    </row>
    <row r="2662" spans="1:16" x14ac:dyDescent="0.25">
      <c r="A2662" s="2" t="s">
        <v>7161</v>
      </c>
      <c r="B2662" s="4">
        <v>46060.878472222219</v>
      </c>
      <c r="C2662" s="2" t="s">
        <v>16</v>
      </c>
      <c r="D2662" s="2" t="s">
        <v>17</v>
      </c>
      <c r="E2662" s="2" t="s">
        <v>85</v>
      </c>
      <c r="F2662" s="2" t="s">
        <v>55</v>
      </c>
      <c r="G2662" s="2" t="s">
        <v>183</v>
      </c>
      <c r="H2662" s="2" t="s">
        <v>32</v>
      </c>
      <c r="I2662" s="2">
        <v>48</v>
      </c>
      <c r="J2662" s="2" t="s">
        <v>106</v>
      </c>
      <c r="K2662" s="4">
        <v>46061.947916666664</v>
      </c>
      <c r="L2662" s="2" t="s">
        <v>24</v>
      </c>
      <c r="M2662" s="2"/>
      <c r="N2662" t="s">
        <v>8587</v>
      </c>
      <c r="O2662" s="8">
        <f t="shared" si="82"/>
        <v>25.666666666686069</v>
      </c>
      <c r="P2662" t="str">
        <f t="shared" si="83"/>
        <v>Yes</v>
      </c>
    </row>
    <row r="2663" spans="1:16" x14ac:dyDescent="0.25">
      <c r="A2663" s="2" t="s">
        <v>7164</v>
      </c>
      <c r="B2663" s="4">
        <v>46029.779861111114</v>
      </c>
      <c r="C2663" s="2" t="s">
        <v>67</v>
      </c>
      <c r="D2663" s="2" t="s">
        <v>68</v>
      </c>
      <c r="E2663" s="2" t="s">
        <v>85</v>
      </c>
      <c r="F2663" s="2" t="s">
        <v>55</v>
      </c>
      <c r="G2663" s="2" t="s">
        <v>211</v>
      </c>
      <c r="H2663" s="2" t="s">
        <v>21</v>
      </c>
      <c r="I2663" s="2">
        <v>24</v>
      </c>
      <c r="J2663" s="2" t="s">
        <v>106</v>
      </c>
      <c r="K2663" s="4">
        <v>46030.43472222222</v>
      </c>
      <c r="L2663" s="2" t="s">
        <v>24</v>
      </c>
      <c r="M2663" s="2"/>
      <c r="N2663" t="s">
        <v>8584</v>
      </c>
      <c r="O2663" s="8">
        <f t="shared" si="82"/>
        <v>15.716666666558012</v>
      </c>
      <c r="P2663" t="str">
        <f t="shared" si="83"/>
        <v>Yes</v>
      </c>
    </row>
    <row r="2664" spans="1:16" x14ac:dyDescent="0.25">
      <c r="A2664" s="2" t="s">
        <v>7167</v>
      </c>
      <c r="B2664" s="4">
        <v>46086.236111111109</v>
      </c>
      <c r="C2664" s="2" t="s">
        <v>16</v>
      </c>
      <c r="D2664" s="2" t="s">
        <v>84</v>
      </c>
      <c r="E2664" s="2" t="s">
        <v>90</v>
      </c>
      <c r="F2664" s="2" t="s">
        <v>55</v>
      </c>
      <c r="G2664" s="2" t="s">
        <v>101</v>
      </c>
      <c r="H2664" s="2" t="s">
        <v>80</v>
      </c>
      <c r="I2664" s="2">
        <v>4</v>
      </c>
      <c r="J2664" s="2" t="s">
        <v>106</v>
      </c>
      <c r="K2664" s="4">
        <v>46086.271527777775</v>
      </c>
      <c r="L2664" s="2" t="s">
        <v>24</v>
      </c>
      <c r="M2664" s="2"/>
      <c r="N2664" t="s">
        <v>8589</v>
      </c>
      <c r="O2664" s="8">
        <f t="shared" si="82"/>
        <v>0.84999999997671694</v>
      </c>
      <c r="P2664" t="str">
        <f t="shared" si="83"/>
        <v>Yes</v>
      </c>
    </row>
    <row r="2665" spans="1:16" x14ac:dyDescent="0.25">
      <c r="A2665" s="2" t="s">
        <v>7170</v>
      </c>
      <c r="B2665" s="4">
        <v>46110.097916666666</v>
      </c>
      <c r="C2665" s="2" t="s">
        <v>53</v>
      </c>
      <c r="D2665" s="2" t="s">
        <v>61</v>
      </c>
      <c r="E2665" s="2" t="s">
        <v>38</v>
      </c>
      <c r="F2665" s="2" t="s">
        <v>96</v>
      </c>
      <c r="G2665" s="2" t="s">
        <v>31</v>
      </c>
      <c r="H2665" s="2" t="s">
        <v>32</v>
      </c>
      <c r="I2665" s="2">
        <v>48</v>
      </c>
      <c r="J2665" s="2" t="s">
        <v>75</v>
      </c>
      <c r="K2665" s="4">
        <v>46111.021527777775</v>
      </c>
      <c r="L2665" s="2" t="s">
        <v>24</v>
      </c>
      <c r="M2665" s="2">
        <v>4</v>
      </c>
      <c r="N2665" t="s">
        <v>8582</v>
      </c>
      <c r="O2665" s="8">
        <f t="shared" si="82"/>
        <v>22.166666666627862</v>
      </c>
      <c r="P2665" t="str">
        <f t="shared" si="83"/>
        <v>N/A</v>
      </c>
    </row>
    <row r="2666" spans="1:16" x14ac:dyDescent="0.25">
      <c r="A2666" s="2" t="s">
        <v>7173</v>
      </c>
      <c r="B2666" s="4">
        <v>46151.4375</v>
      </c>
      <c r="C2666" s="2" t="s">
        <v>53</v>
      </c>
      <c r="D2666" s="2" t="s">
        <v>54</v>
      </c>
      <c r="E2666" s="2" t="s">
        <v>148</v>
      </c>
      <c r="F2666" s="2" t="s">
        <v>113</v>
      </c>
      <c r="G2666" s="2" t="s">
        <v>31</v>
      </c>
      <c r="H2666" s="2" t="s">
        <v>74</v>
      </c>
      <c r="I2666" s="2">
        <v>8</v>
      </c>
      <c r="J2666" s="2" t="s">
        <v>11</v>
      </c>
      <c r="K2666" s="4" t="s">
        <v>8590</v>
      </c>
      <c r="L2666" s="2" t="s">
        <v>92</v>
      </c>
      <c r="M2666" s="2"/>
      <c r="N2666" t="s">
        <v>8585</v>
      </c>
      <c r="O2666" s="8" t="str">
        <f t="shared" si="82"/>
        <v/>
      </c>
      <c r="P2666" t="str">
        <f t="shared" si="83"/>
        <v>N/A</v>
      </c>
    </row>
    <row r="2667" spans="1:16" x14ac:dyDescent="0.25">
      <c r="A2667" s="2" t="s">
        <v>7175</v>
      </c>
      <c r="B2667" s="4">
        <v>46079.396527777775</v>
      </c>
      <c r="C2667" s="2" t="s">
        <v>67</v>
      </c>
      <c r="D2667" s="2" t="s">
        <v>95</v>
      </c>
      <c r="E2667" s="2" t="s">
        <v>18</v>
      </c>
      <c r="F2667" s="2" t="s">
        <v>30</v>
      </c>
      <c r="G2667" s="2" t="s">
        <v>31</v>
      </c>
      <c r="H2667" s="2" t="s">
        <v>21</v>
      </c>
      <c r="I2667" s="2">
        <v>24</v>
      </c>
      <c r="J2667" s="2" t="s">
        <v>106</v>
      </c>
      <c r="K2667" s="4">
        <v>46079.739583333336</v>
      </c>
      <c r="L2667" s="2" t="s">
        <v>24</v>
      </c>
      <c r="M2667" s="2">
        <v>1</v>
      </c>
      <c r="N2667" t="s">
        <v>8583</v>
      </c>
      <c r="O2667" s="8">
        <f t="shared" si="82"/>
        <v>8.2333333334536292</v>
      </c>
      <c r="P2667" t="str">
        <f t="shared" si="83"/>
        <v>Yes</v>
      </c>
    </row>
    <row r="2668" spans="1:16" x14ac:dyDescent="0.25">
      <c r="A2668" s="2" t="s">
        <v>7178</v>
      </c>
      <c r="B2668" s="4">
        <v>46157.386805555558</v>
      </c>
      <c r="C2668" s="2" t="s">
        <v>53</v>
      </c>
      <c r="D2668" s="2" t="s">
        <v>54</v>
      </c>
      <c r="E2668" s="2" t="s">
        <v>148</v>
      </c>
      <c r="F2668" s="2" t="s">
        <v>30</v>
      </c>
      <c r="G2668" s="2" t="s">
        <v>179</v>
      </c>
      <c r="H2668" s="2" t="s">
        <v>32</v>
      </c>
      <c r="I2668" s="2">
        <v>48</v>
      </c>
      <c r="J2668" s="2" t="s">
        <v>287</v>
      </c>
      <c r="K2668" s="4" t="s">
        <v>8590</v>
      </c>
      <c r="L2668" s="2" t="s">
        <v>24</v>
      </c>
      <c r="M2668" s="2"/>
      <c r="N2668" t="s">
        <v>8582</v>
      </c>
      <c r="O2668" s="8" t="str">
        <f t="shared" si="82"/>
        <v/>
      </c>
      <c r="P2668" t="str">
        <f t="shared" si="83"/>
        <v>N/A</v>
      </c>
    </row>
    <row r="2669" spans="1:16" x14ac:dyDescent="0.25">
      <c r="A2669" s="2" t="s">
        <v>7180</v>
      </c>
      <c r="B2669" s="4">
        <v>46142.335416666669</v>
      </c>
      <c r="C2669" s="2" t="s">
        <v>16</v>
      </c>
      <c r="D2669" s="2" t="s">
        <v>84</v>
      </c>
      <c r="E2669" s="2" t="s">
        <v>79</v>
      </c>
      <c r="F2669" s="2" t="s">
        <v>30</v>
      </c>
      <c r="G2669" s="2" t="s">
        <v>183</v>
      </c>
      <c r="H2669" s="2" t="s">
        <v>74</v>
      </c>
      <c r="I2669" s="2">
        <v>8</v>
      </c>
      <c r="J2669" s="2" t="s">
        <v>149</v>
      </c>
      <c r="K2669" s="4" t="s">
        <v>8590</v>
      </c>
      <c r="L2669" s="2" t="s">
        <v>92</v>
      </c>
      <c r="M2669" s="2"/>
      <c r="N2669" t="s">
        <v>8588</v>
      </c>
      <c r="O2669" s="8" t="str">
        <f t="shared" si="82"/>
        <v/>
      </c>
      <c r="P2669" t="str">
        <f t="shared" si="83"/>
        <v>N/A</v>
      </c>
    </row>
    <row r="2670" spans="1:16" x14ac:dyDescent="0.25">
      <c r="A2670" s="2" t="s">
        <v>7182</v>
      </c>
      <c r="B2670" s="4">
        <v>46223.372916666667</v>
      </c>
      <c r="C2670" s="2" t="s">
        <v>16</v>
      </c>
      <c r="D2670" s="2" t="s">
        <v>17</v>
      </c>
      <c r="E2670" s="2" t="s">
        <v>18</v>
      </c>
      <c r="F2670" s="2" t="s">
        <v>96</v>
      </c>
      <c r="G2670" s="2" t="s">
        <v>179</v>
      </c>
      <c r="H2670" s="2" t="s">
        <v>32</v>
      </c>
      <c r="I2670" s="2">
        <v>48</v>
      </c>
      <c r="J2670" s="2" t="s">
        <v>287</v>
      </c>
      <c r="K2670" s="4" t="s">
        <v>8590</v>
      </c>
      <c r="L2670" s="2" t="s">
        <v>24</v>
      </c>
      <c r="M2670" s="2"/>
      <c r="N2670" t="s">
        <v>8589</v>
      </c>
      <c r="O2670" s="8" t="str">
        <f t="shared" si="82"/>
        <v/>
      </c>
      <c r="P2670" t="str">
        <f t="shared" si="83"/>
        <v>N/A</v>
      </c>
    </row>
    <row r="2671" spans="1:16" x14ac:dyDescent="0.25">
      <c r="A2671" s="2" t="s">
        <v>7184</v>
      </c>
      <c r="B2671" s="4">
        <v>46084.361805555556</v>
      </c>
      <c r="C2671" s="2" t="s">
        <v>53</v>
      </c>
      <c r="D2671" s="2" t="s">
        <v>54</v>
      </c>
      <c r="E2671" s="2" t="s">
        <v>148</v>
      </c>
      <c r="F2671" s="2" t="s">
        <v>55</v>
      </c>
      <c r="G2671" s="2" t="s">
        <v>211</v>
      </c>
      <c r="H2671" s="2" t="s">
        <v>21</v>
      </c>
      <c r="I2671" s="2">
        <v>24</v>
      </c>
      <c r="J2671" s="2" t="s">
        <v>287</v>
      </c>
      <c r="K2671" s="4" t="s">
        <v>8590</v>
      </c>
      <c r="L2671" s="2" t="s">
        <v>24</v>
      </c>
      <c r="M2671" s="2"/>
      <c r="N2671" t="s">
        <v>8581</v>
      </c>
      <c r="O2671" s="8" t="str">
        <f t="shared" si="82"/>
        <v/>
      </c>
      <c r="P2671" t="str">
        <f t="shared" si="83"/>
        <v>N/A</v>
      </c>
    </row>
    <row r="2672" spans="1:16" x14ac:dyDescent="0.25">
      <c r="A2672" s="2" t="s">
        <v>7186</v>
      </c>
      <c r="B2672" s="4">
        <v>46180.756944444445</v>
      </c>
      <c r="C2672" s="2" t="s">
        <v>67</v>
      </c>
      <c r="D2672" s="2" t="s">
        <v>68</v>
      </c>
      <c r="E2672" s="2" t="s">
        <v>46</v>
      </c>
      <c r="F2672" s="2" t="s">
        <v>113</v>
      </c>
      <c r="G2672" s="2" t="s">
        <v>183</v>
      </c>
      <c r="H2672" s="2" t="s">
        <v>74</v>
      </c>
      <c r="I2672" s="2">
        <v>8</v>
      </c>
      <c r="J2672" s="2" t="s">
        <v>287</v>
      </c>
      <c r="K2672" s="4" t="s">
        <v>8590</v>
      </c>
      <c r="L2672" s="2" t="s">
        <v>24</v>
      </c>
      <c r="M2672" s="2"/>
      <c r="N2672" t="s">
        <v>8585</v>
      </c>
      <c r="O2672" s="8" t="str">
        <f t="shared" si="82"/>
        <v/>
      </c>
      <c r="P2672" t="str">
        <f t="shared" si="83"/>
        <v>N/A</v>
      </c>
    </row>
    <row r="2673" spans="1:16" x14ac:dyDescent="0.25">
      <c r="A2673" s="2" t="s">
        <v>7188</v>
      </c>
      <c r="B2673" s="4">
        <v>46216.454861111109</v>
      </c>
      <c r="C2673" s="2" t="s">
        <v>53</v>
      </c>
      <c r="D2673" s="2" t="s">
        <v>61</v>
      </c>
      <c r="E2673" s="2" t="s">
        <v>46</v>
      </c>
      <c r="F2673" s="2" t="s">
        <v>96</v>
      </c>
      <c r="G2673" s="2" t="s">
        <v>101</v>
      </c>
      <c r="H2673" s="2" t="s">
        <v>32</v>
      </c>
      <c r="I2673" s="2">
        <v>48</v>
      </c>
      <c r="J2673" s="2" t="s">
        <v>8580</v>
      </c>
      <c r="K2673" s="4">
        <v>46217.131944444445</v>
      </c>
      <c r="L2673" s="2" t="s">
        <v>24</v>
      </c>
      <c r="M2673" s="2"/>
      <c r="N2673" t="s">
        <v>8589</v>
      </c>
      <c r="O2673" s="8">
        <f t="shared" si="82"/>
        <v>16.250000000058208</v>
      </c>
      <c r="P2673" t="str">
        <f t="shared" si="83"/>
        <v>N/A</v>
      </c>
    </row>
    <row r="2674" spans="1:16" x14ac:dyDescent="0.25">
      <c r="A2674" s="2" t="s">
        <v>7191</v>
      </c>
      <c r="B2674" s="4">
        <v>46234.379166666666</v>
      </c>
      <c r="C2674" s="2" t="s">
        <v>67</v>
      </c>
      <c r="D2674" s="2" t="s">
        <v>68</v>
      </c>
      <c r="E2674" s="2" t="s">
        <v>79</v>
      </c>
      <c r="F2674" s="2" t="s">
        <v>113</v>
      </c>
      <c r="G2674" s="2" t="s">
        <v>211</v>
      </c>
      <c r="H2674" s="2" t="s">
        <v>80</v>
      </c>
      <c r="I2674" s="2">
        <v>4</v>
      </c>
      <c r="J2674" s="2" t="s">
        <v>8580</v>
      </c>
      <c r="K2674" s="4">
        <v>46234.728472222225</v>
      </c>
      <c r="L2674" s="2" t="s">
        <v>24</v>
      </c>
      <c r="M2674" s="2"/>
      <c r="N2674" t="s">
        <v>8586</v>
      </c>
      <c r="O2674" s="8">
        <f t="shared" si="82"/>
        <v>8.3833333334187046</v>
      </c>
      <c r="P2674" t="str">
        <f t="shared" si="83"/>
        <v>N/A</v>
      </c>
    </row>
    <row r="2675" spans="1:16" x14ac:dyDescent="0.25">
      <c r="A2675" s="2" t="s">
        <v>7194</v>
      </c>
      <c r="B2675" s="4">
        <v>46117.036805555559</v>
      </c>
      <c r="C2675" s="2" t="s">
        <v>67</v>
      </c>
      <c r="D2675" s="2" t="s">
        <v>95</v>
      </c>
      <c r="E2675" s="2" t="s">
        <v>79</v>
      </c>
      <c r="F2675" s="2" t="s">
        <v>113</v>
      </c>
      <c r="G2675" s="2" t="s">
        <v>179</v>
      </c>
      <c r="H2675" s="2" t="s">
        <v>32</v>
      </c>
      <c r="I2675" s="2">
        <v>48</v>
      </c>
      <c r="J2675" s="2" t="s">
        <v>106</v>
      </c>
      <c r="K2675" s="4">
        <v>46118.80972222222</v>
      </c>
      <c r="L2675" s="2" t="s">
        <v>24</v>
      </c>
      <c r="M2675" s="2">
        <v>5</v>
      </c>
      <c r="N2675" t="s">
        <v>8588</v>
      </c>
      <c r="O2675" s="8">
        <f t="shared" si="82"/>
        <v>42.549999999871943</v>
      </c>
      <c r="P2675" t="str">
        <f t="shared" si="83"/>
        <v>Yes</v>
      </c>
    </row>
    <row r="2676" spans="1:16" x14ac:dyDescent="0.25">
      <c r="A2676" s="2" t="s">
        <v>7197</v>
      </c>
      <c r="B2676" s="4">
        <v>46089.380555555559</v>
      </c>
      <c r="C2676" s="2" t="s">
        <v>16</v>
      </c>
      <c r="D2676" s="2" t="s">
        <v>84</v>
      </c>
      <c r="E2676" s="2" t="s">
        <v>18</v>
      </c>
      <c r="F2676" s="2" t="s">
        <v>96</v>
      </c>
      <c r="G2676" s="2" t="s">
        <v>101</v>
      </c>
      <c r="H2676" s="2" t="s">
        <v>80</v>
      </c>
      <c r="I2676" s="2">
        <v>4</v>
      </c>
      <c r="J2676" s="2" t="s">
        <v>75</v>
      </c>
      <c r="K2676" s="4">
        <v>46089.659722222219</v>
      </c>
      <c r="L2676" s="2" t="s">
        <v>24</v>
      </c>
      <c r="M2676" s="2"/>
      <c r="N2676" t="s">
        <v>8584</v>
      </c>
      <c r="O2676" s="8">
        <f t="shared" si="82"/>
        <v>6.6999999998370185</v>
      </c>
      <c r="P2676" t="str">
        <f t="shared" si="83"/>
        <v>N/A</v>
      </c>
    </row>
    <row r="2677" spans="1:16" x14ac:dyDescent="0.25">
      <c r="A2677" s="2" t="s">
        <v>7200</v>
      </c>
      <c r="B2677" s="4">
        <v>46188.227083333331</v>
      </c>
      <c r="C2677" s="2" t="s">
        <v>67</v>
      </c>
      <c r="D2677" s="2" t="s">
        <v>95</v>
      </c>
      <c r="E2677" s="2" t="s">
        <v>18</v>
      </c>
      <c r="F2677" s="2" t="s">
        <v>30</v>
      </c>
      <c r="G2677" s="2" t="s">
        <v>110</v>
      </c>
      <c r="H2677" s="2" t="s">
        <v>32</v>
      </c>
      <c r="I2677" s="2">
        <v>48</v>
      </c>
      <c r="J2677" s="2" t="s">
        <v>106</v>
      </c>
      <c r="K2677" s="4">
        <v>46188.9</v>
      </c>
      <c r="L2677" s="2" t="s">
        <v>24</v>
      </c>
      <c r="M2677" s="2">
        <v>4</v>
      </c>
      <c r="N2677" t="s">
        <v>8582</v>
      </c>
      <c r="O2677" s="8">
        <f t="shared" si="82"/>
        <v>16.150000000081491</v>
      </c>
      <c r="P2677" t="str">
        <f t="shared" si="83"/>
        <v>Yes</v>
      </c>
    </row>
    <row r="2678" spans="1:16" x14ac:dyDescent="0.25">
      <c r="A2678" s="2" t="s">
        <v>7203</v>
      </c>
      <c r="B2678" s="4">
        <v>46063.260416666664</v>
      </c>
      <c r="C2678" s="2" t="s">
        <v>67</v>
      </c>
      <c r="D2678" s="2" t="s">
        <v>68</v>
      </c>
      <c r="E2678" s="2" t="s">
        <v>148</v>
      </c>
      <c r="F2678" s="2" t="s">
        <v>96</v>
      </c>
      <c r="G2678" s="2" t="s">
        <v>179</v>
      </c>
      <c r="H2678" s="2" t="s">
        <v>32</v>
      </c>
      <c r="I2678" s="2">
        <v>48</v>
      </c>
      <c r="J2678" s="2" t="s">
        <v>106</v>
      </c>
      <c r="K2678" s="4">
        <v>46064.601388888892</v>
      </c>
      <c r="L2678" s="2" t="s">
        <v>24</v>
      </c>
      <c r="M2678" s="2"/>
      <c r="N2678" t="s">
        <v>8584</v>
      </c>
      <c r="O2678" s="8">
        <f t="shared" si="82"/>
        <v>32.183333333465271</v>
      </c>
      <c r="P2678" t="str">
        <f t="shared" si="83"/>
        <v>Yes</v>
      </c>
    </row>
    <row r="2679" spans="1:16" x14ac:dyDescent="0.25">
      <c r="A2679" s="2" t="s">
        <v>7206</v>
      </c>
      <c r="B2679" s="4">
        <v>46064.36041666667</v>
      </c>
      <c r="C2679" s="2" t="s">
        <v>53</v>
      </c>
      <c r="D2679" s="2" t="s">
        <v>61</v>
      </c>
      <c r="E2679" s="2" t="s">
        <v>79</v>
      </c>
      <c r="F2679" s="2" t="s">
        <v>55</v>
      </c>
      <c r="G2679" s="2" t="s">
        <v>31</v>
      </c>
      <c r="H2679" s="2" t="s">
        <v>21</v>
      </c>
      <c r="I2679" s="2">
        <v>24</v>
      </c>
      <c r="J2679" s="2" t="s">
        <v>8580</v>
      </c>
      <c r="K2679" s="4" t="s">
        <v>8590</v>
      </c>
      <c r="L2679" s="2" t="s">
        <v>24</v>
      </c>
      <c r="M2679" s="2"/>
      <c r="N2679" t="s">
        <v>8586</v>
      </c>
      <c r="O2679" s="8" t="str">
        <f t="shared" si="82"/>
        <v/>
      </c>
      <c r="P2679" t="str">
        <f t="shared" si="83"/>
        <v>N/A</v>
      </c>
    </row>
    <row r="2680" spans="1:16" x14ac:dyDescent="0.25">
      <c r="A2680" s="2" t="s">
        <v>7208</v>
      </c>
      <c r="B2680" s="4">
        <v>46130.693749999999</v>
      </c>
      <c r="C2680" s="2" t="s">
        <v>28</v>
      </c>
      <c r="D2680" s="2" t="s">
        <v>100</v>
      </c>
      <c r="E2680" s="2" t="s">
        <v>18</v>
      </c>
      <c r="F2680" s="2" t="s">
        <v>113</v>
      </c>
      <c r="G2680" s="2" t="s">
        <v>179</v>
      </c>
      <c r="H2680" s="2" t="s">
        <v>74</v>
      </c>
      <c r="I2680" s="2">
        <v>8</v>
      </c>
      <c r="J2680" s="2" t="s">
        <v>11</v>
      </c>
      <c r="K2680" s="4" t="s">
        <v>8590</v>
      </c>
      <c r="L2680" s="2" t="s">
        <v>92</v>
      </c>
      <c r="M2680" s="2"/>
      <c r="N2680" t="s">
        <v>8586</v>
      </c>
      <c r="O2680" s="8" t="str">
        <f t="shared" si="82"/>
        <v/>
      </c>
      <c r="P2680" t="str">
        <f t="shared" si="83"/>
        <v>N/A</v>
      </c>
    </row>
    <row r="2681" spans="1:16" x14ac:dyDescent="0.25">
      <c r="A2681" s="2" t="s">
        <v>7210</v>
      </c>
      <c r="B2681" s="4">
        <v>46163.475694444445</v>
      </c>
      <c r="C2681" s="2" t="s">
        <v>28</v>
      </c>
      <c r="D2681" s="2" t="s">
        <v>100</v>
      </c>
      <c r="E2681" s="2" t="s">
        <v>46</v>
      </c>
      <c r="F2681" s="2" t="s">
        <v>96</v>
      </c>
      <c r="G2681" s="2" t="s">
        <v>110</v>
      </c>
      <c r="H2681" s="2" t="s">
        <v>32</v>
      </c>
      <c r="I2681" s="2">
        <v>48</v>
      </c>
      <c r="J2681" s="2" t="s">
        <v>106</v>
      </c>
      <c r="K2681" s="4">
        <v>46165.783333333333</v>
      </c>
      <c r="L2681" s="2" t="s">
        <v>24</v>
      </c>
      <c r="M2681" s="2">
        <v>1</v>
      </c>
      <c r="N2681" t="s">
        <v>8581</v>
      </c>
      <c r="O2681" s="8">
        <f t="shared" si="82"/>
        <v>55.383333333302289</v>
      </c>
      <c r="P2681" t="str">
        <f t="shared" si="83"/>
        <v>No</v>
      </c>
    </row>
    <row r="2682" spans="1:16" x14ac:dyDescent="0.25">
      <c r="A2682" s="2" t="s">
        <v>7213</v>
      </c>
      <c r="B2682" s="4">
        <v>46107.217361111114</v>
      </c>
      <c r="C2682" s="2" t="s">
        <v>16</v>
      </c>
      <c r="D2682" s="2" t="s">
        <v>84</v>
      </c>
      <c r="E2682" s="2" t="s">
        <v>46</v>
      </c>
      <c r="F2682" s="2" t="s">
        <v>30</v>
      </c>
      <c r="G2682" s="2" t="s">
        <v>183</v>
      </c>
      <c r="H2682" s="2" t="s">
        <v>80</v>
      </c>
      <c r="I2682" s="2">
        <v>4</v>
      </c>
      <c r="J2682" s="2" t="s">
        <v>11</v>
      </c>
      <c r="K2682" s="4" t="s">
        <v>8590</v>
      </c>
      <c r="L2682" s="2" t="s">
        <v>92</v>
      </c>
      <c r="M2682" s="2"/>
      <c r="N2682" t="s">
        <v>8589</v>
      </c>
      <c r="O2682" s="8" t="str">
        <f t="shared" si="82"/>
        <v/>
      </c>
      <c r="P2682" t="str">
        <f t="shared" si="83"/>
        <v>N/A</v>
      </c>
    </row>
    <row r="2683" spans="1:16" x14ac:dyDescent="0.25">
      <c r="A2683" s="2" t="s">
        <v>7215</v>
      </c>
      <c r="B2683" s="4">
        <v>46185.129861111112</v>
      </c>
      <c r="C2683" s="2" t="s">
        <v>67</v>
      </c>
      <c r="D2683" s="2" t="s">
        <v>95</v>
      </c>
      <c r="E2683" s="2" t="s">
        <v>79</v>
      </c>
      <c r="F2683" s="2" t="s">
        <v>96</v>
      </c>
      <c r="G2683" s="2" t="s">
        <v>211</v>
      </c>
      <c r="H2683" s="2" t="s">
        <v>21</v>
      </c>
      <c r="I2683" s="2">
        <v>24</v>
      </c>
      <c r="J2683" s="2" t="s">
        <v>106</v>
      </c>
      <c r="K2683" s="4">
        <v>46185.409722222219</v>
      </c>
      <c r="L2683" s="2" t="s">
        <v>24</v>
      </c>
      <c r="M2683" s="2">
        <v>5</v>
      </c>
      <c r="N2683" t="s">
        <v>8586</v>
      </c>
      <c r="O2683" s="8">
        <f t="shared" si="82"/>
        <v>6.7166666665580124</v>
      </c>
      <c r="P2683" t="str">
        <f t="shared" si="83"/>
        <v>Yes</v>
      </c>
    </row>
    <row r="2684" spans="1:16" x14ac:dyDescent="0.25">
      <c r="A2684" s="2" t="s">
        <v>7218</v>
      </c>
      <c r="B2684" s="4">
        <v>46107.583333333336</v>
      </c>
      <c r="C2684" s="2" t="s">
        <v>16</v>
      </c>
      <c r="D2684" s="2" t="s">
        <v>17</v>
      </c>
      <c r="E2684" s="2" t="s">
        <v>90</v>
      </c>
      <c r="F2684" s="2" t="s">
        <v>55</v>
      </c>
      <c r="G2684" s="2" t="s">
        <v>101</v>
      </c>
      <c r="H2684" s="2" t="s">
        <v>74</v>
      </c>
      <c r="I2684" s="2">
        <v>8</v>
      </c>
      <c r="J2684" s="2" t="s">
        <v>149</v>
      </c>
      <c r="K2684" s="4" t="s">
        <v>8590</v>
      </c>
      <c r="L2684" s="2" t="s">
        <v>24</v>
      </c>
      <c r="M2684" s="2"/>
      <c r="N2684" t="s">
        <v>8589</v>
      </c>
      <c r="O2684" s="8" t="str">
        <f t="shared" si="82"/>
        <v/>
      </c>
      <c r="P2684" t="str">
        <f t="shared" si="83"/>
        <v>N/A</v>
      </c>
    </row>
    <row r="2685" spans="1:16" x14ac:dyDescent="0.25">
      <c r="A2685" s="2" t="s">
        <v>7220</v>
      </c>
      <c r="B2685" s="4">
        <v>46107.254166666666</v>
      </c>
      <c r="C2685" s="2" t="s">
        <v>28</v>
      </c>
      <c r="D2685" s="2" t="s">
        <v>37</v>
      </c>
      <c r="E2685" s="2" t="s">
        <v>85</v>
      </c>
      <c r="F2685" s="2" t="s">
        <v>96</v>
      </c>
      <c r="G2685" s="2" t="s">
        <v>211</v>
      </c>
      <c r="H2685" s="2" t="s">
        <v>74</v>
      </c>
      <c r="I2685" s="2">
        <v>8</v>
      </c>
      <c r="J2685" s="2" t="s">
        <v>11</v>
      </c>
      <c r="K2685" s="4" t="s">
        <v>8590</v>
      </c>
      <c r="L2685" s="2" t="s">
        <v>92</v>
      </c>
      <c r="M2685" s="2"/>
      <c r="N2685" t="s">
        <v>8584</v>
      </c>
      <c r="O2685" s="8" t="str">
        <f t="shared" si="82"/>
        <v/>
      </c>
      <c r="P2685" t="str">
        <f t="shared" si="83"/>
        <v>N/A</v>
      </c>
    </row>
    <row r="2686" spans="1:16" x14ac:dyDescent="0.25">
      <c r="A2686" s="2" t="s">
        <v>7222</v>
      </c>
      <c r="B2686" s="4">
        <v>46199.140277777777</v>
      </c>
      <c r="C2686" s="2" t="s">
        <v>16</v>
      </c>
      <c r="D2686" s="2" t="s">
        <v>84</v>
      </c>
      <c r="E2686" s="2" t="s">
        <v>18</v>
      </c>
      <c r="F2686" s="2" t="s">
        <v>113</v>
      </c>
      <c r="G2686" s="2" t="s">
        <v>31</v>
      </c>
      <c r="H2686" s="2" t="s">
        <v>21</v>
      </c>
      <c r="I2686" s="2">
        <v>24</v>
      </c>
      <c r="J2686" s="2" t="s">
        <v>106</v>
      </c>
      <c r="K2686" s="4">
        <v>46201.822916666664</v>
      </c>
      <c r="L2686" s="2" t="s">
        <v>24</v>
      </c>
      <c r="M2686" s="2">
        <v>3</v>
      </c>
      <c r="N2686" t="s">
        <v>8585</v>
      </c>
      <c r="O2686" s="8">
        <f t="shared" si="82"/>
        <v>64.383333333302289</v>
      </c>
      <c r="P2686" t="str">
        <f t="shared" si="83"/>
        <v>No</v>
      </c>
    </row>
    <row r="2687" spans="1:16" x14ac:dyDescent="0.25">
      <c r="A2687" s="2" t="s">
        <v>7225</v>
      </c>
      <c r="B2687" s="4">
        <v>46042.652777777781</v>
      </c>
      <c r="C2687" s="2" t="s">
        <v>16</v>
      </c>
      <c r="D2687" s="2" t="s">
        <v>17</v>
      </c>
      <c r="E2687" s="2" t="s">
        <v>90</v>
      </c>
      <c r="F2687" s="2" t="s">
        <v>55</v>
      </c>
      <c r="G2687" s="2" t="s">
        <v>179</v>
      </c>
      <c r="H2687" s="2" t="s">
        <v>32</v>
      </c>
      <c r="I2687" s="2">
        <v>48</v>
      </c>
      <c r="J2687" s="2" t="s">
        <v>75</v>
      </c>
      <c r="K2687" s="4" t="s">
        <v>8590</v>
      </c>
      <c r="L2687" s="2" t="s">
        <v>24</v>
      </c>
      <c r="M2687" s="2">
        <v>4</v>
      </c>
      <c r="N2687" t="s">
        <v>8581</v>
      </c>
      <c r="O2687" s="8" t="str">
        <f t="shared" si="82"/>
        <v/>
      </c>
      <c r="P2687" t="str">
        <f t="shared" si="83"/>
        <v>N/A</v>
      </c>
    </row>
    <row r="2688" spans="1:16" x14ac:dyDescent="0.25">
      <c r="A2688" s="2" t="s">
        <v>7227</v>
      </c>
      <c r="B2688" s="4">
        <v>46214.659722222219</v>
      </c>
      <c r="C2688" s="2" t="s">
        <v>28</v>
      </c>
      <c r="D2688" s="2" t="s">
        <v>37</v>
      </c>
      <c r="E2688" s="2" t="s">
        <v>85</v>
      </c>
      <c r="F2688" s="2" t="s">
        <v>30</v>
      </c>
      <c r="G2688" s="2" t="s">
        <v>110</v>
      </c>
      <c r="H2688" s="2" t="s">
        <v>74</v>
      </c>
      <c r="I2688" s="2">
        <v>8</v>
      </c>
      <c r="J2688" s="2" t="s">
        <v>287</v>
      </c>
      <c r="K2688" s="4" t="s">
        <v>8590</v>
      </c>
      <c r="L2688" s="2" t="s">
        <v>24</v>
      </c>
      <c r="M2688" s="2"/>
      <c r="N2688" t="s">
        <v>8581</v>
      </c>
      <c r="O2688" s="8" t="str">
        <f t="shared" si="82"/>
        <v/>
      </c>
      <c r="P2688" t="str">
        <f t="shared" si="83"/>
        <v>N/A</v>
      </c>
    </row>
    <row r="2689" spans="1:16" x14ac:dyDescent="0.25">
      <c r="A2689" s="2" t="s">
        <v>7229</v>
      </c>
      <c r="B2689" s="4">
        <v>46112.098611111112</v>
      </c>
      <c r="C2689" s="2" t="s">
        <v>67</v>
      </c>
      <c r="D2689" s="2" t="s">
        <v>68</v>
      </c>
      <c r="E2689" s="2" t="s">
        <v>18</v>
      </c>
      <c r="F2689" s="2" t="s">
        <v>96</v>
      </c>
      <c r="G2689" s="2" t="s">
        <v>179</v>
      </c>
      <c r="H2689" s="2" t="s">
        <v>21</v>
      </c>
      <c r="I2689" s="2">
        <v>24</v>
      </c>
      <c r="J2689" s="2" t="s">
        <v>106</v>
      </c>
      <c r="K2689" s="4">
        <v>46112.461111111108</v>
      </c>
      <c r="L2689" s="2" t="s">
        <v>24</v>
      </c>
      <c r="M2689" s="2">
        <v>5</v>
      </c>
      <c r="N2689" t="s">
        <v>8581</v>
      </c>
      <c r="O2689" s="8">
        <f t="shared" si="82"/>
        <v>8.6999999998952262</v>
      </c>
      <c r="P2689" t="str">
        <f t="shared" si="83"/>
        <v>Yes</v>
      </c>
    </row>
    <row r="2690" spans="1:16" x14ac:dyDescent="0.25">
      <c r="A2690" s="2" t="s">
        <v>7232</v>
      </c>
      <c r="B2690" s="4">
        <v>46167.99722222222</v>
      </c>
      <c r="C2690" s="2" t="s">
        <v>53</v>
      </c>
      <c r="D2690" s="2" t="s">
        <v>54</v>
      </c>
      <c r="E2690" s="2" t="s">
        <v>79</v>
      </c>
      <c r="F2690" s="2" t="s">
        <v>96</v>
      </c>
      <c r="G2690" s="2" t="s">
        <v>31</v>
      </c>
      <c r="H2690" s="2" t="s">
        <v>74</v>
      </c>
      <c r="I2690" s="2">
        <v>8</v>
      </c>
      <c r="J2690" s="2" t="s">
        <v>106</v>
      </c>
      <c r="K2690" s="4">
        <v>46168.276388888888</v>
      </c>
      <c r="L2690" s="2" t="s">
        <v>24</v>
      </c>
      <c r="M2690" s="2"/>
      <c r="N2690" t="s">
        <v>8582</v>
      </c>
      <c r="O2690" s="8">
        <f t="shared" si="82"/>
        <v>6.7000000000116415</v>
      </c>
      <c r="P2690" t="str">
        <f t="shared" si="83"/>
        <v>Yes</v>
      </c>
    </row>
    <row r="2691" spans="1:16" x14ac:dyDescent="0.25">
      <c r="A2691" s="2" t="s">
        <v>7235</v>
      </c>
      <c r="B2691" s="4">
        <v>46218.097222222219</v>
      </c>
      <c r="C2691" s="2" t="s">
        <v>16</v>
      </c>
      <c r="D2691" s="2" t="s">
        <v>84</v>
      </c>
      <c r="E2691" s="2" t="s">
        <v>90</v>
      </c>
      <c r="F2691" s="2" t="s">
        <v>113</v>
      </c>
      <c r="G2691" s="2" t="s">
        <v>211</v>
      </c>
      <c r="H2691" s="2" t="s">
        <v>21</v>
      </c>
      <c r="I2691" s="2">
        <v>24</v>
      </c>
      <c r="J2691" s="2" t="s">
        <v>287</v>
      </c>
      <c r="K2691" s="4" t="s">
        <v>8590</v>
      </c>
      <c r="L2691" s="2" t="s">
        <v>24</v>
      </c>
      <c r="M2691" s="2"/>
      <c r="N2691" t="s">
        <v>8581</v>
      </c>
      <c r="O2691" s="8" t="str">
        <f t="shared" ref="O2691:O2754" si="84">IF(K2691="","",IF(K2691="Missing Resolve Date","",(K2691-B2691)*24))</f>
        <v/>
      </c>
      <c r="P2691" t="str">
        <f t="shared" ref="P2691:P2754" si="85">IF(J2691="Resolved",IF(O2691&lt;=I2691,"Yes","No"),"N/A")</f>
        <v>N/A</v>
      </c>
    </row>
    <row r="2692" spans="1:16" x14ac:dyDescent="0.25">
      <c r="A2692" s="2" t="s">
        <v>7237</v>
      </c>
      <c r="B2692" s="4">
        <v>46245.128472222219</v>
      </c>
      <c r="C2692" s="2" t="s">
        <v>53</v>
      </c>
      <c r="D2692" s="2" t="s">
        <v>61</v>
      </c>
      <c r="E2692" s="2" t="s">
        <v>148</v>
      </c>
      <c r="F2692" s="2" t="s">
        <v>113</v>
      </c>
      <c r="G2692" s="2" t="s">
        <v>179</v>
      </c>
      <c r="H2692" s="2" t="s">
        <v>32</v>
      </c>
      <c r="I2692" s="2">
        <v>48</v>
      </c>
      <c r="J2692" s="2" t="s">
        <v>106</v>
      </c>
      <c r="K2692" s="4">
        <v>46245.729166666664</v>
      </c>
      <c r="L2692" s="2" t="s">
        <v>24</v>
      </c>
      <c r="M2692" s="2">
        <v>5</v>
      </c>
      <c r="N2692" t="s">
        <v>8584</v>
      </c>
      <c r="O2692" s="8">
        <f t="shared" si="84"/>
        <v>14.416666666686069</v>
      </c>
      <c r="P2692" t="str">
        <f t="shared" si="85"/>
        <v>Yes</v>
      </c>
    </row>
    <row r="2693" spans="1:16" x14ac:dyDescent="0.25">
      <c r="A2693" s="2" t="s">
        <v>7240</v>
      </c>
      <c r="B2693" s="4">
        <v>46158.228472222225</v>
      </c>
      <c r="C2693" s="2" t="s">
        <v>16</v>
      </c>
      <c r="D2693" s="2" t="s">
        <v>84</v>
      </c>
      <c r="E2693" s="2" t="s">
        <v>18</v>
      </c>
      <c r="F2693" s="2" t="s">
        <v>30</v>
      </c>
      <c r="G2693" s="2" t="s">
        <v>31</v>
      </c>
      <c r="H2693" s="2" t="s">
        <v>74</v>
      </c>
      <c r="I2693" s="2">
        <v>8</v>
      </c>
      <c r="J2693" s="2" t="s">
        <v>106</v>
      </c>
      <c r="K2693" s="4">
        <v>46158.447916666664</v>
      </c>
      <c r="L2693" s="2" t="s">
        <v>24</v>
      </c>
      <c r="M2693" s="2">
        <v>4</v>
      </c>
      <c r="N2693" t="s">
        <v>8586</v>
      </c>
      <c r="O2693" s="8">
        <f t="shared" si="84"/>
        <v>5.2666666665463708</v>
      </c>
      <c r="P2693" t="str">
        <f t="shared" si="85"/>
        <v>Yes</v>
      </c>
    </row>
    <row r="2694" spans="1:16" x14ac:dyDescent="0.25">
      <c r="A2694" s="2" t="s">
        <v>7243</v>
      </c>
      <c r="B2694" s="4">
        <v>46105.006944444445</v>
      </c>
      <c r="C2694" s="2" t="s">
        <v>53</v>
      </c>
      <c r="D2694" s="2" t="s">
        <v>61</v>
      </c>
      <c r="E2694" s="2" t="s">
        <v>90</v>
      </c>
      <c r="F2694" s="2" t="s">
        <v>55</v>
      </c>
      <c r="G2694" s="2" t="s">
        <v>179</v>
      </c>
      <c r="H2694" s="2" t="s">
        <v>21</v>
      </c>
      <c r="I2694" s="2">
        <v>24</v>
      </c>
      <c r="J2694" s="2" t="s">
        <v>106</v>
      </c>
      <c r="K2694" s="4">
        <v>46105.5625</v>
      </c>
      <c r="L2694" s="2" t="s">
        <v>92</v>
      </c>
      <c r="M2694" s="2"/>
      <c r="N2694" t="s">
        <v>8589</v>
      </c>
      <c r="O2694" s="8">
        <f t="shared" si="84"/>
        <v>13.333333333313931</v>
      </c>
      <c r="P2694" t="str">
        <f t="shared" si="85"/>
        <v>Yes</v>
      </c>
    </row>
    <row r="2695" spans="1:16" x14ac:dyDescent="0.25">
      <c r="A2695" s="2" t="s">
        <v>7246</v>
      </c>
      <c r="B2695" s="4">
        <v>46067.259027777778</v>
      </c>
      <c r="C2695" s="2" t="s">
        <v>16</v>
      </c>
      <c r="D2695" s="2" t="s">
        <v>84</v>
      </c>
      <c r="E2695" s="2" t="s">
        <v>85</v>
      </c>
      <c r="F2695" s="2" t="s">
        <v>96</v>
      </c>
      <c r="G2695" s="2" t="s">
        <v>211</v>
      </c>
      <c r="H2695" s="2" t="s">
        <v>21</v>
      </c>
      <c r="I2695" s="2">
        <v>24</v>
      </c>
      <c r="J2695" s="2" t="s">
        <v>106</v>
      </c>
      <c r="K2695" s="4">
        <v>46067.73333333333</v>
      </c>
      <c r="L2695" s="2" t="s">
        <v>24</v>
      </c>
      <c r="M2695" s="2"/>
      <c r="N2695" t="s">
        <v>8589</v>
      </c>
      <c r="O2695" s="8">
        <f t="shared" si="84"/>
        <v>11.383333333244082</v>
      </c>
      <c r="P2695" t="str">
        <f t="shared" si="85"/>
        <v>Yes</v>
      </c>
    </row>
    <row r="2696" spans="1:16" x14ac:dyDescent="0.25">
      <c r="A2696" s="2" t="s">
        <v>7249</v>
      </c>
      <c r="B2696" s="4">
        <v>46148.600694444445</v>
      </c>
      <c r="C2696" s="2" t="s">
        <v>53</v>
      </c>
      <c r="D2696" s="2" t="s">
        <v>61</v>
      </c>
      <c r="E2696" s="2" t="s">
        <v>148</v>
      </c>
      <c r="F2696" s="2" t="s">
        <v>96</v>
      </c>
      <c r="G2696" s="2" t="s">
        <v>110</v>
      </c>
      <c r="H2696" s="2" t="s">
        <v>80</v>
      </c>
      <c r="I2696" s="2">
        <v>4</v>
      </c>
      <c r="J2696" s="2" t="s">
        <v>287</v>
      </c>
      <c r="K2696" s="4" t="s">
        <v>8590</v>
      </c>
      <c r="L2696" s="2" t="s">
        <v>24</v>
      </c>
      <c r="M2696" s="2"/>
      <c r="N2696" t="s">
        <v>8589</v>
      </c>
      <c r="O2696" s="8" t="str">
        <f t="shared" si="84"/>
        <v/>
      </c>
      <c r="P2696" t="str">
        <f t="shared" si="85"/>
        <v>N/A</v>
      </c>
    </row>
    <row r="2697" spans="1:16" x14ac:dyDescent="0.25">
      <c r="A2697" s="2" t="s">
        <v>7251</v>
      </c>
      <c r="B2697" s="4">
        <v>46122.863194444442</v>
      </c>
      <c r="C2697" s="2" t="s">
        <v>28</v>
      </c>
      <c r="D2697" s="2" t="s">
        <v>37</v>
      </c>
      <c r="E2697" s="2" t="s">
        <v>85</v>
      </c>
      <c r="F2697" s="2" t="s">
        <v>30</v>
      </c>
      <c r="G2697" s="2" t="s">
        <v>179</v>
      </c>
      <c r="H2697" s="2" t="s">
        <v>21</v>
      </c>
      <c r="I2697" s="2">
        <v>24</v>
      </c>
      <c r="J2697" s="2" t="s">
        <v>106</v>
      </c>
      <c r="K2697" s="4">
        <v>46123.522916666669</v>
      </c>
      <c r="L2697" s="2" t="s">
        <v>24</v>
      </c>
      <c r="M2697" s="2">
        <v>5</v>
      </c>
      <c r="N2697" t="s">
        <v>8583</v>
      </c>
      <c r="O2697" s="8">
        <f t="shared" si="84"/>
        <v>15.833333333430346</v>
      </c>
      <c r="P2697" t="str">
        <f t="shared" si="85"/>
        <v>Yes</v>
      </c>
    </row>
    <row r="2698" spans="1:16" x14ac:dyDescent="0.25">
      <c r="A2698" s="2" t="s">
        <v>7254</v>
      </c>
      <c r="B2698" s="4">
        <v>46179.198611111111</v>
      </c>
      <c r="C2698" s="2" t="s">
        <v>67</v>
      </c>
      <c r="D2698" s="2" t="s">
        <v>68</v>
      </c>
      <c r="E2698" s="2" t="s">
        <v>79</v>
      </c>
      <c r="F2698" s="2" t="s">
        <v>113</v>
      </c>
      <c r="G2698" s="2" t="s">
        <v>211</v>
      </c>
      <c r="H2698" s="2" t="s">
        <v>21</v>
      </c>
      <c r="I2698" s="2">
        <v>24</v>
      </c>
      <c r="J2698" s="2" t="s">
        <v>106</v>
      </c>
      <c r="K2698" s="4">
        <v>46179.415277777778</v>
      </c>
      <c r="L2698" s="2" t="s">
        <v>24</v>
      </c>
      <c r="M2698" s="2"/>
      <c r="N2698" t="s">
        <v>8585</v>
      </c>
      <c r="O2698" s="8">
        <f t="shared" si="84"/>
        <v>5.2000000000116415</v>
      </c>
      <c r="P2698" t="str">
        <f t="shared" si="85"/>
        <v>Yes</v>
      </c>
    </row>
    <row r="2699" spans="1:16" x14ac:dyDescent="0.25">
      <c r="A2699" s="2" t="s">
        <v>7257</v>
      </c>
      <c r="B2699" s="4">
        <v>46089.373611111114</v>
      </c>
      <c r="C2699" s="2" t="s">
        <v>53</v>
      </c>
      <c r="D2699" s="2" t="s">
        <v>61</v>
      </c>
      <c r="E2699" s="2" t="s">
        <v>79</v>
      </c>
      <c r="F2699" s="2" t="s">
        <v>55</v>
      </c>
      <c r="G2699" s="2" t="s">
        <v>101</v>
      </c>
      <c r="H2699" s="2" t="s">
        <v>32</v>
      </c>
      <c r="I2699" s="2">
        <v>48</v>
      </c>
      <c r="J2699" s="2" t="s">
        <v>75</v>
      </c>
      <c r="K2699" s="4" t="s">
        <v>8590</v>
      </c>
      <c r="L2699" s="2" t="s">
        <v>24</v>
      </c>
      <c r="M2699" s="2"/>
      <c r="N2699" t="s">
        <v>8589</v>
      </c>
      <c r="O2699" s="8" t="str">
        <f t="shared" si="84"/>
        <v/>
      </c>
      <c r="P2699" t="str">
        <f t="shared" si="85"/>
        <v>N/A</v>
      </c>
    </row>
    <row r="2700" spans="1:16" x14ac:dyDescent="0.25">
      <c r="A2700" s="2" t="s">
        <v>7259</v>
      </c>
      <c r="B2700" s="4">
        <v>46253.27847222222</v>
      </c>
      <c r="C2700" s="2" t="s">
        <v>16</v>
      </c>
      <c r="D2700" s="2" t="s">
        <v>17</v>
      </c>
      <c r="E2700" s="2" t="s">
        <v>18</v>
      </c>
      <c r="F2700" s="2" t="s">
        <v>55</v>
      </c>
      <c r="G2700" s="2" t="s">
        <v>183</v>
      </c>
      <c r="H2700" s="2" t="s">
        <v>21</v>
      </c>
      <c r="I2700" s="2">
        <v>24</v>
      </c>
      <c r="J2700" s="2" t="s">
        <v>11</v>
      </c>
      <c r="K2700" s="4" t="s">
        <v>8590</v>
      </c>
      <c r="L2700" s="2" t="s">
        <v>92</v>
      </c>
      <c r="M2700" s="2"/>
      <c r="N2700" t="s">
        <v>8589</v>
      </c>
      <c r="O2700" s="8" t="str">
        <f t="shared" si="84"/>
        <v/>
      </c>
      <c r="P2700" t="str">
        <f t="shared" si="85"/>
        <v>N/A</v>
      </c>
    </row>
    <row r="2701" spans="1:16" x14ac:dyDescent="0.25">
      <c r="A2701" s="2" t="s">
        <v>7261</v>
      </c>
      <c r="B2701" s="4">
        <v>46229.051388888889</v>
      </c>
      <c r="C2701" s="2" t="s">
        <v>53</v>
      </c>
      <c r="D2701" s="2" t="s">
        <v>61</v>
      </c>
      <c r="E2701" s="2" t="s">
        <v>148</v>
      </c>
      <c r="F2701" s="2" t="s">
        <v>96</v>
      </c>
      <c r="G2701" s="2" t="s">
        <v>31</v>
      </c>
      <c r="H2701" s="2" t="s">
        <v>32</v>
      </c>
      <c r="I2701" s="2">
        <v>48</v>
      </c>
      <c r="J2701" s="2" t="s">
        <v>106</v>
      </c>
      <c r="K2701" s="4">
        <v>46230.740277777775</v>
      </c>
      <c r="L2701" s="2" t="s">
        <v>24</v>
      </c>
      <c r="M2701" s="2">
        <v>2</v>
      </c>
      <c r="N2701" t="s">
        <v>8586</v>
      </c>
      <c r="O2701" s="8">
        <f t="shared" si="84"/>
        <v>40.533333333267365</v>
      </c>
      <c r="P2701" t="str">
        <f t="shared" si="85"/>
        <v>Yes</v>
      </c>
    </row>
    <row r="2702" spans="1:16" x14ac:dyDescent="0.25">
      <c r="A2702" s="2" t="s">
        <v>7264</v>
      </c>
      <c r="B2702" s="4">
        <v>46217.026388888888</v>
      </c>
      <c r="C2702" s="2" t="s">
        <v>16</v>
      </c>
      <c r="D2702" s="2" t="s">
        <v>84</v>
      </c>
      <c r="E2702" s="2" t="s">
        <v>18</v>
      </c>
      <c r="F2702" s="2" t="s">
        <v>30</v>
      </c>
      <c r="G2702" s="2" t="s">
        <v>101</v>
      </c>
      <c r="H2702" s="2" t="s">
        <v>21</v>
      </c>
      <c r="I2702" s="2">
        <v>24</v>
      </c>
      <c r="J2702" s="2" t="s">
        <v>287</v>
      </c>
      <c r="K2702" s="4" t="s">
        <v>8590</v>
      </c>
      <c r="L2702" s="2" t="s">
        <v>92</v>
      </c>
      <c r="M2702" s="2"/>
      <c r="N2702" t="s">
        <v>8585</v>
      </c>
      <c r="O2702" s="8" t="str">
        <f t="shared" si="84"/>
        <v/>
      </c>
      <c r="P2702" t="str">
        <f t="shared" si="85"/>
        <v>N/A</v>
      </c>
    </row>
    <row r="2703" spans="1:16" x14ac:dyDescent="0.25">
      <c r="A2703" s="2" t="s">
        <v>7266</v>
      </c>
      <c r="B2703" s="4">
        <v>46235.386111111111</v>
      </c>
      <c r="C2703" s="2" t="s">
        <v>67</v>
      </c>
      <c r="D2703" s="2" t="s">
        <v>68</v>
      </c>
      <c r="E2703" s="2" t="s">
        <v>38</v>
      </c>
      <c r="F2703" s="2" t="s">
        <v>30</v>
      </c>
      <c r="G2703" s="2" t="s">
        <v>31</v>
      </c>
      <c r="H2703" s="2" t="s">
        <v>80</v>
      </c>
      <c r="I2703" s="2">
        <v>4</v>
      </c>
      <c r="J2703" s="2" t="s">
        <v>75</v>
      </c>
      <c r="K2703" s="4">
        <v>46235.414583333331</v>
      </c>
      <c r="L2703" s="2" t="s">
        <v>24</v>
      </c>
      <c r="M2703" s="2">
        <v>5</v>
      </c>
      <c r="N2703" t="s">
        <v>8584</v>
      </c>
      <c r="O2703" s="8">
        <f t="shared" si="84"/>
        <v>0.68333333329064772</v>
      </c>
      <c r="P2703" t="str">
        <f t="shared" si="85"/>
        <v>N/A</v>
      </c>
    </row>
    <row r="2704" spans="1:16" x14ac:dyDescent="0.25">
      <c r="A2704" s="2" t="s">
        <v>7269</v>
      </c>
      <c r="B2704" s="4">
        <v>46183.754166666666</v>
      </c>
      <c r="C2704" s="2" t="s">
        <v>28</v>
      </c>
      <c r="D2704" s="2" t="s">
        <v>100</v>
      </c>
      <c r="E2704" s="2" t="s">
        <v>46</v>
      </c>
      <c r="F2704" s="2" t="s">
        <v>30</v>
      </c>
      <c r="G2704" s="2" t="s">
        <v>31</v>
      </c>
      <c r="H2704" s="2" t="s">
        <v>74</v>
      </c>
      <c r="I2704" s="2">
        <v>8</v>
      </c>
      <c r="J2704" s="2" t="s">
        <v>75</v>
      </c>
      <c r="K2704" s="4">
        <v>46183.950694444444</v>
      </c>
      <c r="L2704" s="2" t="s">
        <v>92</v>
      </c>
      <c r="M2704" s="2">
        <v>4</v>
      </c>
      <c r="N2704" t="s">
        <v>8584</v>
      </c>
      <c r="O2704" s="8">
        <f t="shared" si="84"/>
        <v>4.7166666666744277</v>
      </c>
      <c r="P2704" t="str">
        <f t="shared" si="85"/>
        <v>N/A</v>
      </c>
    </row>
    <row r="2705" spans="1:16" x14ac:dyDescent="0.25">
      <c r="A2705" s="2" t="s">
        <v>7272</v>
      </c>
      <c r="B2705" s="4">
        <v>46124.283333333333</v>
      </c>
      <c r="C2705" s="2" t="s">
        <v>16</v>
      </c>
      <c r="D2705" s="2" t="s">
        <v>84</v>
      </c>
      <c r="E2705" s="2" t="s">
        <v>18</v>
      </c>
      <c r="F2705" s="2" t="s">
        <v>55</v>
      </c>
      <c r="G2705" s="2" t="s">
        <v>110</v>
      </c>
      <c r="H2705" s="2" t="s">
        <v>74</v>
      </c>
      <c r="I2705" s="2">
        <v>8</v>
      </c>
      <c r="J2705" s="2" t="s">
        <v>106</v>
      </c>
      <c r="K2705" s="4">
        <v>46124.326388888891</v>
      </c>
      <c r="L2705" s="2" t="s">
        <v>92</v>
      </c>
      <c r="M2705" s="2">
        <v>5</v>
      </c>
      <c r="N2705" t="s">
        <v>8586</v>
      </c>
      <c r="O2705" s="8">
        <f t="shared" si="84"/>
        <v>1.03333333338378</v>
      </c>
      <c r="P2705" t="str">
        <f t="shared" si="85"/>
        <v>Yes</v>
      </c>
    </row>
    <row r="2706" spans="1:16" x14ac:dyDescent="0.25">
      <c r="A2706" s="2" t="s">
        <v>7275</v>
      </c>
      <c r="B2706" s="4">
        <v>46190.805555555555</v>
      </c>
      <c r="C2706" s="2" t="s">
        <v>67</v>
      </c>
      <c r="D2706" s="2" t="s">
        <v>68</v>
      </c>
      <c r="E2706" s="2" t="s">
        <v>79</v>
      </c>
      <c r="F2706" s="2" t="s">
        <v>113</v>
      </c>
      <c r="G2706" s="2" t="s">
        <v>211</v>
      </c>
      <c r="H2706" s="2" t="s">
        <v>32</v>
      </c>
      <c r="I2706" s="2">
        <v>48</v>
      </c>
      <c r="J2706" s="2" t="s">
        <v>106</v>
      </c>
      <c r="K2706" s="4">
        <v>46192.450694444444</v>
      </c>
      <c r="L2706" s="2" t="s">
        <v>92</v>
      </c>
      <c r="M2706" s="2">
        <v>1</v>
      </c>
      <c r="N2706" t="s">
        <v>8588</v>
      </c>
      <c r="O2706" s="8">
        <f t="shared" si="84"/>
        <v>39.483333333337214</v>
      </c>
      <c r="P2706" t="str">
        <f t="shared" si="85"/>
        <v>Yes</v>
      </c>
    </row>
    <row r="2707" spans="1:16" x14ac:dyDescent="0.25">
      <c r="A2707" s="2" t="s">
        <v>7278</v>
      </c>
      <c r="B2707" s="4">
        <v>46071.415972222225</v>
      </c>
      <c r="C2707" s="2" t="s">
        <v>67</v>
      </c>
      <c r="D2707" s="2" t="s">
        <v>68</v>
      </c>
      <c r="E2707" s="2" t="s">
        <v>46</v>
      </c>
      <c r="F2707" s="2" t="s">
        <v>113</v>
      </c>
      <c r="G2707" s="2" t="s">
        <v>31</v>
      </c>
      <c r="H2707" s="2" t="s">
        <v>80</v>
      </c>
      <c r="I2707" s="2">
        <v>4</v>
      </c>
      <c r="J2707" s="2" t="s">
        <v>149</v>
      </c>
      <c r="K2707" s="4" t="s">
        <v>8590</v>
      </c>
      <c r="L2707" s="2" t="s">
        <v>24</v>
      </c>
      <c r="M2707" s="2"/>
      <c r="N2707" t="s">
        <v>8588</v>
      </c>
      <c r="O2707" s="8" t="str">
        <f t="shared" si="84"/>
        <v/>
      </c>
      <c r="P2707" t="str">
        <f t="shared" si="85"/>
        <v>N/A</v>
      </c>
    </row>
    <row r="2708" spans="1:16" x14ac:dyDescent="0.25">
      <c r="A2708" s="2" t="s">
        <v>7280</v>
      </c>
      <c r="B2708" s="4">
        <v>46197.76458333333</v>
      </c>
      <c r="C2708" s="2" t="s">
        <v>28</v>
      </c>
      <c r="D2708" s="2" t="s">
        <v>37</v>
      </c>
      <c r="E2708" s="2" t="s">
        <v>38</v>
      </c>
      <c r="F2708" s="2" t="s">
        <v>30</v>
      </c>
      <c r="G2708" s="2" t="s">
        <v>183</v>
      </c>
      <c r="H2708" s="2" t="s">
        <v>32</v>
      </c>
      <c r="I2708" s="2">
        <v>48</v>
      </c>
      <c r="J2708" s="2" t="s">
        <v>106</v>
      </c>
      <c r="K2708" s="4">
        <v>46198.510416666664</v>
      </c>
      <c r="L2708" s="2" t="s">
        <v>24</v>
      </c>
      <c r="M2708" s="2">
        <v>2</v>
      </c>
      <c r="N2708" t="s">
        <v>8581</v>
      </c>
      <c r="O2708" s="8">
        <f t="shared" si="84"/>
        <v>17.900000000023283</v>
      </c>
      <c r="P2708" t="str">
        <f t="shared" si="85"/>
        <v>Yes</v>
      </c>
    </row>
    <row r="2709" spans="1:16" x14ac:dyDescent="0.25">
      <c r="A2709" s="2" t="s">
        <v>7283</v>
      </c>
      <c r="B2709" s="4">
        <v>46170.789583333331</v>
      </c>
      <c r="C2709" s="2" t="s">
        <v>53</v>
      </c>
      <c r="D2709" s="2" t="s">
        <v>61</v>
      </c>
      <c r="E2709" s="2" t="s">
        <v>38</v>
      </c>
      <c r="F2709" s="2" t="s">
        <v>113</v>
      </c>
      <c r="G2709" s="2" t="s">
        <v>110</v>
      </c>
      <c r="H2709" s="2" t="s">
        <v>32</v>
      </c>
      <c r="I2709" s="2">
        <v>48</v>
      </c>
      <c r="J2709" s="2" t="s">
        <v>75</v>
      </c>
      <c r="K2709" s="4">
        <v>46171.626388888886</v>
      </c>
      <c r="L2709" s="2" t="s">
        <v>24</v>
      </c>
      <c r="M2709" s="2">
        <v>5</v>
      </c>
      <c r="N2709" t="s">
        <v>8583</v>
      </c>
      <c r="O2709" s="8">
        <f t="shared" si="84"/>
        <v>20.083333333313931</v>
      </c>
      <c r="P2709" t="str">
        <f t="shared" si="85"/>
        <v>N/A</v>
      </c>
    </row>
    <row r="2710" spans="1:16" x14ac:dyDescent="0.25">
      <c r="A2710" s="2" t="s">
        <v>7286</v>
      </c>
      <c r="B2710" s="4">
        <v>46030.986111111109</v>
      </c>
      <c r="C2710" s="2" t="s">
        <v>28</v>
      </c>
      <c r="D2710" s="2" t="s">
        <v>37</v>
      </c>
      <c r="E2710" s="2" t="s">
        <v>38</v>
      </c>
      <c r="F2710" s="2" t="s">
        <v>96</v>
      </c>
      <c r="G2710" s="2" t="s">
        <v>179</v>
      </c>
      <c r="H2710" s="2" t="s">
        <v>21</v>
      </c>
      <c r="I2710" s="2">
        <v>24</v>
      </c>
      <c r="J2710" s="2" t="s">
        <v>106</v>
      </c>
      <c r="K2710" s="4">
        <v>46031.050694444442</v>
      </c>
      <c r="L2710" s="2" t="s">
        <v>24</v>
      </c>
      <c r="M2710" s="2">
        <v>2</v>
      </c>
      <c r="N2710" t="s">
        <v>8585</v>
      </c>
      <c r="O2710" s="8">
        <f t="shared" si="84"/>
        <v>1.5499999999883585</v>
      </c>
      <c r="P2710" t="str">
        <f t="shared" si="85"/>
        <v>Yes</v>
      </c>
    </row>
    <row r="2711" spans="1:16" x14ac:dyDescent="0.25">
      <c r="A2711" s="2" t="s">
        <v>7289</v>
      </c>
      <c r="B2711" s="4">
        <v>46102.322916666664</v>
      </c>
      <c r="C2711" s="2" t="s">
        <v>16</v>
      </c>
      <c r="D2711" s="2" t="s">
        <v>84</v>
      </c>
      <c r="E2711" s="2" t="s">
        <v>79</v>
      </c>
      <c r="F2711" s="2" t="s">
        <v>30</v>
      </c>
      <c r="G2711" s="2" t="s">
        <v>211</v>
      </c>
      <c r="H2711" s="2" t="s">
        <v>21</v>
      </c>
      <c r="I2711" s="2">
        <v>24</v>
      </c>
      <c r="J2711" s="2" t="s">
        <v>75</v>
      </c>
      <c r="K2711" s="4">
        <v>46102.479861111111</v>
      </c>
      <c r="L2711" s="2" t="s">
        <v>24</v>
      </c>
      <c r="M2711" s="2"/>
      <c r="N2711" t="s">
        <v>8583</v>
      </c>
      <c r="O2711" s="8">
        <f t="shared" si="84"/>
        <v>3.7666666667209938</v>
      </c>
      <c r="P2711" t="str">
        <f t="shared" si="85"/>
        <v>N/A</v>
      </c>
    </row>
    <row r="2712" spans="1:16" x14ac:dyDescent="0.25">
      <c r="A2712" s="2" t="s">
        <v>7292</v>
      </c>
      <c r="B2712" s="4">
        <v>46048.98333333333</v>
      </c>
      <c r="C2712" s="2" t="s">
        <v>53</v>
      </c>
      <c r="D2712" s="2" t="s">
        <v>54</v>
      </c>
      <c r="E2712" s="2" t="s">
        <v>90</v>
      </c>
      <c r="F2712" s="2" t="s">
        <v>113</v>
      </c>
      <c r="G2712" s="2" t="s">
        <v>31</v>
      </c>
      <c r="H2712" s="2" t="s">
        <v>21</v>
      </c>
      <c r="I2712" s="2">
        <v>24</v>
      </c>
      <c r="J2712" s="2" t="s">
        <v>75</v>
      </c>
      <c r="K2712" s="4">
        <v>46049.279166666667</v>
      </c>
      <c r="L2712" s="2" t="s">
        <v>24</v>
      </c>
      <c r="M2712" s="2"/>
      <c r="N2712" t="s">
        <v>8582</v>
      </c>
      <c r="O2712" s="8">
        <f t="shared" si="84"/>
        <v>7.1000000000931323</v>
      </c>
      <c r="P2712" t="str">
        <f t="shared" si="85"/>
        <v>N/A</v>
      </c>
    </row>
    <row r="2713" spans="1:16" x14ac:dyDescent="0.25">
      <c r="A2713" s="2" t="s">
        <v>7295</v>
      </c>
      <c r="B2713" s="4">
        <v>46254.450694444444</v>
      </c>
      <c r="C2713" s="2" t="s">
        <v>16</v>
      </c>
      <c r="D2713" s="2" t="s">
        <v>84</v>
      </c>
      <c r="E2713" s="2" t="s">
        <v>85</v>
      </c>
      <c r="F2713" s="2" t="s">
        <v>113</v>
      </c>
      <c r="G2713" s="2" t="s">
        <v>211</v>
      </c>
      <c r="H2713" s="2" t="s">
        <v>32</v>
      </c>
      <c r="I2713" s="2">
        <v>48</v>
      </c>
      <c r="J2713" s="2" t="s">
        <v>106</v>
      </c>
      <c r="K2713" s="4">
        <v>46259.28402777778</v>
      </c>
      <c r="L2713" s="2" t="s">
        <v>24</v>
      </c>
      <c r="M2713" s="2">
        <v>5</v>
      </c>
      <c r="N2713" t="s">
        <v>8587</v>
      </c>
      <c r="O2713" s="8">
        <f t="shared" si="84"/>
        <v>116.00000000005821</v>
      </c>
      <c r="P2713" t="str">
        <f t="shared" si="85"/>
        <v>No</v>
      </c>
    </row>
    <row r="2714" spans="1:16" x14ac:dyDescent="0.25">
      <c r="A2714" s="2" t="s">
        <v>7298</v>
      </c>
      <c r="B2714" s="4">
        <v>46262.940972222219</v>
      </c>
      <c r="C2714" s="2" t="s">
        <v>67</v>
      </c>
      <c r="D2714" s="2" t="s">
        <v>68</v>
      </c>
      <c r="E2714" s="2" t="s">
        <v>46</v>
      </c>
      <c r="F2714" s="2" t="s">
        <v>113</v>
      </c>
      <c r="G2714" s="2" t="s">
        <v>179</v>
      </c>
      <c r="H2714" s="2" t="s">
        <v>32</v>
      </c>
      <c r="I2714" s="2">
        <v>48</v>
      </c>
      <c r="J2714" s="2" t="s">
        <v>8580</v>
      </c>
      <c r="K2714" s="4">
        <v>46267.361805555556</v>
      </c>
      <c r="L2714" s="2" t="s">
        <v>24</v>
      </c>
      <c r="M2714" s="2"/>
      <c r="N2714" t="s">
        <v>8587</v>
      </c>
      <c r="O2714" s="8">
        <f t="shared" si="84"/>
        <v>106.10000000009313</v>
      </c>
      <c r="P2714" t="str">
        <f t="shared" si="85"/>
        <v>N/A</v>
      </c>
    </row>
    <row r="2715" spans="1:16" x14ac:dyDescent="0.25">
      <c r="A2715" s="2" t="s">
        <v>7301</v>
      </c>
      <c r="B2715" s="4">
        <v>46152.845138888886</v>
      </c>
      <c r="C2715" s="2" t="s">
        <v>67</v>
      </c>
      <c r="D2715" s="2" t="s">
        <v>68</v>
      </c>
      <c r="E2715" s="2" t="s">
        <v>90</v>
      </c>
      <c r="F2715" s="2" t="s">
        <v>96</v>
      </c>
      <c r="G2715" s="2" t="s">
        <v>183</v>
      </c>
      <c r="H2715" s="2" t="s">
        <v>32</v>
      </c>
      <c r="I2715" s="2">
        <v>48</v>
      </c>
      <c r="J2715" s="2" t="s">
        <v>106</v>
      </c>
      <c r="K2715" s="4">
        <v>46154.398611111108</v>
      </c>
      <c r="L2715" s="2" t="s">
        <v>24</v>
      </c>
      <c r="M2715" s="2"/>
      <c r="N2715" t="s">
        <v>8588</v>
      </c>
      <c r="O2715" s="8">
        <f t="shared" si="84"/>
        <v>37.283333333325572</v>
      </c>
      <c r="P2715" t="str">
        <f t="shared" si="85"/>
        <v>Yes</v>
      </c>
    </row>
    <row r="2716" spans="1:16" x14ac:dyDescent="0.25">
      <c r="A2716" s="2" t="s">
        <v>7304</v>
      </c>
      <c r="B2716" s="4">
        <v>46091.474999999999</v>
      </c>
      <c r="C2716" s="2" t="s">
        <v>16</v>
      </c>
      <c r="D2716" s="2" t="s">
        <v>84</v>
      </c>
      <c r="E2716" s="2" t="s">
        <v>18</v>
      </c>
      <c r="F2716" s="2" t="s">
        <v>55</v>
      </c>
      <c r="G2716" s="2" t="s">
        <v>101</v>
      </c>
      <c r="H2716" s="2" t="s">
        <v>21</v>
      </c>
      <c r="I2716" s="2">
        <v>24</v>
      </c>
      <c r="J2716" s="2" t="s">
        <v>149</v>
      </c>
      <c r="K2716" s="4" t="s">
        <v>8590</v>
      </c>
      <c r="L2716" s="2" t="s">
        <v>24</v>
      </c>
      <c r="M2716" s="2"/>
      <c r="N2716" t="s">
        <v>8583</v>
      </c>
      <c r="O2716" s="8" t="str">
        <f t="shared" si="84"/>
        <v/>
      </c>
      <c r="P2716" t="str">
        <f t="shared" si="85"/>
        <v>N/A</v>
      </c>
    </row>
    <row r="2717" spans="1:16" x14ac:dyDescent="0.25">
      <c r="A2717" s="2" t="s">
        <v>7306</v>
      </c>
      <c r="B2717" s="4">
        <v>46226.362500000003</v>
      </c>
      <c r="C2717" s="2" t="s">
        <v>28</v>
      </c>
      <c r="D2717" s="2" t="s">
        <v>37</v>
      </c>
      <c r="E2717" s="2" t="s">
        <v>38</v>
      </c>
      <c r="F2717" s="2" t="s">
        <v>30</v>
      </c>
      <c r="G2717" s="2" t="s">
        <v>183</v>
      </c>
      <c r="H2717" s="2" t="s">
        <v>74</v>
      </c>
      <c r="I2717" s="2">
        <v>8</v>
      </c>
      <c r="J2717" s="2" t="s">
        <v>75</v>
      </c>
      <c r="K2717" s="4">
        <v>46227.356944444444</v>
      </c>
      <c r="L2717" s="2" t="s">
        <v>24</v>
      </c>
      <c r="M2717" s="2">
        <v>2</v>
      </c>
      <c r="N2717" t="s">
        <v>8583</v>
      </c>
      <c r="O2717" s="8">
        <f t="shared" si="84"/>
        <v>23.866666666581295</v>
      </c>
      <c r="P2717" t="str">
        <f t="shared" si="85"/>
        <v>N/A</v>
      </c>
    </row>
    <row r="2718" spans="1:16" x14ac:dyDescent="0.25">
      <c r="A2718" s="2" t="s">
        <v>7309</v>
      </c>
      <c r="B2718" s="4">
        <v>46064.697916666664</v>
      </c>
      <c r="C2718" s="2" t="s">
        <v>53</v>
      </c>
      <c r="D2718" s="2" t="s">
        <v>61</v>
      </c>
      <c r="E2718" s="2" t="s">
        <v>38</v>
      </c>
      <c r="F2718" s="2" t="s">
        <v>96</v>
      </c>
      <c r="G2718" s="2" t="s">
        <v>31</v>
      </c>
      <c r="H2718" s="2" t="s">
        <v>74</v>
      </c>
      <c r="I2718" s="2">
        <v>8</v>
      </c>
      <c r="J2718" s="2" t="s">
        <v>106</v>
      </c>
      <c r="K2718" s="4">
        <v>46064.984027777777</v>
      </c>
      <c r="L2718" s="2" t="s">
        <v>24</v>
      </c>
      <c r="M2718" s="2"/>
      <c r="N2718" t="s">
        <v>8585</v>
      </c>
      <c r="O2718" s="8">
        <f t="shared" si="84"/>
        <v>6.8666666666977108</v>
      </c>
      <c r="P2718" t="str">
        <f t="shared" si="85"/>
        <v>Yes</v>
      </c>
    </row>
    <row r="2719" spans="1:16" x14ac:dyDescent="0.25">
      <c r="A2719" s="2" t="s">
        <v>7312</v>
      </c>
      <c r="B2719" s="4">
        <v>46093.754861111112</v>
      </c>
      <c r="C2719" s="2" t="s">
        <v>53</v>
      </c>
      <c r="D2719" s="2" t="s">
        <v>54</v>
      </c>
      <c r="E2719" s="2" t="s">
        <v>148</v>
      </c>
      <c r="F2719" s="2" t="s">
        <v>30</v>
      </c>
      <c r="G2719" s="2" t="s">
        <v>110</v>
      </c>
      <c r="H2719" s="2" t="s">
        <v>21</v>
      </c>
      <c r="I2719" s="2">
        <v>24</v>
      </c>
      <c r="J2719" s="2" t="s">
        <v>106</v>
      </c>
      <c r="K2719" s="4">
        <v>46094.347916666666</v>
      </c>
      <c r="L2719" s="2" t="s">
        <v>24</v>
      </c>
      <c r="M2719" s="2">
        <v>3</v>
      </c>
      <c r="N2719" t="s">
        <v>8583</v>
      </c>
      <c r="O2719" s="8">
        <f t="shared" si="84"/>
        <v>14.233333333279006</v>
      </c>
      <c r="P2719" t="str">
        <f t="shared" si="85"/>
        <v>Yes</v>
      </c>
    </row>
    <row r="2720" spans="1:16" x14ac:dyDescent="0.25">
      <c r="A2720" s="2" t="s">
        <v>7315</v>
      </c>
      <c r="B2720" s="4">
        <v>46227.222916666666</v>
      </c>
      <c r="C2720" s="2" t="s">
        <v>67</v>
      </c>
      <c r="D2720" s="2" t="s">
        <v>68</v>
      </c>
      <c r="E2720" s="2" t="s">
        <v>90</v>
      </c>
      <c r="F2720" s="2" t="s">
        <v>113</v>
      </c>
      <c r="G2720" s="2" t="s">
        <v>183</v>
      </c>
      <c r="H2720" s="2" t="s">
        <v>21</v>
      </c>
      <c r="I2720" s="2">
        <v>24</v>
      </c>
      <c r="J2720" s="2" t="s">
        <v>75</v>
      </c>
      <c r="K2720" s="4">
        <v>46228.046527777777</v>
      </c>
      <c r="L2720" s="2" t="s">
        <v>24</v>
      </c>
      <c r="M2720" s="2"/>
      <c r="N2720" t="s">
        <v>8581</v>
      </c>
      <c r="O2720" s="8">
        <f t="shared" si="84"/>
        <v>19.766666666662786</v>
      </c>
      <c r="P2720" t="str">
        <f t="shared" si="85"/>
        <v>N/A</v>
      </c>
    </row>
    <row r="2721" spans="1:16" x14ac:dyDescent="0.25">
      <c r="A2721" s="2" t="s">
        <v>7318</v>
      </c>
      <c r="B2721" s="4">
        <v>46111.988888888889</v>
      </c>
      <c r="C2721" s="2" t="s">
        <v>28</v>
      </c>
      <c r="D2721" s="2" t="s">
        <v>100</v>
      </c>
      <c r="E2721" s="2" t="s">
        <v>46</v>
      </c>
      <c r="F2721" s="2" t="s">
        <v>30</v>
      </c>
      <c r="G2721" s="2" t="s">
        <v>110</v>
      </c>
      <c r="H2721" s="2" t="s">
        <v>21</v>
      </c>
      <c r="I2721" s="2">
        <v>24</v>
      </c>
      <c r="J2721" s="2" t="s">
        <v>149</v>
      </c>
      <c r="K2721" s="4" t="s">
        <v>8590</v>
      </c>
      <c r="L2721" s="2" t="s">
        <v>24</v>
      </c>
      <c r="M2721" s="2"/>
      <c r="N2721" t="s">
        <v>8589</v>
      </c>
      <c r="O2721" s="8" t="str">
        <f t="shared" si="84"/>
        <v/>
      </c>
      <c r="P2721" t="str">
        <f t="shared" si="85"/>
        <v>N/A</v>
      </c>
    </row>
    <row r="2722" spans="1:16" x14ac:dyDescent="0.25">
      <c r="A2722" s="2" t="s">
        <v>7320</v>
      </c>
      <c r="B2722" s="4">
        <v>46043.486111111109</v>
      </c>
      <c r="C2722" s="2" t="s">
        <v>53</v>
      </c>
      <c r="D2722" s="2" t="s">
        <v>54</v>
      </c>
      <c r="E2722" s="2" t="s">
        <v>46</v>
      </c>
      <c r="F2722" s="2" t="s">
        <v>55</v>
      </c>
      <c r="G2722" s="2" t="s">
        <v>31</v>
      </c>
      <c r="H2722" s="2" t="s">
        <v>21</v>
      </c>
      <c r="I2722" s="2">
        <v>24</v>
      </c>
      <c r="J2722" s="2" t="s">
        <v>106</v>
      </c>
      <c r="K2722" s="4">
        <v>46043.51458333333</v>
      </c>
      <c r="L2722" s="2" t="s">
        <v>24</v>
      </c>
      <c r="M2722" s="2">
        <v>3</v>
      </c>
      <c r="N2722" t="s">
        <v>8581</v>
      </c>
      <c r="O2722" s="8">
        <f t="shared" si="84"/>
        <v>0.68333333329064772</v>
      </c>
      <c r="P2722" t="str">
        <f t="shared" si="85"/>
        <v>Yes</v>
      </c>
    </row>
    <row r="2723" spans="1:16" x14ac:dyDescent="0.25">
      <c r="A2723" s="2" t="s">
        <v>7323</v>
      </c>
      <c r="B2723" s="4">
        <v>46113.746527777781</v>
      </c>
      <c r="C2723" s="2" t="s">
        <v>67</v>
      </c>
      <c r="D2723" s="2" t="s">
        <v>68</v>
      </c>
      <c r="E2723" s="2" t="s">
        <v>90</v>
      </c>
      <c r="F2723" s="2" t="s">
        <v>55</v>
      </c>
      <c r="G2723" s="2" t="s">
        <v>183</v>
      </c>
      <c r="H2723" s="2" t="s">
        <v>32</v>
      </c>
      <c r="I2723" s="2">
        <v>48</v>
      </c>
      <c r="J2723" s="2" t="s">
        <v>149</v>
      </c>
      <c r="K2723" s="4" t="s">
        <v>8590</v>
      </c>
      <c r="L2723" s="2" t="s">
        <v>24</v>
      </c>
      <c r="M2723" s="2"/>
      <c r="N2723" t="s">
        <v>8587</v>
      </c>
      <c r="O2723" s="8" t="str">
        <f t="shared" si="84"/>
        <v/>
      </c>
      <c r="P2723" t="str">
        <f t="shared" si="85"/>
        <v>N/A</v>
      </c>
    </row>
    <row r="2724" spans="1:16" x14ac:dyDescent="0.25">
      <c r="A2724" s="2" t="s">
        <v>7325</v>
      </c>
      <c r="B2724" s="4">
        <v>46234.38958333333</v>
      </c>
      <c r="C2724" s="2" t="s">
        <v>53</v>
      </c>
      <c r="D2724" s="2" t="s">
        <v>54</v>
      </c>
      <c r="E2724" s="2" t="s">
        <v>79</v>
      </c>
      <c r="F2724" s="2" t="s">
        <v>55</v>
      </c>
      <c r="G2724" s="2" t="s">
        <v>101</v>
      </c>
      <c r="H2724" s="2" t="s">
        <v>32</v>
      </c>
      <c r="I2724" s="2">
        <v>48</v>
      </c>
      <c r="J2724" s="2" t="s">
        <v>75</v>
      </c>
      <c r="K2724" s="4">
        <v>46234.500694444447</v>
      </c>
      <c r="L2724" s="2" t="s">
        <v>24</v>
      </c>
      <c r="M2724" s="2"/>
      <c r="N2724" t="s">
        <v>8584</v>
      </c>
      <c r="O2724" s="8">
        <f t="shared" si="84"/>
        <v>2.6666666668024845</v>
      </c>
      <c r="P2724" t="str">
        <f t="shared" si="85"/>
        <v>N/A</v>
      </c>
    </row>
    <row r="2725" spans="1:16" x14ac:dyDescent="0.25">
      <c r="A2725" s="2" t="s">
        <v>7328</v>
      </c>
      <c r="B2725" s="4">
        <v>46242.454861111109</v>
      </c>
      <c r="C2725" s="2" t="s">
        <v>53</v>
      </c>
      <c r="D2725" s="2" t="s">
        <v>61</v>
      </c>
      <c r="E2725" s="2" t="s">
        <v>85</v>
      </c>
      <c r="F2725" s="2" t="s">
        <v>96</v>
      </c>
      <c r="G2725" s="2" t="s">
        <v>179</v>
      </c>
      <c r="H2725" s="2" t="s">
        <v>74</v>
      </c>
      <c r="I2725" s="2">
        <v>8</v>
      </c>
      <c r="J2725" s="2" t="s">
        <v>149</v>
      </c>
      <c r="K2725" s="4" t="s">
        <v>8590</v>
      </c>
      <c r="L2725" s="2" t="s">
        <v>24</v>
      </c>
      <c r="M2725" s="2"/>
      <c r="N2725" t="s">
        <v>8581</v>
      </c>
      <c r="O2725" s="8" t="str">
        <f t="shared" si="84"/>
        <v/>
      </c>
      <c r="P2725" t="str">
        <f t="shared" si="85"/>
        <v>N/A</v>
      </c>
    </row>
    <row r="2726" spans="1:16" x14ac:dyDescent="0.25">
      <c r="A2726" s="2" t="s">
        <v>7330</v>
      </c>
      <c r="B2726" s="4">
        <v>46134.913194444445</v>
      </c>
      <c r="C2726" s="2" t="s">
        <v>16</v>
      </c>
      <c r="D2726" s="2" t="s">
        <v>84</v>
      </c>
      <c r="E2726" s="2" t="s">
        <v>148</v>
      </c>
      <c r="F2726" s="2" t="s">
        <v>55</v>
      </c>
      <c r="G2726" s="2" t="s">
        <v>110</v>
      </c>
      <c r="H2726" s="2" t="s">
        <v>32</v>
      </c>
      <c r="I2726" s="2">
        <v>48</v>
      </c>
      <c r="J2726" s="2" t="s">
        <v>75</v>
      </c>
      <c r="K2726" s="4">
        <v>46136.557638888888</v>
      </c>
      <c r="L2726" s="2" t="s">
        <v>24</v>
      </c>
      <c r="M2726" s="2"/>
      <c r="N2726" t="s">
        <v>8584</v>
      </c>
      <c r="O2726" s="8">
        <f t="shared" si="84"/>
        <v>39.46666666661622</v>
      </c>
      <c r="P2726" t="str">
        <f t="shared" si="85"/>
        <v>N/A</v>
      </c>
    </row>
    <row r="2727" spans="1:16" x14ac:dyDescent="0.25">
      <c r="A2727" s="2" t="s">
        <v>7333</v>
      </c>
      <c r="B2727" s="4">
        <v>46057.034722222219</v>
      </c>
      <c r="C2727" s="2" t="s">
        <v>16</v>
      </c>
      <c r="D2727" s="2" t="s">
        <v>84</v>
      </c>
      <c r="E2727" s="2" t="s">
        <v>85</v>
      </c>
      <c r="F2727" s="2" t="s">
        <v>30</v>
      </c>
      <c r="G2727" s="2" t="s">
        <v>101</v>
      </c>
      <c r="H2727" s="2" t="s">
        <v>21</v>
      </c>
      <c r="I2727" s="2">
        <v>24</v>
      </c>
      <c r="J2727" s="2" t="s">
        <v>11</v>
      </c>
      <c r="K2727" s="4" t="s">
        <v>8590</v>
      </c>
      <c r="L2727" s="2" t="s">
        <v>92</v>
      </c>
      <c r="M2727" s="2"/>
      <c r="N2727" t="s">
        <v>8589</v>
      </c>
      <c r="O2727" s="8" t="str">
        <f t="shared" si="84"/>
        <v/>
      </c>
      <c r="P2727" t="str">
        <f t="shared" si="85"/>
        <v>N/A</v>
      </c>
    </row>
    <row r="2728" spans="1:16" x14ac:dyDescent="0.25">
      <c r="A2728" s="2" t="s">
        <v>7335</v>
      </c>
      <c r="B2728" s="4">
        <v>46060.286111111112</v>
      </c>
      <c r="C2728" s="2" t="s">
        <v>53</v>
      </c>
      <c r="D2728" s="2" t="s">
        <v>54</v>
      </c>
      <c r="E2728" s="2" t="s">
        <v>79</v>
      </c>
      <c r="F2728" s="2" t="s">
        <v>30</v>
      </c>
      <c r="G2728" s="2" t="s">
        <v>211</v>
      </c>
      <c r="H2728" s="2" t="s">
        <v>21</v>
      </c>
      <c r="I2728" s="2">
        <v>24</v>
      </c>
      <c r="J2728" s="2" t="s">
        <v>11</v>
      </c>
      <c r="K2728" s="4" t="s">
        <v>8590</v>
      </c>
      <c r="L2728" s="2" t="s">
        <v>92</v>
      </c>
      <c r="M2728" s="2"/>
      <c r="N2728" t="s">
        <v>8583</v>
      </c>
      <c r="O2728" s="8" t="str">
        <f t="shared" si="84"/>
        <v/>
      </c>
      <c r="P2728" t="str">
        <f t="shared" si="85"/>
        <v>N/A</v>
      </c>
    </row>
    <row r="2729" spans="1:16" x14ac:dyDescent="0.25">
      <c r="A2729" s="2" t="s">
        <v>7337</v>
      </c>
      <c r="B2729" s="4">
        <v>46200.915972222225</v>
      </c>
      <c r="C2729" s="2" t="s">
        <v>53</v>
      </c>
      <c r="D2729" s="2" t="s">
        <v>61</v>
      </c>
      <c r="E2729" s="2" t="s">
        <v>79</v>
      </c>
      <c r="F2729" s="2" t="s">
        <v>30</v>
      </c>
      <c r="G2729" s="2" t="s">
        <v>110</v>
      </c>
      <c r="H2729" s="2" t="s">
        <v>32</v>
      </c>
      <c r="I2729" s="2">
        <v>48</v>
      </c>
      <c r="J2729" s="2" t="s">
        <v>106</v>
      </c>
      <c r="K2729" s="4">
        <v>46201.474305555559</v>
      </c>
      <c r="L2729" s="2" t="s">
        <v>24</v>
      </c>
      <c r="M2729" s="2"/>
      <c r="N2729" t="s">
        <v>8584</v>
      </c>
      <c r="O2729" s="8">
        <f t="shared" si="84"/>
        <v>13.400000000023283</v>
      </c>
      <c r="P2729" t="str">
        <f t="shared" si="85"/>
        <v>Yes</v>
      </c>
    </row>
    <row r="2730" spans="1:16" x14ac:dyDescent="0.25">
      <c r="A2730" s="2" t="s">
        <v>7340</v>
      </c>
      <c r="B2730" s="4">
        <v>46145.352083333331</v>
      </c>
      <c r="C2730" s="2" t="s">
        <v>28</v>
      </c>
      <c r="D2730" s="2" t="s">
        <v>100</v>
      </c>
      <c r="E2730" s="2" t="s">
        <v>79</v>
      </c>
      <c r="F2730" s="2" t="s">
        <v>30</v>
      </c>
      <c r="G2730" s="2" t="s">
        <v>101</v>
      </c>
      <c r="H2730" s="2" t="s">
        <v>32</v>
      </c>
      <c r="I2730" s="2">
        <v>48</v>
      </c>
      <c r="J2730" s="2" t="s">
        <v>106</v>
      </c>
      <c r="K2730" s="4">
        <v>46145.841666666667</v>
      </c>
      <c r="L2730" s="2" t="s">
        <v>24</v>
      </c>
      <c r="M2730" s="2"/>
      <c r="N2730" t="s">
        <v>8583</v>
      </c>
      <c r="O2730" s="8">
        <f t="shared" si="84"/>
        <v>11.750000000058208</v>
      </c>
      <c r="P2730" t="str">
        <f t="shared" si="85"/>
        <v>Yes</v>
      </c>
    </row>
    <row r="2731" spans="1:16" x14ac:dyDescent="0.25">
      <c r="A2731" s="2" t="s">
        <v>7343</v>
      </c>
      <c r="B2731" s="4">
        <v>46056.332638888889</v>
      </c>
      <c r="C2731" s="2" t="s">
        <v>67</v>
      </c>
      <c r="D2731" s="2" t="s">
        <v>68</v>
      </c>
      <c r="E2731" s="2" t="s">
        <v>38</v>
      </c>
      <c r="F2731" s="2" t="s">
        <v>55</v>
      </c>
      <c r="G2731" s="2" t="s">
        <v>211</v>
      </c>
      <c r="H2731" s="2" t="s">
        <v>80</v>
      </c>
      <c r="I2731" s="2">
        <v>4</v>
      </c>
      <c r="J2731" s="2" t="s">
        <v>75</v>
      </c>
      <c r="K2731" s="4">
        <v>46056.75</v>
      </c>
      <c r="L2731" s="2" t="s">
        <v>24</v>
      </c>
      <c r="M2731" s="2">
        <v>4</v>
      </c>
      <c r="N2731" t="s">
        <v>8586</v>
      </c>
      <c r="O2731" s="8">
        <f t="shared" si="84"/>
        <v>10.016666666662786</v>
      </c>
      <c r="P2731" t="str">
        <f t="shared" si="85"/>
        <v>N/A</v>
      </c>
    </row>
    <row r="2732" spans="1:16" x14ac:dyDescent="0.25">
      <c r="A2732" s="2" t="s">
        <v>7346</v>
      </c>
      <c r="B2732" s="4">
        <v>46037.417361111111</v>
      </c>
      <c r="C2732" s="2" t="s">
        <v>16</v>
      </c>
      <c r="D2732" s="2" t="s">
        <v>17</v>
      </c>
      <c r="E2732" s="2" t="s">
        <v>79</v>
      </c>
      <c r="F2732" s="2" t="s">
        <v>30</v>
      </c>
      <c r="G2732" s="2" t="s">
        <v>183</v>
      </c>
      <c r="H2732" s="2" t="s">
        <v>32</v>
      </c>
      <c r="I2732" s="2">
        <v>48</v>
      </c>
      <c r="J2732" s="2" t="s">
        <v>11</v>
      </c>
      <c r="K2732" s="4" t="s">
        <v>8590</v>
      </c>
      <c r="L2732" s="2" t="s">
        <v>92</v>
      </c>
      <c r="M2732" s="2"/>
      <c r="N2732" t="s">
        <v>8581</v>
      </c>
      <c r="O2732" s="8" t="str">
        <f t="shared" si="84"/>
        <v/>
      </c>
      <c r="P2732" t="str">
        <f t="shared" si="85"/>
        <v>N/A</v>
      </c>
    </row>
    <row r="2733" spans="1:16" x14ac:dyDescent="0.25">
      <c r="A2733" s="2" t="s">
        <v>7348</v>
      </c>
      <c r="B2733" s="4">
        <v>46220.638888888891</v>
      </c>
      <c r="C2733" s="2" t="s">
        <v>16</v>
      </c>
      <c r="D2733" s="2" t="s">
        <v>17</v>
      </c>
      <c r="E2733" s="2" t="s">
        <v>79</v>
      </c>
      <c r="F2733" s="2" t="s">
        <v>30</v>
      </c>
      <c r="G2733" s="2" t="s">
        <v>179</v>
      </c>
      <c r="H2733" s="2" t="s">
        <v>32</v>
      </c>
      <c r="I2733" s="2">
        <v>48</v>
      </c>
      <c r="J2733" s="2" t="s">
        <v>106</v>
      </c>
      <c r="K2733" s="4">
        <v>46220.736805555556</v>
      </c>
      <c r="L2733" s="2" t="s">
        <v>24</v>
      </c>
      <c r="M2733" s="2">
        <v>4</v>
      </c>
      <c r="N2733" t="s">
        <v>8587</v>
      </c>
      <c r="O2733" s="8">
        <f t="shared" si="84"/>
        <v>2.3499999999767169</v>
      </c>
      <c r="P2733" t="str">
        <f t="shared" si="85"/>
        <v>Yes</v>
      </c>
    </row>
    <row r="2734" spans="1:16" x14ac:dyDescent="0.25">
      <c r="A2734" s="2" t="s">
        <v>7351</v>
      </c>
      <c r="B2734" s="4">
        <v>46239.484722222223</v>
      </c>
      <c r="C2734" s="2" t="s">
        <v>53</v>
      </c>
      <c r="D2734" s="2" t="s">
        <v>61</v>
      </c>
      <c r="E2734" s="2" t="s">
        <v>46</v>
      </c>
      <c r="F2734" s="2" t="s">
        <v>30</v>
      </c>
      <c r="G2734" s="2" t="s">
        <v>110</v>
      </c>
      <c r="H2734" s="2" t="s">
        <v>32</v>
      </c>
      <c r="I2734" s="2">
        <v>48</v>
      </c>
      <c r="J2734" s="2" t="s">
        <v>106</v>
      </c>
      <c r="K2734" s="4">
        <v>46240.281944444447</v>
      </c>
      <c r="L2734" s="2" t="s">
        <v>24</v>
      </c>
      <c r="M2734" s="2">
        <v>5</v>
      </c>
      <c r="N2734" t="s">
        <v>8589</v>
      </c>
      <c r="O2734" s="8">
        <f t="shared" si="84"/>
        <v>19.133333333360497</v>
      </c>
      <c r="P2734" t="str">
        <f t="shared" si="85"/>
        <v>Yes</v>
      </c>
    </row>
    <row r="2735" spans="1:16" x14ac:dyDescent="0.25">
      <c r="A2735" s="2" t="s">
        <v>7354</v>
      </c>
      <c r="B2735" s="4">
        <v>46225.365277777775</v>
      </c>
      <c r="C2735" s="2" t="s">
        <v>28</v>
      </c>
      <c r="D2735" s="2" t="s">
        <v>37</v>
      </c>
      <c r="E2735" s="2" t="s">
        <v>85</v>
      </c>
      <c r="F2735" s="2" t="s">
        <v>113</v>
      </c>
      <c r="G2735" s="2" t="s">
        <v>31</v>
      </c>
      <c r="H2735" s="2" t="s">
        <v>80</v>
      </c>
      <c r="I2735" s="2">
        <v>4</v>
      </c>
      <c r="J2735" s="2" t="s">
        <v>11</v>
      </c>
      <c r="K2735" s="4" t="s">
        <v>8590</v>
      </c>
      <c r="L2735" s="2" t="s">
        <v>92</v>
      </c>
      <c r="M2735" s="2"/>
      <c r="N2735" t="s">
        <v>8581</v>
      </c>
      <c r="O2735" s="8" t="str">
        <f t="shared" si="84"/>
        <v/>
      </c>
      <c r="P2735" t="str">
        <f t="shared" si="85"/>
        <v>N/A</v>
      </c>
    </row>
    <row r="2736" spans="1:16" x14ac:dyDescent="0.25">
      <c r="A2736" s="2" t="s">
        <v>7356</v>
      </c>
      <c r="B2736" s="4">
        <v>46168.538888888892</v>
      </c>
      <c r="C2736" s="2" t="s">
        <v>67</v>
      </c>
      <c r="D2736" s="2" t="s">
        <v>95</v>
      </c>
      <c r="E2736" s="2" t="s">
        <v>46</v>
      </c>
      <c r="F2736" s="2" t="s">
        <v>113</v>
      </c>
      <c r="G2736" s="2" t="s">
        <v>211</v>
      </c>
      <c r="H2736" s="2" t="s">
        <v>74</v>
      </c>
      <c r="I2736" s="2">
        <v>8</v>
      </c>
      <c r="J2736" s="2" t="s">
        <v>149</v>
      </c>
      <c r="K2736" s="4" t="s">
        <v>8590</v>
      </c>
      <c r="L2736" s="2" t="s">
        <v>24</v>
      </c>
      <c r="M2736" s="2"/>
      <c r="N2736" t="s">
        <v>8583</v>
      </c>
      <c r="O2736" s="8" t="str">
        <f t="shared" si="84"/>
        <v/>
      </c>
      <c r="P2736" t="str">
        <f t="shared" si="85"/>
        <v>N/A</v>
      </c>
    </row>
    <row r="2737" spans="1:16" x14ac:dyDescent="0.25">
      <c r="A2737" s="2" t="s">
        <v>7358</v>
      </c>
      <c r="B2737" s="4">
        <v>46237.796527777777</v>
      </c>
      <c r="C2737" s="2" t="s">
        <v>67</v>
      </c>
      <c r="D2737" s="2" t="s">
        <v>68</v>
      </c>
      <c r="E2737" s="2" t="s">
        <v>85</v>
      </c>
      <c r="F2737" s="2" t="s">
        <v>96</v>
      </c>
      <c r="G2737" s="2" t="s">
        <v>183</v>
      </c>
      <c r="H2737" s="2" t="s">
        <v>74</v>
      </c>
      <c r="I2737" s="2">
        <v>8</v>
      </c>
      <c r="J2737" s="2" t="s">
        <v>106</v>
      </c>
      <c r="K2737" s="4">
        <v>46237.970138888886</v>
      </c>
      <c r="L2737" s="2" t="s">
        <v>24</v>
      </c>
      <c r="M2737" s="2">
        <v>4</v>
      </c>
      <c r="N2737" t="s">
        <v>8586</v>
      </c>
      <c r="O2737" s="8">
        <f t="shared" si="84"/>
        <v>4.1666666666278616</v>
      </c>
      <c r="P2737" t="str">
        <f t="shared" si="85"/>
        <v>Yes</v>
      </c>
    </row>
    <row r="2738" spans="1:16" x14ac:dyDescent="0.25">
      <c r="A2738" s="2" t="s">
        <v>7361</v>
      </c>
      <c r="B2738" s="4">
        <v>46183.724305555559</v>
      </c>
      <c r="C2738" s="2" t="s">
        <v>28</v>
      </c>
      <c r="D2738" s="2" t="s">
        <v>100</v>
      </c>
      <c r="E2738" s="2" t="s">
        <v>85</v>
      </c>
      <c r="F2738" s="2" t="s">
        <v>113</v>
      </c>
      <c r="G2738" s="2" t="s">
        <v>101</v>
      </c>
      <c r="H2738" s="2" t="s">
        <v>32</v>
      </c>
      <c r="I2738" s="2">
        <v>48</v>
      </c>
      <c r="J2738" s="2" t="s">
        <v>8580</v>
      </c>
      <c r="K2738" s="4">
        <v>46188.566666666666</v>
      </c>
      <c r="L2738" s="2" t="s">
        <v>24</v>
      </c>
      <c r="M2738" s="2"/>
      <c r="N2738" t="s">
        <v>8589</v>
      </c>
      <c r="O2738" s="8">
        <f t="shared" si="84"/>
        <v>116.21666666655801</v>
      </c>
      <c r="P2738" t="str">
        <f t="shared" si="85"/>
        <v>N/A</v>
      </c>
    </row>
    <row r="2739" spans="1:16" x14ac:dyDescent="0.25">
      <c r="A2739" s="2" t="s">
        <v>7364</v>
      </c>
      <c r="B2739" s="4">
        <v>46176.329861111109</v>
      </c>
      <c r="C2739" s="2" t="s">
        <v>16</v>
      </c>
      <c r="D2739" s="2" t="s">
        <v>17</v>
      </c>
      <c r="E2739" s="2" t="s">
        <v>85</v>
      </c>
      <c r="F2739" s="2" t="s">
        <v>55</v>
      </c>
      <c r="G2739" s="2" t="s">
        <v>31</v>
      </c>
      <c r="H2739" s="2" t="s">
        <v>74</v>
      </c>
      <c r="I2739" s="2">
        <v>8</v>
      </c>
      <c r="J2739" s="2" t="s">
        <v>75</v>
      </c>
      <c r="K2739" s="4">
        <v>46176.362500000003</v>
      </c>
      <c r="L2739" s="2" t="s">
        <v>24</v>
      </c>
      <c r="M2739" s="2">
        <v>5</v>
      </c>
      <c r="N2739" t="s">
        <v>8587</v>
      </c>
      <c r="O2739" s="8">
        <f t="shared" si="84"/>
        <v>0.78333333344198763</v>
      </c>
      <c r="P2739" t="str">
        <f t="shared" si="85"/>
        <v>N/A</v>
      </c>
    </row>
    <row r="2740" spans="1:16" x14ac:dyDescent="0.25">
      <c r="A2740" s="2" t="s">
        <v>7367</v>
      </c>
      <c r="B2740" s="4">
        <v>46045.92291666667</v>
      </c>
      <c r="C2740" s="2" t="s">
        <v>53</v>
      </c>
      <c r="D2740" s="2" t="s">
        <v>61</v>
      </c>
      <c r="E2740" s="2" t="s">
        <v>85</v>
      </c>
      <c r="F2740" s="2" t="s">
        <v>30</v>
      </c>
      <c r="G2740" s="2" t="s">
        <v>179</v>
      </c>
      <c r="H2740" s="2" t="s">
        <v>32</v>
      </c>
      <c r="I2740" s="2">
        <v>48</v>
      </c>
      <c r="J2740" s="2" t="s">
        <v>75</v>
      </c>
      <c r="K2740" s="4">
        <v>46046.803472222222</v>
      </c>
      <c r="L2740" s="2" t="s">
        <v>24</v>
      </c>
      <c r="M2740" s="2"/>
      <c r="N2740" t="s">
        <v>8589</v>
      </c>
      <c r="O2740" s="8">
        <f t="shared" si="84"/>
        <v>21.133333333244082</v>
      </c>
      <c r="P2740" t="str">
        <f t="shared" si="85"/>
        <v>N/A</v>
      </c>
    </row>
    <row r="2741" spans="1:16" x14ac:dyDescent="0.25">
      <c r="A2741" s="2" t="s">
        <v>7370</v>
      </c>
      <c r="B2741" s="4">
        <v>46240.181944444441</v>
      </c>
      <c r="C2741" s="2" t="s">
        <v>67</v>
      </c>
      <c r="D2741" s="2" t="s">
        <v>95</v>
      </c>
      <c r="E2741" s="2" t="s">
        <v>85</v>
      </c>
      <c r="F2741" s="2" t="s">
        <v>55</v>
      </c>
      <c r="G2741" s="2" t="s">
        <v>179</v>
      </c>
      <c r="H2741" s="2" t="s">
        <v>80</v>
      </c>
      <c r="I2741" s="2">
        <v>4</v>
      </c>
      <c r="J2741" s="2" t="s">
        <v>106</v>
      </c>
      <c r="K2741" s="4">
        <v>46240.271527777775</v>
      </c>
      <c r="L2741" s="2" t="s">
        <v>24</v>
      </c>
      <c r="M2741" s="2">
        <v>5</v>
      </c>
      <c r="N2741" t="s">
        <v>8581</v>
      </c>
      <c r="O2741" s="8">
        <f t="shared" si="84"/>
        <v>2.1500000000232831</v>
      </c>
      <c r="P2741" t="str">
        <f t="shared" si="85"/>
        <v>Yes</v>
      </c>
    </row>
    <row r="2742" spans="1:16" x14ac:dyDescent="0.25">
      <c r="A2742" s="2" t="s">
        <v>7373</v>
      </c>
      <c r="B2742" s="4">
        <v>46097.631249999999</v>
      </c>
      <c r="C2742" s="2" t="s">
        <v>16</v>
      </c>
      <c r="D2742" s="2" t="s">
        <v>84</v>
      </c>
      <c r="E2742" s="2" t="s">
        <v>148</v>
      </c>
      <c r="F2742" s="2" t="s">
        <v>96</v>
      </c>
      <c r="G2742" s="2" t="s">
        <v>31</v>
      </c>
      <c r="H2742" s="2" t="s">
        <v>21</v>
      </c>
      <c r="I2742" s="2">
        <v>24</v>
      </c>
      <c r="J2742" s="2" t="s">
        <v>287</v>
      </c>
      <c r="K2742" s="4" t="s">
        <v>8590</v>
      </c>
      <c r="L2742" s="2" t="s">
        <v>24</v>
      </c>
      <c r="M2742" s="2"/>
      <c r="N2742" t="s">
        <v>8582</v>
      </c>
      <c r="O2742" s="8" t="str">
        <f t="shared" si="84"/>
        <v/>
      </c>
      <c r="P2742" t="str">
        <f t="shared" si="85"/>
        <v>N/A</v>
      </c>
    </row>
    <row r="2743" spans="1:16" x14ac:dyDescent="0.25">
      <c r="A2743" s="2" t="s">
        <v>7375</v>
      </c>
      <c r="B2743" s="4">
        <v>46151.540277777778</v>
      </c>
      <c r="C2743" s="2" t="s">
        <v>28</v>
      </c>
      <c r="D2743" s="2" t="s">
        <v>100</v>
      </c>
      <c r="E2743" s="2" t="s">
        <v>46</v>
      </c>
      <c r="F2743" s="2" t="s">
        <v>96</v>
      </c>
      <c r="G2743" s="2" t="s">
        <v>183</v>
      </c>
      <c r="H2743" s="2" t="s">
        <v>21</v>
      </c>
      <c r="I2743" s="2">
        <v>24</v>
      </c>
      <c r="J2743" s="2" t="s">
        <v>75</v>
      </c>
      <c r="K2743" s="4">
        <v>46152.106249999997</v>
      </c>
      <c r="L2743" s="2" t="s">
        <v>24</v>
      </c>
      <c r="M2743" s="2">
        <v>5</v>
      </c>
      <c r="N2743" t="s">
        <v>8586</v>
      </c>
      <c r="O2743" s="8">
        <f t="shared" si="84"/>
        <v>13.583333333255723</v>
      </c>
      <c r="P2743" t="str">
        <f t="shared" si="85"/>
        <v>N/A</v>
      </c>
    </row>
    <row r="2744" spans="1:16" x14ac:dyDescent="0.25">
      <c r="A2744" s="2" t="s">
        <v>7378</v>
      </c>
      <c r="B2744" s="4">
        <v>46237.399305555555</v>
      </c>
      <c r="C2744" s="2" t="s">
        <v>16</v>
      </c>
      <c r="D2744" s="2" t="s">
        <v>84</v>
      </c>
      <c r="E2744" s="2" t="s">
        <v>46</v>
      </c>
      <c r="F2744" s="2" t="s">
        <v>96</v>
      </c>
      <c r="G2744" s="2" t="s">
        <v>211</v>
      </c>
      <c r="H2744" s="2" t="s">
        <v>74</v>
      </c>
      <c r="I2744" s="2">
        <v>8</v>
      </c>
      <c r="J2744" s="2" t="s">
        <v>75</v>
      </c>
      <c r="K2744" s="4">
        <v>46237.870833333334</v>
      </c>
      <c r="L2744" s="2" t="s">
        <v>24</v>
      </c>
      <c r="M2744" s="2"/>
      <c r="N2744" t="s">
        <v>8583</v>
      </c>
      <c r="O2744" s="8">
        <f t="shared" si="84"/>
        <v>11.316666666709352</v>
      </c>
      <c r="P2744" t="str">
        <f t="shared" si="85"/>
        <v>N/A</v>
      </c>
    </row>
    <row r="2745" spans="1:16" x14ac:dyDescent="0.25">
      <c r="A2745" s="2" t="s">
        <v>7381</v>
      </c>
      <c r="B2745" s="4">
        <v>46085.412499999999</v>
      </c>
      <c r="C2745" s="2" t="s">
        <v>28</v>
      </c>
      <c r="D2745" s="2" t="s">
        <v>37</v>
      </c>
      <c r="E2745" s="2" t="s">
        <v>148</v>
      </c>
      <c r="F2745" s="2" t="s">
        <v>55</v>
      </c>
      <c r="G2745" s="2" t="s">
        <v>110</v>
      </c>
      <c r="H2745" s="2" t="s">
        <v>32</v>
      </c>
      <c r="I2745" s="2">
        <v>48</v>
      </c>
      <c r="J2745" s="2" t="s">
        <v>75</v>
      </c>
      <c r="K2745" s="4">
        <v>46086.743750000001</v>
      </c>
      <c r="L2745" s="2" t="s">
        <v>24</v>
      </c>
      <c r="M2745" s="2"/>
      <c r="N2745" t="s">
        <v>8583</v>
      </c>
      <c r="O2745" s="8">
        <f t="shared" si="84"/>
        <v>31.950000000069849</v>
      </c>
      <c r="P2745" t="str">
        <f t="shared" si="85"/>
        <v>N/A</v>
      </c>
    </row>
    <row r="2746" spans="1:16" x14ac:dyDescent="0.25">
      <c r="A2746" s="2" t="s">
        <v>7384</v>
      </c>
      <c r="B2746" s="4">
        <v>46125.3125</v>
      </c>
      <c r="C2746" s="2" t="s">
        <v>16</v>
      </c>
      <c r="D2746" s="2" t="s">
        <v>84</v>
      </c>
      <c r="E2746" s="2" t="s">
        <v>79</v>
      </c>
      <c r="F2746" s="2" t="s">
        <v>30</v>
      </c>
      <c r="G2746" s="2" t="s">
        <v>179</v>
      </c>
      <c r="H2746" s="2" t="s">
        <v>21</v>
      </c>
      <c r="I2746" s="2">
        <v>24</v>
      </c>
      <c r="J2746" s="2" t="s">
        <v>75</v>
      </c>
      <c r="K2746" s="4">
        <v>46128.011805555558</v>
      </c>
      <c r="L2746" s="2" t="s">
        <v>24</v>
      </c>
      <c r="M2746" s="2"/>
      <c r="N2746" t="s">
        <v>8582</v>
      </c>
      <c r="O2746" s="8">
        <f t="shared" si="84"/>
        <v>64.78333333338378</v>
      </c>
      <c r="P2746" t="str">
        <f t="shared" si="85"/>
        <v>N/A</v>
      </c>
    </row>
    <row r="2747" spans="1:16" x14ac:dyDescent="0.25">
      <c r="A2747" s="2" t="s">
        <v>7387</v>
      </c>
      <c r="B2747" s="4">
        <v>46130.415277777778</v>
      </c>
      <c r="C2747" s="2" t="s">
        <v>16</v>
      </c>
      <c r="D2747" s="2" t="s">
        <v>84</v>
      </c>
      <c r="E2747" s="2" t="s">
        <v>18</v>
      </c>
      <c r="F2747" s="2" t="s">
        <v>30</v>
      </c>
      <c r="G2747" s="2" t="s">
        <v>31</v>
      </c>
      <c r="H2747" s="2" t="s">
        <v>32</v>
      </c>
      <c r="I2747" s="2">
        <v>48</v>
      </c>
      <c r="J2747" s="2" t="s">
        <v>75</v>
      </c>
      <c r="K2747" s="4">
        <v>46131.839583333334</v>
      </c>
      <c r="L2747" s="2" t="s">
        <v>24</v>
      </c>
      <c r="M2747" s="2"/>
      <c r="N2747" t="s">
        <v>8583</v>
      </c>
      <c r="O2747" s="8">
        <f t="shared" si="84"/>
        <v>34.183333333348855</v>
      </c>
      <c r="P2747" t="str">
        <f t="shared" si="85"/>
        <v>N/A</v>
      </c>
    </row>
    <row r="2748" spans="1:16" x14ac:dyDescent="0.25">
      <c r="A2748" s="2" t="s">
        <v>7390</v>
      </c>
      <c r="B2748" s="4">
        <v>46137.552777777775</v>
      </c>
      <c r="C2748" s="2" t="s">
        <v>28</v>
      </c>
      <c r="D2748" s="2" t="s">
        <v>100</v>
      </c>
      <c r="E2748" s="2" t="s">
        <v>148</v>
      </c>
      <c r="F2748" s="2" t="s">
        <v>96</v>
      </c>
      <c r="G2748" s="2" t="s">
        <v>31</v>
      </c>
      <c r="H2748" s="2" t="s">
        <v>32</v>
      </c>
      <c r="I2748" s="2">
        <v>48</v>
      </c>
      <c r="J2748" s="2" t="s">
        <v>11</v>
      </c>
      <c r="K2748" s="4" t="s">
        <v>8590</v>
      </c>
      <c r="L2748" s="2" t="s">
        <v>92</v>
      </c>
      <c r="M2748" s="2"/>
      <c r="N2748" t="s">
        <v>8589</v>
      </c>
      <c r="O2748" s="8" t="str">
        <f t="shared" si="84"/>
        <v/>
      </c>
      <c r="P2748" t="str">
        <f t="shared" si="85"/>
        <v>N/A</v>
      </c>
    </row>
    <row r="2749" spans="1:16" x14ac:dyDescent="0.25">
      <c r="A2749" s="2" t="s">
        <v>7392</v>
      </c>
      <c r="B2749" s="4">
        <v>46241.652777777781</v>
      </c>
      <c r="C2749" s="2" t="s">
        <v>53</v>
      </c>
      <c r="D2749" s="2" t="s">
        <v>61</v>
      </c>
      <c r="E2749" s="2" t="s">
        <v>18</v>
      </c>
      <c r="F2749" s="2" t="s">
        <v>96</v>
      </c>
      <c r="G2749" s="2" t="s">
        <v>110</v>
      </c>
      <c r="H2749" s="2" t="s">
        <v>21</v>
      </c>
      <c r="I2749" s="2">
        <v>24</v>
      </c>
      <c r="J2749" s="2" t="s">
        <v>149</v>
      </c>
      <c r="K2749" s="4" t="s">
        <v>8590</v>
      </c>
      <c r="L2749" s="2" t="s">
        <v>24</v>
      </c>
      <c r="M2749" s="2"/>
      <c r="N2749" t="s">
        <v>8581</v>
      </c>
      <c r="O2749" s="8" t="str">
        <f t="shared" si="84"/>
        <v/>
      </c>
      <c r="P2749" t="str">
        <f t="shared" si="85"/>
        <v>N/A</v>
      </c>
    </row>
    <row r="2750" spans="1:16" x14ac:dyDescent="0.25">
      <c r="A2750" s="2" t="s">
        <v>7394</v>
      </c>
      <c r="B2750" s="4">
        <v>46032.650694444441</v>
      </c>
      <c r="C2750" s="2" t="s">
        <v>16</v>
      </c>
      <c r="D2750" s="2" t="s">
        <v>17</v>
      </c>
      <c r="E2750" s="2" t="s">
        <v>18</v>
      </c>
      <c r="F2750" s="2" t="s">
        <v>55</v>
      </c>
      <c r="G2750" s="2" t="s">
        <v>110</v>
      </c>
      <c r="H2750" s="2" t="s">
        <v>32</v>
      </c>
      <c r="I2750" s="2">
        <v>48</v>
      </c>
      <c r="J2750" s="2" t="s">
        <v>75</v>
      </c>
      <c r="K2750" s="4">
        <v>46037.411111111112</v>
      </c>
      <c r="L2750" s="2" t="s">
        <v>24</v>
      </c>
      <c r="M2750" s="2"/>
      <c r="N2750" t="s">
        <v>8582</v>
      </c>
      <c r="O2750" s="8">
        <f t="shared" si="84"/>
        <v>114.25000000011642</v>
      </c>
      <c r="P2750" t="str">
        <f t="shared" si="85"/>
        <v>N/A</v>
      </c>
    </row>
    <row r="2751" spans="1:16" x14ac:dyDescent="0.25">
      <c r="A2751" s="2" t="s">
        <v>7397</v>
      </c>
      <c r="B2751" s="4">
        <v>46245.690972222219</v>
      </c>
      <c r="C2751" s="2" t="s">
        <v>16</v>
      </c>
      <c r="D2751" s="2" t="s">
        <v>84</v>
      </c>
      <c r="E2751" s="2" t="s">
        <v>90</v>
      </c>
      <c r="F2751" s="2" t="s">
        <v>30</v>
      </c>
      <c r="G2751" s="2" t="s">
        <v>110</v>
      </c>
      <c r="H2751" s="2" t="s">
        <v>32</v>
      </c>
      <c r="I2751" s="2">
        <v>48</v>
      </c>
      <c r="J2751" s="2" t="s">
        <v>106</v>
      </c>
      <c r="K2751" s="4">
        <v>46245.902777777781</v>
      </c>
      <c r="L2751" s="2" t="s">
        <v>24</v>
      </c>
      <c r="M2751" s="2">
        <v>2</v>
      </c>
      <c r="N2751" t="s">
        <v>8583</v>
      </c>
      <c r="O2751" s="8">
        <f t="shared" si="84"/>
        <v>5.0833333334885538</v>
      </c>
      <c r="P2751" t="str">
        <f t="shared" si="85"/>
        <v>Yes</v>
      </c>
    </row>
    <row r="2752" spans="1:16" x14ac:dyDescent="0.25">
      <c r="A2752" s="2" t="s">
        <v>7400</v>
      </c>
      <c r="B2752" s="4">
        <v>46074.161805555559</v>
      </c>
      <c r="C2752" s="2" t="s">
        <v>28</v>
      </c>
      <c r="D2752" s="2" t="s">
        <v>100</v>
      </c>
      <c r="E2752" s="2" t="s">
        <v>46</v>
      </c>
      <c r="F2752" s="2" t="s">
        <v>30</v>
      </c>
      <c r="G2752" s="2" t="s">
        <v>110</v>
      </c>
      <c r="H2752" s="2" t="s">
        <v>74</v>
      </c>
      <c r="I2752" s="2">
        <v>8</v>
      </c>
      <c r="J2752" s="2" t="s">
        <v>75</v>
      </c>
      <c r="K2752" s="4" t="s">
        <v>8590</v>
      </c>
      <c r="L2752" s="2" t="s">
        <v>24</v>
      </c>
      <c r="M2752" s="2">
        <v>1</v>
      </c>
      <c r="N2752" t="s">
        <v>8588</v>
      </c>
      <c r="O2752" s="8" t="str">
        <f t="shared" si="84"/>
        <v/>
      </c>
      <c r="P2752" t="str">
        <f t="shared" si="85"/>
        <v>N/A</v>
      </c>
    </row>
    <row r="2753" spans="1:16" x14ac:dyDescent="0.25">
      <c r="A2753" s="2" t="s">
        <v>7402</v>
      </c>
      <c r="B2753" s="4">
        <v>46236.431944444441</v>
      </c>
      <c r="C2753" s="2" t="s">
        <v>67</v>
      </c>
      <c r="D2753" s="2" t="s">
        <v>68</v>
      </c>
      <c r="E2753" s="2" t="s">
        <v>79</v>
      </c>
      <c r="F2753" s="2" t="s">
        <v>55</v>
      </c>
      <c r="G2753" s="2" t="s">
        <v>183</v>
      </c>
      <c r="H2753" s="2" t="s">
        <v>21</v>
      </c>
      <c r="I2753" s="2">
        <v>24</v>
      </c>
      <c r="J2753" s="2" t="s">
        <v>8580</v>
      </c>
      <c r="K2753" s="4">
        <v>46236.482638888891</v>
      </c>
      <c r="L2753" s="2" t="s">
        <v>24</v>
      </c>
      <c r="M2753" s="2"/>
      <c r="N2753" t="s">
        <v>8589</v>
      </c>
      <c r="O2753" s="8">
        <f t="shared" si="84"/>
        <v>1.216666666790843</v>
      </c>
      <c r="P2753" t="str">
        <f t="shared" si="85"/>
        <v>N/A</v>
      </c>
    </row>
    <row r="2754" spans="1:16" x14ac:dyDescent="0.25">
      <c r="A2754" s="2" t="s">
        <v>7405</v>
      </c>
      <c r="B2754" s="4">
        <v>46091.749305555553</v>
      </c>
      <c r="C2754" s="2" t="s">
        <v>53</v>
      </c>
      <c r="D2754" s="2" t="s">
        <v>61</v>
      </c>
      <c r="E2754" s="2" t="s">
        <v>46</v>
      </c>
      <c r="F2754" s="2" t="s">
        <v>30</v>
      </c>
      <c r="G2754" s="2" t="s">
        <v>101</v>
      </c>
      <c r="H2754" s="2" t="s">
        <v>32</v>
      </c>
      <c r="I2754" s="2">
        <v>48</v>
      </c>
      <c r="J2754" s="2" t="s">
        <v>75</v>
      </c>
      <c r="K2754" s="4">
        <v>46095.491666666669</v>
      </c>
      <c r="L2754" s="2" t="s">
        <v>24</v>
      </c>
      <c r="M2754" s="2"/>
      <c r="N2754" t="s">
        <v>8589</v>
      </c>
      <c r="O2754" s="8">
        <f t="shared" si="84"/>
        <v>89.81666666676756</v>
      </c>
      <c r="P2754" t="str">
        <f t="shared" si="85"/>
        <v>N/A</v>
      </c>
    </row>
    <row r="2755" spans="1:16" x14ac:dyDescent="0.25">
      <c r="A2755" s="2" t="s">
        <v>7408</v>
      </c>
      <c r="B2755" s="4">
        <v>46228.172222222223</v>
      </c>
      <c r="C2755" s="2" t="s">
        <v>67</v>
      </c>
      <c r="D2755" s="2" t="s">
        <v>95</v>
      </c>
      <c r="E2755" s="2" t="s">
        <v>18</v>
      </c>
      <c r="F2755" s="2" t="s">
        <v>96</v>
      </c>
      <c r="G2755" s="2" t="s">
        <v>179</v>
      </c>
      <c r="H2755" s="2" t="s">
        <v>74</v>
      </c>
      <c r="I2755" s="2">
        <v>8</v>
      </c>
      <c r="J2755" s="2" t="s">
        <v>75</v>
      </c>
      <c r="K2755" s="4">
        <v>46229.159722222219</v>
      </c>
      <c r="L2755" s="2" t="s">
        <v>24</v>
      </c>
      <c r="M2755" s="2">
        <v>4</v>
      </c>
      <c r="N2755" t="s">
        <v>8586</v>
      </c>
      <c r="O2755" s="8">
        <f t="shared" ref="O2755:O2818" si="86">IF(K2755="","",IF(K2755="Missing Resolve Date","",(K2755-B2755)*24))</f>
        <v>23.699999999895226</v>
      </c>
      <c r="P2755" t="str">
        <f t="shared" ref="P2755:P2818" si="87">IF(J2755="Resolved",IF(O2755&lt;=I2755,"Yes","No"),"N/A")</f>
        <v>N/A</v>
      </c>
    </row>
    <row r="2756" spans="1:16" x14ac:dyDescent="0.25">
      <c r="A2756" s="2" t="s">
        <v>7411</v>
      </c>
      <c r="B2756" s="4">
        <v>46060.530555555553</v>
      </c>
      <c r="C2756" s="2" t="s">
        <v>67</v>
      </c>
      <c r="D2756" s="2" t="s">
        <v>68</v>
      </c>
      <c r="E2756" s="2" t="s">
        <v>90</v>
      </c>
      <c r="F2756" s="2" t="s">
        <v>55</v>
      </c>
      <c r="G2756" s="2" t="s">
        <v>179</v>
      </c>
      <c r="H2756" s="2" t="s">
        <v>80</v>
      </c>
      <c r="I2756" s="2">
        <v>4</v>
      </c>
      <c r="J2756" s="2" t="s">
        <v>287</v>
      </c>
      <c r="K2756" s="4" t="s">
        <v>8590</v>
      </c>
      <c r="L2756" s="2" t="s">
        <v>92</v>
      </c>
      <c r="M2756" s="2"/>
      <c r="N2756" t="s">
        <v>8586</v>
      </c>
      <c r="O2756" s="8" t="str">
        <f t="shared" si="86"/>
        <v/>
      </c>
      <c r="P2756" t="str">
        <f t="shared" si="87"/>
        <v>N/A</v>
      </c>
    </row>
    <row r="2757" spans="1:16" x14ac:dyDescent="0.25">
      <c r="A2757" s="2" t="s">
        <v>7413</v>
      </c>
      <c r="B2757" s="4">
        <v>46124.241666666669</v>
      </c>
      <c r="C2757" s="2" t="s">
        <v>53</v>
      </c>
      <c r="D2757" s="2" t="s">
        <v>54</v>
      </c>
      <c r="E2757" s="2" t="s">
        <v>18</v>
      </c>
      <c r="F2757" s="2" t="s">
        <v>55</v>
      </c>
      <c r="G2757" s="2" t="s">
        <v>183</v>
      </c>
      <c r="H2757" s="2" t="s">
        <v>32</v>
      </c>
      <c r="I2757" s="2">
        <v>48</v>
      </c>
      <c r="J2757" s="2" t="s">
        <v>287</v>
      </c>
      <c r="K2757" s="4" t="s">
        <v>8590</v>
      </c>
      <c r="L2757" s="2" t="s">
        <v>24</v>
      </c>
      <c r="M2757" s="2"/>
      <c r="N2757" t="s">
        <v>8582</v>
      </c>
      <c r="O2757" s="8" t="str">
        <f t="shared" si="86"/>
        <v/>
      </c>
      <c r="P2757" t="str">
        <f t="shared" si="87"/>
        <v>N/A</v>
      </c>
    </row>
    <row r="2758" spans="1:16" x14ac:dyDescent="0.25">
      <c r="A2758" s="2" t="s">
        <v>7415</v>
      </c>
      <c r="B2758" s="4">
        <v>46077.607638888891</v>
      </c>
      <c r="C2758" s="2" t="s">
        <v>53</v>
      </c>
      <c r="D2758" s="2" t="s">
        <v>61</v>
      </c>
      <c r="E2758" s="2" t="s">
        <v>18</v>
      </c>
      <c r="F2758" s="2" t="s">
        <v>113</v>
      </c>
      <c r="G2758" s="2" t="s">
        <v>101</v>
      </c>
      <c r="H2758" s="2" t="s">
        <v>21</v>
      </c>
      <c r="I2758" s="2">
        <v>24</v>
      </c>
      <c r="J2758" s="2" t="s">
        <v>75</v>
      </c>
      <c r="K2758" s="4">
        <v>46079.913194444445</v>
      </c>
      <c r="L2758" s="2" t="s">
        <v>24</v>
      </c>
      <c r="M2758" s="2">
        <v>5</v>
      </c>
      <c r="N2758" t="s">
        <v>8586</v>
      </c>
      <c r="O2758" s="8">
        <f t="shared" si="86"/>
        <v>55.333333333313931</v>
      </c>
      <c r="P2758" t="str">
        <f t="shared" si="87"/>
        <v>N/A</v>
      </c>
    </row>
    <row r="2759" spans="1:16" x14ac:dyDescent="0.25">
      <c r="A2759" s="2" t="s">
        <v>7418</v>
      </c>
      <c r="B2759" s="4">
        <v>46244.567361111112</v>
      </c>
      <c r="C2759" s="2" t="s">
        <v>53</v>
      </c>
      <c r="D2759" s="2" t="s">
        <v>61</v>
      </c>
      <c r="E2759" s="2" t="s">
        <v>148</v>
      </c>
      <c r="F2759" s="2" t="s">
        <v>96</v>
      </c>
      <c r="G2759" s="2" t="s">
        <v>101</v>
      </c>
      <c r="H2759" s="2" t="s">
        <v>21</v>
      </c>
      <c r="I2759" s="2">
        <v>24</v>
      </c>
      <c r="J2759" s="2" t="s">
        <v>149</v>
      </c>
      <c r="K2759" s="4" t="s">
        <v>8590</v>
      </c>
      <c r="L2759" s="2" t="s">
        <v>24</v>
      </c>
      <c r="M2759" s="2"/>
      <c r="N2759" t="s">
        <v>8586</v>
      </c>
      <c r="O2759" s="8" t="str">
        <f t="shared" si="86"/>
        <v/>
      </c>
      <c r="P2759" t="str">
        <f t="shared" si="87"/>
        <v>N/A</v>
      </c>
    </row>
    <row r="2760" spans="1:16" x14ac:dyDescent="0.25">
      <c r="A2760" s="2" t="s">
        <v>7420</v>
      </c>
      <c r="B2760" s="4">
        <v>46079.936805555553</v>
      </c>
      <c r="C2760" s="2" t="s">
        <v>16</v>
      </c>
      <c r="D2760" s="2" t="s">
        <v>17</v>
      </c>
      <c r="E2760" s="2" t="s">
        <v>148</v>
      </c>
      <c r="F2760" s="2" t="s">
        <v>30</v>
      </c>
      <c r="G2760" s="2" t="s">
        <v>183</v>
      </c>
      <c r="H2760" s="2" t="s">
        <v>74</v>
      </c>
      <c r="I2760" s="2">
        <v>8</v>
      </c>
      <c r="J2760" s="2" t="s">
        <v>75</v>
      </c>
      <c r="K2760" s="4">
        <v>46080.024305555555</v>
      </c>
      <c r="L2760" s="2" t="s">
        <v>24</v>
      </c>
      <c r="M2760" s="2">
        <v>1</v>
      </c>
      <c r="N2760" t="s">
        <v>8585</v>
      </c>
      <c r="O2760" s="8">
        <f t="shared" si="86"/>
        <v>2.1000000000349246</v>
      </c>
      <c r="P2760" t="str">
        <f t="shared" si="87"/>
        <v>N/A</v>
      </c>
    </row>
    <row r="2761" spans="1:16" x14ac:dyDescent="0.25">
      <c r="A2761" s="2" t="s">
        <v>7423</v>
      </c>
      <c r="B2761" s="4">
        <v>46221.484722222223</v>
      </c>
      <c r="C2761" s="2" t="s">
        <v>53</v>
      </c>
      <c r="D2761" s="2" t="s">
        <v>54</v>
      </c>
      <c r="E2761" s="2" t="s">
        <v>46</v>
      </c>
      <c r="F2761" s="2" t="s">
        <v>113</v>
      </c>
      <c r="G2761" s="2" t="s">
        <v>179</v>
      </c>
      <c r="H2761" s="2" t="s">
        <v>32</v>
      </c>
      <c r="I2761" s="2">
        <v>48</v>
      </c>
      <c r="J2761" s="2" t="s">
        <v>11</v>
      </c>
      <c r="K2761" s="4" t="s">
        <v>8590</v>
      </c>
      <c r="L2761" s="2" t="s">
        <v>92</v>
      </c>
      <c r="M2761" s="2"/>
      <c r="N2761" t="s">
        <v>8584</v>
      </c>
      <c r="O2761" s="8" t="str">
        <f t="shared" si="86"/>
        <v/>
      </c>
      <c r="P2761" t="str">
        <f t="shared" si="87"/>
        <v>N/A</v>
      </c>
    </row>
    <row r="2762" spans="1:16" x14ac:dyDescent="0.25">
      <c r="A2762" s="2" t="s">
        <v>7425</v>
      </c>
      <c r="B2762" s="4">
        <v>46192.786805555559</v>
      </c>
      <c r="C2762" s="2" t="s">
        <v>67</v>
      </c>
      <c r="D2762" s="2" t="s">
        <v>95</v>
      </c>
      <c r="E2762" s="2" t="s">
        <v>18</v>
      </c>
      <c r="F2762" s="2" t="s">
        <v>55</v>
      </c>
      <c r="G2762" s="2" t="s">
        <v>211</v>
      </c>
      <c r="H2762" s="2" t="s">
        <v>32</v>
      </c>
      <c r="I2762" s="2">
        <v>48</v>
      </c>
      <c r="J2762" s="2" t="s">
        <v>11</v>
      </c>
      <c r="K2762" s="4" t="s">
        <v>8590</v>
      </c>
      <c r="L2762" s="2" t="s">
        <v>92</v>
      </c>
      <c r="M2762" s="2"/>
      <c r="N2762" t="s">
        <v>8588</v>
      </c>
      <c r="O2762" s="8" t="str">
        <f t="shared" si="86"/>
        <v/>
      </c>
      <c r="P2762" t="str">
        <f t="shared" si="87"/>
        <v>N/A</v>
      </c>
    </row>
    <row r="2763" spans="1:16" x14ac:dyDescent="0.25">
      <c r="A2763" s="2" t="s">
        <v>7427</v>
      </c>
      <c r="B2763" s="4">
        <v>46242.463194444441</v>
      </c>
      <c r="C2763" s="2" t="s">
        <v>28</v>
      </c>
      <c r="D2763" s="2" t="s">
        <v>37</v>
      </c>
      <c r="E2763" s="2" t="s">
        <v>90</v>
      </c>
      <c r="F2763" s="2" t="s">
        <v>55</v>
      </c>
      <c r="G2763" s="2" t="s">
        <v>183</v>
      </c>
      <c r="H2763" s="2" t="s">
        <v>21</v>
      </c>
      <c r="I2763" s="2">
        <v>24</v>
      </c>
      <c r="J2763" s="2" t="s">
        <v>106</v>
      </c>
      <c r="K2763" s="4">
        <v>46242.713194444441</v>
      </c>
      <c r="L2763" s="2" t="s">
        <v>24</v>
      </c>
      <c r="M2763" s="2">
        <v>5</v>
      </c>
      <c r="N2763" t="s">
        <v>8582</v>
      </c>
      <c r="O2763" s="8">
        <f t="shared" si="86"/>
        <v>6</v>
      </c>
      <c r="P2763" t="str">
        <f t="shared" si="87"/>
        <v>Yes</v>
      </c>
    </row>
    <row r="2764" spans="1:16" x14ac:dyDescent="0.25">
      <c r="A2764" s="2" t="s">
        <v>7430</v>
      </c>
      <c r="B2764" s="4">
        <v>46042.379861111112</v>
      </c>
      <c r="C2764" s="2" t="s">
        <v>16</v>
      </c>
      <c r="D2764" s="2" t="s">
        <v>84</v>
      </c>
      <c r="E2764" s="2" t="s">
        <v>18</v>
      </c>
      <c r="F2764" s="2" t="s">
        <v>55</v>
      </c>
      <c r="G2764" s="2" t="s">
        <v>110</v>
      </c>
      <c r="H2764" s="2" t="s">
        <v>21</v>
      </c>
      <c r="I2764" s="2">
        <v>24</v>
      </c>
      <c r="J2764" s="2" t="s">
        <v>106</v>
      </c>
      <c r="K2764" s="4">
        <v>46042.724999999999</v>
      </c>
      <c r="L2764" s="2" t="s">
        <v>24</v>
      </c>
      <c r="M2764" s="2">
        <v>3</v>
      </c>
      <c r="N2764" t="s">
        <v>8583</v>
      </c>
      <c r="O2764" s="8">
        <f t="shared" si="86"/>
        <v>8.2833333332673647</v>
      </c>
      <c r="P2764" t="str">
        <f t="shared" si="87"/>
        <v>Yes</v>
      </c>
    </row>
    <row r="2765" spans="1:16" x14ac:dyDescent="0.25">
      <c r="A2765" s="2" t="s">
        <v>7433</v>
      </c>
      <c r="B2765" s="4">
        <v>46231.893055555556</v>
      </c>
      <c r="C2765" s="2" t="s">
        <v>16</v>
      </c>
      <c r="D2765" s="2" t="s">
        <v>84</v>
      </c>
      <c r="E2765" s="2" t="s">
        <v>18</v>
      </c>
      <c r="F2765" s="2" t="s">
        <v>55</v>
      </c>
      <c r="G2765" s="2" t="s">
        <v>101</v>
      </c>
      <c r="H2765" s="2" t="s">
        <v>32</v>
      </c>
      <c r="I2765" s="2">
        <v>48</v>
      </c>
      <c r="J2765" s="2" t="s">
        <v>11</v>
      </c>
      <c r="K2765" s="4" t="s">
        <v>8590</v>
      </c>
      <c r="L2765" s="2" t="s">
        <v>92</v>
      </c>
      <c r="M2765" s="2"/>
      <c r="N2765" t="s">
        <v>8586</v>
      </c>
      <c r="O2765" s="8" t="str">
        <f t="shared" si="86"/>
        <v/>
      </c>
      <c r="P2765" t="str">
        <f t="shared" si="87"/>
        <v>N/A</v>
      </c>
    </row>
    <row r="2766" spans="1:16" x14ac:dyDescent="0.25">
      <c r="A2766" s="2" t="s">
        <v>7435</v>
      </c>
      <c r="B2766" s="4">
        <v>46086.438194444447</v>
      </c>
      <c r="C2766" s="2" t="s">
        <v>28</v>
      </c>
      <c r="D2766" s="2" t="s">
        <v>100</v>
      </c>
      <c r="E2766" s="2" t="s">
        <v>148</v>
      </c>
      <c r="F2766" s="2" t="s">
        <v>113</v>
      </c>
      <c r="G2766" s="2" t="s">
        <v>101</v>
      </c>
      <c r="H2766" s="2" t="s">
        <v>74</v>
      </c>
      <c r="I2766" s="2">
        <v>8</v>
      </c>
      <c r="J2766" s="2" t="s">
        <v>75</v>
      </c>
      <c r="K2766" s="4">
        <v>46086.729861111111</v>
      </c>
      <c r="L2766" s="2" t="s">
        <v>24</v>
      </c>
      <c r="M2766" s="2">
        <v>3</v>
      </c>
      <c r="N2766" t="s">
        <v>8589</v>
      </c>
      <c r="O2766" s="8">
        <f t="shared" si="86"/>
        <v>6.9999999999417923</v>
      </c>
      <c r="P2766" t="str">
        <f t="shared" si="87"/>
        <v>N/A</v>
      </c>
    </row>
    <row r="2767" spans="1:16" x14ac:dyDescent="0.25">
      <c r="A2767" s="2" t="s">
        <v>7438</v>
      </c>
      <c r="B2767" s="4">
        <v>46174.932638888888</v>
      </c>
      <c r="C2767" s="2" t="s">
        <v>53</v>
      </c>
      <c r="D2767" s="2" t="s">
        <v>61</v>
      </c>
      <c r="E2767" s="2" t="s">
        <v>90</v>
      </c>
      <c r="F2767" s="2" t="s">
        <v>55</v>
      </c>
      <c r="G2767" s="2" t="s">
        <v>110</v>
      </c>
      <c r="H2767" s="2" t="s">
        <v>32</v>
      </c>
      <c r="I2767" s="2">
        <v>48</v>
      </c>
      <c r="J2767" s="2" t="s">
        <v>106</v>
      </c>
      <c r="K2767" s="4">
        <v>46175.052777777775</v>
      </c>
      <c r="L2767" s="2" t="s">
        <v>24</v>
      </c>
      <c r="M2767" s="2"/>
      <c r="N2767" t="s">
        <v>8583</v>
      </c>
      <c r="O2767" s="8">
        <f t="shared" si="86"/>
        <v>2.8833333333022892</v>
      </c>
      <c r="P2767" t="str">
        <f t="shared" si="87"/>
        <v>Yes</v>
      </c>
    </row>
    <row r="2768" spans="1:16" x14ac:dyDescent="0.25">
      <c r="A2768" s="2" t="s">
        <v>7441</v>
      </c>
      <c r="B2768" s="4">
        <v>46063.189583333333</v>
      </c>
      <c r="C2768" s="2" t="s">
        <v>67</v>
      </c>
      <c r="D2768" s="2" t="s">
        <v>68</v>
      </c>
      <c r="E2768" s="2" t="s">
        <v>85</v>
      </c>
      <c r="F2768" s="2" t="s">
        <v>96</v>
      </c>
      <c r="G2768" s="2" t="s">
        <v>110</v>
      </c>
      <c r="H2768" s="2" t="s">
        <v>21</v>
      </c>
      <c r="I2768" s="2">
        <v>24</v>
      </c>
      <c r="J2768" s="2" t="s">
        <v>149</v>
      </c>
      <c r="K2768" s="4" t="s">
        <v>8590</v>
      </c>
      <c r="L2768" s="2" t="s">
        <v>24</v>
      </c>
      <c r="M2768" s="2"/>
      <c r="N2768" t="s">
        <v>8584</v>
      </c>
      <c r="O2768" s="8" t="str">
        <f t="shared" si="86"/>
        <v/>
      </c>
      <c r="P2768" t="str">
        <f t="shared" si="87"/>
        <v>N/A</v>
      </c>
    </row>
    <row r="2769" spans="1:16" x14ac:dyDescent="0.25">
      <c r="A2769" s="2" t="s">
        <v>7443</v>
      </c>
      <c r="B2769" s="4">
        <v>46246.506249999999</v>
      </c>
      <c r="C2769" s="2" t="s">
        <v>67</v>
      </c>
      <c r="D2769" s="2" t="s">
        <v>68</v>
      </c>
      <c r="E2769" s="2" t="s">
        <v>38</v>
      </c>
      <c r="F2769" s="2" t="s">
        <v>96</v>
      </c>
      <c r="G2769" s="2" t="s">
        <v>179</v>
      </c>
      <c r="H2769" s="2" t="s">
        <v>74</v>
      </c>
      <c r="I2769" s="2">
        <v>8</v>
      </c>
      <c r="J2769" s="2" t="s">
        <v>11</v>
      </c>
      <c r="K2769" s="4" t="s">
        <v>8590</v>
      </c>
      <c r="L2769" s="2" t="s">
        <v>92</v>
      </c>
      <c r="M2769" s="2"/>
      <c r="N2769" t="s">
        <v>8587</v>
      </c>
      <c r="O2769" s="8" t="str">
        <f t="shared" si="86"/>
        <v/>
      </c>
      <c r="P2769" t="str">
        <f t="shared" si="87"/>
        <v>N/A</v>
      </c>
    </row>
    <row r="2770" spans="1:16" x14ac:dyDescent="0.25">
      <c r="A2770" s="2" t="s">
        <v>7445</v>
      </c>
      <c r="B2770" s="4">
        <v>46227.738194444442</v>
      </c>
      <c r="C2770" s="2" t="s">
        <v>28</v>
      </c>
      <c r="D2770" s="2" t="s">
        <v>37</v>
      </c>
      <c r="E2770" s="2" t="s">
        <v>85</v>
      </c>
      <c r="F2770" s="2" t="s">
        <v>55</v>
      </c>
      <c r="G2770" s="2" t="s">
        <v>31</v>
      </c>
      <c r="H2770" s="2" t="s">
        <v>32</v>
      </c>
      <c r="I2770" s="2">
        <v>48</v>
      </c>
      <c r="J2770" s="2" t="s">
        <v>149</v>
      </c>
      <c r="K2770" s="4" t="s">
        <v>8590</v>
      </c>
      <c r="L2770" s="2" t="s">
        <v>24</v>
      </c>
      <c r="M2770" s="2"/>
      <c r="N2770" t="s">
        <v>8581</v>
      </c>
      <c r="O2770" s="8" t="str">
        <f t="shared" si="86"/>
        <v/>
      </c>
      <c r="P2770" t="str">
        <f t="shared" si="87"/>
        <v>N/A</v>
      </c>
    </row>
    <row r="2771" spans="1:16" x14ac:dyDescent="0.25">
      <c r="A2771" s="2" t="s">
        <v>7447</v>
      </c>
      <c r="B2771" s="4">
        <v>46256.140277777777</v>
      </c>
      <c r="C2771" s="2" t="s">
        <v>28</v>
      </c>
      <c r="D2771" s="2" t="s">
        <v>100</v>
      </c>
      <c r="E2771" s="2" t="s">
        <v>46</v>
      </c>
      <c r="F2771" s="2" t="s">
        <v>96</v>
      </c>
      <c r="G2771" s="2" t="s">
        <v>183</v>
      </c>
      <c r="H2771" s="2" t="s">
        <v>21</v>
      </c>
      <c r="I2771" s="2">
        <v>24</v>
      </c>
      <c r="J2771" s="2" t="s">
        <v>106</v>
      </c>
      <c r="K2771" s="4">
        <v>46257</v>
      </c>
      <c r="L2771" s="2" t="s">
        <v>24</v>
      </c>
      <c r="M2771" s="2">
        <v>4</v>
      </c>
      <c r="N2771" t="s">
        <v>8588</v>
      </c>
      <c r="O2771" s="8">
        <f t="shared" si="86"/>
        <v>20.633333333360497</v>
      </c>
      <c r="P2771" t="str">
        <f t="shared" si="87"/>
        <v>Yes</v>
      </c>
    </row>
    <row r="2772" spans="1:16" x14ac:dyDescent="0.25">
      <c r="A2772" s="2" t="s">
        <v>7450</v>
      </c>
      <c r="B2772" s="4">
        <v>46047.806250000001</v>
      </c>
      <c r="C2772" s="2" t="s">
        <v>53</v>
      </c>
      <c r="D2772" s="2" t="s">
        <v>61</v>
      </c>
      <c r="E2772" s="2" t="s">
        <v>79</v>
      </c>
      <c r="F2772" s="2" t="s">
        <v>96</v>
      </c>
      <c r="G2772" s="2" t="s">
        <v>101</v>
      </c>
      <c r="H2772" s="2" t="s">
        <v>32</v>
      </c>
      <c r="I2772" s="2">
        <v>48</v>
      </c>
      <c r="J2772" s="2" t="s">
        <v>75</v>
      </c>
      <c r="K2772" s="4">
        <v>46049.244444444441</v>
      </c>
      <c r="L2772" s="2" t="s">
        <v>24</v>
      </c>
      <c r="M2772" s="2">
        <v>1</v>
      </c>
      <c r="N2772" t="s">
        <v>8586</v>
      </c>
      <c r="O2772" s="8">
        <f t="shared" si="86"/>
        <v>34.516666666546371</v>
      </c>
      <c r="P2772" t="str">
        <f t="shared" si="87"/>
        <v>N/A</v>
      </c>
    </row>
    <row r="2773" spans="1:16" x14ac:dyDescent="0.25">
      <c r="A2773" s="2" t="s">
        <v>7453</v>
      </c>
      <c r="B2773" s="4">
        <v>46029.146527777775</v>
      </c>
      <c r="C2773" s="2" t="s">
        <v>67</v>
      </c>
      <c r="D2773" s="2" t="s">
        <v>95</v>
      </c>
      <c r="E2773" s="2" t="s">
        <v>148</v>
      </c>
      <c r="F2773" s="2" t="s">
        <v>30</v>
      </c>
      <c r="G2773" s="2" t="s">
        <v>183</v>
      </c>
      <c r="H2773" s="2" t="s">
        <v>74</v>
      </c>
      <c r="I2773" s="2">
        <v>8</v>
      </c>
      <c r="J2773" s="2" t="s">
        <v>106</v>
      </c>
      <c r="K2773" s="4" t="s">
        <v>8590</v>
      </c>
      <c r="L2773" s="2" t="s">
        <v>24</v>
      </c>
      <c r="M2773" s="2"/>
      <c r="N2773" t="s">
        <v>8585</v>
      </c>
      <c r="O2773" s="8" t="str">
        <f t="shared" si="86"/>
        <v/>
      </c>
      <c r="P2773" t="str">
        <f t="shared" si="87"/>
        <v>No</v>
      </c>
    </row>
    <row r="2774" spans="1:16" x14ac:dyDescent="0.25">
      <c r="A2774" s="2" t="s">
        <v>7455</v>
      </c>
      <c r="B2774" s="4">
        <v>46235.101388888892</v>
      </c>
      <c r="C2774" s="2" t="s">
        <v>16</v>
      </c>
      <c r="D2774" s="2" t="s">
        <v>84</v>
      </c>
      <c r="E2774" s="2" t="s">
        <v>148</v>
      </c>
      <c r="F2774" s="2" t="s">
        <v>30</v>
      </c>
      <c r="G2774" s="2" t="s">
        <v>31</v>
      </c>
      <c r="H2774" s="2" t="s">
        <v>21</v>
      </c>
      <c r="I2774" s="2">
        <v>24</v>
      </c>
      <c r="J2774" s="2" t="s">
        <v>75</v>
      </c>
      <c r="K2774" s="4">
        <v>46237.677083333336</v>
      </c>
      <c r="L2774" s="2" t="s">
        <v>24</v>
      </c>
      <c r="M2774" s="2"/>
      <c r="N2774" t="s">
        <v>8582</v>
      </c>
      <c r="O2774" s="8">
        <f t="shared" si="86"/>
        <v>61.816666666651145</v>
      </c>
      <c r="P2774" t="str">
        <f t="shared" si="87"/>
        <v>N/A</v>
      </c>
    </row>
    <row r="2775" spans="1:16" x14ac:dyDescent="0.25">
      <c r="A2775" s="2" t="s">
        <v>7458</v>
      </c>
      <c r="B2775" s="4">
        <v>46216.520833333336</v>
      </c>
      <c r="C2775" s="2" t="s">
        <v>67</v>
      </c>
      <c r="D2775" s="2" t="s">
        <v>68</v>
      </c>
      <c r="E2775" s="2" t="s">
        <v>79</v>
      </c>
      <c r="F2775" s="2" t="s">
        <v>113</v>
      </c>
      <c r="G2775" s="2" t="s">
        <v>101</v>
      </c>
      <c r="H2775" s="2" t="s">
        <v>74</v>
      </c>
      <c r="I2775" s="2">
        <v>8</v>
      </c>
      <c r="J2775" s="2" t="s">
        <v>11</v>
      </c>
      <c r="K2775" s="4" t="s">
        <v>8590</v>
      </c>
      <c r="L2775" s="2" t="s">
        <v>92</v>
      </c>
      <c r="M2775" s="2"/>
      <c r="N2775" t="s">
        <v>8589</v>
      </c>
      <c r="O2775" s="8" t="str">
        <f t="shared" si="86"/>
        <v/>
      </c>
      <c r="P2775" t="str">
        <f t="shared" si="87"/>
        <v>N/A</v>
      </c>
    </row>
    <row r="2776" spans="1:16" x14ac:dyDescent="0.25">
      <c r="A2776" s="2" t="s">
        <v>7460</v>
      </c>
      <c r="B2776" s="4">
        <v>46131.418749999997</v>
      </c>
      <c r="C2776" s="2" t="s">
        <v>67</v>
      </c>
      <c r="D2776" s="2" t="s">
        <v>95</v>
      </c>
      <c r="E2776" s="2" t="s">
        <v>148</v>
      </c>
      <c r="F2776" s="2" t="s">
        <v>55</v>
      </c>
      <c r="G2776" s="2" t="s">
        <v>101</v>
      </c>
      <c r="H2776" s="2" t="s">
        <v>32</v>
      </c>
      <c r="I2776" s="2">
        <v>48</v>
      </c>
      <c r="J2776" s="2" t="s">
        <v>149</v>
      </c>
      <c r="K2776" s="4" t="s">
        <v>8590</v>
      </c>
      <c r="L2776" s="2" t="s">
        <v>24</v>
      </c>
      <c r="M2776" s="2"/>
      <c r="N2776" t="s">
        <v>8588</v>
      </c>
      <c r="O2776" s="8" t="str">
        <f t="shared" si="86"/>
        <v/>
      </c>
      <c r="P2776" t="str">
        <f t="shared" si="87"/>
        <v>N/A</v>
      </c>
    </row>
    <row r="2777" spans="1:16" x14ac:dyDescent="0.25">
      <c r="A2777" s="2" t="s">
        <v>7462</v>
      </c>
      <c r="B2777" s="4">
        <v>46082.995138888888</v>
      </c>
      <c r="C2777" s="2" t="s">
        <v>67</v>
      </c>
      <c r="D2777" s="2" t="s">
        <v>68</v>
      </c>
      <c r="E2777" s="2" t="s">
        <v>38</v>
      </c>
      <c r="F2777" s="2" t="s">
        <v>113</v>
      </c>
      <c r="G2777" s="2" t="s">
        <v>183</v>
      </c>
      <c r="H2777" s="2" t="s">
        <v>74</v>
      </c>
      <c r="I2777" s="2">
        <v>8</v>
      </c>
      <c r="J2777" s="2" t="s">
        <v>106</v>
      </c>
      <c r="K2777" s="4">
        <v>46083.088888888888</v>
      </c>
      <c r="L2777" s="2" t="s">
        <v>24</v>
      </c>
      <c r="M2777" s="2">
        <v>1</v>
      </c>
      <c r="N2777" t="s">
        <v>8588</v>
      </c>
      <c r="O2777" s="8">
        <f t="shared" si="86"/>
        <v>2.25</v>
      </c>
      <c r="P2777" t="str">
        <f t="shared" si="87"/>
        <v>Yes</v>
      </c>
    </row>
    <row r="2778" spans="1:16" x14ac:dyDescent="0.25">
      <c r="A2778" s="2" t="s">
        <v>7465</v>
      </c>
      <c r="B2778" s="4">
        <v>46034.304166666669</v>
      </c>
      <c r="C2778" s="2" t="s">
        <v>16</v>
      </c>
      <c r="D2778" s="2" t="s">
        <v>17</v>
      </c>
      <c r="E2778" s="2" t="s">
        <v>85</v>
      </c>
      <c r="F2778" s="2" t="s">
        <v>30</v>
      </c>
      <c r="G2778" s="2" t="s">
        <v>110</v>
      </c>
      <c r="H2778" s="2" t="s">
        <v>21</v>
      </c>
      <c r="I2778" s="2">
        <v>24</v>
      </c>
      <c r="J2778" s="2" t="s">
        <v>75</v>
      </c>
      <c r="K2778" s="4">
        <v>46035.145833333336</v>
      </c>
      <c r="L2778" s="2" t="s">
        <v>24</v>
      </c>
      <c r="M2778" s="2">
        <v>1</v>
      </c>
      <c r="N2778" t="s">
        <v>8582</v>
      </c>
      <c r="O2778" s="8">
        <f t="shared" si="86"/>
        <v>20.200000000011642</v>
      </c>
      <c r="P2778" t="str">
        <f t="shared" si="87"/>
        <v>N/A</v>
      </c>
    </row>
    <row r="2779" spans="1:16" x14ac:dyDescent="0.25">
      <c r="A2779" s="2" t="s">
        <v>7468</v>
      </c>
      <c r="B2779" s="4">
        <v>46248.267361111109</v>
      </c>
      <c r="C2779" s="2" t="s">
        <v>53</v>
      </c>
      <c r="D2779" s="2" t="s">
        <v>61</v>
      </c>
      <c r="E2779" s="2" t="s">
        <v>46</v>
      </c>
      <c r="F2779" s="2" t="s">
        <v>55</v>
      </c>
      <c r="G2779" s="2" t="s">
        <v>31</v>
      </c>
      <c r="H2779" s="2" t="s">
        <v>21</v>
      </c>
      <c r="I2779" s="2">
        <v>24</v>
      </c>
      <c r="J2779" s="2" t="s">
        <v>106</v>
      </c>
      <c r="K2779" s="4">
        <v>46248.882638888892</v>
      </c>
      <c r="L2779" s="2" t="s">
        <v>92</v>
      </c>
      <c r="M2779" s="2">
        <v>5</v>
      </c>
      <c r="N2779" t="s">
        <v>8581</v>
      </c>
      <c r="O2779" s="8">
        <f t="shared" si="86"/>
        <v>14.766666666779201</v>
      </c>
      <c r="P2779" t="str">
        <f t="shared" si="87"/>
        <v>Yes</v>
      </c>
    </row>
    <row r="2780" spans="1:16" x14ac:dyDescent="0.25">
      <c r="A2780" s="2" t="s">
        <v>7471</v>
      </c>
      <c r="B2780" s="4">
        <v>46050.277777777781</v>
      </c>
      <c r="C2780" s="2" t="s">
        <v>16</v>
      </c>
      <c r="D2780" s="2" t="s">
        <v>17</v>
      </c>
      <c r="E2780" s="2" t="s">
        <v>18</v>
      </c>
      <c r="F2780" s="2" t="s">
        <v>113</v>
      </c>
      <c r="G2780" s="2" t="s">
        <v>31</v>
      </c>
      <c r="H2780" s="2" t="s">
        <v>21</v>
      </c>
      <c r="I2780" s="2">
        <v>24</v>
      </c>
      <c r="J2780" s="2" t="s">
        <v>106</v>
      </c>
      <c r="K2780" s="4">
        <v>46050.79791666667</v>
      </c>
      <c r="L2780" s="2" t="s">
        <v>24</v>
      </c>
      <c r="M2780" s="2">
        <v>4</v>
      </c>
      <c r="N2780" t="s">
        <v>8587</v>
      </c>
      <c r="O2780" s="8">
        <f t="shared" si="86"/>
        <v>12.483333333337214</v>
      </c>
      <c r="P2780" t="str">
        <f t="shared" si="87"/>
        <v>Yes</v>
      </c>
    </row>
    <row r="2781" spans="1:16" x14ac:dyDescent="0.25">
      <c r="A2781" s="2" t="s">
        <v>7474</v>
      </c>
      <c r="B2781" s="4">
        <v>46249.413888888892</v>
      </c>
      <c r="C2781" s="2" t="s">
        <v>28</v>
      </c>
      <c r="D2781" s="2" t="s">
        <v>100</v>
      </c>
      <c r="E2781" s="2" t="s">
        <v>79</v>
      </c>
      <c r="F2781" s="2" t="s">
        <v>113</v>
      </c>
      <c r="G2781" s="2" t="s">
        <v>31</v>
      </c>
      <c r="H2781" s="2" t="s">
        <v>74</v>
      </c>
      <c r="I2781" s="2">
        <v>8</v>
      </c>
      <c r="J2781" s="2" t="s">
        <v>149</v>
      </c>
      <c r="K2781" s="4" t="s">
        <v>8590</v>
      </c>
      <c r="L2781" s="2" t="s">
        <v>24</v>
      </c>
      <c r="M2781" s="2"/>
      <c r="N2781" t="s">
        <v>8582</v>
      </c>
      <c r="O2781" s="8" t="str">
        <f t="shared" si="86"/>
        <v/>
      </c>
      <c r="P2781" t="str">
        <f t="shared" si="87"/>
        <v>N/A</v>
      </c>
    </row>
    <row r="2782" spans="1:16" x14ac:dyDescent="0.25">
      <c r="A2782" s="2" t="s">
        <v>7476</v>
      </c>
      <c r="B2782" s="4">
        <v>46142.901388888888</v>
      </c>
      <c r="C2782" s="2" t="s">
        <v>16</v>
      </c>
      <c r="D2782" s="2" t="s">
        <v>17</v>
      </c>
      <c r="E2782" s="2" t="s">
        <v>148</v>
      </c>
      <c r="F2782" s="2" t="s">
        <v>113</v>
      </c>
      <c r="G2782" s="2" t="s">
        <v>179</v>
      </c>
      <c r="H2782" s="2" t="s">
        <v>21</v>
      </c>
      <c r="I2782" s="2">
        <v>24</v>
      </c>
      <c r="J2782" s="2" t="s">
        <v>75</v>
      </c>
      <c r="K2782" s="4">
        <v>46143.765277777777</v>
      </c>
      <c r="L2782" s="2" t="s">
        <v>24</v>
      </c>
      <c r="M2782" s="2">
        <v>4</v>
      </c>
      <c r="N2782" t="s">
        <v>8585</v>
      </c>
      <c r="O2782" s="8">
        <f t="shared" si="86"/>
        <v>20.733333333337214</v>
      </c>
      <c r="P2782" t="str">
        <f t="shared" si="87"/>
        <v>N/A</v>
      </c>
    </row>
    <row r="2783" spans="1:16" x14ac:dyDescent="0.25">
      <c r="A2783" s="2" t="s">
        <v>7479</v>
      </c>
      <c r="B2783" s="4">
        <v>46165.874305555553</v>
      </c>
      <c r="C2783" s="2" t="s">
        <v>16</v>
      </c>
      <c r="D2783" s="2" t="s">
        <v>84</v>
      </c>
      <c r="E2783" s="2" t="s">
        <v>18</v>
      </c>
      <c r="F2783" s="2" t="s">
        <v>96</v>
      </c>
      <c r="G2783" s="2" t="s">
        <v>211</v>
      </c>
      <c r="H2783" s="2" t="s">
        <v>21</v>
      </c>
      <c r="I2783" s="2">
        <v>24</v>
      </c>
      <c r="J2783" s="2" t="s">
        <v>106</v>
      </c>
      <c r="K2783" s="4">
        <v>46166.757638888892</v>
      </c>
      <c r="L2783" s="2" t="s">
        <v>24</v>
      </c>
      <c r="M2783" s="2">
        <v>5</v>
      </c>
      <c r="N2783" t="s">
        <v>8584</v>
      </c>
      <c r="O2783" s="8">
        <f t="shared" si="86"/>
        <v>21.200000000128057</v>
      </c>
      <c r="P2783" t="str">
        <f t="shared" si="87"/>
        <v>Yes</v>
      </c>
    </row>
    <row r="2784" spans="1:16" x14ac:dyDescent="0.25">
      <c r="A2784" s="2" t="s">
        <v>7482</v>
      </c>
      <c r="B2784" s="4">
        <v>46173.771527777775</v>
      </c>
      <c r="C2784" s="2" t="s">
        <v>67</v>
      </c>
      <c r="D2784" s="2" t="s">
        <v>95</v>
      </c>
      <c r="E2784" s="2" t="s">
        <v>38</v>
      </c>
      <c r="F2784" s="2" t="s">
        <v>30</v>
      </c>
      <c r="G2784" s="2" t="s">
        <v>211</v>
      </c>
      <c r="H2784" s="2" t="s">
        <v>32</v>
      </c>
      <c r="I2784" s="2">
        <v>48</v>
      </c>
      <c r="J2784" s="2" t="s">
        <v>106</v>
      </c>
      <c r="K2784" s="4">
        <v>46175.042361111111</v>
      </c>
      <c r="L2784" s="2" t="s">
        <v>24</v>
      </c>
      <c r="M2784" s="2">
        <v>2</v>
      </c>
      <c r="N2784" t="s">
        <v>8584</v>
      </c>
      <c r="O2784" s="8">
        <f t="shared" si="86"/>
        <v>30.500000000058208</v>
      </c>
      <c r="P2784" t="str">
        <f t="shared" si="87"/>
        <v>Yes</v>
      </c>
    </row>
    <row r="2785" spans="1:16" x14ac:dyDescent="0.25">
      <c r="A2785" s="2" t="s">
        <v>7485</v>
      </c>
      <c r="B2785" s="4">
        <v>46224.496527777781</v>
      </c>
      <c r="C2785" s="2" t="s">
        <v>53</v>
      </c>
      <c r="D2785" s="2" t="s">
        <v>61</v>
      </c>
      <c r="E2785" s="2" t="s">
        <v>148</v>
      </c>
      <c r="F2785" s="2" t="s">
        <v>30</v>
      </c>
      <c r="G2785" s="2" t="s">
        <v>211</v>
      </c>
      <c r="H2785" s="2" t="s">
        <v>80</v>
      </c>
      <c r="I2785" s="2">
        <v>4</v>
      </c>
      <c r="J2785" s="2" t="s">
        <v>75</v>
      </c>
      <c r="K2785" s="4" t="s">
        <v>8590</v>
      </c>
      <c r="L2785" s="2" t="s">
        <v>24</v>
      </c>
      <c r="M2785" s="2">
        <v>2</v>
      </c>
      <c r="N2785" t="s">
        <v>8586</v>
      </c>
      <c r="O2785" s="8" t="str">
        <f t="shared" si="86"/>
        <v/>
      </c>
      <c r="P2785" t="str">
        <f t="shared" si="87"/>
        <v>N/A</v>
      </c>
    </row>
    <row r="2786" spans="1:16" x14ac:dyDescent="0.25">
      <c r="A2786" s="2" t="s">
        <v>7487</v>
      </c>
      <c r="B2786" s="4">
        <v>46127.818055555559</v>
      </c>
      <c r="C2786" s="2" t="s">
        <v>28</v>
      </c>
      <c r="D2786" s="2" t="s">
        <v>37</v>
      </c>
      <c r="E2786" s="2" t="s">
        <v>90</v>
      </c>
      <c r="F2786" s="2" t="s">
        <v>30</v>
      </c>
      <c r="G2786" s="2" t="s">
        <v>110</v>
      </c>
      <c r="H2786" s="2" t="s">
        <v>74</v>
      </c>
      <c r="I2786" s="2">
        <v>8</v>
      </c>
      <c r="J2786" s="2" t="s">
        <v>75</v>
      </c>
      <c r="K2786" s="4">
        <v>46127.899305555555</v>
      </c>
      <c r="L2786" s="2" t="s">
        <v>24</v>
      </c>
      <c r="M2786" s="2">
        <v>2</v>
      </c>
      <c r="N2786" t="s">
        <v>8586</v>
      </c>
      <c r="O2786" s="8">
        <f t="shared" si="86"/>
        <v>1.9499999998952262</v>
      </c>
      <c r="P2786" t="str">
        <f t="shared" si="87"/>
        <v>N/A</v>
      </c>
    </row>
    <row r="2787" spans="1:16" x14ac:dyDescent="0.25">
      <c r="A2787" s="2" t="s">
        <v>7490</v>
      </c>
      <c r="B2787" s="4">
        <v>46202.760416666664</v>
      </c>
      <c r="C2787" s="2" t="s">
        <v>67</v>
      </c>
      <c r="D2787" s="2" t="s">
        <v>95</v>
      </c>
      <c r="E2787" s="2" t="s">
        <v>85</v>
      </c>
      <c r="F2787" s="2" t="s">
        <v>30</v>
      </c>
      <c r="G2787" s="2" t="s">
        <v>211</v>
      </c>
      <c r="H2787" s="2" t="s">
        <v>21</v>
      </c>
      <c r="I2787" s="2">
        <v>24</v>
      </c>
      <c r="J2787" s="2" t="s">
        <v>106</v>
      </c>
      <c r="K2787" s="4">
        <v>46204.411805555559</v>
      </c>
      <c r="L2787" s="2" t="s">
        <v>24</v>
      </c>
      <c r="M2787" s="2">
        <v>3</v>
      </c>
      <c r="N2787" t="s">
        <v>8589</v>
      </c>
      <c r="O2787" s="8">
        <f t="shared" si="86"/>
        <v>39.633333333476912</v>
      </c>
      <c r="P2787" t="str">
        <f t="shared" si="87"/>
        <v>No</v>
      </c>
    </row>
    <row r="2788" spans="1:16" x14ac:dyDescent="0.25">
      <c r="A2788" s="2" t="s">
        <v>7493</v>
      </c>
      <c r="B2788" s="4">
        <v>46188.712500000001</v>
      </c>
      <c r="C2788" s="2" t="s">
        <v>53</v>
      </c>
      <c r="D2788" s="2" t="s">
        <v>54</v>
      </c>
      <c r="E2788" s="2" t="s">
        <v>38</v>
      </c>
      <c r="F2788" s="2" t="s">
        <v>30</v>
      </c>
      <c r="G2788" s="2" t="s">
        <v>179</v>
      </c>
      <c r="H2788" s="2" t="s">
        <v>32</v>
      </c>
      <c r="I2788" s="2">
        <v>48</v>
      </c>
      <c r="J2788" s="2" t="s">
        <v>106</v>
      </c>
      <c r="K2788" s="4">
        <v>46189.742361111108</v>
      </c>
      <c r="L2788" s="2" t="s">
        <v>24</v>
      </c>
      <c r="M2788" s="2"/>
      <c r="N2788" t="s">
        <v>8586</v>
      </c>
      <c r="O2788" s="8">
        <f t="shared" si="86"/>
        <v>24.716666666558012</v>
      </c>
      <c r="P2788" t="str">
        <f t="shared" si="87"/>
        <v>Yes</v>
      </c>
    </row>
    <row r="2789" spans="1:16" x14ac:dyDescent="0.25">
      <c r="A2789" s="2" t="s">
        <v>7496</v>
      </c>
      <c r="B2789" s="4">
        <v>46131.623611111114</v>
      </c>
      <c r="C2789" s="2" t="s">
        <v>53</v>
      </c>
      <c r="D2789" s="2" t="s">
        <v>61</v>
      </c>
      <c r="E2789" s="2" t="s">
        <v>90</v>
      </c>
      <c r="F2789" s="2" t="s">
        <v>55</v>
      </c>
      <c r="G2789" s="2" t="s">
        <v>110</v>
      </c>
      <c r="H2789" s="2" t="s">
        <v>32</v>
      </c>
      <c r="I2789" s="2">
        <v>48</v>
      </c>
      <c r="J2789" s="2" t="s">
        <v>106</v>
      </c>
      <c r="K2789" s="4">
        <v>46131.720833333333</v>
      </c>
      <c r="L2789" s="2" t="s">
        <v>24</v>
      </c>
      <c r="M2789" s="2">
        <v>2</v>
      </c>
      <c r="N2789" t="s">
        <v>8589</v>
      </c>
      <c r="O2789" s="8">
        <f t="shared" si="86"/>
        <v>2.3333333332557231</v>
      </c>
      <c r="P2789" t="str">
        <f t="shared" si="87"/>
        <v>Yes</v>
      </c>
    </row>
    <row r="2790" spans="1:16" x14ac:dyDescent="0.25">
      <c r="A2790" s="2" t="s">
        <v>7499</v>
      </c>
      <c r="B2790" s="4">
        <v>46111.604166666664</v>
      </c>
      <c r="C2790" s="2" t="s">
        <v>28</v>
      </c>
      <c r="D2790" s="2" t="s">
        <v>37</v>
      </c>
      <c r="E2790" s="2" t="s">
        <v>85</v>
      </c>
      <c r="F2790" s="2" t="s">
        <v>113</v>
      </c>
      <c r="G2790" s="2" t="s">
        <v>179</v>
      </c>
      <c r="H2790" s="2" t="s">
        <v>21</v>
      </c>
      <c r="I2790" s="2">
        <v>24</v>
      </c>
      <c r="J2790" s="2" t="s">
        <v>75</v>
      </c>
      <c r="K2790" s="4">
        <v>46111.95208333333</v>
      </c>
      <c r="L2790" s="2" t="s">
        <v>24</v>
      </c>
      <c r="M2790" s="2">
        <v>4</v>
      </c>
      <c r="N2790" t="s">
        <v>8587</v>
      </c>
      <c r="O2790" s="8">
        <f t="shared" si="86"/>
        <v>8.3499999999767169</v>
      </c>
      <c r="P2790" t="str">
        <f t="shared" si="87"/>
        <v>N/A</v>
      </c>
    </row>
    <row r="2791" spans="1:16" x14ac:dyDescent="0.25">
      <c r="A2791" s="2" t="s">
        <v>7502</v>
      </c>
      <c r="B2791" s="4">
        <v>46044.115972222222</v>
      </c>
      <c r="C2791" s="2" t="s">
        <v>67</v>
      </c>
      <c r="D2791" s="2" t="s">
        <v>68</v>
      </c>
      <c r="E2791" s="2" t="s">
        <v>46</v>
      </c>
      <c r="F2791" s="2" t="s">
        <v>113</v>
      </c>
      <c r="G2791" s="2" t="s">
        <v>179</v>
      </c>
      <c r="H2791" s="2" t="s">
        <v>74</v>
      </c>
      <c r="I2791" s="2">
        <v>8</v>
      </c>
      <c r="J2791" s="2" t="s">
        <v>106</v>
      </c>
      <c r="K2791" s="4">
        <v>46044.402083333334</v>
      </c>
      <c r="L2791" s="2" t="s">
        <v>24</v>
      </c>
      <c r="M2791" s="2">
        <v>3</v>
      </c>
      <c r="N2791" t="s">
        <v>8586</v>
      </c>
      <c r="O2791" s="8">
        <f t="shared" si="86"/>
        <v>6.8666666666977108</v>
      </c>
      <c r="P2791" t="str">
        <f t="shared" si="87"/>
        <v>Yes</v>
      </c>
    </row>
    <row r="2792" spans="1:16" x14ac:dyDescent="0.25">
      <c r="A2792" s="2" t="s">
        <v>7505</v>
      </c>
      <c r="B2792" s="4">
        <v>46054.37222222222</v>
      </c>
      <c r="C2792" s="2" t="s">
        <v>28</v>
      </c>
      <c r="D2792" s="2" t="s">
        <v>100</v>
      </c>
      <c r="E2792" s="2" t="s">
        <v>38</v>
      </c>
      <c r="F2792" s="2" t="s">
        <v>55</v>
      </c>
      <c r="G2792" s="2" t="s">
        <v>211</v>
      </c>
      <c r="H2792" s="2" t="s">
        <v>32</v>
      </c>
      <c r="I2792" s="2">
        <v>48</v>
      </c>
      <c r="J2792" s="2" t="s">
        <v>106</v>
      </c>
      <c r="K2792" s="4">
        <v>46055.915972222225</v>
      </c>
      <c r="L2792" s="2" t="s">
        <v>92</v>
      </c>
      <c r="M2792" s="2"/>
      <c r="N2792" t="s">
        <v>8583</v>
      </c>
      <c r="O2792" s="8">
        <f t="shared" si="86"/>
        <v>37.050000000104774</v>
      </c>
      <c r="P2792" t="str">
        <f t="shared" si="87"/>
        <v>Yes</v>
      </c>
    </row>
    <row r="2793" spans="1:16" x14ac:dyDescent="0.25">
      <c r="A2793" s="2" t="s">
        <v>7508</v>
      </c>
      <c r="B2793" s="4">
        <v>46094.629166666666</v>
      </c>
      <c r="C2793" s="2" t="s">
        <v>28</v>
      </c>
      <c r="D2793" s="2" t="s">
        <v>100</v>
      </c>
      <c r="E2793" s="2" t="s">
        <v>148</v>
      </c>
      <c r="F2793" s="2" t="s">
        <v>113</v>
      </c>
      <c r="G2793" s="2" t="s">
        <v>183</v>
      </c>
      <c r="H2793" s="2" t="s">
        <v>80</v>
      </c>
      <c r="I2793" s="2">
        <v>4</v>
      </c>
      <c r="J2793" s="2" t="s">
        <v>75</v>
      </c>
      <c r="K2793" s="4">
        <v>46094.65902777778</v>
      </c>
      <c r="L2793" s="2" t="s">
        <v>24</v>
      </c>
      <c r="M2793" s="2"/>
      <c r="N2793" t="s">
        <v>8586</v>
      </c>
      <c r="O2793" s="8">
        <f t="shared" si="86"/>
        <v>0.71666666673263535</v>
      </c>
      <c r="P2793" t="str">
        <f t="shared" si="87"/>
        <v>N/A</v>
      </c>
    </row>
    <row r="2794" spans="1:16" x14ac:dyDescent="0.25">
      <c r="A2794" s="2" t="s">
        <v>7511</v>
      </c>
      <c r="B2794" s="4">
        <v>46064.826388888891</v>
      </c>
      <c r="C2794" s="2" t="s">
        <v>53</v>
      </c>
      <c r="D2794" s="2" t="s">
        <v>61</v>
      </c>
      <c r="E2794" s="2" t="s">
        <v>148</v>
      </c>
      <c r="F2794" s="2" t="s">
        <v>30</v>
      </c>
      <c r="G2794" s="2" t="s">
        <v>101</v>
      </c>
      <c r="H2794" s="2" t="s">
        <v>80</v>
      </c>
      <c r="I2794" s="2">
        <v>4</v>
      </c>
      <c r="J2794" s="2" t="s">
        <v>75</v>
      </c>
      <c r="K2794" s="4">
        <v>46065.25</v>
      </c>
      <c r="L2794" s="2" t="s">
        <v>24</v>
      </c>
      <c r="M2794" s="2"/>
      <c r="N2794" t="s">
        <v>8587</v>
      </c>
      <c r="O2794" s="8">
        <f t="shared" si="86"/>
        <v>10.166666666627862</v>
      </c>
      <c r="P2794" t="str">
        <f t="shared" si="87"/>
        <v>N/A</v>
      </c>
    </row>
    <row r="2795" spans="1:16" x14ac:dyDescent="0.25">
      <c r="A2795" s="2" t="s">
        <v>7514</v>
      </c>
      <c r="B2795" s="4">
        <v>46026.321527777778</v>
      </c>
      <c r="C2795" s="2" t="s">
        <v>28</v>
      </c>
      <c r="D2795" s="2" t="s">
        <v>37</v>
      </c>
      <c r="E2795" s="2" t="s">
        <v>46</v>
      </c>
      <c r="F2795" s="2" t="s">
        <v>113</v>
      </c>
      <c r="G2795" s="2" t="s">
        <v>211</v>
      </c>
      <c r="H2795" s="2" t="s">
        <v>21</v>
      </c>
      <c r="I2795" s="2">
        <v>24</v>
      </c>
      <c r="J2795" s="2" t="s">
        <v>106</v>
      </c>
      <c r="K2795" s="4">
        <v>46026.990972222222</v>
      </c>
      <c r="L2795" s="2" t="s">
        <v>24</v>
      </c>
      <c r="M2795" s="2">
        <v>1</v>
      </c>
      <c r="N2795" t="s">
        <v>8588</v>
      </c>
      <c r="O2795" s="8">
        <f t="shared" si="86"/>
        <v>16.066666666651145</v>
      </c>
      <c r="P2795" t="str">
        <f t="shared" si="87"/>
        <v>Yes</v>
      </c>
    </row>
    <row r="2796" spans="1:16" x14ac:dyDescent="0.25">
      <c r="A2796" s="2" t="s">
        <v>7517</v>
      </c>
      <c r="B2796" s="4">
        <v>46249.897916666669</v>
      </c>
      <c r="C2796" s="2" t="s">
        <v>53</v>
      </c>
      <c r="D2796" s="2" t="s">
        <v>61</v>
      </c>
      <c r="E2796" s="2" t="s">
        <v>46</v>
      </c>
      <c r="F2796" s="2" t="s">
        <v>113</v>
      </c>
      <c r="G2796" s="2" t="s">
        <v>183</v>
      </c>
      <c r="H2796" s="2" t="s">
        <v>21</v>
      </c>
      <c r="I2796" s="2">
        <v>24</v>
      </c>
      <c r="J2796" s="2" t="s">
        <v>11</v>
      </c>
      <c r="K2796" s="4" t="s">
        <v>8590</v>
      </c>
      <c r="L2796" s="2" t="s">
        <v>92</v>
      </c>
      <c r="M2796" s="2"/>
      <c r="N2796" t="s">
        <v>8589</v>
      </c>
      <c r="O2796" s="8" t="str">
        <f t="shared" si="86"/>
        <v/>
      </c>
      <c r="P2796" t="str">
        <f t="shared" si="87"/>
        <v>N/A</v>
      </c>
    </row>
    <row r="2797" spans="1:16" x14ac:dyDescent="0.25">
      <c r="A2797" s="2" t="s">
        <v>7519</v>
      </c>
      <c r="B2797" s="4">
        <v>46104.999305555553</v>
      </c>
      <c r="C2797" s="2" t="s">
        <v>16</v>
      </c>
      <c r="D2797" s="2" t="s">
        <v>84</v>
      </c>
      <c r="E2797" s="2" t="s">
        <v>85</v>
      </c>
      <c r="F2797" s="2" t="s">
        <v>96</v>
      </c>
      <c r="G2797" s="2" t="s">
        <v>211</v>
      </c>
      <c r="H2797" s="2" t="s">
        <v>74</v>
      </c>
      <c r="I2797" s="2">
        <v>8</v>
      </c>
      <c r="J2797" s="2" t="s">
        <v>75</v>
      </c>
      <c r="K2797" s="4">
        <v>46105.993750000001</v>
      </c>
      <c r="L2797" s="2" t="s">
        <v>24</v>
      </c>
      <c r="M2797" s="2">
        <v>5</v>
      </c>
      <c r="N2797" t="s">
        <v>8587</v>
      </c>
      <c r="O2797" s="8">
        <f t="shared" si="86"/>
        <v>23.866666666755918</v>
      </c>
      <c r="P2797" t="str">
        <f t="shared" si="87"/>
        <v>N/A</v>
      </c>
    </row>
    <row r="2798" spans="1:16" x14ac:dyDescent="0.25">
      <c r="A2798" s="2" t="s">
        <v>7522</v>
      </c>
      <c r="B2798" s="4">
        <v>46030.880555555559</v>
      </c>
      <c r="C2798" s="2" t="s">
        <v>67</v>
      </c>
      <c r="D2798" s="2" t="s">
        <v>68</v>
      </c>
      <c r="E2798" s="2" t="s">
        <v>148</v>
      </c>
      <c r="F2798" s="2" t="s">
        <v>55</v>
      </c>
      <c r="G2798" s="2" t="s">
        <v>179</v>
      </c>
      <c r="H2798" s="2" t="s">
        <v>21</v>
      </c>
      <c r="I2798" s="2">
        <v>24</v>
      </c>
      <c r="J2798" s="2" t="s">
        <v>106</v>
      </c>
      <c r="K2798" s="4" t="s">
        <v>8590</v>
      </c>
      <c r="L2798" s="2" t="s">
        <v>24</v>
      </c>
      <c r="M2798" s="2">
        <v>5</v>
      </c>
      <c r="N2798" t="s">
        <v>8589</v>
      </c>
      <c r="O2798" s="8" t="str">
        <f t="shared" si="86"/>
        <v/>
      </c>
      <c r="P2798" t="str">
        <f t="shared" si="87"/>
        <v>No</v>
      </c>
    </row>
    <row r="2799" spans="1:16" x14ac:dyDescent="0.25">
      <c r="A2799" s="2" t="s">
        <v>7524</v>
      </c>
      <c r="B2799" s="4">
        <v>46143.893055555556</v>
      </c>
      <c r="C2799" s="2" t="s">
        <v>16</v>
      </c>
      <c r="D2799" s="2" t="s">
        <v>17</v>
      </c>
      <c r="E2799" s="2" t="s">
        <v>90</v>
      </c>
      <c r="F2799" s="2" t="s">
        <v>96</v>
      </c>
      <c r="G2799" s="2" t="s">
        <v>31</v>
      </c>
      <c r="H2799" s="2" t="s">
        <v>80</v>
      </c>
      <c r="I2799" s="2">
        <v>4</v>
      </c>
      <c r="J2799" s="2" t="s">
        <v>75</v>
      </c>
      <c r="K2799" s="4">
        <v>46144.166666666664</v>
      </c>
      <c r="L2799" s="2" t="s">
        <v>24</v>
      </c>
      <c r="M2799" s="2">
        <v>1</v>
      </c>
      <c r="N2799" t="s">
        <v>8587</v>
      </c>
      <c r="O2799" s="8">
        <f t="shared" si="86"/>
        <v>6.566666666592937</v>
      </c>
      <c r="P2799" t="str">
        <f t="shared" si="87"/>
        <v>N/A</v>
      </c>
    </row>
    <row r="2800" spans="1:16" x14ac:dyDescent="0.25">
      <c r="A2800" s="2" t="s">
        <v>7527</v>
      </c>
      <c r="B2800" s="4">
        <v>46036.297222222223</v>
      </c>
      <c r="C2800" s="2" t="s">
        <v>53</v>
      </c>
      <c r="D2800" s="2" t="s">
        <v>61</v>
      </c>
      <c r="E2800" s="2" t="s">
        <v>79</v>
      </c>
      <c r="F2800" s="2" t="s">
        <v>113</v>
      </c>
      <c r="G2800" s="2" t="s">
        <v>183</v>
      </c>
      <c r="H2800" s="2" t="s">
        <v>74</v>
      </c>
      <c r="I2800" s="2">
        <v>8</v>
      </c>
      <c r="J2800" s="2" t="s">
        <v>106</v>
      </c>
      <c r="K2800" s="4">
        <v>46036.925694444442</v>
      </c>
      <c r="L2800" s="2" t="s">
        <v>24</v>
      </c>
      <c r="M2800" s="2">
        <v>5</v>
      </c>
      <c r="N2800" t="s">
        <v>8589</v>
      </c>
      <c r="O2800" s="8">
        <f t="shared" si="86"/>
        <v>15.083333333255723</v>
      </c>
      <c r="P2800" t="str">
        <f t="shared" si="87"/>
        <v>No</v>
      </c>
    </row>
    <row r="2801" spans="1:16" x14ac:dyDescent="0.25">
      <c r="A2801" s="2" t="s">
        <v>7529</v>
      </c>
      <c r="B2801" s="4">
        <v>46197.511111111111</v>
      </c>
      <c r="C2801" s="2" t="s">
        <v>53</v>
      </c>
      <c r="D2801" s="2" t="s">
        <v>54</v>
      </c>
      <c r="E2801" s="2" t="s">
        <v>79</v>
      </c>
      <c r="F2801" s="2" t="s">
        <v>113</v>
      </c>
      <c r="G2801" s="2" t="s">
        <v>110</v>
      </c>
      <c r="H2801" s="2" t="s">
        <v>32</v>
      </c>
      <c r="I2801" s="2">
        <v>48</v>
      </c>
      <c r="J2801" s="2" t="s">
        <v>75</v>
      </c>
      <c r="K2801" s="4">
        <v>46200.540277777778</v>
      </c>
      <c r="L2801" s="2" t="s">
        <v>24</v>
      </c>
      <c r="M2801" s="2">
        <v>4</v>
      </c>
      <c r="N2801" t="s">
        <v>8585</v>
      </c>
      <c r="O2801" s="8">
        <f t="shared" si="86"/>
        <v>72.700000000011642</v>
      </c>
      <c r="P2801" t="str">
        <f t="shared" si="87"/>
        <v>N/A</v>
      </c>
    </row>
    <row r="2802" spans="1:16" x14ac:dyDescent="0.25">
      <c r="A2802" s="2" t="s">
        <v>7532</v>
      </c>
      <c r="B2802" s="4">
        <v>46155.972916666666</v>
      </c>
      <c r="C2802" s="2" t="s">
        <v>28</v>
      </c>
      <c r="D2802" s="2" t="s">
        <v>100</v>
      </c>
      <c r="E2802" s="2" t="s">
        <v>79</v>
      </c>
      <c r="F2802" s="2" t="s">
        <v>96</v>
      </c>
      <c r="G2802" s="2" t="s">
        <v>179</v>
      </c>
      <c r="H2802" s="2" t="s">
        <v>80</v>
      </c>
      <c r="I2802" s="2">
        <v>4</v>
      </c>
      <c r="J2802" s="2" t="s">
        <v>287</v>
      </c>
      <c r="K2802" s="4" t="s">
        <v>8590</v>
      </c>
      <c r="L2802" s="2" t="s">
        <v>24</v>
      </c>
      <c r="M2802" s="2"/>
      <c r="N2802" t="s">
        <v>8589</v>
      </c>
      <c r="O2802" s="8" t="str">
        <f t="shared" si="86"/>
        <v/>
      </c>
      <c r="P2802" t="str">
        <f t="shared" si="87"/>
        <v>N/A</v>
      </c>
    </row>
    <row r="2803" spans="1:16" x14ac:dyDescent="0.25">
      <c r="A2803" s="2" t="s">
        <v>7534</v>
      </c>
      <c r="B2803" s="4">
        <v>46199.606944444444</v>
      </c>
      <c r="C2803" s="2" t="s">
        <v>28</v>
      </c>
      <c r="D2803" s="2" t="s">
        <v>100</v>
      </c>
      <c r="E2803" s="2" t="s">
        <v>90</v>
      </c>
      <c r="F2803" s="2" t="s">
        <v>55</v>
      </c>
      <c r="G2803" s="2" t="s">
        <v>101</v>
      </c>
      <c r="H2803" s="2" t="s">
        <v>21</v>
      </c>
      <c r="I2803" s="2">
        <v>24</v>
      </c>
      <c r="J2803" s="2" t="s">
        <v>75</v>
      </c>
      <c r="K2803" s="4">
        <v>46200.375</v>
      </c>
      <c r="L2803" s="2" t="s">
        <v>24</v>
      </c>
      <c r="M2803" s="2"/>
      <c r="N2803" t="s">
        <v>8581</v>
      </c>
      <c r="O2803" s="8">
        <f t="shared" si="86"/>
        <v>18.433333333348855</v>
      </c>
      <c r="P2803" t="str">
        <f t="shared" si="87"/>
        <v>N/A</v>
      </c>
    </row>
    <row r="2804" spans="1:16" x14ac:dyDescent="0.25">
      <c r="A2804" s="2" t="s">
        <v>7537</v>
      </c>
      <c r="B2804" s="4">
        <v>46146.359027777777</v>
      </c>
      <c r="C2804" s="2" t="s">
        <v>53</v>
      </c>
      <c r="D2804" s="2" t="s">
        <v>54</v>
      </c>
      <c r="E2804" s="2" t="s">
        <v>148</v>
      </c>
      <c r="F2804" s="2" t="s">
        <v>96</v>
      </c>
      <c r="G2804" s="2" t="s">
        <v>211</v>
      </c>
      <c r="H2804" s="2" t="s">
        <v>32</v>
      </c>
      <c r="I2804" s="2">
        <v>48</v>
      </c>
      <c r="J2804" s="2" t="s">
        <v>75</v>
      </c>
      <c r="K2804" s="4" t="s">
        <v>8590</v>
      </c>
      <c r="L2804" s="2" t="s">
        <v>24</v>
      </c>
      <c r="M2804" s="2">
        <v>1</v>
      </c>
      <c r="N2804" t="s">
        <v>8583</v>
      </c>
      <c r="O2804" s="8" t="str">
        <f t="shared" si="86"/>
        <v/>
      </c>
      <c r="P2804" t="str">
        <f t="shared" si="87"/>
        <v>N/A</v>
      </c>
    </row>
    <row r="2805" spans="1:16" x14ac:dyDescent="0.25">
      <c r="A2805" s="2" t="s">
        <v>7539</v>
      </c>
      <c r="B2805" s="4">
        <v>46073.62777777778</v>
      </c>
      <c r="C2805" s="2" t="s">
        <v>16</v>
      </c>
      <c r="D2805" s="2" t="s">
        <v>17</v>
      </c>
      <c r="E2805" s="2" t="s">
        <v>79</v>
      </c>
      <c r="F2805" s="2" t="s">
        <v>96</v>
      </c>
      <c r="G2805" s="2" t="s">
        <v>101</v>
      </c>
      <c r="H2805" s="2" t="s">
        <v>21</v>
      </c>
      <c r="I2805" s="2">
        <v>24</v>
      </c>
      <c r="J2805" s="2" t="s">
        <v>106</v>
      </c>
      <c r="K2805" s="4">
        <v>46073.780555555553</v>
      </c>
      <c r="L2805" s="2" t="s">
        <v>24</v>
      </c>
      <c r="M2805" s="2"/>
      <c r="N2805" t="s">
        <v>8586</v>
      </c>
      <c r="O2805" s="8">
        <f t="shared" si="86"/>
        <v>3.6666666665696539</v>
      </c>
      <c r="P2805" t="str">
        <f t="shared" si="87"/>
        <v>Yes</v>
      </c>
    </row>
    <row r="2806" spans="1:16" x14ac:dyDescent="0.25">
      <c r="A2806" s="2" t="s">
        <v>7542</v>
      </c>
      <c r="B2806" s="4">
        <v>46256.302083333336</v>
      </c>
      <c r="C2806" s="2" t="s">
        <v>67</v>
      </c>
      <c r="D2806" s="2" t="s">
        <v>68</v>
      </c>
      <c r="E2806" s="2" t="s">
        <v>46</v>
      </c>
      <c r="F2806" s="2" t="s">
        <v>55</v>
      </c>
      <c r="G2806" s="2" t="s">
        <v>101</v>
      </c>
      <c r="H2806" s="2" t="s">
        <v>32</v>
      </c>
      <c r="I2806" s="2">
        <v>48</v>
      </c>
      <c r="J2806" s="2" t="s">
        <v>106</v>
      </c>
      <c r="K2806" s="4">
        <v>46257.527083333334</v>
      </c>
      <c r="L2806" s="2" t="s">
        <v>24</v>
      </c>
      <c r="M2806" s="2">
        <v>5</v>
      </c>
      <c r="N2806" t="s">
        <v>8583</v>
      </c>
      <c r="O2806" s="8">
        <f t="shared" si="86"/>
        <v>29.399999999965075</v>
      </c>
      <c r="P2806" t="str">
        <f t="shared" si="87"/>
        <v>Yes</v>
      </c>
    </row>
    <row r="2807" spans="1:16" x14ac:dyDescent="0.25">
      <c r="A2807" s="2" t="s">
        <v>7545</v>
      </c>
      <c r="B2807" s="4">
        <v>46026.563888888886</v>
      </c>
      <c r="C2807" s="2" t="s">
        <v>67</v>
      </c>
      <c r="D2807" s="2" t="s">
        <v>95</v>
      </c>
      <c r="E2807" s="2" t="s">
        <v>46</v>
      </c>
      <c r="F2807" s="2" t="s">
        <v>55</v>
      </c>
      <c r="G2807" s="2" t="s">
        <v>179</v>
      </c>
      <c r="H2807" s="2" t="s">
        <v>21</v>
      </c>
      <c r="I2807" s="2">
        <v>24</v>
      </c>
      <c r="J2807" s="2" t="s">
        <v>75</v>
      </c>
      <c r="K2807" s="4">
        <v>46026.71597222222</v>
      </c>
      <c r="L2807" s="2" t="s">
        <v>24</v>
      </c>
      <c r="M2807" s="2"/>
      <c r="N2807" t="s">
        <v>8586</v>
      </c>
      <c r="O2807" s="8">
        <f t="shared" si="86"/>
        <v>3.6500000000232831</v>
      </c>
      <c r="P2807" t="str">
        <f t="shared" si="87"/>
        <v>N/A</v>
      </c>
    </row>
    <row r="2808" spans="1:16" x14ac:dyDescent="0.25">
      <c r="A2808" s="2" t="s">
        <v>7548</v>
      </c>
      <c r="B2808" s="4">
        <v>46253.289583333331</v>
      </c>
      <c r="C2808" s="2" t="s">
        <v>67</v>
      </c>
      <c r="D2808" s="2" t="s">
        <v>95</v>
      </c>
      <c r="E2808" s="2" t="s">
        <v>46</v>
      </c>
      <c r="F2808" s="2" t="s">
        <v>96</v>
      </c>
      <c r="G2808" s="2" t="s">
        <v>31</v>
      </c>
      <c r="H2808" s="2" t="s">
        <v>21</v>
      </c>
      <c r="I2808" s="2">
        <v>24</v>
      </c>
      <c r="J2808" s="2" t="s">
        <v>149</v>
      </c>
      <c r="K2808" s="4" t="s">
        <v>8590</v>
      </c>
      <c r="L2808" s="2" t="s">
        <v>24</v>
      </c>
      <c r="M2808" s="2"/>
      <c r="N2808" t="s">
        <v>8583</v>
      </c>
      <c r="O2808" s="8" t="str">
        <f t="shared" si="86"/>
        <v/>
      </c>
      <c r="P2808" t="str">
        <f t="shared" si="87"/>
        <v>N/A</v>
      </c>
    </row>
    <row r="2809" spans="1:16" x14ac:dyDescent="0.25">
      <c r="A2809" s="2" t="s">
        <v>7550</v>
      </c>
      <c r="B2809" s="4">
        <v>46093.540972222225</v>
      </c>
      <c r="C2809" s="2" t="s">
        <v>53</v>
      </c>
      <c r="D2809" s="2" t="s">
        <v>54</v>
      </c>
      <c r="E2809" s="2" t="s">
        <v>148</v>
      </c>
      <c r="F2809" s="2" t="s">
        <v>55</v>
      </c>
      <c r="G2809" s="2" t="s">
        <v>183</v>
      </c>
      <c r="H2809" s="2" t="s">
        <v>74</v>
      </c>
      <c r="I2809" s="2">
        <v>8</v>
      </c>
      <c r="J2809" s="2" t="s">
        <v>149</v>
      </c>
      <c r="K2809" s="4" t="s">
        <v>8590</v>
      </c>
      <c r="L2809" s="2" t="s">
        <v>24</v>
      </c>
      <c r="M2809" s="2"/>
      <c r="N2809" t="s">
        <v>8581</v>
      </c>
      <c r="O2809" s="8" t="str">
        <f t="shared" si="86"/>
        <v/>
      </c>
      <c r="P2809" t="str">
        <f t="shared" si="87"/>
        <v>N/A</v>
      </c>
    </row>
    <row r="2810" spans="1:16" x14ac:dyDescent="0.25">
      <c r="A2810" s="2" t="s">
        <v>7552</v>
      </c>
      <c r="B2810" s="4">
        <v>46078.418749999997</v>
      </c>
      <c r="C2810" s="2" t="s">
        <v>67</v>
      </c>
      <c r="D2810" s="2" t="s">
        <v>68</v>
      </c>
      <c r="E2810" s="2" t="s">
        <v>46</v>
      </c>
      <c r="F2810" s="2" t="s">
        <v>113</v>
      </c>
      <c r="G2810" s="2" t="s">
        <v>31</v>
      </c>
      <c r="H2810" s="2" t="s">
        <v>32</v>
      </c>
      <c r="I2810" s="2">
        <v>48</v>
      </c>
      <c r="J2810" s="2" t="s">
        <v>149</v>
      </c>
      <c r="K2810" s="4" t="s">
        <v>8590</v>
      </c>
      <c r="L2810" s="2" t="s">
        <v>24</v>
      </c>
      <c r="M2810" s="2"/>
      <c r="N2810" t="s">
        <v>8582</v>
      </c>
      <c r="O2810" s="8" t="str">
        <f t="shared" si="86"/>
        <v/>
      </c>
      <c r="P2810" t="str">
        <f t="shared" si="87"/>
        <v>N/A</v>
      </c>
    </row>
    <row r="2811" spans="1:16" x14ac:dyDescent="0.25">
      <c r="A2811" s="2" t="s">
        <v>7554</v>
      </c>
      <c r="B2811" s="4">
        <v>46107.887499999997</v>
      </c>
      <c r="C2811" s="2" t="s">
        <v>53</v>
      </c>
      <c r="D2811" s="2" t="s">
        <v>61</v>
      </c>
      <c r="E2811" s="2" t="s">
        <v>85</v>
      </c>
      <c r="F2811" s="2" t="s">
        <v>96</v>
      </c>
      <c r="G2811" s="2" t="s">
        <v>101</v>
      </c>
      <c r="H2811" s="2" t="s">
        <v>32</v>
      </c>
      <c r="I2811" s="2">
        <v>48</v>
      </c>
      <c r="J2811" s="2" t="s">
        <v>106</v>
      </c>
      <c r="K2811" s="4">
        <v>46108.305555555555</v>
      </c>
      <c r="L2811" s="2" t="s">
        <v>24</v>
      </c>
      <c r="M2811" s="2">
        <v>2</v>
      </c>
      <c r="N2811" t="s">
        <v>8587</v>
      </c>
      <c r="O2811" s="8">
        <f t="shared" si="86"/>
        <v>10.03333333338378</v>
      </c>
      <c r="P2811" t="str">
        <f t="shared" si="87"/>
        <v>Yes</v>
      </c>
    </row>
    <row r="2812" spans="1:16" x14ac:dyDescent="0.25">
      <c r="A2812" s="2" t="s">
        <v>7557</v>
      </c>
      <c r="B2812" s="4">
        <v>46196.931250000001</v>
      </c>
      <c r="C2812" s="2" t="s">
        <v>16</v>
      </c>
      <c r="D2812" s="2" t="s">
        <v>84</v>
      </c>
      <c r="E2812" s="2" t="s">
        <v>85</v>
      </c>
      <c r="F2812" s="2" t="s">
        <v>30</v>
      </c>
      <c r="G2812" s="2" t="s">
        <v>110</v>
      </c>
      <c r="H2812" s="2" t="s">
        <v>74</v>
      </c>
      <c r="I2812" s="2">
        <v>8</v>
      </c>
      <c r="J2812" s="2" t="s">
        <v>106</v>
      </c>
      <c r="K2812" s="4" t="s">
        <v>8590</v>
      </c>
      <c r="L2812" s="2" t="s">
        <v>24</v>
      </c>
      <c r="M2812" s="2"/>
      <c r="N2812" t="s">
        <v>8582</v>
      </c>
      <c r="O2812" s="8" t="str">
        <f t="shared" si="86"/>
        <v/>
      </c>
      <c r="P2812" t="str">
        <f t="shared" si="87"/>
        <v>No</v>
      </c>
    </row>
    <row r="2813" spans="1:16" x14ac:dyDescent="0.25">
      <c r="A2813" s="2" t="s">
        <v>7559</v>
      </c>
      <c r="B2813" s="4">
        <v>46188.46597222222</v>
      </c>
      <c r="C2813" s="2" t="s">
        <v>53</v>
      </c>
      <c r="D2813" s="2" t="s">
        <v>54</v>
      </c>
      <c r="E2813" s="2" t="s">
        <v>46</v>
      </c>
      <c r="F2813" s="2" t="s">
        <v>96</v>
      </c>
      <c r="G2813" s="2" t="s">
        <v>110</v>
      </c>
      <c r="H2813" s="2" t="s">
        <v>74</v>
      </c>
      <c r="I2813" s="2">
        <v>8</v>
      </c>
      <c r="J2813" s="2" t="s">
        <v>106</v>
      </c>
      <c r="K2813" s="4">
        <v>46188.579861111109</v>
      </c>
      <c r="L2813" s="2" t="s">
        <v>24</v>
      </c>
      <c r="M2813" s="2"/>
      <c r="N2813" t="s">
        <v>8588</v>
      </c>
      <c r="O2813" s="8">
        <f t="shared" si="86"/>
        <v>2.7333333333372138</v>
      </c>
      <c r="P2813" t="str">
        <f t="shared" si="87"/>
        <v>Yes</v>
      </c>
    </row>
    <row r="2814" spans="1:16" x14ac:dyDescent="0.25">
      <c r="A2814" s="2" t="s">
        <v>7562</v>
      </c>
      <c r="B2814" s="4">
        <v>46128.268055555556</v>
      </c>
      <c r="C2814" s="2" t="s">
        <v>16</v>
      </c>
      <c r="D2814" s="2" t="s">
        <v>17</v>
      </c>
      <c r="E2814" s="2" t="s">
        <v>46</v>
      </c>
      <c r="F2814" s="2" t="s">
        <v>113</v>
      </c>
      <c r="G2814" s="2" t="s">
        <v>179</v>
      </c>
      <c r="H2814" s="2" t="s">
        <v>21</v>
      </c>
      <c r="I2814" s="2">
        <v>24</v>
      </c>
      <c r="J2814" s="2" t="s">
        <v>11</v>
      </c>
      <c r="K2814" s="4" t="s">
        <v>8590</v>
      </c>
      <c r="L2814" s="2" t="s">
        <v>92</v>
      </c>
      <c r="M2814" s="2"/>
      <c r="N2814" t="s">
        <v>8581</v>
      </c>
      <c r="O2814" s="8" t="str">
        <f t="shared" si="86"/>
        <v/>
      </c>
      <c r="P2814" t="str">
        <f t="shared" si="87"/>
        <v>N/A</v>
      </c>
    </row>
    <row r="2815" spans="1:16" x14ac:dyDescent="0.25">
      <c r="A2815" s="2" t="s">
        <v>7564</v>
      </c>
      <c r="B2815" s="4">
        <v>46089.466666666667</v>
      </c>
      <c r="C2815" s="2" t="s">
        <v>28</v>
      </c>
      <c r="D2815" s="2" t="s">
        <v>100</v>
      </c>
      <c r="E2815" s="2" t="s">
        <v>79</v>
      </c>
      <c r="F2815" s="2" t="s">
        <v>30</v>
      </c>
      <c r="G2815" s="2" t="s">
        <v>31</v>
      </c>
      <c r="H2815" s="2" t="s">
        <v>74</v>
      </c>
      <c r="I2815" s="2">
        <v>8</v>
      </c>
      <c r="J2815" s="2" t="s">
        <v>106</v>
      </c>
      <c r="K2815" s="4">
        <v>46089.552777777775</v>
      </c>
      <c r="L2815" s="2" t="s">
        <v>24</v>
      </c>
      <c r="M2815" s="2"/>
      <c r="N2815" t="s">
        <v>8581</v>
      </c>
      <c r="O2815" s="8">
        <f t="shared" si="86"/>
        <v>2.066666666592937</v>
      </c>
      <c r="P2815" t="str">
        <f t="shared" si="87"/>
        <v>Yes</v>
      </c>
    </row>
    <row r="2816" spans="1:16" x14ac:dyDescent="0.25">
      <c r="A2816" s="2" t="s">
        <v>7567</v>
      </c>
      <c r="B2816" s="4">
        <v>46237.566666666666</v>
      </c>
      <c r="C2816" s="2" t="s">
        <v>16</v>
      </c>
      <c r="D2816" s="2" t="s">
        <v>17</v>
      </c>
      <c r="E2816" s="2" t="s">
        <v>148</v>
      </c>
      <c r="F2816" s="2" t="s">
        <v>113</v>
      </c>
      <c r="G2816" s="2" t="s">
        <v>31</v>
      </c>
      <c r="H2816" s="2" t="s">
        <v>21</v>
      </c>
      <c r="I2816" s="2">
        <v>24</v>
      </c>
      <c r="J2816" s="2" t="s">
        <v>149</v>
      </c>
      <c r="K2816" s="4" t="s">
        <v>8590</v>
      </c>
      <c r="L2816" s="2" t="s">
        <v>24</v>
      </c>
      <c r="M2816" s="2"/>
      <c r="N2816" t="s">
        <v>8583</v>
      </c>
      <c r="O2816" s="8" t="str">
        <f t="shared" si="86"/>
        <v/>
      </c>
      <c r="P2816" t="str">
        <f t="shared" si="87"/>
        <v>N/A</v>
      </c>
    </row>
    <row r="2817" spans="1:16" x14ac:dyDescent="0.25">
      <c r="A2817" s="2" t="s">
        <v>7569</v>
      </c>
      <c r="B2817" s="4">
        <v>46244.27847222222</v>
      </c>
      <c r="C2817" s="2" t="s">
        <v>16</v>
      </c>
      <c r="D2817" s="2" t="s">
        <v>84</v>
      </c>
      <c r="E2817" s="2" t="s">
        <v>90</v>
      </c>
      <c r="F2817" s="2" t="s">
        <v>55</v>
      </c>
      <c r="G2817" s="2" t="s">
        <v>31</v>
      </c>
      <c r="H2817" s="2" t="s">
        <v>21</v>
      </c>
      <c r="I2817" s="2">
        <v>24</v>
      </c>
      <c r="J2817" s="2" t="s">
        <v>106</v>
      </c>
      <c r="K2817" s="4">
        <v>46244.908333333333</v>
      </c>
      <c r="L2817" s="2" t="s">
        <v>24</v>
      </c>
      <c r="M2817" s="2"/>
      <c r="N2817" t="s">
        <v>8581</v>
      </c>
      <c r="O2817" s="8">
        <f t="shared" si="86"/>
        <v>15.116666666697711</v>
      </c>
      <c r="P2817" t="str">
        <f t="shared" si="87"/>
        <v>Yes</v>
      </c>
    </row>
    <row r="2818" spans="1:16" x14ac:dyDescent="0.25">
      <c r="A2818" s="2" t="s">
        <v>7572</v>
      </c>
      <c r="B2818" s="4">
        <v>46039.443749999999</v>
      </c>
      <c r="C2818" s="2" t="s">
        <v>28</v>
      </c>
      <c r="D2818" s="2" t="s">
        <v>100</v>
      </c>
      <c r="E2818" s="2" t="s">
        <v>79</v>
      </c>
      <c r="F2818" s="2" t="s">
        <v>113</v>
      </c>
      <c r="G2818" s="2" t="s">
        <v>183</v>
      </c>
      <c r="H2818" s="2" t="s">
        <v>21</v>
      </c>
      <c r="I2818" s="2">
        <v>24</v>
      </c>
      <c r="J2818" s="2" t="s">
        <v>75</v>
      </c>
      <c r="K2818" s="4">
        <v>46040.193055555559</v>
      </c>
      <c r="L2818" s="2" t="s">
        <v>24</v>
      </c>
      <c r="M2818" s="2">
        <v>1</v>
      </c>
      <c r="N2818" t="s">
        <v>8585</v>
      </c>
      <c r="O2818" s="8">
        <f t="shared" si="86"/>
        <v>17.983333333453629</v>
      </c>
      <c r="P2818" t="str">
        <f t="shared" si="87"/>
        <v>N/A</v>
      </c>
    </row>
    <row r="2819" spans="1:16" x14ac:dyDescent="0.25">
      <c r="A2819" s="2" t="s">
        <v>7575</v>
      </c>
      <c r="B2819" s="4">
        <v>46263.801388888889</v>
      </c>
      <c r="C2819" s="2" t="s">
        <v>53</v>
      </c>
      <c r="D2819" s="2" t="s">
        <v>61</v>
      </c>
      <c r="E2819" s="2" t="s">
        <v>85</v>
      </c>
      <c r="F2819" s="2" t="s">
        <v>113</v>
      </c>
      <c r="G2819" s="2" t="s">
        <v>110</v>
      </c>
      <c r="H2819" s="2" t="s">
        <v>21</v>
      </c>
      <c r="I2819" s="2">
        <v>24</v>
      </c>
      <c r="J2819" s="2" t="s">
        <v>106</v>
      </c>
      <c r="K2819" s="4">
        <v>46264.240972222222</v>
      </c>
      <c r="L2819" s="2" t="s">
        <v>24</v>
      </c>
      <c r="M2819" s="2">
        <v>4</v>
      </c>
      <c r="N2819" t="s">
        <v>8586</v>
      </c>
      <c r="O2819" s="8">
        <f t="shared" ref="O2819:O2882" si="88">IF(K2819="","",IF(K2819="Missing Resolve Date","",(K2819-B2819)*24))</f>
        <v>10.549999999988358</v>
      </c>
      <c r="P2819" t="str">
        <f t="shared" ref="P2819:P2882" si="89">IF(J2819="Resolved",IF(O2819&lt;=I2819,"Yes","No"),"N/A")</f>
        <v>Yes</v>
      </c>
    </row>
    <row r="2820" spans="1:16" x14ac:dyDescent="0.25">
      <c r="A2820" s="2" t="s">
        <v>7578</v>
      </c>
      <c r="B2820" s="4">
        <v>46115.072916666664</v>
      </c>
      <c r="C2820" s="2" t="s">
        <v>53</v>
      </c>
      <c r="D2820" s="2" t="s">
        <v>54</v>
      </c>
      <c r="E2820" s="2" t="s">
        <v>79</v>
      </c>
      <c r="F2820" s="2" t="s">
        <v>55</v>
      </c>
      <c r="G2820" s="2" t="s">
        <v>179</v>
      </c>
      <c r="H2820" s="2" t="s">
        <v>21</v>
      </c>
      <c r="I2820" s="2">
        <v>24</v>
      </c>
      <c r="J2820" s="2" t="s">
        <v>106</v>
      </c>
      <c r="K2820" s="4">
        <v>46115.718055555553</v>
      </c>
      <c r="L2820" s="2" t="s">
        <v>92</v>
      </c>
      <c r="M2820" s="2">
        <v>5</v>
      </c>
      <c r="N2820" t="s">
        <v>8588</v>
      </c>
      <c r="O2820" s="8">
        <f t="shared" si="88"/>
        <v>15.483333333337214</v>
      </c>
      <c r="P2820" t="str">
        <f t="shared" si="89"/>
        <v>Yes</v>
      </c>
    </row>
    <row r="2821" spans="1:16" x14ac:dyDescent="0.25">
      <c r="A2821" s="2" t="s">
        <v>7581</v>
      </c>
      <c r="B2821" s="4">
        <v>46045.677777777775</v>
      </c>
      <c r="C2821" s="2" t="s">
        <v>67</v>
      </c>
      <c r="D2821" s="2" t="s">
        <v>68</v>
      </c>
      <c r="E2821" s="2" t="s">
        <v>18</v>
      </c>
      <c r="F2821" s="2" t="s">
        <v>55</v>
      </c>
      <c r="G2821" s="2" t="s">
        <v>101</v>
      </c>
      <c r="H2821" s="2" t="s">
        <v>32</v>
      </c>
      <c r="I2821" s="2">
        <v>48</v>
      </c>
      <c r="J2821" s="2" t="s">
        <v>106</v>
      </c>
      <c r="K2821" s="4">
        <v>46046.59097222222</v>
      </c>
      <c r="L2821" s="2" t="s">
        <v>92</v>
      </c>
      <c r="M2821" s="2"/>
      <c r="N2821" t="s">
        <v>8588</v>
      </c>
      <c r="O2821" s="8">
        <f t="shared" si="88"/>
        <v>21.916666666686069</v>
      </c>
      <c r="P2821" t="str">
        <f t="shared" si="89"/>
        <v>Yes</v>
      </c>
    </row>
    <row r="2822" spans="1:16" x14ac:dyDescent="0.25">
      <c r="A2822" s="2" t="s">
        <v>7584</v>
      </c>
      <c r="B2822" s="4">
        <v>46186.029861111114</v>
      </c>
      <c r="C2822" s="2" t="s">
        <v>28</v>
      </c>
      <c r="D2822" s="2" t="s">
        <v>37</v>
      </c>
      <c r="E2822" s="2" t="s">
        <v>46</v>
      </c>
      <c r="F2822" s="2" t="s">
        <v>96</v>
      </c>
      <c r="G2822" s="2" t="s">
        <v>31</v>
      </c>
      <c r="H2822" s="2" t="s">
        <v>21</v>
      </c>
      <c r="I2822" s="2">
        <v>24</v>
      </c>
      <c r="J2822" s="2" t="s">
        <v>106</v>
      </c>
      <c r="K2822" s="4">
        <v>46188.020833333336</v>
      </c>
      <c r="L2822" s="2" t="s">
        <v>24</v>
      </c>
      <c r="M2822" s="2">
        <v>5</v>
      </c>
      <c r="N2822" t="s">
        <v>8585</v>
      </c>
      <c r="O2822" s="8">
        <f t="shared" si="88"/>
        <v>47.783333333325572</v>
      </c>
      <c r="P2822" t="str">
        <f t="shared" si="89"/>
        <v>No</v>
      </c>
    </row>
    <row r="2823" spans="1:16" x14ac:dyDescent="0.25">
      <c r="A2823" s="2" t="s">
        <v>7587</v>
      </c>
      <c r="B2823" s="4">
        <v>46162.248611111114</v>
      </c>
      <c r="C2823" s="2" t="s">
        <v>16</v>
      </c>
      <c r="D2823" s="2" t="s">
        <v>17</v>
      </c>
      <c r="E2823" s="2" t="s">
        <v>46</v>
      </c>
      <c r="F2823" s="2" t="s">
        <v>113</v>
      </c>
      <c r="G2823" s="2" t="s">
        <v>101</v>
      </c>
      <c r="H2823" s="2" t="s">
        <v>32</v>
      </c>
      <c r="I2823" s="2">
        <v>48</v>
      </c>
      <c r="J2823" s="2" t="s">
        <v>75</v>
      </c>
      <c r="K2823" s="4">
        <v>46163.602083333331</v>
      </c>
      <c r="L2823" s="2" t="s">
        <v>24</v>
      </c>
      <c r="M2823" s="2"/>
      <c r="N2823" t="s">
        <v>8587</v>
      </c>
      <c r="O2823" s="8">
        <f t="shared" si="88"/>
        <v>32.483333333220799</v>
      </c>
      <c r="P2823" t="str">
        <f t="shared" si="89"/>
        <v>N/A</v>
      </c>
    </row>
    <row r="2824" spans="1:16" x14ac:dyDescent="0.25">
      <c r="A2824" s="2" t="s">
        <v>7590</v>
      </c>
      <c r="B2824" s="4">
        <v>46167.397916666669</v>
      </c>
      <c r="C2824" s="2" t="s">
        <v>16</v>
      </c>
      <c r="D2824" s="2" t="s">
        <v>17</v>
      </c>
      <c r="E2824" s="2" t="s">
        <v>18</v>
      </c>
      <c r="F2824" s="2" t="s">
        <v>55</v>
      </c>
      <c r="G2824" s="2" t="s">
        <v>211</v>
      </c>
      <c r="H2824" s="2" t="s">
        <v>32</v>
      </c>
      <c r="I2824" s="2">
        <v>48</v>
      </c>
      <c r="J2824" s="2" t="s">
        <v>149</v>
      </c>
      <c r="K2824" s="4" t="s">
        <v>8590</v>
      </c>
      <c r="L2824" s="2" t="s">
        <v>24</v>
      </c>
      <c r="M2824" s="2"/>
      <c r="N2824" t="s">
        <v>8589</v>
      </c>
      <c r="O2824" s="8" t="str">
        <f t="shared" si="88"/>
        <v/>
      </c>
      <c r="P2824" t="str">
        <f t="shared" si="89"/>
        <v>N/A</v>
      </c>
    </row>
    <row r="2825" spans="1:16" x14ac:dyDescent="0.25">
      <c r="A2825" s="2" t="s">
        <v>7592</v>
      </c>
      <c r="B2825" s="4">
        <v>46107.607638888891</v>
      </c>
      <c r="C2825" s="2" t="s">
        <v>28</v>
      </c>
      <c r="D2825" s="2" t="s">
        <v>100</v>
      </c>
      <c r="E2825" s="2" t="s">
        <v>38</v>
      </c>
      <c r="F2825" s="2" t="s">
        <v>96</v>
      </c>
      <c r="G2825" s="2" t="s">
        <v>211</v>
      </c>
      <c r="H2825" s="2" t="s">
        <v>21</v>
      </c>
      <c r="I2825" s="2">
        <v>24</v>
      </c>
      <c r="J2825" s="2" t="s">
        <v>287</v>
      </c>
      <c r="K2825" s="4" t="s">
        <v>8590</v>
      </c>
      <c r="L2825" s="2" t="s">
        <v>24</v>
      </c>
      <c r="M2825" s="2"/>
      <c r="N2825" t="s">
        <v>8582</v>
      </c>
      <c r="O2825" s="8" t="str">
        <f t="shared" si="88"/>
        <v/>
      </c>
      <c r="P2825" t="str">
        <f t="shared" si="89"/>
        <v>N/A</v>
      </c>
    </row>
    <row r="2826" spans="1:16" x14ac:dyDescent="0.25">
      <c r="A2826" s="2" t="s">
        <v>7594</v>
      </c>
      <c r="B2826" s="4">
        <v>46102.393750000003</v>
      </c>
      <c r="C2826" s="2" t="s">
        <v>53</v>
      </c>
      <c r="D2826" s="2" t="s">
        <v>54</v>
      </c>
      <c r="E2826" s="2" t="s">
        <v>90</v>
      </c>
      <c r="F2826" s="2" t="s">
        <v>55</v>
      </c>
      <c r="G2826" s="2" t="s">
        <v>110</v>
      </c>
      <c r="H2826" s="2" t="s">
        <v>21</v>
      </c>
      <c r="I2826" s="2">
        <v>24</v>
      </c>
      <c r="J2826" s="2" t="s">
        <v>149</v>
      </c>
      <c r="K2826" s="4" t="s">
        <v>8590</v>
      </c>
      <c r="L2826" s="2" t="s">
        <v>24</v>
      </c>
      <c r="M2826" s="2"/>
      <c r="N2826" t="s">
        <v>8588</v>
      </c>
      <c r="O2826" s="8" t="str">
        <f t="shared" si="88"/>
        <v/>
      </c>
      <c r="P2826" t="str">
        <f t="shared" si="89"/>
        <v>N/A</v>
      </c>
    </row>
    <row r="2827" spans="1:16" x14ac:dyDescent="0.25">
      <c r="A2827" s="2" t="s">
        <v>7596</v>
      </c>
      <c r="B2827" s="4">
        <v>46041.931944444441</v>
      </c>
      <c r="C2827" s="2" t="s">
        <v>53</v>
      </c>
      <c r="D2827" s="2" t="s">
        <v>54</v>
      </c>
      <c r="E2827" s="2" t="s">
        <v>79</v>
      </c>
      <c r="F2827" s="2" t="s">
        <v>30</v>
      </c>
      <c r="G2827" s="2" t="s">
        <v>101</v>
      </c>
      <c r="H2827" s="2" t="s">
        <v>74</v>
      </c>
      <c r="I2827" s="2">
        <v>8</v>
      </c>
      <c r="J2827" s="2" t="s">
        <v>106</v>
      </c>
      <c r="K2827" s="4">
        <v>46042.013194444444</v>
      </c>
      <c r="L2827" s="2" t="s">
        <v>24</v>
      </c>
      <c r="M2827" s="2">
        <v>4</v>
      </c>
      <c r="N2827" t="s">
        <v>8585</v>
      </c>
      <c r="O2827" s="8">
        <f t="shared" si="88"/>
        <v>1.9500000000698492</v>
      </c>
      <c r="P2827" t="str">
        <f t="shared" si="89"/>
        <v>Yes</v>
      </c>
    </row>
    <row r="2828" spans="1:16" x14ac:dyDescent="0.25">
      <c r="A2828" s="2" t="s">
        <v>7599</v>
      </c>
      <c r="B2828" s="4">
        <v>46231.26666666667</v>
      </c>
      <c r="C2828" s="2" t="s">
        <v>16</v>
      </c>
      <c r="D2828" s="2" t="s">
        <v>84</v>
      </c>
      <c r="E2828" s="2" t="s">
        <v>18</v>
      </c>
      <c r="F2828" s="2" t="s">
        <v>55</v>
      </c>
      <c r="G2828" s="2" t="s">
        <v>179</v>
      </c>
      <c r="H2828" s="2" t="s">
        <v>74</v>
      </c>
      <c r="I2828" s="2">
        <v>8</v>
      </c>
      <c r="J2828" s="2" t="s">
        <v>75</v>
      </c>
      <c r="K2828" s="4">
        <v>46232.039583333331</v>
      </c>
      <c r="L2828" s="2" t="s">
        <v>92</v>
      </c>
      <c r="M2828" s="2"/>
      <c r="N2828" t="s">
        <v>8589</v>
      </c>
      <c r="O2828" s="8">
        <f t="shared" si="88"/>
        <v>18.549999999871943</v>
      </c>
      <c r="P2828" t="str">
        <f t="shared" si="89"/>
        <v>N/A</v>
      </c>
    </row>
    <row r="2829" spans="1:16" x14ac:dyDescent="0.25">
      <c r="A2829" s="2" t="s">
        <v>7602</v>
      </c>
      <c r="B2829" s="4">
        <v>46048.563888888886</v>
      </c>
      <c r="C2829" s="2" t="s">
        <v>16</v>
      </c>
      <c r="D2829" s="2" t="s">
        <v>84</v>
      </c>
      <c r="E2829" s="2" t="s">
        <v>79</v>
      </c>
      <c r="F2829" s="2" t="s">
        <v>30</v>
      </c>
      <c r="G2829" s="2" t="s">
        <v>31</v>
      </c>
      <c r="H2829" s="2" t="s">
        <v>74</v>
      </c>
      <c r="I2829" s="2">
        <v>8</v>
      </c>
      <c r="J2829" s="2" t="s">
        <v>75</v>
      </c>
      <c r="K2829" s="4">
        <v>46048.616666666669</v>
      </c>
      <c r="L2829" s="2" t="s">
        <v>24</v>
      </c>
      <c r="M2829" s="2">
        <v>4</v>
      </c>
      <c r="N2829" t="s">
        <v>8585</v>
      </c>
      <c r="O2829" s="8">
        <f t="shared" si="88"/>
        <v>1.2666666667792015</v>
      </c>
      <c r="P2829" t="str">
        <f t="shared" si="89"/>
        <v>N/A</v>
      </c>
    </row>
    <row r="2830" spans="1:16" x14ac:dyDescent="0.25">
      <c r="A2830" s="2" t="s">
        <v>7605</v>
      </c>
      <c r="B2830" s="4">
        <v>46165.863194444442</v>
      </c>
      <c r="C2830" s="2" t="s">
        <v>53</v>
      </c>
      <c r="D2830" s="2" t="s">
        <v>61</v>
      </c>
      <c r="E2830" s="2" t="s">
        <v>18</v>
      </c>
      <c r="F2830" s="2" t="s">
        <v>30</v>
      </c>
      <c r="G2830" s="2" t="s">
        <v>110</v>
      </c>
      <c r="H2830" s="2" t="s">
        <v>32</v>
      </c>
      <c r="I2830" s="2">
        <v>48</v>
      </c>
      <c r="J2830" s="2" t="s">
        <v>106</v>
      </c>
      <c r="K2830" s="4">
        <v>46170.578472222223</v>
      </c>
      <c r="L2830" s="2" t="s">
        <v>24</v>
      </c>
      <c r="M2830" s="2">
        <v>4</v>
      </c>
      <c r="N2830" t="s">
        <v>8584</v>
      </c>
      <c r="O2830" s="8">
        <f t="shared" si="88"/>
        <v>113.16666666674428</v>
      </c>
      <c r="P2830" t="str">
        <f t="shared" si="89"/>
        <v>No</v>
      </c>
    </row>
    <row r="2831" spans="1:16" x14ac:dyDescent="0.25">
      <c r="A2831" s="2" t="s">
        <v>7608</v>
      </c>
      <c r="B2831" s="4">
        <v>46118.896527777775</v>
      </c>
      <c r="C2831" s="2" t="s">
        <v>28</v>
      </c>
      <c r="D2831" s="2" t="s">
        <v>37</v>
      </c>
      <c r="E2831" s="2" t="s">
        <v>18</v>
      </c>
      <c r="F2831" s="2" t="s">
        <v>96</v>
      </c>
      <c r="G2831" s="2" t="s">
        <v>183</v>
      </c>
      <c r="H2831" s="2" t="s">
        <v>21</v>
      </c>
      <c r="I2831" s="2">
        <v>24</v>
      </c>
      <c r="J2831" s="2" t="s">
        <v>75</v>
      </c>
      <c r="K2831" s="4">
        <v>46120.007638888892</v>
      </c>
      <c r="L2831" s="2" t="s">
        <v>92</v>
      </c>
      <c r="M2831" s="2"/>
      <c r="N2831" t="s">
        <v>8587</v>
      </c>
      <c r="O2831" s="8">
        <f t="shared" si="88"/>
        <v>26.666666666802485</v>
      </c>
      <c r="P2831" t="str">
        <f t="shared" si="89"/>
        <v>N/A</v>
      </c>
    </row>
    <row r="2832" spans="1:16" x14ac:dyDescent="0.25">
      <c r="A2832" s="2" t="s">
        <v>7610</v>
      </c>
      <c r="B2832" s="4">
        <v>46202.806250000001</v>
      </c>
      <c r="C2832" s="2" t="s">
        <v>67</v>
      </c>
      <c r="D2832" s="2" t="s">
        <v>68</v>
      </c>
      <c r="E2832" s="2" t="s">
        <v>79</v>
      </c>
      <c r="F2832" s="2" t="s">
        <v>30</v>
      </c>
      <c r="G2832" s="2" t="s">
        <v>31</v>
      </c>
      <c r="H2832" s="2" t="s">
        <v>74</v>
      </c>
      <c r="I2832" s="2">
        <v>8</v>
      </c>
      <c r="J2832" s="2" t="s">
        <v>287</v>
      </c>
      <c r="K2832" s="4" t="s">
        <v>8590</v>
      </c>
      <c r="L2832" s="2" t="s">
        <v>24</v>
      </c>
      <c r="M2832" s="2"/>
      <c r="N2832" t="s">
        <v>8585</v>
      </c>
      <c r="O2832" s="8" t="str">
        <f t="shared" si="88"/>
        <v/>
      </c>
      <c r="P2832" t="str">
        <f t="shared" si="89"/>
        <v>N/A</v>
      </c>
    </row>
    <row r="2833" spans="1:16" x14ac:dyDescent="0.25">
      <c r="A2833" s="2" t="s">
        <v>7612</v>
      </c>
      <c r="B2833" s="4">
        <v>46209.04791666667</v>
      </c>
      <c r="C2833" s="2" t="s">
        <v>28</v>
      </c>
      <c r="D2833" s="2" t="s">
        <v>37</v>
      </c>
      <c r="E2833" s="2" t="s">
        <v>85</v>
      </c>
      <c r="F2833" s="2" t="s">
        <v>30</v>
      </c>
      <c r="G2833" s="2" t="s">
        <v>179</v>
      </c>
      <c r="H2833" s="2" t="s">
        <v>32</v>
      </c>
      <c r="I2833" s="2">
        <v>48</v>
      </c>
      <c r="J2833" s="2" t="s">
        <v>149</v>
      </c>
      <c r="K2833" s="4" t="s">
        <v>8590</v>
      </c>
      <c r="L2833" s="2" t="s">
        <v>24</v>
      </c>
      <c r="M2833" s="2"/>
      <c r="N2833" t="s">
        <v>8589</v>
      </c>
      <c r="O2833" s="8" t="str">
        <f t="shared" si="88"/>
        <v/>
      </c>
      <c r="P2833" t="str">
        <f t="shared" si="89"/>
        <v>N/A</v>
      </c>
    </row>
    <row r="2834" spans="1:16" x14ac:dyDescent="0.25">
      <c r="A2834" s="2" t="s">
        <v>7614</v>
      </c>
      <c r="B2834" s="4">
        <v>46056.85833333333</v>
      </c>
      <c r="C2834" s="2" t="s">
        <v>67</v>
      </c>
      <c r="D2834" s="2" t="s">
        <v>68</v>
      </c>
      <c r="E2834" s="2" t="s">
        <v>18</v>
      </c>
      <c r="F2834" s="2" t="s">
        <v>55</v>
      </c>
      <c r="G2834" s="2" t="s">
        <v>211</v>
      </c>
      <c r="H2834" s="2" t="s">
        <v>32</v>
      </c>
      <c r="I2834" s="2">
        <v>48</v>
      </c>
      <c r="J2834" s="2" t="s">
        <v>75</v>
      </c>
      <c r="K2834" s="4">
        <v>46062.625</v>
      </c>
      <c r="L2834" s="2" t="s">
        <v>24</v>
      </c>
      <c r="M2834" s="2"/>
      <c r="N2834" t="s">
        <v>8589</v>
      </c>
      <c r="O2834" s="8">
        <f t="shared" si="88"/>
        <v>138.40000000008149</v>
      </c>
      <c r="P2834" t="str">
        <f t="shared" si="89"/>
        <v>N/A</v>
      </c>
    </row>
    <row r="2835" spans="1:16" x14ac:dyDescent="0.25">
      <c r="A2835" s="2" t="s">
        <v>7617</v>
      </c>
      <c r="B2835" s="4">
        <v>46033.240972222222</v>
      </c>
      <c r="C2835" s="2" t="s">
        <v>16</v>
      </c>
      <c r="D2835" s="2" t="s">
        <v>17</v>
      </c>
      <c r="E2835" s="2" t="s">
        <v>148</v>
      </c>
      <c r="F2835" s="2" t="s">
        <v>55</v>
      </c>
      <c r="G2835" s="2" t="s">
        <v>211</v>
      </c>
      <c r="H2835" s="2" t="s">
        <v>74</v>
      </c>
      <c r="I2835" s="2">
        <v>8</v>
      </c>
      <c r="J2835" s="2" t="s">
        <v>106</v>
      </c>
      <c r="K2835" s="4">
        <v>46033.453472222223</v>
      </c>
      <c r="L2835" s="2" t="s">
        <v>24</v>
      </c>
      <c r="M2835" s="2">
        <v>4</v>
      </c>
      <c r="N2835" t="s">
        <v>8589</v>
      </c>
      <c r="O2835" s="8">
        <f t="shared" si="88"/>
        <v>5.1000000000349246</v>
      </c>
      <c r="P2835" t="str">
        <f t="shared" si="89"/>
        <v>Yes</v>
      </c>
    </row>
    <row r="2836" spans="1:16" x14ac:dyDescent="0.25">
      <c r="A2836" s="2" t="s">
        <v>7620</v>
      </c>
      <c r="B2836" s="4">
        <v>46030.138194444444</v>
      </c>
      <c r="C2836" s="2" t="s">
        <v>67</v>
      </c>
      <c r="D2836" s="2" t="s">
        <v>95</v>
      </c>
      <c r="E2836" s="2" t="s">
        <v>18</v>
      </c>
      <c r="F2836" s="2" t="s">
        <v>96</v>
      </c>
      <c r="G2836" s="2" t="s">
        <v>31</v>
      </c>
      <c r="H2836" s="2" t="s">
        <v>21</v>
      </c>
      <c r="I2836" s="2">
        <v>24</v>
      </c>
      <c r="J2836" s="2" t="s">
        <v>106</v>
      </c>
      <c r="K2836" s="4">
        <v>46031.031944444447</v>
      </c>
      <c r="L2836" s="2" t="s">
        <v>24</v>
      </c>
      <c r="M2836" s="2"/>
      <c r="N2836" t="s">
        <v>8587</v>
      </c>
      <c r="O2836" s="8">
        <f t="shared" si="88"/>
        <v>21.450000000069849</v>
      </c>
      <c r="P2836" t="str">
        <f t="shared" si="89"/>
        <v>Yes</v>
      </c>
    </row>
    <row r="2837" spans="1:16" x14ac:dyDescent="0.25">
      <c r="A2837" s="2" t="s">
        <v>7623</v>
      </c>
      <c r="B2837" s="4">
        <v>46122.895138888889</v>
      </c>
      <c r="C2837" s="2" t="s">
        <v>16</v>
      </c>
      <c r="D2837" s="2" t="s">
        <v>84</v>
      </c>
      <c r="E2837" s="2" t="s">
        <v>85</v>
      </c>
      <c r="F2837" s="2" t="s">
        <v>55</v>
      </c>
      <c r="G2837" s="2" t="s">
        <v>101</v>
      </c>
      <c r="H2837" s="2" t="s">
        <v>74</v>
      </c>
      <c r="I2837" s="2">
        <v>8</v>
      </c>
      <c r="J2837" s="2" t="s">
        <v>11</v>
      </c>
      <c r="K2837" s="4" t="s">
        <v>8590</v>
      </c>
      <c r="L2837" s="2" t="s">
        <v>92</v>
      </c>
      <c r="M2837" s="2"/>
      <c r="N2837" t="s">
        <v>8586</v>
      </c>
      <c r="O2837" s="8" t="str">
        <f t="shared" si="88"/>
        <v/>
      </c>
      <c r="P2837" t="str">
        <f t="shared" si="89"/>
        <v>N/A</v>
      </c>
    </row>
    <row r="2838" spans="1:16" x14ac:dyDescent="0.25">
      <c r="A2838" s="2" t="s">
        <v>7625</v>
      </c>
      <c r="B2838" s="4">
        <v>46025.166666666664</v>
      </c>
      <c r="C2838" s="2" t="s">
        <v>28</v>
      </c>
      <c r="D2838" s="2" t="s">
        <v>37</v>
      </c>
      <c r="E2838" s="2" t="s">
        <v>38</v>
      </c>
      <c r="F2838" s="2" t="s">
        <v>113</v>
      </c>
      <c r="G2838" s="2" t="s">
        <v>110</v>
      </c>
      <c r="H2838" s="2" t="s">
        <v>32</v>
      </c>
      <c r="I2838" s="2">
        <v>48</v>
      </c>
      <c r="J2838" s="2" t="s">
        <v>287</v>
      </c>
      <c r="K2838" s="4" t="s">
        <v>8590</v>
      </c>
      <c r="L2838" s="2" t="s">
        <v>92</v>
      </c>
      <c r="M2838" s="2"/>
      <c r="N2838" t="s">
        <v>8584</v>
      </c>
      <c r="O2838" s="8" t="str">
        <f t="shared" si="88"/>
        <v/>
      </c>
      <c r="P2838" t="str">
        <f t="shared" si="89"/>
        <v>N/A</v>
      </c>
    </row>
    <row r="2839" spans="1:16" x14ac:dyDescent="0.25">
      <c r="A2839" s="2" t="s">
        <v>7627</v>
      </c>
      <c r="B2839" s="4">
        <v>46147.849305555559</v>
      </c>
      <c r="C2839" s="2" t="s">
        <v>67</v>
      </c>
      <c r="D2839" s="2" t="s">
        <v>95</v>
      </c>
      <c r="E2839" s="2" t="s">
        <v>38</v>
      </c>
      <c r="F2839" s="2" t="s">
        <v>113</v>
      </c>
      <c r="G2839" s="2" t="s">
        <v>211</v>
      </c>
      <c r="H2839" s="2" t="s">
        <v>32</v>
      </c>
      <c r="I2839" s="2">
        <v>48</v>
      </c>
      <c r="J2839" s="2" t="s">
        <v>8580</v>
      </c>
      <c r="K2839" s="4">
        <v>46149.07916666667</v>
      </c>
      <c r="L2839" s="2" t="s">
        <v>24</v>
      </c>
      <c r="M2839" s="2"/>
      <c r="N2839" t="s">
        <v>8585</v>
      </c>
      <c r="O2839" s="8">
        <f t="shared" si="88"/>
        <v>29.516666666662786</v>
      </c>
      <c r="P2839" t="str">
        <f t="shared" si="89"/>
        <v>N/A</v>
      </c>
    </row>
    <row r="2840" spans="1:16" x14ac:dyDescent="0.25">
      <c r="A2840" s="2" t="s">
        <v>7630</v>
      </c>
      <c r="B2840" s="4">
        <v>46147.573611111111</v>
      </c>
      <c r="C2840" s="2" t="s">
        <v>67</v>
      </c>
      <c r="D2840" s="2" t="s">
        <v>95</v>
      </c>
      <c r="E2840" s="2" t="s">
        <v>79</v>
      </c>
      <c r="F2840" s="2" t="s">
        <v>113</v>
      </c>
      <c r="G2840" s="2" t="s">
        <v>110</v>
      </c>
      <c r="H2840" s="2" t="s">
        <v>32</v>
      </c>
      <c r="I2840" s="2">
        <v>48</v>
      </c>
      <c r="J2840" s="2" t="s">
        <v>75</v>
      </c>
      <c r="K2840" s="4">
        <v>46148.21875</v>
      </c>
      <c r="L2840" s="2" t="s">
        <v>24</v>
      </c>
      <c r="M2840" s="2">
        <v>5</v>
      </c>
      <c r="N2840" t="s">
        <v>8582</v>
      </c>
      <c r="O2840" s="8">
        <f t="shared" si="88"/>
        <v>15.483333333337214</v>
      </c>
      <c r="P2840" t="str">
        <f t="shared" si="89"/>
        <v>N/A</v>
      </c>
    </row>
    <row r="2841" spans="1:16" x14ac:dyDescent="0.25">
      <c r="A2841" s="2" t="s">
        <v>7632</v>
      </c>
      <c r="B2841" s="4">
        <v>46130.359722222223</v>
      </c>
      <c r="C2841" s="2" t="s">
        <v>53</v>
      </c>
      <c r="D2841" s="2" t="s">
        <v>61</v>
      </c>
      <c r="E2841" s="2" t="s">
        <v>18</v>
      </c>
      <c r="F2841" s="2" t="s">
        <v>96</v>
      </c>
      <c r="G2841" s="2" t="s">
        <v>179</v>
      </c>
      <c r="H2841" s="2" t="s">
        <v>21</v>
      </c>
      <c r="I2841" s="2">
        <v>24</v>
      </c>
      <c r="J2841" s="2" t="s">
        <v>106</v>
      </c>
      <c r="K2841" s="4">
        <v>46132.984027777777</v>
      </c>
      <c r="L2841" s="2" t="s">
        <v>24</v>
      </c>
      <c r="M2841" s="2">
        <v>5</v>
      </c>
      <c r="N2841" t="s">
        <v>8583</v>
      </c>
      <c r="O2841" s="8">
        <f t="shared" si="88"/>
        <v>62.983333333279006</v>
      </c>
      <c r="P2841" t="str">
        <f t="shared" si="89"/>
        <v>No</v>
      </c>
    </row>
    <row r="2842" spans="1:16" x14ac:dyDescent="0.25">
      <c r="A2842" s="2" t="s">
        <v>7635</v>
      </c>
      <c r="B2842" s="4">
        <v>46162.553472222222</v>
      </c>
      <c r="C2842" s="2" t="s">
        <v>16</v>
      </c>
      <c r="D2842" s="2" t="s">
        <v>84</v>
      </c>
      <c r="E2842" s="2" t="s">
        <v>148</v>
      </c>
      <c r="F2842" s="2" t="s">
        <v>113</v>
      </c>
      <c r="G2842" s="2" t="s">
        <v>211</v>
      </c>
      <c r="H2842" s="2" t="s">
        <v>32</v>
      </c>
      <c r="I2842" s="2">
        <v>48</v>
      </c>
      <c r="J2842" s="2" t="s">
        <v>149</v>
      </c>
      <c r="K2842" s="4" t="s">
        <v>8590</v>
      </c>
      <c r="L2842" s="2" t="s">
        <v>24</v>
      </c>
      <c r="M2842" s="2"/>
      <c r="N2842" t="s">
        <v>8585</v>
      </c>
      <c r="O2842" s="8" t="str">
        <f t="shared" si="88"/>
        <v/>
      </c>
      <c r="P2842" t="str">
        <f t="shared" si="89"/>
        <v>N/A</v>
      </c>
    </row>
    <row r="2843" spans="1:16" x14ac:dyDescent="0.25">
      <c r="A2843" s="2" t="s">
        <v>7637</v>
      </c>
      <c r="B2843" s="4">
        <v>46193.895138888889</v>
      </c>
      <c r="C2843" s="2" t="s">
        <v>67</v>
      </c>
      <c r="D2843" s="2" t="s">
        <v>95</v>
      </c>
      <c r="E2843" s="2" t="s">
        <v>148</v>
      </c>
      <c r="F2843" s="2" t="s">
        <v>55</v>
      </c>
      <c r="G2843" s="2" t="s">
        <v>101</v>
      </c>
      <c r="H2843" s="2" t="s">
        <v>21</v>
      </c>
      <c r="I2843" s="2">
        <v>24</v>
      </c>
      <c r="J2843" s="2" t="s">
        <v>75</v>
      </c>
      <c r="K2843" s="4">
        <v>46194.276388888888</v>
      </c>
      <c r="L2843" s="2" t="s">
        <v>92</v>
      </c>
      <c r="M2843" s="2">
        <v>5</v>
      </c>
      <c r="N2843" t="s">
        <v>8584</v>
      </c>
      <c r="O2843" s="8">
        <f t="shared" si="88"/>
        <v>9.1499999999650754</v>
      </c>
      <c r="P2843" t="str">
        <f t="shared" si="89"/>
        <v>N/A</v>
      </c>
    </row>
    <row r="2844" spans="1:16" x14ac:dyDescent="0.25">
      <c r="A2844" s="2" t="s">
        <v>7640</v>
      </c>
      <c r="B2844" s="4">
        <v>46025.025694444441</v>
      </c>
      <c r="C2844" s="2" t="s">
        <v>16</v>
      </c>
      <c r="D2844" s="2" t="s">
        <v>17</v>
      </c>
      <c r="E2844" s="2" t="s">
        <v>38</v>
      </c>
      <c r="F2844" s="2" t="s">
        <v>30</v>
      </c>
      <c r="G2844" s="2" t="s">
        <v>179</v>
      </c>
      <c r="H2844" s="2" t="s">
        <v>32</v>
      </c>
      <c r="I2844" s="2">
        <v>48</v>
      </c>
      <c r="J2844" s="2" t="s">
        <v>106</v>
      </c>
      <c r="K2844" s="4">
        <v>46025.083333333336</v>
      </c>
      <c r="L2844" s="2" t="s">
        <v>24</v>
      </c>
      <c r="M2844" s="2"/>
      <c r="N2844" t="s">
        <v>8585</v>
      </c>
      <c r="O2844" s="8">
        <f t="shared" si="88"/>
        <v>1.3833333334769122</v>
      </c>
      <c r="P2844" t="str">
        <f t="shared" si="89"/>
        <v>Yes</v>
      </c>
    </row>
    <row r="2845" spans="1:16" x14ac:dyDescent="0.25">
      <c r="A2845" s="2" t="s">
        <v>7643</v>
      </c>
      <c r="B2845" s="4">
        <v>46169.579861111109</v>
      </c>
      <c r="C2845" s="2" t="s">
        <v>67</v>
      </c>
      <c r="D2845" s="2" t="s">
        <v>68</v>
      </c>
      <c r="E2845" s="2" t="s">
        <v>85</v>
      </c>
      <c r="F2845" s="2" t="s">
        <v>96</v>
      </c>
      <c r="G2845" s="2" t="s">
        <v>183</v>
      </c>
      <c r="H2845" s="2" t="s">
        <v>32</v>
      </c>
      <c r="I2845" s="2">
        <v>48</v>
      </c>
      <c r="J2845" s="2" t="s">
        <v>149</v>
      </c>
      <c r="K2845" s="4" t="s">
        <v>8590</v>
      </c>
      <c r="L2845" s="2" t="s">
        <v>24</v>
      </c>
      <c r="M2845" s="2"/>
      <c r="N2845" t="s">
        <v>8581</v>
      </c>
      <c r="O2845" s="8" t="str">
        <f t="shared" si="88"/>
        <v/>
      </c>
      <c r="P2845" t="str">
        <f t="shared" si="89"/>
        <v>N/A</v>
      </c>
    </row>
    <row r="2846" spans="1:16" x14ac:dyDescent="0.25">
      <c r="A2846" s="2" t="s">
        <v>7645</v>
      </c>
      <c r="B2846" s="4">
        <v>46232.45208333333</v>
      </c>
      <c r="C2846" s="2" t="s">
        <v>67</v>
      </c>
      <c r="D2846" s="2" t="s">
        <v>95</v>
      </c>
      <c r="E2846" s="2" t="s">
        <v>85</v>
      </c>
      <c r="F2846" s="2" t="s">
        <v>55</v>
      </c>
      <c r="G2846" s="2" t="s">
        <v>211</v>
      </c>
      <c r="H2846" s="2" t="s">
        <v>74</v>
      </c>
      <c r="I2846" s="2">
        <v>8</v>
      </c>
      <c r="J2846" s="2" t="s">
        <v>106</v>
      </c>
      <c r="K2846" s="4">
        <v>46232.627083333333</v>
      </c>
      <c r="L2846" s="2" t="s">
        <v>24</v>
      </c>
      <c r="M2846" s="2"/>
      <c r="N2846" t="s">
        <v>8583</v>
      </c>
      <c r="O2846" s="8">
        <f t="shared" si="88"/>
        <v>4.2000000000698492</v>
      </c>
      <c r="P2846" t="str">
        <f t="shared" si="89"/>
        <v>Yes</v>
      </c>
    </row>
    <row r="2847" spans="1:16" x14ac:dyDescent="0.25">
      <c r="A2847" s="2" t="s">
        <v>7648</v>
      </c>
      <c r="B2847" s="4">
        <v>46077.379861111112</v>
      </c>
      <c r="C2847" s="2" t="s">
        <v>16</v>
      </c>
      <c r="D2847" s="2" t="s">
        <v>84</v>
      </c>
      <c r="E2847" s="2" t="s">
        <v>90</v>
      </c>
      <c r="F2847" s="2" t="s">
        <v>55</v>
      </c>
      <c r="G2847" s="2" t="s">
        <v>211</v>
      </c>
      <c r="H2847" s="2" t="s">
        <v>21</v>
      </c>
      <c r="I2847" s="2">
        <v>24</v>
      </c>
      <c r="J2847" s="2" t="s">
        <v>106</v>
      </c>
      <c r="K2847" s="4">
        <v>46077.477777777778</v>
      </c>
      <c r="L2847" s="2" t="s">
        <v>24</v>
      </c>
      <c r="M2847" s="2"/>
      <c r="N2847" t="s">
        <v>8585</v>
      </c>
      <c r="O2847" s="8">
        <f t="shared" si="88"/>
        <v>2.3499999999767169</v>
      </c>
      <c r="P2847" t="str">
        <f t="shared" si="89"/>
        <v>Yes</v>
      </c>
    </row>
    <row r="2848" spans="1:16" x14ac:dyDescent="0.25">
      <c r="A2848" s="2" t="s">
        <v>7651</v>
      </c>
      <c r="B2848" s="4">
        <v>46138.989583333336</v>
      </c>
      <c r="C2848" s="2" t="s">
        <v>16</v>
      </c>
      <c r="D2848" s="2" t="s">
        <v>84</v>
      </c>
      <c r="E2848" s="2" t="s">
        <v>38</v>
      </c>
      <c r="F2848" s="2" t="s">
        <v>96</v>
      </c>
      <c r="G2848" s="2" t="s">
        <v>183</v>
      </c>
      <c r="H2848" s="2" t="s">
        <v>32</v>
      </c>
      <c r="I2848" s="2">
        <v>48</v>
      </c>
      <c r="J2848" s="2" t="s">
        <v>106</v>
      </c>
      <c r="K2848" s="4">
        <v>46140.238194444442</v>
      </c>
      <c r="L2848" s="2" t="s">
        <v>24</v>
      </c>
      <c r="M2848" s="2">
        <v>2</v>
      </c>
      <c r="N2848" t="s">
        <v>8582</v>
      </c>
      <c r="O2848" s="8">
        <f t="shared" si="88"/>
        <v>29.966666666558012</v>
      </c>
      <c r="P2848" t="str">
        <f t="shared" si="89"/>
        <v>Yes</v>
      </c>
    </row>
    <row r="2849" spans="1:16" x14ac:dyDescent="0.25">
      <c r="A2849" s="2" t="s">
        <v>7654</v>
      </c>
      <c r="B2849" s="4">
        <v>46030.634027777778</v>
      </c>
      <c r="C2849" s="2" t="s">
        <v>28</v>
      </c>
      <c r="D2849" s="2" t="s">
        <v>100</v>
      </c>
      <c r="E2849" s="2" t="s">
        <v>18</v>
      </c>
      <c r="F2849" s="2" t="s">
        <v>113</v>
      </c>
      <c r="G2849" s="2" t="s">
        <v>183</v>
      </c>
      <c r="H2849" s="2" t="s">
        <v>21</v>
      </c>
      <c r="I2849" s="2">
        <v>24</v>
      </c>
      <c r="J2849" s="2" t="s">
        <v>106</v>
      </c>
      <c r="K2849" s="4">
        <v>46030.697916666664</v>
      </c>
      <c r="L2849" s="2" t="s">
        <v>24</v>
      </c>
      <c r="M2849" s="2">
        <v>2</v>
      </c>
      <c r="N2849" t="s">
        <v>8587</v>
      </c>
      <c r="O2849" s="8">
        <f t="shared" si="88"/>
        <v>1.5333333332673647</v>
      </c>
      <c r="P2849" t="str">
        <f t="shared" si="89"/>
        <v>Yes</v>
      </c>
    </row>
    <row r="2850" spans="1:16" x14ac:dyDescent="0.25">
      <c r="A2850" s="2" t="s">
        <v>7657</v>
      </c>
      <c r="B2850" s="4">
        <v>46091.388194444444</v>
      </c>
      <c r="C2850" s="2" t="s">
        <v>67</v>
      </c>
      <c r="D2850" s="2" t="s">
        <v>95</v>
      </c>
      <c r="E2850" s="2" t="s">
        <v>90</v>
      </c>
      <c r="F2850" s="2" t="s">
        <v>55</v>
      </c>
      <c r="G2850" s="2" t="s">
        <v>183</v>
      </c>
      <c r="H2850" s="2" t="s">
        <v>32</v>
      </c>
      <c r="I2850" s="2">
        <v>48</v>
      </c>
      <c r="J2850" s="2" t="s">
        <v>149</v>
      </c>
      <c r="K2850" s="4" t="s">
        <v>8590</v>
      </c>
      <c r="L2850" s="2" t="s">
        <v>24</v>
      </c>
      <c r="M2850" s="2"/>
      <c r="N2850" t="s">
        <v>8582</v>
      </c>
      <c r="O2850" s="8" t="str">
        <f t="shared" si="88"/>
        <v/>
      </c>
      <c r="P2850" t="str">
        <f t="shared" si="89"/>
        <v>N/A</v>
      </c>
    </row>
    <row r="2851" spans="1:16" x14ac:dyDescent="0.25">
      <c r="A2851" s="2" t="s">
        <v>7659</v>
      </c>
      <c r="B2851" s="4">
        <v>46039.073611111111</v>
      </c>
      <c r="C2851" s="2" t="s">
        <v>67</v>
      </c>
      <c r="D2851" s="2" t="s">
        <v>68</v>
      </c>
      <c r="E2851" s="2" t="s">
        <v>38</v>
      </c>
      <c r="F2851" s="2" t="s">
        <v>113</v>
      </c>
      <c r="G2851" s="2" t="s">
        <v>183</v>
      </c>
      <c r="H2851" s="2" t="s">
        <v>21</v>
      </c>
      <c r="I2851" s="2">
        <v>24</v>
      </c>
      <c r="J2851" s="2" t="s">
        <v>106</v>
      </c>
      <c r="K2851" s="4">
        <v>46039.399305555555</v>
      </c>
      <c r="L2851" s="2" t="s">
        <v>24</v>
      </c>
      <c r="M2851" s="2"/>
      <c r="N2851" t="s">
        <v>8585</v>
      </c>
      <c r="O2851" s="8">
        <f t="shared" si="88"/>
        <v>7.8166666666511446</v>
      </c>
      <c r="P2851" t="str">
        <f t="shared" si="89"/>
        <v>Yes</v>
      </c>
    </row>
    <row r="2852" spans="1:16" x14ac:dyDescent="0.25">
      <c r="A2852" s="2" t="s">
        <v>7662</v>
      </c>
      <c r="B2852" s="4">
        <v>46150.263888888891</v>
      </c>
      <c r="C2852" s="2" t="s">
        <v>28</v>
      </c>
      <c r="D2852" s="2" t="s">
        <v>100</v>
      </c>
      <c r="E2852" s="2" t="s">
        <v>18</v>
      </c>
      <c r="F2852" s="2" t="s">
        <v>30</v>
      </c>
      <c r="G2852" s="2" t="s">
        <v>179</v>
      </c>
      <c r="H2852" s="2" t="s">
        <v>80</v>
      </c>
      <c r="I2852" s="2">
        <v>4</v>
      </c>
      <c r="J2852" s="2" t="s">
        <v>149</v>
      </c>
      <c r="K2852" s="4" t="s">
        <v>8590</v>
      </c>
      <c r="L2852" s="2" t="s">
        <v>24</v>
      </c>
      <c r="M2852" s="2"/>
      <c r="N2852" t="s">
        <v>8581</v>
      </c>
      <c r="O2852" s="8" t="str">
        <f t="shared" si="88"/>
        <v/>
      </c>
      <c r="P2852" t="str">
        <f t="shared" si="89"/>
        <v>N/A</v>
      </c>
    </row>
    <row r="2853" spans="1:16" x14ac:dyDescent="0.25">
      <c r="A2853" s="2" t="s">
        <v>7664</v>
      </c>
      <c r="B2853" s="4">
        <v>46136.838194444441</v>
      </c>
      <c r="C2853" s="2" t="s">
        <v>67</v>
      </c>
      <c r="D2853" s="2" t="s">
        <v>68</v>
      </c>
      <c r="E2853" s="2" t="s">
        <v>85</v>
      </c>
      <c r="F2853" s="2" t="s">
        <v>30</v>
      </c>
      <c r="G2853" s="2" t="s">
        <v>110</v>
      </c>
      <c r="H2853" s="2" t="s">
        <v>32</v>
      </c>
      <c r="I2853" s="2">
        <v>48</v>
      </c>
      <c r="J2853" s="2" t="s">
        <v>75</v>
      </c>
      <c r="K2853" s="4">
        <v>46138.307638888888</v>
      </c>
      <c r="L2853" s="2" t="s">
        <v>24</v>
      </c>
      <c r="M2853" s="2"/>
      <c r="N2853" t="s">
        <v>8587</v>
      </c>
      <c r="O2853" s="8">
        <f t="shared" si="88"/>
        <v>35.266666666720994</v>
      </c>
      <c r="P2853" t="str">
        <f t="shared" si="89"/>
        <v>N/A</v>
      </c>
    </row>
    <row r="2854" spans="1:16" x14ac:dyDescent="0.25">
      <c r="A2854" s="2" t="s">
        <v>7667</v>
      </c>
      <c r="B2854" s="4">
        <v>46174.256249999999</v>
      </c>
      <c r="C2854" s="2" t="s">
        <v>67</v>
      </c>
      <c r="D2854" s="2" t="s">
        <v>68</v>
      </c>
      <c r="E2854" s="2" t="s">
        <v>18</v>
      </c>
      <c r="F2854" s="2" t="s">
        <v>113</v>
      </c>
      <c r="G2854" s="2" t="s">
        <v>211</v>
      </c>
      <c r="H2854" s="2" t="s">
        <v>80</v>
      </c>
      <c r="I2854" s="2">
        <v>4</v>
      </c>
      <c r="J2854" s="2" t="s">
        <v>106</v>
      </c>
      <c r="K2854" s="4">
        <v>46174.392361111109</v>
      </c>
      <c r="L2854" s="2" t="s">
        <v>92</v>
      </c>
      <c r="M2854" s="2">
        <v>1</v>
      </c>
      <c r="N2854" t="s">
        <v>8585</v>
      </c>
      <c r="O2854" s="8">
        <f t="shared" si="88"/>
        <v>3.2666666666627862</v>
      </c>
      <c r="P2854" t="str">
        <f t="shared" si="89"/>
        <v>Yes</v>
      </c>
    </row>
    <row r="2855" spans="1:16" x14ac:dyDescent="0.25">
      <c r="A2855" s="2" t="s">
        <v>7670</v>
      </c>
      <c r="B2855" s="4">
        <v>46223.663888888892</v>
      </c>
      <c r="C2855" s="2" t="s">
        <v>67</v>
      </c>
      <c r="D2855" s="2" t="s">
        <v>68</v>
      </c>
      <c r="E2855" s="2" t="s">
        <v>148</v>
      </c>
      <c r="F2855" s="2" t="s">
        <v>55</v>
      </c>
      <c r="G2855" s="2" t="s">
        <v>183</v>
      </c>
      <c r="H2855" s="2" t="s">
        <v>21</v>
      </c>
      <c r="I2855" s="2">
        <v>24</v>
      </c>
      <c r="J2855" s="2" t="s">
        <v>106</v>
      </c>
      <c r="K2855" s="4">
        <v>46225.130555555559</v>
      </c>
      <c r="L2855" s="2" t="s">
        <v>24</v>
      </c>
      <c r="M2855" s="2">
        <v>3</v>
      </c>
      <c r="N2855" t="s">
        <v>8587</v>
      </c>
      <c r="O2855" s="8">
        <f t="shared" si="88"/>
        <v>35.200000000011642</v>
      </c>
      <c r="P2855" t="str">
        <f t="shared" si="89"/>
        <v>No</v>
      </c>
    </row>
    <row r="2856" spans="1:16" x14ac:dyDescent="0.25">
      <c r="A2856" s="2" t="s">
        <v>7672</v>
      </c>
      <c r="B2856" s="4">
        <v>46219.781944444447</v>
      </c>
      <c r="C2856" s="2" t="s">
        <v>28</v>
      </c>
      <c r="D2856" s="2" t="s">
        <v>37</v>
      </c>
      <c r="E2856" s="2" t="s">
        <v>90</v>
      </c>
      <c r="F2856" s="2" t="s">
        <v>96</v>
      </c>
      <c r="G2856" s="2" t="s">
        <v>101</v>
      </c>
      <c r="H2856" s="2" t="s">
        <v>32</v>
      </c>
      <c r="I2856" s="2">
        <v>48</v>
      </c>
      <c r="J2856" s="2" t="s">
        <v>75</v>
      </c>
      <c r="K2856" s="4">
        <v>46221.00277777778</v>
      </c>
      <c r="L2856" s="2" t="s">
        <v>24</v>
      </c>
      <c r="M2856" s="2">
        <v>2</v>
      </c>
      <c r="N2856" t="s">
        <v>8586</v>
      </c>
      <c r="O2856" s="8">
        <f t="shared" si="88"/>
        <v>29.299999999988358</v>
      </c>
      <c r="P2856" t="str">
        <f t="shared" si="89"/>
        <v>N/A</v>
      </c>
    </row>
    <row r="2857" spans="1:16" x14ac:dyDescent="0.25">
      <c r="A2857" s="2" t="s">
        <v>7675</v>
      </c>
      <c r="B2857" s="4">
        <v>46206.417361111111</v>
      </c>
      <c r="C2857" s="2" t="s">
        <v>16</v>
      </c>
      <c r="D2857" s="2" t="s">
        <v>17</v>
      </c>
      <c r="E2857" s="2" t="s">
        <v>90</v>
      </c>
      <c r="F2857" s="2" t="s">
        <v>55</v>
      </c>
      <c r="G2857" s="2" t="s">
        <v>31</v>
      </c>
      <c r="H2857" s="2" t="s">
        <v>32</v>
      </c>
      <c r="I2857" s="2">
        <v>48</v>
      </c>
      <c r="J2857" s="2" t="s">
        <v>75</v>
      </c>
      <c r="K2857" s="4">
        <v>46206.486111111109</v>
      </c>
      <c r="L2857" s="2" t="s">
        <v>24</v>
      </c>
      <c r="M2857" s="2"/>
      <c r="N2857" t="s">
        <v>8581</v>
      </c>
      <c r="O2857" s="8">
        <f t="shared" si="88"/>
        <v>1.6499999999650754</v>
      </c>
      <c r="P2857" t="str">
        <f t="shared" si="89"/>
        <v>N/A</v>
      </c>
    </row>
    <row r="2858" spans="1:16" x14ac:dyDescent="0.25">
      <c r="A2858" s="2" t="s">
        <v>7678</v>
      </c>
      <c r="B2858" s="4">
        <v>46135.822222222225</v>
      </c>
      <c r="C2858" s="2" t="s">
        <v>67</v>
      </c>
      <c r="D2858" s="2" t="s">
        <v>95</v>
      </c>
      <c r="E2858" s="2" t="s">
        <v>90</v>
      </c>
      <c r="F2858" s="2" t="s">
        <v>96</v>
      </c>
      <c r="G2858" s="2" t="s">
        <v>31</v>
      </c>
      <c r="H2858" s="2" t="s">
        <v>21</v>
      </c>
      <c r="I2858" s="2">
        <v>24</v>
      </c>
      <c r="J2858" s="2" t="s">
        <v>75</v>
      </c>
      <c r="K2858" s="4">
        <v>46136.48541666667</v>
      </c>
      <c r="L2858" s="2" t="s">
        <v>24</v>
      </c>
      <c r="M2858" s="2">
        <v>2</v>
      </c>
      <c r="N2858" t="s">
        <v>8589</v>
      </c>
      <c r="O2858" s="8">
        <f t="shared" si="88"/>
        <v>15.916666666686069</v>
      </c>
      <c r="P2858" t="str">
        <f t="shared" si="89"/>
        <v>N/A</v>
      </c>
    </row>
    <row r="2859" spans="1:16" x14ac:dyDescent="0.25">
      <c r="A2859" s="2" t="s">
        <v>7681</v>
      </c>
      <c r="B2859" s="4">
        <v>46210.845138888886</v>
      </c>
      <c r="C2859" s="2" t="s">
        <v>53</v>
      </c>
      <c r="D2859" s="2" t="s">
        <v>54</v>
      </c>
      <c r="E2859" s="2" t="s">
        <v>79</v>
      </c>
      <c r="F2859" s="2" t="s">
        <v>113</v>
      </c>
      <c r="G2859" s="2" t="s">
        <v>183</v>
      </c>
      <c r="H2859" s="2" t="s">
        <v>32</v>
      </c>
      <c r="I2859" s="2">
        <v>48</v>
      </c>
      <c r="J2859" s="2" t="s">
        <v>75</v>
      </c>
      <c r="K2859" s="4">
        <v>46211.90902777778</v>
      </c>
      <c r="L2859" s="2" t="s">
        <v>24</v>
      </c>
      <c r="M2859" s="2">
        <v>1</v>
      </c>
      <c r="N2859" t="s">
        <v>8582</v>
      </c>
      <c r="O2859" s="8">
        <f t="shared" si="88"/>
        <v>25.533333333441988</v>
      </c>
      <c r="P2859" t="str">
        <f t="shared" si="89"/>
        <v>N/A</v>
      </c>
    </row>
    <row r="2860" spans="1:16" x14ac:dyDescent="0.25">
      <c r="A2860" s="2" t="s">
        <v>7684</v>
      </c>
      <c r="B2860" s="4">
        <v>46121.043055555558</v>
      </c>
      <c r="C2860" s="2" t="s">
        <v>67</v>
      </c>
      <c r="D2860" s="2" t="s">
        <v>95</v>
      </c>
      <c r="E2860" s="2" t="s">
        <v>79</v>
      </c>
      <c r="F2860" s="2" t="s">
        <v>113</v>
      </c>
      <c r="G2860" s="2" t="s">
        <v>183</v>
      </c>
      <c r="H2860" s="2" t="s">
        <v>74</v>
      </c>
      <c r="I2860" s="2">
        <v>8</v>
      </c>
      <c r="J2860" s="2" t="s">
        <v>149</v>
      </c>
      <c r="K2860" s="4" t="s">
        <v>8590</v>
      </c>
      <c r="L2860" s="2" t="s">
        <v>24</v>
      </c>
      <c r="M2860" s="2"/>
      <c r="N2860" t="s">
        <v>8581</v>
      </c>
      <c r="O2860" s="8" t="str">
        <f t="shared" si="88"/>
        <v/>
      </c>
      <c r="P2860" t="str">
        <f t="shared" si="89"/>
        <v>N/A</v>
      </c>
    </row>
    <row r="2861" spans="1:16" x14ac:dyDescent="0.25">
      <c r="A2861" s="2" t="s">
        <v>7686</v>
      </c>
      <c r="B2861" s="4">
        <v>46256.989583333336</v>
      </c>
      <c r="C2861" s="2" t="s">
        <v>28</v>
      </c>
      <c r="D2861" s="2" t="s">
        <v>100</v>
      </c>
      <c r="E2861" s="2" t="s">
        <v>79</v>
      </c>
      <c r="F2861" s="2" t="s">
        <v>55</v>
      </c>
      <c r="G2861" s="2" t="s">
        <v>31</v>
      </c>
      <c r="H2861" s="2" t="s">
        <v>74</v>
      </c>
      <c r="I2861" s="2">
        <v>8</v>
      </c>
      <c r="J2861" s="2" t="s">
        <v>75</v>
      </c>
      <c r="K2861" s="4">
        <v>46257.179861111108</v>
      </c>
      <c r="L2861" s="2" t="s">
        <v>24</v>
      </c>
      <c r="M2861" s="2">
        <v>5</v>
      </c>
      <c r="N2861" t="s">
        <v>8589</v>
      </c>
      <c r="O2861" s="8">
        <f t="shared" si="88"/>
        <v>4.5666666665347293</v>
      </c>
      <c r="P2861" t="str">
        <f t="shared" si="89"/>
        <v>N/A</v>
      </c>
    </row>
    <row r="2862" spans="1:16" x14ac:dyDescent="0.25">
      <c r="A2862" s="2" t="s">
        <v>7689</v>
      </c>
      <c r="B2862" s="4">
        <v>46027.354861111111</v>
      </c>
      <c r="C2862" s="2" t="s">
        <v>53</v>
      </c>
      <c r="D2862" s="2" t="s">
        <v>54</v>
      </c>
      <c r="E2862" s="2" t="s">
        <v>85</v>
      </c>
      <c r="F2862" s="2" t="s">
        <v>55</v>
      </c>
      <c r="G2862" s="2" t="s">
        <v>31</v>
      </c>
      <c r="H2862" s="2" t="s">
        <v>21</v>
      </c>
      <c r="I2862" s="2">
        <v>24</v>
      </c>
      <c r="J2862" s="2" t="s">
        <v>75</v>
      </c>
      <c r="K2862" s="4">
        <v>46028.027083333334</v>
      </c>
      <c r="L2862" s="2" t="s">
        <v>24</v>
      </c>
      <c r="M2862" s="2">
        <v>4</v>
      </c>
      <c r="N2862" t="s">
        <v>8583</v>
      </c>
      <c r="O2862" s="8">
        <f t="shared" si="88"/>
        <v>16.133333333360497</v>
      </c>
      <c r="P2862" t="str">
        <f t="shared" si="89"/>
        <v>N/A</v>
      </c>
    </row>
    <row r="2863" spans="1:16" x14ac:dyDescent="0.25">
      <c r="A2863" s="2" t="s">
        <v>7692</v>
      </c>
      <c r="B2863" s="4">
        <v>46181.361805555556</v>
      </c>
      <c r="C2863" s="2" t="s">
        <v>67</v>
      </c>
      <c r="D2863" s="2" t="s">
        <v>95</v>
      </c>
      <c r="E2863" s="2" t="s">
        <v>90</v>
      </c>
      <c r="F2863" s="2" t="s">
        <v>96</v>
      </c>
      <c r="G2863" s="2" t="s">
        <v>110</v>
      </c>
      <c r="H2863" s="2" t="s">
        <v>74</v>
      </c>
      <c r="I2863" s="2">
        <v>8</v>
      </c>
      <c r="J2863" s="2" t="s">
        <v>75</v>
      </c>
      <c r="K2863" s="4">
        <v>46181.5625</v>
      </c>
      <c r="L2863" s="2" t="s">
        <v>24</v>
      </c>
      <c r="M2863" s="2">
        <v>4</v>
      </c>
      <c r="N2863" t="s">
        <v>8588</v>
      </c>
      <c r="O2863" s="8">
        <f t="shared" si="88"/>
        <v>4.8166666666511446</v>
      </c>
      <c r="P2863" t="str">
        <f t="shared" si="89"/>
        <v>N/A</v>
      </c>
    </row>
    <row r="2864" spans="1:16" x14ac:dyDescent="0.25">
      <c r="A2864" s="2" t="s">
        <v>7695</v>
      </c>
      <c r="B2864" s="4">
        <v>46112.456250000003</v>
      </c>
      <c r="C2864" s="2" t="s">
        <v>53</v>
      </c>
      <c r="D2864" s="2" t="s">
        <v>61</v>
      </c>
      <c r="E2864" s="2" t="s">
        <v>148</v>
      </c>
      <c r="F2864" s="2" t="s">
        <v>30</v>
      </c>
      <c r="G2864" s="2" t="s">
        <v>110</v>
      </c>
      <c r="H2864" s="2" t="s">
        <v>21</v>
      </c>
      <c r="I2864" s="2">
        <v>24</v>
      </c>
      <c r="J2864" s="2" t="s">
        <v>106</v>
      </c>
      <c r="K2864" s="4">
        <v>46112.623611111114</v>
      </c>
      <c r="L2864" s="2" t="s">
        <v>24</v>
      </c>
      <c r="M2864" s="2"/>
      <c r="N2864" t="s">
        <v>8589</v>
      </c>
      <c r="O2864" s="8">
        <f t="shared" si="88"/>
        <v>4.0166666666627862</v>
      </c>
      <c r="P2864" t="str">
        <f t="shared" si="89"/>
        <v>Yes</v>
      </c>
    </row>
    <row r="2865" spans="1:16" x14ac:dyDescent="0.25">
      <c r="A2865" s="2" t="s">
        <v>7698</v>
      </c>
      <c r="B2865" s="4">
        <v>46182.897222222222</v>
      </c>
      <c r="C2865" s="2" t="s">
        <v>16</v>
      </c>
      <c r="D2865" s="2" t="s">
        <v>84</v>
      </c>
      <c r="E2865" s="2" t="s">
        <v>85</v>
      </c>
      <c r="F2865" s="2" t="s">
        <v>55</v>
      </c>
      <c r="G2865" s="2" t="s">
        <v>31</v>
      </c>
      <c r="H2865" s="2" t="s">
        <v>74</v>
      </c>
      <c r="I2865" s="2">
        <v>8</v>
      </c>
      <c r="J2865" s="2" t="s">
        <v>106</v>
      </c>
      <c r="K2865" s="4">
        <v>46183.673611111109</v>
      </c>
      <c r="L2865" s="2" t="s">
        <v>24</v>
      </c>
      <c r="M2865" s="2">
        <v>5</v>
      </c>
      <c r="N2865" t="s">
        <v>8581</v>
      </c>
      <c r="O2865" s="8">
        <f t="shared" si="88"/>
        <v>18.633333333302289</v>
      </c>
      <c r="P2865" t="str">
        <f t="shared" si="89"/>
        <v>No</v>
      </c>
    </row>
    <row r="2866" spans="1:16" x14ac:dyDescent="0.25">
      <c r="A2866" s="2" t="s">
        <v>7701</v>
      </c>
      <c r="B2866" s="4">
        <v>46193.955555555556</v>
      </c>
      <c r="C2866" s="2" t="s">
        <v>16</v>
      </c>
      <c r="D2866" s="2" t="s">
        <v>84</v>
      </c>
      <c r="E2866" s="2" t="s">
        <v>148</v>
      </c>
      <c r="F2866" s="2" t="s">
        <v>55</v>
      </c>
      <c r="G2866" s="2" t="s">
        <v>31</v>
      </c>
      <c r="H2866" s="2" t="s">
        <v>32</v>
      </c>
      <c r="I2866" s="2">
        <v>48</v>
      </c>
      <c r="J2866" s="2" t="s">
        <v>106</v>
      </c>
      <c r="K2866" s="4">
        <v>46194.454861111109</v>
      </c>
      <c r="L2866" s="2" t="s">
        <v>24</v>
      </c>
      <c r="M2866" s="2">
        <v>5</v>
      </c>
      <c r="N2866" t="s">
        <v>8589</v>
      </c>
      <c r="O2866" s="8">
        <f t="shared" si="88"/>
        <v>11.983333333279006</v>
      </c>
      <c r="P2866" t="str">
        <f t="shared" si="89"/>
        <v>Yes</v>
      </c>
    </row>
    <row r="2867" spans="1:16" x14ac:dyDescent="0.25">
      <c r="A2867" s="2" t="s">
        <v>7704</v>
      </c>
      <c r="B2867" s="4">
        <v>46181.824999999997</v>
      </c>
      <c r="C2867" s="2" t="s">
        <v>53</v>
      </c>
      <c r="D2867" s="2" t="s">
        <v>54</v>
      </c>
      <c r="E2867" s="2" t="s">
        <v>90</v>
      </c>
      <c r="F2867" s="2" t="s">
        <v>113</v>
      </c>
      <c r="G2867" s="2" t="s">
        <v>101</v>
      </c>
      <c r="H2867" s="2" t="s">
        <v>74</v>
      </c>
      <c r="I2867" s="2">
        <v>8</v>
      </c>
      <c r="J2867" s="2" t="s">
        <v>106</v>
      </c>
      <c r="K2867" s="4">
        <v>46182.01666666667</v>
      </c>
      <c r="L2867" s="2" t="s">
        <v>24</v>
      </c>
      <c r="M2867" s="2">
        <v>4</v>
      </c>
      <c r="N2867" t="s">
        <v>8581</v>
      </c>
      <c r="O2867" s="8">
        <f t="shared" si="88"/>
        <v>4.6000000001513399</v>
      </c>
      <c r="P2867" t="str">
        <f t="shared" si="89"/>
        <v>Yes</v>
      </c>
    </row>
    <row r="2868" spans="1:16" x14ac:dyDescent="0.25">
      <c r="A2868" s="2" t="s">
        <v>7707</v>
      </c>
      <c r="B2868" s="4">
        <v>46180.354861111111</v>
      </c>
      <c r="C2868" s="2" t="s">
        <v>28</v>
      </c>
      <c r="D2868" s="2" t="s">
        <v>100</v>
      </c>
      <c r="E2868" s="2" t="s">
        <v>90</v>
      </c>
      <c r="F2868" s="2" t="s">
        <v>96</v>
      </c>
      <c r="G2868" s="2" t="s">
        <v>101</v>
      </c>
      <c r="H2868" s="2" t="s">
        <v>21</v>
      </c>
      <c r="I2868" s="2">
        <v>24</v>
      </c>
      <c r="J2868" s="2" t="s">
        <v>8580</v>
      </c>
      <c r="K2868" s="4">
        <v>46181.207638888889</v>
      </c>
      <c r="L2868" s="2" t="s">
        <v>24</v>
      </c>
      <c r="M2868" s="2"/>
      <c r="N2868" t="s">
        <v>8582</v>
      </c>
      <c r="O2868" s="8">
        <f t="shared" si="88"/>
        <v>20.466666666674428</v>
      </c>
      <c r="P2868" t="str">
        <f t="shared" si="89"/>
        <v>N/A</v>
      </c>
    </row>
    <row r="2869" spans="1:16" x14ac:dyDescent="0.25">
      <c r="A2869" s="2" t="s">
        <v>7710</v>
      </c>
      <c r="B2869" s="4">
        <v>46037.723611111112</v>
      </c>
      <c r="C2869" s="2" t="s">
        <v>53</v>
      </c>
      <c r="D2869" s="2" t="s">
        <v>61</v>
      </c>
      <c r="E2869" s="2" t="s">
        <v>38</v>
      </c>
      <c r="F2869" s="2" t="s">
        <v>55</v>
      </c>
      <c r="G2869" s="2" t="s">
        <v>101</v>
      </c>
      <c r="H2869" s="2" t="s">
        <v>32</v>
      </c>
      <c r="I2869" s="2">
        <v>48</v>
      </c>
      <c r="J2869" s="2" t="s">
        <v>106</v>
      </c>
      <c r="K2869" s="4">
        <v>46038.884722222225</v>
      </c>
      <c r="L2869" s="2" t="s">
        <v>24</v>
      </c>
      <c r="M2869" s="2"/>
      <c r="N2869" t="s">
        <v>8585</v>
      </c>
      <c r="O2869" s="8">
        <f t="shared" si="88"/>
        <v>27.866666666697711</v>
      </c>
      <c r="P2869" t="str">
        <f t="shared" si="89"/>
        <v>Yes</v>
      </c>
    </row>
    <row r="2870" spans="1:16" x14ac:dyDescent="0.25">
      <c r="A2870" s="2" t="s">
        <v>7713</v>
      </c>
      <c r="B2870" s="4">
        <v>46050.377083333333</v>
      </c>
      <c r="C2870" s="2" t="s">
        <v>16</v>
      </c>
      <c r="D2870" s="2" t="s">
        <v>84</v>
      </c>
      <c r="E2870" s="2" t="s">
        <v>38</v>
      </c>
      <c r="F2870" s="2" t="s">
        <v>55</v>
      </c>
      <c r="G2870" s="2" t="s">
        <v>183</v>
      </c>
      <c r="H2870" s="2" t="s">
        <v>21</v>
      </c>
      <c r="I2870" s="2">
        <v>24</v>
      </c>
      <c r="J2870" s="2" t="s">
        <v>75</v>
      </c>
      <c r="K2870" s="4">
        <v>46051.663194444445</v>
      </c>
      <c r="L2870" s="2" t="s">
        <v>24</v>
      </c>
      <c r="M2870" s="2"/>
      <c r="N2870" t="s">
        <v>8582</v>
      </c>
      <c r="O2870" s="8">
        <f t="shared" si="88"/>
        <v>30.866666666697711</v>
      </c>
      <c r="P2870" t="str">
        <f t="shared" si="89"/>
        <v>N/A</v>
      </c>
    </row>
    <row r="2871" spans="1:16" x14ac:dyDescent="0.25">
      <c r="A2871" s="2" t="s">
        <v>7716</v>
      </c>
      <c r="B2871" s="4">
        <v>46176.320833333331</v>
      </c>
      <c r="C2871" s="2" t="s">
        <v>53</v>
      </c>
      <c r="D2871" s="2" t="s">
        <v>54</v>
      </c>
      <c r="E2871" s="2" t="s">
        <v>46</v>
      </c>
      <c r="F2871" s="2" t="s">
        <v>113</v>
      </c>
      <c r="G2871" s="2" t="s">
        <v>183</v>
      </c>
      <c r="H2871" s="2" t="s">
        <v>32</v>
      </c>
      <c r="I2871" s="2">
        <v>48</v>
      </c>
      <c r="J2871" s="2" t="s">
        <v>106</v>
      </c>
      <c r="K2871" s="4">
        <v>46177.479861111111</v>
      </c>
      <c r="L2871" s="2" t="s">
        <v>24</v>
      </c>
      <c r="M2871" s="2"/>
      <c r="N2871" t="s">
        <v>8582</v>
      </c>
      <c r="O2871" s="8">
        <f t="shared" si="88"/>
        <v>27.816666666709352</v>
      </c>
      <c r="P2871" t="str">
        <f t="shared" si="89"/>
        <v>Yes</v>
      </c>
    </row>
    <row r="2872" spans="1:16" x14ac:dyDescent="0.25">
      <c r="A2872" s="2" t="s">
        <v>7719</v>
      </c>
      <c r="B2872" s="4">
        <v>46147.906944444447</v>
      </c>
      <c r="C2872" s="2" t="s">
        <v>67</v>
      </c>
      <c r="D2872" s="2" t="s">
        <v>95</v>
      </c>
      <c r="E2872" s="2" t="s">
        <v>79</v>
      </c>
      <c r="F2872" s="2" t="s">
        <v>55</v>
      </c>
      <c r="G2872" s="2" t="s">
        <v>179</v>
      </c>
      <c r="H2872" s="2" t="s">
        <v>32</v>
      </c>
      <c r="I2872" s="2">
        <v>48</v>
      </c>
      <c r="J2872" s="2" t="s">
        <v>75</v>
      </c>
      <c r="K2872" s="4">
        <v>46148.554166666669</v>
      </c>
      <c r="L2872" s="2" t="s">
        <v>24</v>
      </c>
      <c r="M2872" s="2"/>
      <c r="N2872" t="s">
        <v>8583</v>
      </c>
      <c r="O2872" s="8">
        <f t="shared" si="88"/>
        <v>15.533333333325572</v>
      </c>
      <c r="P2872" t="str">
        <f t="shared" si="89"/>
        <v>N/A</v>
      </c>
    </row>
    <row r="2873" spans="1:16" x14ac:dyDescent="0.25">
      <c r="A2873" s="2" t="s">
        <v>7722</v>
      </c>
      <c r="B2873" s="4">
        <v>46156.386805555558</v>
      </c>
      <c r="C2873" s="2" t="s">
        <v>67</v>
      </c>
      <c r="D2873" s="2" t="s">
        <v>68</v>
      </c>
      <c r="E2873" s="2" t="s">
        <v>38</v>
      </c>
      <c r="F2873" s="2" t="s">
        <v>113</v>
      </c>
      <c r="G2873" s="2" t="s">
        <v>179</v>
      </c>
      <c r="H2873" s="2" t="s">
        <v>80</v>
      </c>
      <c r="I2873" s="2">
        <v>4</v>
      </c>
      <c r="J2873" s="2" t="s">
        <v>75</v>
      </c>
      <c r="K2873" s="4">
        <v>46156.522916666669</v>
      </c>
      <c r="L2873" s="2" t="s">
        <v>24</v>
      </c>
      <c r="M2873" s="2">
        <v>4</v>
      </c>
      <c r="N2873" t="s">
        <v>8586</v>
      </c>
      <c r="O2873" s="8">
        <f t="shared" si="88"/>
        <v>3.2666666666627862</v>
      </c>
      <c r="P2873" t="str">
        <f t="shared" si="89"/>
        <v>N/A</v>
      </c>
    </row>
    <row r="2874" spans="1:16" x14ac:dyDescent="0.25">
      <c r="A2874" s="2" t="s">
        <v>7725</v>
      </c>
      <c r="B2874" s="4">
        <v>46178.49722222222</v>
      </c>
      <c r="C2874" s="2" t="s">
        <v>53</v>
      </c>
      <c r="D2874" s="2" t="s">
        <v>61</v>
      </c>
      <c r="E2874" s="2" t="s">
        <v>90</v>
      </c>
      <c r="F2874" s="2" t="s">
        <v>113</v>
      </c>
      <c r="G2874" s="2" t="s">
        <v>31</v>
      </c>
      <c r="H2874" s="2" t="s">
        <v>32</v>
      </c>
      <c r="I2874" s="2">
        <v>48</v>
      </c>
      <c r="J2874" s="2" t="s">
        <v>8580</v>
      </c>
      <c r="K2874" s="4">
        <v>46182.888194444444</v>
      </c>
      <c r="L2874" s="2" t="s">
        <v>24</v>
      </c>
      <c r="M2874" s="2"/>
      <c r="N2874" t="s">
        <v>8588</v>
      </c>
      <c r="O2874" s="8">
        <f t="shared" si="88"/>
        <v>105.3833333333605</v>
      </c>
      <c r="P2874" t="str">
        <f t="shared" si="89"/>
        <v>N/A</v>
      </c>
    </row>
    <row r="2875" spans="1:16" x14ac:dyDescent="0.25">
      <c r="A2875" s="2" t="s">
        <v>7728</v>
      </c>
      <c r="B2875" s="4">
        <v>46180.38958333333</v>
      </c>
      <c r="C2875" s="2" t="s">
        <v>53</v>
      </c>
      <c r="D2875" s="2" t="s">
        <v>61</v>
      </c>
      <c r="E2875" s="2" t="s">
        <v>46</v>
      </c>
      <c r="F2875" s="2" t="s">
        <v>113</v>
      </c>
      <c r="G2875" s="2" t="s">
        <v>31</v>
      </c>
      <c r="H2875" s="2" t="s">
        <v>80</v>
      </c>
      <c r="I2875" s="2">
        <v>4</v>
      </c>
      <c r="J2875" s="2" t="s">
        <v>106</v>
      </c>
      <c r="K2875" s="4">
        <v>46180.511805555558</v>
      </c>
      <c r="L2875" s="2" t="s">
        <v>24</v>
      </c>
      <c r="M2875" s="2">
        <v>3</v>
      </c>
      <c r="N2875" t="s">
        <v>8584</v>
      </c>
      <c r="O2875" s="8">
        <f t="shared" si="88"/>
        <v>2.9333333334652707</v>
      </c>
      <c r="P2875" t="str">
        <f t="shared" si="89"/>
        <v>Yes</v>
      </c>
    </row>
    <row r="2876" spans="1:16" x14ac:dyDescent="0.25">
      <c r="A2876" s="2" t="s">
        <v>7731</v>
      </c>
      <c r="B2876" s="4">
        <v>46099.277083333334</v>
      </c>
      <c r="C2876" s="2" t="s">
        <v>28</v>
      </c>
      <c r="D2876" s="2" t="s">
        <v>100</v>
      </c>
      <c r="E2876" s="2" t="s">
        <v>18</v>
      </c>
      <c r="F2876" s="2" t="s">
        <v>96</v>
      </c>
      <c r="G2876" s="2" t="s">
        <v>101</v>
      </c>
      <c r="H2876" s="2" t="s">
        <v>21</v>
      </c>
      <c r="I2876" s="2">
        <v>24</v>
      </c>
      <c r="J2876" s="2" t="s">
        <v>287</v>
      </c>
      <c r="K2876" s="4" t="s">
        <v>8590</v>
      </c>
      <c r="L2876" s="2" t="s">
        <v>24</v>
      </c>
      <c r="M2876" s="2"/>
      <c r="N2876" t="s">
        <v>8589</v>
      </c>
      <c r="O2876" s="8" t="str">
        <f t="shared" si="88"/>
        <v/>
      </c>
      <c r="P2876" t="str">
        <f t="shared" si="89"/>
        <v>N/A</v>
      </c>
    </row>
    <row r="2877" spans="1:16" x14ac:dyDescent="0.25">
      <c r="A2877" s="2" t="s">
        <v>7733</v>
      </c>
      <c r="B2877" s="4">
        <v>46193.022916666669</v>
      </c>
      <c r="C2877" s="2" t="s">
        <v>53</v>
      </c>
      <c r="D2877" s="2" t="s">
        <v>54</v>
      </c>
      <c r="E2877" s="2" t="s">
        <v>18</v>
      </c>
      <c r="F2877" s="2" t="s">
        <v>55</v>
      </c>
      <c r="G2877" s="2" t="s">
        <v>179</v>
      </c>
      <c r="H2877" s="2" t="s">
        <v>80</v>
      </c>
      <c r="I2877" s="2">
        <v>4</v>
      </c>
      <c r="J2877" s="2" t="s">
        <v>287</v>
      </c>
      <c r="K2877" s="4" t="s">
        <v>8590</v>
      </c>
      <c r="L2877" s="2" t="s">
        <v>24</v>
      </c>
      <c r="M2877" s="2"/>
      <c r="N2877" t="s">
        <v>8588</v>
      </c>
      <c r="O2877" s="8" t="str">
        <f t="shared" si="88"/>
        <v/>
      </c>
      <c r="P2877" t="str">
        <f t="shared" si="89"/>
        <v>N/A</v>
      </c>
    </row>
    <row r="2878" spans="1:16" x14ac:dyDescent="0.25">
      <c r="A2878" s="2" t="s">
        <v>7735</v>
      </c>
      <c r="B2878" s="4">
        <v>46099.656944444447</v>
      </c>
      <c r="C2878" s="2" t="s">
        <v>53</v>
      </c>
      <c r="D2878" s="2" t="s">
        <v>61</v>
      </c>
      <c r="E2878" s="2" t="s">
        <v>90</v>
      </c>
      <c r="F2878" s="2" t="s">
        <v>55</v>
      </c>
      <c r="G2878" s="2" t="s">
        <v>179</v>
      </c>
      <c r="H2878" s="2" t="s">
        <v>21</v>
      </c>
      <c r="I2878" s="2">
        <v>24</v>
      </c>
      <c r="J2878" s="2" t="s">
        <v>8580</v>
      </c>
      <c r="K2878" s="4">
        <v>46100.060416666667</v>
      </c>
      <c r="L2878" s="2" t="s">
        <v>24</v>
      </c>
      <c r="M2878" s="2"/>
      <c r="N2878" t="s">
        <v>8589</v>
      </c>
      <c r="O2878" s="8">
        <f t="shared" si="88"/>
        <v>9.6833333332906477</v>
      </c>
      <c r="P2878" t="str">
        <f t="shared" si="89"/>
        <v>N/A</v>
      </c>
    </row>
    <row r="2879" spans="1:16" x14ac:dyDescent="0.25">
      <c r="A2879" s="2" t="s">
        <v>7738</v>
      </c>
      <c r="B2879" s="4">
        <v>46194.007638888892</v>
      </c>
      <c r="C2879" s="2" t="s">
        <v>67</v>
      </c>
      <c r="D2879" s="2" t="s">
        <v>95</v>
      </c>
      <c r="E2879" s="2" t="s">
        <v>90</v>
      </c>
      <c r="F2879" s="2" t="s">
        <v>96</v>
      </c>
      <c r="G2879" s="2" t="s">
        <v>183</v>
      </c>
      <c r="H2879" s="2" t="s">
        <v>32</v>
      </c>
      <c r="I2879" s="2">
        <v>48</v>
      </c>
      <c r="J2879" s="2" t="s">
        <v>8580</v>
      </c>
      <c r="K2879" s="4">
        <v>46195.176388888889</v>
      </c>
      <c r="L2879" s="2" t="s">
        <v>24</v>
      </c>
      <c r="M2879" s="2"/>
      <c r="N2879" t="s">
        <v>8581</v>
      </c>
      <c r="O2879" s="8">
        <f t="shared" si="88"/>
        <v>28.049999999930151</v>
      </c>
      <c r="P2879" t="str">
        <f t="shared" si="89"/>
        <v>N/A</v>
      </c>
    </row>
    <row r="2880" spans="1:16" x14ac:dyDescent="0.25">
      <c r="A2880" s="2" t="s">
        <v>7741</v>
      </c>
      <c r="B2880" s="4">
        <v>46213.082638888889</v>
      </c>
      <c r="C2880" s="2" t="s">
        <v>16</v>
      </c>
      <c r="D2880" s="2" t="s">
        <v>17</v>
      </c>
      <c r="E2880" s="2" t="s">
        <v>79</v>
      </c>
      <c r="F2880" s="2" t="s">
        <v>55</v>
      </c>
      <c r="G2880" s="2" t="s">
        <v>31</v>
      </c>
      <c r="H2880" s="2" t="s">
        <v>80</v>
      </c>
      <c r="I2880" s="2">
        <v>4</v>
      </c>
      <c r="J2880" s="2" t="s">
        <v>106</v>
      </c>
      <c r="K2880" s="4">
        <v>46213.163194444445</v>
      </c>
      <c r="L2880" s="2" t="s">
        <v>24</v>
      </c>
      <c r="M2880" s="2">
        <v>5</v>
      </c>
      <c r="N2880" t="s">
        <v>8584</v>
      </c>
      <c r="O2880" s="8">
        <f t="shared" si="88"/>
        <v>1.9333333333488554</v>
      </c>
      <c r="P2880" t="str">
        <f t="shared" si="89"/>
        <v>Yes</v>
      </c>
    </row>
    <row r="2881" spans="1:16" x14ac:dyDescent="0.25">
      <c r="A2881" s="2" t="s">
        <v>7744</v>
      </c>
      <c r="B2881" s="4">
        <v>46193.623611111114</v>
      </c>
      <c r="C2881" s="2" t="s">
        <v>53</v>
      </c>
      <c r="D2881" s="2" t="s">
        <v>54</v>
      </c>
      <c r="E2881" s="2" t="s">
        <v>38</v>
      </c>
      <c r="F2881" s="2" t="s">
        <v>55</v>
      </c>
      <c r="G2881" s="2" t="s">
        <v>101</v>
      </c>
      <c r="H2881" s="2" t="s">
        <v>32</v>
      </c>
      <c r="I2881" s="2">
        <v>48</v>
      </c>
      <c r="J2881" s="2" t="s">
        <v>106</v>
      </c>
      <c r="K2881" s="4">
        <v>46195.334722222222</v>
      </c>
      <c r="L2881" s="2" t="s">
        <v>24</v>
      </c>
      <c r="M2881" s="2">
        <v>4</v>
      </c>
      <c r="N2881" t="s">
        <v>8585</v>
      </c>
      <c r="O2881" s="8">
        <f t="shared" si="88"/>
        <v>41.066666666592937</v>
      </c>
      <c r="P2881" t="str">
        <f t="shared" si="89"/>
        <v>Yes</v>
      </c>
    </row>
    <row r="2882" spans="1:16" x14ac:dyDescent="0.25">
      <c r="A2882" s="2" t="s">
        <v>7747</v>
      </c>
      <c r="B2882" s="4">
        <v>46117.102083333331</v>
      </c>
      <c r="C2882" s="2" t="s">
        <v>53</v>
      </c>
      <c r="D2882" s="2" t="s">
        <v>61</v>
      </c>
      <c r="E2882" s="2" t="s">
        <v>148</v>
      </c>
      <c r="F2882" s="2" t="s">
        <v>113</v>
      </c>
      <c r="G2882" s="2" t="s">
        <v>183</v>
      </c>
      <c r="H2882" s="2" t="s">
        <v>32</v>
      </c>
      <c r="I2882" s="2">
        <v>48</v>
      </c>
      <c r="J2882" s="2" t="s">
        <v>106</v>
      </c>
      <c r="K2882" s="4">
        <v>46118.379861111112</v>
      </c>
      <c r="L2882" s="2" t="s">
        <v>24</v>
      </c>
      <c r="M2882" s="2">
        <v>5</v>
      </c>
      <c r="N2882" t="s">
        <v>8583</v>
      </c>
      <c r="O2882" s="8">
        <f t="shared" si="88"/>
        <v>30.666666666744277</v>
      </c>
      <c r="P2882" t="str">
        <f t="shared" si="89"/>
        <v>Yes</v>
      </c>
    </row>
    <row r="2883" spans="1:16" x14ac:dyDescent="0.25">
      <c r="A2883" s="2" t="s">
        <v>7750</v>
      </c>
      <c r="B2883" s="4">
        <v>46052.61041666667</v>
      </c>
      <c r="C2883" s="2" t="s">
        <v>53</v>
      </c>
      <c r="D2883" s="2" t="s">
        <v>54</v>
      </c>
      <c r="E2883" s="2" t="s">
        <v>148</v>
      </c>
      <c r="F2883" s="2" t="s">
        <v>113</v>
      </c>
      <c r="G2883" s="2" t="s">
        <v>31</v>
      </c>
      <c r="H2883" s="2" t="s">
        <v>21</v>
      </c>
      <c r="I2883" s="2">
        <v>24</v>
      </c>
      <c r="J2883" s="2" t="s">
        <v>106</v>
      </c>
      <c r="K2883" s="4">
        <v>46055.170138888891</v>
      </c>
      <c r="L2883" s="2" t="s">
        <v>24</v>
      </c>
      <c r="M2883" s="2">
        <v>4</v>
      </c>
      <c r="N2883" t="s">
        <v>8585</v>
      </c>
      <c r="O2883" s="8">
        <f t="shared" ref="O2883:O2946" si="90">IF(K2883="","",IF(K2883="Missing Resolve Date","",(K2883-B2883)*24))</f>
        <v>61.433333333290648</v>
      </c>
      <c r="P2883" t="str">
        <f t="shared" ref="P2883:P2946" si="91">IF(J2883="Resolved",IF(O2883&lt;=I2883,"Yes","No"),"N/A")</f>
        <v>No</v>
      </c>
    </row>
    <row r="2884" spans="1:16" x14ac:dyDescent="0.25">
      <c r="A2884" s="2" t="s">
        <v>7753</v>
      </c>
      <c r="B2884" s="4">
        <v>46059.72152777778</v>
      </c>
      <c r="C2884" s="2" t="s">
        <v>67</v>
      </c>
      <c r="D2884" s="2" t="s">
        <v>95</v>
      </c>
      <c r="E2884" s="2" t="s">
        <v>90</v>
      </c>
      <c r="F2884" s="2" t="s">
        <v>96</v>
      </c>
      <c r="G2884" s="2" t="s">
        <v>31</v>
      </c>
      <c r="H2884" s="2" t="s">
        <v>32</v>
      </c>
      <c r="I2884" s="2">
        <v>48</v>
      </c>
      <c r="J2884" s="2" t="s">
        <v>75</v>
      </c>
      <c r="K2884" s="4">
        <v>46064.534722222219</v>
      </c>
      <c r="L2884" s="2" t="s">
        <v>24</v>
      </c>
      <c r="M2884" s="2">
        <v>3</v>
      </c>
      <c r="N2884" t="s">
        <v>8582</v>
      </c>
      <c r="O2884" s="8">
        <f t="shared" si="90"/>
        <v>115.51666666654637</v>
      </c>
      <c r="P2884" t="str">
        <f t="shared" si="91"/>
        <v>N/A</v>
      </c>
    </row>
    <row r="2885" spans="1:16" x14ac:dyDescent="0.25">
      <c r="A2885" s="2" t="s">
        <v>7756</v>
      </c>
      <c r="B2885" s="4">
        <v>46066.26458333333</v>
      </c>
      <c r="C2885" s="2" t="s">
        <v>67</v>
      </c>
      <c r="D2885" s="2" t="s">
        <v>68</v>
      </c>
      <c r="E2885" s="2" t="s">
        <v>148</v>
      </c>
      <c r="F2885" s="2" t="s">
        <v>55</v>
      </c>
      <c r="G2885" s="2" t="s">
        <v>183</v>
      </c>
      <c r="H2885" s="2" t="s">
        <v>74</v>
      </c>
      <c r="I2885" s="2">
        <v>8</v>
      </c>
      <c r="J2885" s="2" t="s">
        <v>149</v>
      </c>
      <c r="K2885" s="4" t="s">
        <v>8590</v>
      </c>
      <c r="L2885" s="2" t="s">
        <v>24</v>
      </c>
      <c r="M2885" s="2"/>
      <c r="N2885" t="s">
        <v>8586</v>
      </c>
      <c r="O2885" s="8" t="str">
        <f t="shared" si="90"/>
        <v/>
      </c>
      <c r="P2885" t="str">
        <f t="shared" si="91"/>
        <v>N/A</v>
      </c>
    </row>
    <row r="2886" spans="1:16" x14ac:dyDescent="0.25">
      <c r="A2886" s="2" t="s">
        <v>7758</v>
      </c>
      <c r="B2886" s="4">
        <v>46228.151388888888</v>
      </c>
      <c r="C2886" s="2" t="s">
        <v>53</v>
      </c>
      <c r="D2886" s="2" t="s">
        <v>54</v>
      </c>
      <c r="E2886" s="2" t="s">
        <v>79</v>
      </c>
      <c r="F2886" s="2" t="s">
        <v>55</v>
      </c>
      <c r="G2886" s="2" t="s">
        <v>101</v>
      </c>
      <c r="H2886" s="2" t="s">
        <v>80</v>
      </c>
      <c r="I2886" s="2">
        <v>4</v>
      </c>
      <c r="J2886" s="2" t="s">
        <v>11</v>
      </c>
      <c r="K2886" s="4" t="s">
        <v>8590</v>
      </c>
      <c r="L2886" s="2" t="s">
        <v>92</v>
      </c>
      <c r="M2886" s="2"/>
      <c r="N2886" t="s">
        <v>8582</v>
      </c>
      <c r="O2886" s="8" t="str">
        <f t="shared" si="90"/>
        <v/>
      </c>
      <c r="P2886" t="str">
        <f t="shared" si="91"/>
        <v>N/A</v>
      </c>
    </row>
    <row r="2887" spans="1:16" x14ac:dyDescent="0.25">
      <c r="A2887" s="2" t="s">
        <v>7760</v>
      </c>
      <c r="B2887" s="4">
        <v>46249.208333333336</v>
      </c>
      <c r="C2887" s="2" t="s">
        <v>53</v>
      </c>
      <c r="D2887" s="2" t="s">
        <v>54</v>
      </c>
      <c r="E2887" s="2" t="s">
        <v>79</v>
      </c>
      <c r="F2887" s="2" t="s">
        <v>30</v>
      </c>
      <c r="G2887" s="2" t="s">
        <v>179</v>
      </c>
      <c r="H2887" s="2" t="s">
        <v>21</v>
      </c>
      <c r="I2887" s="2">
        <v>24</v>
      </c>
      <c r="J2887" s="2" t="s">
        <v>149</v>
      </c>
      <c r="K2887" s="4" t="s">
        <v>8590</v>
      </c>
      <c r="L2887" s="2" t="s">
        <v>24</v>
      </c>
      <c r="M2887" s="2"/>
      <c r="N2887" t="s">
        <v>8581</v>
      </c>
      <c r="O2887" s="8" t="str">
        <f t="shared" si="90"/>
        <v/>
      </c>
      <c r="P2887" t="str">
        <f t="shared" si="91"/>
        <v>N/A</v>
      </c>
    </row>
    <row r="2888" spans="1:16" x14ac:dyDescent="0.25">
      <c r="A2888" s="2" t="s">
        <v>7762</v>
      </c>
      <c r="B2888" s="4">
        <v>46121.624305555553</v>
      </c>
      <c r="C2888" s="2" t="s">
        <v>67</v>
      </c>
      <c r="D2888" s="2" t="s">
        <v>68</v>
      </c>
      <c r="E2888" s="2" t="s">
        <v>38</v>
      </c>
      <c r="F2888" s="2" t="s">
        <v>113</v>
      </c>
      <c r="G2888" s="2" t="s">
        <v>110</v>
      </c>
      <c r="H2888" s="2" t="s">
        <v>32</v>
      </c>
      <c r="I2888" s="2">
        <v>48</v>
      </c>
      <c r="J2888" s="2" t="s">
        <v>106</v>
      </c>
      <c r="K2888" s="4">
        <v>46121.699305555558</v>
      </c>
      <c r="L2888" s="2" t="s">
        <v>24</v>
      </c>
      <c r="M2888" s="2">
        <v>4</v>
      </c>
      <c r="N2888" t="s">
        <v>8584</v>
      </c>
      <c r="O2888" s="8">
        <f t="shared" si="90"/>
        <v>1.8000000001047738</v>
      </c>
      <c r="P2888" t="str">
        <f t="shared" si="91"/>
        <v>Yes</v>
      </c>
    </row>
    <row r="2889" spans="1:16" x14ac:dyDescent="0.25">
      <c r="A2889" s="2" t="s">
        <v>7765</v>
      </c>
      <c r="B2889" s="4">
        <v>46168.872916666667</v>
      </c>
      <c r="C2889" s="2" t="s">
        <v>67</v>
      </c>
      <c r="D2889" s="2" t="s">
        <v>95</v>
      </c>
      <c r="E2889" s="2" t="s">
        <v>46</v>
      </c>
      <c r="F2889" s="2" t="s">
        <v>30</v>
      </c>
      <c r="G2889" s="2" t="s">
        <v>101</v>
      </c>
      <c r="H2889" s="2" t="s">
        <v>32</v>
      </c>
      <c r="I2889" s="2">
        <v>48</v>
      </c>
      <c r="J2889" s="2" t="s">
        <v>11</v>
      </c>
      <c r="K2889" s="4" t="s">
        <v>8590</v>
      </c>
      <c r="L2889" s="2" t="s">
        <v>92</v>
      </c>
      <c r="M2889" s="2"/>
      <c r="N2889" t="s">
        <v>8584</v>
      </c>
      <c r="O2889" s="8" t="str">
        <f t="shared" si="90"/>
        <v/>
      </c>
      <c r="P2889" t="str">
        <f t="shared" si="91"/>
        <v>N/A</v>
      </c>
    </row>
    <row r="2890" spans="1:16" x14ac:dyDescent="0.25">
      <c r="A2890" s="2" t="s">
        <v>7767</v>
      </c>
      <c r="B2890" s="4">
        <v>46045.166666666664</v>
      </c>
      <c r="C2890" s="2" t="s">
        <v>16</v>
      </c>
      <c r="D2890" s="2" t="s">
        <v>17</v>
      </c>
      <c r="E2890" s="2" t="s">
        <v>79</v>
      </c>
      <c r="F2890" s="2" t="s">
        <v>96</v>
      </c>
      <c r="G2890" s="2" t="s">
        <v>31</v>
      </c>
      <c r="H2890" s="2" t="s">
        <v>32</v>
      </c>
      <c r="I2890" s="2">
        <v>48</v>
      </c>
      <c r="J2890" s="2" t="s">
        <v>75</v>
      </c>
      <c r="K2890" s="4">
        <v>46045.493055555555</v>
      </c>
      <c r="L2890" s="2" t="s">
        <v>24</v>
      </c>
      <c r="M2890" s="2">
        <v>4</v>
      </c>
      <c r="N2890" t="s">
        <v>8589</v>
      </c>
      <c r="O2890" s="8">
        <f t="shared" si="90"/>
        <v>7.8333333333721384</v>
      </c>
      <c r="P2890" t="str">
        <f t="shared" si="91"/>
        <v>N/A</v>
      </c>
    </row>
    <row r="2891" spans="1:16" x14ac:dyDescent="0.25">
      <c r="A2891" s="2" t="s">
        <v>7770</v>
      </c>
      <c r="B2891" s="4">
        <v>46103.044444444444</v>
      </c>
      <c r="C2891" s="2" t="s">
        <v>16</v>
      </c>
      <c r="D2891" s="2" t="s">
        <v>84</v>
      </c>
      <c r="E2891" s="2" t="s">
        <v>38</v>
      </c>
      <c r="F2891" s="2" t="s">
        <v>96</v>
      </c>
      <c r="G2891" s="2" t="s">
        <v>31</v>
      </c>
      <c r="H2891" s="2" t="s">
        <v>21</v>
      </c>
      <c r="I2891" s="2">
        <v>24</v>
      </c>
      <c r="J2891" s="2" t="s">
        <v>106</v>
      </c>
      <c r="K2891" s="4">
        <v>46103.78402777778</v>
      </c>
      <c r="L2891" s="2" t="s">
        <v>24</v>
      </c>
      <c r="M2891" s="2"/>
      <c r="N2891" t="s">
        <v>8581</v>
      </c>
      <c r="O2891" s="8">
        <f t="shared" si="90"/>
        <v>17.750000000058208</v>
      </c>
      <c r="P2891" t="str">
        <f t="shared" si="91"/>
        <v>Yes</v>
      </c>
    </row>
    <row r="2892" spans="1:16" x14ac:dyDescent="0.25">
      <c r="A2892" s="2" t="s">
        <v>7773</v>
      </c>
      <c r="B2892" s="4">
        <v>46087.129861111112</v>
      </c>
      <c r="C2892" s="2" t="s">
        <v>16</v>
      </c>
      <c r="D2892" s="2" t="s">
        <v>17</v>
      </c>
      <c r="E2892" s="2" t="s">
        <v>148</v>
      </c>
      <c r="F2892" s="2" t="s">
        <v>55</v>
      </c>
      <c r="G2892" s="2" t="s">
        <v>183</v>
      </c>
      <c r="H2892" s="2" t="s">
        <v>32</v>
      </c>
      <c r="I2892" s="2">
        <v>48</v>
      </c>
      <c r="J2892" s="2" t="s">
        <v>106</v>
      </c>
      <c r="K2892" s="4">
        <v>46088.140972222223</v>
      </c>
      <c r="L2892" s="2" t="s">
        <v>24</v>
      </c>
      <c r="M2892" s="2">
        <v>2</v>
      </c>
      <c r="N2892" t="s">
        <v>8585</v>
      </c>
      <c r="O2892" s="8">
        <f t="shared" si="90"/>
        <v>24.266666666662786</v>
      </c>
      <c r="P2892" t="str">
        <f t="shared" si="91"/>
        <v>Yes</v>
      </c>
    </row>
    <row r="2893" spans="1:16" x14ac:dyDescent="0.25">
      <c r="A2893" s="2" t="s">
        <v>7776</v>
      </c>
      <c r="B2893" s="4">
        <v>46145.408333333333</v>
      </c>
      <c r="C2893" s="2" t="s">
        <v>67</v>
      </c>
      <c r="D2893" s="2" t="s">
        <v>95</v>
      </c>
      <c r="E2893" s="2" t="s">
        <v>46</v>
      </c>
      <c r="F2893" s="2" t="s">
        <v>30</v>
      </c>
      <c r="G2893" s="2" t="s">
        <v>183</v>
      </c>
      <c r="H2893" s="2" t="s">
        <v>32</v>
      </c>
      <c r="I2893" s="2">
        <v>48</v>
      </c>
      <c r="J2893" s="2" t="s">
        <v>106</v>
      </c>
      <c r="K2893" s="4">
        <v>46150.466666666667</v>
      </c>
      <c r="L2893" s="2" t="s">
        <v>24</v>
      </c>
      <c r="M2893" s="2">
        <v>5</v>
      </c>
      <c r="N2893" t="s">
        <v>8581</v>
      </c>
      <c r="O2893" s="8">
        <f t="shared" si="90"/>
        <v>121.40000000002328</v>
      </c>
      <c r="P2893" t="str">
        <f t="shared" si="91"/>
        <v>No</v>
      </c>
    </row>
    <row r="2894" spans="1:16" x14ac:dyDescent="0.25">
      <c r="A2894" s="2" t="s">
        <v>7779</v>
      </c>
      <c r="B2894" s="4">
        <v>46054.321527777778</v>
      </c>
      <c r="C2894" s="2" t="s">
        <v>67</v>
      </c>
      <c r="D2894" s="2" t="s">
        <v>68</v>
      </c>
      <c r="E2894" s="2" t="s">
        <v>148</v>
      </c>
      <c r="F2894" s="2" t="s">
        <v>96</v>
      </c>
      <c r="G2894" s="2" t="s">
        <v>110</v>
      </c>
      <c r="H2894" s="2" t="s">
        <v>21</v>
      </c>
      <c r="I2894" s="2">
        <v>24</v>
      </c>
      <c r="J2894" s="2" t="s">
        <v>106</v>
      </c>
      <c r="K2894" s="4">
        <v>46054.775694444441</v>
      </c>
      <c r="L2894" s="2" t="s">
        <v>24</v>
      </c>
      <c r="M2894" s="2">
        <v>4</v>
      </c>
      <c r="N2894" t="s">
        <v>8581</v>
      </c>
      <c r="O2894" s="8">
        <f t="shared" si="90"/>
        <v>10.899999999906868</v>
      </c>
      <c r="P2894" t="str">
        <f t="shared" si="91"/>
        <v>Yes</v>
      </c>
    </row>
    <row r="2895" spans="1:16" x14ac:dyDescent="0.25">
      <c r="A2895" s="2" t="s">
        <v>7782</v>
      </c>
      <c r="B2895" s="4">
        <v>46043.178472222222</v>
      </c>
      <c r="C2895" s="2" t="s">
        <v>53</v>
      </c>
      <c r="D2895" s="2" t="s">
        <v>54</v>
      </c>
      <c r="E2895" s="2" t="s">
        <v>18</v>
      </c>
      <c r="F2895" s="2" t="s">
        <v>30</v>
      </c>
      <c r="G2895" s="2" t="s">
        <v>110</v>
      </c>
      <c r="H2895" s="2" t="s">
        <v>74</v>
      </c>
      <c r="I2895" s="2">
        <v>8</v>
      </c>
      <c r="J2895" s="2" t="s">
        <v>11</v>
      </c>
      <c r="K2895" s="4" t="s">
        <v>8590</v>
      </c>
      <c r="L2895" s="2" t="s">
        <v>92</v>
      </c>
      <c r="M2895" s="2"/>
      <c r="N2895" t="s">
        <v>8583</v>
      </c>
      <c r="O2895" s="8" t="str">
        <f t="shared" si="90"/>
        <v/>
      </c>
      <c r="P2895" t="str">
        <f t="shared" si="91"/>
        <v>N/A</v>
      </c>
    </row>
    <row r="2896" spans="1:16" x14ac:dyDescent="0.25">
      <c r="A2896" s="2" t="s">
        <v>7784</v>
      </c>
      <c r="B2896" s="4">
        <v>46170.523611111108</v>
      </c>
      <c r="C2896" s="2" t="s">
        <v>16</v>
      </c>
      <c r="D2896" s="2" t="s">
        <v>17</v>
      </c>
      <c r="E2896" s="2" t="s">
        <v>18</v>
      </c>
      <c r="F2896" s="2" t="s">
        <v>96</v>
      </c>
      <c r="G2896" s="2" t="s">
        <v>110</v>
      </c>
      <c r="H2896" s="2" t="s">
        <v>32</v>
      </c>
      <c r="I2896" s="2">
        <v>48</v>
      </c>
      <c r="J2896" s="2" t="s">
        <v>149</v>
      </c>
      <c r="K2896" s="4" t="s">
        <v>8590</v>
      </c>
      <c r="L2896" s="2" t="s">
        <v>24</v>
      </c>
      <c r="M2896" s="2"/>
      <c r="N2896" t="s">
        <v>8584</v>
      </c>
      <c r="O2896" s="8" t="str">
        <f t="shared" si="90"/>
        <v/>
      </c>
      <c r="P2896" t="str">
        <f t="shared" si="91"/>
        <v>N/A</v>
      </c>
    </row>
    <row r="2897" spans="1:16" x14ac:dyDescent="0.25">
      <c r="A2897" s="2" t="s">
        <v>7786</v>
      </c>
      <c r="B2897" s="4">
        <v>46077.370833333334</v>
      </c>
      <c r="C2897" s="2" t="s">
        <v>53</v>
      </c>
      <c r="D2897" s="2" t="s">
        <v>54</v>
      </c>
      <c r="E2897" s="2" t="s">
        <v>46</v>
      </c>
      <c r="F2897" s="2" t="s">
        <v>96</v>
      </c>
      <c r="G2897" s="2" t="s">
        <v>179</v>
      </c>
      <c r="H2897" s="2" t="s">
        <v>74</v>
      </c>
      <c r="I2897" s="2">
        <v>8</v>
      </c>
      <c r="J2897" s="2" t="s">
        <v>287</v>
      </c>
      <c r="K2897" s="4" t="s">
        <v>8590</v>
      </c>
      <c r="L2897" s="2" t="s">
        <v>92</v>
      </c>
      <c r="M2897" s="2"/>
      <c r="N2897" t="s">
        <v>8584</v>
      </c>
      <c r="O2897" s="8" t="str">
        <f t="shared" si="90"/>
        <v/>
      </c>
      <c r="P2897" t="str">
        <f t="shared" si="91"/>
        <v>N/A</v>
      </c>
    </row>
    <row r="2898" spans="1:16" x14ac:dyDescent="0.25">
      <c r="A2898" s="2" t="s">
        <v>7788</v>
      </c>
      <c r="B2898" s="4">
        <v>46171.793055555558</v>
      </c>
      <c r="C2898" s="2" t="s">
        <v>16</v>
      </c>
      <c r="D2898" s="2" t="s">
        <v>17</v>
      </c>
      <c r="E2898" s="2" t="s">
        <v>18</v>
      </c>
      <c r="F2898" s="2" t="s">
        <v>55</v>
      </c>
      <c r="G2898" s="2" t="s">
        <v>101</v>
      </c>
      <c r="H2898" s="2" t="s">
        <v>80</v>
      </c>
      <c r="I2898" s="2">
        <v>4</v>
      </c>
      <c r="J2898" s="2" t="s">
        <v>106</v>
      </c>
      <c r="K2898" s="4">
        <v>46172.125694444447</v>
      </c>
      <c r="L2898" s="2" t="s">
        <v>24</v>
      </c>
      <c r="M2898" s="2"/>
      <c r="N2898" t="s">
        <v>8586</v>
      </c>
      <c r="O2898" s="8">
        <f t="shared" si="90"/>
        <v>7.9833333333372138</v>
      </c>
      <c r="P2898" t="str">
        <f t="shared" si="91"/>
        <v>No</v>
      </c>
    </row>
    <row r="2899" spans="1:16" x14ac:dyDescent="0.25">
      <c r="A2899" s="2" t="s">
        <v>7791</v>
      </c>
      <c r="B2899" s="4">
        <v>46187.805555555555</v>
      </c>
      <c r="C2899" s="2" t="s">
        <v>53</v>
      </c>
      <c r="D2899" s="2" t="s">
        <v>61</v>
      </c>
      <c r="E2899" s="2" t="s">
        <v>18</v>
      </c>
      <c r="F2899" s="2" t="s">
        <v>30</v>
      </c>
      <c r="G2899" s="2" t="s">
        <v>31</v>
      </c>
      <c r="H2899" s="2" t="s">
        <v>21</v>
      </c>
      <c r="I2899" s="2">
        <v>24</v>
      </c>
      <c r="J2899" s="2" t="s">
        <v>149</v>
      </c>
      <c r="K2899" s="4" t="s">
        <v>8590</v>
      </c>
      <c r="L2899" s="2" t="s">
        <v>24</v>
      </c>
      <c r="M2899" s="2"/>
      <c r="N2899" t="s">
        <v>8589</v>
      </c>
      <c r="O2899" s="8" t="str">
        <f t="shared" si="90"/>
        <v/>
      </c>
      <c r="P2899" t="str">
        <f t="shared" si="91"/>
        <v>N/A</v>
      </c>
    </row>
    <row r="2900" spans="1:16" x14ac:dyDescent="0.25">
      <c r="A2900" s="2" t="s">
        <v>7793</v>
      </c>
      <c r="B2900" s="4">
        <v>46091.648611111108</v>
      </c>
      <c r="C2900" s="2" t="s">
        <v>53</v>
      </c>
      <c r="D2900" s="2" t="s">
        <v>61</v>
      </c>
      <c r="E2900" s="2" t="s">
        <v>85</v>
      </c>
      <c r="F2900" s="2" t="s">
        <v>96</v>
      </c>
      <c r="G2900" s="2" t="s">
        <v>101</v>
      </c>
      <c r="H2900" s="2" t="s">
        <v>21</v>
      </c>
      <c r="I2900" s="2">
        <v>24</v>
      </c>
      <c r="J2900" s="2" t="s">
        <v>75</v>
      </c>
      <c r="K2900" s="4">
        <v>46092.260416666664</v>
      </c>
      <c r="L2900" s="2" t="s">
        <v>24</v>
      </c>
      <c r="M2900" s="2">
        <v>3</v>
      </c>
      <c r="N2900" t="s">
        <v>8584</v>
      </c>
      <c r="O2900" s="8">
        <f t="shared" si="90"/>
        <v>14.683333333348855</v>
      </c>
      <c r="P2900" t="str">
        <f t="shared" si="91"/>
        <v>N/A</v>
      </c>
    </row>
    <row r="2901" spans="1:16" x14ac:dyDescent="0.25">
      <c r="A2901" s="2" t="s">
        <v>7796</v>
      </c>
      <c r="B2901" s="4">
        <v>46056.759027777778</v>
      </c>
      <c r="C2901" s="2" t="s">
        <v>67</v>
      </c>
      <c r="D2901" s="2" t="s">
        <v>68</v>
      </c>
      <c r="E2901" s="2" t="s">
        <v>90</v>
      </c>
      <c r="F2901" s="2" t="s">
        <v>96</v>
      </c>
      <c r="G2901" s="2" t="s">
        <v>183</v>
      </c>
      <c r="H2901" s="2" t="s">
        <v>32</v>
      </c>
      <c r="I2901" s="2">
        <v>48</v>
      </c>
      <c r="J2901" s="2" t="s">
        <v>149</v>
      </c>
      <c r="K2901" s="4" t="s">
        <v>8590</v>
      </c>
      <c r="L2901" s="2" t="s">
        <v>24</v>
      </c>
      <c r="M2901" s="2"/>
      <c r="N2901" t="s">
        <v>8583</v>
      </c>
      <c r="O2901" s="8" t="str">
        <f t="shared" si="90"/>
        <v/>
      </c>
      <c r="P2901" t="str">
        <f t="shared" si="91"/>
        <v>N/A</v>
      </c>
    </row>
    <row r="2902" spans="1:16" x14ac:dyDescent="0.25">
      <c r="A2902" s="2" t="s">
        <v>7798</v>
      </c>
      <c r="B2902" s="4">
        <v>46121.113194444442</v>
      </c>
      <c r="C2902" s="2" t="s">
        <v>28</v>
      </c>
      <c r="D2902" s="2" t="s">
        <v>37</v>
      </c>
      <c r="E2902" s="2" t="s">
        <v>148</v>
      </c>
      <c r="F2902" s="2" t="s">
        <v>113</v>
      </c>
      <c r="G2902" s="2" t="s">
        <v>101</v>
      </c>
      <c r="H2902" s="2" t="s">
        <v>21</v>
      </c>
      <c r="I2902" s="2">
        <v>24</v>
      </c>
      <c r="J2902" s="2" t="s">
        <v>106</v>
      </c>
      <c r="K2902" s="4">
        <v>46121.536805555559</v>
      </c>
      <c r="L2902" s="2" t="s">
        <v>24</v>
      </c>
      <c r="M2902" s="2">
        <v>3</v>
      </c>
      <c r="N2902" t="s">
        <v>8588</v>
      </c>
      <c r="O2902" s="8">
        <f t="shared" si="90"/>
        <v>10.166666666802485</v>
      </c>
      <c r="P2902" t="str">
        <f t="shared" si="91"/>
        <v>Yes</v>
      </c>
    </row>
    <row r="2903" spans="1:16" x14ac:dyDescent="0.25">
      <c r="A2903" s="2" t="s">
        <v>7801</v>
      </c>
      <c r="B2903" s="4">
        <v>46255.470833333333</v>
      </c>
      <c r="C2903" s="2" t="s">
        <v>16</v>
      </c>
      <c r="D2903" s="2" t="s">
        <v>84</v>
      </c>
      <c r="E2903" s="2" t="s">
        <v>18</v>
      </c>
      <c r="F2903" s="2" t="s">
        <v>96</v>
      </c>
      <c r="G2903" s="2" t="s">
        <v>101</v>
      </c>
      <c r="H2903" s="2" t="s">
        <v>21</v>
      </c>
      <c r="I2903" s="2">
        <v>24</v>
      </c>
      <c r="J2903" s="2" t="s">
        <v>106</v>
      </c>
      <c r="K2903" s="4">
        <v>46255.770138888889</v>
      </c>
      <c r="L2903" s="2" t="s">
        <v>24</v>
      </c>
      <c r="M2903" s="2"/>
      <c r="N2903" t="s">
        <v>8589</v>
      </c>
      <c r="O2903" s="8">
        <f t="shared" si="90"/>
        <v>7.1833333333488554</v>
      </c>
      <c r="P2903" t="str">
        <f t="shared" si="91"/>
        <v>Yes</v>
      </c>
    </row>
    <row r="2904" spans="1:16" x14ac:dyDescent="0.25">
      <c r="A2904" s="2" t="s">
        <v>7804</v>
      </c>
      <c r="B2904" s="4">
        <v>46090.418055555558</v>
      </c>
      <c r="C2904" s="2" t="s">
        <v>16</v>
      </c>
      <c r="D2904" s="2" t="s">
        <v>84</v>
      </c>
      <c r="E2904" s="2" t="s">
        <v>90</v>
      </c>
      <c r="F2904" s="2" t="s">
        <v>96</v>
      </c>
      <c r="G2904" s="2" t="s">
        <v>183</v>
      </c>
      <c r="H2904" s="2" t="s">
        <v>21</v>
      </c>
      <c r="I2904" s="2">
        <v>24</v>
      </c>
      <c r="J2904" s="2" t="s">
        <v>287</v>
      </c>
      <c r="K2904" s="4" t="s">
        <v>8590</v>
      </c>
      <c r="L2904" s="2" t="s">
        <v>92</v>
      </c>
      <c r="M2904" s="2"/>
      <c r="N2904" t="s">
        <v>8584</v>
      </c>
      <c r="O2904" s="8" t="str">
        <f t="shared" si="90"/>
        <v/>
      </c>
      <c r="P2904" t="str">
        <f t="shared" si="91"/>
        <v>N/A</v>
      </c>
    </row>
    <row r="2905" spans="1:16" x14ac:dyDescent="0.25">
      <c r="A2905" s="2" t="s">
        <v>7806</v>
      </c>
      <c r="B2905" s="4">
        <v>46230.349305555559</v>
      </c>
      <c r="C2905" s="2" t="s">
        <v>67</v>
      </c>
      <c r="D2905" s="2" t="s">
        <v>95</v>
      </c>
      <c r="E2905" s="2" t="s">
        <v>38</v>
      </c>
      <c r="F2905" s="2" t="s">
        <v>30</v>
      </c>
      <c r="G2905" s="2" t="s">
        <v>211</v>
      </c>
      <c r="H2905" s="2" t="s">
        <v>32</v>
      </c>
      <c r="I2905" s="2">
        <v>48</v>
      </c>
      <c r="J2905" s="2" t="s">
        <v>106</v>
      </c>
      <c r="K2905" s="4">
        <v>46230.47152777778</v>
      </c>
      <c r="L2905" s="2" t="s">
        <v>24</v>
      </c>
      <c r="M2905" s="2">
        <v>2</v>
      </c>
      <c r="N2905" t="s">
        <v>8586</v>
      </c>
      <c r="O2905" s="8">
        <f t="shared" si="90"/>
        <v>2.9333333332906477</v>
      </c>
      <c r="P2905" t="str">
        <f t="shared" si="91"/>
        <v>Yes</v>
      </c>
    </row>
    <row r="2906" spans="1:16" x14ac:dyDescent="0.25">
      <c r="A2906" s="2" t="s">
        <v>7809</v>
      </c>
      <c r="B2906" s="4">
        <v>46255.643055555556</v>
      </c>
      <c r="C2906" s="2" t="s">
        <v>67</v>
      </c>
      <c r="D2906" s="2" t="s">
        <v>68</v>
      </c>
      <c r="E2906" s="2" t="s">
        <v>79</v>
      </c>
      <c r="F2906" s="2" t="s">
        <v>113</v>
      </c>
      <c r="G2906" s="2" t="s">
        <v>179</v>
      </c>
      <c r="H2906" s="2" t="s">
        <v>32</v>
      </c>
      <c r="I2906" s="2">
        <v>48</v>
      </c>
      <c r="J2906" s="2" t="s">
        <v>106</v>
      </c>
      <c r="K2906" s="4">
        <v>46256.620833333334</v>
      </c>
      <c r="L2906" s="2" t="s">
        <v>24</v>
      </c>
      <c r="M2906" s="2">
        <v>4</v>
      </c>
      <c r="N2906" t="s">
        <v>8582</v>
      </c>
      <c r="O2906" s="8">
        <f t="shared" si="90"/>
        <v>23.466666666674428</v>
      </c>
      <c r="P2906" t="str">
        <f t="shared" si="91"/>
        <v>Yes</v>
      </c>
    </row>
    <row r="2907" spans="1:16" x14ac:dyDescent="0.25">
      <c r="A2907" s="2" t="s">
        <v>7812</v>
      </c>
      <c r="B2907" s="4">
        <v>46113.182638888888</v>
      </c>
      <c r="C2907" s="2" t="s">
        <v>67</v>
      </c>
      <c r="D2907" s="2" t="s">
        <v>95</v>
      </c>
      <c r="E2907" s="2" t="s">
        <v>148</v>
      </c>
      <c r="F2907" s="2" t="s">
        <v>55</v>
      </c>
      <c r="G2907" s="2" t="s">
        <v>179</v>
      </c>
      <c r="H2907" s="2" t="s">
        <v>32</v>
      </c>
      <c r="I2907" s="2">
        <v>48</v>
      </c>
      <c r="J2907" s="2" t="s">
        <v>149</v>
      </c>
      <c r="K2907" s="4" t="s">
        <v>8590</v>
      </c>
      <c r="L2907" s="2" t="s">
        <v>24</v>
      </c>
      <c r="M2907" s="2"/>
      <c r="N2907" t="s">
        <v>8587</v>
      </c>
      <c r="O2907" s="8" t="str">
        <f t="shared" si="90"/>
        <v/>
      </c>
      <c r="P2907" t="str">
        <f t="shared" si="91"/>
        <v>N/A</v>
      </c>
    </row>
    <row r="2908" spans="1:16" x14ac:dyDescent="0.25">
      <c r="A2908" s="2" t="s">
        <v>7814</v>
      </c>
      <c r="B2908" s="4">
        <v>46203.833333333336</v>
      </c>
      <c r="C2908" s="2" t="s">
        <v>67</v>
      </c>
      <c r="D2908" s="2" t="s">
        <v>68</v>
      </c>
      <c r="E2908" s="2" t="s">
        <v>46</v>
      </c>
      <c r="F2908" s="2" t="s">
        <v>55</v>
      </c>
      <c r="G2908" s="2" t="s">
        <v>211</v>
      </c>
      <c r="H2908" s="2" t="s">
        <v>21</v>
      </c>
      <c r="I2908" s="2">
        <v>24</v>
      </c>
      <c r="J2908" s="2" t="s">
        <v>11</v>
      </c>
      <c r="K2908" s="4" t="s">
        <v>8590</v>
      </c>
      <c r="L2908" s="2" t="s">
        <v>92</v>
      </c>
      <c r="M2908" s="2"/>
      <c r="N2908" t="s">
        <v>8581</v>
      </c>
      <c r="O2908" s="8" t="str">
        <f t="shared" si="90"/>
        <v/>
      </c>
      <c r="P2908" t="str">
        <f t="shared" si="91"/>
        <v>N/A</v>
      </c>
    </row>
    <row r="2909" spans="1:16" x14ac:dyDescent="0.25">
      <c r="A2909" s="2" t="s">
        <v>7816</v>
      </c>
      <c r="B2909" s="4">
        <v>46148.481944444444</v>
      </c>
      <c r="C2909" s="2" t="s">
        <v>28</v>
      </c>
      <c r="D2909" s="2" t="s">
        <v>100</v>
      </c>
      <c r="E2909" s="2" t="s">
        <v>38</v>
      </c>
      <c r="F2909" s="2" t="s">
        <v>113</v>
      </c>
      <c r="G2909" s="2" t="s">
        <v>31</v>
      </c>
      <c r="H2909" s="2" t="s">
        <v>21</v>
      </c>
      <c r="I2909" s="2">
        <v>24</v>
      </c>
      <c r="J2909" s="2" t="s">
        <v>75</v>
      </c>
      <c r="K2909" s="4">
        <v>46148.938194444447</v>
      </c>
      <c r="L2909" s="2" t="s">
        <v>24</v>
      </c>
      <c r="M2909" s="2">
        <v>5</v>
      </c>
      <c r="N2909" t="s">
        <v>8585</v>
      </c>
      <c r="O2909" s="8">
        <f t="shared" si="90"/>
        <v>10.950000000069849</v>
      </c>
      <c r="P2909" t="str">
        <f t="shared" si="91"/>
        <v>N/A</v>
      </c>
    </row>
    <row r="2910" spans="1:16" x14ac:dyDescent="0.25">
      <c r="A2910" s="2" t="s">
        <v>7819</v>
      </c>
      <c r="B2910" s="4">
        <v>46060.605555555558</v>
      </c>
      <c r="C2910" s="2" t="s">
        <v>53</v>
      </c>
      <c r="D2910" s="2" t="s">
        <v>61</v>
      </c>
      <c r="E2910" s="2" t="s">
        <v>79</v>
      </c>
      <c r="F2910" s="2" t="s">
        <v>55</v>
      </c>
      <c r="G2910" s="2" t="s">
        <v>211</v>
      </c>
      <c r="H2910" s="2" t="s">
        <v>21</v>
      </c>
      <c r="I2910" s="2">
        <v>24</v>
      </c>
      <c r="J2910" s="2" t="s">
        <v>106</v>
      </c>
      <c r="K2910" s="4">
        <v>46061.459722222222</v>
      </c>
      <c r="L2910" s="2" t="s">
        <v>24</v>
      </c>
      <c r="M2910" s="2">
        <v>4</v>
      </c>
      <c r="N2910" t="s">
        <v>8588</v>
      </c>
      <c r="O2910" s="8">
        <f t="shared" si="90"/>
        <v>20.499999999941792</v>
      </c>
      <c r="P2910" t="str">
        <f t="shared" si="91"/>
        <v>Yes</v>
      </c>
    </row>
    <row r="2911" spans="1:16" x14ac:dyDescent="0.25">
      <c r="A2911" s="2" t="s">
        <v>7822</v>
      </c>
      <c r="B2911" s="4">
        <v>46077.92083333333</v>
      </c>
      <c r="C2911" s="2" t="s">
        <v>28</v>
      </c>
      <c r="D2911" s="2" t="s">
        <v>100</v>
      </c>
      <c r="E2911" s="2" t="s">
        <v>85</v>
      </c>
      <c r="F2911" s="2" t="s">
        <v>96</v>
      </c>
      <c r="G2911" s="2" t="s">
        <v>183</v>
      </c>
      <c r="H2911" s="2" t="s">
        <v>32</v>
      </c>
      <c r="I2911" s="2">
        <v>48</v>
      </c>
      <c r="J2911" s="2" t="s">
        <v>287</v>
      </c>
      <c r="K2911" s="4" t="s">
        <v>8590</v>
      </c>
      <c r="L2911" s="2" t="s">
        <v>92</v>
      </c>
      <c r="M2911" s="2"/>
      <c r="N2911" t="s">
        <v>8589</v>
      </c>
      <c r="O2911" s="8" t="str">
        <f t="shared" si="90"/>
        <v/>
      </c>
      <c r="P2911" t="str">
        <f t="shared" si="91"/>
        <v>N/A</v>
      </c>
    </row>
    <row r="2912" spans="1:16" x14ac:dyDescent="0.25">
      <c r="A2912" s="2" t="s">
        <v>7824</v>
      </c>
      <c r="B2912" s="4">
        <v>46091.307638888888</v>
      </c>
      <c r="C2912" s="2" t="s">
        <v>53</v>
      </c>
      <c r="D2912" s="2" t="s">
        <v>54</v>
      </c>
      <c r="E2912" s="2" t="s">
        <v>148</v>
      </c>
      <c r="F2912" s="2" t="s">
        <v>113</v>
      </c>
      <c r="G2912" s="2" t="s">
        <v>31</v>
      </c>
      <c r="H2912" s="2" t="s">
        <v>32</v>
      </c>
      <c r="I2912" s="2">
        <v>48</v>
      </c>
      <c r="J2912" s="2" t="s">
        <v>287</v>
      </c>
      <c r="K2912" s="4" t="s">
        <v>8590</v>
      </c>
      <c r="L2912" s="2" t="s">
        <v>24</v>
      </c>
      <c r="M2912" s="2"/>
      <c r="N2912" t="s">
        <v>8582</v>
      </c>
      <c r="O2912" s="8" t="str">
        <f t="shared" si="90"/>
        <v/>
      </c>
      <c r="P2912" t="str">
        <f t="shared" si="91"/>
        <v>N/A</v>
      </c>
    </row>
    <row r="2913" spans="1:16" x14ac:dyDescent="0.25">
      <c r="A2913" s="2" t="s">
        <v>7826</v>
      </c>
      <c r="B2913" s="4">
        <v>46122.970833333333</v>
      </c>
      <c r="C2913" s="2" t="s">
        <v>16</v>
      </c>
      <c r="D2913" s="2" t="s">
        <v>84</v>
      </c>
      <c r="E2913" s="2" t="s">
        <v>79</v>
      </c>
      <c r="F2913" s="2" t="s">
        <v>55</v>
      </c>
      <c r="G2913" s="2" t="s">
        <v>110</v>
      </c>
      <c r="H2913" s="2" t="s">
        <v>21</v>
      </c>
      <c r="I2913" s="2">
        <v>24</v>
      </c>
      <c r="J2913" s="2" t="s">
        <v>106</v>
      </c>
      <c r="K2913" s="4">
        <v>46124.589583333334</v>
      </c>
      <c r="L2913" s="2" t="s">
        <v>24</v>
      </c>
      <c r="M2913" s="2"/>
      <c r="N2913" t="s">
        <v>8582</v>
      </c>
      <c r="O2913" s="8">
        <f t="shared" si="90"/>
        <v>38.850000000034925</v>
      </c>
      <c r="P2913" t="str">
        <f t="shared" si="91"/>
        <v>No</v>
      </c>
    </row>
    <row r="2914" spans="1:16" x14ac:dyDescent="0.25">
      <c r="A2914" s="2" t="s">
        <v>7829</v>
      </c>
      <c r="B2914" s="4">
        <v>46101.777777777781</v>
      </c>
      <c r="C2914" s="2" t="s">
        <v>28</v>
      </c>
      <c r="D2914" s="2" t="s">
        <v>100</v>
      </c>
      <c r="E2914" s="2" t="s">
        <v>38</v>
      </c>
      <c r="F2914" s="2" t="s">
        <v>113</v>
      </c>
      <c r="G2914" s="2" t="s">
        <v>110</v>
      </c>
      <c r="H2914" s="2" t="s">
        <v>32</v>
      </c>
      <c r="I2914" s="2">
        <v>48</v>
      </c>
      <c r="J2914" s="2" t="s">
        <v>75</v>
      </c>
      <c r="K2914" s="4" t="s">
        <v>8590</v>
      </c>
      <c r="L2914" s="2" t="s">
        <v>92</v>
      </c>
      <c r="M2914" s="2">
        <v>3</v>
      </c>
      <c r="N2914" t="s">
        <v>8587</v>
      </c>
      <c r="O2914" s="8" t="str">
        <f t="shared" si="90"/>
        <v/>
      </c>
      <c r="P2914" t="str">
        <f t="shared" si="91"/>
        <v>N/A</v>
      </c>
    </row>
    <row r="2915" spans="1:16" x14ac:dyDescent="0.25">
      <c r="A2915" s="2" t="s">
        <v>7831</v>
      </c>
      <c r="B2915" s="4">
        <v>46242.378472222219</v>
      </c>
      <c r="C2915" s="2" t="s">
        <v>53</v>
      </c>
      <c r="D2915" s="2" t="s">
        <v>61</v>
      </c>
      <c r="E2915" s="2" t="s">
        <v>148</v>
      </c>
      <c r="F2915" s="2" t="s">
        <v>113</v>
      </c>
      <c r="G2915" s="2" t="s">
        <v>183</v>
      </c>
      <c r="H2915" s="2" t="s">
        <v>21</v>
      </c>
      <c r="I2915" s="2">
        <v>24</v>
      </c>
      <c r="J2915" s="2" t="s">
        <v>11</v>
      </c>
      <c r="K2915" s="4" t="s">
        <v>8590</v>
      </c>
      <c r="L2915" s="2" t="s">
        <v>92</v>
      </c>
      <c r="M2915" s="2"/>
      <c r="N2915" t="s">
        <v>8589</v>
      </c>
      <c r="O2915" s="8" t="str">
        <f t="shared" si="90"/>
        <v/>
      </c>
      <c r="P2915" t="str">
        <f t="shared" si="91"/>
        <v>N/A</v>
      </c>
    </row>
    <row r="2916" spans="1:16" x14ac:dyDescent="0.25">
      <c r="A2916" s="2" t="s">
        <v>7833</v>
      </c>
      <c r="B2916" s="4">
        <v>46170.502083333333</v>
      </c>
      <c r="C2916" s="2" t="s">
        <v>16</v>
      </c>
      <c r="D2916" s="2" t="s">
        <v>17</v>
      </c>
      <c r="E2916" s="2" t="s">
        <v>18</v>
      </c>
      <c r="F2916" s="2" t="s">
        <v>30</v>
      </c>
      <c r="G2916" s="2" t="s">
        <v>110</v>
      </c>
      <c r="H2916" s="2" t="s">
        <v>21</v>
      </c>
      <c r="I2916" s="2">
        <v>24</v>
      </c>
      <c r="J2916" s="2" t="s">
        <v>149</v>
      </c>
      <c r="K2916" s="4" t="s">
        <v>8590</v>
      </c>
      <c r="L2916" s="2" t="s">
        <v>24</v>
      </c>
      <c r="M2916" s="2"/>
      <c r="N2916" t="s">
        <v>8585</v>
      </c>
      <c r="O2916" s="8" t="str">
        <f t="shared" si="90"/>
        <v/>
      </c>
      <c r="P2916" t="str">
        <f t="shared" si="91"/>
        <v>N/A</v>
      </c>
    </row>
    <row r="2917" spans="1:16" x14ac:dyDescent="0.25">
      <c r="A2917" s="2" t="s">
        <v>7835</v>
      </c>
      <c r="B2917" s="4">
        <v>46250.669444444444</v>
      </c>
      <c r="C2917" s="2" t="s">
        <v>67</v>
      </c>
      <c r="D2917" s="2" t="s">
        <v>95</v>
      </c>
      <c r="E2917" s="2" t="s">
        <v>148</v>
      </c>
      <c r="F2917" s="2" t="s">
        <v>55</v>
      </c>
      <c r="G2917" s="2" t="s">
        <v>110</v>
      </c>
      <c r="H2917" s="2" t="s">
        <v>32</v>
      </c>
      <c r="I2917" s="2">
        <v>48</v>
      </c>
      <c r="J2917" s="2" t="s">
        <v>75</v>
      </c>
      <c r="K2917" s="4">
        <v>46251.241666666669</v>
      </c>
      <c r="L2917" s="2" t="s">
        <v>24</v>
      </c>
      <c r="M2917" s="2"/>
      <c r="N2917" t="s">
        <v>8583</v>
      </c>
      <c r="O2917" s="8">
        <f t="shared" si="90"/>
        <v>13.733333333395422</v>
      </c>
      <c r="P2917" t="str">
        <f t="shared" si="91"/>
        <v>N/A</v>
      </c>
    </row>
    <row r="2918" spans="1:16" x14ac:dyDescent="0.25">
      <c r="A2918" s="2" t="s">
        <v>7838</v>
      </c>
      <c r="B2918" s="4">
        <v>46123.39166666667</v>
      </c>
      <c r="C2918" s="2" t="s">
        <v>16</v>
      </c>
      <c r="D2918" s="2" t="s">
        <v>17</v>
      </c>
      <c r="E2918" s="2" t="s">
        <v>90</v>
      </c>
      <c r="F2918" s="2" t="s">
        <v>55</v>
      </c>
      <c r="G2918" s="2" t="s">
        <v>101</v>
      </c>
      <c r="H2918" s="2" t="s">
        <v>21</v>
      </c>
      <c r="I2918" s="2">
        <v>24</v>
      </c>
      <c r="J2918" s="2" t="s">
        <v>106</v>
      </c>
      <c r="K2918" s="4">
        <v>46124.231944444444</v>
      </c>
      <c r="L2918" s="2" t="s">
        <v>24</v>
      </c>
      <c r="M2918" s="2"/>
      <c r="N2918" t="s">
        <v>8589</v>
      </c>
      <c r="O2918" s="8">
        <f t="shared" si="90"/>
        <v>20.166666666569654</v>
      </c>
      <c r="P2918" t="str">
        <f t="shared" si="91"/>
        <v>Yes</v>
      </c>
    </row>
    <row r="2919" spans="1:16" x14ac:dyDescent="0.25">
      <c r="A2919" s="2" t="s">
        <v>7841</v>
      </c>
      <c r="B2919" s="4">
        <v>46094.830555555556</v>
      </c>
      <c r="C2919" s="2" t="s">
        <v>16</v>
      </c>
      <c r="D2919" s="2" t="s">
        <v>84</v>
      </c>
      <c r="E2919" s="2" t="s">
        <v>38</v>
      </c>
      <c r="F2919" s="2" t="s">
        <v>30</v>
      </c>
      <c r="G2919" s="2" t="s">
        <v>31</v>
      </c>
      <c r="H2919" s="2" t="s">
        <v>80</v>
      </c>
      <c r="I2919" s="2">
        <v>4</v>
      </c>
      <c r="J2919" s="2" t="s">
        <v>106</v>
      </c>
      <c r="K2919" s="4">
        <v>46094.931944444441</v>
      </c>
      <c r="L2919" s="2" t="s">
        <v>24</v>
      </c>
      <c r="M2919" s="2">
        <v>5</v>
      </c>
      <c r="N2919" t="s">
        <v>8581</v>
      </c>
      <c r="O2919" s="8">
        <f t="shared" si="90"/>
        <v>2.4333333332324401</v>
      </c>
      <c r="P2919" t="str">
        <f t="shared" si="91"/>
        <v>Yes</v>
      </c>
    </row>
    <row r="2920" spans="1:16" x14ac:dyDescent="0.25">
      <c r="A2920" s="2" t="s">
        <v>7843</v>
      </c>
      <c r="B2920" s="4">
        <v>46198.570138888892</v>
      </c>
      <c r="C2920" s="2" t="s">
        <v>53</v>
      </c>
      <c r="D2920" s="2" t="s">
        <v>54</v>
      </c>
      <c r="E2920" s="2" t="s">
        <v>79</v>
      </c>
      <c r="F2920" s="2" t="s">
        <v>96</v>
      </c>
      <c r="G2920" s="2" t="s">
        <v>211</v>
      </c>
      <c r="H2920" s="2" t="s">
        <v>80</v>
      </c>
      <c r="I2920" s="2">
        <v>4</v>
      </c>
      <c r="J2920" s="2" t="s">
        <v>287</v>
      </c>
      <c r="K2920" s="4" t="s">
        <v>8590</v>
      </c>
      <c r="L2920" s="2" t="s">
        <v>24</v>
      </c>
      <c r="M2920" s="2"/>
      <c r="N2920" t="s">
        <v>8582</v>
      </c>
      <c r="O2920" s="8" t="str">
        <f t="shared" si="90"/>
        <v/>
      </c>
      <c r="P2920" t="str">
        <f t="shared" si="91"/>
        <v>N/A</v>
      </c>
    </row>
    <row r="2921" spans="1:16" x14ac:dyDescent="0.25">
      <c r="A2921" s="2" t="s">
        <v>7845</v>
      </c>
      <c r="B2921" s="4">
        <v>46036.192361111112</v>
      </c>
      <c r="C2921" s="2" t="s">
        <v>53</v>
      </c>
      <c r="D2921" s="2" t="s">
        <v>54</v>
      </c>
      <c r="E2921" s="2" t="s">
        <v>85</v>
      </c>
      <c r="F2921" s="2" t="s">
        <v>30</v>
      </c>
      <c r="G2921" s="2" t="s">
        <v>101</v>
      </c>
      <c r="H2921" s="2" t="s">
        <v>32</v>
      </c>
      <c r="I2921" s="2">
        <v>48</v>
      </c>
      <c r="J2921" s="2" t="s">
        <v>106</v>
      </c>
      <c r="K2921" s="4">
        <v>46037.209027777775</v>
      </c>
      <c r="L2921" s="2" t="s">
        <v>24</v>
      </c>
      <c r="M2921" s="2">
        <v>1</v>
      </c>
      <c r="N2921" t="s">
        <v>8582</v>
      </c>
      <c r="O2921" s="8">
        <f t="shared" si="90"/>
        <v>24.399999999906868</v>
      </c>
      <c r="P2921" t="str">
        <f t="shared" si="91"/>
        <v>Yes</v>
      </c>
    </row>
    <row r="2922" spans="1:16" x14ac:dyDescent="0.25">
      <c r="A2922" s="2" t="s">
        <v>7848</v>
      </c>
      <c r="B2922" s="4">
        <v>46193.296527777777</v>
      </c>
      <c r="C2922" s="2" t="s">
        <v>67</v>
      </c>
      <c r="D2922" s="2" t="s">
        <v>95</v>
      </c>
      <c r="E2922" s="2" t="s">
        <v>148</v>
      </c>
      <c r="F2922" s="2" t="s">
        <v>113</v>
      </c>
      <c r="G2922" s="2" t="s">
        <v>179</v>
      </c>
      <c r="H2922" s="2" t="s">
        <v>21</v>
      </c>
      <c r="I2922" s="2">
        <v>24</v>
      </c>
      <c r="J2922" s="2" t="s">
        <v>75</v>
      </c>
      <c r="K2922" s="4">
        <v>46195.847916666666</v>
      </c>
      <c r="L2922" s="2" t="s">
        <v>24</v>
      </c>
      <c r="M2922" s="2">
        <v>4</v>
      </c>
      <c r="N2922" t="s">
        <v>8586</v>
      </c>
      <c r="O2922" s="8">
        <f t="shared" si="90"/>
        <v>61.233333333337214</v>
      </c>
      <c r="P2922" t="str">
        <f t="shared" si="91"/>
        <v>N/A</v>
      </c>
    </row>
    <row r="2923" spans="1:16" x14ac:dyDescent="0.25">
      <c r="A2923" s="2" t="s">
        <v>7851</v>
      </c>
      <c r="B2923" s="4">
        <v>46243.757638888892</v>
      </c>
      <c r="C2923" s="2" t="s">
        <v>28</v>
      </c>
      <c r="D2923" s="2" t="s">
        <v>100</v>
      </c>
      <c r="E2923" s="2" t="s">
        <v>90</v>
      </c>
      <c r="F2923" s="2" t="s">
        <v>30</v>
      </c>
      <c r="G2923" s="2" t="s">
        <v>211</v>
      </c>
      <c r="H2923" s="2" t="s">
        <v>32</v>
      </c>
      <c r="I2923" s="2">
        <v>48</v>
      </c>
      <c r="J2923" s="2" t="s">
        <v>106</v>
      </c>
      <c r="K2923" s="4">
        <v>46244.104166666664</v>
      </c>
      <c r="L2923" s="2" t="s">
        <v>24</v>
      </c>
      <c r="M2923" s="2"/>
      <c r="N2923" t="s">
        <v>8586</v>
      </c>
      <c r="O2923" s="8">
        <f t="shared" si="90"/>
        <v>8.3166666665347293</v>
      </c>
      <c r="P2923" t="str">
        <f t="shared" si="91"/>
        <v>Yes</v>
      </c>
    </row>
    <row r="2924" spans="1:16" x14ac:dyDescent="0.25">
      <c r="A2924" s="2" t="s">
        <v>7854</v>
      </c>
      <c r="B2924" s="4">
        <v>46132.820833333331</v>
      </c>
      <c r="C2924" s="2" t="s">
        <v>16</v>
      </c>
      <c r="D2924" s="2" t="s">
        <v>17</v>
      </c>
      <c r="E2924" s="2" t="s">
        <v>38</v>
      </c>
      <c r="F2924" s="2" t="s">
        <v>55</v>
      </c>
      <c r="G2924" s="2" t="s">
        <v>179</v>
      </c>
      <c r="H2924" s="2" t="s">
        <v>74</v>
      </c>
      <c r="I2924" s="2">
        <v>8</v>
      </c>
      <c r="J2924" s="2" t="s">
        <v>106</v>
      </c>
      <c r="K2924" s="4">
        <v>46132.950694444444</v>
      </c>
      <c r="L2924" s="2" t="s">
        <v>24</v>
      </c>
      <c r="M2924" s="2">
        <v>3</v>
      </c>
      <c r="N2924" t="s">
        <v>8587</v>
      </c>
      <c r="O2924" s="8">
        <f t="shared" si="90"/>
        <v>3.1166666666977108</v>
      </c>
      <c r="P2924" t="str">
        <f t="shared" si="91"/>
        <v>Yes</v>
      </c>
    </row>
    <row r="2925" spans="1:16" x14ac:dyDescent="0.25">
      <c r="A2925" s="2" t="s">
        <v>7857</v>
      </c>
      <c r="B2925" s="4">
        <v>46217.841666666667</v>
      </c>
      <c r="C2925" s="2" t="s">
        <v>16</v>
      </c>
      <c r="D2925" s="2" t="s">
        <v>84</v>
      </c>
      <c r="E2925" s="2" t="s">
        <v>90</v>
      </c>
      <c r="F2925" s="2" t="s">
        <v>30</v>
      </c>
      <c r="G2925" s="2" t="s">
        <v>110</v>
      </c>
      <c r="H2925" s="2" t="s">
        <v>21</v>
      </c>
      <c r="I2925" s="2">
        <v>24</v>
      </c>
      <c r="J2925" s="2" t="s">
        <v>149</v>
      </c>
      <c r="K2925" s="4" t="s">
        <v>8590</v>
      </c>
      <c r="L2925" s="2" t="s">
        <v>24</v>
      </c>
      <c r="M2925" s="2"/>
      <c r="N2925" t="s">
        <v>8584</v>
      </c>
      <c r="O2925" s="8" t="str">
        <f t="shared" si="90"/>
        <v/>
      </c>
      <c r="P2925" t="str">
        <f t="shared" si="91"/>
        <v>N/A</v>
      </c>
    </row>
    <row r="2926" spans="1:16" x14ac:dyDescent="0.25">
      <c r="A2926" s="2" t="s">
        <v>7859</v>
      </c>
      <c r="B2926" s="4">
        <v>46036.040277777778</v>
      </c>
      <c r="C2926" s="2" t="s">
        <v>16</v>
      </c>
      <c r="D2926" s="2" t="s">
        <v>84</v>
      </c>
      <c r="E2926" s="2" t="s">
        <v>46</v>
      </c>
      <c r="F2926" s="2" t="s">
        <v>96</v>
      </c>
      <c r="G2926" s="2" t="s">
        <v>101</v>
      </c>
      <c r="H2926" s="2" t="s">
        <v>32</v>
      </c>
      <c r="I2926" s="2">
        <v>48</v>
      </c>
      <c r="J2926" s="2" t="s">
        <v>106</v>
      </c>
      <c r="K2926" s="4">
        <v>46037.084722222222</v>
      </c>
      <c r="L2926" s="2" t="s">
        <v>24</v>
      </c>
      <c r="M2926" s="2">
        <v>4</v>
      </c>
      <c r="N2926" t="s">
        <v>8582</v>
      </c>
      <c r="O2926" s="8">
        <f t="shared" si="90"/>
        <v>25.066666666651145</v>
      </c>
      <c r="P2926" t="str">
        <f t="shared" si="91"/>
        <v>Yes</v>
      </c>
    </row>
    <row r="2927" spans="1:16" x14ac:dyDescent="0.25">
      <c r="A2927" s="2" t="s">
        <v>7862</v>
      </c>
      <c r="B2927" s="4">
        <v>46177.359027777777</v>
      </c>
      <c r="C2927" s="2" t="s">
        <v>67</v>
      </c>
      <c r="D2927" s="2" t="s">
        <v>95</v>
      </c>
      <c r="E2927" s="2" t="s">
        <v>148</v>
      </c>
      <c r="F2927" s="2" t="s">
        <v>113</v>
      </c>
      <c r="G2927" s="2" t="s">
        <v>101</v>
      </c>
      <c r="H2927" s="2" t="s">
        <v>32</v>
      </c>
      <c r="I2927" s="2">
        <v>48</v>
      </c>
      <c r="J2927" s="2" t="s">
        <v>11</v>
      </c>
      <c r="K2927" s="4" t="s">
        <v>8590</v>
      </c>
      <c r="L2927" s="2" t="s">
        <v>92</v>
      </c>
      <c r="M2927" s="2"/>
      <c r="N2927" t="s">
        <v>8583</v>
      </c>
      <c r="O2927" s="8" t="str">
        <f t="shared" si="90"/>
        <v/>
      </c>
      <c r="P2927" t="str">
        <f t="shared" si="91"/>
        <v>N/A</v>
      </c>
    </row>
    <row r="2928" spans="1:16" x14ac:dyDescent="0.25">
      <c r="A2928" s="2" t="s">
        <v>7864</v>
      </c>
      <c r="B2928" s="4">
        <v>46077.296527777777</v>
      </c>
      <c r="C2928" s="2" t="s">
        <v>67</v>
      </c>
      <c r="D2928" s="2" t="s">
        <v>95</v>
      </c>
      <c r="E2928" s="2" t="s">
        <v>90</v>
      </c>
      <c r="F2928" s="2" t="s">
        <v>96</v>
      </c>
      <c r="G2928" s="2" t="s">
        <v>211</v>
      </c>
      <c r="H2928" s="2" t="s">
        <v>74</v>
      </c>
      <c r="I2928" s="2">
        <v>8</v>
      </c>
      <c r="J2928" s="2" t="s">
        <v>106</v>
      </c>
      <c r="K2928" s="4">
        <v>46077.461111111108</v>
      </c>
      <c r="L2928" s="2" t="s">
        <v>24</v>
      </c>
      <c r="M2928" s="2"/>
      <c r="N2928" t="s">
        <v>8589</v>
      </c>
      <c r="O2928" s="8">
        <f t="shared" si="90"/>
        <v>3.9499999999534339</v>
      </c>
      <c r="P2928" t="str">
        <f t="shared" si="91"/>
        <v>Yes</v>
      </c>
    </row>
    <row r="2929" spans="1:16" x14ac:dyDescent="0.25">
      <c r="A2929" s="2" t="s">
        <v>7867</v>
      </c>
      <c r="B2929" s="4">
        <v>46040.576388888891</v>
      </c>
      <c r="C2929" s="2" t="s">
        <v>53</v>
      </c>
      <c r="D2929" s="2" t="s">
        <v>61</v>
      </c>
      <c r="E2929" s="2" t="s">
        <v>38</v>
      </c>
      <c r="F2929" s="2" t="s">
        <v>55</v>
      </c>
      <c r="G2929" s="2" t="s">
        <v>31</v>
      </c>
      <c r="H2929" s="2" t="s">
        <v>32</v>
      </c>
      <c r="I2929" s="2">
        <v>48</v>
      </c>
      <c r="J2929" s="2" t="s">
        <v>106</v>
      </c>
      <c r="K2929" s="4">
        <v>46045.440972222219</v>
      </c>
      <c r="L2929" s="2" t="s">
        <v>24</v>
      </c>
      <c r="M2929" s="2"/>
      <c r="N2929" t="s">
        <v>8584</v>
      </c>
      <c r="O2929" s="8">
        <f t="shared" si="90"/>
        <v>116.74999999988358</v>
      </c>
      <c r="P2929" t="str">
        <f t="shared" si="91"/>
        <v>No</v>
      </c>
    </row>
    <row r="2930" spans="1:16" x14ac:dyDescent="0.25">
      <c r="A2930" s="2" t="s">
        <v>7870</v>
      </c>
      <c r="B2930" s="4">
        <v>46175.254861111112</v>
      </c>
      <c r="C2930" s="2" t="s">
        <v>67</v>
      </c>
      <c r="D2930" s="2" t="s">
        <v>95</v>
      </c>
      <c r="E2930" s="2" t="s">
        <v>148</v>
      </c>
      <c r="F2930" s="2" t="s">
        <v>113</v>
      </c>
      <c r="G2930" s="2" t="s">
        <v>110</v>
      </c>
      <c r="H2930" s="2" t="s">
        <v>21</v>
      </c>
      <c r="I2930" s="2">
        <v>24</v>
      </c>
      <c r="J2930" s="2" t="s">
        <v>287</v>
      </c>
      <c r="K2930" s="4" t="s">
        <v>8590</v>
      </c>
      <c r="L2930" s="2" t="s">
        <v>24</v>
      </c>
      <c r="M2930" s="2"/>
      <c r="N2930" t="s">
        <v>8581</v>
      </c>
      <c r="O2930" s="8" t="str">
        <f t="shared" si="90"/>
        <v/>
      </c>
      <c r="P2930" t="str">
        <f t="shared" si="91"/>
        <v>N/A</v>
      </c>
    </row>
    <row r="2931" spans="1:16" x14ac:dyDescent="0.25">
      <c r="A2931" s="2" t="s">
        <v>7872</v>
      </c>
      <c r="B2931" s="4">
        <v>46086.865972222222</v>
      </c>
      <c r="C2931" s="2" t="s">
        <v>28</v>
      </c>
      <c r="D2931" s="2" t="s">
        <v>37</v>
      </c>
      <c r="E2931" s="2" t="s">
        <v>85</v>
      </c>
      <c r="F2931" s="2" t="s">
        <v>113</v>
      </c>
      <c r="G2931" s="2" t="s">
        <v>179</v>
      </c>
      <c r="H2931" s="2" t="s">
        <v>21</v>
      </c>
      <c r="I2931" s="2">
        <v>24</v>
      </c>
      <c r="J2931" s="2" t="s">
        <v>11</v>
      </c>
      <c r="K2931" s="4" t="s">
        <v>8590</v>
      </c>
      <c r="L2931" s="2" t="s">
        <v>92</v>
      </c>
      <c r="M2931" s="2"/>
      <c r="N2931" t="s">
        <v>8589</v>
      </c>
      <c r="O2931" s="8" t="str">
        <f t="shared" si="90"/>
        <v/>
      </c>
      <c r="P2931" t="str">
        <f t="shared" si="91"/>
        <v>N/A</v>
      </c>
    </row>
    <row r="2932" spans="1:16" x14ac:dyDescent="0.25">
      <c r="A2932" s="2" t="s">
        <v>7874</v>
      </c>
      <c r="B2932" s="4">
        <v>46081.193749999999</v>
      </c>
      <c r="C2932" s="2" t="s">
        <v>28</v>
      </c>
      <c r="D2932" s="2" t="s">
        <v>100</v>
      </c>
      <c r="E2932" s="2" t="s">
        <v>46</v>
      </c>
      <c r="F2932" s="2" t="s">
        <v>55</v>
      </c>
      <c r="G2932" s="2" t="s">
        <v>101</v>
      </c>
      <c r="H2932" s="2" t="s">
        <v>32</v>
      </c>
      <c r="I2932" s="2">
        <v>48</v>
      </c>
      <c r="J2932" s="2" t="s">
        <v>75</v>
      </c>
      <c r="K2932" s="4">
        <v>46081.990277777775</v>
      </c>
      <c r="L2932" s="2" t="s">
        <v>24</v>
      </c>
      <c r="M2932" s="2">
        <v>2</v>
      </c>
      <c r="N2932" t="s">
        <v>8589</v>
      </c>
      <c r="O2932" s="8">
        <f t="shared" si="90"/>
        <v>19.116666666639503</v>
      </c>
      <c r="P2932" t="str">
        <f t="shared" si="91"/>
        <v>N/A</v>
      </c>
    </row>
    <row r="2933" spans="1:16" x14ac:dyDescent="0.25">
      <c r="A2933" s="2" t="s">
        <v>7877</v>
      </c>
      <c r="B2933" s="4">
        <v>46039.05972222222</v>
      </c>
      <c r="C2933" s="2" t="s">
        <v>28</v>
      </c>
      <c r="D2933" s="2" t="s">
        <v>37</v>
      </c>
      <c r="E2933" s="2" t="s">
        <v>38</v>
      </c>
      <c r="F2933" s="2" t="s">
        <v>55</v>
      </c>
      <c r="G2933" s="2" t="s">
        <v>110</v>
      </c>
      <c r="H2933" s="2" t="s">
        <v>32</v>
      </c>
      <c r="I2933" s="2">
        <v>48</v>
      </c>
      <c r="J2933" s="2" t="s">
        <v>106</v>
      </c>
      <c r="K2933" s="4">
        <v>46039.901388888888</v>
      </c>
      <c r="L2933" s="2" t="s">
        <v>24</v>
      </c>
      <c r="M2933" s="2">
        <v>4</v>
      </c>
      <c r="N2933" t="s">
        <v>8589</v>
      </c>
      <c r="O2933" s="8">
        <f t="shared" si="90"/>
        <v>20.200000000011642</v>
      </c>
      <c r="P2933" t="str">
        <f t="shared" si="91"/>
        <v>Yes</v>
      </c>
    </row>
    <row r="2934" spans="1:16" x14ac:dyDescent="0.25">
      <c r="A2934" s="2" t="s">
        <v>7880</v>
      </c>
      <c r="B2934" s="4">
        <v>46162.481249999997</v>
      </c>
      <c r="C2934" s="2" t="s">
        <v>16</v>
      </c>
      <c r="D2934" s="2" t="s">
        <v>17</v>
      </c>
      <c r="E2934" s="2" t="s">
        <v>18</v>
      </c>
      <c r="F2934" s="2" t="s">
        <v>30</v>
      </c>
      <c r="G2934" s="2" t="s">
        <v>179</v>
      </c>
      <c r="H2934" s="2" t="s">
        <v>32</v>
      </c>
      <c r="I2934" s="2">
        <v>48</v>
      </c>
      <c r="J2934" s="2" t="s">
        <v>75</v>
      </c>
      <c r="K2934" s="4">
        <v>46163.57916666667</v>
      </c>
      <c r="L2934" s="2" t="s">
        <v>24</v>
      </c>
      <c r="M2934" s="2">
        <v>5</v>
      </c>
      <c r="N2934" t="s">
        <v>8589</v>
      </c>
      <c r="O2934" s="8">
        <f t="shared" si="90"/>
        <v>26.35000000015134</v>
      </c>
      <c r="P2934" t="str">
        <f t="shared" si="91"/>
        <v>N/A</v>
      </c>
    </row>
    <row r="2935" spans="1:16" x14ac:dyDescent="0.25">
      <c r="A2935" s="2" t="s">
        <v>7883</v>
      </c>
      <c r="B2935" s="4">
        <v>46105.27847222222</v>
      </c>
      <c r="C2935" s="2" t="s">
        <v>53</v>
      </c>
      <c r="D2935" s="2" t="s">
        <v>61</v>
      </c>
      <c r="E2935" s="2" t="s">
        <v>79</v>
      </c>
      <c r="F2935" s="2" t="s">
        <v>30</v>
      </c>
      <c r="G2935" s="2" t="s">
        <v>101</v>
      </c>
      <c r="H2935" s="2" t="s">
        <v>32</v>
      </c>
      <c r="I2935" s="2">
        <v>48</v>
      </c>
      <c r="J2935" s="2" t="s">
        <v>287</v>
      </c>
      <c r="K2935" s="4" t="s">
        <v>8590</v>
      </c>
      <c r="L2935" s="2" t="s">
        <v>24</v>
      </c>
      <c r="M2935" s="2"/>
      <c r="N2935" t="s">
        <v>8589</v>
      </c>
      <c r="O2935" s="8" t="str">
        <f t="shared" si="90"/>
        <v/>
      </c>
      <c r="P2935" t="str">
        <f t="shared" si="91"/>
        <v>N/A</v>
      </c>
    </row>
    <row r="2936" spans="1:16" x14ac:dyDescent="0.25">
      <c r="A2936" s="2" t="s">
        <v>7885</v>
      </c>
      <c r="B2936" s="4">
        <v>46137.597222222219</v>
      </c>
      <c r="C2936" s="2" t="s">
        <v>16</v>
      </c>
      <c r="D2936" s="2" t="s">
        <v>84</v>
      </c>
      <c r="E2936" s="2" t="s">
        <v>85</v>
      </c>
      <c r="F2936" s="2" t="s">
        <v>30</v>
      </c>
      <c r="G2936" s="2" t="s">
        <v>31</v>
      </c>
      <c r="H2936" s="2" t="s">
        <v>21</v>
      </c>
      <c r="I2936" s="2">
        <v>24</v>
      </c>
      <c r="J2936" s="2" t="s">
        <v>149</v>
      </c>
      <c r="K2936" s="4" t="s">
        <v>8590</v>
      </c>
      <c r="L2936" s="2" t="s">
        <v>24</v>
      </c>
      <c r="M2936" s="2"/>
      <c r="N2936" t="s">
        <v>8589</v>
      </c>
      <c r="O2936" s="8" t="str">
        <f t="shared" si="90"/>
        <v/>
      </c>
      <c r="P2936" t="str">
        <f t="shared" si="91"/>
        <v>N/A</v>
      </c>
    </row>
    <row r="2937" spans="1:16" x14ac:dyDescent="0.25">
      <c r="A2937" s="2" t="s">
        <v>7887</v>
      </c>
      <c r="B2937" s="4">
        <v>46168.534722222219</v>
      </c>
      <c r="C2937" s="2" t="s">
        <v>67</v>
      </c>
      <c r="D2937" s="2" t="s">
        <v>95</v>
      </c>
      <c r="E2937" s="2" t="s">
        <v>148</v>
      </c>
      <c r="F2937" s="2" t="s">
        <v>96</v>
      </c>
      <c r="G2937" s="2" t="s">
        <v>179</v>
      </c>
      <c r="H2937" s="2" t="s">
        <v>21</v>
      </c>
      <c r="I2937" s="2">
        <v>24</v>
      </c>
      <c r="J2937" s="2" t="s">
        <v>106</v>
      </c>
      <c r="K2937" s="4">
        <v>46168.841666666667</v>
      </c>
      <c r="L2937" s="2" t="s">
        <v>24</v>
      </c>
      <c r="M2937" s="2"/>
      <c r="N2937" t="s">
        <v>8581</v>
      </c>
      <c r="O2937" s="8">
        <f t="shared" si="90"/>
        <v>7.3666666667559184</v>
      </c>
      <c r="P2937" t="str">
        <f t="shared" si="91"/>
        <v>Yes</v>
      </c>
    </row>
    <row r="2938" spans="1:16" x14ac:dyDescent="0.25">
      <c r="A2938" s="2" t="s">
        <v>7890</v>
      </c>
      <c r="B2938" s="4">
        <v>46070.963194444441</v>
      </c>
      <c r="C2938" s="2" t="s">
        <v>67</v>
      </c>
      <c r="D2938" s="2" t="s">
        <v>95</v>
      </c>
      <c r="E2938" s="2" t="s">
        <v>46</v>
      </c>
      <c r="F2938" s="2" t="s">
        <v>96</v>
      </c>
      <c r="G2938" s="2" t="s">
        <v>179</v>
      </c>
      <c r="H2938" s="2" t="s">
        <v>21</v>
      </c>
      <c r="I2938" s="2">
        <v>24</v>
      </c>
      <c r="J2938" s="2" t="s">
        <v>149</v>
      </c>
      <c r="K2938" s="4" t="s">
        <v>8590</v>
      </c>
      <c r="L2938" s="2" t="s">
        <v>24</v>
      </c>
      <c r="M2938" s="2"/>
      <c r="N2938" t="s">
        <v>8589</v>
      </c>
      <c r="O2938" s="8" t="str">
        <f t="shared" si="90"/>
        <v/>
      </c>
      <c r="P2938" t="str">
        <f t="shared" si="91"/>
        <v>N/A</v>
      </c>
    </row>
    <row r="2939" spans="1:16" x14ac:dyDescent="0.25">
      <c r="A2939" s="2" t="s">
        <v>7892</v>
      </c>
      <c r="B2939" s="4">
        <v>46037.938194444447</v>
      </c>
      <c r="C2939" s="2" t="s">
        <v>53</v>
      </c>
      <c r="D2939" s="2" t="s">
        <v>61</v>
      </c>
      <c r="E2939" s="2" t="s">
        <v>79</v>
      </c>
      <c r="F2939" s="2" t="s">
        <v>55</v>
      </c>
      <c r="G2939" s="2" t="s">
        <v>179</v>
      </c>
      <c r="H2939" s="2" t="s">
        <v>32</v>
      </c>
      <c r="I2939" s="2">
        <v>48</v>
      </c>
      <c r="J2939" s="2" t="s">
        <v>287</v>
      </c>
      <c r="K2939" s="4" t="s">
        <v>8590</v>
      </c>
      <c r="L2939" s="2" t="s">
        <v>24</v>
      </c>
      <c r="M2939" s="2"/>
      <c r="N2939" t="s">
        <v>8582</v>
      </c>
      <c r="O2939" s="8" t="str">
        <f t="shared" si="90"/>
        <v/>
      </c>
      <c r="P2939" t="str">
        <f t="shared" si="91"/>
        <v>N/A</v>
      </c>
    </row>
    <row r="2940" spans="1:16" x14ac:dyDescent="0.25">
      <c r="A2940" s="2" t="s">
        <v>7894</v>
      </c>
      <c r="B2940" s="4">
        <v>46026.704861111109</v>
      </c>
      <c r="C2940" s="2" t="s">
        <v>67</v>
      </c>
      <c r="D2940" s="2" t="s">
        <v>95</v>
      </c>
      <c r="E2940" s="2" t="s">
        <v>79</v>
      </c>
      <c r="F2940" s="2" t="s">
        <v>96</v>
      </c>
      <c r="G2940" s="2" t="s">
        <v>110</v>
      </c>
      <c r="H2940" s="2" t="s">
        <v>74</v>
      </c>
      <c r="I2940" s="2">
        <v>8</v>
      </c>
      <c r="J2940" s="2" t="s">
        <v>106</v>
      </c>
      <c r="K2940" s="4">
        <v>46027.000694444447</v>
      </c>
      <c r="L2940" s="2" t="s">
        <v>24</v>
      </c>
      <c r="M2940" s="2">
        <v>5</v>
      </c>
      <c r="N2940" t="s">
        <v>8581</v>
      </c>
      <c r="O2940" s="8">
        <f t="shared" si="90"/>
        <v>7.1000000000931323</v>
      </c>
      <c r="P2940" t="str">
        <f t="shared" si="91"/>
        <v>Yes</v>
      </c>
    </row>
    <row r="2941" spans="1:16" x14ac:dyDescent="0.25">
      <c r="A2941" s="2" t="s">
        <v>7896</v>
      </c>
      <c r="B2941" s="4">
        <v>46093.845833333333</v>
      </c>
      <c r="C2941" s="2" t="s">
        <v>16</v>
      </c>
      <c r="D2941" s="2" t="s">
        <v>84</v>
      </c>
      <c r="E2941" s="2" t="s">
        <v>148</v>
      </c>
      <c r="F2941" s="2" t="s">
        <v>30</v>
      </c>
      <c r="G2941" s="2" t="s">
        <v>31</v>
      </c>
      <c r="H2941" s="2" t="s">
        <v>74</v>
      </c>
      <c r="I2941" s="2">
        <v>8</v>
      </c>
      <c r="J2941" s="2" t="s">
        <v>106</v>
      </c>
      <c r="K2941" s="4">
        <v>46094.088194444441</v>
      </c>
      <c r="L2941" s="2" t="s">
        <v>24</v>
      </c>
      <c r="M2941" s="2"/>
      <c r="N2941" t="s">
        <v>8584</v>
      </c>
      <c r="O2941" s="8">
        <f t="shared" si="90"/>
        <v>5.816666666592937</v>
      </c>
      <c r="P2941" t="str">
        <f t="shared" si="91"/>
        <v>Yes</v>
      </c>
    </row>
    <row r="2942" spans="1:16" x14ac:dyDescent="0.25">
      <c r="A2942" s="2" t="s">
        <v>7899</v>
      </c>
      <c r="B2942" s="4">
        <v>46037.427083333336</v>
      </c>
      <c r="C2942" s="2" t="s">
        <v>67</v>
      </c>
      <c r="D2942" s="2" t="s">
        <v>68</v>
      </c>
      <c r="E2942" s="2" t="s">
        <v>46</v>
      </c>
      <c r="F2942" s="2" t="s">
        <v>96</v>
      </c>
      <c r="G2942" s="2" t="s">
        <v>179</v>
      </c>
      <c r="H2942" s="2" t="s">
        <v>21</v>
      </c>
      <c r="I2942" s="2">
        <v>24</v>
      </c>
      <c r="J2942" s="2" t="s">
        <v>75</v>
      </c>
      <c r="K2942" s="4">
        <v>46038.234722222223</v>
      </c>
      <c r="L2942" s="2" t="s">
        <v>24</v>
      </c>
      <c r="M2942" s="2">
        <v>1</v>
      </c>
      <c r="N2942" t="s">
        <v>8587</v>
      </c>
      <c r="O2942" s="8">
        <f t="shared" si="90"/>
        <v>19.383333333302289</v>
      </c>
      <c r="P2942" t="str">
        <f t="shared" si="91"/>
        <v>N/A</v>
      </c>
    </row>
    <row r="2943" spans="1:16" x14ac:dyDescent="0.25">
      <c r="A2943" s="2" t="s">
        <v>7902</v>
      </c>
      <c r="B2943" s="4">
        <v>46239.873611111114</v>
      </c>
      <c r="C2943" s="2" t="s">
        <v>53</v>
      </c>
      <c r="D2943" s="2" t="s">
        <v>61</v>
      </c>
      <c r="E2943" s="2" t="s">
        <v>79</v>
      </c>
      <c r="F2943" s="2" t="s">
        <v>96</v>
      </c>
      <c r="G2943" s="2" t="s">
        <v>183</v>
      </c>
      <c r="H2943" s="2" t="s">
        <v>74</v>
      </c>
      <c r="I2943" s="2">
        <v>8</v>
      </c>
      <c r="J2943" s="2" t="s">
        <v>106</v>
      </c>
      <c r="K2943" s="4">
        <v>46240.118055555555</v>
      </c>
      <c r="L2943" s="2" t="s">
        <v>24</v>
      </c>
      <c r="M2943" s="2">
        <v>1</v>
      </c>
      <c r="N2943" t="s">
        <v>8589</v>
      </c>
      <c r="O2943" s="8">
        <f t="shared" si="90"/>
        <v>5.8666666665812954</v>
      </c>
      <c r="P2943" t="str">
        <f t="shared" si="91"/>
        <v>Yes</v>
      </c>
    </row>
    <row r="2944" spans="1:16" x14ac:dyDescent="0.25">
      <c r="A2944" s="2" t="s">
        <v>7905</v>
      </c>
      <c r="B2944" s="4">
        <v>46059.513888888891</v>
      </c>
      <c r="C2944" s="2" t="s">
        <v>16</v>
      </c>
      <c r="D2944" s="2" t="s">
        <v>84</v>
      </c>
      <c r="E2944" s="2" t="s">
        <v>79</v>
      </c>
      <c r="F2944" s="2" t="s">
        <v>113</v>
      </c>
      <c r="G2944" s="2" t="s">
        <v>183</v>
      </c>
      <c r="H2944" s="2" t="s">
        <v>74</v>
      </c>
      <c r="I2944" s="2">
        <v>8</v>
      </c>
      <c r="J2944" s="2" t="s">
        <v>75</v>
      </c>
      <c r="K2944" s="4" t="s">
        <v>8590</v>
      </c>
      <c r="L2944" s="2" t="s">
        <v>24</v>
      </c>
      <c r="M2944" s="2">
        <v>5</v>
      </c>
      <c r="N2944" t="s">
        <v>8586</v>
      </c>
      <c r="O2944" s="8" t="str">
        <f t="shared" si="90"/>
        <v/>
      </c>
      <c r="P2944" t="str">
        <f t="shared" si="91"/>
        <v>N/A</v>
      </c>
    </row>
    <row r="2945" spans="1:16" x14ac:dyDescent="0.25">
      <c r="A2945" s="2" t="s">
        <v>7907</v>
      </c>
      <c r="B2945" s="4">
        <v>46218.154166666667</v>
      </c>
      <c r="C2945" s="2" t="s">
        <v>28</v>
      </c>
      <c r="D2945" s="2" t="s">
        <v>100</v>
      </c>
      <c r="E2945" s="2" t="s">
        <v>38</v>
      </c>
      <c r="F2945" s="2" t="s">
        <v>113</v>
      </c>
      <c r="G2945" s="2" t="s">
        <v>31</v>
      </c>
      <c r="H2945" s="2" t="s">
        <v>32</v>
      </c>
      <c r="I2945" s="2">
        <v>48</v>
      </c>
      <c r="J2945" s="2" t="s">
        <v>106</v>
      </c>
      <c r="K2945" s="4">
        <v>46223.813194444447</v>
      </c>
      <c r="L2945" s="2" t="s">
        <v>24</v>
      </c>
      <c r="M2945" s="2"/>
      <c r="N2945" t="s">
        <v>8581</v>
      </c>
      <c r="O2945" s="8">
        <f t="shared" si="90"/>
        <v>135.81666666670935</v>
      </c>
      <c r="P2945" t="str">
        <f t="shared" si="91"/>
        <v>No</v>
      </c>
    </row>
    <row r="2946" spans="1:16" x14ac:dyDescent="0.25">
      <c r="A2946" s="2" t="s">
        <v>7910</v>
      </c>
      <c r="B2946" s="4">
        <v>46037.352777777778</v>
      </c>
      <c r="C2946" s="2" t="s">
        <v>16</v>
      </c>
      <c r="D2946" s="2" t="s">
        <v>17</v>
      </c>
      <c r="E2946" s="2" t="s">
        <v>79</v>
      </c>
      <c r="F2946" s="2" t="s">
        <v>30</v>
      </c>
      <c r="G2946" s="2" t="s">
        <v>31</v>
      </c>
      <c r="H2946" s="2" t="s">
        <v>21</v>
      </c>
      <c r="I2946" s="2">
        <v>24</v>
      </c>
      <c r="J2946" s="2" t="s">
        <v>106</v>
      </c>
      <c r="K2946" s="4">
        <v>46040.071527777778</v>
      </c>
      <c r="L2946" s="2" t="s">
        <v>24</v>
      </c>
      <c r="M2946" s="2">
        <v>2</v>
      </c>
      <c r="N2946" t="s">
        <v>8589</v>
      </c>
      <c r="O2946" s="8">
        <f t="shared" si="90"/>
        <v>65.25</v>
      </c>
      <c r="P2946" t="str">
        <f t="shared" si="91"/>
        <v>No</v>
      </c>
    </row>
    <row r="2947" spans="1:16" x14ac:dyDescent="0.25">
      <c r="A2947" s="2" t="s">
        <v>7913</v>
      </c>
      <c r="B2947" s="4">
        <v>46232.47152777778</v>
      </c>
      <c r="C2947" s="2" t="s">
        <v>67</v>
      </c>
      <c r="D2947" s="2" t="s">
        <v>95</v>
      </c>
      <c r="E2947" s="2" t="s">
        <v>85</v>
      </c>
      <c r="F2947" s="2" t="s">
        <v>30</v>
      </c>
      <c r="G2947" s="2" t="s">
        <v>183</v>
      </c>
      <c r="H2947" s="2" t="s">
        <v>32</v>
      </c>
      <c r="I2947" s="2">
        <v>48</v>
      </c>
      <c r="J2947" s="2" t="s">
        <v>11</v>
      </c>
      <c r="K2947" s="4" t="s">
        <v>8590</v>
      </c>
      <c r="L2947" s="2" t="s">
        <v>92</v>
      </c>
      <c r="M2947" s="2"/>
      <c r="N2947" t="s">
        <v>8584</v>
      </c>
      <c r="O2947" s="8" t="str">
        <f t="shared" ref="O2947:O3010" si="92">IF(K2947="","",IF(K2947="Missing Resolve Date","",(K2947-B2947)*24))</f>
        <v/>
      </c>
      <c r="P2947" t="str">
        <f t="shared" ref="P2947:P3010" si="93">IF(J2947="Resolved",IF(O2947&lt;=I2947,"Yes","No"),"N/A")</f>
        <v>N/A</v>
      </c>
    </row>
    <row r="2948" spans="1:16" x14ac:dyDescent="0.25">
      <c r="A2948" s="2" t="s">
        <v>7915</v>
      </c>
      <c r="B2948" s="4">
        <v>46048.940972222219</v>
      </c>
      <c r="C2948" s="2" t="s">
        <v>16</v>
      </c>
      <c r="D2948" s="2" t="s">
        <v>17</v>
      </c>
      <c r="E2948" s="2" t="s">
        <v>18</v>
      </c>
      <c r="F2948" s="2" t="s">
        <v>55</v>
      </c>
      <c r="G2948" s="2" t="s">
        <v>110</v>
      </c>
      <c r="H2948" s="2" t="s">
        <v>74</v>
      </c>
      <c r="I2948" s="2">
        <v>8</v>
      </c>
      <c r="J2948" s="2" t="s">
        <v>75</v>
      </c>
      <c r="K2948" s="4">
        <v>46048.964583333334</v>
      </c>
      <c r="L2948" s="2" t="s">
        <v>24</v>
      </c>
      <c r="M2948" s="2"/>
      <c r="N2948" t="s">
        <v>8585</v>
      </c>
      <c r="O2948" s="8">
        <f t="shared" si="92"/>
        <v>0.56666666676755995</v>
      </c>
      <c r="P2948" t="str">
        <f t="shared" si="93"/>
        <v>N/A</v>
      </c>
    </row>
    <row r="2949" spans="1:16" x14ac:dyDescent="0.25">
      <c r="A2949" s="2" t="s">
        <v>7918</v>
      </c>
      <c r="B2949" s="4">
        <v>46037.931944444441</v>
      </c>
      <c r="C2949" s="2" t="s">
        <v>67</v>
      </c>
      <c r="D2949" s="2" t="s">
        <v>95</v>
      </c>
      <c r="E2949" s="2" t="s">
        <v>46</v>
      </c>
      <c r="F2949" s="2" t="s">
        <v>113</v>
      </c>
      <c r="G2949" s="2" t="s">
        <v>31</v>
      </c>
      <c r="H2949" s="2" t="s">
        <v>32</v>
      </c>
      <c r="I2949" s="2">
        <v>48</v>
      </c>
      <c r="J2949" s="2" t="s">
        <v>75</v>
      </c>
      <c r="K2949" s="4">
        <v>46039.515277777777</v>
      </c>
      <c r="L2949" s="2" t="s">
        <v>24</v>
      </c>
      <c r="M2949" s="2">
        <v>3</v>
      </c>
      <c r="N2949" t="s">
        <v>8581</v>
      </c>
      <c r="O2949" s="8">
        <f t="shared" si="92"/>
        <v>38.000000000058208</v>
      </c>
      <c r="P2949" t="str">
        <f t="shared" si="93"/>
        <v>N/A</v>
      </c>
    </row>
    <row r="2950" spans="1:16" x14ac:dyDescent="0.25">
      <c r="A2950" s="2" t="s">
        <v>7921</v>
      </c>
      <c r="B2950" s="4">
        <v>46247.875</v>
      </c>
      <c r="C2950" s="2" t="s">
        <v>16</v>
      </c>
      <c r="D2950" s="2" t="s">
        <v>17</v>
      </c>
      <c r="E2950" s="2" t="s">
        <v>85</v>
      </c>
      <c r="F2950" s="2" t="s">
        <v>113</v>
      </c>
      <c r="G2950" s="2" t="s">
        <v>101</v>
      </c>
      <c r="H2950" s="2" t="s">
        <v>32</v>
      </c>
      <c r="I2950" s="2">
        <v>48</v>
      </c>
      <c r="J2950" s="2" t="s">
        <v>106</v>
      </c>
      <c r="K2950" s="4">
        <v>46250.315972222219</v>
      </c>
      <c r="L2950" s="2" t="s">
        <v>24</v>
      </c>
      <c r="M2950" s="2">
        <v>1</v>
      </c>
      <c r="N2950" t="s">
        <v>8581</v>
      </c>
      <c r="O2950" s="8">
        <f t="shared" si="92"/>
        <v>58.583333333255723</v>
      </c>
      <c r="P2950" t="str">
        <f t="shared" si="93"/>
        <v>No</v>
      </c>
    </row>
    <row r="2951" spans="1:16" x14ac:dyDescent="0.25">
      <c r="A2951" s="2" t="s">
        <v>7924</v>
      </c>
      <c r="B2951" s="4">
        <v>46246.9375</v>
      </c>
      <c r="C2951" s="2" t="s">
        <v>67</v>
      </c>
      <c r="D2951" s="2" t="s">
        <v>95</v>
      </c>
      <c r="E2951" s="2" t="s">
        <v>148</v>
      </c>
      <c r="F2951" s="2" t="s">
        <v>30</v>
      </c>
      <c r="G2951" s="2" t="s">
        <v>211</v>
      </c>
      <c r="H2951" s="2" t="s">
        <v>74</v>
      </c>
      <c r="I2951" s="2">
        <v>8</v>
      </c>
      <c r="J2951" s="2" t="s">
        <v>11</v>
      </c>
      <c r="K2951" s="4" t="s">
        <v>8590</v>
      </c>
      <c r="L2951" s="2" t="s">
        <v>92</v>
      </c>
      <c r="M2951" s="2"/>
      <c r="N2951" t="s">
        <v>8581</v>
      </c>
      <c r="O2951" s="8" t="str">
        <f t="shared" si="92"/>
        <v/>
      </c>
      <c r="P2951" t="str">
        <f t="shared" si="93"/>
        <v>N/A</v>
      </c>
    </row>
    <row r="2952" spans="1:16" x14ac:dyDescent="0.25">
      <c r="A2952" s="2" t="s">
        <v>7926</v>
      </c>
      <c r="B2952" s="4">
        <v>46194.206944444442</v>
      </c>
      <c r="C2952" s="2" t="s">
        <v>67</v>
      </c>
      <c r="D2952" s="2" t="s">
        <v>68</v>
      </c>
      <c r="E2952" s="2" t="s">
        <v>85</v>
      </c>
      <c r="F2952" s="2" t="s">
        <v>113</v>
      </c>
      <c r="G2952" s="2" t="s">
        <v>31</v>
      </c>
      <c r="H2952" s="2" t="s">
        <v>32</v>
      </c>
      <c r="I2952" s="2">
        <v>48</v>
      </c>
      <c r="J2952" s="2" t="s">
        <v>106</v>
      </c>
      <c r="K2952" s="4">
        <v>46199.431944444441</v>
      </c>
      <c r="L2952" s="2" t="s">
        <v>24</v>
      </c>
      <c r="M2952" s="2">
        <v>5</v>
      </c>
      <c r="N2952" t="s">
        <v>8584</v>
      </c>
      <c r="O2952" s="8">
        <f t="shared" si="92"/>
        <v>125.39999999996508</v>
      </c>
      <c r="P2952" t="str">
        <f t="shared" si="93"/>
        <v>No</v>
      </c>
    </row>
    <row r="2953" spans="1:16" x14ac:dyDescent="0.25">
      <c r="A2953" s="2" t="s">
        <v>7929</v>
      </c>
      <c r="B2953" s="4">
        <v>46170.320138888892</v>
      </c>
      <c r="C2953" s="2" t="s">
        <v>16</v>
      </c>
      <c r="D2953" s="2" t="s">
        <v>84</v>
      </c>
      <c r="E2953" s="2" t="s">
        <v>90</v>
      </c>
      <c r="F2953" s="2" t="s">
        <v>30</v>
      </c>
      <c r="G2953" s="2" t="s">
        <v>31</v>
      </c>
      <c r="H2953" s="2" t="s">
        <v>21</v>
      </c>
      <c r="I2953" s="2">
        <v>24</v>
      </c>
      <c r="J2953" s="2" t="s">
        <v>106</v>
      </c>
      <c r="K2953" s="4">
        <v>46170.736805555556</v>
      </c>
      <c r="L2953" s="2" t="s">
        <v>24</v>
      </c>
      <c r="M2953" s="2">
        <v>1</v>
      </c>
      <c r="N2953" t="s">
        <v>8589</v>
      </c>
      <c r="O2953" s="8">
        <f t="shared" si="92"/>
        <v>9.9999999999417923</v>
      </c>
      <c r="P2953" t="str">
        <f t="shared" si="93"/>
        <v>Yes</v>
      </c>
    </row>
    <row r="2954" spans="1:16" x14ac:dyDescent="0.25">
      <c r="A2954" s="2" t="s">
        <v>7932</v>
      </c>
      <c r="B2954" s="4">
        <v>46109.421527777777</v>
      </c>
      <c r="C2954" s="2" t="s">
        <v>53</v>
      </c>
      <c r="D2954" s="2" t="s">
        <v>54</v>
      </c>
      <c r="E2954" s="2" t="s">
        <v>79</v>
      </c>
      <c r="F2954" s="2" t="s">
        <v>30</v>
      </c>
      <c r="G2954" s="2" t="s">
        <v>110</v>
      </c>
      <c r="H2954" s="2" t="s">
        <v>21</v>
      </c>
      <c r="I2954" s="2">
        <v>24</v>
      </c>
      <c r="J2954" s="2" t="s">
        <v>8580</v>
      </c>
      <c r="K2954" s="4">
        <v>46110.770138888889</v>
      </c>
      <c r="L2954" s="2" t="s">
        <v>92</v>
      </c>
      <c r="M2954" s="2"/>
      <c r="N2954" t="s">
        <v>8589</v>
      </c>
      <c r="O2954" s="8">
        <f t="shared" si="92"/>
        <v>32.366666666697711</v>
      </c>
      <c r="P2954" t="str">
        <f t="shared" si="93"/>
        <v>N/A</v>
      </c>
    </row>
    <row r="2955" spans="1:16" x14ac:dyDescent="0.25">
      <c r="A2955" s="2" t="s">
        <v>7935</v>
      </c>
      <c r="B2955" s="4">
        <v>46192.436111111114</v>
      </c>
      <c r="C2955" s="2" t="s">
        <v>28</v>
      </c>
      <c r="D2955" s="2" t="s">
        <v>100</v>
      </c>
      <c r="E2955" s="2" t="s">
        <v>38</v>
      </c>
      <c r="F2955" s="2" t="s">
        <v>113</v>
      </c>
      <c r="G2955" s="2" t="s">
        <v>179</v>
      </c>
      <c r="H2955" s="2" t="s">
        <v>32</v>
      </c>
      <c r="I2955" s="2">
        <v>48</v>
      </c>
      <c r="J2955" s="2" t="s">
        <v>149</v>
      </c>
      <c r="K2955" s="4" t="s">
        <v>8590</v>
      </c>
      <c r="L2955" s="2" t="s">
        <v>24</v>
      </c>
      <c r="M2955" s="2"/>
      <c r="N2955" t="s">
        <v>8589</v>
      </c>
      <c r="O2955" s="8" t="str">
        <f t="shared" si="92"/>
        <v/>
      </c>
      <c r="P2955" t="str">
        <f t="shared" si="93"/>
        <v>N/A</v>
      </c>
    </row>
    <row r="2956" spans="1:16" x14ac:dyDescent="0.25">
      <c r="A2956" s="2" t="s">
        <v>7937</v>
      </c>
      <c r="B2956" s="4">
        <v>46203.347222222219</v>
      </c>
      <c r="C2956" s="2" t="s">
        <v>67</v>
      </c>
      <c r="D2956" s="2" t="s">
        <v>95</v>
      </c>
      <c r="E2956" s="2" t="s">
        <v>18</v>
      </c>
      <c r="F2956" s="2" t="s">
        <v>30</v>
      </c>
      <c r="G2956" s="2" t="s">
        <v>179</v>
      </c>
      <c r="H2956" s="2" t="s">
        <v>74</v>
      </c>
      <c r="I2956" s="2">
        <v>8</v>
      </c>
      <c r="J2956" s="2" t="s">
        <v>75</v>
      </c>
      <c r="K2956" s="4">
        <v>46203.451388888891</v>
      </c>
      <c r="L2956" s="2" t="s">
        <v>24</v>
      </c>
      <c r="M2956" s="2"/>
      <c r="N2956" t="s">
        <v>8586</v>
      </c>
      <c r="O2956" s="8">
        <f t="shared" si="92"/>
        <v>2.5000000001164153</v>
      </c>
      <c r="P2956" t="str">
        <f t="shared" si="93"/>
        <v>N/A</v>
      </c>
    </row>
    <row r="2957" spans="1:16" x14ac:dyDescent="0.25">
      <c r="A2957" s="2" t="s">
        <v>7940</v>
      </c>
      <c r="B2957" s="4">
        <v>46228.748611111114</v>
      </c>
      <c r="C2957" s="2" t="s">
        <v>53</v>
      </c>
      <c r="D2957" s="2" t="s">
        <v>54</v>
      </c>
      <c r="E2957" s="2" t="s">
        <v>79</v>
      </c>
      <c r="F2957" s="2" t="s">
        <v>55</v>
      </c>
      <c r="G2957" s="2" t="s">
        <v>179</v>
      </c>
      <c r="H2957" s="2" t="s">
        <v>74</v>
      </c>
      <c r="I2957" s="2">
        <v>8</v>
      </c>
      <c r="J2957" s="2" t="s">
        <v>8580</v>
      </c>
      <c r="K2957" s="4">
        <v>46228.857638888891</v>
      </c>
      <c r="L2957" s="2" t="s">
        <v>24</v>
      </c>
      <c r="M2957" s="2"/>
      <c r="N2957" t="s">
        <v>8586</v>
      </c>
      <c r="O2957" s="8">
        <f t="shared" si="92"/>
        <v>2.6166666666395031</v>
      </c>
      <c r="P2957" t="str">
        <f t="shared" si="93"/>
        <v>N/A</v>
      </c>
    </row>
    <row r="2958" spans="1:16" x14ac:dyDescent="0.25">
      <c r="A2958" s="2" t="s">
        <v>7943</v>
      </c>
      <c r="B2958" s="4">
        <v>46068.335416666669</v>
      </c>
      <c r="C2958" s="2" t="s">
        <v>53</v>
      </c>
      <c r="D2958" s="2" t="s">
        <v>61</v>
      </c>
      <c r="E2958" s="2" t="s">
        <v>38</v>
      </c>
      <c r="F2958" s="2" t="s">
        <v>113</v>
      </c>
      <c r="G2958" s="2" t="s">
        <v>179</v>
      </c>
      <c r="H2958" s="2" t="s">
        <v>74</v>
      </c>
      <c r="I2958" s="2">
        <v>8</v>
      </c>
      <c r="J2958" s="2" t="s">
        <v>106</v>
      </c>
      <c r="K2958" s="4">
        <v>46068.488888888889</v>
      </c>
      <c r="L2958" s="2" t="s">
        <v>24</v>
      </c>
      <c r="M2958" s="2">
        <v>3</v>
      </c>
      <c r="N2958" t="s">
        <v>8584</v>
      </c>
      <c r="O2958" s="8">
        <f t="shared" si="92"/>
        <v>3.6833333332906477</v>
      </c>
      <c r="P2958" t="str">
        <f t="shared" si="93"/>
        <v>Yes</v>
      </c>
    </row>
    <row r="2959" spans="1:16" x14ac:dyDescent="0.25">
      <c r="A2959" s="2" t="s">
        <v>7945</v>
      </c>
      <c r="B2959" s="4">
        <v>46197.892361111109</v>
      </c>
      <c r="C2959" s="2" t="s">
        <v>16</v>
      </c>
      <c r="D2959" s="2" t="s">
        <v>84</v>
      </c>
      <c r="E2959" s="2" t="s">
        <v>148</v>
      </c>
      <c r="F2959" s="2" t="s">
        <v>30</v>
      </c>
      <c r="G2959" s="2" t="s">
        <v>110</v>
      </c>
      <c r="H2959" s="2" t="s">
        <v>21</v>
      </c>
      <c r="I2959" s="2">
        <v>24</v>
      </c>
      <c r="J2959" s="2" t="s">
        <v>75</v>
      </c>
      <c r="K2959" s="4">
        <v>46198.677083333336</v>
      </c>
      <c r="L2959" s="2" t="s">
        <v>24</v>
      </c>
      <c r="M2959" s="2">
        <v>5</v>
      </c>
      <c r="N2959" t="s">
        <v>8585</v>
      </c>
      <c r="O2959" s="8">
        <f t="shared" si="92"/>
        <v>18.833333333430346</v>
      </c>
      <c r="P2959" t="str">
        <f t="shared" si="93"/>
        <v>N/A</v>
      </c>
    </row>
    <row r="2960" spans="1:16" x14ac:dyDescent="0.25">
      <c r="A2960" s="2" t="s">
        <v>7948</v>
      </c>
      <c r="B2960" s="4">
        <v>46041.871527777781</v>
      </c>
      <c r="C2960" s="2" t="s">
        <v>53</v>
      </c>
      <c r="D2960" s="2" t="s">
        <v>61</v>
      </c>
      <c r="E2960" s="2" t="s">
        <v>18</v>
      </c>
      <c r="F2960" s="2" t="s">
        <v>30</v>
      </c>
      <c r="G2960" s="2" t="s">
        <v>110</v>
      </c>
      <c r="H2960" s="2" t="s">
        <v>32</v>
      </c>
      <c r="I2960" s="2">
        <v>48</v>
      </c>
      <c r="J2960" s="2" t="s">
        <v>8580</v>
      </c>
      <c r="K2960" s="4">
        <v>46042.502083333333</v>
      </c>
      <c r="L2960" s="2" t="s">
        <v>24</v>
      </c>
      <c r="M2960" s="2"/>
      <c r="N2960" t="s">
        <v>8583</v>
      </c>
      <c r="O2960" s="8">
        <f t="shared" si="92"/>
        <v>15.133333333244082</v>
      </c>
      <c r="P2960" t="str">
        <f t="shared" si="93"/>
        <v>N/A</v>
      </c>
    </row>
    <row r="2961" spans="1:16" x14ac:dyDescent="0.25">
      <c r="A2961" s="2" t="s">
        <v>7951</v>
      </c>
      <c r="B2961" s="4">
        <v>46032.171527777777</v>
      </c>
      <c r="C2961" s="2" t="s">
        <v>16</v>
      </c>
      <c r="D2961" s="2" t="s">
        <v>84</v>
      </c>
      <c r="E2961" s="2" t="s">
        <v>90</v>
      </c>
      <c r="F2961" s="2" t="s">
        <v>55</v>
      </c>
      <c r="G2961" s="2" t="s">
        <v>183</v>
      </c>
      <c r="H2961" s="2" t="s">
        <v>32</v>
      </c>
      <c r="I2961" s="2">
        <v>48</v>
      </c>
      <c r="J2961" s="2" t="s">
        <v>8580</v>
      </c>
      <c r="K2961" s="4">
        <v>46032.794444444444</v>
      </c>
      <c r="L2961" s="2" t="s">
        <v>24</v>
      </c>
      <c r="M2961" s="2"/>
      <c r="N2961" t="s">
        <v>8589</v>
      </c>
      <c r="O2961" s="8">
        <f t="shared" si="92"/>
        <v>14.950000000011642</v>
      </c>
      <c r="P2961" t="str">
        <f t="shared" si="93"/>
        <v>N/A</v>
      </c>
    </row>
    <row r="2962" spans="1:16" x14ac:dyDescent="0.25">
      <c r="A2962" s="2" t="s">
        <v>7954</v>
      </c>
      <c r="B2962" s="4">
        <v>46086.456944444442</v>
      </c>
      <c r="C2962" s="2" t="s">
        <v>28</v>
      </c>
      <c r="D2962" s="2" t="s">
        <v>37</v>
      </c>
      <c r="E2962" s="2" t="s">
        <v>46</v>
      </c>
      <c r="F2962" s="2" t="s">
        <v>55</v>
      </c>
      <c r="G2962" s="2" t="s">
        <v>31</v>
      </c>
      <c r="H2962" s="2" t="s">
        <v>21</v>
      </c>
      <c r="I2962" s="2">
        <v>24</v>
      </c>
      <c r="J2962" s="2" t="s">
        <v>149</v>
      </c>
      <c r="K2962" s="4" t="s">
        <v>8590</v>
      </c>
      <c r="L2962" s="2" t="s">
        <v>24</v>
      </c>
      <c r="M2962" s="2"/>
      <c r="N2962" t="s">
        <v>8584</v>
      </c>
      <c r="O2962" s="8" t="str">
        <f t="shared" si="92"/>
        <v/>
      </c>
      <c r="P2962" t="str">
        <f t="shared" si="93"/>
        <v>N/A</v>
      </c>
    </row>
    <row r="2963" spans="1:16" x14ac:dyDescent="0.25">
      <c r="A2963" s="2" t="s">
        <v>7956</v>
      </c>
      <c r="B2963" s="4">
        <v>46225.868055555555</v>
      </c>
      <c r="C2963" s="2" t="s">
        <v>28</v>
      </c>
      <c r="D2963" s="2" t="s">
        <v>37</v>
      </c>
      <c r="E2963" s="2" t="s">
        <v>18</v>
      </c>
      <c r="F2963" s="2" t="s">
        <v>55</v>
      </c>
      <c r="G2963" s="2" t="s">
        <v>31</v>
      </c>
      <c r="H2963" s="2" t="s">
        <v>21</v>
      </c>
      <c r="I2963" s="2">
        <v>24</v>
      </c>
      <c r="J2963" s="2" t="s">
        <v>106</v>
      </c>
      <c r="K2963" s="4">
        <v>46227.634722222225</v>
      </c>
      <c r="L2963" s="2" t="s">
        <v>24</v>
      </c>
      <c r="M2963" s="2">
        <v>5</v>
      </c>
      <c r="N2963" t="s">
        <v>8584</v>
      </c>
      <c r="O2963" s="8">
        <f t="shared" si="92"/>
        <v>42.400000000081491</v>
      </c>
      <c r="P2963" t="str">
        <f t="shared" si="93"/>
        <v>No</v>
      </c>
    </row>
    <row r="2964" spans="1:16" x14ac:dyDescent="0.25">
      <c r="A2964" s="2" t="s">
        <v>7959</v>
      </c>
      <c r="B2964" s="4">
        <v>46109.902083333334</v>
      </c>
      <c r="C2964" s="2" t="s">
        <v>16</v>
      </c>
      <c r="D2964" s="2" t="s">
        <v>84</v>
      </c>
      <c r="E2964" s="2" t="s">
        <v>90</v>
      </c>
      <c r="F2964" s="2" t="s">
        <v>113</v>
      </c>
      <c r="G2964" s="2" t="s">
        <v>101</v>
      </c>
      <c r="H2964" s="2" t="s">
        <v>21</v>
      </c>
      <c r="I2964" s="2">
        <v>24</v>
      </c>
      <c r="J2964" s="2" t="s">
        <v>11</v>
      </c>
      <c r="K2964" s="4" t="s">
        <v>8590</v>
      </c>
      <c r="L2964" s="2" t="s">
        <v>92</v>
      </c>
      <c r="M2964" s="2"/>
      <c r="N2964" t="s">
        <v>8587</v>
      </c>
      <c r="O2964" s="8" t="str">
        <f t="shared" si="92"/>
        <v/>
      </c>
      <c r="P2964" t="str">
        <f t="shared" si="93"/>
        <v>N/A</v>
      </c>
    </row>
    <row r="2965" spans="1:16" x14ac:dyDescent="0.25">
      <c r="A2965" s="2" t="s">
        <v>7961</v>
      </c>
      <c r="B2965" s="4">
        <v>46206.677083333336</v>
      </c>
      <c r="C2965" s="2" t="s">
        <v>67</v>
      </c>
      <c r="D2965" s="2" t="s">
        <v>95</v>
      </c>
      <c r="E2965" s="2" t="s">
        <v>90</v>
      </c>
      <c r="F2965" s="2" t="s">
        <v>30</v>
      </c>
      <c r="G2965" s="2" t="s">
        <v>101</v>
      </c>
      <c r="H2965" s="2" t="s">
        <v>21</v>
      </c>
      <c r="I2965" s="2">
        <v>24</v>
      </c>
      <c r="J2965" s="2" t="s">
        <v>106</v>
      </c>
      <c r="K2965" s="4">
        <v>46206.728472222225</v>
      </c>
      <c r="L2965" s="2" t="s">
        <v>24</v>
      </c>
      <c r="M2965" s="2">
        <v>5</v>
      </c>
      <c r="N2965" t="s">
        <v>8587</v>
      </c>
      <c r="O2965" s="8">
        <f t="shared" si="92"/>
        <v>1.2333333333372138</v>
      </c>
      <c r="P2965" t="str">
        <f t="shared" si="93"/>
        <v>Yes</v>
      </c>
    </row>
    <row r="2966" spans="1:16" x14ac:dyDescent="0.25">
      <c r="A2966" s="2" t="s">
        <v>7964</v>
      </c>
      <c r="B2966" s="4">
        <v>46203.691666666666</v>
      </c>
      <c r="C2966" s="2" t="s">
        <v>67</v>
      </c>
      <c r="D2966" s="2" t="s">
        <v>95</v>
      </c>
      <c r="E2966" s="2" t="s">
        <v>46</v>
      </c>
      <c r="F2966" s="2" t="s">
        <v>113</v>
      </c>
      <c r="G2966" s="2" t="s">
        <v>101</v>
      </c>
      <c r="H2966" s="2" t="s">
        <v>21</v>
      </c>
      <c r="I2966" s="2">
        <v>24</v>
      </c>
      <c r="J2966" s="2" t="s">
        <v>75</v>
      </c>
      <c r="K2966" s="4">
        <v>46204.334027777775</v>
      </c>
      <c r="L2966" s="2" t="s">
        <v>24</v>
      </c>
      <c r="M2966" s="2">
        <v>1</v>
      </c>
      <c r="N2966" t="s">
        <v>8583</v>
      </c>
      <c r="O2966" s="8">
        <f t="shared" si="92"/>
        <v>15.416666666627862</v>
      </c>
      <c r="P2966" t="str">
        <f t="shared" si="93"/>
        <v>N/A</v>
      </c>
    </row>
    <row r="2967" spans="1:16" x14ac:dyDescent="0.25">
      <c r="A2967" s="2" t="s">
        <v>7967</v>
      </c>
      <c r="B2967" s="4">
        <v>46251.478472222225</v>
      </c>
      <c r="C2967" s="2" t="s">
        <v>28</v>
      </c>
      <c r="D2967" s="2" t="s">
        <v>100</v>
      </c>
      <c r="E2967" s="2" t="s">
        <v>90</v>
      </c>
      <c r="F2967" s="2" t="s">
        <v>55</v>
      </c>
      <c r="G2967" s="2" t="s">
        <v>211</v>
      </c>
      <c r="H2967" s="2" t="s">
        <v>32</v>
      </c>
      <c r="I2967" s="2">
        <v>48</v>
      </c>
      <c r="J2967" s="2" t="s">
        <v>75</v>
      </c>
      <c r="K2967" s="4">
        <v>46254.011111111111</v>
      </c>
      <c r="L2967" s="2" t="s">
        <v>92</v>
      </c>
      <c r="M2967" s="2">
        <v>4</v>
      </c>
      <c r="N2967" t="s">
        <v>8589</v>
      </c>
      <c r="O2967" s="8">
        <f t="shared" si="92"/>
        <v>60.783333333267365</v>
      </c>
      <c r="P2967" t="str">
        <f t="shared" si="93"/>
        <v>N/A</v>
      </c>
    </row>
    <row r="2968" spans="1:16" x14ac:dyDescent="0.25">
      <c r="A2968" s="2" t="s">
        <v>7970</v>
      </c>
      <c r="B2968" s="4">
        <v>46147.71597222222</v>
      </c>
      <c r="C2968" s="2" t="s">
        <v>53</v>
      </c>
      <c r="D2968" s="2" t="s">
        <v>61</v>
      </c>
      <c r="E2968" s="2" t="s">
        <v>38</v>
      </c>
      <c r="F2968" s="2" t="s">
        <v>96</v>
      </c>
      <c r="G2968" s="2" t="s">
        <v>110</v>
      </c>
      <c r="H2968" s="2" t="s">
        <v>32</v>
      </c>
      <c r="I2968" s="2">
        <v>48</v>
      </c>
      <c r="J2968" s="2" t="s">
        <v>287</v>
      </c>
      <c r="K2968" s="4" t="s">
        <v>8590</v>
      </c>
      <c r="L2968" s="2" t="s">
        <v>24</v>
      </c>
      <c r="M2968" s="2"/>
      <c r="N2968" t="s">
        <v>8582</v>
      </c>
      <c r="O2968" s="8" t="str">
        <f t="shared" si="92"/>
        <v/>
      </c>
      <c r="P2968" t="str">
        <f t="shared" si="93"/>
        <v>N/A</v>
      </c>
    </row>
    <row r="2969" spans="1:16" x14ac:dyDescent="0.25">
      <c r="A2969" s="2" t="s">
        <v>7972</v>
      </c>
      <c r="B2969" s="4">
        <v>46119.868750000001</v>
      </c>
      <c r="C2969" s="2" t="s">
        <v>67</v>
      </c>
      <c r="D2969" s="2" t="s">
        <v>95</v>
      </c>
      <c r="E2969" s="2" t="s">
        <v>79</v>
      </c>
      <c r="F2969" s="2" t="s">
        <v>113</v>
      </c>
      <c r="G2969" s="2" t="s">
        <v>183</v>
      </c>
      <c r="H2969" s="2" t="s">
        <v>32</v>
      </c>
      <c r="I2969" s="2">
        <v>48</v>
      </c>
      <c r="J2969" s="2" t="s">
        <v>106</v>
      </c>
      <c r="K2969" s="4">
        <v>46120.624305555553</v>
      </c>
      <c r="L2969" s="2" t="s">
        <v>24</v>
      </c>
      <c r="M2969" s="2">
        <v>5</v>
      </c>
      <c r="N2969" t="s">
        <v>8587</v>
      </c>
      <c r="O2969" s="8">
        <f t="shared" si="92"/>
        <v>18.133333333244082</v>
      </c>
      <c r="P2969" t="str">
        <f t="shared" si="93"/>
        <v>Yes</v>
      </c>
    </row>
    <row r="2970" spans="1:16" x14ac:dyDescent="0.25">
      <c r="A2970" s="2" t="s">
        <v>7975</v>
      </c>
      <c r="B2970" s="4">
        <v>46085.486111111109</v>
      </c>
      <c r="C2970" s="2" t="s">
        <v>28</v>
      </c>
      <c r="D2970" s="2" t="s">
        <v>37</v>
      </c>
      <c r="E2970" s="2" t="s">
        <v>46</v>
      </c>
      <c r="F2970" s="2" t="s">
        <v>30</v>
      </c>
      <c r="G2970" s="2" t="s">
        <v>179</v>
      </c>
      <c r="H2970" s="2" t="s">
        <v>21</v>
      </c>
      <c r="I2970" s="2">
        <v>24</v>
      </c>
      <c r="J2970" s="2" t="s">
        <v>106</v>
      </c>
      <c r="K2970" s="4">
        <v>46085.675694444442</v>
      </c>
      <c r="L2970" s="2" t="s">
        <v>24</v>
      </c>
      <c r="M2970" s="2"/>
      <c r="N2970" t="s">
        <v>8586</v>
      </c>
      <c r="O2970" s="8">
        <f t="shared" si="92"/>
        <v>4.5499999999883585</v>
      </c>
      <c r="P2970" t="str">
        <f t="shared" si="93"/>
        <v>Yes</v>
      </c>
    </row>
    <row r="2971" spans="1:16" x14ac:dyDescent="0.25">
      <c r="A2971" s="2" t="s">
        <v>7978</v>
      </c>
      <c r="B2971" s="4">
        <v>46195.213888888888</v>
      </c>
      <c r="C2971" s="2" t="s">
        <v>67</v>
      </c>
      <c r="D2971" s="2" t="s">
        <v>68</v>
      </c>
      <c r="E2971" s="2" t="s">
        <v>85</v>
      </c>
      <c r="F2971" s="2" t="s">
        <v>96</v>
      </c>
      <c r="G2971" s="2" t="s">
        <v>110</v>
      </c>
      <c r="H2971" s="2" t="s">
        <v>80</v>
      </c>
      <c r="I2971" s="2">
        <v>4</v>
      </c>
      <c r="J2971" s="2" t="s">
        <v>106</v>
      </c>
      <c r="K2971" s="4">
        <v>46195.481249999997</v>
      </c>
      <c r="L2971" s="2" t="s">
        <v>24</v>
      </c>
      <c r="M2971" s="2">
        <v>4</v>
      </c>
      <c r="N2971" t="s">
        <v>8583</v>
      </c>
      <c r="O2971" s="8">
        <f t="shared" si="92"/>
        <v>6.4166666666278616</v>
      </c>
      <c r="P2971" t="str">
        <f t="shared" si="93"/>
        <v>No</v>
      </c>
    </row>
    <row r="2972" spans="1:16" x14ac:dyDescent="0.25">
      <c r="A2972" s="2" t="s">
        <v>7981</v>
      </c>
      <c r="B2972" s="4">
        <v>46185.756944444445</v>
      </c>
      <c r="C2972" s="2" t="s">
        <v>28</v>
      </c>
      <c r="D2972" s="2" t="s">
        <v>37</v>
      </c>
      <c r="E2972" s="2" t="s">
        <v>38</v>
      </c>
      <c r="F2972" s="2" t="s">
        <v>30</v>
      </c>
      <c r="G2972" s="2" t="s">
        <v>211</v>
      </c>
      <c r="H2972" s="2" t="s">
        <v>74</v>
      </c>
      <c r="I2972" s="2">
        <v>8</v>
      </c>
      <c r="J2972" s="2" t="s">
        <v>75</v>
      </c>
      <c r="K2972" s="4">
        <v>46186.493055555555</v>
      </c>
      <c r="L2972" s="2" t="s">
        <v>24</v>
      </c>
      <c r="M2972" s="2"/>
      <c r="N2972" t="s">
        <v>8588</v>
      </c>
      <c r="O2972" s="8">
        <f t="shared" si="92"/>
        <v>17.666666666627862</v>
      </c>
      <c r="P2972" t="str">
        <f t="shared" si="93"/>
        <v>N/A</v>
      </c>
    </row>
    <row r="2973" spans="1:16" x14ac:dyDescent="0.25">
      <c r="A2973" s="2" t="s">
        <v>7984</v>
      </c>
      <c r="B2973" s="4">
        <v>46159.708333333336</v>
      </c>
      <c r="C2973" s="2" t="s">
        <v>53</v>
      </c>
      <c r="D2973" s="2" t="s">
        <v>54</v>
      </c>
      <c r="E2973" s="2" t="s">
        <v>38</v>
      </c>
      <c r="F2973" s="2" t="s">
        <v>96</v>
      </c>
      <c r="G2973" s="2" t="s">
        <v>31</v>
      </c>
      <c r="H2973" s="2" t="s">
        <v>74</v>
      </c>
      <c r="I2973" s="2">
        <v>8</v>
      </c>
      <c r="J2973" s="2" t="s">
        <v>106</v>
      </c>
      <c r="K2973" s="4">
        <v>46159.731249999997</v>
      </c>
      <c r="L2973" s="2" t="s">
        <v>24</v>
      </c>
      <c r="M2973" s="2">
        <v>2</v>
      </c>
      <c r="N2973" t="s">
        <v>8584</v>
      </c>
      <c r="O2973" s="8">
        <f t="shared" si="92"/>
        <v>0.54999999987194315</v>
      </c>
      <c r="P2973" t="str">
        <f t="shared" si="93"/>
        <v>Yes</v>
      </c>
    </row>
    <row r="2974" spans="1:16" x14ac:dyDescent="0.25">
      <c r="A2974" s="2" t="s">
        <v>7987</v>
      </c>
      <c r="B2974" s="4">
        <v>46198.015972222223</v>
      </c>
      <c r="C2974" s="2" t="s">
        <v>16</v>
      </c>
      <c r="D2974" s="2" t="s">
        <v>84</v>
      </c>
      <c r="E2974" s="2" t="s">
        <v>18</v>
      </c>
      <c r="F2974" s="2" t="s">
        <v>113</v>
      </c>
      <c r="G2974" s="2" t="s">
        <v>179</v>
      </c>
      <c r="H2974" s="2" t="s">
        <v>32</v>
      </c>
      <c r="I2974" s="2">
        <v>48</v>
      </c>
      <c r="J2974" s="2" t="s">
        <v>75</v>
      </c>
      <c r="K2974" s="4">
        <v>46199.4</v>
      </c>
      <c r="L2974" s="2" t="s">
        <v>24</v>
      </c>
      <c r="M2974" s="2"/>
      <c r="N2974" t="s">
        <v>8587</v>
      </c>
      <c r="O2974" s="8">
        <f t="shared" si="92"/>
        <v>33.216666666674428</v>
      </c>
      <c r="P2974" t="str">
        <f t="shared" si="93"/>
        <v>N/A</v>
      </c>
    </row>
    <row r="2975" spans="1:16" x14ac:dyDescent="0.25">
      <c r="A2975" s="2" t="s">
        <v>7989</v>
      </c>
      <c r="B2975" s="4">
        <v>46052.249305555553</v>
      </c>
      <c r="C2975" s="2" t="s">
        <v>53</v>
      </c>
      <c r="D2975" s="2" t="s">
        <v>54</v>
      </c>
      <c r="E2975" s="2" t="s">
        <v>38</v>
      </c>
      <c r="F2975" s="2" t="s">
        <v>55</v>
      </c>
      <c r="G2975" s="2" t="s">
        <v>31</v>
      </c>
      <c r="H2975" s="2" t="s">
        <v>74</v>
      </c>
      <c r="I2975" s="2">
        <v>8</v>
      </c>
      <c r="J2975" s="2" t="s">
        <v>75</v>
      </c>
      <c r="K2975" s="4">
        <v>46052.271527777775</v>
      </c>
      <c r="L2975" s="2" t="s">
        <v>24</v>
      </c>
      <c r="M2975" s="2">
        <v>4</v>
      </c>
      <c r="N2975" t="s">
        <v>8582</v>
      </c>
      <c r="O2975" s="8">
        <f t="shared" si="92"/>
        <v>0.53333333332557231</v>
      </c>
      <c r="P2975" t="str">
        <f t="shared" si="93"/>
        <v>N/A</v>
      </c>
    </row>
    <row r="2976" spans="1:16" x14ac:dyDescent="0.25">
      <c r="A2976" s="2" t="s">
        <v>7992</v>
      </c>
      <c r="B2976" s="4">
        <v>46241.026388888888</v>
      </c>
      <c r="C2976" s="2" t="s">
        <v>16</v>
      </c>
      <c r="D2976" s="2" t="s">
        <v>17</v>
      </c>
      <c r="E2976" s="2" t="s">
        <v>79</v>
      </c>
      <c r="F2976" s="2" t="s">
        <v>30</v>
      </c>
      <c r="G2976" s="2" t="s">
        <v>101</v>
      </c>
      <c r="H2976" s="2" t="s">
        <v>21</v>
      </c>
      <c r="I2976" s="2">
        <v>24</v>
      </c>
      <c r="J2976" s="2" t="s">
        <v>75</v>
      </c>
      <c r="K2976" s="4">
        <v>46241.659722222219</v>
      </c>
      <c r="L2976" s="2" t="s">
        <v>24</v>
      </c>
      <c r="M2976" s="2">
        <v>4</v>
      </c>
      <c r="N2976" t="s">
        <v>8588</v>
      </c>
      <c r="O2976" s="8">
        <f t="shared" si="92"/>
        <v>15.199999999953434</v>
      </c>
      <c r="P2976" t="str">
        <f t="shared" si="93"/>
        <v>N/A</v>
      </c>
    </row>
    <row r="2977" spans="1:16" x14ac:dyDescent="0.25">
      <c r="A2977" s="2" t="s">
        <v>7995</v>
      </c>
      <c r="B2977" s="4">
        <v>46092.9</v>
      </c>
      <c r="C2977" s="2" t="s">
        <v>67</v>
      </c>
      <c r="D2977" s="2" t="s">
        <v>68</v>
      </c>
      <c r="E2977" s="2" t="s">
        <v>85</v>
      </c>
      <c r="F2977" s="2" t="s">
        <v>96</v>
      </c>
      <c r="G2977" s="2" t="s">
        <v>211</v>
      </c>
      <c r="H2977" s="2" t="s">
        <v>74</v>
      </c>
      <c r="I2977" s="2">
        <v>8</v>
      </c>
      <c r="J2977" s="2" t="s">
        <v>287</v>
      </c>
      <c r="K2977" s="4" t="s">
        <v>8590</v>
      </c>
      <c r="L2977" s="2" t="s">
        <v>24</v>
      </c>
      <c r="M2977" s="2"/>
      <c r="N2977" t="s">
        <v>8588</v>
      </c>
      <c r="O2977" s="8" t="str">
        <f t="shared" si="92"/>
        <v/>
      </c>
      <c r="P2977" t="str">
        <f t="shared" si="93"/>
        <v>N/A</v>
      </c>
    </row>
    <row r="2978" spans="1:16" x14ac:dyDescent="0.25">
      <c r="A2978" s="2" t="s">
        <v>7997</v>
      </c>
      <c r="B2978" s="4">
        <v>46129.652777777781</v>
      </c>
      <c r="C2978" s="2" t="s">
        <v>53</v>
      </c>
      <c r="D2978" s="2" t="s">
        <v>61</v>
      </c>
      <c r="E2978" s="2" t="s">
        <v>79</v>
      </c>
      <c r="F2978" s="2" t="s">
        <v>113</v>
      </c>
      <c r="G2978" s="2" t="s">
        <v>183</v>
      </c>
      <c r="H2978" s="2" t="s">
        <v>32</v>
      </c>
      <c r="I2978" s="2">
        <v>48</v>
      </c>
      <c r="J2978" s="2" t="s">
        <v>8580</v>
      </c>
      <c r="K2978" s="4">
        <v>46130.078472222223</v>
      </c>
      <c r="L2978" s="2" t="s">
        <v>24</v>
      </c>
      <c r="M2978" s="2"/>
      <c r="N2978" t="s">
        <v>8582</v>
      </c>
      <c r="O2978" s="8">
        <f t="shared" si="92"/>
        <v>10.21666666661622</v>
      </c>
      <c r="P2978" t="str">
        <f t="shared" si="93"/>
        <v>N/A</v>
      </c>
    </row>
    <row r="2979" spans="1:16" x14ac:dyDescent="0.25">
      <c r="A2979" s="2" t="s">
        <v>8000</v>
      </c>
      <c r="B2979" s="4">
        <v>46198.945833333331</v>
      </c>
      <c r="C2979" s="2" t="s">
        <v>53</v>
      </c>
      <c r="D2979" s="2" t="s">
        <v>61</v>
      </c>
      <c r="E2979" s="2" t="s">
        <v>46</v>
      </c>
      <c r="F2979" s="2" t="s">
        <v>96</v>
      </c>
      <c r="G2979" s="2" t="s">
        <v>110</v>
      </c>
      <c r="H2979" s="2" t="s">
        <v>21</v>
      </c>
      <c r="I2979" s="2">
        <v>24</v>
      </c>
      <c r="J2979" s="2" t="s">
        <v>75</v>
      </c>
      <c r="K2979" s="4">
        <v>46199.577777777777</v>
      </c>
      <c r="L2979" s="2" t="s">
        <v>24</v>
      </c>
      <c r="M2979" s="2"/>
      <c r="N2979" t="s">
        <v>8583</v>
      </c>
      <c r="O2979" s="8">
        <f t="shared" si="92"/>
        <v>15.166666666686069</v>
      </c>
      <c r="P2979" t="str">
        <f t="shared" si="93"/>
        <v>N/A</v>
      </c>
    </row>
    <row r="2980" spans="1:16" x14ac:dyDescent="0.25">
      <c r="A2980" s="2" t="s">
        <v>8003</v>
      </c>
      <c r="B2980" s="4">
        <v>46093.165972222225</v>
      </c>
      <c r="C2980" s="2" t="s">
        <v>28</v>
      </c>
      <c r="D2980" s="2" t="s">
        <v>37</v>
      </c>
      <c r="E2980" s="2" t="s">
        <v>79</v>
      </c>
      <c r="F2980" s="2" t="s">
        <v>96</v>
      </c>
      <c r="G2980" s="2" t="s">
        <v>110</v>
      </c>
      <c r="H2980" s="2" t="s">
        <v>21</v>
      </c>
      <c r="I2980" s="2">
        <v>24</v>
      </c>
      <c r="J2980" s="2" t="s">
        <v>75</v>
      </c>
      <c r="K2980" s="4">
        <v>46093.825694444444</v>
      </c>
      <c r="L2980" s="2" t="s">
        <v>24</v>
      </c>
      <c r="M2980" s="2">
        <v>5</v>
      </c>
      <c r="N2980" t="s">
        <v>8588</v>
      </c>
      <c r="O2980" s="8">
        <f t="shared" si="92"/>
        <v>15.833333333255723</v>
      </c>
      <c r="P2980" t="str">
        <f t="shared" si="93"/>
        <v>N/A</v>
      </c>
    </row>
    <row r="2981" spans="1:16" x14ac:dyDescent="0.25">
      <c r="A2981" s="2" t="s">
        <v>8006</v>
      </c>
      <c r="B2981" s="4">
        <v>46227.875</v>
      </c>
      <c r="C2981" s="2" t="s">
        <v>53</v>
      </c>
      <c r="D2981" s="2" t="s">
        <v>54</v>
      </c>
      <c r="E2981" s="2" t="s">
        <v>18</v>
      </c>
      <c r="F2981" s="2" t="s">
        <v>30</v>
      </c>
      <c r="G2981" s="2" t="s">
        <v>211</v>
      </c>
      <c r="H2981" s="2" t="s">
        <v>32</v>
      </c>
      <c r="I2981" s="2">
        <v>48</v>
      </c>
      <c r="J2981" s="2" t="s">
        <v>106</v>
      </c>
      <c r="K2981" s="4">
        <v>46230.386805555558</v>
      </c>
      <c r="L2981" s="2" t="s">
        <v>92</v>
      </c>
      <c r="M2981" s="2">
        <v>5</v>
      </c>
      <c r="N2981" t="s">
        <v>8582</v>
      </c>
      <c r="O2981" s="8">
        <f t="shared" si="92"/>
        <v>60.28333333338378</v>
      </c>
      <c r="P2981" t="str">
        <f t="shared" si="93"/>
        <v>No</v>
      </c>
    </row>
    <row r="2982" spans="1:16" x14ac:dyDescent="0.25">
      <c r="A2982" s="2" t="s">
        <v>8009</v>
      </c>
      <c r="B2982" s="4">
        <v>46241.887499999997</v>
      </c>
      <c r="C2982" s="2" t="s">
        <v>53</v>
      </c>
      <c r="D2982" s="2" t="s">
        <v>54</v>
      </c>
      <c r="E2982" s="2" t="s">
        <v>90</v>
      </c>
      <c r="F2982" s="2" t="s">
        <v>113</v>
      </c>
      <c r="G2982" s="2" t="s">
        <v>31</v>
      </c>
      <c r="H2982" s="2" t="s">
        <v>74</v>
      </c>
      <c r="I2982" s="2">
        <v>8</v>
      </c>
      <c r="J2982" s="2" t="s">
        <v>287</v>
      </c>
      <c r="K2982" s="4" t="s">
        <v>8590</v>
      </c>
      <c r="L2982" s="2" t="s">
        <v>24</v>
      </c>
      <c r="M2982" s="2"/>
      <c r="N2982" t="s">
        <v>8583</v>
      </c>
      <c r="O2982" s="8" t="str">
        <f t="shared" si="92"/>
        <v/>
      </c>
      <c r="P2982" t="str">
        <f t="shared" si="93"/>
        <v>N/A</v>
      </c>
    </row>
    <row r="2983" spans="1:16" x14ac:dyDescent="0.25">
      <c r="A2983" s="2" t="s">
        <v>8011</v>
      </c>
      <c r="B2983" s="4">
        <v>46108.250694444447</v>
      </c>
      <c r="C2983" s="2" t="s">
        <v>53</v>
      </c>
      <c r="D2983" s="2" t="s">
        <v>61</v>
      </c>
      <c r="E2983" s="2" t="s">
        <v>85</v>
      </c>
      <c r="F2983" s="2" t="s">
        <v>96</v>
      </c>
      <c r="G2983" s="2" t="s">
        <v>183</v>
      </c>
      <c r="H2983" s="2" t="s">
        <v>32</v>
      </c>
      <c r="I2983" s="2">
        <v>48</v>
      </c>
      <c r="J2983" s="2" t="s">
        <v>75</v>
      </c>
      <c r="K2983" s="4">
        <v>46110.953472222223</v>
      </c>
      <c r="L2983" s="2" t="s">
        <v>24</v>
      </c>
      <c r="M2983" s="2"/>
      <c r="N2983" t="s">
        <v>8581</v>
      </c>
      <c r="O2983" s="8">
        <f t="shared" si="92"/>
        <v>64.866666666639503</v>
      </c>
      <c r="P2983" t="str">
        <f t="shared" si="93"/>
        <v>N/A</v>
      </c>
    </row>
    <row r="2984" spans="1:16" x14ac:dyDescent="0.25">
      <c r="A2984" s="2" t="s">
        <v>8014</v>
      </c>
      <c r="B2984" s="4">
        <v>46245.787499999999</v>
      </c>
      <c r="C2984" s="2" t="s">
        <v>28</v>
      </c>
      <c r="D2984" s="2" t="s">
        <v>37</v>
      </c>
      <c r="E2984" s="2" t="s">
        <v>38</v>
      </c>
      <c r="F2984" s="2" t="s">
        <v>113</v>
      </c>
      <c r="G2984" s="2" t="s">
        <v>31</v>
      </c>
      <c r="H2984" s="2" t="s">
        <v>21</v>
      </c>
      <c r="I2984" s="2">
        <v>24</v>
      </c>
      <c r="J2984" s="2" t="s">
        <v>149</v>
      </c>
      <c r="K2984" s="4" t="s">
        <v>8590</v>
      </c>
      <c r="L2984" s="2" t="s">
        <v>92</v>
      </c>
      <c r="M2984" s="2"/>
      <c r="N2984" t="s">
        <v>8588</v>
      </c>
      <c r="O2984" s="8" t="str">
        <f t="shared" si="92"/>
        <v/>
      </c>
      <c r="P2984" t="str">
        <f t="shared" si="93"/>
        <v>N/A</v>
      </c>
    </row>
    <row r="2985" spans="1:16" x14ac:dyDescent="0.25">
      <c r="A2985" s="2" t="s">
        <v>8016</v>
      </c>
      <c r="B2985" s="4">
        <v>46117.138194444444</v>
      </c>
      <c r="C2985" s="2" t="s">
        <v>16</v>
      </c>
      <c r="D2985" s="2" t="s">
        <v>84</v>
      </c>
      <c r="E2985" s="2" t="s">
        <v>85</v>
      </c>
      <c r="F2985" s="2" t="s">
        <v>30</v>
      </c>
      <c r="G2985" s="2" t="s">
        <v>110</v>
      </c>
      <c r="H2985" s="2" t="s">
        <v>74</v>
      </c>
      <c r="I2985" s="2">
        <v>8</v>
      </c>
      <c r="J2985" s="2" t="s">
        <v>75</v>
      </c>
      <c r="K2985" s="4">
        <v>46117.591666666667</v>
      </c>
      <c r="L2985" s="2" t="s">
        <v>24</v>
      </c>
      <c r="M2985" s="2">
        <v>2</v>
      </c>
      <c r="N2985" t="s">
        <v>8589</v>
      </c>
      <c r="O2985" s="8">
        <f t="shared" si="92"/>
        <v>10.883333333360497</v>
      </c>
      <c r="P2985" t="str">
        <f t="shared" si="93"/>
        <v>N/A</v>
      </c>
    </row>
    <row r="2986" spans="1:16" x14ac:dyDescent="0.25">
      <c r="A2986" s="2" t="s">
        <v>8019</v>
      </c>
      <c r="B2986" s="4">
        <v>46044.96597222222</v>
      </c>
      <c r="C2986" s="2" t="s">
        <v>53</v>
      </c>
      <c r="D2986" s="2" t="s">
        <v>61</v>
      </c>
      <c r="E2986" s="2" t="s">
        <v>79</v>
      </c>
      <c r="F2986" s="2" t="s">
        <v>96</v>
      </c>
      <c r="G2986" s="2" t="s">
        <v>183</v>
      </c>
      <c r="H2986" s="2" t="s">
        <v>21</v>
      </c>
      <c r="I2986" s="2">
        <v>24</v>
      </c>
      <c r="J2986" s="2" t="s">
        <v>106</v>
      </c>
      <c r="K2986" s="4">
        <v>46045.748611111114</v>
      </c>
      <c r="L2986" s="2" t="s">
        <v>92</v>
      </c>
      <c r="M2986" s="2">
        <v>4</v>
      </c>
      <c r="N2986" t="s">
        <v>8589</v>
      </c>
      <c r="O2986" s="8">
        <f t="shared" si="92"/>
        <v>18.783333333441988</v>
      </c>
      <c r="P2986" t="str">
        <f t="shared" si="93"/>
        <v>Yes</v>
      </c>
    </row>
    <row r="2987" spans="1:16" x14ac:dyDescent="0.25">
      <c r="A2987" s="2" t="s">
        <v>8022</v>
      </c>
      <c r="B2987" s="4">
        <v>46111.477777777778</v>
      </c>
      <c r="C2987" s="2" t="s">
        <v>16</v>
      </c>
      <c r="D2987" s="2" t="s">
        <v>84</v>
      </c>
      <c r="E2987" s="2" t="s">
        <v>46</v>
      </c>
      <c r="F2987" s="2" t="s">
        <v>113</v>
      </c>
      <c r="G2987" s="2" t="s">
        <v>110</v>
      </c>
      <c r="H2987" s="2" t="s">
        <v>32</v>
      </c>
      <c r="I2987" s="2">
        <v>48</v>
      </c>
      <c r="J2987" s="2" t="s">
        <v>149</v>
      </c>
      <c r="K2987" s="4" t="s">
        <v>8590</v>
      </c>
      <c r="L2987" s="2" t="s">
        <v>24</v>
      </c>
      <c r="M2987" s="2"/>
      <c r="N2987" t="s">
        <v>8585</v>
      </c>
      <c r="O2987" s="8" t="str">
        <f t="shared" si="92"/>
        <v/>
      </c>
      <c r="P2987" t="str">
        <f t="shared" si="93"/>
        <v>N/A</v>
      </c>
    </row>
    <row r="2988" spans="1:16" x14ac:dyDescent="0.25">
      <c r="A2988" s="2" t="s">
        <v>8024</v>
      </c>
      <c r="B2988" s="4">
        <v>46023.706250000003</v>
      </c>
      <c r="C2988" s="2" t="s">
        <v>16</v>
      </c>
      <c r="D2988" s="2" t="s">
        <v>17</v>
      </c>
      <c r="E2988" s="2" t="s">
        <v>38</v>
      </c>
      <c r="F2988" s="2" t="s">
        <v>113</v>
      </c>
      <c r="G2988" s="2" t="s">
        <v>183</v>
      </c>
      <c r="H2988" s="2" t="s">
        <v>80</v>
      </c>
      <c r="I2988" s="2">
        <v>4</v>
      </c>
      <c r="J2988" s="2" t="s">
        <v>106</v>
      </c>
      <c r="K2988" s="4">
        <v>46023.848611111112</v>
      </c>
      <c r="L2988" s="2" t="s">
        <v>24</v>
      </c>
      <c r="M2988" s="2">
        <v>5</v>
      </c>
      <c r="N2988" t="s">
        <v>8589</v>
      </c>
      <c r="O2988" s="8">
        <f t="shared" si="92"/>
        <v>3.4166666666278616</v>
      </c>
      <c r="P2988" t="str">
        <f t="shared" si="93"/>
        <v>Yes</v>
      </c>
    </row>
    <row r="2989" spans="1:16" x14ac:dyDescent="0.25">
      <c r="A2989" s="2" t="s">
        <v>8027</v>
      </c>
      <c r="B2989" s="4">
        <v>46151.845138888886</v>
      </c>
      <c r="C2989" s="2" t="s">
        <v>16</v>
      </c>
      <c r="D2989" s="2" t="s">
        <v>17</v>
      </c>
      <c r="E2989" s="2" t="s">
        <v>46</v>
      </c>
      <c r="F2989" s="2" t="s">
        <v>55</v>
      </c>
      <c r="G2989" s="2" t="s">
        <v>183</v>
      </c>
      <c r="H2989" s="2" t="s">
        <v>74</v>
      </c>
      <c r="I2989" s="2">
        <v>8</v>
      </c>
      <c r="J2989" s="2" t="s">
        <v>106</v>
      </c>
      <c r="K2989" s="4">
        <v>46152.14166666667</v>
      </c>
      <c r="L2989" s="2" t="s">
        <v>24</v>
      </c>
      <c r="M2989" s="2">
        <v>4</v>
      </c>
      <c r="N2989" t="s">
        <v>8585</v>
      </c>
      <c r="O2989" s="8">
        <f t="shared" si="92"/>
        <v>7.1166666668141261</v>
      </c>
      <c r="P2989" t="str">
        <f t="shared" si="93"/>
        <v>Yes</v>
      </c>
    </row>
    <row r="2990" spans="1:16" x14ac:dyDescent="0.25">
      <c r="A2990" s="2" t="s">
        <v>8030</v>
      </c>
      <c r="B2990" s="4">
        <v>46096.48541666667</v>
      </c>
      <c r="C2990" s="2" t="s">
        <v>53</v>
      </c>
      <c r="D2990" s="2" t="s">
        <v>61</v>
      </c>
      <c r="E2990" s="2" t="s">
        <v>148</v>
      </c>
      <c r="F2990" s="2" t="s">
        <v>96</v>
      </c>
      <c r="G2990" s="2" t="s">
        <v>179</v>
      </c>
      <c r="H2990" s="2" t="s">
        <v>32</v>
      </c>
      <c r="I2990" s="2">
        <v>48</v>
      </c>
      <c r="J2990" s="2" t="s">
        <v>106</v>
      </c>
      <c r="K2990" s="4">
        <v>46097.910416666666</v>
      </c>
      <c r="L2990" s="2" t="s">
        <v>24</v>
      </c>
      <c r="M2990" s="2">
        <v>1</v>
      </c>
      <c r="N2990" t="s">
        <v>8583</v>
      </c>
      <c r="O2990" s="8">
        <f t="shared" si="92"/>
        <v>34.199999999895226</v>
      </c>
      <c r="P2990" t="str">
        <f t="shared" si="93"/>
        <v>Yes</v>
      </c>
    </row>
    <row r="2991" spans="1:16" x14ac:dyDescent="0.25">
      <c r="A2991" s="2" t="s">
        <v>8033</v>
      </c>
      <c r="B2991" s="4">
        <v>46179.191666666666</v>
      </c>
      <c r="C2991" s="2" t="s">
        <v>28</v>
      </c>
      <c r="D2991" s="2" t="s">
        <v>100</v>
      </c>
      <c r="E2991" s="2" t="s">
        <v>18</v>
      </c>
      <c r="F2991" s="2" t="s">
        <v>55</v>
      </c>
      <c r="G2991" s="2" t="s">
        <v>183</v>
      </c>
      <c r="H2991" s="2" t="s">
        <v>21</v>
      </c>
      <c r="I2991" s="2">
        <v>24</v>
      </c>
      <c r="J2991" s="2" t="s">
        <v>106</v>
      </c>
      <c r="K2991" s="4">
        <v>46179.957638888889</v>
      </c>
      <c r="L2991" s="2" t="s">
        <v>24</v>
      </c>
      <c r="M2991" s="2"/>
      <c r="N2991" t="s">
        <v>8583</v>
      </c>
      <c r="O2991" s="8">
        <f t="shared" si="92"/>
        <v>18.383333333360497</v>
      </c>
      <c r="P2991" t="str">
        <f t="shared" si="93"/>
        <v>Yes</v>
      </c>
    </row>
    <row r="2992" spans="1:16" x14ac:dyDescent="0.25">
      <c r="A2992" s="2" t="s">
        <v>8036</v>
      </c>
      <c r="B2992" s="4">
        <v>46109.715277777781</v>
      </c>
      <c r="C2992" s="2" t="s">
        <v>16</v>
      </c>
      <c r="D2992" s="2" t="s">
        <v>84</v>
      </c>
      <c r="E2992" s="2" t="s">
        <v>46</v>
      </c>
      <c r="F2992" s="2" t="s">
        <v>30</v>
      </c>
      <c r="G2992" s="2" t="s">
        <v>183</v>
      </c>
      <c r="H2992" s="2" t="s">
        <v>74</v>
      </c>
      <c r="I2992" s="2">
        <v>8</v>
      </c>
      <c r="J2992" s="2" t="s">
        <v>106</v>
      </c>
      <c r="K2992" s="4">
        <v>46109.997916666667</v>
      </c>
      <c r="L2992" s="2" t="s">
        <v>24</v>
      </c>
      <c r="M2992" s="2">
        <v>2</v>
      </c>
      <c r="N2992" t="s">
        <v>8585</v>
      </c>
      <c r="O2992" s="8">
        <f t="shared" si="92"/>
        <v>6.7833333332673647</v>
      </c>
      <c r="P2992" t="str">
        <f t="shared" si="93"/>
        <v>Yes</v>
      </c>
    </row>
    <row r="2993" spans="1:16" x14ac:dyDescent="0.25">
      <c r="A2993" s="2" t="s">
        <v>8039</v>
      </c>
      <c r="B2993" s="4">
        <v>46060.572222222225</v>
      </c>
      <c r="C2993" s="2" t="s">
        <v>28</v>
      </c>
      <c r="D2993" s="2" t="s">
        <v>37</v>
      </c>
      <c r="E2993" s="2" t="s">
        <v>90</v>
      </c>
      <c r="F2993" s="2" t="s">
        <v>30</v>
      </c>
      <c r="G2993" s="2" t="s">
        <v>179</v>
      </c>
      <c r="H2993" s="2" t="s">
        <v>74</v>
      </c>
      <c r="I2993" s="2">
        <v>8</v>
      </c>
      <c r="J2993" s="2" t="s">
        <v>287</v>
      </c>
      <c r="K2993" s="4" t="s">
        <v>8590</v>
      </c>
      <c r="L2993" s="2" t="s">
        <v>24</v>
      </c>
      <c r="M2993" s="2"/>
      <c r="N2993" t="s">
        <v>8589</v>
      </c>
      <c r="O2993" s="8" t="str">
        <f t="shared" si="92"/>
        <v/>
      </c>
      <c r="P2993" t="str">
        <f t="shared" si="93"/>
        <v>N/A</v>
      </c>
    </row>
    <row r="2994" spans="1:16" x14ac:dyDescent="0.25">
      <c r="A2994" s="2" t="s">
        <v>8041</v>
      </c>
      <c r="B2994" s="4">
        <v>46156.963888888888</v>
      </c>
      <c r="C2994" s="2" t="s">
        <v>67</v>
      </c>
      <c r="D2994" s="2" t="s">
        <v>68</v>
      </c>
      <c r="E2994" s="2" t="s">
        <v>148</v>
      </c>
      <c r="F2994" s="2" t="s">
        <v>30</v>
      </c>
      <c r="G2994" s="2" t="s">
        <v>101</v>
      </c>
      <c r="H2994" s="2" t="s">
        <v>21</v>
      </c>
      <c r="I2994" s="2">
        <v>24</v>
      </c>
      <c r="J2994" s="2" t="s">
        <v>11</v>
      </c>
      <c r="K2994" s="4" t="s">
        <v>8590</v>
      </c>
      <c r="L2994" s="2" t="s">
        <v>92</v>
      </c>
      <c r="M2994" s="2"/>
      <c r="N2994" t="s">
        <v>8585</v>
      </c>
      <c r="O2994" s="8" t="str">
        <f t="shared" si="92"/>
        <v/>
      </c>
      <c r="P2994" t="str">
        <f t="shared" si="93"/>
        <v>N/A</v>
      </c>
    </row>
    <row r="2995" spans="1:16" x14ac:dyDescent="0.25">
      <c r="A2995" s="2" t="s">
        <v>8043</v>
      </c>
      <c r="B2995" s="4">
        <v>46028.095833333333</v>
      </c>
      <c r="C2995" s="2" t="s">
        <v>67</v>
      </c>
      <c r="D2995" s="2" t="s">
        <v>95</v>
      </c>
      <c r="E2995" s="2" t="s">
        <v>46</v>
      </c>
      <c r="F2995" s="2" t="s">
        <v>55</v>
      </c>
      <c r="G2995" s="2" t="s">
        <v>31</v>
      </c>
      <c r="H2995" s="2" t="s">
        <v>80</v>
      </c>
      <c r="I2995" s="2">
        <v>4</v>
      </c>
      <c r="J2995" s="2" t="s">
        <v>287</v>
      </c>
      <c r="K2995" s="4" t="s">
        <v>8590</v>
      </c>
      <c r="L2995" s="2" t="s">
        <v>24</v>
      </c>
      <c r="M2995" s="2"/>
      <c r="N2995" t="s">
        <v>8582</v>
      </c>
      <c r="O2995" s="8" t="str">
        <f t="shared" si="92"/>
        <v/>
      </c>
      <c r="P2995" t="str">
        <f t="shared" si="93"/>
        <v>N/A</v>
      </c>
    </row>
    <row r="2996" spans="1:16" x14ac:dyDescent="0.25">
      <c r="A2996" s="2" t="s">
        <v>8045</v>
      </c>
      <c r="B2996" s="4">
        <v>46155.709722222222</v>
      </c>
      <c r="C2996" s="2" t="s">
        <v>67</v>
      </c>
      <c r="D2996" s="2" t="s">
        <v>68</v>
      </c>
      <c r="E2996" s="2" t="s">
        <v>18</v>
      </c>
      <c r="F2996" s="2" t="s">
        <v>55</v>
      </c>
      <c r="G2996" s="2" t="s">
        <v>183</v>
      </c>
      <c r="H2996" s="2" t="s">
        <v>32</v>
      </c>
      <c r="I2996" s="2">
        <v>48</v>
      </c>
      <c r="J2996" s="2" t="s">
        <v>106</v>
      </c>
      <c r="K2996" s="4">
        <v>46157.102777777778</v>
      </c>
      <c r="L2996" s="2" t="s">
        <v>24</v>
      </c>
      <c r="M2996" s="2">
        <v>5</v>
      </c>
      <c r="N2996" t="s">
        <v>8588</v>
      </c>
      <c r="O2996" s="8">
        <f t="shared" si="92"/>
        <v>33.433333333348855</v>
      </c>
      <c r="P2996" t="str">
        <f t="shared" si="93"/>
        <v>Yes</v>
      </c>
    </row>
    <row r="2997" spans="1:16" x14ac:dyDescent="0.25">
      <c r="A2997" s="2" t="s">
        <v>8048</v>
      </c>
      <c r="B2997" s="4">
        <v>46095.3125</v>
      </c>
      <c r="C2997" s="2" t="s">
        <v>67</v>
      </c>
      <c r="D2997" s="2" t="s">
        <v>68</v>
      </c>
      <c r="E2997" s="2" t="s">
        <v>90</v>
      </c>
      <c r="F2997" s="2" t="s">
        <v>96</v>
      </c>
      <c r="G2997" s="2" t="s">
        <v>110</v>
      </c>
      <c r="H2997" s="2" t="s">
        <v>21</v>
      </c>
      <c r="I2997" s="2">
        <v>24</v>
      </c>
      <c r="J2997" s="2" t="s">
        <v>149</v>
      </c>
      <c r="K2997" s="4" t="s">
        <v>8590</v>
      </c>
      <c r="L2997" s="2" t="s">
        <v>24</v>
      </c>
      <c r="M2997" s="2"/>
      <c r="N2997" t="s">
        <v>8589</v>
      </c>
      <c r="O2997" s="8" t="str">
        <f t="shared" si="92"/>
        <v/>
      </c>
      <c r="P2997" t="str">
        <f t="shared" si="93"/>
        <v>N/A</v>
      </c>
    </row>
    <row r="2998" spans="1:16" x14ac:dyDescent="0.25">
      <c r="A2998" s="2" t="s">
        <v>8050</v>
      </c>
      <c r="B2998" s="4">
        <v>46203.059027777781</v>
      </c>
      <c r="C2998" s="2" t="s">
        <v>67</v>
      </c>
      <c r="D2998" s="2" t="s">
        <v>95</v>
      </c>
      <c r="E2998" s="2" t="s">
        <v>148</v>
      </c>
      <c r="F2998" s="2" t="s">
        <v>113</v>
      </c>
      <c r="G2998" s="2" t="s">
        <v>31</v>
      </c>
      <c r="H2998" s="2" t="s">
        <v>21</v>
      </c>
      <c r="I2998" s="2">
        <v>24</v>
      </c>
      <c r="J2998" s="2" t="s">
        <v>106</v>
      </c>
      <c r="K2998" s="4">
        <v>46203.930555555555</v>
      </c>
      <c r="L2998" s="2" t="s">
        <v>24</v>
      </c>
      <c r="M2998" s="2"/>
      <c r="N2998" t="s">
        <v>8583</v>
      </c>
      <c r="O2998" s="8">
        <f t="shared" si="92"/>
        <v>20.916666666569654</v>
      </c>
      <c r="P2998" t="str">
        <f t="shared" si="93"/>
        <v>Yes</v>
      </c>
    </row>
    <row r="2999" spans="1:16" x14ac:dyDescent="0.25">
      <c r="A2999" s="2" t="s">
        <v>8053</v>
      </c>
      <c r="B2999" s="4">
        <v>46080.90625</v>
      </c>
      <c r="C2999" s="2" t="s">
        <v>16</v>
      </c>
      <c r="D2999" s="2" t="s">
        <v>17</v>
      </c>
      <c r="E2999" s="2" t="s">
        <v>79</v>
      </c>
      <c r="F2999" s="2" t="s">
        <v>96</v>
      </c>
      <c r="G2999" s="2" t="s">
        <v>31</v>
      </c>
      <c r="H2999" s="2" t="s">
        <v>21</v>
      </c>
      <c r="I2999" s="2">
        <v>24</v>
      </c>
      <c r="J2999" s="2" t="s">
        <v>106</v>
      </c>
      <c r="K2999" s="4">
        <v>46081.538194444445</v>
      </c>
      <c r="L2999" s="2" t="s">
        <v>24</v>
      </c>
      <c r="M2999" s="2">
        <v>1</v>
      </c>
      <c r="N2999" t="s">
        <v>8583</v>
      </c>
      <c r="O2999" s="8">
        <f t="shared" si="92"/>
        <v>15.166666666686069</v>
      </c>
      <c r="P2999" t="str">
        <f t="shared" si="93"/>
        <v>Yes</v>
      </c>
    </row>
    <row r="3000" spans="1:16" x14ac:dyDescent="0.25">
      <c r="A3000" s="2" t="s">
        <v>8056</v>
      </c>
      <c r="B3000" s="4">
        <v>46041.738888888889</v>
      </c>
      <c r="C3000" s="2" t="s">
        <v>67</v>
      </c>
      <c r="D3000" s="2" t="s">
        <v>95</v>
      </c>
      <c r="E3000" s="2" t="s">
        <v>18</v>
      </c>
      <c r="F3000" s="2" t="s">
        <v>55</v>
      </c>
      <c r="G3000" s="2" t="s">
        <v>101</v>
      </c>
      <c r="H3000" s="2" t="s">
        <v>80</v>
      </c>
      <c r="I3000" s="2">
        <v>4</v>
      </c>
      <c r="J3000" s="2" t="s">
        <v>287</v>
      </c>
      <c r="K3000" s="4" t="s">
        <v>8590</v>
      </c>
      <c r="L3000" s="2" t="s">
        <v>24</v>
      </c>
      <c r="M3000" s="2"/>
      <c r="N3000" t="s">
        <v>8587</v>
      </c>
      <c r="O3000" s="8" t="str">
        <f t="shared" si="92"/>
        <v/>
      </c>
      <c r="P3000" t="str">
        <f t="shared" si="93"/>
        <v>N/A</v>
      </c>
    </row>
    <row r="3001" spans="1:16" x14ac:dyDescent="0.25">
      <c r="A3001" s="2" t="s">
        <v>8058</v>
      </c>
      <c r="B3001" s="4">
        <v>46113.931250000001</v>
      </c>
      <c r="C3001" s="2" t="s">
        <v>16</v>
      </c>
      <c r="D3001" s="2" t="s">
        <v>17</v>
      </c>
      <c r="E3001" s="2" t="s">
        <v>79</v>
      </c>
      <c r="F3001" s="2" t="s">
        <v>55</v>
      </c>
      <c r="G3001" s="2" t="s">
        <v>110</v>
      </c>
      <c r="H3001" s="2" t="s">
        <v>21</v>
      </c>
      <c r="I3001" s="2">
        <v>24</v>
      </c>
      <c r="J3001" s="2" t="s">
        <v>106</v>
      </c>
      <c r="K3001" s="4">
        <v>46116.84652777778</v>
      </c>
      <c r="L3001" s="2" t="s">
        <v>24</v>
      </c>
      <c r="M3001" s="2">
        <v>2</v>
      </c>
      <c r="N3001" t="s">
        <v>8587</v>
      </c>
      <c r="O3001" s="8">
        <f t="shared" si="92"/>
        <v>69.966666666674428</v>
      </c>
      <c r="P3001" t="str">
        <f t="shared" si="93"/>
        <v>No</v>
      </c>
    </row>
    <row r="3002" spans="1:16" x14ac:dyDescent="0.25">
      <c r="A3002" s="2" t="s">
        <v>8061</v>
      </c>
      <c r="B3002" s="4">
        <v>46254.727777777778</v>
      </c>
      <c r="C3002" s="2" t="s">
        <v>53</v>
      </c>
      <c r="D3002" s="2" t="s">
        <v>61</v>
      </c>
      <c r="E3002" s="2" t="s">
        <v>148</v>
      </c>
      <c r="F3002" s="2" t="s">
        <v>30</v>
      </c>
      <c r="G3002" s="2" t="s">
        <v>101</v>
      </c>
      <c r="H3002" s="2" t="s">
        <v>32</v>
      </c>
      <c r="I3002" s="2">
        <v>48</v>
      </c>
      <c r="J3002" s="2" t="s">
        <v>75</v>
      </c>
      <c r="K3002" s="4">
        <v>46255.632638888892</v>
      </c>
      <c r="L3002" s="2" t="s">
        <v>24</v>
      </c>
      <c r="M3002" s="2">
        <v>5</v>
      </c>
      <c r="N3002" t="s">
        <v>8583</v>
      </c>
      <c r="O3002" s="8">
        <f t="shared" si="92"/>
        <v>21.716666666732635</v>
      </c>
      <c r="P3002" t="str">
        <f t="shared" si="93"/>
        <v>N/A</v>
      </c>
    </row>
    <row r="3003" spans="1:16" x14ac:dyDescent="0.25">
      <c r="A3003" s="2" t="s">
        <v>8064</v>
      </c>
      <c r="B3003" s="4">
        <v>46075.957638888889</v>
      </c>
      <c r="C3003" s="2" t="s">
        <v>53</v>
      </c>
      <c r="D3003" s="2" t="s">
        <v>61</v>
      </c>
      <c r="E3003" s="2" t="s">
        <v>79</v>
      </c>
      <c r="F3003" s="2" t="s">
        <v>55</v>
      </c>
      <c r="G3003" s="2" t="s">
        <v>183</v>
      </c>
      <c r="H3003" s="2" t="s">
        <v>32</v>
      </c>
      <c r="I3003" s="2">
        <v>48</v>
      </c>
      <c r="J3003" s="2" t="s">
        <v>75</v>
      </c>
      <c r="K3003" s="4">
        <v>46080.986111111109</v>
      </c>
      <c r="L3003" s="2" t="s">
        <v>24</v>
      </c>
      <c r="M3003" s="2">
        <v>3</v>
      </c>
      <c r="N3003" t="s">
        <v>8586</v>
      </c>
      <c r="O3003" s="8">
        <f t="shared" si="92"/>
        <v>120.68333333329065</v>
      </c>
      <c r="P3003" t="str">
        <f t="shared" si="93"/>
        <v>N/A</v>
      </c>
    </row>
    <row r="3004" spans="1:16" x14ac:dyDescent="0.25">
      <c r="A3004" s="2" t="s">
        <v>8067</v>
      </c>
      <c r="B3004" s="4">
        <v>46024.704861111109</v>
      </c>
      <c r="C3004" s="2" t="s">
        <v>16</v>
      </c>
      <c r="D3004" s="2" t="s">
        <v>17</v>
      </c>
      <c r="E3004" s="2" t="s">
        <v>148</v>
      </c>
      <c r="F3004" s="2" t="s">
        <v>96</v>
      </c>
      <c r="G3004" s="2" t="s">
        <v>101</v>
      </c>
      <c r="H3004" s="2" t="s">
        <v>21</v>
      </c>
      <c r="I3004" s="2">
        <v>24</v>
      </c>
      <c r="J3004" s="2" t="s">
        <v>75</v>
      </c>
      <c r="K3004" s="4">
        <v>46024.929166666669</v>
      </c>
      <c r="L3004" s="2" t="s">
        <v>24</v>
      </c>
      <c r="M3004" s="2"/>
      <c r="N3004" t="s">
        <v>8581</v>
      </c>
      <c r="O3004" s="8">
        <f t="shared" si="92"/>
        <v>5.3833333334187046</v>
      </c>
      <c r="P3004" t="str">
        <f t="shared" si="93"/>
        <v>N/A</v>
      </c>
    </row>
    <row r="3005" spans="1:16" x14ac:dyDescent="0.25">
      <c r="A3005" s="2" t="s">
        <v>8069</v>
      </c>
      <c r="B3005" s="4">
        <v>46187.580555555556</v>
      </c>
      <c r="C3005" s="2" t="s">
        <v>16</v>
      </c>
      <c r="D3005" s="2" t="s">
        <v>84</v>
      </c>
      <c r="E3005" s="2" t="s">
        <v>85</v>
      </c>
      <c r="F3005" s="2" t="s">
        <v>96</v>
      </c>
      <c r="G3005" s="2" t="s">
        <v>31</v>
      </c>
      <c r="H3005" s="2" t="s">
        <v>21</v>
      </c>
      <c r="I3005" s="2">
        <v>24</v>
      </c>
      <c r="J3005" s="2" t="s">
        <v>75</v>
      </c>
      <c r="K3005" s="4">
        <v>46188.292361111111</v>
      </c>
      <c r="L3005" s="2" t="s">
        <v>24</v>
      </c>
      <c r="M3005" s="2"/>
      <c r="N3005" t="s">
        <v>8582</v>
      </c>
      <c r="O3005" s="8">
        <f t="shared" si="92"/>
        <v>17.083333333313931</v>
      </c>
      <c r="P3005" t="str">
        <f t="shared" si="93"/>
        <v>N/A</v>
      </c>
    </row>
    <row r="3006" spans="1:16" x14ac:dyDescent="0.25">
      <c r="A3006" s="2" t="s">
        <v>8072</v>
      </c>
      <c r="B3006" s="4">
        <v>46091.818749999999</v>
      </c>
      <c r="C3006" s="2" t="s">
        <v>53</v>
      </c>
      <c r="D3006" s="2" t="s">
        <v>61</v>
      </c>
      <c r="E3006" s="2" t="s">
        <v>148</v>
      </c>
      <c r="F3006" s="2" t="s">
        <v>96</v>
      </c>
      <c r="G3006" s="2" t="s">
        <v>211</v>
      </c>
      <c r="H3006" s="2" t="s">
        <v>32</v>
      </c>
      <c r="I3006" s="2">
        <v>48</v>
      </c>
      <c r="J3006" s="2" t="s">
        <v>287</v>
      </c>
      <c r="K3006" s="4" t="s">
        <v>8590</v>
      </c>
      <c r="L3006" s="2" t="s">
        <v>92</v>
      </c>
      <c r="M3006" s="2"/>
      <c r="N3006" t="s">
        <v>8584</v>
      </c>
      <c r="O3006" s="8" t="str">
        <f t="shared" si="92"/>
        <v/>
      </c>
      <c r="P3006" t="str">
        <f t="shared" si="93"/>
        <v>N/A</v>
      </c>
    </row>
    <row r="3007" spans="1:16" x14ac:dyDescent="0.25">
      <c r="A3007" s="2" t="s">
        <v>8074</v>
      </c>
      <c r="B3007" s="4">
        <v>46101.065972222219</v>
      </c>
      <c r="C3007" s="2" t="s">
        <v>67</v>
      </c>
      <c r="D3007" s="2" t="s">
        <v>68</v>
      </c>
      <c r="E3007" s="2" t="s">
        <v>18</v>
      </c>
      <c r="F3007" s="2" t="s">
        <v>30</v>
      </c>
      <c r="G3007" s="2" t="s">
        <v>110</v>
      </c>
      <c r="H3007" s="2" t="s">
        <v>21</v>
      </c>
      <c r="I3007" s="2">
        <v>24</v>
      </c>
      <c r="J3007" s="2" t="s">
        <v>106</v>
      </c>
      <c r="K3007" s="4">
        <v>46101.837500000001</v>
      </c>
      <c r="L3007" s="2" t="s">
        <v>24</v>
      </c>
      <c r="M3007" s="2">
        <v>1</v>
      </c>
      <c r="N3007" t="s">
        <v>8588</v>
      </c>
      <c r="O3007" s="8">
        <f t="shared" si="92"/>
        <v>18.516666666779201</v>
      </c>
      <c r="P3007" t="str">
        <f t="shared" si="93"/>
        <v>Yes</v>
      </c>
    </row>
    <row r="3008" spans="1:16" x14ac:dyDescent="0.25">
      <c r="A3008" s="2" t="s">
        <v>8077</v>
      </c>
      <c r="B3008" s="4">
        <v>46121.794444444444</v>
      </c>
      <c r="C3008" s="2" t="s">
        <v>53</v>
      </c>
      <c r="D3008" s="2" t="s">
        <v>54</v>
      </c>
      <c r="E3008" s="2" t="s">
        <v>148</v>
      </c>
      <c r="F3008" s="2" t="s">
        <v>96</v>
      </c>
      <c r="G3008" s="2" t="s">
        <v>183</v>
      </c>
      <c r="H3008" s="2" t="s">
        <v>21</v>
      </c>
      <c r="I3008" s="2">
        <v>24</v>
      </c>
      <c r="J3008" s="2" t="s">
        <v>75</v>
      </c>
      <c r="K3008" s="4">
        <v>46122.668055555558</v>
      </c>
      <c r="L3008" s="2" t="s">
        <v>24</v>
      </c>
      <c r="M3008" s="2"/>
      <c r="N3008" t="s">
        <v>8584</v>
      </c>
      <c r="O3008" s="8">
        <f t="shared" si="92"/>
        <v>20.966666666732635</v>
      </c>
      <c r="P3008" t="str">
        <f t="shared" si="93"/>
        <v>N/A</v>
      </c>
    </row>
    <row r="3009" spans="1:16" x14ac:dyDescent="0.25">
      <c r="A3009" s="2" t="s">
        <v>8080</v>
      </c>
      <c r="B3009" s="4">
        <v>46175.425694444442</v>
      </c>
      <c r="C3009" s="2" t="s">
        <v>28</v>
      </c>
      <c r="D3009" s="2" t="s">
        <v>100</v>
      </c>
      <c r="E3009" s="2" t="s">
        <v>148</v>
      </c>
      <c r="F3009" s="2" t="s">
        <v>96</v>
      </c>
      <c r="G3009" s="2" t="s">
        <v>101</v>
      </c>
      <c r="H3009" s="2" t="s">
        <v>74</v>
      </c>
      <c r="I3009" s="2">
        <v>8</v>
      </c>
      <c r="J3009" s="2" t="s">
        <v>75</v>
      </c>
      <c r="K3009" s="4">
        <v>46175.585416666669</v>
      </c>
      <c r="L3009" s="2" t="s">
        <v>24</v>
      </c>
      <c r="M3009" s="2">
        <v>4</v>
      </c>
      <c r="N3009" t="s">
        <v>8584</v>
      </c>
      <c r="O3009" s="8">
        <f t="shared" si="92"/>
        <v>3.8333333334303461</v>
      </c>
      <c r="P3009" t="str">
        <f t="shared" si="93"/>
        <v>N/A</v>
      </c>
    </row>
    <row r="3010" spans="1:16" x14ac:dyDescent="0.25">
      <c r="A3010" s="2" t="s">
        <v>8083</v>
      </c>
      <c r="B3010" s="4">
        <v>46128.894444444442</v>
      </c>
      <c r="C3010" s="2" t="s">
        <v>67</v>
      </c>
      <c r="D3010" s="2" t="s">
        <v>68</v>
      </c>
      <c r="E3010" s="2" t="s">
        <v>38</v>
      </c>
      <c r="F3010" s="2" t="s">
        <v>96</v>
      </c>
      <c r="G3010" s="2" t="s">
        <v>101</v>
      </c>
      <c r="H3010" s="2" t="s">
        <v>32</v>
      </c>
      <c r="I3010" s="2">
        <v>48</v>
      </c>
      <c r="J3010" s="2" t="s">
        <v>106</v>
      </c>
      <c r="K3010" s="4">
        <v>46129.011111111111</v>
      </c>
      <c r="L3010" s="2" t="s">
        <v>24</v>
      </c>
      <c r="M3010" s="2">
        <v>1</v>
      </c>
      <c r="N3010" t="s">
        <v>8588</v>
      </c>
      <c r="O3010" s="8">
        <f t="shared" si="92"/>
        <v>2.8000000000465661</v>
      </c>
      <c r="P3010" t="str">
        <f t="shared" si="93"/>
        <v>Yes</v>
      </c>
    </row>
    <row r="3011" spans="1:16" x14ac:dyDescent="0.25">
      <c r="A3011" s="2" t="s">
        <v>8086</v>
      </c>
      <c r="B3011" s="4">
        <v>46207.581250000003</v>
      </c>
      <c r="C3011" s="2" t="s">
        <v>16</v>
      </c>
      <c r="D3011" s="2" t="s">
        <v>17</v>
      </c>
      <c r="E3011" s="2" t="s">
        <v>46</v>
      </c>
      <c r="F3011" s="2" t="s">
        <v>96</v>
      </c>
      <c r="G3011" s="2" t="s">
        <v>101</v>
      </c>
      <c r="H3011" s="2" t="s">
        <v>21</v>
      </c>
      <c r="I3011" s="2">
        <v>24</v>
      </c>
      <c r="J3011" s="2" t="s">
        <v>11</v>
      </c>
      <c r="K3011" s="4" t="s">
        <v>8590</v>
      </c>
      <c r="L3011" s="2" t="s">
        <v>92</v>
      </c>
      <c r="M3011" s="2"/>
      <c r="N3011" t="s">
        <v>8584</v>
      </c>
      <c r="O3011" s="8" t="str">
        <f t="shared" ref="O3011:O3074" si="94">IF(K3011="","",IF(K3011="Missing Resolve Date","",(K3011-B3011)*24))</f>
        <v/>
      </c>
      <c r="P3011" t="str">
        <f t="shared" ref="P3011:P3074" si="95">IF(J3011="Resolved",IF(O3011&lt;=I3011,"Yes","No"),"N/A")</f>
        <v>N/A</v>
      </c>
    </row>
    <row r="3012" spans="1:16" x14ac:dyDescent="0.25">
      <c r="A3012" s="2" t="s">
        <v>8088</v>
      </c>
      <c r="B3012" s="4">
        <v>46247.451388888891</v>
      </c>
      <c r="C3012" s="2" t="s">
        <v>67</v>
      </c>
      <c r="D3012" s="2" t="s">
        <v>68</v>
      </c>
      <c r="E3012" s="2" t="s">
        <v>90</v>
      </c>
      <c r="F3012" s="2" t="s">
        <v>96</v>
      </c>
      <c r="G3012" s="2" t="s">
        <v>31</v>
      </c>
      <c r="H3012" s="2" t="s">
        <v>21</v>
      </c>
      <c r="I3012" s="2">
        <v>24</v>
      </c>
      <c r="J3012" s="2" t="s">
        <v>11</v>
      </c>
      <c r="K3012" s="4" t="s">
        <v>8590</v>
      </c>
      <c r="L3012" s="2" t="s">
        <v>92</v>
      </c>
      <c r="M3012" s="2"/>
      <c r="N3012" t="s">
        <v>8582</v>
      </c>
      <c r="O3012" s="8" t="str">
        <f t="shared" si="94"/>
        <v/>
      </c>
      <c r="P3012" t="str">
        <f t="shared" si="95"/>
        <v>N/A</v>
      </c>
    </row>
    <row r="3013" spans="1:16" x14ac:dyDescent="0.25">
      <c r="A3013" s="2" t="s">
        <v>8090</v>
      </c>
      <c r="B3013" s="4">
        <v>46244.198611111111</v>
      </c>
      <c r="C3013" s="2" t="s">
        <v>28</v>
      </c>
      <c r="D3013" s="2" t="s">
        <v>37</v>
      </c>
      <c r="E3013" s="2" t="s">
        <v>79</v>
      </c>
      <c r="F3013" s="2" t="s">
        <v>113</v>
      </c>
      <c r="G3013" s="2" t="s">
        <v>110</v>
      </c>
      <c r="H3013" s="2" t="s">
        <v>21</v>
      </c>
      <c r="I3013" s="2">
        <v>24</v>
      </c>
      <c r="J3013" s="2" t="s">
        <v>106</v>
      </c>
      <c r="K3013" s="4">
        <v>46247.09652777778</v>
      </c>
      <c r="L3013" s="2" t="s">
        <v>24</v>
      </c>
      <c r="M3013" s="2">
        <v>4</v>
      </c>
      <c r="N3013" t="s">
        <v>8589</v>
      </c>
      <c r="O3013" s="8">
        <f t="shared" si="94"/>
        <v>69.550000000046566</v>
      </c>
      <c r="P3013" t="str">
        <f t="shared" si="95"/>
        <v>No</v>
      </c>
    </row>
    <row r="3014" spans="1:16" x14ac:dyDescent="0.25">
      <c r="A3014" s="2" t="s">
        <v>8093</v>
      </c>
      <c r="B3014" s="4">
        <v>46057.427777777775</v>
      </c>
      <c r="C3014" s="2" t="s">
        <v>28</v>
      </c>
      <c r="D3014" s="2" t="s">
        <v>100</v>
      </c>
      <c r="E3014" s="2" t="s">
        <v>79</v>
      </c>
      <c r="F3014" s="2" t="s">
        <v>113</v>
      </c>
      <c r="G3014" s="2" t="s">
        <v>110</v>
      </c>
      <c r="H3014" s="2" t="s">
        <v>74</v>
      </c>
      <c r="I3014" s="2">
        <v>8</v>
      </c>
      <c r="J3014" s="2" t="s">
        <v>149</v>
      </c>
      <c r="K3014" s="4" t="s">
        <v>8590</v>
      </c>
      <c r="L3014" s="2" t="s">
        <v>24</v>
      </c>
      <c r="M3014" s="2"/>
      <c r="N3014" t="s">
        <v>8583</v>
      </c>
      <c r="O3014" s="8" t="str">
        <f t="shared" si="94"/>
        <v/>
      </c>
      <c r="P3014" t="str">
        <f t="shared" si="95"/>
        <v>N/A</v>
      </c>
    </row>
    <row r="3015" spans="1:16" x14ac:dyDescent="0.25">
      <c r="A3015" s="2" t="s">
        <v>8095</v>
      </c>
      <c r="B3015" s="4">
        <v>46130.032638888886</v>
      </c>
      <c r="C3015" s="2" t="s">
        <v>16</v>
      </c>
      <c r="D3015" s="2" t="s">
        <v>84</v>
      </c>
      <c r="E3015" s="2" t="s">
        <v>148</v>
      </c>
      <c r="F3015" s="2" t="s">
        <v>96</v>
      </c>
      <c r="G3015" s="2" t="s">
        <v>211</v>
      </c>
      <c r="H3015" s="2" t="s">
        <v>32</v>
      </c>
      <c r="I3015" s="2">
        <v>48</v>
      </c>
      <c r="J3015" s="2" t="s">
        <v>106</v>
      </c>
      <c r="K3015" s="4">
        <v>46130.93472222222</v>
      </c>
      <c r="L3015" s="2" t="s">
        <v>92</v>
      </c>
      <c r="M3015" s="2">
        <v>3</v>
      </c>
      <c r="N3015" t="s">
        <v>8586</v>
      </c>
      <c r="O3015" s="8">
        <f t="shared" si="94"/>
        <v>21.650000000023283</v>
      </c>
      <c r="P3015" t="str">
        <f t="shared" si="95"/>
        <v>Yes</v>
      </c>
    </row>
    <row r="3016" spans="1:16" x14ac:dyDescent="0.25">
      <c r="A3016" s="2" t="s">
        <v>8098</v>
      </c>
      <c r="B3016" s="4">
        <v>46161.46597222222</v>
      </c>
      <c r="C3016" s="2" t="s">
        <v>67</v>
      </c>
      <c r="D3016" s="2" t="s">
        <v>95</v>
      </c>
      <c r="E3016" s="2" t="s">
        <v>46</v>
      </c>
      <c r="F3016" s="2" t="s">
        <v>55</v>
      </c>
      <c r="G3016" s="2" t="s">
        <v>110</v>
      </c>
      <c r="H3016" s="2" t="s">
        <v>21</v>
      </c>
      <c r="I3016" s="2">
        <v>24</v>
      </c>
      <c r="J3016" s="2" t="s">
        <v>106</v>
      </c>
      <c r="K3016" s="4">
        <v>46161.988888888889</v>
      </c>
      <c r="L3016" s="2" t="s">
        <v>24</v>
      </c>
      <c r="M3016" s="2"/>
      <c r="N3016" t="s">
        <v>8585</v>
      </c>
      <c r="O3016" s="8">
        <f t="shared" si="94"/>
        <v>12.550000000046566</v>
      </c>
      <c r="P3016" t="str">
        <f t="shared" si="95"/>
        <v>Yes</v>
      </c>
    </row>
    <row r="3017" spans="1:16" x14ac:dyDescent="0.25">
      <c r="A3017" s="2" t="s">
        <v>8101</v>
      </c>
      <c r="B3017" s="4">
        <v>46181.614583333336</v>
      </c>
      <c r="C3017" s="2" t="s">
        <v>67</v>
      </c>
      <c r="D3017" s="2" t="s">
        <v>95</v>
      </c>
      <c r="E3017" s="2" t="s">
        <v>46</v>
      </c>
      <c r="F3017" s="2" t="s">
        <v>113</v>
      </c>
      <c r="G3017" s="2" t="s">
        <v>110</v>
      </c>
      <c r="H3017" s="2" t="s">
        <v>74</v>
      </c>
      <c r="I3017" s="2">
        <v>8</v>
      </c>
      <c r="J3017" s="2" t="s">
        <v>106</v>
      </c>
      <c r="K3017" s="4">
        <v>46181.689583333333</v>
      </c>
      <c r="L3017" s="2" t="s">
        <v>24</v>
      </c>
      <c r="M3017" s="2"/>
      <c r="N3017" t="s">
        <v>8581</v>
      </c>
      <c r="O3017" s="8">
        <f t="shared" si="94"/>
        <v>1.7999999999301508</v>
      </c>
      <c r="P3017" t="str">
        <f t="shared" si="95"/>
        <v>Yes</v>
      </c>
    </row>
    <row r="3018" spans="1:16" x14ac:dyDescent="0.25">
      <c r="A3018" s="2" t="s">
        <v>8104</v>
      </c>
      <c r="B3018" s="4">
        <v>46153.480555555558</v>
      </c>
      <c r="C3018" s="2" t="s">
        <v>67</v>
      </c>
      <c r="D3018" s="2" t="s">
        <v>68</v>
      </c>
      <c r="E3018" s="2" t="s">
        <v>18</v>
      </c>
      <c r="F3018" s="2" t="s">
        <v>55</v>
      </c>
      <c r="G3018" s="2" t="s">
        <v>101</v>
      </c>
      <c r="H3018" s="2" t="s">
        <v>21</v>
      </c>
      <c r="I3018" s="2">
        <v>24</v>
      </c>
      <c r="J3018" s="2" t="s">
        <v>75</v>
      </c>
      <c r="K3018" s="4">
        <v>46153.517361111109</v>
      </c>
      <c r="L3018" s="2" t="s">
        <v>92</v>
      </c>
      <c r="M3018" s="2">
        <v>5</v>
      </c>
      <c r="N3018" t="s">
        <v>8587</v>
      </c>
      <c r="O3018" s="8">
        <f t="shared" si="94"/>
        <v>0.88333333324408159</v>
      </c>
      <c r="P3018" t="str">
        <f t="shared" si="95"/>
        <v>N/A</v>
      </c>
    </row>
    <row r="3019" spans="1:16" x14ac:dyDescent="0.25">
      <c r="A3019" s="2" t="s">
        <v>8107</v>
      </c>
      <c r="B3019" s="4">
        <v>46129.023611111108</v>
      </c>
      <c r="C3019" s="2" t="s">
        <v>67</v>
      </c>
      <c r="D3019" s="2" t="s">
        <v>95</v>
      </c>
      <c r="E3019" s="2" t="s">
        <v>85</v>
      </c>
      <c r="F3019" s="2" t="s">
        <v>96</v>
      </c>
      <c r="G3019" s="2" t="s">
        <v>31</v>
      </c>
      <c r="H3019" s="2" t="s">
        <v>74</v>
      </c>
      <c r="I3019" s="2">
        <v>8</v>
      </c>
      <c r="J3019" s="2" t="s">
        <v>106</v>
      </c>
      <c r="K3019" s="4" t="s">
        <v>8590</v>
      </c>
      <c r="L3019" s="2" t="s">
        <v>24</v>
      </c>
      <c r="M3019" s="2"/>
      <c r="N3019" t="s">
        <v>8588</v>
      </c>
      <c r="O3019" s="8" t="str">
        <f t="shared" si="94"/>
        <v/>
      </c>
      <c r="P3019" t="str">
        <f t="shared" si="95"/>
        <v>No</v>
      </c>
    </row>
    <row r="3020" spans="1:16" x14ac:dyDescent="0.25">
      <c r="A3020" s="2" t="s">
        <v>8109</v>
      </c>
      <c r="B3020" s="4">
        <v>46083.512499999997</v>
      </c>
      <c r="C3020" s="2" t="s">
        <v>16</v>
      </c>
      <c r="D3020" s="2" t="s">
        <v>84</v>
      </c>
      <c r="E3020" s="2" t="s">
        <v>18</v>
      </c>
      <c r="F3020" s="2" t="s">
        <v>96</v>
      </c>
      <c r="G3020" s="2" t="s">
        <v>179</v>
      </c>
      <c r="H3020" s="2" t="s">
        <v>21</v>
      </c>
      <c r="I3020" s="2">
        <v>24</v>
      </c>
      <c r="J3020" s="2" t="s">
        <v>75</v>
      </c>
      <c r="K3020" s="4">
        <v>46084.17291666667</v>
      </c>
      <c r="L3020" s="2" t="s">
        <v>24</v>
      </c>
      <c r="M3020" s="2">
        <v>2</v>
      </c>
      <c r="N3020" t="s">
        <v>8583</v>
      </c>
      <c r="O3020" s="8">
        <f t="shared" si="94"/>
        <v>15.85000000015134</v>
      </c>
      <c r="P3020" t="str">
        <f t="shared" si="95"/>
        <v>N/A</v>
      </c>
    </row>
    <row r="3021" spans="1:16" x14ac:dyDescent="0.25">
      <c r="A3021" s="2" t="s">
        <v>8112</v>
      </c>
      <c r="B3021" s="4">
        <v>46261.098611111112</v>
      </c>
      <c r="C3021" s="2" t="s">
        <v>67</v>
      </c>
      <c r="D3021" s="2" t="s">
        <v>95</v>
      </c>
      <c r="E3021" s="2" t="s">
        <v>46</v>
      </c>
      <c r="F3021" s="2" t="s">
        <v>96</v>
      </c>
      <c r="G3021" s="2" t="s">
        <v>31</v>
      </c>
      <c r="H3021" s="2" t="s">
        <v>32</v>
      </c>
      <c r="I3021" s="2">
        <v>48</v>
      </c>
      <c r="J3021" s="2" t="s">
        <v>106</v>
      </c>
      <c r="K3021" s="4">
        <v>46262.841666666667</v>
      </c>
      <c r="L3021" s="2" t="s">
        <v>24</v>
      </c>
      <c r="M3021" s="2">
        <v>1</v>
      </c>
      <c r="N3021" t="s">
        <v>8589</v>
      </c>
      <c r="O3021" s="8">
        <f t="shared" si="94"/>
        <v>41.833333333313931</v>
      </c>
      <c r="P3021" t="str">
        <f t="shared" si="95"/>
        <v>Yes</v>
      </c>
    </row>
    <row r="3022" spans="1:16" x14ac:dyDescent="0.25">
      <c r="A3022" s="2" t="s">
        <v>8115</v>
      </c>
      <c r="B3022" s="4">
        <v>46254.246527777781</v>
      </c>
      <c r="C3022" s="2" t="s">
        <v>53</v>
      </c>
      <c r="D3022" s="2" t="s">
        <v>54</v>
      </c>
      <c r="E3022" s="2" t="s">
        <v>46</v>
      </c>
      <c r="F3022" s="2" t="s">
        <v>55</v>
      </c>
      <c r="G3022" s="2" t="s">
        <v>211</v>
      </c>
      <c r="H3022" s="2" t="s">
        <v>21</v>
      </c>
      <c r="I3022" s="2">
        <v>24</v>
      </c>
      <c r="J3022" s="2" t="s">
        <v>106</v>
      </c>
      <c r="K3022" s="4">
        <v>46257.121527777781</v>
      </c>
      <c r="L3022" s="2" t="s">
        <v>24</v>
      </c>
      <c r="M3022" s="2"/>
      <c r="N3022" t="s">
        <v>8589</v>
      </c>
      <c r="O3022" s="8">
        <f t="shared" si="94"/>
        <v>69</v>
      </c>
      <c r="P3022" t="str">
        <f t="shared" si="95"/>
        <v>No</v>
      </c>
    </row>
    <row r="3023" spans="1:16" x14ac:dyDescent="0.25">
      <c r="A3023" s="2" t="s">
        <v>8118</v>
      </c>
      <c r="B3023" s="4">
        <v>46041.025000000001</v>
      </c>
      <c r="C3023" s="2" t="s">
        <v>67</v>
      </c>
      <c r="D3023" s="2" t="s">
        <v>95</v>
      </c>
      <c r="E3023" s="2" t="s">
        <v>38</v>
      </c>
      <c r="F3023" s="2" t="s">
        <v>30</v>
      </c>
      <c r="G3023" s="2" t="s">
        <v>110</v>
      </c>
      <c r="H3023" s="2" t="s">
        <v>80</v>
      </c>
      <c r="I3023" s="2">
        <v>4</v>
      </c>
      <c r="J3023" s="2" t="s">
        <v>8580</v>
      </c>
      <c r="K3023" s="4">
        <v>46041.138194444444</v>
      </c>
      <c r="L3023" s="2" t="s">
        <v>24</v>
      </c>
      <c r="M3023" s="2"/>
      <c r="N3023" t="s">
        <v>8589</v>
      </c>
      <c r="O3023" s="8">
        <f t="shared" si="94"/>
        <v>2.71666666661622</v>
      </c>
      <c r="P3023" t="str">
        <f t="shared" si="95"/>
        <v>N/A</v>
      </c>
    </row>
    <row r="3024" spans="1:16" x14ac:dyDescent="0.25">
      <c r="A3024" s="2" t="s">
        <v>8121</v>
      </c>
      <c r="B3024" s="4">
        <v>46059.77847222222</v>
      </c>
      <c r="C3024" s="2" t="s">
        <v>67</v>
      </c>
      <c r="D3024" s="2" t="s">
        <v>95</v>
      </c>
      <c r="E3024" s="2" t="s">
        <v>38</v>
      </c>
      <c r="F3024" s="2" t="s">
        <v>55</v>
      </c>
      <c r="G3024" s="2" t="s">
        <v>211</v>
      </c>
      <c r="H3024" s="2" t="s">
        <v>32</v>
      </c>
      <c r="I3024" s="2">
        <v>48</v>
      </c>
      <c r="J3024" s="2" t="s">
        <v>8580</v>
      </c>
      <c r="K3024" s="4">
        <v>46060.742361111108</v>
      </c>
      <c r="L3024" s="2" t="s">
        <v>24</v>
      </c>
      <c r="M3024" s="2"/>
      <c r="N3024" t="s">
        <v>8583</v>
      </c>
      <c r="O3024" s="8">
        <f t="shared" si="94"/>
        <v>23.133333333302289</v>
      </c>
      <c r="P3024" t="str">
        <f t="shared" si="95"/>
        <v>N/A</v>
      </c>
    </row>
    <row r="3025" spans="1:16" x14ac:dyDescent="0.25">
      <c r="A3025" s="2" t="s">
        <v>8124</v>
      </c>
      <c r="B3025" s="4">
        <v>46084.675694444442</v>
      </c>
      <c r="C3025" s="2" t="s">
        <v>28</v>
      </c>
      <c r="D3025" s="2" t="s">
        <v>100</v>
      </c>
      <c r="E3025" s="2" t="s">
        <v>148</v>
      </c>
      <c r="F3025" s="2" t="s">
        <v>55</v>
      </c>
      <c r="G3025" s="2" t="s">
        <v>183</v>
      </c>
      <c r="H3025" s="2" t="s">
        <v>74</v>
      </c>
      <c r="I3025" s="2">
        <v>8</v>
      </c>
      <c r="J3025" s="2" t="s">
        <v>75</v>
      </c>
      <c r="K3025" s="4">
        <v>46084.709722222222</v>
      </c>
      <c r="L3025" s="2" t="s">
        <v>24</v>
      </c>
      <c r="M3025" s="2">
        <v>5</v>
      </c>
      <c r="N3025" t="s">
        <v>8581</v>
      </c>
      <c r="O3025" s="8">
        <f t="shared" si="94"/>
        <v>0.81666666670935228</v>
      </c>
      <c r="P3025" t="str">
        <f t="shared" si="95"/>
        <v>N/A</v>
      </c>
    </row>
    <row r="3026" spans="1:16" x14ac:dyDescent="0.25">
      <c r="A3026" s="2" t="s">
        <v>8127</v>
      </c>
      <c r="B3026" s="4">
        <v>46229.930555555555</v>
      </c>
      <c r="C3026" s="2" t="s">
        <v>53</v>
      </c>
      <c r="D3026" s="2" t="s">
        <v>61</v>
      </c>
      <c r="E3026" s="2" t="s">
        <v>18</v>
      </c>
      <c r="F3026" s="2" t="s">
        <v>55</v>
      </c>
      <c r="G3026" s="2" t="s">
        <v>31</v>
      </c>
      <c r="H3026" s="2" t="s">
        <v>21</v>
      </c>
      <c r="I3026" s="2">
        <v>24</v>
      </c>
      <c r="J3026" s="2" t="s">
        <v>287</v>
      </c>
      <c r="K3026" s="4" t="s">
        <v>8590</v>
      </c>
      <c r="L3026" s="2" t="s">
        <v>24</v>
      </c>
      <c r="M3026" s="2"/>
      <c r="N3026" t="s">
        <v>8584</v>
      </c>
      <c r="O3026" s="8" t="str">
        <f t="shared" si="94"/>
        <v/>
      </c>
      <c r="P3026" t="str">
        <f t="shared" si="95"/>
        <v>N/A</v>
      </c>
    </row>
    <row r="3027" spans="1:16" x14ac:dyDescent="0.25">
      <c r="A3027" s="2" t="s">
        <v>8128</v>
      </c>
      <c r="B3027" s="4">
        <v>46240.636805555558</v>
      </c>
      <c r="C3027" s="2" t="s">
        <v>67</v>
      </c>
      <c r="D3027" s="2" t="s">
        <v>68</v>
      </c>
      <c r="E3027" s="2" t="s">
        <v>148</v>
      </c>
      <c r="F3027" s="2" t="s">
        <v>30</v>
      </c>
      <c r="G3027" s="2" t="s">
        <v>211</v>
      </c>
      <c r="H3027" s="2" t="s">
        <v>74</v>
      </c>
      <c r="I3027" s="2">
        <v>8</v>
      </c>
      <c r="J3027" s="2" t="s">
        <v>75</v>
      </c>
      <c r="K3027" s="4">
        <v>46240.852083333331</v>
      </c>
      <c r="L3027" s="2" t="s">
        <v>92</v>
      </c>
      <c r="M3027" s="2">
        <v>5</v>
      </c>
      <c r="N3027" t="s">
        <v>8586</v>
      </c>
      <c r="O3027" s="8">
        <f t="shared" si="94"/>
        <v>5.1666666665696539</v>
      </c>
      <c r="P3027" t="str">
        <f t="shared" si="95"/>
        <v>N/A</v>
      </c>
    </row>
    <row r="3028" spans="1:16" x14ac:dyDescent="0.25">
      <c r="A3028" s="2" t="s">
        <v>8131</v>
      </c>
      <c r="B3028" s="4">
        <v>46202.927777777775</v>
      </c>
      <c r="C3028" s="2" t="s">
        <v>53</v>
      </c>
      <c r="D3028" s="2" t="s">
        <v>54</v>
      </c>
      <c r="E3028" s="2" t="s">
        <v>46</v>
      </c>
      <c r="F3028" s="2" t="s">
        <v>30</v>
      </c>
      <c r="G3028" s="2" t="s">
        <v>110</v>
      </c>
      <c r="H3028" s="2" t="s">
        <v>32</v>
      </c>
      <c r="I3028" s="2">
        <v>48</v>
      </c>
      <c r="J3028" s="2" t="s">
        <v>11</v>
      </c>
      <c r="K3028" s="4" t="s">
        <v>8590</v>
      </c>
      <c r="L3028" s="2" t="s">
        <v>92</v>
      </c>
      <c r="M3028" s="2"/>
      <c r="N3028" t="s">
        <v>8581</v>
      </c>
      <c r="O3028" s="8" t="str">
        <f t="shared" si="94"/>
        <v/>
      </c>
      <c r="P3028" t="str">
        <f t="shared" si="95"/>
        <v>N/A</v>
      </c>
    </row>
    <row r="3029" spans="1:16" x14ac:dyDescent="0.25">
      <c r="A3029" s="2" t="s">
        <v>8133</v>
      </c>
      <c r="B3029" s="4">
        <v>46046.404166666667</v>
      </c>
      <c r="C3029" s="2" t="s">
        <v>28</v>
      </c>
      <c r="D3029" s="2" t="s">
        <v>37</v>
      </c>
      <c r="E3029" s="2" t="s">
        <v>148</v>
      </c>
      <c r="F3029" s="2" t="s">
        <v>30</v>
      </c>
      <c r="G3029" s="2" t="s">
        <v>31</v>
      </c>
      <c r="H3029" s="2" t="s">
        <v>74</v>
      </c>
      <c r="I3029" s="2">
        <v>8</v>
      </c>
      <c r="J3029" s="2" t="s">
        <v>106</v>
      </c>
      <c r="K3029" s="4">
        <v>46046.666666666664</v>
      </c>
      <c r="L3029" s="2" t="s">
        <v>24</v>
      </c>
      <c r="M3029" s="2"/>
      <c r="N3029" t="s">
        <v>8588</v>
      </c>
      <c r="O3029" s="8">
        <f t="shared" si="94"/>
        <v>6.2999999999301508</v>
      </c>
      <c r="P3029" t="str">
        <f t="shared" si="95"/>
        <v>Yes</v>
      </c>
    </row>
    <row r="3030" spans="1:16" x14ac:dyDescent="0.25">
      <c r="A3030" s="2" t="s">
        <v>8136</v>
      </c>
      <c r="B3030" s="4">
        <v>46118.379861111112</v>
      </c>
      <c r="C3030" s="2" t="s">
        <v>28</v>
      </c>
      <c r="D3030" s="2" t="s">
        <v>37</v>
      </c>
      <c r="E3030" s="2" t="s">
        <v>90</v>
      </c>
      <c r="F3030" s="2" t="s">
        <v>30</v>
      </c>
      <c r="G3030" s="2" t="s">
        <v>110</v>
      </c>
      <c r="H3030" s="2" t="s">
        <v>74</v>
      </c>
      <c r="I3030" s="2">
        <v>8</v>
      </c>
      <c r="J3030" s="2" t="s">
        <v>75</v>
      </c>
      <c r="K3030" s="4">
        <v>46118.444444444445</v>
      </c>
      <c r="L3030" s="2" t="s">
        <v>24</v>
      </c>
      <c r="M3030" s="2"/>
      <c r="N3030" t="s">
        <v>8585</v>
      </c>
      <c r="O3030" s="8">
        <f t="shared" si="94"/>
        <v>1.5499999999883585</v>
      </c>
      <c r="P3030" t="str">
        <f t="shared" si="95"/>
        <v>N/A</v>
      </c>
    </row>
    <row r="3031" spans="1:16" x14ac:dyDescent="0.25">
      <c r="A3031" s="2" t="s">
        <v>8138</v>
      </c>
      <c r="B3031" s="4">
        <v>46215.679166666669</v>
      </c>
      <c r="C3031" s="2" t="s">
        <v>53</v>
      </c>
      <c r="D3031" s="2" t="s">
        <v>61</v>
      </c>
      <c r="E3031" s="2" t="s">
        <v>18</v>
      </c>
      <c r="F3031" s="2" t="s">
        <v>113</v>
      </c>
      <c r="G3031" s="2" t="s">
        <v>183</v>
      </c>
      <c r="H3031" s="2" t="s">
        <v>32</v>
      </c>
      <c r="I3031" s="2">
        <v>48</v>
      </c>
      <c r="J3031" s="2" t="s">
        <v>8580</v>
      </c>
      <c r="K3031" s="4">
        <v>46219.411805555559</v>
      </c>
      <c r="L3031" s="2" t="s">
        <v>24</v>
      </c>
      <c r="M3031" s="2"/>
      <c r="N3031" t="s">
        <v>8589</v>
      </c>
      <c r="O3031" s="8">
        <f t="shared" si="94"/>
        <v>89.583333333372138</v>
      </c>
      <c r="P3031" t="str">
        <f t="shared" si="95"/>
        <v>N/A</v>
      </c>
    </row>
    <row r="3032" spans="1:16" x14ac:dyDescent="0.25">
      <c r="A3032" s="2" t="s">
        <v>8141</v>
      </c>
      <c r="B3032" s="4">
        <v>46111.609027777777</v>
      </c>
      <c r="C3032" s="2" t="s">
        <v>67</v>
      </c>
      <c r="D3032" s="2" t="s">
        <v>95</v>
      </c>
      <c r="E3032" s="2" t="s">
        <v>148</v>
      </c>
      <c r="F3032" s="2" t="s">
        <v>113</v>
      </c>
      <c r="G3032" s="2" t="s">
        <v>211</v>
      </c>
      <c r="H3032" s="2" t="s">
        <v>74</v>
      </c>
      <c r="I3032" s="2">
        <v>8</v>
      </c>
      <c r="J3032" s="2" t="s">
        <v>106</v>
      </c>
      <c r="K3032" s="4">
        <v>46111.643055555556</v>
      </c>
      <c r="L3032" s="2" t="s">
        <v>24</v>
      </c>
      <c r="M3032" s="2">
        <v>4</v>
      </c>
      <c r="N3032" t="s">
        <v>8589</v>
      </c>
      <c r="O3032" s="8">
        <f t="shared" si="94"/>
        <v>0.81666666670935228</v>
      </c>
      <c r="P3032" t="str">
        <f t="shared" si="95"/>
        <v>Yes</v>
      </c>
    </row>
    <row r="3033" spans="1:16" x14ac:dyDescent="0.25">
      <c r="A3033" s="2" t="s">
        <v>8144</v>
      </c>
      <c r="B3033" s="4">
        <v>46258.02847222222</v>
      </c>
      <c r="C3033" s="2" t="s">
        <v>67</v>
      </c>
      <c r="D3033" s="2" t="s">
        <v>68</v>
      </c>
      <c r="E3033" s="2" t="s">
        <v>79</v>
      </c>
      <c r="F3033" s="2" t="s">
        <v>30</v>
      </c>
      <c r="G3033" s="2" t="s">
        <v>101</v>
      </c>
      <c r="H3033" s="2" t="s">
        <v>21</v>
      </c>
      <c r="I3033" s="2">
        <v>24</v>
      </c>
      <c r="J3033" s="2" t="s">
        <v>106</v>
      </c>
      <c r="K3033" s="4">
        <v>46258.768750000003</v>
      </c>
      <c r="L3033" s="2" t="s">
        <v>92</v>
      </c>
      <c r="M3033" s="2"/>
      <c r="N3033" t="s">
        <v>8589</v>
      </c>
      <c r="O3033" s="8">
        <f t="shared" si="94"/>
        <v>17.766666666779201</v>
      </c>
      <c r="P3033" t="str">
        <f t="shared" si="95"/>
        <v>Yes</v>
      </c>
    </row>
    <row r="3034" spans="1:16" x14ac:dyDescent="0.25">
      <c r="A3034" s="2" t="s">
        <v>8147</v>
      </c>
      <c r="B3034" s="4">
        <v>46262.636111111111</v>
      </c>
      <c r="C3034" s="2" t="s">
        <v>28</v>
      </c>
      <c r="D3034" s="2" t="s">
        <v>100</v>
      </c>
      <c r="E3034" s="2" t="s">
        <v>90</v>
      </c>
      <c r="F3034" s="2" t="s">
        <v>55</v>
      </c>
      <c r="G3034" s="2" t="s">
        <v>31</v>
      </c>
      <c r="H3034" s="2" t="s">
        <v>32</v>
      </c>
      <c r="I3034" s="2">
        <v>48</v>
      </c>
      <c r="J3034" s="2" t="s">
        <v>106</v>
      </c>
      <c r="K3034" s="4">
        <v>46266.311805555553</v>
      </c>
      <c r="L3034" s="2" t="s">
        <v>24</v>
      </c>
      <c r="M3034" s="2">
        <v>5</v>
      </c>
      <c r="N3034" t="s">
        <v>8586</v>
      </c>
      <c r="O3034" s="8">
        <f t="shared" si="94"/>
        <v>88.21666666661622</v>
      </c>
      <c r="P3034" t="str">
        <f t="shared" si="95"/>
        <v>No</v>
      </c>
    </row>
    <row r="3035" spans="1:16" x14ac:dyDescent="0.25">
      <c r="A3035" s="2" t="s">
        <v>8150</v>
      </c>
      <c r="B3035" s="4">
        <v>46195.59652777778</v>
      </c>
      <c r="C3035" s="2" t="s">
        <v>16</v>
      </c>
      <c r="D3035" s="2" t="s">
        <v>17</v>
      </c>
      <c r="E3035" s="2" t="s">
        <v>18</v>
      </c>
      <c r="F3035" s="2" t="s">
        <v>96</v>
      </c>
      <c r="G3035" s="2" t="s">
        <v>110</v>
      </c>
      <c r="H3035" s="2" t="s">
        <v>80</v>
      </c>
      <c r="I3035" s="2">
        <v>4</v>
      </c>
      <c r="J3035" s="2" t="s">
        <v>8580</v>
      </c>
      <c r="K3035" s="4">
        <v>46195.703472222223</v>
      </c>
      <c r="L3035" s="2" t="s">
        <v>24</v>
      </c>
      <c r="M3035" s="2"/>
      <c r="N3035" t="s">
        <v>8589</v>
      </c>
      <c r="O3035" s="8">
        <f t="shared" si="94"/>
        <v>2.5666666666511446</v>
      </c>
      <c r="P3035" t="str">
        <f t="shared" si="95"/>
        <v>N/A</v>
      </c>
    </row>
    <row r="3036" spans="1:16" x14ac:dyDescent="0.25">
      <c r="A3036" s="2" t="s">
        <v>8152</v>
      </c>
      <c r="B3036" s="4">
        <v>46257.647916666669</v>
      </c>
      <c r="C3036" s="2" t="s">
        <v>67</v>
      </c>
      <c r="D3036" s="2" t="s">
        <v>68</v>
      </c>
      <c r="E3036" s="2" t="s">
        <v>148</v>
      </c>
      <c r="F3036" s="2" t="s">
        <v>113</v>
      </c>
      <c r="G3036" s="2" t="s">
        <v>211</v>
      </c>
      <c r="H3036" s="2" t="s">
        <v>32</v>
      </c>
      <c r="I3036" s="2">
        <v>48</v>
      </c>
      <c r="J3036" s="2" t="s">
        <v>75</v>
      </c>
      <c r="K3036" s="4">
        <v>46258.154861111114</v>
      </c>
      <c r="L3036" s="2" t="s">
        <v>24</v>
      </c>
      <c r="M3036" s="2">
        <v>5</v>
      </c>
      <c r="N3036" t="s">
        <v>8581</v>
      </c>
      <c r="O3036" s="8">
        <f t="shared" si="94"/>
        <v>12.166666666686069</v>
      </c>
      <c r="P3036" t="str">
        <f t="shared" si="95"/>
        <v>N/A</v>
      </c>
    </row>
    <row r="3037" spans="1:16" x14ac:dyDescent="0.25">
      <c r="A3037" s="2" t="s">
        <v>8155</v>
      </c>
      <c r="B3037" s="4">
        <v>46111.675000000003</v>
      </c>
      <c r="C3037" s="2" t="s">
        <v>28</v>
      </c>
      <c r="D3037" s="2" t="s">
        <v>37</v>
      </c>
      <c r="E3037" s="2" t="s">
        <v>46</v>
      </c>
      <c r="F3037" s="2" t="s">
        <v>113</v>
      </c>
      <c r="G3037" s="2" t="s">
        <v>179</v>
      </c>
      <c r="H3037" s="2" t="s">
        <v>32</v>
      </c>
      <c r="I3037" s="2">
        <v>48</v>
      </c>
      <c r="J3037" s="2" t="s">
        <v>75</v>
      </c>
      <c r="K3037" s="4">
        <v>46112.855555555558</v>
      </c>
      <c r="L3037" s="2" t="s">
        <v>24</v>
      </c>
      <c r="M3037" s="2">
        <v>4</v>
      </c>
      <c r="N3037" t="s">
        <v>8588</v>
      </c>
      <c r="O3037" s="8">
        <f t="shared" si="94"/>
        <v>28.333333333313931</v>
      </c>
      <c r="P3037" t="str">
        <f t="shared" si="95"/>
        <v>N/A</v>
      </c>
    </row>
    <row r="3038" spans="1:16" x14ac:dyDescent="0.25">
      <c r="A3038" s="2" t="s">
        <v>8158</v>
      </c>
      <c r="B3038" s="4">
        <v>46206.511805555558</v>
      </c>
      <c r="C3038" s="2" t="s">
        <v>53</v>
      </c>
      <c r="D3038" s="2" t="s">
        <v>54</v>
      </c>
      <c r="E3038" s="2" t="s">
        <v>38</v>
      </c>
      <c r="F3038" s="2" t="s">
        <v>96</v>
      </c>
      <c r="G3038" s="2" t="s">
        <v>31</v>
      </c>
      <c r="H3038" s="2" t="s">
        <v>32</v>
      </c>
      <c r="I3038" s="2">
        <v>48</v>
      </c>
      <c r="J3038" s="2" t="s">
        <v>75</v>
      </c>
      <c r="K3038" s="4">
        <v>46206.956944444442</v>
      </c>
      <c r="L3038" s="2" t="s">
        <v>24</v>
      </c>
      <c r="M3038" s="2"/>
      <c r="N3038" t="s">
        <v>8589</v>
      </c>
      <c r="O3038" s="8">
        <f t="shared" si="94"/>
        <v>10.68333333323244</v>
      </c>
      <c r="P3038" t="str">
        <f t="shared" si="95"/>
        <v>N/A</v>
      </c>
    </row>
    <row r="3039" spans="1:16" x14ac:dyDescent="0.25">
      <c r="A3039" s="2" t="s">
        <v>8161</v>
      </c>
      <c r="B3039" s="4">
        <v>46254.775694444441</v>
      </c>
      <c r="C3039" s="2" t="s">
        <v>16</v>
      </c>
      <c r="D3039" s="2" t="s">
        <v>84</v>
      </c>
      <c r="E3039" s="2" t="s">
        <v>18</v>
      </c>
      <c r="F3039" s="2" t="s">
        <v>30</v>
      </c>
      <c r="G3039" s="2" t="s">
        <v>31</v>
      </c>
      <c r="H3039" s="2" t="s">
        <v>21</v>
      </c>
      <c r="I3039" s="2">
        <v>24</v>
      </c>
      <c r="J3039" s="2" t="s">
        <v>287</v>
      </c>
      <c r="K3039" s="4" t="s">
        <v>8590</v>
      </c>
      <c r="L3039" s="2" t="s">
        <v>24</v>
      </c>
      <c r="M3039" s="2"/>
      <c r="N3039" t="s">
        <v>8584</v>
      </c>
      <c r="O3039" s="8" t="str">
        <f t="shared" si="94"/>
        <v/>
      </c>
      <c r="P3039" t="str">
        <f t="shared" si="95"/>
        <v>N/A</v>
      </c>
    </row>
    <row r="3040" spans="1:16" x14ac:dyDescent="0.25">
      <c r="A3040" s="2" t="s">
        <v>8163</v>
      </c>
      <c r="B3040" s="4">
        <v>46114.813194444447</v>
      </c>
      <c r="C3040" s="2" t="s">
        <v>16</v>
      </c>
      <c r="D3040" s="2" t="s">
        <v>84</v>
      </c>
      <c r="E3040" s="2" t="s">
        <v>90</v>
      </c>
      <c r="F3040" s="2" t="s">
        <v>96</v>
      </c>
      <c r="G3040" s="2" t="s">
        <v>179</v>
      </c>
      <c r="H3040" s="2" t="s">
        <v>80</v>
      </c>
      <c r="I3040" s="2">
        <v>4</v>
      </c>
      <c r="J3040" s="2" t="s">
        <v>106</v>
      </c>
      <c r="K3040" s="4" t="s">
        <v>8590</v>
      </c>
      <c r="L3040" s="2" t="s">
        <v>24</v>
      </c>
      <c r="M3040" s="2"/>
      <c r="N3040" t="s">
        <v>8581</v>
      </c>
      <c r="O3040" s="8" t="str">
        <f t="shared" si="94"/>
        <v/>
      </c>
      <c r="P3040" t="str">
        <f t="shared" si="95"/>
        <v>No</v>
      </c>
    </row>
    <row r="3041" spans="1:16" x14ac:dyDescent="0.25">
      <c r="A3041" s="2" t="s">
        <v>8165</v>
      </c>
      <c r="B3041" s="4">
        <v>46257.999305555553</v>
      </c>
      <c r="C3041" s="2" t="s">
        <v>28</v>
      </c>
      <c r="D3041" s="2" t="s">
        <v>100</v>
      </c>
      <c r="E3041" s="2" t="s">
        <v>79</v>
      </c>
      <c r="F3041" s="2" t="s">
        <v>96</v>
      </c>
      <c r="G3041" s="2" t="s">
        <v>110</v>
      </c>
      <c r="H3041" s="2" t="s">
        <v>21</v>
      </c>
      <c r="I3041" s="2">
        <v>24</v>
      </c>
      <c r="J3041" s="2" t="s">
        <v>8580</v>
      </c>
      <c r="K3041" s="4">
        <v>46258.35833333333</v>
      </c>
      <c r="L3041" s="2" t="s">
        <v>24</v>
      </c>
      <c r="M3041" s="2"/>
      <c r="N3041" t="s">
        <v>8586</v>
      </c>
      <c r="O3041" s="8">
        <f t="shared" si="94"/>
        <v>8.6166666666395031</v>
      </c>
      <c r="P3041" t="str">
        <f t="shared" si="95"/>
        <v>N/A</v>
      </c>
    </row>
    <row r="3042" spans="1:16" x14ac:dyDescent="0.25">
      <c r="A3042" s="2" t="s">
        <v>8168</v>
      </c>
      <c r="B3042" s="4">
        <v>46249.897916666669</v>
      </c>
      <c r="C3042" s="2" t="s">
        <v>67</v>
      </c>
      <c r="D3042" s="2" t="s">
        <v>95</v>
      </c>
      <c r="E3042" s="2" t="s">
        <v>148</v>
      </c>
      <c r="F3042" s="2" t="s">
        <v>30</v>
      </c>
      <c r="G3042" s="2" t="s">
        <v>101</v>
      </c>
      <c r="H3042" s="2" t="s">
        <v>21</v>
      </c>
      <c r="I3042" s="2">
        <v>24</v>
      </c>
      <c r="J3042" s="2" t="s">
        <v>11</v>
      </c>
      <c r="K3042" s="4" t="s">
        <v>8590</v>
      </c>
      <c r="L3042" s="2" t="s">
        <v>92</v>
      </c>
      <c r="M3042" s="2"/>
      <c r="N3042" t="s">
        <v>8589</v>
      </c>
      <c r="O3042" s="8" t="str">
        <f t="shared" si="94"/>
        <v/>
      </c>
      <c r="P3042" t="str">
        <f t="shared" si="95"/>
        <v>N/A</v>
      </c>
    </row>
    <row r="3043" spans="1:16" x14ac:dyDescent="0.25">
      <c r="A3043" s="2" t="s">
        <v>8169</v>
      </c>
      <c r="B3043" s="4">
        <v>46179.433333333334</v>
      </c>
      <c r="C3043" s="2" t="s">
        <v>67</v>
      </c>
      <c r="D3043" s="2" t="s">
        <v>95</v>
      </c>
      <c r="E3043" s="2" t="s">
        <v>148</v>
      </c>
      <c r="F3043" s="2" t="s">
        <v>113</v>
      </c>
      <c r="G3043" s="2" t="s">
        <v>101</v>
      </c>
      <c r="H3043" s="2" t="s">
        <v>32</v>
      </c>
      <c r="I3043" s="2">
        <v>48</v>
      </c>
      <c r="J3043" s="2" t="s">
        <v>106</v>
      </c>
      <c r="K3043" s="4">
        <v>46181.149305555555</v>
      </c>
      <c r="L3043" s="2" t="s">
        <v>24</v>
      </c>
      <c r="M3043" s="2">
        <v>5</v>
      </c>
      <c r="N3043" t="s">
        <v>8588</v>
      </c>
      <c r="O3043" s="8">
        <f t="shared" si="94"/>
        <v>41.183333333290648</v>
      </c>
      <c r="P3043" t="str">
        <f t="shared" si="95"/>
        <v>Yes</v>
      </c>
    </row>
    <row r="3044" spans="1:16" x14ac:dyDescent="0.25">
      <c r="A3044" s="2" t="s">
        <v>8172</v>
      </c>
      <c r="B3044" s="4">
        <v>46169.679861111108</v>
      </c>
      <c r="C3044" s="2" t="s">
        <v>16</v>
      </c>
      <c r="D3044" s="2" t="s">
        <v>84</v>
      </c>
      <c r="E3044" s="2" t="s">
        <v>46</v>
      </c>
      <c r="F3044" s="2" t="s">
        <v>113</v>
      </c>
      <c r="G3044" s="2" t="s">
        <v>110</v>
      </c>
      <c r="H3044" s="2" t="s">
        <v>32</v>
      </c>
      <c r="I3044" s="2">
        <v>48</v>
      </c>
      <c r="J3044" s="2" t="s">
        <v>106</v>
      </c>
      <c r="K3044" s="4">
        <v>46170.890277777777</v>
      </c>
      <c r="L3044" s="2" t="s">
        <v>24</v>
      </c>
      <c r="M3044" s="2">
        <v>3</v>
      </c>
      <c r="N3044" t="s">
        <v>8588</v>
      </c>
      <c r="O3044" s="8">
        <f t="shared" si="94"/>
        <v>29.050000000046566</v>
      </c>
      <c r="P3044" t="str">
        <f t="shared" si="95"/>
        <v>Yes</v>
      </c>
    </row>
    <row r="3045" spans="1:16" x14ac:dyDescent="0.25">
      <c r="A3045" s="2" t="s">
        <v>8175</v>
      </c>
      <c r="B3045" s="4">
        <v>46062.474999999999</v>
      </c>
      <c r="C3045" s="2" t="s">
        <v>67</v>
      </c>
      <c r="D3045" s="2" t="s">
        <v>95</v>
      </c>
      <c r="E3045" s="2" t="s">
        <v>79</v>
      </c>
      <c r="F3045" s="2" t="s">
        <v>30</v>
      </c>
      <c r="G3045" s="2" t="s">
        <v>179</v>
      </c>
      <c r="H3045" s="2" t="s">
        <v>21</v>
      </c>
      <c r="I3045" s="2">
        <v>24</v>
      </c>
      <c r="J3045" s="2" t="s">
        <v>75</v>
      </c>
      <c r="K3045" s="4">
        <v>46062.804861111108</v>
      </c>
      <c r="L3045" s="2" t="s">
        <v>24</v>
      </c>
      <c r="M3045" s="2"/>
      <c r="N3045" t="s">
        <v>8585</v>
      </c>
      <c r="O3045" s="8">
        <f t="shared" si="94"/>
        <v>7.9166666666278616</v>
      </c>
      <c r="P3045" t="str">
        <f t="shared" si="95"/>
        <v>N/A</v>
      </c>
    </row>
    <row r="3046" spans="1:16" x14ac:dyDescent="0.25">
      <c r="A3046" s="2" t="s">
        <v>8177</v>
      </c>
      <c r="B3046" s="4">
        <v>46155.567361111112</v>
      </c>
      <c r="C3046" s="2" t="s">
        <v>28</v>
      </c>
      <c r="D3046" s="2" t="s">
        <v>100</v>
      </c>
      <c r="E3046" s="2" t="s">
        <v>46</v>
      </c>
      <c r="F3046" s="2" t="s">
        <v>55</v>
      </c>
      <c r="G3046" s="2" t="s">
        <v>31</v>
      </c>
      <c r="H3046" s="2" t="s">
        <v>21</v>
      </c>
      <c r="I3046" s="2">
        <v>24</v>
      </c>
      <c r="J3046" s="2" t="s">
        <v>287</v>
      </c>
      <c r="K3046" s="4" t="s">
        <v>8590</v>
      </c>
      <c r="L3046" s="2" t="s">
        <v>24</v>
      </c>
      <c r="M3046" s="2"/>
      <c r="N3046" t="s">
        <v>8585</v>
      </c>
      <c r="O3046" s="8" t="str">
        <f t="shared" si="94"/>
        <v/>
      </c>
      <c r="P3046" t="str">
        <f t="shared" si="95"/>
        <v>N/A</v>
      </c>
    </row>
    <row r="3047" spans="1:16" x14ac:dyDescent="0.25">
      <c r="A3047" s="2" t="s">
        <v>8179</v>
      </c>
      <c r="B3047" s="4">
        <v>46234.379166666666</v>
      </c>
      <c r="C3047" s="2" t="s">
        <v>53</v>
      </c>
      <c r="D3047" s="2" t="s">
        <v>54</v>
      </c>
      <c r="E3047" s="2" t="s">
        <v>38</v>
      </c>
      <c r="F3047" s="2" t="s">
        <v>96</v>
      </c>
      <c r="G3047" s="2" t="s">
        <v>183</v>
      </c>
      <c r="H3047" s="2" t="s">
        <v>32</v>
      </c>
      <c r="I3047" s="2">
        <v>48</v>
      </c>
      <c r="J3047" s="2" t="s">
        <v>8580</v>
      </c>
      <c r="K3047" s="4">
        <v>46235.464583333334</v>
      </c>
      <c r="L3047" s="2" t="s">
        <v>24</v>
      </c>
      <c r="M3047" s="2"/>
      <c r="N3047" t="s">
        <v>8582</v>
      </c>
      <c r="O3047" s="8">
        <f t="shared" si="94"/>
        <v>26.050000000046566</v>
      </c>
      <c r="P3047" t="str">
        <f t="shared" si="95"/>
        <v>N/A</v>
      </c>
    </row>
    <row r="3048" spans="1:16" x14ac:dyDescent="0.25">
      <c r="A3048" s="2" t="s">
        <v>8181</v>
      </c>
      <c r="B3048" s="4">
        <v>46047.861111111109</v>
      </c>
      <c r="C3048" s="2" t="s">
        <v>67</v>
      </c>
      <c r="D3048" s="2" t="s">
        <v>68</v>
      </c>
      <c r="E3048" s="2" t="s">
        <v>18</v>
      </c>
      <c r="F3048" s="2" t="s">
        <v>55</v>
      </c>
      <c r="G3048" s="2" t="s">
        <v>179</v>
      </c>
      <c r="H3048" s="2" t="s">
        <v>80</v>
      </c>
      <c r="I3048" s="2">
        <v>4</v>
      </c>
      <c r="J3048" s="2" t="s">
        <v>75</v>
      </c>
      <c r="K3048" s="4">
        <v>46048.147222222222</v>
      </c>
      <c r="L3048" s="2" t="s">
        <v>24</v>
      </c>
      <c r="M3048" s="2">
        <v>5</v>
      </c>
      <c r="N3048" t="s">
        <v>8588</v>
      </c>
      <c r="O3048" s="8">
        <f t="shared" si="94"/>
        <v>6.8666666666977108</v>
      </c>
      <c r="P3048" t="str">
        <f t="shared" si="95"/>
        <v>N/A</v>
      </c>
    </row>
    <row r="3049" spans="1:16" x14ac:dyDescent="0.25">
      <c r="A3049" s="2" t="s">
        <v>8184</v>
      </c>
      <c r="B3049" s="4">
        <v>46027.459722222222</v>
      </c>
      <c r="C3049" s="2" t="s">
        <v>67</v>
      </c>
      <c r="D3049" s="2" t="s">
        <v>68</v>
      </c>
      <c r="E3049" s="2" t="s">
        <v>90</v>
      </c>
      <c r="F3049" s="2" t="s">
        <v>30</v>
      </c>
      <c r="G3049" s="2" t="s">
        <v>110</v>
      </c>
      <c r="H3049" s="2" t="s">
        <v>32</v>
      </c>
      <c r="I3049" s="2">
        <v>48</v>
      </c>
      <c r="J3049" s="2" t="s">
        <v>75</v>
      </c>
      <c r="K3049" s="4">
        <v>46028.138888888891</v>
      </c>
      <c r="L3049" s="2" t="s">
        <v>24</v>
      </c>
      <c r="M3049" s="2"/>
      <c r="N3049" t="s">
        <v>8588</v>
      </c>
      <c r="O3049" s="8">
        <f t="shared" si="94"/>
        <v>16.300000000046566</v>
      </c>
      <c r="P3049" t="str">
        <f t="shared" si="95"/>
        <v>N/A</v>
      </c>
    </row>
    <row r="3050" spans="1:16" x14ac:dyDescent="0.25">
      <c r="A3050" s="2" t="s">
        <v>8187</v>
      </c>
      <c r="B3050" s="4">
        <v>46235.724305555559</v>
      </c>
      <c r="C3050" s="2" t="s">
        <v>28</v>
      </c>
      <c r="D3050" s="2" t="s">
        <v>37</v>
      </c>
      <c r="E3050" s="2" t="s">
        <v>46</v>
      </c>
      <c r="F3050" s="2" t="s">
        <v>30</v>
      </c>
      <c r="G3050" s="2" t="s">
        <v>110</v>
      </c>
      <c r="H3050" s="2" t="s">
        <v>32</v>
      </c>
      <c r="I3050" s="2">
        <v>48</v>
      </c>
      <c r="J3050" s="2" t="s">
        <v>106</v>
      </c>
      <c r="K3050" s="4">
        <v>46236.656944444447</v>
      </c>
      <c r="L3050" s="2" t="s">
        <v>24</v>
      </c>
      <c r="M3050" s="2">
        <v>3</v>
      </c>
      <c r="N3050" t="s">
        <v>8586</v>
      </c>
      <c r="O3050" s="8">
        <f t="shared" si="94"/>
        <v>22.383333333302289</v>
      </c>
      <c r="P3050" t="str">
        <f t="shared" si="95"/>
        <v>Yes</v>
      </c>
    </row>
    <row r="3051" spans="1:16" x14ac:dyDescent="0.25">
      <c r="A3051" s="2" t="s">
        <v>8190</v>
      </c>
      <c r="B3051" s="4">
        <v>46223.50277777778</v>
      </c>
      <c r="C3051" s="2" t="s">
        <v>16</v>
      </c>
      <c r="D3051" s="2" t="s">
        <v>84</v>
      </c>
      <c r="E3051" s="2" t="s">
        <v>46</v>
      </c>
      <c r="F3051" s="2" t="s">
        <v>55</v>
      </c>
      <c r="G3051" s="2" t="s">
        <v>183</v>
      </c>
      <c r="H3051" s="2" t="s">
        <v>32</v>
      </c>
      <c r="I3051" s="2">
        <v>48</v>
      </c>
      <c r="J3051" s="2" t="s">
        <v>11</v>
      </c>
      <c r="K3051" s="4" t="s">
        <v>8590</v>
      </c>
      <c r="L3051" s="2" t="s">
        <v>92</v>
      </c>
      <c r="M3051" s="2"/>
      <c r="N3051" t="s">
        <v>8587</v>
      </c>
      <c r="O3051" s="8" t="str">
        <f t="shared" si="94"/>
        <v/>
      </c>
      <c r="P3051" t="str">
        <f t="shared" si="95"/>
        <v>N/A</v>
      </c>
    </row>
    <row r="3052" spans="1:16" x14ac:dyDescent="0.25">
      <c r="A3052" s="2" t="s">
        <v>8192</v>
      </c>
      <c r="B3052" s="4">
        <v>46127.136805555558</v>
      </c>
      <c r="C3052" s="2" t="s">
        <v>53</v>
      </c>
      <c r="D3052" s="2" t="s">
        <v>54</v>
      </c>
      <c r="E3052" s="2" t="s">
        <v>79</v>
      </c>
      <c r="F3052" s="2" t="s">
        <v>96</v>
      </c>
      <c r="G3052" s="2" t="s">
        <v>110</v>
      </c>
      <c r="H3052" s="2" t="s">
        <v>74</v>
      </c>
      <c r="I3052" s="2">
        <v>8</v>
      </c>
      <c r="J3052" s="2" t="s">
        <v>106</v>
      </c>
      <c r="K3052" s="4">
        <v>46127.368750000001</v>
      </c>
      <c r="L3052" s="2" t="s">
        <v>92</v>
      </c>
      <c r="M3052" s="2">
        <v>3</v>
      </c>
      <c r="N3052" t="s">
        <v>8588</v>
      </c>
      <c r="O3052" s="8">
        <f t="shared" si="94"/>
        <v>5.5666666666511446</v>
      </c>
      <c r="P3052" t="str">
        <f t="shared" si="95"/>
        <v>Yes</v>
      </c>
    </row>
    <row r="3053" spans="1:16" x14ac:dyDescent="0.25">
      <c r="A3053" s="2" t="s">
        <v>8195</v>
      </c>
      <c r="B3053" s="4">
        <v>46196.29791666667</v>
      </c>
      <c r="C3053" s="2" t="s">
        <v>67</v>
      </c>
      <c r="D3053" s="2" t="s">
        <v>95</v>
      </c>
      <c r="E3053" s="2" t="s">
        <v>38</v>
      </c>
      <c r="F3053" s="2" t="s">
        <v>96</v>
      </c>
      <c r="G3053" s="2" t="s">
        <v>101</v>
      </c>
      <c r="H3053" s="2" t="s">
        <v>21</v>
      </c>
      <c r="I3053" s="2">
        <v>24</v>
      </c>
      <c r="J3053" s="2" t="s">
        <v>287</v>
      </c>
      <c r="K3053" s="4" t="s">
        <v>8590</v>
      </c>
      <c r="L3053" s="2" t="s">
        <v>24</v>
      </c>
      <c r="M3053" s="2"/>
      <c r="N3053" t="s">
        <v>8586</v>
      </c>
      <c r="O3053" s="8" t="str">
        <f t="shared" si="94"/>
        <v/>
      </c>
      <c r="P3053" t="str">
        <f t="shared" si="95"/>
        <v>N/A</v>
      </c>
    </row>
    <row r="3054" spans="1:16" x14ac:dyDescent="0.25">
      <c r="A3054" s="2" t="s">
        <v>8197</v>
      </c>
      <c r="B3054" s="4">
        <v>46101.097916666666</v>
      </c>
      <c r="C3054" s="2" t="s">
        <v>53</v>
      </c>
      <c r="D3054" s="2" t="s">
        <v>61</v>
      </c>
      <c r="E3054" s="2" t="s">
        <v>79</v>
      </c>
      <c r="F3054" s="2" t="s">
        <v>30</v>
      </c>
      <c r="G3054" s="2" t="s">
        <v>101</v>
      </c>
      <c r="H3054" s="2" t="s">
        <v>74</v>
      </c>
      <c r="I3054" s="2">
        <v>8</v>
      </c>
      <c r="J3054" s="2" t="s">
        <v>106</v>
      </c>
      <c r="K3054" s="4">
        <v>46101.48541666667</v>
      </c>
      <c r="L3054" s="2" t="s">
        <v>24</v>
      </c>
      <c r="M3054" s="2">
        <v>2</v>
      </c>
      <c r="N3054" t="s">
        <v>8581</v>
      </c>
      <c r="O3054" s="8">
        <f t="shared" si="94"/>
        <v>9.3000000001047738</v>
      </c>
      <c r="P3054" t="str">
        <f t="shared" si="95"/>
        <v>No</v>
      </c>
    </row>
    <row r="3055" spans="1:16" x14ac:dyDescent="0.25">
      <c r="A3055" s="2" t="s">
        <v>8200</v>
      </c>
      <c r="B3055" s="4">
        <v>46236.852777777778</v>
      </c>
      <c r="C3055" s="2" t="s">
        <v>53</v>
      </c>
      <c r="D3055" s="2" t="s">
        <v>54</v>
      </c>
      <c r="E3055" s="2" t="s">
        <v>79</v>
      </c>
      <c r="F3055" s="2" t="s">
        <v>96</v>
      </c>
      <c r="G3055" s="2" t="s">
        <v>110</v>
      </c>
      <c r="H3055" s="2" t="s">
        <v>80</v>
      </c>
      <c r="I3055" s="2">
        <v>4</v>
      </c>
      <c r="J3055" s="2" t="s">
        <v>149</v>
      </c>
      <c r="K3055" s="4" t="s">
        <v>8590</v>
      </c>
      <c r="L3055" s="2" t="s">
        <v>24</v>
      </c>
      <c r="M3055" s="2"/>
      <c r="N3055" t="s">
        <v>8582</v>
      </c>
      <c r="O3055" s="8" t="str">
        <f t="shared" si="94"/>
        <v/>
      </c>
      <c r="P3055" t="str">
        <f t="shared" si="95"/>
        <v>N/A</v>
      </c>
    </row>
    <row r="3056" spans="1:16" x14ac:dyDescent="0.25">
      <c r="A3056" s="2" t="s">
        <v>8202</v>
      </c>
      <c r="B3056" s="4">
        <v>46254.489583333336</v>
      </c>
      <c r="C3056" s="2" t="s">
        <v>16</v>
      </c>
      <c r="D3056" s="2" t="s">
        <v>17</v>
      </c>
      <c r="E3056" s="2" t="s">
        <v>38</v>
      </c>
      <c r="F3056" s="2" t="s">
        <v>30</v>
      </c>
      <c r="G3056" s="2" t="s">
        <v>211</v>
      </c>
      <c r="H3056" s="2" t="s">
        <v>74</v>
      </c>
      <c r="I3056" s="2">
        <v>8</v>
      </c>
      <c r="J3056" s="2" t="s">
        <v>287</v>
      </c>
      <c r="K3056" s="4" t="s">
        <v>8590</v>
      </c>
      <c r="L3056" s="2" t="s">
        <v>24</v>
      </c>
      <c r="M3056" s="2"/>
      <c r="N3056" t="s">
        <v>8587</v>
      </c>
      <c r="O3056" s="8" t="str">
        <f t="shared" si="94"/>
        <v/>
      </c>
      <c r="P3056" t="str">
        <f t="shared" si="95"/>
        <v>N/A</v>
      </c>
    </row>
    <row r="3057" spans="1:16" x14ac:dyDescent="0.25">
      <c r="A3057" s="2" t="s">
        <v>8204</v>
      </c>
      <c r="B3057" s="4">
        <v>46160.297222222223</v>
      </c>
      <c r="C3057" s="2" t="s">
        <v>67</v>
      </c>
      <c r="D3057" s="2" t="s">
        <v>68</v>
      </c>
      <c r="E3057" s="2" t="s">
        <v>90</v>
      </c>
      <c r="F3057" s="2" t="s">
        <v>30</v>
      </c>
      <c r="G3057" s="2" t="s">
        <v>179</v>
      </c>
      <c r="H3057" s="2" t="s">
        <v>32</v>
      </c>
      <c r="I3057" s="2">
        <v>48</v>
      </c>
      <c r="J3057" s="2" t="s">
        <v>106</v>
      </c>
      <c r="K3057" s="4">
        <v>46165.246527777781</v>
      </c>
      <c r="L3057" s="2" t="s">
        <v>24</v>
      </c>
      <c r="M3057" s="2">
        <v>5</v>
      </c>
      <c r="N3057" t="s">
        <v>8585</v>
      </c>
      <c r="O3057" s="8">
        <f t="shared" si="94"/>
        <v>118.78333333338378</v>
      </c>
      <c r="P3057" t="str">
        <f t="shared" si="95"/>
        <v>No</v>
      </c>
    </row>
    <row r="3058" spans="1:16" x14ac:dyDescent="0.25">
      <c r="A3058" s="2" t="s">
        <v>8207</v>
      </c>
      <c r="B3058" s="4">
        <v>46262.999305555553</v>
      </c>
      <c r="C3058" s="2" t="s">
        <v>16</v>
      </c>
      <c r="D3058" s="2" t="s">
        <v>84</v>
      </c>
      <c r="E3058" s="2" t="s">
        <v>85</v>
      </c>
      <c r="F3058" s="2" t="s">
        <v>55</v>
      </c>
      <c r="G3058" s="2" t="s">
        <v>110</v>
      </c>
      <c r="H3058" s="2" t="s">
        <v>21</v>
      </c>
      <c r="I3058" s="2">
        <v>24</v>
      </c>
      <c r="J3058" s="2" t="s">
        <v>11</v>
      </c>
      <c r="K3058" s="4" t="s">
        <v>8590</v>
      </c>
      <c r="L3058" s="2" t="s">
        <v>92</v>
      </c>
      <c r="M3058" s="2"/>
      <c r="N3058" t="s">
        <v>8587</v>
      </c>
      <c r="O3058" s="8" t="str">
        <f t="shared" si="94"/>
        <v/>
      </c>
      <c r="P3058" t="str">
        <f t="shared" si="95"/>
        <v>N/A</v>
      </c>
    </row>
    <row r="3059" spans="1:16" x14ac:dyDescent="0.25">
      <c r="A3059" s="2" t="s">
        <v>8209</v>
      </c>
      <c r="B3059" s="4">
        <v>46200.504166666666</v>
      </c>
      <c r="C3059" s="2" t="s">
        <v>53</v>
      </c>
      <c r="D3059" s="2" t="s">
        <v>54</v>
      </c>
      <c r="E3059" s="2" t="s">
        <v>18</v>
      </c>
      <c r="F3059" s="2" t="s">
        <v>96</v>
      </c>
      <c r="G3059" s="2" t="s">
        <v>110</v>
      </c>
      <c r="H3059" s="2" t="s">
        <v>21</v>
      </c>
      <c r="I3059" s="2">
        <v>24</v>
      </c>
      <c r="J3059" s="2" t="s">
        <v>75</v>
      </c>
      <c r="K3059" s="4">
        <v>46201.004166666666</v>
      </c>
      <c r="L3059" s="2" t="s">
        <v>24</v>
      </c>
      <c r="M3059" s="2">
        <v>3</v>
      </c>
      <c r="N3059" t="s">
        <v>8581</v>
      </c>
      <c r="O3059" s="8">
        <f t="shared" si="94"/>
        <v>12</v>
      </c>
      <c r="P3059" t="str">
        <f t="shared" si="95"/>
        <v>N/A</v>
      </c>
    </row>
    <row r="3060" spans="1:16" x14ac:dyDescent="0.25">
      <c r="A3060" s="2" t="s">
        <v>8212</v>
      </c>
      <c r="B3060" s="4">
        <v>46135.42291666667</v>
      </c>
      <c r="C3060" s="2" t="s">
        <v>53</v>
      </c>
      <c r="D3060" s="2" t="s">
        <v>61</v>
      </c>
      <c r="E3060" s="2" t="s">
        <v>85</v>
      </c>
      <c r="F3060" s="2" t="s">
        <v>30</v>
      </c>
      <c r="G3060" s="2" t="s">
        <v>31</v>
      </c>
      <c r="H3060" s="2" t="s">
        <v>74</v>
      </c>
      <c r="I3060" s="2">
        <v>8</v>
      </c>
      <c r="J3060" s="2" t="s">
        <v>11</v>
      </c>
      <c r="K3060" s="4" t="s">
        <v>8590</v>
      </c>
      <c r="L3060" s="2" t="s">
        <v>92</v>
      </c>
      <c r="M3060" s="2"/>
      <c r="N3060" t="s">
        <v>8586</v>
      </c>
      <c r="O3060" s="8" t="str">
        <f t="shared" si="94"/>
        <v/>
      </c>
      <c r="P3060" t="str">
        <f t="shared" si="95"/>
        <v>N/A</v>
      </c>
    </row>
    <row r="3061" spans="1:16" x14ac:dyDescent="0.25">
      <c r="A3061" s="2" t="s">
        <v>8214</v>
      </c>
      <c r="B3061" s="4">
        <v>46137.124305555553</v>
      </c>
      <c r="C3061" s="2" t="s">
        <v>53</v>
      </c>
      <c r="D3061" s="2" t="s">
        <v>54</v>
      </c>
      <c r="E3061" s="2" t="s">
        <v>18</v>
      </c>
      <c r="F3061" s="2" t="s">
        <v>55</v>
      </c>
      <c r="G3061" s="2" t="s">
        <v>31</v>
      </c>
      <c r="H3061" s="2" t="s">
        <v>32</v>
      </c>
      <c r="I3061" s="2">
        <v>48</v>
      </c>
      <c r="J3061" s="2" t="s">
        <v>75</v>
      </c>
      <c r="K3061" s="4">
        <v>46137.912499999999</v>
      </c>
      <c r="L3061" s="2" t="s">
        <v>92</v>
      </c>
      <c r="M3061" s="2"/>
      <c r="N3061" t="s">
        <v>8581</v>
      </c>
      <c r="O3061" s="8">
        <f t="shared" si="94"/>
        <v>18.916666666686069</v>
      </c>
      <c r="P3061" t="str">
        <f t="shared" si="95"/>
        <v>N/A</v>
      </c>
    </row>
    <row r="3062" spans="1:16" x14ac:dyDescent="0.25">
      <c r="A3062" s="2" t="s">
        <v>8217</v>
      </c>
      <c r="B3062" s="4">
        <v>46045.662499999999</v>
      </c>
      <c r="C3062" s="2" t="s">
        <v>53</v>
      </c>
      <c r="D3062" s="2" t="s">
        <v>54</v>
      </c>
      <c r="E3062" s="2" t="s">
        <v>38</v>
      </c>
      <c r="F3062" s="2" t="s">
        <v>113</v>
      </c>
      <c r="G3062" s="2" t="s">
        <v>110</v>
      </c>
      <c r="H3062" s="2" t="s">
        <v>21</v>
      </c>
      <c r="I3062" s="2">
        <v>24</v>
      </c>
      <c r="J3062" s="2" t="s">
        <v>106</v>
      </c>
      <c r="K3062" s="4">
        <v>46046.515972222223</v>
      </c>
      <c r="L3062" s="2" t="s">
        <v>24</v>
      </c>
      <c r="M3062" s="2">
        <v>5</v>
      </c>
      <c r="N3062" t="s">
        <v>8587</v>
      </c>
      <c r="O3062" s="8">
        <f t="shared" si="94"/>
        <v>20.483333333395422</v>
      </c>
      <c r="P3062" t="str">
        <f t="shared" si="95"/>
        <v>Yes</v>
      </c>
    </row>
    <row r="3063" spans="1:16" x14ac:dyDescent="0.25">
      <c r="A3063" s="2" t="s">
        <v>8220</v>
      </c>
      <c r="B3063" s="4">
        <v>46191.112500000003</v>
      </c>
      <c r="C3063" s="2" t="s">
        <v>53</v>
      </c>
      <c r="D3063" s="2" t="s">
        <v>61</v>
      </c>
      <c r="E3063" s="2" t="s">
        <v>90</v>
      </c>
      <c r="F3063" s="2" t="s">
        <v>96</v>
      </c>
      <c r="G3063" s="2" t="s">
        <v>183</v>
      </c>
      <c r="H3063" s="2" t="s">
        <v>21</v>
      </c>
      <c r="I3063" s="2">
        <v>24</v>
      </c>
      <c r="J3063" s="2" t="s">
        <v>106</v>
      </c>
      <c r="K3063" s="4">
        <v>46191.748611111114</v>
      </c>
      <c r="L3063" s="2" t="s">
        <v>24</v>
      </c>
      <c r="M3063" s="2">
        <v>1</v>
      </c>
      <c r="N3063" t="s">
        <v>8585</v>
      </c>
      <c r="O3063" s="8">
        <f t="shared" si="94"/>
        <v>15.266666666662786</v>
      </c>
      <c r="P3063" t="str">
        <f t="shared" si="95"/>
        <v>Yes</v>
      </c>
    </row>
    <row r="3064" spans="1:16" x14ac:dyDescent="0.25">
      <c r="A3064" s="2" t="s">
        <v>8223</v>
      </c>
      <c r="B3064" s="4">
        <v>46205.844444444447</v>
      </c>
      <c r="C3064" s="2" t="s">
        <v>16</v>
      </c>
      <c r="D3064" s="2" t="s">
        <v>17</v>
      </c>
      <c r="E3064" s="2" t="s">
        <v>79</v>
      </c>
      <c r="F3064" s="2" t="s">
        <v>113</v>
      </c>
      <c r="G3064" s="2" t="s">
        <v>110</v>
      </c>
      <c r="H3064" s="2" t="s">
        <v>21</v>
      </c>
      <c r="I3064" s="2">
        <v>24</v>
      </c>
      <c r="J3064" s="2" t="s">
        <v>287</v>
      </c>
      <c r="K3064" s="4" t="s">
        <v>8590</v>
      </c>
      <c r="L3064" s="2" t="s">
        <v>92</v>
      </c>
      <c r="M3064" s="2"/>
      <c r="N3064" t="s">
        <v>8584</v>
      </c>
      <c r="O3064" s="8" t="str">
        <f t="shared" si="94"/>
        <v/>
      </c>
      <c r="P3064" t="str">
        <f t="shared" si="95"/>
        <v>N/A</v>
      </c>
    </row>
    <row r="3065" spans="1:16" x14ac:dyDescent="0.25">
      <c r="A3065" s="2" t="s">
        <v>8225</v>
      </c>
      <c r="B3065" s="4">
        <v>46029.376388888886</v>
      </c>
      <c r="C3065" s="2" t="s">
        <v>28</v>
      </c>
      <c r="D3065" s="2" t="s">
        <v>100</v>
      </c>
      <c r="E3065" s="2" t="s">
        <v>38</v>
      </c>
      <c r="F3065" s="2" t="s">
        <v>113</v>
      </c>
      <c r="G3065" s="2" t="s">
        <v>211</v>
      </c>
      <c r="H3065" s="2" t="s">
        <v>32</v>
      </c>
      <c r="I3065" s="2">
        <v>48</v>
      </c>
      <c r="J3065" s="2" t="s">
        <v>11</v>
      </c>
      <c r="K3065" s="4" t="s">
        <v>8590</v>
      </c>
      <c r="L3065" s="2" t="s">
        <v>92</v>
      </c>
      <c r="M3065" s="2"/>
      <c r="N3065" t="s">
        <v>8588</v>
      </c>
      <c r="O3065" s="8" t="str">
        <f t="shared" si="94"/>
        <v/>
      </c>
      <c r="P3065" t="str">
        <f t="shared" si="95"/>
        <v>N/A</v>
      </c>
    </row>
    <row r="3066" spans="1:16" x14ac:dyDescent="0.25">
      <c r="A3066" s="2" t="s">
        <v>8227</v>
      </c>
      <c r="B3066" s="4">
        <v>46196.30972222222</v>
      </c>
      <c r="C3066" s="2" t="s">
        <v>53</v>
      </c>
      <c r="D3066" s="2" t="s">
        <v>61</v>
      </c>
      <c r="E3066" s="2" t="s">
        <v>8589</v>
      </c>
      <c r="F3066" s="2" t="s">
        <v>113</v>
      </c>
      <c r="G3066" s="2" t="s">
        <v>179</v>
      </c>
      <c r="H3066" s="2" t="s">
        <v>21</v>
      </c>
      <c r="I3066" s="2">
        <v>24</v>
      </c>
      <c r="J3066" s="2" t="s">
        <v>106</v>
      </c>
      <c r="K3066" s="4" t="s">
        <v>8590</v>
      </c>
      <c r="L3066" s="2" t="s">
        <v>24</v>
      </c>
      <c r="M3066" s="2">
        <v>4</v>
      </c>
      <c r="N3066" t="s">
        <v>8589</v>
      </c>
      <c r="O3066" s="8" t="str">
        <f t="shared" si="94"/>
        <v/>
      </c>
      <c r="P3066" t="str">
        <f t="shared" si="95"/>
        <v>No</v>
      </c>
    </row>
    <row r="3067" spans="1:16" x14ac:dyDescent="0.25">
      <c r="A3067" s="2" t="s">
        <v>8229</v>
      </c>
      <c r="B3067" s="4">
        <v>46144.850694444445</v>
      </c>
      <c r="C3067" s="2" t="s">
        <v>53</v>
      </c>
      <c r="D3067" s="2" t="s">
        <v>61</v>
      </c>
      <c r="E3067" s="2" t="s">
        <v>46</v>
      </c>
      <c r="F3067" s="2" t="s">
        <v>113</v>
      </c>
      <c r="G3067" s="2" t="s">
        <v>183</v>
      </c>
      <c r="H3067" s="2" t="s">
        <v>21</v>
      </c>
      <c r="I3067" s="2">
        <v>24</v>
      </c>
      <c r="J3067" s="2" t="s">
        <v>106</v>
      </c>
      <c r="K3067" s="4">
        <v>46145.370833333334</v>
      </c>
      <c r="L3067" s="2" t="s">
        <v>92</v>
      </c>
      <c r="M3067" s="2">
        <v>5</v>
      </c>
      <c r="N3067" t="s">
        <v>8589</v>
      </c>
      <c r="O3067" s="8">
        <f t="shared" si="94"/>
        <v>12.483333333337214</v>
      </c>
      <c r="P3067" t="str">
        <f t="shared" si="95"/>
        <v>Yes</v>
      </c>
    </row>
    <row r="3068" spans="1:16" x14ac:dyDescent="0.25">
      <c r="A3068" s="2" t="s">
        <v>8232</v>
      </c>
      <c r="B3068" s="4">
        <v>46226.4375</v>
      </c>
      <c r="C3068" s="2" t="s">
        <v>16</v>
      </c>
      <c r="D3068" s="2" t="s">
        <v>17</v>
      </c>
      <c r="E3068" s="2" t="s">
        <v>85</v>
      </c>
      <c r="F3068" s="2" t="s">
        <v>55</v>
      </c>
      <c r="G3068" s="2" t="s">
        <v>101</v>
      </c>
      <c r="H3068" s="2" t="s">
        <v>74</v>
      </c>
      <c r="I3068" s="2">
        <v>8</v>
      </c>
      <c r="J3068" s="2" t="s">
        <v>106</v>
      </c>
      <c r="K3068" s="4">
        <v>46226.559027777781</v>
      </c>
      <c r="L3068" s="2" t="s">
        <v>24</v>
      </c>
      <c r="M3068" s="2"/>
      <c r="N3068" t="s">
        <v>8588</v>
      </c>
      <c r="O3068" s="8">
        <f t="shared" si="94"/>
        <v>2.9166666667442769</v>
      </c>
      <c r="P3068" t="str">
        <f t="shared" si="95"/>
        <v>Yes</v>
      </c>
    </row>
    <row r="3069" spans="1:16" x14ac:dyDescent="0.25">
      <c r="A3069" s="2" t="s">
        <v>8235</v>
      </c>
      <c r="B3069" s="4">
        <v>46086.336805555555</v>
      </c>
      <c r="C3069" s="2" t="s">
        <v>16</v>
      </c>
      <c r="D3069" s="2" t="s">
        <v>84</v>
      </c>
      <c r="E3069" s="2" t="s">
        <v>85</v>
      </c>
      <c r="F3069" s="2" t="s">
        <v>30</v>
      </c>
      <c r="G3069" s="2" t="s">
        <v>183</v>
      </c>
      <c r="H3069" s="2" t="s">
        <v>74</v>
      </c>
      <c r="I3069" s="2">
        <v>8</v>
      </c>
      <c r="J3069" s="2" t="s">
        <v>149</v>
      </c>
      <c r="K3069" s="4" t="s">
        <v>8590</v>
      </c>
      <c r="L3069" s="2" t="s">
        <v>24</v>
      </c>
      <c r="M3069" s="2"/>
      <c r="N3069" t="s">
        <v>8589</v>
      </c>
      <c r="O3069" s="8" t="str">
        <f t="shared" si="94"/>
        <v/>
      </c>
      <c r="P3069" t="str">
        <f t="shared" si="95"/>
        <v>N/A</v>
      </c>
    </row>
    <row r="3070" spans="1:16" x14ac:dyDescent="0.25">
      <c r="A3070" s="2" t="s">
        <v>8237</v>
      </c>
      <c r="B3070" s="4">
        <v>46049.121527777781</v>
      </c>
      <c r="C3070" s="2" t="s">
        <v>67</v>
      </c>
      <c r="D3070" s="2" t="s">
        <v>68</v>
      </c>
      <c r="E3070" s="2" t="s">
        <v>46</v>
      </c>
      <c r="F3070" s="2" t="s">
        <v>113</v>
      </c>
      <c r="G3070" s="2" t="s">
        <v>31</v>
      </c>
      <c r="H3070" s="2" t="s">
        <v>21</v>
      </c>
      <c r="I3070" s="2">
        <v>24</v>
      </c>
      <c r="J3070" s="2" t="s">
        <v>106</v>
      </c>
      <c r="K3070" s="4">
        <v>46049.602777777778</v>
      </c>
      <c r="L3070" s="2" t="s">
        <v>24</v>
      </c>
      <c r="M3070" s="2">
        <v>2</v>
      </c>
      <c r="N3070" t="s">
        <v>8586</v>
      </c>
      <c r="O3070" s="8">
        <f t="shared" si="94"/>
        <v>11.549999999930151</v>
      </c>
      <c r="P3070" t="str">
        <f t="shared" si="95"/>
        <v>Yes</v>
      </c>
    </row>
    <row r="3071" spans="1:16" x14ac:dyDescent="0.25">
      <c r="A3071" s="2" t="s">
        <v>8240</v>
      </c>
      <c r="B3071" s="4">
        <v>46159.634722222225</v>
      </c>
      <c r="C3071" s="2" t="s">
        <v>16</v>
      </c>
      <c r="D3071" s="2" t="s">
        <v>17</v>
      </c>
      <c r="E3071" s="2" t="s">
        <v>46</v>
      </c>
      <c r="F3071" s="2" t="s">
        <v>96</v>
      </c>
      <c r="G3071" s="2" t="s">
        <v>179</v>
      </c>
      <c r="H3071" s="2" t="s">
        <v>74</v>
      </c>
      <c r="I3071" s="2">
        <v>8</v>
      </c>
      <c r="J3071" s="2" t="s">
        <v>287</v>
      </c>
      <c r="K3071" s="4" t="s">
        <v>8590</v>
      </c>
      <c r="L3071" s="2" t="s">
        <v>24</v>
      </c>
      <c r="M3071" s="2"/>
      <c r="N3071" t="s">
        <v>8581</v>
      </c>
      <c r="O3071" s="8" t="str">
        <f t="shared" si="94"/>
        <v/>
      </c>
      <c r="P3071" t="str">
        <f t="shared" si="95"/>
        <v>N/A</v>
      </c>
    </row>
    <row r="3072" spans="1:16" x14ac:dyDescent="0.25">
      <c r="A3072" s="2" t="s">
        <v>8242</v>
      </c>
      <c r="B3072" s="4">
        <v>46121.878472222219</v>
      </c>
      <c r="C3072" s="2" t="s">
        <v>28</v>
      </c>
      <c r="D3072" s="2" t="s">
        <v>100</v>
      </c>
      <c r="E3072" s="2" t="s">
        <v>79</v>
      </c>
      <c r="F3072" s="2" t="s">
        <v>55</v>
      </c>
      <c r="G3072" s="2" t="s">
        <v>183</v>
      </c>
      <c r="H3072" s="2" t="s">
        <v>32</v>
      </c>
      <c r="I3072" s="2">
        <v>48</v>
      </c>
      <c r="J3072" s="2" t="s">
        <v>75</v>
      </c>
      <c r="K3072" s="4" t="s">
        <v>8590</v>
      </c>
      <c r="L3072" s="2" t="s">
        <v>24</v>
      </c>
      <c r="M3072" s="2"/>
      <c r="N3072" t="s">
        <v>8589</v>
      </c>
      <c r="O3072" s="8" t="str">
        <f t="shared" si="94"/>
        <v/>
      </c>
      <c r="P3072" t="str">
        <f t="shared" si="95"/>
        <v>N/A</v>
      </c>
    </row>
    <row r="3073" spans="1:16" x14ac:dyDescent="0.25">
      <c r="A3073" s="2" t="s">
        <v>8244</v>
      </c>
      <c r="B3073" s="4">
        <v>46215.543749999997</v>
      </c>
      <c r="C3073" s="2" t="s">
        <v>53</v>
      </c>
      <c r="D3073" s="2" t="s">
        <v>54</v>
      </c>
      <c r="E3073" s="2" t="s">
        <v>90</v>
      </c>
      <c r="F3073" s="2" t="s">
        <v>30</v>
      </c>
      <c r="G3073" s="2" t="s">
        <v>101</v>
      </c>
      <c r="H3073" s="2" t="s">
        <v>74</v>
      </c>
      <c r="I3073" s="2">
        <v>8</v>
      </c>
      <c r="J3073" s="2" t="s">
        <v>106</v>
      </c>
      <c r="K3073" s="4">
        <v>46215.618055555555</v>
      </c>
      <c r="L3073" s="2" t="s">
        <v>24</v>
      </c>
      <c r="M3073" s="2">
        <v>5</v>
      </c>
      <c r="N3073" t="s">
        <v>8586</v>
      </c>
      <c r="O3073" s="8">
        <f t="shared" si="94"/>
        <v>1.78333333338378</v>
      </c>
      <c r="P3073" t="str">
        <f t="shared" si="95"/>
        <v>Yes</v>
      </c>
    </row>
    <row r="3074" spans="1:16" x14ac:dyDescent="0.25">
      <c r="A3074" s="2" t="s">
        <v>8247</v>
      </c>
      <c r="B3074" s="4">
        <v>46127.989583333336</v>
      </c>
      <c r="C3074" s="2" t="s">
        <v>28</v>
      </c>
      <c r="D3074" s="2" t="s">
        <v>37</v>
      </c>
      <c r="E3074" s="2" t="s">
        <v>38</v>
      </c>
      <c r="F3074" s="2" t="s">
        <v>96</v>
      </c>
      <c r="G3074" s="2" t="s">
        <v>211</v>
      </c>
      <c r="H3074" s="2" t="s">
        <v>21</v>
      </c>
      <c r="I3074" s="2">
        <v>24</v>
      </c>
      <c r="J3074" s="2" t="s">
        <v>106</v>
      </c>
      <c r="K3074" s="4">
        <v>46128.270138888889</v>
      </c>
      <c r="L3074" s="2" t="s">
        <v>24</v>
      </c>
      <c r="M3074" s="2">
        <v>1</v>
      </c>
      <c r="N3074" t="s">
        <v>8583</v>
      </c>
      <c r="O3074" s="8">
        <f t="shared" si="94"/>
        <v>6.7333333332790062</v>
      </c>
      <c r="P3074" t="str">
        <f t="shared" si="95"/>
        <v>Yes</v>
      </c>
    </row>
    <row r="3075" spans="1:16" x14ac:dyDescent="0.25">
      <c r="A3075" s="2" t="s">
        <v>8250</v>
      </c>
      <c r="B3075" s="4">
        <v>46063.604166666664</v>
      </c>
      <c r="C3075" s="2" t="s">
        <v>16</v>
      </c>
      <c r="D3075" s="2" t="s">
        <v>84</v>
      </c>
      <c r="E3075" s="2" t="s">
        <v>18</v>
      </c>
      <c r="F3075" s="2" t="s">
        <v>113</v>
      </c>
      <c r="G3075" s="2" t="s">
        <v>31</v>
      </c>
      <c r="H3075" s="2" t="s">
        <v>32</v>
      </c>
      <c r="I3075" s="2">
        <v>48</v>
      </c>
      <c r="J3075" s="2" t="s">
        <v>287</v>
      </c>
      <c r="K3075" s="4" t="s">
        <v>8590</v>
      </c>
      <c r="L3075" s="2" t="s">
        <v>24</v>
      </c>
      <c r="M3075" s="2"/>
      <c r="N3075" t="s">
        <v>8581</v>
      </c>
      <c r="O3075" s="8" t="str">
        <f t="shared" ref="O3075:O3138" si="96">IF(K3075="","",IF(K3075="Missing Resolve Date","",(K3075-B3075)*24))</f>
        <v/>
      </c>
      <c r="P3075" t="str">
        <f t="shared" ref="P3075:P3138" si="97">IF(J3075="Resolved",IF(O3075&lt;=I3075,"Yes","No"),"N/A")</f>
        <v>N/A</v>
      </c>
    </row>
    <row r="3076" spans="1:16" x14ac:dyDescent="0.25">
      <c r="A3076" s="2" t="s">
        <v>8251</v>
      </c>
      <c r="B3076" s="4">
        <v>46124.4375</v>
      </c>
      <c r="C3076" s="2" t="s">
        <v>28</v>
      </c>
      <c r="D3076" s="2" t="s">
        <v>37</v>
      </c>
      <c r="E3076" s="2" t="s">
        <v>18</v>
      </c>
      <c r="F3076" s="2" t="s">
        <v>96</v>
      </c>
      <c r="G3076" s="2" t="s">
        <v>211</v>
      </c>
      <c r="H3076" s="2" t="s">
        <v>21</v>
      </c>
      <c r="I3076" s="2">
        <v>24</v>
      </c>
      <c r="J3076" s="2" t="s">
        <v>75</v>
      </c>
      <c r="K3076" s="4">
        <v>46124.497916666667</v>
      </c>
      <c r="L3076" s="2" t="s">
        <v>24</v>
      </c>
      <c r="M3076" s="2">
        <v>4</v>
      </c>
      <c r="N3076" t="s">
        <v>8582</v>
      </c>
      <c r="O3076" s="8">
        <f t="shared" si="96"/>
        <v>1.4500000000116415</v>
      </c>
      <c r="P3076" t="str">
        <f t="shared" si="97"/>
        <v>N/A</v>
      </c>
    </row>
    <row r="3077" spans="1:16" x14ac:dyDescent="0.25">
      <c r="A3077" s="2" t="s">
        <v>8254</v>
      </c>
      <c r="B3077" s="4">
        <v>46053.413194444445</v>
      </c>
      <c r="C3077" s="2" t="s">
        <v>16</v>
      </c>
      <c r="D3077" s="2" t="s">
        <v>17</v>
      </c>
      <c r="E3077" s="2" t="s">
        <v>90</v>
      </c>
      <c r="F3077" s="2" t="s">
        <v>96</v>
      </c>
      <c r="G3077" s="2" t="s">
        <v>179</v>
      </c>
      <c r="H3077" s="2" t="s">
        <v>32</v>
      </c>
      <c r="I3077" s="2">
        <v>48</v>
      </c>
      <c r="J3077" s="2" t="s">
        <v>106</v>
      </c>
      <c r="K3077" s="4">
        <v>46053.918055555558</v>
      </c>
      <c r="L3077" s="2" t="s">
        <v>24</v>
      </c>
      <c r="M3077" s="2">
        <v>5</v>
      </c>
      <c r="N3077" t="s">
        <v>8589</v>
      </c>
      <c r="O3077" s="8">
        <f t="shared" si="96"/>
        <v>12.116666666697711</v>
      </c>
      <c r="P3077" t="str">
        <f t="shared" si="97"/>
        <v>Yes</v>
      </c>
    </row>
    <row r="3078" spans="1:16" x14ac:dyDescent="0.25">
      <c r="A3078" s="2" t="s">
        <v>8257</v>
      </c>
      <c r="B3078" s="4">
        <v>46206.530555555553</v>
      </c>
      <c r="C3078" s="2" t="s">
        <v>53</v>
      </c>
      <c r="D3078" s="2" t="s">
        <v>61</v>
      </c>
      <c r="E3078" s="2" t="s">
        <v>38</v>
      </c>
      <c r="F3078" s="2" t="s">
        <v>113</v>
      </c>
      <c r="G3078" s="2" t="s">
        <v>183</v>
      </c>
      <c r="H3078" s="2" t="s">
        <v>21</v>
      </c>
      <c r="I3078" s="2">
        <v>24</v>
      </c>
      <c r="J3078" s="2" t="s">
        <v>149</v>
      </c>
      <c r="K3078" s="4" t="s">
        <v>8590</v>
      </c>
      <c r="L3078" s="2" t="s">
        <v>24</v>
      </c>
      <c r="M3078" s="2"/>
      <c r="N3078" t="s">
        <v>8589</v>
      </c>
      <c r="O3078" s="8" t="str">
        <f t="shared" si="96"/>
        <v/>
      </c>
      <c r="P3078" t="str">
        <f t="shared" si="97"/>
        <v>N/A</v>
      </c>
    </row>
    <row r="3079" spans="1:16" x14ac:dyDescent="0.25">
      <c r="A3079" s="2" t="s">
        <v>8259</v>
      </c>
      <c r="B3079" s="4">
        <v>46080.21875</v>
      </c>
      <c r="C3079" s="2" t="s">
        <v>28</v>
      </c>
      <c r="D3079" s="2" t="s">
        <v>100</v>
      </c>
      <c r="E3079" s="2" t="s">
        <v>148</v>
      </c>
      <c r="F3079" s="2" t="s">
        <v>96</v>
      </c>
      <c r="G3079" s="2" t="s">
        <v>110</v>
      </c>
      <c r="H3079" s="2" t="s">
        <v>74</v>
      </c>
      <c r="I3079" s="2">
        <v>8</v>
      </c>
      <c r="J3079" s="2" t="s">
        <v>287</v>
      </c>
      <c r="K3079" s="4" t="s">
        <v>8590</v>
      </c>
      <c r="L3079" s="2" t="s">
        <v>92</v>
      </c>
      <c r="M3079" s="2"/>
      <c r="N3079" t="s">
        <v>8584</v>
      </c>
      <c r="O3079" s="8" t="str">
        <f t="shared" si="96"/>
        <v/>
      </c>
      <c r="P3079" t="str">
        <f t="shared" si="97"/>
        <v>N/A</v>
      </c>
    </row>
    <row r="3080" spans="1:16" x14ac:dyDescent="0.25">
      <c r="A3080" s="2" t="s">
        <v>8261</v>
      </c>
      <c r="B3080" s="4">
        <v>46193.189583333333</v>
      </c>
      <c r="C3080" s="2" t="s">
        <v>16</v>
      </c>
      <c r="D3080" s="2" t="s">
        <v>17</v>
      </c>
      <c r="E3080" s="2" t="s">
        <v>79</v>
      </c>
      <c r="F3080" s="2" t="s">
        <v>96</v>
      </c>
      <c r="G3080" s="2" t="s">
        <v>183</v>
      </c>
      <c r="H3080" s="2" t="s">
        <v>32</v>
      </c>
      <c r="I3080" s="2">
        <v>48</v>
      </c>
      <c r="J3080" s="2" t="s">
        <v>287</v>
      </c>
      <c r="K3080" s="4" t="s">
        <v>8590</v>
      </c>
      <c r="L3080" s="2" t="s">
        <v>24</v>
      </c>
      <c r="M3080" s="2"/>
      <c r="N3080" t="s">
        <v>8589</v>
      </c>
      <c r="O3080" s="8" t="str">
        <f t="shared" si="96"/>
        <v/>
      </c>
      <c r="P3080" t="str">
        <f t="shared" si="97"/>
        <v>N/A</v>
      </c>
    </row>
    <row r="3081" spans="1:16" x14ac:dyDescent="0.25">
      <c r="A3081" s="2" t="s">
        <v>8263</v>
      </c>
      <c r="B3081" s="4">
        <v>46243.466666666667</v>
      </c>
      <c r="C3081" s="2" t="s">
        <v>53</v>
      </c>
      <c r="D3081" s="2" t="s">
        <v>54</v>
      </c>
      <c r="E3081" s="2" t="s">
        <v>38</v>
      </c>
      <c r="F3081" s="2" t="s">
        <v>30</v>
      </c>
      <c r="G3081" s="2" t="s">
        <v>183</v>
      </c>
      <c r="H3081" s="2" t="s">
        <v>21</v>
      </c>
      <c r="I3081" s="2">
        <v>24</v>
      </c>
      <c r="J3081" s="2" t="s">
        <v>106</v>
      </c>
      <c r="K3081" s="4">
        <v>46245.984027777777</v>
      </c>
      <c r="L3081" s="2" t="s">
        <v>24</v>
      </c>
      <c r="M3081" s="2">
        <v>5</v>
      </c>
      <c r="N3081" t="s">
        <v>8588</v>
      </c>
      <c r="O3081" s="8">
        <f t="shared" si="96"/>
        <v>60.416666666627862</v>
      </c>
      <c r="P3081" t="str">
        <f t="shared" si="97"/>
        <v>No</v>
      </c>
    </row>
    <row r="3082" spans="1:16" x14ac:dyDescent="0.25">
      <c r="A3082" s="2" t="s">
        <v>8266</v>
      </c>
      <c r="B3082" s="4">
        <v>46226.477777777778</v>
      </c>
      <c r="C3082" s="2" t="s">
        <v>53</v>
      </c>
      <c r="D3082" s="2" t="s">
        <v>54</v>
      </c>
      <c r="E3082" s="2" t="s">
        <v>148</v>
      </c>
      <c r="F3082" s="2" t="s">
        <v>96</v>
      </c>
      <c r="G3082" s="2" t="s">
        <v>183</v>
      </c>
      <c r="H3082" s="2" t="s">
        <v>74</v>
      </c>
      <c r="I3082" s="2">
        <v>8</v>
      </c>
      <c r="J3082" s="2" t="s">
        <v>75</v>
      </c>
      <c r="K3082" s="4">
        <v>46226.963888888888</v>
      </c>
      <c r="L3082" s="2" t="s">
        <v>24</v>
      </c>
      <c r="M3082" s="2">
        <v>1</v>
      </c>
      <c r="N3082" t="s">
        <v>8589</v>
      </c>
      <c r="O3082" s="8">
        <f t="shared" si="96"/>
        <v>11.666666666627862</v>
      </c>
      <c r="P3082" t="str">
        <f t="shared" si="97"/>
        <v>N/A</v>
      </c>
    </row>
    <row r="3083" spans="1:16" x14ac:dyDescent="0.25">
      <c r="A3083" s="2" t="s">
        <v>8269</v>
      </c>
      <c r="B3083" s="4">
        <v>46122.476388888892</v>
      </c>
      <c r="C3083" s="2" t="s">
        <v>28</v>
      </c>
      <c r="D3083" s="2" t="s">
        <v>37</v>
      </c>
      <c r="E3083" s="2" t="s">
        <v>148</v>
      </c>
      <c r="F3083" s="2" t="s">
        <v>113</v>
      </c>
      <c r="G3083" s="2" t="s">
        <v>101</v>
      </c>
      <c r="H3083" s="2" t="s">
        <v>21</v>
      </c>
      <c r="I3083" s="2">
        <v>24</v>
      </c>
      <c r="J3083" s="2" t="s">
        <v>8580</v>
      </c>
      <c r="K3083" s="4">
        <v>46122.847916666666</v>
      </c>
      <c r="L3083" s="2" t="s">
        <v>24</v>
      </c>
      <c r="M3083" s="2"/>
      <c r="N3083" t="s">
        <v>8587</v>
      </c>
      <c r="O3083" s="8">
        <f t="shared" si="96"/>
        <v>8.9166666665696539</v>
      </c>
      <c r="P3083" t="str">
        <f t="shared" si="97"/>
        <v>N/A</v>
      </c>
    </row>
    <row r="3084" spans="1:16" x14ac:dyDescent="0.25">
      <c r="A3084" s="2" t="s">
        <v>8272</v>
      </c>
      <c r="B3084" s="4">
        <v>46179.772222222222</v>
      </c>
      <c r="C3084" s="2" t="s">
        <v>67</v>
      </c>
      <c r="D3084" s="2" t="s">
        <v>68</v>
      </c>
      <c r="E3084" s="2" t="s">
        <v>46</v>
      </c>
      <c r="F3084" s="2" t="s">
        <v>30</v>
      </c>
      <c r="G3084" s="2" t="s">
        <v>31</v>
      </c>
      <c r="H3084" s="2" t="s">
        <v>32</v>
      </c>
      <c r="I3084" s="2">
        <v>48</v>
      </c>
      <c r="J3084" s="2" t="s">
        <v>11</v>
      </c>
      <c r="K3084" s="4" t="s">
        <v>8590</v>
      </c>
      <c r="L3084" s="2" t="s">
        <v>92</v>
      </c>
      <c r="M3084" s="2"/>
      <c r="N3084" t="s">
        <v>8588</v>
      </c>
      <c r="O3084" s="8" t="str">
        <f t="shared" si="96"/>
        <v/>
      </c>
      <c r="P3084" t="str">
        <f t="shared" si="97"/>
        <v>N/A</v>
      </c>
    </row>
    <row r="3085" spans="1:16" x14ac:dyDescent="0.25">
      <c r="A3085" s="2" t="s">
        <v>8274</v>
      </c>
      <c r="B3085" s="4">
        <v>46172.602083333331</v>
      </c>
      <c r="C3085" s="2" t="s">
        <v>16</v>
      </c>
      <c r="D3085" s="2" t="s">
        <v>17</v>
      </c>
      <c r="E3085" s="2" t="s">
        <v>85</v>
      </c>
      <c r="F3085" s="2" t="s">
        <v>55</v>
      </c>
      <c r="G3085" s="2" t="s">
        <v>179</v>
      </c>
      <c r="H3085" s="2" t="s">
        <v>21</v>
      </c>
      <c r="I3085" s="2">
        <v>24</v>
      </c>
      <c r="J3085" s="2" t="s">
        <v>106</v>
      </c>
      <c r="K3085" s="4">
        <v>46173.477777777778</v>
      </c>
      <c r="L3085" s="2" t="s">
        <v>24</v>
      </c>
      <c r="M3085" s="2">
        <v>2</v>
      </c>
      <c r="N3085" t="s">
        <v>8584</v>
      </c>
      <c r="O3085" s="8">
        <f t="shared" si="96"/>
        <v>21.016666666720994</v>
      </c>
      <c r="P3085" t="str">
        <f t="shared" si="97"/>
        <v>Yes</v>
      </c>
    </row>
    <row r="3086" spans="1:16" x14ac:dyDescent="0.25">
      <c r="A3086" s="2" t="s">
        <v>8276</v>
      </c>
      <c r="B3086" s="4">
        <v>46091.222916666666</v>
      </c>
      <c r="C3086" s="2" t="s">
        <v>28</v>
      </c>
      <c r="D3086" s="2" t="s">
        <v>37</v>
      </c>
      <c r="E3086" s="2" t="s">
        <v>79</v>
      </c>
      <c r="F3086" s="2" t="s">
        <v>113</v>
      </c>
      <c r="G3086" s="2" t="s">
        <v>101</v>
      </c>
      <c r="H3086" s="2" t="s">
        <v>21</v>
      </c>
      <c r="I3086" s="2">
        <v>24</v>
      </c>
      <c r="J3086" s="2" t="s">
        <v>75</v>
      </c>
      <c r="K3086" s="4">
        <v>46092.058333333334</v>
      </c>
      <c r="L3086" s="2" t="s">
        <v>24</v>
      </c>
      <c r="M3086" s="2">
        <v>1</v>
      </c>
      <c r="N3086" t="s">
        <v>8584</v>
      </c>
      <c r="O3086" s="8">
        <f t="shared" si="96"/>
        <v>20.050000000046566</v>
      </c>
      <c r="P3086" t="str">
        <f t="shared" si="97"/>
        <v>N/A</v>
      </c>
    </row>
    <row r="3087" spans="1:16" x14ac:dyDescent="0.25">
      <c r="A3087" s="2" t="s">
        <v>8279</v>
      </c>
      <c r="B3087" s="4">
        <v>46160.662499999999</v>
      </c>
      <c r="C3087" s="2" t="s">
        <v>28</v>
      </c>
      <c r="D3087" s="2" t="s">
        <v>37</v>
      </c>
      <c r="E3087" s="2" t="s">
        <v>79</v>
      </c>
      <c r="F3087" s="2" t="s">
        <v>55</v>
      </c>
      <c r="G3087" s="2" t="s">
        <v>101</v>
      </c>
      <c r="H3087" s="2" t="s">
        <v>32</v>
      </c>
      <c r="I3087" s="2">
        <v>48</v>
      </c>
      <c r="J3087" s="2" t="s">
        <v>106</v>
      </c>
      <c r="K3087" s="4">
        <v>46161.572222222225</v>
      </c>
      <c r="L3087" s="2" t="s">
        <v>24</v>
      </c>
      <c r="M3087" s="2">
        <v>3</v>
      </c>
      <c r="N3087" t="s">
        <v>8584</v>
      </c>
      <c r="O3087" s="8">
        <f t="shared" si="96"/>
        <v>21.833333333430346</v>
      </c>
      <c r="P3087" t="str">
        <f t="shared" si="97"/>
        <v>Yes</v>
      </c>
    </row>
    <row r="3088" spans="1:16" x14ac:dyDescent="0.25">
      <c r="A3088" s="2" t="s">
        <v>8282</v>
      </c>
      <c r="B3088" s="4">
        <v>46245.252083333333</v>
      </c>
      <c r="C3088" s="2" t="s">
        <v>67</v>
      </c>
      <c r="D3088" s="2" t="s">
        <v>95</v>
      </c>
      <c r="E3088" s="2" t="s">
        <v>90</v>
      </c>
      <c r="F3088" s="2" t="s">
        <v>55</v>
      </c>
      <c r="G3088" s="2" t="s">
        <v>183</v>
      </c>
      <c r="H3088" s="2" t="s">
        <v>21</v>
      </c>
      <c r="I3088" s="2">
        <v>24</v>
      </c>
      <c r="J3088" s="2" t="s">
        <v>287</v>
      </c>
      <c r="K3088" s="4" t="s">
        <v>8590</v>
      </c>
      <c r="L3088" s="2" t="s">
        <v>24</v>
      </c>
      <c r="M3088" s="2"/>
      <c r="N3088" t="s">
        <v>8582</v>
      </c>
      <c r="O3088" s="8" t="str">
        <f t="shared" si="96"/>
        <v/>
      </c>
      <c r="P3088" t="str">
        <f t="shared" si="97"/>
        <v>N/A</v>
      </c>
    </row>
    <row r="3089" spans="1:16" x14ac:dyDescent="0.25">
      <c r="A3089" s="2" t="s">
        <v>8284</v>
      </c>
      <c r="B3089" s="4">
        <v>46207.3</v>
      </c>
      <c r="C3089" s="2" t="s">
        <v>67</v>
      </c>
      <c r="D3089" s="2" t="s">
        <v>68</v>
      </c>
      <c r="E3089" s="2" t="s">
        <v>79</v>
      </c>
      <c r="F3089" s="2" t="s">
        <v>55</v>
      </c>
      <c r="G3089" s="2" t="s">
        <v>101</v>
      </c>
      <c r="H3089" s="2" t="s">
        <v>21</v>
      </c>
      <c r="I3089" s="2">
        <v>24</v>
      </c>
      <c r="J3089" s="2" t="s">
        <v>149</v>
      </c>
      <c r="K3089" s="4" t="s">
        <v>8590</v>
      </c>
      <c r="L3089" s="2" t="s">
        <v>92</v>
      </c>
      <c r="M3089" s="2"/>
      <c r="N3089" t="s">
        <v>8583</v>
      </c>
      <c r="O3089" s="8" t="str">
        <f t="shared" si="96"/>
        <v/>
      </c>
      <c r="P3089" t="str">
        <f t="shared" si="97"/>
        <v>N/A</v>
      </c>
    </row>
    <row r="3090" spans="1:16" x14ac:dyDescent="0.25">
      <c r="A3090" s="2" t="s">
        <v>8286</v>
      </c>
      <c r="B3090" s="4">
        <v>46216.763888888891</v>
      </c>
      <c r="C3090" s="2" t="s">
        <v>16</v>
      </c>
      <c r="D3090" s="2" t="s">
        <v>84</v>
      </c>
      <c r="E3090" s="2" t="s">
        <v>38</v>
      </c>
      <c r="F3090" s="2" t="s">
        <v>96</v>
      </c>
      <c r="G3090" s="2" t="s">
        <v>179</v>
      </c>
      <c r="H3090" s="2" t="s">
        <v>21</v>
      </c>
      <c r="I3090" s="2">
        <v>24</v>
      </c>
      <c r="J3090" s="2" t="s">
        <v>75</v>
      </c>
      <c r="K3090" s="4">
        <v>46217.211805555555</v>
      </c>
      <c r="L3090" s="2" t="s">
        <v>24</v>
      </c>
      <c r="M3090" s="2">
        <v>3</v>
      </c>
      <c r="N3090" t="s">
        <v>8588</v>
      </c>
      <c r="O3090" s="8">
        <f t="shared" si="96"/>
        <v>10.749999999941792</v>
      </c>
      <c r="P3090" t="str">
        <f t="shared" si="97"/>
        <v>N/A</v>
      </c>
    </row>
    <row r="3091" spans="1:16" x14ac:dyDescent="0.25">
      <c r="A3091" s="2" t="s">
        <v>8289</v>
      </c>
      <c r="B3091" s="4">
        <v>46219.21875</v>
      </c>
      <c r="C3091" s="2" t="s">
        <v>28</v>
      </c>
      <c r="D3091" s="2" t="s">
        <v>100</v>
      </c>
      <c r="E3091" s="2" t="s">
        <v>90</v>
      </c>
      <c r="F3091" s="2" t="s">
        <v>113</v>
      </c>
      <c r="G3091" s="2" t="s">
        <v>31</v>
      </c>
      <c r="H3091" s="2" t="s">
        <v>74</v>
      </c>
      <c r="I3091" s="2">
        <v>8</v>
      </c>
      <c r="J3091" s="2" t="s">
        <v>149</v>
      </c>
      <c r="K3091" s="4" t="s">
        <v>8590</v>
      </c>
      <c r="L3091" s="2" t="s">
        <v>24</v>
      </c>
      <c r="M3091" s="2"/>
      <c r="N3091" t="s">
        <v>8584</v>
      </c>
      <c r="O3091" s="8" t="str">
        <f t="shared" si="96"/>
        <v/>
      </c>
      <c r="P3091" t="str">
        <f t="shared" si="97"/>
        <v>N/A</v>
      </c>
    </row>
    <row r="3092" spans="1:16" x14ac:dyDescent="0.25">
      <c r="A3092" s="2" t="s">
        <v>8291</v>
      </c>
      <c r="B3092" s="4">
        <v>46068.32916666667</v>
      </c>
      <c r="C3092" s="2" t="s">
        <v>28</v>
      </c>
      <c r="D3092" s="2" t="s">
        <v>37</v>
      </c>
      <c r="E3092" s="2" t="s">
        <v>79</v>
      </c>
      <c r="F3092" s="2" t="s">
        <v>55</v>
      </c>
      <c r="G3092" s="2" t="s">
        <v>183</v>
      </c>
      <c r="H3092" s="2" t="s">
        <v>21</v>
      </c>
      <c r="I3092" s="2">
        <v>24</v>
      </c>
      <c r="J3092" s="2" t="s">
        <v>106</v>
      </c>
      <c r="K3092" s="4" t="s">
        <v>8590</v>
      </c>
      <c r="L3092" s="2" t="s">
        <v>24</v>
      </c>
      <c r="M3092" s="2">
        <v>5</v>
      </c>
      <c r="N3092" t="s">
        <v>8588</v>
      </c>
      <c r="O3092" s="8" t="str">
        <f t="shared" si="96"/>
        <v/>
      </c>
      <c r="P3092" t="str">
        <f t="shared" si="97"/>
        <v>No</v>
      </c>
    </row>
    <row r="3093" spans="1:16" x14ac:dyDescent="0.25">
      <c r="A3093" s="2" t="s">
        <v>8293</v>
      </c>
      <c r="B3093" s="4">
        <v>46194.720138888886</v>
      </c>
      <c r="C3093" s="2" t="s">
        <v>67</v>
      </c>
      <c r="D3093" s="2" t="s">
        <v>68</v>
      </c>
      <c r="E3093" s="2" t="s">
        <v>148</v>
      </c>
      <c r="F3093" s="2" t="s">
        <v>30</v>
      </c>
      <c r="G3093" s="2" t="s">
        <v>183</v>
      </c>
      <c r="H3093" s="2" t="s">
        <v>32</v>
      </c>
      <c r="I3093" s="2">
        <v>48</v>
      </c>
      <c r="J3093" s="2" t="s">
        <v>287</v>
      </c>
      <c r="K3093" s="4" t="s">
        <v>8590</v>
      </c>
      <c r="L3093" s="2" t="s">
        <v>24</v>
      </c>
      <c r="M3093" s="2"/>
      <c r="N3093" t="s">
        <v>8588</v>
      </c>
      <c r="O3093" s="8" t="str">
        <f t="shared" si="96"/>
        <v/>
      </c>
      <c r="P3093" t="str">
        <f t="shared" si="97"/>
        <v>N/A</v>
      </c>
    </row>
    <row r="3094" spans="1:16" x14ac:dyDescent="0.25">
      <c r="A3094" s="2" t="s">
        <v>8295</v>
      </c>
      <c r="B3094" s="4">
        <v>46031.621527777781</v>
      </c>
      <c r="C3094" s="2" t="s">
        <v>67</v>
      </c>
      <c r="D3094" s="2" t="s">
        <v>68</v>
      </c>
      <c r="E3094" s="2" t="s">
        <v>18</v>
      </c>
      <c r="F3094" s="2" t="s">
        <v>55</v>
      </c>
      <c r="G3094" s="2" t="s">
        <v>31</v>
      </c>
      <c r="H3094" s="2" t="s">
        <v>32</v>
      </c>
      <c r="I3094" s="2">
        <v>48</v>
      </c>
      <c r="J3094" s="2" t="s">
        <v>8580</v>
      </c>
      <c r="K3094" s="4">
        <v>46032.809027777781</v>
      </c>
      <c r="L3094" s="2" t="s">
        <v>24</v>
      </c>
      <c r="M3094" s="2"/>
      <c r="N3094" t="s">
        <v>8587</v>
      </c>
      <c r="O3094" s="8">
        <f t="shared" si="96"/>
        <v>28.5</v>
      </c>
      <c r="P3094" t="str">
        <f t="shared" si="97"/>
        <v>N/A</v>
      </c>
    </row>
    <row r="3095" spans="1:16" x14ac:dyDescent="0.25">
      <c r="A3095" s="2" t="s">
        <v>8298</v>
      </c>
      <c r="B3095" s="4">
        <v>46039.772222222222</v>
      </c>
      <c r="C3095" s="2" t="s">
        <v>16</v>
      </c>
      <c r="D3095" s="2" t="s">
        <v>84</v>
      </c>
      <c r="E3095" s="2" t="s">
        <v>85</v>
      </c>
      <c r="F3095" s="2" t="s">
        <v>55</v>
      </c>
      <c r="G3095" s="2" t="s">
        <v>31</v>
      </c>
      <c r="H3095" s="2" t="s">
        <v>21</v>
      </c>
      <c r="I3095" s="2">
        <v>24</v>
      </c>
      <c r="J3095" s="2" t="s">
        <v>11</v>
      </c>
      <c r="K3095" s="4" t="s">
        <v>8590</v>
      </c>
      <c r="L3095" s="2" t="s">
        <v>92</v>
      </c>
      <c r="M3095" s="2"/>
      <c r="N3095" t="s">
        <v>8588</v>
      </c>
      <c r="O3095" s="8" t="str">
        <f t="shared" si="96"/>
        <v/>
      </c>
      <c r="P3095" t="str">
        <f t="shared" si="97"/>
        <v>N/A</v>
      </c>
    </row>
    <row r="3096" spans="1:16" x14ac:dyDescent="0.25">
      <c r="A3096" s="2" t="s">
        <v>8300</v>
      </c>
      <c r="B3096" s="4">
        <v>46032.238194444442</v>
      </c>
      <c r="C3096" s="2" t="s">
        <v>28</v>
      </c>
      <c r="D3096" s="2" t="s">
        <v>100</v>
      </c>
      <c r="E3096" s="2" t="s">
        <v>18</v>
      </c>
      <c r="F3096" s="2" t="s">
        <v>55</v>
      </c>
      <c r="G3096" s="2" t="s">
        <v>101</v>
      </c>
      <c r="H3096" s="2" t="s">
        <v>74</v>
      </c>
      <c r="I3096" s="2">
        <v>8</v>
      </c>
      <c r="J3096" s="2" t="s">
        <v>75</v>
      </c>
      <c r="K3096" s="4">
        <v>46032.300694444442</v>
      </c>
      <c r="L3096" s="2" t="s">
        <v>24</v>
      </c>
      <c r="M3096" s="2"/>
      <c r="N3096" t="s">
        <v>8586</v>
      </c>
      <c r="O3096" s="8">
        <f t="shared" si="96"/>
        <v>1.5</v>
      </c>
      <c r="P3096" t="str">
        <f t="shared" si="97"/>
        <v>N/A</v>
      </c>
    </row>
    <row r="3097" spans="1:16" x14ac:dyDescent="0.25">
      <c r="A3097" s="2" t="s">
        <v>8303</v>
      </c>
      <c r="B3097" s="4">
        <v>46216.617361111108</v>
      </c>
      <c r="C3097" s="2" t="s">
        <v>16</v>
      </c>
      <c r="D3097" s="2" t="s">
        <v>84</v>
      </c>
      <c r="E3097" s="2" t="s">
        <v>148</v>
      </c>
      <c r="F3097" s="2" t="s">
        <v>113</v>
      </c>
      <c r="G3097" s="2" t="s">
        <v>211</v>
      </c>
      <c r="H3097" s="2" t="s">
        <v>32</v>
      </c>
      <c r="I3097" s="2">
        <v>48</v>
      </c>
      <c r="J3097" s="2" t="s">
        <v>11</v>
      </c>
      <c r="K3097" s="4" t="s">
        <v>8590</v>
      </c>
      <c r="L3097" s="2" t="s">
        <v>92</v>
      </c>
      <c r="M3097" s="2"/>
      <c r="N3097" t="s">
        <v>8587</v>
      </c>
      <c r="O3097" s="8" t="str">
        <f t="shared" si="96"/>
        <v/>
      </c>
      <c r="P3097" t="str">
        <f t="shared" si="97"/>
        <v>N/A</v>
      </c>
    </row>
    <row r="3098" spans="1:16" x14ac:dyDescent="0.25">
      <c r="A3098" s="2" t="s">
        <v>8305</v>
      </c>
      <c r="B3098" s="4">
        <v>46031.134722222225</v>
      </c>
      <c r="C3098" s="2" t="s">
        <v>16</v>
      </c>
      <c r="D3098" s="2" t="s">
        <v>17</v>
      </c>
      <c r="E3098" s="2" t="s">
        <v>38</v>
      </c>
      <c r="F3098" s="2" t="s">
        <v>113</v>
      </c>
      <c r="G3098" s="2" t="s">
        <v>183</v>
      </c>
      <c r="H3098" s="2" t="s">
        <v>74</v>
      </c>
      <c r="I3098" s="2">
        <v>8</v>
      </c>
      <c r="J3098" s="2" t="s">
        <v>11</v>
      </c>
      <c r="K3098" s="4" t="s">
        <v>8590</v>
      </c>
      <c r="L3098" s="2" t="s">
        <v>92</v>
      </c>
      <c r="M3098" s="2"/>
      <c r="N3098" t="s">
        <v>8586</v>
      </c>
      <c r="O3098" s="8" t="str">
        <f t="shared" si="96"/>
        <v/>
      </c>
      <c r="P3098" t="str">
        <f t="shared" si="97"/>
        <v>N/A</v>
      </c>
    </row>
    <row r="3099" spans="1:16" x14ac:dyDescent="0.25">
      <c r="A3099" s="2" t="s">
        <v>8307</v>
      </c>
      <c r="B3099" s="4">
        <v>46123.693749999999</v>
      </c>
      <c r="C3099" s="2" t="s">
        <v>16</v>
      </c>
      <c r="D3099" s="2" t="s">
        <v>84</v>
      </c>
      <c r="E3099" s="2" t="s">
        <v>148</v>
      </c>
      <c r="F3099" s="2" t="s">
        <v>96</v>
      </c>
      <c r="G3099" s="2" t="s">
        <v>179</v>
      </c>
      <c r="H3099" s="2" t="s">
        <v>32</v>
      </c>
      <c r="I3099" s="2">
        <v>48</v>
      </c>
      <c r="J3099" s="2" t="s">
        <v>11</v>
      </c>
      <c r="K3099" s="4" t="s">
        <v>8590</v>
      </c>
      <c r="L3099" s="2" t="s">
        <v>92</v>
      </c>
      <c r="M3099" s="2"/>
      <c r="N3099" t="s">
        <v>8584</v>
      </c>
      <c r="O3099" s="8" t="str">
        <f t="shared" si="96"/>
        <v/>
      </c>
      <c r="P3099" t="str">
        <f t="shared" si="97"/>
        <v>N/A</v>
      </c>
    </row>
    <row r="3100" spans="1:16" x14ac:dyDescent="0.25">
      <c r="A3100" s="2" t="s">
        <v>8308</v>
      </c>
      <c r="B3100" s="4">
        <v>46141.513888888891</v>
      </c>
      <c r="C3100" s="2" t="s">
        <v>28</v>
      </c>
      <c r="D3100" s="2" t="s">
        <v>37</v>
      </c>
      <c r="E3100" s="2" t="s">
        <v>148</v>
      </c>
      <c r="F3100" s="2" t="s">
        <v>113</v>
      </c>
      <c r="G3100" s="2" t="s">
        <v>110</v>
      </c>
      <c r="H3100" s="2" t="s">
        <v>21</v>
      </c>
      <c r="I3100" s="2">
        <v>24</v>
      </c>
      <c r="J3100" s="2" t="s">
        <v>106</v>
      </c>
      <c r="K3100" s="4">
        <v>46141.933333333334</v>
      </c>
      <c r="L3100" s="2" t="s">
        <v>24</v>
      </c>
      <c r="M3100" s="2">
        <v>5</v>
      </c>
      <c r="N3100" t="s">
        <v>8582</v>
      </c>
      <c r="O3100" s="8">
        <f t="shared" si="96"/>
        <v>10.066666666651145</v>
      </c>
      <c r="P3100" t="str">
        <f t="shared" si="97"/>
        <v>Yes</v>
      </c>
    </row>
    <row r="3101" spans="1:16" x14ac:dyDescent="0.25">
      <c r="A3101" s="2" t="s">
        <v>8311</v>
      </c>
      <c r="B3101" s="4">
        <v>46200.842361111114</v>
      </c>
      <c r="C3101" s="2" t="s">
        <v>67</v>
      </c>
      <c r="D3101" s="2" t="s">
        <v>68</v>
      </c>
      <c r="E3101" s="2" t="s">
        <v>79</v>
      </c>
      <c r="F3101" s="2" t="s">
        <v>113</v>
      </c>
      <c r="G3101" s="2" t="s">
        <v>179</v>
      </c>
      <c r="H3101" s="2" t="s">
        <v>21</v>
      </c>
      <c r="I3101" s="2">
        <v>24</v>
      </c>
      <c r="J3101" s="2" t="s">
        <v>106</v>
      </c>
      <c r="K3101" s="4">
        <v>46201.142361111109</v>
      </c>
      <c r="L3101" s="2" t="s">
        <v>24</v>
      </c>
      <c r="M3101" s="2">
        <v>5</v>
      </c>
      <c r="N3101" t="s">
        <v>8587</v>
      </c>
      <c r="O3101" s="8">
        <f t="shared" si="96"/>
        <v>7.1999999998952262</v>
      </c>
      <c r="P3101" t="str">
        <f t="shared" si="97"/>
        <v>Yes</v>
      </c>
    </row>
    <row r="3102" spans="1:16" x14ac:dyDescent="0.25">
      <c r="A3102" s="2" t="s">
        <v>8314</v>
      </c>
      <c r="B3102" s="4">
        <v>46097.644444444442</v>
      </c>
      <c r="C3102" s="2" t="s">
        <v>67</v>
      </c>
      <c r="D3102" s="2" t="s">
        <v>68</v>
      </c>
      <c r="E3102" s="2" t="s">
        <v>79</v>
      </c>
      <c r="F3102" s="2" t="s">
        <v>113</v>
      </c>
      <c r="G3102" s="2" t="s">
        <v>31</v>
      </c>
      <c r="H3102" s="2" t="s">
        <v>32</v>
      </c>
      <c r="I3102" s="2">
        <v>48</v>
      </c>
      <c r="J3102" s="2" t="s">
        <v>75</v>
      </c>
      <c r="K3102" s="4">
        <v>46098.29583333333</v>
      </c>
      <c r="L3102" s="2" t="s">
        <v>24</v>
      </c>
      <c r="M3102" s="2"/>
      <c r="N3102" t="s">
        <v>8581</v>
      </c>
      <c r="O3102" s="8">
        <f t="shared" si="96"/>
        <v>15.633333333302289</v>
      </c>
      <c r="P3102" t="str">
        <f t="shared" si="97"/>
        <v>N/A</v>
      </c>
    </row>
    <row r="3103" spans="1:16" x14ac:dyDescent="0.25">
      <c r="A3103" s="2" t="s">
        <v>8317</v>
      </c>
      <c r="B3103" s="4">
        <v>46155.12777777778</v>
      </c>
      <c r="C3103" s="2" t="s">
        <v>53</v>
      </c>
      <c r="D3103" s="2" t="s">
        <v>54</v>
      </c>
      <c r="E3103" s="2" t="s">
        <v>148</v>
      </c>
      <c r="F3103" s="2" t="s">
        <v>96</v>
      </c>
      <c r="G3103" s="2" t="s">
        <v>211</v>
      </c>
      <c r="H3103" s="2" t="s">
        <v>80</v>
      </c>
      <c r="I3103" s="2">
        <v>4</v>
      </c>
      <c r="J3103" s="2" t="s">
        <v>75</v>
      </c>
      <c r="K3103" s="4">
        <v>46155.353472222225</v>
      </c>
      <c r="L3103" s="2" t="s">
        <v>24</v>
      </c>
      <c r="M3103" s="2"/>
      <c r="N3103" t="s">
        <v>8584</v>
      </c>
      <c r="O3103" s="8">
        <f t="shared" si="96"/>
        <v>5.4166666666860692</v>
      </c>
      <c r="P3103" t="str">
        <f t="shared" si="97"/>
        <v>N/A</v>
      </c>
    </row>
    <row r="3104" spans="1:16" x14ac:dyDescent="0.25">
      <c r="A3104" s="2" t="s">
        <v>8320</v>
      </c>
      <c r="B3104" s="4">
        <v>46029.529166666667</v>
      </c>
      <c r="C3104" s="2" t="s">
        <v>16</v>
      </c>
      <c r="D3104" s="2" t="s">
        <v>17</v>
      </c>
      <c r="E3104" s="2" t="s">
        <v>38</v>
      </c>
      <c r="F3104" s="2" t="s">
        <v>96</v>
      </c>
      <c r="G3104" s="2" t="s">
        <v>110</v>
      </c>
      <c r="H3104" s="2" t="s">
        <v>32</v>
      </c>
      <c r="I3104" s="2">
        <v>48</v>
      </c>
      <c r="J3104" s="2" t="s">
        <v>11</v>
      </c>
      <c r="K3104" s="4" t="s">
        <v>8590</v>
      </c>
      <c r="L3104" s="2" t="s">
        <v>92</v>
      </c>
      <c r="M3104" s="2"/>
      <c r="N3104" t="s">
        <v>8584</v>
      </c>
      <c r="O3104" s="8" t="str">
        <f t="shared" si="96"/>
        <v/>
      </c>
      <c r="P3104" t="str">
        <f t="shared" si="97"/>
        <v>N/A</v>
      </c>
    </row>
    <row r="3105" spans="1:16" x14ac:dyDescent="0.25">
      <c r="A3105" s="2" t="s">
        <v>8322</v>
      </c>
      <c r="B3105" s="4">
        <v>46153.047222222223</v>
      </c>
      <c r="C3105" s="2" t="s">
        <v>53</v>
      </c>
      <c r="D3105" s="2" t="s">
        <v>54</v>
      </c>
      <c r="E3105" s="2" t="s">
        <v>90</v>
      </c>
      <c r="F3105" s="2" t="s">
        <v>55</v>
      </c>
      <c r="G3105" s="2" t="s">
        <v>211</v>
      </c>
      <c r="H3105" s="2" t="s">
        <v>32</v>
      </c>
      <c r="I3105" s="2">
        <v>48</v>
      </c>
      <c r="J3105" s="2" t="s">
        <v>106</v>
      </c>
      <c r="K3105" s="4">
        <v>46158.518055555556</v>
      </c>
      <c r="L3105" s="2" t="s">
        <v>24</v>
      </c>
      <c r="M3105" s="2"/>
      <c r="N3105" t="s">
        <v>8582</v>
      </c>
      <c r="O3105" s="8">
        <f t="shared" si="96"/>
        <v>131.29999999998836</v>
      </c>
      <c r="P3105" t="str">
        <f t="shared" si="97"/>
        <v>No</v>
      </c>
    </row>
    <row r="3106" spans="1:16" x14ac:dyDescent="0.25">
      <c r="A3106" s="2" t="s">
        <v>8325</v>
      </c>
      <c r="B3106" s="4">
        <v>46166.647222222222</v>
      </c>
      <c r="C3106" s="2" t="s">
        <v>16</v>
      </c>
      <c r="D3106" s="2" t="s">
        <v>17</v>
      </c>
      <c r="E3106" s="2" t="s">
        <v>148</v>
      </c>
      <c r="F3106" s="2" t="s">
        <v>113</v>
      </c>
      <c r="G3106" s="2" t="s">
        <v>211</v>
      </c>
      <c r="H3106" s="2" t="s">
        <v>21</v>
      </c>
      <c r="I3106" s="2">
        <v>24</v>
      </c>
      <c r="J3106" s="2" t="s">
        <v>8580</v>
      </c>
      <c r="K3106" s="4">
        <v>46166.749305555553</v>
      </c>
      <c r="L3106" s="2" t="s">
        <v>24</v>
      </c>
      <c r="M3106" s="2"/>
      <c r="N3106" t="s">
        <v>8585</v>
      </c>
      <c r="O3106" s="8">
        <f t="shared" si="96"/>
        <v>2.4499999999534339</v>
      </c>
      <c r="P3106" t="str">
        <f t="shared" si="97"/>
        <v>N/A</v>
      </c>
    </row>
    <row r="3107" spans="1:16" x14ac:dyDescent="0.25">
      <c r="A3107" s="2" t="s">
        <v>8328</v>
      </c>
      <c r="B3107" s="4">
        <v>46046.776388888888</v>
      </c>
      <c r="C3107" s="2" t="s">
        <v>16</v>
      </c>
      <c r="D3107" s="2" t="s">
        <v>84</v>
      </c>
      <c r="E3107" s="2" t="s">
        <v>85</v>
      </c>
      <c r="F3107" s="2" t="s">
        <v>96</v>
      </c>
      <c r="G3107" s="2" t="s">
        <v>179</v>
      </c>
      <c r="H3107" s="2" t="s">
        <v>32</v>
      </c>
      <c r="I3107" s="2">
        <v>48</v>
      </c>
      <c r="J3107" s="2" t="s">
        <v>106</v>
      </c>
      <c r="K3107" s="4">
        <v>46048.231249999997</v>
      </c>
      <c r="L3107" s="2" t="s">
        <v>24</v>
      </c>
      <c r="M3107" s="2">
        <v>4</v>
      </c>
      <c r="N3107" t="s">
        <v>8587</v>
      </c>
      <c r="O3107" s="8">
        <f t="shared" si="96"/>
        <v>34.916666666627862</v>
      </c>
      <c r="P3107" t="str">
        <f t="shared" si="97"/>
        <v>Yes</v>
      </c>
    </row>
    <row r="3108" spans="1:16" x14ac:dyDescent="0.25">
      <c r="A3108" s="2" t="s">
        <v>8331</v>
      </c>
      <c r="B3108" s="4">
        <v>46256.974999999999</v>
      </c>
      <c r="C3108" s="2" t="s">
        <v>53</v>
      </c>
      <c r="D3108" s="2" t="s">
        <v>54</v>
      </c>
      <c r="E3108" s="2" t="s">
        <v>85</v>
      </c>
      <c r="F3108" s="2" t="s">
        <v>55</v>
      </c>
      <c r="G3108" s="2" t="s">
        <v>110</v>
      </c>
      <c r="H3108" s="2" t="s">
        <v>32</v>
      </c>
      <c r="I3108" s="2">
        <v>48</v>
      </c>
      <c r="J3108" s="2" t="s">
        <v>11</v>
      </c>
      <c r="K3108" s="4" t="s">
        <v>8590</v>
      </c>
      <c r="L3108" s="2" t="s">
        <v>92</v>
      </c>
      <c r="M3108" s="2"/>
      <c r="N3108" t="s">
        <v>8581</v>
      </c>
      <c r="O3108" s="8" t="str">
        <f t="shared" si="96"/>
        <v/>
      </c>
      <c r="P3108" t="str">
        <f t="shared" si="97"/>
        <v>N/A</v>
      </c>
    </row>
    <row r="3109" spans="1:16" x14ac:dyDescent="0.25">
      <c r="A3109" s="2" t="s">
        <v>8333</v>
      </c>
      <c r="B3109" s="4">
        <v>46091.454861111109</v>
      </c>
      <c r="C3109" s="2" t="s">
        <v>53</v>
      </c>
      <c r="D3109" s="2" t="s">
        <v>61</v>
      </c>
      <c r="E3109" s="2" t="s">
        <v>85</v>
      </c>
      <c r="F3109" s="2" t="s">
        <v>96</v>
      </c>
      <c r="G3109" s="2" t="s">
        <v>110</v>
      </c>
      <c r="H3109" s="2" t="s">
        <v>74</v>
      </c>
      <c r="I3109" s="2">
        <v>8</v>
      </c>
      <c r="J3109" s="2" t="s">
        <v>75</v>
      </c>
      <c r="K3109" s="4">
        <v>46091.551388888889</v>
      </c>
      <c r="L3109" s="2" t="s">
        <v>24</v>
      </c>
      <c r="M3109" s="2">
        <v>5</v>
      </c>
      <c r="N3109" t="s">
        <v>8587</v>
      </c>
      <c r="O3109" s="8">
        <f t="shared" si="96"/>
        <v>2.3166666667093523</v>
      </c>
      <c r="P3109" t="str">
        <f t="shared" si="97"/>
        <v>N/A</v>
      </c>
    </row>
    <row r="3110" spans="1:16" x14ac:dyDescent="0.25">
      <c r="A3110" s="2" t="s">
        <v>8336</v>
      </c>
      <c r="B3110" s="4">
        <v>46144.864583333336</v>
      </c>
      <c r="C3110" s="2" t="s">
        <v>16</v>
      </c>
      <c r="D3110" s="2" t="s">
        <v>17</v>
      </c>
      <c r="E3110" s="2" t="s">
        <v>46</v>
      </c>
      <c r="F3110" s="2" t="s">
        <v>113</v>
      </c>
      <c r="G3110" s="2" t="s">
        <v>183</v>
      </c>
      <c r="H3110" s="2" t="s">
        <v>21</v>
      </c>
      <c r="I3110" s="2">
        <v>24</v>
      </c>
      <c r="J3110" s="2" t="s">
        <v>106</v>
      </c>
      <c r="K3110" s="4">
        <v>46145.686111111114</v>
      </c>
      <c r="L3110" s="2" t="s">
        <v>24</v>
      </c>
      <c r="M3110" s="2"/>
      <c r="N3110" t="s">
        <v>8589</v>
      </c>
      <c r="O3110" s="8">
        <f t="shared" si="96"/>
        <v>19.716666666674428</v>
      </c>
      <c r="P3110" t="str">
        <f t="shared" si="97"/>
        <v>Yes</v>
      </c>
    </row>
    <row r="3111" spans="1:16" x14ac:dyDescent="0.25">
      <c r="A3111" s="2" t="s">
        <v>8339</v>
      </c>
      <c r="B3111" s="4">
        <v>46141.386805555558</v>
      </c>
      <c r="C3111" s="2" t="s">
        <v>28</v>
      </c>
      <c r="D3111" s="2" t="s">
        <v>37</v>
      </c>
      <c r="E3111" s="2" t="s">
        <v>90</v>
      </c>
      <c r="F3111" s="2" t="s">
        <v>30</v>
      </c>
      <c r="G3111" s="2" t="s">
        <v>101</v>
      </c>
      <c r="H3111" s="2" t="s">
        <v>21</v>
      </c>
      <c r="I3111" s="2">
        <v>24</v>
      </c>
      <c r="J3111" s="2" t="s">
        <v>149</v>
      </c>
      <c r="K3111" s="4" t="s">
        <v>8590</v>
      </c>
      <c r="L3111" s="2" t="s">
        <v>24</v>
      </c>
      <c r="M3111" s="2"/>
      <c r="N3111" t="s">
        <v>8586</v>
      </c>
      <c r="O3111" s="8" t="str">
        <f t="shared" si="96"/>
        <v/>
      </c>
      <c r="P3111" t="str">
        <f t="shared" si="97"/>
        <v>N/A</v>
      </c>
    </row>
    <row r="3112" spans="1:16" x14ac:dyDescent="0.25">
      <c r="A3112" s="2" t="s">
        <v>8341</v>
      </c>
      <c r="B3112" s="4">
        <v>46173.649305555555</v>
      </c>
      <c r="C3112" s="2" t="s">
        <v>28</v>
      </c>
      <c r="D3112" s="2" t="s">
        <v>100</v>
      </c>
      <c r="E3112" s="2" t="s">
        <v>46</v>
      </c>
      <c r="F3112" s="2" t="s">
        <v>113</v>
      </c>
      <c r="G3112" s="2" t="s">
        <v>183</v>
      </c>
      <c r="H3112" s="2" t="s">
        <v>32</v>
      </c>
      <c r="I3112" s="2">
        <v>48</v>
      </c>
      <c r="J3112" s="2" t="s">
        <v>106</v>
      </c>
      <c r="K3112" s="4">
        <v>46176.892361111109</v>
      </c>
      <c r="L3112" s="2" t="s">
        <v>24</v>
      </c>
      <c r="M3112" s="2">
        <v>2</v>
      </c>
      <c r="N3112" t="s">
        <v>8589</v>
      </c>
      <c r="O3112" s="8">
        <f t="shared" si="96"/>
        <v>77.833333333313931</v>
      </c>
      <c r="P3112" t="str">
        <f t="shared" si="97"/>
        <v>No</v>
      </c>
    </row>
    <row r="3113" spans="1:16" x14ac:dyDescent="0.25">
      <c r="A3113" s="2" t="s">
        <v>8344</v>
      </c>
      <c r="B3113" s="4">
        <v>46101.634027777778</v>
      </c>
      <c r="C3113" s="2" t="s">
        <v>28</v>
      </c>
      <c r="D3113" s="2" t="s">
        <v>100</v>
      </c>
      <c r="E3113" s="2" t="s">
        <v>90</v>
      </c>
      <c r="F3113" s="2" t="s">
        <v>96</v>
      </c>
      <c r="G3113" s="2" t="s">
        <v>183</v>
      </c>
      <c r="H3113" s="2" t="s">
        <v>21</v>
      </c>
      <c r="I3113" s="2">
        <v>24</v>
      </c>
      <c r="J3113" s="2" t="s">
        <v>11</v>
      </c>
      <c r="K3113" s="4" t="s">
        <v>8590</v>
      </c>
      <c r="L3113" s="2" t="s">
        <v>92</v>
      </c>
      <c r="M3113" s="2"/>
      <c r="N3113" t="s">
        <v>8589</v>
      </c>
      <c r="O3113" s="8" t="str">
        <f t="shared" si="96"/>
        <v/>
      </c>
      <c r="P3113" t="str">
        <f t="shared" si="97"/>
        <v>N/A</v>
      </c>
    </row>
    <row r="3114" spans="1:16" x14ac:dyDescent="0.25">
      <c r="A3114" s="2" t="s">
        <v>8346</v>
      </c>
      <c r="B3114" s="4">
        <v>46225.15625</v>
      </c>
      <c r="C3114" s="2" t="s">
        <v>67</v>
      </c>
      <c r="D3114" s="2" t="s">
        <v>95</v>
      </c>
      <c r="E3114" s="2" t="s">
        <v>79</v>
      </c>
      <c r="F3114" s="2" t="s">
        <v>30</v>
      </c>
      <c r="G3114" s="2" t="s">
        <v>211</v>
      </c>
      <c r="H3114" s="2" t="s">
        <v>21</v>
      </c>
      <c r="I3114" s="2">
        <v>24</v>
      </c>
      <c r="J3114" s="2" t="s">
        <v>75</v>
      </c>
      <c r="K3114" s="4">
        <v>46226.043749999997</v>
      </c>
      <c r="L3114" s="2" t="s">
        <v>24</v>
      </c>
      <c r="M3114" s="2">
        <v>5</v>
      </c>
      <c r="N3114" t="s">
        <v>8583</v>
      </c>
      <c r="O3114" s="8">
        <f t="shared" si="96"/>
        <v>21.299999999930151</v>
      </c>
      <c r="P3114" t="str">
        <f t="shared" si="97"/>
        <v>N/A</v>
      </c>
    </row>
    <row r="3115" spans="1:16" x14ac:dyDescent="0.25">
      <c r="A3115" s="2" t="s">
        <v>8349</v>
      </c>
      <c r="B3115" s="4">
        <v>46099.063194444447</v>
      </c>
      <c r="C3115" s="2" t="s">
        <v>53</v>
      </c>
      <c r="D3115" s="2" t="s">
        <v>61</v>
      </c>
      <c r="E3115" s="2" t="s">
        <v>90</v>
      </c>
      <c r="F3115" s="2" t="s">
        <v>96</v>
      </c>
      <c r="G3115" s="2" t="s">
        <v>183</v>
      </c>
      <c r="H3115" s="2" t="s">
        <v>32</v>
      </c>
      <c r="I3115" s="2">
        <v>48</v>
      </c>
      <c r="J3115" s="2" t="s">
        <v>106</v>
      </c>
      <c r="K3115" s="4">
        <v>46099.838194444441</v>
      </c>
      <c r="L3115" s="2" t="s">
        <v>24</v>
      </c>
      <c r="M3115" s="2"/>
      <c r="N3115" t="s">
        <v>8583</v>
      </c>
      <c r="O3115" s="8">
        <f t="shared" si="96"/>
        <v>18.599999999860302</v>
      </c>
      <c r="P3115" t="str">
        <f t="shared" si="97"/>
        <v>Yes</v>
      </c>
    </row>
    <row r="3116" spans="1:16" x14ac:dyDescent="0.25">
      <c r="A3116" s="2" t="s">
        <v>8352</v>
      </c>
      <c r="B3116" s="4">
        <v>46088.767361111109</v>
      </c>
      <c r="C3116" s="2" t="s">
        <v>16</v>
      </c>
      <c r="D3116" s="2" t="s">
        <v>17</v>
      </c>
      <c r="E3116" s="2" t="s">
        <v>79</v>
      </c>
      <c r="F3116" s="2" t="s">
        <v>113</v>
      </c>
      <c r="G3116" s="2" t="s">
        <v>31</v>
      </c>
      <c r="H3116" s="2" t="s">
        <v>32</v>
      </c>
      <c r="I3116" s="2">
        <v>48</v>
      </c>
      <c r="J3116" s="2" t="s">
        <v>287</v>
      </c>
      <c r="K3116" s="4" t="s">
        <v>8590</v>
      </c>
      <c r="L3116" s="2" t="s">
        <v>24</v>
      </c>
      <c r="M3116" s="2"/>
      <c r="N3116" t="s">
        <v>8589</v>
      </c>
      <c r="O3116" s="8" t="str">
        <f t="shared" si="96"/>
        <v/>
      </c>
      <c r="P3116" t="str">
        <f t="shared" si="97"/>
        <v>N/A</v>
      </c>
    </row>
    <row r="3117" spans="1:16" x14ac:dyDescent="0.25">
      <c r="A3117" s="2" t="s">
        <v>8354</v>
      </c>
      <c r="B3117" s="4">
        <v>46138.173611111109</v>
      </c>
      <c r="C3117" s="2" t="s">
        <v>53</v>
      </c>
      <c r="D3117" s="2" t="s">
        <v>61</v>
      </c>
      <c r="E3117" s="2" t="s">
        <v>46</v>
      </c>
      <c r="F3117" s="2" t="s">
        <v>55</v>
      </c>
      <c r="G3117" s="2" t="s">
        <v>179</v>
      </c>
      <c r="H3117" s="2" t="s">
        <v>21</v>
      </c>
      <c r="I3117" s="2">
        <v>24</v>
      </c>
      <c r="J3117" s="2" t="s">
        <v>75</v>
      </c>
      <c r="K3117" s="4">
        <v>46138.775694444441</v>
      </c>
      <c r="L3117" s="2" t="s">
        <v>24</v>
      </c>
      <c r="M3117" s="2">
        <v>5</v>
      </c>
      <c r="N3117" t="s">
        <v>8582</v>
      </c>
      <c r="O3117" s="8">
        <f t="shared" si="96"/>
        <v>14.449999999953434</v>
      </c>
      <c r="P3117" t="str">
        <f t="shared" si="97"/>
        <v>N/A</v>
      </c>
    </row>
    <row r="3118" spans="1:16" x14ac:dyDescent="0.25">
      <c r="A3118" s="2" t="s">
        <v>8357</v>
      </c>
      <c r="B3118" s="4">
        <v>46141.530555555553</v>
      </c>
      <c r="C3118" s="2" t="s">
        <v>67</v>
      </c>
      <c r="D3118" s="2" t="s">
        <v>68</v>
      </c>
      <c r="E3118" s="2" t="s">
        <v>18</v>
      </c>
      <c r="F3118" s="2" t="s">
        <v>30</v>
      </c>
      <c r="G3118" s="2" t="s">
        <v>179</v>
      </c>
      <c r="H3118" s="2" t="s">
        <v>21</v>
      </c>
      <c r="I3118" s="2">
        <v>24</v>
      </c>
      <c r="J3118" s="2" t="s">
        <v>106</v>
      </c>
      <c r="K3118" s="4">
        <v>46141.836111111108</v>
      </c>
      <c r="L3118" s="2" t="s">
        <v>24</v>
      </c>
      <c r="M3118" s="2">
        <v>2</v>
      </c>
      <c r="N3118" t="s">
        <v>8587</v>
      </c>
      <c r="O3118" s="8">
        <f t="shared" si="96"/>
        <v>7.3333333333139308</v>
      </c>
      <c r="P3118" t="str">
        <f t="shared" si="97"/>
        <v>Yes</v>
      </c>
    </row>
    <row r="3119" spans="1:16" x14ac:dyDescent="0.25">
      <c r="A3119" s="2" t="s">
        <v>8360</v>
      </c>
      <c r="B3119" s="4">
        <v>46106.989583333336</v>
      </c>
      <c r="C3119" s="2" t="s">
        <v>28</v>
      </c>
      <c r="D3119" s="2" t="s">
        <v>37</v>
      </c>
      <c r="E3119" s="2" t="s">
        <v>90</v>
      </c>
      <c r="F3119" s="2" t="s">
        <v>55</v>
      </c>
      <c r="G3119" s="2" t="s">
        <v>179</v>
      </c>
      <c r="H3119" s="2" t="s">
        <v>32</v>
      </c>
      <c r="I3119" s="2">
        <v>48</v>
      </c>
      <c r="J3119" s="2" t="s">
        <v>75</v>
      </c>
      <c r="K3119" s="4">
        <v>46107.81527777778</v>
      </c>
      <c r="L3119" s="2" t="s">
        <v>24</v>
      </c>
      <c r="M3119" s="2"/>
      <c r="N3119" t="s">
        <v>8587</v>
      </c>
      <c r="O3119" s="8">
        <f t="shared" si="96"/>
        <v>19.816666666651145</v>
      </c>
      <c r="P3119" t="str">
        <f t="shared" si="97"/>
        <v>N/A</v>
      </c>
    </row>
    <row r="3120" spans="1:16" x14ac:dyDescent="0.25">
      <c r="A3120" s="2" t="s">
        <v>8363</v>
      </c>
      <c r="B3120" s="4">
        <v>46067.101388888892</v>
      </c>
      <c r="C3120" s="2" t="s">
        <v>53</v>
      </c>
      <c r="D3120" s="2" t="s">
        <v>61</v>
      </c>
      <c r="E3120" s="2" t="s">
        <v>79</v>
      </c>
      <c r="F3120" s="2" t="s">
        <v>30</v>
      </c>
      <c r="G3120" s="2" t="s">
        <v>101</v>
      </c>
      <c r="H3120" s="2" t="s">
        <v>80</v>
      </c>
      <c r="I3120" s="2">
        <v>4</v>
      </c>
      <c r="J3120" s="2" t="s">
        <v>106</v>
      </c>
      <c r="K3120" s="4">
        <v>46067.347222222219</v>
      </c>
      <c r="L3120" s="2" t="s">
        <v>92</v>
      </c>
      <c r="M3120" s="2">
        <v>5</v>
      </c>
      <c r="N3120" t="s">
        <v>8585</v>
      </c>
      <c r="O3120" s="8">
        <f t="shared" si="96"/>
        <v>5.8999999998486601</v>
      </c>
      <c r="P3120" t="str">
        <f t="shared" si="97"/>
        <v>No</v>
      </c>
    </row>
    <row r="3121" spans="1:16" x14ac:dyDescent="0.25">
      <c r="A3121" s="2" t="s">
        <v>8366</v>
      </c>
      <c r="B3121" s="4">
        <v>46197.6875</v>
      </c>
      <c r="C3121" s="2" t="s">
        <v>16</v>
      </c>
      <c r="D3121" s="2" t="s">
        <v>17</v>
      </c>
      <c r="E3121" s="2" t="s">
        <v>38</v>
      </c>
      <c r="F3121" s="2" t="s">
        <v>55</v>
      </c>
      <c r="G3121" s="2" t="s">
        <v>183</v>
      </c>
      <c r="H3121" s="2" t="s">
        <v>74</v>
      </c>
      <c r="I3121" s="2">
        <v>8</v>
      </c>
      <c r="J3121" s="2" t="s">
        <v>75</v>
      </c>
      <c r="K3121" s="4">
        <v>46198.525694444441</v>
      </c>
      <c r="L3121" s="2" t="s">
        <v>24</v>
      </c>
      <c r="M3121" s="2"/>
      <c r="N3121" t="s">
        <v>8582</v>
      </c>
      <c r="O3121" s="8">
        <f t="shared" si="96"/>
        <v>20.116666666581295</v>
      </c>
      <c r="P3121" t="str">
        <f t="shared" si="97"/>
        <v>N/A</v>
      </c>
    </row>
    <row r="3122" spans="1:16" x14ac:dyDescent="0.25">
      <c r="A3122" s="2" t="s">
        <v>8369</v>
      </c>
      <c r="B3122" s="4">
        <v>46262.121527777781</v>
      </c>
      <c r="C3122" s="2" t="s">
        <v>16</v>
      </c>
      <c r="D3122" s="2" t="s">
        <v>17</v>
      </c>
      <c r="E3122" s="2" t="s">
        <v>38</v>
      </c>
      <c r="F3122" s="2" t="s">
        <v>96</v>
      </c>
      <c r="G3122" s="2" t="s">
        <v>31</v>
      </c>
      <c r="H3122" s="2" t="s">
        <v>21</v>
      </c>
      <c r="I3122" s="2">
        <v>24</v>
      </c>
      <c r="J3122" s="2" t="s">
        <v>106</v>
      </c>
      <c r="K3122" s="4" t="s">
        <v>8590</v>
      </c>
      <c r="L3122" s="2" t="s">
        <v>92</v>
      </c>
      <c r="M3122" s="2">
        <v>5</v>
      </c>
      <c r="N3122" t="s">
        <v>8587</v>
      </c>
      <c r="O3122" s="8" t="str">
        <f t="shared" si="96"/>
        <v/>
      </c>
      <c r="P3122" t="str">
        <f t="shared" si="97"/>
        <v>No</v>
      </c>
    </row>
    <row r="3123" spans="1:16" x14ac:dyDescent="0.25">
      <c r="A3123" s="2" t="s">
        <v>8371</v>
      </c>
      <c r="B3123" s="4">
        <v>46139.612500000003</v>
      </c>
      <c r="C3123" s="2" t="s">
        <v>67</v>
      </c>
      <c r="D3123" s="2" t="s">
        <v>95</v>
      </c>
      <c r="E3123" s="2" t="s">
        <v>38</v>
      </c>
      <c r="F3123" s="2" t="s">
        <v>113</v>
      </c>
      <c r="G3123" s="2" t="s">
        <v>183</v>
      </c>
      <c r="H3123" s="2" t="s">
        <v>80</v>
      </c>
      <c r="I3123" s="2">
        <v>4</v>
      </c>
      <c r="J3123" s="2" t="s">
        <v>106</v>
      </c>
      <c r="K3123" s="4">
        <v>46139.726388888892</v>
      </c>
      <c r="L3123" s="2" t="s">
        <v>24</v>
      </c>
      <c r="M3123" s="2">
        <v>2</v>
      </c>
      <c r="N3123" t="s">
        <v>8585</v>
      </c>
      <c r="O3123" s="8">
        <f t="shared" si="96"/>
        <v>2.7333333333372138</v>
      </c>
      <c r="P3123" t="str">
        <f t="shared" si="97"/>
        <v>Yes</v>
      </c>
    </row>
    <row r="3124" spans="1:16" x14ac:dyDescent="0.25">
      <c r="A3124" s="2" t="s">
        <v>8374</v>
      </c>
      <c r="B3124" s="4">
        <v>46090.604861111111</v>
      </c>
      <c r="C3124" s="2" t="s">
        <v>67</v>
      </c>
      <c r="D3124" s="2" t="s">
        <v>95</v>
      </c>
      <c r="E3124" s="2" t="s">
        <v>38</v>
      </c>
      <c r="F3124" s="2" t="s">
        <v>55</v>
      </c>
      <c r="G3124" s="2" t="s">
        <v>31</v>
      </c>
      <c r="H3124" s="2" t="s">
        <v>21</v>
      </c>
      <c r="I3124" s="2">
        <v>24</v>
      </c>
      <c r="J3124" s="2" t="s">
        <v>106</v>
      </c>
      <c r="K3124" s="4">
        <v>46092.277083333334</v>
      </c>
      <c r="L3124" s="2" t="s">
        <v>24</v>
      </c>
      <c r="M3124" s="2">
        <v>3</v>
      </c>
      <c r="N3124" t="s">
        <v>8585</v>
      </c>
      <c r="O3124" s="8">
        <f t="shared" si="96"/>
        <v>40.133333333360497</v>
      </c>
      <c r="P3124" t="str">
        <f t="shared" si="97"/>
        <v>No</v>
      </c>
    </row>
    <row r="3125" spans="1:16" x14ac:dyDescent="0.25">
      <c r="A3125" s="2" t="s">
        <v>8377</v>
      </c>
      <c r="B3125" s="4">
        <v>46240.557638888888</v>
      </c>
      <c r="C3125" s="2" t="s">
        <v>53</v>
      </c>
      <c r="D3125" s="2" t="s">
        <v>61</v>
      </c>
      <c r="E3125" s="2" t="s">
        <v>148</v>
      </c>
      <c r="F3125" s="2" t="s">
        <v>55</v>
      </c>
      <c r="G3125" s="2" t="s">
        <v>110</v>
      </c>
      <c r="H3125" s="2" t="s">
        <v>74</v>
      </c>
      <c r="I3125" s="2">
        <v>8</v>
      </c>
      <c r="J3125" s="2" t="s">
        <v>106</v>
      </c>
      <c r="K3125" s="4">
        <v>46240.856944444444</v>
      </c>
      <c r="L3125" s="2" t="s">
        <v>24</v>
      </c>
      <c r="M3125" s="2"/>
      <c r="N3125" t="s">
        <v>8582</v>
      </c>
      <c r="O3125" s="8">
        <f t="shared" si="96"/>
        <v>7.1833333333488554</v>
      </c>
      <c r="P3125" t="str">
        <f t="shared" si="97"/>
        <v>Yes</v>
      </c>
    </row>
    <row r="3126" spans="1:16" x14ac:dyDescent="0.25">
      <c r="A3126" s="2" t="s">
        <v>8380</v>
      </c>
      <c r="B3126" s="4">
        <v>46068.254166666666</v>
      </c>
      <c r="C3126" s="2" t="s">
        <v>67</v>
      </c>
      <c r="D3126" s="2" t="s">
        <v>68</v>
      </c>
      <c r="E3126" s="2" t="s">
        <v>46</v>
      </c>
      <c r="F3126" s="2" t="s">
        <v>30</v>
      </c>
      <c r="G3126" s="2" t="s">
        <v>31</v>
      </c>
      <c r="H3126" s="2" t="s">
        <v>21</v>
      </c>
      <c r="I3126" s="2">
        <v>24</v>
      </c>
      <c r="J3126" s="2" t="s">
        <v>106</v>
      </c>
      <c r="K3126" s="4">
        <v>46068.977083333331</v>
      </c>
      <c r="L3126" s="2" t="s">
        <v>92</v>
      </c>
      <c r="M3126" s="2"/>
      <c r="N3126" t="s">
        <v>8584</v>
      </c>
      <c r="O3126" s="8">
        <f t="shared" si="96"/>
        <v>17.349999999976717</v>
      </c>
      <c r="P3126" t="str">
        <f t="shared" si="97"/>
        <v>Yes</v>
      </c>
    </row>
    <row r="3127" spans="1:16" x14ac:dyDescent="0.25">
      <c r="A3127" s="2" t="s">
        <v>8383</v>
      </c>
      <c r="B3127" s="4">
        <v>46162.509027777778</v>
      </c>
      <c r="C3127" s="2" t="s">
        <v>53</v>
      </c>
      <c r="D3127" s="2" t="s">
        <v>61</v>
      </c>
      <c r="E3127" s="2" t="s">
        <v>85</v>
      </c>
      <c r="F3127" s="2" t="s">
        <v>55</v>
      </c>
      <c r="G3127" s="2" t="s">
        <v>211</v>
      </c>
      <c r="H3127" s="2" t="s">
        <v>74</v>
      </c>
      <c r="I3127" s="2">
        <v>8</v>
      </c>
      <c r="J3127" s="2" t="s">
        <v>11</v>
      </c>
      <c r="K3127" s="4" t="s">
        <v>8590</v>
      </c>
      <c r="L3127" s="2" t="s">
        <v>92</v>
      </c>
      <c r="M3127" s="2"/>
      <c r="N3127" t="s">
        <v>8589</v>
      </c>
      <c r="O3127" s="8" t="str">
        <f t="shared" si="96"/>
        <v/>
      </c>
      <c r="P3127" t="str">
        <f t="shared" si="97"/>
        <v>N/A</v>
      </c>
    </row>
    <row r="3128" spans="1:16" x14ac:dyDescent="0.25">
      <c r="A3128" s="2" t="s">
        <v>8385</v>
      </c>
      <c r="B3128" s="4">
        <v>46158.855555555558</v>
      </c>
      <c r="C3128" s="2" t="s">
        <v>28</v>
      </c>
      <c r="D3128" s="2" t="s">
        <v>100</v>
      </c>
      <c r="E3128" s="2" t="s">
        <v>18</v>
      </c>
      <c r="F3128" s="2" t="s">
        <v>30</v>
      </c>
      <c r="G3128" s="2" t="s">
        <v>183</v>
      </c>
      <c r="H3128" s="2" t="s">
        <v>32</v>
      </c>
      <c r="I3128" s="2">
        <v>48</v>
      </c>
      <c r="J3128" s="2" t="s">
        <v>106</v>
      </c>
      <c r="K3128" s="4">
        <v>46159.894444444442</v>
      </c>
      <c r="L3128" s="2" t="s">
        <v>24</v>
      </c>
      <c r="M3128" s="2"/>
      <c r="N3128" t="s">
        <v>8589</v>
      </c>
      <c r="O3128" s="8">
        <f t="shared" si="96"/>
        <v>24.93333333323244</v>
      </c>
      <c r="P3128" t="str">
        <f t="shared" si="97"/>
        <v>Yes</v>
      </c>
    </row>
    <row r="3129" spans="1:16" x14ac:dyDescent="0.25">
      <c r="A3129" s="2" t="s">
        <v>8388</v>
      </c>
      <c r="B3129" s="4">
        <v>46237.104861111111</v>
      </c>
      <c r="C3129" s="2" t="s">
        <v>53</v>
      </c>
      <c r="D3129" s="2" t="s">
        <v>61</v>
      </c>
      <c r="E3129" s="2" t="s">
        <v>148</v>
      </c>
      <c r="F3129" s="2" t="s">
        <v>30</v>
      </c>
      <c r="G3129" s="2" t="s">
        <v>183</v>
      </c>
      <c r="H3129" s="2" t="s">
        <v>21</v>
      </c>
      <c r="I3129" s="2">
        <v>24</v>
      </c>
      <c r="J3129" s="2" t="s">
        <v>75</v>
      </c>
      <c r="K3129" s="4">
        <v>46237.136111111111</v>
      </c>
      <c r="L3129" s="2" t="s">
        <v>92</v>
      </c>
      <c r="M3129" s="2">
        <v>5</v>
      </c>
      <c r="N3129" t="s">
        <v>8582</v>
      </c>
      <c r="O3129" s="8">
        <f t="shared" si="96"/>
        <v>0.75</v>
      </c>
      <c r="P3129" t="str">
        <f t="shared" si="97"/>
        <v>N/A</v>
      </c>
    </row>
    <row r="3130" spans="1:16" x14ac:dyDescent="0.25">
      <c r="A3130" s="2" t="s">
        <v>8391</v>
      </c>
      <c r="B3130" s="4">
        <v>46224.22152777778</v>
      </c>
      <c r="C3130" s="2" t="s">
        <v>16</v>
      </c>
      <c r="D3130" s="2" t="s">
        <v>84</v>
      </c>
      <c r="E3130" s="2" t="s">
        <v>90</v>
      </c>
      <c r="F3130" s="2" t="s">
        <v>96</v>
      </c>
      <c r="G3130" s="2" t="s">
        <v>101</v>
      </c>
      <c r="H3130" s="2" t="s">
        <v>32</v>
      </c>
      <c r="I3130" s="2">
        <v>48</v>
      </c>
      <c r="J3130" s="2" t="s">
        <v>149</v>
      </c>
      <c r="K3130" s="4" t="s">
        <v>8590</v>
      </c>
      <c r="L3130" s="2" t="s">
        <v>24</v>
      </c>
      <c r="M3130" s="2"/>
      <c r="N3130" t="s">
        <v>8582</v>
      </c>
      <c r="O3130" s="8" t="str">
        <f t="shared" si="96"/>
        <v/>
      </c>
      <c r="P3130" t="str">
        <f t="shared" si="97"/>
        <v>N/A</v>
      </c>
    </row>
    <row r="3131" spans="1:16" x14ac:dyDescent="0.25">
      <c r="A3131" s="2" t="s">
        <v>8393</v>
      </c>
      <c r="B3131" s="4">
        <v>46071.750694444447</v>
      </c>
      <c r="C3131" s="2" t="s">
        <v>53</v>
      </c>
      <c r="D3131" s="2" t="s">
        <v>61</v>
      </c>
      <c r="E3131" s="2" t="s">
        <v>148</v>
      </c>
      <c r="F3131" s="2" t="s">
        <v>96</v>
      </c>
      <c r="G3131" s="2" t="s">
        <v>31</v>
      </c>
      <c r="H3131" s="2" t="s">
        <v>21</v>
      </c>
      <c r="I3131" s="2">
        <v>24</v>
      </c>
      <c r="J3131" s="2" t="s">
        <v>106</v>
      </c>
      <c r="K3131" s="4">
        <v>46072.430555555555</v>
      </c>
      <c r="L3131" s="2" t="s">
        <v>24</v>
      </c>
      <c r="M3131" s="2">
        <v>1</v>
      </c>
      <c r="N3131" t="s">
        <v>8584</v>
      </c>
      <c r="O3131" s="8">
        <f t="shared" si="96"/>
        <v>16.316666666592937</v>
      </c>
      <c r="P3131" t="str">
        <f t="shared" si="97"/>
        <v>Yes</v>
      </c>
    </row>
    <row r="3132" spans="1:16" x14ac:dyDescent="0.25">
      <c r="A3132" s="2" t="s">
        <v>8396</v>
      </c>
      <c r="B3132" s="4">
        <v>46101.970833333333</v>
      </c>
      <c r="C3132" s="2" t="s">
        <v>53</v>
      </c>
      <c r="D3132" s="2" t="s">
        <v>61</v>
      </c>
      <c r="E3132" s="2" t="s">
        <v>79</v>
      </c>
      <c r="F3132" s="2" t="s">
        <v>55</v>
      </c>
      <c r="G3132" s="2" t="s">
        <v>101</v>
      </c>
      <c r="H3132" s="2" t="s">
        <v>21</v>
      </c>
      <c r="I3132" s="2">
        <v>24</v>
      </c>
      <c r="J3132" s="2" t="s">
        <v>11</v>
      </c>
      <c r="K3132" s="4" t="s">
        <v>8590</v>
      </c>
      <c r="L3132" s="2" t="s">
        <v>92</v>
      </c>
      <c r="M3132" s="2"/>
      <c r="N3132" t="s">
        <v>8589</v>
      </c>
      <c r="O3132" s="8" t="str">
        <f t="shared" si="96"/>
        <v/>
      </c>
      <c r="P3132" t="str">
        <f t="shared" si="97"/>
        <v>N/A</v>
      </c>
    </row>
    <row r="3133" spans="1:16" x14ac:dyDescent="0.25">
      <c r="A3133" s="2" t="s">
        <v>8398</v>
      </c>
      <c r="B3133" s="4">
        <v>46200.29791666667</v>
      </c>
      <c r="C3133" s="2" t="s">
        <v>67</v>
      </c>
      <c r="D3133" s="2" t="s">
        <v>95</v>
      </c>
      <c r="E3133" s="2" t="s">
        <v>85</v>
      </c>
      <c r="F3133" s="2" t="s">
        <v>96</v>
      </c>
      <c r="G3133" s="2" t="s">
        <v>110</v>
      </c>
      <c r="H3133" s="2" t="s">
        <v>74</v>
      </c>
      <c r="I3133" s="2">
        <v>8</v>
      </c>
      <c r="J3133" s="2" t="s">
        <v>106</v>
      </c>
      <c r="K3133" s="4">
        <v>46200.543749999997</v>
      </c>
      <c r="L3133" s="2" t="s">
        <v>24</v>
      </c>
      <c r="M3133" s="2"/>
      <c r="N3133" t="s">
        <v>8581</v>
      </c>
      <c r="O3133" s="8">
        <f t="shared" si="96"/>
        <v>5.8999999998486601</v>
      </c>
      <c r="P3133" t="str">
        <f t="shared" si="97"/>
        <v>Yes</v>
      </c>
    </row>
    <row r="3134" spans="1:16" x14ac:dyDescent="0.25">
      <c r="A3134" s="2" t="s">
        <v>8400</v>
      </c>
      <c r="B3134" s="4">
        <v>46257.078472222223</v>
      </c>
      <c r="C3134" s="2" t="s">
        <v>67</v>
      </c>
      <c r="D3134" s="2" t="s">
        <v>68</v>
      </c>
      <c r="E3134" s="2" t="s">
        <v>38</v>
      </c>
      <c r="F3134" s="2" t="s">
        <v>55</v>
      </c>
      <c r="G3134" s="2" t="s">
        <v>211</v>
      </c>
      <c r="H3134" s="2" t="s">
        <v>32</v>
      </c>
      <c r="I3134" s="2">
        <v>48</v>
      </c>
      <c r="J3134" s="2" t="s">
        <v>75</v>
      </c>
      <c r="K3134" s="4">
        <v>46258.570833333331</v>
      </c>
      <c r="L3134" s="2" t="s">
        <v>24</v>
      </c>
      <c r="M3134" s="2">
        <v>4</v>
      </c>
      <c r="N3134" t="s">
        <v>8588</v>
      </c>
      <c r="O3134" s="8">
        <f t="shared" si="96"/>
        <v>35.816666666592937</v>
      </c>
      <c r="P3134" t="str">
        <f t="shared" si="97"/>
        <v>N/A</v>
      </c>
    </row>
    <row r="3135" spans="1:16" x14ac:dyDescent="0.25">
      <c r="A3135" s="2" t="s">
        <v>8403</v>
      </c>
      <c r="B3135" s="4">
        <v>46199.990277777775</v>
      </c>
      <c r="C3135" s="2" t="s">
        <v>16</v>
      </c>
      <c r="D3135" s="2" t="s">
        <v>17</v>
      </c>
      <c r="E3135" s="2" t="s">
        <v>38</v>
      </c>
      <c r="F3135" s="2" t="s">
        <v>113</v>
      </c>
      <c r="G3135" s="2" t="s">
        <v>101</v>
      </c>
      <c r="H3135" s="2" t="s">
        <v>21</v>
      </c>
      <c r="I3135" s="2">
        <v>24</v>
      </c>
      <c r="J3135" s="2" t="s">
        <v>11</v>
      </c>
      <c r="K3135" s="4" t="s">
        <v>8590</v>
      </c>
      <c r="L3135" s="2" t="s">
        <v>92</v>
      </c>
      <c r="M3135" s="2"/>
      <c r="N3135" t="s">
        <v>8582</v>
      </c>
      <c r="O3135" s="8" t="str">
        <f t="shared" si="96"/>
        <v/>
      </c>
      <c r="P3135" t="str">
        <f t="shared" si="97"/>
        <v>N/A</v>
      </c>
    </row>
    <row r="3136" spans="1:16" x14ac:dyDescent="0.25">
      <c r="A3136" s="2" t="s">
        <v>8405</v>
      </c>
      <c r="B3136" s="4">
        <v>46148.059027777781</v>
      </c>
      <c r="C3136" s="2" t="s">
        <v>53</v>
      </c>
      <c r="D3136" s="2" t="s">
        <v>54</v>
      </c>
      <c r="E3136" s="2" t="s">
        <v>18</v>
      </c>
      <c r="F3136" s="2" t="s">
        <v>55</v>
      </c>
      <c r="G3136" s="2" t="s">
        <v>31</v>
      </c>
      <c r="H3136" s="2" t="s">
        <v>74</v>
      </c>
      <c r="I3136" s="2">
        <v>8</v>
      </c>
      <c r="J3136" s="2" t="s">
        <v>106</v>
      </c>
      <c r="K3136" s="4">
        <v>46148.515277777777</v>
      </c>
      <c r="L3136" s="2" t="s">
        <v>24</v>
      </c>
      <c r="M3136" s="2">
        <v>5</v>
      </c>
      <c r="N3136" t="s">
        <v>8586</v>
      </c>
      <c r="O3136" s="8">
        <f t="shared" si="96"/>
        <v>10.949999999895226</v>
      </c>
      <c r="P3136" t="str">
        <f t="shared" si="97"/>
        <v>No</v>
      </c>
    </row>
    <row r="3137" spans="1:16" x14ac:dyDescent="0.25">
      <c r="A3137" s="2" t="s">
        <v>8408</v>
      </c>
      <c r="B3137" s="4">
        <v>46078.24722222222</v>
      </c>
      <c r="C3137" s="2" t="s">
        <v>16</v>
      </c>
      <c r="D3137" s="2" t="s">
        <v>17</v>
      </c>
      <c r="E3137" s="2" t="s">
        <v>38</v>
      </c>
      <c r="F3137" s="2" t="s">
        <v>113</v>
      </c>
      <c r="G3137" s="2" t="s">
        <v>110</v>
      </c>
      <c r="H3137" s="2" t="s">
        <v>80</v>
      </c>
      <c r="I3137" s="2">
        <v>4</v>
      </c>
      <c r="J3137" s="2" t="s">
        <v>106</v>
      </c>
      <c r="K3137" s="4">
        <v>46078.334722222222</v>
      </c>
      <c r="L3137" s="2" t="s">
        <v>24</v>
      </c>
      <c r="M3137" s="2">
        <v>1</v>
      </c>
      <c r="N3137" t="s">
        <v>8584</v>
      </c>
      <c r="O3137" s="8">
        <f t="shared" si="96"/>
        <v>2.1000000000349246</v>
      </c>
      <c r="P3137" t="str">
        <f t="shared" si="97"/>
        <v>Yes</v>
      </c>
    </row>
    <row r="3138" spans="1:16" x14ac:dyDescent="0.25">
      <c r="A3138" s="2" t="s">
        <v>8411</v>
      </c>
      <c r="B3138" s="4">
        <v>46183.884027777778</v>
      </c>
      <c r="C3138" s="2" t="s">
        <v>67</v>
      </c>
      <c r="D3138" s="2" t="s">
        <v>68</v>
      </c>
      <c r="E3138" s="2" t="s">
        <v>85</v>
      </c>
      <c r="F3138" s="2" t="s">
        <v>30</v>
      </c>
      <c r="G3138" s="2" t="s">
        <v>183</v>
      </c>
      <c r="H3138" s="2" t="s">
        <v>74</v>
      </c>
      <c r="I3138" s="2">
        <v>8</v>
      </c>
      <c r="J3138" s="2" t="s">
        <v>11</v>
      </c>
      <c r="K3138" s="4" t="s">
        <v>8590</v>
      </c>
      <c r="L3138" s="2" t="s">
        <v>92</v>
      </c>
      <c r="M3138" s="2"/>
      <c r="N3138" t="s">
        <v>8583</v>
      </c>
      <c r="O3138" s="8" t="str">
        <f t="shared" si="96"/>
        <v/>
      </c>
      <c r="P3138" t="str">
        <f t="shared" si="97"/>
        <v>N/A</v>
      </c>
    </row>
    <row r="3139" spans="1:16" x14ac:dyDescent="0.25">
      <c r="A3139" s="2" t="s">
        <v>8413</v>
      </c>
      <c r="B3139" s="4">
        <v>46214.838194444441</v>
      </c>
      <c r="C3139" s="2" t="s">
        <v>16</v>
      </c>
      <c r="D3139" s="2" t="s">
        <v>84</v>
      </c>
      <c r="E3139" s="2" t="s">
        <v>46</v>
      </c>
      <c r="F3139" s="2" t="s">
        <v>113</v>
      </c>
      <c r="G3139" s="2" t="s">
        <v>110</v>
      </c>
      <c r="H3139" s="2" t="s">
        <v>21</v>
      </c>
      <c r="I3139" s="2">
        <v>24</v>
      </c>
      <c r="J3139" s="2" t="s">
        <v>287</v>
      </c>
      <c r="K3139" s="4" t="s">
        <v>8590</v>
      </c>
      <c r="L3139" s="2" t="s">
        <v>92</v>
      </c>
      <c r="M3139" s="2"/>
      <c r="N3139" t="s">
        <v>8581</v>
      </c>
      <c r="O3139" s="8" t="str">
        <f t="shared" ref="O3139:O3201" si="98">IF(K3139="","",IF(K3139="Missing Resolve Date","",(K3139-B3139)*24))</f>
        <v/>
      </c>
      <c r="P3139" t="str">
        <f t="shared" ref="P3139:P3201" si="99">IF(J3139="Resolved",IF(O3139&lt;=I3139,"Yes","No"),"N/A")</f>
        <v>N/A</v>
      </c>
    </row>
    <row r="3140" spans="1:16" x14ac:dyDescent="0.25">
      <c r="A3140" s="2" t="s">
        <v>8415</v>
      </c>
      <c r="B3140" s="4">
        <v>46113.9</v>
      </c>
      <c r="C3140" s="2" t="s">
        <v>28</v>
      </c>
      <c r="D3140" s="2" t="s">
        <v>37</v>
      </c>
      <c r="E3140" s="2" t="s">
        <v>90</v>
      </c>
      <c r="F3140" s="2" t="s">
        <v>55</v>
      </c>
      <c r="G3140" s="2" t="s">
        <v>179</v>
      </c>
      <c r="H3140" s="2" t="s">
        <v>21</v>
      </c>
      <c r="I3140" s="2">
        <v>24</v>
      </c>
      <c r="J3140" s="2" t="s">
        <v>106</v>
      </c>
      <c r="K3140" s="4">
        <v>46115.022916666669</v>
      </c>
      <c r="L3140" s="2" t="s">
        <v>24</v>
      </c>
      <c r="M3140" s="2"/>
      <c r="N3140" t="s">
        <v>8589</v>
      </c>
      <c r="O3140" s="8">
        <f t="shared" si="98"/>
        <v>26.950000000011642</v>
      </c>
      <c r="P3140" t="str">
        <f t="shared" si="99"/>
        <v>No</v>
      </c>
    </row>
    <row r="3141" spans="1:16" x14ac:dyDescent="0.25">
      <c r="A3141" s="2" t="s">
        <v>8417</v>
      </c>
      <c r="B3141" s="4">
        <v>46039.52847222222</v>
      </c>
      <c r="C3141" s="2" t="s">
        <v>28</v>
      </c>
      <c r="D3141" s="2" t="s">
        <v>100</v>
      </c>
      <c r="E3141" s="2" t="s">
        <v>18</v>
      </c>
      <c r="F3141" s="2" t="s">
        <v>96</v>
      </c>
      <c r="G3141" s="2" t="s">
        <v>31</v>
      </c>
      <c r="H3141" s="2" t="s">
        <v>32</v>
      </c>
      <c r="I3141" s="2">
        <v>48</v>
      </c>
      <c r="J3141" s="2" t="s">
        <v>106</v>
      </c>
      <c r="K3141" s="4">
        <v>46044.67291666667</v>
      </c>
      <c r="L3141" s="2" t="s">
        <v>24</v>
      </c>
      <c r="M3141" s="2">
        <v>2</v>
      </c>
      <c r="N3141" t="s">
        <v>8587</v>
      </c>
      <c r="O3141" s="8">
        <f t="shared" si="98"/>
        <v>123.46666666679084</v>
      </c>
      <c r="P3141" t="str">
        <f t="shared" si="99"/>
        <v>No</v>
      </c>
    </row>
    <row r="3142" spans="1:16" x14ac:dyDescent="0.25">
      <c r="A3142" s="2" t="s">
        <v>8420</v>
      </c>
      <c r="B3142" s="4">
        <v>46062.338194444441</v>
      </c>
      <c r="C3142" s="2" t="s">
        <v>16</v>
      </c>
      <c r="D3142" s="2" t="s">
        <v>17</v>
      </c>
      <c r="E3142" s="2" t="s">
        <v>38</v>
      </c>
      <c r="F3142" s="2" t="s">
        <v>113</v>
      </c>
      <c r="G3142" s="2" t="s">
        <v>31</v>
      </c>
      <c r="H3142" s="2" t="s">
        <v>32</v>
      </c>
      <c r="I3142" s="2">
        <v>48</v>
      </c>
      <c r="J3142" s="2" t="s">
        <v>106</v>
      </c>
      <c r="K3142" s="4">
        <v>46063.661805555559</v>
      </c>
      <c r="L3142" s="2" t="s">
        <v>24</v>
      </c>
      <c r="M3142" s="2">
        <v>4</v>
      </c>
      <c r="N3142" t="s">
        <v>8589</v>
      </c>
      <c r="O3142" s="8">
        <f t="shared" si="98"/>
        <v>31.766666666837409</v>
      </c>
      <c r="P3142" t="str">
        <f t="shared" si="99"/>
        <v>Yes</v>
      </c>
    </row>
    <row r="3143" spans="1:16" x14ac:dyDescent="0.25">
      <c r="A3143" s="2" t="s">
        <v>8423</v>
      </c>
      <c r="B3143" s="4">
        <v>46213.183333333334</v>
      </c>
      <c r="C3143" s="2" t="s">
        <v>53</v>
      </c>
      <c r="D3143" s="2" t="s">
        <v>61</v>
      </c>
      <c r="E3143" s="2" t="s">
        <v>18</v>
      </c>
      <c r="F3143" s="2" t="s">
        <v>30</v>
      </c>
      <c r="G3143" s="2" t="s">
        <v>183</v>
      </c>
      <c r="H3143" s="2" t="s">
        <v>32</v>
      </c>
      <c r="I3143" s="2">
        <v>48</v>
      </c>
      <c r="J3143" s="2" t="s">
        <v>287</v>
      </c>
      <c r="K3143" s="4" t="s">
        <v>8590</v>
      </c>
      <c r="L3143" s="2" t="s">
        <v>24</v>
      </c>
      <c r="M3143" s="2"/>
      <c r="N3143" t="s">
        <v>8589</v>
      </c>
      <c r="O3143" s="8" t="str">
        <f t="shared" si="98"/>
        <v/>
      </c>
      <c r="P3143" t="str">
        <f t="shared" si="99"/>
        <v>N/A</v>
      </c>
    </row>
    <row r="3144" spans="1:16" x14ac:dyDescent="0.25">
      <c r="A3144" s="2" t="s">
        <v>8425</v>
      </c>
      <c r="B3144" s="4">
        <v>46044.931944444441</v>
      </c>
      <c r="C3144" s="2" t="s">
        <v>28</v>
      </c>
      <c r="D3144" s="2" t="s">
        <v>37</v>
      </c>
      <c r="E3144" s="2" t="s">
        <v>148</v>
      </c>
      <c r="F3144" s="2" t="s">
        <v>113</v>
      </c>
      <c r="G3144" s="2" t="s">
        <v>110</v>
      </c>
      <c r="H3144" s="2" t="s">
        <v>32</v>
      </c>
      <c r="I3144" s="2">
        <v>48</v>
      </c>
      <c r="J3144" s="2" t="s">
        <v>8580</v>
      </c>
      <c r="K3144" s="4">
        <v>46045.365972222222</v>
      </c>
      <c r="L3144" s="2" t="s">
        <v>24</v>
      </c>
      <c r="M3144" s="2"/>
      <c r="N3144" t="s">
        <v>8587</v>
      </c>
      <c r="O3144" s="8">
        <f t="shared" si="98"/>
        <v>10.416666666744277</v>
      </c>
      <c r="P3144" t="str">
        <f t="shared" si="99"/>
        <v>N/A</v>
      </c>
    </row>
    <row r="3145" spans="1:16" x14ac:dyDescent="0.25">
      <c r="A3145" s="2" t="s">
        <v>8428</v>
      </c>
      <c r="B3145" s="4">
        <v>46169.38958333333</v>
      </c>
      <c r="C3145" s="2" t="s">
        <v>67</v>
      </c>
      <c r="D3145" s="2" t="s">
        <v>68</v>
      </c>
      <c r="E3145" s="2" t="s">
        <v>18</v>
      </c>
      <c r="F3145" s="2" t="s">
        <v>96</v>
      </c>
      <c r="G3145" s="2" t="s">
        <v>31</v>
      </c>
      <c r="H3145" s="2" t="s">
        <v>74</v>
      </c>
      <c r="I3145" s="2">
        <v>8</v>
      </c>
      <c r="J3145" s="2" t="s">
        <v>75</v>
      </c>
      <c r="K3145" s="4">
        <v>46169.481249999997</v>
      </c>
      <c r="L3145" s="2" t="s">
        <v>24</v>
      </c>
      <c r="M3145" s="2"/>
      <c r="N3145" t="s">
        <v>8588</v>
      </c>
      <c r="O3145" s="8">
        <f t="shared" si="98"/>
        <v>2.2000000000116415</v>
      </c>
      <c r="P3145" t="str">
        <f t="shared" si="99"/>
        <v>N/A</v>
      </c>
    </row>
    <row r="3146" spans="1:16" x14ac:dyDescent="0.25">
      <c r="A3146" s="2" t="s">
        <v>8430</v>
      </c>
      <c r="B3146" s="4">
        <v>46030.067361111112</v>
      </c>
      <c r="C3146" s="2" t="s">
        <v>28</v>
      </c>
      <c r="D3146" s="2" t="s">
        <v>100</v>
      </c>
      <c r="E3146" s="2" t="s">
        <v>90</v>
      </c>
      <c r="F3146" s="2" t="s">
        <v>113</v>
      </c>
      <c r="G3146" s="2" t="s">
        <v>110</v>
      </c>
      <c r="H3146" s="2" t="s">
        <v>80</v>
      </c>
      <c r="I3146" s="2">
        <v>4</v>
      </c>
      <c r="J3146" s="2" t="s">
        <v>11</v>
      </c>
      <c r="K3146" s="4" t="s">
        <v>8590</v>
      </c>
      <c r="L3146" s="2" t="s">
        <v>92</v>
      </c>
      <c r="M3146" s="2"/>
      <c r="N3146" t="s">
        <v>8584</v>
      </c>
      <c r="O3146" s="8" t="str">
        <f t="shared" si="98"/>
        <v/>
      </c>
      <c r="P3146" t="str">
        <f t="shared" si="99"/>
        <v>N/A</v>
      </c>
    </row>
    <row r="3147" spans="1:16" x14ac:dyDescent="0.25">
      <c r="A3147" s="2" t="s">
        <v>8432</v>
      </c>
      <c r="B3147" s="4">
        <v>46034.5</v>
      </c>
      <c r="C3147" s="2" t="s">
        <v>28</v>
      </c>
      <c r="D3147" s="2" t="s">
        <v>37</v>
      </c>
      <c r="E3147" s="2" t="s">
        <v>38</v>
      </c>
      <c r="F3147" s="2" t="s">
        <v>96</v>
      </c>
      <c r="G3147" s="2" t="s">
        <v>211</v>
      </c>
      <c r="H3147" s="2" t="s">
        <v>21</v>
      </c>
      <c r="I3147" s="2">
        <v>24</v>
      </c>
      <c r="J3147" s="2" t="s">
        <v>75</v>
      </c>
      <c r="K3147" s="4" t="s">
        <v>8590</v>
      </c>
      <c r="L3147" s="2" t="s">
        <v>24</v>
      </c>
      <c r="M3147" s="2">
        <v>4</v>
      </c>
      <c r="N3147" t="s">
        <v>8586</v>
      </c>
      <c r="O3147" s="8" t="str">
        <f t="shared" si="98"/>
        <v/>
      </c>
      <c r="P3147" t="str">
        <f t="shared" si="99"/>
        <v>N/A</v>
      </c>
    </row>
    <row r="3148" spans="1:16" x14ac:dyDescent="0.25">
      <c r="A3148" s="2" t="s">
        <v>8434</v>
      </c>
      <c r="B3148" s="4">
        <v>46044.352777777778</v>
      </c>
      <c r="C3148" s="2" t="s">
        <v>16</v>
      </c>
      <c r="D3148" s="2" t="s">
        <v>17</v>
      </c>
      <c r="E3148" s="2" t="s">
        <v>90</v>
      </c>
      <c r="F3148" s="2" t="s">
        <v>30</v>
      </c>
      <c r="G3148" s="2" t="s">
        <v>31</v>
      </c>
      <c r="H3148" s="2" t="s">
        <v>32</v>
      </c>
      <c r="I3148" s="2">
        <v>48</v>
      </c>
      <c r="J3148" s="2" t="s">
        <v>106</v>
      </c>
      <c r="K3148" s="4">
        <v>46045.85</v>
      </c>
      <c r="L3148" s="2" t="s">
        <v>24</v>
      </c>
      <c r="M3148" s="2">
        <v>5</v>
      </c>
      <c r="N3148" t="s">
        <v>8587</v>
      </c>
      <c r="O3148" s="8">
        <f t="shared" si="98"/>
        <v>35.933333333290648</v>
      </c>
      <c r="P3148" t="str">
        <f t="shared" si="99"/>
        <v>Yes</v>
      </c>
    </row>
    <row r="3149" spans="1:16" x14ac:dyDescent="0.25">
      <c r="A3149" s="2" t="s">
        <v>8437</v>
      </c>
      <c r="B3149" s="4">
        <v>46157.225694444445</v>
      </c>
      <c r="C3149" s="2" t="s">
        <v>28</v>
      </c>
      <c r="D3149" s="2" t="s">
        <v>37</v>
      </c>
      <c r="E3149" s="2" t="s">
        <v>38</v>
      </c>
      <c r="F3149" s="2" t="s">
        <v>30</v>
      </c>
      <c r="G3149" s="2" t="s">
        <v>179</v>
      </c>
      <c r="H3149" s="2" t="s">
        <v>32</v>
      </c>
      <c r="I3149" s="2">
        <v>48</v>
      </c>
      <c r="J3149" s="2" t="s">
        <v>75</v>
      </c>
      <c r="K3149" s="4" t="s">
        <v>8590</v>
      </c>
      <c r="L3149" s="2" t="s">
        <v>24</v>
      </c>
      <c r="M3149" s="2">
        <v>5</v>
      </c>
      <c r="N3149" t="s">
        <v>8584</v>
      </c>
      <c r="O3149" s="8" t="str">
        <f t="shared" si="98"/>
        <v/>
      </c>
      <c r="P3149" t="str">
        <f t="shared" si="99"/>
        <v>N/A</v>
      </c>
    </row>
    <row r="3150" spans="1:16" x14ac:dyDescent="0.25">
      <c r="A3150" s="2" t="s">
        <v>8439</v>
      </c>
      <c r="B3150" s="4">
        <v>46106.912499999999</v>
      </c>
      <c r="C3150" s="2" t="s">
        <v>53</v>
      </c>
      <c r="D3150" s="2" t="s">
        <v>61</v>
      </c>
      <c r="E3150" s="2" t="s">
        <v>18</v>
      </c>
      <c r="F3150" s="2" t="s">
        <v>55</v>
      </c>
      <c r="G3150" s="2" t="s">
        <v>101</v>
      </c>
      <c r="H3150" s="2" t="s">
        <v>21</v>
      </c>
      <c r="I3150" s="2">
        <v>24</v>
      </c>
      <c r="J3150" s="2" t="s">
        <v>149</v>
      </c>
      <c r="K3150" s="4" t="s">
        <v>8590</v>
      </c>
      <c r="L3150" s="2" t="s">
        <v>24</v>
      </c>
      <c r="M3150" s="2"/>
      <c r="N3150" t="s">
        <v>8588</v>
      </c>
      <c r="O3150" s="8" t="str">
        <f t="shared" si="98"/>
        <v/>
      </c>
      <c r="P3150" t="str">
        <f t="shared" si="99"/>
        <v>N/A</v>
      </c>
    </row>
    <row r="3151" spans="1:16" x14ac:dyDescent="0.25">
      <c r="A3151" s="2" t="s">
        <v>8441</v>
      </c>
      <c r="B3151" s="4">
        <v>46228.909722222219</v>
      </c>
      <c r="C3151" s="2" t="s">
        <v>67</v>
      </c>
      <c r="D3151" s="2" t="s">
        <v>95</v>
      </c>
      <c r="E3151" s="2" t="s">
        <v>38</v>
      </c>
      <c r="F3151" s="2" t="s">
        <v>96</v>
      </c>
      <c r="G3151" s="2" t="s">
        <v>101</v>
      </c>
      <c r="H3151" s="2" t="s">
        <v>21</v>
      </c>
      <c r="I3151" s="2">
        <v>24</v>
      </c>
      <c r="J3151" s="2" t="s">
        <v>106</v>
      </c>
      <c r="K3151" s="4">
        <v>46231.15625</v>
      </c>
      <c r="L3151" s="2" t="s">
        <v>92</v>
      </c>
      <c r="M3151" s="2">
        <v>4</v>
      </c>
      <c r="N3151" t="s">
        <v>8584</v>
      </c>
      <c r="O3151" s="8">
        <f t="shared" si="98"/>
        <v>53.916666666744277</v>
      </c>
      <c r="P3151" t="str">
        <f t="shared" si="99"/>
        <v>No</v>
      </c>
    </row>
    <row r="3152" spans="1:16" x14ac:dyDescent="0.25">
      <c r="A3152" s="2" t="s">
        <v>8444</v>
      </c>
      <c r="B3152" s="4">
        <v>46030.163888888892</v>
      </c>
      <c r="C3152" s="2" t="s">
        <v>53</v>
      </c>
      <c r="D3152" s="2" t="s">
        <v>54</v>
      </c>
      <c r="E3152" s="2" t="s">
        <v>90</v>
      </c>
      <c r="F3152" s="2" t="s">
        <v>30</v>
      </c>
      <c r="G3152" s="2" t="s">
        <v>211</v>
      </c>
      <c r="H3152" s="2" t="s">
        <v>80</v>
      </c>
      <c r="I3152" s="2">
        <v>4</v>
      </c>
      <c r="J3152" s="2" t="s">
        <v>106</v>
      </c>
      <c r="K3152" s="4">
        <v>46030.231944444444</v>
      </c>
      <c r="L3152" s="2" t="s">
        <v>24</v>
      </c>
      <c r="M3152" s="2">
        <v>1</v>
      </c>
      <c r="N3152" t="s">
        <v>8585</v>
      </c>
      <c r="O3152" s="8">
        <f t="shared" si="98"/>
        <v>1.6333333332440816</v>
      </c>
      <c r="P3152" t="str">
        <f t="shared" si="99"/>
        <v>Yes</v>
      </c>
    </row>
    <row r="3153" spans="1:16" x14ac:dyDescent="0.25">
      <c r="A3153" s="2" t="s">
        <v>8447</v>
      </c>
      <c r="B3153" s="4">
        <v>46223.4375</v>
      </c>
      <c r="C3153" s="2" t="s">
        <v>28</v>
      </c>
      <c r="D3153" s="2" t="s">
        <v>100</v>
      </c>
      <c r="E3153" s="2" t="s">
        <v>46</v>
      </c>
      <c r="F3153" s="2" t="s">
        <v>55</v>
      </c>
      <c r="G3153" s="2" t="s">
        <v>183</v>
      </c>
      <c r="H3153" s="2" t="s">
        <v>32</v>
      </c>
      <c r="I3153" s="2">
        <v>48</v>
      </c>
      <c r="J3153" s="2" t="s">
        <v>75</v>
      </c>
      <c r="K3153" s="4">
        <v>46224.090277777781</v>
      </c>
      <c r="L3153" s="2" t="s">
        <v>24</v>
      </c>
      <c r="M3153" s="2">
        <v>5</v>
      </c>
      <c r="N3153" t="s">
        <v>8589</v>
      </c>
      <c r="O3153" s="8">
        <f t="shared" si="98"/>
        <v>15.666666666744277</v>
      </c>
      <c r="P3153" t="str">
        <f t="shared" si="99"/>
        <v>N/A</v>
      </c>
    </row>
    <row r="3154" spans="1:16" x14ac:dyDescent="0.25">
      <c r="A3154" s="2" t="s">
        <v>8450</v>
      </c>
      <c r="B3154" s="4">
        <v>46196.314583333333</v>
      </c>
      <c r="C3154" s="2" t="s">
        <v>16</v>
      </c>
      <c r="D3154" s="2" t="s">
        <v>84</v>
      </c>
      <c r="E3154" s="2" t="s">
        <v>90</v>
      </c>
      <c r="F3154" s="2" t="s">
        <v>113</v>
      </c>
      <c r="G3154" s="2" t="s">
        <v>211</v>
      </c>
      <c r="H3154" s="2" t="s">
        <v>32</v>
      </c>
      <c r="I3154" s="2">
        <v>48</v>
      </c>
      <c r="J3154" s="2" t="s">
        <v>149</v>
      </c>
      <c r="K3154" s="4" t="s">
        <v>8590</v>
      </c>
      <c r="L3154" s="2" t="s">
        <v>24</v>
      </c>
      <c r="M3154" s="2"/>
      <c r="N3154" t="s">
        <v>8587</v>
      </c>
      <c r="O3154" s="8" t="str">
        <f t="shared" si="98"/>
        <v/>
      </c>
      <c r="P3154" t="str">
        <f t="shared" si="99"/>
        <v>N/A</v>
      </c>
    </row>
    <row r="3155" spans="1:16" x14ac:dyDescent="0.25">
      <c r="A3155" s="2" t="s">
        <v>8452</v>
      </c>
      <c r="B3155" s="4">
        <v>46174.73541666667</v>
      </c>
      <c r="C3155" s="2" t="s">
        <v>67</v>
      </c>
      <c r="D3155" s="2" t="s">
        <v>95</v>
      </c>
      <c r="E3155" s="2" t="s">
        <v>18</v>
      </c>
      <c r="F3155" s="2" t="s">
        <v>96</v>
      </c>
      <c r="G3155" s="2" t="s">
        <v>101</v>
      </c>
      <c r="H3155" s="2" t="s">
        <v>74</v>
      </c>
      <c r="I3155" s="2">
        <v>8</v>
      </c>
      <c r="J3155" s="2" t="s">
        <v>75</v>
      </c>
      <c r="K3155" s="4">
        <v>46174.782638888886</v>
      </c>
      <c r="L3155" s="2" t="s">
        <v>24</v>
      </c>
      <c r="M3155" s="2">
        <v>1</v>
      </c>
      <c r="N3155" t="s">
        <v>8582</v>
      </c>
      <c r="O3155" s="8">
        <f t="shared" si="98"/>
        <v>1.1333333331858739</v>
      </c>
      <c r="P3155" t="str">
        <f t="shared" si="99"/>
        <v>N/A</v>
      </c>
    </row>
    <row r="3156" spans="1:16" x14ac:dyDescent="0.25">
      <c r="A3156" s="2" t="s">
        <v>8455</v>
      </c>
      <c r="B3156" s="4">
        <v>46251.118055555555</v>
      </c>
      <c r="C3156" s="2" t="s">
        <v>53</v>
      </c>
      <c r="D3156" s="2" t="s">
        <v>54</v>
      </c>
      <c r="E3156" s="2" t="s">
        <v>85</v>
      </c>
      <c r="F3156" s="2" t="s">
        <v>30</v>
      </c>
      <c r="G3156" s="2" t="s">
        <v>31</v>
      </c>
      <c r="H3156" s="2" t="s">
        <v>32</v>
      </c>
      <c r="I3156" s="2">
        <v>48</v>
      </c>
      <c r="J3156" s="2" t="s">
        <v>149</v>
      </c>
      <c r="K3156" s="4" t="s">
        <v>8590</v>
      </c>
      <c r="L3156" s="2" t="s">
        <v>24</v>
      </c>
      <c r="M3156" s="2"/>
      <c r="N3156" t="s">
        <v>8582</v>
      </c>
      <c r="O3156" s="8" t="str">
        <f t="shared" si="98"/>
        <v/>
      </c>
      <c r="P3156" t="str">
        <f t="shared" si="99"/>
        <v>N/A</v>
      </c>
    </row>
    <row r="3157" spans="1:16" x14ac:dyDescent="0.25">
      <c r="A3157" s="2" t="s">
        <v>8457</v>
      </c>
      <c r="B3157" s="4">
        <v>46066.856249999997</v>
      </c>
      <c r="C3157" s="2" t="s">
        <v>53</v>
      </c>
      <c r="D3157" s="2" t="s">
        <v>61</v>
      </c>
      <c r="E3157" s="2" t="s">
        <v>38</v>
      </c>
      <c r="F3157" s="2" t="s">
        <v>96</v>
      </c>
      <c r="G3157" s="2" t="s">
        <v>101</v>
      </c>
      <c r="H3157" s="2" t="s">
        <v>74</v>
      </c>
      <c r="I3157" s="2">
        <v>8</v>
      </c>
      <c r="J3157" s="2" t="s">
        <v>106</v>
      </c>
      <c r="K3157" s="4">
        <v>46067.147916666669</v>
      </c>
      <c r="L3157" s="2" t="s">
        <v>24</v>
      </c>
      <c r="M3157" s="2"/>
      <c r="N3157" t="s">
        <v>8581</v>
      </c>
      <c r="O3157" s="8">
        <f t="shared" si="98"/>
        <v>7.0000000001164153</v>
      </c>
      <c r="P3157" t="str">
        <f t="shared" si="99"/>
        <v>Yes</v>
      </c>
    </row>
    <row r="3158" spans="1:16" x14ac:dyDescent="0.25">
      <c r="A3158" s="2" t="s">
        <v>8460</v>
      </c>
      <c r="B3158" s="4">
        <v>46207.088194444441</v>
      </c>
      <c r="C3158" s="2" t="s">
        <v>16</v>
      </c>
      <c r="D3158" s="2" t="s">
        <v>84</v>
      </c>
      <c r="E3158" s="2" t="s">
        <v>18</v>
      </c>
      <c r="F3158" s="2" t="s">
        <v>55</v>
      </c>
      <c r="G3158" s="2" t="s">
        <v>179</v>
      </c>
      <c r="H3158" s="2" t="s">
        <v>32</v>
      </c>
      <c r="I3158" s="2">
        <v>48</v>
      </c>
      <c r="J3158" s="2" t="s">
        <v>11</v>
      </c>
      <c r="K3158" s="4" t="s">
        <v>8590</v>
      </c>
      <c r="L3158" s="2" t="s">
        <v>92</v>
      </c>
      <c r="M3158" s="2"/>
      <c r="N3158" t="s">
        <v>8589</v>
      </c>
      <c r="O3158" s="8" t="str">
        <f t="shared" si="98"/>
        <v/>
      </c>
      <c r="P3158" t="str">
        <f t="shared" si="99"/>
        <v>N/A</v>
      </c>
    </row>
    <row r="3159" spans="1:16" x14ac:dyDescent="0.25">
      <c r="A3159" s="2" t="s">
        <v>8462</v>
      </c>
      <c r="B3159" s="4">
        <v>46215.84652777778</v>
      </c>
      <c r="C3159" s="2" t="s">
        <v>28</v>
      </c>
      <c r="D3159" s="2" t="s">
        <v>37</v>
      </c>
      <c r="E3159" s="2" t="s">
        <v>85</v>
      </c>
      <c r="F3159" s="2" t="s">
        <v>113</v>
      </c>
      <c r="G3159" s="2" t="s">
        <v>179</v>
      </c>
      <c r="H3159" s="2" t="s">
        <v>80</v>
      </c>
      <c r="I3159" s="2">
        <v>4</v>
      </c>
      <c r="J3159" s="2" t="s">
        <v>11</v>
      </c>
      <c r="K3159" s="4" t="s">
        <v>8590</v>
      </c>
      <c r="L3159" s="2" t="s">
        <v>92</v>
      </c>
      <c r="M3159" s="2"/>
      <c r="N3159" t="s">
        <v>8589</v>
      </c>
      <c r="O3159" s="8" t="str">
        <f t="shared" si="98"/>
        <v/>
      </c>
      <c r="P3159" t="str">
        <f t="shared" si="99"/>
        <v>N/A</v>
      </c>
    </row>
    <row r="3160" spans="1:16" x14ac:dyDescent="0.25">
      <c r="A3160" s="2" t="s">
        <v>8464</v>
      </c>
      <c r="B3160" s="4">
        <v>46089.32708333333</v>
      </c>
      <c r="C3160" s="2" t="s">
        <v>53</v>
      </c>
      <c r="D3160" s="2" t="s">
        <v>54</v>
      </c>
      <c r="E3160" s="2" t="s">
        <v>18</v>
      </c>
      <c r="F3160" s="2" t="s">
        <v>96</v>
      </c>
      <c r="G3160" s="2" t="s">
        <v>211</v>
      </c>
      <c r="H3160" s="2" t="s">
        <v>32</v>
      </c>
      <c r="I3160" s="2">
        <v>48</v>
      </c>
      <c r="J3160" s="2" t="s">
        <v>11</v>
      </c>
      <c r="K3160" s="4" t="s">
        <v>8590</v>
      </c>
      <c r="L3160" s="2" t="s">
        <v>92</v>
      </c>
      <c r="M3160" s="2"/>
      <c r="N3160" t="s">
        <v>8582</v>
      </c>
      <c r="O3160" s="8" t="str">
        <f t="shared" si="98"/>
        <v/>
      </c>
      <c r="P3160" t="str">
        <f t="shared" si="99"/>
        <v>N/A</v>
      </c>
    </row>
    <row r="3161" spans="1:16" x14ac:dyDescent="0.25">
      <c r="A3161" s="2" t="s">
        <v>8466</v>
      </c>
      <c r="B3161" s="4">
        <v>46219.231944444444</v>
      </c>
      <c r="C3161" s="2" t="s">
        <v>53</v>
      </c>
      <c r="D3161" s="2" t="s">
        <v>61</v>
      </c>
      <c r="E3161" s="2" t="s">
        <v>79</v>
      </c>
      <c r="F3161" s="2" t="s">
        <v>113</v>
      </c>
      <c r="G3161" s="2" t="s">
        <v>179</v>
      </c>
      <c r="H3161" s="2" t="s">
        <v>21</v>
      </c>
      <c r="I3161" s="2">
        <v>24</v>
      </c>
      <c r="J3161" s="2" t="s">
        <v>75</v>
      </c>
      <c r="K3161" s="4">
        <v>46220.102777777778</v>
      </c>
      <c r="L3161" s="2" t="s">
        <v>24</v>
      </c>
      <c r="M3161" s="2"/>
      <c r="N3161" t="s">
        <v>8583</v>
      </c>
      <c r="O3161" s="8">
        <f t="shared" si="98"/>
        <v>20.900000000023283</v>
      </c>
      <c r="P3161" t="str">
        <f t="shared" si="99"/>
        <v>N/A</v>
      </c>
    </row>
    <row r="3162" spans="1:16" x14ac:dyDescent="0.25">
      <c r="A3162" s="2" t="s">
        <v>8469</v>
      </c>
      <c r="B3162" s="4">
        <v>46208.418055555558</v>
      </c>
      <c r="C3162" s="2" t="s">
        <v>28</v>
      </c>
      <c r="D3162" s="2" t="s">
        <v>37</v>
      </c>
      <c r="E3162" s="2" t="s">
        <v>85</v>
      </c>
      <c r="F3162" s="2" t="s">
        <v>96</v>
      </c>
      <c r="G3162" s="2" t="s">
        <v>101</v>
      </c>
      <c r="H3162" s="2" t="s">
        <v>74</v>
      </c>
      <c r="I3162" s="2">
        <v>8</v>
      </c>
      <c r="J3162" s="2" t="s">
        <v>287</v>
      </c>
      <c r="K3162" s="4" t="s">
        <v>8590</v>
      </c>
      <c r="L3162" s="2" t="s">
        <v>24</v>
      </c>
      <c r="M3162" s="2"/>
      <c r="N3162" t="s">
        <v>8582</v>
      </c>
      <c r="O3162" s="8" t="str">
        <f t="shared" si="98"/>
        <v/>
      </c>
      <c r="P3162" t="str">
        <f t="shared" si="99"/>
        <v>N/A</v>
      </c>
    </row>
    <row r="3163" spans="1:16" x14ac:dyDescent="0.25">
      <c r="A3163" s="2" t="s">
        <v>8471</v>
      </c>
      <c r="B3163" s="4">
        <v>46140.605555555558</v>
      </c>
      <c r="C3163" s="2" t="s">
        <v>67</v>
      </c>
      <c r="D3163" s="2" t="s">
        <v>68</v>
      </c>
      <c r="E3163" s="2" t="s">
        <v>90</v>
      </c>
      <c r="F3163" s="2" t="s">
        <v>55</v>
      </c>
      <c r="G3163" s="2" t="s">
        <v>110</v>
      </c>
      <c r="H3163" s="2" t="s">
        <v>21</v>
      </c>
      <c r="I3163" s="2">
        <v>24</v>
      </c>
      <c r="J3163" s="2" t="s">
        <v>106</v>
      </c>
      <c r="K3163" s="4">
        <v>46141.313888888886</v>
      </c>
      <c r="L3163" s="2" t="s">
        <v>24</v>
      </c>
      <c r="M3163" s="2">
        <v>3</v>
      </c>
      <c r="N3163" t="s">
        <v>8585</v>
      </c>
      <c r="O3163" s="8">
        <f t="shared" si="98"/>
        <v>16.999999999883585</v>
      </c>
      <c r="P3163" t="str">
        <f t="shared" si="99"/>
        <v>Yes</v>
      </c>
    </row>
    <row r="3164" spans="1:16" x14ac:dyDescent="0.25">
      <c r="A3164" s="2" t="s">
        <v>8474</v>
      </c>
      <c r="B3164" s="4">
        <v>46055.359027777777</v>
      </c>
      <c r="C3164" s="2" t="s">
        <v>28</v>
      </c>
      <c r="D3164" s="2" t="s">
        <v>100</v>
      </c>
      <c r="E3164" s="2" t="s">
        <v>38</v>
      </c>
      <c r="F3164" s="2" t="s">
        <v>55</v>
      </c>
      <c r="G3164" s="2" t="s">
        <v>31</v>
      </c>
      <c r="H3164" s="2" t="s">
        <v>32</v>
      </c>
      <c r="I3164" s="2">
        <v>48</v>
      </c>
      <c r="J3164" s="2" t="s">
        <v>106</v>
      </c>
      <c r="K3164" s="4">
        <v>46056.092361111114</v>
      </c>
      <c r="L3164" s="2" t="s">
        <v>24</v>
      </c>
      <c r="M3164" s="2"/>
      <c r="N3164" t="s">
        <v>8582</v>
      </c>
      <c r="O3164" s="8">
        <f t="shared" si="98"/>
        <v>17.600000000093132</v>
      </c>
      <c r="P3164" t="str">
        <f t="shared" si="99"/>
        <v>Yes</v>
      </c>
    </row>
    <row r="3165" spans="1:16" x14ac:dyDescent="0.25">
      <c r="A3165" s="2" t="s">
        <v>8477</v>
      </c>
      <c r="B3165" s="4">
        <v>46028.146527777775</v>
      </c>
      <c r="C3165" s="2" t="s">
        <v>28</v>
      </c>
      <c r="D3165" s="2" t="s">
        <v>37</v>
      </c>
      <c r="E3165" s="2" t="s">
        <v>38</v>
      </c>
      <c r="F3165" s="2" t="s">
        <v>55</v>
      </c>
      <c r="G3165" s="2" t="s">
        <v>179</v>
      </c>
      <c r="H3165" s="2" t="s">
        <v>80</v>
      </c>
      <c r="I3165" s="2">
        <v>4</v>
      </c>
      <c r="J3165" s="2" t="s">
        <v>106</v>
      </c>
      <c r="K3165" s="4">
        <v>46028.25277777778</v>
      </c>
      <c r="L3165" s="2" t="s">
        <v>24</v>
      </c>
      <c r="M3165" s="2">
        <v>2</v>
      </c>
      <c r="N3165" t="s">
        <v>8589</v>
      </c>
      <c r="O3165" s="8">
        <f t="shared" si="98"/>
        <v>2.5500000001047738</v>
      </c>
      <c r="P3165" t="str">
        <f t="shared" si="99"/>
        <v>Yes</v>
      </c>
    </row>
    <row r="3166" spans="1:16" x14ac:dyDescent="0.25">
      <c r="A3166" s="2" t="s">
        <v>8480</v>
      </c>
      <c r="B3166" s="4">
        <v>46070.990277777775</v>
      </c>
      <c r="C3166" s="2" t="s">
        <v>53</v>
      </c>
      <c r="D3166" s="2" t="s">
        <v>54</v>
      </c>
      <c r="E3166" s="2" t="s">
        <v>18</v>
      </c>
      <c r="F3166" s="2" t="s">
        <v>30</v>
      </c>
      <c r="G3166" s="2" t="s">
        <v>101</v>
      </c>
      <c r="H3166" s="2" t="s">
        <v>74</v>
      </c>
      <c r="I3166" s="2">
        <v>8</v>
      </c>
      <c r="J3166" s="2" t="s">
        <v>75</v>
      </c>
      <c r="K3166" s="4">
        <v>46071.720833333333</v>
      </c>
      <c r="L3166" s="2" t="s">
        <v>24</v>
      </c>
      <c r="M3166" s="2">
        <v>4</v>
      </c>
      <c r="N3166" t="s">
        <v>8586</v>
      </c>
      <c r="O3166" s="8">
        <f t="shared" si="98"/>
        <v>17.53333333338378</v>
      </c>
      <c r="P3166" t="str">
        <f t="shared" si="99"/>
        <v>N/A</v>
      </c>
    </row>
    <row r="3167" spans="1:16" x14ac:dyDescent="0.25">
      <c r="A3167" s="2" t="s">
        <v>8483</v>
      </c>
      <c r="B3167" s="4">
        <v>46212.688194444447</v>
      </c>
      <c r="C3167" s="2" t="s">
        <v>28</v>
      </c>
      <c r="D3167" s="2" t="s">
        <v>100</v>
      </c>
      <c r="E3167" s="2" t="s">
        <v>38</v>
      </c>
      <c r="F3167" s="2" t="s">
        <v>30</v>
      </c>
      <c r="G3167" s="2" t="s">
        <v>183</v>
      </c>
      <c r="H3167" s="2" t="s">
        <v>74</v>
      </c>
      <c r="I3167" s="2">
        <v>8</v>
      </c>
      <c r="J3167" s="2" t="s">
        <v>106</v>
      </c>
      <c r="K3167" s="4">
        <v>46213.066666666666</v>
      </c>
      <c r="L3167" s="2" t="s">
        <v>24</v>
      </c>
      <c r="M3167" s="2">
        <v>4</v>
      </c>
      <c r="N3167" t="s">
        <v>8584</v>
      </c>
      <c r="O3167" s="8">
        <f t="shared" si="98"/>
        <v>9.0833333332557231</v>
      </c>
      <c r="P3167" t="str">
        <f t="shared" si="99"/>
        <v>No</v>
      </c>
    </row>
    <row r="3168" spans="1:16" x14ac:dyDescent="0.25">
      <c r="A3168" s="2" t="s">
        <v>8486</v>
      </c>
      <c r="B3168" s="4">
        <v>46170.893055555556</v>
      </c>
      <c r="C3168" s="2" t="s">
        <v>67</v>
      </c>
      <c r="D3168" s="2" t="s">
        <v>68</v>
      </c>
      <c r="E3168" s="2" t="s">
        <v>85</v>
      </c>
      <c r="F3168" s="2" t="s">
        <v>30</v>
      </c>
      <c r="G3168" s="2" t="s">
        <v>110</v>
      </c>
      <c r="H3168" s="2" t="s">
        <v>32</v>
      </c>
      <c r="I3168" s="2">
        <v>48</v>
      </c>
      <c r="J3168" s="2" t="s">
        <v>75</v>
      </c>
      <c r="K3168" s="4">
        <v>46171.083333333336</v>
      </c>
      <c r="L3168" s="2" t="s">
        <v>24</v>
      </c>
      <c r="M3168" s="2">
        <v>5</v>
      </c>
      <c r="N3168" t="s">
        <v>8581</v>
      </c>
      <c r="O3168" s="8">
        <f t="shared" si="98"/>
        <v>4.5666666667093523</v>
      </c>
      <c r="P3168" t="str">
        <f t="shared" si="99"/>
        <v>N/A</v>
      </c>
    </row>
    <row r="3169" spans="1:16" x14ac:dyDescent="0.25">
      <c r="A3169" s="2" t="s">
        <v>8489</v>
      </c>
      <c r="B3169" s="4">
        <v>46139.131944444445</v>
      </c>
      <c r="C3169" s="2" t="s">
        <v>53</v>
      </c>
      <c r="D3169" s="2" t="s">
        <v>61</v>
      </c>
      <c r="E3169" s="2" t="s">
        <v>38</v>
      </c>
      <c r="F3169" s="2" t="s">
        <v>55</v>
      </c>
      <c r="G3169" s="2" t="s">
        <v>183</v>
      </c>
      <c r="H3169" s="2" t="s">
        <v>74</v>
      </c>
      <c r="I3169" s="2">
        <v>8</v>
      </c>
      <c r="J3169" s="2" t="s">
        <v>149</v>
      </c>
      <c r="K3169" s="4" t="s">
        <v>8590</v>
      </c>
      <c r="L3169" s="2" t="s">
        <v>24</v>
      </c>
      <c r="M3169" s="2"/>
      <c r="N3169" t="s">
        <v>8582</v>
      </c>
      <c r="O3169" s="8" t="str">
        <f t="shared" si="98"/>
        <v/>
      </c>
      <c r="P3169" t="str">
        <f t="shared" si="99"/>
        <v>N/A</v>
      </c>
    </row>
    <row r="3170" spans="1:16" x14ac:dyDescent="0.25">
      <c r="A3170" s="2" t="s">
        <v>8491</v>
      </c>
      <c r="B3170" s="4">
        <v>46090.093055555553</v>
      </c>
      <c r="C3170" s="2" t="s">
        <v>53</v>
      </c>
      <c r="D3170" s="2" t="s">
        <v>54</v>
      </c>
      <c r="E3170" s="2" t="s">
        <v>18</v>
      </c>
      <c r="F3170" s="2" t="s">
        <v>30</v>
      </c>
      <c r="G3170" s="2" t="s">
        <v>101</v>
      </c>
      <c r="H3170" s="2" t="s">
        <v>32</v>
      </c>
      <c r="I3170" s="2">
        <v>48</v>
      </c>
      <c r="J3170" s="2" t="s">
        <v>75</v>
      </c>
      <c r="K3170" s="4">
        <v>46093.060416666667</v>
      </c>
      <c r="L3170" s="2" t="s">
        <v>24</v>
      </c>
      <c r="M3170" s="2">
        <v>4</v>
      </c>
      <c r="N3170" t="s">
        <v>8588</v>
      </c>
      <c r="O3170" s="8">
        <f t="shared" si="98"/>
        <v>71.216666666732635</v>
      </c>
      <c r="P3170" t="str">
        <f t="shared" si="99"/>
        <v>N/A</v>
      </c>
    </row>
    <row r="3171" spans="1:16" x14ac:dyDescent="0.25">
      <c r="A3171" s="2" t="s">
        <v>8494</v>
      </c>
      <c r="B3171" s="4">
        <v>46100.189583333333</v>
      </c>
      <c r="C3171" s="2" t="s">
        <v>67</v>
      </c>
      <c r="D3171" s="2" t="s">
        <v>68</v>
      </c>
      <c r="E3171" s="2" t="s">
        <v>148</v>
      </c>
      <c r="F3171" s="2" t="s">
        <v>96</v>
      </c>
      <c r="G3171" s="2" t="s">
        <v>31</v>
      </c>
      <c r="H3171" s="2" t="s">
        <v>21</v>
      </c>
      <c r="I3171" s="2">
        <v>24</v>
      </c>
      <c r="J3171" s="2" t="s">
        <v>106</v>
      </c>
      <c r="K3171" s="4">
        <v>46100.279861111114</v>
      </c>
      <c r="L3171" s="2" t="s">
        <v>24</v>
      </c>
      <c r="M3171" s="2">
        <v>4</v>
      </c>
      <c r="N3171" t="s">
        <v>8582</v>
      </c>
      <c r="O3171" s="8">
        <f t="shared" si="98"/>
        <v>2.1666666667442769</v>
      </c>
      <c r="P3171" t="str">
        <f t="shared" si="99"/>
        <v>Yes</v>
      </c>
    </row>
    <row r="3172" spans="1:16" x14ac:dyDescent="0.25">
      <c r="A3172" s="2" t="s">
        <v>8497</v>
      </c>
      <c r="B3172" s="4">
        <v>46106.511111111111</v>
      </c>
      <c r="C3172" s="2" t="s">
        <v>16</v>
      </c>
      <c r="D3172" s="2" t="s">
        <v>84</v>
      </c>
      <c r="E3172" s="2" t="s">
        <v>79</v>
      </c>
      <c r="F3172" s="2" t="s">
        <v>30</v>
      </c>
      <c r="G3172" s="2" t="s">
        <v>183</v>
      </c>
      <c r="H3172" s="2" t="s">
        <v>74</v>
      </c>
      <c r="I3172" s="2">
        <v>8</v>
      </c>
      <c r="J3172" s="2" t="s">
        <v>106</v>
      </c>
      <c r="K3172" s="4">
        <v>46106.956250000003</v>
      </c>
      <c r="L3172" s="2" t="s">
        <v>24</v>
      </c>
      <c r="M3172" s="2">
        <v>1</v>
      </c>
      <c r="N3172" t="s">
        <v>8589</v>
      </c>
      <c r="O3172" s="8">
        <f t="shared" si="98"/>
        <v>10.683333333407063</v>
      </c>
      <c r="P3172" t="str">
        <f t="shared" si="99"/>
        <v>No</v>
      </c>
    </row>
    <row r="3173" spans="1:16" x14ac:dyDescent="0.25">
      <c r="A3173" s="2" t="s">
        <v>8500</v>
      </c>
      <c r="B3173" s="4">
        <v>46249.01458333333</v>
      </c>
      <c r="C3173" s="2" t="s">
        <v>67</v>
      </c>
      <c r="D3173" s="2" t="s">
        <v>68</v>
      </c>
      <c r="E3173" s="2" t="s">
        <v>85</v>
      </c>
      <c r="F3173" s="2" t="s">
        <v>96</v>
      </c>
      <c r="G3173" s="2" t="s">
        <v>110</v>
      </c>
      <c r="H3173" s="2" t="s">
        <v>80</v>
      </c>
      <c r="I3173" s="2">
        <v>4</v>
      </c>
      <c r="J3173" s="2" t="s">
        <v>75</v>
      </c>
      <c r="K3173" s="4">
        <v>46249.04791666667</v>
      </c>
      <c r="L3173" s="2" t="s">
        <v>24</v>
      </c>
      <c r="M3173" s="2">
        <v>1</v>
      </c>
      <c r="N3173" t="s">
        <v>8585</v>
      </c>
      <c r="O3173" s="8">
        <f t="shared" si="98"/>
        <v>0.80000000016298145</v>
      </c>
      <c r="P3173" t="str">
        <f t="shared" si="99"/>
        <v>N/A</v>
      </c>
    </row>
    <row r="3174" spans="1:16" x14ac:dyDescent="0.25">
      <c r="A3174" s="2" t="s">
        <v>8503</v>
      </c>
      <c r="B3174" s="4">
        <v>46209.62222222222</v>
      </c>
      <c r="C3174" s="2" t="s">
        <v>16</v>
      </c>
      <c r="D3174" s="2" t="s">
        <v>17</v>
      </c>
      <c r="E3174" s="2" t="s">
        <v>18</v>
      </c>
      <c r="F3174" s="2" t="s">
        <v>30</v>
      </c>
      <c r="G3174" s="2" t="s">
        <v>101</v>
      </c>
      <c r="H3174" s="2" t="s">
        <v>21</v>
      </c>
      <c r="I3174" s="2">
        <v>24</v>
      </c>
      <c r="J3174" s="2" t="s">
        <v>106</v>
      </c>
      <c r="K3174" s="4">
        <v>46212.442361111112</v>
      </c>
      <c r="L3174" s="2" t="s">
        <v>24</v>
      </c>
      <c r="M3174" s="2">
        <v>5</v>
      </c>
      <c r="N3174" t="s">
        <v>8588</v>
      </c>
      <c r="O3174" s="8">
        <f t="shared" si="98"/>
        <v>67.683333333407063</v>
      </c>
      <c r="P3174" t="str">
        <f t="shared" si="99"/>
        <v>No</v>
      </c>
    </row>
    <row r="3175" spans="1:16" x14ac:dyDescent="0.25">
      <c r="A3175" s="2" t="s">
        <v>8506</v>
      </c>
      <c r="B3175" s="4">
        <v>46183.163194444445</v>
      </c>
      <c r="C3175" s="2" t="s">
        <v>67</v>
      </c>
      <c r="D3175" s="2" t="s">
        <v>68</v>
      </c>
      <c r="E3175" s="2" t="s">
        <v>148</v>
      </c>
      <c r="F3175" s="2" t="s">
        <v>113</v>
      </c>
      <c r="G3175" s="2" t="s">
        <v>31</v>
      </c>
      <c r="H3175" s="2" t="s">
        <v>80</v>
      </c>
      <c r="I3175" s="2">
        <v>4</v>
      </c>
      <c r="J3175" s="2" t="s">
        <v>75</v>
      </c>
      <c r="K3175" s="4">
        <v>46183.287499999999</v>
      </c>
      <c r="L3175" s="2" t="s">
        <v>24</v>
      </c>
      <c r="M3175" s="2"/>
      <c r="N3175" t="s">
        <v>8581</v>
      </c>
      <c r="O3175" s="8">
        <f t="shared" si="98"/>
        <v>2.9833333332790062</v>
      </c>
      <c r="P3175" t="str">
        <f t="shared" si="99"/>
        <v>N/A</v>
      </c>
    </row>
    <row r="3176" spans="1:16" x14ac:dyDescent="0.25">
      <c r="A3176" s="2" t="s">
        <v>8509</v>
      </c>
      <c r="B3176" s="4">
        <v>46109.8</v>
      </c>
      <c r="C3176" s="2" t="s">
        <v>53</v>
      </c>
      <c r="D3176" s="2" t="s">
        <v>54</v>
      </c>
      <c r="E3176" s="2" t="s">
        <v>148</v>
      </c>
      <c r="F3176" s="2" t="s">
        <v>96</v>
      </c>
      <c r="G3176" s="2" t="s">
        <v>101</v>
      </c>
      <c r="H3176" s="2" t="s">
        <v>74</v>
      </c>
      <c r="I3176" s="2">
        <v>8</v>
      </c>
      <c r="J3176" s="2" t="s">
        <v>149</v>
      </c>
      <c r="K3176" s="4" t="s">
        <v>8590</v>
      </c>
      <c r="L3176" s="2" t="s">
        <v>24</v>
      </c>
      <c r="M3176" s="2"/>
      <c r="N3176" t="s">
        <v>8582</v>
      </c>
      <c r="O3176" s="8" t="str">
        <f t="shared" si="98"/>
        <v/>
      </c>
      <c r="P3176" t="str">
        <f t="shared" si="99"/>
        <v>N/A</v>
      </c>
    </row>
    <row r="3177" spans="1:16" x14ac:dyDescent="0.25">
      <c r="A3177" s="2" t="s">
        <v>8511</v>
      </c>
      <c r="B3177" s="4">
        <v>46090.129166666666</v>
      </c>
      <c r="C3177" s="2" t="s">
        <v>53</v>
      </c>
      <c r="D3177" s="2" t="s">
        <v>61</v>
      </c>
      <c r="E3177" s="2" t="s">
        <v>85</v>
      </c>
      <c r="F3177" s="2" t="s">
        <v>30</v>
      </c>
      <c r="G3177" s="2" t="s">
        <v>31</v>
      </c>
      <c r="H3177" s="2" t="s">
        <v>74</v>
      </c>
      <c r="I3177" s="2">
        <v>8</v>
      </c>
      <c r="J3177" s="2" t="s">
        <v>106</v>
      </c>
      <c r="K3177" s="4">
        <v>46090.236111111109</v>
      </c>
      <c r="L3177" s="2" t="s">
        <v>24</v>
      </c>
      <c r="M3177" s="2">
        <v>4</v>
      </c>
      <c r="N3177" t="s">
        <v>8589</v>
      </c>
      <c r="O3177" s="8">
        <f t="shared" si="98"/>
        <v>2.5666666666511446</v>
      </c>
      <c r="P3177" t="str">
        <f t="shared" si="99"/>
        <v>Yes</v>
      </c>
    </row>
    <row r="3178" spans="1:16" x14ac:dyDescent="0.25">
      <c r="A3178" s="2" t="s">
        <v>8514</v>
      </c>
      <c r="B3178" s="4">
        <v>46200.535416666666</v>
      </c>
      <c r="C3178" s="2" t="s">
        <v>53</v>
      </c>
      <c r="D3178" s="2" t="s">
        <v>54</v>
      </c>
      <c r="E3178" s="2" t="s">
        <v>79</v>
      </c>
      <c r="F3178" s="2" t="s">
        <v>113</v>
      </c>
      <c r="G3178" s="2" t="s">
        <v>183</v>
      </c>
      <c r="H3178" s="2" t="s">
        <v>74</v>
      </c>
      <c r="I3178" s="2">
        <v>8</v>
      </c>
      <c r="J3178" s="2" t="s">
        <v>106</v>
      </c>
      <c r="K3178" s="4">
        <v>46200.592361111114</v>
      </c>
      <c r="L3178" s="2" t="s">
        <v>24</v>
      </c>
      <c r="M3178" s="2">
        <v>1</v>
      </c>
      <c r="N3178" t="s">
        <v>8588</v>
      </c>
      <c r="O3178" s="8">
        <f t="shared" si="98"/>
        <v>1.3666666667559184</v>
      </c>
      <c r="P3178" t="str">
        <f t="shared" si="99"/>
        <v>Yes</v>
      </c>
    </row>
    <row r="3179" spans="1:16" x14ac:dyDescent="0.25">
      <c r="A3179" s="2" t="s">
        <v>8517</v>
      </c>
      <c r="B3179" s="4">
        <v>46251.850694444445</v>
      </c>
      <c r="C3179" s="2" t="s">
        <v>53</v>
      </c>
      <c r="D3179" s="2" t="s">
        <v>54</v>
      </c>
      <c r="E3179" s="2" t="s">
        <v>79</v>
      </c>
      <c r="F3179" s="2" t="s">
        <v>96</v>
      </c>
      <c r="G3179" s="2" t="s">
        <v>179</v>
      </c>
      <c r="H3179" s="2" t="s">
        <v>74</v>
      </c>
      <c r="I3179" s="2">
        <v>8</v>
      </c>
      <c r="J3179" s="2" t="s">
        <v>106</v>
      </c>
      <c r="K3179" s="4">
        <v>46251.886111111111</v>
      </c>
      <c r="L3179" s="2" t="s">
        <v>24</v>
      </c>
      <c r="M3179" s="2"/>
      <c r="N3179" t="s">
        <v>8584</v>
      </c>
      <c r="O3179" s="8">
        <f t="shared" si="98"/>
        <v>0.84999999997671694</v>
      </c>
      <c r="P3179" t="str">
        <f t="shared" si="99"/>
        <v>Yes</v>
      </c>
    </row>
    <row r="3180" spans="1:16" x14ac:dyDescent="0.25">
      <c r="A3180" s="2" t="s">
        <v>8520</v>
      </c>
      <c r="B3180" s="4">
        <v>46241.53125</v>
      </c>
      <c r="C3180" s="2" t="s">
        <v>67</v>
      </c>
      <c r="D3180" s="2" t="s">
        <v>95</v>
      </c>
      <c r="E3180" s="2" t="s">
        <v>85</v>
      </c>
      <c r="F3180" s="2" t="s">
        <v>96</v>
      </c>
      <c r="G3180" s="2" t="s">
        <v>211</v>
      </c>
      <c r="H3180" s="2" t="s">
        <v>74</v>
      </c>
      <c r="I3180" s="2">
        <v>8</v>
      </c>
      <c r="J3180" s="2" t="s">
        <v>8580</v>
      </c>
      <c r="K3180" s="4">
        <v>46241.732638888891</v>
      </c>
      <c r="L3180" s="2" t="s">
        <v>24</v>
      </c>
      <c r="M3180" s="2"/>
      <c r="N3180" t="s">
        <v>8583</v>
      </c>
      <c r="O3180" s="8">
        <f t="shared" si="98"/>
        <v>4.8333333333721384</v>
      </c>
      <c r="P3180" t="str">
        <f t="shared" si="99"/>
        <v>N/A</v>
      </c>
    </row>
    <row r="3181" spans="1:16" x14ac:dyDescent="0.25">
      <c r="A3181" s="2" t="s">
        <v>8523</v>
      </c>
      <c r="B3181" s="4">
        <v>46184.490277777775</v>
      </c>
      <c r="C3181" s="2" t="s">
        <v>67</v>
      </c>
      <c r="D3181" s="2" t="s">
        <v>68</v>
      </c>
      <c r="E3181" s="2" t="s">
        <v>18</v>
      </c>
      <c r="F3181" s="2" t="s">
        <v>113</v>
      </c>
      <c r="G3181" s="2" t="s">
        <v>101</v>
      </c>
      <c r="H3181" s="2" t="s">
        <v>32</v>
      </c>
      <c r="I3181" s="2">
        <v>48</v>
      </c>
      <c r="J3181" s="2" t="s">
        <v>106</v>
      </c>
      <c r="K3181" s="4">
        <v>46185.282638888886</v>
      </c>
      <c r="L3181" s="2" t="s">
        <v>24</v>
      </c>
      <c r="M3181" s="2">
        <v>3</v>
      </c>
      <c r="N3181" t="s">
        <v>8586</v>
      </c>
      <c r="O3181" s="8">
        <f t="shared" si="98"/>
        <v>19.016666666662786</v>
      </c>
      <c r="P3181" t="str">
        <f t="shared" si="99"/>
        <v>Yes</v>
      </c>
    </row>
    <row r="3182" spans="1:16" x14ac:dyDescent="0.25">
      <c r="A3182" s="2" t="s">
        <v>8526</v>
      </c>
      <c r="B3182" s="4">
        <v>46088.568749999999</v>
      </c>
      <c r="C3182" s="2" t="s">
        <v>67</v>
      </c>
      <c r="D3182" s="2" t="s">
        <v>68</v>
      </c>
      <c r="E3182" s="2" t="s">
        <v>46</v>
      </c>
      <c r="F3182" s="2" t="s">
        <v>96</v>
      </c>
      <c r="G3182" s="2" t="s">
        <v>101</v>
      </c>
      <c r="H3182" s="2" t="s">
        <v>21</v>
      </c>
      <c r="I3182" s="2">
        <v>24</v>
      </c>
      <c r="J3182" s="2" t="s">
        <v>106</v>
      </c>
      <c r="K3182" s="4">
        <v>46090.422222222223</v>
      </c>
      <c r="L3182" s="2" t="s">
        <v>24</v>
      </c>
      <c r="M3182" s="2">
        <v>5</v>
      </c>
      <c r="N3182" t="s">
        <v>8583</v>
      </c>
      <c r="O3182" s="8">
        <f t="shared" si="98"/>
        <v>44.483333333395422</v>
      </c>
      <c r="P3182" t="str">
        <f t="shared" si="99"/>
        <v>No</v>
      </c>
    </row>
    <row r="3183" spans="1:16" x14ac:dyDescent="0.25">
      <c r="A3183" s="2" t="s">
        <v>8529</v>
      </c>
      <c r="B3183" s="4">
        <v>46034.670138888891</v>
      </c>
      <c r="C3183" s="2" t="s">
        <v>67</v>
      </c>
      <c r="D3183" s="2" t="s">
        <v>68</v>
      </c>
      <c r="E3183" s="2" t="s">
        <v>46</v>
      </c>
      <c r="F3183" s="2" t="s">
        <v>55</v>
      </c>
      <c r="G3183" s="2" t="s">
        <v>183</v>
      </c>
      <c r="H3183" s="2" t="s">
        <v>32</v>
      </c>
      <c r="I3183" s="2">
        <v>48</v>
      </c>
      <c r="J3183" s="2" t="s">
        <v>75</v>
      </c>
      <c r="K3183" s="4">
        <v>46035.961111111108</v>
      </c>
      <c r="L3183" s="2" t="s">
        <v>24</v>
      </c>
      <c r="M3183" s="2">
        <v>3</v>
      </c>
      <c r="N3183" t="s">
        <v>8582</v>
      </c>
      <c r="O3183" s="8">
        <f t="shared" si="98"/>
        <v>30.983333333220799</v>
      </c>
      <c r="P3183" t="str">
        <f t="shared" si="99"/>
        <v>N/A</v>
      </c>
    </row>
    <row r="3184" spans="1:16" x14ac:dyDescent="0.25">
      <c r="A3184" s="2" t="s">
        <v>8532</v>
      </c>
      <c r="B3184" s="4">
        <v>46103.224999999999</v>
      </c>
      <c r="C3184" s="2" t="s">
        <v>53</v>
      </c>
      <c r="D3184" s="2" t="s">
        <v>61</v>
      </c>
      <c r="E3184" s="2" t="s">
        <v>46</v>
      </c>
      <c r="F3184" s="2" t="s">
        <v>55</v>
      </c>
      <c r="G3184" s="2" t="s">
        <v>179</v>
      </c>
      <c r="H3184" s="2" t="s">
        <v>21</v>
      </c>
      <c r="I3184" s="2">
        <v>24</v>
      </c>
      <c r="J3184" s="2" t="s">
        <v>75</v>
      </c>
      <c r="K3184" s="4">
        <v>46103.588888888888</v>
      </c>
      <c r="L3184" s="2" t="s">
        <v>24</v>
      </c>
      <c r="M3184" s="2"/>
      <c r="N3184" t="s">
        <v>8582</v>
      </c>
      <c r="O3184" s="8">
        <f t="shared" si="98"/>
        <v>8.7333333333372138</v>
      </c>
      <c r="P3184" t="str">
        <f t="shared" si="99"/>
        <v>N/A</v>
      </c>
    </row>
    <row r="3185" spans="1:16" x14ac:dyDescent="0.25">
      <c r="A3185" s="2" t="s">
        <v>8535</v>
      </c>
      <c r="B3185" s="4">
        <v>46140.474999999999</v>
      </c>
      <c r="C3185" s="2" t="s">
        <v>28</v>
      </c>
      <c r="D3185" s="2" t="s">
        <v>37</v>
      </c>
      <c r="E3185" s="2" t="s">
        <v>38</v>
      </c>
      <c r="F3185" s="2" t="s">
        <v>55</v>
      </c>
      <c r="G3185" s="2" t="s">
        <v>110</v>
      </c>
      <c r="H3185" s="2" t="s">
        <v>32</v>
      </c>
      <c r="I3185" s="2">
        <v>48</v>
      </c>
      <c r="J3185" s="2" t="s">
        <v>75</v>
      </c>
      <c r="K3185" s="4">
        <v>46142.03125</v>
      </c>
      <c r="L3185" s="2" t="s">
        <v>24</v>
      </c>
      <c r="M3185" s="2"/>
      <c r="N3185" t="s">
        <v>8582</v>
      </c>
      <c r="O3185" s="8">
        <f t="shared" si="98"/>
        <v>37.350000000034925</v>
      </c>
      <c r="P3185" t="str">
        <f t="shared" si="99"/>
        <v>N/A</v>
      </c>
    </row>
    <row r="3186" spans="1:16" x14ac:dyDescent="0.25">
      <c r="A3186" s="2" t="s">
        <v>8538</v>
      </c>
      <c r="B3186" s="4">
        <v>46249.23541666667</v>
      </c>
      <c r="C3186" s="2" t="s">
        <v>16</v>
      </c>
      <c r="D3186" s="2" t="s">
        <v>84</v>
      </c>
      <c r="E3186" s="2" t="s">
        <v>18</v>
      </c>
      <c r="F3186" s="2" t="s">
        <v>96</v>
      </c>
      <c r="G3186" s="2" t="s">
        <v>179</v>
      </c>
      <c r="H3186" s="2" t="s">
        <v>80</v>
      </c>
      <c r="I3186" s="2">
        <v>4</v>
      </c>
      <c r="J3186" s="2" t="s">
        <v>106</v>
      </c>
      <c r="K3186" s="4">
        <v>46249.318749999999</v>
      </c>
      <c r="L3186" s="2" t="s">
        <v>24</v>
      </c>
      <c r="M3186" s="2">
        <v>5</v>
      </c>
      <c r="N3186" t="s">
        <v>8583</v>
      </c>
      <c r="O3186" s="8">
        <f t="shared" si="98"/>
        <v>1.9999999998835847</v>
      </c>
      <c r="P3186" t="str">
        <f t="shared" si="99"/>
        <v>Yes</v>
      </c>
    </row>
    <row r="3187" spans="1:16" x14ac:dyDescent="0.25">
      <c r="A3187" s="2" t="s">
        <v>8541</v>
      </c>
      <c r="B3187" s="4">
        <v>46078.368750000001</v>
      </c>
      <c r="C3187" s="2" t="s">
        <v>28</v>
      </c>
      <c r="D3187" s="2" t="s">
        <v>100</v>
      </c>
      <c r="E3187" s="2" t="s">
        <v>46</v>
      </c>
      <c r="F3187" s="2" t="s">
        <v>96</v>
      </c>
      <c r="G3187" s="2" t="s">
        <v>101</v>
      </c>
      <c r="H3187" s="2" t="s">
        <v>21</v>
      </c>
      <c r="I3187" s="2">
        <v>24</v>
      </c>
      <c r="J3187" s="2" t="s">
        <v>287</v>
      </c>
      <c r="K3187" s="4" t="s">
        <v>8590</v>
      </c>
      <c r="L3187" s="2" t="s">
        <v>24</v>
      </c>
      <c r="M3187" s="2"/>
      <c r="N3187" t="s">
        <v>8589</v>
      </c>
      <c r="O3187" s="8" t="str">
        <f t="shared" si="98"/>
        <v/>
      </c>
      <c r="P3187" t="str">
        <f t="shared" si="99"/>
        <v>N/A</v>
      </c>
    </row>
    <row r="3188" spans="1:16" x14ac:dyDescent="0.25">
      <c r="A3188" s="2" t="s">
        <v>8543</v>
      </c>
      <c r="B3188" s="4">
        <v>46024.844444444447</v>
      </c>
      <c r="C3188" s="2" t="s">
        <v>28</v>
      </c>
      <c r="D3188" s="2" t="s">
        <v>37</v>
      </c>
      <c r="E3188" s="2" t="s">
        <v>38</v>
      </c>
      <c r="F3188" s="2" t="s">
        <v>55</v>
      </c>
      <c r="G3188" s="2" t="s">
        <v>101</v>
      </c>
      <c r="H3188" s="2" t="s">
        <v>32</v>
      </c>
      <c r="I3188" s="2">
        <v>48</v>
      </c>
      <c r="J3188" s="2" t="s">
        <v>75</v>
      </c>
      <c r="K3188" s="4">
        <v>46025.106249999997</v>
      </c>
      <c r="L3188" s="2" t="s">
        <v>24</v>
      </c>
      <c r="M3188" s="2"/>
      <c r="N3188" t="s">
        <v>8587</v>
      </c>
      <c r="O3188" s="8">
        <f t="shared" si="98"/>
        <v>6.283333333209157</v>
      </c>
      <c r="P3188" t="str">
        <f t="shared" si="99"/>
        <v>N/A</v>
      </c>
    </row>
    <row r="3189" spans="1:16" x14ac:dyDescent="0.25">
      <c r="A3189" s="2" t="s">
        <v>8546</v>
      </c>
      <c r="B3189" s="4">
        <v>46244.954861111109</v>
      </c>
      <c r="C3189" s="2" t="s">
        <v>53</v>
      </c>
      <c r="D3189" s="2" t="s">
        <v>61</v>
      </c>
      <c r="E3189" s="2" t="s">
        <v>85</v>
      </c>
      <c r="F3189" s="2" t="s">
        <v>113</v>
      </c>
      <c r="G3189" s="2" t="s">
        <v>183</v>
      </c>
      <c r="H3189" s="2" t="s">
        <v>74</v>
      </c>
      <c r="I3189" s="2">
        <v>8</v>
      </c>
      <c r="J3189" s="2" t="s">
        <v>287</v>
      </c>
      <c r="K3189" s="4" t="s">
        <v>8590</v>
      </c>
      <c r="L3189" s="2" t="s">
        <v>24</v>
      </c>
      <c r="M3189" s="2"/>
      <c r="N3189" t="s">
        <v>8587</v>
      </c>
      <c r="O3189" s="8" t="str">
        <f t="shared" si="98"/>
        <v/>
      </c>
      <c r="P3189" t="str">
        <f t="shared" si="99"/>
        <v>N/A</v>
      </c>
    </row>
    <row r="3190" spans="1:16" x14ac:dyDescent="0.25">
      <c r="A3190" s="2" t="s">
        <v>8548</v>
      </c>
      <c r="B3190" s="4">
        <v>46163.03402777778</v>
      </c>
      <c r="C3190" s="2" t="s">
        <v>16</v>
      </c>
      <c r="D3190" s="2" t="s">
        <v>84</v>
      </c>
      <c r="E3190" s="2" t="s">
        <v>90</v>
      </c>
      <c r="F3190" s="2" t="s">
        <v>113</v>
      </c>
      <c r="G3190" s="2" t="s">
        <v>110</v>
      </c>
      <c r="H3190" s="2" t="s">
        <v>74</v>
      </c>
      <c r="I3190" s="2">
        <v>8</v>
      </c>
      <c r="J3190" s="2" t="s">
        <v>106</v>
      </c>
      <c r="K3190" s="4">
        <v>46163.223611111112</v>
      </c>
      <c r="L3190" s="2" t="s">
        <v>24</v>
      </c>
      <c r="M3190" s="2"/>
      <c r="N3190" t="s">
        <v>8587</v>
      </c>
      <c r="O3190" s="8">
        <f t="shared" si="98"/>
        <v>4.5499999999883585</v>
      </c>
      <c r="P3190" t="str">
        <f t="shared" si="99"/>
        <v>Yes</v>
      </c>
    </row>
    <row r="3191" spans="1:16" x14ac:dyDescent="0.25">
      <c r="A3191" s="2" t="s">
        <v>8551</v>
      </c>
      <c r="B3191" s="4">
        <v>46222.489583333336</v>
      </c>
      <c r="C3191" s="2" t="s">
        <v>53</v>
      </c>
      <c r="D3191" s="2" t="s">
        <v>54</v>
      </c>
      <c r="E3191" s="2" t="s">
        <v>46</v>
      </c>
      <c r="F3191" s="2" t="s">
        <v>30</v>
      </c>
      <c r="G3191" s="2" t="s">
        <v>211</v>
      </c>
      <c r="H3191" s="2" t="s">
        <v>21</v>
      </c>
      <c r="I3191" s="2">
        <v>24</v>
      </c>
      <c r="J3191" s="2" t="s">
        <v>11</v>
      </c>
      <c r="K3191" s="4" t="s">
        <v>8590</v>
      </c>
      <c r="L3191" s="2" t="s">
        <v>92</v>
      </c>
      <c r="M3191" s="2"/>
      <c r="N3191" t="s">
        <v>8588</v>
      </c>
      <c r="O3191" s="8" t="str">
        <f t="shared" si="98"/>
        <v/>
      </c>
      <c r="P3191" t="str">
        <f t="shared" si="99"/>
        <v>N/A</v>
      </c>
    </row>
    <row r="3192" spans="1:16" x14ac:dyDescent="0.25">
      <c r="A3192" s="2" t="s">
        <v>8553</v>
      </c>
      <c r="B3192" s="4">
        <v>46079.414583333331</v>
      </c>
      <c r="C3192" s="2" t="s">
        <v>67</v>
      </c>
      <c r="D3192" s="2" t="s">
        <v>95</v>
      </c>
      <c r="E3192" s="2" t="s">
        <v>46</v>
      </c>
      <c r="F3192" s="2" t="s">
        <v>113</v>
      </c>
      <c r="G3192" s="2" t="s">
        <v>179</v>
      </c>
      <c r="H3192" s="2" t="s">
        <v>21</v>
      </c>
      <c r="I3192" s="2">
        <v>24</v>
      </c>
      <c r="J3192" s="2" t="s">
        <v>287</v>
      </c>
      <c r="K3192" s="4" t="s">
        <v>8590</v>
      </c>
      <c r="L3192" s="2" t="s">
        <v>24</v>
      </c>
      <c r="M3192" s="2"/>
      <c r="N3192" t="s">
        <v>8581</v>
      </c>
      <c r="O3192" s="8" t="str">
        <f t="shared" si="98"/>
        <v/>
      </c>
      <c r="P3192" t="str">
        <f t="shared" si="99"/>
        <v>N/A</v>
      </c>
    </row>
    <row r="3193" spans="1:16" x14ac:dyDescent="0.25">
      <c r="A3193" s="2" t="s">
        <v>8555</v>
      </c>
      <c r="B3193" s="4">
        <v>46126.387499999997</v>
      </c>
      <c r="C3193" s="2" t="s">
        <v>53</v>
      </c>
      <c r="D3193" s="2" t="s">
        <v>61</v>
      </c>
      <c r="E3193" s="2" t="s">
        <v>46</v>
      </c>
      <c r="F3193" s="2" t="s">
        <v>55</v>
      </c>
      <c r="G3193" s="2" t="s">
        <v>183</v>
      </c>
      <c r="H3193" s="2" t="s">
        <v>74</v>
      </c>
      <c r="I3193" s="2">
        <v>8</v>
      </c>
      <c r="J3193" s="2" t="s">
        <v>106</v>
      </c>
      <c r="K3193" s="4">
        <v>46126.4375</v>
      </c>
      <c r="L3193" s="2" t="s">
        <v>24</v>
      </c>
      <c r="M3193" s="2">
        <v>1</v>
      </c>
      <c r="N3193" t="s">
        <v>8584</v>
      </c>
      <c r="O3193" s="8">
        <f t="shared" si="98"/>
        <v>1.2000000000698492</v>
      </c>
      <c r="P3193" t="str">
        <f t="shared" si="99"/>
        <v>Yes</v>
      </c>
    </row>
    <row r="3194" spans="1:16" x14ac:dyDescent="0.25">
      <c r="A3194" s="2" t="s">
        <v>8558</v>
      </c>
      <c r="B3194" s="4">
        <v>46105.575694444444</v>
      </c>
      <c r="C3194" s="2" t="s">
        <v>53</v>
      </c>
      <c r="D3194" s="2" t="s">
        <v>61</v>
      </c>
      <c r="E3194" s="2" t="s">
        <v>79</v>
      </c>
      <c r="F3194" s="2" t="s">
        <v>96</v>
      </c>
      <c r="G3194" s="2" t="s">
        <v>211</v>
      </c>
      <c r="H3194" s="2" t="s">
        <v>74</v>
      </c>
      <c r="I3194" s="2">
        <v>8</v>
      </c>
      <c r="J3194" s="2" t="s">
        <v>106</v>
      </c>
      <c r="K3194" s="4">
        <v>46105.659722222219</v>
      </c>
      <c r="L3194" s="2" t="s">
        <v>24</v>
      </c>
      <c r="M3194" s="2">
        <v>5</v>
      </c>
      <c r="N3194" t="s">
        <v>8581</v>
      </c>
      <c r="O3194" s="8">
        <f t="shared" si="98"/>
        <v>2.0166666666045785</v>
      </c>
      <c r="P3194" t="str">
        <f t="shared" si="99"/>
        <v>Yes</v>
      </c>
    </row>
    <row r="3195" spans="1:16" x14ac:dyDescent="0.25">
      <c r="A3195" s="2" t="s">
        <v>8561</v>
      </c>
      <c r="B3195" s="4">
        <v>46063.956250000003</v>
      </c>
      <c r="C3195" s="2" t="s">
        <v>67</v>
      </c>
      <c r="D3195" s="2" t="s">
        <v>68</v>
      </c>
      <c r="E3195" s="2" t="s">
        <v>79</v>
      </c>
      <c r="F3195" s="2" t="s">
        <v>113</v>
      </c>
      <c r="G3195" s="2" t="s">
        <v>183</v>
      </c>
      <c r="H3195" s="2" t="s">
        <v>32</v>
      </c>
      <c r="I3195" s="2">
        <v>48</v>
      </c>
      <c r="J3195" s="2" t="s">
        <v>11</v>
      </c>
      <c r="K3195" s="4" t="s">
        <v>8590</v>
      </c>
      <c r="L3195" s="2" t="s">
        <v>92</v>
      </c>
      <c r="M3195" s="2"/>
      <c r="N3195" t="s">
        <v>8585</v>
      </c>
      <c r="O3195" s="8" t="str">
        <f t="shared" si="98"/>
        <v/>
      </c>
      <c r="P3195" t="str">
        <f t="shared" si="99"/>
        <v>N/A</v>
      </c>
    </row>
    <row r="3196" spans="1:16" x14ac:dyDescent="0.25">
      <c r="A3196" s="2" t="s">
        <v>8563</v>
      </c>
      <c r="B3196" s="4">
        <v>46250.2</v>
      </c>
      <c r="C3196" s="2" t="s">
        <v>28</v>
      </c>
      <c r="D3196" s="2" t="s">
        <v>100</v>
      </c>
      <c r="E3196" s="2" t="s">
        <v>85</v>
      </c>
      <c r="F3196" s="2" t="s">
        <v>55</v>
      </c>
      <c r="G3196" s="2" t="s">
        <v>183</v>
      </c>
      <c r="H3196" s="2" t="s">
        <v>21</v>
      </c>
      <c r="I3196" s="2">
        <v>24</v>
      </c>
      <c r="J3196" s="2" t="s">
        <v>75</v>
      </c>
      <c r="K3196" s="4">
        <v>46250.820138888892</v>
      </c>
      <c r="L3196" s="2" t="s">
        <v>24</v>
      </c>
      <c r="M3196" s="2"/>
      <c r="N3196" t="s">
        <v>8588</v>
      </c>
      <c r="O3196" s="8">
        <f t="shared" si="98"/>
        <v>14.883333333476912</v>
      </c>
      <c r="P3196" t="str">
        <f t="shared" si="99"/>
        <v>N/A</v>
      </c>
    </row>
    <row r="3197" spans="1:16" x14ac:dyDescent="0.25">
      <c r="A3197" s="2" t="s">
        <v>8566</v>
      </c>
      <c r="B3197" s="4">
        <v>46226.554166666669</v>
      </c>
      <c r="C3197" s="2" t="s">
        <v>16</v>
      </c>
      <c r="D3197" s="2" t="s">
        <v>17</v>
      </c>
      <c r="E3197" s="2" t="s">
        <v>46</v>
      </c>
      <c r="F3197" s="2" t="s">
        <v>96</v>
      </c>
      <c r="G3197" s="2" t="s">
        <v>211</v>
      </c>
      <c r="H3197" s="2" t="s">
        <v>74</v>
      </c>
      <c r="I3197" s="2">
        <v>8</v>
      </c>
      <c r="J3197" s="2" t="s">
        <v>106</v>
      </c>
      <c r="K3197" s="4">
        <v>46226.677083333336</v>
      </c>
      <c r="L3197" s="2" t="s">
        <v>24</v>
      </c>
      <c r="M3197" s="2"/>
      <c r="N3197" t="s">
        <v>8589</v>
      </c>
      <c r="O3197" s="8">
        <f t="shared" si="98"/>
        <v>2.9500000000116415</v>
      </c>
      <c r="P3197" t="str">
        <f t="shared" si="99"/>
        <v>Yes</v>
      </c>
    </row>
    <row r="3198" spans="1:16" x14ac:dyDescent="0.25">
      <c r="A3198" s="2" t="s">
        <v>8569</v>
      </c>
      <c r="B3198" s="4">
        <v>46092.125694444447</v>
      </c>
      <c r="C3198" s="2" t="s">
        <v>28</v>
      </c>
      <c r="D3198" s="2" t="s">
        <v>100</v>
      </c>
      <c r="E3198" s="2" t="s">
        <v>38</v>
      </c>
      <c r="F3198" s="2" t="s">
        <v>96</v>
      </c>
      <c r="G3198" s="2" t="s">
        <v>179</v>
      </c>
      <c r="H3198" s="2" t="s">
        <v>21</v>
      </c>
      <c r="I3198" s="2">
        <v>24</v>
      </c>
      <c r="J3198" s="2" t="s">
        <v>106</v>
      </c>
      <c r="K3198" s="4">
        <v>46092.723611111112</v>
      </c>
      <c r="L3198" s="2" t="s">
        <v>92</v>
      </c>
      <c r="M3198" s="2">
        <v>1</v>
      </c>
      <c r="N3198" t="s">
        <v>8583</v>
      </c>
      <c r="O3198" s="8">
        <f t="shared" si="98"/>
        <v>14.349999999976717</v>
      </c>
      <c r="P3198" t="str">
        <f t="shared" si="99"/>
        <v>Yes</v>
      </c>
    </row>
    <row r="3199" spans="1:16" x14ac:dyDescent="0.25">
      <c r="A3199" s="2" t="s">
        <v>8572</v>
      </c>
      <c r="B3199" s="4">
        <v>46082.53402777778</v>
      </c>
      <c r="C3199" s="2" t="s">
        <v>53</v>
      </c>
      <c r="D3199" s="2" t="s">
        <v>61</v>
      </c>
      <c r="E3199" s="2" t="s">
        <v>46</v>
      </c>
      <c r="F3199" s="2" t="s">
        <v>30</v>
      </c>
      <c r="G3199" s="2" t="s">
        <v>211</v>
      </c>
      <c r="H3199" s="2" t="s">
        <v>32</v>
      </c>
      <c r="I3199" s="2">
        <v>48</v>
      </c>
      <c r="J3199" s="2" t="s">
        <v>106</v>
      </c>
      <c r="K3199" s="4">
        <v>46082.781944444447</v>
      </c>
      <c r="L3199" s="2" t="s">
        <v>24</v>
      </c>
      <c r="M3199" s="2"/>
      <c r="N3199" t="s">
        <v>8584</v>
      </c>
      <c r="O3199" s="8">
        <f t="shared" si="98"/>
        <v>5.9500000000116415</v>
      </c>
      <c r="P3199" t="str">
        <f t="shared" si="99"/>
        <v>Yes</v>
      </c>
    </row>
    <row r="3200" spans="1:16" x14ac:dyDescent="0.25">
      <c r="A3200" s="2" t="s">
        <v>8575</v>
      </c>
      <c r="B3200" s="4">
        <v>46202.601388888892</v>
      </c>
      <c r="C3200" s="2" t="s">
        <v>67</v>
      </c>
      <c r="D3200" s="2" t="s">
        <v>95</v>
      </c>
      <c r="E3200" s="2" t="s">
        <v>85</v>
      </c>
      <c r="F3200" s="2" t="s">
        <v>96</v>
      </c>
      <c r="G3200" s="2" t="s">
        <v>110</v>
      </c>
      <c r="H3200" s="2" t="s">
        <v>74</v>
      </c>
      <c r="I3200" s="2">
        <v>8</v>
      </c>
      <c r="J3200" s="2" t="s">
        <v>75</v>
      </c>
      <c r="K3200" s="4">
        <v>46202.649305555555</v>
      </c>
      <c r="L3200" s="2" t="s">
        <v>24</v>
      </c>
      <c r="M3200" s="2">
        <v>3</v>
      </c>
      <c r="N3200" t="s">
        <v>8584</v>
      </c>
      <c r="O3200" s="8">
        <f t="shared" si="98"/>
        <v>1.1499999999068677</v>
      </c>
      <c r="P3200" t="str">
        <f t="shared" si="99"/>
        <v>N/A</v>
      </c>
    </row>
    <row r="3201" spans="1:16" x14ac:dyDescent="0.25">
      <c r="A3201" s="2" t="s">
        <v>8578</v>
      </c>
      <c r="B3201" s="4">
        <v>46263.92291666667</v>
      </c>
      <c r="C3201" s="2" t="s">
        <v>28</v>
      </c>
      <c r="D3201" s="2" t="s">
        <v>100</v>
      </c>
      <c r="E3201" s="2" t="s">
        <v>90</v>
      </c>
      <c r="F3201" s="2" t="s">
        <v>96</v>
      </c>
      <c r="G3201" s="2" t="s">
        <v>211</v>
      </c>
      <c r="H3201" s="2" t="s">
        <v>74</v>
      </c>
      <c r="I3201" s="2">
        <v>8</v>
      </c>
      <c r="J3201" s="2" t="s">
        <v>11</v>
      </c>
      <c r="K3201" s="4" t="s">
        <v>8590</v>
      </c>
      <c r="L3201" s="2" t="s">
        <v>92</v>
      </c>
      <c r="M3201" s="2"/>
      <c r="N3201" t="s">
        <v>8589</v>
      </c>
      <c r="O3201" s="8" t="str">
        <f t="shared" si="98"/>
        <v/>
      </c>
      <c r="P3201" t="str">
        <f t="shared" si="99"/>
        <v>N/A</v>
      </c>
    </row>
  </sheetData>
  <autoFilter ref="A1:P320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tabSelected="1" topLeftCell="A2" workbookViewId="0">
      <selection activeCell="A8" sqref="A8"/>
    </sheetView>
  </sheetViews>
  <sheetFormatPr defaultRowHeight="15" x14ac:dyDescent="0.25"/>
  <cols>
    <col min="1" max="1" width="198.5703125" bestFit="1" customWidth="1"/>
  </cols>
  <sheetData>
    <row r="1" spans="1:1" ht="18.75" x14ac:dyDescent="0.3">
      <c r="A1" s="19" t="s">
        <v>8618</v>
      </c>
    </row>
    <row r="2" spans="1:1" ht="30" x14ac:dyDescent="0.25">
      <c r="A2" s="16" t="s">
        <v>8619</v>
      </c>
    </row>
    <row r="3" spans="1:1" ht="30" x14ac:dyDescent="0.25">
      <c r="A3" s="16" t="s">
        <v>8620</v>
      </c>
    </row>
    <row r="4" spans="1:1" ht="30" x14ac:dyDescent="0.25">
      <c r="A4" s="16" t="s">
        <v>8621</v>
      </c>
    </row>
    <row r="5" spans="1:1" ht="30" x14ac:dyDescent="0.25">
      <c r="A5" s="16" t="s">
        <v>8622</v>
      </c>
    </row>
    <row r="7" spans="1:1" ht="18.75" x14ac:dyDescent="0.3">
      <c r="A7" s="19" t="s">
        <v>8623</v>
      </c>
    </row>
    <row r="8" spans="1:1" x14ac:dyDescent="0.25">
      <c r="A8" t="s">
        <v>8624</v>
      </c>
    </row>
    <row r="9" spans="1:1" x14ac:dyDescent="0.25">
      <c r="A9" s="16" t="s">
        <v>8643</v>
      </c>
    </row>
    <row r="11" spans="1:1" ht="18.75" x14ac:dyDescent="0.3">
      <c r="A11" s="19" t="s">
        <v>8629</v>
      </c>
    </row>
    <row r="12" spans="1:1" ht="30" x14ac:dyDescent="0.25">
      <c r="A12" s="16" t="s">
        <v>8630</v>
      </c>
    </row>
    <row r="13" spans="1:1" ht="30" x14ac:dyDescent="0.25">
      <c r="A13" s="16" t="s">
        <v>8631</v>
      </c>
    </row>
    <row r="14" spans="1:1" ht="30" x14ac:dyDescent="0.25">
      <c r="A14" s="16" t="s">
        <v>8632</v>
      </c>
    </row>
    <row r="15" spans="1:1" x14ac:dyDescent="0.25">
      <c r="A15" t="s">
        <v>8633</v>
      </c>
    </row>
    <row r="16" spans="1:1" ht="30" x14ac:dyDescent="0.25">
      <c r="A16" s="16" t="s">
        <v>8634</v>
      </c>
    </row>
    <row r="18" spans="1:1" ht="18.75" x14ac:dyDescent="0.3">
      <c r="A18" s="19" t="s">
        <v>8635</v>
      </c>
    </row>
    <row r="19" spans="1:1" ht="30" x14ac:dyDescent="0.25">
      <c r="A19" s="16" t="s">
        <v>8636</v>
      </c>
    </row>
    <row r="20" spans="1:1" ht="30" x14ac:dyDescent="0.25">
      <c r="A20" s="16" t="s">
        <v>8637</v>
      </c>
    </row>
    <row r="21" spans="1:1" ht="30" x14ac:dyDescent="0.25">
      <c r="A21" s="16" t="s">
        <v>8638</v>
      </c>
    </row>
    <row r="23" spans="1:1" ht="18.75" x14ac:dyDescent="0.3">
      <c r="A23" s="19" t="s">
        <v>8639</v>
      </c>
    </row>
    <row r="24" spans="1:1" ht="75" x14ac:dyDescent="0.25">
      <c r="A24" s="16" t="s">
        <v>8640</v>
      </c>
    </row>
    <row r="26" spans="1:1" ht="18.75" x14ac:dyDescent="0.3">
      <c r="A26" s="19" t="s">
        <v>8641</v>
      </c>
    </row>
    <row r="27" spans="1:1" ht="45" x14ac:dyDescent="0.25">
      <c r="A27" s="16" t="s">
        <v>8642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3"/>
  <sheetViews>
    <sheetView workbookViewId="0">
      <selection activeCell="I4" sqref="I4"/>
    </sheetView>
  </sheetViews>
  <sheetFormatPr defaultRowHeight="15" x14ac:dyDescent="0.25"/>
  <cols>
    <col min="1" max="1" width="10.7109375" bestFit="1" customWidth="1"/>
    <col min="2" max="2" width="16.140625" bestFit="1" customWidth="1"/>
    <col min="3" max="3" width="17.28515625" bestFit="1" customWidth="1"/>
    <col min="4" max="4" width="19" style="21" bestFit="1" customWidth="1"/>
    <col min="5" max="5" width="8.5703125" bestFit="1" customWidth="1"/>
  </cols>
  <sheetData>
    <row r="1" spans="1:5" ht="15.75" x14ac:dyDescent="0.25">
      <c r="A1" s="18" t="s">
        <v>8625</v>
      </c>
      <c r="B1" s="18" t="s">
        <v>8602</v>
      </c>
      <c r="C1" s="18" t="s">
        <v>8626</v>
      </c>
      <c r="D1" s="20" t="s">
        <v>8627</v>
      </c>
      <c r="E1" s="18" t="s">
        <v>8628</v>
      </c>
    </row>
    <row r="2" spans="1:5" x14ac:dyDescent="0.25">
      <c r="A2" s="5">
        <v>46023</v>
      </c>
      <c r="B2">
        <f>COUNTIFS(Working_Data!$B:$B,"&gt;="&amp;A2,Working_Data!$B:$B,"&lt;"&amp;(A2+1))</f>
        <v>5</v>
      </c>
      <c r="C2">
        <f>COUNTIFS(Working_Data!$K:$K,"&gt;="&amp;A2,Working_Data!$K:$K,"&lt;"&amp;(A2+1),Working_Data!$J:$J,"Resolved")</f>
        <v>1</v>
      </c>
      <c r="D2" s="21">
        <f>IFERROR(SUMPRODUCT((Working_Data!$K:$K&gt;=A2)*(Working_Data!$K:$K&lt;(A2+1))*(Working_Data!$J:$J="Resolved")*(Working_Data!$O:$O&lt;=Working_Data!$I:$I))/C2,0)</f>
        <v>1</v>
      </c>
      <c r="E2">
        <f>COUNTIFS(Working_Data!$J:$J,"Open")+COUNTIFS(Working_Data!$J:$J,"In Progress")</f>
        <v>627</v>
      </c>
    </row>
    <row r="3" spans="1:5" x14ac:dyDescent="0.25">
      <c r="A3" s="5">
        <v>46024</v>
      </c>
      <c r="B3">
        <f>COUNTIFS(Working_Data!$B:$B,"&gt;="&amp;A3,Working_Data!$B:$B,"&lt;"&amp;(A3+1))</f>
        <v>15</v>
      </c>
      <c r="C3">
        <f>COUNTIFS(Working_Data!$K:$K,"&gt;="&amp;A3,Working_Data!$K:$K,"&lt;"&amp;(A3+1),Working_Data!$J:$J,"Resolved")</f>
        <v>3</v>
      </c>
      <c r="D3" s="21">
        <f>IFERROR(SUMPRODUCT((Working_Data!$K:$K&gt;=A3)*(Working_Data!$K:$K&lt;(A3+1))*(Working_Data!$J:$J="Resolved")*(Working_Data!$O:$O&lt;=Working_Data!$I:$I))/C3,0)</f>
        <v>1</v>
      </c>
      <c r="E3">
        <f>COUNTIFS(Working_Data!$J:$J,"Open")+COUNTIFS(Working_Data!$J:$J,"In Progress")</f>
        <v>627</v>
      </c>
    </row>
    <row r="4" spans="1:5" x14ac:dyDescent="0.25">
      <c r="A4" s="5">
        <v>46025</v>
      </c>
      <c r="B4">
        <f>COUNTIFS(Working_Data!$B:$B,"&gt;="&amp;A4,Working_Data!$B:$B,"&lt;"&amp;(A4+1))</f>
        <v>11</v>
      </c>
      <c r="C4">
        <f>COUNTIFS(Working_Data!$K:$K,"&gt;="&amp;A4,Working_Data!$K:$K,"&lt;"&amp;(A4+1),Working_Data!$J:$J,"Resolved")</f>
        <v>4</v>
      </c>
      <c r="D4" s="21">
        <f>IFERROR(SUMPRODUCT((Working_Data!$K:$K&gt;=A4)*(Working_Data!$K:$K&lt;(A4+1))*(Working_Data!$J:$J="Resolved")*(Working_Data!$O:$O&lt;=Working_Data!$I:$I))/C4,0)</f>
        <v>1</v>
      </c>
      <c r="E4">
        <f>COUNTIFS(Working_Data!$J:$J,"Open")+COUNTIFS(Working_Data!$J:$J,"In Progress")</f>
        <v>627</v>
      </c>
    </row>
    <row r="5" spans="1:5" x14ac:dyDescent="0.25">
      <c r="A5" s="5">
        <v>46026</v>
      </c>
      <c r="B5">
        <f>COUNTIFS(Working_Data!$B:$B,"&gt;="&amp;A5,Working_Data!$B:$B,"&lt;"&amp;(A5+1))</f>
        <v>12</v>
      </c>
      <c r="C5">
        <f>COUNTIFS(Working_Data!$K:$K,"&gt;="&amp;A5,Working_Data!$K:$K,"&lt;"&amp;(A5+1),Working_Data!$J:$J,"Resolved")</f>
        <v>4</v>
      </c>
      <c r="D5" s="21">
        <f>IFERROR(SUMPRODUCT((Working_Data!$K:$K&gt;=A5)*(Working_Data!$K:$K&lt;(A5+1))*(Working_Data!$J:$J="Resolved")*(Working_Data!$O:$O&lt;=Working_Data!$I:$I))/C5,0)</f>
        <v>1</v>
      </c>
      <c r="E5">
        <f>COUNTIFS(Working_Data!$J:$J,"Open")+COUNTIFS(Working_Data!$J:$J,"In Progress")</f>
        <v>627</v>
      </c>
    </row>
    <row r="6" spans="1:5" x14ac:dyDescent="0.25">
      <c r="A6" s="5">
        <v>46027</v>
      </c>
      <c r="B6">
        <f>COUNTIFS(Working_Data!$B:$B,"&gt;="&amp;A6,Working_Data!$B:$B,"&lt;"&amp;(A6+1))</f>
        <v>15</v>
      </c>
      <c r="C6">
        <f>COUNTIFS(Working_Data!$K:$K,"&gt;="&amp;A6,Working_Data!$K:$K,"&lt;"&amp;(A6+1),Working_Data!$J:$J,"Resolved")</f>
        <v>4</v>
      </c>
      <c r="D6" s="21">
        <f>IFERROR(SUMPRODUCT((Working_Data!$K:$K&gt;=A6)*(Working_Data!$K:$K&lt;(A6+1))*(Working_Data!$J:$J="Resolved")*(Working_Data!$O:$O&lt;=Working_Data!$I:$I))/C6,0)</f>
        <v>0.75</v>
      </c>
      <c r="E6">
        <f>COUNTIFS(Working_Data!$J:$J,"Open")+COUNTIFS(Working_Data!$J:$J,"In Progress")</f>
        <v>627</v>
      </c>
    </row>
    <row r="7" spans="1:5" x14ac:dyDescent="0.25">
      <c r="A7" s="5">
        <v>46028</v>
      </c>
      <c r="B7">
        <f>COUNTIFS(Working_Data!$B:$B,"&gt;="&amp;A7,Working_Data!$B:$B,"&lt;"&amp;(A7+1))</f>
        <v>7</v>
      </c>
      <c r="C7">
        <f>COUNTIFS(Working_Data!$K:$K,"&gt;="&amp;A7,Working_Data!$K:$K,"&lt;"&amp;(A7+1),Working_Data!$J:$J,"Resolved")</f>
        <v>6</v>
      </c>
      <c r="D7" s="21">
        <f>IFERROR(SUMPRODUCT((Working_Data!$K:$K&gt;=A7)*(Working_Data!$K:$K&lt;(A7+1))*(Working_Data!$J:$J="Resolved")*(Working_Data!$O:$O&lt;=Working_Data!$I:$I))/C7,0)</f>
        <v>0.83333333333333337</v>
      </c>
      <c r="E7">
        <f>COUNTIFS(Working_Data!$J:$J,"Open")+COUNTIFS(Working_Data!$J:$J,"In Progress")</f>
        <v>627</v>
      </c>
    </row>
    <row r="8" spans="1:5" x14ac:dyDescent="0.25">
      <c r="A8" s="5">
        <v>46029</v>
      </c>
      <c r="B8">
        <f>COUNTIFS(Working_Data!$B:$B,"&gt;="&amp;A8,Working_Data!$B:$B,"&lt;"&amp;(A8+1))</f>
        <v>16</v>
      </c>
      <c r="C8">
        <f>COUNTIFS(Working_Data!$K:$K,"&gt;="&amp;A8,Working_Data!$K:$K,"&lt;"&amp;(A8+1),Working_Data!$J:$J,"Resolved")</f>
        <v>6</v>
      </c>
      <c r="D8" s="21">
        <f>IFERROR(SUMPRODUCT((Working_Data!$K:$K&gt;=A8)*(Working_Data!$K:$K&lt;(A8+1))*(Working_Data!$J:$J="Resolved")*(Working_Data!$O:$O&lt;=Working_Data!$I:$I))/C8,0)</f>
        <v>0.66666666666666663</v>
      </c>
      <c r="E8">
        <f>COUNTIFS(Working_Data!$J:$J,"Open")+COUNTIFS(Working_Data!$J:$J,"In Progress")</f>
        <v>627</v>
      </c>
    </row>
    <row r="9" spans="1:5" x14ac:dyDescent="0.25">
      <c r="A9" s="5">
        <v>46030</v>
      </c>
      <c r="B9">
        <f>COUNTIFS(Working_Data!$B:$B,"&gt;="&amp;A9,Working_Data!$B:$B,"&lt;"&amp;(A9+1))</f>
        <v>18</v>
      </c>
      <c r="C9">
        <f>COUNTIFS(Working_Data!$K:$K,"&gt;="&amp;A9,Working_Data!$K:$K,"&lt;"&amp;(A9+1),Working_Data!$J:$J,"Resolved")</f>
        <v>7</v>
      </c>
      <c r="D9" s="21">
        <f>IFERROR(SUMPRODUCT((Working_Data!$K:$K&gt;=A9)*(Working_Data!$K:$K&lt;(A9+1))*(Working_Data!$J:$J="Resolved")*(Working_Data!$O:$O&lt;=Working_Data!$I:$I))/C9,0)</f>
        <v>0.8571428571428571</v>
      </c>
      <c r="E9">
        <f>COUNTIFS(Working_Data!$J:$J,"Open")+COUNTIFS(Working_Data!$J:$J,"In Progress")</f>
        <v>627</v>
      </c>
    </row>
    <row r="10" spans="1:5" x14ac:dyDescent="0.25">
      <c r="A10" s="5">
        <v>46031</v>
      </c>
      <c r="B10">
        <f>COUNTIFS(Working_Data!$B:$B,"&gt;="&amp;A10,Working_Data!$B:$B,"&lt;"&amp;(A10+1))</f>
        <v>14</v>
      </c>
      <c r="C10">
        <f>COUNTIFS(Working_Data!$K:$K,"&gt;="&amp;A10,Working_Data!$K:$K,"&lt;"&amp;(A10+1),Working_Data!$J:$J,"Resolved")</f>
        <v>5</v>
      </c>
      <c r="D10" s="21">
        <f>IFERROR(SUMPRODUCT((Working_Data!$K:$K&gt;=A10)*(Working_Data!$K:$K&lt;(A10+1))*(Working_Data!$J:$J="Resolved")*(Working_Data!$O:$O&lt;=Working_Data!$I:$I))/C10,0)</f>
        <v>1</v>
      </c>
      <c r="E10">
        <f>COUNTIFS(Working_Data!$J:$J,"Open")+COUNTIFS(Working_Data!$J:$J,"In Progress")</f>
        <v>627</v>
      </c>
    </row>
    <row r="11" spans="1:5" x14ac:dyDescent="0.25">
      <c r="A11" s="5">
        <v>46032</v>
      </c>
      <c r="B11">
        <f>COUNTIFS(Working_Data!$B:$B,"&gt;="&amp;A11,Working_Data!$B:$B,"&lt;"&amp;(A11+1))</f>
        <v>10</v>
      </c>
      <c r="C11">
        <f>COUNTIFS(Working_Data!$K:$K,"&gt;="&amp;A11,Working_Data!$K:$K,"&lt;"&amp;(A11+1),Working_Data!$J:$J,"Resolved")</f>
        <v>3</v>
      </c>
      <c r="D11" s="21">
        <f>IFERROR(SUMPRODUCT((Working_Data!$K:$K&gt;=A11)*(Working_Data!$K:$K&lt;(A11+1))*(Working_Data!$J:$J="Resolved")*(Working_Data!$O:$O&lt;=Working_Data!$I:$I))/C11,0)</f>
        <v>1</v>
      </c>
      <c r="E11">
        <f>COUNTIFS(Working_Data!$J:$J,"Open")+COUNTIFS(Working_Data!$J:$J,"In Progress")</f>
        <v>627</v>
      </c>
    </row>
    <row r="12" spans="1:5" x14ac:dyDescent="0.25">
      <c r="A12" s="5">
        <v>46033</v>
      </c>
      <c r="B12">
        <f>COUNTIFS(Working_Data!$B:$B,"&gt;="&amp;A12,Working_Data!$B:$B,"&lt;"&amp;(A12+1))</f>
        <v>14</v>
      </c>
      <c r="C12">
        <f>COUNTIFS(Working_Data!$K:$K,"&gt;="&amp;A12,Working_Data!$K:$K,"&lt;"&amp;(A12+1),Working_Data!$J:$J,"Resolved")</f>
        <v>2</v>
      </c>
      <c r="D12" s="21">
        <f>IFERROR(SUMPRODUCT((Working_Data!$K:$K&gt;=A12)*(Working_Data!$K:$K&lt;(A12+1))*(Working_Data!$J:$J="Resolved")*(Working_Data!$O:$O&lt;=Working_Data!$I:$I))/C12,0)</f>
        <v>1</v>
      </c>
      <c r="E12">
        <f>COUNTIFS(Working_Data!$J:$J,"Open")+COUNTIFS(Working_Data!$J:$J,"In Progress")</f>
        <v>627</v>
      </c>
    </row>
    <row r="13" spans="1:5" x14ac:dyDescent="0.25">
      <c r="A13" s="5">
        <v>46034</v>
      </c>
      <c r="B13">
        <f>COUNTIFS(Working_Data!$B:$B,"&gt;="&amp;A13,Working_Data!$B:$B,"&lt;"&amp;(A13+1))</f>
        <v>13</v>
      </c>
      <c r="C13">
        <f>COUNTIFS(Working_Data!$K:$K,"&gt;="&amp;A13,Working_Data!$K:$K,"&lt;"&amp;(A13+1),Working_Data!$J:$J,"Resolved")</f>
        <v>4</v>
      </c>
      <c r="D13" s="21">
        <f>IFERROR(SUMPRODUCT((Working_Data!$K:$K&gt;=A13)*(Working_Data!$K:$K&lt;(A13+1))*(Working_Data!$J:$J="Resolved")*(Working_Data!$O:$O&lt;=Working_Data!$I:$I))/C13,0)</f>
        <v>1</v>
      </c>
      <c r="E13">
        <f>COUNTIFS(Working_Data!$J:$J,"Open")+COUNTIFS(Working_Data!$J:$J,"In Progress")</f>
        <v>627</v>
      </c>
    </row>
    <row r="14" spans="1:5" x14ac:dyDescent="0.25">
      <c r="A14" s="5">
        <v>46035</v>
      </c>
      <c r="B14">
        <f>COUNTIFS(Working_Data!$B:$B,"&gt;="&amp;A14,Working_Data!$B:$B,"&lt;"&amp;(A14+1))</f>
        <v>12</v>
      </c>
      <c r="C14">
        <f>COUNTIFS(Working_Data!$K:$K,"&gt;="&amp;A14,Working_Data!$K:$K,"&lt;"&amp;(A14+1),Working_Data!$J:$J,"Resolved")</f>
        <v>3</v>
      </c>
      <c r="D14" s="21">
        <f>IFERROR(SUMPRODUCT((Working_Data!$K:$K&gt;=A14)*(Working_Data!$K:$K&lt;(A14+1))*(Working_Data!$J:$J="Resolved")*(Working_Data!$O:$O&lt;=Working_Data!$I:$I))/C14,0)</f>
        <v>0.66666666666666663</v>
      </c>
      <c r="E14">
        <f>COUNTIFS(Working_Data!$J:$J,"Open")+COUNTIFS(Working_Data!$J:$J,"In Progress")</f>
        <v>627</v>
      </c>
    </row>
    <row r="15" spans="1:5" x14ac:dyDescent="0.25">
      <c r="A15" s="5">
        <v>46036</v>
      </c>
      <c r="B15">
        <f>COUNTIFS(Working_Data!$B:$B,"&gt;="&amp;A15,Working_Data!$B:$B,"&lt;"&amp;(A15+1))</f>
        <v>12</v>
      </c>
      <c r="C15">
        <f>COUNTIFS(Working_Data!$K:$K,"&gt;="&amp;A15,Working_Data!$K:$K,"&lt;"&amp;(A15+1),Working_Data!$J:$J,"Resolved")</f>
        <v>4</v>
      </c>
      <c r="D15" s="21">
        <f>IFERROR(SUMPRODUCT((Working_Data!$K:$K&gt;=A15)*(Working_Data!$K:$K&lt;(A15+1))*(Working_Data!$J:$J="Resolved")*(Working_Data!$O:$O&lt;=Working_Data!$I:$I))/C15,0)</f>
        <v>0.75</v>
      </c>
      <c r="E15">
        <f>COUNTIFS(Working_Data!$J:$J,"Open")+COUNTIFS(Working_Data!$J:$J,"In Progress")</f>
        <v>627</v>
      </c>
    </row>
    <row r="16" spans="1:5" x14ac:dyDescent="0.25">
      <c r="A16" s="5">
        <v>46037</v>
      </c>
      <c r="B16">
        <f>COUNTIFS(Working_Data!$B:$B,"&gt;="&amp;A16,Working_Data!$B:$B,"&lt;"&amp;(A16+1))</f>
        <v>16</v>
      </c>
      <c r="C16">
        <f>COUNTIFS(Working_Data!$K:$K,"&gt;="&amp;A16,Working_Data!$K:$K,"&lt;"&amp;(A16+1),Working_Data!$J:$J,"Resolved")</f>
        <v>5</v>
      </c>
      <c r="D16" s="21">
        <f>IFERROR(SUMPRODUCT((Working_Data!$K:$K&gt;=A16)*(Working_Data!$K:$K&lt;(A16+1))*(Working_Data!$J:$J="Resolved")*(Working_Data!$O:$O&lt;=Working_Data!$I:$I))/C16,0)</f>
        <v>1</v>
      </c>
      <c r="E16">
        <f>COUNTIFS(Working_Data!$J:$J,"Open")+COUNTIFS(Working_Data!$J:$J,"In Progress")</f>
        <v>627</v>
      </c>
    </row>
    <row r="17" spans="1:5" x14ac:dyDescent="0.25">
      <c r="A17" s="5">
        <v>46038</v>
      </c>
      <c r="B17">
        <f>COUNTIFS(Working_Data!$B:$B,"&gt;="&amp;A17,Working_Data!$B:$B,"&lt;"&amp;(A17+1))</f>
        <v>5</v>
      </c>
      <c r="C17">
        <f>COUNTIFS(Working_Data!$K:$K,"&gt;="&amp;A17,Working_Data!$K:$K,"&lt;"&amp;(A17+1),Working_Data!$J:$J,"Resolved")</f>
        <v>5</v>
      </c>
      <c r="D17" s="21">
        <f>IFERROR(SUMPRODUCT((Working_Data!$K:$K&gt;=A17)*(Working_Data!$K:$K&lt;(A17+1))*(Working_Data!$J:$J="Resolved")*(Working_Data!$O:$O&lt;=Working_Data!$I:$I))/C17,0)</f>
        <v>0.6</v>
      </c>
      <c r="E17">
        <f>COUNTIFS(Working_Data!$J:$J,"Open")+COUNTIFS(Working_Data!$J:$J,"In Progress")</f>
        <v>627</v>
      </c>
    </row>
    <row r="18" spans="1:5" x14ac:dyDescent="0.25">
      <c r="A18" s="5">
        <v>46039</v>
      </c>
      <c r="B18">
        <f>COUNTIFS(Working_Data!$B:$B,"&gt;="&amp;A18,Working_Data!$B:$B,"&lt;"&amp;(A18+1))</f>
        <v>17</v>
      </c>
      <c r="C18">
        <f>COUNTIFS(Working_Data!$K:$K,"&gt;="&amp;A18,Working_Data!$K:$K,"&lt;"&amp;(A18+1),Working_Data!$J:$J,"Resolved")</f>
        <v>6</v>
      </c>
      <c r="D18" s="21">
        <f>IFERROR(SUMPRODUCT((Working_Data!$K:$K&gt;=A18)*(Working_Data!$K:$K&lt;(A18+1))*(Working_Data!$J:$J="Resolved")*(Working_Data!$O:$O&lt;=Working_Data!$I:$I))/C18,0)</f>
        <v>0.66666666666666663</v>
      </c>
      <c r="E18">
        <f>COUNTIFS(Working_Data!$J:$J,"Open")+COUNTIFS(Working_Data!$J:$J,"In Progress")</f>
        <v>627</v>
      </c>
    </row>
    <row r="19" spans="1:5" x14ac:dyDescent="0.25">
      <c r="A19" s="5">
        <v>46040</v>
      </c>
      <c r="B19">
        <f>COUNTIFS(Working_Data!$B:$B,"&gt;="&amp;A19,Working_Data!$B:$B,"&lt;"&amp;(A19+1))</f>
        <v>16</v>
      </c>
      <c r="C19">
        <f>COUNTIFS(Working_Data!$K:$K,"&gt;="&amp;A19,Working_Data!$K:$K,"&lt;"&amp;(A19+1),Working_Data!$J:$J,"Resolved")</f>
        <v>4</v>
      </c>
      <c r="D19" s="21">
        <f>IFERROR(SUMPRODUCT((Working_Data!$K:$K&gt;=A19)*(Working_Data!$K:$K&lt;(A19+1))*(Working_Data!$J:$J="Resolved")*(Working_Data!$O:$O&lt;=Working_Data!$I:$I))/C19,0)</f>
        <v>0.25</v>
      </c>
      <c r="E19">
        <f>COUNTIFS(Working_Data!$J:$J,"Open")+COUNTIFS(Working_Data!$J:$J,"In Progress")</f>
        <v>627</v>
      </c>
    </row>
    <row r="20" spans="1:5" x14ac:dyDescent="0.25">
      <c r="A20" s="5">
        <v>46041</v>
      </c>
      <c r="B20">
        <f>COUNTIFS(Working_Data!$B:$B,"&gt;="&amp;A20,Working_Data!$B:$B,"&lt;"&amp;(A20+1))</f>
        <v>16</v>
      </c>
      <c r="C20">
        <f>COUNTIFS(Working_Data!$K:$K,"&gt;="&amp;A20,Working_Data!$K:$K,"&lt;"&amp;(A20+1),Working_Data!$J:$J,"Resolved")</f>
        <v>7</v>
      </c>
      <c r="D20" s="21">
        <f>IFERROR(SUMPRODUCT((Working_Data!$K:$K&gt;=A20)*(Working_Data!$K:$K&lt;(A20+1))*(Working_Data!$J:$J="Resolved")*(Working_Data!$O:$O&lt;=Working_Data!$I:$I))/C20,0)</f>
        <v>0.5714285714285714</v>
      </c>
      <c r="E20">
        <f>COUNTIFS(Working_Data!$J:$J,"Open")+COUNTIFS(Working_Data!$J:$J,"In Progress")</f>
        <v>627</v>
      </c>
    </row>
    <row r="21" spans="1:5" x14ac:dyDescent="0.25">
      <c r="A21" s="5">
        <v>46042</v>
      </c>
      <c r="B21">
        <f>COUNTIFS(Working_Data!$B:$B,"&gt;="&amp;A21,Working_Data!$B:$B,"&lt;"&amp;(A21+1))</f>
        <v>17</v>
      </c>
      <c r="C21">
        <f>COUNTIFS(Working_Data!$K:$K,"&gt;="&amp;A21,Working_Data!$K:$K,"&lt;"&amp;(A21+1),Working_Data!$J:$J,"Resolved")</f>
        <v>4</v>
      </c>
      <c r="D21" s="21">
        <f>IFERROR(SUMPRODUCT((Working_Data!$K:$K&gt;=A21)*(Working_Data!$K:$K&lt;(A21+1))*(Working_Data!$J:$J="Resolved")*(Working_Data!$O:$O&lt;=Working_Data!$I:$I))/C21,0)</f>
        <v>1</v>
      </c>
      <c r="E21">
        <f>COUNTIFS(Working_Data!$J:$J,"Open")+COUNTIFS(Working_Data!$J:$J,"In Progress")</f>
        <v>627</v>
      </c>
    </row>
    <row r="22" spans="1:5" x14ac:dyDescent="0.25">
      <c r="A22" s="5">
        <v>46043</v>
      </c>
      <c r="B22">
        <f>COUNTIFS(Working_Data!$B:$B,"&gt;="&amp;A22,Working_Data!$B:$B,"&lt;"&amp;(A22+1))</f>
        <v>13</v>
      </c>
      <c r="C22">
        <f>COUNTIFS(Working_Data!$K:$K,"&gt;="&amp;A22,Working_Data!$K:$K,"&lt;"&amp;(A22+1),Working_Data!$J:$J,"Resolved")</f>
        <v>5</v>
      </c>
      <c r="D22" s="21">
        <f>IFERROR(SUMPRODUCT((Working_Data!$K:$K&gt;=A22)*(Working_Data!$K:$K&lt;(A22+1))*(Working_Data!$J:$J="Resolved")*(Working_Data!$O:$O&lt;=Working_Data!$I:$I))/C22,0)</f>
        <v>1</v>
      </c>
      <c r="E22">
        <f>COUNTIFS(Working_Data!$J:$J,"Open")+COUNTIFS(Working_Data!$J:$J,"In Progress")</f>
        <v>627</v>
      </c>
    </row>
    <row r="23" spans="1:5" x14ac:dyDescent="0.25">
      <c r="A23" s="5">
        <v>46044</v>
      </c>
      <c r="B23">
        <f>COUNTIFS(Working_Data!$B:$B,"&gt;="&amp;A23,Working_Data!$B:$B,"&lt;"&amp;(A23+1))</f>
        <v>18</v>
      </c>
      <c r="C23">
        <f>COUNTIFS(Working_Data!$K:$K,"&gt;="&amp;A23,Working_Data!$K:$K,"&lt;"&amp;(A23+1),Working_Data!$J:$J,"Resolved")</f>
        <v>5</v>
      </c>
      <c r="D23" s="21">
        <f>IFERROR(SUMPRODUCT((Working_Data!$K:$K&gt;=A23)*(Working_Data!$K:$K&lt;(A23+1))*(Working_Data!$J:$J="Resolved")*(Working_Data!$O:$O&lt;=Working_Data!$I:$I))/C23,0)</f>
        <v>0.6</v>
      </c>
      <c r="E23">
        <f>COUNTIFS(Working_Data!$J:$J,"Open")+COUNTIFS(Working_Data!$J:$J,"In Progress")</f>
        <v>627</v>
      </c>
    </row>
    <row r="24" spans="1:5" x14ac:dyDescent="0.25">
      <c r="A24" s="5">
        <v>46045</v>
      </c>
      <c r="B24">
        <f>COUNTIFS(Working_Data!$B:$B,"&gt;="&amp;A24,Working_Data!$B:$B,"&lt;"&amp;(A24+1))</f>
        <v>14</v>
      </c>
      <c r="C24">
        <f>COUNTIFS(Working_Data!$K:$K,"&gt;="&amp;A24,Working_Data!$K:$K,"&lt;"&amp;(A24+1),Working_Data!$J:$J,"Resolved")</f>
        <v>7</v>
      </c>
      <c r="D24" s="21">
        <f>IFERROR(SUMPRODUCT((Working_Data!$K:$K&gt;=A24)*(Working_Data!$K:$K&lt;(A24+1))*(Working_Data!$J:$J="Resolved")*(Working_Data!$O:$O&lt;=Working_Data!$I:$I))/C24,0)</f>
        <v>0.7142857142857143</v>
      </c>
      <c r="E24">
        <f>COUNTIFS(Working_Data!$J:$J,"Open")+COUNTIFS(Working_Data!$J:$J,"In Progress")</f>
        <v>627</v>
      </c>
    </row>
    <row r="25" spans="1:5" x14ac:dyDescent="0.25">
      <c r="A25" s="5">
        <v>46046</v>
      </c>
      <c r="B25">
        <f>COUNTIFS(Working_Data!$B:$B,"&gt;="&amp;A25,Working_Data!$B:$B,"&lt;"&amp;(A25+1))</f>
        <v>13</v>
      </c>
      <c r="C25">
        <f>COUNTIFS(Working_Data!$K:$K,"&gt;="&amp;A25,Working_Data!$K:$K,"&lt;"&amp;(A25+1),Working_Data!$J:$J,"Resolved")</f>
        <v>11</v>
      </c>
      <c r="D25" s="21">
        <f>IFERROR(SUMPRODUCT((Working_Data!$K:$K&gt;=A25)*(Working_Data!$K:$K&lt;(A25+1))*(Working_Data!$J:$J="Resolved")*(Working_Data!$O:$O&lt;=Working_Data!$I:$I))/C25,0)</f>
        <v>0.81818181818181823</v>
      </c>
      <c r="E25">
        <f>COUNTIFS(Working_Data!$J:$J,"Open")+COUNTIFS(Working_Data!$J:$J,"In Progress")</f>
        <v>627</v>
      </c>
    </row>
    <row r="26" spans="1:5" x14ac:dyDescent="0.25">
      <c r="A26" s="5">
        <v>46047</v>
      </c>
      <c r="B26">
        <f>COUNTIFS(Working_Data!$B:$B,"&gt;="&amp;A26,Working_Data!$B:$B,"&lt;"&amp;(A26+1))</f>
        <v>16</v>
      </c>
      <c r="C26">
        <f>COUNTIFS(Working_Data!$K:$K,"&gt;="&amp;A26,Working_Data!$K:$K,"&lt;"&amp;(A26+1),Working_Data!$J:$J,"Resolved")</f>
        <v>3</v>
      </c>
      <c r="D26" s="21">
        <f>IFERROR(SUMPRODUCT((Working_Data!$K:$K&gt;=A26)*(Working_Data!$K:$K&lt;(A26+1))*(Working_Data!$J:$J="Resolved")*(Working_Data!$O:$O&lt;=Working_Data!$I:$I))/C26,0)</f>
        <v>1</v>
      </c>
      <c r="E26">
        <f>COUNTIFS(Working_Data!$J:$J,"Open")+COUNTIFS(Working_Data!$J:$J,"In Progress")</f>
        <v>627</v>
      </c>
    </row>
    <row r="27" spans="1:5" x14ac:dyDescent="0.25">
      <c r="A27" s="5">
        <v>46048</v>
      </c>
      <c r="B27">
        <f>COUNTIFS(Working_Data!$B:$B,"&gt;="&amp;A27,Working_Data!$B:$B,"&lt;"&amp;(A27+1))</f>
        <v>12</v>
      </c>
      <c r="C27">
        <f>COUNTIFS(Working_Data!$K:$K,"&gt;="&amp;A27,Working_Data!$K:$K,"&lt;"&amp;(A27+1),Working_Data!$J:$J,"Resolved")</f>
        <v>5</v>
      </c>
      <c r="D27" s="21">
        <f>IFERROR(SUMPRODUCT((Working_Data!$K:$K&gt;=A27)*(Working_Data!$K:$K&lt;(A27+1))*(Working_Data!$J:$J="Resolved")*(Working_Data!$O:$O&lt;=Working_Data!$I:$I))/C27,0)</f>
        <v>0.8</v>
      </c>
      <c r="E27">
        <f>COUNTIFS(Working_Data!$J:$J,"Open")+COUNTIFS(Working_Data!$J:$J,"In Progress")</f>
        <v>627</v>
      </c>
    </row>
    <row r="28" spans="1:5" x14ac:dyDescent="0.25">
      <c r="A28" s="5">
        <v>46049</v>
      </c>
      <c r="B28">
        <f>COUNTIFS(Working_Data!$B:$B,"&gt;="&amp;A28,Working_Data!$B:$B,"&lt;"&amp;(A28+1))</f>
        <v>13</v>
      </c>
      <c r="C28">
        <f>COUNTIFS(Working_Data!$K:$K,"&gt;="&amp;A28,Working_Data!$K:$K,"&lt;"&amp;(A28+1),Working_Data!$J:$J,"Resolved")</f>
        <v>6</v>
      </c>
      <c r="D28" s="21">
        <f>IFERROR(SUMPRODUCT((Working_Data!$K:$K&gt;=A28)*(Working_Data!$K:$K&lt;(A28+1))*(Working_Data!$J:$J="Resolved")*(Working_Data!$O:$O&lt;=Working_Data!$I:$I))/C28,0)</f>
        <v>1</v>
      </c>
      <c r="E28">
        <f>COUNTIFS(Working_Data!$J:$J,"Open")+COUNTIFS(Working_Data!$J:$J,"In Progress")</f>
        <v>627</v>
      </c>
    </row>
    <row r="29" spans="1:5" x14ac:dyDescent="0.25">
      <c r="A29" s="5">
        <v>46050</v>
      </c>
      <c r="B29">
        <f>COUNTIFS(Working_Data!$B:$B,"&gt;="&amp;A29,Working_Data!$B:$B,"&lt;"&amp;(A29+1))</f>
        <v>14</v>
      </c>
      <c r="C29">
        <f>COUNTIFS(Working_Data!$K:$K,"&gt;="&amp;A29,Working_Data!$K:$K,"&lt;"&amp;(A29+1),Working_Data!$J:$J,"Resolved")</f>
        <v>4</v>
      </c>
      <c r="D29" s="21">
        <f>IFERROR(SUMPRODUCT((Working_Data!$K:$K&gt;=A29)*(Working_Data!$K:$K&lt;(A29+1))*(Working_Data!$J:$J="Resolved")*(Working_Data!$O:$O&lt;=Working_Data!$I:$I))/C29,0)</f>
        <v>1</v>
      </c>
      <c r="E29">
        <f>COUNTIFS(Working_Data!$J:$J,"Open")+COUNTIFS(Working_Data!$J:$J,"In Progress")</f>
        <v>627</v>
      </c>
    </row>
    <row r="30" spans="1:5" x14ac:dyDescent="0.25">
      <c r="A30" s="5">
        <v>46051</v>
      </c>
      <c r="B30">
        <f>COUNTIFS(Working_Data!$B:$B,"&gt;="&amp;A30,Working_Data!$B:$B,"&lt;"&amp;(A30+1))</f>
        <v>16</v>
      </c>
      <c r="C30">
        <f>COUNTIFS(Working_Data!$K:$K,"&gt;="&amp;A30,Working_Data!$K:$K,"&lt;"&amp;(A30+1),Working_Data!$J:$J,"Resolved")</f>
        <v>5</v>
      </c>
      <c r="D30" s="21">
        <f>IFERROR(SUMPRODUCT((Working_Data!$K:$K&gt;=A30)*(Working_Data!$K:$K&lt;(A30+1))*(Working_Data!$J:$J="Resolved")*(Working_Data!$O:$O&lt;=Working_Data!$I:$I))/C30,0)</f>
        <v>1</v>
      </c>
      <c r="E30">
        <f>COUNTIFS(Working_Data!$J:$J,"Open")+COUNTIFS(Working_Data!$J:$J,"In Progress")</f>
        <v>627</v>
      </c>
    </row>
    <row r="31" spans="1:5" x14ac:dyDescent="0.25">
      <c r="A31" s="5">
        <v>46052</v>
      </c>
      <c r="B31">
        <f>COUNTIFS(Working_Data!$B:$B,"&gt;="&amp;A31,Working_Data!$B:$B,"&lt;"&amp;(A31+1))</f>
        <v>12</v>
      </c>
      <c r="C31">
        <f>COUNTIFS(Working_Data!$K:$K,"&gt;="&amp;A31,Working_Data!$K:$K,"&lt;"&amp;(A31+1),Working_Data!$J:$J,"Resolved")</f>
        <v>4</v>
      </c>
      <c r="D31" s="21">
        <f>IFERROR(SUMPRODUCT((Working_Data!$K:$K&gt;=A31)*(Working_Data!$K:$K&lt;(A31+1))*(Working_Data!$J:$J="Resolved")*(Working_Data!$O:$O&lt;=Working_Data!$I:$I))/C31,0)</f>
        <v>0.75</v>
      </c>
      <c r="E31">
        <f>COUNTIFS(Working_Data!$J:$J,"Open")+COUNTIFS(Working_Data!$J:$J,"In Progress")</f>
        <v>627</v>
      </c>
    </row>
    <row r="32" spans="1:5" x14ac:dyDescent="0.25">
      <c r="A32" s="5">
        <v>46053</v>
      </c>
      <c r="B32">
        <f>COUNTIFS(Working_Data!$B:$B,"&gt;="&amp;A32,Working_Data!$B:$B,"&lt;"&amp;(A32+1))</f>
        <v>7</v>
      </c>
      <c r="C32">
        <f>COUNTIFS(Working_Data!$K:$K,"&gt;="&amp;A32,Working_Data!$K:$K,"&lt;"&amp;(A32+1),Working_Data!$J:$J,"Resolved")</f>
        <v>4</v>
      </c>
      <c r="D32" s="21">
        <f>IFERROR(SUMPRODUCT((Working_Data!$K:$K&gt;=A32)*(Working_Data!$K:$K&lt;(A32+1))*(Working_Data!$J:$J="Resolved")*(Working_Data!$O:$O&lt;=Working_Data!$I:$I))/C32,0)</f>
        <v>0.5</v>
      </c>
      <c r="E32">
        <f>COUNTIFS(Working_Data!$J:$J,"Open")+COUNTIFS(Working_Data!$J:$J,"In Progress")</f>
        <v>627</v>
      </c>
    </row>
    <row r="33" spans="1:5" x14ac:dyDescent="0.25">
      <c r="A33" s="5">
        <v>46054</v>
      </c>
      <c r="B33">
        <f>COUNTIFS(Working_Data!$B:$B,"&gt;="&amp;A33,Working_Data!$B:$B,"&lt;"&amp;(A33+1))</f>
        <v>10</v>
      </c>
      <c r="C33">
        <f>COUNTIFS(Working_Data!$K:$K,"&gt;="&amp;A33,Working_Data!$K:$K,"&lt;"&amp;(A33+1),Working_Data!$J:$J,"Resolved")</f>
        <v>5</v>
      </c>
      <c r="D33" s="21">
        <f>IFERROR(SUMPRODUCT((Working_Data!$K:$K&gt;=A33)*(Working_Data!$K:$K&lt;(A33+1))*(Working_Data!$J:$J="Resolved")*(Working_Data!$O:$O&lt;=Working_Data!$I:$I))/C33,0)</f>
        <v>0.6</v>
      </c>
      <c r="E33">
        <f>COUNTIFS(Working_Data!$J:$J,"Open")+COUNTIFS(Working_Data!$J:$J,"In Progress")</f>
        <v>627</v>
      </c>
    </row>
    <row r="34" spans="1:5" x14ac:dyDescent="0.25">
      <c r="A34" s="5">
        <v>46055</v>
      </c>
      <c r="B34">
        <f>COUNTIFS(Working_Data!$B:$B,"&gt;="&amp;A34,Working_Data!$B:$B,"&lt;"&amp;(A34+1))</f>
        <v>11</v>
      </c>
      <c r="C34">
        <f>COUNTIFS(Working_Data!$K:$K,"&gt;="&amp;A34,Working_Data!$K:$K,"&lt;"&amp;(A34+1),Working_Data!$J:$J,"Resolved")</f>
        <v>4</v>
      </c>
      <c r="D34" s="21">
        <f>IFERROR(SUMPRODUCT((Working_Data!$K:$K&gt;=A34)*(Working_Data!$K:$K&lt;(A34+1))*(Working_Data!$J:$J="Resolved")*(Working_Data!$O:$O&lt;=Working_Data!$I:$I))/C34,0)</f>
        <v>0.75</v>
      </c>
      <c r="E34">
        <f>COUNTIFS(Working_Data!$J:$J,"Open")+COUNTIFS(Working_Data!$J:$J,"In Progress")</f>
        <v>627</v>
      </c>
    </row>
    <row r="35" spans="1:5" x14ac:dyDescent="0.25">
      <c r="A35" s="5">
        <v>46056</v>
      </c>
      <c r="B35">
        <f>COUNTIFS(Working_Data!$B:$B,"&gt;="&amp;A35,Working_Data!$B:$B,"&lt;"&amp;(A35+1))</f>
        <v>10</v>
      </c>
      <c r="C35">
        <f>COUNTIFS(Working_Data!$K:$K,"&gt;="&amp;A35,Working_Data!$K:$K,"&lt;"&amp;(A35+1),Working_Data!$J:$J,"Resolved")</f>
        <v>5</v>
      </c>
      <c r="D35" s="21">
        <f>IFERROR(SUMPRODUCT((Working_Data!$K:$K&gt;=A35)*(Working_Data!$K:$K&lt;(A35+1))*(Working_Data!$J:$J="Resolved")*(Working_Data!$O:$O&lt;=Working_Data!$I:$I))/C35,0)</f>
        <v>0.8</v>
      </c>
      <c r="E35">
        <f>COUNTIFS(Working_Data!$J:$J,"Open")+COUNTIFS(Working_Data!$J:$J,"In Progress")</f>
        <v>627</v>
      </c>
    </row>
    <row r="36" spans="1:5" x14ac:dyDescent="0.25">
      <c r="A36" s="5">
        <v>46057</v>
      </c>
      <c r="B36">
        <f>COUNTIFS(Working_Data!$B:$B,"&gt;="&amp;A36,Working_Data!$B:$B,"&lt;"&amp;(A36+1))</f>
        <v>11</v>
      </c>
      <c r="C36">
        <f>COUNTIFS(Working_Data!$K:$K,"&gt;="&amp;A36,Working_Data!$K:$K,"&lt;"&amp;(A36+1),Working_Data!$J:$J,"Resolved")</f>
        <v>2</v>
      </c>
      <c r="D36" s="21">
        <f>IFERROR(SUMPRODUCT((Working_Data!$K:$K&gt;=A36)*(Working_Data!$K:$K&lt;(A36+1))*(Working_Data!$J:$J="Resolved")*(Working_Data!$O:$O&lt;=Working_Data!$I:$I))/C36,0)</f>
        <v>0</v>
      </c>
      <c r="E36">
        <f>COUNTIFS(Working_Data!$J:$J,"Open")+COUNTIFS(Working_Data!$J:$J,"In Progress")</f>
        <v>627</v>
      </c>
    </row>
    <row r="37" spans="1:5" x14ac:dyDescent="0.25">
      <c r="A37" s="5">
        <v>46058</v>
      </c>
      <c r="B37">
        <f>COUNTIFS(Working_Data!$B:$B,"&gt;="&amp;A37,Working_Data!$B:$B,"&lt;"&amp;(A37+1))</f>
        <v>12</v>
      </c>
      <c r="C37">
        <f>COUNTIFS(Working_Data!$K:$K,"&gt;="&amp;A37,Working_Data!$K:$K,"&lt;"&amp;(A37+1),Working_Data!$J:$J,"Resolved")</f>
        <v>5</v>
      </c>
      <c r="D37" s="21">
        <f>IFERROR(SUMPRODUCT((Working_Data!$K:$K&gt;=A37)*(Working_Data!$K:$K&lt;(A37+1))*(Working_Data!$J:$J="Resolved")*(Working_Data!$O:$O&lt;=Working_Data!$I:$I))/C37,0)</f>
        <v>0.6</v>
      </c>
      <c r="E37">
        <f>COUNTIFS(Working_Data!$J:$J,"Open")+COUNTIFS(Working_Data!$J:$J,"In Progress")</f>
        <v>627</v>
      </c>
    </row>
    <row r="38" spans="1:5" x14ac:dyDescent="0.25">
      <c r="A38" s="5">
        <v>46059</v>
      </c>
      <c r="B38">
        <f>COUNTIFS(Working_Data!$B:$B,"&gt;="&amp;A38,Working_Data!$B:$B,"&lt;"&amp;(A38+1))</f>
        <v>13</v>
      </c>
      <c r="C38">
        <f>COUNTIFS(Working_Data!$K:$K,"&gt;="&amp;A38,Working_Data!$K:$K,"&lt;"&amp;(A38+1),Working_Data!$J:$J,"Resolved")</f>
        <v>2</v>
      </c>
      <c r="D38" s="21">
        <f>IFERROR(SUMPRODUCT((Working_Data!$K:$K&gt;=A38)*(Working_Data!$K:$K&lt;(A38+1))*(Working_Data!$J:$J="Resolved")*(Working_Data!$O:$O&lt;=Working_Data!$I:$I))/C38,0)</f>
        <v>0.5</v>
      </c>
      <c r="E38">
        <f>COUNTIFS(Working_Data!$J:$J,"Open")+COUNTIFS(Working_Data!$J:$J,"In Progress")</f>
        <v>627</v>
      </c>
    </row>
    <row r="39" spans="1:5" x14ac:dyDescent="0.25">
      <c r="A39" s="5">
        <v>46060</v>
      </c>
      <c r="B39">
        <f>COUNTIFS(Working_Data!$B:$B,"&gt;="&amp;A39,Working_Data!$B:$B,"&lt;"&amp;(A39+1))</f>
        <v>15</v>
      </c>
      <c r="C39">
        <f>COUNTIFS(Working_Data!$K:$K,"&gt;="&amp;A39,Working_Data!$K:$K,"&lt;"&amp;(A39+1),Working_Data!$J:$J,"Resolved")</f>
        <v>6</v>
      </c>
      <c r="D39" s="21">
        <f>IFERROR(SUMPRODUCT((Working_Data!$K:$K&gt;=A39)*(Working_Data!$K:$K&lt;(A39+1))*(Working_Data!$J:$J="Resolved")*(Working_Data!$O:$O&lt;=Working_Data!$I:$I))/C39,0)</f>
        <v>0.83333333333333337</v>
      </c>
      <c r="E39">
        <f>COUNTIFS(Working_Data!$J:$J,"Open")+COUNTIFS(Working_Data!$J:$J,"In Progress")</f>
        <v>627</v>
      </c>
    </row>
    <row r="40" spans="1:5" x14ac:dyDescent="0.25">
      <c r="A40" s="5">
        <v>46061</v>
      </c>
      <c r="B40">
        <f>COUNTIFS(Working_Data!$B:$B,"&gt;="&amp;A40,Working_Data!$B:$B,"&lt;"&amp;(A40+1))</f>
        <v>11</v>
      </c>
      <c r="C40">
        <f>COUNTIFS(Working_Data!$K:$K,"&gt;="&amp;A40,Working_Data!$K:$K,"&lt;"&amp;(A40+1),Working_Data!$J:$J,"Resolved")</f>
        <v>7</v>
      </c>
      <c r="D40" s="21">
        <f>IFERROR(SUMPRODUCT((Working_Data!$K:$K&gt;=A40)*(Working_Data!$K:$K&lt;(A40+1))*(Working_Data!$J:$J="Resolved")*(Working_Data!$O:$O&lt;=Working_Data!$I:$I))/C40,0)</f>
        <v>0.8571428571428571</v>
      </c>
      <c r="E40">
        <f>COUNTIFS(Working_Data!$J:$J,"Open")+COUNTIFS(Working_Data!$J:$J,"In Progress")</f>
        <v>627</v>
      </c>
    </row>
    <row r="41" spans="1:5" x14ac:dyDescent="0.25">
      <c r="A41" s="5">
        <v>46062</v>
      </c>
      <c r="B41">
        <f>COUNTIFS(Working_Data!$B:$B,"&gt;="&amp;A41,Working_Data!$B:$B,"&lt;"&amp;(A41+1))</f>
        <v>13</v>
      </c>
      <c r="C41">
        <f>COUNTIFS(Working_Data!$K:$K,"&gt;="&amp;A41,Working_Data!$K:$K,"&lt;"&amp;(A41+1),Working_Data!$J:$J,"Resolved")</f>
        <v>4</v>
      </c>
      <c r="D41" s="21">
        <f>IFERROR(SUMPRODUCT((Working_Data!$K:$K&gt;=A41)*(Working_Data!$K:$K&lt;(A41+1))*(Working_Data!$J:$J="Resolved")*(Working_Data!$O:$O&lt;=Working_Data!$I:$I))/C41,0)</f>
        <v>0.5</v>
      </c>
      <c r="E41">
        <f>COUNTIFS(Working_Data!$J:$J,"Open")+COUNTIFS(Working_Data!$J:$J,"In Progress")</f>
        <v>627</v>
      </c>
    </row>
    <row r="42" spans="1:5" x14ac:dyDescent="0.25">
      <c r="A42" s="5">
        <v>46063</v>
      </c>
      <c r="B42">
        <f>COUNTIFS(Working_Data!$B:$B,"&gt;="&amp;A42,Working_Data!$B:$B,"&lt;"&amp;(A42+1))</f>
        <v>13</v>
      </c>
      <c r="C42">
        <f>COUNTIFS(Working_Data!$K:$K,"&gt;="&amp;A42,Working_Data!$K:$K,"&lt;"&amp;(A42+1),Working_Data!$J:$J,"Resolved")</f>
        <v>3</v>
      </c>
      <c r="D42" s="21">
        <f>IFERROR(SUMPRODUCT((Working_Data!$K:$K&gt;=A42)*(Working_Data!$K:$K&lt;(A42+1))*(Working_Data!$J:$J="Resolved")*(Working_Data!$O:$O&lt;=Working_Data!$I:$I))/C42,0)</f>
        <v>1</v>
      </c>
      <c r="E42">
        <f>COUNTIFS(Working_Data!$J:$J,"Open")+COUNTIFS(Working_Data!$J:$J,"In Progress")</f>
        <v>627</v>
      </c>
    </row>
    <row r="43" spans="1:5" x14ac:dyDescent="0.25">
      <c r="A43" s="5">
        <v>46064</v>
      </c>
      <c r="B43">
        <f>COUNTIFS(Working_Data!$B:$B,"&gt;="&amp;A43,Working_Data!$B:$B,"&lt;"&amp;(A43+1))</f>
        <v>15</v>
      </c>
      <c r="C43">
        <f>COUNTIFS(Working_Data!$K:$K,"&gt;="&amp;A43,Working_Data!$K:$K,"&lt;"&amp;(A43+1),Working_Data!$J:$J,"Resolved")</f>
        <v>7</v>
      </c>
      <c r="D43" s="21">
        <f>IFERROR(SUMPRODUCT((Working_Data!$K:$K&gt;=A43)*(Working_Data!$K:$K&lt;(A43+1))*(Working_Data!$J:$J="Resolved")*(Working_Data!$O:$O&lt;=Working_Data!$I:$I))/C43,0)</f>
        <v>0.8571428571428571</v>
      </c>
      <c r="E43">
        <f>COUNTIFS(Working_Data!$J:$J,"Open")+COUNTIFS(Working_Data!$J:$J,"In Progress")</f>
        <v>627</v>
      </c>
    </row>
    <row r="44" spans="1:5" x14ac:dyDescent="0.25">
      <c r="A44" s="5">
        <v>46065</v>
      </c>
      <c r="B44">
        <f>COUNTIFS(Working_Data!$B:$B,"&gt;="&amp;A44,Working_Data!$B:$B,"&lt;"&amp;(A44+1))</f>
        <v>15</v>
      </c>
      <c r="C44">
        <f>COUNTIFS(Working_Data!$K:$K,"&gt;="&amp;A44,Working_Data!$K:$K,"&lt;"&amp;(A44+1),Working_Data!$J:$J,"Resolved")</f>
        <v>7</v>
      </c>
      <c r="D44" s="21">
        <f>IFERROR(SUMPRODUCT((Working_Data!$K:$K&gt;=A44)*(Working_Data!$K:$K&lt;(A44+1))*(Working_Data!$J:$J="Resolved")*(Working_Data!$O:$O&lt;=Working_Data!$I:$I))/C44,0)</f>
        <v>0.7142857142857143</v>
      </c>
      <c r="E44">
        <f>COUNTIFS(Working_Data!$J:$J,"Open")+COUNTIFS(Working_Data!$J:$J,"In Progress")</f>
        <v>627</v>
      </c>
    </row>
    <row r="45" spans="1:5" x14ac:dyDescent="0.25">
      <c r="A45" s="5">
        <v>46066</v>
      </c>
      <c r="B45">
        <f>COUNTIFS(Working_Data!$B:$B,"&gt;="&amp;A45,Working_Data!$B:$B,"&lt;"&amp;(A45+1))</f>
        <v>12</v>
      </c>
      <c r="C45">
        <f>COUNTIFS(Working_Data!$K:$K,"&gt;="&amp;A45,Working_Data!$K:$K,"&lt;"&amp;(A45+1),Working_Data!$J:$J,"Resolved")</f>
        <v>6</v>
      </c>
      <c r="D45" s="21">
        <f>IFERROR(SUMPRODUCT((Working_Data!$K:$K&gt;=A45)*(Working_Data!$K:$K&lt;(A45+1))*(Working_Data!$J:$J="Resolved")*(Working_Data!$O:$O&lt;=Working_Data!$I:$I))/C45,0)</f>
        <v>1</v>
      </c>
      <c r="E45">
        <f>COUNTIFS(Working_Data!$J:$J,"Open")+COUNTIFS(Working_Data!$J:$J,"In Progress")</f>
        <v>627</v>
      </c>
    </row>
    <row r="46" spans="1:5" x14ac:dyDescent="0.25">
      <c r="A46" s="5">
        <v>46067</v>
      </c>
      <c r="B46">
        <f>COUNTIFS(Working_Data!$B:$B,"&gt;="&amp;A46,Working_Data!$B:$B,"&lt;"&amp;(A46+1))</f>
        <v>9</v>
      </c>
      <c r="C46">
        <f>COUNTIFS(Working_Data!$K:$K,"&gt;="&amp;A46,Working_Data!$K:$K,"&lt;"&amp;(A46+1),Working_Data!$J:$J,"Resolved")</f>
        <v>8</v>
      </c>
      <c r="D46" s="21">
        <f>IFERROR(SUMPRODUCT((Working_Data!$K:$K&gt;=A46)*(Working_Data!$K:$K&lt;(A46+1))*(Working_Data!$J:$J="Resolved")*(Working_Data!$O:$O&lt;=Working_Data!$I:$I))/C46,0)</f>
        <v>0.875</v>
      </c>
      <c r="E46">
        <f>COUNTIFS(Working_Data!$J:$J,"Open")+COUNTIFS(Working_Data!$J:$J,"In Progress")</f>
        <v>627</v>
      </c>
    </row>
    <row r="47" spans="1:5" x14ac:dyDescent="0.25">
      <c r="A47" s="5">
        <v>46068</v>
      </c>
      <c r="B47">
        <f>COUNTIFS(Working_Data!$B:$B,"&gt;="&amp;A47,Working_Data!$B:$B,"&lt;"&amp;(A47+1))</f>
        <v>15</v>
      </c>
      <c r="C47">
        <f>COUNTIFS(Working_Data!$K:$K,"&gt;="&amp;A47,Working_Data!$K:$K,"&lt;"&amp;(A47+1),Working_Data!$J:$J,"Resolved")</f>
        <v>4</v>
      </c>
      <c r="D47" s="21">
        <f>IFERROR(SUMPRODUCT((Working_Data!$K:$K&gt;=A47)*(Working_Data!$K:$K&lt;(A47+1))*(Working_Data!$J:$J="Resolved")*(Working_Data!$O:$O&lt;=Working_Data!$I:$I))/C47,0)</f>
        <v>1</v>
      </c>
      <c r="E47">
        <f>COUNTIFS(Working_Data!$J:$J,"Open")+COUNTIFS(Working_Data!$J:$J,"In Progress")</f>
        <v>627</v>
      </c>
    </row>
    <row r="48" spans="1:5" x14ac:dyDescent="0.25">
      <c r="A48" s="5">
        <v>46069</v>
      </c>
      <c r="B48">
        <f>COUNTIFS(Working_Data!$B:$B,"&gt;="&amp;A48,Working_Data!$B:$B,"&lt;"&amp;(A48+1))</f>
        <v>9</v>
      </c>
      <c r="C48">
        <f>COUNTIFS(Working_Data!$K:$K,"&gt;="&amp;A48,Working_Data!$K:$K,"&lt;"&amp;(A48+1),Working_Data!$J:$J,"Resolved")</f>
        <v>6</v>
      </c>
      <c r="D48" s="21">
        <f>IFERROR(SUMPRODUCT((Working_Data!$K:$K&gt;=A48)*(Working_Data!$K:$K&lt;(A48+1))*(Working_Data!$J:$J="Resolved")*(Working_Data!$O:$O&lt;=Working_Data!$I:$I))/C48,0)</f>
        <v>0.83333333333333337</v>
      </c>
      <c r="E48">
        <f>COUNTIFS(Working_Data!$J:$J,"Open")+COUNTIFS(Working_Data!$J:$J,"In Progress")</f>
        <v>627</v>
      </c>
    </row>
    <row r="49" spans="1:5" x14ac:dyDescent="0.25">
      <c r="A49" s="5">
        <v>46070</v>
      </c>
      <c r="B49">
        <f>COUNTIFS(Working_Data!$B:$B,"&gt;="&amp;A49,Working_Data!$B:$B,"&lt;"&amp;(A49+1))</f>
        <v>9</v>
      </c>
      <c r="C49">
        <f>COUNTIFS(Working_Data!$K:$K,"&gt;="&amp;A49,Working_Data!$K:$K,"&lt;"&amp;(A49+1),Working_Data!$J:$J,"Resolved")</f>
        <v>5</v>
      </c>
      <c r="D49" s="21">
        <f>IFERROR(SUMPRODUCT((Working_Data!$K:$K&gt;=A49)*(Working_Data!$K:$K&lt;(A49+1))*(Working_Data!$J:$J="Resolved")*(Working_Data!$O:$O&lt;=Working_Data!$I:$I))/C49,0)</f>
        <v>0.8</v>
      </c>
      <c r="E49">
        <f>COUNTIFS(Working_Data!$J:$J,"Open")+COUNTIFS(Working_Data!$J:$J,"In Progress")</f>
        <v>627</v>
      </c>
    </row>
    <row r="50" spans="1:5" x14ac:dyDescent="0.25">
      <c r="A50" s="5">
        <v>46071</v>
      </c>
      <c r="B50">
        <f>COUNTIFS(Working_Data!$B:$B,"&gt;="&amp;A50,Working_Data!$B:$B,"&lt;"&amp;(A50+1))</f>
        <v>11</v>
      </c>
      <c r="C50">
        <f>COUNTIFS(Working_Data!$K:$K,"&gt;="&amp;A50,Working_Data!$K:$K,"&lt;"&amp;(A50+1),Working_Data!$J:$J,"Resolved")</f>
        <v>2</v>
      </c>
      <c r="D50" s="21">
        <f>IFERROR(SUMPRODUCT((Working_Data!$K:$K&gt;=A50)*(Working_Data!$K:$K&lt;(A50+1))*(Working_Data!$J:$J="Resolved")*(Working_Data!$O:$O&lt;=Working_Data!$I:$I))/C50,0)</f>
        <v>0.5</v>
      </c>
      <c r="E50">
        <f>COUNTIFS(Working_Data!$J:$J,"Open")+COUNTIFS(Working_Data!$J:$J,"In Progress")</f>
        <v>627</v>
      </c>
    </row>
    <row r="51" spans="1:5" x14ac:dyDescent="0.25">
      <c r="A51" s="5">
        <v>46072</v>
      </c>
      <c r="B51">
        <f>COUNTIFS(Working_Data!$B:$B,"&gt;="&amp;A51,Working_Data!$B:$B,"&lt;"&amp;(A51+1))</f>
        <v>10</v>
      </c>
      <c r="C51">
        <f>COUNTIFS(Working_Data!$K:$K,"&gt;="&amp;A51,Working_Data!$K:$K,"&lt;"&amp;(A51+1),Working_Data!$J:$J,"Resolved")</f>
        <v>7</v>
      </c>
      <c r="D51" s="21">
        <f>IFERROR(SUMPRODUCT((Working_Data!$K:$K&gt;=A51)*(Working_Data!$K:$K&lt;(A51+1))*(Working_Data!$J:$J="Resolved")*(Working_Data!$O:$O&lt;=Working_Data!$I:$I))/C51,0)</f>
        <v>1</v>
      </c>
      <c r="E51">
        <f>COUNTIFS(Working_Data!$J:$J,"Open")+COUNTIFS(Working_Data!$J:$J,"In Progress")</f>
        <v>627</v>
      </c>
    </row>
    <row r="52" spans="1:5" x14ac:dyDescent="0.25">
      <c r="A52" s="5">
        <v>46073</v>
      </c>
      <c r="B52">
        <f>COUNTIFS(Working_Data!$B:$B,"&gt;="&amp;A52,Working_Data!$B:$B,"&lt;"&amp;(A52+1))</f>
        <v>15</v>
      </c>
      <c r="C52">
        <f>COUNTIFS(Working_Data!$K:$K,"&gt;="&amp;A52,Working_Data!$K:$K,"&lt;"&amp;(A52+1),Working_Data!$J:$J,"Resolved")</f>
        <v>9</v>
      </c>
      <c r="D52" s="21">
        <f>IFERROR(SUMPRODUCT((Working_Data!$K:$K&gt;=A52)*(Working_Data!$K:$K&lt;(A52+1))*(Working_Data!$J:$J="Resolved")*(Working_Data!$O:$O&lt;=Working_Data!$I:$I))/C52,0)</f>
        <v>0.77777777777777779</v>
      </c>
      <c r="E52">
        <f>COUNTIFS(Working_Data!$J:$J,"Open")+COUNTIFS(Working_Data!$J:$J,"In Progress")</f>
        <v>627</v>
      </c>
    </row>
    <row r="53" spans="1:5" x14ac:dyDescent="0.25">
      <c r="A53" s="5">
        <v>46074</v>
      </c>
      <c r="B53">
        <f>COUNTIFS(Working_Data!$B:$B,"&gt;="&amp;A53,Working_Data!$B:$B,"&lt;"&amp;(A53+1))</f>
        <v>11</v>
      </c>
      <c r="C53">
        <f>COUNTIFS(Working_Data!$K:$K,"&gt;="&amp;A53,Working_Data!$K:$K,"&lt;"&amp;(A53+1),Working_Data!$J:$J,"Resolved")</f>
        <v>2</v>
      </c>
      <c r="D53" s="21">
        <f>IFERROR(SUMPRODUCT((Working_Data!$K:$K&gt;=A53)*(Working_Data!$K:$K&lt;(A53+1))*(Working_Data!$J:$J="Resolved")*(Working_Data!$O:$O&lt;=Working_Data!$I:$I))/C53,0)</f>
        <v>1</v>
      </c>
      <c r="E53">
        <f>COUNTIFS(Working_Data!$J:$J,"Open")+COUNTIFS(Working_Data!$J:$J,"In Progress")</f>
        <v>627</v>
      </c>
    </row>
    <row r="54" spans="1:5" x14ac:dyDescent="0.25">
      <c r="A54" s="5">
        <v>46075</v>
      </c>
      <c r="B54">
        <f>COUNTIFS(Working_Data!$B:$B,"&gt;="&amp;A54,Working_Data!$B:$B,"&lt;"&amp;(A54+1))</f>
        <v>10</v>
      </c>
      <c r="C54">
        <f>COUNTIFS(Working_Data!$K:$K,"&gt;="&amp;A54,Working_Data!$K:$K,"&lt;"&amp;(A54+1),Working_Data!$J:$J,"Resolved")</f>
        <v>4</v>
      </c>
      <c r="D54" s="21">
        <f>IFERROR(SUMPRODUCT((Working_Data!$K:$K&gt;=A54)*(Working_Data!$K:$K&lt;(A54+1))*(Working_Data!$J:$J="Resolved")*(Working_Data!$O:$O&lt;=Working_Data!$I:$I))/C54,0)</f>
        <v>0.75</v>
      </c>
      <c r="E54">
        <f>COUNTIFS(Working_Data!$J:$J,"Open")+COUNTIFS(Working_Data!$J:$J,"In Progress")</f>
        <v>627</v>
      </c>
    </row>
    <row r="55" spans="1:5" x14ac:dyDescent="0.25">
      <c r="A55" s="5">
        <v>46076</v>
      </c>
      <c r="B55">
        <f>COUNTIFS(Working_Data!$B:$B,"&gt;="&amp;A55,Working_Data!$B:$B,"&lt;"&amp;(A55+1))</f>
        <v>3</v>
      </c>
      <c r="C55">
        <f>COUNTIFS(Working_Data!$K:$K,"&gt;="&amp;A55,Working_Data!$K:$K,"&lt;"&amp;(A55+1),Working_Data!$J:$J,"Resolved")</f>
        <v>3</v>
      </c>
      <c r="D55" s="21">
        <f>IFERROR(SUMPRODUCT((Working_Data!$K:$K&gt;=A55)*(Working_Data!$K:$K&lt;(A55+1))*(Working_Data!$J:$J="Resolved")*(Working_Data!$O:$O&lt;=Working_Data!$I:$I))/C55,0)</f>
        <v>0.66666666666666663</v>
      </c>
      <c r="E55">
        <f>COUNTIFS(Working_Data!$J:$J,"Open")+COUNTIFS(Working_Data!$J:$J,"In Progress")</f>
        <v>627</v>
      </c>
    </row>
    <row r="56" spans="1:5" x14ac:dyDescent="0.25">
      <c r="A56" s="5">
        <v>46077</v>
      </c>
      <c r="B56">
        <f>COUNTIFS(Working_Data!$B:$B,"&gt;="&amp;A56,Working_Data!$B:$B,"&lt;"&amp;(A56+1))</f>
        <v>15</v>
      </c>
      <c r="C56">
        <f>COUNTIFS(Working_Data!$K:$K,"&gt;="&amp;A56,Working_Data!$K:$K,"&lt;"&amp;(A56+1),Working_Data!$J:$J,"Resolved")</f>
        <v>6</v>
      </c>
      <c r="D56" s="21">
        <f>IFERROR(SUMPRODUCT((Working_Data!$K:$K&gt;=A56)*(Working_Data!$K:$K&lt;(A56+1))*(Working_Data!$J:$J="Resolved")*(Working_Data!$O:$O&lt;=Working_Data!$I:$I))/C56,0)</f>
        <v>1</v>
      </c>
      <c r="E56">
        <f>COUNTIFS(Working_Data!$J:$J,"Open")+COUNTIFS(Working_Data!$J:$J,"In Progress")</f>
        <v>627</v>
      </c>
    </row>
    <row r="57" spans="1:5" x14ac:dyDescent="0.25">
      <c r="A57" s="5">
        <v>46078</v>
      </c>
      <c r="B57">
        <f>COUNTIFS(Working_Data!$B:$B,"&gt;="&amp;A57,Working_Data!$B:$B,"&lt;"&amp;(A57+1))</f>
        <v>12</v>
      </c>
      <c r="C57">
        <f>COUNTIFS(Working_Data!$K:$K,"&gt;="&amp;A57,Working_Data!$K:$K,"&lt;"&amp;(A57+1),Working_Data!$J:$J,"Resolved")</f>
        <v>4</v>
      </c>
      <c r="D57" s="21">
        <f>IFERROR(SUMPRODUCT((Working_Data!$K:$K&gt;=A57)*(Working_Data!$K:$K&lt;(A57+1))*(Working_Data!$J:$J="Resolved")*(Working_Data!$O:$O&lt;=Working_Data!$I:$I))/C57,0)</f>
        <v>0.75</v>
      </c>
      <c r="E57">
        <f>COUNTIFS(Working_Data!$J:$J,"Open")+COUNTIFS(Working_Data!$J:$J,"In Progress")</f>
        <v>627</v>
      </c>
    </row>
    <row r="58" spans="1:5" x14ac:dyDescent="0.25">
      <c r="A58" s="5">
        <v>46079</v>
      </c>
      <c r="B58">
        <f>COUNTIFS(Working_Data!$B:$B,"&gt;="&amp;A58,Working_Data!$B:$B,"&lt;"&amp;(A58+1))</f>
        <v>13</v>
      </c>
      <c r="C58">
        <f>COUNTIFS(Working_Data!$K:$K,"&gt;="&amp;A58,Working_Data!$K:$K,"&lt;"&amp;(A58+1),Working_Data!$J:$J,"Resolved")</f>
        <v>4</v>
      </c>
      <c r="D58" s="21">
        <f>IFERROR(SUMPRODUCT((Working_Data!$K:$K&gt;=A58)*(Working_Data!$K:$K&lt;(A58+1))*(Working_Data!$J:$J="Resolved")*(Working_Data!$O:$O&lt;=Working_Data!$I:$I))/C58,0)</f>
        <v>1</v>
      </c>
      <c r="E58">
        <f>COUNTIFS(Working_Data!$J:$J,"Open")+COUNTIFS(Working_Data!$J:$J,"In Progress")</f>
        <v>627</v>
      </c>
    </row>
    <row r="59" spans="1:5" x14ac:dyDescent="0.25">
      <c r="A59" s="5">
        <v>46080</v>
      </c>
      <c r="B59">
        <f>COUNTIFS(Working_Data!$B:$B,"&gt;="&amp;A59,Working_Data!$B:$B,"&lt;"&amp;(A59+1))</f>
        <v>13</v>
      </c>
      <c r="C59">
        <f>COUNTIFS(Working_Data!$K:$K,"&gt;="&amp;A59,Working_Data!$K:$K,"&lt;"&amp;(A59+1),Working_Data!$J:$J,"Resolved")</f>
        <v>3</v>
      </c>
      <c r="D59" s="21">
        <f>IFERROR(SUMPRODUCT((Working_Data!$K:$K&gt;=A59)*(Working_Data!$K:$K&lt;(A59+1))*(Working_Data!$J:$J="Resolved")*(Working_Data!$O:$O&lt;=Working_Data!$I:$I))/C59,0)</f>
        <v>0.66666666666666663</v>
      </c>
      <c r="E59">
        <f>COUNTIFS(Working_Data!$J:$J,"Open")+COUNTIFS(Working_Data!$J:$J,"In Progress")</f>
        <v>627</v>
      </c>
    </row>
    <row r="60" spans="1:5" x14ac:dyDescent="0.25">
      <c r="A60" s="5">
        <v>46081</v>
      </c>
      <c r="B60">
        <f>COUNTIFS(Working_Data!$B:$B,"&gt;="&amp;A60,Working_Data!$B:$B,"&lt;"&amp;(A60+1))</f>
        <v>15</v>
      </c>
      <c r="C60">
        <f>COUNTIFS(Working_Data!$K:$K,"&gt;="&amp;A60,Working_Data!$K:$K,"&lt;"&amp;(A60+1),Working_Data!$J:$J,"Resolved")</f>
        <v>5</v>
      </c>
      <c r="D60" s="21">
        <f>IFERROR(SUMPRODUCT((Working_Data!$K:$K&gt;=A60)*(Working_Data!$K:$K&lt;(A60+1))*(Working_Data!$J:$J="Resolved")*(Working_Data!$O:$O&lt;=Working_Data!$I:$I))/C60,0)</f>
        <v>0.8</v>
      </c>
      <c r="E60">
        <f>COUNTIFS(Working_Data!$J:$J,"Open")+COUNTIFS(Working_Data!$J:$J,"In Progress")</f>
        <v>627</v>
      </c>
    </row>
    <row r="61" spans="1:5" x14ac:dyDescent="0.25">
      <c r="A61" s="5">
        <v>46082</v>
      </c>
      <c r="B61">
        <f>COUNTIFS(Working_Data!$B:$B,"&gt;="&amp;A61,Working_Data!$B:$B,"&lt;"&amp;(A61+1))</f>
        <v>17</v>
      </c>
      <c r="C61">
        <f>COUNTIFS(Working_Data!$K:$K,"&gt;="&amp;A61,Working_Data!$K:$K,"&lt;"&amp;(A61+1),Working_Data!$J:$J,"Resolved")</f>
        <v>4</v>
      </c>
      <c r="D61" s="21">
        <f>IFERROR(SUMPRODUCT((Working_Data!$K:$K&gt;=A61)*(Working_Data!$K:$K&lt;(A61+1))*(Working_Data!$J:$J="Resolved")*(Working_Data!$O:$O&lt;=Working_Data!$I:$I))/C61,0)</f>
        <v>1</v>
      </c>
      <c r="E61">
        <f>COUNTIFS(Working_Data!$J:$J,"Open")+COUNTIFS(Working_Data!$J:$J,"In Progress")</f>
        <v>627</v>
      </c>
    </row>
    <row r="62" spans="1:5" x14ac:dyDescent="0.25">
      <c r="A62" s="5">
        <v>46083</v>
      </c>
      <c r="B62">
        <f>COUNTIFS(Working_Data!$B:$B,"&gt;="&amp;A62,Working_Data!$B:$B,"&lt;"&amp;(A62+1))</f>
        <v>12</v>
      </c>
      <c r="C62">
        <f>COUNTIFS(Working_Data!$K:$K,"&gt;="&amp;A62,Working_Data!$K:$K,"&lt;"&amp;(A62+1),Working_Data!$J:$J,"Resolved")</f>
        <v>3</v>
      </c>
      <c r="D62" s="21">
        <f>IFERROR(SUMPRODUCT((Working_Data!$K:$K&gt;=A62)*(Working_Data!$K:$K&lt;(A62+1))*(Working_Data!$J:$J="Resolved")*(Working_Data!$O:$O&lt;=Working_Data!$I:$I))/C62,0)</f>
        <v>0.33333333333333331</v>
      </c>
      <c r="E62">
        <f>COUNTIFS(Working_Data!$J:$J,"Open")+COUNTIFS(Working_Data!$J:$J,"In Progress")</f>
        <v>627</v>
      </c>
    </row>
    <row r="63" spans="1:5" x14ac:dyDescent="0.25">
      <c r="A63" s="5">
        <v>46084</v>
      </c>
      <c r="B63">
        <f>COUNTIFS(Working_Data!$B:$B,"&gt;="&amp;A63,Working_Data!$B:$B,"&lt;"&amp;(A63+1))</f>
        <v>15</v>
      </c>
      <c r="C63">
        <f>COUNTIFS(Working_Data!$K:$K,"&gt;="&amp;A63,Working_Data!$K:$K,"&lt;"&amp;(A63+1),Working_Data!$J:$J,"Resolved")</f>
        <v>6</v>
      </c>
      <c r="D63" s="21">
        <f>IFERROR(SUMPRODUCT((Working_Data!$K:$K&gt;=A63)*(Working_Data!$K:$K&lt;(A63+1))*(Working_Data!$J:$J="Resolved")*(Working_Data!$O:$O&lt;=Working_Data!$I:$I))/C63,0)</f>
        <v>1</v>
      </c>
      <c r="E63">
        <f>COUNTIFS(Working_Data!$J:$J,"Open")+COUNTIFS(Working_Data!$J:$J,"In Progress")</f>
        <v>627</v>
      </c>
    </row>
    <row r="64" spans="1:5" x14ac:dyDescent="0.25">
      <c r="A64" s="5">
        <v>46085</v>
      </c>
      <c r="B64">
        <f>COUNTIFS(Working_Data!$B:$B,"&gt;="&amp;A64,Working_Data!$B:$B,"&lt;"&amp;(A64+1))</f>
        <v>10</v>
      </c>
      <c r="C64">
        <f>COUNTIFS(Working_Data!$K:$K,"&gt;="&amp;A64,Working_Data!$K:$K,"&lt;"&amp;(A64+1),Working_Data!$J:$J,"Resolved")</f>
        <v>5</v>
      </c>
      <c r="D64" s="21">
        <f>IFERROR(SUMPRODUCT((Working_Data!$K:$K&gt;=A64)*(Working_Data!$K:$K&lt;(A64+1))*(Working_Data!$J:$J="Resolved")*(Working_Data!$O:$O&lt;=Working_Data!$I:$I))/C64,0)</f>
        <v>1</v>
      </c>
      <c r="E64">
        <f>COUNTIFS(Working_Data!$J:$J,"Open")+COUNTIFS(Working_Data!$J:$J,"In Progress")</f>
        <v>627</v>
      </c>
    </row>
    <row r="65" spans="1:5" x14ac:dyDescent="0.25">
      <c r="A65" s="5">
        <v>46086</v>
      </c>
      <c r="B65">
        <f>COUNTIFS(Working_Data!$B:$B,"&gt;="&amp;A65,Working_Data!$B:$B,"&lt;"&amp;(A65+1))</f>
        <v>26</v>
      </c>
      <c r="C65">
        <f>COUNTIFS(Working_Data!$K:$K,"&gt;="&amp;A65,Working_Data!$K:$K,"&lt;"&amp;(A65+1),Working_Data!$J:$J,"Resolved")</f>
        <v>5</v>
      </c>
      <c r="D65" s="21">
        <f>IFERROR(SUMPRODUCT((Working_Data!$K:$K&gt;=A65)*(Working_Data!$K:$K&lt;(A65+1))*(Working_Data!$J:$J="Resolved")*(Working_Data!$O:$O&lt;=Working_Data!$I:$I))/C65,0)</f>
        <v>0.8</v>
      </c>
      <c r="E65">
        <f>COUNTIFS(Working_Data!$J:$J,"Open")+COUNTIFS(Working_Data!$J:$J,"In Progress")</f>
        <v>627</v>
      </c>
    </row>
    <row r="66" spans="1:5" x14ac:dyDescent="0.25">
      <c r="A66" s="5">
        <v>46087</v>
      </c>
      <c r="B66">
        <f>COUNTIFS(Working_Data!$B:$B,"&gt;="&amp;A66,Working_Data!$B:$B,"&lt;"&amp;(A66+1))</f>
        <v>17</v>
      </c>
      <c r="C66">
        <f>COUNTIFS(Working_Data!$K:$K,"&gt;="&amp;A66,Working_Data!$K:$K,"&lt;"&amp;(A66+1),Working_Data!$J:$J,"Resolved")</f>
        <v>7</v>
      </c>
      <c r="D66" s="21">
        <f>IFERROR(SUMPRODUCT((Working_Data!$K:$K&gt;=A66)*(Working_Data!$K:$K&lt;(A66+1))*(Working_Data!$J:$J="Resolved")*(Working_Data!$O:$O&lt;=Working_Data!$I:$I))/C66,0)</f>
        <v>1</v>
      </c>
      <c r="E66">
        <f>COUNTIFS(Working_Data!$J:$J,"Open")+COUNTIFS(Working_Data!$J:$J,"In Progress")</f>
        <v>627</v>
      </c>
    </row>
    <row r="67" spans="1:5" x14ac:dyDescent="0.25">
      <c r="A67" s="5">
        <v>46088</v>
      </c>
      <c r="B67">
        <f>COUNTIFS(Working_Data!$B:$B,"&gt;="&amp;A67,Working_Data!$B:$B,"&lt;"&amp;(A67+1))</f>
        <v>9</v>
      </c>
      <c r="C67">
        <f>COUNTIFS(Working_Data!$K:$K,"&gt;="&amp;A67,Working_Data!$K:$K,"&lt;"&amp;(A67+1),Working_Data!$J:$J,"Resolved")</f>
        <v>4</v>
      </c>
      <c r="D67" s="21">
        <f>IFERROR(SUMPRODUCT((Working_Data!$K:$K&gt;=A67)*(Working_Data!$K:$K&lt;(A67+1))*(Working_Data!$J:$J="Resolved")*(Working_Data!$O:$O&lt;=Working_Data!$I:$I))/C67,0)</f>
        <v>1</v>
      </c>
      <c r="E67">
        <f>COUNTIFS(Working_Data!$J:$J,"Open")+COUNTIFS(Working_Data!$J:$J,"In Progress")</f>
        <v>627</v>
      </c>
    </row>
    <row r="68" spans="1:5" x14ac:dyDescent="0.25">
      <c r="A68" s="5">
        <v>46089</v>
      </c>
      <c r="B68">
        <f>COUNTIFS(Working_Data!$B:$B,"&gt;="&amp;A68,Working_Data!$B:$B,"&lt;"&amp;(A68+1))</f>
        <v>18</v>
      </c>
      <c r="C68">
        <f>COUNTIFS(Working_Data!$K:$K,"&gt;="&amp;A68,Working_Data!$K:$K,"&lt;"&amp;(A68+1),Working_Data!$J:$J,"Resolved")</f>
        <v>5</v>
      </c>
      <c r="D68" s="21">
        <f>IFERROR(SUMPRODUCT((Working_Data!$K:$K&gt;=A68)*(Working_Data!$K:$K&lt;(A68+1))*(Working_Data!$J:$J="Resolved")*(Working_Data!$O:$O&lt;=Working_Data!$I:$I))/C68,0)</f>
        <v>1</v>
      </c>
      <c r="E68">
        <f>COUNTIFS(Working_Data!$J:$J,"Open")+COUNTIFS(Working_Data!$J:$J,"In Progress")</f>
        <v>627</v>
      </c>
    </row>
    <row r="69" spans="1:5" x14ac:dyDescent="0.25">
      <c r="A69" s="5">
        <v>46090</v>
      </c>
      <c r="B69">
        <f>COUNTIFS(Working_Data!$B:$B,"&gt;="&amp;A69,Working_Data!$B:$B,"&lt;"&amp;(A69+1))</f>
        <v>11</v>
      </c>
      <c r="C69">
        <f>COUNTIFS(Working_Data!$K:$K,"&gt;="&amp;A69,Working_Data!$K:$K,"&lt;"&amp;(A69+1),Working_Data!$J:$J,"Resolved")</f>
        <v>3</v>
      </c>
      <c r="D69" s="21">
        <f>IFERROR(SUMPRODUCT((Working_Data!$K:$K&gt;=A69)*(Working_Data!$K:$K&lt;(A69+1))*(Working_Data!$J:$J="Resolved")*(Working_Data!$O:$O&lt;=Working_Data!$I:$I))/C69,0)</f>
        <v>0.66666666666666663</v>
      </c>
      <c r="E69">
        <f>COUNTIFS(Working_Data!$J:$J,"Open")+COUNTIFS(Working_Data!$J:$J,"In Progress")</f>
        <v>627</v>
      </c>
    </row>
    <row r="70" spans="1:5" x14ac:dyDescent="0.25">
      <c r="A70" s="5">
        <v>46091</v>
      </c>
      <c r="B70">
        <f>COUNTIFS(Working_Data!$B:$B,"&gt;="&amp;A70,Working_Data!$B:$B,"&lt;"&amp;(A70+1))</f>
        <v>17</v>
      </c>
      <c r="C70">
        <f>COUNTIFS(Working_Data!$K:$K,"&gt;="&amp;A70,Working_Data!$K:$K,"&lt;"&amp;(A70+1),Working_Data!$J:$J,"Resolved")</f>
        <v>6</v>
      </c>
      <c r="D70" s="21">
        <f>IFERROR(SUMPRODUCT((Working_Data!$K:$K&gt;=A70)*(Working_Data!$K:$K&lt;(A70+1))*(Working_Data!$J:$J="Resolved")*(Working_Data!$O:$O&lt;=Working_Data!$I:$I))/C70,0)</f>
        <v>0.5</v>
      </c>
      <c r="E70">
        <f>COUNTIFS(Working_Data!$J:$J,"Open")+COUNTIFS(Working_Data!$J:$J,"In Progress")</f>
        <v>627</v>
      </c>
    </row>
    <row r="71" spans="1:5" x14ac:dyDescent="0.25">
      <c r="A71" s="5">
        <v>46092</v>
      </c>
      <c r="B71">
        <f>COUNTIFS(Working_Data!$B:$B,"&gt;="&amp;A71,Working_Data!$B:$B,"&lt;"&amp;(A71+1))</f>
        <v>13</v>
      </c>
      <c r="C71">
        <f>COUNTIFS(Working_Data!$K:$K,"&gt;="&amp;A71,Working_Data!$K:$K,"&lt;"&amp;(A71+1),Working_Data!$J:$J,"Resolved")</f>
        <v>8</v>
      </c>
      <c r="D71" s="21">
        <f>IFERROR(SUMPRODUCT((Working_Data!$K:$K&gt;=A71)*(Working_Data!$K:$K&lt;(A71+1))*(Working_Data!$J:$J="Resolved")*(Working_Data!$O:$O&lt;=Working_Data!$I:$I))/C71,0)</f>
        <v>0.375</v>
      </c>
      <c r="E71">
        <f>COUNTIFS(Working_Data!$J:$J,"Open")+COUNTIFS(Working_Data!$J:$J,"In Progress")</f>
        <v>627</v>
      </c>
    </row>
    <row r="72" spans="1:5" x14ac:dyDescent="0.25">
      <c r="A72" s="5">
        <v>46093</v>
      </c>
      <c r="B72">
        <f>COUNTIFS(Working_Data!$B:$B,"&gt;="&amp;A72,Working_Data!$B:$B,"&lt;"&amp;(A72+1))</f>
        <v>12</v>
      </c>
      <c r="C72">
        <f>COUNTIFS(Working_Data!$K:$K,"&gt;="&amp;A72,Working_Data!$K:$K,"&lt;"&amp;(A72+1),Working_Data!$J:$J,"Resolved")</f>
        <v>3</v>
      </c>
      <c r="D72" s="21">
        <f>IFERROR(SUMPRODUCT((Working_Data!$K:$K&gt;=A72)*(Working_Data!$K:$K&lt;(A72+1))*(Working_Data!$J:$J="Resolved")*(Working_Data!$O:$O&lt;=Working_Data!$I:$I))/C72,0)</f>
        <v>0.33333333333333331</v>
      </c>
      <c r="E72">
        <f>COUNTIFS(Working_Data!$J:$J,"Open")+COUNTIFS(Working_Data!$J:$J,"In Progress")</f>
        <v>627</v>
      </c>
    </row>
    <row r="73" spans="1:5" x14ac:dyDescent="0.25">
      <c r="A73" s="5">
        <v>46094</v>
      </c>
      <c r="B73">
        <f>COUNTIFS(Working_Data!$B:$B,"&gt;="&amp;A73,Working_Data!$B:$B,"&lt;"&amp;(A73+1))</f>
        <v>13</v>
      </c>
      <c r="C73">
        <f>COUNTIFS(Working_Data!$K:$K,"&gt;="&amp;A73,Working_Data!$K:$K,"&lt;"&amp;(A73+1),Working_Data!$J:$J,"Resolved")</f>
        <v>6</v>
      </c>
      <c r="D73" s="21">
        <f>IFERROR(SUMPRODUCT((Working_Data!$K:$K&gt;=A73)*(Working_Data!$K:$K&lt;(A73+1))*(Working_Data!$J:$J="Resolved")*(Working_Data!$O:$O&lt;=Working_Data!$I:$I))/C73,0)</f>
        <v>0.83333333333333337</v>
      </c>
      <c r="E73">
        <f>COUNTIFS(Working_Data!$J:$J,"Open")+COUNTIFS(Working_Data!$J:$J,"In Progress")</f>
        <v>627</v>
      </c>
    </row>
    <row r="74" spans="1:5" x14ac:dyDescent="0.25">
      <c r="A74" s="5">
        <v>46095</v>
      </c>
      <c r="B74">
        <f>COUNTIFS(Working_Data!$B:$B,"&gt;="&amp;A74,Working_Data!$B:$B,"&lt;"&amp;(A74+1))</f>
        <v>8</v>
      </c>
      <c r="C74">
        <f>COUNTIFS(Working_Data!$K:$K,"&gt;="&amp;A74,Working_Data!$K:$K,"&lt;"&amp;(A74+1),Working_Data!$J:$J,"Resolved")</f>
        <v>3</v>
      </c>
      <c r="D74" s="21">
        <f>IFERROR(SUMPRODUCT((Working_Data!$K:$K&gt;=A74)*(Working_Data!$K:$K&lt;(A74+1))*(Working_Data!$J:$J="Resolved")*(Working_Data!$O:$O&lt;=Working_Data!$I:$I))/C74,0)</f>
        <v>1</v>
      </c>
      <c r="E74">
        <f>COUNTIFS(Working_Data!$J:$J,"Open")+COUNTIFS(Working_Data!$J:$J,"In Progress")</f>
        <v>627</v>
      </c>
    </row>
    <row r="75" spans="1:5" x14ac:dyDescent="0.25">
      <c r="A75" s="5">
        <v>46096</v>
      </c>
      <c r="B75">
        <f>COUNTIFS(Working_Data!$B:$B,"&gt;="&amp;A75,Working_Data!$B:$B,"&lt;"&amp;(A75+1))</f>
        <v>11</v>
      </c>
      <c r="C75">
        <f>COUNTIFS(Working_Data!$K:$K,"&gt;="&amp;A75,Working_Data!$K:$K,"&lt;"&amp;(A75+1),Working_Data!$J:$J,"Resolved")</f>
        <v>3</v>
      </c>
      <c r="D75" s="21">
        <f>IFERROR(SUMPRODUCT((Working_Data!$K:$K&gt;=A75)*(Working_Data!$K:$K&lt;(A75+1))*(Working_Data!$J:$J="Resolved")*(Working_Data!$O:$O&lt;=Working_Data!$I:$I))/C75,0)</f>
        <v>1</v>
      </c>
      <c r="E75">
        <f>COUNTIFS(Working_Data!$J:$J,"Open")+COUNTIFS(Working_Data!$J:$J,"In Progress")</f>
        <v>627</v>
      </c>
    </row>
    <row r="76" spans="1:5" x14ac:dyDescent="0.25">
      <c r="A76" s="5">
        <v>46097</v>
      </c>
      <c r="B76">
        <f>COUNTIFS(Working_Data!$B:$B,"&gt;="&amp;A76,Working_Data!$B:$B,"&lt;"&amp;(A76+1))</f>
        <v>6</v>
      </c>
      <c r="C76">
        <f>COUNTIFS(Working_Data!$K:$K,"&gt;="&amp;A76,Working_Data!$K:$K,"&lt;"&amp;(A76+1),Working_Data!$J:$J,"Resolved")</f>
        <v>2</v>
      </c>
      <c r="D76" s="21">
        <f>IFERROR(SUMPRODUCT((Working_Data!$K:$K&gt;=A76)*(Working_Data!$K:$K&lt;(A76+1))*(Working_Data!$J:$J="Resolved")*(Working_Data!$O:$O&lt;=Working_Data!$I:$I))/C76,0)</f>
        <v>0.5</v>
      </c>
      <c r="E76">
        <f>COUNTIFS(Working_Data!$J:$J,"Open")+COUNTIFS(Working_Data!$J:$J,"In Progress")</f>
        <v>627</v>
      </c>
    </row>
    <row r="77" spans="1:5" x14ac:dyDescent="0.25">
      <c r="A77" s="5">
        <v>46098</v>
      </c>
      <c r="B77">
        <f>COUNTIFS(Working_Data!$B:$B,"&gt;="&amp;A77,Working_Data!$B:$B,"&lt;"&amp;(A77+1))</f>
        <v>10</v>
      </c>
      <c r="C77">
        <f>COUNTIFS(Working_Data!$K:$K,"&gt;="&amp;A77,Working_Data!$K:$K,"&lt;"&amp;(A77+1),Working_Data!$J:$J,"Resolved")</f>
        <v>2</v>
      </c>
      <c r="D77" s="21">
        <f>IFERROR(SUMPRODUCT((Working_Data!$K:$K&gt;=A77)*(Working_Data!$K:$K&lt;(A77+1))*(Working_Data!$J:$J="Resolved")*(Working_Data!$O:$O&lt;=Working_Data!$I:$I))/C77,0)</f>
        <v>0.5</v>
      </c>
      <c r="E77">
        <f>COUNTIFS(Working_Data!$J:$J,"Open")+COUNTIFS(Working_Data!$J:$J,"In Progress")</f>
        <v>627</v>
      </c>
    </row>
    <row r="78" spans="1:5" x14ac:dyDescent="0.25">
      <c r="A78" s="5">
        <v>46099</v>
      </c>
      <c r="B78">
        <f>COUNTIFS(Working_Data!$B:$B,"&gt;="&amp;A78,Working_Data!$B:$B,"&lt;"&amp;(A78+1))</f>
        <v>14</v>
      </c>
      <c r="C78">
        <f>COUNTIFS(Working_Data!$K:$K,"&gt;="&amp;A78,Working_Data!$K:$K,"&lt;"&amp;(A78+1),Working_Data!$J:$J,"Resolved")</f>
        <v>6</v>
      </c>
      <c r="D78" s="21">
        <f>IFERROR(SUMPRODUCT((Working_Data!$K:$K&gt;=A78)*(Working_Data!$K:$K&lt;(A78+1))*(Working_Data!$J:$J="Resolved")*(Working_Data!$O:$O&lt;=Working_Data!$I:$I))/C78,0)</f>
        <v>0.83333333333333337</v>
      </c>
      <c r="E78">
        <f>COUNTIFS(Working_Data!$J:$J,"Open")+COUNTIFS(Working_Data!$J:$J,"In Progress")</f>
        <v>627</v>
      </c>
    </row>
    <row r="79" spans="1:5" x14ac:dyDescent="0.25">
      <c r="A79" s="5">
        <v>46100</v>
      </c>
      <c r="B79">
        <f>COUNTIFS(Working_Data!$B:$B,"&gt;="&amp;A79,Working_Data!$B:$B,"&lt;"&amp;(A79+1))</f>
        <v>8</v>
      </c>
      <c r="C79">
        <f>COUNTIFS(Working_Data!$K:$K,"&gt;="&amp;A79,Working_Data!$K:$K,"&lt;"&amp;(A79+1),Working_Data!$J:$J,"Resolved")</f>
        <v>4</v>
      </c>
      <c r="D79" s="21">
        <f>IFERROR(SUMPRODUCT((Working_Data!$K:$K&gt;=A79)*(Working_Data!$K:$K&lt;(A79+1))*(Working_Data!$J:$J="Resolved")*(Working_Data!$O:$O&lt;=Working_Data!$I:$I))/C79,0)</f>
        <v>0.75</v>
      </c>
      <c r="E79">
        <f>COUNTIFS(Working_Data!$J:$J,"Open")+COUNTIFS(Working_Data!$J:$J,"In Progress")</f>
        <v>627</v>
      </c>
    </row>
    <row r="80" spans="1:5" x14ac:dyDescent="0.25">
      <c r="A80" s="5">
        <v>46101</v>
      </c>
      <c r="B80">
        <f>COUNTIFS(Working_Data!$B:$B,"&gt;="&amp;A80,Working_Data!$B:$B,"&lt;"&amp;(A80+1))</f>
        <v>12</v>
      </c>
      <c r="C80">
        <f>COUNTIFS(Working_Data!$K:$K,"&gt;="&amp;A80,Working_Data!$K:$K,"&lt;"&amp;(A80+1),Working_Data!$J:$J,"Resolved")</f>
        <v>6</v>
      </c>
      <c r="D80" s="21">
        <f>IFERROR(SUMPRODUCT((Working_Data!$K:$K&gt;=A80)*(Working_Data!$K:$K&lt;(A80+1))*(Working_Data!$J:$J="Resolved")*(Working_Data!$O:$O&lt;=Working_Data!$I:$I))/C80,0)</f>
        <v>0.5</v>
      </c>
      <c r="E80">
        <f>COUNTIFS(Working_Data!$J:$J,"Open")+COUNTIFS(Working_Data!$J:$J,"In Progress")</f>
        <v>627</v>
      </c>
    </row>
    <row r="81" spans="1:5" x14ac:dyDescent="0.25">
      <c r="A81" s="5">
        <v>46102</v>
      </c>
      <c r="B81">
        <f>COUNTIFS(Working_Data!$B:$B,"&gt;="&amp;A81,Working_Data!$B:$B,"&lt;"&amp;(A81+1))</f>
        <v>13</v>
      </c>
      <c r="C81">
        <f>COUNTIFS(Working_Data!$K:$K,"&gt;="&amp;A81,Working_Data!$K:$K,"&lt;"&amp;(A81+1),Working_Data!$J:$J,"Resolved")</f>
        <v>3</v>
      </c>
      <c r="D81" s="21">
        <f>IFERROR(SUMPRODUCT((Working_Data!$K:$K&gt;=A81)*(Working_Data!$K:$K&lt;(A81+1))*(Working_Data!$J:$J="Resolved")*(Working_Data!$O:$O&lt;=Working_Data!$I:$I))/C81,0)</f>
        <v>0.66666666666666663</v>
      </c>
      <c r="E81">
        <f>COUNTIFS(Working_Data!$J:$J,"Open")+COUNTIFS(Working_Data!$J:$J,"In Progress")</f>
        <v>627</v>
      </c>
    </row>
    <row r="82" spans="1:5" x14ac:dyDescent="0.25">
      <c r="A82" s="5">
        <v>46103</v>
      </c>
      <c r="B82">
        <f>COUNTIFS(Working_Data!$B:$B,"&gt;="&amp;A82,Working_Data!$B:$B,"&lt;"&amp;(A82+1))</f>
        <v>12</v>
      </c>
      <c r="C82">
        <f>COUNTIFS(Working_Data!$K:$K,"&gt;="&amp;A82,Working_Data!$K:$K,"&lt;"&amp;(A82+1),Working_Data!$J:$J,"Resolved")</f>
        <v>7</v>
      </c>
      <c r="D82" s="21">
        <f>IFERROR(SUMPRODUCT((Working_Data!$K:$K&gt;=A82)*(Working_Data!$K:$K&lt;(A82+1))*(Working_Data!$J:$J="Resolved")*(Working_Data!$O:$O&lt;=Working_Data!$I:$I))/C82,0)</f>
        <v>0.5714285714285714</v>
      </c>
      <c r="E82">
        <f>COUNTIFS(Working_Data!$J:$J,"Open")+COUNTIFS(Working_Data!$J:$J,"In Progress")</f>
        <v>627</v>
      </c>
    </row>
    <row r="83" spans="1:5" x14ac:dyDescent="0.25">
      <c r="A83" s="5">
        <v>46104</v>
      </c>
      <c r="B83">
        <f>COUNTIFS(Working_Data!$B:$B,"&gt;="&amp;A83,Working_Data!$B:$B,"&lt;"&amp;(A83+1))</f>
        <v>12</v>
      </c>
      <c r="C83">
        <f>COUNTIFS(Working_Data!$K:$K,"&gt;="&amp;A83,Working_Data!$K:$K,"&lt;"&amp;(A83+1),Working_Data!$J:$J,"Resolved")</f>
        <v>3</v>
      </c>
      <c r="D83" s="21">
        <f>IFERROR(SUMPRODUCT((Working_Data!$K:$K&gt;=A83)*(Working_Data!$K:$K&lt;(A83+1))*(Working_Data!$J:$J="Resolved")*(Working_Data!$O:$O&lt;=Working_Data!$I:$I))/C83,0)</f>
        <v>1</v>
      </c>
      <c r="E83">
        <f>COUNTIFS(Working_Data!$J:$J,"Open")+COUNTIFS(Working_Data!$J:$J,"In Progress")</f>
        <v>627</v>
      </c>
    </row>
    <row r="84" spans="1:5" x14ac:dyDescent="0.25">
      <c r="A84" s="5">
        <v>46105</v>
      </c>
      <c r="B84">
        <f>COUNTIFS(Working_Data!$B:$B,"&gt;="&amp;A84,Working_Data!$B:$B,"&lt;"&amp;(A84+1))</f>
        <v>10</v>
      </c>
      <c r="C84">
        <f>COUNTIFS(Working_Data!$K:$K,"&gt;="&amp;A84,Working_Data!$K:$K,"&lt;"&amp;(A84+1),Working_Data!$J:$J,"Resolved")</f>
        <v>9</v>
      </c>
      <c r="D84" s="21">
        <f>IFERROR(SUMPRODUCT((Working_Data!$K:$K&gt;=A84)*(Working_Data!$K:$K&lt;(A84+1))*(Working_Data!$J:$J="Resolved")*(Working_Data!$O:$O&lt;=Working_Data!$I:$I))/C84,0)</f>
        <v>0.77777777777777779</v>
      </c>
      <c r="E84">
        <f>COUNTIFS(Working_Data!$J:$J,"Open")+COUNTIFS(Working_Data!$J:$J,"In Progress")</f>
        <v>627</v>
      </c>
    </row>
    <row r="85" spans="1:5" x14ac:dyDescent="0.25">
      <c r="A85" s="5">
        <v>46106</v>
      </c>
      <c r="B85">
        <f>COUNTIFS(Working_Data!$B:$B,"&gt;="&amp;A85,Working_Data!$B:$B,"&lt;"&amp;(A85+1))</f>
        <v>15</v>
      </c>
      <c r="C85">
        <f>COUNTIFS(Working_Data!$K:$K,"&gt;="&amp;A85,Working_Data!$K:$K,"&lt;"&amp;(A85+1),Working_Data!$J:$J,"Resolved")</f>
        <v>7</v>
      </c>
      <c r="D85" s="21">
        <f>IFERROR(SUMPRODUCT((Working_Data!$K:$K&gt;=A85)*(Working_Data!$K:$K&lt;(A85+1))*(Working_Data!$J:$J="Resolved")*(Working_Data!$O:$O&lt;=Working_Data!$I:$I))/C85,0)</f>
        <v>0.7142857142857143</v>
      </c>
      <c r="E85">
        <f>COUNTIFS(Working_Data!$J:$J,"Open")+COUNTIFS(Working_Data!$J:$J,"In Progress")</f>
        <v>627</v>
      </c>
    </row>
    <row r="86" spans="1:5" x14ac:dyDescent="0.25">
      <c r="A86" s="5">
        <v>46107</v>
      </c>
      <c r="B86">
        <f>COUNTIFS(Working_Data!$B:$B,"&gt;="&amp;A86,Working_Data!$B:$B,"&lt;"&amp;(A86+1))</f>
        <v>14</v>
      </c>
      <c r="C86">
        <f>COUNTIFS(Working_Data!$K:$K,"&gt;="&amp;A86,Working_Data!$K:$K,"&lt;"&amp;(A86+1),Working_Data!$J:$J,"Resolved")</f>
        <v>0</v>
      </c>
      <c r="D86" s="21">
        <f>IFERROR(SUMPRODUCT((Working_Data!$K:$K&gt;=A86)*(Working_Data!$K:$K&lt;(A86+1))*(Working_Data!$J:$J="Resolved")*(Working_Data!$O:$O&lt;=Working_Data!$I:$I))/C86,0)</f>
        <v>0</v>
      </c>
      <c r="E86">
        <f>COUNTIFS(Working_Data!$J:$J,"Open")+COUNTIFS(Working_Data!$J:$J,"In Progress")</f>
        <v>627</v>
      </c>
    </row>
    <row r="87" spans="1:5" x14ac:dyDescent="0.25">
      <c r="A87" s="5">
        <v>46108</v>
      </c>
      <c r="B87">
        <f>COUNTIFS(Working_Data!$B:$B,"&gt;="&amp;A87,Working_Data!$B:$B,"&lt;"&amp;(A87+1))</f>
        <v>12</v>
      </c>
      <c r="C87">
        <f>COUNTIFS(Working_Data!$K:$K,"&gt;="&amp;A87,Working_Data!$K:$K,"&lt;"&amp;(A87+1),Working_Data!$J:$J,"Resolved")</f>
        <v>4</v>
      </c>
      <c r="D87" s="21">
        <f>IFERROR(SUMPRODUCT((Working_Data!$K:$K&gt;=A87)*(Working_Data!$K:$K&lt;(A87+1))*(Working_Data!$J:$J="Resolved")*(Working_Data!$O:$O&lt;=Working_Data!$I:$I))/C87,0)</f>
        <v>0.75</v>
      </c>
      <c r="E87">
        <f>COUNTIFS(Working_Data!$J:$J,"Open")+COUNTIFS(Working_Data!$J:$J,"In Progress")</f>
        <v>627</v>
      </c>
    </row>
    <row r="88" spans="1:5" x14ac:dyDescent="0.25">
      <c r="A88" s="5">
        <v>46109</v>
      </c>
      <c r="B88">
        <f>COUNTIFS(Working_Data!$B:$B,"&gt;="&amp;A88,Working_Data!$B:$B,"&lt;"&amp;(A88+1))</f>
        <v>13</v>
      </c>
      <c r="C88">
        <f>COUNTIFS(Working_Data!$K:$K,"&gt;="&amp;A88,Working_Data!$K:$K,"&lt;"&amp;(A88+1),Working_Data!$J:$J,"Resolved")</f>
        <v>5</v>
      </c>
      <c r="D88" s="21">
        <f>IFERROR(SUMPRODUCT((Working_Data!$K:$K&gt;=A88)*(Working_Data!$K:$K&lt;(A88+1))*(Working_Data!$J:$J="Resolved")*(Working_Data!$O:$O&lt;=Working_Data!$I:$I))/C88,0)</f>
        <v>1</v>
      </c>
      <c r="E88">
        <f>COUNTIFS(Working_Data!$J:$J,"Open")+COUNTIFS(Working_Data!$J:$J,"In Progress")</f>
        <v>627</v>
      </c>
    </row>
    <row r="89" spans="1:5" x14ac:dyDescent="0.25">
      <c r="A89" s="5">
        <v>46110</v>
      </c>
      <c r="B89">
        <f>COUNTIFS(Working_Data!$B:$B,"&gt;="&amp;A89,Working_Data!$B:$B,"&lt;"&amp;(A89+1))</f>
        <v>11</v>
      </c>
      <c r="C89">
        <f>COUNTIFS(Working_Data!$K:$K,"&gt;="&amp;A89,Working_Data!$K:$K,"&lt;"&amp;(A89+1),Working_Data!$J:$J,"Resolved")</f>
        <v>4</v>
      </c>
      <c r="D89" s="21">
        <f>IFERROR(SUMPRODUCT((Working_Data!$K:$K&gt;=A89)*(Working_Data!$K:$K&lt;(A89+1))*(Working_Data!$J:$J="Resolved")*(Working_Data!$O:$O&lt;=Working_Data!$I:$I))/C89,0)</f>
        <v>0.5</v>
      </c>
      <c r="E89">
        <f>COUNTIFS(Working_Data!$J:$J,"Open")+COUNTIFS(Working_Data!$J:$J,"In Progress")</f>
        <v>627</v>
      </c>
    </row>
    <row r="90" spans="1:5" x14ac:dyDescent="0.25">
      <c r="A90" s="5">
        <v>46111</v>
      </c>
      <c r="B90">
        <f>COUNTIFS(Working_Data!$B:$B,"&gt;="&amp;A90,Working_Data!$B:$B,"&lt;"&amp;(A90+1))</f>
        <v>23</v>
      </c>
      <c r="C90">
        <f>COUNTIFS(Working_Data!$K:$K,"&gt;="&amp;A90,Working_Data!$K:$K,"&lt;"&amp;(A90+1),Working_Data!$J:$J,"Resolved")</f>
        <v>7</v>
      </c>
      <c r="D90" s="21">
        <f>IFERROR(SUMPRODUCT((Working_Data!$K:$K&gt;=A90)*(Working_Data!$K:$K&lt;(A90+1))*(Working_Data!$J:$J="Resolved")*(Working_Data!$O:$O&lt;=Working_Data!$I:$I))/C90,0)</f>
        <v>0.8571428571428571</v>
      </c>
      <c r="E90">
        <f>COUNTIFS(Working_Data!$J:$J,"Open")+COUNTIFS(Working_Data!$J:$J,"In Progress")</f>
        <v>627</v>
      </c>
    </row>
    <row r="91" spans="1:5" x14ac:dyDescent="0.25">
      <c r="A91" s="5">
        <v>46112</v>
      </c>
      <c r="B91">
        <f>COUNTIFS(Working_Data!$B:$B,"&gt;="&amp;A91,Working_Data!$B:$B,"&lt;"&amp;(A91+1))</f>
        <v>12</v>
      </c>
      <c r="C91">
        <f>COUNTIFS(Working_Data!$K:$K,"&gt;="&amp;A91,Working_Data!$K:$K,"&lt;"&amp;(A91+1),Working_Data!$J:$J,"Resolved")</f>
        <v>10</v>
      </c>
      <c r="D91" s="21">
        <f>IFERROR(SUMPRODUCT((Working_Data!$K:$K&gt;=A91)*(Working_Data!$K:$K&lt;(A91+1))*(Working_Data!$J:$J="Resolved")*(Working_Data!$O:$O&lt;=Working_Data!$I:$I))/C91,0)</f>
        <v>0.8</v>
      </c>
      <c r="E91">
        <f>COUNTIFS(Working_Data!$J:$J,"Open")+COUNTIFS(Working_Data!$J:$J,"In Progress")</f>
        <v>627</v>
      </c>
    </row>
    <row r="92" spans="1:5" x14ac:dyDescent="0.25">
      <c r="A92" s="5">
        <v>46113</v>
      </c>
      <c r="B92">
        <f>COUNTIFS(Working_Data!$B:$B,"&gt;="&amp;A92,Working_Data!$B:$B,"&lt;"&amp;(A92+1))</f>
        <v>16</v>
      </c>
      <c r="C92">
        <f>COUNTIFS(Working_Data!$K:$K,"&gt;="&amp;A92,Working_Data!$K:$K,"&lt;"&amp;(A92+1),Working_Data!$J:$J,"Resolved")</f>
        <v>2</v>
      </c>
      <c r="D92" s="21">
        <f>IFERROR(SUMPRODUCT((Working_Data!$K:$K&gt;=A92)*(Working_Data!$K:$K&lt;(A92+1))*(Working_Data!$J:$J="Resolved")*(Working_Data!$O:$O&lt;=Working_Data!$I:$I))/C92,0)</f>
        <v>0.5</v>
      </c>
      <c r="E92">
        <f>COUNTIFS(Working_Data!$J:$J,"Open")+COUNTIFS(Working_Data!$J:$J,"In Progress")</f>
        <v>627</v>
      </c>
    </row>
    <row r="93" spans="1:5" x14ac:dyDescent="0.25">
      <c r="A93" s="5">
        <v>46114</v>
      </c>
      <c r="B93">
        <f>COUNTIFS(Working_Data!$B:$B,"&gt;="&amp;A93,Working_Data!$B:$B,"&lt;"&amp;(A93+1))</f>
        <v>14</v>
      </c>
      <c r="C93">
        <f>COUNTIFS(Working_Data!$K:$K,"&gt;="&amp;A93,Working_Data!$K:$K,"&lt;"&amp;(A93+1),Working_Data!$J:$J,"Resolved")</f>
        <v>3</v>
      </c>
      <c r="D93" s="21">
        <f>IFERROR(SUMPRODUCT((Working_Data!$K:$K&gt;=A93)*(Working_Data!$K:$K&lt;(A93+1))*(Working_Data!$J:$J="Resolved")*(Working_Data!$O:$O&lt;=Working_Data!$I:$I))/C93,0)</f>
        <v>1</v>
      </c>
      <c r="E93">
        <f>COUNTIFS(Working_Data!$J:$J,"Open")+COUNTIFS(Working_Data!$J:$J,"In Progress")</f>
        <v>627</v>
      </c>
    </row>
    <row r="94" spans="1:5" x14ac:dyDescent="0.25">
      <c r="A94" s="5">
        <v>46115</v>
      </c>
      <c r="B94">
        <f>COUNTIFS(Working_Data!$B:$B,"&gt;="&amp;A94,Working_Data!$B:$B,"&lt;"&amp;(A94+1))</f>
        <v>11</v>
      </c>
      <c r="C94">
        <f>COUNTIFS(Working_Data!$K:$K,"&gt;="&amp;A94,Working_Data!$K:$K,"&lt;"&amp;(A94+1),Working_Data!$J:$J,"Resolved")</f>
        <v>5</v>
      </c>
      <c r="D94" s="21">
        <f>IFERROR(SUMPRODUCT((Working_Data!$K:$K&gt;=A94)*(Working_Data!$K:$K&lt;(A94+1))*(Working_Data!$J:$J="Resolved")*(Working_Data!$O:$O&lt;=Working_Data!$I:$I))/C94,0)</f>
        <v>0.6</v>
      </c>
      <c r="E94">
        <f>COUNTIFS(Working_Data!$J:$J,"Open")+COUNTIFS(Working_Data!$J:$J,"In Progress")</f>
        <v>627</v>
      </c>
    </row>
    <row r="95" spans="1:5" x14ac:dyDescent="0.25">
      <c r="A95" s="5">
        <v>46116</v>
      </c>
      <c r="B95">
        <f>COUNTIFS(Working_Data!$B:$B,"&gt;="&amp;A95,Working_Data!$B:$B,"&lt;"&amp;(A95+1))</f>
        <v>15</v>
      </c>
      <c r="C95">
        <f>COUNTIFS(Working_Data!$K:$K,"&gt;="&amp;A95,Working_Data!$K:$K,"&lt;"&amp;(A95+1),Working_Data!$J:$J,"Resolved")</f>
        <v>5</v>
      </c>
      <c r="D95" s="21">
        <f>IFERROR(SUMPRODUCT((Working_Data!$K:$K&gt;=A95)*(Working_Data!$K:$K&lt;(A95+1))*(Working_Data!$J:$J="Resolved")*(Working_Data!$O:$O&lt;=Working_Data!$I:$I))/C95,0)</f>
        <v>0.4</v>
      </c>
      <c r="E95">
        <f>COUNTIFS(Working_Data!$J:$J,"Open")+COUNTIFS(Working_Data!$J:$J,"In Progress")</f>
        <v>627</v>
      </c>
    </row>
    <row r="96" spans="1:5" x14ac:dyDescent="0.25">
      <c r="A96" s="5">
        <v>46117</v>
      </c>
      <c r="B96">
        <f>COUNTIFS(Working_Data!$B:$B,"&gt;="&amp;A96,Working_Data!$B:$B,"&lt;"&amp;(A96+1))</f>
        <v>20</v>
      </c>
      <c r="C96">
        <f>COUNTIFS(Working_Data!$K:$K,"&gt;="&amp;A96,Working_Data!$K:$K,"&lt;"&amp;(A96+1),Working_Data!$J:$J,"Resolved")</f>
        <v>5</v>
      </c>
      <c r="D96" s="21">
        <f>IFERROR(SUMPRODUCT((Working_Data!$K:$K&gt;=A96)*(Working_Data!$K:$K&lt;(A96+1))*(Working_Data!$J:$J="Resolved")*(Working_Data!$O:$O&lt;=Working_Data!$I:$I))/C96,0)</f>
        <v>1</v>
      </c>
      <c r="E96">
        <f>COUNTIFS(Working_Data!$J:$J,"Open")+COUNTIFS(Working_Data!$J:$J,"In Progress")</f>
        <v>627</v>
      </c>
    </row>
    <row r="97" spans="1:5" x14ac:dyDescent="0.25">
      <c r="A97" s="5">
        <v>46118</v>
      </c>
      <c r="B97">
        <f>COUNTIFS(Working_Data!$B:$B,"&gt;="&amp;A97,Working_Data!$B:$B,"&lt;"&amp;(A97+1))</f>
        <v>17</v>
      </c>
      <c r="C97">
        <f>COUNTIFS(Working_Data!$K:$K,"&gt;="&amp;A97,Working_Data!$K:$K,"&lt;"&amp;(A97+1),Working_Data!$J:$J,"Resolved")</f>
        <v>10</v>
      </c>
      <c r="D97" s="21">
        <f>IFERROR(SUMPRODUCT((Working_Data!$K:$K&gt;=A97)*(Working_Data!$K:$K&lt;(A97+1))*(Working_Data!$J:$J="Resolved")*(Working_Data!$O:$O&lt;=Working_Data!$I:$I))/C97,0)</f>
        <v>0.7</v>
      </c>
      <c r="E97">
        <f>COUNTIFS(Working_Data!$J:$J,"Open")+COUNTIFS(Working_Data!$J:$J,"In Progress")</f>
        <v>627</v>
      </c>
    </row>
    <row r="98" spans="1:5" x14ac:dyDescent="0.25">
      <c r="A98" s="5">
        <v>46119</v>
      </c>
      <c r="B98">
        <f>COUNTIFS(Working_Data!$B:$B,"&gt;="&amp;A98,Working_Data!$B:$B,"&lt;"&amp;(A98+1))</f>
        <v>11</v>
      </c>
      <c r="C98">
        <f>COUNTIFS(Working_Data!$K:$K,"&gt;="&amp;A98,Working_Data!$K:$K,"&lt;"&amp;(A98+1),Working_Data!$J:$J,"Resolved")</f>
        <v>6</v>
      </c>
      <c r="D98" s="21">
        <f>IFERROR(SUMPRODUCT((Working_Data!$K:$K&gt;=A98)*(Working_Data!$K:$K&lt;(A98+1))*(Working_Data!$J:$J="Resolved")*(Working_Data!$O:$O&lt;=Working_Data!$I:$I))/C98,0)</f>
        <v>0.66666666666666663</v>
      </c>
      <c r="E98">
        <f>COUNTIFS(Working_Data!$J:$J,"Open")+COUNTIFS(Working_Data!$J:$J,"In Progress")</f>
        <v>627</v>
      </c>
    </row>
    <row r="99" spans="1:5" x14ac:dyDescent="0.25">
      <c r="A99" s="5">
        <v>46120</v>
      </c>
      <c r="B99">
        <f>COUNTIFS(Working_Data!$B:$B,"&gt;="&amp;A99,Working_Data!$B:$B,"&lt;"&amp;(A99+1))</f>
        <v>13</v>
      </c>
      <c r="C99">
        <f>COUNTIFS(Working_Data!$K:$K,"&gt;="&amp;A99,Working_Data!$K:$K,"&lt;"&amp;(A99+1),Working_Data!$J:$J,"Resolved")</f>
        <v>5</v>
      </c>
      <c r="D99" s="21">
        <f>IFERROR(SUMPRODUCT((Working_Data!$K:$K&gt;=A99)*(Working_Data!$K:$K&lt;(A99+1))*(Working_Data!$J:$J="Resolved")*(Working_Data!$O:$O&lt;=Working_Data!$I:$I))/C99,0)</f>
        <v>0.8</v>
      </c>
      <c r="E99">
        <f>COUNTIFS(Working_Data!$J:$J,"Open")+COUNTIFS(Working_Data!$J:$J,"In Progress")</f>
        <v>627</v>
      </c>
    </row>
    <row r="100" spans="1:5" x14ac:dyDescent="0.25">
      <c r="A100" s="5">
        <v>46121</v>
      </c>
      <c r="B100">
        <f>COUNTIFS(Working_Data!$B:$B,"&gt;="&amp;A100,Working_Data!$B:$B,"&lt;"&amp;(A100+1))</f>
        <v>16</v>
      </c>
      <c r="C100">
        <f>COUNTIFS(Working_Data!$K:$K,"&gt;="&amp;A100,Working_Data!$K:$K,"&lt;"&amp;(A100+1),Working_Data!$J:$J,"Resolved")</f>
        <v>5</v>
      </c>
      <c r="D100" s="21">
        <f>IFERROR(SUMPRODUCT((Working_Data!$K:$K&gt;=A100)*(Working_Data!$K:$K&lt;(A100+1))*(Working_Data!$J:$J="Resolved")*(Working_Data!$O:$O&lt;=Working_Data!$I:$I))/C100,0)</f>
        <v>1</v>
      </c>
      <c r="E100">
        <f>COUNTIFS(Working_Data!$J:$J,"Open")+COUNTIFS(Working_Data!$J:$J,"In Progress")</f>
        <v>627</v>
      </c>
    </row>
    <row r="101" spans="1:5" x14ac:dyDescent="0.25">
      <c r="A101" s="5">
        <v>46122</v>
      </c>
      <c r="B101">
        <f>COUNTIFS(Working_Data!$B:$B,"&gt;="&amp;A101,Working_Data!$B:$B,"&lt;"&amp;(A101+1))</f>
        <v>18</v>
      </c>
      <c r="C101">
        <f>COUNTIFS(Working_Data!$K:$K,"&gt;="&amp;A101,Working_Data!$K:$K,"&lt;"&amp;(A101+1),Working_Data!$J:$J,"Resolved")</f>
        <v>5</v>
      </c>
      <c r="D101" s="21">
        <f>IFERROR(SUMPRODUCT((Working_Data!$K:$K&gt;=A101)*(Working_Data!$K:$K&lt;(A101+1))*(Working_Data!$J:$J="Resolved")*(Working_Data!$O:$O&lt;=Working_Data!$I:$I))/C101,0)</f>
        <v>1</v>
      </c>
      <c r="E101">
        <f>COUNTIFS(Working_Data!$J:$J,"Open")+COUNTIFS(Working_Data!$J:$J,"In Progress")</f>
        <v>627</v>
      </c>
    </row>
    <row r="102" spans="1:5" x14ac:dyDescent="0.25">
      <c r="A102" s="5">
        <v>46123</v>
      </c>
      <c r="B102">
        <f>COUNTIFS(Working_Data!$B:$B,"&gt;="&amp;A102,Working_Data!$B:$B,"&lt;"&amp;(A102+1))</f>
        <v>14</v>
      </c>
      <c r="C102">
        <f>COUNTIFS(Working_Data!$K:$K,"&gt;="&amp;A102,Working_Data!$K:$K,"&lt;"&amp;(A102+1),Working_Data!$J:$J,"Resolved")</f>
        <v>4</v>
      </c>
      <c r="D102" s="21">
        <f>IFERROR(SUMPRODUCT((Working_Data!$K:$K&gt;=A102)*(Working_Data!$K:$K&lt;(A102+1))*(Working_Data!$J:$J="Resolved")*(Working_Data!$O:$O&lt;=Working_Data!$I:$I))/C102,0)</f>
        <v>1</v>
      </c>
      <c r="E102">
        <f>COUNTIFS(Working_Data!$J:$J,"Open")+COUNTIFS(Working_Data!$J:$J,"In Progress")</f>
        <v>627</v>
      </c>
    </row>
    <row r="103" spans="1:5" x14ac:dyDescent="0.25">
      <c r="A103" s="5">
        <v>46124</v>
      </c>
      <c r="B103">
        <f>COUNTIFS(Working_Data!$B:$B,"&gt;="&amp;A103,Working_Data!$B:$B,"&lt;"&amp;(A103+1))</f>
        <v>11</v>
      </c>
      <c r="C103">
        <f>COUNTIFS(Working_Data!$K:$K,"&gt;="&amp;A103,Working_Data!$K:$K,"&lt;"&amp;(A103+1),Working_Data!$J:$J,"Resolved")</f>
        <v>7</v>
      </c>
      <c r="D103" s="21">
        <f>IFERROR(SUMPRODUCT((Working_Data!$K:$K&gt;=A103)*(Working_Data!$K:$K&lt;(A103+1))*(Working_Data!$J:$J="Resolved")*(Working_Data!$O:$O&lt;=Working_Data!$I:$I))/C103,0)</f>
        <v>0.5714285714285714</v>
      </c>
      <c r="E103">
        <f>COUNTIFS(Working_Data!$J:$J,"Open")+COUNTIFS(Working_Data!$J:$J,"In Progress")</f>
        <v>627</v>
      </c>
    </row>
    <row r="104" spans="1:5" x14ac:dyDescent="0.25">
      <c r="A104" s="5">
        <v>46125</v>
      </c>
      <c r="B104">
        <f>COUNTIFS(Working_Data!$B:$B,"&gt;="&amp;A104,Working_Data!$B:$B,"&lt;"&amp;(A104+1))</f>
        <v>12</v>
      </c>
      <c r="C104">
        <f>COUNTIFS(Working_Data!$K:$K,"&gt;="&amp;A104,Working_Data!$K:$K,"&lt;"&amp;(A104+1),Working_Data!$J:$J,"Resolved")</f>
        <v>4</v>
      </c>
      <c r="D104" s="21">
        <f>IFERROR(SUMPRODUCT((Working_Data!$K:$K&gt;=A104)*(Working_Data!$K:$K&lt;(A104+1))*(Working_Data!$J:$J="Resolved")*(Working_Data!$O:$O&lt;=Working_Data!$I:$I))/C104,0)</f>
        <v>1</v>
      </c>
      <c r="E104">
        <f>COUNTIFS(Working_Data!$J:$J,"Open")+COUNTIFS(Working_Data!$J:$J,"In Progress")</f>
        <v>627</v>
      </c>
    </row>
    <row r="105" spans="1:5" x14ac:dyDescent="0.25">
      <c r="A105" s="5">
        <v>46126</v>
      </c>
      <c r="B105">
        <f>COUNTIFS(Working_Data!$B:$B,"&gt;="&amp;A105,Working_Data!$B:$B,"&lt;"&amp;(A105+1))</f>
        <v>10</v>
      </c>
      <c r="C105">
        <f>COUNTIFS(Working_Data!$K:$K,"&gt;="&amp;A105,Working_Data!$K:$K,"&lt;"&amp;(A105+1),Working_Data!$J:$J,"Resolved")</f>
        <v>5</v>
      </c>
      <c r="D105" s="21">
        <f>IFERROR(SUMPRODUCT((Working_Data!$K:$K&gt;=A105)*(Working_Data!$K:$K&lt;(A105+1))*(Working_Data!$J:$J="Resolved")*(Working_Data!$O:$O&lt;=Working_Data!$I:$I))/C105,0)</f>
        <v>0.4</v>
      </c>
      <c r="E105">
        <f>COUNTIFS(Working_Data!$J:$J,"Open")+COUNTIFS(Working_Data!$J:$J,"In Progress")</f>
        <v>627</v>
      </c>
    </row>
    <row r="106" spans="1:5" x14ac:dyDescent="0.25">
      <c r="A106" s="5">
        <v>46127</v>
      </c>
      <c r="B106">
        <f>COUNTIFS(Working_Data!$B:$B,"&gt;="&amp;A106,Working_Data!$B:$B,"&lt;"&amp;(A106+1))</f>
        <v>11</v>
      </c>
      <c r="C106">
        <f>COUNTIFS(Working_Data!$K:$K,"&gt;="&amp;A106,Working_Data!$K:$K,"&lt;"&amp;(A106+1),Working_Data!$J:$J,"Resolved")</f>
        <v>6</v>
      </c>
      <c r="D106" s="21">
        <f>IFERROR(SUMPRODUCT((Working_Data!$K:$K&gt;=A106)*(Working_Data!$K:$K&lt;(A106+1))*(Working_Data!$J:$J="Resolved")*(Working_Data!$O:$O&lt;=Working_Data!$I:$I))/C106,0)</f>
        <v>0.83333333333333337</v>
      </c>
      <c r="E106">
        <f>COUNTIFS(Working_Data!$J:$J,"Open")+COUNTIFS(Working_Data!$J:$J,"In Progress")</f>
        <v>627</v>
      </c>
    </row>
    <row r="107" spans="1:5" x14ac:dyDescent="0.25">
      <c r="A107" s="5">
        <v>46128</v>
      </c>
      <c r="B107">
        <f>COUNTIFS(Working_Data!$B:$B,"&gt;="&amp;A107,Working_Data!$B:$B,"&lt;"&amp;(A107+1))</f>
        <v>14</v>
      </c>
      <c r="C107">
        <f>COUNTIFS(Working_Data!$K:$K,"&gt;="&amp;A107,Working_Data!$K:$K,"&lt;"&amp;(A107+1),Working_Data!$J:$J,"Resolved")</f>
        <v>5</v>
      </c>
      <c r="D107" s="21">
        <f>IFERROR(SUMPRODUCT((Working_Data!$K:$K&gt;=A107)*(Working_Data!$K:$K&lt;(A107+1))*(Working_Data!$J:$J="Resolved")*(Working_Data!$O:$O&lt;=Working_Data!$I:$I))/C107,0)</f>
        <v>1</v>
      </c>
      <c r="E107">
        <f>COUNTIFS(Working_Data!$J:$J,"Open")+COUNTIFS(Working_Data!$J:$J,"In Progress")</f>
        <v>627</v>
      </c>
    </row>
    <row r="108" spans="1:5" x14ac:dyDescent="0.25">
      <c r="A108" s="5">
        <v>46129</v>
      </c>
      <c r="B108">
        <f>COUNTIFS(Working_Data!$B:$B,"&gt;="&amp;A108,Working_Data!$B:$B,"&lt;"&amp;(A108+1))</f>
        <v>15</v>
      </c>
      <c r="C108">
        <f>COUNTIFS(Working_Data!$K:$K,"&gt;="&amp;A108,Working_Data!$K:$K,"&lt;"&amp;(A108+1),Working_Data!$J:$J,"Resolved")</f>
        <v>6</v>
      </c>
      <c r="D108" s="21">
        <f>IFERROR(SUMPRODUCT((Working_Data!$K:$K&gt;=A108)*(Working_Data!$K:$K&lt;(A108+1))*(Working_Data!$J:$J="Resolved")*(Working_Data!$O:$O&lt;=Working_Data!$I:$I))/C108,0)</f>
        <v>1</v>
      </c>
      <c r="E108">
        <f>COUNTIFS(Working_Data!$J:$J,"Open")+COUNTIFS(Working_Data!$J:$J,"In Progress")</f>
        <v>627</v>
      </c>
    </row>
    <row r="109" spans="1:5" x14ac:dyDescent="0.25">
      <c r="A109" s="5">
        <v>46130</v>
      </c>
      <c r="B109">
        <f>COUNTIFS(Working_Data!$B:$B,"&gt;="&amp;A109,Working_Data!$B:$B,"&lt;"&amp;(A109+1))</f>
        <v>16</v>
      </c>
      <c r="C109">
        <f>COUNTIFS(Working_Data!$K:$K,"&gt;="&amp;A109,Working_Data!$K:$K,"&lt;"&amp;(A109+1),Working_Data!$J:$J,"Resolved")</f>
        <v>6</v>
      </c>
      <c r="D109" s="21">
        <f>IFERROR(SUMPRODUCT((Working_Data!$K:$K&gt;=A109)*(Working_Data!$K:$K&lt;(A109+1))*(Working_Data!$J:$J="Resolved")*(Working_Data!$O:$O&lt;=Working_Data!$I:$I))/C109,0)</f>
        <v>1</v>
      </c>
      <c r="E109">
        <f>COUNTIFS(Working_Data!$J:$J,"Open")+COUNTIFS(Working_Data!$J:$J,"In Progress")</f>
        <v>627</v>
      </c>
    </row>
    <row r="110" spans="1:5" x14ac:dyDescent="0.25">
      <c r="A110" s="5">
        <v>46131</v>
      </c>
      <c r="B110">
        <f>COUNTIFS(Working_Data!$B:$B,"&gt;="&amp;A110,Working_Data!$B:$B,"&lt;"&amp;(A110+1))</f>
        <v>15</v>
      </c>
      <c r="C110">
        <f>COUNTIFS(Working_Data!$K:$K,"&gt;="&amp;A110,Working_Data!$K:$K,"&lt;"&amp;(A110+1),Working_Data!$J:$J,"Resolved")</f>
        <v>9</v>
      </c>
      <c r="D110" s="21">
        <f>IFERROR(SUMPRODUCT((Working_Data!$K:$K&gt;=A110)*(Working_Data!$K:$K&lt;(A110+1))*(Working_Data!$J:$J="Resolved")*(Working_Data!$O:$O&lt;=Working_Data!$I:$I))/C110,0)</f>
        <v>0.66666666666666663</v>
      </c>
      <c r="E110">
        <f>COUNTIFS(Working_Data!$J:$J,"Open")+COUNTIFS(Working_Data!$J:$J,"In Progress")</f>
        <v>627</v>
      </c>
    </row>
    <row r="111" spans="1:5" x14ac:dyDescent="0.25">
      <c r="A111" s="5">
        <v>46132</v>
      </c>
      <c r="B111">
        <f>COUNTIFS(Working_Data!$B:$B,"&gt;="&amp;A111,Working_Data!$B:$B,"&lt;"&amp;(A111+1))</f>
        <v>14</v>
      </c>
      <c r="C111">
        <f>COUNTIFS(Working_Data!$K:$K,"&gt;="&amp;A111,Working_Data!$K:$K,"&lt;"&amp;(A111+1),Working_Data!$J:$J,"Resolved")</f>
        <v>6</v>
      </c>
      <c r="D111" s="21">
        <f>IFERROR(SUMPRODUCT((Working_Data!$K:$K&gt;=A111)*(Working_Data!$K:$K&lt;(A111+1))*(Working_Data!$J:$J="Resolved")*(Working_Data!$O:$O&lt;=Working_Data!$I:$I))/C111,0)</f>
        <v>0.83333333333333337</v>
      </c>
      <c r="E111">
        <f>COUNTIFS(Working_Data!$J:$J,"Open")+COUNTIFS(Working_Data!$J:$J,"In Progress")</f>
        <v>627</v>
      </c>
    </row>
    <row r="112" spans="1:5" x14ac:dyDescent="0.25">
      <c r="A112" s="5">
        <v>46133</v>
      </c>
      <c r="B112">
        <f>COUNTIFS(Working_Data!$B:$B,"&gt;="&amp;A112,Working_Data!$B:$B,"&lt;"&amp;(A112+1))</f>
        <v>14</v>
      </c>
      <c r="C112">
        <f>COUNTIFS(Working_Data!$K:$K,"&gt;="&amp;A112,Working_Data!$K:$K,"&lt;"&amp;(A112+1),Working_Data!$J:$J,"Resolved")</f>
        <v>4</v>
      </c>
      <c r="D112" s="21">
        <f>IFERROR(SUMPRODUCT((Working_Data!$K:$K&gt;=A112)*(Working_Data!$K:$K&lt;(A112+1))*(Working_Data!$J:$J="Resolved")*(Working_Data!$O:$O&lt;=Working_Data!$I:$I))/C112,0)</f>
        <v>1</v>
      </c>
      <c r="E112">
        <f>COUNTIFS(Working_Data!$J:$J,"Open")+COUNTIFS(Working_Data!$J:$J,"In Progress")</f>
        <v>627</v>
      </c>
    </row>
    <row r="113" spans="1:5" x14ac:dyDescent="0.25">
      <c r="A113" s="5">
        <v>46134</v>
      </c>
      <c r="B113">
        <f>COUNTIFS(Working_Data!$B:$B,"&gt;="&amp;A113,Working_Data!$B:$B,"&lt;"&amp;(A113+1))</f>
        <v>9</v>
      </c>
      <c r="C113">
        <f>COUNTIFS(Working_Data!$K:$K,"&gt;="&amp;A113,Working_Data!$K:$K,"&lt;"&amp;(A113+1),Working_Data!$J:$J,"Resolved")</f>
        <v>9</v>
      </c>
      <c r="D113" s="21">
        <f>IFERROR(SUMPRODUCT((Working_Data!$K:$K&gt;=A113)*(Working_Data!$K:$K&lt;(A113+1))*(Working_Data!$J:$J="Resolved")*(Working_Data!$O:$O&lt;=Working_Data!$I:$I))/C113,0)</f>
        <v>0.55555555555555558</v>
      </c>
      <c r="E113">
        <f>COUNTIFS(Working_Data!$J:$J,"Open")+COUNTIFS(Working_Data!$J:$J,"In Progress")</f>
        <v>627</v>
      </c>
    </row>
    <row r="114" spans="1:5" x14ac:dyDescent="0.25">
      <c r="A114" s="5">
        <v>46135</v>
      </c>
      <c r="B114">
        <f>COUNTIFS(Working_Data!$B:$B,"&gt;="&amp;A114,Working_Data!$B:$B,"&lt;"&amp;(A114+1))</f>
        <v>8</v>
      </c>
      <c r="C114">
        <f>COUNTIFS(Working_Data!$K:$K,"&gt;="&amp;A114,Working_Data!$K:$K,"&lt;"&amp;(A114+1),Working_Data!$J:$J,"Resolved")</f>
        <v>3</v>
      </c>
      <c r="D114" s="21">
        <f>IFERROR(SUMPRODUCT((Working_Data!$K:$K&gt;=A114)*(Working_Data!$K:$K&lt;(A114+1))*(Working_Data!$J:$J="Resolved")*(Working_Data!$O:$O&lt;=Working_Data!$I:$I))/C114,0)</f>
        <v>1</v>
      </c>
      <c r="E114">
        <f>COUNTIFS(Working_Data!$J:$J,"Open")+COUNTIFS(Working_Data!$J:$J,"In Progress")</f>
        <v>627</v>
      </c>
    </row>
    <row r="115" spans="1:5" x14ac:dyDescent="0.25">
      <c r="A115" s="5">
        <v>46136</v>
      </c>
      <c r="B115">
        <f>COUNTIFS(Working_Data!$B:$B,"&gt;="&amp;A115,Working_Data!$B:$B,"&lt;"&amp;(A115+1))</f>
        <v>13</v>
      </c>
      <c r="C115">
        <f>COUNTIFS(Working_Data!$K:$K,"&gt;="&amp;A115,Working_Data!$K:$K,"&lt;"&amp;(A115+1),Working_Data!$J:$J,"Resolved")</f>
        <v>1</v>
      </c>
      <c r="D115" s="21">
        <f>IFERROR(SUMPRODUCT((Working_Data!$K:$K&gt;=A115)*(Working_Data!$K:$K&lt;(A115+1))*(Working_Data!$J:$J="Resolved")*(Working_Data!$O:$O&lt;=Working_Data!$I:$I))/C115,0)</f>
        <v>1</v>
      </c>
      <c r="E115">
        <f>COUNTIFS(Working_Data!$J:$J,"Open")+COUNTIFS(Working_Data!$J:$J,"In Progress")</f>
        <v>627</v>
      </c>
    </row>
    <row r="116" spans="1:5" x14ac:dyDescent="0.25">
      <c r="A116" s="5">
        <v>46137</v>
      </c>
      <c r="B116">
        <f>COUNTIFS(Working_Data!$B:$B,"&gt;="&amp;A116,Working_Data!$B:$B,"&lt;"&amp;(A116+1))</f>
        <v>19</v>
      </c>
      <c r="C116">
        <f>COUNTIFS(Working_Data!$K:$K,"&gt;="&amp;A116,Working_Data!$K:$K,"&lt;"&amp;(A116+1),Working_Data!$J:$J,"Resolved")</f>
        <v>6</v>
      </c>
      <c r="D116" s="21">
        <f>IFERROR(SUMPRODUCT((Working_Data!$K:$K&gt;=A116)*(Working_Data!$K:$K&lt;(A116+1))*(Working_Data!$J:$J="Resolved")*(Working_Data!$O:$O&lt;=Working_Data!$I:$I))/C116,0)</f>
        <v>1</v>
      </c>
      <c r="E116">
        <f>COUNTIFS(Working_Data!$J:$J,"Open")+COUNTIFS(Working_Data!$J:$J,"In Progress")</f>
        <v>627</v>
      </c>
    </row>
    <row r="117" spans="1:5" x14ac:dyDescent="0.25">
      <c r="A117" s="5">
        <v>46138</v>
      </c>
      <c r="B117">
        <f>COUNTIFS(Working_Data!$B:$B,"&gt;="&amp;A117,Working_Data!$B:$B,"&lt;"&amp;(A117+1))</f>
        <v>11</v>
      </c>
      <c r="C117">
        <f>COUNTIFS(Working_Data!$K:$K,"&gt;="&amp;A117,Working_Data!$K:$K,"&lt;"&amp;(A117+1),Working_Data!$J:$J,"Resolved")</f>
        <v>2</v>
      </c>
      <c r="D117" s="21">
        <f>IFERROR(SUMPRODUCT((Working_Data!$K:$K&gt;=A117)*(Working_Data!$K:$K&lt;(A117+1))*(Working_Data!$J:$J="Resolved")*(Working_Data!$O:$O&lt;=Working_Data!$I:$I))/C117,0)</f>
        <v>1</v>
      </c>
      <c r="E117">
        <f>COUNTIFS(Working_Data!$J:$J,"Open")+COUNTIFS(Working_Data!$J:$J,"In Progress")</f>
        <v>627</v>
      </c>
    </row>
    <row r="118" spans="1:5" x14ac:dyDescent="0.25">
      <c r="A118" s="5">
        <v>46139</v>
      </c>
      <c r="B118">
        <f>COUNTIFS(Working_Data!$B:$B,"&gt;="&amp;A118,Working_Data!$B:$B,"&lt;"&amp;(A118+1))</f>
        <v>14</v>
      </c>
      <c r="C118">
        <f>COUNTIFS(Working_Data!$K:$K,"&gt;="&amp;A118,Working_Data!$K:$K,"&lt;"&amp;(A118+1),Working_Data!$J:$J,"Resolved")</f>
        <v>4</v>
      </c>
      <c r="D118" s="21">
        <f>IFERROR(SUMPRODUCT((Working_Data!$K:$K&gt;=A118)*(Working_Data!$K:$K&lt;(A118+1))*(Working_Data!$J:$J="Resolved")*(Working_Data!$O:$O&lt;=Working_Data!$I:$I))/C118,0)</f>
        <v>0.75</v>
      </c>
      <c r="E118">
        <f>COUNTIFS(Working_Data!$J:$J,"Open")+COUNTIFS(Working_Data!$J:$J,"In Progress")</f>
        <v>627</v>
      </c>
    </row>
    <row r="119" spans="1:5" x14ac:dyDescent="0.25">
      <c r="A119" s="5">
        <v>46140</v>
      </c>
      <c r="B119">
        <f>COUNTIFS(Working_Data!$B:$B,"&gt;="&amp;A119,Working_Data!$B:$B,"&lt;"&amp;(A119+1))</f>
        <v>18</v>
      </c>
      <c r="C119">
        <f>COUNTIFS(Working_Data!$K:$K,"&gt;="&amp;A119,Working_Data!$K:$K,"&lt;"&amp;(A119+1),Working_Data!$J:$J,"Resolved")</f>
        <v>11</v>
      </c>
      <c r="D119" s="21">
        <f>IFERROR(SUMPRODUCT((Working_Data!$K:$K&gt;=A119)*(Working_Data!$K:$K&lt;(A119+1))*(Working_Data!$J:$J="Resolved")*(Working_Data!$O:$O&lt;=Working_Data!$I:$I))/C119,0)</f>
        <v>0.72727272727272729</v>
      </c>
      <c r="E119">
        <f>COUNTIFS(Working_Data!$J:$J,"Open")+COUNTIFS(Working_Data!$J:$J,"In Progress")</f>
        <v>627</v>
      </c>
    </row>
    <row r="120" spans="1:5" x14ac:dyDescent="0.25">
      <c r="A120" s="5">
        <v>46141</v>
      </c>
      <c r="B120">
        <f>COUNTIFS(Working_Data!$B:$B,"&gt;="&amp;A120,Working_Data!$B:$B,"&lt;"&amp;(A120+1))</f>
        <v>8</v>
      </c>
      <c r="C120">
        <f>COUNTIFS(Working_Data!$K:$K,"&gt;="&amp;A120,Working_Data!$K:$K,"&lt;"&amp;(A120+1),Working_Data!$J:$J,"Resolved")</f>
        <v>4</v>
      </c>
      <c r="D120" s="21">
        <f>IFERROR(SUMPRODUCT((Working_Data!$K:$K&gt;=A120)*(Working_Data!$K:$K&lt;(A120+1))*(Working_Data!$J:$J="Resolved")*(Working_Data!$O:$O&lt;=Working_Data!$I:$I))/C120,0)</f>
        <v>1</v>
      </c>
      <c r="E120">
        <f>COUNTIFS(Working_Data!$J:$J,"Open")+COUNTIFS(Working_Data!$J:$J,"In Progress")</f>
        <v>627</v>
      </c>
    </row>
    <row r="121" spans="1:5" x14ac:dyDescent="0.25">
      <c r="A121" s="5">
        <v>46142</v>
      </c>
      <c r="B121">
        <f>COUNTIFS(Working_Data!$B:$B,"&gt;="&amp;A121,Working_Data!$B:$B,"&lt;"&amp;(A121+1))</f>
        <v>15</v>
      </c>
      <c r="C121">
        <f>COUNTIFS(Working_Data!$K:$K,"&gt;="&amp;A121,Working_Data!$K:$K,"&lt;"&amp;(A121+1),Working_Data!$J:$J,"Resolved")</f>
        <v>3</v>
      </c>
      <c r="D121" s="21">
        <f>IFERROR(SUMPRODUCT((Working_Data!$K:$K&gt;=A121)*(Working_Data!$K:$K&lt;(A121+1))*(Working_Data!$J:$J="Resolved")*(Working_Data!$O:$O&lt;=Working_Data!$I:$I))/C121,0)</f>
        <v>0.66666666666666663</v>
      </c>
      <c r="E121">
        <f>COUNTIFS(Working_Data!$J:$J,"Open")+COUNTIFS(Working_Data!$J:$J,"In Progress")</f>
        <v>627</v>
      </c>
    </row>
    <row r="122" spans="1:5" x14ac:dyDescent="0.25">
      <c r="A122" s="5">
        <v>46143</v>
      </c>
      <c r="B122">
        <f>COUNTIFS(Working_Data!$B:$B,"&gt;="&amp;A122,Working_Data!$B:$B,"&lt;"&amp;(A122+1))</f>
        <v>14</v>
      </c>
      <c r="C122">
        <f>COUNTIFS(Working_Data!$K:$K,"&gt;="&amp;A122,Working_Data!$K:$K,"&lt;"&amp;(A122+1),Working_Data!$J:$J,"Resolved")</f>
        <v>3</v>
      </c>
      <c r="D122" s="21">
        <f>IFERROR(SUMPRODUCT((Working_Data!$K:$K&gt;=A122)*(Working_Data!$K:$K&lt;(A122+1))*(Working_Data!$J:$J="Resolved")*(Working_Data!$O:$O&lt;=Working_Data!$I:$I))/C122,0)</f>
        <v>1</v>
      </c>
      <c r="E122">
        <f>COUNTIFS(Working_Data!$J:$J,"Open")+COUNTIFS(Working_Data!$J:$J,"In Progress")</f>
        <v>627</v>
      </c>
    </row>
    <row r="123" spans="1:5" x14ac:dyDescent="0.25">
      <c r="A123" s="5">
        <v>46144</v>
      </c>
      <c r="B123">
        <f>COUNTIFS(Working_Data!$B:$B,"&gt;="&amp;A123,Working_Data!$B:$B,"&lt;"&amp;(A123+1))</f>
        <v>11</v>
      </c>
      <c r="C123">
        <f>COUNTIFS(Working_Data!$K:$K,"&gt;="&amp;A123,Working_Data!$K:$K,"&lt;"&amp;(A123+1),Working_Data!$J:$J,"Resolved")</f>
        <v>3</v>
      </c>
      <c r="D123" s="21">
        <f>IFERROR(SUMPRODUCT((Working_Data!$K:$K&gt;=A123)*(Working_Data!$K:$K&lt;(A123+1))*(Working_Data!$J:$J="Resolved")*(Working_Data!$O:$O&lt;=Working_Data!$I:$I))/C123,0)</f>
        <v>0.66666666666666663</v>
      </c>
      <c r="E123">
        <f>COUNTIFS(Working_Data!$J:$J,"Open")+COUNTIFS(Working_Data!$J:$J,"In Progress")</f>
        <v>627</v>
      </c>
    </row>
    <row r="124" spans="1:5" x14ac:dyDescent="0.25">
      <c r="A124" s="5">
        <v>46145</v>
      </c>
      <c r="B124">
        <f>COUNTIFS(Working_Data!$B:$B,"&gt;="&amp;A124,Working_Data!$B:$B,"&lt;"&amp;(A124+1))</f>
        <v>10</v>
      </c>
      <c r="C124">
        <f>COUNTIFS(Working_Data!$K:$K,"&gt;="&amp;A124,Working_Data!$K:$K,"&lt;"&amp;(A124+1),Working_Data!$J:$J,"Resolved")</f>
        <v>8</v>
      </c>
      <c r="D124" s="21">
        <f>IFERROR(SUMPRODUCT((Working_Data!$K:$K&gt;=A124)*(Working_Data!$K:$K&lt;(A124+1))*(Working_Data!$J:$J="Resolved")*(Working_Data!$O:$O&lt;=Working_Data!$I:$I))/C124,0)</f>
        <v>0.5</v>
      </c>
      <c r="E124">
        <f>COUNTIFS(Working_Data!$J:$J,"Open")+COUNTIFS(Working_Data!$J:$J,"In Progress")</f>
        <v>627</v>
      </c>
    </row>
    <row r="125" spans="1:5" x14ac:dyDescent="0.25">
      <c r="A125" s="5">
        <v>46146</v>
      </c>
      <c r="B125">
        <f>COUNTIFS(Working_Data!$B:$B,"&gt;="&amp;A125,Working_Data!$B:$B,"&lt;"&amp;(A125+1))</f>
        <v>8</v>
      </c>
      <c r="C125">
        <f>COUNTIFS(Working_Data!$K:$K,"&gt;="&amp;A125,Working_Data!$K:$K,"&lt;"&amp;(A125+1),Working_Data!$J:$J,"Resolved")</f>
        <v>4</v>
      </c>
      <c r="D125" s="21">
        <f>IFERROR(SUMPRODUCT((Working_Data!$K:$K&gt;=A125)*(Working_Data!$K:$K&lt;(A125+1))*(Working_Data!$J:$J="Resolved")*(Working_Data!$O:$O&lt;=Working_Data!$I:$I))/C125,0)</f>
        <v>0.75</v>
      </c>
      <c r="E125">
        <f>COUNTIFS(Working_Data!$J:$J,"Open")+COUNTIFS(Working_Data!$J:$J,"In Progress")</f>
        <v>627</v>
      </c>
    </row>
    <row r="126" spans="1:5" x14ac:dyDescent="0.25">
      <c r="A126" s="5">
        <v>46147</v>
      </c>
      <c r="B126">
        <f>COUNTIFS(Working_Data!$B:$B,"&gt;="&amp;A126,Working_Data!$B:$B,"&lt;"&amp;(A126+1))</f>
        <v>13</v>
      </c>
      <c r="C126">
        <f>COUNTIFS(Working_Data!$K:$K,"&gt;="&amp;A126,Working_Data!$K:$K,"&lt;"&amp;(A126+1),Working_Data!$J:$J,"Resolved")</f>
        <v>3</v>
      </c>
      <c r="D126" s="21">
        <f>IFERROR(SUMPRODUCT((Working_Data!$K:$K&gt;=A126)*(Working_Data!$K:$K&lt;(A126+1))*(Working_Data!$J:$J="Resolved")*(Working_Data!$O:$O&lt;=Working_Data!$I:$I))/C126,0)</f>
        <v>0.33333333333333331</v>
      </c>
      <c r="E126">
        <f>COUNTIFS(Working_Data!$J:$J,"Open")+COUNTIFS(Working_Data!$J:$J,"In Progress")</f>
        <v>627</v>
      </c>
    </row>
    <row r="127" spans="1:5" x14ac:dyDescent="0.25">
      <c r="A127" s="5">
        <v>46148</v>
      </c>
      <c r="B127">
        <f>COUNTIFS(Working_Data!$B:$B,"&gt;="&amp;A127,Working_Data!$B:$B,"&lt;"&amp;(A127+1))</f>
        <v>17</v>
      </c>
      <c r="C127">
        <f>COUNTIFS(Working_Data!$K:$K,"&gt;="&amp;A127,Working_Data!$K:$K,"&lt;"&amp;(A127+1),Working_Data!$J:$J,"Resolved")</f>
        <v>5</v>
      </c>
      <c r="D127" s="21">
        <f>IFERROR(SUMPRODUCT((Working_Data!$K:$K&gt;=A127)*(Working_Data!$K:$K&lt;(A127+1))*(Working_Data!$J:$J="Resolved")*(Working_Data!$O:$O&lt;=Working_Data!$I:$I))/C127,0)</f>
        <v>0.2</v>
      </c>
      <c r="E127">
        <f>COUNTIFS(Working_Data!$J:$J,"Open")+COUNTIFS(Working_Data!$J:$J,"In Progress")</f>
        <v>627</v>
      </c>
    </row>
    <row r="128" spans="1:5" x14ac:dyDescent="0.25">
      <c r="A128" s="5">
        <v>46149</v>
      </c>
      <c r="B128">
        <f>COUNTIFS(Working_Data!$B:$B,"&gt;="&amp;A128,Working_Data!$B:$B,"&lt;"&amp;(A128+1))</f>
        <v>13</v>
      </c>
      <c r="C128">
        <f>COUNTIFS(Working_Data!$K:$K,"&gt;="&amp;A128,Working_Data!$K:$K,"&lt;"&amp;(A128+1),Working_Data!$J:$J,"Resolved")</f>
        <v>10</v>
      </c>
      <c r="D128" s="21">
        <f>IFERROR(SUMPRODUCT((Working_Data!$K:$K&gt;=A128)*(Working_Data!$K:$K&lt;(A128+1))*(Working_Data!$J:$J="Resolved")*(Working_Data!$O:$O&lt;=Working_Data!$I:$I))/C128,0)</f>
        <v>0.9</v>
      </c>
      <c r="E128">
        <f>COUNTIFS(Working_Data!$J:$J,"Open")+COUNTIFS(Working_Data!$J:$J,"In Progress")</f>
        <v>627</v>
      </c>
    </row>
    <row r="129" spans="1:5" x14ac:dyDescent="0.25">
      <c r="A129" s="5">
        <v>46150</v>
      </c>
      <c r="B129">
        <f>COUNTIFS(Working_Data!$B:$B,"&gt;="&amp;A129,Working_Data!$B:$B,"&lt;"&amp;(A129+1))</f>
        <v>10</v>
      </c>
      <c r="C129">
        <f>COUNTIFS(Working_Data!$K:$K,"&gt;="&amp;A129,Working_Data!$K:$K,"&lt;"&amp;(A129+1),Working_Data!$J:$J,"Resolved")</f>
        <v>2</v>
      </c>
      <c r="D129" s="21">
        <f>IFERROR(SUMPRODUCT((Working_Data!$K:$K&gt;=A129)*(Working_Data!$K:$K&lt;(A129+1))*(Working_Data!$J:$J="Resolved")*(Working_Data!$O:$O&lt;=Working_Data!$I:$I))/C129,0)</f>
        <v>0.5</v>
      </c>
      <c r="E129">
        <f>COUNTIFS(Working_Data!$J:$J,"Open")+COUNTIFS(Working_Data!$J:$J,"In Progress")</f>
        <v>627</v>
      </c>
    </row>
    <row r="130" spans="1:5" x14ac:dyDescent="0.25">
      <c r="A130" s="5">
        <v>46151</v>
      </c>
      <c r="B130">
        <f>COUNTIFS(Working_Data!$B:$B,"&gt;="&amp;A130,Working_Data!$B:$B,"&lt;"&amp;(A130+1))</f>
        <v>12</v>
      </c>
      <c r="C130">
        <f>COUNTIFS(Working_Data!$K:$K,"&gt;="&amp;A130,Working_Data!$K:$K,"&lt;"&amp;(A130+1),Working_Data!$J:$J,"Resolved")</f>
        <v>7</v>
      </c>
      <c r="D130" s="21">
        <f>IFERROR(SUMPRODUCT((Working_Data!$K:$K&gt;=A130)*(Working_Data!$K:$K&lt;(A130+1))*(Working_Data!$J:$J="Resolved")*(Working_Data!$O:$O&lt;=Working_Data!$I:$I))/C130,0)</f>
        <v>0.8571428571428571</v>
      </c>
      <c r="E130">
        <f>COUNTIFS(Working_Data!$J:$J,"Open")+COUNTIFS(Working_Data!$J:$J,"In Progress")</f>
        <v>627</v>
      </c>
    </row>
    <row r="131" spans="1:5" x14ac:dyDescent="0.25">
      <c r="A131" s="5">
        <v>46152</v>
      </c>
      <c r="B131">
        <f>COUNTIFS(Working_Data!$B:$B,"&gt;="&amp;A131,Working_Data!$B:$B,"&lt;"&amp;(A131+1))</f>
        <v>14</v>
      </c>
      <c r="C131">
        <f>COUNTIFS(Working_Data!$K:$K,"&gt;="&amp;A131,Working_Data!$K:$K,"&lt;"&amp;(A131+1),Working_Data!$J:$J,"Resolved")</f>
        <v>5</v>
      </c>
      <c r="D131" s="21">
        <f>IFERROR(SUMPRODUCT((Working_Data!$K:$K&gt;=A131)*(Working_Data!$K:$K&lt;(A131+1))*(Working_Data!$J:$J="Resolved")*(Working_Data!$O:$O&lt;=Working_Data!$I:$I))/C131,0)</f>
        <v>1</v>
      </c>
      <c r="E131">
        <f>COUNTIFS(Working_Data!$J:$J,"Open")+COUNTIFS(Working_Data!$J:$J,"In Progress")</f>
        <v>627</v>
      </c>
    </row>
    <row r="132" spans="1:5" x14ac:dyDescent="0.25">
      <c r="A132" s="5">
        <v>46153</v>
      </c>
      <c r="B132">
        <f>COUNTIFS(Working_Data!$B:$B,"&gt;="&amp;A132,Working_Data!$B:$B,"&lt;"&amp;(A132+1))</f>
        <v>14</v>
      </c>
      <c r="C132">
        <f>COUNTIFS(Working_Data!$K:$K,"&gt;="&amp;A132,Working_Data!$K:$K,"&lt;"&amp;(A132+1),Working_Data!$J:$J,"Resolved")</f>
        <v>1</v>
      </c>
      <c r="D132" s="21">
        <f>IFERROR(SUMPRODUCT((Working_Data!$K:$K&gt;=A132)*(Working_Data!$K:$K&lt;(A132+1))*(Working_Data!$J:$J="Resolved")*(Working_Data!$O:$O&lt;=Working_Data!$I:$I))/C132,0)</f>
        <v>1</v>
      </c>
      <c r="E132">
        <f>COUNTIFS(Working_Data!$J:$J,"Open")+COUNTIFS(Working_Data!$J:$J,"In Progress")</f>
        <v>627</v>
      </c>
    </row>
    <row r="133" spans="1:5" x14ac:dyDescent="0.25">
      <c r="A133" s="5">
        <v>46154</v>
      </c>
      <c r="B133">
        <f>COUNTIFS(Working_Data!$B:$B,"&gt;="&amp;A133,Working_Data!$B:$B,"&lt;"&amp;(A133+1))</f>
        <v>12</v>
      </c>
      <c r="C133">
        <f>COUNTIFS(Working_Data!$K:$K,"&gt;="&amp;A133,Working_Data!$K:$K,"&lt;"&amp;(A133+1),Working_Data!$J:$J,"Resolved")</f>
        <v>6</v>
      </c>
      <c r="D133" s="21">
        <f>IFERROR(SUMPRODUCT((Working_Data!$K:$K&gt;=A133)*(Working_Data!$K:$K&lt;(A133+1))*(Working_Data!$J:$J="Resolved")*(Working_Data!$O:$O&lt;=Working_Data!$I:$I))/C133,0)</f>
        <v>0.83333333333333337</v>
      </c>
      <c r="E133">
        <f>COUNTIFS(Working_Data!$J:$J,"Open")+COUNTIFS(Working_Data!$J:$J,"In Progress")</f>
        <v>627</v>
      </c>
    </row>
    <row r="134" spans="1:5" x14ac:dyDescent="0.25">
      <c r="A134" s="5">
        <v>46155</v>
      </c>
      <c r="B134">
        <f>COUNTIFS(Working_Data!$B:$B,"&gt;="&amp;A134,Working_Data!$B:$B,"&lt;"&amp;(A134+1))</f>
        <v>11</v>
      </c>
      <c r="C134">
        <f>COUNTIFS(Working_Data!$K:$K,"&gt;="&amp;A134,Working_Data!$K:$K,"&lt;"&amp;(A134+1),Working_Data!$J:$J,"Resolved")</f>
        <v>6</v>
      </c>
      <c r="D134" s="21">
        <f>IFERROR(SUMPRODUCT((Working_Data!$K:$K&gt;=A134)*(Working_Data!$K:$K&lt;(A134+1))*(Working_Data!$J:$J="Resolved")*(Working_Data!$O:$O&lt;=Working_Data!$I:$I))/C134,0)</f>
        <v>1</v>
      </c>
      <c r="E134">
        <f>COUNTIFS(Working_Data!$J:$J,"Open")+COUNTIFS(Working_Data!$J:$J,"In Progress")</f>
        <v>627</v>
      </c>
    </row>
    <row r="135" spans="1:5" x14ac:dyDescent="0.25">
      <c r="A135" s="5">
        <v>46156</v>
      </c>
      <c r="B135">
        <f>COUNTIFS(Working_Data!$B:$B,"&gt;="&amp;A135,Working_Data!$B:$B,"&lt;"&amp;(A135+1))</f>
        <v>13</v>
      </c>
      <c r="C135">
        <f>COUNTIFS(Working_Data!$K:$K,"&gt;="&amp;A135,Working_Data!$K:$K,"&lt;"&amp;(A135+1),Working_Data!$J:$J,"Resolved")</f>
        <v>4</v>
      </c>
      <c r="D135" s="21">
        <f>IFERROR(SUMPRODUCT((Working_Data!$K:$K&gt;=A135)*(Working_Data!$K:$K&lt;(A135+1))*(Working_Data!$J:$J="Resolved")*(Working_Data!$O:$O&lt;=Working_Data!$I:$I))/C135,0)</f>
        <v>0.75</v>
      </c>
      <c r="E135">
        <f>COUNTIFS(Working_Data!$J:$J,"Open")+COUNTIFS(Working_Data!$J:$J,"In Progress")</f>
        <v>627</v>
      </c>
    </row>
    <row r="136" spans="1:5" x14ac:dyDescent="0.25">
      <c r="A136" s="5">
        <v>46157</v>
      </c>
      <c r="B136">
        <f>COUNTIFS(Working_Data!$B:$B,"&gt;="&amp;A136,Working_Data!$B:$B,"&lt;"&amp;(A136+1))</f>
        <v>12</v>
      </c>
      <c r="C136">
        <f>COUNTIFS(Working_Data!$K:$K,"&gt;="&amp;A136,Working_Data!$K:$K,"&lt;"&amp;(A136+1),Working_Data!$J:$J,"Resolved")</f>
        <v>6</v>
      </c>
      <c r="D136" s="21">
        <f>IFERROR(SUMPRODUCT((Working_Data!$K:$K&gt;=A136)*(Working_Data!$K:$K&lt;(A136+1))*(Working_Data!$J:$J="Resolved")*(Working_Data!$O:$O&lt;=Working_Data!$I:$I))/C136,0)</f>
        <v>0.66666666666666663</v>
      </c>
      <c r="E136">
        <f>COUNTIFS(Working_Data!$J:$J,"Open")+COUNTIFS(Working_Data!$J:$J,"In Progress")</f>
        <v>627</v>
      </c>
    </row>
    <row r="137" spans="1:5" x14ac:dyDescent="0.25">
      <c r="A137" s="5">
        <v>46158</v>
      </c>
      <c r="B137">
        <f>COUNTIFS(Working_Data!$B:$B,"&gt;="&amp;A137,Working_Data!$B:$B,"&lt;"&amp;(A137+1))</f>
        <v>16</v>
      </c>
      <c r="C137">
        <f>COUNTIFS(Working_Data!$K:$K,"&gt;="&amp;A137,Working_Data!$K:$K,"&lt;"&amp;(A137+1),Working_Data!$J:$J,"Resolved")</f>
        <v>9</v>
      </c>
      <c r="D137" s="21">
        <f>IFERROR(SUMPRODUCT((Working_Data!$K:$K&gt;=A137)*(Working_Data!$K:$K&lt;(A137+1))*(Working_Data!$J:$J="Resolved")*(Working_Data!$O:$O&lt;=Working_Data!$I:$I))/C137,0)</f>
        <v>0.77777777777777779</v>
      </c>
      <c r="E137">
        <f>COUNTIFS(Working_Data!$J:$J,"Open")+COUNTIFS(Working_Data!$J:$J,"In Progress")</f>
        <v>627</v>
      </c>
    </row>
    <row r="138" spans="1:5" x14ac:dyDescent="0.25">
      <c r="A138" s="5">
        <v>46159</v>
      </c>
      <c r="B138">
        <f>COUNTIFS(Working_Data!$B:$B,"&gt;="&amp;A138,Working_Data!$B:$B,"&lt;"&amp;(A138+1))</f>
        <v>16</v>
      </c>
      <c r="C138">
        <f>COUNTIFS(Working_Data!$K:$K,"&gt;="&amp;A138,Working_Data!$K:$K,"&lt;"&amp;(A138+1),Working_Data!$J:$J,"Resolved")</f>
        <v>6</v>
      </c>
      <c r="D138" s="21">
        <f>IFERROR(SUMPRODUCT((Working_Data!$K:$K&gt;=A138)*(Working_Data!$K:$K&lt;(A138+1))*(Working_Data!$J:$J="Resolved")*(Working_Data!$O:$O&lt;=Working_Data!$I:$I))/C138,0)</f>
        <v>1</v>
      </c>
      <c r="E138">
        <f>COUNTIFS(Working_Data!$J:$J,"Open")+COUNTIFS(Working_Data!$J:$J,"In Progress")</f>
        <v>627</v>
      </c>
    </row>
    <row r="139" spans="1:5" x14ac:dyDescent="0.25">
      <c r="A139" s="5">
        <v>46160</v>
      </c>
      <c r="B139">
        <f>COUNTIFS(Working_Data!$B:$B,"&gt;="&amp;A139,Working_Data!$B:$B,"&lt;"&amp;(A139+1))</f>
        <v>11</v>
      </c>
      <c r="C139">
        <f>COUNTIFS(Working_Data!$K:$K,"&gt;="&amp;A139,Working_Data!$K:$K,"&lt;"&amp;(A139+1),Working_Data!$J:$J,"Resolved")</f>
        <v>2</v>
      </c>
      <c r="D139" s="21">
        <f>IFERROR(SUMPRODUCT((Working_Data!$K:$K&gt;=A139)*(Working_Data!$K:$K&lt;(A139+1))*(Working_Data!$J:$J="Resolved")*(Working_Data!$O:$O&lt;=Working_Data!$I:$I))/C139,0)</f>
        <v>1</v>
      </c>
      <c r="E139">
        <f>COUNTIFS(Working_Data!$J:$J,"Open")+COUNTIFS(Working_Data!$J:$J,"In Progress")</f>
        <v>627</v>
      </c>
    </row>
    <row r="140" spans="1:5" x14ac:dyDescent="0.25">
      <c r="A140" s="5">
        <v>46161</v>
      </c>
      <c r="B140">
        <f>COUNTIFS(Working_Data!$B:$B,"&gt;="&amp;A140,Working_Data!$B:$B,"&lt;"&amp;(A140+1))</f>
        <v>9</v>
      </c>
      <c r="C140">
        <f>COUNTIFS(Working_Data!$K:$K,"&gt;="&amp;A140,Working_Data!$K:$K,"&lt;"&amp;(A140+1),Working_Data!$J:$J,"Resolved")</f>
        <v>7</v>
      </c>
      <c r="D140" s="21">
        <f>IFERROR(SUMPRODUCT((Working_Data!$K:$K&gt;=A140)*(Working_Data!$K:$K&lt;(A140+1))*(Working_Data!$J:$J="Resolved")*(Working_Data!$O:$O&lt;=Working_Data!$I:$I))/C140,0)</f>
        <v>0.8571428571428571</v>
      </c>
      <c r="E140">
        <f>COUNTIFS(Working_Data!$J:$J,"Open")+COUNTIFS(Working_Data!$J:$J,"In Progress")</f>
        <v>627</v>
      </c>
    </row>
    <row r="141" spans="1:5" x14ac:dyDescent="0.25">
      <c r="A141" s="5">
        <v>46162</v>
      </c>
      <c r="B141">
        <f>COUNTIFS(Working_Data!$B:$B,"&gt;="&amp;A141,Working_Data!$B:$B,"&lt;"&amp;(A141+1))</f>
        <v>22</v>
      </c>
      <c r="C141">
        <f>COUNTIFS(Working_Data!$K:$K,"&gt;="&amp;A141,Working_Data!$K:$K,"&lt;"&amp;(A141+1),Working_Data!$J:$J,"Resolved")</f>
        <v>4</v>
      </c>
      <c r="D141" s="21">
        <f>IFERROR(SUMPRODUCT((Working_Data!$K:$K&gt;=A141)*(Working_Data!$K:$K&lt;(A141+1))*(Working_Data!$J:$J="Resolved")*(Working_Data!$O:$O&lt;=Working_Data!$I:$I))/C141,0)</f>
        <v>1</v>
      </c>
      <c r="E141">
        <f>COUNTIFS(Working_Data!$J:$J,"Open")+COUNTIFS(Working_Data!$J:$J,"In Progress")</f>
        <v>627</v>
      </c>
    </row>
    <row r="142" spans="1:5" x14ac:dyDescent="0.25">
      <c r="A142" s="5">
        <v>46163</v>
      </c>
      <c r="B142">
        <f>COUNTIFS(Working_Data!$B:$B,"&gt;="&amp;A142,Working_Data!$B:$B,"&lt;"&amp;(A142+1))</f>
        <v>16</v>
      </c>
      <c r="C142">
        <f>COUNTIFS(Working_Data!$K:$K,"&gt;="&amp;A142,Working_Data!$K:$K,"&lt;"&amp;(A142+1),Working_Data!$J:$J,"Resolved")</f>
        <v>8</v>
      </c>
      <c r="D142" s="21">
        <f>IFERROR(SUMPRODUCT((Working_Data!$K:$K&gt;=A142)*(Working_Data!$K:$K&lt;(A142+1))*(Working_Data!$J:$J="Resolved")*(Working_Data!$O:$O&lt;=Working_Data!$I:$I))/C142,0)</f>
        <v>0.875</v>
      </c>
      <c r="E142">
        <f>COUNTIFS(Working_Data!$J:$J,"Open")+COUNTIFS(Working_Data!$J:$J,"In Progress")</f>
        <v>627</v>
      </c>
    </row>
    <row r="143" spans="1:5" x14ac:dyDescent="0.25">
      <c r="A143" s="5">
        <v>46164</v>
      </c>
      <c r="B143">
        <f>COUNTIFS(Working_Data!$B:$B,"&gt;="&amp;A143,Working_Data!$B:$B,"&lt;"&amp;(A143+1))</f>
        <v>14</v>
      </c>
      <c r="C143">
        <f>COUNTIFS(Working_Data!$K:$K,"&gt;="&amp;A143,Working_Data!$K:$K,"&lt;"&amp;(A143+1),Working_Data!$J:$J,"Resolved")</f>
        <v>5</v>
      </c>
      <c r="D143" s="21">
        <f>IFERROR(SUMPRODUCT((Working_Data!$K:$K&gt;=A143)*(Working_Data!$K:$K&lt;(A143+1))*(Working_Data!$J:$J="Resolved")*(Working_Data!$O:$O&lt;=Working_Data!$I:$I))/C143,0)</f>
        <v>1</v>
      </c>
      <c r="E143">
        <f>COUNTIFS(Working_Data!$J:$J,"Open")+COUNTIFS(Working_Data!$J:$J,"In Progress")</f>
        <v>627</v>
      </c>
    </row>
    <row r="144" spans="1:5" x14ac:dyDescent="0.25">
      <c r="A144" s="5">
        <v>46165</v>
      </c>
      <c r="B144">
        <f>COUNTIFS(Working_Data!$B:$B,"&gt;="&amp;A144,Working_Data!$B:$B,"&lt;"&amp;(A144+1))</f>
        <v>15</v>
      </c>
      <c r="C144">
        <f>COUNTIFS(Working_Data!$K:$K,"&gt;="&amp;A144,Working_Data!$K:$K,"&lt;"&amp;(A144+1),Working_Data!$J:$J,"Resolved")</f>
        <v>5</v>
      </c>
      <c r="D144" s="21">
        <f>IFERROR(SUMPRODUCT((Working_Data!$K:$K&gt;=A144)*(Working_Data!$K:$K&lt;(A144+1))*(Working_Data!$J:$J="Resolved")*(Working_Data!$O:$O&lt;=Working_Data!$I:$I))/C144,0)</f>
        <v>0.4</v>
      </c>
      <c r="E144">
        <f>COUNTIFS(Working_Data!$J:$J,"Open")+COUNTIFS(Working_Data!$J:$J,"In Progress")</f>
        <v>627</v>
      </c>
    </row>
    <row r="145" spans="1:5" x14ac:dyDescent="0.25">
      <c r="A145" s="5">
        <v>46166</v>
      </c>
      <c r="B145">
        <f>COUNTIFS(Working_Data!$B:$B,"&gt;="&amp;A145,Working_Data!$B:$B,"&lt;"&amp;(A145+1))</f>
        <v>18</v>
      </c>
      <c r="C145">
        <f>COUNTIFS(Working_Data!$K:$K,"&gt;="&amp;A145,Working_Data!$K:$K,"&lt;"&amp;(A145+1),Working_Data!$J:$J,"Resolved")</f>
        <v>4</v>
      </c>
      <c r="D145" s="21">
        <f>IFERROR(SUMPRODUCT((Working_Data!$K:$K&gt;=A145)*(Working_Data!$K:$K&lt;(A145+1))*(Working_Data!$J:$J="Resolved")*(Working_Data!$O:$O&lt;=Working_Data!$I:$I))/C145,0)</f>
        <v>0.5</v>
      </c>
      <c r="E145">
        <f>COUNTIFS(Working_Data!$J:$J,"Open")+COUNTIFS(Working_Data!$J:$J,"In Progress")</f>
        <v>627</v>
      </c>
    </row>
    <row r="146" spans="1:5" x14ac:dyDescent="0.25">
      <c r="A146" s="5">
        <v>46167</v>
      </c>
      <c r="B146">
        <f>COUNTIFS(Working_Data!$B:$B,"&gt;="&amp;A146,Working_Data!$B:$B,"&lt;"&amp;(A146+1))</f>
        <v>7</v>
      </c>
      <c r="C146">
        <f>COUNTIFS(Working_Data!$K:$K,"&gt;="&amp;A146,Working_Data!$K:$K,"&lt;"&amp;(A146+1),Working_Data!$J:$J,"Resolved")</f>
        <v>10</v>
      </c>
      <c r="D146" s="21">
        <f>IFERROR(SUMPRODUCT((Working_Data!$K:$K&gt;=A146)*(Working_Data!$K:$K&lt;(A146+1))*(Working_Data!$J:$J="Resolved")*(Working_Data!$O:$O&lt;=Working_Data!$I:$I))/C146,0)</f>
        <v>0.5</v>
      </c>
      <c r="E146">
        <f>COUNTIFS(Working_Data!$J:$J,"Open")+COUNTIFS(Working_Data!$J:$J,"In Progress")</f>
        <v>627</v>
      </c>
    </row>
    <row r="147" spans="1:5" x14ac:dyDescent="0.25">
      <c r="A147" s="5">
        <v>46168</v>
      </c>
      <c r="B147">
        <f>COUNTIFS(Working_Data!$B:$B,"&gt;="&amp;A147,Working_Data!$B:$B,"&lt;"&amp;(A147+1))</f>
        <v>12</v>
      </c>
      <c r="C147">
        <f>COUNTIFS(Working_Data!$K:$K,"&gt;="&amp;A147,Working_Data!$K:$K,"&lt;"&amp;(A147+1),Working_Data!$J:$J,"Resolved")</f>
        <v>4</v>
      </c>
      <c r="D147" s="21">
        <f>IFERROR(SUMPRODUCT((Working_Data!$K:$K&gt;=A147)*(Working_Data!$K:$K&lt;(A147+1))*(Working_Data!$J:$J="Resolved")*(Working_Data!$O:$O&lt;=Working_Data!$I:$I))/C147,0)</f>
        <v>0.75</v>
      </c>
      <c r="E147">
        <f>COUNTIFS(Working_Data!$J:$J,"Open")+COUNTIFS(Working_Data!$J:$J,"In Progress")</f>
        <v>627</v>
      </c>
    </row>
    <row r="148" spans="1:5" x14ac:dyDescent="0.25">
      <c r="A148" s="5">
        <v>46169</v>
      </c>
      <c r="B148">
        <f>COUNTIFS(Working_Data!$B:$B,"&gt;="&amp;A148,Working_Data!$B:$B,"&lt;"&amp;(A148+1))</f>
        <v>10</v>
      </c>
      <c r="C148">
        <f>COUNTIFS(Working_Data!$K:$K,"&gt;="&amp;A148,Working_Data!$K:$K,"&lt;"&amp;(A148+1),Working_Data!$J:$J,"Resolved")</f>
        <v>3</v>
      </c>
      <c r="D148" s="21">
        <f>IFERROR(SUMPRODUCT((Working_Data!$K:$K&gt;=A148)*(Working_Data!$K:$K&lt;(A148+1))*(Working_Data!$J:$J="Resolved")*(Working_Data!$O:$O&lt;=Working_Data!$I:$I))/C148,0)</f>
        <v>0.66666666666666663</v>
      </c>
      <c r="E148">
        <f>COUNTIFS(Working_Data!$J:$J,"Open")+COUNTIFS(Working_Data!$J:$J,"In Progress")</f>
        <v>627</v>
      </c>
    </row>
    <row r="149" spans="1:5" x14ac:dyDescent="0.25">
      <c r="A149" s="5">
        <v>46170</v>
      </c>
      <c r="B149">
        <f>COUNTIFS(Working_Data!$B:$B,"&gt;="&amp;A149,Working_Data!$B:$B,"&lt;"&amp;(A149+1))</f>
        <v>11</v>
      </c>
      <c r="C149">
        <f>COUNTIFS(Working_Data!$K:$K,"&gt;="&amp;A149,Working_Data!$K:$K,"&lt;"&amp;(A149+1),Working_Data!$J:$J,"Resolved")</f>
        <v>5</v>
      </c>
      <c r="D149" s="21">
        <f>IFERROR(SUMPRODUCT((Working_Data!$K:$K&gt;=A149)*(Working_Data!$K:$K&lt;(A149+1))*(Working_Data!$J:$J="Resolved")*(Working_Data!$O:$O&lt;=Working_Data!$I:$I))/C149,0)</f>
        <v>0.8</v>
      </c>
      <c r="E149">
        <f>COUNTIFS(Working_Data!$J:$J,"Open")+COUNTIFS(Working_Data!$J:$J,"In Progress")</f>
        <v>627</v>
      </c>
    </row>
    <row r="150" spans="1:5" x14ac:dyDescent="0.25">
      <c r="A150" s="5">
        <v>46171</v>
      </c>
      <c r="B150">
        <f>COUNTIFS(Working_Data!$B:$B,"&gt;="&amp;A150,Working_Data!$B:$B,"&lt;"&amp;(A150+1))</f>
        <v>15</v>
      </c>
      <c r="C150">
        <f>COUNTIFS(Working_Data!$K:$K,"&gt;="&amp;A150,Working_Data!$K:$K,"&lt;"&amp;(A150+1),Working_Data!$J:$J,"Resolved")</f>
        <v>5</v>
      </c>
      <c r="D150" s="21">
        <f>IFERROR(SUMPRODUCT((Working_Data!$K:$K&gt;=A150)*(Working_Data!$K:$K&lt;(A150+1))*(Working_Data!$J:$J="Resolved")*(Working_Data!$O:$O&lt;=Working_Data!$I:$I))/C150,0)</f>
        <v>0.8</v>
      </c>
      <c r="E150">
        <f>COUNTIFS(Working_Data!$J:$J,"Open")+COUNTIFS(Working_Data!$J:$J,"In Progress")</f>
        <v>627</v>
      </c>
    </row>
    <row r="151" spans="1:5" x14ac:dyDescent="0.25">
      <c r="A151" s="5">
        <v>46172</v>
      </c>
      <c r="B151">
        <f>COUNTIFS(Working_Data!$B:$B,"&gt;="&amp;A151,Working_Data!$B:$B,"&lt;"&amp;(A151+1))</f>
        <v>12</v>
      </c>
      <c r="C151">
        <f>COUNTIFS(Working_Data!$K:$K,"&gt;="&amp;A151,Working_Data!$K:$K,"&lt;"&amp;(A151+1),Working_Data!$J:$J,"Resolved")</f>
        <v>4</v>
      </c>
      <c r="D151" s="21">
        <f>IFERROR(SUMPRODUCT((Working_Data!$K:$K&gt;=A151)*(Working_Data!$K:$K&lt;(A151+1))*(Working_Data!$J:$J="Resolved")*(Working_Data!$O:$O&lt;=Working_Data!$I:$I))/C151,0)</f>
        <v>0.5</v>
      </c>
      <c r="E151">
        <f>COUNTIFS(Working_Data!$J:$J,"Open")+COUNTIFS(Working_Data!$J:$J,"In Progress")</f>
        <v>627</v>
      </c>
    </row>
    <row r="152" spans="1:5" x14ac:dyDescent="0.25">
      <c r="A152" s="5">
        <v>46173</v>
      </c>
      <c r="B152">
        <f>COUNTIFS(Working_Data!$B:$B,"&gt;="&amp;A152,Working_Data!$B:$B,"&lt;"&amp;(A152+1))</f>
        <v>18</v>
      </c>
      <c r="C152">
        <f>COUNTIFS(Working_Data!$K:$K,"&gt;="&amp;A152,Working_Data!$K:$K,"&lt;"&amp;(A152+1),Working_Data!$J:$J,"Resolved")</f>
        <v>6</v>
      </c>
      <c r="D152" s="21">
        <f>IFERROR(SUMPRODUCT((Working_Data!$K:$K&gt;=A152)*(Working_Data!$K:$K&lt;(A152+1))*(Working_Data!$J:$J="Resolved")*(Working_Data!$O:$O&lt;=Working_Data!$I:$I))/C152,0)</f>
        <v>0.66666666666666663</v>
      </c>
      <c r="E152">
        <f>COUNTIFS(Working_Data!$J:$J,"Open")+COUNTIFS(Working_Data!$J:$J,"In Progress")</f>
        <v>627</v>
      </c>
    </row>
    <row r="153" spans="1:5" x14ac:dyDescent="0.25">
      <c r="A153" s="5">
        <v>46174</v>
      </c>
      <c r="B153">
        <f>COUNTIFS(Working_Data!$B:$B,"&gt;="&amp;A153,Working_Data!$B:$B,"&lt;"&amp;(A153+1))</f>
        <v>10</v>
      </c>
      <c r="C153">
        <f>COUNTIFS(Working_Data!$K:$K,"&gt;="&amp;A153,Working_Data!$K:$K,"&lt;"&amp;(A153+1),Working_Data!$J:$J,"Resolved")</f>
        <v>5</v>
      </c>
      <c r="D153" s="21">
        <f>IFERROR(SUMPRODUCT((Working_Data!$K:$K&gt;=A153)*(Working_Data!$K:$K&lt;(A153+1))*(Working_Data!$J:$J="Resolved")*(Working_Data!$O:$O&lt;=Working_Data!$I:$I))/C153,0)</f>
        <v>0.8</v>
      </c>
      <c r="E153">
        <f>COUNTIFS(Working_Data!$J:$J,"Open")+COUNTIFS(Working_Data!$J:$J,"In Progress")</f>
        <v>627</v>
      </c>
    </row>
    <row r="154" spans="1:5" x14ac:dyDescent="0.25">
      <c r="A154" s="5">
        <v>46175</v>
      </c>
      <c r="B154">
        <f>COUNTIFS(Working_Data!$B:$B,"&gt;="&amp;A154,Working_Data!$B:$B,"&lt;"&amp;(A154+1))</f>
        <v>11</v>
      </c>
      <c r="C154">
        <f>COUNTIFS(Working_Data!$K:$K,"&gt;="&amp;A154,Working_Data!$K:$K,"&lt;"&amp;(A154+1),Working_Data!$J:$J,"Resolved")</f>
        <v>6</v>
      </c>
      <c r="D154" s="21">
        <f>IFERROR(SUMPRODUCT((Working_Data!$K:$K&gt;=A154)*(Working_Data!$K:$K&lt;(A154+1))*(Working_Data!$J:$J="Resolved")*(Working_Data!$O:$O&lt;=Working_Data!$I:$I))/C154,0)</f>
        <v>0.5</v>
      </c>
      <c r="E154">
        <f>COUNTIFS(Working_Data!$J:$J,"Open")+COUNTIFS(Working_Data!$J:$J,"In Progress")</f>
        <v>627</v>
      </c>
    </row>
    <row r="155" spans="1:5" x14ac:dyDescent="0.25">
      <c r="A155" s="5">
        <v>46176</v>
      </c>
      <c r="B155">
        <f>COUNTIFS(Working_Data!$B:$B,"&gt;="&amp;A155,Working_Data!$B:$B,"&lt;"&amp;(A155+1))</f>
        <v>12</v>
      </c>
      <c r="C155">
        <f>COUNTIFS(Working_Data!$K:$K,"&gt;="&amp;A155,Working_Data!$K:$K,"&lt;"&amp;(A155+1),Working_Data!$J:$J,"Resolved")</f>
        <v>5</v>
      </c>
      <c r="D155" s="21">
        <f>IFERROR(SUMPRODUCT((Working_Data!$K:$K&gt;=A155)*(Working_Data!$K:$K&lt;(A155+1))*(Working_Data!$J:$J="Resolved")*(Working_Data!$O:$O&lt;=Working_Data!$I:$I))/C155,0)</f>
        <v>0.8</v>
      </c>
      <c r="E155">
        <f>COUNTIFS(Working_Data!$J:$J,"Open")+COUNTIFS(Working_Data!$J:$J,"In Progress")</f>
        <v>627</v>
      </c>
    </row>
    <row r="156" spans="1:5" x14ac:dyDescent="0.25">
      <c r="A156" s="5">
        <v>46177</v>
      </c>
      <c r="B156">
        <f>COUNTIFS(Working_Data!$B:$B,"&gt;="&amp;A156,Working_Data!$B:$B,"&lt;"&amp;(A156+1))</f>
        <v>20</v>
      </c>
      <c r="C156">
        <f>COUNTIFS(Working_Data!$K:$K,"&gt;="&amp;A156,Working_Data!$K:$K,"&lt;"&amp;(A156+1),Working_Data!$J:$J,"Resolved")</f>
        <v>6</v>
      </c>
      <c r="D156" s="21">
        <f>IFERROR(SUMPRODUCT((Working_Data!$K:$K&gt;=A156)*(Working_Data!$K:$K&lt;(A156+1))*(Working_Data!$J:$J="Resolved")*(Working_Data!$O:$O&lt;=Working_Data!$I:$I))/C156,0)</f>
        <v>0.66666666666666663</v>
      </c>
      <c r="E156">
        <f>COUNTIFS(Working_Data!$J:$J,"Open")+COUNTIFS(Working_Data!$J:$J,"In Progress")</f>
        <v>627</v>
      </c>
    </row>
    <row r="157" spans="1:5" x14ac:dyDescent="0.25">
      <c r="A157" s="5">
        <v>46178</v>
      </c>
      <c r="B157">
        <f>COUNTIFS(Working_Data!$B:$B,"&gt;="&amp;A157,Working_Data!$B:$B,"&lt;"&amp;(A157+1))</f>
        <v>9</v>
      </c>
      <c r="C157">
        <f>COUNTIFS(Working_Data!$K:$K,"&gt;="&amp;A157,Working_Data!$K:$K,"&lt;"&amp;(A157+1),Working_Data!$J:$J,"Resolved")</f>
        <v>4</v>
      </c>
      <c r="D157" s="21">
        <f>IFERROR(SUMPRODUCT((Working_Data!$K:$K&gt;=A157)*(Working_Data!$K:$K&lt;(A157+1))*(Working_Data!$J:$J="Resolved")*(Working_Data!$O:$O&lt;=Working_Data!$I:$I))/C157,0)</f>
        <v>1</v>
      </c>
      <c r="E157">
        <f>COUNTIFS(Working_Data!$J:$J,"Open")+COUNTIFS(Working_Data!$J:$J,"In Progress")</f>
        <v>627</v>
      </c>
    </row>
    <row r="158" spans="1:5" x14ac:dyDescent="0.25">
      <c r="A158" s="5">
        <v>46179</v>
      </c>
      <c r="B158">
        <f>COUNTIFS(Working_Data!$B:$B,"&gt;="&amp;A158,Working_Data!$B:$B,"&lt;"&amp;(A158+1))</f>
        <v>18</v>
      </c>
      <c r="C158">
        <f>COUNTIFS(Working_Data!$K:$K,"&gt;="&amp;A158,Working_Data!$K:$K,"&lt;"&amp;(A158+1),Working_Data!$J:$J,"Resolved")</f>
        <v>6</v>
      </c>
      <c r="D158" s="21">
        <f>IFERROR(SUMPRODUCT((Working_Data!$K:$K&gt;=A158)*(Working_Data!$K:$K&lt;(A158+1))*(Working_Data!$J:$J="Resolved")*(Working_Data!$O:$O&lt;=Working_Data!$I:$I))/C158,0)</f>
        <v>0.83333333333333337</v>
      </c>
      <c r="E158">
        <f>COUNTIFS(Working_Data!$J:$J,"Open")+COUNTIFS(Working_Data!$J:$J,"In Progress")</f>
        <v>627</v>
      </c>
    </row>
    <row r="159" spans="1:5" x14ac:dyDescent="0.25">
      <c r="A159" s="5">
        <v>46180</v>
      </c>
      <c r="B159">
        <f>COUNTIFS(Working_Data!$B:$B,"&gt;="&amp;A159,Working_Data!$B:$B,"&lt;"&amp;(A159+1))</f>
        <v>15</v>
      </c>
      <c r="C159">
        <f>COUNTIFS(Working_Data!$K:$K,"&gt;="&amp;A159,Working_Data!$K:$K,"&lt;"&amp;(A159+1),Working_Data!$J:$J,"Resolved")</f>
        <v>5</v>
      </c>
      <c r="D159" s="21">
        <f>IFERROR(SUMPRODUCT((Working_Data!$K:$K&gt;=A159)*(Working_Data!$K:$K&lt;(A159+1))*(Working_Data!$J:$J="Resolved")*(Working_Data!$O:$O&lt;=Working_Data!$I:$I))/C159,0)</f>
        <v>0.6</v>
      </c>
      <c r="E159">
        <f>COUNTIFS(Working_Data!$J:$J,"Open")+COUNTIFS(Working_Data!$J:$J,"In Progress")</f>
        <v>627</v>
      </c>
    </row>
    <row r="160" spans="1:5" x14ac:dyDescent="0.25">
      <c r="A160" s="5">
        <v>46181</v>
      </c>
      <c r="B160">
        <f>COUNTIFS(Working_Data!$B:$B,"&gt;="&amp;A160,Working_Data!$B:$B,"&lt;"&amp;(A160+1))</f>
        <v>8</v>
      </c>
      <c r="C160">
        <f>COUNTIFS(Working_Data!$K:$K,"&gt;="&amp;A160,Working_Data!$K:$K,"&lt;"&amp;(A160+1),Working_Data!$J:$J,"Resolved")</f>
        <v>5</v>
      </c>
      <c r="D160" s="21">
        <f>IFERROR(SUMPRODUCT((Working_Data!$K:$K&gt;=A160)*(Working_Data!$K:$K&lt;(A160+1))*(Working_Data!$J:$J="Resolved")*(Working_Data!$O:$O&lt;=Working_Data!$I:$I))/C160,0)</f>
        <v>0.8</v>
      </c>
      <c r="E160">
        <f>COUNTIFS(Working_Data!$J:$J,"Open")+COUNTIFS(Working_Data!$J:$J,"In Progress")</f>
        <v>627</v>
      </c>
    </row>
    <row r="161" spans="1:5" x14ac:dyDescent="0.25">
      <c r="A161" s="5">
        <v>46182</v>
      </c>
      <c r="B161">
        <f>COUNTIFS(Working_Data!$B:$B,"&gt;="&amp;A161,Working_Data!$B:$B,"&lt;"&amp;(A161+1))</f>
        <v>15</v>
      </c>
      <c r="C161">
        <f>COUNTIFS(Working_Data!$K:$K,"&gt;="&amp;A161,Working_Data!$K:$K,"&lt;"&amp;(A161+1),Working_Data!$J:$J,"Resolved")</f>
        <v>5</v>
      </c>
      <c r="D161" s="21">
        <f>IFERROR(SUMPRODUCT((Working_Data!$K:$K&gt;=A161)*(Working_Data!$K:$K&lt;(A161+1))*(Working_Data!$J:$J="Resolved")*(Working_Data!$O:$O&lt;=Working_Data!$I:$I))/C161,0)</f>
        <v>0.8</v>
      </c>
      <c r="E161">
        <f>COUNTIFS(Working_Data!$J:$J,"Open")+COUNTIFS(Working_Data!$J:$J,"In Progress")</f>
        <v>627</v>
      </c>
    </row>
    <row r="162" spans="1:5" x14ac:dyDescent="0.25">
      <c r="A162" s="5">
        <v>46183</v>
      </c>
      <c r="B162">
        <f>COUNTIFS(Working_Data!$B:$B,"&gt;="&amp;A162,Working_Data!$B:$B,"&lt;"&amp;(A162+1))</f>
        <v>17</v>
      </c>
      <c r="C162">
        <f>COUNTIFS(Working_Data!$K:$K,"&gt;="&amp;A162,Working_Data!$K:$K,"&lt;"&amp;(A162+1),Working_Data!$J:$J,"Resolved")</f>
        <v>6</v>
      </c>
      <c r="D162" s="21">
        <f>IFERROR(SUMPRODUCT((Working_Data!$K:$K&gt;=A162)*(Working_Data!$K:$K&lt;(A162+1))*(Working_Data!$J:$J="Resolved")*(Working_Data!$O:$O&lt;=Working_Data!$I:$I))/C162,0)</f>
        <v>0.33333333333333331</v>
      </c>
      <c r="E162">
        <f>COUNTIFS(Working_Data!$J:$J,"Open")+COUNTIFS(Working_Data!$J:$J,"In Progress")</f>
        <v>627</v>
      </c>
    </row>
    <row r="163" spans="1:5" x14ac:dyDescent="0.25">
      <c r="A163" s="5">
        <v>46184</v>
      </c>
      <c r="B163">
        <f>COUNTIFS(Working_Data!$B:$B,"&gt;="&amp;A163,Working_Data!$B:$B,"&lt;"&amp;(A163+1))</f>
        <v>12</v>
      </c>
      <c r="C163">
        <f>COUNTIFS(Working_Data!$K:$K,"&gt;="&amp;A163,Working_Data!$K:$K,"&lt;"&amp;(A163+1),Working_Data!$J:$J,"Resolved")</f>
        <v>6</v>
      </c>
      <c r="D163" s="21">
        <f>IFERROR(SUMPRODUCT((Working_Data!$K:$K&gt;=A163)*(Working_Data!$K:$K&lt;(A163+1))*(Working_Data!$J:$J="Resolved")*(Working_Data!$O:$O&lt;=Working_Data!$I:$I))/C163,0)</f>
        <v>0.16666666666666666</v>
      </c>
      <c r="E163">
        <f>COUNTIFS(Working_Data!$J:$J,"Open")+COUNTIFS(Working_Data!$J:$J,"In Progress")</f>
        <v>627</v>
      </c>
    </row>
    <row r="164" spans="1:5" x14ac:dyDescent="0.25">
      <c r="A164" s="5">
        <v>46185</v>
      </c>
      <c r="B164">
        <f>COUNTIFS(Working_Data!$B:$B,"&gt;="&amp;A164,Working_Data!$B:$B,"&lt;"&amp;(A164+1))</f>
        <v>24</v>
      </c>
      <c r="C164">
        <f>COUNTIFS(Working_Data!$K:$K,"&gt;="&amp;A164,Working_Data!$K:$K,"&lt;"&amp;(A164+1),Working_Data!$J:$J,"Resolved")</f>
        <v>8</v>
      </c>
      <c r="D164" s="21">
        <f>IFERROR(SUMPRODUCT((Working_Data!$K:$K&gt;=A164)*(Working_Data!$K:$K&lt;(A164+1))*(Working_Data!$J:$J="Resolved")*(Working_Data!$O:$O&lt;=Working_Data!$I:$I))/C164,0)</f>
        <v>0.875</v>
      </c>
      <c r="E164">
        <f>COUNTIFS(Working_Data!$J:$J,"Open")+COUNTIFS(Working_Data!$J:$J,"In Progress")</f>
        <v>627</v>
      </c>
    </row>
    <row r="165" spans="1:5" x14ac:dyDescent="0.25">
      <c r="A165" s="5">
        <v>46186</v>
      </c>
      <c r="B165">
        <f>COUNTIFS(Working_Data!$B:$B,"&gt;="&amp;A165,Working_Data!$B:$B,"&lt;"&amp;(A165+1))</f>
        <v>10</v>
      </c>
      <c r="C165">
        <f>COUNTIFS(Working_Data!$K:$K,"&gt;="&amp;A165,Working_Data!$K:$K,"&lt;"&amp;(A165+1),Working_Data!$J:$J,"Resolved")</f>
        <v>10</v>
      </c>
      <c r="D165" s="21">
        <f>IFERROR(SUMPRODUCT((Working_Data!$K:$K&gt;=A165)*(Working_Data!$K:$K&lt;(A165+1))*(Working_Data!$J:$J="Resolved")*(Working_Data!$O:$O&lt;=Working_Data!$I:$I))/C165,0)</f>
        <v>0.8</v>
      </c>
      <c r="E165">
        <f>COUNTIFS(Working_Data!$J:$J,"Open")+COUNTIFS(Working_Data!$J:$J,"In Progress")</f>
        <v>627</v>
      </c>
    </row>
    <row r="166" spans="1:5" x14ac:dyDescent="0.25">
      <c r="A166" s="5">
        <v>46187</v>
      </c>
      <c r="B166">
        <f>COUNTIFS(Working_Data!$B:$B,"&gt;="&amp;A166,Working_Data!$B:$B,"&lt;"&amp;(A166+1))</f>
        <v>17</v>
      </c>
      <c r="C166">
        <f>COUNTIFS(Working_Data!$K:$K,"&gt;="&amp;A166,Working_Data!$K:$K,"&lt;"&amp;(A166+1),Working_Data!$J:$J,"Resolved")</f>
        <v>5</v>
      </c>
      <c r="D166" s="21">
        <f>IFERROR(SUMPRODUCT((Working_Data!$K:$K&gt;=A166)*(Working_Data!$K:$K&lt;(A166+1))*(Working_Data!$J:$J="Resolved")*(Working_Data!$O:$O&lt;=Working_Data!$I:$I))/C166,0)</f>
        <v>0.8</v>
      </c>
      <c r="E166">
        <f>COUNTIFS(Working_Data!$J:$J,"Open")+COUNTIFS(Working_Data!$J:$J,"In Progress")</f>
        <v>627</v>
      </c>
    </row>
    <row r="167" spans="1:5" x14ac:dyDescent="0.25">
      <c r="A167" s="5">
        <v>46188</v>
      </c>
      <c r="B167">
        <f>COUNTIFS(Working_Data!$B:$B,"&gt;="&amp;A167,Working_Data!$B:$B,"&lt;"&amp;(A167+1))</f>
        <v>13</v>
      </c>
      <c r="C167">
        <f>COUNTIFS(Working_Data!$K:$K,"&gt;="&amp;A167,Working_Data!$K:$K,"&lt;"&amp;(A167+1),Working_Data!$J:$J,"Resolved")</f>
        <v>6</v>
      </c>
      <c r="D167" s="21">
        <f>IFERROR(SUMPRODUCT((Working_Data!$K:$K&gt;=A167)*(Working_Data!$K:$K&lt;(A167+1))*(Working_Data!$J:$J="Resolved")*(Working_Data!$O:$O&lt;=Working_Data!$I:$I))/C167,0)</f>
        <v>0.5</v>
      </c>
      <c r="E167">
        <f>COUNTIFS(Working_Data!$J:$J,"Open")+COUNTIFS(Working_Data!$J:$J,"In Progress")</f>
        <v>627</v>
      </c>
    </row>
    <row r="168" spans="1:5" x14ac:dyDescent="0.25">
      <c r="A168" s="5">
        <v>46189</v>
      </c>
      <c r="B168">
        <f>COUNTIFS(Working_Data!$B:$B,"&gt;="&amp;A168,Working_Data!$B:$B,"&lt;"&amp;(A168+1))</f>
        <v>11</v>
      </c>
      <c r="C168">
        <f>COUNTIFS(Working_Data!$K:$K,"&gt;="&amp;A168,Working_Data!$K:$K,"&lt;"&amp;(A168+1),Working_Data!$J:$J,"Resolved")</f>
        <v>5</v>
      </c>
      <c r="D168" s="21">
        <f>IFERROR(SUMPRODUCT((Working_Data!$K:$K&gt;=A168)*(Working_Data!$K:$K&lt;(A168+1))*(Working_Data!$J:$J="Resolved")*(Working_Data!$O:$O&lt;=Working_Data!$I:$I))/C168,0)</f>
        <v>1</v>
      </c>
      <c r="E168">
        <f>COUNTIFS(Working_Data!$J:$J,"Open")+COUNTIFS(Working_Data!$J:$J,"In Progress")</f>
        <v>627</v>
      </c>
    </row>
    <row r="169" spans="1:5" x14ac:dyDescent="0.25">
      <c r="A169" s="5">
        <v>46190</v>
      </c>
      <c r="B169">
        <f>COUNTIFS(Working_Data!$B:$B,"&gt;="&amp;A169,Working_Data!$B:$B,"&lt;"&amp;(A169+1))</f>
        <v>13</v>
      </c>
      <c r="C169">
        <f>COUNTIFS(Working_Data!$K:$K,"&gt;="&amp;A169,Working_Data!$K:$K,"&lt;"&amp;(A169+1),Working_Data!$J:$J,"Resolved")</f>
        <v>2</v>
      </c>
      <c r="D169" s="21">
        <f>IFERROR(SUMPRODUCT((Working_Data!$K:$K&gt;=A169)*(Working_Data!$K:$K&lt;(A169+1))*(Working_Data!$J:$J="Resolved")*(Working_Data!$O:$O&lt;=Working_Data!$I:$I))/C169,0)</f>
        <v>0</v>
      </c>
      <c r="E169">
        <f>COUNTIFS(Working_Data!$J:$J,"Open")+COUNTIFS(Working_Data!$J:$J,"In Progress")</f>
        <v>627</v>
      </c>
    </row>
    <row r="170" spans="1:5" x14ac:dyDescent="0.25">
      <c r="A170" s="5">
        <v>46191</v>
      </c>
      <c r="B170">
        <f>COUNTIFS(Working_Data!$B:$B,"&gt;="&amp;A170,Working_Data!$B:$B,"&lt;"&amp;(A170+1))</f>
        <v>10</v>
      </c>
      <c r="C170">
        <f>COUNTIFS(Working_Data!$K:$K,"&gt;="&amp;A170,Working_Data!$K:$K,"&lt;"&amp;(A170+1),Working_Data!$J:$J,"Resolved")</f>
        <v>4</v>
      </c>
      <c r="D170" s="21">
        <f>IFERROR(SUMPRODUCT((Working_Data!$K:$K&gt;=A170)*(Working_Data!$K:$K&lt;(A170+1))*(Working_Data!$J:$J="Resolved")*(Working_Data!$O:$O&lt;=Working_Data!$I:$I))/C170,0)</f>
        <v>0.75</v>
      </c>
      <c r="E170">
        <f>COUNTIFS(Working_Data!$J:$J,"Open")+COUNTIFS(Working_Data!$J:$J,"In Progress")</f>
        <v>627</v>
      </c>
    </row>
    <row r="171" spans="1:5" x14ac:dyDescent="0.25">
      <c r="A171" s="5">
        <v>46192</v>
      </c>
      <c r="B171">
        <f>COUNTIFS(Working_Data!$B:$B,"&gt;="&amp;A171,Working_Data!$B:$B,"&lt;"&amp;(A171+1))</f>
        <v>20</v>
      </c>
      <c r="C171">
        <f>COUNTIFS(Working_Data!$K:$K,"&gt;="&amp;A171,Working_Data!$K:$K,"&lt;"&amp;(A171+1),Working_Data!$J:$J,"Resolved")</f>
        <v>6</v>
      </c>
      <c r="D171" s="21">
        <f>IFERROR(SUMPRODUCT((Working_Data!$K:$K&gt;=A171)*(Working_Data!$K:$K&lt;(A171+1))*(Working_Data!$J:$J="Resolved")*(Working_Data!$O:$O&lt;=Working_Data!$I:$I))/C171,0)</f>
        <v>1</v>
      </c>
      <c r="E171">
        <f>COUNTIFS(Working_Data!$J:$J,"Open")+COUNTIFS(Working_Data!$J:$J,"In Progress")</f>
        <v>627</v>
      </c>
    </row>
    <row r="172" spans="1:5" x14ac:dyDescent="0.25">
      <c r="A172" s="5">
        <v>46193</v>
      </c>
      <c r="B172">
        <f>COUNTIFS(Working_Data!$B:$B,"&gt;="&amp;A172,Working_Data!$B:$B,"&lt;"&amp;(A172+1))</f>
        <v>15</v>
      </c>
      <c r="C172">
        <f>COUNTIFS(Working_Data!$K:$K,"&gt;="&amp;A172,Working_Data!$K:$K,"&lt;"&amp;(A172+1),Working_Data!$J:$J,"Resolved")</f>
        <v>2</v>
      </c>
      <c r="D172" s="21">
        <f>IFERROR(SUMPRODUCT((Working_Data!$K:$K&gt;=A172)*(Working_Data!$K:$K&lt;(A172+1))*(Working_Data!$J:$J="Resolved")*(Working_Data!$O:$O&lt;=Working_Data!$I:$I))/C172,0)</f>
        <v>1</v>
      </c>
      <c r="E172">
        <f>COUNTIFS(Working_Data!$J:$J,"Open")+COUNTIFS(Working_Data!$J:$J,"In Progress")</f>
        <v>627</v>
      </c>
    </row>
    <row r="173" spans="1:5" x14ac:dyDescent="0.25">
      <c r="A173" s="5">
        <v>46194</v>
      </c>
      <c r="B173">
        <f>COUNTIFS(Working_Data!$B:$B,"&gt;="&amp;A173,Working_Data!$B:$B,"&lt;"&amp;(A173+1))</f>
        <v>10</v>
      </c>
      <c r="C173">
        <f>COUNTIFS(Working_Data!$K:$K,"&gt;="&amp;A173,Working_Data!$K:$K,"&lt;"&amp;(A173+1),Working_Data!$J:$J,"Resolved")</f>
        <v>6</v>
      </c>
      <c r="D173" s="21">
        <f>IFERROR(SUMPRODUCT((Working_Data!$K:$K&gt;=A173)*(Working_Data!$K:$K&lt;(A173+1))*(Working_Data!$J:$J="Resolved")*(Working_Data!$O:$O&lt;=Working_Data!$I:$I))/C173,0)</f>
        <v>0.5</v>
      </c>
      <c r="E173">
        <f>COUNTIFS(Working_Data!$J:$J,"Open")+COUNTIFS(Working_Data!$J:$J,"In Progress")</f>
        <v>627</v>
      </c>
    </row>
    <row r="174" spans="1:5" x14ac:dyDescent="0.25">
      <c r="A174" s="5">
        <v>46195</v>
      </c>
      <c r="B174">
        <f>COUNTIFS(Working_Data!$B:$B,"&gt;="&amp;A174,Working_Data!$B:$B,"&lt;"&amp;(A174+1))</f>
        <v>13</v>
      </c>
      <c r="C174">
        <f>COUNTIFS(Working_Data!$K:$K,"&gt;="&amp;A174,Working_Data!$K:$K,"&lt;"&amp;(A174+1),Working_Data!$J:$J,"Resolved")</f>
        <v>3</v>
      </c>
      <c r="D174" s="21">
        <f>IFERROR(SUMPRODUCT((Working_Data!$K:$K&gt;=A174)*(Working_Data!$K:$K&lt;(A174+1))*(Working_Data!$J:$J="Resolved")*(Working_Data!$O:$O&lt;=Working_Data!$I:$I))/C174,0)</f>
        <v>0.33333333333333331</v>
      </c>
      <c r="E174">
        <f>COUNTIFS(Working_Data!$J:$J,"Open")+COUNTIFS(Working_Data!$J:$J,"In Progress")</f>
        <v>627</v>
      </c>
    </row>
    <row r="175" spans="1:5" x14ac:dyDescent="0.25">
      <c r="A175" s="5">
        <v>46196</v>
      </c>
      <c r="B175">
        <f>COUNTIFS(Working_Data!$B:$B,"&gt;="&amp;A175,Working_Data!$B:$B,"&lt;"&amp;(A175+1))</f>
        <v>11</v>
      </c>
      <c r="C175">
        <f>COUNTIFS(Working_Data!$K:$K,"&gt;="&amp;A175,Working_Data!$K:$K,"&lt;"&amp;(A175+1),Working_Data!$J:$J,"Resolved")</f>
        <v>3</v>
      </c>
      <c r="D175" s="21">
        <f>IFERROR(SUMPRODUCT((Working_Data!$K:$K&gt;=A175)*(Working_Data!$K:$K&lt;(A175+1))*(Working_Data!$J:$J="Resolved")*(Working_Data!$O:$O&lt;=Working_Data!$I:$I))/C175,0)</f>
        <v>0.33333333333333331</v>
      </c>
      <c r="E175">
        <f>COUNTIFS(Working_Data!$J:$J,"Open")+COUNTIFS(Working_Data!$J:$J,"In Progress")</f>
        <v>627</v>
      </c>
    </row>
    <row r="176" spans="1:5" x14ac:dyDescent="0.25">
      <c r="A176" s="5">
        <v>46197</v>
      </c>
      <c r="B176">
        <f>COUNTIFS(Working_Data!$B:$B,"&gt;="&amp;A176,Working_Data!$B:$B,"&lt;"&amp;(A176+1))</f>
        <v>8</v>
      </c>
      <c r="C176">
        <f>COUNTIFS(Working_Data!$K:$K,"&gt;="&amp;A176,Working_Data!$K:$K,"&lt;"&amp;(A176+1),Working_Data!$J:$J,"Resolved")</f>
        <v>5</v>
      </c>
      <c r="D176" s="21">
        <f>IFERROR(SUMPRODUCT((Working_Data!$K:$K&gt;=A176)*(Working_Data!$K:$K&lt;(A176+1))*(Working_Data!$J:$J="Resolved")*(Working_Data!$O:$O&lt;=Working_Data!$I:$I))/C176,0)</f>
        <v>0.6</v>
      </c>
      <c r="E176">
        <f>COUNTIFS(Working_Data!$J:$J,"Open")+COUNTIFS(Working_Data!$J:$J,"In Progress")</f>
        <v>627</v>
      </c>
    </row>
    <row r="177" spans="1:5" x14ac:dyDescent="0.25">
      <c r="A177" s="5">
        <v>46198</v>
      </c>
      <c r="B177">
        <f>COUNTIFS(Working_Data!$B:$B,"&gt;="&amp;A177,Working_Data!$B:$B,"&lt;"&amp;(A177+1))</f>
        <v>14</v>
      </c>
      <c r="C177">
        <f>COUNTIFS(Working_Data!$K:$K,"&gt;="&amp;A177,Working_Data!$K:$K,"&lt;"&amp;(A177+1),Working_Data!$J:$J,"Resolved")</f>
        <v>4</v>
      </c>
      <c r="D177" s="21">
        <f>IFERROR(SUMPRODUCT((Working_Data!$K:$K&gt;=A177)*(Working_Data!$K:$K&lt;(A177+1))*(Working_Data!$J:$J="Resolved")*(Working_Data!$O:$O&lt;=Working_Data!$I:$I))/C177,0)</f>
        <v>0.75</v>
      </c>
      <c r="E177">
        <f>COUNTIFS(Working_Data!$J:$J,"Open")+COUNTIFS(Working_Data!$J:$J,"In Progress")</f>
        <v>627</v>
      </c>
    </row>
    <row r="178" spans="1:5" x14ac:dyDescent="0.25">
      <c r="A178" s="5">
        <v>46199</v>
      </c>
      <c r="B178">
        <f>COUNTIFS(Working_Data!$B:$B,"&gt;="&amp;A178,Working_Data!$B:$B,"&lt;"&amp;(A178+1))</f>
        <v>16</v>
      </c>
      <c r="C178">
        <f>COUNTIFS(Working_Data!$K:$K,"&gt;="&amp;A178,Working_Data!$K:$K,"&lt;"&amp;(A178+1),Working_Data!$J:$J,"Resolved")</f>
        <v>8</v>
      </c>
      <c r="D178" s="21">
        <f>IFERROR(SUMPRODUCT((Working_Data!$K:$K&gt;=A178)*(Working_Data!$K:$K&lt;(A178+1))*(Working_Data!$J:$J="Resolved")*(Working_Data!$O:$O&lt;=Working_Data!$I:$I))/C178,0)</f>
        <v>0.625</v>
      </c>
      <c r="E178">
        <f>COUNTIFS(Working_Data!$J:$J,"Open")+COUNTIFS(Working_Data!$J:$J,"In Progress")</f>
        <v>627</v>
      </c>
    </row>
    <row r="179" spans="1:5" x14ac:dyDescent="0.25">
      <c r="A179" s="5">
        <v>46200</v>
      </c>
      <c r="B179">
        <f>COUNTIFS(Working_Data!$B:$B,"&gt;="&amp;A179,Working_Data!$B:$B,"&lt;"&amp;(A179+1))</f>
        <v>17</v>
      </c>
      <c r="C179">
        <f>COUNTIFS(Working_Data!$K:$K,"&gt;="&amp;A179,Working_Data!$K:$K,"&lt;"&amp;(A179+1),Working_Data!$J:$J,"Resolved")</f>
        <v>10</v>
      </c>
      <c r="D179" s="21">
        <f>IFERROR(SUMPRODUCT((Working_Data!$K:$K&gt;=A179)*(Working_Data!$K:$K&lt;(A179+1))*(Working_Data!$J:$J="Resolved")*(Working_Data!$O:$O&lt;=Working_Data!$I:$I))/C179,0)</f>
        <v>0.9</v>
      </c>
      <c r="E179">
        <f>COUNTIFS(Working_Data!$J:$J,"Open")+COUNTIFS(Working_Data!$J:$J,"In Progress")</f>
        <v>627</v>
      </c>
    </row>
    <row r="180" spans="1:5" x14ac:dyDescent="0.25">
      <c r="A180" s="5">
        <v>46201</v>
      </c>
      <c r="B180">
        <f>COUNTIFS(Working_Data!$B:$B,"&gt;="&amp;A180,Working_Data!$B:$B,"&lt;"&amp;(A180+1))</f>
        <v>9</v>
      </c>
      <c r="C180">
        <f>COUNTIFS(Working_Data!$K:$K,"&gt;="&amp;A180,Working_Data!$K:$K,"&lt;"&amp;(A180+1),Working_Data!$J:$J,"Resolved")</f>
        <v>4</v>
      </c>
      <c r="D180" s="21">
        <f>IFERROR(SUMPRODUCT((Working_Data!$K:$K&gt;=A180)*(Working_Data!$K:$K&lt;(A180+1))*(Working_Data!$J:$J="Resolved")*(Working_Data!$O:$O&lt;=Working_Data!$I:$I))/C180,0)</f>
        <v>0.75</v>
      </c>
      <c r="E180">
        <f>COUNTIFS(Working_Data!$J:$J,"Open")+COUNTIFS(Working_Data!$J:$J,"In Progress")</f>
        <v>627</v>
      </c>
    </row>
    <row r="181" spans="1:5" x14ac:dyDescent="0.25">
      <c r="A181" s="5">
        <v>46202</v>
      </c>
      <c r="B181">
        <f>COUNTIFS(Working_Data!$B:$B,"&gt;="&amp;A181,Working_Data!$B:$B,"&lt;"&amp;(A181+1))</f>
        <v>21</v>
      </c>
      <c r="C181">
        <f>COUNTIFS(Working_Data!$K:$K,"&gt;="&amp;A181,Working_Data!$K:$K,"&lt;"&amp;(A181+1),Working_Data!$J:$J,"Resolved")</f>
        <v>5</v>
      </c>
      <c r="D181" s="21">
        <f>IFERROR(SUMPRODUCT((Working_Data!$K:$K&gt;=A181)*(Working_Data!$K:$K&lt;(A181+1))*(Working_Data!$J:$J="Resolved")*(Working_Data!$O:$O&lt;=Working_Data!$I:$I))/C181,0)</f>
        <v>1</v>
      </c>
      <c r="E181">
        <f>COUNTIFS(Working_Data!$J:$J,"Open")+COUNTIFS(Working_Data!$J:$J,"In Progress")</f>
        <v>627</v>
      </c>
    </row>
    <row r="182" spans="1:5" x14ac:dyDescent="0.25">
      <c r="A182" s="5">
        <v>46203</v>
      </c>
      <c r="B182">
        <f>COUNTIFS(Working_Data!$B:$B,"&gt;="&amp;A182,Working_Data!$B:$B,"&lt;"&amp;(A182+1))</f>
        <v>13</v>
      </c>
      <c r="C182">
        <f>COUNTIFS(Working_Data!$K:$K,"&gt;="&amp;A182,Working_Data!$K:$K,"&lt;"&amp;(A182+1),Working_Data!$J:$J,"Resolved")</f>
        <v>6</v>
      </c>
      <c r="D182" s="21">
        <f>IFERROR(SUMPRODUCT((Working_Data!$K:$K&gt;=A182)*(Working_Data!$K:$K&lt;(A182+1))*(Working_Data!$J:$J="Resolved")*(Working_Data!$O:$O&lt;=Working_Data!$I:$I))/C182,0)</f>
        <v>0.83333333333333337</v>
      </c>
      <c r="E182">
        <f>COUNTIFS(Working_Data!$J:$J,"Open")+COUNTIFS(Working_Data!$J:$J,"In Progress")</f>
        <v>627</v>
      </c>
    </row>
    <row r="183" spans="1:5" x14ac:dyDescent="0.25">
      <c r="A183" s="5">
        <v>46204</v>
      </c>
      <c r="B183">
        <f>COUNTIFS(Working_Data!$B:$B,"&gt;="&amp;A183,Working_Data!$B:$B,"&lt;"&amp;(A183+1))</f>
        <v>9</v>
      </c>
      <c r="C183">
        <f>COUNTIFS(Working_Data!$K:$K,"&gt;="&amp;A183,Working_Data!$K:$K,"&lt;"&amp;(A183+1),Working_Data!$J:$J,"Resolved")</f>
        <v>4</v>
      </c>
      <c r="D183" s="21">
        <f>IFERROR(SUMPRODUCT((Working_Data!$K:$K&gt;=A183)*(Working_Data!$K:$K&lt;(A183+1))*(Working_Data!$J:$J="Resolved")*(Working_Data!$O:$O&lt;=Working_Data!$I:$I))/C183,0)</f>
        <v>0.75</v>
      </c>
      <c r="E183">
        <f>COUNTIFS(Working_Data!$J:$J,"Open")+COUNTIFS(Working_Data!$J:$J,"In Progress")</f>
        <v>627</v>
      </c>
    </row>
    <row r="184" spans="1:5" x14ac:dyDescent="0.25">
      <c r="A184" s="5">
        <v>46205</v>
      </c>
      <c r="B184">
        <f>COUNTIFS(Working_Data!$B:$B,"&gt;="&amp;A184,Working_Data!$B:$B,"&lt;"&amp;(A184+1))</f>
        <v>11</v>
      </c>
      <c r="C184">
        <f>COUNTIFS(Working_Data!$K:$K,"&gt;="&amp;A184,Working_Data!$K:$K,"&lt;"&amp;(A184+1),Working_Data!$J:$J,"Resolved")</f>
        <v>4</v>
      </c>
      <c r="D184" s="21">
        <f>IFERROR(SUMPRODUCT((Working_Data!$K:$K&gt;=A184)*(Working_Data!$K:$K&lt;(A184+1))*(Working_Data!$J:$J="Resolved")*(Working_Data!$O:$O&lt;=Working_Data!$I:$I))/C184,0)</f>
        <v>1</v>
      </c>
      <c r="E184">
        <f>COUNTIFS(Working_Data!$J:$J,"Open")+COUNTIFS(Working_Data!$J:$J,"In Progress")</f>
        <v>627</v>
      </c>
    </row>
    <row r="185" spans="1:5" x14ac:dyDescent="0.25">
      <c r="A185" s="5">
        <v>46206</v>
      </c>
      <c r="B185">
        <f>COUNTIFS(Working_Data!$B:$B,"&gt;="&amp;A185,Working_Data!$B:$B,"&lt;"&amp;(A185+1))</f>
        <v>19</v>
      </c>
      <c r="C185">
        <f>COUNTIFS(Working_Data!$K:$K,"&gt;="&amp;A185,Working_Data!$K:$K,"&lt;"&amp;(A185+1),Working_Data!$J:$J,"Resolved")</f>
        <v>6</v>
      </c>
      <c r="D185" s="21">
        <f>IFERROR(SUMPRODUCT((Working_Data!$K:$K&gt;=A185)*(Working_Data!$K:$K&lt;(A185+1))*(Working_Data!$J:$J="Resolved")*(Working_Data!$O:$O&lt;=Working_Data!$I:$I))/C185,0)</f>
        <v>1</v>
      </c>
      <c r="E185">
        <f>COUNTIFS(Working_Data!$J:$J,"Open")+COUNTIFS(Working_Data!$J:$J,"In Progress")</f>
        <v>627</v>
      </c>
    </row>
    <row r="186" spans="1:5" x14ac:dyDescent="0.25">
      <c r="A186" s="5">
        <v>46207</v>
      </c>
      <c r="B186">
        <f>COUNTIFS(Working_Data!$B:$B,"&gt;="&amp;A186,Working_Data!$B:$B,"&lt;"&amp;(A186+1))</f>
        <v>14</v>
      </c>
      <c r="C186">
        <f>COUNTIFS(Working_Data!$K:$K,"&gt;="&amp;A186,Working_Data!$K:$K,"&lt;"&amp;(A186+1),Working_Data!$J:$J,"Resolved")</f>
        <v>5</v>
      </c>
      <c r="D186" s="21">
        <f>IFERROR(SUMPRODUCT((Working_Data!$K:$K&gt;=A186)*(Working_Data!$K:$K&lt;(A186+1))*(Working_Data!$J:$J="Resolved")*(Working_Data!$O:$O&lt;=Working_Data!$I:$I))/C186,0)</f>
        <v>0.4</v>
      </c>
      <c r="E186">
        <f>COUNTIFS(Working_Data!$J:$J,"Open")+COUNTIFS(Working_Data!$J:$J,"In Progress")</f>
        <v>627</v>
      </c>
    </row>
    <row r="187" spans="1:5" x14ac:dyDescent="0.25">
      <c r="A187" s="5">
        <v>46208</v>
      </c>
      <c r="B187">
        <f>COUNTIFS(Working_Data!$B:$B,"&gt;="&amp;A187,Working_Data!$B:$B,"&lt;"&amp;(A187+1))</f>
        <v>12</v>
      </c>
      <c r="C187">
        <f>COUNTIFS(Working_Data!$K:$K,"&gt;="&amp;A187,Working_Data!$K:$K,"&lt;"&amp;(A187+1),Working_Data!$J:$J,"Resolved")</f>
        <v>5</v>
      </c>
      <c r="D187" s="21">
        <f>IFERROR(SUMPRODUCT((Working_Data!$K:$K&gt;=A187)*(Working_Data!$K:$K&lt;(A187+1))*(Working_Data!$J:$J="Resolved")*(Working_Data!$O:$O&lt;=Working_Data!$I:$I))/C187,0)</f>
        <v>1</v>
      </c>
      <c r="E187">
        <f>COUNTIFS(Working_Data!$J:$J,"Open")+COUNTIFS(Working_Data!$J:$J,"In Progress")</f>
        <v>627</v>
      </c>
    </row>
    <row r="188" spans="1:5" x14ac:dyDescent="0.25">
      <c r="A188" s="5">
        <v>46209</v>
      </c>
      <c r="B188">
        <f>COUNTIFS(Working_Data!$B:$B,"&gt;="&amp;A188,Working_Data!$B:$B,"&lt;"&amp;(A188+1))</f>
        <v>13</v>
      </c>
      <c r="C188">
        <f>COUNTIFS(Working_Data!$K:$K,"&gt;="&amp;A188,Working_Data!$K:$K,"&lt;"&amp;(A188+1),Working_Data!$J:$J,"Resolved")</f>
        <v>7</v>
      </c>
      <c r="D188" s="21">
        <f>IFERROR(SUMPRODUCT((Working_Data!$K:$K&gt;=A188)*(Working_Data!$K:$K&lt;(A188+1))*(Working_Data!$J:$J="Resolved")*(Working_Data!$O:$O&lt;=Working_Data!$I:$I))/C188,0)</f>
        <v>0.5714285714285714</v>
      </c>
      <c r="E188">
        <f>COUNTIFS(Working_Data!$J:$J,"Open")+COUNTIFS(Working_Data!$J:$J,"In Progress")</f>
        <v>627</v>
      </c>
    </row>
    <row r="189" spans="1:5" x14ac:dyDescent="0.25">
      <c r="A189" s="5">
        <v>46210</v>
      </c>
      <c r="B189">
        <f>COUNTIFS(Working_Data!$B:$B,"&gt;="&amp;A189,Working_Data!$B:$B,"&lt;"&amp;(A189+1))</f>
        <v>18</v>
      </c>
      <c r="C189">
        <f>COUNTIFS(Working_Data!$K:$K,"&gt;="&amp;A189,Working_Data!$K:$K,"&lt;"&amp;(A189+1),Working_Data!$J:$J,"Resolved")</f>
        <v>4</v>
      </c>
      <c r="D189" s="21">
        <f>IFERROR(SUMPRODUCT((Working_Data!$K:$K&gt;=A189)*(Working_Data!$K:$K&lt;(A189+1))*(Working_Data!$J:$J="Resolved")*(Working_Data!$O:$O&lt;=Working_Data!$I:$I))/C189,0)</f>
        <v>0.75</v>
      </c>
      <c r="E189">
        <f>COUNTIFS(Working_Data!$J:$J,"Open")+COUNTIFS(Working_Data!$J:$J,"In Progress")</f>
        <v>627</v>
      </c>
    </row>
    <row r="190" spans="1:5" x14ac:dyDescent="0.25">
      <c r="A190" s="5">
        <v>46211</v>
      </c>
      <c r="B190">
        <f>COUNTIFS(Working_Data!$B:$B,"&gt;="&amp;A190,Working_Data!$B:$B,"&lt;"&amp;(A190+1))</f>
        <v>8</v>
      </c>
      <c r="C190">
        <f>COUNTIFS(Working_Data!$K:$K,"&gt;="&amp;A190,Working_Data!$K:$K,"&lt;"&amp;(A190+1),Working_Data!$J:$J,"Resolved")</f>
        <v>4</v>
      </c>
      <c r="D190" s="21">
        <f>IFERROR(SUMPRODUCT((Working_Data!$K:$K&gt;=A190)*(Working_Data!$K:$K&lt;(A190+1))*(Working_Data!$J:$J="Resolved")*(Working_Data!$O:$O&lt;=Working_Data!$I:$I))/C190,0)</f>
        <v>1</v>
      </c>
      <c r="E190">
        <f>COUNTIFS(Working_Data!$J:$J,"Open")+COUNTIFS(Working_Data!$J:$J,"In Progress")</f>
        <v>627</v>
      </c>
    </row>
    <row r="191" spans="1:5" x14ac:dyDescent="0.25">
      <c r="A191" s="5">
        <v>46212</v>
      </c>
      <c r="B191">
        <f>COUNTIFS(Working_Data!$B:$B,"&gt;="&amp;A191,Working_Data!$B:$B,"&lt;"&amp;(A191+1))</f>
        <v>8</v>
      </c>
      <c r="C191">
        <f>COUNTIFS(Working_Data!$K:$K,"&gt;="&amp;A191,Working_Data!$K:$K,"&lt;"&amp;(A191+1),Working_Data!$J:$J,"Resolved")</f>
        <v>3</v>
      </c>
      <c r="D191" s="21">
        <f>IFERROR(SUMPRODUCT((Working_Data!$K:$K&gt;=A191)*(Working_Data!$K:$K&lt;(A191+1))*(Working_Data!$J:$J="Resolved")*(Working_Data!$O:$O&lt;=Working_Data!$I:$I))/C191,0)</f>
        <v>0.33333333333333331</v>
      </c>
      <c r="E191">
        <f>COUNTIFS(Working_Data!$J:$J,"Open")+COUNTIFS(Working_Data!$J:$J,"In Progress")</f>
        <v>627</v>
      </c>
    </row>
    <row r="192" spans="1:5" x14ac:dyDescent="0.25">
      <c r="A192" s="5">
        <v>46213</v>
      </c>
      <c r="B192">
        <f>COUNTIFS(Working_Data!$B:$B,"&gt;="&amp;A192,Working_Data!$B:$B,"&lt;"&amp;(A192+1))</f>
        <v>11</v>
      </c>
      <c r="C192">
        <f>COUNTIFS(Working_Data!$K:$K,"&gt;="&amp;A192,Working_Data!$K:$K,"&lt;"&amp;(A192+1),Working_Data!$J:$J,"Resolved")</f>
        <v>5</v>
      </c>
      <c r="D192" s="21">
        <f>IFERROR(SUMPRODUCT((Working_Data!$K:$K&gt;=A192)*(Working_Data!$K:$K&lt;(A192+1))*(Working_Data!$J:$J="Resolved")*(Working_Data!$O:$O&lt;=Working_Data!$I:$I))/C192,0)</f>
        <v>0.6</v>
      </c>
      <c r="E192">
        <f>COUNTIFS(Working_Data!$J:$J,"Open")+COUNTIFS(Working_Data!$J:$J,"In Progress")</f>
        <v>627</v>
      </c>
    </row>
    <row r="193" spans="1:5" x14ac:dyDescent="0.25">
      <c r="A193" s="5">
        <v>46214</v>
      </c>
      <c r="B193">
        <f>COUNTIFS(Working_Data!$B:$B,"&gt;="&amp;A193,Working_Data!$B:$B,"&lt;"&amp;(A193+1))</f>
        <v>20</v>
      </c>
      <c r="C193">
        <f>COUNTIFS(Working_Data!$K:$K,"&gt;="&amp;A193,Working_Data!$K:$K,"&lt;"&amp;(A193+1),Working_Data!$J:$J,"Resolved")</f>
        <v>6</v>
      </c>
      <c r="D193" s="21">
        <f>IFERROR(SUMPRODUCT((Working_Data!$K:$K&gt;=A193)*(Working_Data!$K:$K&lt;(A193+1))*(Working_Data!$J:$J="Resolved")*(Working_Data!$O:$O&lt;=Working_Data!$I:$I))/C193,0)</f>
        <v>0.83333333333333337</v>
      </c>
      <c r="E193">
        <f>COUNTIFS(Working_Data!$J:$J,"Open")+COUNTIFS(Working_Data!$J:$J,"In Progress")</f>
        <v>627</v>
      </c>
    </row>
    <row r="194" spans="1:5" x14ac:dyDescent="0.25">
      <c r="A194" s="5">
        <v>46215</v>
      </c>
      <c r="B194">
        <f>COUNTIFS(Working_Data!$B:$B,"&gt;="&amp;A194,Working_Data!$B:$B,"&lt;"&amp;(A194+1))</f>
        <v>16</v>
      </c>
      <c r="C194">
        <f>COUNTIFS(Working_Data!$K:$K,"&gt;="&amp;A194,Working_Data!$K:$K,"&lt;"&amp;(A194+1),Working_Data!$J:$J,"Resolved")</f>
        <v>9</v>
      </c>
      <c r="D194" s="21">
        <f>IFERROR(SUMPRODUCT((Working_Data!$K:$K&gt;=A194)*(Working_Data!$K:$K&lt;(A194+1))*(Working_Data!$J:$J="Resolved")*(Working_Data!$O:$O&lt;=Working_Data!$I:$I))/C194,0)</f>
        <v>0.44444444444444442</v>
      </c>
      <c r="E194">
        <f>COUNTIFS(Working_Data!$J:$J,"Open")+COUNTIFS(Working_Data!$J:$J,"In Progress")</f>
        <v>627</v>
      </c>
    </row>
    <row r="195" spans="1:5" x14ac:dyDescent="0.25">
      <c r="A195" s="5">
        <v>46216</v>
      </c>
      <c r="B195">
        <f>COUNTIFS(Working_Data!$B:$B,"&gt;="&amp;A195,Working_Data!$B:$B,"&lt;"&amp;(A195+1))</f>
        <v>18</v>
      </c>
      <c r="C195">
        <f>COUNTIFS(Working_Data!$K:$K,"&gt;="&amp;A195,Working_Data!$K:$K,"&lt;"&amp;(A195+1),Working_Data!$J:$J,"Resolved")</f>
        <v>5</v>
      </c>
      <c r="D195" s="21">
        <f>IFERROR(SUMPRODUCT((Working_Data!$K:$K&gt;=A195)*(Working_Data!$K:$K&lt;(A195+1))*(Working_Data!$J:$J="Resolved")*(Working_Data!$O:$O&lt;=Working_Data!$I:$I))/C195,0)</f>
        <v>1</v>
      </c>
      <c r="E195">
        <f>COUNTIFS(Working_Data!$J:$J,"Open")+COUNTIFS(Working_Data!$J:$J,"In Progress")</f>
        <v>627</v>
      </c>
    </row>
    <row r="196" spans="1:5" x14ac:dyDescent="0.25">
      <c r="A196" s="5">
        <v>46217</v>
      </c>
      <c r="B196">
        <f>COUNTIFS(Working_Data!$B:$B,"&gt;="&amp;A196,Working_Data!$B:$B,"&lt;"&amp;(A196+1))</f>
        <v>19</v>
      </c>
      <c r="C196">
        <f>COUNTIFS(Working_Data!$K:$K,"&gt;="&amp;A196,Working_Data!$K:$K,"&lt;"&amp;(A196+1),Working_Data!$J:$J,"Resolved")</f>
        <v>9</v>
      </c>
      <c r="D196" s="21">
        <f>IFERROR(SUMPRODUCT((Working_Data!$K:$K&gt;=A196)*(Working_Data!$K:$K&lt;(A196+1))*(Working_Data!$J:$J="Resolved")*(Working_Data!$O:$O&lt;=Working_Data!$I:$I))/C196,0)</f>
        <v>0.44444444444444442</v>
      </c>
      <c r="E196">
        <f>COUNTIFS(Working_Data!$J:$J,"Open")+COUNTIFS(Working_Data!$J:$J,"In Progress")</f>
        <v>627</v>
      </c>
    </row>
    <row r="197" spans="1:5" x14ac:dyDescent="0.25">
      <c r="A197" s="5">
        <v>46218</v>
      </c>
      <c r="B197">
        <f>COUNTIFS(Working_Data!$B:$B,"&gt;="&amp;A197,Working_Data!$B:$B,"&lt;"&amp;(A197+1))</f>
        <v>11</v>
      </c>
      <c r="C197">
        <f>COUNTIFS(Working_Data!$K:$K,"&gt;="&amp;A197,Working_Data!$K:$K,"&lt;"&amp;(A197+1),Working_Data!$J:$J,"Resolved")</f>
        <v>4</v>
      </c>
      <c r="D197" s="21">
        <f>IFERROR(SUMPRODUCT((Working_Data!$K:$K&gt;=A197)*(Working_Data!$K:$K&lt;(A197+1))*(Working_Data!$J:$J="Resolved")*(Working_Data!$O:$O&lt;=Working_Data!$I:$I))/C197,0)</f>
        <v>0.75</v>
      </c>
      <c r="E197">
        <f>COUNTIFS(Working_Data!$J:$J,"Open")+COUNTIFS(Working_Data!$J:$J,"In Progress")</f>
        <v>627</v>
      </c>
    </row>
    <row r="198" spans="1:5" x14ac:dyDescent="0.25">
      <c r="A198" s="5">
        <v>46219</v>
      </c>
      <c r="B198">
        <f>COUNTIFS(Working_Data!$B:$B,"&gt;="&amp;A198,Working_Data!$B:$B,"&lt;"&amp;(A198+1))</f>
        <v>11</v>
      </c>
      <c r="C198">
        <f>COUNTIFS(Working_Data!$K:$K,"&gt;="&amp;A198,Working_Data!$K:$K,"&lt;"&amp;(A198+1),Working_Data!$J:$J,"Resolved")</f>
        <v>4</v>
      </c>
      <c r="D198" s="21">
        <f>IFERROR(SUMPRODUCT((Working_Data!$K:$K&gt;=A198)*(Working_Data!$K:$K&lt;(A198+1))*(Working_Data!$J:$J="Resolved")*(Working_Data!$O:$O&lt;=Working_Data!$I:$I))/C198,0)</f>
        <v>1</v>
      </c>
      <c r="E198">
        <f>COUNTIFS(Working_Data!$J:$J,"Open")+COUNTIFS(Working_Data!$J:$J,"In Progress")</f>
        <v>627</v>
      </c>
    </row>
    <row r="199" spans="1:5" x14ac:dyDescent="0.25">
      <c r="A199" s="5">
        <v>46220</v>
      </c>
      <c r="B199">
        <f>COUNTIFS(Working_Data!$B:$B,"&gt;="&amp;A199,Working_Data!$B:$B,"&lt;"&amp;(A199+1))</f>
        <v>12</v>
      </c>
      <c r="C199">
        <f>COUNTIFS(Working_Data!$K:$K,"&gt;="&amp;A199,Working_Data!$K:$K,"&lt;"&amp;(A199+1),Working_Data!$J:$J,"Resolved")</f>
        <v>2</v>
      </c>
      <c r="D199" s="21">
        <f>IFERROR(SUMPRODUCT((Working_Data!$K:$K&gt;=A199)*(Working_Data!$K:$K&lt;(A199+1))*(Working_Data!$J:$J="Resolved")*(Working_Data!$O:$O&lt;=Working_Data!$I:$I))/C199,0)</f>
        <v>1</v>
      </c>
      <c r="E199">
        <f>COUNTIFS(Working_Data!$J:$J,"Open")+COUNTIFS(Working_Data!$J:$J,"In Progress")</f>
        <v>627</v>
      </c>
    </row>
    <row r="200" spans="1:5" x14ac:dyDescent="0.25">
      <c r="A200" s="5">
        <v>46221</v>
      </c>
      <c r="B200">
        <f>COUNTIFS(Working_Data!$B:$B,"&gt;="&amp;A200,Working_Data!$B:$B,"&lt;"&amp;(A200+1))</f>
        <v>18</v>
      </c>
      <c r="C200">
        <f>COUNTIFS(Working_Data!$K:$K,"&gt;="&amp;A200,Working_Data!$K:$K,"&lt;"&amp;(A200+1),Working_Data!$J:$J,"Resolved")</f>
        <v>4</v>
      </c>
      <c r="D200" s="21">
        <f>IFERROR(SUMPRODUCT((Working_Data!$K:$K&gt;=A200)*(Working_Data!$K:$K&lt;(A200+1))*(Working_Data!$J:$J="Resolved")*(Working_Data!$O:$O&lt;=Working_Data!$I:$I))/C200,0)</f>
        <v>1</v>
      </c>
      <c r="E200">
        <f>COUNTIFS(Working_Data!$J:$J,"Open")+COUNTIFS(Working_Data!$J:$J,"In Progress")</f>
        <v>627</v>
      </c>
    </row>
    <row r="201" spans="1:5" x14ac:dyDescent="0.25">
      <c r="A201" s="5">
        <v>46222</v>
      </c>
      <c r="B201">
        <f>COUNTIFS(Working_Data!$B:$B,"&gt;="&amp;A201,Working_Data!$B:$B,"&lt;"&amp;(A201+1))</f>
        <v>10</v>
      </c>
      <c r="C201">
        <f>COUNTIFS(Working_Data!$K:$K,"&gt;="&amp;A201,Working_Data!$K:$K,"&lt;"&amp;(A201+1),Working_Data!$J:$J,"Resolved")</f>
        <v>10</v>
      </c>
      <c r="D201" s="21">
        <f>IFERROR(SUMPRODUCT((Working_Data!$K:$K&gt;=A201)*(Working_Data!$K:$K&lt;(A201+1))*(Working_Data!$J:$J="Resolved")*(Working_Data!$O:$O&lt;=Working_Data!$I:$I))/C201,0)</f>
        <v>0.8</v>
      </c>
      <c r="E201">
        <f>COUNTIFS(Working_Data!$J:$J,"Open")+COUNTIFS(Working_Data!$J:$J,"In Progress")</f>
        <v>627</v>
      </c>
    </row>
    <row r="202" spans="1:5" x14ac:dyDescent="0.25">
      <c r="A202" s="5">
        <v>46223</v>
      </c>
      <c r="B202">
        <f>COUNTIFS(Working_Data!$B:$B,"&gt;="&amp;A202,Working_Data!$B:$B,"&lt;"&amp;(A202+1))</f>
        <v>18</v>
      </c>
      <c r="C202">
        <f>COUNTIFS(Working_Data!$K:$K,"&gt;="&amp;A202,Working_Data!$K:$K,"&lt;"&amp;(A202+1),Working_Data!$J:$J,"Resolved")</f>
        <v>5</v>
      </c>
      <c r="D202" s="21">
        <f>IFERROR(SUMPRODUCT((Working_Data!$K:$K&gt;=A202)*(Working_Data!$K:$K&lt;(A202+1))*(Working_Data!$J:$J="Resolved")*(Working_Data!$O:$O&lt;=Working_Data!$I:$I))/C202,0)</f>
        <v>0.8</v>
      </c>
      <c r="E202">
        <f>COUNTIFS(Working_Data!$J:$J,"Open")+COUNTIFS(Working_Data!$J:$J,"In Progress")</f>
        <v>627</v>
      </c>
    </row>
    <row r="203" spans="1:5" x14ac:dyDescent="0.25">
      <c r="A203" s="5">
        <v>46224</v>
      </c>
      <c r="B203">
        <f>COUNTIFS(Working_Data!$B:$B,"&gt;="&amp;A203,Working_Data!$B:$B,"&lt;"&amp;(A203+1))</f>
        <v>11</v>
      </c>
      <c r="C203">
        <f>COUNTIFS(Working_Data!$K:$K,"&gt;="&amp;A203,Working_Data!$K:$K,"&lt;"&amp;(A203+1),Working_Data!$J:$J,"Resolved")</f>
        <v>2</v>
      </c>
      <c r="D203" s="21">
        <f>IFERROR(SUMPRODUCT((Working_Data!$K:$K&gt;=A203)*(Working_Data!$K:$K&lt;(A203+1))*(Working_Data!$J:$J="Resolved")*(Working_Data!$O:$O&lt;=Working_Data!$I:$I))/C203,0)</f>
        <v>0.5</v>
      </c>
      <c r="E203">
        <f>COUNTIFS(Working_Data!$J:$J,"Open")+COUNTIFS(Working_Data!$J:$J,"In Progress")</f>
        <v>627</v>
      </c>
    </row>
    <row r="204" spans="1:5" x14ac:dyDescent="0.25">
      <c r="A204" s="5">
        <v>46225</v>
      </c>
      <c r="B204">
        <f>COUNTIFS(Working_Data!$B:$B,"&gt;="&amp;A204,Working_Data!$B:$B,"&lt;"&amp;(A204+1))</f>
        <v>17</v>
      </c>
      <c r="C204">
        <f>COUNTIFS(Working_Data!$K:$K,"&gt;="&amp;A204,Working_Data!$K:$K,"&lt;"&amp;(A204+1),Working_Data!$J:$J,"Resolved")</f>
        <v>8</v>
      </c>
      <c r="D204" s="21">
        <f>IFERROR(SUMPRODUCT((Working_Data!$K:$K&gt;=A204)*(Working_Data!$K:$K&lt;(A204+1))*(Working_Data!$J:$J="Resolved")*(Working_Data!$O:$O&lt;=Working_Data!$I:$I))/C204,0)</f>
        <v>0.625</v>
      </c>
      <c r="E204">
        <f>COUNTIFS(Working_Data!$J:$J,"Open")+COUNTIFS(Working_Data!$J:$J,"In Progress")</f>
        <v>627</v>
      </c>
    </row>
    <row r="205" spans="1:5" x14ac:dyDescent="0.25">
      <c r="A205" s="5">
        <v>46226</v>
      </c>
      <c r="B205">
        <f>COUNTIFS(Working_Data!$B:$B,"&gt;="&amp;A205,Working_Data!$B:$B,"&lt;"&amp;(A205+1))</f>
        <v>13</v>
      </c>
      <c r="C205">
        <f>COUNTIFS(Working_Data!$K:$K,"&gt;="&amp;A205,Working_Data!$K:$K,"&lt;"&amp;(A205+1),Working_Data!$J:$J,"Resolved")</f>
        <v>6</v>
      </c>
      <c r="D205" s="21">
        <f>IFERROR(SUMPRODUCT((Working_Data!$K:$K&gt;=A205)*(Working_Data!$K:$K&lt;(A205+1))*(Working_Data!$J:$J="Resolved")*(Working_Data!$O:$O&lt;=Working_Data!$I:$I))/C205,0)</f>
        <v>0.83333333333333337</v>
      </c>
      <c r="E205">
        <f>COUNTIFS(Working_Data!$J:$J,"Open")+COUNTIFS(Working_Data!$J:$J,"In Progress")</f>
        <v>627</v>
      </c>
    </row>
    <row r="206" spans="1:5" x14ac:dyDescent="0.25">
      <c r="A206" s="5">
        <v>46227</v>
      </c>
      <c r="B206">
        <f>COUNTIFS(Working_Data!$B:$B,"&gt;="&amp;A206,Working_Data!$B:$B,"&lt;"&amp;(A206+1))</f>
        <v>11</v>
      </c>
      <c r="C206">
        <f>COUNTIFS(Working_Data!$K:$K,"&gt;="&amp;A206,Working_Data!$K:$K,"&lt;"&amp;(A206+1),Working_Data!$J:$J,"Resolved")</f>
        <v>5</v>
      </c>
      <c r="D206" s="21">
        <f>IFERROR(SUMPRODUCT((Working_Data!$K:$K&gt;=A206)*(Working_Data!$K:$K&lt;(A206+1))*(Working_Data!$J:$J="Resolved")*(Working_Data!$O:$O&lt;=Working_Data!$I:$I))/C206,0)</f>
        <v>0.8</v>
      </c>
      <c r="E206">
        <f>COUNTIFS(Working_Data!$J:$J,"Open")+COUNTIFS(Working_Data!$J:$J,"In Progress")</f>
        <v>627</v>
      </c>
    </row>
    <row r="207" spans="1:5" x14ac:dyDescent="0.25">
      <c r="A207" s="5">
        <v>46228</v>
      </c>
      <c r="B207">
        <f>COUNTIFS(Working_Data!$B:$B,"&gt;="&amp;A207,Working_Data!$B:$B,"&lt;"&amp;(A207+1))</f>
        <v>13</v>
      </c>
      <c r="C207">
        <f>COUNTIFS(Working_Data!$K:$K,"&gt;="&amp;A207,Working_Data!$K:$K,"&lt;"&amp;(A207+1),Working_Data!$J:$J,"Resolved")</f>
        <v>1</v>
      </c>
      <c r="D207" s="21">
        <f>IFERROR(SUMPRODUCT((Working_Data!$K:$K&gt;=A207)*(Working_Data!$K:$K&lt;(A207+1))*(Working_Data!$J:$J="Resolved")*(Working_Data!$O:$O&lt;=Working_Data!$I:$I))/C207,0)</f>
        <v>1</v>
      </c>
      <c r="E207">
        <f>COUNTIFS(Working_Data!$J:$J,"Open")+COUNTIFS(Working_Data!$J:$J,"In Progress")</f>
        <v>627</v>
      </c>
    </row>
    <row r="208" spans="1:5" x14ac:dyDescent="0.25">
      <c r="A208" s="5">
        <v>46229</v>
      </c>
      <c r="B208">
        <f>COUNTIFS(Working_Data!$B:$B,"&gt;="&amp;A208,Working_Data!$B:$B,"&lt;"&amp;(A208+1))</f>
        <v>12</v>
      </c>
      <c r="C208">
        <f>COUNTIFS(Working_Data!$K:$K,"&gt;="&amp;A208,Working_Data!$K:$K,"&lt;"&amp;(A208+1),Working_Data!$J:$J,"Resolved")</f>
        <v>7</v>
      </c>
      <c r="D208" s="21">
        <f>IFERROR(SUMPRODUCT((Working_Data!$K:$K&gt;=A208)*(Working_Data!$K:$K&lt;(A208+1))*(Working_Data!$J:$J="Resolved")*(Working_Data!$O:$O&lt;=Working_Data!$I:$I))/C208,0)</f>
        <v>1</v>
      </c>
      <c r="E208">
        <f>COUNTIFS(Working_Data!$J:$J,"Open")+COUNTIFS(Working_Data!$J:$J,"In Progress")</f>
        <v>627</v>
      </c>
    </row>
    <row r="209" spans="1:5" x14ac:dyDescent="0.25">
      <c r="A209" s="5">
        <v>46230</v>
      </c>
      <c r="B209">
        <f>COUNTIFS(Working_Data!$B:$B,"&gt;="&amp;A209,Working_Data!$B:$B,"&lt;"&amp;(A209+1))</f>
        <v>10</v>
      </c>
      <c r="C209">
        <f>COUNTIFS(Working_Data!$K:$K,"&gt;="&amp;A209,Working_Data!$K:$K,"&lt;"&amp;(A209+1),Working_Data!$J:$J,"Resolved")</f>
        <v>5</v>
      </c>
      <c r="D209" s="21">
        <f>IFERROR(SUMPRODUCT((Working_Data!$K:$K&gt;=A209)*(Working_Data!$K:$K&lt;(A209+1))*(Working_Data!$J:$J="Resolved")*(Working_Data!$O:$O&lt;=Working_Data!$I:$I))/C209,0)</f>
        <v>0.4</v>
      </c>
      <c r="E209">
        <f>COUNTIFS(Working_Data!$J:$J,"Open")+COUNTIFS(Working_Data!$J:$J,"In Progress")</f>
        <v>627</v>
      </c>
    </row>
    <row r="210" spans="1:5" x14ac:dyDescent="0.25">
      <c r="A210" s="5">
        <v>46231</v>
      </c>
      <c r="B210">
        <f>COUNTIFS(Working_Data!$B:$B,"&gt;="&amp;A210,Working_Data!$B:$B,"&lt;"&amp;(A210+1))</f>
        <v>14</v>
      </c>
      <c r="C210">
        <f>COUNTIFS(Working_Data!$K:$K,"&gt;="&amp;A210,Working_Data!$K:$K,"&lt;"&amp;(A210+1),Working_Data!$J:$J,"Resolved")</f>
        <v>6</v>
      </c>
      <c r="D210" s="21">
        <f>IFERROR(SUMPRODUCT((Working_Data!$K:$K&gt;=A210)*(Working_Data!$K:$K&lt;(A210+1))*(Working_Data!$J:$J="Resolved")*(Working_Data!$O:$O&lt;=Working_Data!$I:$I))/C210,0)</f>
        <v>0.83333333333333337</v>
      </c>
      <c r="E210">
        <f>COUNTIFS(Working_Data!$J:$J,"Open")+COUNTIFS(Working_Data!$J:$J,"In Progress")</f>
        <v>627</v>
      </c>
    </row>
    <row r="211" spans="1:5" x14ac:dyDescent="0.25">
      <c r="A211" s="5">
        <v>46232</v>
      </c>
      <c r="B211">
        <f>COUNTIFS(Working_Data!$B:$B,"&gt;="&amp;A211,Working_Data!$B:$B,"&lt;"&amp;(A211+1))</f>
        <v>14</v>
      </c>
      <c r="C211">
        <f>COUNTIFS(Working_Data!$K:$K,"&gt;="&amp;A211,Working_Data!$K:$K,"&lt;"&amp;(A211+1),Working_Data!$J:$J,"Resolved")</f>
        <v>4</v>
      </c>
      <c r="D211" s="21">
        <f>IFERROR(SUMPRODUCT((Working_Data!$K:$K&gt;=A211)*(Working_Data!$K:$K&lt;(A211+1))*(Working_Data!$J:$J="Resolved")*(Working_Data!$O:$O&lt;=Working_Data!$I:$I))/C211,0)</f>
        <v>0.75</v>
      </c>
      <c r="E211">
        <f>COUNTIFS(Working_Data!$J:$J,"Open")+COUNTIFS(Working_Data!$J:$J,"In Progress")</f>
        <v>627</v>
      </c>
    </row>
    <row r="212" spans="1:5" x14ac:dyDescent="0.25">
      <c r="A212" s="5">
        <v>46233</v>
      </c>
      <c r="B212">
        <f>COUNTIFS(Working_Data!$B:$B,"&gt;="&amp;A212,Working_Data!$B:$B,"&lt;"&amp;(A212+1))</f>
        <v>8</v>
      </c>
      <c r="C212">
        <f>COUNTIFS(Working_Data!$K:$K,"&gt;="&amp;A212,Working_Data!$K:$K,"&lt;"&amp;(A212+1),Working_Data!$J:$J,"Resolved")</f>
        <v>5</v>
      </c>
      <c r="D212" s="21">
        <f>IFERROR(SUMPRODUCT((Working_Data!$K:$K&gt;=A212)*(Working_Data!$K:$K&lt;(A212+1))*(Working_Data!$J:$J="Resolved")*(Working_Data!$O:$O&lt;=Working_Data!$I:$I))/C212,0)</f>
        <v>0.6</v>
      </c>
      <c r="E212">
        <f>COUNTIFS(Working_Data!$J:$J,"Open")+COUNTIFS(Working_Data!$J:$J,"In Progress")</f>
        <v>627</v>
      </c>
    </row>
    <row r="213" spans="1:5" x14ac:dyDescent="0.25">
      <c r="A213" s="5">
        <v>46234</v>
      </c>
      <c r="B213">
        <f>COUNTIFS(Working_Data!$B:$B,"&gt;="&amp;A213,Working_Data!$B:$B,"&lt;"&amp;(A213+1))</f>
        <v>13</v>
      </c>
      <c r="C213">
        <f>COUNTIFS(Working_Data!$K:$K,"&gt;="&amp;A213,Working_Data!$K:$K,"&lt;"&amp;(A213+1),Working_Data!$J:$J,"Resolved")</f>
        <v>2</v>
      </c>
      <c r="D213" s="21">
        <f>IFERROR(SUMPRODUCT((Working_Data!$K:$K&gt;=A213)*(Working_Data!$K:$K&lt;(A213+1))*(Working_Data!$J:$J="Resolved")*(Working_Data!$O:$O&lt;=Working_Data!$I:$I))/C213,0)</f>
        <v>1</v>
      </c>
      <c r="E213">
        <f>COUNTIFS(Working_Data!$J:$J,"Open")+COUNTIFS(Working_Data!$J:$J,"In Progress")</f>
        <v>627</v>
      </c>
    </row>
    <row r="214" spans="1:5" x14ac:dyDescent="0.25">
      <c r="A214" s="5">
        <v>46235</v>
      </c>
      <c r="B214">
        <f>COUNTIFS(Working_Data!$B:$B,"&gt;="&amp;A214,Working_Data!$B:$B,"&lt;"&amp;(A214+1))</f>
        <v>14</v>
      </c>
      <c r="C214">
        <f>COUNTIFS(Working_Data!$K:$K,"&gt;="&amp;A214,Working_Data!$K:$K,"&lt;"&amp;(A214+1),Working_Data!$J:$J,"Resolved")</f>
        <v>7</v>
      </c>
      <c r="D214" s="21">
        <f>IFERROR(SUMPRODUCT((Working_Data!$K:$K&gt;=A214)*(Working_Data!$K:$K&lt;(A214+1))*(Working_Data!$J:$J="Resolved")*(Working_Data!$O:$O&lt;=Working_Data!$I:$I))/C214,0)</f>
        <v>0.8571428571428571</v>
      </c>
      <c r="E214">
        <f>COUNTIFS(Working_Data!$J:$J,"Open")+COUNTIFS(Working_Data!$J:$J,"In Progress")</f>
        <v>627</v>
      </c>
    </row>
    <row r="215" spans="1:5" x14ac:dyDescent="0.25">
      <c r="A215" s="5">
        <v>46236</v>
      </c>
      <c r="B215">
        <f>COUNTIFS(Working_Data!$B:$B,"&gt;="&amp;A215,Working_Data!$B:$B,"&lt;"&amp;(A215+1))</f>
        <v>8</v>
      </c>
      <c r="C215">
        <f>COUNTIFS(Working_Data!$K:$K,"&gt;="&amp;A215,Working_Data!$K:$K,"&lt;"&amp;(A215+1),Working_Data!$J:$J,"Resolved")</f>
        <v>5</v>
      </c>
      <c r="D215" s="21">
        <f>IFERROR(SUMPRODUCT((Working_Data!$K:$K&gt;=A215)*(Working_Data!$K:$K&lt;(A215+1))*(Working_Data!$J:$J="Resolved")*(Working_Data!$O:$O&lt;=Working_Data!$I:$I))/C215,0)</f>
        <v>0.6</v>
      </c>
      <c r="E215">
        <f>COUNTIFS(Working_Data!$J:$J,"Open")+COUNTIFS(Working_Data!$J:$J,"In Progress")</f>
        <v>627</v>
      </c>
    </row>
    <row r="216" spans="1:5" x14ac:dyDescent="0.25">
      <c r="A216" s="5">
        <v>46237</v>
      </c>
      <c r="B216">
        <f>COUNTIFS(Working_Data!$B:$B,"&gt;="&amp;A216,Working_Data!$B:$B,"&lt;"&amp;(A216+1))</f>
        <v>13</v>
      </c>
      <c r="C216">
        <f>COUNTIFS(Working_Data!$K:$K,"&gt;="&amp;A216,Working_Data!$K:$K,"&lt;"&amp;(A216+1),Working_Data!$J:$J,"Resolved")</f>
        <v>4</v>
      </c>
      <c r="D216" s="21">
        <f>IFERROR(SUMPRODUCT((Working_Data!$K:$K&gt;=A216)*(Working_Data!$K:$K&lt;(A216+1))*(Working_Data!$J:$J="Resolved")*(Working_Data!$O:$O&lt;=Working_Data!$I:$I))/C216,0)</f>
        <v>1</v>
      </c>
      <c r="E216">
        <f>COUNTIFS(Working_Data!$J:$J,"Open")+COUNTIFS(Working_Data!$J:$J,"In Progress")</f>
        <v>627</v>
      </c>
    </row>
    <row r="217" spans="1:5" x14ac:dyDescent="0.25">
      <c r="A217" s="5">
        <v>46238</v>
      </c>
      <c r="B217">
        <f>COUNTIFS(Working_Data!$B:$B,"&gt;="&amp;A217,Working_Data!$B:$B,"&lt;"&amp;(A217+1))</f>
        <v>11</v>
      </c>
      <c r="C217">
        <f>COUNTIFS(Working_Data!$K:$K,"&gt;="&amp;A217,Working_Data!$K:$K,"&lt;"&amp;(A217+1),Working_Data!$J:$J,"Resolved")</f>
        <v>5</v>
      </c>
      <c r="D217" s="21">
        <f>IFERROR(SUMPRODUCT((Working_Data!$K:$K&gt;=A217)*(Working_Data!$K:$K&lt;(A217+1))*(Working_Data!$J:$J="Resolved")*(Working_Data!$O:$O&lt;=Working_Data!$I:$I))/C217,0)</f>
        <v>1</v>
      </c>
      <c r="E217">
        <f>COUNTIFS(Working_Data!$J:$J,"Open")+COUNTIFS(Working_Data!$J:$J,"In Progress")</f>
        <v>627</v>
      </c>
    </row>
    <row r="218" spans="1:5" x14ac:dyDescent="0.25">
      <c r="A218" s="5">
        <v>46239</v>
      </c>
      <c r="B218">
        <f>COUNTIFS(Working_Data!$B:$B,"&gt;="&amp;A218,Working_Data!$B:$B,"&lt;"&amp;(A218+1))</f>
        <v>12</v>
      </c>
      <c r="C218">
        <f>COUNTIFS(Working_Data!$K:$K,"&gt;="&amp;A218,Working_Data!$K:$K,"&lt;"&amp;(A218+1),Working_Data!$J:$J,"Resolved")</f>
        <v>8</v>
      </c>
      <c r="D218" s="21">
        <f>IFERROR(SUMPRODUCT((Working_Data!$K:$K&gt;=A218)*(Working_Data!$K:$K&lt;(A218+1))*(Working_Data!$J:$J="Resolved")*(Working_Data!$O:$O&lt;=Working_Data!$I:$I))/C218,0)</f>
        <v>0.375</v>
      </c>
      <c r="E218">
        <f>COUNTIFS(Working_Data!$J:$J,"Open")+COUNTIFS(Working_Data!$J:$J,"In Progress")</f>
        <v>627</v>
      </c>
    </row>
    <row r="219" spans="1:5" x14ac:dyDescent="0.25">
      <c r="A219" s="5">
        <v>46240</v>
      </c>
      <c r="B219">
        <f>COUNTIFS(Working_Data!$B:$B,"&gt;="&amp;A219,Working_Data!$B:$B,"&lt;"&amp;(A219+1))</f>
        <v>20</v>
      </c>
      <c r="C219">
        <f>COUNTIFS(Working_Data!$K:$K,"&gt;="&amp;A219,Working_Data!$K:$K,"&lt;"&amp;(A219+1),Working_Data!$J:$J,"Resolved")</f>
        <v>5</v>
      </c>
      <c r="D219" s="21">
        <f>IFERROR(SUMPRODUCT((Working_Data!$K:$K&gt;=A219)*(Working_Data!$K:$K&lt;(A219+1))*(Working_Data!$J:$J="Resolved")*(Working_Data!$O:$O&lt;=Working_Data!$I:$I))/C219,0)</f>
        <v>0.8</v>
      </c>
      <c r="E219">
        <f>COUNTIFS(Working_Data!$J:$J,"Open")+COUNTIFS(Working_Data!$J:$J,"In Progress")</f>
        <v>627</v>
      </c>
    </row>
    <row r="220" spans="1:5" x14ac:dyDescent="0.25">
      <c r="A220" s="5">
        <v>46241</v>
      </c>
      <c r="B220">
        <f>COUNTIFS(Working_Data!$B:$B,"&gt;="&amp;A220,Working_Data!$B:$B,"&lt;"&amp;(A220+1))</f>
        <v>12</v>
      </c>
      <c r="C220">
        <f>COUNTIFS(Working_Data!$K:$K,"&gt;="&amp;A220,Working_Data!$K:$K,"&lt;"&amp;(A220+1),Working_Data!$J:$J,"Resolved")</f>
        <v>4</v>
      </c>
      <c r="D220" s="21">
        <f>IFERROR(SUMPRODUCT((Working_Data!$K:$K&gt;=A220)*(Working_Data!$K:$K&lt;(A220+1))*(Working_Data!$J:$J="Resolved")*(Working_Data!$O:$O&lt;=Working_Data!$I:$I))/C220,0)</f>
        <v>1</v>
      </c>
      <c r="E220">
        <f>COUNTIFS(Working_Data!$J:$J,"Open")+COUNTIFS(Working_Data!$J:$J,"In Progress")</f>
        <v>627</v>
      </c>
    </row>
    <row r="221" spans="1:5" x14ac:dyDescent="0.25">
      <c r="A221" s="5">
        <v>46242</v>
      </c>
      <c r="B221">
        <f>COUNTIFS(Working_Data!$B:$B,"&gt;="&amp;A221,Working_Data!$B:$B,"&lt;"&amp;(A221+1))</f>
        <v>15</v>
      </c>
      <c r="C221">
        <f>COUNTIFS(Working_Data!$K:$K,"&gt;="&amp;A221,Working_Data!$K:$K,"&lt;"&amp;(A221+1),Working_Data!$J:$J,"Resolved")</f>
        <v>6</v>
      </c>
      <c r="D221" s="21">
        <f>IFERROR(SUMPRODUCT((Working_Data!$K:$K&gt;=A221)*(Working_Data!$K:$K&lt;(A221+1))*(Working_Data!$J:$J="Resolved")*(Working_Data!$O:$O&lt;=Working_Data!$I:$I))/C221,0)</f>
        <v>1</v>
      </c>
      <c r="E221">
        <f>COUNTIFS(Working_Data!$J:$J,"Open")+COUNTIFS(Working_Data!$J:$J,"In Progress")</f>
        <v>627</v>
      </c>
    </row>
    <row r="222" spans="1:5" x14ac:dyDescent="0.25">
      <c r="A222" s="5">
        <v>46243</v>
      </c>
      <c r="B222">
        <f>COUNTIFS(Working_Data!$B:$B,"&gt;="&amp;A222,Working_Data!$B:$B,"&lt;"&amp;(A222+1))</f>
        <v>9</v>
      </c>
      <c r="C222">
        <f>COUNTIFS(Working_Data!$K:$K,"&gt;="&amp;A222,Working_Data!$K:$K,"&lt;"&amp;(A222+1),Working_Data!$J:$J,"Resolved")</f>
        <v>1</v>
      </c>
      <c r="D222" s="21">
        <f>IFERROR(SUMPRODUCT((Working_Data!$K:$K&gt;=A222)*(Working_Data!$K:$K&lt;(A222+1))*(Working_Data!$J:$J="Resolved")*(Working_Data!$O:$O&lt;=Working_Data!$I:$I))/C222,0)</f>
        <v>1</v>
      </c>
      <c r="E222">
        <f>COUNTIFS(Working_Data!$J:$J,"Open")+COUNTIFS(Working_Data!$J:$J,"In Progress")</f>
        <v>627</v>
      </c>
    </row>
    <row r="223" spans="1:5" x14ac:dyDescent="0.25">
      <c r="A223" s="5">
        <v>46244</v>
      </c>
      <c r="B223">
        <f>COUNTIFS(Working_Data!$B:$B,"&gt;="&amp;A223,Working_Data!$B:$B,"&lt;"&amp;(A223+1))</f>
        <v>9</v>
      </c>
      <c r="C223">
        <f>COUNTIFS(Working_Data!$K:$K,"&gt;="&amp;A223,Working_Data!$K:$K,"&lt;"&amp;(A223+1),Working_Data!$J:$J,"Resolved")</f>
        <v>6</v>
      </c>
      <c r="D223" s="21">
        <f>IFERROR(SUMPRODUCT((Working_Data!$K:$K&gt;=A223)*(Working_Data!$K:$K&lt;(A223+1))*(Working_Data!$J:$J="Resolved")*(Working_Data!$O:$O&lt;=Working_Data!$I:$I))/C223,0)</f>
        <v>0.83333333333333337</v>
      </c>
      <c r="E223">
        <f>COUNTIFS(Working_Data!$J:$J,"Open")+COUNTIFS(Working_Data!$J:$J,"In Progress")</f>
        <v>627</v>
      </c>
    </row>
    <row r="224" spans="1:5" x14ac:dyDescent="0.25">
      <c r="A224" s="5">
        <v>46245</v>
      </c>
      <c r="B224">
        <f>COUNTIFS(Working_Data!$B:$B,"&gt;="&amp;A224,Working_Data!$B:$B,"&lt;"&amp;(A224+1))</f>
        <v>13</v>
      </c>
      <c r="C224">
        <f>COUNTIFS(Working_Data!$K:$K,"&gt;="&amp;A224,Working_Data!$K:$K,"&lt;"&amp;(A224+1),Working_Data!$J:$J,"Resolved")</f>
        <v>5</v>
      </c>
      <c r="D224" s="21">
        <f>IFERROR(SUMPRODUCT((Working_Data!$K:$K&gt;=A224)*(Working_Data!$K:$K&lt;(A224+1))*(Working_Data!$J:$J="Resolved")*(Working_Data!$O:$O&lt;=Working_Data!$I:$I))/C224,0)</f>
        <v>0.8</v>
      </c>
      <c r="E224">
        <f>COUNTIFS(Working_Data!$J:$J,"Open")+COUNTIFS(Working_Data!$J:$J,"In Progress")</f>
        <v>627</v>
      </c>
    </row>
    <row r="225" spans="1:5" x14ac:dyDescent="0.25">
      <c r="A225" s="5">
        <v>46246</v>
      </c>
      <c r="B225">
        <f>COUNTIFS(Working_Data!$B:$B,"&gt;="&amp;A225,Working_Data!$B:$B,"&lt;"&amp;(A225+1))</f>
        <v>15</v>
      </c>
      <c r="C225">
        <f>COUNTIFS(Working_Data!$K:$K,"&gt;="&amp;A225,Working_Data!$K:$K,"&lt;"&amp;(A225+1),Working_Data!$J:$J,"Resolved")</f>
        <v>4</v>
      </c>
      <c r="D225" s="21">
        <f>IFERROR(SUMPRODUCT((Working_Data!$K:$K&gt;=A225)*(Working_Data!$K:$K&lt;(A225+1))*(Working_Data!$J:$J="Resolved")*(Working_Data!$O:$O&lt;=Working_Data!$I:$I))/C225,0)</f>
        <v>0.75</v>
      </c>
      <c r="E225">
        <f>COUNTIFS(Working_Data!$J:$J,"Open")+COUNTIFS(Working_Data!$J:$J,"In Progress")</f>
        <v>627</v>
      </c>
    </row>
    <row r="226" spans="1:5" x14ac:dyDescent="0.25">
      <c r="A226" s="5">
        <v>46247</v>
      </c>
      <c r="B226">
        <f>COUNTIFS(Working_Data!$B:$B,"&gt;="&amp;A226,Working_Data!$B:$B,"&lt;"&amp;(A226+1))</f>
        <v>15</v>
      </c>
      <c r="C226">
        <f>COUNTIFS(Working_Data!$K:$K,"&gt;="&amp;A226,Working_Data!$K:$K,"&lt;"&amp;(A226+1),Working_Data!$J:$J,"Resolved")</f>
        <v>4</v>
      </c>
      <c r="D226" s="21">
        <f>IFERROR(SUMPRODUCT((Working_Data!$K:$K&gt;=A226)*(Working_Data!$K:$K&lt;(A226+1))*(Working_Data!$J:$J="Resolved")*(Working_Data!$O:$O&lt;=Working_Data!$I:$I))/C226,0)</f>
        <v>0.75</v>
      </c>
      <c r="E226">
        <f>COUNTIFS(Working_Data!$J:$J,"Open")+COUNTIFS(Working_Data!$J:$J,"In Progress")</f>
        <v>627</v>
      </c>
    </row>
    <row r="227" spans="1:5" x14ac:dyDescent="0.25">
      <c r="A227" s="5">
        <v>46248</v>
      </c>
      <c r="B227">
        <f>COUNTIFS(Working_Data!$B:$B,"&gt;="&amp;A227,Working_Data!$B:$B,"&lt;"&amp;(A227+1))</f>
        <v>12</v>
      </c>
      <c r="C227">
        <f>COUNTIFS(Working_Data!$K:$K,"&gt;="&amp;A227,Working_Data!$K:$K,"&lt;"&amp;(A227+1),Working_Data!$J:$J,"Resolved")</f>
        <v>7</v>
      </c>
      <c r="D227" s="21">
        <f>IFERROR(SUMPRODUCT((Working_Data!$K:$K&gt;=A227)*(Working_Data!$K:$K&lt;(A227+1))*(Working_Data!$J:$J="Resolved")*(Working_Data!$O:$O&lt;=Working_Data!$I:$I))/C227,0)</f>
        <v>0.8571428571428571</v>
      </c>
      <c r="E227">
        <f>COUNTIFS(Working_Data!$J:$J,"Open")+COUNTIFS(Working_Data!$J:$J,"In Progress")</f>
        <v>627</v>
      </c>
    </row>
    <row r="228" spans="1:5" x14ac:dyDescent="0.25">
      <c r="A228" s="5">
        <v>46249</v>
      </c>
      <c r="B228">
        <f>COUNTIFS(Working_Data!$B:$B,"&gt;="&amp;A228,Working_Data!$B:$B,"&lt;"&amp;(A228+1))</f>
        <v>14</v>
      </c>
      <c r="C228">
        <f>COUNTIFS(Working_Data!$K:$K,"&gt;="&amp;A228,Working_Data!$K:$K,"&lt;"&amp;(A228+1),Working_Data!$J:$J,"Resolved")</f>
        <v>4</v>
      </c>
      <c r="D228" s="21">
        <f>IFERROR(SUMPRODUCT((Working_Data!$K:$K&gt;=A228)*(Working_Data!$K:$K&lt;(A228+1))*(Working_Data!$J:$J="Resolved")*(Working_Data!$O:$O&lt;=Working_Data!$I:$I))/C228,0)</f>
        <v>0.75</v>
      </c>
      <c r="E228">
        <f>COUNTIFS(Working_Data!$J:$J,"Open")+COUNTIFS(Working_Data!$J:$J,"In Progress")</f>
        <v>627</v>
      </c>
    </row>
    <row r="229" spans="1:5" x14ac:dyDescent="0.25">
      <c r="A229" s="5">
        <v>46250</v>
      </c>
      <c r="B229">
        <f>COUNTIFS(Working_Data!$B:$B,"&gt;="&amp;A229,Working_Data!$B:$B,"&lt;"&amp;(A229+1))</f>
        <v>12</v>
      </c>
      <c r="C229">
        <f>COUNTIFS(Working_Data!$K:$K,"&gt;="&amp;A229,Working_Data!$K:$K,"&lt;"&amp;(A229+1),Working_Data!$J:$J,"Resolved")</f>
        <v>3</v>
      </c>
      <c r="D229" s="21">
        <f>IFERROR(SUMPRODUCT((Working_Data!$K:$K&gt;=A229)*(Working_Data!$K:$K&lt;(A229+1))*(Working_Data!$J:$J="Resolved")*(Working_Data!$O:$O&lt;=Working_Data!$I:$I))/C229,0)</f>
        <v>0.33333333333333331</v>
      </c>
      <c r="E229">
        <f>COUNTIFS(Working_Data!$J:$J,"Open")+COUNTIFS(Working_Data!$J:$J,"In Progress")</f>
        <v>627</v>
      </c>
    </row>
    <row r="230" spans="1:5" x14ac:dyDescent="0.25">
      <c r="A230" s="5">
        <v>46251</v>
      </c>
      <c r="B230">
        <f>COUNTIFS(Working_Data!$B:$B,"&gt;="&amp;A230,Working_Data!$B:$B,"&lt;"&amp;(A230+1))</f>
        <v>16</v>
      </c>
      <c r="C230">
        <f>COUNTIFS(Working_Data!$K:$K,"&gt;="&amp;A230,Working_Data!$K:$K,"&lt;"&amp;(A230+1),Working_Data!$J:$J,"Resolved")</f>
        <v>9</v>
      </c>
      <c r="D230" s="21">
        <f>IFERROR(SUMPRODUCT((Working_Data!$K:$K&gt;=A230)*(Working_Data!$K:$K&lt;(A230+1))*(Working_Data!$J:$J="Resolved")*(Working_Data!$O:$O&lt;=Working_Data!$I:$I))/C230,0)</f>
        <v>0.66666666666666663</v>
      </c>
      <c r="E230">
        <f>COUNTIFS(Working_Data!$J:$J,"Open")+COUNTIFS(Working_Data!$J:$J,"In Progress")</f>
        <v>627</v>
      </c>
    </row>
    <row r="231" spans="1:5" x14ac:dyDescent="0.25">
      <c r="A231" s="5">
        <v>46252</v>
      </c>
      <c r="B231">
        <f>COUNTIFS(Working_Data!$B:$B,"&gt;="&amp;A231,Working_Data!$B:$B,"&lt;"&amp;(A231+1))</f>
        <v>12</v>
      </c>
      <c r="C231">
        <f>COUNTIFS(Working_Data!$K:$K,"&gt;="&amp;A231,Working_Data!$K:$K,"&lt;"&amp;(A231+1),Working_Data!$J:$J,"Resolved")</f>
        <v>5</v>
      </c>
      <c r="D231" s="21">
        <f>IFERROR(SUMPRODUCT((Working_Data!$K:$K&gt;=A231)*(Working_Data!$K:$K&lt;(A231+1))*(Working_Data!$J:$J="Resolved")*(Working_Data!$O:$O&lt;=Working_Data!$I:$I))/C231,0)</f>
        <v>0.8</v>
      </c>
      <c r="E231">
        <f>COUNTIFS(Working_Data!$J:$J,"Open")+COUNTIFS(Working_Data!$J:$J,"In Progress")</f>
        <v>627</v>
      </c>
    </row>
    <row r="232" spans="1:5" x14ac:dyDescent="0.25">
      <c r="A232" s="5">
        <v>46253</v>
      </c>
      <c r="B232">
        <f>COUNTIFS(Working_Data!$B:$B,"&gt;="&amp;A232,Working_Data!$B:$B,"&lt;"&amp;(A232+1))</f>
        <v>18</v>
      </c>
      <c r="C232">
        <f>COUNTIFS(Working_Data!$K:$K,"&gt;="&amp;A232,Working_Data!$K:$K,"&lt;"&amp;(A232+1),Working_Data!$J:$J,"Resolved")</f>
        <v>1</v>
      </c>
      <c r="D232" s="21">
        <f>IFERROR(SUMPRODUCT((Working_Data!$K:$K&gt;=A232)*(Working_Data!$K:$K&lt;(A232+1))*(Working_Data!$J:$J="Resolved")*(Working_Data!$O:$O&lt;=Working_Data!$I:$I))/C232,0)</f>
        <v>1</v>
      </c>
      <c r="E232">
        <f>COUNTIFS(Working_Data!$J:$J,"Open")+COUNTIFS(Working_Data!$J:$J,"In Progress")</f>
        <v>627</v>
      </c>
    </row>
    <row r="233" spans="1:5" x14ac:dyDescent="0.25">
      <c r="A233" s="5">
        <v>46254</v>
      </c>
      <c r="B233">
        <f>COUNTIFS(Working_Data!$B:$B,"&gt;="&amp;A233,Working_Data!$B:$B,"&lt;"&amp;(A233+1))</f>
        <v>23</v>
      </c>
      <c r="C233">
        <f>COUNTIFS(Working_Data!$K:$K,"&gt;="&amp;A233,Working_Data!$K:$K,"&lt;"&amp;(A233+1),Working_Data!$J:$J,"Resolved")</f>
        <v>7</v>
      </c>
      <c r="D233" s="21">
        <f>IFERROR(SUMPRODUCT((Working_Data!$K:$K&gt;=A233)*(Working_Data!$K:$K&lt;(A233+1))*(Working_Data!$J:$J="Resolved")*(Working_Data!$O:$O&lt;=Working_Data!$I:$I))/C233,0)</f>
        <v>0.8571428571428571</v>
      </c>
      <c r="E233">
        <f>COUNTIFS(Working_Data!$J:$J,"Open")+COUNTIFS(Working_Data!$J:$J,"In Progress")</f>
        <v>627</v>
      </c>
    </row>
    <row r="234" spans="1:5" x14ac:dyDescent="0.25">
      <c r="A234" s="5">
        <v>46255</v>
      </c>
      <c r="B234">
        <f>COUNTIFS(Working_Data!$B:$B,"&gt;="&amp;A234,Working_Data!$B:$B,"&lt;"&amp;(A234+1))</f>
        <v>9</v>
      </c>
      <c r="C234">
        <f>COUNTIFS(Working_Data!$K:$K,"&gt;="&amp;A234,Working_Data!$K:$K,"&lt;"&amp;(A234+1),Working_Data!$J:$J,"Resolved")</f>
        <v>8</v>
      </c>
      <c r="D234" s="21">
        <f>IFERROR(SUMPRODUCT((Working_Data!$K:$K&gt;=A234)*(Working_Data!$K:$K&lt;(A234+1))*(Working_Data!$J:$J="Resolved")*(Working_Data!$O:$O&lt;=Working_Data!$I:$I))/C234,0)</f>
        <v>1</v>
      </c>
      <c r="E234">
        <f>COUNTIFS(Working_Data!$J:$J,"Open")+COUNTIFS(Working_Data!$J:$J,"In Progress")</f>
        <v>627</v>
      </c>
    </row>
    <row r="235" spans="1:5" x14ac:dyDescent="0.25">
      <c r="A235" s="5">
        <v>46256</v>
      </c>
      <c r="B235">
        <f>COUNTIFS(Working_Data!$B:$B,"&gt;="&amp;A235,Working_Data!$B:$B,"&lt;"&amp;(A235+1))</f>
        <v>19</v>
      </c>
      <c r="C235">
        <f>COUNTIFS(Working_Data!$K:$K,"&gt;="&amp;A235,Working_Data!$K:$K,"&lt;"&amp;(A235+1),Working_Data!$J:$J,"Resolved")</f>
        <v>5</v>
      </c>
      <c r="D235" s="21">
        <f>IFERROR(SUMPRODUCT((Working_Data!$K:$K&gt;=A235)*(Working_Data!$K:$K&lt;(A235+1))*(Working_Data!$J:$J="Resolved")*(Working_Data!$O:$O&lt;=Working_Data!$I:$I))/C235,0)</f>
        <v>0.4</v>
      </c>
      <c r="E235">
        <f>COUNTIFS(Working_Data!$J:$J,"Open")+COUNTIFS(Working_Data!$J:$J,"In Progress")</f>
        <v>627</v>
      </c>
    </row>
    <row r="236" spans="1:5" x14ac:dyDescent="0.25">
      <c r="A236" s="5">
        <v>46257</v>
      </c>
      <c r="B236">
        <f>COUNTIFS(Working_Data!$B:$B,"&gt;="&amp;A236,Working_Data!$B:$B,"&lt;"&amp;(A236+1))</f>
        <v>20</v>
      </c>
      <c r="C236">
        <f>COUNTIFS(Working_Data!$K:$K,"&gt;="&amp;A236,Working_Data!$K:$K,"&lt;"&amp;(A236+1),Working_Data!$J:$J,"Resolved")</f>
        <v>4</v>
      </c>
      <c r="D236" s="21">
        <f>IFERROR(SUMPRODUCT((Working_Data!$K:$K&gt;=A236)*(Working_Data!$K:$K&lt;(A236+1))*(Working_Data!$J:$J="Resolved")*(Working_Data!$O:$O&lt;=Working_Data!$I:$I))/C236,0)</f>
        <v>0.75</v>
      </c>
      <c r="E236">
        <f>COUNTIFS(Working_Data!$J:$J,"Open")+COUNTIFS(Working_Data!$J:$J,"In Progress")</f>
        <v>627</v>
      </c>
    </row>
    <row r="237" spans="1:5" x14ac:dyDescent="0.25">
      <c r="A237" s="5">
        <v>46258</v>
      </c>
      <c r="B237">
        <f>COUNTIFS(Working_Data!$B:$B,"&gt;="&amp;A237,Working_Data!$B:$B,"&lt;"&amp;(A237+1))</f>
        <v>19</v>
      </c>
      <c r="C237">
        <f>COUNTIFS(Working_Data!$K:$K,"&gt;="&amp;A237,Working_Data!$K:$K,"&lt;"&amp;(A237+1),Working_Data!$J:$J,"Resolved")</f>
        <v>7</v>
      </c>
      <c r="D237" s="21">
        <f>IFERROR(SUMPRODUCT((Working_Data!$K:$K&gt;=A237)*(Working_Data!$K:$K&lt;(A237+1))*(Working_Data!$J:$J="Resolved")*(Working_Data!$O:$O&lt;=Working_Data!$I:$I))/C237,0)</f>
        <v>0.8571428571428571</v>
      </c>
      <c r="E237">
        <f>COUNTIFS(Working_Data!$J:$J,"Open")+COUNTIFS(Working_Data!$J:$J,"In Progress")</f>
        <v>627</v>
      </c>
    </row>
    <row r="238" spans="1:5" x14ac:dyDescent="0.25">
      <c r="A238" s="5">
        <v>46259</v>
      </c>
      <c r="B238">
        <f>COUNTIFS(Working_Data!$B:$B,"&gt;="&amp;A238,Working_Data!$B:$B,"&lt;"&amp;(A238+1))</f>
        <v>11</v>
      </c>
      <c r="C238">
        <f>COUNTIFS(Working_Data!$K:$K,"&gt;="&amp;A238,Working_Data!$K:$K,"&lt;"&amp;(A238+1),Working_Data!$J:$J,"Resolved")</f>
        <v>5</v>
      </c>
      <c r="D238" s="21">
        <f>IFERROR(SUMPRODUCT((Working_Data!$K:$K&gt;=A238)*(Working_Data!$K:$K&lt;(A238+1))*(Working_Data!$J:$J="Resolved")*(Working_Data!$O:$O&lt;=Working_Data!$I:$I))/C238,0)</f>
        <v>0.2</v>
      </c>
      <c r="E238">
        <f>COUNTIFS(Working_Data!$J:$J,"Open")+COUNTIFS(Working_Data!$J:$J,"In Progress")</f>
        <v>627</v>
      </c>
    </row>
    <row r="239" spans="1:5" x14ac:dyDescent="0.25">
      <c r="A239" s="5">
        <v>46260</v>
      </c>
      <c r="B239">
        <f>COUNTIFS(Working_Data!$B:$B,"&gt;="&amp;A239,Working_Data!$B:$B,"&lt;"&amp;(A239+1))</f>
        <v>6</v>
      </c>
      <c r="C239">
        <f>COUNTIFS(Working_Data!$K:$K,"&gt;="&amp;A239,Working_Data!$K:$K,"&lt;"&amp;(A239+1),Working_Data!$J:$J,"Resolved")</f>
        <v>5</v>
      </c>
      <c r="D239" s="21">
        <f>IFERROR(SUMPRODUCT((Working_Data!$K:$K&gt;=A239)*(Working_Data!$K:$K&lt;(A239+1))*(Working_Data!$J:$J="Resolved")*(Working_Data!$O:$O&lt;=Working_Data!$I:$I))/C239,0)</f>
        <v>1</v>
      </c>
      <c r="E239">
        <f>COUNTIFS(Working_Data!$J:$J,"Open")+COUNTIFS(Working_Data!$J:$J,"In Progress")</f>
        <v>627</v>
      </c>
    </row>
    <row r="240" spans="1:5" x14ac:dyDescent="0.25">
      <c r="A240" s="5">
        <v>46261</v>
      </c>
      <c r="B240">
        <f>COUNTIFS(Working_Data!$B:$B,"&gt;="&amp;A240,Working_Data!$B:$B,"&lt;"&amp;(A240+1))</f>
        <v>11</v>
      </c>
      <c r="C240">
        <f>COUNTIFS(Working_Data!$K:$K,"&gt;="&amp;A240,Working_Data!$K:$K,"&lt;"&amp;(A240+1),Working_Data!$J:$J,"Resolved")</f>
        <v>3</v>
      </c>
      <c r="D240" s="21">
        <f>IFERROR(SUMPRODUCT((Working_Data!$K:$K&gt;=A240)*(Working_Data!$K:$K&lt;(A240+1))*(Working_Data!$J:$J="Resolved")*(Working_Data!$O:$O&lt;=Working_Data!$I:$I))/C240,0)</f>
        <v>0.33333333333333331</v>
      </c>
      <c r="E240">
        <f>COUNTIFS(Working_Data!$J:$J,"Open")+COUNTIFS(Working_Data!$J:$J,"In Progress")</f>
        <v>627</v>
      </c>
    </row>
    <row r="241" spans="1:5" x14ac:dyDescent="0.25">
      <c r="A241" s="5">
        <v>46262</v>
      </c>
      <c r="B241">
        <f>COUNTIFS(Working_Data!$B:$B,"&gt;="&amp;A241,Working_Data!$B:$B,"&lt;"&amp;(A241+1))</f>
        <v>17</v>
      </c>
      <c r="C241">
        <f>COUNTIFS(Working_Data!$K:$K,"&gt;="&amp;A241,Working_Data!$K:$K,"&lt;"&amp;(A241+1),Working_Data!$J:$J,"Resolved")</f>
        <v>6</v>
      </c>
      <c r="D241" s="21">
        <f>IFERROR(SUMPRODUCT((Working_Data!$K:$K&gt;=A241)*(Working_Data!$K:$K&lt;(A241+1))*(Working_Data!$J:$J="Resolved")*(Working_Data!$O:$O&lt;=Working_Data!$I:$I))/C241,0)</f>
        <v>1</v>
      </c>
      <c r="E241">
        <f>COUNTIFS(Working_Data!$J:$J,"Open")+COUNTIFS(Working_Data!$J:$J,"In Progress")</f>
        <v>627</v>
      </c>
    </row>
    <row r="242" spans="1:5" x14ac:dyDescent="0.25">
      <c r="A242" s="5">
        <v>46263</v>
      </c>
      <c r="B242">
        <f>COUNTIFS(Working_Data!$B:$B,"&gt;="&amp;A242,Working_Data!$B:$B,"&lt;"&amp;(A242+1))</f>
        <v>10</v>
      </c>
      <c r="C242">
        <f>COUNTIFS(Working_Data!$K:$K,"&gt;="&amp;A242,Working_Data!$K:$K,"&lt;"&amp;(A242+1),Working_Data!$J:$J,"Resolved")</f>
        <v>6</v>
      </c>
      <c r="D242" s="21">
        <f>IFERROR(SUMPRODUCT((Working_Data!$K:$K&gt;=A242)*(Working_Data!$K:$K&lt;(A242+1))*(Working_Data!$J:$J="Resolved")*(Working_Data!$O:$O&lt;=Working_Data!$I:$I))/C242,0)</f>
        <v>0.83333333333333337</v>
      </c>
      <c r="E242">
        <f>COUNTIFS(Working_Data!$J:$J,"Open")+COUNTIFS(Working_Data!$J:$J,"In Progress")</f>
        <v>627</v>
      </c>
    </row>
    <row r="243" spans="1:5" x14ac:dyDescent="0.25">
      <c r="A243" s="5">
        <v>46264</v>
      </c>
      <c r="B243">
        <f>COUNTIFS(Working_Data!$B:$B,"&gt;="&amp;A243,Working_Data!$B:$B,"&lt;"&amp;(A243+1))</f>
        <v>17</v>
      </c>
      <c r="C243">
        <f>COUNTIFS(Working_Data!$K:$K,"&gt;="&amp;A243,Working_Data!$K:$K,"&lt;"&amp;(A243+1),Working_Data!$J:$J,"Resolved")</f>
        <v>8</v>
      </c>
      <c r="D243" s="21">
        <f>IFERROR(SUMPRODUCT((Working_Data!$K:$K&gt;=A243)*(Working_Data!$K:$K&lt;(A243+1))*(Working_Data!$J:$J="Resolved")*(Working_Data!$O:$O&lt;=Working_Data!$I:$I))/C243,0)</f>
        <v>0.625</v>
      </c>
      <c r="E243">
        <f>COUNTIFS(Working_Data!$J:$J,"Open")+COUNTIFS(Working_Data!$J:$J,"In Progress")</f>
        <v>627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defaultRowHeight="15" x14ac:dyDescent="0.25"/>
  <cols>
    <col min="1" max="1" width="30.85546875" bestFit="1" customWidth="1"/>
    <col min="2" max="2" width="12" bestFit="1" customWidth="1"/>
  </cols>
  <sheetData>
    <row r="1" spans="1:2" ht="23.25" x14ac:dyDescent="0.25">
      <c r="A1" s="22" t="s">
        <v>8593</v>
      </c>
      <c r="B1" s="23"/>
    </row>
    <row r="2" spans="1:2" x14ac:dyDescent="0.25">
      <c r="A2" s="24" t="s">
        <v>8592</v>
      </c>
      <c r="B2" s="10">
        <f>COUNTA(Working_Data!A:A)-1</f>
        <v>3200</v>
      </c>
    </row>
    <row r="3" spans="1:2" x14ac:dyDescent="0.25">
      <c r="A3" s="24" t="s">
        <v>8594</v>
      </c>
      <c r="B3" s="11">
        <f>SUMPRODUCT((Working_Data!J2:J3200="Resolved")*(Working_Data!O2:O3200&lt;=Working_Data!I2:I3200))/COUNTIF(Working_Data!J2:J3200,"Resolved")</f>
        <v>0.73547880690737832</v>
      </c>
    </row>
    <row r="4" spans="1:2" x14ac:dyDescent="0.25">
      <c r="A4" s="24" t="s">
        <v>8595</v>
      </c>
      <c r="B4" s="11">
        <f>COUNTIF(Working_Data!L:L,"Yes")/B2</f>
        <v>0.17874999999999999</v>
      </c>
    </row>
    <row r="5" spans="1:2" x14ac:dyDescent="0.25">
      <c r="A5" s="24" t="s">
        <v>8596</v>
      </c>
      <c r="B5" s="12">
        <f>AVERAGEIF(Working_Data!J:J,"Resolved",Working_Data!O:O)</f>
        <v>20.571615008159778</v>
      </c>
    </row>
    <row r="6" spans="1:2" x14ac:dyDescent="0.25">
      <c r="A6" s="24" t="s">
        <v>8597</v>
      </c>
      <c r="B6" s="10">
        <f>COUNTIF(Working_Data!J:J,"Open")+COUNTIF(Working_Data!J:J,"In Progress")</f>
        <v>627</v>
      </c>
    </row>
    <row r="7" spans="1:2" x14ac:dyDescent="0.25">
      <c r="A7" s="24" t="s">
        <v>8598</v>
      </c>
      <c r="B7" s="12">
        <f>AVERAGE(Working_Data!M:M)</f>
        <v>3.5622188905547225</v>
      </c>
    </row>
    <row r="8" spans="1:2" x14ac:dyDescent="0.25">
      <c r="A8" s="24" t="s">
        <v>8599</v>
      </c>
      <c r="B8" s="11">
        <f>COUNTIF(Working_Data!J:J,"Re-Opened")/B2</f>
        <v>4.9687500000000002E-2</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F10" sqref="F10"/>
    </sheetView>
  </sheetViews>
  <sheetFormatPr defaultRowHeight="15" x14ac:dyDescent="0.25"/>
  <cols>
    <col min="1" max="1" width="26.7109375" bestFit="1" customWidth="1"/>
    <col min="2" max="2" width="17.7109375" bestFit="1" customWidth="1"/>
    <col min="3" max="3" width="20.85546875" bestFit="1" customWidth="1"/>
    <col min="4" max="4" width="24.140625" bestFit="1" customWidth="1"/>
  </cols>
  <sheetData>
    <row r="1" spans="1:4" x14ac:dyDescent="0.25">
      <c r="A1" s="24" t="s">
        <v>8593</v>
      </c>
      <c r="B1" s="24" t="s">
        <v>8600</v>
      </c>
      <c r="C1" s="24" t="s">
        <v>8601</v>
      </c>
      <c r="D1" s="24" t="s">
        <v>8604</v>
      </c>
    </row>
    <row r="2" spans="1:4" x14ac:dyDescent="0.25">
      <c r="A2" s="24" t="s">
        <v>8602</v>
      </c>
      <c r="B2" s="10">
        <f>COUNTIFS(Working_Data!B:B,"&gt;="&amp;DATE(2026,8,14),Working_Data!B:B,"&lt;"&amp;DATE(2026,8,15))</f>
        <v>12</v>
      </c>
      <c r="C2" s="10">
        <f>COUNTIFS(Working_Data!B:B,"&gt;="&amp;DATE(2026,8,10),Working_Data!B:B,"&lt;"&amp;DATE(2026,8,17))</f>
        <v>90</v>
      </c>
      <c r="D2" s="10">
        <f>COUNTIFS(Working_Data!B:B,"&gt;="&amp;DATE(2026,8,1),Working_Data!B:B,"&lt;"&amp;DATE(2026,8,16))</f>
        <v>192</v>
      </c>
    </row>
    <row r="3" spans="1:4" x14ac:dyDescent="0.25">
      <c r="A3" s="24" t="s">
        <v>8594</v>
      </c>
      <c r="B3" s="11">
        <f>SUMPRODUCT((Working_Data!J:J="Resolved")*(Working_Data!B:B&gt;=DATE(2026,8,14))*(Working_Data!B:B&lt;DATE(2026,8,15))*(Working_Data!O:O&lt;=Working_Data!I:I))/SUMPRODUCT((Working_Data!J:J="Resolved")*(Working_Data!B:B&gt;=DATE(2026,8,14))*(Working_Data!B:B&lt;DATE(2026,8,15)))</f>
        <v>0.55555555555555558</v>
      </c>
      <c r="C3" s="11">
        <f>SUMPRODUCT((Working_Data!J:J="Resolved")*(Working_Data!B:B&gt;=DATE(2026,8,10))*(Working_Data!B:B&lt;DATE(2026,8,17))*(Working_Data!O:O&lt;=Working_Data!I:I))/SUMPRODUCT((Working_Data!J:J="Resolved")*(Working_Data!B:B&gt;=DATE(2026,8,10))*(Working_Data!B:B&lt;DATE(2026,8,17)))</f>
        <v>0.72727272727272729</v>
      </c>
      <c r="D3" s="11">
        <f>SUMPRODUCT((Working_Data!J:J="Resolved")*(Working_Data!B:B&gt;=DATE(2026,8,1))*(Working_Data!B:B&lt;DATE(2026,8,16))*(Working_Data!O:O&lt;=Working_Data!I:I))/SUMPRODUCT((Working_Data!J:J="Resolved")*(Working_Data!B:B&gt;=DATE(2026,8,1))*(Working_Data!B:B&lt;DATE(2026,8,16)))</f>
        <v>0.75</v>
      </c>
    </row>
    <row r="4" spans="1:4" x14ac:dyDescent="0.25">
      <c r="A4" s="24" t="s">
        <v>8603</v>
      </c>
      <c r="B4" s="13">
        <f>AVERAGEIFS(Working_Data!O:O,Working_Data!J:J,"Resolved",Working_Data!B:B,"&gt;="&amp;DATE(2026,8,14),Working_Data!B:B,"&lt;"&amp;DATE(2026,8,15))</f>
        <v>39.172222222240329</v>
      </c>
      <c r="C4" s="13">
        <f>AVERAGEIFS(Working_Data!O:O,Working_Data!J:J,"Resolved",Working_Data!B:B,"&gt;="&amp;DATE(2026,8,10),Working_Data!B:B,"&lt;"&amp;DATE(2026,8,17))</f>
        <v>26.256250000009459</v>
      </c>
      <c r="D4" s="13">
        <f>AVERAGEIFS(Working_Data!O:O,Working_Data!J:J,"Resolved",Working_Data!B:B,"&gt;="&amp;DATE(2026,8,1),Working_Data!B:B,"&lt;"&amp;DATE(2026,8,16))</f>
        <v>24.536324786333491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Raw_Tickets_Data</vt:lpstr>
      <vt:lpstr>PT_ByTeam</vt:lpstr>
      <vt:lpstr>PT_ByAgent</vt:lpstr>
      <vt:lpstr>PT_ByCity</vt:lpstr>
      <vt:lpstr>PT_ByChannel</vt:lpstr>
      <vt:lpstr>PT_ByCategory</vt:lpstr>
      <vt:lpstr>PT_ByPriority</vt:lpstr>
      <vt:lpstr>PT_CategoryPriority</vt:lpstr>
      <vt:lpstr>Working_Data</vt:lpstr>
      <vt:lpstr>Analysis_Notes</vt:lpstr>
      <vt:lpstr>Operational_Tracker</vt:lpstr>
      <vt:lpstr>Metrics</vt:lpstr>
      <vt:lpstr>KPI_Summary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2026-09-05T06:13:16Z</dcterms:created>
  <dcterms:modified xsi:type="dcterms:W3CDTF">2026-09-06T19:45:00Z</dcterms:modified>
</cp:coreProperties>
</file>